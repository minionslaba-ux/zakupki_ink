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📖 Инструкция" sheetId="1" r:id="rId5"/>
    <sheet state="hidden" name="Apps Script код" sheetId="2" r:id="rId6"/>
    <sheet state="visible" name="⚠️ Что заполнить" sheetId="3" r:id="rId7"/>
    <sheet state="visible" name="Калькулятор" sheetId="4" r:id="rId8"/>
    <sheet state="visible" name="Калькулятор X" sheetId="5" r:id="rId9"/>
    <sheet state="visible" name="Расчёт сырья" sheetId="6" r:id="rId10"/>
    <sheet state="visible" name="Продукты" sheetId="7" r:id="rId11"/>
    <sheet state="visible" name="Полупродукты" sheetId="8" r:id="rId12"/>
    <sheet state="visible" name="Курсы ЦБ" sheetId="9" r:id="rId13"/>
    <sheet state="visible" name="Сырьё" sheetId="10" r:id="rId14"/>
    <sheet state="hidden" name="Рецептуры" sheetId="11" r:id="rId15"/>
    <sheet state="visible" name="Потери" sheetId="12" r:id="rId16"/>
    <sheet state="hidden" name="_Развёртки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tc={51baec66-364c-4236-91d8-a4f5cf58b3d2}</author>
  </authors>
  <commentList>
    <comment authorId="0" xr:uid="{51baec66-364c-4236-91d8-a4f5cf58b3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в наличии
</t>
      </text>
    </comment>
  </commentList>
</comments>
</file>

<file path=xl/sharedStrings.xml><?xml version="1.0" encoding="utf-8"?>
<sst xmlns="http://schemas.openxmlformats.org/spreadsheetml/2006/main" count="11741" uniqueCount="3621">
  <si>
    <t>📋  КАЛЬКУЛЯТОР NEV v7</t>
  </si>
  <si>
    <t>Инструкция · Многоуровневая рецептура · Расчёт сырья · Многовалютные цены</t>
  </si>
  <si>
    <t>🎯  ЛИСТЫ ДЛЯ РАБОТЫ</t>
  </si>
  <si>
    <t>Калькулятор</t>
  </si>
  <si>
    <t>Расчёт себестоимости готового продукта из каталога</t>
  </si>
  <si>
    <t>Калькулятор X</t>
  </si>
  <si>
    <t>Расчёт нового продукта (произвольный состав)</t>
  </si>
  <si>
    <t>Расчёт сырья</t>
  </si>
  <si>
    <t>Планирование закупок: ввод заявки → список сырья</t>
  </si>
  <si>
    <t>📚  СПРАВОЧНИКИ</t>
  </si>
  <si>
    <t>Продукты</t>
  </si>
  <si>
    <t>Каталог готовой продукции (191 наименование)</t>
  </si>
  <si>
    <t>Полупродукты</t>
  </si>
  <si>
    <t>Каталог производимых полупродуктов (50)</t>
  </si>
  <si>
    <t>Сырьё</t>
  </si>
  <si>
    <t>Каталог покупного сырья (226 позиций, валюты RUB/USD/EUR/CNY)</t>
  </si>
  <si>
    <t>Курсы ЦБ</t>
  </si>
  <si>
    <t>История курсов валют (обновляется автоматически)</t>
  </si>
  <si>
    <t>Потери</t>
  </si>
  <si>
    <t>Реальные потери производства по данным выпусков (31 артикул)</t>
  </si>
  <si>
    <t>⚠️  КАЧЕСТВО ДАННЫХ</t>
  </si>
  <si>
    <t>⚠️ Что заполнить</t>
  </si>
  <si>
    <t>Дашборд: сырьё без цены, ошибки рецептур, нехватка полупродуктов</t>
  </si>
  <si>
    <t>🛠  СЛУЖЕБНЫЕ (скрытые)</t>
  </si>
  <si>
    <t>Рецептуры</t>
  </si>
  <si>
    <t>Базовая таблица рецептов (read-only)</t>
  </si>
  <si>
    <t>_Развёртки</t>
  </si>
  <si>
    <t>Предрасчёт сырья для «Расчёта сырья»</t>
  </si>
  <si>
    <t>Apps Script код</t>
  </si>
  <si>
    <t>Код скрипта (см. также отдельный файл)</t>
  </si>
  <si>
    <t>🚀  КАК НАЧАТЬ</t>
  </si>
  <si>
    <t>1.</t>
  </si>
  <si>
    <t>Откройте файл в Google Sheets (загрузите на Drive, откройте через Sheets)</t>
  </si>
  <si>
    <t>2.</t>
  </si>
  <si>
    <t>Установите Apps Script: Расширения → Apps Script → вставьте код из листа «Apps Script код» → Сохранить</t>
  </si>
  <si>
    <t>3.</t>
  </si>
  <si>
    <t>Перезагрузите таблицу (F5) — появится меню «🛠 NEV»</t>
  </si>
  <si>
    <t>4.</t>
  </si>
  <si>
    <t>Меню → «💱 Обновить курсы ЦБ» — загрузится актуальный курс. Дальше — обновляется автоматически при открытии</t>
  </si>
  <si>
    <t>5.</t>
  </si>
  <si>
    <t>Откройте «⚠️ Что заполнить» — увидите, какие данные нужно дозаполнить (32 позиции без цен)</t>
  </si>
  <si>
    <t>6.</t>
  </si>
  <si>
    <t>Заполните цены сырья в Сырьё (J=валюта, K=цена, F=дата необязательно)</t>
  </si>
  <si>
    <t>7.</t>
  </si>
  <si>
    <t>Используйте «Калькулятор» для готовых продуктов, «Расчёт сырья» — для заявок</t>
  </si>
  <si>
    <t>💡  ВАЖНЫЕ ОСОБЕННОСТИ</t>
  </si>
  <si>
    <t>•</t>
  </si>
  <si>
    <t>Курс EUR/RUB в K8 — авто из «Курсы ЦБ», можно перезаписать вручную</t>
  </si>
  <si>
    <t>Цены сырья в 4 валютах: RUB, USD, EUR, CNY. Кросс-курс через ЦБ на дату поступления</t>
  </si>
  <si>
    <t>• Колонка M в Калькуляторе — «Пред. цена €/кг без НДС» (ручной ввод, подменяет J)</t>
  </si>
  <si>
    <t>• Ячейка M11 в Калькуляторе и Калькуляторе X — глобальные потери, % (ручной ввод, напр. 5%). Сбрасывается автоматически при смене продукта в B8.</t>
  </si>
  <si>
    <t>В Расчёте сырья развёртки с потерями 3%, тара/сырьё/полупр. — отдельные секции с подытогами</t>
  </si>
  <si>
    <t>При смене продукта (B8) ручные значения авто-сбрасываются</t>
  </si>
  <si>
    <t>Σ% в L15 (сумма % компонентов): 🟢 ≈100%, 🔴 &gt;100% — ошибка, 🟡 &lt;100% — недозаполнено</t>
  </si>
  <si>
    <t>/**</t>
  </si>
  <si>
    <t xml:space="preserve"> * Google Apps Script для Калькулятор_NEV (версия 7)</t>
  </si>
  <si>
    <t xml:space="preserve"> *</t>
  </si>
  <si>
    <t xml:space="preserve"> * ИЗМЕНЕНИЯ в v7:</t>
  </si>
  <si>
    <t xml:space="preserve"> *   • Основной источник курсов — официальный API ЦБ РФ</t>
  </si>
  <si>
    <t xml:space="preserve"> *     (https://www.cbr.ru/scripts/XML_daily.asp), XML</t>
  </si>
  <si>
    <t xml:space="preserve"> *   • Fallback-источники: cbr-xml-daily.ru → cbr-xml-daily.com</t>
  </si>
  <si>
    <t xml:space="preserve"> *   • Подробное сообщение об ошибке, если ни один источник не отдал данные</t>
  </si>
  <si>
    <t xml:space="preserve"> * Все остальные функции v6 (сброс калькуляторов, M11 для потерь,</t>
  </si>
  <si>
    <t xml:space="preserve"> * автообновление при открытии) — без изменений.</t>
  </si>
  <si>
    <t xml:space="preserve"> */</t>
  </si>
  <si>
    <t>const SHEET_CALC      = 'Калькулятор';</t>
  </si>
  <si>
    <t>const SHEET_CALC_X    = 'Калькулятор X';</t>
  </si>
  <si>
    <t>const SHEET_RAW_CALC  = 'Расчёт сырья';</t>
  </si>
  <si>
    <t>const SHEET_RATES     = 'Курсы ЦБ';</t>
  </si>
  <si>
    <t>const CELL_RATE       = 'J8';   // курс EUR/RUB</t>
  </si>
  <si>
    <t>const CELL_PRODUCT    = 'B8';   // селектор продукта</t>
  </si>
  <si>
    <t>const CELL_LOSS_PCT   = 'M11';  // глобальные потери, %</t>
  </si>
  <si>
    <t>const RANGES_TO_RESET_CALC   = ['G17:G36', 'M17:M36', 'G8', 'M11'];</t>
  </si>
  <si>
    <t>const RANGES_TO_RESET_CALC_X = ['D17:D36', 'G17:G36', 'M17:M36', 'G8', 'M11'];</t>
  </si>
  <si>
    <t>const RANGE_RESET_RAW_CALC   = ['B8:C27'];</t>
  </si>
  <si>
    <t>// ===== Источники курсов =====================================================</t>
  </si>
  <si>
    <t>// 1. Официальный ЦБ РФ (XML) — самый стабильный</t>
  </si>
  <si>
    <t>const CBR_OFFICIAL      = 'https://www.cbr.ru/scripts/XML_daily.asp';</t>
  </si>
  <si>
    <t>// 2. Зеркало cbr-xml-daily.ru — JSON</t>
  </si>
  <si>
    <t>const CBR_MIRROR_RU     = 'https://www.cbr-xml-daily.ru/daily_json.js';</t>
  </si>
  <si>
    <t>const CBR_MIRROR_RU_ARC = 'https://www.cbr-xml-daily.ru/archive/';</t>
  </si>
  <si>
    <t>// 3. Зеркало cbr-xml-daily.com — JSON (если .ru недоступен)</t>
  </si>
  <si>
    <t>const CBR_MIRROR_COM    = 'https://www.cbr-xml-daily.com/daily_json.js';</t>
  </si>
  <si>
    <t>// ============================================================</t>
  </si>
  <si>
    <t>// МЕНЮ + ОТКРЫТИЕ</t>
  </si>
  <si>
    <t>function onOpen() {</t>
  </si>
  <si>
    <t xml:space="preserve">  const ui = SpreadsheetApp.getUi();</t>
  </si>
  <si>
    <t xml:space="preserve">  ui.createMenu('🛠 NEV')</t>
  </si>
  <si>
    <t xml:space="preserve">    .addItem('💱 Обновить курсы ЦБ (сегодня)', 'updateRatesToday')</t>
  </si>
  <si>
    <t xml:space="preserve">    .addItem('📅 Загрузить курсы за период…',  'updateRatesRange')</t>
  </si>
  <si>
    <t xml:space="preserve">    .addSeparator()</t>
  </si>
  <si>
    <t xml:space="preserve">    .addItem('🧹 Сбросить Калькулятор',        'resetCalc')</t>
  </si>
  <si>
    <t xml:space="preserve">    .addItem('🧹 Сбросить Калькулятор X',      'resetCalcX')</t>
  </si>
  <si>
    <t xml:space="preserve">    .addItem('🧹 Сбросить заявку (Расчёт сырья)', 'resetRawCalc')</t>
  </si>
  <si>
    <t xml:space="preserve">    .addItem('🔍 Диагностика источников курсов', 'diagnoseRateSources')</t>
  </si>
  <si>
    <t xml:space="preserve">    .addItem('ℹ️ О надстройке',                 'showAbout')</t>
  </si>
  <si>
    <t xml:space="preserve">    .addToUi();</t>
  </si>
  <si>
    <t xml:space="preserve">  try {</t>
  </si>
  <si>
    <t xml:space="preserve">    autoUpdateRatesIfStale();</t>
  </si>
  <si>
    <t xml:space="preserve">  } catch (e) {</t>
  </si>
  <si>
    <t xml:space="preserve">    console.error('Auto rate update failed: ' + e.message);</t>
  </si>
  <si>
    <t xml:space="preserve">  }</t>
  </si>
  <si>
    <t>}</t>
  </si>
  <si>
    <t>function autoUpdateRatesIfStale() {</t>
  </si>
  <si>
    <t xml:space="preserve">  const sh = SpreadsheetApp.getActiveSpreadsheet().getSheetByName(SHEET_RATES);</t>
  </si>
  <si>
    <t xml:space="preserve">  if (!sh) return;</t>
  </si>
  <si>
    <t xml:space="preserve">  const lastRow = sh.getLastRow();</t>
  </si>
  <si>
    <t xml:space="preserve">  if (lastRow &lt; 7) {</t>
  </si>
  <si>
    <t xml:space="preserve">    const rates = fetchRatesForDate(null);</t>
  </si>
  <si>
    <t xml:space="preserve">    if (rates) writeRatesRow(rates);</t>
  </si>
  <si>
    <t xml:space="preserve">    return;</t>
  </si>
  <si>
    <t xml:space="preserve">  const lastDate = sh.getRange(lastRow, 2).getValue();</t>
  </si>
  <si>
    <t xml:space="preserve">  if (!(lastDate instanceof Date)) return;</t>
  </si>
  <si>
    <t xml:space="preserve">  const today = new Date();</t>
  </si>
  <si>
    <t xml:space="preserve">  today.setHours(0, 0, 0, 0);</t>
  </si>
  <si>
    <t xml:space="preserve">  const last = new Date(lastDate);</t>
  </si>
  <si>
    <t xml:space="preserve">  last.setHours(0, 0, 0, 0);</t>
  </si>
  <si>
    <t xml:space="preserve">  if ((today - last) / 86400000 &gt;= 1) {</t>
  </si>
  <si>
    <t xml:space="preserve">    if (rates) {</t>
  </si>
  <si>
    <t xml:space="preserve">      writeRatesRow(rates);</t>
  </si>
  <si>
    <t xml:space="preserve">      sortRatesByDate();</t>
  </si>
  <si>
    <t xml:space="preserve">    }</t>
  </si>
  <si>
    <t>// КУРСЫ ЦБ — основной источник: официальный XML</t>
  </si>
  <si>
    <t xml:space="preserve"> * Возвращает {date: 'YYYY-MM-DD', EUR, USD, CNY} или null.</t>
  </si>
  <si>
    <t xml:space="preserve"> * Сначала пытается ЦБ официальный, затем зеркала.</t>
  </si>
  <si>
    <t xml:space="preserve"> * dateObj === null → последняя доступная дата (сегодня).</t>
  </si>
  <si>
    <t>function fetchRatesForDate(dateObj) {</t>
  </si>
  <si>
    <t xml:space="preserve">  // ----- 1. Официальный ЦБ РФ -----</t>
  </si>
  <si>
    <t xml:space="preserve">    const r = fetchFromCbrOfficial(dateObj);</t>
  </si>
  <si>
    <t xml:space="preserve">    if (r) return r;</t>
  </si>
  <si>
    <t xml:space="preserve">    console.error('CBR official error: ' + e.message);</t>
  </si>
  <si>
    <t xml:space="preserve">  // ----- 2. cbr-xml-daily.ru -----</t>
  </si>
  <si>
    <t xml:space="preserve">    const r = fetchFromCbrMirror(dateObj, CBR_MIRROR_RU, CBR_MIRROR_RU_ARC);</t>
  </si>
  <si>
    <t xml:space="preserve">    console.error('CBR mirror .ru error: ' + e.message);</t>
  </si>
  <si>
    <t xml:space="preserve">  // ----- 3. cbr-xml-daily.com -----</t>
  </si>
  <si>
    <t xml:space="preserve">    const r = fetchFromCbrMirror(dateObj, CBR_MIRROR_COM, null);</t>
  </si>
  <si>
    <t xml:space="preserve">    console.error('CBR mirror .com error: ' + e.message);</t>
  </si>
  <si>
    <t xml:space="preserve">  return null;</t>
  </si>
  <si>
    <t>function fetchFromCbrOfficial(dateObj) {</t>
  </si>
  <si>
    <t xml:space="preserve">  let url = CBR_OFFICIAL;</t>
  </si>
  <si>
    <t xml:space="preserve">  if (dateObj) {</t>
  </si>
  <si>
    <t xml:space="preserve">    const dd   = String(dateObj.getDate()).padStart(2, '0');</t>
  </si>
  <si>
    <t xml:space="preserve">    const mm   = String(dateObj.getMonth() + 1).padStart(2, '0');</t>
  </si>
  <si>
    <t xml:space="preserve">    const yyyy = dateObj.getFullYear();</t>
  </si>
  <si>
    <t xml:space="preserve">    url += '?date_req=' + dd + '/' + mm + '/' + yyyy;</t>
  </si>
  <si>
    <t xml:space="preserve">  const opts = {</t>
  </si>
  <si>
    <t xml:space="preserve">    muteHttpExceptions: true,</t>
  </si>
  <si>
    <t xml:space="preserve">    followRedirects:    true,</t>
  </si>
  <si>
    <t xml:space="preserve">    validateHttpsCertificates: true,</t>
  </si>
  <si>
    <t xml:space="preserve">  };</t>
  </si>
  <si>
    <t xml:space="preserve">  const response = UrlFetchApp.fetch(url, opts);</t>
  </si>
  <si>
    <t xml:space="preserve">  const code = response.getResponseCode();</t>
  </si>
  <si>
    <t xml:space="preserve">  if (code !== 200) {</t>
  </si>
  <si>
    <t xml:space="preserve">    console.warn('CBR official HTTP ' + code);</t>
  </si>
  <si>
    <t xml:space="preserve">    return null;</t>
  </si>
  <si>
    <t xml:space="preserve">  // Ответ — XML в windows-1251 (latin1 в Apps Script). Используем getBlob с charset.</t>
  </si>
  <si>
    <t xml:space="preserve">  let text;</t>
  </si>
  <si>
    <t xml:space="preserve">    text = response.getContentText('windows-1251');</t>
  </si>
  <si>
    <t xml:space="preserve">    // Если windows-1251 не поддержан — оставим как есть</t>
  </si>
  <si>
    <t xml:space="preserve">    text = response.getContentText();</t>
  </si>
  <si>
    <t xml:space="preserve">  // Дата из атрибута: &lt;ValCurs Date="01.06.2026" ...&gt;</t>
  </si>
  <si>
    <t xml:space="preserve">  const dateMatch = text.match(/Date="(\d{2})\.(\d{2})\.(\d{4})"/);</t>
  </si>
  <si>
    <t xml:space="preserve">  if (!dateMatch) return null;</t>
  </si>
  <si>
    <t xml:space="preserve">  const iso = dateMatch[3] + '-' + dateMatch[2] + '-' + dateMatch[1];</t>
  </si>
  <si>
    <t xml:space="preserve">  const eur = extractCbrValue(text, 'EUR');</t>
  </si>
  <si>
    <t xml:space="preserve">  const usd = extractCbrValue(text, 'USD');</t>
  </si>
  <si>
    <t xml:space="preserve">  const cny = extractCbrValue(text, 'CNY');</t>
  </si>
  <si>
    <t xml:space="preserve">  if (eur == null || usd == null) return null;   // CNY может отсутствовать</t>
  </si>
  <si>
    <t xml:space="preserve">  return { date: iso, EUR: eur, USD: usd, CNY: cny != null ? cny : 0 };</t>
  </si>
  <si>
    <t>/** Извлекает курс по CharCode (с учётом Nominal). */</t>
  </si>
  <si>
    <t>function extractCbrValue(xmlText, code) {</t>
  </si>
  <si>
    <t xml:space="preserve">  // Найдём блок &lt;Valute ...&gt;...&lt;CharCode&gt;EUR&lt;/CharCode&gt;...&lt;/Valute&gt;</t>
  </si>
  <si>
    <t xml:space="preserve">  const reBlock = new RegExp(</t>
  </si>
  <si>
    <t xml:space="preserve">    '&lt;Valute[^&gt;]*&gt;[\\s\\S]*?&lt;CharCode&gt;' + code + '&lt;/CharCode&gt;[\\s\\S]*?&lt;/Valute&gt;',</t>
  </si>
  <si>
    <t xml:space="preserve">    'i'</t>
  </si>
  <si>
    <t xml:space="preserve">  );</t>
  </si>
  <si>
    <t xml:space="preserve">  const block = xmlText.match(reBlock);</t>
  </si>
  <si>
    <t xml:space="preserve">  if (!block) return null;</t>
  </si>
  <si>
    <t xml:space="preserve">  const nomMatch = block[0].match(/&lt;Nominal&gt;(\d+)&lt;\/Nominal&gt;/);</t>
  </si>
  <si>
    <t xml:space="preserve">  const valMatch = block[0].match(/&lt;Value&gt;([0-9,\.]+)&lt;\/Value&gt;/);</t>
  </si>
  <si>
    <t xml:space="preserve">  if (!valMatch) return null;</t>
  </si>
  <si>
    <t xml:space="preserve">  const nominal = nomMatch ? parseInt(nomMatch[1], 10) : 1;</t>
  </si>
  <si>
    <t xml:space="preserve">  // ЦБ использует запятую как десятичный разделитель</t>
  </si>
  <si>
    <t xml:space="preserve">  const value = parseFloat(valMatch[1].replace(',', '.'));</t>
  </si>
  <si>
    <t xml:space="preserve">  if (!isFinite(value) || value &lt;= 0 || nominal &lt;= 0) return null;</t>
  </si>
  <si>
    <t xml:space="preserve">  return value / nominal;</t>
  </si>
  <si>
    <t>function fetchFromCbrMirror(dateObj, mainUrl, archiveBase) {</t>
  </si>
  <si>
    <t xml:space="preserve">  let url;</t>
  </si>
  <si>
    <t xml:space="preserve">  if (!dateObj) {</t>
  </si>
  <si>
    <t xml:space="preserve">    url = mainUrl;</t>
  </si>
  <si>
    <t xml:space="preserve">  } else if (archiveBase) {</t>
  </si>
  <si>
    <t xml:space="preserve">    const mm = String(dateObj.getMonth() + 1).padStart(2, '0');</t>
  </si>
  <si>
    <t xml:space="preserve">    const dd = String(dateObj.getDate()).padStart(2, '0');</t>
  </si>
  <si>
    <t xml:space="preserve">    url = archiveBase + yyyy + '/' + mm + '/' + dd + '/daily_json.js';</t>
  </si>
  <si>
    <t xml:space="preserve">  } else {</t>
  </si>
  <si>
    <t xml:space="preserve">    return null;     // .com не имеет архива</t>
  </si>
  <si>
    <t xml:space="preserve">  const response = UrlFetchApp.fetch(url, { muteHttpExceptions: true });</t>
  </si>
  <si>
    <t xml:space="preserve">  if (response.getResponseCode() !== 200) return null;</t>
  </si>
  <si>
    <t xml:space="preserve">  const data = JSON.parse(response.getContentText());</t>
  </si>
  <si>
    <t xml:space="preserve">  return {</t>
  </si>
  <si>
    <t xml:space="preserve">    date: data.Date.split('T')[0],</t>
  </si>
  <si>
    <t xml:space="preserve">    EUR:  data.Valute.EUR.Value,</t>
  </si>
  <si>
    <t xml:space="preserve">    USD:  data.Valute.USD.Value,</t>
  </si>
  <si>
    <t xml:space="preserve">    CNY:  data.Valute.CNY ? data.Valute.CNY.Value : 0,</t>
  </si>
  <si>
    <t>// ЗАПИСЬ КУРСОВ</t>
  </si>
  <si>
    <t>function writeRatesRow(rates) {</t>
  </si>
  <si>
    <t xml:space="preserve">  const ss = SpreadsheetApp.getActiveSpreadsheet();</t>
  </si>
  <si>
    <t xml:space="preserve">  const sh = ss.getSheetByName(SHEET_RATES);</t>
  </si>
  <si>
    <t xml:space="preserve">  if (!sh) throw new Error('Лист «' + SHEET_RATES + '» не найден');</t>
  </si>
  <si>
    <t xml:space="preserve">  const dateObj = new Date(rates.date);</t>
  </si>
  <si>
    <t xml:space="preserve">  let targetRow = null;</t>
  </si>
  <si>
    <t xml:space="preserve">  if (lastRow &gt;= 7) {</t>
  </si>
  <si>
    <t xml:space="preserve">    const dates = sh.getRange(7, 2, lastRow - 6, 1).getValues();</t>
  </si>
  <si>
    <t xml:space="preserve">    for (let i = 0; i &lt; dates.length; i++) {</t>
  </si>
  <si>
    <t xml:space="preserve">      const d = dates[i][0];</t>
  </si>
  <si>
    <t xml:space="preserve">      if (d instanceof Date &amp;&amp; d.getTime() === dateObj.getTime()) {</t>
  </si>
  <si>
    <t xml:space="preserve">        targetRow = 7 + i;</t>
  </si>
  <si>
    <t xml:space="preserve">        break;</t>
  </si>
  <si>
    <t xml:space="preserve">      }</t>
  </si>
  <si>
    <t xml:space="preserve">  if (targetRow === null) targetRow = Math.max(lastRow + 1, 7);</t>
  </si>
  <si>
    <t xml:space="preserve">  sh.getRange(targetRow, 2).setValue(dateObj).setNumberFormat('DD.MM.YYYY');</t>
  </si>
  <si>
    <t xml:space="preserve">  sh.getRange(targetRow, 3).setValue(rates.EUR);</t>
  </si>
  <si>
    <t xml:space="preserve">  sh.getRange(targetRow, 4).setValue(rates.USD);</t>
  </si>
  <si>
    <t xml:space="preserve">  sh.getRange(targetRow, 5).setValue(rates.CNY);</t>
  </si>
  <si>
    <t xml:space="preserve">  sh.getRange(targetRow, 6).setFormula(</t>
  </si>
  <si>
    <t xml:space="preserve">    '=IF(D' + targetRow + '&gt;0,C' + targetRow + '/D' + targetRow + ',0)');</t>
  </si>
  <si>
    <t xml:space="preserve">  sh.getRange(targetRow, 7).setFormula(</t>
  </si>
  <si>
    <t xml:space="preserve">    '=IF(E' + targetRow + '&gt;0,C' + targetRow + '/E' + targetRow + ',0)');</t>
  </si>
  <si>
    <t xml:space="preserve">  sh.getRange(targetRow, 8).setValue('ЦБ РФ');</t>
  </si>
  <si>
    <t xml:space="preserve">  sh.getRange(targetRow, 3, 1, 3).setNumberFormat('0.0000');</t>
  </si>
  <si>
    <t xml:space="preserve">  sh.getRange(targetRow, 6, 1, 2).setNumberFormat('0.000000');</t>
  </si>
  <si>
    <t xml:space="preserve">  return targetRow;</t>
  </si>
  <si>
    <t>function sortRatesByDate() {</t>
  </si>
  <si>
    <t xml:space="preserve">  if (lastRow &lt; 8) return;</t>
  </si>
  <si>
    <t xml:space="preserve">  sh.getRange(7, 2, lastRow - 6, 7).sort({ column: 2, ascending: true });</t>
  </si>
  <si>
    <t>// ОБНОВЛЕНИЕ ИЗ МЕНЮ</t>
  </si>
  <si>
    <t>function updateRatesToday() {</t>
  </si>
  <si>
    <t xml:space="preserve">    if (!rates) {</t>
  </si>
  <si>
    <t xml:space="preserve">      ui.alert(</t>
  </si>
  <si>
    <t xml:space="preserve">        '❌ Не удалось получить курсы',</t>
  </si>
  <si>
    <t xml:space="preserve">        'Все источники недоступны. Запустите «🔍 Диагностика ' +</t>
  </si>
  <si>
    <t xml:space="preserve">        'источников курсов» из меню, чтобы увидеть, какой именно ' +</t>
  </si>
  <si>
    <t xml:space="preserve">        'источник не отвечает.',</t>
  </si>
  <si>
    <t xml:space="preserve">        ui.ButtonSet.OK</t>
  </si>
  <si>
    <t xml:space="preserve">      );</t>
  </si>
  <si>
    <t xml:space="preserve">      return;</t>
  </si>
  <si>
    <t xml:space="preserve">    writeRatesRow(rates);</t>
  </si>
  <si>
    <t xml:space="preserve">    sortRatesByDate();</t>
  </si>
  <si>
    <t xml:space="preserve">    ui.alert('✓ Курсы обновлены',</t>
  </si>
  <si>
    <t xml:space="preserve">             'Дата: ' + rates.date + '\n' +</t>
  </si>
  <si>
    <t xml:space="preserve">             'EUR/RUB: ' + rates.EUR.toFixed(4) + '\n' +</t>
  </si>
  <si>
    <t xml:space="preserve">             'USD/RUB: ' + rates.USD.toFixed(4) + '\n' +</t>
  </si>
  <si>
    <t xml:space="preserve">             'CNY/RUB: ' + (rates.CNY ? rates.CNY.toFixed(4) : 'нет'),</t>
  </si>
  <si>
    <t xml:space="preserve">             ui.ButtonSet.OK);</t>
  </si>
  <si>
    <t xml:space="preserve">    ui.alert('Ошибка', e.message, ui.ButtonSet.OK);</t>
  </si>
  <si>
    <t>function updateRatesRange() {</t>
  </si>
  <si>
    <t xml:space="preserve">  const startResp = ui.prompt('Загрузка курсов ЦБ',</t>
  </si>
  <si>
    <t xml:space="preserve">                              'Дата начала (ДД.ММ.ГГГГ):',</t>
  </si>
  <si>
    <t xml:space="preserve">                              ui.ButtonSet.OK_CANCEL);</t>
  </si>
  <si>
    <t xml:space="preserve">  if (startResp.getSelectedButton() !== ui.Button.OK) return;</t>
  </si>
  <si>
    <t xml:space="preserve">  const endResp = ui.prompt('Загрузка курсов ЦБ',</t>
  </si>
  <si>
    <t xml:space="preserve">                            'Дата окончания (ДД.ММ.ГГГГ):',</t>
  </si>
  <si>
    <t xml:space="preserve">                            ui.ButtonSet.OK_CANCEL);</t>
  </si>
  <si>
    <t xml:space="preserve">  if (endResp.getSelectedButton() !== ui.Button.OK) return;</t>
  </si>
  <si>
    <t xml:space="preserve">  const parseDate = function(s) {</t>
  </si>
  <si>
    <t xml:space="preserve">    const m = s.match(/^(\d{1,2})[.\/-](\d{1,2})[.\/-](\d{4})$/);</t>
  </si>
  <si>
    <t xml:space="preserve">    if (!m) return null;</t>
  </si>
  <si>
    <t xml:space="preserve">    return new Date(parseInt(m[3]), parseInt(m[2]) - 1, parseInt(m[1]));</t>
  </si>
  <si>
    <t xml:space="preserve">  const startDate = parseDate(startResp.getResponseText());</t>
  </si>
  <si>
    <t xml:space="preserve">  const endDate   = parseDate(endResp.getResponseText());</t>
  </si>
  <si>
    <t xml:space="preserve">  if (!startDate || !endDate) {</t>
  </si>
  <si>
    <t xml:space="preserve">    ui.alert('Ошибка', 'Неверный формат даты.', ui.ButtonSet.OK);</t>
  </si>
  <si>
    <t xml:space="preserve">  if (endDate &lt; startDate) {</t>
  </si>
  <si>
    <t xml:space="preserve">    ui.alert('Ошибка', 'Дата окончания раньше даты начала.', ui.ButtonSet.OK);</t>
  </si>
  <si>
    <t xml:space="preserve">  let loaded = 0, failed = 0;</t>
  </si>
  <si>
    <t xml:space="preserve">  const cur = new Date(startDate);</t>
  </si>
  <si>
    <t xml:space="preserve">  while (cur &lt;= endDate) {</t>
  </si>
  <si>
    <t xml:space="preserve">    const rates = fetchRatesForDate(cur);</t>
  </si>
  <si>
    <t xml:space="preserve">    if (rates) { writeRatesRow(rates); loaded++; } else { failed++; }</t>
  </si>
  <si>
    <t xml:space="preserve">    cur.setDate(cur.getDate() + 1);</t>
  </si>
  <si>
    <t xml:space="preserve">    Utilities.sleep(150);</t>
  </si>
  <si>
    <t xml:space="preserve">  sortRatesByDate();</t>
  </si>
  <si>
    <t xml:space="preserve">  ui.alert('Готово',</t>
  </si>
  <si>
    <t xml:space="preserve">           'Загружено: ' + loaded + '\nНе удалось: ' + failed,</t>
  </si>
  <si>
    <t xml:space="preserve">           ui.ButtonSet.OK);</t>
  </si>
  <si>
    <t>// ДИАГНОСТИКА — показывает, какой источник отвечает</t>
  </si>
  <si>
    <t>function diagnoseRateSources() {</t>
  </si>
  <si>
    <t xml:space="preserve">  const lines = [];</t>
  </si>
  <si>
    <t xml:space="preserve">  // Источник 1: официальный ЦБ</t>
  </si>
  <si>
    <t xml:space="preserve">    const t0 = new Date().getTime();</t>
  </si>
  <si>
    <t xml:space="preserve">    const r = fetchFromCbrOfficial(null);</t>
  </si>
  <si>
    <t xml:space="preserve">    const dt = new Date().getTime() - t0;</t>
  </si>
  <si>
    <t xml:space="preserve">    if (r) {</t>
  </si>
  <si>
    <t xml:space="preserve">      lines.push('✓ ЦБ РФ официальный (' + dt + ' мс): EUR=' +</t>
  </si>
  <si>
    <t xml:space="preserve">                 r.EUR.toFixed(4) + ', USD=' + r.USD.toFixed(4) +</t>
  </si>
  <si>
    <t xml:space="preserve">                 ', дата ' + r.date);</t>
  </si>
  <si>
    <t xml:space="preserve">    } else {</t>
  </si>
  <si>
    <t xml:space="preserve">      lines.push('✗ ЦБ РФ официальный: ответ пустой / не распарсился');</t>
  </si>
  <si>
    <t xml:space="preserve">    lines.push('✗ ЦБ РФ официальный: ' + e.message);</t>
  </si>
  <si>
    <t xml:space="preserve">  // Источник 2: cbr-xml-daily.ru</t>
  </si>
  <si>
    <t xml:space="preserve">    const r = fetchFromCbrMirror(null, CBR_MIRROR_RU, CBR_MIRROR_RU_ARC);</t>
  </si>
  <si>
    <t xml:space="preserve">      lines.push('✓ cbr-xml-daily.ru (' + dt + ' мс): EUR=' +</t>
  </si>
  <si>
    <t xml:space="preserve">      lines.push('✗ cbr-xml-daily.ru: ответ пустой');</t>
  </si>
  <si>
    <t xml:space="preserve">    lines.push('✗ cbr-xml-daily.ru: ' + e.message);</t>
  </si>
  <si>
    <t xml:space="preserve">  // Источник 3: cbr-xml-daily.com</t>
  </si>
  <si>
    <t xml:space="preserve">    const r = fetchFromCbrMirror(null, CBR_MIRROR_COM, null);</t>
  </si>
  <si>
    <t xml:space="preserve">      lines.push('✓ cbr-xml-daily.com (' + dt + ' мс): EUR=' +</t>
  </si>
  <si>
    <t xml:space="preserve">      lines.push('✗ cbr-xml-daily.com: ответ пустой');</t>
  </si>
  <si>
    <t xml:space="preserve">    lines.push('✗ cbr-xml-daily.com: ' + e.message);</t>
  </si>
  <si>
    <t xml:space="preserve">  ui.alert('Диагностика источников курсов', lines.join('\n\n'),</t>
  </si>
  <si>
    <t>// АВТО-СБРОС при смене продукта (onEdit)</t>
  </si>
  <si>
    <t>function onEdit(e) {</t>
  </si>
  <si>
    <t xml:space="preserve">  if (!e || !e.range) return;</t>
  </si>
  <si>
    <t xml:space="preserve">  const range = e.range;</t>
  </si>
  <si>
    <t xml:space="preserve">  const sheet = range.getSheet();</t>
  </si>
  <si>
    <t xml:space="preserve">  const sheetName = sheet.getName();</t>
  </si>
  <si>
    <t xml:space="preserve">  const a1 = range.getA1Notation();</t>
  </si>
  <si>
    <t xml:space="preserve">  if (sheetName === SHEET_CALC &amp;&amp; a1 === CELL_PRODUCT) {</t>
  </si>
  <si>
    <t xml:space="preserve">    clearRanges(sheet, RANGES_TO_RESET_CALC);</t>
  </si>
  <si>
    <t xml:space="preserve">  } else if (sheetName === SHEET_CALC_X &amp;&amp; a1 === CELL_PRODUCT) {</t>
  </si>
  <si>
    <t xml:space="preserve">    clearRanges(sheet, RANGES_TO_RESET_CALC_X);</t>
  </si>
  <si>
    <t>function clearRanges(sheet, ranges) {</t>
  </si>
  <si>
    <t xml:space="preserve">  for (const r of ranges) {</t>
  </si>
  <si>
    <t xml:space="preserve">    try {</t>
  </si>
  <si>
    <t xml:space="preserve">      const rg = sheet.getRange(r);</t>
  </si>
  <si>
    <t xml:space="preserve">      const formulas = rg.getFormulas();</t>
  </si>
  <si>
    <t xml:space="preserve">      rg.clearContent();</t>
  </si>
  <si>
    <t xml:space="preserve">      for (let i = 0; i &lt; formulas.length; i++) {</t>
  </si>
  <si>
    <t xml:space="preserve">        for (let j = 0; j &lt; formulas[i].length; j++) {</t>
  </si>
  <si>
    <t xml:space="preserve">          if (formulas[i][j] &amp;&amp; formulas[i][j] !== '') {</t>
  </si>
  <si>
    <t xml:space="preserve">            rg.getCell(i + 1, j + 1).setFormula(formulas[i][j]);</t>
  </si>
  <si>
    <t xml:space="preserve">          }</t>
  </si>
  <si>
    <t xml:space="preserve">        }</t>
  </si>
  <si>
    <t xml:space="preserve">    } catch (err) {</t>
  </si>
  <si>
    <t xml:space="preserve">      console.error('Cannot clear range ' + r + ': ' + err.message);</t>
  </si>
  <si>
    <t>function resetCalc() {</t>
  </si>
  <si>
    <t xml:space="preserve">  const sh = ss.getSheetByName(SHEET_CALC);</t>
  </si>
  <si>
    <t xml:space="preserve">  clearRanges(sh, RANGES_TO_RESET_CALC);</t>
  </si>
  <si>
    <t xml:space="preserve">  SpreadsheetApp.getUi().alert('✓ Калькулятор сброшен',</t>
  </si>
  <si>
    <t xml:space="preserve">    'Очищено: ручной % ввод, ручная цена €/кг, поиск по артикулу, потери %.',</t>
  </si>
  <si>
    <t xml:space="preserve">    SpreadsheetApp.getUi().ButtonSet.OK);</t>
  </si>
  <si>
    <t>function resetCalcX() {</t>
  </si>
  <si>
    <t xml:space="preserve">  const sh = ss.getSheetByName(SHEET_CALC_X);</t>
  </si>
  <si>
    <t xml:space="preserve">  clearRanges(sh, RANGES_TO_RESET_CALC_X);</t>
  </si>
  <si>
    <t xml:space="preserve">  SpreadsheetApp.getUi().alert('✓ Калькулятор X сброшен',</t>
  </si>
  <si>
    <t xml:space="preserve">    'Очищено: компоненты, ручной %, ручная цена €/кг, поиск по артикулу, потери %.',</t>
  </si>
  <si>
    <t>function resetRawCalc() {</t>
  </si>
  <si>
    <t xml:space="preserve">  const sh = ss.getSheetByName(SHEET_RAW_CALC);</t>
  </si>
  <si>
    <t xml:space="preserve">  clearRanges(sh, RANGE_RESET_RAW_CALC);</t>
  </si>
  <si>
    <t xml:space="preserve">  SpreadsheetApp.getUi().alert('✓ Расчёт сырья сброшен',</t>
  </si>
  <si>
    <t xml:space="preserve">    'Заявка очищена.',</t>
  </si>
  <si>
    <t>function showAbout() {</t>
  </si>
  <si>
    <t xml:space="preserve">  ui.alert('Калькулятор себестоимости NEV — v9',</t>
  </si>
  <si>
    <t xml:space="preserve">           'Новое в v7 скрипта:\n' +</t>
  </si>
  <si>
    <t xml:space="preserve">           '• Основной источник курсов — официальный XML API ЦБ РФ\n' +</t>
  </si>
  <si>
    <t xml:space="preserve">           '• Fallback: cbr-xml-daily.ru → cbr-xml-daily.com\n' +</t>
  </si>
  <si>
    <t xml:space="preserve">           '• Меню «🔍 Диагностика источников курсов» — покажет, ' +</t>
  </si>
  <si>
    <t xml:space="preserve">           'какой источник отвечает\n\n' +</t>
  </si>
  <si>
    <t xml:space="preserve">           'Из v6:\n' +</t>
  </si>
  <si>
    <t xml:space="preserve">           '• Ячейка M11 — глобальные потери, % (ручной ввод)\n' +</t>
  </si>
  <si>
    <t xml:space="preserve">           '• Автосброс M11 при смене продукта',</t>
  </si>
  <si>
    <t>⚠️  ДАШБОРД КАЧЕСТВА ДАННЫХ</t>
  </si>
  <si>
    <t>Список того, что требует внимания. Обновляется автоматически.</t>
  </si>
  <si>
    <t>📊  СВОДКА</t>
  </si>
  <si>
    <t>Сырья без цены:</t>
  </si>
  <si>
    <t>Продуктов с Σ% &gt; 100%:</t>
  </si>
  <si>
    <t>Продуктов с Σ% &lt; 99%:</t>
  </si>
  <si>
    <t>Полупродуктов без рецептуры:</t>
  </si>
  <si>
    <t>🔴  1. СЫРЬЁ БЕЗ ЦЕНЫ — без этих цен себестоимость считается некорректно</t>
  </si>
  <si>
    <t>№</t>
  </si>
  <si>
    <t>Наименование</t>
  </si>
  <si>
    <t>Тип</t>
  </si>
  <si>
    <t>Поставщик</t>
  </si>
  <si>
    <t>Артикул</t>
  </si>
  <si>
    <t>🟡  2. ПРОДУКТЫ С Σ% НЕ РАВНОЙ 100% — проверьте рецептуру</t>
  </si>
  <si>
    <t>Продукт</t>
  </si>
  <si>
    <t>Σ %</t>
  </si>
  <si>
    <t>Отклонение</t>
  </si>
  <si>
    <t>Тип ошибки</t>
  </si>
  <si>
    <t>Дисперсия воска YL-904,</t>
  </si>
  <si>
    <t>Σ &lt; 100%</t>
  </si>
  <si>
    <t>Краска NSF/UNI Yellov (PY13) TR ГУ</t>
  </si>
  <si>
    <t>Краска NSF/UNI Black (PBl 7)  TR ГУ</t>
  </si>
  <si>
    <t>Краска NSF/UNI Cyan Blue (PB 15:3) TR VER 1.3</t>
  </si>
  <si>
    <t>INK Orange (PO 34) LAM</t>
  </si>
  <si>
    <t>NSF/PC Magenta (PR 57:1) ГОТЭК</t>
  </si>
  <si>
    <t>Σ &gt; 100%</t>
  </si>
  <si>
    <t>🟠  3. ПОЛУПРОДУКТЫ БЕЗ РЕЦЕПТУРЫ — добавьте состав в лист «Рецептуры»</t>
  </si>
  <si>
    <t>Полупродукт (нужна рецептура)</t>
  </si>
  <si>
    <t>Где числится</t>
  </si>
  <si>
    <t>Extender 35 АФ</t>
  </si>
  <si>
    <t>Сырьё (помечено)</t>
  </si>
  <si>
    <t>Extender A81</t>
  </si>
  <si>
    <t>Extender B-20</t>
  </si>
  <si>
    <t>Extender FX IPA</t>
  </si>
  <si>
    <t>Extender Neocryl Resin</t>
  </si>
  <si>
    <t>Extender TRIPOL 16</t>
  </si>
  <si>
    <t>Technical Extender B-20</t>
  </si>
  <si>
    <t>Technical Extender Normal 35 К</t>
  </si>
  <si>
    <t>Technical Extender Normal L-K</t>
  </si>
  <si>
    <t>Technical Extender SURF ROTO</t>
  </si>
  <si>
    <t>Technical Extender UNI ЭЦ</t>
  </si>
  <si>
    <t>Technical extender AL_RESIST</t>
  </si>
  <si>
    <t>ЛАК НЦ -0711</t>
  </si>
  <si>
    <t>ЛАК НЦ 35 ROTO</t>
  </si>
  <si>
    <t>Лак LAM Extender растровый</t>
  </si>
  <si>
    <t>Лак OPV AL-RESIST</t>
  </si>
  <si>
    <t>Лак Overprint Varnish AL-RESIST</t>
  </si>
  <si>
    <t>Лак Overprint Varnish MATT (0)</t>
  </si>
  <si>
    <t>Лак Overprint Varnish MATT (6633)</t>
  </si>
  <si>
    <t>Лак Overprint Varnish MATT (7020)</t>
  </si>
  <si>
    <t>Лак Overprint Varnish MATT (H agent)</t>
  </si>
  <si>
    <t>Лак Overprint varnish 1K MATT</t>
  </si>
  <si>
    <t>Лак Overprint varnish 2K MATT LACQUER PAPER TOUCH (20мкм)</t>
  </si>
  <si>
    <t>Лак Overprint varnish 2K MATT LACQUER PAPER TOUCH (30)</t>
  </si>
  <si>
    <t>Лак НЦ-116 (БИНА)</t>
  </si>
  <si>
    <t>Лак НЦ-30 (Партнер)</t>
  </si>
  <si>
    <t>Лак покрывной</t>
  </si>
  <si>
    <t>Лак покрывной(холодный клей)</t>
  </si>
  <si>
    <t>Паста NSF/HL LAM PASTE Black  (PBk 7) 3800G</t>
  </si>
  <si>
    <t>Паста NSF/HL LAM PASTE Magenta (PR 57:1)</t>
  </si>
  <si>
    <t>Паста NSF/HL LAM PASTE Yellow (PY 13)</t>
  </si>
  <si>
    <t>Паста NSF/HL LAM Paste Cyan Blue (PB 15:3)</t>
  </si>
  <si>
    <t>Паста NSF/HL LAM White (PW 6) 2042</t>
  </si>
  <si>
    <t>Паста NSF/HL PASTE Black  (PBk 7) 406</t>
  </si>
  <si>
    <t>Паста NSF/LAM White (PW 6) 2042</t>
  </si>
  <si>
    <t>Паста NSF/LAM White (PW 6) 5835</t>
  </si>
  <si>
    <t>Паста NSF/PASTE Green (PG 7)  Г.Д.К.</t>
  </si>
  <si>
    <t>Паста NSF/PASTE Magenta (PR 254) Г.Д.К.</t>
  </si>
  <si>
    <t>Паста NSF/PASTE Magenta (PR 57:1) MT ЭЦ S</t>
  </si>
  <si>
    <t>Паста NSF/PASTE Magenta (PR 57:1) PV</t>
  </si>
  <si>
    <t>Паста NSF/PASTE Violet (PV 3) ТАЯ</t>
  </si>
  <si>
    <t>Паста NSF/PASTE White (PW 6) B-20</t>
  </si>
  <si>
    <t>Паста NSF/PASTE White (PW 6) ROTOGRAV</t>
  </si>
  <si>
    <t>Паста NSF/PASTE Yellow (PY  83) Г.Д.К.</t>
  </si>
  <si>
    <t>Паста NSF/PASTE Yellow (PY 13)  PV</t>
  </si>
  <si>
    <t>Паста NSF/PASTE Yellow (PY 74) Г.Д.К.</t>
  </si>
  <si>
    <t>Паста NSF/PC HL LAM PASTE Violet (PV23)</t>
  </si>
  <si>
    <t>Паста NSF/PC Magenta (PR 146) Г.Д.К.</t>
  </si>
  <si>
    <t>Паста NSF/PC Rhodamine Red (PR 122) Г.Д.К.</t>
  </si>
  <si>
    <t>Паста NSF/Paste Black (Pbk 7) PV</t>
  </si>
  <si>
    <t>Паста NSF/Paste Black (Pbk 7) КП 80 РАСТ</t>
  </si>
  <si>
    <t>Паста NSF/Paste Cyan Blue (PB 15:3) P.V.</t>
  </si>
  <si>
    <t>Паста NSF/Paste Warm Red (PR 53:1)</t>
  </si>
  <si>
    <t>Паста PC/HL LAM PANTONE GREEN</t>
  </si>
  <si>
    <t>покрывной лак</t>
  </si>
  <si>
    <t>покрывной лак (OVERPRINT VARNISH )</t>
  </si>
  <si>
    <t>💡  Используйте эту страницу как чек-лист. После заполнения цен в листе «Сырьё», строки в блоке 1 автоматически станут зачёркнутыми и зелёными. Для блока 2 — откройте лист «Рецептуры» и проверьте суммы. Блок 3 — добавьте рецептуры в лист «Рецептуры».</t>
  </si>
  <si>
    <t>КАЛЬКУЛЯТОР СЕБЕСТОИМОСТИ</t>
  </si>
  <si>
    <t>Многоуровневая рецептура · €/кг и ₽/кг · с НДС и без НДС</t>
  </si>
  <si>
    <t>📦   ПРОДУКТ</t>
  </si>
  <si>
    <t>🔖  АРТИКУЛ</t>
  </si>
  <si>
    <t>🔎  ПОИСК ПО АРТИКУЛУ</t>
  </si>
  <si>
    <t>💱   КУРС EUR / ₽</t>
  </si>
  <si>
    <t>Black (PBl 7) / RASTR</t>
  </si>
  <si>
    <t>💼   МИНИ-КАЛЬКУЛЯТОР · ЦЕНА КЛИЕНТУ</t>
  </si>
  <si>
    <t>нажмите ▼ — выбор из списка</t>
  </si>
  <si>
    <t>автоматически по B8</t>
  </si>
  <si>
    <t>ввод →</t>
  </si>
  <si>
    <t>↑ скопируйте имя в B8</t>
  </si>
  <si>
    <t>авто из «Курсы ЦБ» (можно перезаписать)</t>
  </si>
  <si>
    <t xml:space="preserve">   ИТОГОВАЯ СЕБЕСТОИМОСТЬ  ·  1 КГ ГП</t>
  </si>
  <si>
    <t>🔻 ПОТЕРИ</t>
  </si>
  <si>
    <t>€/кг без НДС</t>
  </si>
  <si>
    <t>€/кг с НДС</t>
  </si>
  <si>
    <t>₽/кг без НДС</t>
  </si>
  <si>
    <t>₽/кг с НДС</t>
  </si>
  <si>
    <t>ручной ввод, %</t>
  </si>
  <si>
    <t>🔍  Раскрыть полупродукт — введите № строки:</t>
  </si>
  <si>
    <t>(0 = основной продукт)</t>
  </si>
  <si>
    <t>Рецептура</t>
  </si>
  <si>
    <t>Σ %:</t>
  </si>
  <si>
    <t>Компонент</t>
  </si>
  <si>
    <t>Раздел</t>
  </si>
  <si>
    <t>Ед.</t>
  </si>
  <si>
    <t>% ввод
ручной</t>
  </si>
  <si>
    <t>% факт
100%</t>
  </si>
  <si>
    <t>Кол-во
на 1 кг</t>
  </si>
  <si>
    <t>Цена €/кг
база</t>
  </si>
  <si>
    <t>€/кг
без НДС</t>
  </si>
  <si>
    <t>₽/кг
без НДС</t>
  </si>
  <si>
    <t>Пред. цена
€/кг без НДС</t>
  </si>
  <si>
    <t>Статья</t>
  </si>
  <si>
    <t>€/кг
с НДС</t>
  </si>
  <si>
    <t>₽/кг
с НДС</t>
  </si>
  <si>
    <t>Себестоимость</t>
  </si>
  <si>
    <t>Доставка на 1 кг</t>
  </si>
  <si>
    <t>GM2</t>
  </si>
  <si>
    <t>КВ</t>
  </si>
  <si>
    <t>Прочие расходы</t>
  </si>
  <si>
    <t>Полная стоимость</t>
  </si>
  <si>
    <t>Наценка, %</t>
  </si>
  <si>
    <t>Наценка, €</t>
  </si>
  <si>
    <t>ЦЕНА  ДЛЯ  КЛИЕНТА</t>
  </si>
  <si>
    <t>с НДС</t>
  </si>
  <si>
    <t>без НДС</t>
  </si>
  <si>
    <t>Σ ИТОГО</t>
  </si>
  <si>
    <t>% массы</t>
  </si>
  <si>
    <t>Σ</t>
  </si>
  <si>
    <t>💡  Розовые строки = полупродукты, зелёные = тара (📦). G (потери) — авто из «Потери», N (пред. цена €/кг) — ручной ввод подменяет K. K8 (курс) — авто из «Курсы ЦБ», можно перезаписать. Σ% (L15): 🟢 ≈100%, 🔴 &gt;100%. См. лист «⚠️ Что заполнить» для проблем с данными.</t>
  </si>
  <si>
    <t>КАЛЬКУЛЯТОР X · НОВЫЕ ПРОДУКТЫ</t>
  </si>
  <si>
    <t>Произвольный состав · компоненты и проценты вводятся вручную</t>
  </si>
  <si>
    <t>INK Magenta (PR 57:1) гу</t>
  </si>
  <si>
    <t>состав вводится вручную ниже</t>
  </si>
  <si>
    <t>💡  Заполните название компонента и % в строках ниже. Можно использовать имена с листа «Сырьё» или вводить свои.</t>
  </si>
  <si>
    <t>Рецептура (ручной ввод)</t>
  </si>
  <si>
    <t>💡  Калькулятор X — новые продукты. B8: выбрать из списка или ввести своё. N — пред. цена €/кг (ручной ввод). K8 — авто из «Курсы ЦБ». Σ% (L15) контролируется.</t>
  </si>
  <si>
    <t>📋  Расчёт сырья для планирования закупок</t>
  </si>
  <si>
    <t>Введите продукты заявки в таблицу ниже (B7:B26) и количество в кг (C7:C26). В сводке справа автоматически рассчитается сырьё для закупки (полупродукты раскрываются до базового сырья).</t>
  </si>
  <si>
    <t>📦 ЗАЯВКА КЛИЕНТА (ввод)</t>
  </si>
  <si>
    <t>🛒 СВОДКА: СЫРЬЁ К ЗАКУПКЕ (авто, с потерями 3%)</t>
  </si>
  <si>
    <t>Кол-во, кг</t>
  </si>
  <si>
    <t>€/кг б.НДС</t>
  </si>
  <si>
    <t>Сумма, €</t>
  </si>
  <si>
    <t>Кол-во</t>
  </si>
  <si>
    <t>Цена €/ед.</t>
  </si>
  <si>
    <t>Сумма €</t>
  </si>
  <si>
    <t>NSF/PC Cyan Blue (PB 15:3)</t>
  </si>
  <si>
    <t>📦  ТАРА (упаковка)</t>
  </si>
  <si>
    <t>Краска NSF/UNI Magenta (PR 57:1) TR  VER 1.3</t>
  </si>
  <si>
    <t>Бочка стальная 210 л.</t>
  </si>
  <si>
    <t>Orange (PO 34)</t>
  </si>
  <si>
    <t>Ведро 25 л.</t>
  </si>
  <si>
    <t>Warm Red (PR 53:1)</t>
  </si>
  <si>
    <t xml:space="preserve">   Итого тары:</t>
  </si>
  <si>
    <t>Краска NSF/uni White (PW 6) AF35</t>
  </si>
  <si>
    <t>Краска NSF/UNI Yellow (PY 13) TR VER 1.3</t>
  </si>
  <si>
    <t>⚗️  СЫРЬЁ (химия)</t>
  </si>
  <si>
    <t>ASTRA11305</t>
  </si>
  <si>
    <t>Краска NSF/LAM Cyan Blue (PB 15:3)</t>
  </si>
  <si>
    <t>ASTRA11306</t>
  </si>
  <si>
    <t>Лак LAM Extender плашка,</t>
  </si>
  <si>
    <t>DOA Plasticiser</t>
  </si>
  <si>
    <t>Dromide 957</t>
  </si>
  <si>
    <t>Ink Rhodamone Red (PR 169)</t>
  </si>
  <si>
    <t>Kaolin К-Brite HK 158</t>
  </si>
  <si>
    <t>Краска NSF/LAM White (PW 6)</t>
  </si>
  <si>
    <t>LIDA DSS 20000R</t>
  </si>
  <si>
    <t>INK Violet (PV 23)</t>
  </si>
  <si>
    <t>Laropal A- 81-К (GNG A-81 A)</t>
  </si>
  <si>
    <t>LuWax AF31</t>
  </si>
  <si>
    <t>Lubrizol Solsperse 12000</t>
  </si>
  <si>
    <t>Lubrizol Solsperse 20000</t>
  </si>
  <si>
    <t>Lubrizol Solsperse 22000</t>
  </si>
  <si>
    <t>Luvax wax AF-31</t>
  </si>
  <si>
    <t>NeoCryl B-819</t>
  </si>
  <si>
    <t>Neocrylic Resin B 819</t>
  </si>
  <si>
    <t>ИТОГО:</t>
  </si>
  <si>
    <t>Neocrylic Resin BM 619</t>
  </si>
  <si>
    <t>Nitrocellulose ( SS 30-35)</t>
  </si>
  <si>
    <t>Nitrocellulose L1\8 SEC(IPA)</t>
  </si>
  <si>
    <t>Pigment Black NuTone 310</t>
  </si>
  <si>
    <t>Pigment Black PBk 7 (PRINTEX 35)</t>
  </si>
  <si>
    <t>Pigment Black PС 406</t>
  </si>
  <si>
    <t>Pigment Cyan Blue PB 15:3</t>
  </si>
  <si>
    <t>Pigment Green PG 7 NC</t>
  </si>
  <si>
    <t>Pigment Magenta PR 57:1 от Химсвет</t>
  </si>
  <si>
    <t>Pigment Orange PO 34</t>
  </si>
  <si>
    <t>Pigment PW 6 White Белый R-996 (LOMON)</t>
  </si>
  <si>
    <t>Pigment RED (PR 254) ХС</t>
  </si>
  <si>
    <t>Pigment Red (PR 122) СИНТЕЗ ЦВЕТА</t>
  </si>
  <si>
    <t>Pigment Red 146 (FBB) (Формула успеха)</t>
  </si>
  <si>
    <t>Pigment Silver ROTOVARIO 530-944 / ADD-B01M</t>
  </si>
  <si>
    <t>Pigment Violet PV23</t>
  </si>
  <si>
    <t>Pigment Warm Red PR 53:1 ЕТС</t>
  </si>
  <si>
    <t>Pigment Yellow (PY 74)(синтез цвета)</t>
  </si>
  <si>
    <t>Pigment Yellow (PY 83)радиант</t>
  </si>
  <si>
    <t>Pigment Yellow PY 13 ЕТС</t>
  </si>
  <si>
    <t>Pigment Yellow PY 13 Пигмент органический Liperm BH-TXL (Радиант Кем.)</t>
  </si>
  <si>
    <t>RPC Additive</t>
  </si>
  <si>
    <t>RPC Additive 397</t>
  </si>
  <si>
    <t>TCA-IAM20 (аналог Титан АП 100/Титан АП 130 Д)</t>
  </si>
  <si>
    <t>Vinil resin (MVOH)</t>
  </si>
  <si>
    <t>Wax-Erucamide paste</t>
  </si>
  <si>
    <t>YL-904</t>
  </si>
  <si>
    <t>YL-904 (Восковая добавка для ОС)</t>
  </si>
  <si>
    <t>Диоксид кремния Fusil 200 (Радиант Кем.)</t>
  </si>
  <si>
    <t>Диоксид титана BR-3661</t>
  </si>
  <si>
    <t>Диоксид титана Kronos 2190</t>
  </si>
  <si>
    <t>Изопропанол</t>
  </si>
  <si>
    <t>Ковелос R902</t>
  </si>
  <si>
    <t>Матирующая добавка 412</t>
  </si>
  <si>
    <t>Метоксипропанол</t>
  </si>
  <si>
    <t>Н-пропанол</t>
  </si>
  <si>
    <t>Н-пропилацетат</t>
  </si>
  <si>
    <t>Нитроцеллюлоза LX 5/8 IPA WET</t>
  </si>
  <si>
    <t>Пигмент красный 169</t>
  </si>
  <si>
    <t>Полиуретан DROPACK 5260</t>
  </si>
  <si>
    <t>Полиуретан TEXAFLEX IV 509 LV</t>
  </si>
  <si>
    <t>Продукт X (произвольный состав)</t>
  </si>
  <si>
    <t>Флексольвент 5   (Изопропанол марки А)</t>
  </si>
  <si>
    <t>Фумаризованная канифоль Pinustack 750</t>
  </si>
  <si>
    <t>Эрукамид Finawax E</t>
  </si>
  <si>
    <t>Этилацетат</t>
  </si>
  <si>
    <t>Этилцеллозольв</t>
  </si>
  <si>
    <t xml:space="preserve">   Итого сырья:</t>
  </si>
  <si>
    <t>⚠️  ПОЛУПРОДУКТЫ БЕЗ РЕЦЕПТУРЫ — добавьте их состав или закупите как готовые</t>
  </si>
  <si>
    <t>💡  Как работать с листом: 
1) В левой таблице (B8:B27) выберите продукты из заявки клиента, в C8:C27 — количество в кг. Цена и сумма по заявке заполнятся автоматически. 2) В правой таблице — список ВСЕХ сырьевых позиций каталога. Жёлтым подсветится сырьё, которое нужно для выполнения заявки (с пересчётом через полупродукты), серым — невостребованное. 3) Расчёт включает потери и тару (ведра/бочки). Полупродукты НЕ показываются, т.к. они производятся внутри.</t>
  </si>
  <si>
    <t>💡  Введите заявку слева (B8:C27) — справа автоматически рассчитается сырьё. Развёртка использует ИСТИННОЕ СЫРЬЁ (1-й уровень закупки) с учётом 3% потерь. Полупродукты раскладываются до сырья по рецептурам. ⚠️ Полупродукты без рецептуры (внизу сводки) — для них нужно либо добавить рецептуру, либо закупить как готовые.</t>
  </si>
  <si>
    <t xml:space="preserve">   Итого полупр.:</t>
  </si>
  <si>
    <t>💰 ИТОГО к закупке:</t>
  </si>
  <si>
    <t>💡  Введите заявку слева (B8:C27) — справа автоматически рассчитается сырьё. Тара, химия и полупродукты без рецептуры — в отдельных секциях с подытогами. Жёлтым подсвечиваются строки, которые нужно закупить (J&gt;0).</t>
  </si>
  <si>
    <t>📦  Каталог продуктов</t>
  </si>
  <si>
    <t>110 ГП + 50 полупродуктов</t>
  </si>
  <si>
    <t>Клиент</t>
  </si>
  <si>
    <t>LAM</t>
  </si>
  <si>
    <t>Black (PBl 7) / PV</t>
  </si>
  <si>
    <t>ГП</t>
  </si>
  <si>
    <t>АФ</t>
  </si>
  <si>
    <t>EXTENDER 35 AF</t>
  </si>
  <si>
    <t>EXTENDER Neocrylic Resin BM 819</t>
  </si>
  <si>
    <t>Green (PG 7)</t>
  </si>
  <si>
    <t>светостойкие PC+краски</t>
  </si>
  <si>
    <t>INK Black (Pbk 7) КП 80</t>
  </si>
  <si>
    <t>ГУ</t>
  </si>
  <si>
    <t>INK Black (Pbk 7) КП 80 SURF</t>
  </si>
  <si>
    <t>INK Black (PBl 7)</t>
  </si>
  <si>
    <t>INK Cyan Blue (PB 15:3)</t>
  </si>
  <si>
    <t>INK Cyan Blue (PB 15:3) SURF</t>
  </si>
  <si>
    <t>INK Green (PG 7)</t>
  </si>
  <si>
    <t>INK Green (PG 7) LAM</t>
  </si>
  <si>
    <t>INK Magenta (146)</t>
  </si>
  <si>
    <t>INK Magenta (146)  ЭЦ</t>
  </si>
  <si>
    <t>INK Magenta (PR 57:1)</t>
  </si>
  <si>
    <t>INK Orange (PO 34)</t>
  </si>
  <si>
    <t>Ink Purple</t>
  </si>
  <si>
    <t>INK Red (PR 254)</t>
  </si>
  <si>
    <t>INK Reflex Blue</t>
  </si>
  <si>
    <t>INK Rhodamine Red (PR 122 )</t>
  </si>
  <si>
    <t>Ink Rhodamone Red (PR 122)</t>
  </si>
  <si>
    <t>INK Violet (PV 23) LAM</t>
  </si>
  <si>
    <t>INK Warm Red (PR 53:1)</t>
  </si>
  <si>
    <t>INK Yellow (PY 13)</t>
  </si>
  <si>
    <t>INK Yellow (PY 13) SURF</t>
  </si>
  <si>
    <t>INK Yellow (PY 74)</t>
  </si>
  <si>
    <t>INK Yellow (PY 83)</t>
  </si>
  <si>
    <t>поф</t>
  </si>
  <si>
    <t>NSF/ UNI Magenta (PR 57:1) ПОФ</t>
  </si>
  <si>
    <t>NSF/ALKALI RESISTANT Black (PBI 7)</t>
  </si>
  <si>
    <t>NSF/ALKALI RESISTANT Magenta (PR 57:1)</t>
  </si>
  <si>
    <t>NSF/ALKALI RESISTANT Yellow (PY 13)</t>
  </si>
  <si>
    <t>NSF/LAM  Magenta (146)</t>
  </si>
  <si>
    <t>NSF/LAM  Magenta (PR 146)</t>
  </si>
  <si>
    <t>NSF/LAM  Magenta (PR 57:1)</t>
  </si>
  <si>
    <t>NSF/LAM Black (PBI 7)</t>
  </si>
  <si>
    <t>NSF/LAM Yellow (PY 13)</t>
  </si>
  <si>
    <t>NSF/LAM Yellow (PY 74)</t>
  </si>
  <si>
    <t>NSF/LAM Yellow (PY 83)</t>
  </si>
  <si>
    <t>NSF/UNI  Yellow (PY 13) ПОФ</t>
  </si>
  <si>
    <t>OPV AL-RESIST</t>
  </si>
  <si>
    <t>Primer по металу</t>
  </si>
  <si>
    <t>PURPLE</t>
  </si>
  <si>
    <t>Reflex Blue</t>
  </si>
  <si>
    <t>Reflex Blue ( действующий)</t>
  </si>
  <si>
    <t>Rhodamine Red</t>
  </si>
  <si>
    <t>TECHNICAL EXTENDER AL-RESIST</t>
  </si>
  <si>
    <t>—</t>
  </si>
  <si>
    <t>Technical Extender UNI 1338</t>
  </si>
  <si>
    <t>15104</t>
  </si>
  <si>
    <t>Technical Extender UNI 397</t>
  </si>
  <si>
    <t>VIOLEL</t>
  </si>
  <si>
    <t>Warm Red (PR 53:1)ALKALI RESISTANT</t>
  </si>
  <si>
    <t>Воск-Эрукамид паста</t>
  </si>
  <si>
    <t>Добавка в растр,</t>
  </si>
  <si>
    <t>Краска NSF/ Green (PG 7))ALKALI RESISTANT</t>
  </si>
  <si>
    <t>Краска NSF/ALKALI RESISTAN White (PW 6)</t>
  </si>
  <si>
    <t>46.000.001</t>
  </si>
  <si>
    <t>Краска NSF/ALKALI RESISTAN White (PW 6)(XP2042/3)</t>
  </si>
  <si>
    <t>49.000.006</t>
  </si>
  <si>
    <t>Краска NSF/LAM White (PW 6) ver 1,1</t>
  </si>
  <si>
    <t>Краска NSF/UNI Black (КП 80) TR VER 1.1</t>
  </si>
  <si>
    <t>Краска NSF/UNI Black (КП 80) TR VER 1.2</t>
  </si>
  <si>
    <t>Краска NSF/UNI Black (КП 80) TR VER 1.3</t>
  </si>
  <si>
    <t>Краска NSF/UNI Cyan Blue (PB 15:3) ALKALI RESISTANT</t>
  </si>
  <si>
    <t>Краска NSF/UNI Cyan Blue (PB 15:3) TR VER 1.1</t>
  </si>
  <si>
    <t>Краска NSF/UNI Cyan Blue (PB 15:3) TR VER 1.2</t>
  </si>
  <si>
    <t>Краска NSF/UNI Cyan Blue (PB 15:3) TR ГУ</t>
  </si>
  <si>
    <t>26.000.096</t>
  </si>
  <si>
    <t>Краска NSF/UNI Magenta (PR 57:1) TR  VER 1.1</t>
  </si>
  <si>
    <t>26.000.095</t>
  </si>
  <si>
    <t>Краска NSF/UNI Magenta (PR 57:1) TR  VER 1.2</t>
  </si>
  <si>
    <t>Краска NSF/UNI White (PW 6) TR SLOW</t>
  </si>
  <si>
    <t>26.000.099</t>
  </si>
  <si>
    <t>26.000.098</t>
  </si>
  <si>
    <t>Краска NSF/UNI Yellow (PY 13) TR VER 1.1</t>
  </si>
  <si>
    <t>Краска NSF/UNI Yellow (PY 13) TR VER 1.2</t>
  </si>
  <si>
    <t>Краска NSF/Violet (PV 23)ALKALI RESISTANT</t>
  </si>
  <si>
    <t>Краска UNI AF Pantone Silver</t>
  </si>
  <si>
    <t>Лак ADHESION EXTENDER</t>
  </si>
  <si>
    <t>готэк</t>
  </si>
  <si>
    <t>Лак Extender НЦ-90 fast</t>
  </si>
  <si>
    <t>серия рото</t>
  </si>
  <si>
    <t>Лак LAM Extender ROTO</t>
  </si>
  <si>
    <t>Лак LAM Extender растровый,</t>
  </si>
  <si>
    <t>Лак Overprint Varnish MATT (1к)</t>
  </si>
  <si>
    <t>Лак Overprint Varnish MATT (1к)осветлитель</t>
  </si>
  <si>
    <t>Лак Overprint Varnish MATT abrasion</t>
  </si>
  <si>
    <t>Лак Overprint Varnish MATT ver. 1.1</t>
  </si>
  <si>
    <t>Лак SURF Extender ROTO</t>
  </si>
  <si>
    <t>Лак UNI Extender</t>
  </si>
  <si>
    <t>16041</t>
  </si>
  <si>
    <t>Лак UNI Extender  ROTO</t>
  </si>
  <si>
    <t>Лак UNI Extender (РА)</t>
  </si>
  <si>
    <t>Лак UNI Extender(на 1338)</t>
  </si>
  <si>
    <t>Лак UNI Extender(на 1338) SURF</t>
  </si>
  <si>
    <t>мат лак 2х компанентный</t>
  </si>
  <si>
    <t>Паста NSF/Paste Black (Pbk 7) TRIPOL</t>
  </si>
  <si>
    <t>Паста NSF/Paste Black (Pbk 7) КП 80 растр</t>
  </si>
  <si>
    <t>Паста NSF/Paste Cyan Blue (PB 15:3) TRIOL</t>
  </si>
  <si>
    <t>Паста NSF/PASTE Magenta (PR 57:1)  TRIPOL</t>
  </si>
  <si>
    <t>Паста NSF/PASTE Magenta (PR 57:1)  ЭЦ</t>
  </si>
  <si>
    <t>Паста NSF/PASTE Orange (PO 34)  ГОТЭК</t>
  </si>
  <si>
    <t>Паста NSF/PASTE Violet (PV 23)  Г.Д.К.</t>
  </si>
  <si>
    <t>17137</t>
  </si>
  <si>
    <t>Паста NSF/Paste Warm Red (PR 53:1) ГОТЭК</t>
  </si>
  <si>
    <t>Паста NSF/PASTE White (PW 6) ТпР А400  ( ЛАК НЦ -0711)</t>
  </si>
  <si>
    <t>Паста NSF/PASTE Yellow (PY 13)TRIPOL</t>
  </si>
  <si>
    <t>EXTENDER 35 AF (ЛАК НЦ -0711)</t>
  </si>
  <si>
    <t>Полупродукт</t>
  </si>
  <si>
    <t>EXTENDER Neocrylic Resin BM 619</t>
  </si>
  <si>
    <t>Extender PinusTack 750 IPA</t>
  </si>
  <si>
    <t>15105</t>
  </si>
  <si>
    <t>Extender SL-2 ЭЦ</t>
  </si>
  <si>
    <t>15081</t>
  </si>
  <si>
    <t>Extender T-32</t>
  </si>
  <si>
    <t>15038</t>
  </si>
  <si>
    <t>Extender А81</t>
  </si>
  <si>
    <t>Extender А81-2</t>
  </si>
  <si>
    <t>NSF/PC Black (PBk 7) ГОТЭК</t>
  </si>
  <si>
    <t>39030</t>
  </si>
  <si>
    <t>нео пак</t>
  </si>
  <si>
    <t>NSF/PC Black (PBk 7) ПОФ</t>
  </si>
  <si>
    <t>NSF/PC Cyan Blue (PB 15:3) ГОТЭК</t>
  </si>
  <si>
    <t>39027</t>
  </si>
  <si>
    <t>NSF/PC Cyan Blue (PB 15:3) ПОФ</t>
  </si>
  <si>
    <t>39028</t>
  </si>
  <si>
    <t>NSF/PC Magenta (PR 57:1) ПОФ</t>
  </si>
  <si>
    <t>NSF/PC Yellow (PY 13) ГОТЭК</t>
  </si>
  <si>
    <t>39029</t>
  </si>
  <si>
    <t>NSF/PC Yellow (PY 13) ПОФ</t>
  </si>
  <si>
    <t>PC MAGENTA (PR 146) Г.Д.К</t>
  </si>
  <si>
    <t>PC MAGENTA (PR 146) ГОТЭК</t>
  </si>
  <si>
    <t>PC RED (PR 254) Г.Д.К</t>
  </si>
  <si>
    <t>PC RED (PR 254)ГОТЭК</t>
  </si>
  <si>
    <t>PC Rhodamine Red (PR 122) Г.Д.К</t>
  </si>
  <si>
    <t>PC Rhodamine Red (PR 122) ГОТЭК</t>
  </si>
  <si>
    <t>PC YELLOW (PY 74) Г.Д.К</t>
  </si>
  <si>
    <t>PC YELLOW (PY 74) ГОТЭК</t>
  </si>
  <si>
    <t>PC YELLOW (PY 83) Г.Д.К</t>
  </si>
  <si>
    <t>PC YELLOW (PY 83) ГОТЭК</t>
  </si>
  <si>
    <t>Technical extender LAM</t>
  </si>
  <si>
    <t>15107</t>
  </si>
  <si>
    <t>Technical Extender. PA</t>
  </si>
  <si>
    <t>Дисперсия воска LuWax</t>
  </si>
  <si>
    <t>Краска NSF/UNI Pantone Silver TR</t>
  </si>
  <si>
    <t>26.067.105</t>
  </si>
  <si>
    <t>Лак Extender НЦ-35 ROTO</t>
  </si>
  <si>
    <t>Лак Extender НЦ-90</t>
  </si>
  <si>
    <t>16074</t>
  </si>
  <si>
    <t>Лак Extender НЦ-90S</t>
  </si>
  <si>
    <t>Паста NSF/PASTE Black  (PBk 7) Г.Д.К.</t>
  </si>
  <si>
    <t>17098</t>
  </si>
  <si>
    <t>Паста NSF/Paste Black (Pbk 7) PU/NC</t>
  </si>
  <si>
    <t>Паста NSF/Paste Black (Pbk 7) КП 80</t>
  </si>
  <si>
    <t>17110</t>
  </si>
  <si>
    <t>Паста NSF/Paste Cyan Blue (PB 15:3) SL ЭЦ</t>
  </si>
  <si>
    <t>17077</t>
  </si>
  <si>
    <t>Паста NSF/Paste Cyan Blue (PB 15:3) Г.Д.К.</t>
  </si>
  <si>
    <t>17107</t>
  </si>
  <si>
    <t>Паста NSF/PASTE GREEN (PG 7)  SL ЭЦ</t>
  </si>
  <si>
    <t>17133</t>
  </si>
  <si>
    <t>Паста NSF/PASTE Magenta (PR 57:1) Г.Д.К.</t>
  </si>
  <si>
    <t>17097</t>
  </si>
  <si>
    <t>Паста NSF/PASTE Orange (PO 34)  SL ЭЦ</t>
  </si>
  <si>
    <t>Паста NSF/PASTE Orange (PO 34)  Г.Д.К.</t>
  </si>
  <si>
    <t>Паста NSF/PASTE Rhodamine Red (PR 169)  Г.Д.К.</t>
  </si>
  <si>
    <t>17138</t>
  </si>
  <si>
    <t>Паста NSF/Paste Warm Red (PR 53:1) Г.Д.К.</t>
  </si>
  <si>
    <t>17139</t>
  </si>
  <si>
    <t>Паста NSF/PASTE White (PW 6) ROTAGRAV</t>
  </si>
  <si>
    <t>Паста NSF/PASTE White (PW 6) S + AEROSIL 200</t>
  </si>
  <si>
    <t>17129</t>
  </si>
  <si>
    <t>Паста NSF/PASTE White (PW 6) ТпР А400</t>
  </si>
  <si>
    <t>17067</t>
  </si>
  <si>
    <t>Паста NSF/PASTE Yellow (PY 13)  SL ЭЦ</t>
  </si>
  <si>
    <t>17079</t>
  </si>
  <si>
    <t>Паста NSF/PASTE Yellow (PY 13) Г.Д.К.</t>
  </si>
  <si>
    <t>17108</t>
  </si>
  <si>
    <t>X</t>
  </si>
  <si>
    <t>Краска NSF/UNI White (PW 6) AF 35</t>
  </si>
  <si>
    <t>Краска UNI AF Black (КП 80)</t>
  </si>
  <si>
    <t>Краска UNI AF Magenta (PR 57:1)</t>
  </si>
  <si>
    <t>Краска UNI AF Yellow (PY 13) TR</t>
  </si>
  <si>
    <t>Краска UNI AF Cyan Blue (PB 15:3)</t>
  </si>
  <si>
    <t>Краска UNI AF Black (Pbk 7) RASTR</t>
  </si>
  <si>
    <t>Краска UNI AF Rhodamine Red (PR 169)</t>
  </si>
  <si>
    <t>Краска UNI AF Pantone Warm Red (PR 53:1)</t>
  </si>
  <si>
    <t>Краска UNI AF Pantone Purple (PR 169)</t>
  </si>
  <si>
    <t>Краска UNI AF Pantone Orange (PO 34)</t>
  </si>
  <si>
    <t>Краска UNI AF Pantone Reflex Blue</t>
  </si>
  <si>
    <t>Краска UNI AF Pantone Violet (PV 23)</t>
  </si>
  <si>
    <t>Лак LAM AF Extender плашка</t>
  </si>
  <si>
    <t>Лак LAM AF Extender растр</t>
  </si>
  <si>
    <t>Краска UNI AF Pantone Green (PG 7)</t>
  </si>
  <si>
    <t>Краска NSF/UNI White (PW 6) R106</t>
  </si>
  <si>
    <t>NSF/LAM Cyan Blue (PB 15:3)</t>
  </si>
  <si>
    <t>NSF/LAM Rhodamone Red (PR 169)</t>
  </si>
  <si>
    <t>NSF/LAM Orange (PO 34)</t>
  </si>
  <si>
    <t>NSF/LAM Green (PG 7)</t>
  </si>
  <si>
    <t>NSF/LAM Violet (PV 23)</t>
  </si>
  <si>
    <t>NSF/LAM Reflex Blue</t>
  </si>
  <si>
    <t>Краска NSF/UNI Magenta (PR 57:1) TR ГУ</t>
  </si>
  <si>
    <t>Краска NSF/UNI Yellow (PY 13) TR ГУ</t>
  </si>
  <si>
    <t>Краска NSF/UNI Black (КП 80) TR</t>
  </si>
  <si>
    <t>ГОТЕК</t>
  </si>
  <si>
    <t>Паста NSF/PC Cyan Blue (PB 15:3) ГОТЭК</t>
  </si>
  <si>
    <t>Паста NSF/PC Magenta (PR 57:1) ГОТЭК</t>
  </si>
  <si>
    <t>Паста NSF/PC Yellow (PY 13) ГОТЭК</t>
  </si>
  <si>
    <t>Паста NSF/PC Black (PBk 7) ГОТЭК</t>
  </si>
  <si>
    <t>Паста NSF/PASTE Violet (PV 23) ГОТЭК</t>
  </si>
  <si>
    <t>NSF/PC Pantone Green (PG 7) Готэк NEW</t>
  </si>
  <si>
    <t>Лак Technical Extender UNI 1338</t>
  </si>
  <si>
    <t>⚗️  Полупродукты</t>
  </si>
  <si>
    <t>50 полупродуктов · цена €/кг без НДС</t>
  </si>
  <si>
    <t>Кол-во компонентов</t>
  </si>
  <si>
    <t>Цена €/кг
без НДС</t>
  </si>
  <si>
    <t>Паста NSF/PASTE Magenta (PR 57:1) ЭЦ</t>
  </si>
  <si>
    <t>Паста NSF/PASTE Violet (PV 23) Г.Д.К.</t>
  </si>
  <si>
    <t>💱  Справочник курсов ЦБ РФ (история)</t>
  </si>
  <si>
    <t>Автозагрузка через Apps Script (меню 🛠 NEV → 💱 Обновить курсы ЦБ). Каждая строка = курс на определённую дату. Цены в Сырьё пересчитываются в евро через кросс-курс (RUB/EUR, USD/EUR, CNY/EUR).</t>
  </si>
  <si>
    <t>Дата</t>
  </si>
  <si>
    <t>EUR/RUB</t>
  </si>
  <si>
    <t>USD/RUB</t>
  </si>
  <si>
    <t>CNY/RUB</t>
  </si>
  <si>
    <t>EUR/USD</t>
  </si>
  <si>
    <t>EUR/CNY</t>
  </si>
  <si>
    <t>Источник</t>
  </si>
  <si>
    <t>ЦБ РФ</t>
  </si>
  <si>
    <t>🧪  Каталог сырья</t>
  </si>
  <si>
    <t>226 позиций · цены €/кг без НДС · даты и поставщики заполняются вручную</t>
  </si>
  <si>
    <t>💡  Заполняйте только колонки J (валюта), K (цена) и F (дата). Колонки L (курс) и E (цена в €/кг) — формулы, считаются автоматически. Позиции без цены подсвечены красным.</t>
  </si>
  <si>
    <t>Наименование сырья</t>
  </si>
  <si>
    <t>Дата
поступления</t>
  </si>
  <si>
    <t>Валюта</t>
  </si>
  <si>
    <t>Цена в валюте
без НДС</t>
  </si>
  <si>
    <t>Курс к EUR
(1 валюта = ? €)</t>
  </si>
  <si>
    <t>кг</t>
  </si>
  <si>
    <t>BLACK (PBl 7)</t>
  </si>
  <si>
    <t>Coadd FL-6633 (Поверхностная добавка для ОС)</t>
  </si>
  <si>
    <t>EUR</t>
  </si>
  <si>
    <t>DEOCOAT 4104</t>
  </si>
  <si>
    <t>DEOCOAT 4108</t>
  </si>
  <si>
    <t>DEOCOAT 4115</t>
  </si>
  <si>
    <t>Drovin B 20</t>
  </si>
  <si>
    <t>E01 Rokrapol 1070</t>
  </si>
  <si>
    <t>⚗️ полупр.</t>
  </si>
  <si>
    <t>FSE-MIX 70/20/10</t>
  </si>
  <si>
    <t>Lanco (TM) Matt 2000, 40 LBS BAG</t>
  </si>
  <si>
    <t>Lubrizol Solsperse 54000</t>
  </si>
  <si>
    <t>Lupasol WF</t>
  </si>
  <si>
    <t>MAGENTA (PR 57:1) SURF</t>
  </si>
  <si>
    <t>Mowital B16H</t>
  </si>
  <si>
    <t>Neorez u 476</t>
  </si>
  <si>
    <t>Nitrocellulose ( SS 1/8) Кемпартнерс</t>
  </si>
  <si>
    <t>Nitrocellulose ( SS 30-35) Кемпартнерс</t>
  </si>
  <si>
    <t>Pigment Black PBk 7 Import CHINA</t>
  </si>
  <si>
    <t>Pigment Black КП-80</t>
  </si>
  <si>
    <t>Pigment Cyan Blue PB 15:3 Fastogen Blue LA5380 Import</t>
  </si>
  <si>
    <t>Pigment Green PG 7(G-58) (Формула успеха)</t>
  </si>
  <si>
    <t>Pigment Violet PV3</t>
  </si>
  <si>
    <t>Pigment Yellow 5GX-T (PY74) (Формула успеха)</t>
  </si>
  <si>
    <t>Pigment Yellow 83 (8341) (Формула успеха)</t>
  </si>
  <si>
    <t>Pigment Yellow 83 ЛОП1001 (Химсвет)</t>
  </si>
  <si>
    <t>Pigment Yellow PY 13 - 2К м.А НЦ</t>
  </si>
  <si>
    <t>Pigment Yellow PY 13 Import</t>
  </si>
  <si>
    <t>Tech-2033 (функциональная добавка)</t>
  </si>
  <si>
    <t>Tech-6320 (функциональная добавка)</t>
  </si>
  <si>
    <t>TRIPOL 16</t>
  </si>
  <si>
    <t>Vinil resin (MVAF)</t>
  </si>
  <si>
    <t>Vinil resin (MVAG)</t>
  </si>
  <si>
    <t>Vinil resin (PG-YC)</t>
  </si>
  <si>
    <t>w 106r (для прямой печати )</t>
  </si>
  <si>
    <t>YELLOW (PY 13)</t>
  </si>
  <si>
    <t>Антифлокулянт</t>
  </si>
  <si>
    <t>Бисер керамический</t>
  </si>
  <si>
    <t>Ведро 5,6 л</t>
  </si>
  <si>
    <t>Ветошь цветной трикотаж</t>
  </si>
  <si>
    <t>Воск CERETAN MX 2919</t>
  </si>
  <si>
    <t>шт</t>
  </si>
  <si>
    <t>Гофрозаготовка</t>
  </si>
  <si>
    <t>Диоксид кремния, Ковелос 35/05</t>
  </si>
  <si>
    <t>Диоксид титана BR-3668</t>
  </si>
  <si>
    <t>Диоксид титана UTR-982</t>
  </si>
  <si>
    <t>клей Starkbond 521 A бочка 220кг</t>
  </si>
  <si>
    <t>Ковелос СИМАД 106Г</t>
  </si>
  <si>
    <t>Кольцо</t>
  </si>
  <si>
    <t>Контейнер 0,4 л.</t>
  </si>
  <si>
    <t>Краска NSF/ALKALI RESISTANT White (PW 6)</t>
  </si>
  <si>
    <t>Краска NSF/HL LAM Black (Pbk 7)</t>
  </si>
  <si>
    <t>Краска NSF/HL LAM Cyan Blue (PB 15:3)</t>
  </si>
  <si>
    <t>Краска NSF/HL LAM Magenta (PR 57:1)</t>
  </si>
  <si>
    <t>Краска NSF/HL LAM Yellow (PY 13)</t>
  </si>
  <si>
    <t>Краска NSF/LAM ROTAGRAV</t>
  </si>
  <si>
    <t>Краска NSF/LAM White (PW 6) под PET</t>
  </si>
  <si>
    <t>Краска NSF/UNI Black (КП 80) RASTR</t>
  </si>
  <si>
    <t>Краска NSF/UNI Cyan Blue (PB 15:3) TR</t>
  </si>
  <si>
    <t>Краска NSF/UNI Green (PG 7)</t>
  </si>
  <si>
    <t>Краска NSF/UNI Magenta (PR 57:1) TR  ver. 1.1</t>
  </si>
  <si>
    <t>Краска NSF/UNI Orange (PO 34)</t>
  </si>
  <si>
    <t>Краска NSF/UNI Pantone Purple (PR  169)</t>
  </si>
  <si>
    <t>Краска NSF/UNI Pantone Reflex Blue ЭЦ</t>
  </si>
  <si>
    <t>Краска NSF/UNI Pantone Violet (PV 23)</t>
  </si>
  <si>
    <t>Краска NSF/UNI Rhodamine Red (PR  169)</t>
  </si>
  <si>
    <t>Краска NSF/UNI Warm Red (PR 53:1) TR</t>
  </si>
  <si>
    <t>Краска NSF/UNI White (PW 6) PV</t>
  </si>
  <si>
    <t>Краска NSF/UNI Yellow (PY 13) TR</t>
  </si>
  <si>
    <t>Краска NSF/White (PW 6) PV ver1</t>
  </si>
  <si>
    <t>Краска NSF/White (PW 6) PV ver2</t>
  </si>
  <si>
    <t>Краска Респекта (Медиум 001 UNI ECO (Полифуд))</t>
  </si>
  <si>
    <t>Крышки для паллет 800*1200</t>
  </si>
  <si>
    <t>Лента клейкая</t>
  </si>
  <si>
    <t>Лента полипропиленовая</t>
  </si>
  <si>
    <t>Ложка однорозовая</t>
  </si>
  <si>
    <t>Механическое уплотнение</t>
  </si>
  <si>
    <t>Мешки д/мусора</t>
  </si>
  <si>
    <t>Мука кварцевая Silverbond 20 (R10 EW) меш. 25 кг</t>
  </si>
  <si>
    <t>Нитроцеллюлоза LX 8/13 IPA WET</t>
  </si>
  <si>
    <t>Паллеты</t>
  </si>
  <si>
    <t>Перчатки латекс</t>
  </si>
  <si>
    <t>Перчатки х/б</t>
  </si>
  <si>
    <t>Пигмент органический Blue BGLKN (Радиант Кем.)</t>
  </si>
  <si>
    <t>Пирогенный диоксид кремния HL-200</t>
  </si>
  <si>
    <t>Полиуретан TEXAFLEX 5075</t>
  </si>
  <si>
    <t>Полиуретан TEXAFLEX 5162</t>
  </si>
  <si>
    <t>Полиуретан TEXAFLEX 5802</t>
  </si>
  <si>
    <t>Полиуретан TEXAFLEX ХР 2042</t>
  </si>
  <si>
    <t>Полиэфир РТ 2516</t>
  </si>
  <si>
    <t>Растворитель класс Б</t>
  </si>
  <si>
    <t>РПК Переполимер 108</t>
  </si>
  <si>
    <t>Скрепа упаковочная</t>
  </si>
  <si>
    <t>Стакан одноразовый</t>
  </si>
  <si>
    <t>Стретч пленка К500020123/2 450/200</t>
  </si>
  <si>
    <t>Сухая акриловая смола UTS-Acrylcoat 619</t>
  </si>
  <si>
    <t>Титан АП 100/Титан АП 130 Д</t>
  </si>
  <si>
    <t>Фильтр мешочный 50х350 мм НМО 500мкм</t>
  </si>
  <si>
    <t>Хозяйственные товары</t>
  </si>
  <si>
    <t>Холодильник Бирюса Б-50 однокамерный  белый</t>
  </si>
  <si>
    <t>Этикетка</t>
  </si>
  <si>
    <t>Этоксипропанол</t>
  </si>
  <si>
    <t>Pigment Yellow PY 13</t>
  </si>
  <si>
    <t>Extender Neocryl Resin BM-819</t>
  </si>
  <si>
    <t>📋  Рецептуры (служебные данные)</t>
  </si>
  <si>
    <t>№ комп.</t>
  </si>
  <si>
    <t>% базовый</t>
  </si>
  <si>
    <t>% факт</t>
  </si>
  <si>
    <t>Потери, кг</t>
  </si>
  <si>
    <t>Потери, %</t>
  </si>
  <si>
    <t>_KEY</t>
  </si>
  <si>
    <t>_KEY2</t>
  </si>
  <si>
    <t>INK Magenta (PR 57:1) гу|1</t>
  </si>
  <si>
    <t>INK Magenta (PR 57:1) гу|Паста NSF/PASTE Magenta (PR 57:1) Г.Д.К.</t>
  </si>
  <si>
    <t>INK Magenta (PR 57:1) гу|2</t>
  </si>
  <si>
    <t>INK Magenta (PR 57:1) гу|Technical Extender UNI 1338</t>
  </si>
  <si>
    <t>INK Magenta (PR 57:1) гу|3</t>
  </si>
  <si>
    <t>INK Magenta (PR 57:1) гу|Extender T-32</t>
  </si>
  <si>
    <t>INK Magenta (PR 57:1) гу|4</t>
  </si>
  <si>
    <t>INK Magenta (PR 57:1) гу|Extender SL-2 ЭЦ</t>
  </si>
  <si>
    <t>INK Magenta (PR 57:1) гу|5</t>
  </si>
  <si>
    <t>INK Magenta (PR 57:1) гу|Этилцеллозольв</t>
  </si>
  <si>
    <t>Краска NSF/UNI Yellov (PY13) TR ГУ|1</t>
  </si>
  <si>
    <t>Краска NSF/UNI Yellov (PY13) TR ГУ|Паста NSF/PASTE Yellow (PY 13)  SL ЭЦ</t>
  </si>
  <si>
    <t>Краска NSF/UNI Yellov (PY13) TR ГУ|2</t>
  </si>
  <si>
    <t>Краска NSF/UNI Yellov (PY13) TR ГУ|Technical Extender UNI 1338</t>
  </si>
  <si>
    <t>Краска NSF/UNI Yellov (PY13) TR ГУ|3</t>
  </si>
  <si>
    <t>Краска NSF/UNI Yellov (PY13) TR ГУ|Extender SL-2 ЭЦ</t>
  </si>
  <si>
    <t>Краска NSF/UNI Yellov (PY13) TR ГУ|4</t>
  </si>
  <si>
    <t>Краска NSF/UNI Yellov (PY13) TR ГУ|Ведро 25 л.</t>
  </si>
  <si>
    <t>Краска NSF/UNI Black (PBl 7)  TR ГУ|1</t>
  </si>
  <si>
    <t>Краска NSF/UNI Black (PBl 7)  TR ГУ|Паста NSF/Paste Black (Pbk 7) КП 80</t>
  </si>
  <si>
    <t>Краска NSF/UNI Black (PBl 7)  TR ГУ|2</t>
  </si>
  <si>
    <t>Краска NSF/UNI Black (PBl 7)  TR ГУ|Technical Extender UNI 1338</t>
  </si>
  <si>
    <t>Краска NSF/UNI Black (PBl 7)  TR ГУ|3</t>
  </si>
  <si>
    <t>Краска NSF/UNI Black (PBl 7)  TR ГУ|Extender SL-2 ЭЦ</t>
  </si>
  <si>
    <t>INK Cyan Blue (PB 15:3) SURF|1</t>
  </si>
  <si>
    <t>INK Cyan Blue (PB 15:3) SURF|Паста NSF/Paste Cyan Blue (PB 15:3) SL ЭЦ</t>
  </si>
  <si>
    <t>INK Cyan Blue (PB 15:3) SURF|2</t>
  </si>
  <si>
    <t>INK Cyan Blue (PB 15:3) SURF|Technical Extender UNI 1338</t>
  </si>
  <si>
    <t>INK Cyan Blue (PB 15:3) SURF|3</t>
  </si>
  <si>
    <t>INK Cyan Blue (PB 15:3) SURF|Extender SL-2 ЭЦ</t>
  </si>
  <si>
    <t>INK Cyan Blue (PB 15:3) SURF|4</t>
  </si>
  <si>
    <t>INK Cyan Blue (PB 15:3) SURF|Wax-Erucamide paste</t>
  </si>
  <si>
    <t>INK Cyan Blue (PB 15:3) SURF|5</t>
  </si>
  <si>
    <t>INK Cyan Blue (PB 15:3) SURF|TCA-IAM20 (аналог Титан АП 100/Титан АП 130 Д)</t>
  </si>
  <si>
    <t>INK Yellow (PY 13) SURF|1</t>
  </si>
  <si>
    <t>INK Yellow (PY 13) SURF|Паста NSF/PASTE Yellow (PY 13)  SL ЭЦ</t>
  </si>
  <si>
    <t>INK Yellow (PY 13) SURF|2</t>
  </si>
  <si>
    <t>INK Yellow (PY 13) SURF|Technical Extender UNI 1338</t>
  </si>
  <si>
    <t>INK Yellow (PY 13) SURF|3</t>
  </si>
  <si>
    <t>INK Yellow (PY 13) SURF|TCA-IAM20 (аналог Титан АП 100/Титан АП 130 Д)</t>
  </si>
  <si>
    <t>INK Yellow (PY 13) SURF|4</t>
  </si>
  <si>
    <t>INK Yellow (PY 13) SURF|Изопропанол</t>
  </si>
  <si>
    <t>INK Yellow (PY 13) SURF|5</t>
  </si>
  <si>
    <t>INK Yellow (PY 13) SURF|Extender SL-2 ЭЦ</t>
  </si>
  <si>
    <t>INK Yellow (PY 13) SURF|6</t>
  </si>
  <si>
    <t>INK Yellow (PY 13) SURF|Wax-Erucamide paste</t>
  </si>
  <si>
    <t>INK Black (Pbk 7) КП 80 SURF|1</t>
  </si>
  <si>
    <t>INK Black (Pbk 7) КП 80 SURF|Technical Extender UNI 1338</t>
  </si>
  <si>
    <t>INK Black (Pbk 7) КП 80 SURF|2</t>
  </si>
  <si>
    <t>INK Black (Pbk 7) КП 80 SURF|Паста NSF/Paste Black (Pbk 7) КП 80</t>
  </si>
  <si>
    <t>INK Black (Pbk 7) КП 80 SURF|3</t>
  </si>
  <si>
    <t>INK Black (Pbk 7) КП 80 SURF|Extender SL-2 ЭЦ</t>
  </si>
  <si>
    <t>INK Black (Pbk 7) КП 80 SURF|4</t>
  </si>
  <si>
    <t>INK Black (Pbk 7) КП 80 SURF|Wax-Erucamide paste</t>
  </si>
  <si>
    <t>INK Black (Pbk 7) КП 80 SURF|5</t>
  </si>
  <si>
    <t>INK Black (Pbk 7) КП 80 SURF|TCA-IAM20 (аналог Титан АП 100/Титан АП 130 Д)</t>
  </si>
  <si>
    <t>Лак UNI Extender(на 1338) SURF|1</t>
  </si>
  <si>
    <t>Лак UNI Extender(на 1338) SURF|Technical Extender UNI 1338</t>
  </si>
  <si>
    <t>Лак UNI Extender(на 1338) SURF|2</t>
  </si>
  <si>
    <t>Лак UNI Extender(на 1338) SURF|Wax-Erucamide paste</t>
  </si>
  <si>
    <t>NSF/PC Cyan Blue (PB 15:3) ПОФ|1</t>
  </si>
  <si>
    <t>NSF/PC Cyan Blue (PB 15:3) ПОФ|Паста NSF/Paste Cyan Blue (PB 15:3) Г.Д.К.</t>
  </si>
  <si>
    <t>NSF/PC Cyan Blue (PB 15:3) ПОФ|2</t>
  </si>
  <si>
    <t>NSF/PC Cyan Blue (PB 15:3) ПОФ|Этилацетат</t>
  </si>
  <si>
    <t>NSF/PC Cyan Blue (PB 15:3) ПОФ|3</t>
  </si>
  <si>
    <t>NSF/PC Cyan Blue (PB 15:3) ПОФ|Паста NSF/PASTE Magenta (PR 57:1) Г.Д.К.</t>
  </si>
  <si>
    <t>NSF/PC Cyan Blue (PB 15:3) ПОФ|4</t>
  </si>
  <si>
    <t>NSF/PC Cyan Blue (PB 15:3) ПОФ|Лак Extender НЦ-90</t>
  </si>
  <si>
    <t>NSF/PC Magenta (PR 57:1) ПОФ|1</t>
  </si>
  <si>
    <t>NSF/PC Magenta (PR 57:1) ПОФ|Паста NSF/PASTE Magenta (PR 57:1) Г.Д.К.</t>
  </si>
  <si>
    <t>NSF/PC Magenta (PR 57:1) ПОФ|2</t>
  </si>
  <si>
    <t>NSF/PC Magenta (PR 57:1) ПОФ|Этилацетат</t>
  </si>
  <si>
    <t>NSF/PC Magenta (PR 57:1) ПОФ|3</t>
  </si>
  <si>
    <t>NSF/PC Magenta (PR 57:1) ПОФ|Лак Extender НЦ-90</t>
  </si>
  <si>
    <t>NSF/PC Yellow (PY 13) ПОФ|1</t>
  </si>
  <si>
    <t>NSF/PC Yellow (PY 13) ПОФ|Паста NSF/PASTE Yellow (PY 13) Г.Д.К.</t>
  </si>
  <si>
    <t>NSF/PC Black (PBk 7) ПОФ|1</t>
  </si>
  <si>
    <t>NSF/PC Black (PBk 7) ПОФ|Паста NSF/PASTE Black  (PBk 7) Г.Д.К.</t>
  </si>
  <si>
    <t>NSF/PC Black (PBk 7) ПОФ|2</t>
  </si>
  <si>
    <t>NSF/PC Black (PBk 7) ПОФ|Этилацетат</t>
  </si>
  <si>
    <t>NSF/ UNI Magenta (PR 57:1) ПОФ|1</t>
  </si>
  <si>
    <t>NSF/ UNI Magenta (PR 57:1) ПОФ|NSF/PC Magenta (PR 57:1) ПОФ</t>
  </si>
  <si>
    <t>NSF/ UNI Magenta (PR 57:1) ПОФ|2</t>
  </si>
  <si>
    <t>NSF/ UNI Magenta (PR 57:1) ПОФ|Technical Extender UNI 1338</t>
  </si>
  <si>
    <t>NSF/ UNI Magenta (PR 57:1) ПОФ|3</t>
  </si>
  <si>
    <t>NSF/ UNI Magenta (PR 57:1) ПОФ|Дисперсия воска LuWax</t>
  </si>
  <si>
    <t>NSF/ UNI Magenta (PR 57:1) ПОФ|4</t>
  </si>
  <si>
    <t>NSF/ UNI Magenta (PR 57:1) ПОФ|Лак Extender НЦ-90</t>
  </si>
  <si>
    <t>NSF/UNI  Yellow (PY 13) ПОФ|1</t>
  </si>
  <si>
    <t>NSF/UNI  Yellow (PY 13) ПОФ|NSF/PC Yellow (PY 13) ПОФ</t>
  </si>
  <si>
    <t>NSF/UNI  Yellow (PY 13) ПОФ|2</t>
  </si>
  <si>
    <t>NSF/UNI  Yellow (PY 13) ПОФ|Technical Extender UNI 1338</t>
  </si>
  <si>
    <t>NSF/UNI  Yellow (PY 13) ПОФ|3</t>
  </si>
  <si>
    <t>NSF/UNI  Yellow (PY 13) ПОФ|Лак Extender НЦ-90</t>
  </si>
  <si>
    <t>NSF/UNI  Yellow (PY 13) ПОФ|4</t>
  </si>
  <si>
    <t>NSF/UNI  Yellow (PY 13) ПОФ|Дисперсия воска LuWax</t>
  </si>
  <si>
    <t>NSF/PC Cyan Blue (PB 15:3)|1</t>
  </si>
  <si>
    <t>NSF/PC Cyan Blue (PB 15:3)|NSF/PC Cyan Blue (PB 15:3) ПОФ</t>
  </si>
  <si>
    <t>NSF/PC Cyan Blue (PB 15:3)|2</t>
  </si>
  <si>
    <t>NSF/PC Cyan Blue (PB 15:3)|Technical Extender UNI 1338</t>
  </si>
  <si>
    <t>NSF/PC Cyan Blue (PB 15:3)|3</t>
  </si>
  <si>
    <t>NSF/PC Cyan Blue (PB 15:3)|Лак Extender НЦ-90</t>
  </si>
  <si>
    <t>NSF/PC Cyan Blue (PB 15:3)|4</t>
  </si>
  <si>
    <t>NSF/PC Cyan Blue (PB 15:3)|Дисперсия воска LuWax</t>
  </si>
  <si>
    <t>Rhodamine Red|1</t>
  </si>
  <si>
    <t>Rhodamine Red|Паста NSF/PASTE Rhodamine Red (PR 169)  Г.Д.К.</t>
  </si>
  <si>
    <t>Rhodamine Red|2</t>
  </si>
  <si>
    <t>Rhodamine Red|Technical Extender UNI 397</t>
  </si>
  <si>
    <t>Rhodamine Red|3</t>
  </si>
  <si>
    <t>Rhodamine Red|Лак Extender НЦ-90</t>
  </si>
  <si>
    <t>PURPLE|1</t>
  </si>
  <si>
    <t>PURPLE|Паста NSF/PASTE Rhodamine Red (PR 169)  Г.Д.К.</t>
  </si>
  <si>
    <t>PURPLE|2</t>
  </si>
  <si>
    <t>PURPLE|Паста NSF/PASTE Violet (PV 3) ТАЯ</t>
  </si>
  <si>
    <t>PURPLE|3</t>
  </si>
  <si>
    <t>PURPLE|Technical Extender UNI 397</t>
  </si>
  <si>
    <t>PURPLE|4</t>
  </si>
  <si>
    <t>PURPLE|Лак Extender НЦ-90</t>
  </si>
  <si>
    <t>Orange (PO 34)|1</t>
  </si>
  <si>
    <t>Orange (PO 34)|Паста NSF/PASTE Orange (PO 34)  SL ЭЦ</t>
  </si>
  <si>
    <t>Orange (PO 34)|2</t>
  </si>
  <si>
    <t>Orange (PO 34)|Technical Extender UNI 397</t>
  </si>
  <si>
    <t>Orange (PO 34)|3</t>
  </si>
  <si>
    <t>Orange (PO 34)|Extender SL-2 ЭЦ</t>
  </si>
  <si>
    <t>Warm Red (PR 53:1)|1</t>
  </si>
  <si>
    <t>Warm Red (PR 53:1)|Паста NSF/Paste Warm Red (PR 53:1) Г.Д.К.</t>
  </si>
  <si>
    <t>Warm Red (PR 53:1)|2</t>
  </si>
  <si>
    <t>Warm Red (PR 53:1)|Technical Extender UNI 397</t>
  </si>
  <si>
    <t>Warm Red (PR 53:1)|3</t>
  </si>
  <si>
    <t>Warm Red (PR 53:1)|Extender T-32</t>
  </si>
  <si>
    <t>Warm Red (PR 53:1)|4</t>
  </si>
  <si>
    <t>Warm Red (PR 53:1)|Extender SL-2 ЭЦ</t>
  </si>
  <si>
    <t>Reflex Blue ( действующий)|1</t>
  </si>
  <si>
    <t>Reflex Blue ( действующий)|Паста NSF/Paste Cyan Blue (PB 15:3) SL ЭЦ</t>
  </si>
  <si>
    <t>Reflex Blue ( действующий)|2</t>
  </si>
  <si>
    <t>Reflex Blue ( действующий)|Паста NSF/Paste Black (Pbk 7) КП 80 РАСТ</t>
  </si>
  <si>
    <t>Reflex Blue ( действующий)|3</t>
  </si>
  <si>
    <t>Reflex Blue ( действующий)|Паста NSF/PASTE Violet (PV 3) ТАЯ</t>
  </si>
  <si>
    <t>Reflex Blue ( действующий)|4</t>
  </si>
  <si>
    <t>Reflex Blue ( действующий)|Technical Extender UNI 397</t>
  </si>
  <si>
    <t>Reflex Blue ( действующий)|5</t>
  </si>
  <si>
    <t>Reflex Blue ( действующий)|Extender SL-2 ЭЦ</t>
  </si>
  <si>
    <t>INK Black (PBl 7)|1</t>
  </si>
  <si>
    <t>INK Black (PBl 7)|Паста NSF/Paste Black (Pbk 7) КП 80</t>
  </si>
  <si>
    <t>INK Black (PBl 7)|2</t>
  </si>
  <si>
    <t>INK Black (PBl 7)|Technical Extender UNI 397</t>
  </si>
  <si>
    <t>INK Black (PBl 7)|3</t>
  </si>
  <si>
    <t>INK Black (PBl 7)|Extender SL-2 ЭЦ</t>
  </si>
  <si>
    <t>INK Black (PBl 7)|4</t>
  </si>
  <si>
    <t>INK Black (PBl 7)|TCA-IAM20 (аналог Титан АП 100/Титан АП 130 Д)</t>
  </si>
  <si>
    <t>INK Black (PBl 7)|5</t>
  </si>
  <si>
    <t>INK Black (PBl 7)|Изопропанол</t>
  </si>
  <si>
    <t>VIOLEL|1</t>
  </si>
  <si>
    <t>VIOLEL|Паста NSF/PASTE Violet (PV 3) ТАЯ</t>
  </si>
  <si>
    <t>VIOLEL|2</t>
  </si>
  <si>
    <t>VIOLEL|Technical Extender UNI 397</t>
  </si>
  <si>
    <t>VIOLEL|3</t>
  </si>
  <si>
    <t>VIOLEL|Лак Extender НЦ-90</t>
  </si>
  <si>
    <t>Reflex Blue|1</t>
  </si>
  <si>
    <t>Reflex Blue|Паста NSF/Paste Cyan Blue (PB 15:3) SL ЭЦ</t>
  </si>
  <si>
    <t>Reflex Blue|2</t>
  </si>
  <si>
    <t>Reflex Blue|Паста NSF/Paste Black (Pbk 7) КП 80 РАСТ</t>
  </si>
  <si>
    <t>Reflex Blue|3</t>
  </si>
  <si>
    <t>Reflex Blue|Паста NSF/PASTE Violet (PV 3) ТАЯ</t>
  </si>
  <si>
    <t>Reflex Blue|4</t>
  </si>
  <si>
    <t>Reflex Blue|Technical Extender UNI 1338</t>
  </si>
  <si>
    <t>Reflex Blue|5</t>
  </si>
  <si>
    <t>Reflex Blue|Extender SL-2 ЭЦ</t>
  </si>
  <si>
    <t>Лак LAM Extender плашка,|1</t>
  </si>
  <si>
    <t>Лак LAM Extender плашка,|Technical extender LAM</t>
  </si>
  <si>
    <t>Лак LAM Extender плашка,|2</t>
  </si>
  <si>
    <t>Лак LAM Extender плашка,|Extender SL-2 ЭЦ</t>
  </si>
  <si>
    <t>INK Magenta (PR 57:1)|1</t>
  </si>
  <si>
    <t>INK Magenta (PR 57:1)|Паста NSF/PASTE Magenta (PR 57:1) MT ЭЦ S</t>
  </si>
  <si>
    <t>INK Magenta (PR 57:1)|2</t>
  </si>
  <si>
    <t>INK Magenta (PR 57:1)|Technical Extender UNI 397</t>
  </si>
  <si>
    <t>Green (PG 7)|1</t>
  </si>
  <si>
    <t>Green (PG 7)|Паста NSF/PASTE GREEN (PG 7)  SL ЭЦ</t>
  </si>
  <si>
    <t>Green (PG 7)|2</t>
  </si>
  <si>
    <t>Green (PG 7)|Technical Extender UNI 397</t>
  </si>
  <si>
    <t>Green (PG 7)|3</t>
  </si>
  <si>
    <t>Green (PG 7)|Extender T-32</t>
  </si>
  <si>
    <t>Green (PG 7)|4</t>
  </si>
  <si>
    <t>Green (PG 7)|Extender SL-2 ЭЦ</t>
  </si>
  <si>
    <t>Лак LAM Extender растровый,|1</t>
  </si>
  <si>
    <t>Лак LAM Extender растровый,|Technical extender LAM</t>
  </si>
  <si>
    <t>Лак LAM Extender растровый,|2</t>
  </si>
  <si>
    <t>Лак LAM Extender растровый,|Лак Extender НЦ-90S</t>
  </si>
  <si>
    <t>Добавка в растр,|1</t>
  </si>
  <si>
    <t>Добавка в растр,|Дисперсия воска YL-904,</t>
  </si>
  <si>
    <t>Добавка в растр,|2</t>
  </si>
  <si>
    <t>Добавка в растр,|Technical Extender UNI 1338</t>
  </si>
  <si>
    <t>Дисперсия воска YL-904,|1</t>
  </si>
  <si>
    <t>Дисперсия воска YL-904,|Н-пропилацетат</t>
  </si>
  <si>
    <t>Дисперсия воска YL-904,|2</t>
  </si>
  <si>
    <t>Дисперсия воска YL-904,|Этилцеллозольв</t>
  </si>
  <si>
    <t>Дисперсия воска YL-904,|3</t>
  </si>
  <si>
    <t>Дисперсия воска YL-904,|Нитроцеллюлоза LX 5/8 IPA WET</t>
  </si>
  <si>
    <t>Дисперсия воска YL-904,|4</t>
  </si>
  <si>
    <t>Дисперсия воска YL-904,|YL-904 (Восковая добавка для ОС)</t>
  </si>
  <si>
    <t>INK Yellow (PY 13)|1</t>
  </si>
  <si>
    <t>INK Yellow (PY 13)|Паста NSF/PASTE Yellow (PY 13)  SL ЭЦ</t>
  </si>
  <si>
    <t>INK Yellow (PY 13)|2</t>
  </si>
  <si>
    <t>INK Yellow (PY 13)|Technical Extender UNI 397</t>
  </si>
  <si>
    <t>INK Yellow (PY 13)|3</t>
  </si>
  <si>
    <t>INK Yellow (PY 13)|TCA-IAM20 (аналог Титан АП 100/Титан АП 130 Д)</t>
  </si>
  <si>
    <t>INK Yellow (PY 13)|4</t>
  </si>
  <si>
    <t>INK Yellow (PY 13)|Изопропанол</t>
  </si>
  <si>
    <t>INK Yellow (PY 13)|5</t>
  </si>
  <si>
    <t>INK Yellow (PY 13)|Extender SL-2 ЭЦ</t>
  </si>
  <si>
    <t>Black (PBl 7) / RASTR|1</t>
  </si>
  <si>
    <t>Black (PBl 7) / RASTR|Паста NSF/Paste Black (Pbk 7) КП 80 РАСТ</t>
  </si>
  <si>
    <t>Black (PBl 7) / RASTR|2</t>
  </si>
  <si>
    <t>Black (PBl 7) / RASTR|Technical Extender UNI 397</t>
  </si>
  <si>
    <t>Black (PBl 7) / RASTR|3</t>
  </si>
  <si>
    <t>Black (PBl 7) / RASTR|Extender SL-2 ЭЦ</t>
  </si>
  <si>
    <t>Black (PBl 7) / RASTR|4</t>
  </si>
  <si>
    <t>Black (PBl 7) / RASTR|TCA-IAM20 (аналог Титан АП 100/Титан АП 130 Д)</t>
  </si>
  <si>
    <t>Black (PBl 7) / RASTR|5</t>
  </si>
  <si>
    <t>Black (PBl 7) / RASTR|Этилцеллозольв</t>
  </si>
  <si>
    <t>Primer по металу|1</t>
  </si>
  <si>
    <t>Primer по металу|Изопропанол</t>
  </si>
  <si>
    <t>Primer по металу|2</t>
  </si>
  <si>
    <t>Primer по металу|Этилцеллозольв</t>
  </si>
  <si>
    <t>Primer по металу|3</t>
  </si>
  <si>
    <t>Primer по металу|Dromide 957</t>
  </si>
  <si>
    <t>Primer по металу|4</t>
  </si>
  <si>
    <t>Primer по металу|Neocrylic Resin B 819</t>
  </si>
  <si>
    <t>Лак Overprint Varnish MATT (1к)осветлитель|1</t>
  </si>
  <si>
    <t>Лак Overprint Varnish MATT (1к)осветлитель|RPC Additive</t>
  </si>
  <si>
    <t>Лак Overprint Varnish MATT (1к)осветлитель|2</t>
  </si>
  <si>
    <t>Лак Overprint Varnish MATT (1к)осветлитель|Extender PinusTack 750 IPA</t>
  </si>
  <si>
    <t>Лак Overprint Varnish MATT (1к)осветлитель|3</t>
  </si>
  <si>
    <t>Лак Overprint Varnish MATT (1к)осветлитель|Изопропанол</t>
  </si>
  <si>
    <t>Лак Overprint Varnish MATT (1к)осветлитель|4</t>
  </si>
  <si>
    <t>Лак Overprint Varnish MATT (1к)осветлитель|Этилацетат</t>
  </si>
  <si>
    <t>Лак Overprint Varnish MATT (1к)осветлитель|5</t>
  </si>
  <si>
    <t>Лак Overprint Varnish MATT (1к)осветлитель|Extender SL-2 ЭЦ</t>
  </si>
  <si>
    <t>Лак Overprint Varnish MATT (1к)осветлитель|6</t>
  </si>
  <si>
    <t>Лак Overprint Varnish MATT (1к)осветлитель|Extender А81</t>
  </si>
  <si>
    <t>Лак Overprint Varnish MATT (1к)осветлитель|7</t>
  </si>
  <si>
    <t>Лак Overprint Varnish MATT (1к)осветлитель|TCA-IAM20 (аналог Титан АП 100/Титан АП 130 Д)</t>
  </si>
  <si>
    <t>мат лак 2х компанентный|1</t>
  </si>
  <si>
    <t>мат лак 2х компанентный|Н-пропилацетат</t>
  </si>
  <si>
    <t>мат лак 2х компанентный|2</t>
  </si>
  <si>
    <t>мат лак 2х компанентный|Этилацетат</t>
  </si>
  <si>
    <t>мат лак 2х компанентный|3</t>
  </si>
  <si>
    <t>мат лак 2х компанентный|Vinil resin (MVOH)</t>
  </si>
  <si>
    <t>мат лак 2х компанентный|4</t>
  </si>
  <si>
    <t>мат лак 2х компанентный|Ковелос R902</t>
  </si>
  <si>
    <t>мат лак 2х компанентный|5</t>
  </si>
  <si>
    <t>мат лак 2х компанентный|Диоксид кремния Fusil 200 (Радиант Кем.)</t>
  </si>
  <si>
    <t>Лак Overprint Varnish MATT (1к)|1</t>
  </si>
  <si>
    <t>Лак Overprint Varnish MATT (1к)|RPC Additive</t>
  </si>
  <si>
    <t>Лак Overprint Varnish MATT (1к)|2</t>
  </si>
  <si>
    <t>Лак Overprint Varnish MATT (1к)|Extender PinusTack 750 IPA</t>
  </si>
  <si>
    <t>Лак Overprint Varnish MATT (1к)|3</t>
  </si>
  <si>
    <t>Лак Overprint Varnish MATT (1к)|Изопропанол</t>
  </si>
  <si>
    <t>Лак Overprint Varnish MATT (1к)|4</t>
  </si>
  <si>
    <t>Лак Overprint Varnish MATT (1к)|Этилацетат</t>
  </si>
  <si>
    <t>Лак Overprint Varnish MATT (1к)|5</t>
  </si>
  <si>
    <t>Лак Overprint Varnish MATT (1к)|Extender А81</t>
  </si>
  <si>
    <t>Лак Overprint Varnish MATT (1к)|6</t>
  </si>
  <si>
    <t>Лак Overprint Varnish MATT (1к)|Эрукамид Finawax E</t>
  </si>
  <si>
    <t>Лак Overprint Varnish MATT (1к)|7</t>
  </si>
  <si>
    <t>Лак Overprint Varnish MATT (1к)|Luvax wax AF-31</t>
  </si>
  <si>
    <t>Лак Overprint Varnish MATT (1к)|8</t>
  </si>
  <si>
    <t>Лак Overprint Varnish MATT (1к)|Матирующая добавка 412</t>
  </si>
  <si>
    <t>Лак Overprint Varnish MATT (1к)|9</t>
  </si>
  <si>
    <t>Лак Overprint Varnish MATT (1к)|Диоксид кремния Fusil 200 (Радиант Кем.)</t>
  </si>
  <si>
    <t>Лак Overprint Varnish MATT (1к)|10</t>
  </si>
  <si>
    <t>Лак Overprint Varnish MATT (1к)|TCA-IAM20 (аналог Титан АП 100/Титан АП 130 Д)</t>
  </si>
  <si>
    <t>Лак Overprint Varnish MATT (1к)|11</t>
  </si>
  <si>
    <t>Лак Overprint Varnish MATT (1к)|Extender SL-2 ЭЦ</t>
  </si>
  <si>
    <t>Краска NSF/UNI Cyan Blue (PB 15:3) ALKALI RESISTANT|1</t>
  </si>
  <si>
    <t>Краска NSF/UNI Cyan Blue (PB 15:3) ALKALI RESISTANT|Паста NSF/Paste Cyan Blue (PB 15:3) SL ЭЦ</t>
  </si>
  <si>
    <t>Краска NSF/UNI Cyan Blue (PB 15:3) ALKALI RESISTANT|2</t>
  </si>
  <si>
    <t>Краска NSF/UNI Cyan Blue (PB 15:3) ALKALI RESISTANT|Technical extender AL_RESIST</t>
  </si>
  <si>
    <t>NSF/ALKALI RESISTANT Magenta (PR 57:1)|1</t>
  </si>
  <si>
    <t>NSF/ALKALI RESISTANT Magenta (PR 57:1)|Паста NSF/PASTE Magenta (PR 57:1) MT ЭЦ S</t>
  </si>
  <si>
    <t>NSF/ALKALI RESISTANT Magenta (PR 57:1)|2</t>
  </si>
  <si>
    <t>NSF/ALKALI RESISTANT Magenta (PR 57:1)|Technical extender AL_RESIST</t>
  </si>
  <si>
    <t>NSF/ALKALI RESISTANT Yellow (PY 13)|1</t>
  </si>
  <si>
    <t>NSF/ALKALI RESISTANT Yellow (PY 13)|Паста NSF/PASTE Yellow (PY 13)  SL ЭЦ</t>
  </si>
  <si>
    <t>NSF/ALKALI RESISTANT Yellow (PY 13)|2</t>
  </si>
  <si>
    <t>NSF/ALKALI RESISTANT Yellow (PY 13)|Technical extender AL_RESIST</t>
  </si>
  <si>
    <t>NSF/ALKALI RESISTANT Black (PBI 7)|1</t>
  </si>
  <si>
    <t>NSF/ALKALI RESISTANT Black (PBI 7)|Паста NSF/Paste Black (Pbk 7) КП 80</t>
  </si>
  <si>
    <t>NSF/ALKALI RESISTANT Black (PBI 7)|2</t>
  </si>
  <si>
    <t>NSF/ALKALI RESISTANT Black (PBI 7)|Technical extender AL_RESIST</t>
  </si>
  <si>
    <t>Краска NSF/ALKALI RESISTAN White (PW 6)(XP2042/3)|1</t>
  </si>
  <si>
    <t>Краска NSF/ALKALI RESISTAN White (PW 6)(XP2042/3)|Паста NSF/PASTE White (PW 6) ТпР А400</t>
  </si>
  <si>
    <t>Краска NSF/ALKALI RESISTAN White (PW 6)(XP2042/3)|2</t>
  </si>
  <si>
    <t>Краска NSF/ALKALI RESISTAN White (PW 6)(XP2042/3)|Полиуретан TEXAFLEX IV 509 LV</t>
  </si>
  <si>
    <t>Краска NSF/ALKALI RESISTAN White (PW 6)(XP2042/3)|3</t>
  </si>
  <si>
    <t>Краска NSF/ALKALI RESISTAN White (PW 6)(XP2042/3)|DOA Plasticiser</t>
  </si>
  <si>
    <t>Краска NSF/ALKALI RESISTAN White (PW 6)(XP2042/3)|4</t>
  </si>
  <si>
    <t>Краска NSF/ALKALI RESISTAN White (PW 6)(XP2042/3)|EXTENDER Neocrylic Resin BM 619</t>
  </si>
  <si>
    <t>Краска NSF/ALKALI RESISTAN White (PW 6)(XP2042/3)|5</t>
  </si>
  <si>
    <t>Краска NSF/ALKALI RESISTAN White (PW 6)(XP2042/3)|Extender SL-2 ЭЦ</t>
  </si>
  <si>
    <t>OPV AL-RESIST|1</t>
  </si>
  <si>
    <t>OPV AL-RESIST|Этилцеллозольв</t>
  </si>
  <si>
    <t>OPV AL-RESIST|2</t>
  </si>
  <si>
    <t>OPV AL-RESIST|Изопропанол</t>
  </si>
  <si>
    <t>OPV AL-RESIST|3</t>
  </si>
  <si>
    <t>OPV AL-RESIST|Этилацетат</t>
  </si>
  <si>
    <t>OPV AL-RESIST|4</t>
  </si>
  <si>
    <t>OPV AL-RESIST|Полиуретан TEXAFLEX IV 509 LV</t>
  </si>
  <si>
    <t>OPV AL-RESIST|5</t>
  </si>
  <si>
    <t>OPV AL-RESIST|DOA Plasticiser</t>
  </si>
  <si>
    <t>OPV AL-RESIST|6</t>
  </si>
  <si>
    <t>OPV AL-RESIST|Нитроцеллюлоза LX 5/8 IPA WET</t>
  </si>
  <si>
    <t>OPV AL-RESIST|7</t>
  </si>
  <si>
    <t>OPV AL-RESIST|Neocrylic Resin BM 619</t>
  </si>
  <si>
    <t>EXTENDER Neocrylic Resin BM 619|1</t>
  </si>
  <si>
    <t>EXTENDER Neocrylic Resin BM 619|Этилцеллозольв</t>
  </si>
  <si>
    <t>EXTENDER Neocrylic Resin BM 619|2</t>
  </si>
  <si>
    <t>EXTENDER Neocrylic Resin BM 619|Изопропанол</t>
  </si>
  <si>
    <t>EXTENDER Neocrylic Resin BM 619|3</t>
  </si>
  <si>
    <t>EXTENDER Neocrylic Resin BM 619|Этилацетат</t>
  </si>
  <si>
    <t>EXTENDER Neocrylic Resin BM 619|4</t>
  </si>
  <si>
    <t>EXTENDER Neocrylic Resin BM 619|Neocrylic Resin BM 619</t>
  </si>
  <si>
    <t>Краска NSF/Violet (PV 23)ALKALI RESISTANT|1</t>
  </si>
  <si>
    <t>Краска NSF/Violet (PV 23)ALKALI RESISTANT|Паста NSF/PASTE Violet (PV 3) ТАЯ</t>
  </si>
  <si>
    <t>Краска NSF/Violet (PV 23)ALKALI RESISTANT|2</t>
  </si>
  <si>
    <t>Краска NSF/Violet (PV 23)ALKALI RESISTANT|Technical extender AL_RESIST</t>
  </si>
  <si>
    <t>Краска NSF/Violet (PV 23)ALKALI RESISTANT|3</t>
  </si>
  <si>
    <t>Краска NSF/Violet (PV 23)ALKALI RESISTANT|Лак Extender НЦ-90</t>
  </si>
  <si>
    <t>Warm Red (PR 53:1)ALKALI RESISTANT|1</t>
  </si>
  <si>
    <t>Warm Red (PR 53:1)ALKALI RESISTANT|Паста NSF/Paste Warm Red (PR 53:1) Г.Д.К.</t>
  </si>
  <si>
    <t>Warm Red (PR 53:1)ALKALI RESISTANT|2</t>
  </si>
  <si>
    <t>Warm Red (PR 53:1)ALKALI RESISTANT|Technical extender AL_RESIST</t>
  </si>
  <si>
    <t>Warm Red (PR 53:1)ALKALI RESISTANT|3</t>
  </si>
  <si>
    <t>Warm Red (PR 53:1)ALKALI RESISTANT|Лак Extender НЦ-90</t>
  </si>
  <si>
    <t>Warm Red (PR 53:1)ALKALI RESISTANT|4</t>
  </si>
  <si>
    <t>Warm Red (PR 53:1)ALKALI RESISTANT|Этилцеллозольв</t>
  </si>
  <si>
    <t>Краска NSF/ Green (PG 7))ALKALI RESISTANT|1</t>
  </si>
  <si>
    <t>Краска NSF/ Green (PG 7))ALKALI RESISTANT|Паста NSF/PASTE GREEN (PG 7)  SL ЭЦ</t>
  </si>
  <si>
    <t>Краска NSF/ Green (PG 7))ALKALI RESISTANT|2</t>
  </si>
  <si>
    <t>Краска NSF/ Green (PG 7))ALKALI RESISTANT|Technical extender AL_RESIST</t>
  </si>
  <si>
    <t>Краска NSF/ Green (PG 7))ALKALI RESISTANT|3</t>
  </si>
  <si>
    <t>Краска NSF/ Green (PG 7))ALKALI RESISTANT|Лак Extender НЦ-90</t>
  </si>
  <si>
    <t>Краска NSF/ Green (PG 7))ALKALI RESISTANT|4</t>
  </si>
  <si>
    <t>Краска NSF/ Green (PG 7))ALKALI RESISTANT|Этилцеллозольв</t>
  </si>
  <si>
    <t>Краска NSF/ Green (PG 7))ALKALI RESISTANT|5</t>
  </si>
  <si>
    <t>Краска NSF/ Green (PG 7))ALKALI RESISTANT|Паста NSF/Paste Cyan Blue (PB 15:3) SL ЭЦ</t>
  </si>
  <si>
    <t>Краска NSF/uni White (PW 6) AF35|1</t>
  </si>
  <si>
    <t>Краска NSF/uni White (PW 6) AF35|Паста NSF/PASTE White (PW 6) ТпР А400</t>
  </si>
  <si>
    <t>Краска NSF/uni White (PW 6) AF35|2</t>
  </si>
  <si>
    <t>Краска NSF/uni White (PW 6) AF35|Extender PinusTack 750 IPA</t>
  </si>
  <si>
    <t>Краска NSF/uni White (PW 6) AF35|3</t>
  </si>
  <si>
    <t>Краска NSF/uni White (PW 6) AF35|RPC Additive</t>
  </si>
  <si>
    <t>Краска NSF/uni White (PW 6) AF35|4</t>
  </si>
  <si>
    <t>Краска NSF/uni White (PW 6) AF35|RPC Additive 397</t>
  </si>
  <si>
    <t>Краска NSF/uni White (PW 6) AF35|5</t>
  </si>
  <si>
    <t>Краска NSF/uni White (PW 6) AF35|DOA Plasticiser</t>
  </si>
  <si>
    <t>Краска NSF/uni White (PW 6) AF35|6</t>
  </si>
  <si>
    <t>Краска NSF/uni White (PW 6) AF35|TCA-IAM20 (аналог Титан АП 100/Титан АП 130 Д)</t>
  </si>
  <si>
    <t>Краска NSF/uni White (PW 6) AF35|7</t>
  </si>
  <si>
    <t>Краска NSF/uni White (PW 6) AF35|EXTENDER 35 AF (ЛАК НЦ -0711)</t>
  </si>
  <si>
    <t>Краска NSF/uni White (PW 6) AF35|8</t>
  </si>
  <si>
    <t>Краска NSF/uni White (PW 6) AF35|Этилцеллозольв</t>
  </si>
  <si>
    <t>Краска NSF/uni White (PW 6) AF35|9</t>
  </si>
  <si>
    <t>Краска NSF/uni White (PW 6) AF35|Этилацетат</t>
  </si>
  <si>
    <t>Краска NSF/uni White (PW 6) AF35|10</t>
  </si>
  <si>
    <t>Краска NSF/uni White (PW 6) AF35|Ведро 25 л.</t>
  </si>
  <si>
    <t>Краска NSF/uni White (PW 6) AF35|11</t>
  </si>
  <si>
    <t>Краска NSF/uni White (PW 6) AF35|Бочка стальная 210 л.</t>
  </si>
  <si>
    <t>EXTENDER 35 AF (ЛАК НЦ -0711)|1</t>
  </si>
  <si>
    <t>EXTENDER 35 AF (ЛАК НЦ -0711)|Изопропанол</t>
  </si>
  <si>
    <t>EXTENDER 35 AF (ЛАК НЦ -0711)|2</t>
  </si>
  <si>
    <t>EXTENDER 35 AF (ЛАК НЦ -0711)|Этилацетат</t>
  </si>
  <si>
    <t>EXTENDER 35 AF (ЛАК НЦ -0711)|3</t>
  </si>
  <si>
    <t>EXTENDER 35 AF (ЛАК НЦ -0711)|ЛАК НЦ -0711</t>
  </si>
  <si>
    <t>Лак Overprint Varnish MATT abrasion|1</t>
  </si>
  <si>
    <t>Лак Overprint Varnish MATT abrasion|Н-пропилацетат</t>
  </si>
  <si>
    <t>Лак Overprint Varnish MATT abrasion|2</t>
  </si>
  <si>
    <t>Лак Overprint Varnish MATT abrasion|Этилацетат</t>
  </si>
  <si>
    <t>Лак Overprint Varnish MATT abrasion|3</t>
  </si>
  <si>
    <t>Лак Overprint Varnish MATT abrasion|Vinil resin (MVOH)</t>
  </si>
  <si>
    <t>Лак Overprint Varnish MATT abrasion|4</t>
  </si>
  <si>
    <t>Лак Overprint Varnish MATT abrasion|Ковелос R902</t>
  </si>
  <si>
    <t>Лак Overprint Varnish MATT abrasion|5</t>
  </si>
  <si>
    <t>Лак Overprint Varnish MATT abrasion|Диоксид кремния Fusil 200 (Радиант Кем.)</t>
  </si>
  <si>
    <t>Лак Overprint Varnish MATT abrasion|6</t>
  </si>
  <si>
    <t>Лак Overprint Varnish MATT abrasion|Laropal A- 81-К (GNG A-81 A)</t>
  </si>
  <si>
    <t>Лак Overprint Varnish MATT abrasion|7</t>
  </si>
  <si>
    <t>Лак Overprint Varnish MATT abrasion|YL-904</t>
  </si>
  <si>
    <t>Паста NSF/PASTE White (PW 6) ТпР А400  ( ЛАК НЦ -0711)|1</t>
  </si>
  <si>
    <t>Паста NSF/PASTE White (PW 6) ТпР А400  ( ЛАК НЦ -0711)|Этилцеллозольв</t>
  </si>
  <si>
    <t>Паста NSF/PASTE White (PW 6) ТпР А400  ( ЛАК НЦ -0711)|2</t>
  </si>
  <si>
    <t>Паста NSF/PASTE White (PW 6) ТпР А400  ( ЛАК НЦ -0711)|Этилацетат</t>
  </si>
  <si>
    <t>Паста NSF/PASTE White (PW 6) ТпР А400  ( ЛАК НЦ -0711)|3</t>
  </si>
  <si>
    <t>Паста NSF/PASTE White (PW 6) ТпР А400  ( ЛАК НЦ -0711)|ЛАК НЦ -0711</t>
  </si>
  <si>
    <t>Паста NSF/PASTE White (PW 6) ТпР А400  ( ЛАК НЦ -0711)|4</t>
  </si>
  <si>
    <t>Паста NSF/PASTE White (PW 6) ТпР А400  ( ЛАК НЦ -0711)|Pigment PW 6 White Белый R-996 (LOMON)</t>
  </si>
  <si>
    <t>Краска NSF/UNI Cyan Blue (PB 15:3) TR VER 1.1|1</t>
  </si>
  <si>
    <t>Краска NSF/UNI Cyan Blue (PB 15:3) TR VER 1.1|Паста NSF/Paste Cyan Blue (PB 15:3) SL ЭЦ</t>
  </si>
  <si>
    <t>Краска NSF/UNI Cyan Blue (PB 15:3) TR VER 1.1|2</t>
  </si>
  <si>
    <t>Краска NSF/UNI Cyan Blue (PB 15:3) TR VER 1.1|Technical Extender UNI 1338</t>
  </si>
  <si>
    <t>Краска NSF/UNI Cyan Blue (PB 15:3) TR VER 1.1|3</t>
  </si>
  <si>
    <t>Краска NSF/UNI Cyan Blue (PB 15:3) TR VER 1.1|TCA-IAM20 (аналог Титан АП 100/Титан АП 130 Д)</t>
  </si>
  <si>
    <t>Краска NSF/UNI Cyan Blue (PB 15:3) TR VER 1.1|4</t>
  </si>
  <si>
    <t>Краска NSF/UNI Cyan Blue (PB 15:3) TR VER 1.1|Изопропанол</t>
  </si>
  <si>
    <t>Краска NSF/UNI Magenta (PR 57:1) TR  VER 1.1|1</t>
  </si>
  <si>
    <t>Краска NSF/UNI Magenta (PR 57:1) TR  VER 1.1|Паста NSF/PASTE Magenta (PR 57:1) MT ЭЦ S</t>
  </si>
  <si>
    <t>Краска NSF/UNI Magenta (PR 57:1) TR  VER 1.1|2</t>
  </si>
  <si>
    <t>Краска NSF/UNI Magenta (PR 57:1) TR  VER 1.1|Technical Extender UNI 1338</t>
  </si>
  <si>
    <t>Краска NSF/UNI Magenta (PR 57:1) TR  VER 1.1|3</t>
  </si>
  <si>
    <t>Краска NSF/UNI Magenta (PR 57:1) TR  VER 1.1|Ведро 25 л.</t>
  </si>
  <si>
    <t>Краска NSF/UNI Yellow (PY 13) TR VER 1.1|1</t>
  </si>
  <si>
    <t>Краска NSF/UNI Yellow (PY 13) TR VER 1.1|Паста NSF/PASTE Yellow (PY 13)  SL ЭЦ</t>
  </si>
  <si>
    <t>Краска NSF/UNI Yellow (PY 13) TR VER 1.1|2</t>
  </si>
  <si>
    <t>Краска NSF/UNI Yellow (PY 13) TR VER 1.1|Technical Extender UNI 1338</t>
  </si>
  <si>
    <t>Краска NSF/UNI Yellow (PY 13) TR VER 1.1|3</t>
  </si>
  <si>
    <t>Краска NSF/UNI Yellow (PY 13) TR VER 1.1|Extender SL-2 ЭЦ</t>
  </si>
  <si>
    <t>Краска NSF/UNI Yellow (PY 13) TR VER 1.1|4</t>
  </si>
  <si>
    <t>Краска NSF/UNI Yellow (PY 13) TR VER 1.1|TCA-IAM20 (аналог Титан АП 100/Титан АП 130 Д)</t>
  </si>
  <si>
    <t>Краска NSF/UNI Yellow (PY 13) TR VER 1.1|5</t>
  </si>
  <si>
    <t>Краска NSF/UNI Yellow (PY 13) TR VER 1.1|Изопропанол</t>
  </si>
  <si>
    <t>Краска NSF/UNI Black (КП 80) TR VER 1.1|1</t>
  </si>
  <si>
    <t>Краска NSF/UNI Black (КП 80) TR VER 1.1|Паста NSF/Paste Black (Pbk 7) КП 80</t>
  </si>
  <si>
    <t>Краска NSF/UNI Black (КП 80) TR VER 1.1|2</t>
  </si>
  <si>
    <t>Краска NSF/UNI Black (КП 80) TR VER 1.1|Technical Extender UNI 1338</t>
  </si>
  <si>
    <t>Краска NSF/UNI Black (КП 80) TR VER 1.1|3</t>
  </si>
  <si>
    <t>Краска NSF/UNI Black (КП 80) TR VER 1.1|Extender SL-2 ЭЦ</t>
  </si>
  <si>
    <t>Краска NSF/UNI Black (КП 80) TR VER 1.1|4</t>
  </si>
  <si>
    <t>Краска NSF/UNI Black (КП 80) TR VER 1.1|TCA-IAM20 (аналог Титан АП 100/Титан АП 130 Д)</t>
  </si>
  <si>
    <t>Краска NSF/UNI Cyan Blue (PB 15:3) TR VER 1.2|1</t>
  </si>
  <si>
    <t>Краска NSF/UNI Cyan Blue (PB 15:3) TR VER 1.2|Паста NSF/Paste Cyan Blue (PB 15:3) SL ЭЦ</t>
  </si>
  <si>
    <t>Краска NSF/UNI Cyan Blue (PB 15:3) TR VER 1.2|2</t>
  </si>
  <si>
    <t>Краска NSF/UNI Cyan Blue (PB 15:3) TR VER 1.2|Technical Extender UNI 397</t>
  </si>
  <si>
    <t>Краска NSF/UNI Cyan Blue (PB 15:3) TR VER 1.2|3</t>
  </si>
  <si>
    <t>Краска NSF/UNI Cyan Blue (PB 15:3) TR VER 1.2|TCA-IAM20 (аналог Титан АП 100/Титан АП 130 Д)</t>
  </si>
  <si>
    <t>Краска NSF/UNI Cyan Blue (PB 15:3) TR VER 1.2|4</t>
  </si>
  <si>
    <t>Краска NSF/UNI Cyan Blue (PB 15:3) TR VER 1.2|Изопропанол</t>
  </si>
  <si>
    <t>Краска NSF/UNI Cyan Blue (PB 15:3) TR VER 1.2|5</t>
  </si>
  <si>
    <t>Краска NSF/UNI Cyan Blue (PB 15:3) TR VER 1.2|Extender T-32</t>
  </si>
  <si>
    <t>Краска NSF/UNI Cyan Blue (PB 15:3) TR VER 1.2|6</t>
  </si>
  <si>
    <t>Краска NSF/UNI Cyan Blue (PB 15:3) TR VER 1.2|Этилцеллозольв</t>
  </si>
  <si>
    <t>Краска NSF/UNI Magenta (PR 57:1) TR  VER 1.2|1</t>
  </si>
  <si>
    <t>Краска NSF/UNI Magenta (PR 57:1) TR  VER 1.2|Паста NSF/PASTE Magenta (PR 57:1) MT ЭЦ S</t>
  </si>
  <si>
    <t>Краска NSF/UNI Magenta (PR 57:1) TR  VER 1.2|2</t>
  </si>
  <si>
    <t>Краска NSF/UNI Magenta (PR 57:1) TR  VER 1.2|Technical Extender UNI 397</t>
  </si>
  <si>
    <t>Краска NSF/UNI Yellow (PY 13) TR VER 1.2|1</t>
  </si>
  <si>
    <t>Краска NSF/UNI Yellow (PY 13) TR VER 1.2|Паста NSF/PASTE Yellow (PY 13)  SL ЭЦ</t>
  </si>
  <si>
    <t>Краска NSF/UNI Yellow (PY 13) TR VER 1.2|2</t>
  </si>
  <si>
    <t>Краска NSF/UNI Yellow (PY 13) TR VER 1.2|Technical Extender UNI 397</t>
  </si>
  <si>
    <t>Краска NSF/UNI Yellow (PY 13) TR VER 1.2|3</t>
  </si>
  <si>
    <t>Краска NSF/UNI Yellow (PY 13) TR VER 1.2|Extender SL-2 ЭЦ</t>
  </si>
  <si>
    <t>Краска NSF/UNI Yellow (PY 13) TR VER 1.2|4</t>
  </si>
  <si>
    <t>Краска NSF/UNI Yellow (PY 13) TR VER 1.2|TCA-IAM20 (аналог Титан АП 100/Титан АП 130 Д)</t>
  </si>
  <si>
    <t>Краска NSF/UNI Yellow (PY 13) TR VER 1.2|5</t>
  </si>
  <si>
    <t>Краска NSF/UNI Yellow (PY 13) TR VER 1.2|Изопропанол</t>
  </si>
  <si>
    <t>Краска NSF/UNI Black (КП 80) TR VER 1.2|1</t>
  </si>
  <si>
    <t>Краска NSF/UNI Black (КП 80) TR VER 1.2|Паста NSF/Paste Black (Pbk 7) КП 80</t>
  </si>
  <si>
    <t>Краска NSF/UNI Black (КП 80) TR VER 1.2|2</t>
  </si>
  <si>
    <t>Краска NSF/UNI Black (КП 80) TR VER 1.2|Technical Extender UNI 397</t>
  </si>
  <si>
    <t>Краска NSF/UNI Black (КП 80) TR VER 1.2|3</t>
  </si>
  <si>
    <t>Краска NSF/UNI Black (КП 80) TR VER 1.2|Extender SL-2 ЭЦ</t>
  </si>
  <si>
    <t>Краска NSF/UNI Black (КП 80) TR VER 1.2|4</t>
  </si>
  <si>
    <t>Краска NSF/UNI Black (КП 80) TR VER 1.2|TCA-IAM20 (аналог Титан АП 100/Титан АП 130 Д)</t>
  </si>
  <si>
    <t>Краска NSF/UNI Black (КП 80) TR VER 1.2|5</t>
  </si>
  <si>
    <t>Краска NSF/UNI Black (КП 80) TR VER 1.2|Изопропанол</t>
  </si>
  <si>
    <t>Краска NSF/UNI Cyan Blue (PB 15:3) TR VER 1.3|1</t>
  </si>
  <si>
    <t>Краска NSF/UNI Cyan Blue (PB 15:3) TR VER 1.3|Паста NSF/Paste Cyan Blue (PB 15:3) SL ЭЦ</t>
  </si>
  <si>
    <t>Краска NSF/UNI Cyan Blue (PB 15:3) TR VER 1.3|2</t>
  </si>
  <si>
    <t>Краска NSF/UNI Cyan Blue (PB 15:3) TR VER 1.3|Technical Extender UNI 1338</t>
  </si>
  <si>
    <t>Краска NSF/UNI Cyan Blue (PB 15:3) TR VER 1.3|3</t>
  </si>
  <si>
    <t>Краска NSF/UNI Cyan Blue (PB 15:3) TR VER 1.3|TCA-IAM20 (аналог Титан АП 100/Титан АП 130 Д)</t>
  </si>
  <si>
    <t>Краска NSF/UNI Cyan Blue (PB 15:3) TR VER 1.3|4</t>
  </si>
  <si>
    <t>Краска NSF/UNI Cyan Blue (PB 15:3) TR VER 1.3|Изопропанол</t>
  </si>
  <si>
    <t>Краска NSF/UNI Cyan Blue (PB 15:3) TR VER 1.3|5</t>
  </si>
  <si>
    <t>Краска NSF/UNI Cyan Blue (PB 15:3) TR VER 1.3|Extender T-32</t>
  </si>
  <si>
    <t>Краска NSF/UNI Magenta (PR 57:1) TR  VER 1.3|1</t>
  </si>
  <si>
    <t>Краска NSF/UNI Magenta (PR 57:1) TR  VER 1.3|Паста NSF/PASTE Magenta (PR 57:1) MT ЭЦ S</t>
  </si>
  <si>
    <t>Краска NSF/UNI Magenta (PR 57:1) TR  VER 1.3|2</t>
  </si>
  <si>
    <t>Краска NSF/UNI Magenta (PR 57:1) TR  VER 1.3|Technical Extender UNI 1338</t>
  </si>
  <si>
    <t>Краска NSF/UNI Yellow (PY 13) TR VER 1.3|1</t>
  </si>
  <si>
    <t>Краска NSF/UNI Yellow (PY 13) TR VER 1.3|Паста NSF/PASTE Yellow (PY 13)  SL ЭЦ</t>
  </si>
  <si>
    <t>Краска NSF/UNI Yellow (PY 13) TR VER 1.3|2</t>
  </si>
  <si>
    <t>Краска NSF/UNI Yellow (PY 13) TR VER 1.3|Technical Extender UNI 1338</t>
  </si>
  <si>
    <t>Краска NSF/UNI Yellow (PY 13) TR VER 1.3|3</t>
  </si>
  <si>
    <t>Краска NSF/UNI Yellow (PY 13) TR VER 1.3|Extender SL-2 ЭЦ</t>
  </si>
  <si>
    <t>Краска NSF/UNI Yellow (PY 13) TR VER 1.3|4</t>
  </si>
  <si>
    <t>Краска NSF/UNI Yellow (PY 13) TR VER 1.3|TCA-IAM20 (аналог Титан АП 100/Титан АП 130 Д)</t>
  </si>
  <si>
    <t>Краска NSF/UNI Yellow (PY 13) TR VER 1.3|5</t>
  </si>
  <si>
    <t>Краска NSF/UNI Yellow (PY 13) TR VER 1.3|Изопропанол</t>
  </si>
  <si>
    <t>Краска NSF/UNI Black (КП 80) TR VER 1.3|1</t>
  </si>
  <si>
    <t>Краска NSF/UNI Black (КП 80) TR VER 1.3|Паста NSF/Paste Black (Pbk 7) КП 80</t>
  </si>
  <si>
    <t>Краска NSF/UNI Black (КП 80) TR VER 1.3|2</t>
  </si>
  <si>
    <t>Краска NSF/UNI Black (КП 80) TR VER 1.3|Technical Extender UNI 1338</t>
  </si>
  <si>
    <t>Краска NSF/UNI Black (КП 80) TR VER 1.3|3</t>
  </si>
  <si>
    <t>Краска NSF/UNI Black (КП 80) TR VER 1.3|Extender SL-2 ЭЦ</t>
  </si>
  <si>
    <t>Краска NSF/UNI Black (КП 80) TR VER 1.3|4</t>
  </si>
  <si>
    <t>Краска NSF/UNI Black (КП 80) TR VER 1.3|TCA-IAM20 (аналог Титан АП 100/Титан АП 130 Д)</t>
  </si>
  <si>
    <t>Краска NSF/UNI Black (КП 80) TR VER 1.3|5</t>
  </si>
  <si>
    <t>Краска NSF/UNI Black (КП 80) TR VER 1.3|Изопропанол</t>
  </si>
  <si>
    <t>Extender А81-2|1</t>
  </si>
  <si>
    <t>Extender А81-2|Этилцеллозольв</t>
  </si>
  <si>
    <t>Extender А81-2|2</t>
  </si>
  <si>
    <t>Extender А81-2|Laropal A- 81-К (GNG A-81 A)</t>
  </si>
  <si>
    <t>Паста NSF/Paste Black (Pbk 7) TRIPOL|1</t>
  </si>
  <si>
    <t>Паста NSF/Paste Black (Pbk 7) TRIPOL|Extender TRIPOL 16</t>
  </si>
  <si>
    <t>Паста NSF/Paste Black (Pbk 7) TRIPOL|2</t>
  </si>
  <si>
    <t>Паста NSF/Paste Black (Pbk 7) TRIPOL|Флексольвент 5   (Изопропанол марки А)</t>
  </si>
  <si>
    <t>Паста NSF/Paste Black (Pbk 7) TRIPOL|3</t>
  </si>
  <si>
    <t>Паста NSF/Paste Black (Pbk 7) TRIPOL|ASTRA11306</t>
  </si>
  <si>
    <t>Паста NSF/Paste Black (Pbk 7) TRIPOL|4</t>
  </si>
  <si>
    <t>Паста NSF/Paste Black (Pbk 7) TRIPOL|Lubrizol Solsperse 12000</t>
  </si>
  <si>
    <t>Паста NSF/Paste Black (Pbk 7) TRIPOL|5</t>
  </si>
  <si>
    <t>Паста NSF/Paste Black (Pbk 7) TRIPOL|Pigment Black PС 406</t>
  </si>
  <si>
    <t>Паста NSF/PASTE Magenta (PR 57:1)  TRIPOL|1</t>
  </si>
  <si>
    <t>Паста NSF/PASTE Magenta (PR 57:1)  TRIPOL|Extender TRIPOL 16</t>
  </si>
  <si>
    <t>Паста NSF/PASTE Magenta (PR 57:1)  TRIPOL|2</t>
  </si>
  <si>
    <t>Паста NSF/PASTE Magenta (PR 57:1)  TRIPOL|Флексольвент 5   (Изопропанол марки А)</t>
  </si>
  <si>
    <t>Паста NSF/PASTE Magenta (PR 57:1)  TRIPOL|3</t>
  </si>
  <si>
    <t>Паста NSF/PASTE Magenta (PR 57:1)  TRIPOL|ASTRA11306</t>
  </si>
  <si>
    <t>Паста NSF/PASTE Magenta (PR 57:1)  TRIPOL|4</t>
  </si>
  <si>
    <t>Паста NSF/PASTE Magenta (PR 57:1)  TRIPOL|Pigment Magenta PR 57:1 от Химсвет</t>
  </si>
  <si>
    <t>Паста NSF/PASTE Yellow (PY 13)TRIPOL|1</t>
  </si>
  <si>
    <t>Паста NSF/PASTE Yellow (PY 13)TRIPOL|Extender TRIPOL 16</t>
  </si>
  <si>
    <t>Паста NSF/PASTE Yellow (PY 13)TRIPOL|2</t>
  </si>
  <si>
    <t>Паста NSF/PASTE Yellow (PY 13)TRIPOL|Флексольвент 5   (Изопропанол марки А)</t>
  </si>
  <si>
    <t>Паста NSF/PASTE Yellow (PY 13)TRIPOL|3</t>
  </si>
  <si>
    <t>Паста NSF/PASTE Yellow (PY 13)TRIPOL|ASTRA11305</t>
  </si>
  <si>
    <t>Паста NSF/PASTE Yellow (PY 13)TRIPOL|4</t>
  </si>
  <si>
    <t>Паста NSF/PASTE Yellow (PY 13)TRIPOL|Lubrizol Solsperse 22000</t>
  </si>
  <si>
    <t>Паста NSF/PASTE Yellow (PY 13)TRIPOL|5</t>
  </si>
  <si>
    <t>Паста NSF/PASTE Yellow (PY 13)TRIPOL|Pigment Yellow PY 13 Пигмент органический Liperm BH-TXL (Радиант Кем.)</t>
  </si>
  <si>
    <t>Паста NSF/Paste Cyan Blue (PB 15:3) TRIOL|1</t>
  </si>
  <si>
    <t>Паста NSF/Paste Cyan Blue (PB 15:3) TRIOL|Extender TRIPOL 16</t>
  </si>
  <si>
    <t>Паста NSF/Paste Cyan Blue (PB 15:3) TRIOL|2</t>
  </si>
  <si>
    <t>Паста NSF/Paste Cyan Blue (PB 15:3) TRIOL|Флексольвент 5   (Изопропанол марки А)</t>
  </si>
  <si>
    <t>Паста NSF/Paste Cyan Blue (PB 15:3) TRIOL|3</t>
  </si>
  <si>
    <t>Паста NSF/Paste Cyan Blue (PB 15:3) TRIOL|ASTRA11305</t>
  </si>
  <si>
    <t>Паста NSF/Paste Cyan Blue (PB 15:3) TRIOL|4</t>
  </si>
  <si>
    <t>Паста NSF/Paste Cyan Blue (PB 15:3) TRIOL|Lubrizol Solsperse 12000</t>
  </si>
  <si>
    <t>Паста NSF/Paste Cyan Blue (PB 15:3) TRIOL|5</t>
  </si>
  <si>
    <t>Паста NSF/Paste Cyan Blue (PB 15:3) TRIOL|Pigment Cyan Blue PB 15:3</t>
  </si>
  <si>
    <t>Краска NSF/LAM Cyan Blue (PB 15:3)|1</t>
  </si>
  <si>
    <t>Краска NSF/LAM Cyan Blue (PB 15:3)|NSF/PC Cyan Blue (PB 15:3) ГОТЭК</t>
  </si>
  <si>
    <t>Краска NSF/LAM Cyan Blue (PB 15:3)|2</t>
  </si>
  <si>
    <t>Краска NSF/LAM Cyan Blue (PB 15:3)|Этилацетат</t>
  </si>
  <si>
    <t>Краска NSF/LAM Cyan Blue (PB 15:3)|3</t>
  </si>
  <si>
    <t>Краска NSF/LAM Cyan Blue (PB 15:3)|Technical extender LAM</t>
  </si>
  <si>
    <t>Краска NSF/LAM Cyan Blue (PB 15:3)|4</t>
  </si>
  <si>
    <t>Краска NSF/LAM Cyan Blue (PB 15:3)|Лак Extender НЦ-90</t>
  </si>
  <si>
    <t>Краска NSF/LAM Cyan Blue (PB 15:3)|5</t>
  </si>
  <si>
    <t>Краска NSF/LAM Cyan Blue (PB 15:3)|Ведро 25 л.</t>
  </si>
  <si>
    <t>Краска NSF/LAM White (PW 6)|1</t>
  </si>
  <si>
    <t>Краска NSF/LAM White (PW 6)|Паста NSF/PASTE White (PW 6) ТпР А400</t>
  </si>
  <si>
    <t>Краска NSF/LAM White (PW 6)|2</t>
  </si>
  <si>
    <t>Краска NSF/LAM White (PW 6)|RPC Additive 397</t>
  </si>
  <si>
    <t>Краска NSF/LAM White (PW 6)|3</t>
  </si>
  <si>
    <t>Краска NSF/LAM White (PW 6)|DOA Plasticiser</t>
  </si>
  <si>
    <t>Краска NSF/LAM White (PW 6)|4</t>
  </si>
  <si>
    <t>Краска NSF/LAM White (PW 6)|TCA-IAM20 (аналог Титан АП 100/Титан АП 130 Д)</t>
  </si>
  <si>
    <t>Краска NSF/LAM White (PW 6)|5</t>
  </si>
  <si>
    <t>Краска NSF/LAM White (PW 6)|Этилцеллозольв</t>
  </si>
  <si>
    <t>Краска NSF/LAM White (PW 6)|6</t>
  </si>
  <si>
    <t>Краска NSF/LAM White (PW 6)|Этилацетат</t>
  </si>
  <si>
    <t>Краска NSF/LAM White (PW 6)|7</t>
  </si>
  <si>
    <t>Краска NSF/LAM White (PW 6)|Н-пропилацетат</t>
  </si>
  <si>
    <t>Краска NSF/LAM White (PW 6)|8</t>
  </si>
  <si>
    <t>Краска NSF/LAM White (PW 6)|Изопропанол</t>
  </si>
  <si>
    <t>INK Warm Red (PR 53:1)|1</t>
  </si>
  <si>
    <t>INK Warm Red (PR 53:1)|Паста NSF/Paste Warm Red (PR 53:1)</t>
  </si>
  <si>
    <t>INK Warm Red (PR 53:1)|2</t>
  </si>
  <si>
    <t>INK Warm Red (PR 53:1)|Technical extender LAM</t>
  </si>
  <si>
    <t>INK Warm Red (PR 53:1)|3</t>
  </si>
  <si>
    <t>INK Warm Red (PR 53:1)|Extender SL-2 ЭЦ</t>
  </si>
  <si>
    <t>INK Reflex Blue|1</t>
  </si>
  <si>
    <t>INK Reflex Blue|Паста NSF/Paste Cyan Blue (PB 15:3) Г.Д.К.</t>
  </si>
  <si>
    <t>INK Reflex Blue|2</t>
  </si>
  <si>
    <t>INK Reflex Blue|Паста NSF/PASTE Violet (PV 3) ТАЯ</t>
  </si>
  <si>
    <t>INK Reflex Blue|3</t>
  </si>
  <si>
    <t>INK Reflex Blue|Technical extender LAM</t>
  </si>
  <si>
    <t>INK Reflex Blue|4</t>
  </si>
  <si>
    <t>INK Reflex Blue|Extender SL-2 ЭЦ</t>
  </si>
  <si>
    <t>Ink Rhodamone Red (PR 169)|1</t>
  </si>
  <si>
    <t>Ink Rhodamone Red (PR 169)|Паста NSF/PASTE Rhodamine Red (PR 169)  Г.Д.К.</t>
  </si>
  <si>
    <t>Ink Rhodamone Red (PR 169)|2</t>
  </si>
  <si>
    <t>Ink Rhodamone Red (PR 169)|Technical extender LAM</t>
  </si>
  <si>
    <t>Ink Rhodamone Red (PR 169)|3</t>
  </si>
  <si>
    <t>Ink Rhodamone Red (PR 169)|Extender SL-2 ЭЦ</t>
  </si>
  <si>
    <t>Ink Purple|1</t>
  </si>
  <si>
    <t>Ink Purple|Паста NSF/PASTE Rhodamine Red (PR 169)  Г.Д.К.</t>
  </si>
  <si>
    <t>Ink Purple|2</t>
  </si>
  <si>
    <t>Ink Purple|Паста NSF/PASTE Violet (PV 3) ТАЯ</t>
  </si>
  <si>
    <t>Ink Purple|3</t>
  </si>
  <si>
    <t>Ink Purple|Technical extender LAM</t>
  </si>
  <si>
    <t>Ink Purple|4</t>
  </si>
  <si>
    <t>Ink Purple|Extender SL-2 ЭЦ</t>
  </si>
  <si>
    <t>Краска NSF/UNI Pantone Silver TR|1</t>
  </si>
  <si>
    <t>Краска NSF/UNI Pantone Silver TR|Pigment Silver ROTOVARIO 530-944 / ADD-B01M</t>
  </si>
  <si>
    <t>Краска NSF/UNI Pantone Silver TR|2</t>
  </si>
  <si>
    <t>Краска NSF/UNI Pantone Silver TR|Technical extender LAM</t>
  </si>
  <si>
    <t>Краска NSF/UNI Pantone Silver TR|3</t>
  </si>
  <si>
    <t>Краска NSF/UNI Pantone Silver TR|Extender SL-2 ЭЦ</t>
  </si>
  <si>
    <t>Краска NSF/UNI Pantone Silver TR|4</t>
  </si>
  <si>
    <t>Краска NSF/UNI Pantone Silver TR|TCA-IAM20 (аналог Титан АП 100/Титан АП 130 Д)</t>
  </si>
  <si>
    <t>Краска NSF/UNI Pantone Silver TR|5</t>
  </si>
  <si>
    <t>Краска NSF/UNI Pantone Silver TR|Диоксид кремния Fusil 200 (Радиант Кем.)</t>
  </si>
  <si>
    <t>NSF/LAM  Magenta (146)|1</t>
  </si>
  <si>
    <t>NSF/LAM  Magenta (146)|PC MAGENTA (PR 146) ГОТЭК</t>
  </si>
  <si>
    <t>NSF/LAM  Magenta (146)|2</t>
  </si>
  <si>
    <t>NSF/LAM  Magenta (146)|Technical extender LAM</t>
  </si>
  <si>
    <t>NSF/LAM Yellow (PY 83)|1</t>
  </si>
  <si>
    <t>NSF/LAM Yellow (PY 83)|Паста NSF/PASTE Yellow (PY  83) Г.Д.К.</t>
  </si>
  <si>
    <t>NSF/LAM Yellow (PY 83)|2</t>
  </si>
  <si>
    <t>NSF/LAM Yellow (PY 83)|Technical extender LAM</t>
  </si>
  <si>
    <t>NSF/LAM Yellow (PY 74)|1</t>
  </si>
  <si>
    <t>NSF/LAM Yellow (PY 74)|Паста NSF/PASTE Yellow (PY 74) Г.Д.К.</t>
  </si>
  <si>
    <t>NSF/LAM Yellow (PY 74)|2</t>
  </si>
  <si>
    <t>NSF/LAM Yellow (PY 74)|Technical extender LAM</t>
  </si>
  <si>
    <t>Ink Rhodamone Red (PR 122)|1</t>
  </si>
  <si>
    <t>Ink Rhodamone Red (PR 122)|Паста NSF/PASTE Rhodamine Red (PR 169)  Г.Д.К.</t>
  </si>
  <si>
    <t>Ink Rhodamone Red (PR 122)|2</t>
  </si>
  <si>
    <t>Ink Rhodamone Red (PR 122)|Technical extender LAM</t>
  </si>
  <si>
    <t>INK Green (PG 7) LAM|1</t>
  </si>
  <si>
    <t>INK Green (PG 7) LAM|Паста NSF/PASTE GREEN (PG 7)  SL ЭЦ</t>
  </si>
  <si>
    <t>INK Green (PG 7) LAM|2</t>
  </si>
  <si>
    <t>INK Green (PG 7) LAM|RPC Additive 397</t>
  </si>
  <si>
    <t>INK Green (PG 7) LAM|3</t>
  </si>
  <si>
    <t>INK Green (PG 7) LAM|Изопропанол</t>
  </si>
  <si>
    <t>INK Green (PG 7) LAM|4</t>
  </si>
  <si>
    <t>INK Green (PG 7) LAM|Этилацетат</t>
  </si>
  <si>
    <t>INK Violet (PV 23) LAM|1</t>
  </si>
  <si>
    <t>INK Violet (PV 23) LAM|Паста NSF/PASTE Violet (PV 3) ТАЯ</t>
  </si>
  <si>
    <t>INK Violet (PV 23) LAM|2</t>
  </si>
  <si>
    <t>INK Violet (PV 23) LAM|RPC Additive 397</t>
  </si>
  <si>
    <t>INK Violet (PV 23) LAM|3</t>
  </si>
  <si>
    <t>INK Violet (PV 23) LAM|Изопропанол</t>
  </si>
  <si>
    <t>INK Violet (PV 23) LAM|4</t>
  </si>
  <si>
    <t>INK Violet (PV 23) LAM|Этилацетат</t>
  </si>
  <si>
    <t>INK Orange (PO 34) LAM|1</t>
  </si>
  <si>
    <t>INK Orange (PO 34) LAM|Паста NSF/PASTE Orange (PO 34)  Г.Д.К.</t>
  </si>
  <si>
    <t>INK Orange (PO 34) LAM|2</t>
  </si>
  <si>
    <t>INK Orange (PO 34) LAM|RPC Additive 397</t>
  </si>
  <si>
    <t>INK Orange (PO 34) LAM|3</t>
  </si>
  <si>
    <t>INK Orange (PO 34) LAM|Изопропанол</t>
  </si>
  <si>
    <t>NSF/LAM  Magenta (PR 146)|1</t>
  </si>
  <si>
    <t>NSF/LAM  Magenta (PR 146)|PC MAGENTA (PR 146) Г.Д.К</t>
  </si>
  <si>
    <t>NSF/LAM  Magenta (PR 146)|2</t>
  </si>
  <si>
    <t>NSF/LAM  Magenta (PR 146)|Этилацетат</t>
  </si>
  <si>
    <t>NSF/LAM  Magenta (PR 146)|3</t>
  </si>
  <si>
    <t>NSF/LAM  Magenta (PR 146)|RPC Additive 397</t>
  </si>
  <si>
    <t>NSF/LAM  Magenta (PR 146)|4</t>
  </si>
  <si>
    <t>NSF/LAM  Magenta (PR 146)|Изопропанол</t>
  </si>
  <si>
    <t>NSF/LAM  Magenta (PR 146)|5</t>
  </si>
  <si>
    <t>NSF/LAM  Magenta (PR 146)|Этилцеллозольв</t>
  </si>
  <si>
    <t>Black (PBl 7) / PV|1</t>
  </si>
  <si>
    <t>Black (PBl 7) / PV|Паста NSF/Paste Black (Pbk 7) PU/NC</t>
  </si>
  <si>
    <t>Black (PBl 7) / PV|2</t>
  </si>
  <si>
    <t>Black (PBl 7) / PV|Полиуретан DROPACK 5260</t>
  </si>
  <si>
    <t>Black (PBl 7) / PV|3</t>
  </si>
  <si>
    <t>Black (PBl 7) / PV|Этилцеллозольв</t>
  </si>
  <si>
    <t>Паста NSF/Paste Black (Pbk 7) PU/NC|1</t>
  </si>
  <si>
    <t>Паста NSF/Paste Black (Pbk 7) PU/NC|Полиуретан DROPACK 5260</t>
  </si>
  <si>
    <t>Паста NSF/Paste Black (Pbk 7) PU/NC|2</t>
  </si>
  <si>
    <t>Паста NSF/Paste Black (Pbk 7) PU/NC|Н-пропанол</t>
  </si>
  <si>
    <t>Паста NSF/Paste Black (Pbk 7) PU/NC|3</t>
  </si>
  <si>
    <t>Паста NSF/Paste Black (Pbk 7) PU/NC|Н-пропилацетат</t>
  </si>
  <si>
    <t>Паста NSF/Paste Black (Pbk 7) PU/NC|4</t>
  </si>
  <si>
    <t>Паста NSF/Paste Black (Pbk 7) PU/NC|Нитроцеллюлоза LX 5/8 IPA WET</t>
  </si>
  <si>
    <t>Паста NSF/Paste Black (Pbk 7) PU/NC|5</t>
  </si>
  <si>
    <t>Паста NSF/Paste Black (Pbk 7) PU/NC|LIDA DSS 20000R</t>
  </si>
  <si>
    <t>Паста NSF/Paste Black (Pbk 7) PU/NC|6</t>
  </si>
  <si>
    <t>Паста NSF/Paste Black (Pbk 7) PU/NC|Lubrizol Solsperse 12000</t>
  </si>
  <si>
    <t>Паста NSF/Paste Black (Pbk 7) PU/NC|7</t>
  </si>
  <si>
    <t>Паста NSF/Paste Black (Pbk 7) PU/NC|Pigment Black NuTone 310</t>
  </si>
  <si>
    <t>NSF/PC Cyan Blue (PB 15:3) ГОТЭК|1</t>
  </si>
  <si>
    <t>NSF/PC Cyan Blue (PB 15:3) ГОТЭК|Паста NSF/Paste Cyan Blue (PB 15:3) Г.Д.К.</t>
  </si>
  <si>
    <t>NSF/PC Cyan Blue (PB 15:3) ГОТЭК|2</t>
  </si>
  <si>
    <t>NSF/PC Cyan Blue (PB 15:3) ГОТЭК|Этилацетат</t>
  </si>
  <si>
    <t>NSF/PC Cyan Blue (PB 15:3) ГОТЭК|3</t>
  </si>
  <si>
    <t>NSF/PC Cyan Blue (PB 15:3) ГОТЭК|Паста NSF/PASTE Magenta (PR 57:1) Г.Д.К.</t>
  </si>
  <si>
    <t>NSF/PC Cyan Blue (PB 15:3) ГОТЭК|4</t>
  </si>
  <si>
    <t>NSF/PC Cyan Blue (PB 15:3) ГОТЭК|Лак Extender НЦ-90</t>
  </si>
  <si>
    <t>NSF/PC Cyan Blue (PB 15:3) ГОТЭК|5</t>
  </si>
  <si>
    <t>NSF/PC Cyan Blue (PB 15:3) ГОТЭК|Бочка стальная 210 л.</t>
  </si>
  <si>
    <t>NSF/PC Cyan Blue (PB 15:3) ГОТЭК|6</t>
  </si>
  <si>
    <t>NSF/PC Cyan Blue (PB 15:3) ГОТЭК|Ведро 25 л.</t>
  </si>
  <si>
    <t>NSF/PC Magenta (PR 57:1) ГОТЭК|1</t>
  </si>
  <si>
    <t>NSF/PC Magenta (PR 57:1) ГОТЭК|Паста NSF/PASTE Magenta (PR 57:1) Г.Д.К.</t>
  </si>
  <si>
    <t>NSF/PC Magenta (PR 57:1) ГОТЭК|2</t>
  </si>
  <si>
    <t>NSF/PC Magenta (PR 57:1) ГОТЭК|Этилацетат</t>
  </si>
  <si>
    <t>NSF/PC Magenta (PR 57:1) ГОТЭК|3</t>
  </si>
  <si>
    <t>NSF/PC Magenta (PR 57:1) ГОТЭК|Паста NSF/PASTE Yellow (PY 13) Г.Д.К.</t>
  </si>
  <si>
    <t>NSF/PC Magenta (PR 57:1) ГОТЭК|4</t>
  </si>
  <si>
    <t>NSF/PC Magenta (PR 57:1) ГОТЭК|Лак Extender НЦ-90</t>
  </si>
  <si>
    <t>NSF/PC Magenta (PR 57:1) ГОТЭК|5</t>
  </si>
  <si>
    <t>NSF/PC Magenta (PR 57:1) ГОТЭК|Бочка стальная 210 л.</t>
  </si>
  <si>
    <t>NSF/PC Magenta (PR 57:1) ГОТЭК|6</t>
  </si>
  <si>
    <t>NSF/PC Magenta (PR 57:1) ГОТЭК|Ведро 25 л.</t>
  </si>
  <si>
    <t>NSF/PC Yellow (PY 13) ГОТЭК|1</t>
  </si>
  <si>
    <t>NSF/PC Yellow (PY 13) ГОТЭК|Паста NSF/PASTE Yellow (PY 13) Г.Д.К.</t>
  </si>
  <si>
    <t>NSF/PC Yellow (PY 13) ГОТЭК|2</t>
  </si>
  <si>
    <t>NSF/PC Yellow (PY 13) ГОТЭК|Этилцеллозольв</t>
  </si>
  <si>
    <t>NSF/PC Yellow (PY 13) ГОТЭК|3</t>
  </si>
  <si>
    <t>NSF/PC Yellow (PY 13) ГОТЭК|Изопропанол</t>
  </si>
  <si>
    <t>NSF/PC Yellow (PY 13) ГОТЭК|4</t>
  </si>
  <si>
    <t>NSF/PC Yellow (PY 13) ГОТЭК|Этилацетат</t>
  </si>
  <si>
    <t>NSF/PC Yellow (PY 13) ГОТЭК|5</t>
  </si>
  <si>
    <t>NSF/PC Yellow (PY 13) ГОТЭК|Бочка стальная 210 л.</t>
  </si>
  <si>
    <t>NSF/PC Yellow (PY 13) ГОТЭК|6</t>
  </si>
  <si>
    <t>NSF/PC Yellow (PY 13) ГОТЭК|Ведро 25 л.</t>
  </si>
  <si>
    <t>NSF/PC Black (PBk 7) ГОТЭК|1</t>
  </si>
  <si>
    <t>NSF/PC Black (PBk 7) ГОТЭК|Паста NSF/PASTE Black  (PBk 7) Г.Д.К.</t>
  </si>
  <si>
    <t>NSF/PC Black (PBk 7) ГОТЭК|2</t>
  </si>
  <si>
    <t>NSF/PC Black (PBk 7) ГОТЭК|Этилацетат</t>
  </si>
  <si>
    <t>NSF/PC Black (PBk 7) ГОТЭК|3</t>
  </si>
  <si>
    <t>NSF/PC Black (PBk 7) ГОТЭК|Бочка стальная 210 л.</t>
  </si>
  <si>
    <t>INK Black (Pbk 7) КП 80|1</t>
  </si>
  <si>
    <t>INK Black (Pbk 7) КП 80|Technical Extender UNI 1338</t>
  </si>
  <si>
    <t>INK Black (Pbk 7) КП 80|2</t>
  </si>
  <si>
    <t>INK Black (Pbk 7) КП 80|Паста NSF/Paste Black (Pbk 7) КП 80</t>
  </si>
  <si>
    <t>INK Black (Pbk 7) КП 80|3</t>
  </si>
  <si>
    <t>INK Black (Pbk 7) КП 80|Extender SL-2 ЭЦ</t>
  </si>
  <si>
    <t>INK Black (Pbk 7) КП 80|4</t>
  </si>
  <si>
    <t>INK Black (Pbk 7) КП 80|Wax-Erucamide paste</t>
  </si>
  <si>
    <t>INK Black (Pbk 7) КП 80|5</t>
  </si>
  <si>
    <t>INK Black (Pbk 7) КП 80|TCA-IAM20 (аналог Титан АП 100/Титан АП 130 Д)</t>
  </si>
  <si>
    <t>Technical Extender. PA|1</t>
  </si>
  <si>
    <t>Technical Extender. PA|Dromide 957</t>
  </si>
  <si>
    <t>Technical Extender. PA|2</t>
  </si>
  <si>
    <t>Technical Extender. PA|Изопропанол</t>
  </si>
  <si>
    <t>Technical Extender. PA|3</t>
  </si>
  <si>
    <t>Technical Extender. PA|Этилцеллозольв</t>
  </si>
  <si>
    <t>Technical Extender. PA|4</t>
  </si>
  <si>
    <t>Technical Extender. PA|Этилацетат</t>
  </si>
  <si>
    <t>Technical Extender. PA|5</t>
  </si>
  <si>
    <t>Technical Extender. PA|Wax-Erucamide paste</t>
  </si>
  <si>
    <t>INK Magenta (146)|1</t>
  </si>
  <si>
    <t>INK Magenta (146)|PC MAGENTA (PR 146) ГОТЭК</t>
  </si>
  <si>
    <t>INK Magenta (146)|2</t>
  </si>
  <si>
    <t>INK Magenta (146)|Technical Extender UNI 1338</t>
  </si>
  <si>
    <t>INK Magenta (146)|3</t>
  </si>
  <si>
    <t>INK Magenta (146)|Extender SL-2 ЭЦ</t>
  </si>
  <si>
    <t>INK Magenta (146)|4</t>
  </si>
  <si>
    <t>INK Magenta (146)|Wax-Erucamide paste</t>
  </si>
  <si>
    <t>INK Magenta (146)  ЭЦ|1</t>
  </si>
  <si>
    <t>INK Magenta (146)  ЭЦ|PC MAGENTA (PR 146) ГОТЭК</t>
  </si>
  <si>
    <t>INK Magenta (146)  ЭЦ|2</t>
  </si>
  <si>
    <t>INK Magenta (146)  ЭЦ|Technical Extender. PA</t>
  </si>
  <si>
    <t>INK Yellow (PY 74)|1</t>
  </si>
  <si>
    <t>INK Yellow (PY 74)|PC YELLOW (PY 74) ГОТЭК</t>
  </si>
  <si>
    <t>INK Yellow (PY 74)|2</t>
  </si>
  <si>
    <t>INK Yellow (PY 74)|Technical Extender UNI 1338</t>
  </si>
  <si>
    <t>INK Yellow (PY 74)|3</t>
  </si>
  <si>
    <t>INK Yellow (PY 74)|Extender SL-2 ЭЦ</t>
  </si>
  <si>
    <t>INK Yellow (PY 74)|4</t>
  </si>
  <si>
    <t>INK Yellow (PY 74)|Wax-Erucamide paste</t>
  </si>
  <si>
    <t>INK Yellow (PY 74)|5</t>
  </si>
  <si>
    <t>INK Yellow (PY 74)|TCA-IAM20 (аналог Титан АП 100/Титан АП 130 Д)</t>
  </si>
  <si>
    <t>Воск-Эрукамид паста|1</t>
  </si>
  <si>
    <t>Воск-Эрукамид паста|Изопропанол</t>
  </si>
  <si>
    <t>Воск-Эрукамид паста|2</t>
  </si>
  <si>
    <t>Воск-Эрукамид паста|Эрукамид Finawax E</t>
  </si>
  <si>
    <t>Воск-Эрукамид паста|3</t>
  </si>
  <si>
    <t>Воск-Эрукамид паста|Нитроцеллюлоза LX 5/8 IPA WET</t>
  </si>
  <si>
    <t>INK Cyan Blue (PB 15:3)|1</t>
  </si>
  <si>
    <t>INK Cyan Blue (PB 15:3)|Паста NSF/Paste Cyan Blue (PB 15:3) SL ЭЦ</t>
  </si>
  <si>
    <t>INK Cyan Blue (PB 15:3)|2</t>
  </si>
  <si>
    <t>INK Cyan Blue (PB 15:3)|Technical Extender UNI 1338</t>
  </si>
  <si>
    <t>INK Cyan Blue (PB 15:3)|3</t>
  </si>
  <si>
    <t>INK Cyan Blue (PB 15:3)|Extender SL-2 ЭЦ</t>
  </si>
  <si>
    <t>INK Cyan Blue (PB 15:3)|4</t>
  </si>
  <si>
    <t>INK Cyan Blue (PB 15:3)|Wax-Erucamide paste</t>
  </si>
  <si>
    <t>INK Cyan Blue (PB 15:3)|5</t>
  </si>
  <si>
    <t>INK Cyan Blue (PB 15:3)|TCA-IAM20 (аналог Титан АП 100/Титан АП 130 Д)</t>
  </si>
  <si>
    <t>Лак ADHESION EXTENDER|1</t>
  </si>
  <si>
    <t>Лак ADHESION EXTENDER|Изопропанол</t>
  </si>
  <si>
    <t>Лак ADHESION EXTENDER|2</t>
  </si>
  <si>
    <t>Лак ADHESION EXTENDER|TCA-IAM20 (аналог Титан АП 100/Титан АП 130 Д)</t>
  </si>
  <si>
    <t>INK Yellow (PY 83)|1</t>
  </si>
  <si>
    <t>INK Yellow (PY 83)|PC YELLOW (PY 83) ГОТЭК</t>
  </si>
  <si>
    <t>INK Yellow (PY 83)|2</t>
  </si>
  <si>
    <t>INK Yellow (PY 83)|Technical Extender UNI 1338</t>
  </si>
  <si>
    <t>INK Yellow (PY 83)|3</t>
  </si>
  <si>
    <t>INK Yellow (PY 83)|Extender SL-2 ЭЦ</t>
  </si>
  <si>
    <t>INK Yellow (PY 83)|4</t>
  </si>
  <si>
    <t>INK Yellow (PY 83)|Wax-Erucamide paste</t>
  </si>
  <si>
    <t>INK Yellow (PY 83)|5</t>
  </si>
  <si>
    <t>INK Yellow (PY 83)|TCA-IAM20 (аналог Титан АП 100/Титан АП 130 Д)</t>
  </si>
  <si>
    <t>INK Green (PG 7)|1</t>
  </si>
  <si>
    <t>INK Green (PG 7)|Паста NSF/PASTE GREEN (PG 7)  SL ЭЦ</t>
  </si>
  <si>
    <t>INK Green (PG 7)|2</t>
  </si>
  <si>
    <t>INK Green (PG 7)|Technical Extender UNI 1338</t>
  </si>
  <si>
    <t>INK Green (PG 7)|3</t>
  </si>
  <si>
    <t>INK Green (PG 7)|Extender SL-2 ЭЦ</t>
  </si>
  <si>
    <t>INK Green (PG 7)|4</t>
  </si>
  <si>
    <t>INK Green (PG 7)|Wax-Erucamide paste</t>
  </si>
  <si>
    <t>INK Red (PR 254)|1</t>
  </si>
  <si>
    <t>INK Red (PR 254)|PC RED (PR 254)ГОТЭК</t>
  </si>
  <si>
    <t>INK Red (PR 254)|2</t>
  </si>
  <si>
    <t>INK Red (PR 254)|Technical Extender UNI 1338</t>
  </si>
  <si>
    <t>INK Red (PR 254)|3</t>
  </si>
  <si>
    <t>INK Red (PR 254)|Extender SL-2 ЭЦ</t>
  </si>
  <si>
    <t>INK Red (PR 254)|4</t>
  </si>
  <si>
    <t>INK Red (PR 254)|Wax-Erucamide paste</t>
  </si>
  <si>
    <t>INK Orange (PO 34)|1</t>
  </si>
  <si>
    <t>INK Orange (PO 34)|Паста NSF/PASTE Orange (PO 34)  SL ЭЦ</t>
  </si>
  <si>
    <t>INK Orange (PO 34)|2</t>
  </si>
  <si>
    <t>INK Orange (PO 34)|Technical Extender UNI 1338</t>
  </si>
  <si>
    <t>INK Orange (PO 34)|3</t>
  </si>
  <si>
    <t>INK Orange (PO 34)|Extender SL-2 ЭЦ</t>
  </si>
  <si>
    <t>INK Orange (PO 34)|4</t>
  </si>
  <si>
    <t>INK Orange (PO 34)|Wax-Erucamide paste</t>
  </si>
  <si>
    <t>INK Orange (PO 34)|5</t>
  </si>
  <si>
    <t>INK Orange (PO 34)|TCA-IAM20 (аналог Титан АП 100/Титан АП 130 Д)</t>
  </si>
  <si>
    <t>INK Violet (PV 23)|1</t>
  </si>
  <si>
    <t>INK Violet (PV 23)|Паста NSF/PASTE Violet (PV 3) ТАЯ</t>
  </si>
  <si>
    <t>INK Violet (PV 23)|2</t>
  </si>
  <si>
    <t>INK Violet (PV 23)|Technical Extender UNI 1338</t>
  </si>
  <si>
    <t>INK Violet (PV 23)|3</t>
  </si>
  <si>
    <t>INK Violet (PV 23)|Extender SL-2 ЭЦ</t>
  </si>
  <si>
    <t>INK Violet (PV 23)|4</t>
  </si>
  <si>
    <t>INK Violet (PV 23)|Wax-Erucamide paste</t>
  </si>
  <si>
    <t>INK Rhodamine Red (PR 122 )|1</t>
  </si>
  <si>
    <t>INK Rhodamine Red (PR 122 )|PC Rhodamine Red (PR 122) ГОТЭК</t>
  </si>
  <si>
    <t>INK Rhodamine Red (PR 122 )|2</t>
  </si>
  <si>
    <t>INK Rhodamine Red (PR 122 )|Technical Extender UNI 1338</t>
  </si>
  <si>
    <t>INK Rhodamine Red (PR 122 )|3</t>
  </si>
  <si>
    <t>INK Rhodamine Red (PR 122 )|Extender SL-2 ЭЦ</t>
  </si>
  <si>
    <t>INK Rhodamine Red (PR 122 )|4</t>
  </si>
  <si>
    <t>INK Rhodamine Red (PR 122 )|Wax-Erucamide paste</t>
  </si>
  <si>
    <t>Лак UNI Extender(на 1338)|1</t>
  </si>
  <si>
    <t>Лак UNI Extender(на 1338)|Technical Extender UNI 1338</t>
  </si>
  <si>
    <t>Лак UNI Extender(на 1338)|2</t>
  </si>
  <si>
    <t>Лак UNI Extender(на 1338)|Wax-Erucamide paste</t>
  </si>
  <si>
    <t>Лак UNI Extender (РА)|1</t>
  </si>
  <si>
    <t>Лак UNI Extender (РА)|Лак Extender НЦ-90</t>
  </si>
  <si>
    <t>Лак UNI Extender (РА)|2</t>
  </si>
  <si>
    <t>Лак UNI Extender (РА)|Technical Extender. PA</t>
  </si>
  <si>
    <t>Лак Extender НЦ-35 ROTO|1</t>
  </si>
  <si>
    <t>Лак Extender НЦ-35 ROTO|Изопропанол</t>
  </si>
  <si>
    <t>Лак Extender НЦ-35 ROTO|2</t>
  </si>
  <si>
    <t>Лак Extender НЦ-35 ROTO|Этилацетат</t>
  </si>
  <si>
    <t>Лак Extender НЦ-35 ROTO|3</t>
  </si>
  <si>
    <t>Лак Extender НЦ-35 ROTO|Нитроцеллюлоза LX 5/8 IPA WET</t>
  </si>
  <si>
    <t>Лак UNI Extender  ROTO|1</t>
  </si>
  <si>
    <t>Лак UNI Extender  ROTO|Лак Extender НЦ-35 ROTO</t>
  </si>
  <si>
    <t>Лак UNI Extender  ROTO|2</t>
  </si>
  <si>
    <t>Лак UNI Extender  ROTO|Technical Extender UNI ЭЦ</t>
  </si>
  <si>
    <t>Лак LAM Extender ROTO|1</t>
  </si>
  <si>
    <t>Лак LAM Extender ROTO|Лак Extender НЦ-35 ROTO</t>
  </si>
  <si>
    <t>Лак LAM Extender ROTO|2</t>
  </si>
  <si>
    <t>Лак LAM Extender ROTO|Technical extender LAM</t>
  </si>
  <si>
    <t>Лак SURF Extender ROTO|1</t>
  </si>
  <si>
    <t>Лак SURF Extender ROTO|Лак Extender НЦ-35 ROTO</t>
  </si>
  <si>
    <t>Лак SURF Extender ROTO|2</t>
  </si>
  <si>
    <t>Лак SURF Extender ROTO|Technical Extender SURF ROTO</t>
  </si>
  <si>
    <t>Паста NSF/PASTE White (PW 6) ROTAGRAV|1</t>
  </si>
  <si>
    <t>Паста NSF/PASTE White (PW 6) ROTAGRAV|Изопропанол</t>
  </si>
  <si>
    <t>Паста NSF/PASTE White (PW 6) ROTAGRAV|2</t>
  </si>
  <si>
    <t>Паста NSF/PASTE White (PW 6) ROTAGRAV|Этилацетат</t>
  </si>
  <si>
    <t>Паста NSF/PASTE White (PW 6) ROTAGRAV|3</t>
  </si>
  <si>
    <t>Паста NSF/PASTE White (PW 6) ROTAGRAV|Диоксид титана Kronos 2190</t>
  </si>
  <si>
    <t>Паста NSF/PASTE White (PW 6) ROTAGRAV|4</t>
  </si>
  <si>
    <t>Паста NSF/PASTE White (PW 6) ROTAGRAV|Нитроцеллюлоза LX 5/8 IPA WET</t>
  </si>
  <si>
    <t>Паста NSF/PASTE White (PW 6) ТпР А400|1</t>
  </si>
  <si>
    <t>Паста NSF/PASTE White (PW 6) ТпР А400|Изопропанол</t>
  </si>
  <si>
    <t>Паста NSF/PASTE White (PW 6) ТпР А400|2</t>
  </si>
  <si>
    <t>Паста NSF/PASTE White (PW 6) ТпР А400|Этилацетат</t>
  </si>
  <si>
    <t>Паста NSF/PASTE White (PW 6) ТпР А400|3</t>
  </si>
  <si>
    <t>Паста NSF/PASTE White (PW 6) ТпР А400|Этилцеллозольв</t>
  </si>
  <si>
    <t>Паста NSF/PASTE White (PW 6) ТпР А400|4</t>
  </si>
  <si>
    <t>Паста NSF/PASTE White (PW 6) ТпР А400|Диоксид титана BR-3661</t>
  </si>
  <si>
    <t>Паста NSF/PASTE White (PW 6) ТпР А400|5</t>
  </si>
  <si>
    <t>Паста NSF/PASTE White (PW 6) ТпР А400|Nitrocellulose ( SS 30-35)</t>
  </si>
  <si>
    <t>Паста NSF/Paste Black (Pbk 7) КП 80|1</t>
  </si>
  <si>
    <t>Паста NSF/Paste Black (Pbk 7) КП 80|Изопропанол</t>
  </si>
  <si>
    <t>Паста NSF/Paste Black (Pbk 7) КП 80|2</t>
  </si>
  <si>
    <t>Паста NSF/Paste Black (Pbk 7) КП 80|Этилцеллозольв</t>
  </si>
  <si>
    <t>Паста NSF/Paste Black (Pbk 7) КП 80|3</t>
  </si>
  <si>
    <t>Паста NSF/Paste Black (Pbk 7) КП 80|Этилацетат</t>
  </si>
  <si>
    <t>Паста NSF/Paste Black (Pbk 7) КП 80|4</t>
  </si>
  <si>
    <t>Паста NSF/Paste Black (Pbk 7) КП 80|Nitrocellulose ( SS 30-35)</t>
  </si>
  <si>
    <t>Паста NSF/Paste Black (Pbk 7) КП 80|5</t>
  </si>
  <si>
    <t>Паста NSF/Paste Black (Pbk 7) КП 80|LIDA DSS 20000R</t>
  </si>
  <si>
    <t>Паста NSF/Paste Black (Pbk 7) КП 80|6</t>
  </si>
  <si>
    <t>Паста NSF/Paste Black (Pbk 7) КП 80|Lubrizol Solsperse 12000</t>
  </si>
  <si>
    <t>Паста NSF/Paste Black (Pbk 7) КП 80|7</t>
  </si>
  <si>
    <t>Паста NSF/Paste Black (Pbk 7) КП 80|Pigment Black PС 406</t>
  </si>
  <si>
    <t>Паста NSF/PASTE Magenta (PR 57:1) ЭЦ|1</t>
  </si>
  <si>
    <t>Паста NSF/PASTE Magenta (PR 57:1) ЭЦ|Изопропанол</t>
  </si>
  <si>
    <t>Паста NSF/PASTE Magenta (PR 57:1) ЭЦ|2</t>
  </si>
  <si>
    <t>Паста NSF/PASTE Magenta (PR 57:1) ЭЦ|Этилцеллозольв</t>
  </si>
  <si>
    <t>Паста NSF/PASTE Magenta (PR 57:1) ЭЦ|3</t>
  </si>
  <si>
    <t>Паста NSF/PASTE Magenta (PR 57:1) ЭЦ|Этилацетат</t>
  </si>
  <si>
    <t>Паста NSF/PASTE Magenta (PR 57:1) ЭЦ|4</t>
  </si>
  <si>
    <t>Паста NSF/PASTE Magenta (PR 57:1) ЭЦ|Nitrocellulose ( SS 30-35)</t>
  </si>
  <si>
    <t>Паста NSF/PASTE Magenta (PR 57:1) ЭЦ|5</t>
  </si>
  <si>
    <t>Паста NSF/PASTE Magenta (PR 57:1) ЭЦ|Pigment Magenta PR 57:1 от Химсвет</t>
  </si>
  <si>
    <t>Паста NSF/PASTE Yellow (PY 13)  SL ЭЦ|1</t>
  </si>
  <si>
    <t>Паста NSF/PASTE Yellow (PY 13)  SL ЭЦ|Изопропанол</t>
  </si>
  <si>
    <t>Паста NSF/PASTE Yellow (PY 13)  SL ЭЦ|2</t>
  </si>
  <si>
    <t>Паста NSF/PASTE Yellow (PY 13)  SL ЭЦ|Этилцеллозольв</t>
  </si>
  <si>
    <t>Паста NSF/PASTE Yellow (PY 13)  SL ЭЦ|3</t>
  </si>
  <si>
    <t>Паста NSF/PASTE Yellow (PY 13)  SL ЭЦ|Этилацетат</t>
  </si>
  <si>
    <t>Паста NSF/PASTE Yellow (PY 13)  SL ЭЦ|4</t>
  </si>
  <si>
    <t>Паста NSF/PASTE Yellow (PY 13)  SL ЭЦ|Nitrocellulose ( SS 30-35)</t>
  </si>
  <si>
    <t>Паста NSF/PASTE Yellow (PY 13)  SL ЭЦ|5</t>
  </si>
  <si>
    <t>Паста NSF/PASTE Yellow (PY 13)  SL ЭЦ|Pigment Yellow PY 13</t>
  </si>
  <si>
    <t>Паста NSF/Paste Cyan Blue (PB 15:3) SL ЭЦ|1</t>
  </si>
  <si>
    <t>Паста NSF/Paste Cyan Blue (PB 15:3) SL ЭЦ|Изопропанол</t>
  </si>
  <si>
    <t>Паста NSF/Paste Cyan Blue (PB 15:3) SL ЭЦ|2</t>
  </si>
  <si>
    <t>Паста NSF/Paste Cyan Blue (PB 15:3) SL ЭЦ|Этилцеллозольв</t>
  </si>
  <si>
    <t>Паста NSF/Paste Cyan Blue (PB 15:3) SL ЭЦ|3</t>
  </si>
  <si>
    <t>Паста NSF/Paste Cyan Blue (PB 15:3) SL ЭЦ|Этилацетат</t>
  </si>
  <si>
    <t>Паста NSF/Paste Cyan Blue (PB 15:3) SL ЭЦ|4</t>
  </si>
  <si>
    <t>Паста NSF/Paste Cyan Blue (PB 15:3) SL ЭЦ|Nitrocellulose ( SS 30-35)</t>
  </si>
  <si>
    <t>Паста NSF/Paste Cyan Blue (PB 15:3) SL ЭЦ|5</t>
  </si>
  <si>
    <t>Паста NSF/Paste Cyan Blue (PB 15:3) SL ЭЦ|Pigment Cyan Blue PB 15:3</t>
  </si>
  <si>
    <t>Паста NSF/Paste Black (Pbk 7) КП 80 растр|1</t>
  </si>
  <si>
    <t>Паста NSF/Paste Black (Pbk 7) КП 80 растр|Изопропанол</t>
  </si>
  <si>
    <t>Паста NSF/Paste Black (Pbk 7) КП 80 растр|2</t>
  </si>
  <si>
    <t>Паста NSF/Paste Black (Pbk 7) КП 80 растр|Этилцеллозольв</t>
  </si>
  <si>
    <t>Паста NSF/Paste Black (Pbk 7) КП 80 растр|3</t>
  </si>
  <si>
    <t>Паста NSF/Paste Black (Pbk 7) КП 80 растр|Этилацетат</t>
  </si>
  <si>
    <t>Паста NSF/Paste Black (Pbk 7) КП 80 растр|4</t>
  </si>
  <si>
    <t>Паста NSF/Paste Black (Pbk 7) КП 80 растр|Nitrocellulose ( SS 30-35)</t>
  </si>
  <si>
    <t>Паста NSF/Paste Black (Pbk 7) КП 80 растр|5</t>
  </si>
  <si>
    <t>Паста NSF/Paste Black (Pbk 7) КП 80 растр|LIDA DSS 20000R</t>
  </si>
  <si>
    <t>Паста NSF/Paste Black (Pbk 7) КП 80 растр|6</t>
  </si>
  <si>
    <t>Паста NSF/Paste Black (Pbk 7) КП 80 растр|Lubrizol Solsperse 12000</t>
  </si>
  <si>
    <t>Паста NSF/Paste Black (Pbk 7) КП 80 растр|7</t>
  </si>
  <si>
    <t>Паста NSF/Paste Black (Pbk 7) КП 80 растр|Pigment Black PС 406</t>
  </si>
  <si>
    <t>Паста NSF/PASTE Rhodamine Red (PR 169)  Г.Д.К.|1</t>
  </si>
  <si>
    <t>Паста NSF/PASTE Rhodamine Red (PR 169)  Г.Д.К.|Пигмент красный 169</t>
  </si>
  <si>
    <t>Паста NSF/PASTE Rhodamine Red (PR 169)  Г.Д.К.|2</t>
  </si>
  <si>
    <t>Паста NSF/PASTE Rhodamine Red (PR 169)  Г.Д.К.|Nitrocellulose ( SS 30-35)</t>
  </si>
  <si>
    <t>Паста NSF/PASTE Rhodamine Red (PR 169)  Г.Д.К.|3</t>
  </si>
  <si>
    <t>Паста NSF/PASTE Rhodamine Red (PR 169)  Г.Д.К.|Изопропанол</t>
  </si>
  <si>
    <t>Паста NSF/PASTE Rhodamine Red (PR 169)  Г.Д.К.|4</t>
  </si>
  <si>
    <t>Паста NSF/PASTE Rhodamine Red (PR 169)  Г.Д.К.|Этилацетат</t>
  </si>
  <si>
    <t>Паста NSF/PASTE Rhodamine Red (PR 169)  Г.Д.К.|5</t>
  </si>
  <si>
    <t>Паста NSF/PASTE Rhodamine Red (PR 169)  Г.Д.К.|Этилцеллозольв</t>
  </si>
  <si>
    <t>Паста NSF/PASTE Rhodamine Red (PR 169)  Г.Д.К.|6</t>
  </si>
  <si>
    <t>Паста NSF/PASTE Rhodamine Red (PR 169)  Г.Д.К.|LIDA DSS 20000R</t>
  </si>
  <si>
    <t>Паста NSF/Paste Warm Red (PR 53:1) Г.Д.К.|1</t>
  </si>
  <si>
    <t>Паста NSF/Paste Warm Red (PR 53:1) Г.Д.К.|Этилацетат</t>
  </si>
  <si>
    <t>Паста NSF/Paste Warm Red (PR 53:1) Г.Д.К.|2</t>
  </si>
  <si>
    <t>Паста NSF/Paste Warm Red (PR 53:1) Г.Д.К.|Изопропанол</t>
  </si>
  <si>
    <t>Паста NSF/Paste Warm Red (PR 53:1) Г.Д.К.|3</t>
  </si>
  <si>
    <t>Паста NSF/Paste Warm Red (PR 53:1) Г.Д.К.|Этилцеллозольв</t>
  </si>
  <si>
    <t>Паста NSF/Paste Warm Red (PR 53:1) Г.Д.К.|4</t>
  </si>
  <si>
    <t>Паста NSF/Paste Warm Red (PR 53:1) Г.Д.К.|Nitrocellulose ( SS 30-35)</t>
  </si>
  <si>
    <t>Паста NSF/Paste Warm Red (PR 53:1) Г.Д.К.|5</t>
  </si>
  <si>
    <t>Паста NSF/Paste Warm Red (PR 53:1) Г.Д.К.|LIDA DSS 20000R</t>
  </si>
  <si>
    <t>Паста NSF/Paste Warm Red (PR 53:1) Г.Д.К.|6</t>
  </si>
  <si>
    <t>Паста NSF/Paste Warm Red (PR 53:1) Г.Д.К.|Pigment Warm Red PR 53:1 ЕТС</t>
  </si>
  <si>
    <t>Паста NSF/PASTE Orange (PO 34)  SL ЭЦ|1</t>
  </si>
  <si>
    <t>Паста NSF/PASTE Orange (PO 34)  SL ЭЦ|Изопропанол</t>
  </si>
  <si>
    <t>Паста NSF/PASTE Orange (PO 34)  SL ЭЦ|2</t>
  </si>
  <si>
    <t>Паста NSF/PASTE Orange (PO 34)  SL ЭЦ|Этилацетат</t>
  </si>
  <si>
    <t>Паста NSF/PASTE Orange (PO 34)  SL ЭЦ|3</t>
  </si>
  <si>
    <t>Паста NSF/PASTE Orange (PO 34)  SL ЭЦ|LIDA DSS 20000R</t>
  </si>
  <si>
    <t>Паста NSF/PASTE Orange (PO 34)  SL ЭЦ|4</t>
  </si>
  <si>
    <t>Паста NSF/PASTE Orange (PO 34)  SL ЭЦ|Lubrizol Solsperse 22000</t>
  </si>
  <si>
    <t>Паста NSF/PASTE Orange (PO 34)  SL ЭЦ|5</t>
  </si>
  <si>
    <t>Паста NSF/PASTE Orange (PO 34)  SL ЭЦ|Нитроцеллюлоза LX 5/8 IPA WET</t>
  </si>
  <si>
    <t>Паста NSF/PASTE Orange (PO 34)  SL ЭЦ|6</t>
  </si>
  <si>
    <t>Паста NSF/PASTE Orange (PO 34)  SL ЭЦ|Pigment Orange PO 34</t>
  </si>
  <si>
    <t>Паста NSF/PASTE Violet (PV 23) Г.Д.К.|1</t>
  </si>
  <si>
    <t>Паста NSF/PASTE Violet (PV 23) Г.Д.К.|Нитроцеллюлоза LX 5/8 IPA WET</t>
  </si>
  <si>
    <t>Паста NSF/PASTE Violet (PV 23) Г.Д.К.|2</t>
  </si>
  <si>
    <t>Паста NSF/PASTE Violet (PV 23) Г.Д.К.|Изопропанол</t>
  </si>
  <si>
    <t>Паста NSF/PASTE Violet (PV 23) Г.Д.К.|3</t>
  </si>
  <si>
    <t>Паста NSF/PASTE Violet (PV 23) Г.Д.К.|Этилацетат</t>
  </si>
  <si>
    <t>Паста NSF/PASTE Violet (PV 23) Г.Д.К.|4</t>
  </si>
  <si>
    <t>Паста NSF/PASTE Violet (PV 23) Г.Д.К.|Этилцеллозольв</t>
  </si>
  <si>
    <t>Паста NSF/PASTE Violet (PV 23) Г.Д.К.|5</t>
  </si>
  <si>
    <t>Паста NSF/PASTE Violet (PV 23) Г.Д.К.|LIDA DSS 20000R</t>
  </si>
  <si>
    <t>Паста NSF/PASTE Violet (PV 23) Г.Д.К.|6</t>
  </si>
  <si>
    <t>Паста NSF/PASTE Violet (PV 23) Г.Д.К.|Pigment Violet PV23</t>
  </si>
  <si>
    <t>Паста NSF/PASTE GREEN (PG 7)  SL ЭЦ|1</t>
  </si>
  <si>
    <t>Паста NSF/PASTE GREEN (PG 7)  SL ЭЦ|Этилцеллозольв</t>
  </si>
  <si>
    <t>Паста NSF/PASTE GREEN (PG 7)  SL ЭЦ|2</t>
  </si>
  <si>
    <t>Паста NSF/PASTE GREEN (PG 7)  SL ЭЦ|Изопропанол</t>
  </si>
  <si>
    <t>Паста NSF/PASTE GREEN (PG 7)  SL ЭЦ|3</t>
  </si>
  <si>
    <t>Паста NSF/PASTE GREEN (PG 7)  SL ЭЦ|Этилацетат</t>
  </si>
  <si>
    <t>Паста NSF/PASTE GREEN (PG 7)  SL ЭЦ|4</t>
  </si>
  <si>
    <t>Паста NSF/PASTE GREEN (PG 7)  SL ЭЦ|Нитроцеллюлоза LX 5/8 IPA WET</t>
  </si>
  <si>
    <t>Паста NSF/PASTE GREEN (PG 7)  SL ЭЦ|5</t>
  </si>
  <si>
    <t>Паста NSF/PASTE GREEN (PG 7)  SL ЭЦ|Lubrizol Solsperse 12000</t>
  </si>
  <si>
    <t>Паста NSF/PASTE GREEN (PG 7)  SL ЭЦ|6</t>
  </si>
  <si>
    <t>Паста NSF/PASTE GREEN (PG 7)  SL ЭЦ|Pigment Green PG 7 NC</t>
  </si>
  <si>
    <t>Паста NSF/PASTE GREEN (PG 7)  SL ЭЦ|7</t>
  </si>
  <si>
    <t>Паста NSF/PASTE GREEN (PG 7)  SL ЭЦ|LIDA DSS 20000R</t>
  </si>
  <si>
    <t>Паста NSF/PASTE White (PW 6) S + AEROSIL 200|1</t>
  </si>
  <si>
    <t>Паста NSF/PASTE White (PW 6) S + AEROSIL 200|Изопропанол</t>
  </si>
  <si>
    <t>Паста NSF/PASTE White (PW 6) S + AEROSIL 200|2</t>
  </si>
  <si>
    <t>Паста NSF/PASTE White (PW 6) S + AEROSIL 200|Этилацетат</t>
  </si>
  <si>
    <t>Паста NSF/PASTE White (PW 6) S + AEROSIL 200|3</t>
  </si>
  <si>
    <t>Паста NSF/PASTE White (PW 6) S + AEROSIL 200|Этилцеллозольв</t>
  </si>
  <si>
    <t>Паста NSF/PASTE White (PW 6) S + AEROSIL 200|4</t>
  </si>
  <si>
    <t>Паста NSF/PASTE White (PW 6) S + AEROSIL 200|Нитроцеллюлоза LX 5/8 IPA WET</t>
  </si>
  <si>
    <t>Паста NSF/PASTE White (PW 6) S + AEROSIL 200|5</t>
  </si>
  <si>
    <t>Паста NSF/PASTE White (PW 6) S + AEROSIL 200|Диоксид титана BR-3661</t>
  </si>
  <si>
    <t>Паста NSF/PASTE White (PW 6) S + AEROSIL 200|6</t>
  </si>
  <si>
    <t>Паста NSF/PASTE White (PW 6) S + AEROSIL 200|Kaolin К-Brite HK 158</t>
  </si>
  <si>
    <t>Паста NSF/PASTE White (PW 6) S + AEROSIL 200|7</t>
  </si>
  <si>
    <t>Паста NSF/PASTE White (PW 6) S + AEROSIL 200|Диоксид кремния Fusil 200 (Радиант Кем.)</t>
  </si>
  <si>
    <t>Паста NSF/Paste Cyan Blue (PB 15:3) Г.Д.К.|1</t>
  </si>
  <si>
    <t>Паста NSF/Paste Cyan Blue (PB 15:3) Г.Д.К.|Nitrocellulose ( SS 30-35)</t>
  </si>
  <si>
    <t>Паста NSF/Paste Cyan Blue (PB 15:3) Г.Д.К.|2</t>
  </si>
  <si>
    <t>Паста NSF/Paste Cyan Blue (PB 15:3) Г.Д.К.|LIDA DSS 20000R</t>
  </si>
  <si>
    <t>Паста NSF/Paste Cyan Blue (PB 15:3) Г.Д.К.|3</t>
  </si>
  <si>
    <t>Паста NSF/Paste Cyan Blue (PB 15:3) Г.Д.К.|Этилцеллозольв</t>
  </si>
  <si>
    <t>Паста NSF/Paste Cyan Blue (PB 15:3) Г.Д.К.|4</t>
  </si>
  <si>
    <t>Паста NSF/Paste Cyan Blue (PB 15:3) Г.Д.К.|Lubrizol Solsperse 12000</t>
  </si>
  <si>
    <t>Паста NSF/Paste Cyan Blue (PB 15:3) Г.Д.К.|5</t>
  </si>
  <si>
    <t>Паста NSF/Paste Cyan Blue (PB 15:3) Г.Д.К.|Pigment Cyan Blue PB 15:3</t>
  </si>
  <si>
    <t>Паста NSF/Paste Cyan Blue (PB 15:3) Г.Д.К.|6</t>
  </si>
  <si>
    <t>Паста NSF/Paste Cyan Blue (PB 15:3) Г.Д.К.|Изопропанол</t>
  </si>
  <si>
    <t>Паста NSF/PASTE Magenta (PR 57:1) Г.Д.К.|1</t>
  </si>
  <si>
    <t>Паста NSF/PASTE Magenta (PR 57:1) Г.Д.К.|Этилцеллозольв</t>
  </si>
  <si>
    <t>Паста NSF/PASTE Magenta (PR 57:1) Г.Д.К.|2</t>
  </si>
  <si>
    <t>Паста NSF/PASTE Magenta (PR 57:1) Г.Д.К.|Nitrocellulose ( SS 30-35)</t>
  </si>
  <si>
    <t>Паста NSF/PASTE Magenta (PR 57:1) Г.Д.К.|3</t>
  </si>
  <si>
    <t>Паста NSF/PASTE Magenta (PR 57:1) Г.Д.К.|LIDA DSS 20000R</t>
  </si>
  <si>
    <t>Паста NSF/PASTE Magenta (PR 57:1) Г.Д.К.|4</t>
  </si>
  <si>
    <t>Паста NSF/PASTE Magenta (PR 57:1) Г.Д.К.|Pigment Magenta PR 57:1 от Химсвет</t>
  </si>
  <si>
    <t>Паста NSF/PASTE Magenta (PR 57:1) Г.Д.К.|5</t>
  </si>
  <si>
    <t>Паста NSF/PASTE Magenta (PR 57:1) Г.Д.К.|Изопропанол</t>
  </si>
  <si>
    <t>Паста NSF/PASTE Yellow (PY 13) Г.Д.К.|1</t>
  </si>
  <si>
    <t>Паста NSF/PASTE Yellow (PY 13) Г.Д.К.|Nitrocellulose ( SS 30-35)</t>
  </si>
  <si>
    <t>Паста NSF/PASTE Yellow (PY 13) Г.Д.К.|2</t>
  </si>
  <si>
    <t>Паста NSF/PASTE Yellow (PY 13) Г.Д.К.|Изопропанол</t>
  </si>
  <si>
    <t>Паста NSF/PASTE Yellow (PY 13) Г.Д.К.|3</t>
  </si>
  <si>
    <t>Паста NSF/PASTE Yellow (PY 13) Г.Д.К.|Этилцеллозольв</t>
  </si>
  <si>
    <t>Паста NSF/PASTE Yellow (PY 13) Г.Д.К.|4</t>
  </si>
  <si>
    <t>Паста NSF/PASTE Yellow (PY 13) Г.Д.К.|LIDA DSS 20000R</t>
  </si>
  <si>
    <t>Паста NSF/PASTE Yellow (PY 13) Г.Д.К.|5</t>
  </si>
  <si>
    <t>Паста NSF/PASTE Yellow (PY 13) Г.Д.К.|Lubrizol Solsperse 22000</t>
  </si>
  <si>
    <t>Паста NSF/PASTE Yellow (PY 13) Г.Д.К.|6</t>
  </si>
  <si>
    <t>Паста NSF/PASTE Yellow (PY 13) Г.Д.К.|Pigment Yellow PY 13 ЕТС</t>
  </si>
  <si>
    <t>Паста NSF/PASTE Yellow (PY 13) Г.Д.К.|7</t>
  </si>
  <si>
    <t>Паста NSF/PASTE Black  (PBk 7) Г.Д.К.|1</t>
  </si>
  <si>
    <t>Паста NSF/PASTE Black  (PBk 7) Г.Д.К.|Nitrocellulose ( SS 30-35)</t>
  </si>
  <si>
    <t>Паста NSF/PASTE Black  (PBk 7) Г.Д.К.|2</t>
  </si>
  <si>
    <t>Паста NSF/PASTE Black  (PBk 7) Г.Д.К.|Этилцеллозольв</t>
  </si>
  <si>
    <t>Паста NSF/PASTE Black  (PBk 7) Г.Д.К.|3</t>
  </si>
  <si>
    <t>Паста NSF/PASTE Black  (PBk 7) Г.Д.К.|LIDA DSS 20000R</t>
  </si>
  <si>
    <t>Паста NSF/PASTE Black  (PBk 7) Г.Д.К.|4</t>
  </si>
  <si>
    <t>Паста NSF/PASTE Black  (PBk 7) Г.Д.К.|Lubrizol Solsperse 12000</t>
  </si>
  <si>
    <t>Паста NSF/PASTE Black  (PBk 7) Г.Д.К.|5</t>
  </si>
  <si>
    <t>Паста NSF/PASTE Black  (PBk 7) Г.Д.К.|Pigment Black PBk 7 (PRINTEX 35)</t>
  </si>
  <si>
    <t>Паста NSF/PASTE Black  (PBk 7) Г.Д.К.|6</t>
  </si>
  <si>
    <t>Паста NSF/PASTE Black  (PBk 7) Г.Д.К.|Изопропанол</t>
  </si>
  <si>
    <t>Паста NSF/PASTE Orange (PO 34)  Г.Д.К.|1</t>
  </si>
  <si>
    <t>Паста NSF/PASTE Orange (PO 34)  Г.Д.К.|Nitrocellulose ( SS 30-35)</t>
  </si>
  <si>
    <t>Паста NSF/PASTE Orange (PO 34)  Г.Д.К.|2</t>
  </si>
  <si>
    <t>Паста NSF/PASTE Orange (PO 34)  Г.Д.К.|Н-пропилацетат</t>
  </si>
  <si>
    <t>Паста NSF/PASTE Orange (PO 34)  Г.Д.К.|3</t>
  </si>
  <si>
    <t>Паста NSF/PASTE Orange (PO 34)  Г.Д.К.|Н-пропанол</t>
  </si>
  <si>
    <t>Паста NSF/PASTE Orange (PO 34)  Г.Д.К.|4</t>
  </si>
  <si>
    <t>Паста NSF/PASTE Orange (PO 34)  Г.Д.К.|LIDA DSS 20000R</t>
  </si>
  <si>
    <t>Паста NSF/PASTE Orange (PO 34)  Г.Д.К.|5</t>
  </si>
  <si>
    <t>Паста NSF/PASTE Orange (PO 34)  Г.Д.К.|Lubrizol Solsperse 22000</t>
  </si>
  <si>
    <t>Паста NSF/PASTE Orange (PO 34)  Г.Д.К.|6</t>
  </si>
  <si>
    <t>Паста NSF/PASTE Orange (PO 34)  Г.Д.К.|Pigment Orange PO 34</t>
  </si>
  <si>
    <t>PC RED (PR 254) Г.Д.К|1</t>
  </si>
  <si>
    <t>PC RED (PR 254) Г.Д.К|Этилцеллозольв</t>
  </si>
  <si>
    <t>PC RED (PR 254) Г.Д.К|2</t>
  </si>
  <si>
    <t>PC RED (PR 254) Г.Д.К|Изопропанол</t>
  </si>
  <si>
    <t>PC RED (PR 254) Г.Д.К|3</t>
  </si>
  <si>
    <t>PC RED (PR 254) Г.Д.К|Этилацетат</t>
  </si>
  <si>
    <t>PC RED (PR 254) Г.Д.К|4</t>
  </si>
  <si>
    <t>PC RED (PR 254) Г.Д.К|Нитроцеллюлоза LX 5/8 IPA WET</t>
  </si>
  <si>
    <t>PC RED (PR 254) Г.Д.К|5</t>
  </si>
  <si>
    <t>PC RED (PR 254) Г.Д.К|Pigment RED (PR 254) ХС</t>
  </si>
  <si>
    <t>PC Rhodamine Red (PR 122) Г.Д.К|1</t>
  </si>
  <si>
    <t>PC Rhodamine Red (PR 122) Г.Д.К|Этилцеллозольв</t>
  </si>
  <si>
    <t>PC Rhodamine Red (PR 122) Г.Д.К|2</t>
  </si>
  <si>
    <t>PC Rhodamine Red (PR 122) Г.Д.К|Изопропанол</t>
  </si>
  <si>
    <t>PC Rhodamine Red (PR 122) Г.Д.К|3</t>
  </si>
  <si>
    <t>PC Rhodamine Red (PR 122) Г.Д.К|Этилацетат</t>
  </si>
  <si>
    <t>PC Rhodamine Red (PR 122) Г.Д.К|4</t>
  </si>
  <si>
    <t>PC Rhodamine Red (PR 122) Г.Д.К|Nitrocellulose ( SS 30-35)</t>
  </si>
  <si>
    <t>PC Rhodamine Red (PR 122) Г.Д.К|5</t>
  </si>
  <si>
    <t>PC Rhodamine Red (PR 122) Г.Д.К|LIDA DSS 20000R</t>
  </si>
  <si>
    <t>PC Rhodamine Red (PR 122) Г.Д.К|6</t>
  </si>
  <si>
    <t>PC Rhodamine Red (PR 122) Г.Д.К|Pigment Red (PR 122) СИНТЕЗ ЦВЕТА</t>
  </si>
  <si>
    <t>PC MAGENTA (PR 146) Г.Д.К|1</t>
  </si>
  <si>
    <t>PC MAGENTA (PR 146) Г.Д.К|Этилцеллозольв</t>
  </si>
  <si>
    <t>PC MAGENTA (PR 146) Г.Д.К|2</t>
  </si>
  <si>
    <t>PC MAGENTA (PR 146) Г.Д.К|Изопропанол</t>
  </si>
  <si>
    <t>PC MAGENTA (PR 146) Г.Д.К|3</t>
  </si>
  <si>
    <t>PC MAGENTA (PR 146) Г.Д.К|Этилацетат</t>
  </si>
  <si>
    <t>PC MAGENTA (PR 146) Г.Д.К|4</t>
  </si>
  <si>
    <t>PC MAGENTA (PR 146) Г.Д.К|Nitrocellulose ( SS 30-35)</t>
  </si>
  <si>
    <t>PC MAGENTA (PR 146) Г.Д.К|5</t>
  </si>
  <si>
    <t>PC MAGENTA (PR 146) Г.Д.К|LIDA DSS 20000R</t>
  </si>
  <si>
    <t>PC MAGENTA (PR 146) Г.Д.К|6</t>
  </si>
  <si>
    <t>PC MAGENTA (PR 146) Г.Д.К|Pigment Red 146 (FBB) (Формула успеха)</t>
  </si>
  <si>
    <t>PC YELLOW (PY 74) Г.Д.К|1</t>
  </si>
  <si>
    <t>PC YELLOW (PY 74) Г.Д.К|Этилцеллозольв</t>
  </si>
  <si>
    <t>PC YELLOW (PY 74) Г.Д.К|2</t>
  </si>
  <si>
    <t>PC YELLOW (PY 74) Г.Д.К|Изопропанол</t>
  </si>
  <si>
    <t>PC YELLOW (PY 74) Г.Д.К|3</t>
  </si>
  <si>
    <t>PC YELLOW (PY 74) Г.Д.К|Этилацетат</t>
  </si>
  <si>
    <t>PC YELLOW (PY 74) Г.Д.К|4</t>
  </si>
  <si>
    <t>PC YELLOW (PY 74) Г.Д.К|Nitrocellulose ( SS 30-35)</t>
  </si>
  <si>
    <t>PC YELLOW (PY 74) Г.Д.К|5</t>
  </si>
  <si>
    <t>PC YELLOW (PY 74) Г.Д.К|LIDA DSS 20000R</t>
  </si>
  <si>
    <t>PC YELLOW (PY 74) Г.Д.К|6</t>
  </si>
  <si>
    <t>PC YELLOW (PY 74) Г.Д.К|Lubrizol Solsperse 22000</t>
  </si>
  <si>
    <t>PC YELLOW (PY 74) Г.Д.К|7</t>
  </si>
  <si>
    <t>PC YELLOW (PY 74) Г.Д.К|Pigment Yellow (PY 74)(синтез цвета)</t>
  </si>
  <si>
    <t>PC YELLOW (PY 83) Г.Д.К|1</t>
  </si>
  <si>
    <t>PC YELLOW (PY 83) Г.Д.К|Этилцеллозольв</t>
  </si>
  <si>
    <t>PC YELLOW (PY 83) Г.Д.К|2</t>
  </si>
  <si>
    <t>PC YELLOW (PY 83) Г.Д.К|Изопропанол</t>
  </si>
  <si>
    <t>PC YELLOW (PY 83) Г.Д.К|3</t>
  </si>
  <si>
    <t>PC YELLOW (PY 83) Г.Д.К|Этилацетат</t>
  </si>
  <si>
    <t>PC YELLOW (PY 83) Г.Д.К|4</t>
  </si>
  <si>
    <t>PC YELLOW (PY 83) Г.Д.К|Нитроцеллюлоза LX 5/8 IPA WET</t>
  </si>
  <si>
    <t>PC YELLOW (PY 83) Г.Д.К|5</t>
  </si>
  <si>
    <t>PC YELLOW (PY 83) Г.Д.К|Pigment Yellow (PY 83)радиант</t>
  </si>
  <si>
    <t>EXTENDER 35 AF (ЛАК НЦ -0711)|Nitrocellulose ( SS 30-35)</t>
  </si>
  <si>
    <t>Extender SL-2 ЭЦ|1</t>
  </si>
  <si>
    <t>Extender SL-2 ЭЦ|Nitrocellulose ( SS 30-35)</t>
  </si>
  <si>
    <t>Extender SL-2 ЭЦ|2</t>
  </si>
  <si>
    <t>Extender SL-2 ЭЦ|Изопропанол</t>
  </si>
  <si>
    <t>Extender SL-2 ЭЦ|3</t>
  </si>
  <si>
    <t>Extender SL-2 ЭЦ|Этилацетат</t>
  </si>
  <si>
    <t>Extender SL-2 ЭЦ|4</t>
  </si>
  <si>
    <t>Extender SL-2 ЭЦ|Этилцеллозольв</t>
  </si>
  <si>
    <t>Extender T-32|1</t>
  </si>
  <si>
    <t>Extender T-32|Изопропанол</t>
  </si>
  <si>
    <t>Extender T-32|2</t>
  </si>
  <si>
    <t>Extender T-32|Этилацетат</t>
  </si>
  <si>
    <t>Extender T-32|3</t>
  </si>
  <si>
    <t>Extender T-32|Nitrocellulose ( SS 30-35)</t>
  </si>
  <si>
    <t>Дисперсия воска LuWax|1</t>
  </si>
  <si>
    <t>Дисперсия воска LuWax|Extender T-32</t>
  </si>
  <si>
    <t>Дисперсия воска LuWax|2</t>
  </si>
  <si>
    <t>Дисперсия воска LuWax|Изопропанол</t>
  </si>
  <si>
    <t>Дисперсия воска LuWax|3</t>
  </si>
  <si>
    <t>Дисперсия воска LuWax|Этилацетат</t>
  </si>
  <si>
    <t>Дисперсия воска LuWax|4</t>
  </si>
  <si>
    <t>Дисперсия воска LuWax|LuWax AF31</t>
  </si>
  <si>
    <t>Extender PinusTack 750 IPA|1</t>
  </si>
  <si>
    <t>Extender PinusTack 750 IPA|Изопропанол</t>
  </si>
  <si>
    <t>Extender PinusTack 750 IPA|2</t>
  </si>
  <si>
    <t>Extender PinusTack 750 IPA|Фумаризованная канифоль Pinustack 750</t>
  </si>
  <si>
    <t>Extender А81|1</t>
  </si>
  <si>
    <t>Extender А81|Изопропанол</t>
  </si>
  <si>
    <t>Extender А81|2</t>
  </si>
  <si>
    <t>Extender А81|Laropal A- 81-К (GNG A-81 A)</t>
  </si>
  <si>
    <t>Technical Extender UNI 1338|1</t>
  </si>
  <si>
    <t>Technical Extender UNI 1338|Изопропанол</t>
  </si>
  <si>
    <t>Technical Extender UNI 1338|2</t>
  </si>
  <si>
    <t>Technical Extender UNI 1338|Этилцеллозольв</t>
  </si>
  <si>
    <t>Technical Extender UNI 1338|3</t>
  </si>
  <si>
    <t>Technical Extender UNI 1338|RPC Additive</t>
  </si>
  <si>
    <t>Technical Extender UNI 1338|4</t>
  </si>
  <si>
    <t>Technical Extender UNI 1338|RPC Additive 397</t>
  </si>
  <si>
    <t>Technical Extender UNI 1338|5</t>
  </si>
  <si>
    <t>Technical Extender UNI 1338|Фумаризованная канифоль Pinustack 750</t>
  </si>
  <si>
    <t>Technical Extender UNI 1338|6</t>
  </si>
  <si>
    <t>Technical Extender UNI 1338|DOA Plasticiser</t>
  </si>
  <si>
    <t>Technical Extender UNI 397|1</t>
  </si>
  <si>
    <t>Technical Extender UNI 397|Этилцеллозольв</t>
  </si>
  <si>
    <t>Technical Extender UNI 397|2</t>
  </si>
  <si>
    <t>Technical Extender UNI 397|RPC Additive 397</t>
  </si>
  <si>
    <t>Technical Extender UNI 397|3</t>
  </si>
  <si>
    <t>Technical Extender UNI 397|Extender PinusTack 750 IPA</t>
  </si>
  <si>
    <t>Technical Extender UNI 397|4</t>
  </si>
  <si>
    <t>Technical Extender UNI 397|DOA Plasticiser</t>
  </si>
  <si>
    <t>EXTENDER Neocrylic Resin BM 819|1</t>
  </si>
  <si>
    <t>EXTENDER Neocrylic Resin BM 819|Этилцеллозольв</t>
  </si>
  <si>
    <t>EXTENDER Neocrylic Resin BM 819|2</t>
  </si>
  <si>
    <t>EXTENDER Neocrylic Resin BM 819|Изопропанол</t>
  </si>
  <si>
    <t>EXTENDER Neocrylic Resin BM 819|3</t>
  </si>
  <si>
    <t>EXTENDER Neocrylic Resin BM 819|Этилацетат</t>
  </si>
  <si>
    <t>EXTENDER Neocrylic Resin BM 819|4</t>
  </si>
  <si>
    <t>EXTENDER Neocrylic Resin BM 819|NeoCryl B-819</t>
  </si>
  <si>
    <t>TECHNICAL EXTENDER AL-RESIST|1</t>
  </si>
  <si>
    <t>TECHNICAL EXTENDER AL-RESIST|Этилацетат</t>
  </si>
  <si>
    <t>TECHNICAL EXTENDER AL-RESIST|2</t>
  </si>
  <si>
    <t>TECHNICAL EXTENDER AL-RESIST|Этилцеллозольв</t>
  </si>
  <si>
    <t>TECHNICAL EXTENDER AL-RESIST|3</t>
  </si>
  <si>
    <t>TECHNICAL EXTENDER AL-RESIST|Изопропанол</t>
  </si>
  <si>
    <t>TECHNICAL EXTENDER AL-RESIST|4</t>
  </si>
  <si>
    <t>TECHNICAL EXTENDER AL-RESIST|Полиуретан TEXAFLEX IV 509 LV</t>
  </si>
  <si>
    <t>TECHNICAL EXTENDER AL-RESIST|5</t>
  </si>
  <si>
    <t>TECHNICAL EXTENDER AL-RESIST|DOA Plasticiser</t>
  </si>
  <si>
    <t>TECHNICAL EXTENDER AL-RESIST|6</t>
  </si>
  <si>
    <t>TECHNICAL EXTENDER AL-RESIST|Сухая акриловая смола UTS-Acrylcoat 619</t>
  </si>
  <si>
    <t>Technical extender LAM|1</t>
  </si>
  <si>
    <t>Technical extender LAM|RPC Additive 397</t>
  </si>
  <si>
    <t>Technical extender LAM|2</t>
  </si>
  <si>
    <t>Technical extender LAM|Extender PinusTack 750 IPA</t>
  </si>
  <si>
    <t>Technical extender LAM|3</t>
  </si>
  <si>
    <t>Technical extender LAM|Этилцеллозольв</t>
  </si>
  <si>
    <t>Лак Extender НЦ-90S|1</t>
  </si>
  <si>
    <t>Лак Extender НЦ-90S|Этилцеллозольв</t>
  </si>
  <si>
    <t>Лак Extender НЦ-90S|2</t>
  </si>
  <si>
    <t>Лак Extender НЦ-90S|Нитроцеллюлоза LX 5/8 IPA WET</t>
  </si>
  <si>
    <t>Лак Extender НЦ-90|1</t>
  </si>
  <si>
    <t>Лак Extender НЦ-90|Этилцеллозольв</t>
  </si>
  <si>
    <t>Лак Extender НЦ-90|2</t>
  </si>
  <si>
    <t>Лак Extender НЦ-90|Изопропанол</t>
  </si>
  <si>
    <t>Лак Extender НЦ-90|3</t>
  </si>
  <si>
    <t>Лак Extender НЦ-90|Этилацетат</t>
  </si>
  <si>
    <t>Лак Extender НЦ-90|4</t>
  </si>
  <si>
    <t>Лак Extender НЦ-90|Nitrocellulose ( SS 30-35)</t>
  </si>
  <si>
    <t>Краска NSF/UNI White (PW 6) AF 35|1</t>
  </si>
  <si>
    <t>Краска NSF/UNI White (PW 6) AF 35|Паста NSF/PASTE White (PW 6) ТпР А400</t>
  </si>
  <si>
    <t>Краска NSF/UNI White (PW 6) AF 35|2</t>
  </si>
  <si>
    <t>Краска NSF/UNI White (PW 6) AF 35|Этилацетат</t>
  </si>
  <si>
    <t>Краска NSF/UNI White (PW 6) AF 35|3</t>
  </si>
  <si>
    <t>Краска NSF/UNI White (PW 6) AF 35|Extender PinusTack 750 IPA</t>
  </si>
  <si>
    <t>Краска NSF/UNI White (PW 6) AF 35|4</t>
  </si>
  <si>
    <t>Краска NSF/UNI White (PW 6) AF 35|RPC Additive</t>
  </si>
  <si>
    <t>Краска NSF/UNI White (PW 6) AF 35|5</t>
  </si>
  <si>
    <t>Краска NSF/UNI White (PW 6) AF 35|RPC Additive 397</t>
  </si>
  <si>
    <t>Краска NSF/UNI White (PW 6) AF 35|6</t>
  </si>
  <si>
    <t>Краска NSF/UNI White (PW 6) AF 35|TCA-IAM20 (аналог Титан АП 100/Титан АП 130 Д)</t>
  </si>
  <si>
    <t>Краска NSF/UNI White (PW 6) AF 35|7</t>
  </si>
  <si>
    <t>Краска NSF/UNI White (PW 6) AF 35|DOA Plasticiser</t>
  </si>
  <si>
    <t>Краска NSF/UNI White (PW 6) AF 35|8</t>
  </si>
  <si>
    <t>Краска NSF/UNI White (PW 6) AF 35|Изопропанол</t>
  </si>
  <si>
    <t>Краска NSF/UNI White (PW 6) AF 35|9</t>
  </si>
  <si>
    <t>Краска NSF/UNI White (PW 6) AF 35|EXTENDER 35 AF (ЛАК НЦ -0711)</t>
  </si>
  <si>
    <t>Краска UNI AF Black (КП 80)|1</t>
  </si>
  <si>
    <t>Краска UNI AF Black (КП 80)|Паста NSF/Paste Black (Pbk 7) КП 80</t>
  </si>
  <si>
    <t>Краска UNI AF Black (КП 80)|2</t>
  </si>
  <si>
    <t>Краска UNI AF Black (КП 80)|Technical Extender UNI 397</t>
  </si>
  <si>
    <t>Краска UNI AF Black (КП 80)|3</t>
  </si>
  <si>
    <t>Краска UNI AF Black (КП 80)|Extender SL-2 ЭЦ</t>
  </si>
  <si>
    <t>Краска UNI AF Black (КП 80)|4</t>
  </si>
  <si>
    <t>Краска UNI AF Black (КП 80)|TCA-IAM20 (аналог Титан АП 100/Титан АП 130 Д)</t>
  </si>
  <si>
    <t>Краска UNI AF Black (КП 80)|5</t>
  </si>
  <si>
    <t>Краска UNI AF Black (КП 80)|Изопропанол</t>
  </si>
  <si>
    <t>Краска UNI AF Magenta (PR 57:1)|1</t>
  </si>
  <si>
    <t>Краска UNI AF Magenta (PR 57:1)|Паста NSF/PASTE Magenta (PR 57:1) MT ЭЦ S</t>
  </si>
  <si>
    <t>Краска UNI AF Magenta (PR 57:1)|2</t>
  </si>
  <si>
    <t>Краска UNI AF Magenta (PR 57:1)|Technical Extender UNI 397</t>
  </si>
  <si>
    <t>Краска UNI AF Yellow (PY 13) TR|1</t>
  </si>
  <si>
    <t>Краска UNI AF Yellow (PY 13) TR|Паста NSF/PASTE Yellow (PY 13)  SL ЭЦ</t>
  </si>
  <si>
    <t>Краска UNI AF Yellow (PY 13) TR|2</t>
  </si>
  <si>
    <t>Краска UNI AF Yellow (PY 13) TR|Technical Extender UNI 397</t>
  </si>
  <si>
    <t>Краска UNI AF Yellow (PY 13) TR|3</t>
  </si>
  <si>
    <t>Краска UNI AF Yellow (PY 13) TR|TCA-IAM20 (аналог Титан АП 100/Титан АП 130 Д)</t>
  </si>
  <si>
    <t>Краска UNI AF Yellow (PY 13) TR|4</t>
  </si>
  <si>
    <t>Краска UNI AF Yellow (PY 13) TR|Изопропанол</t>
  </si>
  <si>
    <t>Краска UNI AF Yellow (PY 13) TR|5</t>
  </si>
  <si>
    <t>Краска UNI AF Yellow (PY 13) TR|Extender SL-2 ЭЦ</t>
  </si>
  <si>
    <t>Краска UNI AF Cyan Blue (PB 15:3)|1</t>
  </si>
  <si>
    <t>Краска UNI AF Cyan Blue (PB 15:3)|Паста NSF/Paste Cyan Blue (PB 15:3) SL ЭЦ</t>
  </si>
  <si>
    <t>Краска UNI AF Cyan Blue (PB 15:3)|2</t>
  </si>
  <si>
    <t>Краска UNI AF Cyan Blue (PB 15:3)|Technical Extender UNI 397</t>
  </si>
  <si>
    <t>Краска UNI AF Cyan Blue (PB 15:3)|3</t>
  </si>
  <si>
    <t>Краска UNI AF Cyan Blue (PB 15:3)|TCA-IAM20 (аналог Титан АП 100/Титан АП 130 Д)</t>
  </si>
  <si>
    <t>Краска UNI AF Cyan Blue (PB 15:3)|4</t>
  </si>
  <si>
    <t>Краска UNI AF Cyan Blue (PB 15:3)|Этилцеллозольв</t>
  </si>
  <si>
    <t>Краска UNI AF Cyan Blue (PB 15:3)|5</t>
  </si>
  <si>
    <t>Краска UNI AF Cyan Blue (PB 15:3)|Изопропанол</t>
  </si>
  <si>
    <t>Краска UNI AF Black (Pbk 7) RASTR|1</t>
  </si>
  <si>
    <t>Краска UNI AF Black (Pbk 7) RASTR|Паста NSF/Paste Black (Pbk 7) КП 80 РАСТ</t>
  </si>
  <si>
    <t>Краска UNI AF Black (Pbk 7) RASTR|2</t>
  </si>
  <si>
    <t>Краска UNI AF Black (Pbk 7) RASTR|Technical Extender UNI 397</t>
  </si>
  <si>
    <t>Краска UNI AF Black (Pbk 7) RASTR|3</t>
  </si>
  <si>
    <t>Краска UNI AF Black (Pbk 7) RASTR|Extender SL-2 ЭЦ</t>
  </si>
  <si>
    <t>Краска UNI AF Black (Pbk 7) RASTR|4</t>
  </si>
  <si>
    <t>Краска UNI AF Black (Pbk 7) RASTR|TCA-IAM20 (аналог Титан АП 100/Титан АП 130 Д)</t>
  </si>
  <si>
    <t>Краска UNI AF Black (Pbk 7) RASTR|5</t>
  </si>
  <si>
    <t>Краска UNI AF Black (Pbk 7) RASTR|Этилцеллозольв</t>
  </si>
  <si>
    <t>Краска UNI AF Rhodamine Red (PR 169)|1</t>
  </si>
  <si>
    <t>Краска UNI AF Rhodamine Red (PR 169)|Паста NSF/PASTE Rhodamine Red (PR 169)  Г.Д.К.</t>
  </si>
  <si>
    <t>Краска UNI AF Rhodamine Red (PR 169)|2</t>
  </si>
  <si>
    <t>Краска UNI AF Rhodamine Red (PR 169)|Technical Extender UNI 397</t>
  </si>
  <si>
    <t>Краска UNI AF Rhodamine Red (PR 169)|3</t>
  </si>
  <si>
    <t>Краска UNI AF Rhodamine Red (PR 169)|Лак Extender НЦ-90</t>
  </si>
  <si>
    <t>Краска UNI AF Pantone Warm Red (PR 53:1)|1</t>
  </si>
  <si>
    <t>Краска UNI AF Pantone Warm Red (PR 53:1)|Паста NSF/Paste Warm Red (PR 53:1) Г.Д.К.</t>
  </si>
  <si>
    <t>Краска UNI AF Pantone Warm Red (PR 53:1)|2</t>
  </si>
  <si>
    <t>Краска UNI AF Pantone Warm Red (PR 53:1)|Technical Extender UNI 397</t>
  </si>
  <si>
    <t>Краска UNI AF Pantone Warm Red (PR 53:1)|3</t>
  </si>
  <si>
    <t>Краска UNI AF Pantone Warm Red (PR 53:1)|Extender T-32</t>
  </si>
  <si>
    <t>Краска UNI AF Pantone Warm Red (PR 53:1)|4</t>
  </si>
  <si>
    <t>Краска UNI AF Pantone Warm Red (PR 53:1)|Extender SL-2 ЭЦ</t>
  </si>
  <si>
    <t>Краска UNI AF Pantone Purple (PR 169)|1</t>
  </si>
  <si>
    <t>Краска UNI AF Pantone Purple (PR 169)|Паста NSF/PASTE Rhodamine Red (PR 169)  Г.Д.К.</t>
  </si>
  <si>
    <t>Краска UNI AF Pantone Purple (PR 169)|2</t>
  </si>
  <si>
    <t>Краска UNI AF Pantone Purple (PR 169)|Паста NSF/PASTE Violet (PV 23) Г.Д.К.</t>
  </si>
  <si>
    <t>Краска UNI AF Pantone Purple (PR 169)|3</t>
  </si>
  <si>
    <t>Краска UNI AF Pantone Purple (PR 169)|Technical Extender UNI 397</t>
  </si>
  <si>
    <t>Краска UNI AF Pantone Purple (PR 169)|4</t>
  </si>
  <si>
    <t>Краска UNI AF Pantone Purple (PR 169)|Лак Extender НЦ-90</t>
  </si>
  <si>
    <t>Краска UNI AF Pantone Orange (PO 34)|1</t>
  </si>
  <si>
    <t>Краска UNI AF Pantone Orange (PO 34)|Паста NSF/PASTE Orange (PO 34)  SL ЭЦ</t>
  </si>
  <si>
    <t>Краска UNI AF Pantone Orange (PO 34)|2</t>
  </si>
  <si>
    <t>Краска UNI AF Pantone Orange (PO 34)|Technical Extender UNI 397</t>
  </si>
  <si>
    <t>Краска UNI AF Pantone Orange (PO 34)|3</t>
  </si>
  <si>
    <t>Краска UNI AF Pantone Orange (PO 34)|Extender SL-2 ЭЦ</t>
  </si>
  <si>
    <t>Краска UNI AF Pantone Reflex Blue|1</t>
  </si>
  <si>
    <t>Краска UNI AF Pantone Reflex Blue|Паста NSF/Paste Cyan Blue (PB 15:3) SL ЭЦ</t>
  </si>
  <si>
    <t>Краска UNI AF Pantone Reflex Blue|2</t>
  </si>
  <si>
    <t>Краска UNI AF Pantone Reflex Blue|Паста NSF/Paste Black (Pbk 7) КП 80 РАСТ</t>
  </si>
  <si>
    <t>Краска UNI AF Pantone Reflex Blue|3</t>
  </si>
  <si>
    <t>Краска UNI AF Pantone Reflex Blue|Паста NSF/PASTE Violet (PV 23) Г.Д.К.</t>
  </si>
  <si>
    <t>Краска UNI AF Pantone Reflex Blue|4</t>
  </si>
  <si>
    <t>Краска UNI AF Pantone Reflex Blue|Technical Extender UNI 397</t>
  </si>
  <si>
    <t>Краска UNI AF Pantone Reflex Blue|5</t>
  </si>
  <si>
    <t>Краска UNI AF Pantone Reflex Blue|Extender SL-2 ЭЦ</t>
  </si>
  <si>
    <t>Краска UNI AF Pantone Violet (PV 23)|1</t>
  </si>
  <si>
    <t>Краска UNI AF Pantone Violet (PV 23)|Паста NSF/PASTE Violet (PV 23) Г.Д.К.</t>
  </si>
  <si>
    <t>Краска UNI AF Pantone Violet (PV 23)|2</t>
  </si>
  <si>
    <t>Краска UNI AF Pantone Violet (PV 23)|Technical Extender UNI 397</t>
  </si>
  <si>
    <t>Краска UNI AF Pantone Violet (PV 23)|3</t>
  </si>
  <si>
    <t>Краска UNI AF Pantone Violet (PV 23)|Лак Extender НЦ-90</t>
  </si>
  <si>
    <t>Краска UNI AF Pantone Silver|1</t>
  </si>
  <si>
    <t>Краска UNI AF Pantone Silver|Pigment Silver ROTOVARIO 530-944 / ADD-B01M</t>
  </si>
  <si>
    <t>Краска UNI AF Pantone Silver|2</t>
  </si>
  <si>
    <t>Краска UNI AF Pantone Silver|Technical extender LAM</t>
  </si>
  <si>
    <t>Краска UNI AF Pantone Silver|3</t>
  </si>
  <si>
    <t>Краска UNI AF Pantone Silver|Extender SL-2 ЭЦ</t>
  </si>
  <si>
    <t>Краска UNI AF Pantone Silver|4</t>
  </si>
  <si>
    <t>Краска UNI AF Pantone Silver|DOA Plasticiser</t>
  </si>
  <si>
    <t>Краска UNI AF Pantone Silver|5</t>
  </si>
  <si>
    <t>Краска UNI AF Pantone Silver|Диоксид кремния Fusil 200 (Радиант Кем.)</t>
  </si>
  <si>
    <t>Краска UNI AF Pantone Silver|6</t>
  </si>
  <si>
    <t>Краска UNI AF Pantone Silver|Изопропанол</t>
  </si>
  <si>
    <t>Краска UNI AF Pantone Silver|7</t>
  </si>
  <si>
    <t>Краска UNI AF Pantone Silver|Этилацетат</t>
  </si>
  <si>
    <t>Краска UNI AF Pantone Silver|8</t>
  </si>
  <si>
    <t>Краска UNI AF Pantone Silver|TCA-IAM20 (аналог Титан АП 100/Титан АП 130 Д)</t>
  </si>
  <si>
    <t>Краска UNI AF Pantone Silver|9</t>
  </si>
  <si>
    <t>Краска UNI AF Pantone Silver|EXTENDER 35 AF (ЛАК НЦ -0711)</t>
  </si>
  <si>
    <t>Лак LAM AF Extender плашка|1</t>
  </si>
  <si>
    <t>Лак LAM AF Extender плашка|Technical extender LAM</t>
  </si>
  <si>
    <t>Лак LAM AF Extender плашка|2</t>
  </si>
  <si>
    <t>Лак LAM AF Extender плашка|Extender SL-2 ЭЦ</t>
  </si>
  <si>
    <t>Лак LAM AF Extender растр|1</t>
  </si>
  <si>
    <t>Лак LAM AF Extender растр|Technical extender LAM</t>
  </si>
  <si>
    <t>Лак LAM AF Extender растр|2</t>
  </si>
  <si>
    <t>Лак LAM AF Extender растр|Лак Extender НЦ-90S</t>
  </si>
  <si>
    <t>Краска UNI AF Pantone Green (PG 7)|1</t>
  </si>
  <si>
    <t>Краска UNI AF Pantone Green (PG 7)|Паста NSF/PASTE GREEN (PG 7)  SL ЭЦ</t>
  </si>
  <si>
    <t>Краска UNI AF Pantone Green (PG 7)|2</t>
  </si>
  <si>
    <t>Краска UNI AF Pantone Green (PG 7)|Technical Extender UNI 397</t>
  </si>
  <si>
    <t>Краска UNI AF Pantone Green (PG 7)|3</t>
  </si>
  <si>
    <t>Краска UNI AF Pantone Green (PG 7)|Extender T-32</t>
  </si>
  <si>
    <t>Краска UNI AF Pantone Green (PG 7)|4</t>
  </si>
  <si>
    <t>Краска UNI AF Pantone Green (PG 7)|Extender SL-2 ЭЦ</t>
  </si>
  <si>
    <t>Краска NSF/UNI White (PW 6) R106|1</t>
  </si>
  <si>
    <t>Краска NSF/UNI White (PW 6) R106|Паста NSF/PASTE White (PW 6) ТпР А400</t>
  </si>
  <si>
    <t>Краска NSF/UNI White (PW 6) R106|2</t>
  </si>
  <si>
    <t>Краска NSF/UNI White (PW 6) R106|Этилцеллозольв</t>
  </si>
  <si>
    <t>Краска NSF/UNI White (PW 6) R106|3</t>
  </si>
  <si>
    <t>Краска NSF/UNI White (PW 6) R106|Дисперсия воска LuWax</t>
  </si>
  <si>
    <t>Краска NSF/UNI White (PW 6) R106|4</t>
  </si>
  <si>
    <t>Краска NSF/UNI White (PW 6) R106|TCA-IAM20 (аналог Титан АП 100/Титан АП 130 Д)</t>
  </si>
  <si>
    <t>Краска NSF/UNI White (PW 6) R106|5</t>
  </si>
  <si>
    <t>Краска NSF/UNI White (PW 6) R106|DOA Plasticiser</t>
  </si>
  <si>
    <t>Краска NSF/UNI White (PW 6) R106|6</t>
  </si>
  <si>
    <t>Краска NSF/UNI White (PW 6) R106|Extender А81</t>
  </si>
  <si>
    <t>Краска NSF/UNI White (PW 6) R106|7</t>
  </si>
  <si>
    <t>Краска NSF/UNI White (PW 6) R106|RPC Additive</t>
  </si>
  <si>
    <t>Лак Overprint Varnish MATT ver. 1.1|1</t>
  </si>
  <si>
    <t>Лак Overprint Varnish MATT ver. 1.1|Н-пропилацетат</t>
  </si>
  <si>
    <t>Лак Overprint Varnish MATT ver. 1.1|2</t>
  </si>
  <si>
    <t>Лак Overprint Varnish MATT ver. 1.1|Этилацетат</t>
  </si>
  <si>
    <t>Лак Overprint Varnish MATT ver. 1.1|3</t>
  </si>
  <si>
    <t>Лак Overprint Varnish MATT ver. 1.1|Vinil resin (MVOH)</t>
  </si>
  <si>
    <t>Лак Overprint Varnish MATT ver. 1.1|4</t>
  </si>
  <si>
    <t>Лак Overprint Varnish MATT ver. 1.1|Ковелос R902</t>
  </si>
  <si>
    <t>Лак Overprint Varnish MATT ver. 1.1|5</t>
  </si>
  <si>
    <t>Лак Overprint Varnish MATT ver. 1.1|Диоксид кремния Fusil 200 (Радиант Кем.)</t>
  </si>
  <si>
    <t>Лак Overprint Varnish MATT ver. 1.1|6</t>
  </si>
  <si>
    <t>Лак Overprint Varnish MATT ver. 1.1|Laropal A- 81-К (GNG A-81 A)</t>
  </si>
  <si>
    <t>Лак OPV AL-RESIST|1</t>
  </si>
  <si>
    <t>Лак OPV AL-RESIST|Этилцеллозольв</t>
  </si>
  <si>
    <t>Лак OPV AL-RESIST|2</t>
  </si>
  <si>
    <t>Лак OPV AL-RESIST|Изопропанол</t>
  </si>
  <si>
    <t>Лак OPV AL-RESIST|3</t>
  </si>
  <si>
    <t>Лак OPV AL-RESIST|Этилацетат</t>
  </si>
  <si>
    <t>Лак OPV AL-RESIST|4</t>
  </si>
  <si>
    <t>Лак OPV AL-RESIST|Полиуретан TEXAFLEX IV 509 LV</t>
  </si>
  <si>
    <t>Лак OPV AL-RESIST|5</t>
  </si>
  <si>
    <t>Лак OPV AL-RESIST|DOA Plasticiser</t>
  </si>
  <si>
    <t>Лак OPV AL-RESIST|6</t>
  </si>
  <si>
    <t>Лак OPV AL-RESIST|Нитроцеллюлоза LX 5/8 IPA WET</t>
  </si>
  <si>
    <t>Лак OPV AL-RESIST|7</t>
  </si>
  <si>
    <t>Лак OPV AL-RESIST|Neocrylic Resin BM 619</t>
  </si>
  <si>
    <t>Краска NSF/ALKALI RESISTAN White (PW 6)|1</t>
  </si>
  <si>
    <t>Краска NSF/ALKALI RESISTAN White (PW 6)|Паста NSF/PASTE White (PW 6) ТпР А400</t>
  </si>
  <si>
    <t>Краска NSF/ALKALI RESISTAN White (PW 6)|2</t>
  </si>
  <si>
    <t>Краска NSF/ALKALI RESISTAN White (PW 6)|Полиуретан TEXAFLEX IV 509 LV</t>
  </si>
  <si>
    <t>Краска NSF/ALKALI RESISTAN White (PW 6)|3</t>
  </si>
  <si>
    <t>Краска NSF/ALKALI RESISTAN White (PW 6)|DOA Plasticiser</t>
  </si>
  <si>
    <t>Краска NSF/ALKALI RESISTAN White (PW 6)|4</t>
  </si>
  <si>
    <t>Краска NSF/ALKALI RESISTAN White (PW 6)|Extender Neocryl Resin BM-819</t>
  </si>
  <si>
    <t>Краска NSF/ALKALI RESISTAN White (PW 6)|5</t>
  </si>
  <si>
    <t>Краска NSF/ALKALI RESISTAN White (PW 6)|Изопропанол</t>
  </si>
  <si>
    <t>Краска NSF/ALKALI RESISTAN White (PW 6)|6</t>
  </si>
  <si>
    <t>Краска NSF/ALKALI RESISTAN White (PW 6)|Этилацетат</t>
  </si>
  <si>
    <t>NSF/LAM Cyan Blue (PB 15:3)|1</t>
  </si>
  <si>
    <t>NSF/LAM Cyan Blue (PB 15:3)|NSF/PC Cyan Blue (PB 15:3) ГОТЭК</t>
  </si>
  <si>
    <t>NSF/LAM Cyan Blue (PB 15:3)|2</t>
  </si>
  <si>
    <t>NSF/LAM Cyan Blue (PB 15:3)|Этилацетат</t>
  </si>
  <si>
    <t>NSF/LAM Cyan Blue (PB 15:3)|3</t>
  </si>
  <si>
    <t>NSF/LAM Cyan Blue (PB 15:3)|Technical extender LAM</t>
  </si>
  <si>
    <t>NSF/LAM Cyan Blue (PB 15:3)|4</t>
  </si>
  <si>
    <t>NSF/LAM Cyan Blue (PB 15:3)|Лак Extender НЦ-90</t>
  </si>
  <si>
    <t>NSF/LAM  Magenta (PR 57:1)|1</t>
  </si>
  <si>
    <t>NSF/LAM  Magenta (PR 57:1)|NSF/PC Magenta (PR 57:1) ГОТЭК</t>
  </si>
  <si>
    <t>NSF/LAM  Magenta (PR 57:1)|2</t>
  </si>
  <si>
    <t>NSF/LAM  Magenta (PR 57:1)|Этилацетат</t>
  </si>
  <si>
    <t>NSF/LAM  Magenta (PR 57:1)|3</t>
  </si>
  <si>
    <t>NSF/LAM  Magenta (PR 57:1)|Technical extender LAM</t>
  </si>
  <si>
    <t>NSF/LAM  Magenta (PR 57:1)|4</t>
  </si>
  <si>
    <t>NSF/LAM  Magenta (PR 57:1)|Лак Extender НЦ-90</t>
  </si>
  <si>
    <t>NSF/LAM Yellow (PY 13)|1</t>
  </si>
  <si>
    <t>NSF/LAM Yellow (PY 13)|NSF/PC Yellow (PY 13) ГОТЭК</t>
  </si>
  <si>
    <t>NSF/LAM Yellow (PY 13)|2</t>
  </si>
  <si>
    <t>NSF/LAM Yellow (PY 13)|Этилцеллозольв</t>
  </si>
  <si>
    <t>NSF/LAM Yellow (PY 13)|3</t>
  </si>
  <si>
    <t>NSF/LAM Yellow (PY 13)|Лак Extender НЦ-90</t>
  </si>
  <si>
    <t>NSF/LAM Yellow (PY 13)|4</t>
  </si>
  <si>
    <t>NSF/LAM Yellow (PY 13)|Technical extender LAM</t>
  </si>
  <si>
    <t>NSF/LAM Yellow (PY 13)|5</t>
  </si>
  <si>
    <t>NSF/LAM Yellow (PY 13)|Этилацетат</t>
  </si>
  <si>
    <t>NSF/LAM Black (PBI 7)|1</t>
  </si>
  <si>
    <t>NSF/LAM Black (PBI 7)|NSF/PC Black (PBk 7) ГОТЭК</t>
  </si>
  <si>
    <t>NSF/LAM Black (PBI 7)|2</t>
  </si>
  <si>
    <t>NSF/LAM Black (PBI 7)|Этилацетат</t>
  </si>
  <si>
    <t>NSF/LAM Black (PBI 7)|3</t>
  </si>
  <si>
    <t>NSF/LAM Black (PBI 7)|Technical extender LAM</t>
  </si>
  <si>
    <t>NSF/LAM Rhodamone Red (PR 169)|1</t>
  </si>
  <si>
    <t>NSF/LAM Rhodamone Red (PR 169)|Паста NSF/PASTE Rhodamine Red (PR 169)  Г.Д.К.</t>
  </si>
  <si>
    <t>NSF/LAM Rhodamone Red (PR 169)|2</t>
  </si>
  <si>
    <t>NSF/LAM Rhodamone Red (PR 169)|Technical extender LAM</t>
  </si>
  <si>
    <t>NSF/LAM Rhodamone Red (PR 169)|3</t>
  </si>
  <si>
    <t>NSF/LAM Rhodamone Red (PR 169)|Extender SL-2 ЭЦ</t>
  </si>
  <si>
    <t>NSF/LAM Orange (PO 34)|1</t>
  </si>
  <si>
    <t>NSF/LAM Orange (PO 34)|Паста NSF/PASTE Orange (PO 34)  SL ЭЦ</t>
  </si>
  <si>
    <t>NSF/LAM Orange (PO 34)|2</t>
  </si>
  <si>
    <t>NSF/LAM Orange (PO 34)|Technical extender LAM</t>
  </si>
  <si>
    <t>NSF/LAM Orange (PO 34)|3</t>
  </si>
  <si>
    <t>NSF/LAM Orange (PO 34)|Extender SL-2 ЭЦ</t>
  </si>
  <si>
    <t>NSF/LAM Green (PG 7)|1</t>
  </si>
  <si>
    <t>NSF/LAM Green (PG 7)|Паста NSF/PASTE GREEN (PG 7)  SL ЭЦ</t>
  </si>
  <si>
    <t>NSF/LAM Green (PG 7)|2</t>
  </si>
  <si>
    <t>NSF/LAM Green (PG 7)|Паста NSF/Paste Cyan Blue (PB 15:3) SL ЭЦ</t>
  </si>
  <si>
    <t>NSF/LAM Green (PG 7)|3</t>
  </si>
  <si>
    <t>NSF/LAM Green (PG 7)|Technical extender LAM</t>
  </si>
  <si>
    <t>NSF/LAM Green (PG 7)|4</t>
  </si>
  <si>
    <t>NSF/LAM Green (PG 7)|Extender SL-2 ЭЦ</t>
  </si>
  <si>
    <t>NSF/LAM Violet (PV 23)|1</t>
  </si>
  <si>
    <t>NSF/LAM Violet (PV 23)|Паста NSF/PASTE Violet (PV 23) Г.Д.К.</t>
  </si>
  <si>
    <t>NSF/LAM Violet (PV 23)|2</t>
  </si>
  <si>
    <t>NSF/LAM Violet (PV 23)|Technical extender LAM</t>
  </si>
  <si>
    <t>NSF/LAM Reflex Blue|1</t>
  </si>
  <si>
    <t>NSF/LAM Reflex Blue|Паста NSF/Paste Cyan Blue (PB 15:3) Г.Д.К.</t>
  </si>
  <si>
    <t>NSF/LAM Reflex Blue|2</t>
  </si>
  <si>
    <t>NSF/LAM Reflex Blue|Паста NSF/PASTE Violet (PV 23) Г.Д.К.</t>
  </si>
  <si>
    <t>NSF/LAM Reflex Blue|3</t>
  </si>
  <si>
    <t>NSF/LAM Reflex Blue|Technical extender LAM</t>
  </si>
  <si>
    <t>NSF/LAM Reflex Blue|4</t>
  </si>
  <si>
    <t>NSF/LAM Reflex Blue|Extender SL-2 ЭЦ</t>
  </si>
  <si>
    <t>Краска NSF/LAM White (PW 6) ver 1,1|1</t>
  </si>
  <si>
    <t>Краска NSF/LAM White (PW 6) ver 1,1|Паста NSF/PASTE White (PW 6) ТпР А400</t>
  </si>
  <si>
    <t>Краска NSF/LAM White (PW 6) ver 1,1|2</t>
  </si>
  <si>
    <t>Краска NSF/LAM White (PW 6) ver 1,1|RPC Additive 397</t>
  </si>
  <si>
    <t>Краска NSF/LAM White (PW 6) ver 1,1|3</t>
  </si>
  <si>
    <t>Краска NSF/LAM White (PW 6) ver 1,1|DOA Plasticiser</t>
  </si>
  <si>
    <t>Краска NSF/LAM White (PW 6) ver 1,1|4</t>
  </si>
  <si>
    <t>Краска NSF/LAM White (PW 6) ver 1,1|TCA-IAM20 (аналог Титан АП 100/Титан АП 130 Д)</t>
  </si>
  <si>
    <t>Краска NSF/LAM White (PW 6) ver 1,1|5</t>
  </si>
  <si>
    <t>Краска NSF/LAM White (PW 6) ver 1,1|Extender А81</t>
  </si>
  <si>
    <t>Краска NSF/LAM White (PW 6) ver 1,1|6</t>
  </si>
  <si>
    <t>Краска NSF/LAM White (PW 6) ver 1,1|Этилацетат</t>
  </si>
  <si>
    <t>Краска NSF/LAM White (PW 6) ver 1,1|7</t>
  </si>
  <si>
    <t>Краска NSF/LAM White (PW 6) ver 1,1|Н-пропилацетат</t>
  </si>
  <si>
    <t>Краска NSF/LAM White (PW 6) ver 1,1|8</t>
  </si>
  <si>
    <t>Краска NSF/LAM White (PW 6) ver 1,1|Н-пропанол</t>
  </si>
  <si>
    <t>Краска NSF/UNI Cyan Blue (PB 15:3) TR ГУ|1</t>
  </si>
  <si>
    <t>Краска NSF/UNI Cyan Blue (PB 15:3) TR ГУ|Паста NSF/Paste Cyan Blue (PB 15:3) SL ЭЦ</t>
  </si>
  <si>
    <t>Краска NSF/UNI Cyan Blue (PB 15:3) TR ГУ|2</t>
  </si>
  <si>
    <t>Краска NSF/UNI Cyan Blue (PB 15:3) TR ГУ|Паста NSF/PASTE GREEN (PG 7)  SL ЭЦ</t>
  </si>
  <si>
    <t>Краска NSF/UNI Cyan Blue (PB 15:3) TR ГУ|3</t>
  </si>
  <si>
    <t>Краска NSF/UNI Cyan Blue (PB 15:3) TR ГУ|Technical Extender UNI 1338</t>
  </si>
  <si>
    <t>Краска NSF/UNI Cyan Blue (PB 15:3) TR ГУ|4</t>
  </si>
  <si>
    <t>Краска NSF/UNI Cyan Blue (PB 15:3) TR ГУ|Extender T-32</t>
  </si>
  <si>
    <t>Краска NSF/UNI Cyan Blue (PB 15:3) TR ГУ|5</t>
  </si>
  <si>
    <t>Краска NSF/UNI Cyan Blue (PB 15:3) TR ГУ|Extender SL-2 ЭЦ</t>
  </si>
  <si>
    <t>Краска NSF/UNI Cyan Blue (PB 15:3) TR ГУ|6</t>
  </si>
  <si>
    <t>Краска NSF/UNI Cyan Blue (PB 15:3) TR ГУ|TCA-IAM20 (аналог Титан АП 100/Титан АП 130 Д)</t>
  </si>
  <si>
    <t>Краска NSF/UNI Magenta (PR 57:1) TR ГУ|1</t>
  </si>
  <si>
    <t>Краска NSF/UNI Magenta (PR 57:1) TR ГУ|Паста NSF/PASTE Magenta (PR 57:1) Г.Д.К.</t>
  </si>
  <si>
    <t>Краска NSF/UNI Magenta (PR 57:1) TR ГУ|2</t>
  </si>
  <si>
    <t>Краска NSF/UNI Magenta (PR 57:1) TR ГУ|Technical Extender UNI 1338</t>
  </si>
  <si>
    <t>Краска NSF/UNI Magenta (PR 57:1) TR ГУ|3</t>
  </si>
  <si>
    <t>Краска NSF/UNI Magenta (PR 57:1) TR ГУ|Extender T-32</t>
  </si>
  <si>
    <t>Краска NSF/UNI Magenta (PR 57:1) TR ГУ|4</t>
  </si>
  <si>
    <t>Краска NSF/UNI Magenta (PR 57:1) TR ГУ|Extender SL-2 ЭЦ</t>
  </si>
  <si>
    <t>Краска NSF/UNI Magenta (PR 57:1) TR ГУ|5</t>
  </si>
  <si>
    <t>Краска NSF/UNI Magenta (PR 57:1) TR ГУ|Этилцеллозольв</t>
  </si>
  <si>
    <t>Краска NSF/UNI Yellow (PY 13) TR ГУ|1</t>
  </si>
  <si>
    <t>Краска NSF/UNI Yellow (PY 13) TR ГУ|Паста NSF/PASTE Yellow (PY 13)  SL ЭЦ</t>
  </si>
  <si>
    <t>Краска NSF/UNI Yellow (PY 13) TR ГУ|2</t>
  </si>
  <si>
    <t>Краска NSF/UNI Yellow (PY 13) TR ГУ|Technical Extender UNI 1338</t>
  </si>
  <si>
    <t>Краска NSF/UNI Yellow (PY 13) TR ГУ|3</t>
  </si>
  <si>
    <t>Краска NSF/UNI Yellow (PY 13) TR ГУ|Extender SL-2 ЭЦ</t>
  </si>
  <si>
    <t>Краска NSF/UNI Yellow (PY 13) TR ГУ|4</t>
  </si>
  <si>
    <t>Краска NSF/UNI Yellow (PY 13) TR ГУ|TCA-IAM20 (аналог Титан АП 100/Титан АП 130 Д)</t>
  </si>
  <si>
    <t>Краска NSF/UNI Yellow (PY 13) TR ГУ|5</t>
  </si>
  <si>
    <t>Краска NSF/UNI Yellow (PY 13) TR ГУ|Этилцеллозольв</t>
  </si>
  <si>
    <t>Краска NSF/UNI Black (КП 80) TR|1</t>
  </si>
  <si>
    <t>Краска NSF/UNI Black (КП 80) TR|Паста NSF/Paste Black (Pbk 7) КП 80</t>
  </si>
  <si>
    <t>Краска NSF/UNI Black (КП 80) TR|2</t>
  </si>
  <si>
    <t>Краска NSF/UNI Black (КП 80) TR|Technical Extender UNI 1338</t>
  </si>
  <si>
    <t>Краска NSF/UNI Black (КП 80) TR|3</t>
  </si>
  <si>
    <t>Краска NSF/UNI Black (КП 80) TR|Extender SL-2 ЭЦ</t>
  </si>
  <si>
    <t>Краска NSF/UNI Black (КП 80) TR|4</t>
  </si>
  <si>
    <t>Краска NSF/UNI Black (КП 80) TR|TCA-IAM20 (аналог Титан АП 100/Титан АП 130 Д)</t>
  </si>
  <si>
    <t>Краска NSF/UNI Black (КП 80) TR|5</t>
  </si>
  <si>
    <t>Краска NSF/UNI Black (КП 80) TR|Изопропанол</t>
  </si>
  <si>
    <t>Краска NSF/UNI White (PW 6) TR SLOW|1</t>
  </si>
  <si>
    <t>Краска NSF/UNI White (PW 6) TR SLOW|Паста NSF/PASTE White (PW 6) S + AEROSIL 200</t>
  </si>
  <si>
    <t>Краска NSF/UNI White (PW 6) TR SLOW|2</t>
  </si>
  <si>
    <t>Краска NSF/UNI White (PW 6) TR SLOW|Extender PinusTack 750 IPA</t>
  </si>
  <si>
    <t>Краска NSF/UNI White (PW 6) TR SLOW|3</t>
  </si>
  <si>
    <t>Краска NSF/UNI White (PW 6) TR SLOW|RPC Additive</t>
  </si>
  <si>
    <t>Краска NSF/UNI White (PW 6) TR SLOW|4</t>
  </si>
  <si>
    <t>Краска NSF/UNI White (PW 6) TR SLOW|RPC Additive 397</t>
  </si>
  <si>
    <t>Краска NSF/UNI White (PW 6) TR SLOW|5</t>
  </si>
  <si>
    <t>Краска NSF/UNI White (PW 6) TR SLOW|TCA-IAM20 (аналог Титан АП 100/Титан АП 130 Д)</t>
  </si>
  <si>
    <t>Краска NSF/UNI White (PW 6) TR SLOW|6</t>
  </si>
  <si>
    <t>Краска NSF/UNI White (PW 6) TR SLOW|DOA Plasticiser</t>
  </si>
  <si>
    <t>Краска NSF/UNI White (PW 6) TR SLOW|7</t>
  </si>
  <si>
    <t>Краска NSF/UNI White (PW 6) TR SLOW|Метоксипропанол</t>
  </si>
  <si>
    <t>Лак UNI Extender|1</t>
  </si>
  <si>
    <t>Лак UNI Extender|Extender SL-2 ЭЦ</t>
  </si>
  <si>
    <t>Лак UNI Extender|2</t>
  </si>
  <si>
    <t>Лак UNI Extender|Technical Extender UNI 1338</t>
  </si>
  <si>
    <t>Паста NSF/PC Cyan Blue (PB 15:3) ГОТЭК|1</t>
  </si>
  <si>
    <t>Паста NSF/PC Cyan Blue (PB 15:3) ГОТЭК|Паста NSF/Paste Cyan Blue (PB 15:3) Г.Д.К.</t>
  </si>
  <si>
    <t>Паста NSF/PC Cyan Blue (PB 15:3) ГОТЭК|2</t>
  </si>
  <si>
    <t>Паста NSF/PC Cyan Blue (PB 15:3) ГОТЭК|Этилацетат</t>
  </si>
  <si>
    <t>Паста NSF/PC Cyan Blue (PB 15:3) ГОТЭК|3</t>
  </si>
  <si>
    <t>Паста NSF/PC Cyan Blue (PB 15:3) ГОТЭК|Паста NSF/PASTE Magenta (PR 57:1) Г.Д.К.</t>
  </si>
  <si>
    <t>Паста NSF/PC Cyan Blue (PB 15:3) ГОТЭК|4</t>
  </si>
  <si>
    <t>Паста NSF/PC Cyan Blue (PB 15:3) ГОТЭК|Лак Extender НЦ-90</t>
  </si>
  <si>
    <t>Паста NSF/PC Magenta (PR 57:1) ГОТЭК|1</t>
  </si>
  <si>
    <t>Паста NSF/PC Magenta (PR 57:1) ГОТЭК|Паста NSF/PASTE Magenta (PR 57:1) Г.Д.К.</t>
  </si>
  <si>
    <t>Паста NSF/PC Magenta (PR 57:1) ГОТЭК|2</t>
  </si>
  <si>
    <t>Паста NSF/PC Magenta (PR 57:1) ГОТЭК|Этилацетат</t>
  </si>
  <si>
    <t>Паста NSF/PC Magenta (PR 57:1) ГОТЭК|3</t>
  </si>
  <si>
    <t>Паста NSF/PC Magenta (PR 57:1) ГОТЭК|Паста NSF/PASTE Yellow (PY 13) Г.Д.К.</t>
  </si>
  <si>
    <t>Паста NSF/PC Magenta (PR 57:1) ГОТЭК|4</t>
  </si>
  <si>
    <t>Паста NSF/PC Magenta (PR 57:1) ГОТЭК|Лак Extender НЦ-90</t>
  </si>
  <si>
    <t>Паста NSF/PC Yellow (PY 13) ГОТЭК|1</t>
  </si>
  <si>
    <t>Паста NSF/PC Yellow (PY 13) ГОТЭК|Паста NSF/PASTE Yellow (PY 13) Г.Д.К.</t>
  </si>
  <si>
    <t>Паста NSF/PC Yellow (PY 13) ГОТЭК|2</t>
  </si>
  <si>
    <t>Паста NSF/PC Yellow (PY 13) ГОТЭК|Этилцеллозольв</t>
  </si>
  <si>
    <t>Паста NSF/PC Yellow (PY 13) ГОТЭК|3</t>
  </si>
  <si>
    <t>Паста NSF/PC Yellow (PY 13) ГОТЭК|Изопропанол</t>
  </si>
  <si>
    <t>Паста NSF/PC Yellow (PY 13) ГОТЭК|4</t>
  </si>
  <si>
    <t>Паста NSF/PC Yellow (PY 13) ГОТЭК|Этилацетат</t>
  </si>
  <si>
    <t>Паста NSF/PC Black (PBk 7) ГОТЭК|1</t>
  </si>
  <si>
    <t>Паста NSF/PC Black (PBk 7) ГОТЭК|Паста NSF/PASTE Black  (PBk 7) Г.Д.К.</t>
  </si>
  <si>
    <t>Паста NSF/PC Black (PBk 7) ГОТЭК|2</t>
  </si>
  <si>
    <t>Паста NSF/PC Black (PBk 7) ГОТЭК|Этилацетат</t>
  </si>
  <si>
    <t>Паста NSF/PASTE Violet (PV 23) ГОТЭК|1</t>
  </si>
  <si>
    <t>Паста NSF/PASTE Violet (PV 23) ГОТЭК|Паста NSF/PASTE Violet (PV 23) Г.Д.К.</t>
  </si>
  <si>
    <t>Паста NSF/PASTE Violet (PV 23) ГОТЭК|2</t>
  </si>
  <si>
    <t>Паста NSF/PASTE Violet (PV 23) ГОТЭК|Паста NSF/PASTE Yellow (PY 13) Г.Д.К.</t>
  </si>
  <si>
    <t>Паста NSF/PASTE Violet (PV 23) ГОТЭК|3</t>
  </si>
  <si>
    <t>Паста NSF/PASTE Violet (PV 23) ГОТЭК|Этилцеллозольв</t>
  </si>
  <si>
    <t>Паста NSF/PASTE Violet (PV 23) ГОТЭК|4</t>
  </si>
  <si>
    <t>Паста NSF/PASTE Violet (PV 23) ГОТЭК|Extender T-32</t>
  </si>
  <si>
    <t>Паста NSF/Paste Warm Red (PR 53:1) ГОТЭК|1</t>
  </si>
  <si>
    <t>Паста NSF/Paste Warm Red (PR 53:1) ГОТЭК|Паста NSF/Paste Warm Red (PR 53:1) Г.Д.К.</t>
  </si>
  <si>
    <t>Паста NSF/Paste Warm Red (PR 53:1) ГОТЭК|2</t>
  </si>
  <si>
    <t>Паста NSF/Paste Warm Red (PR 53:1) ГОТЭК|Этилацетат</t>
  </si>
  <si>
    <t>NSF/PC Pantone Green (PG 7) Готэк NEW|1</t>
  </si>
  <si>
    <t>NSF/PC Pantone Green (PG 7) Готэк NEW|Этилцеллозольв</t>
  </si>
  <si>
    <t>NSF/PC Pantone Green (PG 7) Готэк NEW|2</t>
  </si>
  <si>
    <t>NSF/PC Pantone Green (PG 7) Готэк NEW|Изопропанол</t>
  </si>
  <si>
    <t>NSF/PC Pantone Green (PG 7) Готэк NEW|3</t>
  </si>
  <si>
    <t>NSF/PC Pantone Green (PG 7) Готэк NEW|Этилацетат</t>
  </si>
  <si>
    <t>NSF/PC Pantone Green (PG 7) Готэк NEW|4</t>
  </si>
  <si>
    <t>NSF/PC Pantone Green (PG 7) Готэк NEW|Нитроцеллюлоза LX 5/8 IPA WET</t>
  </si>
  <si>
    <t>NSF/PC Pantone Green (PG 7) Готэк NEW|5</t>
  </si>
  <si>
    <t>NSF/PC Pantone Green (PG 7) Готэк NEW|Lubrizol Solsperse 12000</t>
  </si>
  <si>
    <t>NSF/PC Pantone Green (PG 7) Готэк NEW|6</t>
  </si>
  <si>
    <t>NSF/PC Pantone Green (PG 7) Готэк NEW|Pigment Green PG 7 NC</t>
  </si>
  <si>
    <t>NSF/PC Pantone Green (PG 7) Готэк NEW|7</t>
  </si>
  <si>
    <t>NSF/PC Pantone Green (PG 7) Готэк NEW|LIDA DSS 20000R</t>
  </si>
  <si>
    <t>Паста NSF/PASTE Orange (PO 34)  ГОТЭК|1</t>
  </si>
  <si>
    <t>Паста NSF/PASTE Orange (PO 34)  ГОТЭК|Паста NSF/PASTE Orange (PO 34)  Г.Д.К.</t>
  </si>
  <si>
    <t>Паста NSF/PASTE Orange (PO 34)  ГОТЭК|2</t>
  </si>
  <si>
    <t>Паста NSF/PASTE Orange (PO 34)  ГОТЭК|Паста NSF/PASTE Yellow (PY 13) Г.Д.К.</t>
  </si>
  <si>
    <t>Паста NSF/PASTE Orange (PO 34)  ГОТЭК|3</t>
  </si>
  <si>
    <t>Паста NSF/PASTE Orange (PO 34)  ГОТЭК|Лак Extender НЦ-90</t>
  </si>
  <si>
    <t>Паста NSF/PASTE Orange (PO 34)  ГОТЭК|4</t>
  </si>
  <si>
    <t>Паста NSF/PASTE Orange (PO 34)  ГОТЭК|Этилцеллозольв</t>
  </si>
  <si>
    <t>Лак Technical Extender UNI 1338|1</t>
  </si>
  <si>
    <t>Лак Technical Extender UNI 1338|RPC Additive</t>
  </si>
  <si>
    <t>Лак Technical Extender UNI 1338|2</t>
  </si>
  <si>
    <t>Лак Technical Extender UNI 1338|RPC Additive 397</t>
  </si>
  <si>
    <t>Лак Technical Extender UNI 1338|3</t>
  </si>
  <si>
    <t>Лак Technical Extender UNI 1338|Extender PinusTack 750 IPA</t>
  </si>
  <si>
    <t>Лак Technical Extender UNI 1338|4</t>
  </si>
  <si>
    <t>Лак Technical Extender UNI 1338|DOA Plasticiser</t>
  </si>
  <si>
    <t>Лак Technical Extender UNI 1338|5</t>
  </si>
  <si>
    <t>Лак Technical Extender UNI 1338|Этилцеллозольв</t>
  </si>
  <si>
    <t>Лак Extender НЦ-90 fast|1</t>
  </si>
  <si>
    <t>Лак Extender НЦ-90 fast|Этилцеллозольв</t>
  </si>
  <si>
    <t>Лак Extender НЦ-90 fast|2</t>
  </si>
  <si>
    <t>Лак Extender НЦ-90 fast|Изопропанол</t>
  </si>
  <si>
    <t>Лак Extender НЦ-90 fast|3</t>
  </si>
  <si>
    <t>Лак Extender НЦ-90 fast|Этилацетат</t>
  </si>
  <si>
    <t>Лак Extender НЦ-90 fast|4</t>
  </si>
  <si>
    <t>Лак Extender НЦ-90 fast|Нитроцеллюлоза LX 5/8 IPA WET</t>
  </si>
  <si>
    <t>PC RED (PR 254)ГОТЭК|1</t>
  </si>
  <si>
    <t>PC RED (PR 254)ГОТЭК|PC RED (PR 254) Г.Д.К</t>
  </si>
  <si>
    <t>PC RED (PR 254)ГОТЭК|2</t>
  </si>
  <si>
    <t>PC RED (PR 254)ГОТЭК|Лак Extender НЦ-90</t>
  </si>
  <si>
    <t>PC Rhodamine Red (PR 122) ГОТЭК|1</t>
  </si>
  <si>
    <t>PC Rhodamine Red (PR 122) ГОТЭК|PC Rhodamine Red (PR 122) Г.Д.К</t>
  </si>
  <si>
    <t>PC Rhodamine Red (PR 122) ГОТЭК|2</t>
  </si>
  <si>
    <t>PC Rhodamine Red (PR 122) ГОТЭК|Этилацетат</t>
  </si>
  <si>
    <t>PC Rhodamine Red (PR 122) ГОТЭК|3</t>
  </si>
  <si>
    <t>PC Rhodamine Red (PR 122) ГОТЭК|Этилцеллозольв</t>
  </si>
  <si>
    <t>PC Rhodamine Red (PR 122) ГОТЭК|4</t>
  </si>
  <si>
    <t>PC Rhodamine Red (PR 122) ГОТЭК|Лак Extender НЦ-90</t>
  </si>
  <si>
    <t>PC MAGENTA (PR 146) ГОТЭК|1</t>
  </si>
  <si>
    <t>PC MAGENTA (PR 146) ГОТЭК|PC MAGENTA (PR 146) Г.Д.К</t>
  </si>
  <si>
    <t>PC MAGENTA (PR 146) ГОТЭК|2</t>
  </si>
  <si>
    <t>PC MAGENTA (PR 146) ГОТЭК|Лак Extender НЦ-90</t>
  </si>
  <si>
    <t>PC YELLOW (PY 74) ГОТЭК|1</t>
  </si>
  <si>
    <t>PC YELLOW (PY 74) ГОТЭК|PC YELLOW (PY 74) Г.Д.К</t>
  </si>
  <si>
    <t>PC YELLOW (PY 74) ГОТЭК|2</t>
  </si>
  <si>
    <t>PC YELLOW (PY 74) ГОТЭК|Этилацетат</t>
  </si>
  <si>
    <t>PC YELLOW (PY 74) ГОТЭК|3</t>
  </si>
  <si>
    <t>PC YELLOW (PY 74) ГОТЭК|Этилцеллозольв</t>
  </si>
  <si>
    <t>PC YELLOW (PY 74) ГОТЭК|4</t>
  </si>
  <si>
    <t>PC YELLOW (PY 74) ГОТЭК|Лак Extender НЦ-90</t>
  </si>
  <si>
    <t>PC YELLOW (PY 83) ГОТЭК|1</t>
  </si>
  <si>
    <t>PC YELLOW (PY 83) ГОТЭК|PC YELLOW (PY 83) Г.Д.К</t>
  </si>
  <si>
    <t>PC YELLOW (PY 83) ГОТЭК|2</t>
  </si>
  <si>
    <t>PC YELLOW (PY 83) ГОТЭК|Лак Extender НЦ-90</t>
  </si>
  <si>
    <t>Артикулы:</t>
  </si>
  <si>
    <t>🎯  Потери по реальным данным выпусков</t>
  </si>
  <si>
    <t>Источник: 1С «выпуски_ШИ.xlsx» · артикулов с детализацией: 31</t>
  </si>
  <si>
    <t>Расход на 1 кг ГП</t>
  </si>
  <si>
    <t>Σ компонентов</t>
  </si>
  <si>
    <t>Потери, кг (рекомендуется)</t>
  </si>
  <si>
    <t>Партий</t>
  </si>
  <si>
    <t>Technical Extender UNI 1338|Extender PinusTack 750 IPA</t>
  </si>
  <si>
    <t>Technical Extender UNI 1338|Technical Extender UNI 1338</t>
  </si>
  <si>
    <t>Technical Extender UNI 1338|Полиуретан TEXAFLEX IV 509 LV</t>
  </si>
  <si>
    <t>Technical Extender UNI 1338|Nitrocellulose ( SS 30-35)</t>
  </si>
  <si>
    <t>DROMAL 2354</t>
  </si>
  <si>
    <t>Extender PinusTack 750 IPA|DROMAL 2354</t>
  </si>
  <si>
    <t>Technical extender LAM|Technical extender LAM</t>
  </si>
  <si>
    <t>Паста NSF/PASTE White (PW 6) ТпР А400|Диоксид титана UTR-982</t>
  </si>
  <si>
    <t>Pigment PW 6 White Белый BILLIONS R-996</t>
  </si>
  <si>
    <t>Паста NSF/PASTE White (PW 6) ТпР А400|Pigment PW 6 White Белый BILLIONS R-996</t>
  </si>
  <si>
    <t>Паста NSF/PASTE White (PW 6) ТпР А400|Лак НЦ-116 (БИНА)</t>
  </si>
  <si>
    <t>Паста NSF/PASTE White (PW 6) ТпР А400|Pigment PW 6 White Белый R-996 (LOMON)</t>
  </si>
  <si>
    <t>Паста NSF/PASTE White (PW 6) ТпР А400|Диоксид титана BR-3668</t>
  </si>
  <si>
    <t>Паста NSF/Paste Cyan Blue (PB 15:3) SL ЭЦ|Пигмент органический Blue BGLKN (Радиант Кем.)</t>
  </si>
  <si>
    <t>Паста NSF/Paste Cyan Blue (PB 15:3) SL ЭЦ|Nitrocellulose L1\8 SEC(IPA)</t>
  </si>
  <si>
    <t>Паста NSF/PASTE Yellow (PY 13)  SL ЭЦ|Pigment Yellow PY 13 ЕТС</t>
  </si>
  <si>
    <t>Паста NSF/PASTE Yellow (PY 13)  SL ЭЦ|Pigment Yellow PY 13 Пигмент органический Liperm BH-TXL (Радиант Кем.)</t>
  </si>
  <si>
    <t>Паста NSF/PASTE Yellow (PY 13)  SL ЭЦ|Nitrocellulose L1\8 SEC(IPA)</t>
  </si>
  <si>
    <t>Паста NSF/PASTE Yellow (PY 13)  SL ЭЦ|Лак Overprint varnish 1K MATT</t>
  </si>
  <si>
    <t>Паста NSF/PASTE Yellow (PY 13)  SL ЭЦ|Pigment Yellow PY 13 - 2К м.А НЦ</t>
  </si>
  <si>
    <t>Паста NSF/PASTE Yellow (PY 13)  SL ЭЦ|Паста NSF/HL LAM PASTE Yellow (PY 13)</t>
  </si>
  <si>
    <t>Паста NSF/PASTE Black  (PBk 7) Г.Д.К.|Pigment Black PС 406</t>
  </si>
  <si>
    <t>Паста NSF/Paste Cyan Blue (PB 15:3) Г.Д.К.|Пигмент органический Blue BGLKN (Радиант Кем.)</t>
  </si>
  <si>
    <t>Паста NSF/PASTE Yellow (PY 13) Г.Д.К.|Pigment Yellow PY 13 Пигмент органический Liperm BH-TXL (Радиант Кем.)</t>
  </si>
  <si>
    <t>Паста NSF/PASTE Yellow (PY 13) Г.Д.К.|Lubrizol Solsperse 54000</t>
  </si>
  <si>
    <t>Паста NSF/PASTE White (PW 6) S + AEROSIL 200|Pigment PW 6 White Белый R-996 (LOMON)</t>
  </si>
  <si>
    <t>Паста NSF/PASTE White (PW 6) S + AEROSIL 200|Nitrocellulose ( SS 30-35)</t>
  </si>
  <si>
    <t>Паста NSF/PASTE White (PW 6) S + AEROSIL 200|Диоксид титана UTR-982</t>
  </si>
  <si>
    <t>Паста NSF/PASTE White (PW 6) S + AEROSIL 200|Nitrocellulose L1\8 SEC(IPA)</t>
  </si>
  <si>
    <t>Паста NSF/PASTE GREEN (PG 7)  SL ЭЦ|Nitrocellulose ( SS 30-35)</t>
  </si>
  <si>
    <t>Паста NSF/PASTE Violet (PV 23)  Г.Д.К.|Изопропанол</t>
  </si>
  <si>
    <t>Паста NSF/PASTE Violet (PV 23)  Г.Д.К.|Этилцеллозольв</t>
  </si>
  <si>
    <t>Паста NSF/PASTE Violet (PV 23)  Г.Д.К.|Pigment Violet PV23</t>
  </si>
  <si>
    <t>Паста NSF/PASTE Violet (PV 23)  Г.Д.К.|Этилацетат</t>
  </si>
  <si>
    <t>Паста NSF/PASTE Violet (PV 23)  Г.Д.К.|Nitrocellulose ( SS 30-35)</t>
  </si>
  <si>
    <t>Паста NSF/PASTE Violet (PV 23)  Г.Д.К.|Nitrocellulose L1\8 SEC(IPA)</t>
  </si>
  <si>
    <t>Паста NSF/PASTE Violet (PV 23)  Г.Д.К.|Extender SL-2 ЭЦ</t>
  </si>
  <si>
    <t>Паста NSF/PASTE Violet (PV 23)  Г.Д.К.|LIDA DSS 20000R</t>
  </si>
  <si>
    <t>Паста NSF/PASTE Rhodamine Red (PR 169)  Г.Д.К.|Nitrocellulose L1\8 SEC(IPA)</t>
  </si>
  <si>
    <t>Паста NSF/Paste Warm Red (PR 53:1) Г.Д.К.|Nitrocellulose L1\8 SEC(IPA)</t>
  </si>
  <si>
    <t>Паста NSF/Paste Warm Red (PR 53:1) Г.Д.К.|Краска Респекта (Медиум 001 UNI ECO (Полифуд))</t>
  </si>
  <si>
    <t>Гексан</t>
  </si>
  <si>
    <t>Краска NSF/UNI Magenta (PR 57:1) TR  VER 1.1|Гексан</t>
  </si>
  <si>
    <t>Краска NSF/UNI Magenta (PR 57:1) TR  VER 1.1|Паста NSF/PASTE Yellow (PY 13) Г.Д.К.</t>
  </si>
  <si>
    <t>Краска NSF/UNI Cyan Blue (PB 15:3) TR ГУ|Гексан</t>
  </si>
  <si>
    <t>Краска NSF/UNI Cyan Blue (PB 15:3) TR ГУ|Титан АП 100/Титан АП 130 Д</t>
  </si>
  <si>
    <t>Краска NSF/UNI Yellov (PY13) TR ГУ|Этилцеллозольв</t>
  </si>
  <si>
    <t>Краска NSF/UNI Yellov (PY13) TR ГУ|Паста NSF/PASTE Yellow (PY 13) Г.Д.К.</t>
  </si>
  <si>
    <t>Краска NSF/UNI Yellov (PY13) TR ГУ|Титан АП 100/Титан АП 130 Д</t>
  </si>
  <si>
    <t>Краска NSF/UNI Yellov (PY13) TR ГУ|Краска NSF/UNI Yellow (PY 13) TR</t>
  </si>
  <si>
    <t>Краска NSF/UNI White (PW 6) TR SLOW|Паста NSF/PASTE White (PW 6) ТпР А400</t>
  </si>
  <si>
    <t>Краска NSF/UNI White (PW 6) TR SLOW|Титан АП 100/Титан АП 130 Д</t>
  </si>
  <si>
    <t>Краска NSF/uni White (PW 6) AF35|Extender 35 АФ</t>
  </si>
  <si>
    <t>Краска NSF/uni White (PW 6) AF35|Гексан</t>
  </si>
  <si>
    <t>Краска NSF/uni White (PW 6) AF35|Полиуретан TEXAFLEX IV 509 LV</t>
  </si>
  <si>
    <t>Краска NSF/uni White (PW 6) AF35|Титан АП 100/Титан АП 130 Д</t>
  </si>
  <si>
    <t>Краска NSF/uni White (PW 6) AF35|Extender SL-2 ЭЦ</t>
  </si>
  <si>
    <t>Краска NSF/uni White (PW 6) AF35|Краска NSF/LAM White (PW 6) под PET</t>
  </si>
  <si>
    <t>Краска NSF/uni White (PW 6) AF35|Краска NSF/UNI White (PW 6) TR SLOW</t>
  </si>
  <si>
    <t>Бутилфосфат титана ВВ-1002 (аналог Титан АП100/130)</t>
  </si>
  <si>
    <t>Краска NSF/uni White (PW 6) AF35|Бутилфосфат титана ВВ-1002 (аналог Титан АП100/130)</t>
  </si>
  <si>
    <t>Краска NSF/uni White (PW 6) AF35|Краска NSF/UNI White (PW 6) R106</t>
  </si>
  <si>
    <t>NSF/PC Cyan Blue (PB 15:3) ГОТЭК|Гексан</t>
  </si>
  <si>
    <t>NSF/PC Magenta (PR 57:1) ГОТЭК|Гексан</t>
  </si>
  <si>
    <t>NSF/PC Magenta (PR 57:1) ГОТЭК|Extender SL-2 ЭЦ</t>
  </si>
  <si>
    <t>NSF/PC Yellow (PY 13) ГОТЭК|Гексан</t>
  </si>
  <si>
    <t>NSF/PC Black (PBk 7) ГОТЭК|Паста NSF/Paste Cyan Blue (PB 15:3) Г.Д.К.</t>
  </si>
  <si>
    <t>Краска NSF/ALKALI RESISTAN White (PW 6)|Extender Neocryl Resin</t>
  </si>
  <si>
    <t>Краска NSF/LAM Cyan Blue (PB 15:3)|Паста NSF/Paste Cyan Blue (PB 15:3) Г.Д.К.</t>
  </si>
  <si>
    <t>📦 Бочка стальная 210 л.</t>
  </si>
  <si>
    <t>Technical Extender UNI 1338|Бочка стальная 210 л.</t>
  </si>
  <si>
    <t>📦 Ведро 25 л.</t>
  </si>
  <si>
    <t>Technical extender LAM|Ведро 25 л.</t>
  </si>
  <si>
    <t>Лак UNI Extender|Ведро 25 л.</t>
  </si>
  <si>
    <t>Лак Extender НЦ-90|Бочка стальная 210 л.</t>
  </si>
  <si>
    <t>Паста NSF/Paste Cyan Blue (PB 15:3) SL ЭЦ|Бочка стальная 210 л.</t>
  </si>
  <si>
    <t>Паста NSF/Paste Black (Pbk 7) КП 80|Бочка стальная 210 л.</t>
  </si>
  <si>
    <t>Краска NSF/UNI Cyan Blue (PB 15:3) TR ГУ|Ведро 25 л.</t>
  </si>
  <si>
    <t>Краска NSF/UNI White (PW 6) TR SLOW|Ведро 25 л.</t>
  </si>
  <si>
    <t>Краска NSF/ALKALI RESISTAN White (PW 6)|Ведро 25 л.</t>
  </si>
  <si>
    <t>кг на 1 кг продукта (с 3% потерь)</t>
  </si>
  <si>
    <t>Сумма €/кг</t>
  </si>
  <si>
    <t>Это полупр. без рецептуры?</t>
  </si>
  <si>
    <t>Лак LAM Extender растровый,|RPC Additive 397</t>
  </si>
  <si>
    <t>Лак LAM Extender растровый,|Этилцеллозольв</t>
  </si>
  <si>
    <t>Лак LAM Extender растровый,|Изопропанол</t>
  </si>
  <si>
    <t>Лак LAM Extender растровый,|Фумаризованная канифоль Pinustack 750</t>
  </si>
  <si>
    <t>Лак LAM Extender растровый,|Ведро 25 л.</t>
  </si>
  <si>
    <t>Лак LAM Extender растровый,|Нитроцеллюлоза LX 5/8 IPA WET</t>
  </si>
  <si>
    <t>INK Rhodamine Red (PR 122 )|Этилцеллозольв</t>
  </si>
  <si>
    <t>INK Rhodamine Red (PR 122 )|Изопропанол</t>
  </si>
  <si>
    <t>INK Rhodamine Red (PR 122 )|Этилацетат</t>
  </si>
  <si>
    <t>INK Rhodamine Red (PR 122 )|Нитроцеллюлоза LX 5/8 IPA WET</t>
  </si>
  <si>
    <t>INK Rhodamine Red (PR 122 )|LIDA DSS 20000R</t>
  </si>
  <si>
    <t>INK Rhodamine Red (PR 122 )|Pigment Red (PR 122) СИНТЕЗ ЦВЕТА</t>
  </si>
  <si>
    <t>INK Rhodamine Red (PR 122 )|Nitrocellulose ( SS 30-35)</t>
  </si>
  <si>
    <t>INK Rhodamine Red (PR 122 )|Бочка стальная 210 л.</t>
  </si>
  <si>
    <t>INK Rhodamine Red (PR 122 )|RPC Additive 397</t>
  </si>
  <si>
    <t>INK Rhodamine Red (PR 122 )|RPC Additive</t>
  </si>
  <si>
    <t>INK Rhodamine Red (PR 122 )|Фумаризованная канифоль Pinustack 750</t>
  </si>
  <si>
    <t>INK Rhodamine Red (PR 122 )|DOA Plasticiser</t>
  </si>
  <si>
    <t>Reflex Blue ( действующий)|Изопропанол</t>
  </si>
  <si>
    <t>Reflex Blue ( действующий)|Этилцеллозольв</t>
  </si>
  <si>
    <t>Reflex Blue ( действующий)|Этилацетат</t>
  </si>
  <si>
    <t>Reflex Blue ( действующий)|Nitrocellulose ( SS 30-35)</t>
  </si>
  <si>
    <t>Reflex Blue ( действующий)|Pigment Cyan Blue PB 15:3</t>
  </si>
  <si>
    <t>Reflex Blue ( действующий)|Бочка стальная 210 л.</t>
  </si>
  <si>
    <t>Reflex Blue ( действующий)|RPC Additive 397</t>
  </si>
  <si>
    <t>Reflex Blue ( действующий)|Фумаризованная канифоль Pinustack 750</t>
  </si>
  <si>
    <t>Reflex Blue ( действующий)|DOA Plasticiser</t>
  </si>
  <si>
    <t>Black (PBl 7) / RASTR|RPC Additive 397</t>
  </si>
  <si>
    <t>Black (PBl 7) / RASTR|Изопропанол</t>
  </si>
  <si>
    <t>Black (PBl 7) / RASTR|Фумаризованная канифоль Pinustack 750</t>
  </si>
  <si>
    <t>Black (PBl 7) / RASTR|DOA Plasticiser</t>
  </si>
  <si>
    <t>Black (PBl 7) / RASTR|Nitrocellulose ( SS 30-35)</t>
  </si>
  <si>
    <t>Black (PBl 7) / RASTR|Этилацетат</t>
  </si>
  <si>
    <t>Паста NSF/LAM White (PW 6) 2042|Паста NSF/LAM White (PW 6) 2042</t>
  </si>
  <si>
    <t>Ink Purple|Пигмент красный 169</t>
  </si>
  <si>
    <t>Ink Purple|Nitrocellulose L1\8 SEC(IPA)</t>
  </si>
  <si>
    <t>Ink Purple|Этилцеллозольв</t>
  </si>
  <si>
    <t>Ink Purple|Изопропанол</t>
  </si>
  <si>
    <t>Ink Purple|Этилацетат</t>
  </si>
  <si>
    <t>Ink Purple|LIDA DSS 20000R</t>
  </si>
  <si>
    <t>Ink Purple|RPC Additive 397</t>
  </si>
  <si>
    <t>Ink Purple|Фумаризованная канифоль Pinustack 750</t>
  </si>
  <si>
    <t>Ink Purple|Ведро 25 л.</t>
  </si>
  <si>
    <t>Ink Purple|Nitrocellulose ( SS 30-35)</t>
  </si>
  <si>
    <t>Лак Overprint varnish 2K MATT LACQUER PAPER TOUCH (20мкм)|Лак Overprint varnish 2K MATT LACQUER PAPER TOUCH (20мкм)</t>
  </si>
  <si>
    <t>Краска NSF/UNI Cyan Blue (PB 15:3) TR VER 1.2|Этилацетат</t>
  </si>
  <si>
    <t>Краска NSF/UNI Cyan Blue (PB 15:3) TR VER 1.2|Nitrocellulose ( SS 30-35)</t>
  </si>
  <si>
    <t>Краска NSF/UNI Cyan Blue (PB 15:3) TR VER 1.2|Pigment Cyan Blue PB 15:3</t>
  </si>
  <si>
    <t>Краска NSF/UNI Cyan Blue (PB 15:3) TR VER 1.2|Бочка стальная 210 л.</t>
  </si>
  <si>
    <t>Краска NSF/UNI Cyan Blue (PB 15:3) TR VER 1.2|RPC Additive 397</t>
  </si>
  <si>
    <t>Краска NSF/UNI Cyan Blue (PB 15:3) TR VER 1.2|Фумаризованная канифоль Pinustack 750</t>
  </si>
  <si>
    <t>Краска NSF/UNI Cyan Blue (PB 15:3) TR VER 1.2|DOA Plasticiser</t>
  </si>
  <si>
    <t>Краска NSF/UNI Cyan Blue (PB 15:3) TR VER 1.2|Нитроцеллюлоза LX 5/8 IPA WET</t>
  </si>
  <si>
    <t>Краска NSF/LAM Cyan Blue (PB 15:3)|Nitrocellulose ( SS 30-35)</t>
  </si>
  <si>
    <t>Краска NSF/LAM Cyan Blue (PB 15:3)|LIDA DSS 20000R</t>
  </si>
  <si>
    <t>Краска NSF/LAM Cyan Blue (PB 15:3)|Этилцеллозольв</t>
  </si>
  <si>
    <t>Краска NSF/LAM Cyan Blue (PB 15:3)|Lubrizol Solsperse 12000</t>
  </si>
  <si>
    <t>Краска NSF/LAM Cyan Blue (PB 15:3)|Pigment Cyan Blue PB 15:3</t>
  </si>
  <si>
    <t>Краска NSF/LAM Cyan Blue (PB 15:3)|Изопропанол</t>
  </si>
  <si>
    <t>Краска NSF/LAM Cyan Blue (PB 15:3)|Бочка стальная 210 л.</t>
  </si>
  <si>
    <t>Краска NSF/LAM Cyan Blue (PB 15:3)|RPC Additive 397</t>
  </si>
  <si>
    <t>Краска NSF/LAM Cyan Blue (PB 15:3)|Фумаризованная канифоль Pinustack 750</t>
  </si>
  <si>
    <t>Лак Overprint varnish 2K MATT LACQUER PAPER TOUCH (30)|Лак Overprint varnish 2K MATT LACQUER PAPER TOUCH (30)</t>
  </si>
  <si>
    <t>Лак UNI Extender  ROTO|Изопропанол</t>
  </si>
  <si>
    <t>Лак UNI Extender  ROTO|Этилацетат</t>
  </si>
  <si>
    <t>Лак UNI Extender  ROTO|Нитроцеллюлоза LX 5/8 IPA WET</t>
  </si>
  <si>
    <t>INK Magenta (146)  ЭЦ|Этилцеллозольв</t>
  </si>
  <si>
    <t>INK Magenta (146)  ЭЦ|Изопропанол</t>
  </si>
  <si>
    <t>INK Magenta (146)  ЭЦ|Этилацетат</t>
  </si>
  <si>
    <t>INK Magenta (146)  ЭЦ|Нитроцеллюлоза LX 5/8 IPA WET</t>
  </si>
  <si>
    <t>INK Magenta (146)  ЭЦ|LIDA DSS 20000R</t>
  </si>
  <si>
    <t>INK Magenta (146)  ЭЦ|Pigment Red 146 (FBB) (Формула успеха)</t>
  </si>
  <si>
    <t>INK Magenta (146)  ЭЦ|Nitrocellulose ( SS 30-35)</t>
  </si>
  <si>
    <t>INK Magenta (146)  ЭЦ|Бочка стальная 210 л.</t>
  </si>
  <si>
    <t>INK Magenta (146)  ЭЦ|Dromide 957</t>
  </si>
  <si>
    <t>INK Magenta (146)  ЭЦ|Wax-Erucamide paste</t>
  </si>
  <si>
    <t>Паста NSF/PASTE White (PW 6) B-20|Паста NSF/PASTE White (PW 6) B-20</t>
  </si>
  <si>
    <t>PC MAGENTA (PR 146) ГОТЭК|Этилцеллозольв</t>
  </si>
  <si>
    <t>PC MAGENTA (PR 146) ГОТЭК|Изопропанол</t>
  </si>
  <si>
    <t>PC MAGENTA (PR 146) ГОТЭК|Этилацетат</t>
  </si>
  <si>
    <t>PC MAGENTA (PR 146) ГОТЭК|Нитроцеллюлоза LX 5/8 IPA WET</t>
  </si>
  <si>
    <t>PC MAGENTA (PR 146) ГОТЭК|LIDA DSS 20000R</t>
  </si>
  <si>
    <t>PC MAGENTA (PR 146) ГОТЭК|Pigment Red 146 (FBB) (Формула успеха)</t>
  </si>
  <si>
    <t>PC MAGENTA (PR 146) ГОТЭК|Nitrocellulose ( SS 30-35)</t>
  </si>
  <si>
    <t>PC MAGENTA (PR 146) ГОТЭК|Бочка стальная 210 л.</t>
  </si>
  <si>
    <t>Лак UNI Extender|Nitrocellulose ( SS 30-35)</t>
  </si>
  <si>
    <t>Лак UNI Extender|Изопропанол</t>
  </si>
  <si>
    <t>Лак UNI Extender|Этилацетат</t>
  </si>
  <si>
    <t>Лак UNI Extender|Этилцеллозольв</t>
  </si>
  <si>
    <t>Лак UNI Extender|RPC Additive 397</t>
  </si>
  <si>
    <t>Лак UNI Extender|RPC Additive</t>
  </si>
  <si>
    <t>Лак UNI Extender|Фумаризованная канифоль Pinustack 750</t>
  </si>
  <si>
    <t>Лак UNI Extender|DOA Plasticiser</t>
  </si>
  <si>
    <t>Лак UNI Extender|Бочка стальная 210 л.</t>
  </si>
  <si>
    <t>ЛАК НЦ 35 ROTO|ЛАК НЦ 35 ROTO</t>
  </si>
  <si>
    <t>Паста NSF/Paste Black (Pbk 7) PV|Паста NSF/Paste Black (Pbk 7) PV</t>
  </si>
  <si>
    <t>NSF/LAM  Magenta (146)|Этилцеллозольв</t>
  </si>
  <si>
    <t>NSF/LAM  Magenta (146)|Изопропанол</t>
  </si>
  <si>
    <t>NSF/LAM  Magenta (146)|Этилацетат</t>
  </si>
  <si>
    <t>NSF/LAM  Magenta (146)|Нитроцеллюлоза LX 5/8 IPA WET</t>
  </si>
  <si>
    <t>NSF/LAM  Magenta (146)|LIDA DSS 20000R</t>
  </si>
  <si>
    <t>NSF/LAM  Magenta (146)|Pigment Red 146 (FBB) (Формула успеха)</t>
  </si>
  <si>
    <t>NSF/LAM  Magenta (146)|Nitrocellulose ( SS 30-35)</t>
  </si>
  <si>
    <t>NSF/LAM  Magenta (146)|Бочка стальная 210 л.</t>
  </si>
  <si>
    <t>NSF/LAM  Magenta (146)|RPC Additive 397</t>
  </si>
  <si>
    <t>NSF/LAM  Magenta (146)|Фумаризованная канифоль Pinustack 750</t>
  </si>
  <si>
    <t>NSF/LAM  Magenta (146)|Ведро 25 л.</t>
  </si>
  <si>
    <t>Паста NSF/HL LAM White (PW 6) 2042|Паста NSF/HL LAM White (PW 6) 2042</t>
  </si>
  <si>
    <t>Лак Overprint Varnish MATT (0)|Лак Overprint Varnish MATT (0)</t>
  </si>
  <si>
    <t>Лак Overprint Varnish MATT (7020)|Лак Overprint Varnish MATT (7020)</t>
  </si>
  <si>
    <t>Паста NSF/PASTE Yellow (PY  83) Г.Д.К.|Паста NSF/PASTE Yellow (PY  83) Г.Д.К.</t>
  </si>
  <si>
    <t>Лак UNI Extender(на 1338)|RPC Additive 397</t>
  </si>
  <si>
    <t>Лак UNI Extender(на 1338)|RPC Additive</t>
  </si>
  <si>
    <t>Лак UNI Extender(на 1338)|Этилцеллозольв</t>
  </si>
  <si>
    <t>Лак UNI Extender(на 1338)|Изопропанол</t>
  </si>
  <si>
    <t>Лак UNI Extender(на 1338)|Фумаризованная канифоль Pinustack 750</t>
  </si>
  <si>
    <t>Лак UNI Extender(на 1338)|DOA Plasticiser</t>
  </si>
  <si>
    <t>Лак UNI Extender(на 1338)|Бочка стальная 210 л.</t>
  </si>
  <si>
    <t>Technical Extender UNI ЭЦ|Technical Extender UNI ЭЦ</t>
  </si>
  <si>
    <t>Лак Overprint Varnish MATT (6633)|Лак Overprint Varnish MATT (6633)</t>
  </si>
  <si>
    <t>Паста NSF/Paste Warm Red (PR 53:1)|Паста NSF/Paste Warm Red (PR 53:1)</t>
  </si>
  <si>
    <t>Extender T-32|Нитроцеллюлоза LX 5/8 IPA WET</t>
  </si>
  <si>
    <t>Краска NSF/LAM White (PW 6)|Диоксид титана BR-3661</t>
  </si>
  <si>
    <t>Краска NSF/LAM White (PW 6)|Nitrocellulose ( SS 30-35)</t>
  </si>
  <si>
    <t>NSF/PC Black (PBk 7) ГОТЭК|Nitrocellulose ( SS 30-35)</t>
  </si>
  <si>
    <t>NSF/PC Black (PBk 7) ГОТЭК|Этилцеллозольв</t>
  </si>
  <si>
    <t>NSF/PC Black (PBk 7) ГОТЭК|LIDA DSS 20000R</t>
  </si>
  <si>
    <t>NSF/PC Black (PBk 7) ГОТЭК|Lubrizol Solsperse 12000</t>
  </si>
  <si>
    <t>NSF/PC Black (PBk 7) ГОТЭК|Pigment Black PBk 7 (PRINTEX 35)</t>
  </si>
  <si>
    <t>NSF/PC Black (PBk 7) ГОТЭК|Изопропанол</t>
  </si>
  <si>
    <t>INK Reflex Blue|Nitrocellulose ( SS 30-35)</t>
  </si>
  <si>
    <t>INK Reflex Blue|LIDA DSS 20000R</t>
  </si>
  <si>
    <t>INK Reflex Blue|Этилцеллозольв</t>
  </si>
  <si>
    <t>INK Reflex Blue|Lubrizol Solsperse 12000</t>
  </si>
  <si>
    <t>INK Reflex Blue|Pigment Cyan Blue PB 15:3</t>
  </si>
  <si>
    <t>INK Reflex Blue|Изопропанол</t>
  </si>
  <si>
    <t>INK Reflex Blue|RPC Additive 397</t>
  </si>
  <si>
    <t>INK Reflex Blue|Фумаризованная канифоль Pinustack 750</t>
  </si>
  <si>
    <t>INK Reflex Blue|Ведро 25 л.</t>
  </si>
  <si>
    <t>INK Reflex Blue|Этилацетат</t>
  </si>
  <si>
    <t>Краска NSF/UNI Magenta (PR 57:1) TR  VER 1.3|RPC Additive 397</t>
  </si>
  <si>
    <t>Краска NSF/UNI Magenta (PR 57:1) TR  VER 1.3|RPC Additive</t>
  </si>
  <si>
    <t>Краска NSF/UNI Magenta (PR 57:1) TR  VER 1.3|Этилцеллозольв</t>
  </si>
  <si>
    <t>Краска NSF/UNI Magenta (PR 57:1) TR  VER 1.3|Изопропанол</t>
  </si>
  <si>
    <t>Краска NSF/UNI Magenta (PR 57:1) TR  VER 1.3|Фумаризованная канифоль Pinustack 750</t>
  </si>
  <si>
    <t>Краска NSF/UNI Magenta (PR 57:1) TR  VER 1.3|DOA Plasticiser</t>
  </si>
  <si>
    <t>Краска NSF/UNI Magenta (PR 57:1) TR  VER 1.3|Бочка стальная 210 л.</t>
  </si>
  <si>
    <t>Паста NSF/LAM White (PW 6) 5835|Паста NSF/LAM White (PW 6) 5835</t>
  </si>
  <si>
    <t>INK Cyan Blue (PB 15:3)|Изопропанол</t>
  </si>
  <si>
    <t>INK Cyan Blue (PB 15:3)|Этилцеллозольв</t>
  </si>
  <si>
    <t>INK Cyan Blue (PB 15:3)|Этилацетат</t>
  </si>
  <si>
    <t>INK Cyan Blue (PB 15:3)|Nitrocellulose ( SS 30-35)</t>
  </si>
  <si>
    <t>INK Cyan Blue (PB 15:3)|Pigment Cyan Blue PB 15:3</t>
  </si>
  <si>
    <t>INK Cyan Blue (PB 15:3)|Бочка стальная 210 л.</t>
  </si>
  <si>
    <t>INK Cyan Blue (PB 15:3)|RPC Additive 397</t>
  </si>
  <si>
    <t>INK Cyan Blue (PB 15:3)|RPC Additive</t>
  </si>
  <si>
    <t>INK Cyan Blue (PB 15:3)|Фумаризованная канифоль Pinustack 750</t>
  </si>
  <si>
    <t>INK Cyan Blue (PB 15:3)|DOA Plasticiser</t>
  </si>
  <si>
    <t>Краска NSF/UNI Yellow (PY 13) TR VER 1.2|Pigment Yellow PY 13 ЕТС</t>
  </si>
  <si>
    <t>Краска NSF/UNI Yellow (PY 13) TR VER 1.2|Nitrocellulose L1\8 SEC(IPA)</t>
  </si>
  <si>
    <t>Краска NSF/UNI Yellow (PY 13) TR VER 1.2|Этилцеллозольв</t>
  </si>
  <si>
    <t>Краска NSF/UNI Yellow (PY 13) TR VER 1.2|Этилацетат</t>
  </si>
  <si>
    <t>Краска NSF/UNI Yellow (PY 13) TR VER 1.2|RPC Additive 397</t>
  </si>
  <si>
    <t>Краска NSF/UNI Yellow (PY 13) TR VER 1.2|Фумаризованная канифоль Pinustack 750</t>
  </si>
  <si>
    <t>Краска NSF/UNI Yellow (PY 13) TR VER 1.2|DOA Plasticiser</t>
  </si>
  <si>
    <t>Краска NSF/UNI Yellow (PY 13) TR VER 1.2|Nitrocellulose ( SS 30-35)</t>
  </si>
  <si>
    <t>Orange (PO 34)|Изопропанол</t>
  </si>
  <si>
    <t>Orange (PO 34)|Этилацетат</t>
  </si>
  <si>
    <t>Orange (PO 34)|LIDA DSS 20000R</t>
  </si>
  <si>
    <t>Orange (PO 34)|Lubrizol Solsperse 22000</t>
  </si>
  <si>
    <t>Orange (PO 34)|Нитроцеллюлоза LX 5/8 IPA WET</t>
  </si>
  <si>
    <t>Orange (PO 34)|Pigment Orange PO 34</t>
  </si>
  <si>
    <t>Orange (PO 34)|RPC Additive 397</t>
  </si>
  <si>
    <t>Orange (PO 34)|Этилцеллозольв</t>
  </si>
  <si>
    <t>Orange (PO 34)|Фумаризованная канифоль Pinustack 750</t>
  </si>
  <si>
    <t>Orange (PO 34)|DOA Plasticiser</t>
  </si>
  <si>
    <t>Orange (PO 34)|Nitrocellulose ( SS 30-35)</t>
  </si>
  <si>
    <t>Reflex Blue|Изопропанол</t>
  </si>
  <si>
    <t>Reflex Blue|Этилцеллозольв</t>
  </si>
  <si>
    <t>Reflex Blue|Этилацетат</t>
  </si>
  <si>
    <t>Reflex Blue|Nitrocellulose ( SS 30-35)</t>
  </si>
  <si>
    <t>Reflex Blue|Pigment Cyan Blue PB 15:3</t>
  </si>
  <si>
    <t>Reflex Blue|Бочка стальная 210 л.</t>
  </si>
  <si>
    <t>Reflex Blue|RPC Additive 397</t>
  </si>
  <si>
    <t>Reflex Blue|RPC Additive</t>
  </si>
  <si>
    <t>Reflex Blue|Фумаризованная канифоль Pinustack 750</t>
  </si>
  <si>
    <t>Reflex Blue|DOA Plasticiser</t>
  </si>
  <si>
    <t>Добавка в растр,|Н-пропилацетат</t>
  </si>
  <si>
    <t>Добавка в растр,|Этилцеллозольв</t>
  </si>
  <si>
    <t>Добавка в растр,|Нитроцеллюлоза LX 5/8 IPA WET</t>
  </si>
  <si>
    <t>Добавка в растр,|YL-904 (Восковая добавка для ОС)</t>
  </si>
  <si>
    <t>Добавка в растр,|RPC Additive 397</t>
  </si>
  <si>
    <t>Добавка в растр,|RPC Additive</t>
  </si>
  <si>
    <t>Добавка в растр,|Изопропанол</t>
  </si>
  <si>
    <t>Добавка в растр,|Фумаризованная канифоль Pinustack 750</t>
  </si>
  <si>
    <t>Добавка в растр,|DOA Plasticiser</t>
  </si>
  <si>
    <t>Добавка в растр,|Бочка стальная 210 л.</t>
  </si>
  <si>
    <t>PC RED (PR 254)ГОТЭК|Этилцеллозольв</t>
  </si>
  <si>
    <t>PC RED (PR 254)ГОТЭК|Изопропанол</t>
  </si>
  <si>
    <t>PC RED (PR 254)ГОТЭК|Этилацетат</t>
  </si>
  <si>
    <t>PC RED (PR 254)ГОТЭК|Нитроцеллюлоза LX 5/8 IPA WET</t>
  </si>
  <si>
    <t>PC RED (PR 254)ГОТЭК|Pigment RED (PR 254) ХС</t>
  </si>
  <si>
    <t>PC RED (PR 254)ГОТЭК|Nitrocellulose ( SS 30-35)</t>
  </si>
  <si>
    <t>PC RED (PR 254)ГОТЭК|Бочка стальная 210 л.</t>
  </si>
  <si>
    <t>Лак LAM Extender растровый|Лак LAM Extender растровый</t>
  </si>
  <si>
    <t>Extender A81|Extender A81</t>
  </si>
  <si>
    <t>Technical Extender Normal L-K|Technical Extender Normal L-K</t>
  </si>
  <si>
    <t>NSF/PC Cyan Blue (PB 15:3)|Nitrocellulose ( SS 30-35)</t>
  </si>
  <si>
    <t>NSF/PC Cyan Blue (PB 15:3)|LIDA DSS 20000R</t>
  </si>
  <si>
    <t>NSF/PC Cyan Blue (PB 15:3)|Этилцеллозольв</t>
  </si>
  <si>
    <t>NSF/PC Cyan Blue (PB 15:3)|Lubrizol Solsperse 12000</t>
  </si>
  <si>
    <t>NSF/PC Cyan Blue (PB 15:3)|Pigment Cyan Blue PB 15:3</t>
  </si>
  <si>
    <t>NSF/PC Cyan Blue (PB 15:3)|Изопропанол</t>
  </si>
  <si>
    <t>NSF/PC Cyan Blue (PB 15:3)|Этилацетат</t>
  </si>
  <si>
    <t>NSF/PC Cyan Blue (PB 15:3)|Pigment Magenta PR 57:1 от Химсвет</t>
  </si>
  <si>
    <t>NSF/PC Cyan Blue (PB 15:3)|Бочка стальная 210 л.</t>
  </si>
  <si>
    <t>NSF/PC Cyan Blue (PB 15:3)|RPC Additive 397</t>
  </si>
  <si>
    <t>NSF/PC Cyan Blue (PB 15:3)|RPC Additive</t>
  </si>
  <si>
    <t>NSF/PC Cyan Blue (PB 15:3)|Фумаризованная канифоль Pinustack 750</t>
  </si>
  <si>
    <t>NSF/PC Cyan Blue (PB 15:3)|DOA Plasticiser</t>
  </si>
  <si>
    <t>Паста NSF/PASTE Orange (PO 34)  ГОТЭК|Нитроцеллюлоза LX 5/8 IPA WET</t>
  </si>
  <si>
    <t>Паста NSF/PASTE Orange (PO 34)  ГОТЭК|Н-пропилацетат</t>
  </si>
  <si>
    <t>Паста NSF/PASTE Orange (PO 34)  ГОТЭК|Н-пропанол</t>
  </si>
  <si>
    <t>Паста NSF/PASTE Orange (PO 34)  ГОТЭК|LIDA DSS 20000R</t>
  </si>
  <si>
    <t>Паста NSF/PASTE Orange (PO 34)  ГОТЭК|Lubrizol Solsperse 22000</t>
  </si>
  <si>
    <t>Паста NSF/PASTE Orange (PO 34)  ГОТЭК|Pigment Orange PO 34</t>
  </si>
  <si>
    <t>Паста NSF/PASTE Orange (PO 34)  ГОТЭК|Nitrocellulose ( SS 30-35)</t>
  </si>
  <si>
    <t>Паста NSF/PASTE Orange (PO 34)  ГОТЭК|Изопропанол</t>
  </si>
  <si>
    <t>Паста NSF/PASTE Orange (PO 34)  ГОТЭК|Pigment Yellow PY 13 Пигмент органический Liperm BH-TXL (Радиант Кем.)</t>
  </si>
  <si>
    <t>Паста NSF/PASTE Orange (PO 34)  ГОТЭК|Этилацетат</t>
  </si>
  <si>
    <t>Паста NSF/PASTE Orange (PO 34)  ГОТЭК|Бочка стальная 210 л.</t>
  </si>
  <si>
    <t>NSF/PC Yellow (PY 13) ПОФ|Nitrocellulose ( SS 30-35)</t>
  </si>
  <si>
    <t>NSF/PC Yellow (PY 13) ПОФ|Изопропанол</t>
  </si>
  <si>
    <t>NSF/PC Yellow (PY 13) ПОФ|Этилцеллозольв</t>
  </si>
  <si>
    <t>NSF/PC Yellow (PY 13) ПОФ|LIDA DSS 20000R</t>
  </si>
  <si>
    <t>NSF/PC Yellow (PY 13) ПОФ|Lubrizol Solsperse 22000</t>
  </si>
  <si>
    <t>NSF/PC Yellow (PY 13) ПОФ|Pigment Yellow PY 13 Пигмент органический Liperm BH-TXL (Радиант Кем.)</t>
  </si>
  <si>
    <t>Паста NSF/PASTE Green (PG 7)  Г.Д.К.|Паста NSF/PASTE Green (PG 7)  Г.Д.К.</t>
  </si>
  <si>
    <t>Extender B-20|Extender B-20</t>
  </si>
  <si>
    <t>Паста NSF/PC Rhodamine Red (PR 122) Г.Д.К.|Паста NSF/PC Rhodamine Red (PR 122) Г.Д.К.</t>
  </si>
  <si>
    <t>Паста NSF/PASTE Magenta (PR 57:1) PV|Паста NSF/PASTE Magenta (PR 57:1) PV</t>
  </si>
  <si>
    <t>Краска NSF/uni White (PW 6) AF35|Изопропанол</t>
  </si>
  <si>
    <t>Краска NSF/uni White (PW 6) AF35|Диоксид титана BR-3661</t>
  </si>
  <si>
    <t>Краска NSF/uni White (PW 6) AF35|Nitrocellulose ( SS 30-35)</t>
  </si>
  <si>
    <t>Краска NSF/uni White (PW 6) AF35|Фумаризованная канифоль Pinustack 750</t>
  </si>
  <si>
    <t>Краска NSF/uni White (PW 6) AF35|ЛАК НЦ -0711</t>
  </si>
  <si>
    <t>Паста NSF/PASTE Yellow (PY 74) Г.Д.К.|Паста NSF/PASTE Yellow (PY 74) Г.Д.К.</t>
  </si>
  <si>
    <t>Black (PBl 7) / PV|Н-пропанол</t>
  </si>
  <si>
    <t>Black (PBl 7) / PV|Н-пропилацетат</t>
  </si>
  <si>
    <t>Black (PBl 7) / PV|Нитроцеллюлоза LX 5/8 IPA WET</t>
  </si>
  <si>
    <t>Black (PBl 7) / PV|LIDA DSS 20000R</t>
  </si>
  <si>
    <t>Black (PBl 7) / PV|Lubrizol Solsperse 12000</t>
  </si>
  <si>
    <t>Black (PBl 7) / PV|Pigment Black NuTone 310</t>
  </si>
  <si>
    <t>NSF/PC Magenta (PR 57:1) ПОФ|Этилцеллозольв</t>
  </si>
  <si>
    <t>NSF/PC Magenta (PR 57:1) ПОФ|Nitrocellulose ( SS 30-35)</t>
  </si>
  <si>
    <t>NSF/PC Magenta (PR 57:1) ПОФ|LIDA DSS 20000R</t>
  </si>
  <si>
    <t>NSF/PC Magenta (PR 57:1) ПОФ|Pigment Magenta PR 57:1 от Химсвет</t>
  </si>
  <si>
    <t>NSF/PC Magenta (PR 57:1) ПОФ|Изопропанол</t>
  </si>
  <si>
    <t>NSF/PC Magenta (PR 57:1) ПОФ|Бочка стальная 210 л.</t>
  </si>
  <si>
    <t>Дисперсия воска LuWax|Нитроцеллюлоза LX 5/8 IPA WET</t>
  </si>
  <si>
    <t>ЛАК НЦ -0711|ЛАК НЦ -0711</t>
  </si>
  <si>
    <t>Краска NSF/UNI White (PW 6) TR SLOW|Изопропанол</t>
  </si>
  <si>
    <t>Краска NSF/UNI White (PW 6) TR SLOW|Этилацетат</t>
  </si>
  <si>
    <t>Краска NSF/UNI White (PW 6) TR SLOW|Этилцеллозольв</t>
  </si>
  <si>
    <t>Краска NSF/UNI White (PW 6) TR SLOW|Нитроцеллюлоза LX 5/8 IPA WET</t>
  </si>
  <si>
    <t>Краска NSF/UNI White (PW 6) TR SLOW|Диоксид титана BR-3661</t>
  </si>
  <si>
    <t>Краска NSF/UNI White (PW 6) TR SLOW|Kaolin К-Brite HK 158</t>
  </si>
  <si>
    <t>Краска NSF/UNI White (PW 6) TR SLOW|Фумаризованная канифоль Pinustack 750</t>
  </si>
  <si>
    <t>Паста NSF/PC HL LAM PASTE Violet (PV23)|Паста NSF/PC HL LAM PASTE Violet (PV23)</t>
  </si>
  <si>
    <t>Extender Neocryl Resin|Extender Neocryl Resin</t>
  </si>
  <si>
    <t>NSF/PC Yellow (PY 13) ГОТЭК|Nitrocellulose ( SS 30-35)</t>
  </si>
  <si>
    <t>NSF/PC Yellow (PY 13) ГОТЭК|LIDA DSS 20000R</t>
  </si>
  <si>
    <t>NSF/PC Yellow (PY 13) ГОТЭК|Lubrizol Solsperse 22000</t>
  </si>
  <si>
    <t>NSF/PC Yellow (PY 13) ГОТЭК|Pigment Yellow PY 13 Пигмент органический Liperm BH-TXL (Радиант Кем.)</t>
  </si>
  <si>
    <t>NSF/ALKALI RESISTANT Black (PBI 7)|Изопропанол</t>
  </si>
  <si>
    <t>NSF/ALKALI RESISTANT Black (PBI 7)|Этилцеллозольв</t>
  </si>
  <si>
    <t>NSF/ALKALI RESISTANT Black (PBI 7)|Этилацетат</t>
  </si>
  <si>
    <t>NSF/ALKALI RESISTANT Black (PBI 7)|Nitrocellulose ( SS 30-35)</t>
  </si>
  <si>
    <t>NSF/ALKALI RESISTANT Black (PBI 7)|Lubrizol Solsperse 20000</t>
  </si>
  <si>
    <t>NSF/ALKALI RESISTANT Black (PBI 7)|Lubrizol Solsperse 12000</t>
  </si>
  <si>
    <t>NSF/ALKALI RESISTANT Black (PBI 7)|Pigment Black PС 406</t>
  </si>
  <si>
    <t>NSF/ALKALI RESISTANT Black (PBI 7)|Бочка стальная 210 л.</t>
  </si>
  <si>
    <t>Technical Extender UNI 397|Изопропанол</t>
  </si>
  <si>
    <t>Technical Extender UNI 397|Фумаризованная канифоль Pinustack 750</t>
  </si>
  <si>
    <t>PURPLE|Пигмент красный 169</t>
  </si>
  <si>
    <t>PURPLE|Nitrocellulose L1\8 SEC(IPA)</t>
  </si>
  <si>
    <t>PURPLE|Этилцеллозольв</t>
  </si>
  <si>
    <t>PURPLE|Изопропанол</t>
  </si>
  <si>
    <t>PURPLE|Этилацетат</t>
  </si>
  <si>
    <t>PURPLE|LIDA DSS 20000R</t>
  </si>
  <si>
    <t>PURPLE|RPC Additive 397</t>
  </si>
  <si>
    <t>PURPLE|Фумаризованная канифоль Pinustack 750</t>
  </si>
  <si>
    <t>PURPLE|DOA Plasticiser</t>
  </si>
  <si>
    <t>PURPLE|Nitrocellulose ( SS 30-35)</t>
  </si>
  <si>
    <t>PURPLE|Бочка стальная 210 л.</t>
  </si>
  <si>
    <t>NSF/ UNI Magenta (PR 57:1) ПОФ|Этилцеллозольв</t>
  </si>
  <si>
    <t>NSF/ UNI Magenta (PR 57:1) ПОФ|Nitrocellulose ( SS 30-35)</t>
  </si>
  <si>
    <t>NSF/ UNI Magenta (PR 57:1) ПОФ|LIDA DSS 20000R</t>
  </si>
  <si>
    <t>NSF/ UNI Magenta (PR 57:1) ПОФ|Pigment Magenta PR 57:1 от Химсвет</t>
  </si>
  <si>
    <t>NSF/ UNI Magenta (PR 57:1) ПОФ|Изопропанол</t>
  </si>
  <si>
    <t>NSF/ UNI Magenta (PR 57:1) ПОФ|Этилацетат</t>
  </si>
  <si>
    <t>NSF/ UNI Magenta (PR 57:1) ПОФ|Бочка стальная 210 л.</t>
  </si>
  <si>
    <t>NSF/ UNI Magenta (PR 57:1) ПОФ|RPC Additive 397</t>
  </si>
  <si>
    <t>NSF/ UNI Magenta (PR 57:1) ПОФ|RPC Additive</t>
  </si>
  <si>
    <t>NSF/ UNI Magenta (PR 57:1) ПОФ|Фумаризованная канифоль Pinustack 750</t>
  </si>
  <si>
    <t>NSF/ UNI Magenta (PR 57:1) ПОФ|DOA Plasticiser</t>
  </si>
  <si>
    <t>NSF/ UNI Magenta (PR 57:1) ПОФ|Нитроцеллюлоза LX 5/8 IPA WET</t>
  </si>
  <si>
    <t>NSF/ UNI Magenta (PR 57:1) ПОФ|LuWax AF31</t>
  </si>
  <si>
    <t>Лак UNI Extender(на 1338) SURF|RPC Additive 397</t>
  </si>
  <si>
    <t>Лак UNI Extender(на 1338) SURF|RPC Additive</t>
  </si>
  <si>
    <t>Лак UNI Extender(на 1338) SURF|Этилцеллозольв</t>
  </si>
  <si>
    <t>Лак UNI Extender(на 1338) SURF|Изопропанол</t>
  </si>
  <si>
    <t>Лак UNI Extender(на 1338) SURF|Фумаризованная канифоль Pinustack 750</t>
  </si>
  <si>
    <t>Лак UNI Extender(на 1338) SURF|DOA Plasticiser</t>
  </si>
  <si>
    <t>Лак UNI Extender(на 1338) SURF|Бочка стальная 210 л.</t>
  </si>
  <si>
    <t>NSF/ALKALI RESISTANT Yellow (PY 13)|Pigment Yellow PY 13 ЕТС</t>
  </si>
  <si>
    <t>NSF/ALKALI RESISTANT Yellow (PY 13)|Nitrocellulose L1\8 SEC(IPA)</t>
  </si>
  <si>
    <t>NSF/ALKALI RESISTANT Yellow (PY 13)|Этилцеллозольв</t>
  </si>
  <si>
    <t>NSF/ALKALI RESISTANT Yellow (PY 13)|Изопропанол</t>
  </si>
  <si>
    <t>NSF/ALKALI RESISTANT Yellow (PY 13)|Этилацетат</t>
  </si>
  <si>
    <t>Паста NSF/Paste Warm Red (PR 53:1) ГОТЭК|Изопропанол</t>
  </si>
  <si>
    <t>Паста NSF/Paste Warm Red (PR 53:1) ГОТЭК|Этилцеллозольв</t>
  </si>
  <si>
    <t>Паста NSF/Paste Warm Red (PR 53:1) ГОТЭК|Nitrocellulose ( SS 30-35)</t>
  </si>
  <si>
    <t>Паста NSF/Paste Warm Red (PR 53:1) ГОТЭК|LIDA DSS 20000R</t>
  </si>
  <si>
    <t>Паста NSF/Paste Warm Red (PR 53:1) ГОТЭК|Pigment Warm Red PR 53:1 ЕТС</t>
  </si>
  <si>
    <t>PC Rhodamine Red (PR 122) ГОТЭК|Изопропанол</t>
  </si>
  <si>
    <t>PC Rhodamine Red (PR 122) ГОТЭК|Нитроцеллюлоза LX 5/8 IPA WET</t>
  </si>
  <si>
    <t>PC Rhodamine Red (PR 122) ГОТЭК|LIDA DSS 20000R</t>
  </si>
  <si>
    <t>PC Rhodamine Red (PR 122) ГОТЭК|Pigment Red (PR 122) СИНТЕЗ ЦВЕТА</t>
  </si>
  <si>
    <t>PC Rhodamine Red (PR 122) ГОТЭК|Nitrocellulose ( SS 30-35)</t>
  </si>
  <si>
    <t>PC Rhodamine Red (PR 122) ГОТЭК|Бочка стальная 210 л.</t>
  </si>
  <si>
    <t>Лак покрывной(холодный клей)|Лак покрывной(холодный клей)</t>
  </si>
  <si>
    <t>NSF/LAM Yellow (PY 74)|RPC Additive 397</t>
  </si>
  <si>
    <t>NSF/LAM Yellow (PY 74)|Этилцеллозольв</t>
  </si>
  <si>
    <t>NSF/LAM Yellow (PY 74)|Изопропанол</t>
  </si>
  <si>
    <t>NSF/LAM Yellow (PY 74)|Фумаризованная канифоль Pinustack 750</t>
  </si>
  <si>
    <t>NSF/LAM Yellow (PY 74)|Ведро 25 л.</t>
  </si>
  <si>
    <t>Паста NSF/HL LAM PASTE Magenta (PR 57:1)|Паста NSF/HL LAM PASTE Magenta (PR 57:1)</t>
  </si>
  <si>
    <t>INK Violet (PV 23)|RPC Additive 397</t>
  </si>
  <si>
    <t>INK Violet (PV 23)|RPC Additive</t>
  </si>
  <si>
    <t>INK Violet (PV 23)|Этилцеллозольв</t>
  </si>
  <si>
    <t>INK Violet (PV 23)|Изопропанол</t>
  </si>
  <si>
    <t>INK Violet (PV 23)|Фумаризованная канифоль Pinustack 750</t>
  </si>
  <si>
    <t>INK Violet (PV 23)|DOA Plasticiser</t>
  </si>
  <si>
    <t>INK Violet (PV 23)|Бочка стальная 210 л.</t>
  </si>
  <si>
    <t>INK Violet (PV 23)|Nitrocellulose ( SS 30-35)</t>
  </si>
  <si>
    <t>INK Violet (PV 23)|Этилацетат</t>
  </si>
  <si>
    <t>Краска NSF/UNI Magenta (PR 57:1) TR  VER 1.1|RPC Additive 397</t>
  </si>
  <si>
    <t>Краска NSF/UNI Magenta (PR 57:1) TR  VER 1.1|RPC Additive</t>
  </si>
  <si>
    <t>Краска NSF/UNI Magenta (PR 57:1) TR  VER 1.1|Этилцеллозольв</t>
  </si>
  <si>
    <t>Краска NSF/UNI Magenta (PR 57:1) TR  VER 1.1|Изопропанол</t>
  </si>
  <si>
    <t>Краска NSF/UNI Magenta (PR 57:1) TR  VER 1.1|Фумаризованная канифоль Pinustack 750</t>
  </si>
  <si>
    <t>Краска NSF/UNI Magenta (PR 57:1) TR  VER 1.1|DOA Plasticiser</t>
  </si>
  <si>
    <t>Краска NSF/UNI Magenta (PR 57:1) TR  VER 1.1|Бочка стальная 210 л.</t>
  </si>
  <si>
    <t>PC YELLOW (PY 74) Г.Д.К|Нитроцеллюлоза LX 5/8 IPA WET</t>
  </si>
  <si>
    <t>Паста NSF/PC Magenta (PR 146) Г.Д.К.|Паста NSF/PC Magenta (PR 146) Г.Д.К.</t>
  </si>
  <si>
    <t>Краска NSF/UNI Cyan Blue (PB 15:3) ALKALI RESISTANT|Изопропанол</t>
  </si>
  <si>
    <t>Краска NSF/UNI Cyan Blue (PB 15:3) ALKALI RESISTANT|Этилцеллозольв</t>
  </si>
  <si>
    <t>Краска NSF/UNI Cyan Blue (PB 15:3) ALKALI RESISTANT|Этилацетат</t>
  </si>
  <si>
    <t>Краска NSF/UNI Cyan Blue (PB 15:3) ALKALI RESISTANT|Nitrocellulose ( SS 30-35)</t>
  </si>
  <si>
    <t>Краска NSF/UNI Cyan Blue (PB 15:3) ALKALI RESISTANT|Pigment Cyan Blue PB 15:3</t>
  </si>
  <si>
    <t>Краска NSF/UNI Cyan Blue (PB 15:3) ALKALI RESISTANT|Бочка стальная 210 л.</t>
  </si>
  <si>
    <t>Краска NSF/UNI Cyan Blue (PB 15:3) TR VER 1.1|Этилцеллозольв</t>
  </si>
  <si>
    <t>Краска NSF/UNI Cyan Blue (PB 15:3) TR VER 1.1|Этилацетат</t>
  </si>
  <si>
    <t>Краска NSF/UNI Cyan Blue (PB 15:3) TR VER 1.1|Nitrocellulose ( SS 30-35)</t>
  </si>
  <si>
    <t>Краска NSF/UNI Cyan Blue (PB 15:3) TR VER 1.1|Pigment Cyan Blue PB 15:3</t>
  </si>
  <si>
    <t>Краска NSF/UNI Cyan Blue (PB 15:3) TR VER 1.1|Бочка стальная 210 л.</t>
  </si>
  <si>
    <t>Краска NSF/UNI Cyan Blue (PB 15:3) TR VER 1.1|RPC Additive 397</t>
  </si>
  <si>
    <t>Краска NSF/UNI Cyan Blue (PB 15:3) TR VER 1.1|RPC Additive</t>
  </si>
  <si>
    <t>Краска NSF/UNI Cyan Blue (PB 15:3) TR VER 1.1|Фумаризованная канифоль Pinustack 750</t>
  </si>
  <si>
    <t>Краска NSF/UNI Cyan Blue (PB 15:3) TR VER 1.1|DOA Plasticiser</t>
  </si>
  <si>
    <t>Лак OPV AL-RESIST|Лак OPV AL-RESIST</t>
  </si>
  <si>
    <t>Краска NSF/LAM White (PW 6) ver 1,1|Изопропанол</t>
  </si>
  <si>
    <t>Краска NSF/LAM White (PW 6) ver 1,1|Этилцеллозольв</t>
  </si>
  <si>
    <t>Краска NSF/LAM White (PW 6) ver 1,1|Диоксид титана BR-3661</t>
  </si>
  <si>
    <t>Краска NSF/LAM White (PW 6) ver 1,1|Nitrocellulose ( SS 30-35)</t>
  </si>
  <si>
    <t>Краска NSF/LAM White (PW 6) ver 1,1|Extender A81</t>
  </si>
  <si>
    <t>Лак LAM Extender ROTO|Изопропанол</t>
  </si>
  <si>
    <t>Лак LAM Extender ROTO|Этилацетат</t>
  </si>
  <si>
    <t>Лак LAM Extender ROTO|Нитроцеллюлоза LX 5/8 IPA WET</t>
  </si>
  <si>
    <t>Лак LAM Extender ROTO|RPC Additive 397</t>
  </si>
  <si>
    <t>Лак LAM Extender ROTO|Этилцеллозольв</t>
  </si>
  <si>
    <t>Лак LAM Extender ROTO|Фумаризованная канифоль Pinustack 750</t>
  </si>
  <si>
    <t>Лак LAM Extender ROTO|Ведро 25 л.</t>
  </si>
  <si>
    <t>Лак LAM Extender плашка,|RPC Additive 397</t>
  </si>
  <si>
    <t>Лак LAM Extender плашка,|Этилцеллозольв</t>
  </si>
  <si>
    <t>Лак LAM Extender плашка,|Изопропанол</t>
  </si>
  <si>
    <t>Лак LAM Extender плашка,|Фумаризованная канифоль Pinustack 750</t>
  </si>
  <si>
    <t>Лак LAM Extender плашка,|Ведро 25 л.</t>
  </si>
  <si>
    <t>Лак LAM Extender плашка,|Nitrocellulose ( SS 30-35)</t>
  </si>
  <si>
    <t>Лак LAM Extender плашка,|Этилацетат</t>
  </si>
  <si>
    <t>Technical Extender B-20|Technical Extender B-20</t>
  </si>
  <si>
    <t>NSF/PC Cyan Blue (PB 15:3) ГОТЭК|Nitrocellulose ( SS 30-35)</t>
  </si>
  <si>
    <t>NSF/PC Cyan Blue (PB 15:3) ГОТЭК|LIDA DSS 20000R</t>
  </si>
  <si>
    <t>NSF/PC Cyan Blue (PB 15:3) ГОТЭК|Этилцеллозольв</t>
  </si>
  <si>
    <t>NSF/PC Cyan Blue (PB 15:3) ГОТЭК|Lubrizol Solsperse 12000</t>
  </si>
  <si>
    <t>NSF/PC Cyan Blue (PB 15:3) ГОТЭК|Pigment Cyan Blue PB 15:3</t>
  </si>
  <si>
    <t>NSF/PC Cyan Blue (PB 15:3) ГОТЭК|Изопропанол</t>
  </si>
  <si>
    <t>Лак Overprint Varnish AL-RESIST|Лак Overprint Varnish AL-RESIST</t>
  </si>
  <si>
    <t>Technical extender LAM|Изопропанол</t>
  </si>
  <si>
    <t>Technical extender LAM|Фумаризованная канифоль Pinustack 750</t>
  </si>
  <si>
    <t>Паста NSF/Paste Black (Pbk 7) КП 80|Lubrizol Solsperse 20000</t>
  </si>
  <si>
    <t>Краска NSF/UNI Black (КП 80) TR VER 1.1|Изопропанол</t>
  </si>
  <si>
    <t>Краска NSF/UNI Black (КП 80) TR VER 1.1|Этилцеллозольв</t>
  </si>
  <si>
    <t>Краска NSF/UNI Black (КП 80) TR VER 1.1|Этилацетат</t>
  </si>
  <si>
    <t>Краска NSF/UNI Black (КП 80) TR VER 1.1|Nitrocellulose ( SS 30-35)</t>
  </si>
  <si>
    <t>Краска NSF/UNI Black (КП 80) TR VER 1.1|Lubrizol Solsperse 20000</t>
  </si>
  <si>
    <t>Краска NSF/UNI Black (КП 80) TR VER 1.1|Lubrizol Solsperse 12000</t>
  </si>
  <si>
    <t>Краска NSF/UNI Black (КП 80) TR VER 1.1|Pigment Black PС 406</t>
  </si>
  <si>
    <t>Краска NSF/UNI Black (КП 80) TR VER 1.1|Бочка стальная 210 л.</t>
  </si>
  <si>
    <t>Краска NSF/UNI Black (КП 80) TR VER 1.1|RPC Additive 397</t>
  </si>
  <si>
    <t>Краска NSF/UNI Black (КП 80) TR VER 1.1|RPC Additive</t>
  </si>
  <si>
    <t>Краска NSF/UNI Black (КП 80) TR VER 1.1|Фумаризованная канифоль Pinustack 750</t>
  </si>
  <si>
    <t>Краска NSF/UNI Black (КП 80) TR VER 1.1|DOA Plasticiser</t>
  </si>
  <si>
    <t>Паста NSF/PASTE Violet (PV 3) ТАЯ|Паста NSF/PASTE Violet (PV 3) ТАЯ</t>
  </si>
  <si>
    <t>Лак Overprint Varnish MATT (1к)|Фумаризованная канифоль Pinustack 750</t>
  </si>
  <si>
    <t>Лак Overprint Varnish MATT (1к)|Laropal A- 81-К (GNG A-81 A)</t>
  </si>
  <si>
    <t>Лак Overprint Varnish MATT (1к)|Nitrocellulose ( SS 30-35)</t>
  </si>
  <si>
    <t>Лак Overprint Varnish MATT (1к)|Этилцеллозольв</t>
  </si>
  <si>
    <t>INK Black (PBl 7)|Этилцеллозольв</t>
  </si>
  <si>
    <t>INK Black (PBl 7)|Этилацетат</t>
  </si>
  <si>
    <t>INK Black (PBl 7)|Nitrocellulose ( SS 30-35)</t>
  </si>
  <si>
    <t>INK Black (PBl 7)|Lubrizol Solsperse 20000</t>
  </si>
  <si>
    <t>INK Black (PBl 7)|Lubrizol Solsperse 12000</t>
  </si>
  <si>
    <t>INK Black (PBl 7)|Pigment Black PС 406</t>
  </si>
  <si>
    <t>INK Black (PBl 7)|Бочка стальная 210 л.</t>
  </si>
  <si>
    <t>INK Black (PBl 7)|RPC Additive 397</t>
  </si>
  <si>
    <t>INK Black (PBl 7)|Фумаризованная канифоль Pinustack 750</t>
  </si>
  <si>
    <t>INK Black (PBl 7)|DOA Plasticiser</t>
  </si>
  <si>
    <t>INK Yellow (PY 13)|Pigment Yellow PY 13 ЕТС</t>
  </si>
  <si>
    <t>INK Yellow (PY 13)|Nitrocellulose L1\8 SEC(IPA)</t>
  </si>
  <si>
    <t>INK Yellow (PY 13)|Этилцеллозольв</t>
  </si>
  <si>
    <t>INK Yellow (PY 13)|Этилацетат</t>
  </si>
  <si>
    <t>INK Yellow (PY 13)|RPC Additive 397</t>
  </si>
  <si>
    <t>INK Yellow (PY 13)|Фумаризованная канифоль Pinustack 750</t>
  </si>
  <si>
    <t>INK Yellow (PY 13)|DOA Plasticiser</t>
  </si>
  <si>
    <t>INK Yellow (PY 13)|Nitrocellulose ( SS 30-35)</t>
  </si>
  <si>
    <t>Краска NSF/ALKALI RESISTAN White (PW 6)|Этилцеллозольв</t>
  </si>
  <si>
    <t>Краска NSF/ALKALI RESISTAN White (PW 6)|Диоксид титана BR-3661</t>
  </si>
  <si>
    <t>Краска NSF/ALKALI RESISTAN White (PW 6)|Nitrocellulose ( SS 30-35)</t>
  </si>
  <si>
    <t>INK Green (PG 7)|Этилцеллозольв</t>
  </si>
  <si>
    <t>INK Green (PG 7)|Изопропанол</t>
  </si>
  <si>
    <t>INK Green (PG 7)|Этилацетат</t>
  </si>
  <si>
    <t>INK Green (PG 7)|Нитроцеллюлоза LX 5/8 IPA WET</t>
  </si>
  <si>
    <t>INK Green (PG 7)|Lubrizol Solsperse 12000</t>
  </si>
  <si>
    <t>INK Green (PG 7)|Pigment Green PG 7 NC</t>
  </si>
  <si>
    <t>INK Green (PG 7)|LIDA DSS 20000R</t>
  </si>
  <si>
    <t>INK Green (PG 7)|RPC Additive 397</t>
  </si>
  <si>
    <t>INK Green (PG 7)|RPC Additive</t>
  </si>
  <si>
    <t>INK Green (PG 7)|Фумаризованная канифоль Pinustack 750</t>
  </si>
  <si>
    <t>INK Green (PG 7)|DOA Plasticiser</t>
  </si>
  <si>
    <t>INK Green (PG 7)|Бочка стальная 210 л.</t>
  </si>
  <si>
    <t>INK Green (PG 7)|Nitrocellulose ( SS 30-35)</t>
  </si>
  <si>
    <t>Паста NSF/Paste Black (Pbk 7) КП 80 РАСТ|Паста NSF/Paste Black (Pbk 7) КП 80 РАСТ</t>
  </si>
  <si>
    <t>INK Red (PR 254)|Этилцеллозольв</t>
  </si>
  <si>
    <t>INK Red (PR 254)|Изопропанол</t>
  </si>
  <si>
    <t>INK Red (PR 254)|Этилацетат</t>
  </si>
  <si>
    <t>INK Red (PR 254)|Нитроцеллюлоза LX 5/8 IPA WET</t>
  </si>
  <si>
    <t>INK Red (PR 254)|Pigment RED (PR 254) ХС</t>
  </si>
  <si>
    <t>INK Red (PR 254)|Nitrocellulose ( SS 30-35)</t>
  </si>
  <si>
    <t>INK Red (PR 254)|Бочка стальная 210 л.</t>
  </si>
  <si>
    <t>INK Red (PR 254)|RPC Additive 397</t>
  </si>
  <si>
    <t>INK Red (PR 254)|RPC Additive</t>
  </si>
  <si>
    <t>INK Red (PR 254)|Фумаризованная канифоль Pinustack 750</t>
  </si>
  <si>
    <t>INK Red (PR 254)|DOA Plasticiser</t>
  </si>
  <si>
    <t>NSF/PC Magenta (PR 57:1) ГОТЭК|Этилцеллозольв</t>
  </si>
  <si>
    <t>NSF/PC Magenta (PR 57:1) ГОТЭК|Nitrocellulose ( SS 30-35)</t>
  </si>
  <si>
    <t>NSF/PC Magenta (PR 57:1) ГОТЭК|LIDA DSS 20000R</t>
  </si>
  <si>
    <t>NSF/PC Magenta (PR 57:1) ГОТЭК|Pigment Magenta PR 57:1 от Химсвет</t>
  </si>
  <si>
    <t>NSF/PC Magenta (PR 57:1) ГОТЭК|Изопропанол</t>
  </si>
  <si>
    <t>NSF/PC Magenta (PR 57:1) ГОТЭК|Lubrizol Solsperse 22000</t>
  </si>
  <si>
    <t>NSF/PC Magenta (PR 57:1) ГОТЭК|Pigment Yellow PY 13 Пигмент органический Liperm BH-TXL (Радиант Кем.)</t>
  </si>
  <si>
    <t>Паста NSF/PASTE Orange (PO 34)  Г.Д.К.|Нитроцеллюлоза LX 5/8 IPA WET</t>
  </si>
  <si>
    <t>INK Yellow (PY 74)|Этилцеллозольв</t>
  </si>
  <si>
    <t>INK Yellow (PY 74)|Изопропанол</t>
  </si>
  <si>
    <t>INK Yellow (PY 74)|Этилацетат</t>
  </si>
  <si>
    <t>INK Yellow (PY 74)|Нитроцеллюлоза LX 5/8 IPA WET</t>
  </si>
  <si>
    <t>INK Yellow (PY 74)|LIDA DSS 20000R</t>
  </si>
  <si>
    <t>INK Yellow (PY 74)|Lubrizol Solsperse 22000</t>
  </si>
  <si>
    <t>INK Yellow (PY 74)|Pigment Yellow (PY 74)(синтез цвета)</t>
  </si>
  <si>
    <t>INK Yellow (PY 74)|Nitrocellulose ( SS 30-35)</t>
  </si>
  <si>
    <t>INK Yellow (PY 74)|Бочка стальная 210 л.</t>
  </si>
  <si>
    <t>INK Yellow (PY 74)|RPC Additive 397</t>
  </si>
  <si>
    <t>INK Yellow (PY 74)|RPC Additive</t>
  </si>
  <si>
    <t>INK Yellow (PY 74)|Фумаризованная канифоль Pinustack 750</t>
  </si>
  <si>
    <t>INK Yellow (PY 74)|DOA Plasticiser</t>
  </si>
  <si>
    <t>Лак НЦ-116 (БИНА)|Лак НЦ-116 (БИНА)</t>
  </si>
  <si>
    <t>Extender FX IPA|Extender FX IPA</t>
  </si>
  <si>
    <t>Краска NSF/UNI Yellow (PY 13) TR VER 1.3|Pigment Yellow PY 13 ЕТС</t>
  </si>
  <si>
    <t>Краска NSF/UNI Yellow (PY 13) TR VER 1.3|Nitrocellulose L1\8 SEC(IPA)</t>
  </si>
  <si>
    <t>Краска NSF/UNI Yellow (PY 13) TR VER 1.3|Этилцеллозольв</t>
  </si>
  <si>
    <t>Краска NSF/UNI Yellow (PY 13) TR VER 1.3|Этилацетат</t>
  </si>
  <si>
    <t>Краска NSF/UNI Yellow (PY 13) TR VER 1.3|RPC Additive 397</t>
  </si>
  <si>
    <t>Краска NSF/UNI Yellow (PY 13) TR VER 1.3|RPC Additive</t>
  </si>
  <si>
    <t>Краска NSF/UNI Yellow (PY 13) TR VER 1.3|Фумаризованная канифоль Pinustack 750</t>
  </si>
  <si>
    <t>Краска NSF/UNI Yellow (PY 13) TR VER 1.3|DOA Plasticiser</t>
  </si>
  <si>
    <t>Краска NSF/UNI Yellow (PY 13) TR VER 1.3|Бочка стальная 210 л.</t>
  </si>
  <si>
    <t>Краска NSF/UNI Yellow (PY 13) TR VER 1.3|Nitrocellulose ( SS 30-35)</t>
  </si>
  <si>
    <t>NSF/LAM Black (PBI 7)|Nitrocellulose ( SS 30-35)</t>
  </si>
  <si>
    <t>NSF/LAM Black (PBI 7)|Этилцеллозольв</t>
  </si>
  <si>
    <t>NSF/LAM Black (PBI 7)|LIDA DSS 20000R</t>
  </si>
  <si>
    <t>NSF/LAM Black (PBI 7)|Lubrizol Solsperse 12000</t>
  </si>
  <si>
    <t>NSF/LAM Black (PBI 7)|Pigment Black PBk 7 (PRINTEX 35)</t>
  </si>
  <si>
    <t>NSF/LAM Black (PBI 7)|Изопропанол</t>
  </si>
  <si>
    <t>NSF/LAM Black (PBI 7)|Бочка стальная 210 л.</t>
  </si>
  <si>
    <t>NSF/LAM Black (PBI 7)|RPC Additive 397</t>
  </si>
  <si>
    <t>NSF/LAM Black (PBI 7)|Фумаризованная канифоль Pinustack 750</t>
  </si>
  <si>
    <t>NSF/LAM Black (PBI 7)|Ведро 25 л.</t>
  </si>
  <si>
    <t>Краска NSF/UNI Pantone Silver TR|RPC Additive 397</t>
  </si>
  <si>
    <t>Краска NSF/UNI Pantone Silver TR|Этилцеллозольв</t>
  </si>
  <si>
    <t>Краска NSF/UNI Pantone Silver TR|Изопропанол</t>
  </si>
  <si>
    <t>Краска NSF/UNI Pantone Silver TR|Фумаризованная канифоль Pinustack 750</t>
  </si>
  <si>
    <t>Краска NSF/UNI Pantone Silver TR|Ведро 25 л.</t>
  </si>
  <si>
    <t>Краска NSF/UNI Pantone Silver TR|Nitrocellulose ( SS 30-35)</t>
  </si>
  <si>
    <t>Краска NSF/UNI Pantone Silver TR|Этилацетат</t>
  </si>
  <si>
    <t>VIOLEL|RPC Additive 397</t>
  </si>
  <si>
    <t>VIOLEL|Этилцеллозольв</t>
  </si>
  <si>
    <t>VIOLEL|Изопропанол</t>
  </si>
  <si>
    <t>VIOLEL|Фумаризованная канифоль Pinustack 750</t>
  </si>
  <si>
    <t>VIOLEL|DOA Plasticiser</t>
  </si>
  <si>
    <t>VIOLEL|Этилацетат</t>
  </si>
  <si>
    <t>VIOLEL|Nitrocellulose ( SS 30-35)</t>
  </si>
  <si>
    <t>VIOLEL|Бочка стальная 210 л.</t>
  </si>
  <si>
    <t>Паста NSF/HL LAM Paste Cyan Blue (PB 15:3)|Паста NSF/HL LAM Paste Cyan Blue (PB 15:3)</t>
  </si>
  <si>
    <t>Лак UNI Extender (РА)|Этилцеллозольв</t>
  </si>
  <si>
    <t>Лак UNI Extender (РА)|Изопропанол</t>
  </si>
  <si>
    <t>Лак UNI Extender (РА)|Этилацетат</t>
  </si>
  <si>
    <t>Лак UNI Extender (РА)|Nitrocellulose ( SS 30-35)</t>
  </si>
  <si>
    <t>Лак UNI Extender (РА)|Бочка стальная 210 л.</t>
  </si>
  <si>
    <t>Лак UNI Extender (РА)|Dromide 957</t>
  </si>
  <si>
    <t>Лак UNI Extender (РА)|Wax-Erucamide paste</t>
  </si>
  <si>
    <t>PC YELLOW (PY 83) ГОТЭК|Этилцеллозольв</t>
  </si>
  <si>
    <t>PC YELLOW (PY 83) ГОТЭК|Изопропанол</t>
  </si>
  <si>
    <t>PC YELLOW (PY 83) ГОТЭК|Этилацетат</t>
  </si>
  <si>
    <t>PC YELLOW (PY 83) ГОТЭК|Нитроцеллюлоза LX 5/8 IPA WET</t>
  </si>
  <si>
    <t>PC YELLOW (PY 83) ГОТЭК|Pigment Yellow (PY 83)радиант</t>
  </si>
  <si>
    <t>PC YELLOW (PY 83) ГОТЭК|Nitrocellulose ( SS 30-35)</t>
  </si>
  <si>
    <t>PC YELLOW (PY 83) ГОТЭК|Бочка стальная 210 л.</t>
  </si>
  <si>
    <t>INK Magenta (PR 57:1)|RPC Additive 397</t>
  </si>
  <si>
    <t>INK Magenta (PR 57:1)|Этилцеллозольв</t>
  </si>
  <si>
    <t>INK Magenta (PR 57:1)|Изопропанол</t>
  </si>
  <si>
    <t>INK Magenta (PR 57:1)|Фумаризованная канифоль Pinustack 750</t>
  </si>
  <si>
    <t>INK Magenta (PR 57:1)|DOA Plasticiser</t>
  </si>
  <si>
    <t>Паста NSF/PASTE Magenta (PR 57:1) MT ЭЦ S|Паста NSF/PASTE Magenta (PR 57:1) MT ЭЦ S</t>
  </si>
  <si>
    <t>Паста NSF/PASTE Magenta (PR 254) Г.Д.К.|Паста NSF/PASTE Magenta (PR 254) Г.Д.К.</t>
  </si>
  <si>
    <t>Паста NSF/HL LAM PASTE Black  (PBk 7) 3800G|Паста NSF/HL LAM PASTE Black  (PBk 7) 3800G</t>
  </si>
  <si>
    <t>Ink Rhodamone Red (PR 169)|Пигмент красный 169</t>
  </si>
  <si>
    <t>Ink Rhodamone Red (PR 169)|Nitrocellulose L1\8 SEC(IPA)</t>
  </si>
  <si>
    <t>Ink Rhodamone Red (PR 169)|Этилцеллозольв</t>
  </si>
  <si>
    <t>Ink Rhodamone Red (PR 169)|Изопропанол</t>
  </si>
  <si>
    <t>Ink Rhodamone Red (PR 169)|Этилацетат</t>
  </si>
  <si>
    <t>Ink Rhodamone Red (PR 169)|LIDA DSS 20000R</t>
  </si>
  <si>
    <t>Ink Rhodamone Red (PR 169)|RPC Additive 397</t>
  </si>
  <si>
    <t>Ink Rhodamone Red (PR 169)|Фумаризованная канифоль Pinustack 750</t>
  </si>
  <si>
    <t>Ink Rhodamone Red (PR 169)|Ведро 25 л.</t>
  </si>
  <si>
    <t>Ink Rhodamone Red (PR 169)|Nitrocellulose ( SS 30-35)</t>
  </si>
  <si>
    <t>Лак Overprint varnish 1K MATT|Лак Overprint varnish 1K MATT</t>
  </si>
  <si>
    <t>Краска NSF/UNI Magenta (PR 57:1) TR  VER 1.2|RPC Additive 397</t>
  </si>
  <si>
    <t>Краска NSF/UNI Magenta (PR 57:1) TR  VER 1.2|Этилцеллозольв</t>
  </si>
  <si>
    <t>Краска NSF/UNI Magenta (PR 57:1) TR  VER 1.2|Изопропанол</t>
  </si>
  <si>
    <t>Краска NSF/UNI Magenta (PR 57:1) TR  VER 1.2|Фумаризованная канифоль Pinustack 750</t>
  </si>
  <si>
    <t>Краска NSF/UNI Magenta (PR 57:1) TR  VER 1.2|DOA Plasticiser</t>
  </si>
  <si>
    <t>INK Orange (PO 34) LAM|Нитроцеллюлоза LX 5/8 IPA WET</t>
  </si>
  <si>
    <t>INK Orange (PO 34) LAM|Н-пропилацетат</t>
  </si>
  <si>
    <t>INK Orange (PO 34) LAM|Н-пропанол</t>
  </si>
  <si>
    <t>INK Orange (PO 34) LAM|LIDA DSS 20000R</t>
  </si>
  <si>
    <t>INK Orange (PO 34) LAM|Lubrizol Solsperse 22000</t>
  </si>
  <si>
    <t>INK Orange (PO 34) LAM|Pigment Orange PO 34</t>
  </si>
  <si>
    <t>Краска NSF/UNI Yellow (PY 13) TR VER 1.1|Pigment Yellow PY 13 ЕТС</t>
  </si>
  <si>
    <t>Краска NSF/UNI Yellow (PY 13) TR VER 1.1|Nitrocellulose L1\8 SEC(IPA)</t>
  </si>
  <si>
    <t>Краска NSF/UNI Yellow (PY 13) TR VER 1.1|Этилцеллозольв</t>
  </si>
  <si>
    <t>Краска NSF/UNI Yellow (PY 13) TR VER 1.1|Этилацетат</t>
  </si>
  <si>
    <t>Краска NSF/UNI Yellow (PY 13) TR VER 1.1|RPC Additive 397</t>
  </si>
  <si>
    <t>Краска NSF/UNI Yellow (PY 13) TR VER 1.1|RPC Additive</t>
  </si>
  <si>
    <t>Краска NSF/UNI Yellow (PY 13) TR VER 1.1|Фумаризованная канифоль Pinustack 750</t>
  </si>
  <si>
    <t>Краска NSF/UNI Yellow (PY 13) TR VER 1.1|DOA Plasticiser</t>
  </si>
  <si>
    <t>Краска NSF/UNI Yellow (PY 13) TR VER 1.1|Бочка стальная 210 л.</t>
  </si>
  <si>
    <t>Краска NSF/UNI Yellow (PY 13) TR VER 1.1|Nitrocellulose ( SS 30-35)</t>
  </si>
  <si>
    <t>Паста NSF/Paste Black (Pbk 7) КП 80 растр|Lubrizol Solsperse 20000</t>
  </si>
  <si>
    <t>покрывной лак (OVERPRINT VARNISH )|покрывной лак (OVERPRINT VARNISH )</t>
  </si>
  <si>
    <t>INK Orange (PO 34)|Изопропанол</t>
  </si>
  <si>
    <t>INK Orange (PO 34)|Этилацетат</t>
  </si>
  <si>
    <t>INK Orange (PO 34)|LIDA DSS 20000R</t>
  </si>
  <si>
    <t>INK Orange (PO 34)|Lubrizol Solsperse 22000</t>
  </si>
  <si>
    <t>INK Orange (PO 34)|Нитроцеллюлоза LX 5/8 IPA WET</t>
  </si>
  <si>
    <t>INK Orange (PO 34)|Pigment Orange PO 34</t>
  </si>
  <si>
    <t>INK Orange (PO 34)|RPC Additive 397</t>
  </si>
  <si>
    <t>INK Orange (PO 34)|RPC Additive</t>
  </si>
  <si>
    <t>INK Orange (PO 34)|Этилцеллозольв</t>
  </si>
  <si>
    <t>INK Orange (PO 34)|Фумаризованная канифоль Pinustack 750</t>
  </si>
  <si>
    <t>INK Orange (PO 34)|DOA Plasticiser</t>
  </si>
  <si>
    <t>INK Orange (PO 34)|Бочка стальная 210 л.</t>
  </si>
  <si>
    <t>INK Orange (PO 34)|Nitrocellulose ( SS 30-35)</t>
  </si>
  <si>
    <t>Лак Overprint Varnish MATT (H agent)|Лак Overprint Varnish MATT (H agent)</t>
  </si>
  <si>
    <t>INK Magenta (PR 57:1) гу|Nitrocellulose ( SS 30-35)</t>
  </si>
  <si>
    <t>INK Magenta (PR 57:1) гу|LIDA DSS 20000R</t>
  </si>
  <si>
    <t>INK Magenta (PR 57:1) гу|Pigment Magenta PR 57:1 от Химсвет</t>
  </si>
  <si>
    <t>INK Magenta (PR 57:1) гу|Изопропанол</t>
  </si>
  <si>
    <t>INK Magenta (PR 57:1) гу|RPC Additive 397</t>
  </si>
  <si>
    <t>INK Magenta (PR 57:1) гу|RPC Additive</t>
  </si>
  <si>
    <t>INK Magenta (PR 57:1) гу|Фумаризованная канифоль Pinustack 750</t>
  </si>
  <si>
    <t>INK Magenta (PR 57:1) гу|DOA Plasticiser</t>
  </si>
  <si>
    <t>INK Magenta (PR 57:1) гу|Бочка стальная 210 л.</t>
  </si>
  <si>
    <t>INK Magenta (PR 57:1) гу|Этилацетат</t>
  </si>
  <si>
    <t>INK Magenta (PR 57:1) гу|Нитроцеллюлоза LX 5/8 IPA WET</t>
  </si>
  <si>
    <t>INK Warm Red (PR 53:1)|RPC Additive 397</t>
  </si>
  <si>
    <t>INK Warm Red (PR 53:1)|Этилцеллозольв</t>
  </si>
  <si>
    <t>INK Warm Red (PR 53:1)|Изопропанол</t>
  </si>
  <si>
    <t>INK Warm Red (PR 53:1)|Фумаризованная канифоль Pinustack 750</t>
  </si>
  <si>
    <t>INK Warm Red (PR 53:1)|Ведро 25 л.</t>
  </si>
  <si>
    <t>INK Warm Red (PR 53:1)|Nitrocellulose ( SS 30-35)</t>
  </si>
  <si>
    <t>INK Warm Red (PR 53:1)|Этилацетат</t>
  </si>
  <si>
    <t>NSF/LAM  Magenta (PR 146)|Нитроцеллюлоза LX 5/8 IPA WET</t>
  </si>
  <si>
    <t>NSF/LAM  Magenta (PR 146)|LIDA DSS 20000R</t>
  </si>
  <si>
    <t>NSF/LAM  Magenta (PR 146)|Pigment Red 146 (FBB) (Формула успеха)</t>
  </si>
  <si>
    <t>Краска NSF/UNI Black (КП 80) TR VER 1.2|Этилцеллозольв</t>
  </si>
  <si>
    <t>Краска NSF/UNI Black (КП 80) TR VER 1.2|Этилацетат</t>
  </si>
  <si>
    <t>Краска NSF/UNI Black (КП 80) TR VER 1.2|Nitrocellulose ( SS 30-35)</t>
  </si>
  <si>
    <t>Краска NSF/UNI Black (КП 80) TR VER 1.2|Lubrizol Solsperse 20000</t>
  </si>
  <si>
    <t>Краска NSF/UNI Black (КП 80) TR VER 1.2|Lubrizol Solsperse 12000</t>
  </si>
  <si>
    <t>Краска NSF/UNI Black (КП 80) TR VER 1.2|Pigment Black PС 406</t>
  </si>
  <si>
    <t>Краска NSF/UNI Black (КП 80) TR VER 1.2|Бочка стальная 210 л.</t>
  </si>
  <si>
    <t>Краска NSF/UNI Black (КП 80) TR VER 1.2|RPC Additive 397</t>
  </si>
  <si>
    <t>Краска NSF/UNI Black (КП 80) TR VER 1.2|Фумаризованная канифоль Pinustack 750</t>
  </si>
  <si>
    <t>Краска NSF/UNI Black (КП 80) TR VER 1.2|DOA Plasticiser</t>
  </si>
  <si>
    <t>PC MAGENTA (PR 146) Г.Д.К|Нитроцеллюлоза LX 5/8 IPA WET</t>
  </si>
  <si>
    <t>PC Rhodamine Red (PR 122) Г.Д.К|Нитроцеллюлоза LX 5/8 IPA WET</t>
  </si>
  <si>
    <t>Краска NSF/UNI Black (КП 80) TR VER 1.3|Этилцеллозольв</t>
  </si>
  <si>
    <t>Краска NSF/UNI Black (КП 80) TR VER 1.3|Этилацетат</t>
  </si>
  <si>
    <t>Краска NSF/UNI Black (КП 80) TR VER 1.3|Nitrocellulose ( SS 30-35)</t>
  </si>
  <si>
    <t>Краска NSF/UNI Black (КП 80) TR VER 1.3|Lubrizol Solsperse 20000</t>
  </si>
  <si>
    <t>Краска NSF/UNI Black (КП 80) TR VER 1.3|Lubrizol Solsperse 12000</t>
  </si>
  <si>
    <t>Краска NSF/UNI Black (КП 80) TR VER 1.3|Pigment Black PС 406</t>
  </si>
  <si>
    <t>Краска NSF/UNI Black (КП 80) TR VER 1.3|Бочка стальная 210 л.</t>
  </si>
  <si>
    <t>Краска NSF/UNI Black (КП 80) TR VER 1.3|RPC Additive 397</t>
  </si>
  <si>
    <t>Краска NSF/UNI Black (КП 80) TR VER 1.3|RPC Additive</t>
  </si>
  <si>
    <t>Краска NSF/UNI Black (КП 80) TR VER 1.3|Фумаризованная канифоль Pinustack 750</t>
  </si>
  <si>
    <t>Краска NSF/UNI Black (КП 80) TR VER 1.3|DOA Plasticiser</t>
  </si>
  <si>
    <t>INK Yellow (PY 13) SURF|Pigment Yellow PY 13 ЕТС</t>
  </si>
  <si>
    <t>INK Yellow (PY 13) SURF|Nitrocellulose L1\8 SEC(IPA)</t>
  </si>
  <si>
    <t>INK Yellow (PY 13) SURF|Этилцеллозольв</t>
  </si>
  <si>
    <t>INK Yellow (PY 13) SURF|Этилацетат</t>
  </si>
  <si>
    <t>INK Yellow (PY 13) SURF|RPC Additive 397</t>
  </si>
  <si>
    <t>INK Yellow (PY 13) SURF|RPC Additive</t>
  </si>
  <si>
    <t>INK Yellow (PY 13) SURF|Фумаризованная канифоль Pinustack 750</t>
  </si>
  <si>
    <t>INK Yellow (PY 13) SURF|DOA Plasticiser</t>
  </si>
  <si>
    <t>INK Yellow (PY 13) SURF|Бочка стальная 210 л.</t>
  </si>
  <si>
    <t>INK Yellow (PY 13) SURF|Nitrocellulose ( SS 30-35)</t>
  </si>
  <si>
    <t>Technical Extender Normal 35 К|Technical Extender Normal 35 К</t>
  </si>
  <si>
    <t>Rhodamine Red|Пигмент красный 169</t>
  </si>
  <si>
    <t>Rhodamine Red|Nitrocellulose L1\8 SEC(IPA)</t>
  </si>
  <si>
    <t>Rhodamine Red|Этилцеллозольв</t>
  </si>
  <si>
    <t>Rhodamine Red|Изопропанол</t>
  </si>
  <si>
    <t>Rhodamine Red|Этилацетат</t>
  </si>
  <si>
    <t>Rhodamine Red|LIDA DSS 20000R</t>
  </si>
  <si>
    <t>Rhodamine Red|RPC Additive 397</t>
  </si>
  <si>
    <t>Rhodamine Red|Фумаризованная канифоль Pinustack 750</t>
  </si>
  <si>
    <t>Rhodamine Red|DOA Plasticiser</t>
  </si>
  <si>
    <t>Rhodamine Red|Nitrocellulose ( SS 30-35)</t>
  </si>
  <si>
    <t>Rhodamine Red|Бочка стальная 210 л.</t>
  </si>
  <si>
    <t>TECHNICAL EXTENDER AL-RESIST|NeoCryl B-819</t>
  </si>
  <si>
    <t>Лак Overprint Varnish MATT (1к)осветлитель|Фумаризованная канифоль Pinustack 750</t>
  </si>
  <si>
    <t>Лак Overprint Varnish MATT (1к)осветлитель|Nitrocellulose ( SS 30-35)</t>
  </si>
  <si>
    <t>Лак Overprint Varnish MATT (1к)осветлитель|Этилцеллозольв</t>
  </si>
  <si>
    <t>Лак Overprint Varnish MATT (1к)осветлитель|Laropal A- 81-К (GNG A-81 A)</t>
  </si>
  <si>
    <t>Паста PC/HL LAM PANTONE GREEN|Паста PC/HL LAM PANTONE GREEN</t>
  </si>
  <si>
    <t>Лак SURF Extender ROTO|Изопропанол</t>
  </si>
  <si>
    <t>Лак SURF Extender ROTO|Этилацетат</t>
  </si>
  <si>
    <t>Лак SURF Extender ROTO|Нитроцеллюлоза LX 5/8 IPA WET</t>
  </si>
  <si>
    <t>PC YELLOW (PY 74) ГОТЭК|Изопропанол</t>
  </si>
  <si>
    <t>PC YELLOW (PY 74) ГОТЭК|Нитроцеллюлоза LX 5/8 IPA WET</t>
  </si>
  <si>
    <t>PC YELLOW (PY 74) ГОТЭК|LIDA DSS 20000R</t>
  </si>
  <si>
    <t>PC YELLOW (PY 74) ГОТЭК|Lubrizol Solsperse 22000</t>
  </si>
  <si>
    <t>PC YELLOW (PY 74) ГОТЭК|Pigment Yellow (PY 74)(синтез цвета)</t>
  </si>
  <si>
    <t>PC YELLOW (PY 74) ГОТЭК|Nitrocellulose ( SS 30-35)</t>
  </si>
  <si>
    <t>PC YELLOW (PY 74) ГОТЭК|Бочка стальная 210 л.</t>
  </si>
  <si>
    <t>покрывной лак|покрывной лак</t>
  </si>
  <si>
    <t>Technical extender AL_RESIST|Technical extender AL_RESIST</t>
  </si>
  <si>
    <t>Краска NSF/ Green (PG 7))ALKALI RESISTANT|Изопропанол</t>
  </si>
  <si>
    <t>Краска NSF/ Green (PG 7))ALKALI RESISTANT|Этилацетат</t>
  </si>
  <si>
    <t>Краска NSF/ Green (PG 7))ALKALI RESISTANT|Нитроцеллюлоза LX 5/8 IPA WET</t>
  </si>
  <si>
    <t>Краска NSF/ Green (PG 7))ALKALI RESISTANT|Lubrizol Solsperse 12000</t>
  </si>
  <si>
    <t>Краска NSF/ Green (PG 7))ALKALI RESISTANT|Pigment Green PG 7 NC</t>
  </si>
  <si>
    <t>Краска NSF/ Green (PG 7))ALKALI RESISTANT|LIDA DSS 20000R</t>
  </si>
  <si>
    <t>Краска NSF/ Green (PG 7))ALKALI RESISTANT|Nitrocellulose ( SS 30-35)</t>
  </si>
  <si>
    <t>Краска NSF/ Green (PG 7))ALKALI RESISTANT|Бочка стальная 210 л.</t>
  </si>
  <si>
    <t>Краска NSF/ Green (PG 7))ALKALI RESISTANT|Pigment Cyan Blue PB 15:3</t>
  </si>
  <si>
    <t>Extender TRIPOL 16|Extender TRIPOL 16</t>
  </si>
  <si>
    <t>Краска NSF/UNI Black (PBl 7)  TR ГУ|Изопропанол</t>
  </si>
  <si>
    <t>Краска NSF/UNI Black (PBl 7)  TR ГУ|Этилцеллозольв</t>
  </si>
  <si>
    <t>Краска NSF/UNI Black (PBl 7)  TR ГУ|Этилацетат</t>
  </si>
  <si>
    <t>Краска NSF/UNI Black (PBl 7)  TR ГУ|Nitrocellulose ( SS 30-35)</t>
  </si>
  <si>
    <t>Краска NSF/UNI Black (PBl 7)  TR ГУ|Lubrizol Solsperse 20000</t>
  </si>
  <si>
    <t>Краска NSF/UNI Black (PBl 7)  TR ГУ|Lubrizol Solsperse 12000</t>
  </si>
  <si>
    <t>Краска NSF/UNI Black (PBl 7)  TR ГУ|Pigment Black PС 406</t>
  </si>
  <si>
    <t>Краска NSF/UNI Black (PBl 7)  TR ГУ|Бочка стальная 210 л.</t>
  </si>
  <si>
    <t>Краска NSF/UNI Black (PBl 7)  TR ГУ|RPC Additive 397</t>
  </si>
  <si>
    <t>Краска NSF/UNI Black (PBl 7)  TR ГУ|RPC Additive</t>
  </si>
  <si>
    <t>Краска NSF/UNI Black (PBl 7)  TR ГУ|Фумаризованная канифоль Pinustack 750</t>
  </si>
  <si>
    <t>Краска NSF/UNI Black (PBl 7)  TR ГУ|DOA Plasticiser</t>
  </si>
  <si>
    <t>INK Black (Pbk 7) КП 80 SURF|RPC Additive 397</t>
  </si>
  <si>
    <t>INK Black (Pbk 7) КП 80 SURF|RPC Additive</t>
  </si>
  <si>
    <t>INK Black (Pbk 7) КП 80 SURF|Этилцеллозольв</t>
  </si>
  <si>
    <t>INK Black (Pbk 7) КП 80 SURF|Изопропанол</t>
  </si>
  <si>
    <t>INK Black (Pbk 7) КП 80 SURF|Фумаризованная канифоль Pinustack 750</t>
  </si>
  <si>
    <t>INK Black (Pbk 7) КП 80 SURF|DOA Plasticiser</t>
  </si>
  <si>
    <t>INK Black (Pbk 7) КП 80 SURF|Бочка стальная 210 л.</t>
  </si>
  <si>
    <t>INK Black (Pbk 7) КП 80 SURF|Этилацетат</t>
  </si>
  <si>
    <t>INK Black (Pbk 7) КП 80 SURF|Nitrocellulose ( SS 30-35)</t>
  </si>
  <si>
    <t>INK Black (Pbk 7) КП 80 SURF|Lubrizol Solsperse 20000</t>
  </si>
  <si>
    <t>INK Black (Pbk 7) КП 80 SURF|Lubrizol Solsperse 12000</t>
  </si>
  <si>
    <t>INK Black (Pbk 7) КП 80 SURF|Pigment Black PС 406</t>
  </si>
  <si>
    <t>Technical Extender SURF ROTO|Technical Extender SURF ROTO</t>
  </si>
  <si>
    <t>Warm Red (PR 53:1)|Этилацетат</t>
  </si>
  <si>
    <t>Warm Red (PR 53:1)|Изопропанол</t>
  </si>
  <si>
    <t>Warm Red (PR 53:1)|Этилцеллозольв</t>
  </si>
  <si>
    <t>Warm Red (PR 53:1)|Nitrocellulose ( SS 30-35)</t>
  </si>
  <si>
    <t>Warm Red (PR 53:1)|LIDA DSS 20000R</t>
  </si>
  <si>
    <t>Warm Red (PR 53:1)|Pigment Warm Red PR 53:1 ЕТС</t>
  </si>
  <si>
    <t>Warm Red (PR 53:1)|RPC Additive 397</t>
  </si>
  <si>
    <t>Warm Red (PR 53:1)|Фумаризованная канифоль Pinustack 750</t>
  </si>
  <si>
    <t>Warm Red (PR 53:1)|DOA Plasticiser</t>
  </si>
  <si>
    <t>Warm Red (PR 53:1)|Нитроцеллюлоза LX 5/8 IPA WET</t>
  </si>
  <si>
    <t>INK Magenta (146)|Этилцеллозольв</t>
  </si>
  <si>
    <t>INK Magenta (146)|Изопропанол</t>
  </si>
  <si>
    <t>INK Magenta (146)|Этилацетат</t>
  </si>
  <si>
    <t>INK Magenta (146)|Нитроцеллюлоза LX 5/8 IPA WET</t>
  </si>
  <si>
    <t>INK Magenta (146)|LIDA DSS 20000R</t>
  </si>
  <si>
    <t>INK Magenta (146)|Pigment Red 146 (FBB) (Формула успеха)</t>
  </si>
  <si>
    <t>INK Magenta (146)|Nitrocellulose ( SS 30-35)</t>
  </si>
  <si>
    <t>INK Magenta (146)|Бочка стальная 210 л.</t>
  </si>
  <si>
    <t>INK Magenta (146)|RPC Additive 397</t>
  </si>
  <si>
    <t>INK Magenta (146)|RPC Additive</t>
  </si>
  <si>
    <t>INK Magenta (146)|Фумаризованная канифоль Pinustack 750</t>
  </si>
  <si>
    <t>INK Magenta (146)|DOA Plasticiser</t>
  </si>
  <si>
    <t>INK Green (PG 7) LAM|Этилцеллозольв</t>
  </si>
  <si>
    <t>INK Green (PG 7) LAM|Нитроцеллюлоза LX 5/8 IPA WET</t>
  </si>
  <si>
    <t>INK Green (PG 7) LAM|Lubrizol Solsperse 12000</t>
  </si>
  <si>
    <t>INK Green (PG 7) LAM|Pigment Green PG 7 NC</t>
  </si>
  <si>
    <t>INK Green (PG 7) LAM|LIDA DSS 20000R</t>
  </si>
  <si>
    <t>Warm Red (PR 53:1)ALKALI RESISTANT|Этилацетат</t>
  </si>
  <si>
    <t>Warm Red (PR 53:1)ALKALI RESISTANT|Изопропанол</t>
  </si>
  <si>
    <t>Warm Red (PR 53:1)ALKALI RESISTANT|Nitrocellulose ( SS 30-35)</t>
  </si>
  <si>
    <t>Warm Red (PR 53:1)ALKALI RESISTANT|LIDA DSS 20000R</t>
  </si>
  <si>
    <t>Warm Red (PR 53:1)ALKALI RESISTANT|Pigment Warm Red PR 53:1 ЕТС</t>
  </si>
  <si>
    <t>Warm Red (PR 53:1)ALKALI RESISTANT|Бочка стальная 210 л.</t>
  </si>
  <si>
    <t>Паста NSF/PASTE White (PW 6) ROTOGRAV|Паста NSF/PASTE White (PW 6) ROTOGRAV</t>
  </si>
  <si>
    <t>NSF/LAM Yellow (PY 13)|Nitrocellulose ( SS 30-35)</t>
  </si>
  <si>
    <t>NSF/LAM Yellow (PY 13)|Изопропанол</t>
  </si>
  <si>
    <t>NSF/LAM Yellow (PY 13)|LIDA DSS 20000R</t>
  </si>
  <si>
    <t>NSF/LAM Yellow (PY 13)|Lubrizol Solsperse 22000</t>
  </si>
  <si>
    <t>NSF/LAM Yellow (PY 13)|Pigment Yellow PY 13 Пигмент органический Liperm BH-TXL (Радиант Кем.)</t>
  </si>
  <si>
    <t>NSF/LAM Yellow (PY 13)|Бочка стальная 210 л.</t>
  </si>
  <si>
    <t>NSF/LAM Yellow (PY 13)|Ведро 25 л.</t>
  </si>
  <si>
    <t>NSF/LAM Yellow (PY 13)|RPC Additive 397</t>
  </si>
  <si>
    <t>NSF/LAM Yellow (PY 13)|Фумаризованная канифоль Pinustack 750</t>
  </si>
  <si>
    <t>Extender 35 АФ|Extender 35 АФ</t>
  </si>
  <si>
    <t>NSF/PC Black (PBk 7) ПОФ|Nitrocellulose ( SS 30-35)</t>
  </si>
  <si>
    <t>NSF/PC Black (PBk 7) ПОФ|Этилцеллозольв</t>
  </si>
  <si>
    <t>NSF/PC Black (PBk 7) ПОФ|LIDA DSS 20000R</t>
  </si>
  <si>
    <t>NSF/PC Black (PBk 7) ПОФ|Lubrizol Solsperse 12000</t>
  </si>
  <si>
    <t>NSF/PC Black (PBk 7) ПОФ|Pigment Black PBk 7 (PRINTEX 35)</t>
  </si>
  <si>
    <t>NSF/PC Black (PBk 7) ПОФ|Изопропанол</t>
  </si>
  <si>
    <t>Ink Rhodamone Red (PR 122)|Пигмент красный 169</t>
  </si>
  <si>
    <t>Ink Rhodamone Red (PR 122)|Nitrocellulose L1\8 SEC(IPA)</t>
  </si>
  <si>
    <t>Ink Rhodamone Red (PR 122)|Этилцеллозольв</t>
  </si>
  <si>
    <t>Ink Rhodamone Red (PR 122)|Изопропанол</t>
  </si>
  <si>
    <t>Ink Rhodamone Red (PR 122)|Этилацетат</t>
  </si>
  <si>
    <t>Ink Rhodamone Red (PR 122)|LIDA DSS 20000R</t>
  </si>
  <si>
    <t>Ink Rhodamone Red (PR 122)|RPC Additive 397</t>
  </si>
  <si>
    <t>Ink Rhodamone Red (PR 122)|Фумаризованная канифоль Pinustack 750</t>
  </si>
  <si>
    <t>Ink Rhodamone Red (PR 122)|Ведро 25 л.</t>
  </si>
  <si>
    <t>NSF/UNI  Yellow (PY 13) ПОФ|Nitrocellulose ( SS 30-35)</t>
  </si>
  <si>
    <t>NSF/UNI  Yellow (PY 13) ПОФ|Изопропанол</t>
  </si>
  <si>
    <t>NSF/UNI  Yellow (PY 13) ПОФ|Этилцеллозольв</t>
  </si>
  <si>
    <t>NSF/UNI  Yellow (PY 13) ПОФ|LIDA DSS 20000R</t>
  </si>
  <si>
    <t>NSF/UNI  Yellow (PY 13) ПОФ|Lubrizol Solsperse 22000</t>
  </si>
  <si>
    <t>NSF/UNI  Yellow (PY 13) ПОФ|Pigment Yellow PY 13 Пигмент органический Liperm BH-TXL (Радиант Кем.)</t>
  </si>
  <si>
    <t>NSF/UNI  Yellow (PY 13) ПОФ|RPC Additive 397</t>
  </si>
  <si>
    <t>NSF/UNI  Yellow (PY 13) ПОФ|RPC Additive</t>
  </si>
  <si>
    <t>NSF/UNI  Yellow (PY 13) ПОФ|Фумаризованная канифоль Pinustack 750</t>
  </si>
  <si>
    <t>NSF/UNI  Yellow (PY 13) ПОФ|DOA Plasticiser</t>
  </si>
  <si>
    <t>NSF/UNI  Yellow (PY 13) ПОФ|Бочка стальная 210 л.</t>
  </si>
  <si>
    <t>NSF/UNI  Yellow (PY 13) ПОФ|Этилацетат</t>
  </si>
  <si>
    <t>NSF/UNI  Yellow (PY 13) ПОФ|Нитроцеллюлоза LX 5/8 IPA WET</t>
  </si>
  <si>
    <t>NSF/UNI  Yellow (PY 13) ПОФ|LuWax AF31</t>
  </si>
  <si>
    <t>Краска NSF/ALKALI RESISTAN White (PW 6)(XP2042/3)|Изопропанол</t>
  </si>
  <si>
    <t>Краска NSF/ALKALI RESISTAN White (PW 6)(XP2042/3)|Этилацетат</t>
  </si>
  <si>
    <t>Краска NSF/ALKALI RESISTAN White (PW 6)(XP2042/3)|Этилцеллозольв</t>
  </si>
  <si>
    <t>Краска NSF/ALKALI RESISTAN White (PW 6)(XP2042/3)|Диоксид титана BR-3661</t>
  </si>
  <si>
    <t>Краска NSF/ALKALI RESISTAN White (PW 6)(XP2042/3)|Nitrocellulose ( SS 30-35)</t>
  </si>
  <si>
    <t>Краска NSF/ALKALI RESISTAN White (PW 6)(XP2042/3)|Neocrylic Resin BM 619</t>
  </si>
  <si>
    <t>INK Black (Pbk 7) КП 80|RPC Additive 397</t>
  </si>
  <si>
    <t>INK Black (Pbk 7) КП 80|RPC Additive</t>
  </si>
  <si>
    <t>INK Black (Pbk 7) КП 80|Этилцеллозольв</t>
  </si>
  <si>
    <t>INK Black (Pbk 7) КП 80|Изопропанол</t>
  </si>
  <si>
    <t>INK Black (Pbk 7) КП 80|Фумаризованная канифоль Pinustack 750</t>
  </si>
  <si>
    <t>INK Black (Pbk 7) КП 80|DOA Plasticiser</t>
  </si>
  <si>
    <t>INK Black (Pbk 7) КП 80|Бочка стальная 210 л.</t>
  </si>
  <si>
    <t>INK Black (Pbk 7) КП 80|Этилацетат</t>
  </si>
  <si>
    <t>INK Black (Pbk 7) КП 80|Nitrocellulose ( SS 30-35)</t>
  </si>
  <si>
    <t>INK Black (Pbk 7) КП 80|Lubrizol Solsperse 20000</t>
  </si>
  <si>
    <t>INK Black (Pbk 7) КП 80|Lubrizol Solsperse 12000</t>
  </si>
  <si>
    <t>INK Black (Pbk 7) КП 80|Pigment Black PС 406</t>
  </si>
  <si>
    <t>Краска UNI AF Pantone Silver|RPC Additive 397</t>
  </si>
  <si>
    <t>Краска UNI AF Pantone Silver|Этилцеллозольв</t>
  </si>
  <si>
    <t>Краска UNI AF Pantone Silver|Фумаризованная канифоль Pinustack 750</t>
  </si>
  <si>
    <t>Краска UNI AF Pantone Silver|Ведро 25 л.</t>
  </si>
  <si>
    <t>Краска UNI AF Pantone Silver|Nitrocellulose ( SS 30-35)</t>
  </si>
  <si>
    <t>Краска UNI AF Pantone Silver|Extender 35 АФ</t>
  </si>
  <si>
    <t>Лак НЦ-30 (Партнер)|Лак НЦ-30 (Партнер)</t>
  </si>
  <si>
    <t>Паста NSF/HL PASTE Black  (PBk 7) 406|Паста NSF/HL PASTE Black  (PBk 7) 406</t>
  </si>
  <si>
    <t>NSF/LAM  Magenta (PR 57:1)|Этилцеллозольв</t>
  </si>
  <si>
    <t>NSF/LAM  Magenta (PR 57:1)|Nitrocellulose ( SS 30-35)</t>
  </si>
  <si>
    <t>NSF/LAM  Magenta (PR 57:1)|LIDA DSS 20000R</t>
  </si>
  <si>
    <t>NSF/LAM  Magenta (PR 57:1)|Pigment Magenta PR 57:1 от Химсвет</t>
  </si>
  <si>
    <t>NSF/LAM  Magenta (PR 57:1)|Изопропанол</t>
  </si>
  <si>
    <t>NSF/LAM  Magenta (PR 57:1)|Lubrizol Solsperse 22000</t>
  </si>
  <si>
    <t>NSF/LAM  Magenta (PR 57:1)|Pigment Yellow PY 13 Пигмент органический Liperm BH-TXL (Радиант Кем.)</t>
  </si>
  <si>
    <t>NSF/LAM  Magenta (PR 57:1)|Бочка стальная 210 л.</t>
  </si>
  <si>
    <t>NSF/LAM  Magenta (PR 57:1)|Ведро 25 л.</t>
  </si>
  <si>
    <t>NSF/LAM  Magenta (PR 57:1)|RPC Additive 397</t>
  </si>
  <si>
    <t>NSF/LAM  Magenta (PR 57:1)|Фумаризованная канифоль Pinustack 750</t>
  </si>
  <si>
    <t>INK Cyan Blue (PB 15:3) SURF|Изопропанол</t>
  </si>
  <si>
    <t>INK Cyan Blue (PB 15:3) SURF|Этилцеллозольв</t>
  </si>
  <si>
    <t>INK Cyan Blue (PB 15:3) SURF|Этилацетат</t>
  </si>
  <si>
    <t>INK Cyan Blue (PB 15:3) SURF|Nitrocellulose ( SS 30-35)</t>
  </si>
  <si>
    <t>INK Cyan Blue (PB 15:3) SURF|Pigment Cyan Blue PB 15:3</t>
  </si>
  <si>
    <t>INK Cyan Blue (PB 15:3) SURF|Бочка стальная 210 л.</t>
  </si>
  <si>
    <t>INK Cyan Blue (PB 15:3) SURF|RPC Additive 397</t>
  </si>
  <si>
    <t>INK Cyan Blue (PB 15:3) SURF|RPC Additive</t>
  </si>
  <si>
    <t>INK Cyan Blue (PB 15:3) SURF|Фумаризованная канифоль Pinustack 750</t>
  </si>
  <si>
    <t>INK Cyan Blue (PB 15:3) SURF|DOA Plasticiser</t>
  </si>
  <si>
    <t>Краска NSF/UNI Cyan Blue (PB 15:3) TR ГУ|Изопропанол</t>
  </si>
  <si>
    <t>Краска NSF/UNI Cyan Blue (PB 15:3) TR ГУ|Этилцеллозольв</t>
  </si>
  <si>
    <t>Краска NSF/UNI Cyan Blue (PB 15:3) TR ГУ|Этилацетат</t>
  </si>
  <si>
    <t>Краска NSF/UNI Cyan Blue (PB 15:3) TR ГУ|Nitrocellulose ( SS 30-35)</t>
  </si>
  <si>
    <t>Краска NSF/UNI Cyan Blue (PB 15:3) TR ГУ|Pigment Cyan Blue PB 15:3</t>
  </si>
  <si>
    <t>Краска NSF/UNI Cyan Blue (PB 15:3) TR ГУ|Бочка стальная 210 л.</t>
  </si>
  <si>
    <t>Краска NSF/UNI Cyan Blue (PB 15:3) TR ГУ|Нитроцеллюлоза LX 5/8 IPA WET</t>
  </si>
  <si>
    <t>Краска NSF/UNI Cyan Blue (PB 15:3) TR ГУ|Lubrizol Solsperse 12000</t>
  </si>
  <si>
    <t>Краска NSF/UNI Cyan Blue (PB 15:3) TR ГУ|Pigment Green PG 7 NC</t>
  </si>
  <si>
    <t>Краска NSF/UNI Cyan Blue (PB 15:3) TR ГУ|LIDA DSS 20000R</t>
  </si>
  <si>
    <t>Краска NSF/UNI Cyan Blue (PB 15:3) TR ГУ|RPC Additive 397</t>
  </si>
  <si>
    <t>Краска NSF/UNI Cyan Blue (PB 15:3) TR ГУ|RPC Additive</t>
  </si>
  <si>
    <t>Краска NSF/UNI Cyan Blue (PB 15:3) TR ГУ|Фумаризованная канифоль Pinustack 750</t>
  </si>
  <si>
    <t>Краска NSF/UNI Cyan Blue (PB 15:3) TR ГУ|DOA Plasticiser</t>
  </si>
  <si>
    <t>Паста NSF/Paste Cyan Blue (PB 15:3) P.V.|Паста NSF/Paste Cyan Blue (PB 15:3) P.V.</t>
  </si>
  <si>
    <t>INK Yellow (PY 83)|Этилцеллозольв</t>
  </si>
  <si>
    <t>INK Yellow (PY 83)|Изопропанол</t>
  </si>
  <si>
    <t>INK Yellow (PY 83)|Этилацетат</t>
  </si>
  <si>
    <t>INK Yellow (PY 83)|Нитроцеллюлоза LX 5/8 IPA WET</t>
  </si>
  <si>
    <t>INK Yellow (PY 83)|Pigment Yellow (PY 83)радиант</t>
  </si>
  <si>
    <t>INK Yellow (PY 83)|Nitrocellulose ( SS 30-35)</t>
  </si>
  <si>
    <t>INK Yellow (PY 83)|Бочка стальная 210 л.</t>
  </si>
  <si>
    <t>INK Yellow (PY 83)|RPC Additive 397</t>
  </si>
  <si>
    <t>INK Yellow (PY 83)|RPC Additive</t>
  </si>
  <si>
    <t>INK Yellow (PY 83)|Фумаризованная канифоль Pinustack 750</t>
  </si>
  <si>
    <t>INK Yellow (PY 83)|DOA Plasticiser</t>
  </si>
  <si>
    <t>Паста NSF/HL LAM PASTE Yellow (PY 13)|Паста NSF/HL LAM PASTE Yellow (PY 13)</t>
  </si>
  <si>
    <t>NSF/PC Cyan Blue (PB 15:3) ПОФ|Nitrocellulose ( SS 30-35)</t>
  </si>
  <si>
    <t>NSF/PC Cyan Blue (PB 15:3) ПОФ|LIDA DSS 20000R</t>
  </si>
  <si>
    <t>NSF/PC Cyan Blue (PB 15:3) ПОФ|Этилцеллозольв</t>
  </si>
  <si>
    <t>NSF/PC Cyan Blue (PB 15:3) ПОФ|Lubrizol Solsperse 12000</t>
  </si>
  <si>
    <t>NSF/PC Cyan Blue (PB 15:3) ПОФ|Pigment Cyan Blue PB 15:3</t>
  </si>
  <si>
    <t>NSF/PC Cyan Blue (PB 15:3) ПОФ|Изопропанол</t>
  </si>
  <si>
    <t>NSF/PC Cyan Blue (PB 15:3) ПОФ|Pigment Magenta PR 57:1 от Химсвет</t>
  </si>
  <si>
    <t>NSF/PC Cyan Blue (PB 15:3) ПОФ|Бочка стальная 210 л.</t>
  </si>
  <si>
    <t>Green (PG 7)|Этилцеллозольв</t>
  </si>
  <si>
    <t>Green (PG 7)|Изопропанол</t>
  </si>
  <si>
    <t>Green (PG 7)|Этилацетат</t>
  </si>
  <si>
    <t>Green (PG 7)|Нитроцеллюлоза LX 5/8 IPA WET</t>
  </si>
  <si>
    <t>Green (PG 7)|Lubrizol Solsperse 12000</t>
  </si>
  <si>
    <t>Green (PG 7)|Pigment Green PG 7 NC</t>
  </si>
  <si>
    <t>Green (PG 7)|LIDA DSS 20000R</t>
  </si>
  <si>
    <t>Green (PG 7)|RPC Additive 397</t>
  </si>
  <si>
    <t>Green (PG 7)|Фумаризованная канифоль Pinustack 750</t>
  </si>
  <si>
    <t>Green (PG 7)|DOA Plasticiser</t>
  </si>
  <si>
    <t>Green (PG 7)|Nitrocellulose ( SS 30-35)</t>
  </si>
  <si>
    <t>EXTENDER 35 AF|Изопропанол</t>
  </si>
  <si>
    <t>EXTENDER 35 AF|Этилацетат</t>
  </si>
  <si>
    <t>EXTENDER 35 AF|Nitrocellulose ( SS 30-35)</t>
  </si>
  <si>
    <t>Краска NSF/Violet (PV 23)ALKALI RESISTANT|Этилцеллозольв</t>
  </si>
  <si>
    <t>Краска NSF/Violet (PV 23)ALKALI RESISTANT|Изопропанол</t>
  </si>
  <si>
    <t>Краска NSF/Violet (PV 23)ALKALI RESISTANT|Этилацетат</t>
  </si>
  <si>
    <t>Краска NSF/Violet (PV 23)ALKALI RESISTANT|Nitrocellulose ( SS 30-35)</t>
  </si>
  <si>
    <t>Краска NSF/Violet (PV 23)ALKALI RESISTANT|Бочка стальная 210 л.</t>
  </si>
  <si>
    <t>Лак покрывной|Лак покрывной</t>
  </si>
  <si>
    <t>Краска NSF/UNI Cyan Blue (PB 15:3) TR VER 1.3|Этилцеллозольв</t>
  </si>
  <si>
    <t>Краска NSF/UNI Cyan Blue (PB 15:3) TR VER 1.3|Этилацетат</t>
  </si>
  <si>
    <t>Краска NSF/UNI Cyan Blue (PB 15:3) TR VER 1.3|Nitrocellulose ( SS 30-35)</t>
  </si>
  <si>
    <t>Краска NSF/UNI Cyan Blue (PB 15:3) TR VER 1.3|Pigment Cyan Blue PB 15:3</t>
  </si>
  <si>
    <t>Краска NSF/UNI Cyan Blue (PB 15:3) TR VER 1.3|Бочка стальная 210 л.</t>
  </si>
  <si>
    <t>Краска NSF/UNI Cyan Blue (PB 15:3) TR VER 1.3|RPC Additive 397</t>
  </si>
  <si>
    <t>Краска NSF/UNI Cyan Blue (PB 15:3) TR VER 1.3|RPC Additive</t>
  </si>
  <si>
    <t>Краска NSF/UNI Cyan Blue (PB 15:3) TR VER 1.3|Фумаризованная канифоль Pinustack 750</t>
  </si>
  <si>
    <t>Краска NSF/UNI Cyan Blue (PB 15:3) TR VER 1.3|DOA Plasticiser</t>
  </si>
  <si>
    <t>Краска NSF/UNI Cyan Blue (PB 15:3) TR VER 1.3|Нитроцеллюлоза LX 5/8 IPA WET</t>
  </si>
  <si>
    <t>Продукт X (произвольный состав)|Продукт X (произвольный состав)</t>
  </si>
  <si>
    <t>Краска NSF/UNI Yellov (PY13) TR ГУ|Pigment Yellow PY 13 ЕТС</t>
  </si>
  <si>
    <t>Краска NSF/UNI Yellov (PY13) TR ГУ|Nitrocellulose L1\8 SEC(IPA)</t>
  </si>
  <si>
    <t>Краска NSF/UNI Yellov (PY13) TR ГУ|Изопропанол</t>
  </si>
  <si>
    <t>Краска NSF/UNI Yellov (PY13) TR ГУ|Этилацетат</t>
  </si>
  <si>
    <t>Краска NSF/UNI Yellov (PY13) TR ГУ|RPC Additive 397</t>
  </si>
  <si>
    <t>Краска NSF/UNI Yellov (PY13) TR ГУ|RPC Additive</t>
  </si>
  <si>
    <t>Краска NSF/UNI Yellov (PY13) TR ГУ|Фумаризованная канифоль Pinustack 750</t>
  </si>
  <si>
    <t>Краска NSF/UNI Yellov (PY13) TR ГУ|DOA Plasticiser</t>
  </si>
  <si>
    <t>Краска NSF/UNI Yellov (PY13) TR ГУ|Бочка стальная 210 л.</t>
  </si>
  <si>
    <t>Краска NSF/UNI Yellov (PY13) TR ГУ|Nitrocellulose ( SS 30-35)</t>
  </si>
  <si>
    <t>NSF/LAM Yellow (PY 83)|RPC Additive 397</t>
  </si>
  <si>
    <t>NSF/LAM Yellow (PY 83)|Этилцеллозольв</t>
  </si>
  <si>
    <t>NSF/LAM Yellow (PY 83)|Изопропанол</t>
  </si>
  <si>
    <t>NSF/LAM Yellow (PY 83)|Фумаризованная канифоль Pinustack 750</t>
  </si>
  <si>
    <t>NSF/LAM Yellow (PY 83)|Ведро 25 л.</t>
  </si>
  <si>
    <t>Паста NSF/PASTE Yellow (PY 13)  PV|Паста NSF/PASTE Yellow (PY 13)  PV</t>
  </si>
  <si>
    <t>Паста NSF/PASTE Magenta (PR 57:1)  ЭЦ|Изопропанол</t>
  </si>
  <si>
    <t>Паста NSF/PASTE Magenta (PR 57:1)  ЭЦ|Этилцеллозольв</t>
  </si>
  <si>
    <t>Паста NSF/PASTE Magenta (PR 57:1)  ЭЦ|Этилацетат</t>
  </si>
  <si>
    <t>Паста NSF/PASTE Magenta (PR 57:1)  ЭЦ|Nitrocellulose ( SS 30-35)</t>
  </si>
  <si>
    <t>Паста NSF/PASTE Magenta (PR 57:1)  ЭЦ|Pigment Magenta PR 57:1 от Химсвет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</si>
</sst>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\+0.00%;\-0.00%;0"/>
    <numFmt numFmtId="165" formatCode="0.0000"/>
    <numFmt numFmtId="166" formatCode="#,##0.00&quot; €&quot;"/>
    <numFmt numFmtId="167" formatCode="#,##0.00&quot; ₽&quot;"/>
    <numFmt numFmtId="168" formatCode="0.0%"/>
    <numFmt numFmtId="169" formatCode="0.0000;\-0.0000;\-"/>
    <numFmt numFmtId="170" formatCode="#,##0.0000&quot; €&quot;"/>
    <numFmt numFmtId="171" formatCode="#,##0.00;\-#,##0.00;\-"/>
    <numFmt numFmtId="172" formatCode="#,##0.00\ [$€-1];[RED]\-#,##0.00\ [$€-1]"/>
    <numFmt numFmtId="173" formatCode="#,##0.0000;\-#,##0.0000;\-"/>
    <numFmt numFmtId="174" formatCode="#,##0.00\ [$€-1]"/>
    <numFmt numFmtId="175" formatCode="#,##0.00&quot; кг&quot;"/>
    <numFmt numFmtId="176" formatCode="#,##0.00&quot; кг/шт&quot;"/>
    <numFmt numFmtId="177" formatCode="DD.MM.YYYY"/>
    <numFmt numFmtId="178" formatCode="0.000000"/>
    <numFmt numFmtId="179" formatCode="dd\.mm\.yyyy"/>
  </numFmts>
  <fonts count="67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FFFFFF"/>
      <name val="Arial"/>
    </font>
    <font/>
    <font>
      <i/>
      <sz val="11.0"/>
      <color rgb="FF305496"/>
      <name val="Arial"/>
    </font>
    <font>
      <b/>
      <sz val="13.0"/>
      <color rgb="FFFFFFFF"/>
      <name val="Arial"/>
    </font>
    <font>
      <b/>
      <sz val="11.0"/>
      <color rgb="FF305496"/>
      <name val="Arial"/>
    </font>
    <font>
      <sz val="11.0"/>
      <color theme="1"/>
      <name val="Arial"/>
    </font>
    <font>
      <b/>
      <sz val="11.0"/>
      <color rgb="FFED7D31"/>
      <name val="Arial"/>
    </font>
    <font>
      <b/>
      <sz val="11.0"/>
      <color rgb="FF4472C4"/>
      <name val="Arial"/>
    </font>
    <font>
      <b/>
      <sz val="12.0"/>
      <color rgb="FFFFFFFF"/>
      <name val="Arial"/>
    </font>
    <font>
      <color theme="1"/>
      <name val="Calibri"/>
      <scheme val="minor"/>
    </font>
    <font>
      <sz val="9.0"/>
      <color rgb="FF1F4E79"/>
      <name val="Consolas"/>
    </font>
    <font>
      <b/>
      <sz val="18.0"/>
      <color rgb="FFFFFFFF"/>
      <name val="Arial"/>
    </font>
    <font>
      <i/>
      <sz val="11.0"/>
      <color rgb="FF666666"/>
      <name val="Arial"/>
    </font>
    <font>
      <b/>
      <sz val="11.0"/>
      <color theme="1"/>
      <name val="Arial"/>
    </font>
    <font>
      <b/>
      <sz val="12.0"/>
      <color rgb="FFC00000"/>
      <name val="Arial"/>
    </font>
    <font>
      <b/>
      <sz val="12.0"/>
      <color rgb="FFED7D31"/>
      <name val="Arial"/>
    </font>
    <font>
      <b/>
      <sz val="12.0"/>
      <color rgb="FF8E44AD"/>
      <name val="Arial"/>
    </font>
    <font>
      <b/>
      <sz val="10.0"/>
      <color rgb="FFFFFFFF"/>
      <name val="Arial"/>
    </font>
    <font>
      <sz val="9.0"/>
      <color rgb="FF808080"/>
      <name val="Arial"/>
    </font>
    <font>
      <sz val="10.0"/>
      <color theme="1"/>
      <name val="Arial"/>
    </font>
    <font>
      <b/>
      <sz val="10.0"/>
      <color rgb="FFED7D31"/>
      <name val="Arial"/>
    </font>
    <font>
      <i/>
      <sz val="9.0"/>
      <color rgb="FF666666"/>
      <name val="Arial"/>
    </font>
    <font>
      <b/>
      <sz val="10.0"/>
      <color rgb="FFC00000"/>
      <name val="Arial"/>
    </font>
    <font>
      <i/>
      <sz val="10.0"/>
      <color rgb="FF666666"/>
      <name val="Arial"/>
    </font>
    <font>
      <b/>
      <sz val="18.0"/>
      <color rgb="FF0A0A0A"/>
      <name val="Arial"/>
    </font>
    <font>
      <i/>
      <sz val="11.0"/>
      <color rgb="FF5C5C5C"/>
      <name val="Calibri"/>
    </font>
    <font>
      <b/>
      <sz val="9.0"/>
      <color rgb="FF0A0A0A"/>
      <name val="Calibri"/>
    </font>
    <font>
      <sz val="11.0"/>
      <color theme="1"/>
      <name val="Cambria"/>
    </font>
    <font>
      <b/>
      <sz val="14.0"/>
      <color rgb="FF0A0A0A"/>
      <name val="Arial"/>
    </font>
    <font>
      <b/>
      <sz val="14.0"/>
      <color rgb="FFC00000"/>
      <name val="Arial"/>
    </font>
    <font>
      <b/>
      <sz val="12.0"/>
      <color rgb="FF0000FF"/>
      <name val="Arial"/>
    </font>
    <font>
      <b/>
      <i/>
      <sz val="10.0"/>
      <color rgb="FF009900"/>
      <name val="Arial"/>
    </font>
    <font>
      <b/>
      <sz val="14.0"/>
      <color rgb="FF0070C0"/>
      <name val="Arial"/>
    </font>
    <font>
      <i/>
      <sz val="8.0"/>
      <color rgb="FF5C5C5C"/>
      <name val="Calibri"/>
    </font>
    <font>
      <i/>
      <sz val="9.0"/>
      <color rgb="FF808080"/>
      <name val="Arial"/>
    </font>
    <font>
      <i/>
      <sz val="8.0"/>
      <color rgb="FF808080"/>
      <name val="Arial"/>
    </font>
    <font>
      <b/>
      <sz val="10.0"/>
      <color rgb="FFFFFFFF"/>
      <name val="Calibri"/>
    </font>
    <font>
      <b/>
      <sz val="14.0"/>
      <color rgb="FFB71C1C"/>
      <name val="Calibri"/>
    </font>
    <font>
      <sz val="9.0"/>
      <color rgb="FFCCCCCC"/>
      <name val="Calibri"/>
    </font>
    <font>
      <i/>
      <sz val="8.0"/>
      <color rgb="FF616161"/>
      <name val="Calibri"/>
    </font>
    <font>
      <b/>
      <sz val="11.0"/>
      <color rgb="FF1F4E79"/>
      <name val="Arial"/>
    </font>
    <font>
      <b/>
      <sz val="10.0"/>
      <color rgb="FF0A0A0A"/>
      <name val="Calibri"/>
    </font>
    <font>
      <b/>
      <sz val="11.0"/>
      <color rgb="FFE30613"/>
      <name val="Calibri"/>
    </font>
    <font>
      <b/>
      <sz val="13.0"/>
      <color rgb="FF0A0A0A"/>
      <name val="Arial"/>
    </font>
    <font>
      <b/>
      <sz val="10.0"/>
      <color rgb="FF5C5C5C"/>
      <name val="Calibri"/>
    </font>
    <font>
      <b/>
      <sz val="11.0"/>
      <color rgb="FF2E7D32"/>
      <name val="Arial"/>
    </font>
    <font>
      <sz val="10.0"/>
      <color rgb="FF5C5C5C"/>
      <name val="Calibri"/>
    </font>
    <font>
      <sz val="10.0"/>
      <color rgb="FF0A0A0A"/>
      <name val="Calibri"/>
    </font>
    <font>
      <b/>
      <sz val="11.0"/>
      <color rgb="FF0A0A0A"/>
      <name val="Calibri"/>
    </font>
    <font>
      <b/>
      <sz val="11.0"/>
      <color rgb="FFFFFFFF"/>
      <name val="Arial"/>
    </font>
    <font>
      <b/>
      <sz val="11.0"/>
      <color rgb="FFFFFFFF"/>
      <name val="Calibri"/>
    </font>
    <font>
      <b/>
      <sz val="14.0"/>
      <color rgb="FFFFFFFF"/>
      <name val="Arial"/>
    </font>
    <font>
      <b/>
      <sz val="16.0"/>
      <color rgb="FFFFFFFF"/>
      <name val="Arial"/>
    </font>
    <font>
      <sz val="10.0"/>
      <color rgb="FF808080"/>
      <name val="Arial"/>
    </font>
    <font>
      <b/>
      <sz val="10.0"/>
      <color theme="1"/>
      <name val="Arial"/>
    </font>
    <font>
      <sz val="10.0"/>
      <color rgb="FF666666"/>
      <name val="Arial"/>
    </font>
    <font>
      <sz val="9.0"/>
      <color rgb="FF666666"/>
      <name val="Arial"/>
    </font>
    <font>
      <b/>
      <i/>
      <sz val="10.0"/>
      <color theme="1"/>
      <name val="Arial"/>
    </font>
    <font>
      <i/>
      <sz val="10.0"/>
      <color rgb="FFC00000"/>
      <name val="Arial"/>
    </font>
    <font>
      <b/>
      <sz val="22.0"/>
      <color rgb="FF0A0A0A"/>
      <name val="Arial"/>
    </font>
    <font>
      <b/>
      <sz val="10.0"/>
      <color rgb="FF1F4E79"/>
      <name val="Arial"/>
    </font>
    <font>
      <i/>
      <sz val="9.0"/>
      <color rgb="FF999999"/>
      <name val="Arial"/>
    </font>
    <font>
      <sz val="8.0"/>
      <color rgb="FF999999"/>
      <name val="Arial"/>
    </font>
    <font>
      <b/>
      <sz val="10.0"/>
      <color rgb="FF006100"/>
      <name val="Arial"/>
    </font>
    <font>
      <sz val="10.0"/>
      <color rgb="FF006100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70AD47"/>
        <bgColor rgb="FF70AD47"/>
      </patternFill>
    </fill>
    <fill>
      <patternFill patternType="solid">
        <fgColor rgb="FFF8F9FA"/>
        <bgColor rgb="FFF8F9FA"/>
      </patternFill>
    </fill>
    <fill>
      <patternFill patternType="solid">
        <fgColor rgb="FF4D82CE"/>
        <bgColor rgb="FF4D82CE"/>
      </patternFill>
    </fill>
    <fill>
      <patternFill patternType="solid">
        <fgColor rgb="FFC00000"/>
        <bgColor rgb="FFC00000"/>
      </patternFill>
    </fill>
    <fill>
      <patternFill patternType="solid">
        <fgColor rgb="FF808080"/>
        <bgColor rgb="FF808080"/>
      </patternFill>
    </fill>
    <fill>
      <patternFill patternType="solid">
        <fgColor rgb="FFED7D31"/>
        <bgColor rgb="FFED7D31"/>
      </patternFill>
    </fill>
    <fill>
      <patternFill patternType="solid">
        <fgColor rgb="FFF2F2F2"/>
        <bgColor rgb="FFF2F2F2"/>
      </patternFill>
    </fill>
    <fill>
      <patternFill patternType="solid">
        <fgColor rgb="FF8E44AD"/>
        <bgColor rgb="FF8E44AD"/>
      </patternFill>
    </fill>
    <fill>
      <patternFill patternType="solid">
        <fgColor rgb="FFFFFCE6"/>
        <bgColor rgb="FFFFFCE6"/>
      </patternFill>
    </fill>
    <fill>
      <patternFill patternType="solid">
        <fgColor rgb="FFFFFFFF"/>
        <bgColor rgb="FFFFFFFF"/>
      </patternFill>
    </fill>
    <fill>
      <patternFill patternType="solid">
        <fgColor rgb="FFE30613"/>
        <bgColor rgb="FFE30613"/>
      </patternFill>
    </fill>
    <fill>
      <patternFill patternType="solid">
        <fgColor rgb="FFFFF8E5"/>
        <bgColor rgb="FFFFF8E5"/>
      </patternFill>
    </fill>
    <fill>
      <patternFill patternType="solid">
        <fgColor rgb="FFFFF2CC"/>
        <bgColor rgb="FFFFF2CC"/>
      </patternFill>
    </fill>
    <fill>
      <patternFill patternType="solid">
        <fgColor rgb="FFFFFF99"/>
        <bgColor rgb="FFFFFF99"/>
      </patternFill>
    </fill>
    <fill>
      <patternFill patternType="solid">
        <fgColor rgb="FF0A0A0A"/>
        <bgColor rgb="FF0A0A0A"/>
      </patternFill>
    </fill>
    <fill>
      <patternFill patternType="solid">
        <fgColor rgb="FFB71C1C"/>
        <bgColor rgb="FFB71C1C"/>
      </patternFill>
    </fill>
    <fill>
      <patternFill patternType="solid">
        <fgColor rgb="FFFFEBEE"/>
        <bgColor rgb="FFFFEBEE"/>
      </patternFill>
    </fill>
    <fill>
      <patternFill patternType="solid">
        <fgColor rgb="FFDEEBF7"/>
        <bgColor rgb="FFDEEBF7"/>
      </patternFill>
    </fill>
    <fill>
      <patternFill patternType="solid">
        <fgColor rgb="FFE8F5E9"/>
        <bgColor rgb="FFE8F5E9"/>
      </patternFill>
    </fill>
    <fill>
      <patternFill patternType="solid">
        <fgColor rgb="FFFFE4B5"/>
        <bgColor rgb="FFFFE4B5"/>
      </patternFill>
    </fill>
    <fill>
      <patternFill patternType="solid">
        <fgColor rgb="FFF7F7F7"/>
        <bgColor rgb="FFF7F7F7"/>
      </patternFill>
    </fill>
    <fill>
      <patternFill patternType="solid">
        <fgColor rgb="FFB30410"/>
        <bgColor rgb="FFB30410"/>
      </patternFill>
    </fill>
    <fill>
      <patternFill patternType="solid">
        <fgColor rgb="FFFFF0F1"/>
        <bgColor rgb="FFFFF0F1"/>
      </patternFill>
    </fill>
    <fill>
      <patternFill patternType="solid">
        <fgColor rgb="FF026BBC"/>
        <bgColor rgb="FF026BBC"/>
      </patternFill>
    </fill>
    <fill>
      <patternFill patternType="solid">
        <fgColor rgb="FFE97132"/>
        <bgColor rgb="FFE97132"/>
      </patternFill>
    </fill>
    <fill>
      <patternFill patternType="solid">
        <fgColor rgb="FFFFFFCC"/>
        <bgColor rgb="FFFFFFCC"/>
      </patternFill>
    </fill>
    <fill>
      <patternFill patternType="solid">
        <fgColor rgb="FFE1EFF5"/>
        <bgColor rgb="FFE1EFF5"/>
      </patternFill>
    </fill>
    <fill>
      <patternFill patternType="solid">
        <fgColor rgb="FFF1F9EE"/>
        <bgColor rgb="FFF1F9EE"/>
      </patternFill>
    </fill>
    <fill>
      <patternFill patternType="solid">
        <fgColor rgb="FFE2EFDA"/>
        <bgColor rgb="FFE2EFDA"/>
      </patternFill>
    </fill>
    <fill>
      <patternFill patternType="solid">
        <fgColor rgb="FFFFE5B4"/>
        <bgColor rgb="FFFFE5B4"/>
      </patternFill>
    </fill>
    <fill>
      <patternFill patternType="solid">
        <fgColor rgb="FFF0F7E6"/>
        <bgColor rgb="FFF0F7E6"/>
      </patternFill>
    </fill>
  </fills>
  <borders count="3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E30613"/>
      </left>
      <top style="medium">
        <color rgb="FFE30613"/>
      </top>
      <bottom style="medium">
        <color rgb="FFE30613"/>
      </bottom>
    </border>
    <border>
      <top style="medium">
        <color rgb="FFE30613"/>
      </top>
      <bottom style="medium">
        <color rgb="FFE30613"/>
      </bottom>
    </border>
    <border>
      <right style="medium">
        <color rgb="FFE30613"/>
      </right>
      <top style="medium">
        <color rgb="FFE30613"/>
      </top>
      <bottom style="medium">
        <color rgb="FFE30613"/>
      </bottom>
    </border>
    <border>
      <left/>
    </border>
    <border>
      <right/>
    </border>
    <border>
      <left style="medium">
        <color rgb="FFB71C1C"/>
      </left>
      <right style="medium">
        <color rgb="FFB71C1C"/>
      </right>
      <top style="medium">
        <color rgb="FFB71C1C"/>
      </top>
      <bottom style="medium">
        <color rgb="FFB71C1C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/>
      <top style="thin">
        <color rgb="FF808080"/>
      </top>
      <bottom style="thin">
        <color rgb="FF808080"/>
      </bottom>
    </border>
    <border>
      <left style="medium">
        <color rgb="FFE30613"/>
      </left>
      <right style="medium">
        <color rgb="FFE30613"/>
      </right>
      <top style="medium">
        <color rgb="FFE30613"/>
      </top>
      <bottom style="medium">
        <color rgb="FFE30613"/>
      </bottom>
    </border>
    <border>
      <left style="thin">
        <color rgb="FFC8C0B0"/>
      </left>
      <top style="thin">
        <color rgb="FFC8C0B0"/>
      </top>
      <bottom style="thin">
        <color rgb="FFC8C0B0"/>
      </bottom>
    </border>
    <border>
      <right style="thin">
        <color rgb="FFC8C0B0"/>
      </right>
      <top style="thin">
        <color rgb="FFC8C0B0"/>
      </top>
      <bottom style="thin">
        <color rgb="FFC8C0B0"/>
      </bottom>
    </border>
    <border>
      <left style="thin">
        <color rgb="FFC8C0B0"/>
      </left>
      <right style="thin">
        <color rgb="FFC8C0B0"/>
      </right>
      <top style="thin">
        <color rgb="FFC8C0B0"/>
      </top>
      <bottom style="thin">
        <color rgb="FFC8C0B0"/>
      </bottom>
    </border>
    <border>
      <top style="thin">
        <color rgb="FFC8C0B0"/>
      </top>
      <bottom style="thin">
        <color rgb="FFC8C0B0"/>
      </bottom>
    </border>
    <border>
      <left style="medium">
        <color rgb="FF305496"/>
      </left>
      <right style="thin">
        <color rgb="FF808080"/>
      </right>
      <top style="medium">
        <color rgb="FF305496"/>
      </top>
      <bottom style="medium">
        <color rgb="FF305496"/>
      </bottom>
    </border>
    <border>
      <left style="thin">
        <color rgb="FF808080"/>
      </left>
      <right style="thin">
        <color rgb="FF808080"/>
      </right>
      <top style="medium">
        <color rgb="FF305496"/>
      </top>
      <bottom style="medium">
        <color rgb="FF305496"/>
      </bottom>
    </border>
    <border>
      <left style="thin">
        <color rgb="FF808080"/>
      </left>
      <right style="medium">
        <color rgb="FF305496"/>
      </right>
      <top style="medium">
        <color rgb="FF305496"/>
      </top>
      <bottom style="medium">
        <color rgb="FF305496"/>
      </bottom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horizontal="center" vertical="bottom"/>
    </xf>
    <xf borderId="7" fillId="3" fontId="5" numFmtId="0" xfId="0" applyAlignment="1" applyBorder="1" applyFill="1" applyFont="1">
      <alignment horizontal="left" vertical="center"/>
    </xf>
    <xf borderId="8" fillId="0" fontId="3" numFmtId="0" xfId="0" applyBorder="1" applyFont="1"/>
    <xf borderId="9" fillId="0" fontId="3" numFmtId="0" xfId="0" applyBorder="1" applyFont="1"/>
    <xf borderId="0" fillId="0" fontId="6" numFmtId="0" xfId="0" applyAlignment="1" applyFont="1">
      <alignment horizontal="left" vertical="bottom"/>
    </xf>
    <xf borderId="7" fillId="4" fontId="7" numFmtId="0" xfId="0" applyAlignment="1" applyBorder="1" applyFill="1" applyFont="1">
      <alignment horizontal="left" shrinkToFit="0" vertical="bottom" wrapText="1"/>
    </xf>
    <xf borderId="7" fillId="5" fontId="5" numFmtId="0" xfId="0" applyAlignment="1" applyBorder="1" applyFill="1" applyFont="1">
      <alignment horizontal="left" vertical="center"/>
    </xf>
    <xf borderId="7" fillId="6" fontId="5" numFmtId="0" xfId="0" applyAlignment="1" applyBorder="1" applyFill="1" applyFont="1">
      <alignment horizontal="left" vertical="center"/>
    </xf>
    <xf borderId="7" fillId="7" fontId="5" numFmtId="0" xfId="0" applyAlignment="1" applyBorder="1" applyFill="1" applyFont="1">
      <alignment horizontal="left" vertical="center"/>
    </xf>
    <xf borderId="7" fillId="8" fontId="5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center" vertical="top"/>
    </xf>
    <xf borderId="0" fillId="0" fontId="7" numFmtId="0" xfId="0" applyAlignment="1" applyFont="1">
      <alignment horizontal="left" shrinkToFit="0" vertical="top" wrapText="1"/>
    </xf>
    <xf borderId="0" fillId="0" fontId="9" numFmtId="0" xfId="0" applyAlignment="1" applyFont="1">
      <alignment horizontal="center" vertical="top"/>
    </xf>
    <xf borderId="0" fillId="0" fontId="1" numFmtId="0" xfId="0" applyFont="1"/>
    <xf borderId="10" fillId="2" fontId="10" numFmtId="0" xfId="0" applyAlignment="1" applyBorder="1" applyFont="1">
      <alignment horizontal="center" shrinkToFit="0" vertical="center" wrapText="1"/>
    </xf>
    <xf borderId="0" fillId="0" fontId="11" numFmtId="0" xfId="0" applyFont="1"/>
    <xf borderId="10" fillId="9" fontId="12" numFmtId="0" xfId="0" applyAlignment="1" applyBorder="1" applyFill="1" applyFont="1">
      <alignment horizontal="left" vertical="top"/>
    </xf>
    <xf borderId="0" fillId="0" fontId="12" numFmtId="0" xfId="0" applyAlignment="1" applyFont="1">
      <alignment horizontal="left" vertical="top"/>
    </xf>
    <xf borderId="7" fillId="6" fontId="13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bottom"/>
    </xf>
    <xf borderId="7" fillId="2" fontId="10" numFmtId="0" xfId="0" applyAlignment="1" applyBorder="1" applyFont="1">
      <alignment horizontal="center" vertical="center"/>
    </xf>
    <xf borderId="0" fillId="0" fontId="15" numFmtId="0" xfId="0" applyAlignment="1" applyFont="1">
      <alignment horizontal="right" vertical="bottom"/>
    </xf>
    <xf borderId="0" fillId="0" fontId="16" numFmtId="0" xfId="0" applyAlignment="1" applyFont="1">
      <alignment horizontal="left" vertical="bottom"/>
    </xf>
    <xf borderId="0" fillId="0" fontId="17" numFmtId="0" xfId="0" applyAlignment="1" applyFont="1">
      <alignment horizontal="left" vertical="bottom"/>
    </xf>
    <xf borderId="0" fillId="0" fontId="18" numFmtId="0" xfId="0" applyAlignment="1" applyFont="1">
      <alignment vertical="bottom"/>
    </xf>
    <xf borderId="7" fillId="6" fontId="10" numFmtId="0" xfId="0" applyAlignment="1" applyBorder="1" applyFont="1">
      <alignment horizontal="center" vertical="center"/>
    </xf>
    <xf borderId="11" fillId="2" fontId="19" numFmtId="0" xfId="0" applyAlignment="1" applyBorder="1" applyFont="1">
      <alignment horizontal="center" vertical="center"/>
    </xf>
    <xf borderId="11" fillId="0" fontId="20" numFmtId="0" xfId="0" applyAlignment="1" applyBorder="1" applyFont="1">
      <alignment horizontal="center" vertical="bottom"/>
    </xf>
    <xf borderId="11" fillId="0" fontId="21" numFmtId="0" xfId="0" applyAlignment="1" applyBorder="1" applyFont="1">
      <alignment vertical="bottom"/>
    </xf>
    <xf borderId="11" fillId="0" fontId="21" numFmtId="0" xfId="0" applyAlignment="1" applyBorder="1" applyFont="1">
      <alignment horizontal="center" vertical="bottom"/>
    </xf>
    <xf borderId="7" fillId="8" fontId="10" numFmtId="0" xfId="0" applyAlignment="1" applyBorder="1" applyFont="1">
      <alignment horizontal="center" vertical="center"/>
    </xf>
    <xf borderId="11" fillId="0" fontId="22" numFmtId="10" xfId="0" applyAlignment="1" applyBorder="1" applyFont="1" applyNumberFormat="1">
      <alignment horizontal="center" vertical="bottom"/>
    </xf>
    <xf borderId="11" fillId="0" fontId="1" numFmtId="164" xfId="0" applyAlignment="1" applyBorder="1" applyFont="1" applyNumberFormat="1">
      <alignment horizontal="center" vertical="bottom"/>
    </xf>
    <xf borderId="11" fillId="0" fontId="23" numFmtId="0" xfId="0" applyAlignment="1" applyBorder="1" applyFont="1">
      <alignment horizontal="center" vertical="bottom"/>
    </xf>
    <xf borderId="11" fillId="0" fontId="24" numFmtId="10" xfId="0" applyAlignment="1" applyBorder="1" applyFont="1" applyNumberFormat="1">
      <alignment horizontal="center" vertical="bottom"/>
    </xf>
    <xf borderId="7" fillId="10" fontId="10" numFmtId="0" xfId="0" applyAlignment="1" applyBorder="1" applyFill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vertical="bottom"/>
    </xf>
    <xf borderId="1" fillId="11" fontId="25" numFmtId="0" xfId="0" applyAlignment="1" applyBorder="1" applyFill="1" applyFont="1">
      <alignment horizontal="left" shrinkToFit="0" vertical="top" wrapText="1"/>
    </xf>
    <xf borderId="10" fillId="12" fontId="1" numFmtId="0" xfId="0" applyAlignment="1" applyBorder="1" applyFill="1" applyFont="1">
      <alignment vertical="bottom"/>
    </xf>
    <xf borderId="1" fillId="12" fontId="26" numFmtId="0" xfId="0" applyAlignment="1" applyBorder="1" applyFont="1">
      <alignment horizontal="left" vertical="center"/>
    </xf>
    <xf borderId="7" fillId="12" fontId="27" numFmtId="0" xfId="0" applyAlignment="1" applyBorder="1" applyFont="1">
      <alignment horizontal="left" vertical="center"/>
    </xf>
    <xf borderId="10" fillId="13" fontId="1" numFmtId="0" xfId="0" applyAlignment="1" applyBorder="1" applyFill="1" applyFont="1">
      <alignment vertical="bottom"/>
    </xf>
    <xf borderId="7" fillId="9" fontId="28" numFmtId="0" xfId="0" applyAlignment="1" applyBorder="1" applyFont="1">
      <alignment horizontal="left" vertical="center"/>
    </xf>
    <xf borderId="10" fillId="9" fontId="28" numFmtId="0" xfId="0" applyAlignment="1" applyBorder="1" applyFont="1">
      <alignment horizontal="center" vertical="center"/>
    </xf>
    <xf borderId="7" fillId="9" fontId="28" numFmtId="0" xfId="0" applyAlignment="1" applyBorder="1" applyFont="1">
      <alignment horizontal="center" vertical="center"/>
    </xf>
    <xf borderId="0" fillId="0" fontId="29" numFmtId="0" xfId="0" applyAlignment="1" applyFont="1">
      <alignment vertical="bottom"/>
    </xf>
    <xf borderId="12" fillId="14" fontId="30" numFmtId="0" xfId="0" applyAlignment="1" applyBorder="1" applyFill="1" applyFont="1">
      <alignment horizontal="center" readingOrder="0" shrinkToFit="0" vertical="center" wrapText="1"/>
    </xf>
    <xf borderId="13" fillId="0" fontId="3" numFmtId="0" xfId="0" applyBorder="1" applyFont="1"/>
    <xf borderId="14" fillId="0" fontId="3" numFmtId="0" xfId="0" applyBorder="1" applyFont="1"/>
    <xf borderId="10" fillId="15" fontId="31" numFmtId="0" xfId="0" applyAlignment="1" applyBorder="1" applyFill="1" applyFont="1">
      <alignment horizontal="center" vertical="center"/>
    </xf>
    <xf borderId="11" fillId="16" fontId="32" numFmtId="0" xfId="0" applyAlignment="1" applyBorder="1" applyFill="1" applyFont="1">
      <alignment horizontal="center" vertical="center"/>
    </xf>
    <xf borderId="0" fillId="0" fontId="33" numFmtId="0" xfId="0" applyAlignment="1" applyFont="1">
      <alignment horizontal="left" shrinkToFit="0" vertical="center" wrapText="1"/>
    </xf>
    <xf borderId="12" fillId="14" fontId="34" numFmtId="165" xfId="0" applyAlignment="1" applyBorder="1" applyFont="1" applyNumberFormat="1">
      <alignment horizontal="center" vertical="center"/>
    </xf>
    <xf borderId="1" fillId="9" fontId="28" numFmtId="0" xfId="0" applyAlignment="1" applyBorder="1" applyFont="1">
      <alignment horizontal="left" vertical="center"/>
    </xf>
    <xf borderId="7" fillId="9" fontId="35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horizontal="center" vertical="bottom"/>
    </xf>
    <xf borderId="0" fillId="0" fontId="36" numFmtId="0" xfId="0" applyAlignment="1" applyFont="1">
      <alignment vertical="bottom"/>
    </xf>
    <xf borderId="7" fillId="9" fontId="37" numFmtId="0" xfId="0" applyAlignment="1" applyBorder="1" applyFont="1">
      <alignment horizontal="center" vertical="bottom"/>
    </xf>
    <xf borderId="15" fillId="0" fontId="3" numFmtId="0" xfId="0" applyBorder="1" applyFont="1"/>
    <xf borderId="16" fillId="0" fontId="3" numFmtId="0" xfId="0" applyBorder="1" applyFont="1"/>
    <xf borderId="7" fillId="17" fontId="38" numFmtId="0" xfId="0" applyAlignment="1" applyBorder="1" applyFill="1" applyFont="1">
      <alignment horizontal="left" vertical="center"/>
    </xf>
    <xf borderId="10" fillId="18" fontId="38" numFmtId="0" xfId="0" applyAlignment="1" applyBorder="1" applyFill="1" applyFont="1">
      <alignment horizontal="center" vertical="center"/>
    </xf>
    <xf borderId="7" fillId="17" fontId="13" numFmtId="166" xfId="0" applyAlignment="1" applyBorder="1" applyFont="1" applyNumberFormat="1">
      <alignment horizontal="center" shrinkToFit="0" vertical="center" wrapText="1"/>
    </xf>
    <xf borderId="7" fillId="17" fontId="13" numFmtId="167" xfId="0" applyAlignment="1" applyBorder="1" applyFont="1" applyNumberFormat="1">
      <alignment horizontal="center" shrinkToFit="0" vertical="center" wrapText="1"/>
    </xf>
    <xf borderId="17" fillId="19" fontId="39" numFmtId="168" xfId="0" applyAlignment="1" applyBorder="1" applyFill="1" applyFont="1" applyNumberFormat="1">
      <alignment horizontal="center" vertical="center"/>
    </xf>
    <xf borderId="7" fillId="17" fontId="40" numFmtId="0" xfId="0" applyAlignment="1" applyBorder="1" applyFont="1">
      <alignment horizontal="center" shrinkToFit="0" vertical="center" wrapText="1"/>
    </xf>
    <xf borderId="10" fillId="12" fontId="41" numFmtId="0" xfId="0" applyAlignment="1" applyBorder="1" applyFont="1">
      <alignment horizontal="center" vertical="center"/>
    </xf>
    <xf borderId="18" fillId="20" fontId="42" numFmtId="0" xfId="0" applyAlignment="1" applyBorder="1" applyFill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7" fillId="12" fontId="43" numFmtId="0" xfId="0" applyAlignment="1" applyBorder="1" applyFont="1">
      <alignment horizontal="right" vertical="center"/>
    </xf>
    <xf borderId="21" fillId="14" fontId="44" numFmtId="1" xfId="0" applyAlignment="1" applyBorder="1" applyFont="1" applyNumberFormat="1">
      <alignment horizontal="center" readingOrder="0" shrinkToFit="0" vertical="center" wrapText="1"/>
    </xf>
    <xf borderId="7" fillId="12" fontId="35" numFmtId="0" xfId="0" applyAlignment="1" applyBorder="1" applyFont="1">
      <alignment horizontal="left" vertical="center"/>
    </xf>
    <xf borderId="7" fillId="12" fontId="45" numFmtId="0" xfId="0" applyAlignment="1" applyBorder="1" applyFont="1">
      <alignment horizontal="left" vertical="center"/>
    </xf>
    <xf borderId="7" fillId="12" fontId="46" numFmtId="0" xfId="0" applyAlignment="1" applyBorder="1" applyFont="1">
      <alignment horizontal="right" vertical="center"/>
    </xf>
    <xf borderId="22" fillId="21" fontId="47" numFmtId="10" xfId="0" applyAlignment="1" applyBorder="1" applyFill="1" applyFont="1" applyNumberFormat="1">
      <alignment horizontal="center" shrinkToFit="0" vertical="center" wrapText="1"/>
    </xf>
    <xf borderId="23" fillId="0" fontId="3" numFmtId="0" xfId="0" applyBorder="1" applyFont="1"/>
    <xf borderId="24" fillId="17" fontId="38" numFmtId="0" xfId="0" applyAlignment="1" applyBorder="1" applyFont="1">
      <alignment horizontal="center" shrinkToFit="0" vertical="center" wrapText="1"/>
    </xf>
    <xf borderId="11" fillId="8" fontId="19" numFmtId="0" xfId="0" applyAlignment="1" applyBorder="1" applyFont="1">
      <alignment horizontal="center" shrinkToFit="0" vertical="center" wrapText="1"/>
    </xf>
    <xf borderId="24" fillId="0" fontId="48" numFmtId="0" xfId="0" applyAlignment="1" applyBorder="1" applyFont="1">
      <alignment horizontal="center" shrinkToFit="0" vertical="center" wrapText="1"/>
    </xf>
    <xf borderId="24" fillId="0" fontId="49" numFmtId="0" xfId="0" applyAlignment="1" applyBorder="1" applyFont="1">
      <alignment horizontal="left" shrinkToFit="0" vertical="center" wrapText="1"/>
    </xf>
    <xf borderId="24" fillId="14" fontId="44" numFmtId="10" xfId="0" applyAlignment="1" applyBorder="1" applyFont="1" applyNumberFormat="1">
      <alignment horizontal="right" vertical="center"/>
    </xf>
    <xf borderId="24" fillId="0" fontId="49" numFmtId="10" xfId="0" applyAlignment="1" applyBorder="1" applyFont="1" applyNumberFormat="1">
      <alignment horizontal="right" vertical="center"/>
    </xf>
    <xf borderId="24" fillId="0" fontId="49" numFmtId="165" xfId="0" applyAlignment="1" applyBorder="1" applyFont="1" applyNumberFormat="1">
      <alignment horizontal="right" vertical="center"/>
    </xf>
    <xf borderId="24" fillId="0" fontId="43" numFmtId="166" xfId="0" applyAlignment="1" applyBorder="1" applyFont="1" applyNumberFormat="1">
      <alignment horizontal="right" vertical="center"/>
    </xf>
    <xf borderId="24" fillId="0" fontId="43" numFmtId="167" xfId="0" applyAlignment="1" applyBorder="1" applyFont="1" applyNumberFormat="1">
      <alignment horizontal="right" vertical="center"/>
    </xf>
    <xf borderId="11" fillId="22" fontId="21" numFmtId="169" xfId="0" applyAlignment="1" applyBorder="1" applyFill="1" applyFont="1" applyNumberFormat="1">
      <alignment horizontal="right" vertical="bottom"/>
    </xf>
    <xf borderId="24" fillId="23" fontId="48" numFmtId="0" xfId="0" applyAlignment="1" applyBorder="1" applyFill="1" applyFont="1">
      <alignment horizontal="center" shrinkToFit="0" vertical="center" wrapText="1"/>
    </xf>
    <xf borderId="24" fillId="23" fontId="49" numFmtId="0" xfId="0" applyAlignment="1" applyBorder="1" applyFont="1">
      <alignment horizontal="left" shrinkToFit="0" vertical="center" wrapText="1"/>
    </xf>
    <xf borderId="24" fillId="23" fontId="49" numFmtId="10" xfId="0" applyAlignment="1" applyBorder="1" applyFont="1" applyNumberFormat="1">
      <alignment horizontal="right" vertical="center"/>
    </xf>
    <xf borderId="24" fillId="23" fontId="49" numFmtId="165" xfId="0" applyAlignment="1" applyBorder="1" applyFont="1" applyNumberFormat="1">
      <alignment horizontal="right" vertical="center"/>
    </xf>
    <xf borderId="24" fillId="23" fontId="43" numFmtId="166" xfId="0" applyAlignment="1" applyBorder="1" applyFont="1" applyNumberFormat="1">
      <alignment horizontal="right" vertical="center"/>
    </xf>
    <xf borderId="24" fillId="23" fontId="43" numFmtId="167" xfId="0" applyAlignment="1" applyBorder="1" applyFont="1" applyNumberFormat="1">
      <alignment horizontal="right" vertical="center"/>
    </xf>
    <xf borderId="11" fillId="22" fontId="21" numFmtId="169" xfId="0" applyAlignment="1" applyBorder="1" applyFont="1" applyNumberFormat="1">
      <alignment horizontal="right" readingOrder="0" vertical="bottom"/>
    </xf>
    <xf borderId="24" fillId="14" fontId="44" numFmtId="166" xfId="0" applyAlignment="1" applyBorder="1" applyFont="1" applyNumberFormat="1">
      <alignment horizontal="right" readingOrder="0" vertical="center"/>
    </xf>
    <xf borderId="24" fillId="14" fontId="44" numFmtId="166" xfId="0" applyAlignment="1" applyBorder="1" applyFont="1" applyNumberFormat="1">
      <alignment horizontal="right" vertical="center"/>
    </xf>
    <xf borderId="24" fillId="9" fontId="50" numFmtId="0" xfId="0" applyAlignment="1" applyBorder="1" applyFont="1">
      <alignment horizontal="left" shrinkToFit="0" vertical="center" wrapText="1"/>
    </xf>
    <xf borderId="24" fillId="9" fontId="50" numFmtId="166" xfId="0" applyAlignment="1" applyBorder="1" applyFont="1" applyNumberFormat="1">
      <alignment horizontal="right" vertical="center"/>
    </xf>
    <xf borderId="24" fillId="9" fontId="50" numFmtId="167" xfId="0" applyAlignment="1" applyBorder="1" applyFont="1" applyNumberFormat="1">
      <alignment horizontal="right" vertical="center"/>
    </xf>
    <xf borderId="24" fillId="14" fontId="44" numFmtId="10" xfId="0" applyAlignment="1" applyBorder="1" applyFont="1" applyNumberFormat="1">
      <alignment horizontal="right" readingOrder="0" vertical="center"/>
    </xf>
    <xf borderId="24" fillId="0" fontId="48" numFmtId="0" xfId="0" applyAlignment="1" applyBorder="1" applyFont="1">
      <alignment horizontal="left" shrinkToFit="0" vertical="center" wrapText="1"/>
    </xf>
    <xf borderId="22" fillId="17" fontId="51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4" fillId="13" fontId="52" numFmtId="0" xfId="0" applyAlignment="1" applyBorder="1" applyFont="1">
      <alignment horizontal="left" shrinkToFit="0" vertical="center" wrapText="1"/>
    </xf>
    <xf borderId="24" fillId="13" fontId="53" numFmtId="166" xfId="0" applyAlignment="1" applyBorder="1" applyFont="1" applyNumberFormat="1">
      <alignment horizontal="center" shrinkToFit="0" vertical="center" wrapText="1"/>
    </xf>
    <xf borderId="24" fillId="13" fontId="53" numFmtId="167" xfId="0" applyAlignment="1" applyBorder="1" applyFont="1" applyNumberFormat="1">
      <alignment horizontal="center" shrinkToFit="0" vertical="center" wrapText="1"/>
    </xf>
    <xf borderId="24" fillId="24" fontId="52" numFmtId="0" xfId="0" applyAlignment="1" applyBorder="1" applyFill="1" applyFont="1">
      <alignment horizontal="left" shrinkToFit="0" vertical="center" wrapText="1"/>
    </xf>
    <xf borderId="24" fillId="24" fontId="53" numFmtId="166" xfId="0" applyAlignment="1" applyBorder="1" applyFont="1" applyNumberFormat="1">
      <alignment horizontal="center" shrinkToFit="0" vertical="center" wrapText="1"/>
    </xf>
    <xf borderId="24" fillId="24" fontId="53" numFmtId="167" xfId="0" applyAlignment="1" applyBorder="1" applyFont="1" applyNumberFormat="1">
      <alignment horizontal="center" shrinkToFit="0" vertical="center" wrapText="1"/>
    </xf>
    <xf borderId="0" fillId="0" fontId="7" numFmtId="165" xfId="0" applyAlignment="1" applyFont="1" applyNumberFormat="1">
      <alignment vertical="bottom"/>
    </xf>
    <xf borderId="7" fillId="17" fontId="10" numFmtId="0" xfId="0" applyAlignment="1" applyBorder="1" applyFont="1">
      <alignment horizontal="center" shrinkToFit="0" vertical="center" wrapText="1"/>
    </xf>
    <xf borderId="24" fillId="17" fontId="10" numFmtId="10" xfId="0" applyAlignment="1" applyBorder="1" applyFont="1" applyNumberFormat="1">
      <alignment horizontal="right" vertical="center"/>
    </xf>
    <xf borderId="24" fillId="17" fontId="1" numFmtId="0" xfId="0" applyAlignment="1" applyBorder="1" applyFont="1">
      <alignment vertical="bottom"/>
    </xf>
    <xf borderId="24" fillId="17" fontId="10" numFmtId="166" xfId="0" applyAlignment="1" applyBorder="1" applyFont="1" applyNumberFormat="1">
      <alignment horizontal="right" vertical="center"/>
    </xf>
    <xf borderId="24" fillId="17" fontId="10" numFmtId="167" xfId="0" applyAlignment="1" applyBorder="1" applyFont="1" applyNumberFormat="1">
      <alignment horizontal="right" vertical="center"/>
    </xf>
    <xf borderId="7" fillId="25" fontId="45" numFmtId="0" xfId="0" applyAlignment="1" applyBorder="1" applyFill="1" applyFont="1">
      <alignment horizontal="left" vertical="center"/>
    </xf>
    <xf borderId="24" fillId="12" fontId="48" numFmtId="0" xfId="0" applyAlignment="1" applyBorder="1" applyFont="1">
      <alignment horizontal="center" shrinkToFit="0" vertical="center" wrapText="1"/>
    </xf>
    <xf borderId="24" fillId="12" fontId="49" numFmtId="0" xfId="0" applyAlignment="1" applyBorder="1" applyFont="1">
      <alignment horizontal="left" shrinkToFit="0" vertical="center" wrapText="1"/>
    </xf>
    <xf borderId="24" fillId="9" fontId="1" numFmtId="0" xfId="0" applyAlignment="1" applyBorder="1" applyFont="1">
      <alignment vertical="bottom"/>
    </xf>
    <xf borderId="24" fillId="12" fontId="49" numFmtId="10" xfId="0" applyAlignment="1" applyBorder="1" applyFont="1" applyNumberFormat="1">
      <alignment horizontal="right" vertical="center"/>
    </xf>
    <xf borderId="24" fillId="12" fontId="49" numFmtId="165" xfId="0" applyAlignment="1" applyBorder="1" applyFont="1" applyNumberFormat="1">
      <alignment horizontal="right" vertical="center"/>
    </xf>
    <xf borderId="24" fillId="12" fontId="49" numFmtId="170" xfId="0" applyAlignment="1" applyBorder="1" applyFont="1" applyNumberFormat="1">
      <alignment horizontal="right" vertical="center"/>
    </xf>
    <xf borderId="24" fillId="12" fontId="43" numFmtId="166" xfId="0" applyAlignment="1" applyBorder="1" applyFont="1" applyNumberFormat="1">
      <alignment horizontal="right" vertical="center"/>
    </xf>
    <xf borderId="24" fillId="12" fontId="43" numFmtId="167" xfId="0" applyAlignment="1" applyBorder="1" applyFont="1" applyNumberFormat="1">
      <alignment horizontal="right" vertical="center"/>
    </xf>
    <xf borderId="24" fillId="23" fontId="49" numFmtId="170" xfId="0" applyAlignment="1" applyBorder="1" applyFont="1" applyNumberFormat="1">
      <alignment horizontal="right" vertical="center"/>
    </xf>
    <xf borderId="7" fillId="12" fontId="35" numFmtId="0" xfId="0" applyAlignment="1" applyBorder="1" applyFont="1">
      <alignment horizontal="left" shrinkToFit="0" vertical="center" wrapText="1"/>
    </xf>
    <xf borderId="7" fillId="9" fontId="30" numFmtId="0" xfId="0" applyAlignment="1" applyBorder="1" applyFont="1">
      <alignment horizontal="center" readingOrder="0" shrinkToFit="0" vertical="center" wrapText="1"/>
    </xf>
    <xf borderId="24" fillId="14" fontId="49" numFmtId="0" xfId="0" applyAlignment="1" applyBorder="1" applyFont="1">
      <alignment horizontal="left" readingOrder="0" shrinkToFit="0" vertical="center" wrapText="1"/>
    </xf>
    <xf borderId="24" fillId="14" fontId="48" numFmtId="0" xfId="0" applyAlignment="1" applyBorder="1" applyFont="1">
      <alignment horizontal="center" shrinkToFit="0" vertical="center" wrapText="1"/>
    </xf>
    <xf borderId="24" fillId="14" fontId="44" numFmtId="0" xfId="0" applyAlignment="1" applyBorder="1" applyFont="1">
      <alignment horizontal="right" vertical="center"/>
    </xf>
    <xf borderId="24" fillId="14" fontId="49" numFmtId="0" xfId="0" applyAlignment="1" applyBorder="1" applyFont="1">
      <alignment horizontal="left" shrinkToFit="0" vertical="center" wrapText="1"/>
    </xf>
    <xf borderId="1" fillId="2" fontId="54" numFmtId="0" xfId="0" applyAlignment="1" applyBorder="1" applyFont="1">
      <alignment horizontal="center" vertical="center"/>
    </xf>
    <xf borderId="0" fillId="0" fontId="25" numFmtId="0" xfId="0" applyAlignment="1" applyFont="1">
      <alignment horizontal="center" shrinkToFit="0" vertical="center" wrapText="1"/>
    </xf>
    <xf borderId="7" fillId="26" fontId="51" numFmtId="0" xfId="0" applyAlignment="1" applyBorder="1" applyFill="1" applyFont="1">
      <alignment horizontal="center" vertical="center"/>
    </xf>
    <xf borderId="7" fillId="6" fontId="51" numFmtId="0" xfId="0" applyAlignment="1" applyBorder="1" applyFont="1">
      <alignment horizontal="center" vertical="center"/>
    </xf>
    <xf borderId="11" fillId="5" fontId="19" numFmtId="0" xfId="0" applyAlignment="1" applyBorder="1" applyFont="1">
      <alignment horizontal="center" vertical="center"/>
    </xf>
    <xf borderId="11" fillId="27" fontId="19" numFmtId="0" xfId="0" applyAlignment="1" applyBorder="1" applyFill="1" applyFont="1">
      <alignment horizontal="center" vertical="center"/>
    </xf>
    <xf borderId="11" fillId="0" fontId="55" numFmtId="0" xfId="0" applyAlignment="1" applyBorder="1" applyFont="1">
      <alignment horizontal="center" vertical="bottom"/>
    </xf>
    <xf borderId="11" fillId="28" fontId="21" numFmtId="0" xfId="0" applyAlignment="1" applyBorder="1" applyFill="1" applyFont="1">
      <alignment readingOrder="0" vertical="bottom"/>
    </xf>
    <xf borderId="11" fillId="28" fontId="56" numFmtId="171" xfId="0" applyAlignment="1" applyBorder="1" applyFont="1" applyNumberFormat="1">
      <alignment horizontal="right" readingOrder="0" vertical="bottom"/>
    </xf>
    <xf borderId="11" fillId="0" fontId="57" numFmtId="165" xfId="0" applyAlignment="1" applyBorder="1" applyFont="1" applyNumberFormat="1">
      <alignment horizontal="right" vertical="bottom"/>
    </xf>
    <xf borderId="11" fillId="0" fontId="56" numFmtId="172" xfId="0" applyAlignment="1" applyBorder="1" applyFont="1" applyNumberFormat="1">
      <alignment horizontal="right" vertical="bottom"/>
    </xf>
    <xf borderId="11" fillId="29" fontId="20" numFmtId="0" xfId="0" applyAlignment="1" applyBorder="1" applyFill="1" applyFont="1">
      <alignment horizontal="center" vertical="bottom"/>
    </xf>
    <xf borderId="11" fillId="29" fontId="21" numFmtId="0" xfId="0" applyAlignment="1" applyBorder="1" applyFont="1">
      <alignment vertical="bottom"/>
    </xf>
    <xf borderId="11" fillId="29" fontId="58" numFmtId="0" xfId="0" applyAlignment="1" applyBorder="1" applyFont="1">
      <alignment horizontal="center" vertical="bottom"/>
    </xf>
    <xf borderId="11" fillId="29" fontId="56" numFmtId="173" xfId="0" applyAlignment="1" applyBorder="1" applyFont="1" applyNumberFormat="1">
      <alignment horizontal="right" vertical="bottom"/>
    </xf>
    <xf borderId="11" fillId="29" fontId="58" numFmtId="165" xfId="0" applyAlignment="1" applyBorder="1" applyFont="1" applyNumberFormat="1">
      <alignment horizontal="right" vertical="bottom"/>
    </xf>
    <xf borderId="11" fillId="29" fontId="56" numFmtId="174" xfId="0" applyAlignment="1" applyBorder="1" applyFont="1" applyNumberFormat="1">
      <alignment horizontal="right" vertical="bottom"/>
    </xf>
    <xf borderId="11" fillId="20" fontId="20" numFmtId="0" xfId="0" applyAlignment="1" applyBorder="1" applyFont="1">
      <alignment horizontal="center" vertical="bottom"/>
    </xf>
    <xf borderId="11" fillId="20" fontId="59" numFmtId="0" xfId="0" applyAlignment="1" applyBorder="1" applyFont="1">
      <alignment horizontal="right" vertical="bottom"/>
    </xf>
    <xf borderId="11" fillId="20" fontId="58" numFmtId="0" xfId="0" applyAlignment="1" applyBorder="1" applyFont="1">
      <alignment horizontal="center" vertical="bottom"/>
    </xf>
    <xf borderId="11" fillId="20" fontId="59" numFmtId="4" xfId="0" applyAlignment="1" applyBorder="1" applyFont="1" applyNumberFormat="1">
      <alignment horizontal="right" vertical="bottom"/>
    </xf>
    <xf borderId="11" fillId="20" fontId="58" numFmtId="165" xfId="0" applyAlignment="1" applyBorder="1" applyFont="1" applyNumberFormat="1">
      <alignment horizontal="right" vertical="bottom"/>
    </xf>
    <xf borderId="11" fillId="20" fontId="59" numFmtId="174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58" numFmtId="0" xfId="0" applyAlignment="1" applyFont="1">
      <alignment horizontal="center" vertical="bottom"/>
    </xf>
    <xf borderId="0" fillId="0" fontId="56" numFmtId="173" xfId="0" applyAlignment="1" applyFont="1" applyNumberFormat="1">
      <alignment horizontal="right" vertical="bottom"/>
    </xf>
    <xf borderId="0" fillId="0" fontId="58" numFmtId="165" xfId="0" applyAlignment="1" applyFont="1" applyNumberFormat="1">
      <alignment horizontal="right" vertical="bottom"/>
    </xf>
    <xf borderId="0" fillId="0" fontId="56" numFmtId="174" xfId="0" applyAlignment="1" applyFont="1" applyNumberFormat="1">
      <alignment horizontal="right" vertical="bottom"/>
    </xf>
    <xf borderId="7" fillId="3" fontId="51" numFmtId="0" xfId="0" applyAlignment="1" applyBorder="1" applyFont="1">
      <alignment horizontal="center" vertical="center"/>
    </xf>
    <xf borderId="11" fillId="30" fontId="20" numFmtId="0" xfId="0" applyAlignment="1" applyBorder="1" applyFill="1" applyFont="1">
      <alignment horizontal="center" vertical="bottom"/>
    </xf>
    <xf borderId="11" fillId="30" fontId="21" numFmtId="0" xfId="0" applyAlignment="1" applyBorder="1" applyFont="1">
      <alignment vertical="bottom"/>
    </xf>
    <xf borderId="11" fillId="30" fontId="58" numFmtId="0" xfId="0" applyAlignment="1" applyBorder="1" applyFont="1">
      <alignment horizontal="center" vertical="bottom"/>
    </xf>
    <xf borderId="11" fillId="30" fontId="56" numFmtId="173" xfId="0" applyAlignment="1" applyBorder="1" applyFont="1" applyNumberFormat="1">
      <alignment horizontal="right" vertical="bottom"/>
    </xf>
    <xf borderId="11" fillId="30" fontId="58" numFmtId="165" xfId="0" applyAlignment="1" applyBorder="1" applyFont="1" applyNumberFormat="1">
      <alignment horizontal="right" vertical="bottom"/>
    </xf>
    <xf borderId="11" fillId="30" fontId="56" numFmtId="174" xfId="0" applyAlignment="1" applyBorder="1" applyFont="1" applyNumberFormat="1">
      <alignment horizontal="right" vertical="bottom"/>
    </xf>
    <xf borderId="11" fillId="0" fontId="58" numFmtId="0" xfId="0" applyAlignment="1" applyBorder="1" applyFont="1">
      <alignment horizontal="center" vertical="bottom"/>
    </xf>
    <xf borderId="11" fillId="0" fontId="56" numFmtId="173" xfId="0" applyAlignment="1" applyBorder="1" applyFont="1" applyNumberFormat="1">
      <alignment horizontal="right" vertical="bottom"/>
    </xf>
    <xf borderId="11" fillId="0" fontId="58" numFmtId="165" xfId="0" applyAlignment="1" applyBorder="1" applyFont="1" applyNumberFormat="1">
      <alignment horizontal="right" vertical="bottom"/>
    </xf>
    <xf borderId="11" fillId="0" fontId="56" numFmtId="174" xfId="0" applyAlignment="1" applyBorder="1" applyFont="1" applyNumberFormat="1">
      <alignment horizontal="right" vertical="bottom"/>
    </xf>
    <xf borderId="11" fillId="28" fontId="21" numFmtId="0" xfId="0" applyAlignment="1" applyBorder="1" applyFont="1">
      <alignment vertical="bottom"/>
    </xf>
    <xf borderId="11" fillId="28" fontId="56" numFmtId="171" xfId="0" applyAlignment="1" applyBorder="1" applyFont="1" applyNumberFormat="1">
      <alignment horizontal="right" vertical="bottom"/>
    </xf>
    <xf borderId="26" fillId="2" fontId="51" numFmtId="0" xfId="0" applyAlignment="1" applyBorder="1" applyFont="1">
      <alignment horizontal="right" vertical="bottom"/>
    </xf>
    <xf borderId="27" fillId="2" fontId="51" numFmtId="175" xfId="0" applyAlignment="1" applyBorder="1" applyFont="1" applyNumberFormat="1">
      <alignment horizontal="right" vertical="bottom"/>
    </xf>
    <xf borderId="27" fillId="2" fontId="1" numFmtId="0" xfId="0" applyAlignment="1" applyBorder="1" applyFont="1">
      <alignment vertical="bottom"/>
    </xf>
    <xf borderId="28" fillId="2" fontId="51" numFmtId="174" xfId="0" applyAlignment="1" applyBorder="1" applyFont="1" applyNumberFormat="1">
      <alignment horizontal="right" vertical="bottom"/>
    </xf>
    <xf borderId="11" fillId="31" fontId="20" numFmtId="0" xfId="0" applyAlignment="1" applyBorder="1" applyFill="1" applyFont="1">
      <alignment horizontal="center" vertical="bottom"/>
    </xf>
    <xf borderId="11" fillId="31" fontId="59" numFmtId="0" xfId="0" applyAlignment="1" applyBorder="1" applyFont="1">
      <alignment horizontal="right" vertical="bottom"/>
    </xf>
    <xf borderId="11" fillId="31" fontId="58" numFmtId="0" xfId="0" applyAlignment="1" applyBorder="1" applyFont="1">
      <alignment horizontal="center" vertical="bottom"/>
    </xf>
    <xf borderId="11" fillId="31" fontId="59" numFmtId="4" xfId="0" applyAlignment="1" applyBorder="1" applyFont="1" applyNumberFormat="1">
      <alignment horizontal="right" vertical="bottom"/>
    </xf>
    <xf borderId="11" fillId="31" fontId="58" numFmtId="165" xfId="0" applyAlignment="1" applyBorder="1" applyFont="1" applyNumberFormat="1">
      <alignment horizontal="right" vertical="bottom"/>
    </xf>
    <xf borderId="11" fillId="31" fontId="59" numFmtId="174" xfId="0" applyAlignment="1" applyBorder="1" applyFont="1" applyNumberFormat="1">
      <alignment horizontal="right" vertical="bottom"/>
    </xf>
    <xf borderId="0" fillId="0" fontId="60" numFmtId="0" xfId="0" applyAlignment="1" applyFont="1">
      <alignment vertical="bottom"/>
    </xf>
    <xf borderId="7" fillId="8" fontId="51" numFmtId="0" xfId="0" applyAlignment="1" applyBorder="1" applyFont="1">
      <alignment horizontal="center" vertical="center"/>
    </xf>
    <xf borderId="11" fillId="15" fontId="20" numFmtId="0" xfId="0" applyAlignment="1" applyBorder="1" applyFont="1">
      <alignment horizontal="center" vertical="bottom"/>
    </xf>
    <xf borderId="11" fillId="15" fontId="60" numFmtId="0" xfId="0" applyAlignment="1" applyBorder="1" applyFont="1">
      <alignment vertical="bottom"/>
    </xf>
    <xf borderId="11" fillId="15" fontId="58" numFmtId="0" xfId="0" applyAlignment="1" applyBorder="1" applyFont="1">
      <alignment horizontal="center" vertical="bottom"/>
    </xf>
    <xf borderId="11" fillId="15" fontId="56" numFmtId="173" xfId="0" applyAlignment="1" applyBorder="1" applyFont="1" applyNumberFormat="1">
      <alignment horizontal="right" vertical="bottom"/>
    </xf>
    <xf borderId="11" fillId="15" fontId="58" numFmtId="165" xfId="0" applyAlignment="1" applyBorder="1" applyFont="1" applyNumberFormat="1">
      <alignment horizontal="right" vertical="bottom"/>
    </xf>
    <xf borderId="11" fillId="15" fontId="56" numFmtId="174" xfId="0" applyAlignment="1" applyBorder="1" applyFont="1" applyNumberFormat="1">
      <alignment horizontal="right" vertical="bottom"/>
    </xf>
    <xf borderId="11" fillId="15" fontId="60" numFmtId="0" xfId="0" applyAlignment="1" applyBorder="1" applyFont="1">
      <alignment horizontal="right" vertical="bottom"/>
    </xf>
    <xf borderId="10" fillId="11" fontId="25" numFmtId="0" xfId="0" applyAlignment="1" applyBorder="1" applyFont="1">
      <alignment horizontal="left" shrinkToFit="0" vertical="top" wrapText="1"/>
    </xf>
    <xf borderId="11" fillId="32" fontId="1" numFmtId="0" xfId="0" applyAlignment="1" applyBorder="1" applyFill="1" applyFont="1">
      <alignment vertical="bottom"/>
    </xf>
    <xf borderId="11" fillId="32" fontId="59" numFmtId="0" xfId="0" applyAlignment="1" applyBorder="1" applyFont="1">
      <alignment horizontal="right" vertical="bottom"/>
    </xf>
    <xf borderId="11" fillId="32" fontId="59" numFmtId="4" xfId="0" applyAlignment="1" applyBorder="1" applyFont="1" applyNumberFormat="1">
      <alignment vertical="bottom"/>
    </xf>
    <xf borderId="11" fillId="32" fontId="59" numFmtId="174" xfId="0" applyAlignment="1" applyBorder="1" applyFont="1" applyNumberFormat="1">
      <alignment vertical="bottom"/>
    </xf>
    <xf borderId="29" fillId="0" fontId="1" numFmtId="0" xfId="0" applyAlignment="1" applyBorder="1" applyFont="1">
      <alignment vertical="bottom"/>
    </xf>
    <xf borderId="29" fillId="6" fontId="10" numFmtId="0" xfId="0" applyAlignment="1" applyBorder="1" applyFont="1">
      <alignment horizontal="right" vertical="bottom"/>
    </xf>
    <xf borderId="29" fillId="6" fontId="10" numFmtId="176" xfId="0" applyAlignment="1" applyBorder="1" applyFont="1" applyNumberFormat="1">
      <alignment vertical="bottom"/>
    </xf>
    <xf borderId="29" fillId="6" fontId="10" numFmtId="174" xfId="0" applyAlignment="1" applyBorder="1" applyFont="1" applyNumberFormat="1">
      <alignment vertical="bottom"/>
    </xf>
    <xf borderId="0" fillId="0" fontId="61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56" numFmtId="0" xfId="0" applyAlignment="1" applyFont="1">
      <alignment vertical="bottom"/>
    </xf>
    <xf borderId="24" fillId="0" fontId="21" numFmtId="165" xfId="0" applyAlignment="1" applyBorder="1" applyFont="1" applyNumberFormat="1">
      <alignment horizontal="right" vertical="center"/>
    </xf>
    <xf borderId="24" fillId="23" fontId="21" numFmtId="165" xfId="0" applyAlignment="1" applyBorder="1" applyFont="1" applyNumberFormat="1">
      <alignment horizontal="right" vertical="center"/>
    </xf>
    <xf borderId="1" fillId="2" fontId="53" numFmtId="0" xfId="0" applyAlignment="1" applyBorder="1" applyFont="1">
      <alignment horizontal="center" vertical="center"/>
    </xf>
    <xf borderId="11" fillId="0" fontId="1" numFmtId="177" xfId="0" applyAlignment="1" applyBorder="1" applyFont="1" applyNumberFormat="1">
      <alignment vertical="bottom"/>
    </xf>
    <xf borderId="11" fillId="0" fontId="1" numFmtId="165" xfId="0" applyAlignment="1" applyBorder="1" applyFont="1" applyNumberFormat="1">
      <alignment vertical="bottom"/>
    </xf>
    <xf borderId="11" fillId="0" fontId="1" numFmtId="178" xfId="0" applyAlignment="1" applyBorder="1" applyFont="1" applyNumberFormat="1">
      <alignment vertical="bottom"/>
    </xf>
    <xf borderId="10" fillId="15" fontId="21" numFmtId="177" xfId="0" applyAlignment="1" applyBorder="1" applyFont="1" applyNumberFormat="1">
      <alignment horizontal="center" readingOrder="0" vertical="bottom"/>
    </xf>
    <xf borderId="10" fillId="15" fontId="21" numFmtId="165" xfId="0" applyAlignment="1" applyBorder="1" applyFont="1" applyNumberFormat="1">
      <alignment horizontal="center" readingOrder="0" vertical="bottom"/>
    </xf>
    <xf borderId="10" fillId="15" fontId="21" numFmtId="178" xfId="0" applyAlignment="1" applyBorder="1" applyFont="1" applyNumberFormat="1">
      <alignment horizontal="center" vertical="bottom"/>
    </xf>
    <xf borderId="10" fillId="15" fontId="21" numFmtId="0" xfId="0" applyAlignment="1" applyBorder="1" applyFont="1">
      <alignment horizontal="center" readingOrder="0" vertical="bottom"/>
    </xf>
    <xf borderId="0" fillId="0" fontId="1" numFmtId="177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 vertical="bottom"/>
    </xf>
    <xf borderId="0" fillId="0" fontId="1" numFmtId="178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7" fillId="11" fontId="25" numFmtId="0" xfId="0" applyAlignment="1" applyBorder="1" applyFont="1">
      <alignment horizontal="center" shrinkToFit="0" vertical="center" wrapText="1"/>
    </xf>
    <xf borderId="11" fillId="0" fontId="62" numFmtId="165" xfId="0" applyAlignment="1" applyBorder="1" applyFont="1" applyNumberFormat="1">
      <alignment horizontal="right" vertical="bottom"/>
    </xf>
    <xf borderId="24" fillId="0" fontId="49" numFmtId="179" xfId="0" applyAlignment="1" applyBorder="1" applyFont="1" applyNumberFormat="1">
      <alignment horizontal="center" shrinkToFit="0" vertical="center" wrapText="1"/>
    </xf>
    <xf borderId="11" fillId="31" fontId="56" numFmtId="0" xfId="0" applyAlignment="1" applyBorder="1" applyFont="1">
      <alignment horizontal="center" vertical="bottom"/>
    </xf>
    <xf borderId="11" fillId="22" fontId="21" numFmtId="165" xfId="0" applyAlignment="1" applyBorder="1" applyFont="1" applyNumberFormat="1">
      <alignment horizontal="right" vertical="bottom"/>
    </xf>
    <xf borderId="11" fillId="0" fontId="58" numFmtId="178" xfId="0" applyAlignment="1" applyBorder="1" applyFont="1" applyNumberFormat="1">
      <alignment horizontal="right" vertical="bottom"/>
    </xf>
    <xf borderId="11" fillId="23" fontId="62" numFmtId="165" xfId="0" applyAlignment="1" applyBorder="1" applyFont="1" applyNumberFormat="1">
      <alignment horizontal="right" vertical="bottom"/>
    </xf>
    <xf borderId="24" fillId="23" fontId="49" numFmtId="179" xfId="0" applyAlignment="1" applyBorder="1" applyFont="1" applyNumberFormat="1">
      <alignment horizontal="center" shrinkToFit="0" vertical="center" wrapText="1"/>
    </xf>
    <xf borderId="24" fillId="15" fontId="48" numFmtId="0" xfId="0" applyAlignment="1" applyBorder="1" applyFont="1">
      <alignment horizontal="center" shrinkToFit="0" vertical="center" wrapText="1"/>
    </xf>
    <xf borderId="24" fillId="15" fontId="49" numFmtId="0" xfId="0" applyAlignment="1" applyBorder="1" applyFont="1">
      <alignment horizontal="left" shrinkToFit="0" vertical="center" wrapText="1"/>
    </xf>
    <xf borderId="11" fillId="15" fontId="62" numFmtId="165" xfId="0" applyAlignment="1" applyBorder="1" applyFont="1" applyNumberFormat="1">
      <alignment horizontal="right" vertical="bottom"/>
    </xf>
    <xf borderId="24" fillId="15" fontId="49" numFmtId="179" xfId="0" applyAlignment="1" applyBorder="1" applyFont="1" applyNumberFormat="1">
      <alignment horizontal="center" shrinkToFit="0" vertical="center" wrapText="1"/>
    </xf>
    <xf borderId="10" fillId="15" fontId="1" numFmtId="0" xfId="0" applyAlignment="1" applyBorder="1" applyFont="1">
      <alignment vertical="bottom"/>
    </xf>
    <xf borderId="0" fillId="0" fontId="63" numFmtId="0" xfId="0" applyAlignment="1" applyFont="1">
      <alignment vertical="bottom"/>
    </xf>
    <xf borderId="24" fillId="0" fontId="48" numFmtId="0" xfId="0" applyAlignment="1" applyBorder="1" applyFont="1">
      <alignment vertical="bottom"/>
    </xf>
    <xf borderId="0" fillId="0" fontId="64" numFmtId="0" xfId="0" applyAlignment="1" applyFont="1">
      <alignment vertical="bottom"/>
    </xf>
    <xf borderId="24" fillId="31" fontId="48" numFmtId="0" xfId="0" applyAlignment="1" applyBorder="1" applyFont="1">
      <alignment horizontal="center" shrinkToFit="0" vertical="center" wrapText="1"/>
    </xf>
    <xf borderId="24" fillId="31" fontId="49" numFmtId="0" xfId="0" applyAlignment="1" applyBorder="1" applyFont="1">
      <alignment horizontal="left" shrinkToFit="0" vertical="center" wrapText="1"/>
    </xf>
    <xf borderId="24" fillId="31" fontId="49" numFmtId="165" xfId="0" applyAlignment="1" applyBorder="1" applyFont="1" applyNumberFormat="1">
      <alignment horizontal="right" vertical="center"/>
    </xf>
    <xf borderId="24" fillId="31" fontId="49" numFmtId="10" xfId="0" applyAlignment="1" applyBorder="1" applyFont="1" applyNumberFormat="1">
      <alignment horizontal="right" vertical="center"/>
    </xf>
    <xf borderId="24" fillId="31" fontId="48" numFmtId="0" xfId="0" applyAlignment="1" applyBorder="1" applyFont="1">
      <alignment vertical="bottom"/>
    </xf>
    <xf borderId="10" fillId="31" fontId="1" numFmtId="0" xfId="0" applyAlignment="1" applyBorder="1" applyFont="1">
      <alignment vertical="bottom"/>
    </xf>
    <xf borderId="0" fillId="0" fontId="31" numFmtId="0" xfId="0" applyAlignment="1" applyFont="1">
      <alignment vertical="bottom"/>
    </xf>
    <xf borderId="0" fillId="0" fontId="25" numFmtId="0" xfId="0" applyAlignment="1" applyFont="1">
      <alignment vertical="bottom"/>
    </xf>
    <xf borderId="30" fillId="2" fontId="19" numFmtId="0" xfId="0" applyAlignment="1" applyBorder="1" applyFont="1">
      <alignment horizontal="center" shrinkToFit="0" vertical="center" wrapText="1"/>
    </xf>
    <xf borderId="30" fillId="0" fontId="56" numFmtId="0" xfId="0" applyAlignment="1" applyBorder="1" applyFont="1">
      <alignment vertical="bottom"/>
    </xf>
    <xf borderId="30" fillId="0" fontId="21" numFmtId="0" xfId="0" applyAlignment="1" applyBorder="1" applyFont="1">
      <alignment vertical="bottom"/>
    </xf>
    <xf borderId="30" fillId="0" fontId="21" numFmtId="165" xfId="0" applyAlignment="1" applyBorder="1" applyFont="1" applyNumberFormat="1">
      <alignment vertical="bottom"/>
    </xf>
    <xf borderId="30" fillId="0" fontId="56" numFmtId="165" xfId="0" applyAlignment="1" applyBorder="1" applyFont="1" applyNumberFormat="1">
      <alignment vertical="bottom"/>
    </xf>
    <xf borderId="30" fillId="0" fontId="24" numFmtId="165" xfId="0" applyAlignment="1" applyBorder="1" applyFont="1" applyNumberFormat="1">
      <alignment vertical="bottom"/>
    </xf>
    <xf borderId="30" fillId="0" fontId="21" numFmtId="0" xfId="0" applyAlignment="1" applyBorder="1" applyFont="1">
      <alignment horizontal="center" vertical="bottom"/>
    </xf>
    <xf borderId="30" fillId="0" fontId="64" numFmtId="0" xfId="0" applyAlignment="1" applyBorder="1" applyFont="1">
      <alignment vertical="bottom"/>
    </xf>
    <xf borderId="30" fillId="0" fontId="1" numFmtId="0" xfId="0" applyAlignment="1" applyBorder="1" applyFont="1">
      <alignment vertical="bottom"/>
    </xf>
    <xf borderId="30" fillId="33" fontId="65" numFmtId="0" xfId="0" applyAlignment="1" applyBorder="1" applyFill="1" applyFont="1">
      <alignment vertical="bottom"/>
    </xf>
    <xf borderId="30" fillId="33" fontId="66" numFmtId="0" xfId="0" applyAlignment="1" applyBorder="1" applyFont="1">
      <alignment vertical="bottom"/>
    </xf>
    <xf borderId="30" fillId="33" fontId="66" numFmtId="178" xfId="0" applyAlignment="1" applyBorder="1" applyFont="1" applyNumberFormat="1">
      <alignment vertical="bottom"/>
    </xf>
    <xf borderId="30" fillId="33" fontId="1" numFmtId="0" xfId="0" applyAlignment="1" applyBorder="1" applyFont="1">
      <alignment vertical="bottom"/>
    </xf>
    <xf borderId="30" fillId="33" fontId="64" numFmtId="0" xfId="0" applyAlignment="1" applyBorder="1" applyFont="1">
      <alignment vertical="bottom"/>
    </xf>
    <xf borderId="10" fillId="2" fontId="19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14">
    <dxf>
      <font>
        <b/>
        <sz val="10.0"/>
        <color rgb="FFB30410"/>
        <name val="Calibri"/>
      </font>
      <fill>
        <patternFill patternType="solid">
          <fgColor rgb="FFFFEEEE"/>
          <bgColor rgb="FFFFEEEE"/>
        </patternFill>
      </fill>
      <border/>
    </dxf>
    <dxf>
      <font>
        <b/>
        <sz val="11.0"/>
        <color rgb="FF2E7D32"/>
        <name val="Arial"/>
      </font>
      <fill>
        <patternFill patternType="solid">
          <fgColor rgb="FFE8F5E9"/>
          <bgColor rgb="FFE8F5E9"/>
        </patternFill>
      </fill>
      <border/>
    </dxf>
    <dxf>
      <font>
        <b/>
        <sz val="11.0"/>
        <color rgb="FFB00020"/>
        <name val="Arial"/>
      </font>
      <fill>
        <patternFill patternType="solid">
          <fgColor rgb="FFFBE5E8"/>
          <bgColor rgb="FFFBE5E8"/>
        </patternFill>
      </fill>
      <border/>
    </dxf>
    <dxf>
      <font>
        <b/>
        <sz val="11.0"/>
        <color rgb="FFB36F00"/>
        <name val="Arial"/>
      </font>
      <fill>
        <patternFill patternType="solid">
          <fgColor rgb="FFFFF3D6"/>
          <bgColor rgb="FFFFF3D6"/>
        </patternFill>
      </fill>
      <border/>
    </dxf>
    <dxf>
      <font>
        <b/>
        <sz val="11.0"/>
        <color rgb="FF9C0006"/>
        <name val="Arial"/>
      </font>
      <fill>
        <patternFill patternType="solid">
          <fgColor rgb="FFF8CBAD"/>
          <bgColor rgb="FFF8CBAD"/>
        </patternFill>
      </fill>
      <border/>
    </dxf>
    <dxf>
      <font>
        <b/>
        <sz val="11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1.0"/>
        <color rgb="FF9C57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11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10.0"/>
        <color rgb="FFED7D31"/>
        <name val="Arial"/>
      </font>
      <fill>
        <patternFill patternType="solid">
          <fgColor rgb="FFFFE4B5"/>
          <bgColor rgb="FFFFE4B5"/>
        </patternFill>
      </fill>
      <border/>
    </dxf>
    <dxf>
      <font>
        <i/>
        <sz val="9.0"/>
        <color rgb="FFCCCCCC"/>
        <name val="Arial"/>
      </font>
      <fill>
        <patternFill patternType="none"/>
      </fill>
      <border/>
    </dxf>
    <dxf>
      <font>
        <b/>
        <sz val="10.0"/>
        <color rgb="FFC00000"/>
        <name val="Arial"/>
      </font>
      <fill>
        <patternFill patternType="solid">
          <fgColor rgb="FFFFF2CC"/>
          <bgColor rgb="FFFFF2CC"/>
        </patternFill>
      </fill>
      <border/>
    </dxf>
    <dxf>
      <font>
        <b/>
        <sz val="10.0"/>
        <color rgb="FFC00000"/>
        <name val="Arial"/>
      </font>
      <fill>
        <patternFill patternType="solid">
          <fgColor rgb="FFFFEB9C"/>
          <bgColor rgb="FFFFEB9C"/>
        </patternFill>
      </fill>
      <border/>
    </dxf>
    <dxf>
      <font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0061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771650" cy="933450"/>
    <xdr:pic>
      <xdr:nvPicPr>
        <xdr:cNvPr descr="Pictur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771650" cy="933450"/>
    <xdr:pic>
      <xdr:nvPicPr>
        <xdr:cNvPr descr="Pictur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Юлия Колобова" id="{fd788cfb-407e-4a17-989c-a65fde3f3bf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03T10:15:09.00" personId="{fd788cfb-407e-4a17-989c-a65fde3f3bf2}" id="{51baec66-364c-4236-91d8-a4f5cf58b3d2}" done="0">
    <x18tc:text xml:space="preserve">нет в наличии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3" width="18.0"/>
    <col customWidth="1" min="4" max="8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5"/>
      <c r="C3" s="6"/>
      <c r="D3" s="6"/>
      <c r="E3" s="6"/>
      <c r="F3" s="6"/>
      <c r="G3" s="6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8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9" t="s">
        <v>2</v>
      </c>
      <c r="C6" s="10"/>
      <c r="D6" s="10"/>
      <c r="E6" s="10"/>
      <c r="F6" s="10"/>
      <c r="G6" s="10"/>
      <c r="H6" s="1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2" t="s">
        <v>3</v>
      </c>
      <c r="C7" s="13" t="s">
        <v>4</v>
      </c>
      <c r="D7" s="10"/>
      <c r="E7" s="10"/>
      <c r="F7" s="10"/>
      <c r="G7" s="10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2" t="s">
        <v>5</v>
      </c>
      <c r="C8" s="13" t="s">
        <v>6</v>
      </c>
      <c r="D8" s="10"/>
      <c r="E8" s="10"/>
      <c r="F8" s="10"/>
      <c r="G8" s="10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2" t="s">
        <v>7</v>
      </c>
      <c r="C9" s="13" t="s">
        <v>8</v>
      </c>
      <c r="D9" s="10"/>
      <c r="E9" s="10"/>
      <c r="F9" s="10"/>
      <c r="G9" s="10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14" t="s">
        <v>9</v>
      </c>
      <c r="C11" s="10"/>
      <c r="D11" s="10"/>
      <c r="E11" s="10"/>
      <c r="F11" s="10"/>
      <c r="G11" s="10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2" t="s">
        <v>10</v>
      </c>
      <c r="C12" s="13" t="s">
        <v>11</v>
      </c>
      <c r="D12" s="10"/>
      <c r="E12" s="10"/>
      <c r="F12" s="10"/>
      <c r="G12" s="10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2" t="s">
        <v>12</v>
      </c>
      <c r="C13" s="13" t="s">
        <v>13</v>
      </c>
      <c r="D13" s="10"/>
      <c r="E13" s="10"/>
      <c r="F13" s="10"/>
      <c r="G13" s="10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2" t="s">
        <v>14</v>
      </c>
      <c r="C14" s="13" t="s">
        <v>15</v>
      </c>
      <c r="D14" s="10"/>
      <c r="E14" s="10"/>
      <c r="F14" s="10"/>
      <c r="G14" s="10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2" t="s">
        <v>16</v>
      </c>
      <c r="C15" s="13" t="s">
        <v>17</v>
      </c>
      <c r="D15" s="10"/>
      <c r="E15" s="10"/>
      <c r="F15" s="10"/>
      <c r="G15" s="10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2" t="s">
        <v>18</v>
      </c>
      <c r="C16" s="13" t="s">
        <v>19</v>
      </c>
      <c r="D16" s="10"/>
      <c r="E16" s="10"/>
      <c r="F16" s="10"/>
      <c r="G16" s="10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15" t="s">
        <v>20</v>
      </c>
      <c r="C18" s="10"/>
      <c r="D18" s="10"/>
      <c r="E18" s="10"/>
      <c r="F18" s="10"/>
      <c r="G18" s="10"/>
      <c r="H18" s="1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2" t="s">
        <v>21</v>
      </c>
      <c r="C19" s="13" t="s">
        <v>22</v>
      </c>
      <c r="D19" s="10"/>
      <c r="E19" s="10"/>
      <c r="F19" s="10"/>
      <c r="G19" s="10"/>
      <c r="H19" s="1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16" t="s">
        <v>23</v>
      </c>
      <c r="C21" s="10"/>
      <c r="D21" s="10"/>
      <c r="E21" s="10"/>
      <c r="F21" s="10"/>
      <c r="G21" s="10"/>
      <c r="H21" s="1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2" t="s">
        <v>24</v>
      </c>
      <c r="C22" s="13" t="s">
        <v>25</v>
      </c>
      <c r="D22" s="10"/>
      <c r="E22" s="10"/>
      <c r="F22" s="10"/>
      <c r="G22" s="10"/>
      <c r="H22" s="1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2" t="s">
        <v>26</v>
      </c>
      <c r="C23" s="13" t="s">
        <v>27</v>
      </c>
      <c r="D23" s="10"/>
      <c r="E23" s="10"/>
      <c r="F23" s="10"/>
      <c r="G23" s="10"/>
      <c r="H23" s="1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2" t="s">
        <v>28</v>
      </c>
      <c r="C24" s="13" t="s">
        <v>29</v>
      </c>
      <c r="D24" s="10"/>
      <c r="E24" s="10"/>
      <c r="F24" s="10"/>
      <c r="G24" s="10"/>
      <c r="H24" s="1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17" t="s">
        <v>30</v>
      </c>
      <c r="C27" s="10"/>
      <c r="D27" s="10"/>
      <c r="E27" s="10"/>
      <c r="F27" s="10"/>
      <c r="G27" s="10"/>
      <c r="H27" s="1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8" t="s">
        <v>31</v>
      </c>
      <c r="C28" s="19" t="s">
        <v>32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6.0" customHeight="1">
      <c r="A29" s="1"/>
      <c r="B29" s="18" t="s">
        <v>33</v>
      </c>
      <c r="C29" s="19" t="s">
        <v>34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8" t="s">
        <v>35</v>
      </c>
      <c r="C30" s="19" t="s">
        <v>36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6.0" customHeight="1">
      <c r="A31" s="1"/>
      <c r="B31" s="18" t="s">
        <v>37</v>
      </c>
      <c r="C31" s="19" t="s">
        <v>38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6.0" customHeight="1">
      <c r="A32" s="1"/>
      <c r="B32" s="18" t="s">
        <v>39</v>
      </c>
      <c r="C32" s="19" t="s">
        <v>40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8" t="s">
        <v>41</v>
      </c>
      <c r="C33" s="19" t="s">
        <v>42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8" t="s">
        <v>43</v>
      </c>
      <c r="C34" s="19" t="s">
        <v>44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14" t="s">
        <v>45</v>
      </c>
      <c r="C37" s="10"/>
      <c r="D37" s="10"/>
      <c r="E37" s="10"/>
      <c r="F37" s="10"/>
      <c r="G37" s="10"/>
      <c r="H37" s="1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20" t="s">
        <v>46</v>
      </c>
      <c r="C38" s="19" t="s">
        <v>47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20" t="s">
        <v>46</v>
      </c>
      <c r="C39" s="19" t="s">
        <v>48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20" t="s">
        <v>46</v>
      </c>
      <c r="C40" s="19" t="s">
        <v>49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20" t="s">
        <v>46</v>
      </c>
      <c r="C41" s="19" t="s">
        <v>50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20" t="s">
        <v>46</v>
      </c>
      <c r="C42" s="19" t="s">
        <v>51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20" t="s">
        <v>46</v>
      </c>
      <c r="C43" s="19" t="s">
        <v>52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20" t="s">
        <v>46</v>
      </c>
      <c r="C44" s="19" t="s">
        <v>53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</row>
  </sheetData>
  <mergeCells count="34">
    <mergeCell ref="B2:H3"/>
    <mergeCell ref="B4:H4"/>
    <mergeCell ref="B6:H6"/>
    <mergeCell ref="C7:H7"/>
    <mergeCell ref="C8:H8"/>
    <mergeCell ref="C9:H9"/>
    <mergeCell ref="B11:H11"/>
    <mergeCell ref="C12:H12"/>
    <mergeCell ref="C13:H13"/>
    <mergeCell ref="C14:H14"/>
    <mergeCell ref="C15:H15"/>
    <mergeCell ref="C16:H16"/>
    <mergeCell ref="B18:H18"/>
    <mergeCell ref="C19:H19"/>
    <mergeCell ref="B21:H21"/>
    <mergeCell ref="C22:H22"/>
    <mergeCell ref="C23:H23"/>
    <mergeCell ref="C24:H24"/>
    <mergeCell ref="B27:H27"/>
    <mergeCell ref="C28:H28"/>
    <mergeCell ref="C29:H29"/>
    <mergeCell ref="C39:H39"/>
    <mergeCell ref="C40:H40"/>
    <mergeCell ref="C41:H41"/>
    <mergeCell ref="C42:H42"/>
    <mergeCell ref="C43:H43"/>
    <mergeCell ref="C44:H44"/>
    <mergeCell ref="C30:H30"/>
    <mergeCell ref="C31:H31"/>
    <mergeCell ref="C32:H32"/>
    <mergeCell ref="C33:H33"/>
    <mergeCell ref="C34:H34"/>
    <mergeCell ref="B37:H37"/>
    <mergeCell ref="C38:H38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0.0"/>
    <col customWidth="1" min="2" max="2" width="8.0"/>
    <col customWidth="1" min="3" max="6" width="8.71"/>
  </cols>
  <sheetData>
    <row r="1" ht="24.0" customHeight="1">
      <c r="A1" s="22" t="s">
        <v>54</v>
      </c>
      <c r="B1" s="2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3" t="s">
        <v>55</v>
      </c>
      <c r="B2" s="2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 t="s">
        <v>56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24" t="s">
        <v>57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25" t="s">
        <v>58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24" t="s">
        <v>59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25" t="s">
        <v>60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24" t="s">
        <v>61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25" t="s">
        <v>56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4" t="s">
        <v>62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25" t="s">
        <v>63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24" t="s">
        <v>64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2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24" t="s">
        <v>65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25" t="s">
        <v>66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24" t="s">
        <v>67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25" t="s">
        <v>68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2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25" t="s">
        <v>69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24" t="s">
        <v>70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25" t="s">
        <v>71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2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25" t="s">
        <v>72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24" t="s">
        <v>73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25" t="s">
        <v>74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2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25" t="s">
        <v>75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24" t="s">
        <v>76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25" t="s">
        <v>77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24" t="s">
        <v>78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25" t="s">
        <v>79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24" t="s">
        <v>80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25" t="s">
        <v>81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4" t="s">
        <v>82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2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24" t="s">
        <v>83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25" t="s">
        <v>84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24" t="s">
        <v>83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25" t="s">
        <v>85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24" t="s">
        <v>86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25" t="s">
        <v>87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24" t="s">
        <v>88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25" t="s">
        <v>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24" t="s">
        <v>90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25" t="s">
        <v>91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24" t="s">
        <v>92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25" t="s">
        <v>93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24" t="s">
        <v>90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25" t="s">
        <v>94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24" t="s">
        <v>95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25" t="s">
        <v>96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2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25" t="s">
        <v>97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24" t="s">
        <v>98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25" t="s">
        <v>99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24" t="s">
        <v>100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25" t="s">
        <v>101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24" t="s">
        <v>102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24" t="s">
        <v>103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25" t="s">
        <v>104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24" t="s">
        <v>105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24" t="s">
        <v>106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25" t="s">
        <v>107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24" t="s">
        <v>108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25" t="s">
        <v>109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24" t="s">
        <v>110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25" t="s">
        <v>101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2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25" t="s">
        <v>111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24" t="s">
        <v>112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25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24" t="s">
        <v>113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25" t="s">
        <v>114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24" t="s">
        <v>115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25" t="s">
        <v>116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2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25" t="s">
        <v>117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24" t="s">
        <v>108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25" t="s">
        <v>118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24" t="s">
        <v>119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5" t="s">
        <v>120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24" t="s">
        <v>121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25" t="s">
        <v>101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24" t="s">
        <v>102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25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24" t="s">
        <v>83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25" t="s">
        <v>122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24" t="s">
        <v>83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25" t="s">
        <v>54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24" t="s">
        <v>123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25" t="s">
        <v>124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24" t="s">
        <v>56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25" t="s">
        <v>125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24" t="s">
        <v>64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25" t="s">
        <v>126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24" t="s">
        <v>127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25" t="s">
        <v>97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24" t="s">
        <v>128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25" t="s">
        <v>129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24" t="s">
        <v>99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25" t="s">
        <v>130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24" t="s">
        <v>101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25" t="s">
        <v>131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24" t="s">
        <v>97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25" t="s">
        <v>132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24" t="s">
        <v>129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25" t="s">
        <v>99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24" t="s">
        <v>133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5" t="s">
        <v>101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24" t="s">
        <v>134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25" t="s">
        <v>97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24" t="s">
        <v>135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25" t="s">
        <v>129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24" t="s">
        <v>99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5" t="s">
        <v>136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24" t="s">
        <v>101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25" t="s">
        <v>137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24" t="s">
        <v>102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25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24" t="s">
        <v>138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5" t="s">
        <v>139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24" t="s">
        <v>140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25" t="s">
        <v>141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24" t="s">
        <v>142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25" t="s">
        <v>143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24" t="s">
        <v>144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25" t="s">
        <v>101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24" t="s">
        <v>145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25" t="s">
        <v>146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24" t="s">
        <v>147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25" t="s">
        <v>148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24" t="s">
        <v>149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25" t="s">
        <v>150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24" t="s">
        <v>151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25" t="s">
        <v>152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24" t="s">
        <v>153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25" t="s">
        <v>154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24" t="s">
        <v>101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25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24" t="s">
        <v>155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25" t="s">
        <v>156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24" t="s">
        <v>97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25" t="s">
        <v>157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24" t="s">
        <v>99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25" t="s">
        <v>158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24" t="s">
        <v>159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25" t="s">
        <v>101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2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25" t="s">
        <v>160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24" t="s">
        <v>161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25" t="s">
        <v>162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24" t="s">
        <v>163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25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24" t="s">
        <v>164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25" t="s">
        <v>165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24" t="s">
        <v>166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25" t="s">
        <v>167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24" t="s">
        <v>168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25" t="s">
        <v>102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2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25" t="s">
        <v>169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24" t="s">
        <v>170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25" t="s">
        <v>171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24" t="s">
        <v>172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25" t="s">
        <v>173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24" t="s">
        <v>174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25" t="s">
        <v>175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24" t="s">
        <v>176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25" t="s">
        <v>177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24" t="s">
        <v>178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25" t="s">
        <v>179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24" t="s">
        <v>180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25" t="s">
        <v>181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24" t="s">
        <v>182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25" t="s">
        <v>183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24" t="s">
        <v>184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25" t="s">
        <v>185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24" t="s">
        <v>102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25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24" t="s">
        <v>186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25" t="s">
        <v>187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24" t="s">
        <v>188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25" t="s">
        <v>189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24" t="s">
        <v>190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25" t="s">
        <v>143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24" t="s">
        <v>191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25" t="s">
        <v>192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24" t="s">
        <v>193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25" t="s">
        <v>194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24" t="s">
        <v>195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25" t="s">
        <v>101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24" t="s">
        <v>196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25" t="s">
        <v>197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24" t="s">
        <v>198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25" t="s">
        <v>199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24" t="s">
        <v>200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25" t="s">
        <v>201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24" t="s">
        <v>202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25" t="s">
        <v>203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24" t="s">
        <v>149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25" t="s">
        <v>102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2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25" t="s">
        <v>83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24" t="s">
        <v>204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25" t="s">
        <v>83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24" t="s">
        <v>205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25" t="s">
        <v>206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24" t="s">
        <v>207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25" t="s">
        <v>208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0" customHeight="1">
      <c r="A212" s="2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25" t="s">
        <v>209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24" t="s">
        <v>106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25" t="s">
        <v>210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24" t="s">
        <v>211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25" t="s">
        <v>212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24" t="s">
        <v>213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25" t="s">
        <v>214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24" t="s">
        <v>215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0" customHeight="1">
      <c r="A221" s="25" t="s">
        <v>216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0" customHeight="1">
      <c r="A222" s="24" t="s">
        <v>217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0" customHeight="1">
      <c r="A223" s="25" t="s">
        <v>218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24" t="s">
        <v>121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0" customHeight="1">
      <c r="A225" s="25" t="s">
        <v>101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24" t="s">
        <v>219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0" customHeight="1">
      <c r="A227" s="25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0" customHeight="1">
      <c r="A228" s="24" t="s">
        <v>220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0" customHeight="1">
      <c r="A229" s="25" t="s">
        <v>221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0" customHeight="1">
      <c r="A230" s="24" t="s">
        <v>222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0" customHeight="1">
      <c r="A231" s="25" t="s">
        <v>223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0" customHeight="1">
      <c r="A232" s="24" t="s">
        <v>224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0" customHeight="1">
      <c r="A233" s="25" t="s">
        <v>225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0" customHeight="1">
      <c r="A234" s="24" t="s">
        <v>226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0" customHeight="1">
      <c r="A235" s="25" t="s">
        <v>227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0" customHeight="1">
      <c r="A236" s="24" t="s">
        <v>228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0" customHeight="1">
      <c r="A237" s="25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0" customHeight="1">
      <c r="A238" s="24" t="s">
        <v>229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0" customHeight="1">
      <c r="A239" s="25" t="s">
        <v>230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0" customHeight="1">
      <c r="A240" s="2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0" customHeight="1">
      <c r="A241" s="25" t="s">
        <v>231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0" customHeight="1">
      <c r="A242" s="24" t="s">
        <v>102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0" customHeight="1">
      <c r="A243" s="25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0" customHeight="1">
      <c r="A244" s="24" t="s">
        <v>232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0" customHeight="1">
      <c r="A245" s="25" t="s">
        <v>104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0" customHeight="1">
      <c r="A246" s="24" t="s">
        <v>105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0" customHeight="1">
      <c r="A247" s="25" t="s">
        <v>106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0" customHeight="1">
      <c r="A248" s="24" t="s">
        <v>233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0" customHeight="1">
      <c r="A249" s="25" t="s">
        <v>234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0" customHeight="1">
      <c r="A250" s="24" t="s">
        <v>102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0" customHeight="1">
      <c r="A251" s="25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0" customHeight="1">
      <c r="A252" s="24" t="s">
        <v>83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0" customHeight="1">
      <c r="A253" s="25" t="s">
        <v>235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0" customHeight="1">
      <c r="A254" s="24" t="s">
        <v>83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0" customHeight="1">
      <c r="A255" s="25" t="s">
        <v>236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0" customHeight="1">
      <c r="A256" s="24" t="s">
        <v>86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0" customHeight="1">
      <c r="A257" s="25" t="s">
        <v>97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0" customHeight="1">
      <c r="A258" s="24" t="s">
        <v>108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0" customHeight="1">
      <c r="A259" s="25" t="s">
        <v>237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0" customHeight="1">
      <c r="A260" s="24" t="s">
        <v>238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0" customHeight="1">
      <c r="A261" s="25" t="s">
        <v>239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0" customHeight="1">
      <c r="A262" s="24" t="s">
        <v>240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0" customHeight="1">
      <c r="A263" s="25" t="s">
        <v>241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0" customHeight="1">
      <c r="A264" s="24" t="s">
        <v>242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0" customHeight="1">
      <c r="A265" s="25" t="s">
        <v>243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0" customHeight="1">
      <c r="A266" s="24" t="s">
        <v>244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0" customHeight="1">
      <c r="A267" s="25" t="s">
        <v>245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0" customHeight="1">
      <c r="A268" s="24" t="s">
        <v>121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0" customHeight="1">
      <c r="A269" s="25" t="s">
        <v>246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0" customHeight="1">
      <c r="A270" s="24" t="s">
        <v>247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0" customHeight="1">
      <c r="A271" s="25" t="s">
        <v>248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0" customHeight="1">
      <c r="A272" s="24" t="s">
        <v>249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0" customHeight="1">
      <c r="A273" s="25" t="s">
        <v>250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0" customHeight="1">
      <c r="A274" s="24" t="s">
        <v>251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0" customHeight="1">
      <c r="A275" s="25" t="s">
        <v>252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0" customHeight="1">
      <c r="A276" s="24" t="s">
        <v>253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0" customHeight="1">
      <c r="A277" s="25" t="s">
        <v>99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0" customHeight="1">
      <c r="A278" s="24" t="s">
        <v>254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0" customHeight="1">
      <c r="A279" s="25" t="s">
        <v>101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0" customHeight="1">
      <c r="A280" s="24" t="s">
        <v>102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0" customHeight="1">
      <c r="A281" s="25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0" customHeight="1">
      <c r="A282" s="24" t="s">
        <v>255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0" customHeight="1">
      <c r="A283" s="25" t="s">
        <v>86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0" customHeight="1">
      <c r="A284" s="24" t="s">
        <v>256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0" customHeight="1">
      <c r="A285" s="25" t="s">
        <v>257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0" customHeight="1">
      <c r="A286" s="24" t="s">
        <v>258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0" customHeight="1">
      <c r="A287" s="25" t="s">
        <v>259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0" customHeight="1">
      <c r="A288" s="24" t="s">
        <v>260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0" customHeight="1">
      <c r="A289" s="25" t="s">
        <v>261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0" customHeight="1">
      <c r="A290" s="24" t="s">
        <v>262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0" customHeight="1">
      <c r="A291" s="25" t="s">
        <v>263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0" customHeight="1">
      <c r="A292" s="2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0" customHeight="1">
      <c r="A293" s="25" t="s">
        <v>264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0" customHeight="1">
      <c r="A294" s="24" t="s">
        <v>265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0" customHeight="1">
      <c r="A295" s="25" t="s">
        <v>266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0" customHeight="1">
      <c r="A296" s="24" t="s">
        <v>267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0" customHeight="1">
      <c r="A297" s="25" t="s">
        <v>149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0" customHeight="1">
      <c r="A298" s="2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0" customHeight="1">
      <c r="A299" s="25" t="s">
        <v>268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0" customHeight="1">
      <c r="A300" s="24" t="s">
        <v>269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0" customHeight="1">
      <c r="A301" s="25" t="s">
        <v>270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0" customHeight="1">
      <c r="A302" s="24" t="s">
        <v>271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0" customHeight="1">
      <c r="A303" s="25" t="s">
        <v>110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0" customHeight="1">
      <c r="A304" s="24" t="s">
        <v>101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0" customHeight="1">
      <c r="A305" s="25" t="s">
        <v>272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0" customHeight="1">
      <c r="A306" s="24" t="s">
        <v>273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0" customHeight="1">
      <c r="A307" s="25" t="s">
        <v>110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0" customHeight="1">
      <c r="A308" s="24" t="s">
        <v>101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0" customHeight="1">
      <c r="A309" s="25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0" customHeight="1">
      <c r="A310" s="24" t="s">
        <v>274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0" customHeight="1">
      <c r="A311" s="25" t="s">
        <v>275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0" customHeight="1">
      <c r="A312" s="24" t="s">
        <v>276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0" customHeight="1">
      <c r="A313" s="25" t="s">
        <v>277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0" customHeight="1">
      <c r="A314" s="24" t="s">
        <v>278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0" customHeight="1">
      <c r="A315" s="25" t="s">
        <v>279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0" customHeight="1">
      <c r="A316" s="24" t="s">
        <v>280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0" customHeight="1">
      <c r="A317" s="25" t="s">
        <v>101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0" customHeight="1">
      <c r="A318" s="24" t="s">
        <v>281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0" customHeight="1">
      <c r="A319" s="25" t="s">
        <v>282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4" t="s">
        <v>283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5" t="s">
        <v>284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4" t="s">
        <v>102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5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4" t="s">
        <v>83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5" t="s">
        <v>285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4" t="s">
        <v>83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5" t="s">
        <v>286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4" t="s">
        <v>86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5" t="s">
        <v>287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5" t="s">
        <v>288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4" t="s">
        <v>97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289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290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291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292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293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294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295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296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297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121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99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298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101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299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97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289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300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291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292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301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294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295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296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302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121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99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303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101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304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97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289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305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291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292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306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294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295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296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307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121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99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308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101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309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284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102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83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310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83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311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312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313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314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315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316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317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318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319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320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101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102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321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322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323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324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325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326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327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328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329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330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331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332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218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333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334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121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101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102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335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206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336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105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337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338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339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340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102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341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206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342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105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343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344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345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340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102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346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206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347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105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348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349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350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340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102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351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86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352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353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354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355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356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357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358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359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360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284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102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48.0"/>
    <col customWidth="1" min="4" max="4" width="14.0"/>
    <col customWidth="1" min="5" max="5" width="22.0"/>
    <col customWidth="1" min="6" max="6" width="18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26" t="s">
        <v>361</v>
      </c>
      <c r="C2" s="10"/>
      <c r="D2" s="10"/>
      <c r="E2" s="10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7" t="s">
        <v>362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28" t="s">
        <v>363</v>
      </c>
      <c r="C5" s="10"/>
      <c r="D5" s="10"/>
      <c r="E5" s="10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29" t="s">
        <v>364</v>
      </c>
      <c r="C6" s="30" t="str">
        <f>SUMPRODUCT(('Сырьё'!$C$6:$C$233&lt;&gt;"")*(IFERROR('Сырьё'!$K$6:$K$231,0)=0))</f>
        <v>#N/A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9" t="s">
        <v>365</v>
      </c>
      <c r="C7" s="30">
        <f>COUNTIF(D17:D200,"&gt;1.005")</f>
        <v>58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9" t="s">
        <v>366</v>
      </c>
      <c r="C8" s="31">
        <f>COUNTIFS(D17:D200,"&gt;0",D17:D200,"&lt;0.99")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29" t="s">
        <v>367</v>
      </c>
      <c r="C9" s="32">
        <v>56.0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33" t="s">
        <v>368</v>
      </c>
      <c r="C12" s="10"/>
      <c r="D12" s="10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34" t="s">
        <v>369</v>
      </c>
      <c r="C14" s="34" t="s">
        <v>370</v>
      </c>
      <c r="D14" s="34" t="s">
        <v>371</v>
      </c>
      <c r="E14" s="34" t="s">
        <v>372</v>
      </c>
      <c r="F14" s="34" t="s">
        <v>373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35">
        <v>1.0</v>
      </c>
      <c r="C15" s="36" t="str">
        <f>'Сырьё'!C6</f>
        <v>ASTRA11305</v>
      </c>
      <c r="D15" s="37" t="str">
        <f>'Сырьё'!I6</f>
        <v/>
      </c>
      <c r="E15" s="36" t="str">
        <f>'Сырьё'!G6</f>
        <v/>
      </c>
      <c r="F15" s="36" t="str">
        <f>'Сырьё'!H6</f>
        <v/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35">
        <v>2.0</v>
      </c>
      <c r="C16" s="36" t="str">
        <f>'Сырьё'!C7</f>
        <v>ASTRA11306</v>
      </c>
      <c r="D16" s="37" t="str">
        <f>'Сырьё'!I7</f>
        <v/>
      </c>
      <c r="E16" s="36" t="str">
        <f>'Сырьё'!G7</f>
        <v/>
      </c>
      <c r="F16" s="36" t="str">
        <f>'Сырьё'!H7</f>
        <v/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35">
        <v>3.0</v>
      </c>
      <c r="C17" s="36" t="str">
        <f>'Сырьё'!C8</f>
        <v>BLACK (PBl 7)</v>
      </c>
      <c r="D17" s="37" t="str">
        <f>'Сырьё'!I8</f>
        <v/>
      </c>
      <c r="E17" s="36" t="str">
        <f>'Сырьё'!G8</f>
        <v/>
      </c>
      <c r="F17" s="36" t="str">
        <f>'Сырьё'!H8</f>
        <v/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35">
        <v>4.0</v>
      </c>
      <c r="C18" s="36" t="str">
        <f>'Сырьё'!C22</f>
        <v>Extender TRIPOL 16</v>
      </c>
      <c r="D18" s="37" t="str">
        <f>'Сырьё'!I22</f>
        <v>⚗️ полупр.</v>
      </c>
      <c r="E18" s="36" t="str">
        <f>'Сырьё'!G22</f>
        <v/>
      </c>
      <c r="F18" s="36" t="str">
        <f>'Сырьё'!H22</f>
        <v/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35">
        <v>5.0</v>
      </c>
      <c r="C19" s="36" t="str">
        <f>'Сырьё'!C34</f>
        <v>LuWax AF31</v>
      </c>
      <c r="D19" s="37" t="str">
        <f>'Сырьё'!I34</f>
        <v/>
      </c>
      <c r="E19" s="36" t="str">
        <f>'Сырьё'!G34</f>
        <v/>
      </c>
      <c r="F19" s="36" t="str">
        <f>'Сырьё'!H34</f>
        <v/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35">
        <v>6.0</v>
      </c>
      <c r="C20" s="36" t="str">
        <f>'Сырьё'!C35</f>
        <v>MAGENTA (PR 57:1) SURF</v>
      </c>
      <c r="D20" s="37" t="str">
        <f>'Сырьё'!I35</f>
        <v/>
      </c>
      <c r="E20" s="36" t="str">
        <f>'Сырьё'!G35</f>
        <v/>
      </c>
      <c r="F20" s="36" t="str">
        <f>'Сырьё'!H35</f>
        <v/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35">
        <v>7.0</v>
      </c>
      <c r="C21" s="36" t="str">
        <f>'Сырьё'!C38</f>
        <v>Neocrylic Resin B 819</v>
      </c>
      <c r="D21" s="37" t="str">
        <f>'Сырьё'!I38</f>
        <v/>
      </c>
      <c r="E21" s="36" t="str">
        <f>'Сырьё'!G38</f>
        <v/>
      </c>
      <c r="F21" s="36" t="str">
        <f>'Сырьё'!H38</f>
        <v/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35">
        <v>8.0</v>
      </c>
      <c r="C22" s="36" t="str">
        <f>'Сырьё'!C39</f>
        <v>Neocrylic Resin BM 619</v>
      </c>
      <c r="D22" s="37" t="str">
        <f>'Сырьё'!I39</f>
        <v/>
      </c>
      <c r="E22" s="36" t="str">
        <f>'Сырьё'!G39</f>
        <v/>
      </c>
      <c r="F22" s="36" t="str">
        <f>'Сырьё'!H39</f>
        <v/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35">
        <v>9.0</v>
      </c>
      <c r="C23" s="36" t="str">
        <f>'Сырьё'!C40</f>
        <v>Neorez u 476</v>
      </c>
      <c r="D23" s="37" t="str">
        <f>'Сырьё'!I40</f>
        <v/>
      </c>
      <c r="E23" s="36" t="str">
        <f>'Сырьё'!G40</f>
        <v/>
      </c>
      <c r="F23" s="36" t="str">
        <f>'Сырьё'!H40</f>
        <v/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35">
        <v>10.0</v>
      </c>
      <c r="C24" s="36" t="str">
        <f>'Сырьё'!C44</f>
        <v>Nitrocellulose L1\8 SEC(IPA)</v>
      </c>
      <c r="D24" s="37" t="str">
        <f>'Сырьё'!I44</f>
        <v/>
      </c>
      <c r="E24" s="36" t="str">
        <f>'Сырьё'!G44</f>
        <v/>
      </c>
      <c r="F24" s="36" t="str">
        <f>'Сырьё'!H44</f>
        <v/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35">
        <v>11.0</v>
      </c>
      <c r="C25" s="36" t="str">
        <f>'Сырьё'!C57</f>
        <v>Pigment Red (PR 122) СИНТЕЗ ЦВЕТА</v>
      </c>
      <c r="D25" s="37" t="str">
        <f>'Сырьё'!I57</f>
        <v/>
      </c>
      <c r="E25" s="36" t="str">
        <f>'Сырьё'!G57</f>
        <v/>
      </c>
      <c r="F25" s="36" t="str">
        <f>'Сырьё'!H57</f>
        <v/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35">
        <v>12.0</v>
      </c>
      <c r="C26" s="36" t="str">
        <f>'Сырьё'!C58</f>
        <v>Pigment RED (PR 254) ХС</v>
      </c>
      <c r="D26" s="37" t="str">
        <f>'Сырьё'!I58</f>
        <v/>
      </c>
      <c r="E26" s="36" t="str">
        <f>'Сырьё'!G58</f>
        <v/>
      </c>
      <c r="F26" s="36" t="str">
        <f>'Сырьё'!H58</f>
        <v/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35">
        <v>13.0</v>
      </c>
      <c r="C27" s="36" t="str">
        <f>'Сырьё'!C64</f>
        <v>Pigment Yellow (PY 74)(синтез цвета)</v>
      </c>
      <c r="D27" s="37" t="str">
        <f>'Сырьё'!I64</f>
        <v/>
      </c>
      <c r="E27" s="36" t="str">
        <f>'Сырьё'!G64</f>
        <v/>
      </c>
      <c r="F27" s="36" t="str">
        <f>'Сырьё'!H64</f>
        <v/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35">
        <v>14.0</v>
      </c>
      <c r="C28" s="36" t="str">
        <f>'Сырьё'!C65</f>
        <v>Pigment Yellow (PY 83)радиант</v>
      </c>
      <c r="D28" s="37" t="str">
        <f>'Сырьё'!I65</f>
        <v/>
      </c>
      <c r="E28" s="36" t="str">
        <f>'Сырьё'!G65</f>
        <v/>
      </c>
      <c r="F28" s="36" t="str">
        <f>'Сырьё'!H65</f>
        <v/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35">
        <v>15.0</v>
      </c>
      <c r="C29" s="36" t="str">
        <f>'Сырьё'!C71</f>
        <v>Pigment Yellow PY 13 ЕТС</v>
      </c>
      <c r="D29" s="37" t="str">
        <f>'Сырьё'!I71</f>
        <v/>
      </c>
      <c r="E29" s="36" t="str">
        <f>'Сырьё'!G71</f>
        <v/>
      </c>
      <c r="F29" s="36" t="str">
        <f>'Сырьё'!H71</f>
        <v/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35">
        <v>16.0</v>
      </c>
      <c r="C30" s="36" t="str">
        <f>'Сырьё'!C78</f>
        <v>Technical extender AL_RESIST</v>
      </c>
      <c r="D30" s="37" t="str">
        <f>'Сырьё'!I78</f>
        <v>⚗️ полупр.</v>
      </c>
      <c r="E30" s="36" t="str">
        <f>'Сырьё'!G78</f>
        <v/>
      </c>
      <c r="F30" s="36" t="str">
        <f>'Сырьё'!H78</f>
        <v/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35">
        <v>17.0</v>
      </c>
      <c r="C31" s="36" t="str">
        <f>'Сырьё'!C82</f>
        <v>Technical Extender SURF ROTO</v>
      </c>
      <c r="D31" s="37" t="str">
        <f>'Сырьё'!I82</f>
        <v>⚗️ полупр.</v>
      </c>
      <c r="E31" s="36" t="str">
        <f>'Сырьё'!G82</f>
        <v/>
      </c>
      <c r="F31" s="36" t="str">
        <f>'Сырьё'!H82</f>
        <v/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35">
        <v>18.0</v>
      </c>
      <c r="C32" s="36" t="str">
        <f>'Сырьё'!C86</f>
        <v>TRIPOL 16</v>
      </c>
      <c r="D32" s="37" t="str">
        <f>'Сырьё'!I86</f>
        <v/>
      </c>
      <c r="E32" s="36" t="str">
        <f>'Сырьё'!G86</f>
        <v/>
      </c>
      <c r="F32" s="36" t="str">
        <f>'Сырьё'!H86</f>
        <v/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5">
        <v>19.0</v>
      </c>
      <c r="C33" s="36" t="str">
        <f>'Сырьё'!C91</f>
        <v>w 106r (для прямой печати )</v>
      </c>
      <c r="D33" s="37" t="str">
        <f>'Сырьё'!I91</f>
        <v/>
      </c>
      <c r="E33" s="36" t="str">
        <f>'Сырьё'!G91</f>
        <v/>
      </c>
      <c r="F33" s="36" t="str">
        <f>'Сырьё'!H91</f>
        <v/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35">
        <v>20.0</v>
      </c>
      <c r="C34" s="36" t="str">
        <f>'Сырьё'!C93</f>
        <v>YELLOW (PY 13)</v>
      </c>
      <c r="D34" s="37" t="str">
        <f>'Сырьё'!I93</f>
        <v/>
      </c>
      <c r="E34" s="36" t="str">
        <f>'Сырьё'!G93</f>
        <v/>
      </c>
      <c r="F34" s="36" t="str">
        <f>'Сырьё'!H93</f>
        <v/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35">
        <v>21.0</v>
      </c>
      <c r="C35" s="36" t="str">
        <f>'Сырьё'!C94</f>
        <v>YL-904</v>
      </c>
      <c r="D35" s="37" t="str">
        <f>'Сырьё'!I94</f>
        <v/>
      </c>
      <c r="E35" s="36" t="str">
        <f>'Сырьё'!G94</f>
        <v/>
      </c>
      <c r="F35" s="36" t="str">
        <f>'Сырьё'!H94</f>
        <v/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35">
        <v>22.0</v>
      </c>
      <c r="C36" s="36" t="str">
        <f>'Сырьё'!C121</f>
        <v>Краска NSF/LAM ROTAGRAV</v>
      </c>
      <c r="D36" s="37" t="str">
        <f>'Сырьё'!I121</f>
        <v/>
      </c>
      <c r="E36" s="36" t="str">
        <f>'Сырьё'!G121</f>
        <v/>
      </c>
      <c r="F36" s="36" t="str">
        <f>'Сырьё'!H121</f>
        <v/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35">
        <v>23.0</v>
      </c>
      <c r="C37" s="36" t="str">
        <f>'Сырьё'!C141</f>
        <v>Краска NSF/White (PW 6) PV ver1</v>
      </c>
      <c r="D37" s="37" t="str">
        <f>'Сырьё'!I141</f>
        <v/>
      </c>
      <c r="E37" s="36" t="str">
        <f>'Сырьё'!G141</f>
        <v/>
      </c>
      <c r="F37" s="36" t="str">
        <f>'Сырьё'!H141</f>
        <v/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35">
        <v>24.0</v>
      </c>
      <c r="C38" s="36" t="str">
        <f>'Сырьё'!C142</f>
        <v>Краска NSF/White (PW 6) PV ver2</v>
      </c>
      <c r="D38" s="37" t="str">
        <f>'Сырьё'!I142</f>
        <v/>
      </c>
      <c r="E38" s="36" t="str">
        <f>'Сырьё'!G142</f>
        <v/>
      </c>
      <c r="F38" s="36" t="str">
        <f>'Сырьё'!H142</f>
        <v/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35">
        <v>25.0</v>
      </c>
      <c r="C39" s="36" t="str">
        <f>'Сырьё'!C156</f>
        <v>ЛАК НЦ -0711</v>
      </c>
      <c r="D39" s="37" t="str">
        <f>'Сырьё'!I156</f>
        <v>⚗️ полупр.</v>
      </c>
      <c r="E39" s="36" t="str">
        <f>'Сырьё'!G156</f>
        <v/>
      </c>
      <c r="F39" s="36" t="str">
        <f>'Сырьё'!H156</f>
        <v/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35">
        <v>26.0</v>
      </c>
      <c r="C40" s="36" t="str">
        <f>'Сырьё'!C157</f>
        <v>ЛАК НЦ 35 ROTO</v>
      </c>
      <c r="D40" s="37" t="str">
        <f>'Сырьё'!I157</f>
        <v>⚗️ полупр.</v>
      </c>
      <c r="E40" s="36" t="str">
        <f>'Сырьё'!G157</f>
        <v/>
      </c>
      <c r="F40" s="36" t="str">
        <f>'Сырьё'!H157</f>
        <v/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35">
        <v>27.0</v>
      </c>
      <c r="C41" s="36" t="str">
        <f>'Сырьё'!C160</f>
        <v>Лак покрывной</v>
      </c>
      <c r="D41" s="37" t="str">
        <f>'Сырьё'!I160</f>
        <v>⚗️ полупр.</v>
      </c>
      <c r="E41" s="36" t="str">
        <f>'Сырьё'!G160</f>
        <v/>
      </c>
      <c r="F41" s="36" t="str">
        <f>'Сырьё'!H160</f>
        <v/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35">
        <v>28.0</v>
      </c>
      <c r="C42" s="36" t="str">
        <f>'Сырьё'!C161</f>
        <v>Лак покрывной(холодный клей)</v>
      </c>
      <c r="D42" s="37" t="str">
        <f>'Сырьё'!I161</f>
        <v>⚗️ полупр.</v>
      </c>
      <c r="E42" s="36" t="str">
        <f>'Сырьё'!G161</f>
        <v/>
      </c>
      <c r="F42" s="36" t="str">
        <f>'Сырьё'!H161</f>
        <v/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35">
        <v>29.0</v>
      </c>
      <c r="C43" s="36" t="str">
        <f>'Сырьё'!C205</f>
        <v>Пирогенный диоксид кремния HL-200</v>
      </c>
      <c r="D43" s="37" t="str">
        <f>'Сырьё'!I205</f>
        <v/>
      </c>
      <c r="E43" s="36" t="str">
        <f>'Сырьё'!G205</f>
        <v/>
      </c>
      <c r="F43" s="36" t="str">
        <f>'Сырьё'!H205</f>
        <v/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35">
        <v>30.0</v>
      </c>
      <c r="C44" s="36" t="str">
        <f>'Сырьё'!C206</f>
        <v>покрывной лак</v>
      </c>
      <c r="D44" s="37" t="str">
        <f>'Сырьё'!I206</f>
        <v>⚗️ полупр.</v>
      </c>
      <c r="E44" s="36" t="str">
        <f>'Сырьё'!G206</f>
        <v/>
      </c>
      <c r="F44" s="36" t="str">
        <f>'Сырьё'!H206</f>
        <v/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35">
        <v>31.0</v>
      </c>
      <c r="C45" s="36" t="str">
        <f>'Сырьё'!C207</f>
        <v>покрывной лак (OVERPRINT VARNISH )</v>
      </c>
      <c r="D45" s="37" t="str">
        <f>'Сырьё'!I207</f>
        <v>⚗️ полупр.</v>
      </c>
      <c r="E45" s="36" t="str">
        <f>'Сырьё'!G207</f>
        <v/>
      </c>
      <c r="F45" s="36" t="str">
        <f>'Сырьё'!H207</f>
        <v/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35">
        <v>32.0</v>
      </c>
      <c r="C46" s="36" t="str">
        <f>'Сырьё'!C208</f>
        <v>Полиуретан DROPACK 5260</v>
      </c>
      <c r="D46" s="37" t="str">
        <f>'Сырьё'!I208</f>
        <v/>
      </c>
      <c r="E46" s="36" t="str">
        <f>'Сырьё'!G208</f>
        <v/>
      </c>
      <c r="F46" s="36" t="str">
        <f>'Сырьё'!H208</f>
        <v/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38" t="s">
        <v>374</v>
      </c>
      <c r="C48" s="10"/>
      <c r="D48" s="10"/>
      <c r="E48" s="10"/>
      <c r="F48" s="1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34" t="s">
        <v>369</v>
      </c>
      <c r="C50" s="34" t="s">
        <v>375</v>
      </c>
      <c r="D50" s="34" t="s">
        <v>376</v>
      </c>
      <c r="E50" s="34" t="s">
        <v>377</v>
      </c>
      <c r="F50" s="34" t="s">
        <v>378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35">
        <v>1.0</v>
      </c>
      <c r="C51" s="36" t="s">
        <v>379</v>
      </c>
      <c r="D51" s="39">
        <v>0.586</v>
      </c>
      <c r="E51" s="40">
        <v>-0.414</v>
      </c>
      <c r="F51" s="41" t="s">
        <v>380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35">
        <v>2.0</v>
      </c>
      <c r="C52" s="36" t="s">
        <v>381</v>
      </c>
      <c r="D52" s="39">
        <v>0.95</v>
      </c>
      <c r="E52" s="40">
        <v>-0.05</v>
      </c>
      <c r="F52" s="41" t="s">
        <v>380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35">
        <v>3.0</v>
      </c>
      <c r="C53" s="36" t="s">
        <v>382</v>
      </c>
      <c r="D53" s="39">
        <v>0.95</v>
      </c>
      <c r="E53" s="40">
        <v>-0.0499999999999999</v>
      </c>
      <c r="F53" s="41" t="s">
        <v>380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35">
        <v>4.0</v>
      </c>
      <c r="C54" s="36" t="s">
        <v>383</v>
      </c>
      <c r="D54" s="39">
        <v>0.965</v>
      </c>
      <c r="E54" s="40">
        <v>-0.0349999999999999</v>
      </c>
      <c r="F54" s="41" t="s">
        <v>380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35">
        <v>5.0</v>
      </c>
      <c r="C55" s="36" t="s">
        <v>384</v>
      </c>
      <c r="D55" s="39">
        <v>0.98</v>
      </c>
      <c r="E55" s="40">
        <v>-0.02</v>
      </c>
      <c r="F55" s="41" t="s">
        <v>380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35">
        <v>6.0</v>
      </c>
      <c r="C56" s="36" t="s">
        <v>385</v>
      </c>
      <c r="D56" s="42">
        <v>1.01</v>
      </c>
      <c r="E56" s="40">
        <v>0.01</v>
      </c>
      <c r="F56" s="41" t="s">
        <v>386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43" t="s">
        <v>387</v>
      </c>
      <c r="C58" s="10"/>
      <c r="D58" s="10"/>
      <c r="E58" s="10"/>
      <c r="F58" s="1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34" t="s">
        <v>369</v>
      </c>
      <c r="C60" s="34" t="s">
        <v>388</v>
      </c>
      <c r="D60" s="34" t="s">
        <v>389</v>
      </c>
      <c r="E60" s="44"/>
      <c r="F60" s="4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35">
        <v>1.0</v>
      </c>
      <c r="C61" s="36" t="s">
        <v>390</v>
      </c>
      <c r="D61" s="41" t="s">
        <v>391</v>
      </c>
      <c r="E61" s="45"/>
      <c r="F61" s="4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35">
        <v>2.0</v>
      </c>
      <c r="C62" s="36" t="s">
        <v>392</v>
      </c>
      <c r="D62" s="41" t="s">
        <v>391</v>
      </c>
      <c r="E62" s="45"/>
      <c r="F62" s="4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35">
        <v>3.0</v>
      </c>
      <c r="C63" s="36" t="s">
        <v>393</v>
      </c>
      <c r="D63" s="41" t="s">
        <v>391</v>
      </c>
      <c r="E63" s="45"/>
      <c r="F63" s="4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35">
        <v>4.0</v>
      </c>
      <c r="C64" s="36" t="s">
        <v>394</v>
      </c>
      <c r="D64" s="41" t="s">
        <v>391</v>
      </c>
      <c r="E64" s="45"/>
      <c r="F64" s="4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35">
        <v>5.0</v>
      </c>
      <c r="C65" s="36" t="s">
        <v>395</v>
      </c>
      <c r="D65" s="41" t="s">
        <v>391</v>
      </c>
      <c r="E65" s="45"/>
      <c r="F65" s="4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35">
        <v>6.0</v>
      </c>
      <c r="C66" s="36" t="s">
        <v>396</v>
      </c>
      <c r="D66" s="41" t="s">
        <v>391</v>
      </c>
      <c r="E66" s="45"/>
      <c r="F66" s="4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35">
        <v>7.0</v>
      </c>
      <c r="C67" s="36" t="s">
        <v>397</v>
      </c>
      <c r="D67" s="41" t="s">
        <v>391</v>
      </c>
      <c r="E67" s="45"/>
      <c r="F67" s="4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35">
        <v>8.0</v>
      </c>
      <c r="C68" s="36" t="s">
        <v>398</v>
      </c>
      <c r="D68" s="41" t="s">
        <v>391</v>
      </c>
      <c r="E68" s="45"/>
      <c r="F68" s="4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35">
        <v>9.0</v>
      </c>
      <c r="C69" s="36" t="s">
        <v>399</v>
      </c>
      <c r="D69" s="41" t="s">
        <v>391</v>
      </c>
      <c r="E69" s="45"/>
      <c r="F69" s="4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35">
        <v>10.0</v>
      </c>
      <c r="C70" s="36" t="s">
        <v>400</v>
      </c>
      <c r="D70" s="41" t="s">
        <v>391</v>
      </c>
      <c r="E70" s="45"/>
      <c r="F70" s="4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35">
        <v>11.0</v>
      </c>
      <c r="C71" s="36" t="s">
        <v>401</v>
      </c>
      <c r="D71" s="41" t="s">
        <v>391</v>
      </c>
      <c r="E71" s="45"/>
      <c r="F71" s="4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35">
        <v>12.0</v>
      </c>
      <c r="C72" s="36" t="s">
        <v>402</v>
      </c>
      <c r="D72" s="41" t="s">
        <v>391</v>
      </c>
      <c r="E72" s="45"/>
      <c r="F72" s="4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35">
        <v>13.0</v>
      </c>
      <c r="C73" s="36" t="s">
        <v>403</v>
      </c>
      <c r="D73" s="41" t="s">
        <v>391</v>
      </c>
      <c r="E73" s="45"/>
      <c r="F73" s="4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35">
        <v>14.0</v>
      </c>
      <c r="C74" s="36" t="s">
        <v>404</v>
      </c>
      <c r="D74" s="41" t="s">
        <v>391</v>
      </c>
      <c r="E74" s="45"/>
      <c r="F74" s="4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35">
        <v>15.0</v>
      </c>
      <c r="C75" s="36" t="s">
        <v>405</v>
      </c>
      <c r="D75" s="41" t="s">
        <v>391</v>
      </c>
      <c r="E75" s="45"/>
      <c r="F75" s="4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35">
        <v>16.0</v>
      </c>
      <c r="C76" s="36" t="s">
        <v>406</v>
      </c>
      <c r="D76" s="41" t="s">
        <v>391</v>
      </c>
      <c r="E76" s="45"/>
      <c r="F76" s="4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35">
        <v>17.0</v>
      </c>
      <c r="C77" s="36" t="s">
        <v>407</v>
      </c>
      <c r="D77" s="41" t="s">
        <v>391</v>
      </c>
      <c r="E77" s="45"/>
      <c r="F77" s="4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35">
        <v>18.0</v>
      </c>
      <c r="C78" s="36" t="s">
        <v>408</v>
      </c>
      <c r="D78" s="41" t="s">
        <v>391</v>
      </c>
      <c r="E78" s="45"/>
      <c r="F78" s="4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35">
        <v>19.0</v>
      </c>
      <c r="C79" s="36" t="s">
        <v>409</v>
      </c>
      <c r="D79" s="41" t="s">
        <v>391</v>
      </c>
      <c r="E79" s="45"/>
      <c r="F79" s="4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35">
        <v>20.0</v>
      </c>
      <c r="C80" s="36" t="s">
        <v>410</v>
      </c>
      <c r="D80" s="41" t="s">
        <v>391</v>
      </c>
      <c r="E80" s="45"/>
      <c r="F80" s="4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35">
        <v>21.0</v>
      </c>
      <c r="C81" s="36" t="s">
        <v>411</v>
      </c>
      <c r="D81" s="41" t="s">
        <v>391</v>
      </c>
      <c r="E81" s="45"/>
      <c r="F81" s="4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35">
        <v>22.0</v>
      </c>
      <c r="C82" s="36" t="s">
        <v>412</v>
      </c>
      <c r="D82" s="41" t="s">
        <v>391</v>
      </c>
      <c r="E82" s="45"/>
      <c r="F82" s="4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35">
        <v>23.0</v>
      </c>
      <c r="C83" s="36" t="s">
        <v>413</v>
      </c>
      <c r="D83" s="41" t="s">
        <v>391</v>
      </c>
      <c r="E83" s="45"/>
      <c r="F83" s="4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35">
        <v>24.0</v>
      </c>
      <c r="C84" s="36" t="s">
        <v>414</v>
      </c>
      <c r="D84" s="41" t="s">
        <v>391</v>
      </c>
      <c r="E84" s="45"/>
      <c r="F84" s="4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35">
        <v>25.0</v>
      </c>
      <c r="C85" s="36" t="s">
        <v>415</v>
      </c>
      <c r="D85" s="41" t="s">
        <v>391</v>
      </c>
      <c r="E85" s="45"/>
      <c r="F85" s="4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35">
        <v>26.0</v>
      </c>
      <c r="C86" s="36" t="s">
        <v>416</v>
      </c>
      <c r="D86" s="41" t="s">
        <v>391</v>
      </c>
      <c r="E86" s="45"/>
      <c r="F86" s="4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35">
        <v>27.0</v>
      </c>
      <c r="C87" s="36" t="s">
        <v>417</v>
      </c>
      <c r="D87" s="41" t="s">
        <v>391</v>
      </c>
      <c r="E87" s="45"/>
      <c r="F87" s="4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35">
        <v>28.0</v>
      </c>
      <c r="C88" s="36" t="s">
        <v>418</v>
      </c>
      <c r="D88" s="41" t="s">
        <v>391</v>
      </c>
      <c r="E88" s="45"/>
      <c r="F88" s="4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35">
        <v>29.0</v>
      </c>
      <c r="C89" s="36" t="s">
        <v>419</v>
      </c>
      <c r="D89" s="41" t="s">
        <v>391</v>
      </c>
      <c r="E89" s="45"/>
      <c r="F89" s="4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35">
        <v>30.0</v>
      </c>
      <c r="C90" s="36" t="s">
        <v>420</v>
      </c>
      <c r="D90" s="41" t="s">
        <v>391</v>
      </c>
      <c r="E90" s="45"/>
      <c r="F90" s="4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35">
        <v>31.0</v>
      </c>
      <c r="C91" s="36" t="s">
        <v>421</v>
      </c>
      <c r="D91" s="41" t="s">
        <v>391</v>
      </c>
      <c r="E91" s="45"/>
      <c r="F91" s="4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35">
        <v>32.0</v>
      </c>
      <c r="C92" s="36" t="s">
        <v>422</v>
      </c>
      <c r="D92" s="41" t="s">
        <v>391</v>
      </c>
      <c r="E92" s="45"/>
      <c r="F92" s="4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35">
        <v>33.0</v>
      </c>
      <c r="C93" s="36" t="s">
        <v>423</v>
      </c>
      <c r="D93" s="41" t="s">
        <v>391</v>
      </c>
      <c r="E93" s="45"/>
      <c r="F93" s="4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35">
        <v>34.0</v>
      </c>
      <c r="C94" s="36" t="s">
        <v>424</v>
      </c>
      <c r="D94" s="41" t="s">
        <v>391</v>
      </c>
      <c r="E94" s="45"/>
      <c r="F94" s="4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35">
        <v>35.0</v>
      </c>
      <c r="C95" s="36" t="s">
        <v>425</v>
      </c>
      <c r="D95" s="41" t="s">
        <v>391</v>
      </c>
      <c r="E95" s="45"/>
      <c r="F95" s="4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35">
        <v>36.0</v>
      </c>
      <c r="C96" s="36" t="s">
        <v>426</v>
      </c>
      <c r="D96" s="41" t="s">
        <v>391</v>
      </c>
      <c r="E96" s="45"/>
      <c r="F96" s="4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35">
        <v>37.0</v>
      </c>
      <c r="C97" s="36" t="s">
        <v>427</v>
      </c>
      <c r="D97" s="41" t="s">
        <v>391</v>
      </c>
      <c r="E97" s="45"/>
      <c r="F97" s="4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35">
        <v>38.0</v>
      </c>
      <c r="C98" s="36" t="s">
        <v>428</v>
      </c>
      <c r="D98" s="41" t="s">
        <v>391</v>
      </c>
      <c r="E98" s="45"/>
      <c r="F98" s="4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35">
        <v>39.0</v>
      </c>
      <c r="C99" s="36" t="s">
        <v>429</v>
      </c>
      <c r="D99" s="41" t="s">
        <v>391</v>
      </c>
      <c r="E99" s="45"/>
      <c r="F99" s="4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35">
        <v>40.0</v>
      </c>
      <c r="C100" s="36" t="s">
        <v>430</v>
      </c>
      <c r="D100" s="41" t="s">
        <v>391</v>
      </c>
      <c r="E100" s="45"/>
      <c r="F100" s="4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35">
        <v>41.0</v>
      </c>
      <c r="C101" s="36" t="s">
        <v>431</v>
      </c>
      <c r="D101" s="41" t="s">
        <v>391</v>
      </c>
      <c r="E101" s="45"/>
      <c r="F101" s="4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35">
        <v>42.0</v>
      </c>
      <c r="C102" s="36" t="s">
        <v>432</v>
      </c>
      <c r="D102" s="41" t="s">
        <v>391</v>
      </c>
      <c r="E102" s="45"/>
      <c r="F102" s="4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35">
        <v>43.0</v>
      </c>
      <c r="C103" s="36" t="s">
        <v>433</v>
      </c>
      <c r="D103" s="41" t="s">
        <v>391</v>
      </c>
      <c r="E103" s="45"/>
      <c r="F103" s="4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35">
        <v>44.0</v>
      </c>
      <c r="C104" s="36" t="s">
        <v>434</v>
      </c>
      <c r="D104" s="41" t="s">
        <v>391</v>
      </c>
      <c r="E104" s="45"/>
      <c r="F104" s="4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35">
        <v>45.0</v>
      </c>
      <c r="C105" s="36" t="s">
        <v>435</v>
      </c>
      <c r="D105" s="41" t="s">
        <v>391</v>
      </c>
      <c r="E105" s="45"/>
      <c r="F105" s="4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35">
        <v>46.0</v>
      </c>
      <c r="C106" s="36" t="s">
        <v>436</v>
      </c>
      <c r="D106" s="41" t="s">
        <v>391</v>
      </c>
      <c r="E106" s="45"/>
      <c r="F106" s="4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35">
        <v>47.0</v>
      </c>
      <c r="C107" s="36" t="s">
        <v>437</v>
      </c>
      <c r="D107" s="41" t="s">
        <v>391</v>
      </c>
      <c r="E107" s="45"/>
      <c r="F107" s="4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35">
        <v>48.0</v>
      </c>
      <c r="C108" s="36" t="s">
        <v>438</v>
      </c>
      <c r="D108" s="41" t="s">
        <v>391</v>
      </c>
      <c r="E108" s="45"/>
      <c r="F108" s="4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35">
        <v>49.0</v>
      </c>
      <c r="C109" s="36" t="s">
        <v>439</v>
      </c>
      <c r="D109" s="41" t="s">
        <v>391</v>
      </c>
      <c r="E109" s="45"/>
      <c r="F109" s="4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35">
        <v>50.0</v>
      </c>
      <c r="C110" s="36" t="s">
        <v>440</v>
      </c>
      <c r="D110" s="41" t="s">
        <v>391</v>
      </c>
      <c r="E110" s="45"/>
      <c r="F110" s="4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35">
        <v>51.0</v>
      </c>
      <c r="C111" s="36" t="s">
        <v>441</v>
      </c>
      <c r="D111" s="41" t="s">
        <v>391</v>
      </c>
      <c r="E111" s="45"/>
      <c r="F111" s="4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35">
        <v>52.0</v>
      </c>
      <c r="C112" s="36" t="s">
        <v>442</v>
      </c>
      <c r="D112" s="41" t="s">
        <v>391</v>
      </c>
      <c r="E112" s="45"/>
      <c r="F112" s="4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35">
        <v>53.0</v>
      </c>
      <c r="C113" s="36" t="s">
        <v>443</v>
      </c>
      <c r="D113" s="41" t="s">
        <v>391</v>
      </c>
      <c r="E113" s="45"/>
      <c r="F113" s="4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35">
        <v>54.0</v>
      </c>
      <c r="C114" s="36" t="s">
        <v>444</v>
      </c>
      <c r="D114" s="41" t="s">
        <v>391</v>
      </c>
      <c r="E114" s="45"/>
      <c r="F114" s="4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35">
        <v>55.0</v>
      </c>
      <c r="C115" s="36" t="s">
        <v>445</v>
      </c>
      <c r="D115" s="41" t="s">
        <v>391</v>
      </c>
      <c r="E115" s="45"/>
      <c r="F115" s="4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35">
        <v>56.0</v>
      </c>
      <c r="C116" s="36" t="s">
        <v>446</v>
      </c>
      <c r="D116" s="41" t="s">
        <v>391</v>
      </c>
      <c r="E116" s="45"/>
      <c r="F116" s="4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0.0" customHeight="1">
      <c r="A119" s="1"/>
      <c r="B119" s="46" t="s">
        <v>447</v>
      </c>
      <c r="C119" s="3"/>
      <c r="D119" s="3"/>
      <c r="E119" s="3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5"/>
      <c r="C120" s="6"/>
      <c r="D120" s="6"/>
      <c r="E120" s="6"/>
      <c r="F120" s="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1"/>
      <c r="B320" s="21"/>
      <c r="C320" s="21"/>
      <c r="D320" s="21"/>
      <c r="E320" s="21"/>
      <c r="F320" s="21"/>
    </row>
    <row r="321" ht="15.75" customHeight="1">
      <c r="A321" s="21"/>
      <c r="B321" s="21"/>
      <c r="C321" s="21"/>
      <c r="D321" s="21"/>
      <c r="E321" s="21"/>
      <c r="F321" s="21"/>
    </row>
    <row r="322" ht="15.75" customHeight="1">
      <c r="A322" s="21"/>
      <c r="B322" s="21"/>
      <c r="C322" s="21"/>
      <c r="D322" s="21"/>
      <c r="E322" s="21"/>
      <c r="F322" s="21"/>
    </row>
    <row r="323" ht="15.75" customHeight="1">
      <c r="A323" s="21"/>
      <c r="B323" s="21"/>
      <c r="C323" s="21"/>
      <c r="D323" s="21"/>
      <c r="E323" s="21"/>
      <c r="F323" s="21"/>
    </row>
    <row r="324" ht="15.75" customHeight="1">
      <c r="A324" s="21"/>
      <c r="B324" s="21"/>
      <c r="C324" s="21"/>
      <c r="D324" s="21"/>
      <c r="E324" s="21"/>
      <c r="F324" s="21"/>
    </row>
    <row r="325" ht="15.75" customHeight="1">
      <c r="A325" s="21"/>
      <c r="B325" s="21"/>
      <c r="C325" s="21"/>
      <c r="D325" s="21"/>
      <c r="E325" s="21"/>
      <c r="F325" s="21"/>
    </row>
    <row r="326" ht="15.75" customHeight="1">
      <c r="A326" s="21"/>
      <c r="B326" s="21"/>
      <c r="C326" s="21"/>
      <c r="D326" s="21"/>
      <c r="E326" s="21"/>
      <c r="F326" s="21"/>
    </row>
    <row r="327" ht="15.75" customHeight="1">
      <c r="A327" s="21"/>
      <c r="B327" s="21"/>
      <c r="C327" s="21"/>
      <c r="D327" s="21"/>
      <c r="E327" s="21"/>
      <c r="F327" s="21"/>
    </row>
    <row r="328" ht="15.75" customHeight="1">
      <c r="A328" s="21"/>
      <c r="B328" s="21"/>
      <c r="C328" s="21"/>
      <c r="D328" s="21"/>
      <c r="E328" s="21"/>
      <c r="F328" s="21"/>
    </row>
    <row r="329" ht="15.75" customHeight="1">
      <c r="A329" s="21"/>
      <c r="B329" s="21"/>
      <c r="C329" s="21"/>
      <c r="D329" s="21"/>
      <c r="E329" s="21"/>
      <c r="F329" s="21"/>
    </row>
    <row r="330" ht="15.75" customHeight="1">
      <c r="A330" s="21"/>
      <c r="B330" s="21"/>
      <c r="C330" s="21"/>
      <c r="D330" s="21"/>
      <c r="E330" s="21"/>
      <c r="F330" s="21"/>
    </row>
    <row r="331" ht="15.75" customHeight="1">
      <c r="A331" s="21"/>
      <c r="B331" s="21"/>
      <c r="C331" s="21"/>
      <c r="D331" s="21"/>
      <c r="E331" s="21"/>
      <c r="F331" s="21"/>
    </row>
    <row r="332" ht="15.75" customHeight="1">
      <c r="A332" s="21"/>
      <c r="B332" s="21"/>
      <c r="C332" s="21"/>
      <c r="D332" s="21"/>
      <c r="E332" s="21"/>
      <c r="F332" s="21"/>
    </row>
    <row r="333" ht="15.75" customHeight="1">
      <c r="A333" s="21"/>
      <c r="B333" s="21"/>
      <c r="C333" s="21"/>
      <c r="D333" s="21"/>
      <c r="E333" s="21"/>
      <c r="F333" s="21"/>
    </row>
    <row r="334" ht="15.75" customHeight="1">
      <c r="A334" s="21"/>
      <c r="B334" s="21"/>
      <c r="C334" s="21"/>
      <c r="D334" s="21"/>
      <c r="E334" s="21"/>
      <c r="F334" s="21"/>
    </row>
    <row r="335" ht="15.75" customHeight="1">
      <c r="A335" s="21"/>
      <c r="B335" s="21"/>
      <c r="C335" s="21"/>
      <c r="D335" s="21"/>
      <c r="E335" s="21"/>
      <c r="F335" s="21"/>
    </row>
    <row r="336" ht="15.75" customHeight="1">
      <c r="A336" s="21"/>
      <c r="B336" s="21"/>
      <c r="C336" s="21"/>
      <c r="D336" s="21"/>
      <c r="E336" s="21"/>
      <c r="F336" s="21"/>
    </row>
    <row r="337" ht="15.75" customHeight="1">
      <c r="A337" s="21"/>
      <c r="B337" s="21"/>
      <c r="C337" s="21"/>
      <c r="D337" s="21"/>
      <c r="E337" s="21"/>
      <c r="F337" s="21"/>
    </row>
    <row r="338" ht="15.75" customHeight="1">
      <c r="A338" s="21"/>
      <c r="B338" s="21"/>
      <c r="C338" s="21"/>
      <c r="D338" s="21"/>
      <c r="E338" s="21"/>
      <c r="F338" s="21"/>
    </row>
    <row r="339" ht="15.75" customHeight="1">
      <c r="A339" s="21"/>
      <c r="B339" s="21"/>
      <c r="C339" s="21"/>
      <c r="D339" s="21"/>
      <c r="E339" s="21"/>
      <c r="F339" s="21"/>
    </row>
    <row r="340" ht="15.75" customHeight="1">
      <c r="A340" s="21"/>
      <c r="B340" s="21"/>
      <c r="C340" s="21"/>
      <c r="D340" s="21"/>
      <c r="E340" s="21"/>
      <c r="F340" s="21"/>
    </row>
    <row r="341" ht="15.75" customHeight="1">
      <c r="A341" s="21"/>
      <c r="B341" s="21"/>
      <c r="C341" s="21"/>
      <c r="D341" s="21"/>
      <c r="E341" s="21"/>
      <c r="F341" s="21"/>
    </row>
    <row r="342" ht="15.75" customHeight="1">
      <c r="A342" s="21"/>
      <c r="B342" s="21"/>
      <c r="C342" s="21"/>
      <c r="D342" s="21"/>
      <c r="E342" s="21"/>
      <c r="F342" s="21"/>
    </row>
    <row r="343" ht="15.75" customHeight="1">
      <c r="A343" s="21"/>
      <c r="B343" s="21"/>
      <c r="C343" s="21"/>
      <c r="D343" s="21"/>
      <c r="E343" s="21"/>
      <c r="F343" s="21"/>
    </row>
    <row r="344" ht="15.75" customHeight="1">
      <c r="A344" s="21"/>
      <c r="B344" s="21"/>
      <c r="C344" s="21"/>
      <c r="D344" s="21"/>
      <c r="E344" s="21"/>
      <c r="F344" s="21"/>
    </row>
    <row r="345" ht="15.75" customHeight="1">
      <c r="A345" s="21"/>
      <c r="B345" s="21"/>
      <c r="C345" s="21"/>
      <c r="D345" s="21"/>
      <c r="E345" s="21"/>
      <c r="F345" s="21"/>
    </row>
    <row r="346" ht="15.75" customHeight="1">
      <c r="A346" s="21"/>
      <c r="B346" s="21"/>
      <c r="C346" s="21"/>
      <c r="D346" s="21"/>
      <c r="E346" s="21"/>
      <c r="F346" s="21"/>
    </row>
    <row r="347" ht="15.75" customHeight="1">
      <c r="A347" s="21"/>
      <c r="B347" s="21"/>
      <c r="C347" s="21"/>
      <c r="D347" s="21"/>
      <c r="E347" s="21"/>
      <c r="F347" s="21"/>
    </row>
    <row r="348" ht="15.75" customHeight="1">
      <c r="A348" s="21"/>
      <c r="B348" s="21"/>
      <c r="C348" s="21"/>
      <c r="D348" s="21"/>
      <c r="E348" s="21"/>
      <c r="F348" s="21"/>
    </row>
    <row r="349" ht="15.75" customHeight="1">
      <c r="A349" s="21"/>
      <c r="B349" s="21"/>
      <c r="C349" s="21"/>
      <c r="D349" s="21"/>
      <c r="E349" s="21"/>
      <c r="F349" s="21"/>
    </row>
    <row r="350" ht="15.75" customHeight="1">
      <c r="A350" s="21"/>
      <c r="B350" s="21"/>
      <c r="C350" s="21"/>
      <c r="D350" s="21"/>
      <c r="E350" s="21"/>
      <c r="F350" s="21"/>
    </row>
    <row r="351" ht="15.75" customHeight="1">
      <c r="A351" s="21"/>
      <c r="B351" s="21"/>
      <c r="C351" s="21"/>
      <c r="D351" s="21"/>
      <c r="E351" s="21"/>
      <c r="F351" s="21"/>
    </row>
    <row r="352" ht="15.75" customHeight="1">
      <c r="A352" s="21"/>
      <c r="B352" s="21"/>
      <c r="C352" s="21"/>
      <c r="D352" s="21"/>
      <c r="E352" s="21"/>
      <c r="F352" s="21"/>
    </row>
    <row r="353" ht="15.75" customHeight="1">
      <c r="A353" s="21"/>
      <c r="B353" s="21"/>
      <c r="C353" s="21"/>
      <c r="D353" s="21"/>
      <c r="E353" s="21"/>
      <c r="F353" s="21"/>
    </row>
    <row r="354" ht="15.75" customHeight="1">
      <c r="A354" s="21"/>
      <c r="B354" s="21"/>
      <c r="C354" s="21"/>
      <c r="D354" s="21"/>
      <c r="E354" s="21"/>
      <c r="F354" s="21"/>
    </row>
    <row r="355" ht="15.75" customHeight="1">
      <c r="A355" s="21"/>
      <c r="B355" s="21"/>
      <c r="C355" s="21"/>
      <c r="D355" s="21"/>
      <c r="E355" s="21"/>
      <c r="F355" s="21"/>
    </row>
    <row r="356" ht="15.75" customHeight="1">
      <c r="A356" s="21"/>
      <c r="B356" s="21"/>
      <c r="C356" s="21"/>
      <c r="D356" s="21"/>
      <c r="E356" s="21"/>
      <c r="F356" s="21"/>
    </row>
    <row r="357" ht="15.75" customHeight="1">
      <c r="A357" s="21"/>
      <c r="B357" s="21"/>
      <c r="C357" s="21"/>
      <c r="D357" s="21"/>
      <c r="E357" s="21"/>
      <c r="F357" s="21"/>
    </row>
    <row r="358" ht="15.75" customHeight="1">
      <c r="A358" s="21"/>
      <c r="B358" s="21"/>
      <c r="C358" s="21"/>
      <c r="D358" s="21"/>
      <c r="E358" s="21"/>
      <c r="F358" s="21"/>
    </row>
    <row r="359" ht="15.75" customHeight="1">
      <c r="A359" s="21"/>
      <c r="B359" s="21"/>
      <c r="C359" s="21"/>
      <c r="D359" s="21"/>
      <c r="E359" s="21"/>
      <c r="F359" s="21"/>
    </row>
    <row r="360" ht="15.75" customHeight="1">
      <c r="A360" s="21"/>
      <c r="B360" s="21"/>
      <c r="C360" s="21"/>
      <c r="D360" s="21"/>
      <c r="E360" s="21"/>
      <c r="F360" s="21"/>
    </row>
    <row r="361" ht="15.75" customHeight="1">
      <c r="A361" s="21"/>
      <c r="B361" s="21"/>
      <c r="C361" s="21"/>
      <c r="D361" s="21"/>
      <c r="E361" s="21"/>
      <c r="F361" s="21"/>
    </row>
    <row r="362" ht="15.75" customHeight="1">
      <c r="A362" s="21"/>
      <c r="B362" s="21"/>
      <c r="C362" s="21"/>
      <c r="D362" s="21"/>
      <c r="E362" s="21"/>
      <c r="F362" s="21"/>
    </row>
    <row r="363" ht="15.75" customHeight="1">
      <c r="A363" s="21"/>
      <c r="B363" s="21"/>
      <c r="C363" s="21"/>
      <c r="D363" s="21"/>
      <c r="E363" s="21"/>
      <c r="F363" s="21"/>
    </row>
    <row r="364" ht="15.75" customHeight="1">
      <c r="A364" s="21"/>
      <c r="B364" s="21"/>
      <c r="C364" s="21"/>
      <c r="D364" s="21"/>
      <c r="E364" s="21"/>
      <c r="F364" s="21"/>
    </row>
    <row r="365" ht="15.75" customHeight="1">
      <c r="A365" s="21"/>
      <c r="B365" s="21"/>
      <c r="C365" s="21"/>
      <c r="D365" s="21"/>
      <c r="E365" s="21"/>
      <c r="F365" s="21"/>
    </row>
    <row r="366" ht="15.75" customHeight="1">
      <c r="A366" s="21"/>
      <c r="B366" s="21"/>
      <c r="C366" s="21"/>
      <c r="D366" s="21"/>
      <c r="E366" s="21"/>
      <c r="F366" s="21"/>
    </row>
    <row r="367" ht="15.75" customHeight="1">
      <c r="A367" s="21"/>
      <c r="B367" s="21"/>
      <c r="C367" s="21"/>
      <c r="D367" s="21"/>
      <c r="E367" s="21"/>
      <c r="F367" s="21"/>
    </row>
    <row r="368" ht="15.75" customHeight="1">
      <c r="A368" s="21"/>
      <c r="B368" s="21"/>
      <c r="C368" s="21"/>
      <c r="D368" s="21"/>
      <c r="E368" s="21"/>
      <c r="F368" s="21"/>
    </row>
    <row r="369" ht="15.75" customHeight="1">
      <c r="A369" s="21"/>
      <c r="B369" s="21"/>
      <c r="C369" s="21"/>
      <c r="D369" s="21"/>
      <c r="E369" s="21"/>
      <c r="F369" s="21"/>
    </row>
    <row r="370" ht="15.75" customHeight="1">
      <c r="A370" s="21"/>
      <c r="B370" s="21"/>
      <c r="C370" s="21"/>
      <c r="D370" s="21"/>
      <c r="E370" s="21"/>
      <c r="F370" s="21"/>
    </row>
    <row r="371" ht="15.75" customHeight="1">
      <c r="A371" s="21"/>
      <c r="B371" s="21"/>
      <c r="C371" s="21"/>
      <c r="D371" s="21"/>
      <c r="E371" s="21"/>
      <c r="F371" s="21"/>
    </row>
    <row r="372" ht="15.75" customHeight="1">
      <c r="A372" s="21"/>
      <c r="B372" s="21"/>
      <c r="C372" s="21"/>
      <c r="D372" s="21"/>
      <c r="E372" s="21"/>
      <c r="F372" s="21"/>
    </row>
    <row r="373" ht="15.75" customHeight="1">
      <c r="A373" s="21"/>
      <c r="B373" s="21"/>
      <c r="C373" s="21"/>
      <c r="D373" s="21"/>
      <c r="E373" s="21"/>
      <c r="F373" s="21"/>
    </row>
    <row r="374" ht="15.75" customHeight="1">
      <c r="A374" s="21"/>
      <c r="B374" s="21"/>
      <c r="C374" s="21"/>
      <c r="D374" s="21"/>
      <c r="E374" s="21"/>
      <c r="F374" s="21"/>
    </row>
    <row r="375" ht="15.75" customHeight="1">
      <c r="A375" s="21"/>
      <c r="B375" s="21"/>
      <c r="C375" s="21"/>
      <c r="D375" s="21"/>
      <c r="E375" s="21"/>
      <c r="F375" s="21"/>
    </row>
    <row r="376" ht="15.75" customHeight="1">
      <c r="A376" s="21"/>
      <c r="B376" s="21"/>
      <c r="C376" s="21"/>
      <c r="D376" s="21"/>
      <c r="E376" s="21"/>
      <c r="F376" s="21"/>
    </row>
    <row r="377" ht="15.75" customHeight="1">
      <c r="A377" s="21"/>
      <c r="B377" s="21"/>
      <c r="C377" s="21"/>
      <c r="D377" s="21"/>
      <c r="E377" s="21"/>
      <c r="F377" s="21"/>
    </row>
    <row r="378" ht="15.75" customHeight="1">
      <c r="A378" s="21"/>
      <c r="B378" s="21"/>
      <c r="C378" s="21"/>
      <c r="D378" s="21"/>
      <c r="E378" s="21"/>
      <c r="F378" s="21"/>
    </row>
    <row r="379" ht="15.75" customHeight="1">
      <c r="A379" s="21"/>
      <c r="B379" s="21"/>
      <c r="C379" s="21"/>
      <c r="D379" s="21"/>
      <c r="E379" s="21"/>
      <c r="F379" s="21"/>
    </row>
    <row r="380" ht="15.75" customHeight="1">
      <c r="A380" s="21"/>
      <c r="B380" s="21"/>
      <c r="C380" s="21"/>
      <c r="D380" s="21"/>
      <c r="E380" s="21"/>
      <c r="F380" s="21"/>
    </row>
    <row r="381" ht="15.75" customHeight="1">
      <c r="A381" s="21"/>
      <c r="B381" s="21"/>
      <c r="C381" s="21"/>
      <c r="D381" s="21"/>
      <c r="E381" s="21"/>
      <c r="F381" s="21"/>
    </row>
    <row r="382" ht="15.75" customHeight="1">
      <c r="A382" s="21"/>
      <c r="B382" s="21"/>
      <c r="C382" s="21"/>
      <c r="D382" s="21"/>
      <c r="E382" s="21"/>
      <c r="F382" s="21"/>
    </row>
    <row r="383" ht="15.75" customHeight="1">
      <c r="A383" s="21"/>
      <c r="B383" s="21"/>
      <c r="C383" s="21"/>
      <c r="D383" s="21"/>
      <c r="E383" s="21"/>
      <c r="F383" s="21"/>
    </row>
    <row r="384" ht="15.75" customHeight="1">
      <c r="A384" s="21"/>
      <c r="B384" s="21"/>
      <c r="C384" s="21"/>
      <c r="D384" s="21"/>
      <c r="E384" s="21"/>
      <c r="F384" s="21"/>
    </row>
    <row r="385" ht="15.75" customHeight="1">
      <c r="A385" s="21"/>
      <c r="B385" s="21"/>
      <c r="C385" s="21"/>
      <c r="D385" s="21"/>
      <c r="E385" s="21"/>
      <c r="F385" s="21"/>
    </row>
    <row r="386" ht="15.75" customHeight="1">
      <c r="A386" s="21"/>
      <c r="B386" s="21"/>
      <c r="C386" s="21"/>
      <c r="D386" s="21"/>
      <c r="E386" s="21"/>
      <c r="F386" s="21"/>
    </row>
    <row r="387" ht="15.75" customHeight="1">
      <c r="A387" s="21"/>
      <c r="B387" s="21"/>
      <c r="C387" s="21"/>
      <c r="D387" s="21"/>
      <c r="E387" s="21"/>
      <c r="F387" s="21"/>
    </row>
    <row r="388" ht="15.75" customHeight="1">
      <c r="A388" s="21"/>
      <c r="B388" s="21"/>
      <c r="C388" s="21"/>
      <c r="D388" s="21"/>
      <c r="E388" s="21"/>
      <c r="F388" s="21"/>
    </row>
    <row r="389" ht="15.75" customHeight="1">
      <c r="A389" s="21"/>
      <c r="B389" s="21"/>
      <c r="C389" s="21"/>
      <c r="D389" s="21"/>
      <c r="E389" s="21"/>
      <c r="F389" s="21"/>
    </row>
    <row r="390" ht="15.75" customHeight="1">
      <c r="A390" s="21"/>
      <c r="B390" s="21"/>
      <c r="C390" s="21"/>
      <c r="D390" s="21"/>
      <c r="E390" s="21"/>
      <c r="F390" s="21"/>
    </row>
    <row r="391" ht="15.75" customHeight="1">
      <c r="A391" s="21"/>
      <c r="B391" s="21"/>
      <c r="C391" s="21"/>
      <c r="D391" s="21"/>
      <c r="E391" s="21"/>
      <c r="F391" s="21"/>
    </row>
    <row r="392" ht="15.75" customHeight="1">
      <c r="A392" s="21"/>
      <c r="B392" s="21"/>
      <c r="C392" s="21"/>
      <c r="D392" s="21"/>
      <c r="E392" s="21"/>
      <c r="F392" s="21"/>
    </row>
    <row r="393" ht="15.75" customHeight="1">
      <c r="A393" s="21"/>
      <c r="B393" s="21"/>
      <c r="C393" s="21"/>
      <c r="D393" s="21"/>
      <c r="E393" s="21"/>
      <c r="F393" s="21"/>
    </row>
    <row r="394" ht="15.75" customHeight="1">
      <c r="A394" s="21"/>
      <c r="B394" s="21"/>
      <c r="C394" s="21"/>
      <c r="D394" s="21"/>
      <c r="E394" s="21"/>
      <c r="F394" s="21"/>
    </row>
    <row r="395" ht="15.75" customHeight="1">
      <c r="A395" s="21"/>
      <c r="B395" s="21"/>
      <c r="C395" s="21"/>
      <c r="D395" s="21"/>
      <c r="E395" s="21"/>
      <c r="F395" s="21"/>
    </row>
    <row r="396" ht="15.75" customHeight="1">
      <c r="A396" s="21"/>
      <c r="B396" s="21"/>
      <c r="C396" s="21"/>
      <c r="D396" s="21"/>
      <c r="E396" s="21"/>
      <c r="F396" s="21"/>
    </row>
    <row r="397" ht="15.75" customHeight="1">
      <c r="A397" s="21"/>
      <c r="B397" s="21"/>
      <c r="C397" s="21"/>
      <c r="D397" s="21"/>
      <c r="E397" s="21"/>
      <c r="F397" s="21"/>
    </row>
    <row r="398" ht="15.75" customHeight="1">
      <c r="A398" s="21"/>
      <c r="B398" s="21"/>
      <c r="C398" s="21"/>
      <c r="D398" s="21"/>
      <c r="E398" s="21"/>
      <c r="F398" s="21"/>
    </row>
    <row r="399" ht="15.75" customHeight="1">
      <c r="A399" s="21"/>
      <c r="B399" s="21"/>
      <c r="C399" s="21"/>
      <c r="D399" s="21"/>
      <c r="E399" s="21"/>
      <c r="F399" s="21"/>
    </row>
    <row r="400" ht="15.75" customHeight="1">
      <c r="A400" s="21"/>
      <c r="B400" s="21"/>
      <c r="C400" s="21"/>
      <c r="D400" s="21"/>
      <c r="E400" s="21"/>
      <c r="F400" s="21"/>
    </row>
    <row r="401" ht="15.75" customHeight="1">
      <c r="A401" s="21"/>
      <c r="B401" s="21"/>
      <c r="C401" s="21"/>
      <c r="D401" s="21"/>
      <c r="E401" s="21"/>
      <c r="F401" s="21"/>
    </row>
    <row r="402" ht="15.75" customHeight="1">
      <c r="A402" s="21"/>
      <c r="B402" s="21"/>
      <c r="C402" s="21"/>
      <c r="D402" s="21"/>
      <c r="E402" s="21"/>
      <c r="F402" s="21"/>
    </row>
    <row r="403" ht="15.75" customHeight="1">
      <c r="A403" s="21"/>
      <c r="B403" s="21"/>
      <c r="C403" s="21"/>
      <c r="D403" s="21"/>
      <c r="E403" s="21"/>
      <c r="F403" s="21"/>
    </row>
    <row r="404" ht="15.75" customHeight="1">
      <c r="A404" s="21"/>
      <c r="B404" s="21"/>
      <c r="C404" s="21"/>
      <c r="D404" s="21"/>
      <c r="E404" s="21"/>
      <c r="F404" s="21"/>
    </row>
    <row r="405" ht="15.75" customHeight="1">
      <c r="A405" s="21"/>
      <c r="B405" s="21"/>
      <c r="C405" s="21"/>
      <c r="D405" s="21"/>
      <c r="E405" s="21"/>
      <c r="F405" s="21"/>
    </row>
    <row r="406" ht="15.75" customHeight="1">
      <c r="A406" s="21"/>
      <c r="B406" s="21"/>
      <c r="C406" s="21"/>
      <c r="D406" s="21"/>
      <c r="E406" s="21"/>
      <c r="F406" s="21"/>
    </row>
    <row r="407" ht="15.75" customHeight="1">
      <c r="A407" s="21"/>
      <c r="B407" s="21"/>
      <c r="C407" s="21"/>
      <c r="D407" s="21"/>
      <c r="E407" s="21"/>
      <c r="F407" s="21"/>
    </row>
    <row r="408" ht="15.75" customHeight="1">
      <c r="A408" s="21"/>
      <c r="B408" s="21"/>
      <c r="C408" s="21"/>
      <c r="D408" s="21"/>
      <c r="E408" s="21"/>
      <c r="F408" s="21"/>
    </row>
    <row r="409" ht="15.75" customHeight="1">
      <c r="A409" s="21"/>
      <c r="B409" s="21"/>
      <c r="C409" s="21"/>
      <c r="D409" s="21"/>
      <c r="E409" s="21"/>
      <c r="F409" s="21"/>
    </row>
    <row r="410" ht="15.75" customHeight="1">
      <c r="A410" s="21"/>
      <c r="B410" s="21"/>
      <c r="C410" s="21"/>
      <c r="D410" s="21"/>
      <c r="E410" s="21"/>
      <c r="F410" s="21"/>
    </row>
    <row r="411" ht="15.75" customHeight="1">
      <c r="A411" s="21"/>
      <c r="B411" s="21"/>
      <c r="C411" s="21"/>
      <c r="D411" s="21"/>
      <c r="E411" s="21"/>
      <c r="F411" s="21"/>
    </row>
    <row r="412" ht="15.75" customHeight="1">
      <c r="A412" s="21"/>
      <c r="B412" s="21"/>
      <c r="C412" s="21"/>
      <c r="D412" s="21"/>
      <c r="E412" s="21"/>
      <c r="F412" s="21"/>
    </row>
    <row r="413" ht="15.75" customHeight="1">
      <c r="A413" s="21"/>
      <c r="B413" s="21"/>
      <c r="C413" s="21"/>
      <c r="D413" s="21"/>
      <c r="E413" s="21"/>
      <c r="F413" s="21"/>
    </row>
    <row r="414" ht="15.75" customHeight="1">
      <c r="A414" s="21"/>
      <c r="B414" s="21"/>
      <c r="C414" s="21"/>
      <c r="D414" s="21"/>
      <c r="E414" s="21"/>
      <c r="F414" s="21"/>
    </row>
    <row r="415" ht="15.75" customHeight="1">
      <c r="A415" s="21"/>
      <c r="B415" s="21"/>
      <c r="C415" s="21"/>
      <c r="D415" s="21"/>
      <c r="E415" s="21"/>
      <c r="F415" s="21"/>
    </row>
    <row r="416" ht="15.75" customHeight="1">
      <c r="A416" s="21"/>
      <c r="B416" s="21"/>
      <c r="C416" s="21"/>
      <c r="D416" s="21"/>
      <c r="E416" s="21"/>
      <c r="F416" s="21"/>
    </row>
    <row r="417" ht="15.75" customHeight="1">
      <c r="A417" s="21"/>
      <c r="B417" s="21"/>
      <c r="C417" s="21"/>
      <c r="D417" s="21"/>
      <c r="E417" s="21"/>
      <c r="F417" s="21"/>
    </row>
    <row r="418" ht="15.75" customHeight="1">
      <c r="A418" s="21"/>
      <c r="B418" s="21"/>
      <c r="C418" s="21"/>
      <c r="D418" s="21"/>
      <c r="E418" s="21"/>
      <c r="F418" s="21"/>
    </row>
    <row r="419" ht="15.75" customHeight="1">
      <c r="A419" s="21"/>
      <c r="B419" s="21"/>
      <c r="C419" s="21"/>
      <c r="D419" s="21"/>
      <c r="E419" s="21"/>
      <c r="F419" s="21"/>
    </row>
    <row r="420" ht="15.75" customHeight="1">
      <c r="A420" s="21"/>
      <c r="B420" s="21"/>
      <c r="C420" s="21"/>
      <c r="D420" s="21"/>
      <c r="E420" s="21"/>
      <c r="F420" s="21"/>
    </row>
    <row r="421" ht="15.75" customHeight="1">
      <c r="A421" s="21"/>
      <c r="B421" s="21"/>
      <c r="C421" s="21"/>
      <c r="D421" s="21"/>
      <c r="E421" s="21"/>
      <c r="F421" s="21"/>
    </row>
    <row r="422" ht="15.75" customHeight="1">
      <c r="A422" s="21"/>
      <c r="B422" s="21"/>
      <c r="C422" s="21"/>
      <c r="D422" s="21"/>
      <c r="E422" s="21"/>
      <c r="F422" s="21"/>
    </row>
    <row r="423" ht="15.75" customHeight="1">
      <c r="A423" s="21"/>
      <c r="B423" s="21"/>
      <c r="C423" s="21"/>
      <c r="D423" s="21"/>
      <c r="E423" s="21"/>
      <c r="F423" s="21"/>
    </row>
    <row r="424" ht="15.75" customHeight="1">
      <c r="A424" s="21"/>
      <c r="B424" s="21"/>
      <c r="C424" s="21"/>
      <c r="D424" s="21"/>
      <c r="E424" s="21"/>
      <c r="F424" s="21"/>
    </row>
    <row r="425" ht="15.75" customHeight="1">
      <c r="A425" s="21"/>
      <c r="B425" s="21"/>
      <c r="C425" s="21"/>
      <c r="D425" s="21"/>
      <c r="E425" s="21"/>
      <c r="F425" s="21"/>
    </row>
    <row r="426" ht="15.75" customHeight="1">
      <c r="A426" s="21"/>
      <c r="B426" s="21"/>
      <c r="C426" s="21"/>
      <c r="D426" s="21"/>
      <c r="E426" s="21"/>
      <c r="F426" s="21"/>
    </row>
    <row r="427" ht="15.75" customHeight="1">
      <c r="A427" s="21"/>
      <c r="B427" s="21"/>
      <c r="C427" s="21"/>
      <c r="D427" s="21"/>
      <c r="E427" s="21"/>
      <c r="F427" s="21"/>
    </row>
    <row r="428" ht="15.75" customHeight="1">
      <c r="A428" s="21"/>
      <c r="B428" s="21"/>
      <c r="C428" s="21"/>
      <c r="D428" s="21"/>
      <c r="E428" s="21"/>
      <c r="F428" s="21"/>
    </row>
    <row r="429" ht="15.75" customHeight="1">
      <c r="A429" s="21"/>
      <c r="B429" s="21"/>
      <c r="C429" s="21"/>
      <c r="D429" s="21"/>
      <c r="E429" s="21"/>
      <c r="F429" s="21"/>
    </row>
    <row r="430" ht="15.75" customHeight="1">
      <c r="A430" s="21"/>
      <c r="B430" s="21"/>
      <c r="C430" s="21"/>
      <c r="D430" s="21"/>
      <c r="E430" s="21"/>
      <c r="F430" s="21"/>
    </row>
    <row r="431" ht="15.75" customHeight="1">
      <c r="A431" s="21"/>
      <c r="B431" s="21"/>
      <c r="C431" s="21"/>
      <c r="D431" s="21"/>
      <c r="E431" s="21"/>
      <c r="F431" s="21"/>
    </row>
    <row r="432" ht="15.75" customHeight="1">
      <c r="A432" s="21"/>
      <c r="B432" s="21"/>
      <c r="C432" s="21"/>
      <c r="D432" s="21"/>
      <c r="E432" s="21"/>
      <c r="F432" s="21"/>
    </row>
    <row r="433" ht="15.75" customHeight="1">
      <c r="A433" s="21"/>
      <c r="B433" s="21"/>
      <c r="C433" s="21"/>
      <c r="D433" s="21"/>
      <c r="E433" s="21"/>
      <c r="F433" s="21"/>
    </row>
    <row r="434" ht="15.75" customHeight="1">
      <c r="A434" s="21"/>
      <c r="B434" s="21"/>
      <c r="C434" s="21"/>
      <c r="D434" s="21"/>
      <c r="E434" s="21"/>
      <c r="F434" s="21"/>
    </row>
    <row r="435" ht="15.75" customHeight="1">
      <c r="A435" s="21"/>
      <c r="B435" s="21"/>
      <c r="C435" s="21"/>
      <c r="D435" s="21"/>
      <c r="E435" s="21"/>
      <c r="F435" s="21"/>
    </row>
    <row r="436" ht="15.75" customHeight="1">
      <c r="A436" s="21"/>
      <c r="B436" s="21"/>
      <c r="C436" s="21"/>
      <c r="D436" s="21"/>
      <c r="E436" s="21"/>
      <c r="F436" s="21"/>
    </row>
    <row r="437" ht="15.75" customHeight="1">
      <c r="A437" s="21"/>
      <c r="B437" s="21"/>
      <c r="C437" s="21"/>
      <c r="D437" s="21"/>
      <c r="E437" s="21"/>
      <c r="F437" s="21"/>
    </row>
    <row r="438" ht="15.75" customHeight="1">
      <c r="A438" s="21"/>
      <c r="B438" s="21"/>
      <c r="C438" s="21"/>
      <c r="D438" s="21"/>
      <c r="E438" s="21"/>
      <c r="F438" s="21"/>
    </row>
    <row r="439" ht="15.75" customHeight="1">
      <c r="A439" s="21"/>
      <c r="B439" s="21"/>
      <c r="C439" s="21"/>
      <c r="D439" s="21"/>
      <c r="E439" s="21"/>
      <c r="F439" s="21"/>
    </row>
    <row r="440" ht="15.75" customHeight="1">
      <c r="A440" s="21"/>
      <c r="B440" s="21"/>
      <c r="C440" s="21"/>
      <c r="D440" s="21"/>
      <c r="E440" s="21"/>
      <c r="F440" s="21"/>
    </row>
    <row r="441" ht="15.75" customHeight="1">
      <c r="A441" s="21"/>
      <c r="B441" s="21"/>
      <c r="C441" s="21"/>
      <c r="D441" s="21"/>
      <c r="E441" s="21"/>
      <c r="F441" s="21"/>
    </row>
    <row r="442" ht="15.75" customHeight="1">
      <c r="A442" s="21"/>
      <c r="B442" s="21"/>
      <c r="C442" s="21"/>
      <c r="D442" s="21"/>
      <c r="E442" s="21"/>
      <c r="F442" s="21"/>
    </row>
    <row r="443" ht="15.75" customHeight="1">
      <c r="A443" s="21"/>
      <c r="B443" s="21"/>
      <c r="C443" s="21"/>
      <c r="D443" s="21"/>
      <c r="E443" s="21"/>
      <c r="F443" s="21"/>
    </row>
    <row r="444" ht="15.75" customHeight="1">
      <c r="A444" s="21"/>
      <c r="B444" s="21"/>
      <c r="C444" s="21"/>
      <c r="D444" s="21"/>
      <c r="E444" s="21"/>
      <c r="F444" s="21"/>
    </row>
    <row r="445" ht="15.75" customHeight="1">
      <c r="A445" s="21"/>
      <c r="B445" s="21"/>
      <c r="C445" s="21"/>
      <c r="D445" s="21"/>
      <c r="E445" s="21"/>
      <c r="F445" s="21"/>
    </row>
    <row r="446" ht="15.75" customHeight="1">
      <c r="A446" s="21"/>
      <c r="B446" s="21"/>
      <c r="C446" s="21"/>
      <c r="D446" s="21"/>
      <c r="E446" s="21"/>
      <c r="F446" s="21"/>
    </row>
    <row r="447" ht="15.75" customHeight="1">
      <c r="A447" s="21"/>
      <c r="B447" s="21"/>
      <c r="C447" s="21"/>
      <c r="D447" s="21"/>
      <c r="E447" s="21"/>
      <c r="F447" s="21"/>
    </row>
    <row r="448" ht="15.75" customHeight="1">
      <c r="A448" s="21"/>
      <c r="B448" s="21"/>
      <c r="C448" s="21"/>
      <c r="D448" s="21"/>
      <c r="E448" s="21"/>
      <c r="F448" s="21"/>
    </row>
    <row r="449" ht="15.75" customHeight="1">
      <c r="A449" s="21"/>
      <c r="B449" s="21"/>
      <c r="C449" s="21"/>
      <c r="D449" s="21"/>
      <c r="E449" s="21"/>
      <c r="F449" s="21"/>
    </row>
    <row r="450" ht="15.75" customHeight="1">
      <c r="A450" s="21"/>
      <c r="B450" s="21"/>
      <c r="C450" s="21"/>
      <c r="D450" s="21"/>
      <c r="E450" s="21"/>
      <c r="F450" s="21"/>
    </row>
    <row r="451" ht="15.75" customHeight="1">
      <c r="A451" s="21"/>
      <c r="B451" s="21"/>
      <c r="C451" s="21"/>
      <c r="D451" s="21"/>
      <c r="E451" s="21"/>
      <c r="F451" s="21"/>
    </row>
    <row r="452" ht="15.75" customHeight="1">
      <c r="A452" s="21"/>
      <c r="B452" s="21"/>
      <c r="C452" s="21"/>
      <c r="D452" s="21"/>
      <c r="E452" s="21"/>
      <c r="F452" s="21"/>
    </row>
    <row r="453" ht="15.75" customHeight="1">
      <c r="A453" s="21"/>
      <c r="B453" s="21"/>
      <c r="C453" s="21"/>
      <c r="D453" s="21"/>
      <c r="E453" s="21"/>
      <c r="F453" s="21"/>
    </row>
    <row r="454" ht="15.75" customHeight="1">
      <c r="A454" s="21"/>
      <c r="B454" s="21"/>
      <c r="C454" s="21"/>
      <c r="D454" s="21"/>
      <c r="E454" s="21"/>
      <c r="F454" s="21"/>
    </row>
    <row r="455" ht="15.75" customHeight="1">
      <c r="A455" s="21"/>
      <c r="B455" s="21"/>
      <c r="C455" s="21"/>
      <c r="D455" s="21"/>
      <c r="E455" s="21"/>
      <c r="F455" s="21"/>
    </row>
    <row r="456" ht="15.75" customHeight="1">
      <c r="A456" s="21"/>
      <c r="B456" s="21"/>
      <c r="C456" s="21"/>
      <c r="D456" s="21"/>
      <c r="E456" s="21"/>
      <c r="F456" s="21"/>
    </row>
    <row r="457" ht="15.75" customHeight="1">
      <c r="A457" s="21"/>
      <c r="B457" s="21"/>
      <c r="C457" s="21"/>
      <c r="D457" s="21"/>
      <c r="E457" s="21"/>
      <c r="F457" s="21"/>
    </row>
    <row r="458" ht="15.75" customHeight="1">
      <c r="A458" s="21"/>
      <c r="B458" s="21"/>
      <c r="C458" s="21"/>
      <c r="D458" s="21"/>
      <c r="E458" s="21"/>
      <c r="F458" s="21"/>
    </row>
    <row r="459" ht="15.75" customHeight="1">
      <c r="A459" s="21"/>
      <c r="B459" s="21"/>
      <c r="C459" s="21"/>
      <c r="D459" s="21"/>
      <c r="E459" s="21"/>
      <c r="F459" s="21"/>
    </row>
    <row r="460" ht="15.75" customHeight="1">
      <c r="A460" s="21"/>
      <c r="B460" s="21"/>
      <c r="C460" s="21"/>
      <c r="D460" s="21"/>
      <c r="E460" s="21"/>
      <c r="F460" s="21"/>
    </row>
    <row r="461" ht="15.75" customHeight="1">
      <c r="A461" s="21"/>
      <c r="B461" s="21"/>
      <c r="C461" s="21"/>
      <c r="D461" s="21"/>
      <c r="E461" s="21"/>
      <c r="F461" s="21"/>
    </row>
    <row r="462" ht="15.75" customHeight="1">
      <c r="A462" s="21"/>
      <c r="B462" s="21"/>
      <c r="C462" s="21"/>
      <c r="D462" s="21"/>
      <c r="E462" s="21"/>
      <c r="F462" s="21"/>
    </row>
    <row r="463" ht="15.75" customHeight="1">
      <c r="A463" s="21"/>
      <c r="B463" s="21"/>
      <c r="C463" s="21"/>
      <c r="D463" s="21"/>
      <c r="E463" s="21"/>
      <c r="F463" s="21"/>
    </row>
    <row r="464" ht="15.75" customHeight="1">
      <c r="A464" s="21"/>
      <c r="B464" s="21"/>
      <c r="C464" s="21"/>
      <c r="D464" s="21"/>
      <c r="E464" s="21"/>
      <c r="F464" s="21"/>
    </row>
    <row r="465" ht="15.75" customHeight="1">
      <c r="A465" s="21"/>
      <c r="B465" s="21"/>
      <c r="C465" s="21"/>
      <c r="D465" s="21"/>
      <c r="E465" s="21"/>
      <c r="F465" s="21"/>
    </row>
    <row r="466" ht="15.75" customHeight="1">
      <c r="A466" s="21"/>
      <c r="B466" s="21"/>
      <c r="C466" s="21"/>
      <c r="D466" s="21"/>
      <c r="E466" s="21"/>
      <c r="F466" s="21"/>
    </row>
    <row r="467" ht="15.75" customHeight="1">
      <c r="A467" s="21"/>
      <c r="B467" s="21"/>
      <c r="C467" s="21"/>
      <c r="D467" s="21"/>
      <c r="E467" s="21"/>
      <c r="F467" s="21"/>
    </row>
    <row r="468" ht="15.75" customHeight="1">
      <c r="A468" s="21"/>
      <c r="B468" s="21"/>
      <c r="C468" s="21"/>
      <c r="D468" s="21"/>
      <c r="E468" s="21"/>
      <c r="F468" s="21"/>
    </row>
    <row r="469" ht="15.75" customHeight="1">
      <c r="A469" s="21"/>
      <c r="B469" s="21"/>
      <c r="C469" s="21"/>
      <c r="D469" s="21"/>
      <c r="E469" s="21"/>
      <c r="F469" s="21"/>
    </row>
    <row r="470" ht="15.75" customHeight="1">
      <c r="A470" s="21"/>
      <c r="B470" s="21"/>
      <c r="C470" s="21"/>
      <c r="D470" s="21"/>
      <c r="E470" s="21"/>
      <c r="F470" s="21"/>
    </row>
    <row r="471" ht="15.75" customHeight="1">
      <c r="A471" s="21"/>
      <c r="B471" s="21"/>
      <c r="C471" s="21"/>
      <c r="D471" s="21"/>
      <c r="E471" s="21"/>
      <c r="F471" s="21"/>
    </row>
    <row r="472" ht="15.75" customHeight="1">
      <c r="A472" s="21"/>
      <c r="B472" s="21"/>
      <c r="C472" s="21"/>
      <c r="D472" s="21"/>
      <c r="E472" s="21"/>
      <c r="F472" s="21"/>
    </row>
    <row r="473" ht="15.75" customHeight="1">
      <c r="A473" s="21"/>
      <c r="B473" s="21"/>
      <c r="C473" s="21"/>
      <c r="D473" s="21"/>
      <c r="E473" s="21"/>
      <c r="F473" s="21"/>
    </row>
    <row r="474" ht="15.75" customHeight="1">
      <c r="A474" s="21"/>
      <c r="B474" s="21"/>
      <c r="C474" s="21"/>
      <c r="D474" s="21"/>
      <c r="E474" s="21"/>
      <c r="F474" s="21"/>
    </row>
    <row r="475" ht="15.75" customHeight="1">
      <c r="A475" s="21"/>
      <c r="B475" s="21"/>
      <c r="C475" s="21"/>
      <c r="D475" s="21"/>
      <c r="E475" s="21"/>
      <c r="F475" s="21"/>
    </row>
    <row r="476" ht="15.75" customHeight="1">
      <c r="A476" s="21"/>
      <c r="B476" s="21"/>
      <c r="C476" s="21"/>
      <c r="D476" s="21"/>
      <c r="E476" s="21"/>
      <c r="F476" s="21"/>
    </row>
    <row r="477" ht="15.75" customHeight="1">
      <c r="A477" s="21"/>
      <c r="B477" s="21"/>
      <c r="C477" s="21"/>
      <c r="D477" s="21"/>
      <c r="E477" s="21"/>
      <c r="F477" s="21"/>
    </row>
    <row r="478" ht="15.75" customHeight="1">
      <c r="A478" s="21"/>
      <c r="B478" s="21"/>
      <c r="C478" s="21"/>
      <c r="D478" s="21"/>
      <c r="E478" s="21"/>
      <c r="F478" s="21"/>
    </row>
    <row r="479" ht="15.75" customHeight="1">
      <c r="A479" s="21"/>
      <c r="B479" s="21"/>
      <c r="C479" s="21"/>
      <c r="D479" s="21"/>
      <c r="E479" s="21"/>
      <c r="F479" s="21"/>
    </row>
    <row r="480" ht="15.75" customHeight="1">
      <c r="A480" s="21"/>
      <c r="B480" s="21"/>
      <c r="C480" s="21"/>
      <c r="D480" s="21"/>
      <c r="E480" s="21"/>
      <c r="F480" s="21"/>
    </row>
    <row r="481" ht="15.75" customHeight="1">
      <c r="A481" s="21"/>
      <c r="B481" s="21"/>
      <c r="C481" s="21"/>
      <c r="D481" s="21"/>
      <c r="E481" s="21"/>
      <c r="F481" s="21"/>
    </row>
    <row r="482" ht="15.75" customHeight="1">
      <c r="A482" s="21"/>
      <c r="B482" s="21"/>
      <c r="C482" s="21"/>
      <c r="D482" s="21"/>
      <c r="E482" s="21"/>
      <c r="F482" s="21"/>
    </row>
    <row r="483" ht="15.75" customHeight="1">
      <c r="A483" s="21"/>
      <c r="B483" s="21"/>
      <c r="C483" s="21"/>
      <c r="D483" s="21"/>
      <c r="E483" s="21"/>
      <c r="F483" s="21"/>
    </row>
    <row r="484" ht="15.75" customHeight="1">
      <c r="A484" s="21"/>
      <c r="B484" s="21"/>
      <c r="C484" s="21"/>
      <c r="D484" s="21"/>
      <c r="E484" s="21"/>
      <c r="F484" s="21"/>
    </row>
    <row r="485" ht="15.75" customHeight="1">
      <c r="A485" s="21"/>
      <c r="B485" s="21"/>
      <c r="C485" s="21"/>
      <c r="D485" s="21"/>
      <c r="E485" s="21"/>
      <c r="F485" s="21"/>
    </row>
    <row r="486" ht="15.75" customHeight="1">
      <c r="A486" s="21"/>
      <c r="B486" s="21"/>
      <c r="C486" s="21"/>
      <c r="D486" s="21"/>
      <c r="E486" s="21"/>
      <c r="F486" s="21"/>
    </row>
    <row r="487" ht="15.75" customHeight="1">
      <c r="A487" s="21"/>
      <c r="B487" s="21"/>
      <c r="C487" s="21"/>
      <c r="D487" s="21"/>
      <c r="E487" s="21"/>
      <c r="F487" s="21"/>
    </row>
    <row r="488" ht="15.75" customHeight="1">
      <c r="A488" s="21"/>
      <c r="B488" s="21"/>
      <c r="C488" s="21"/>
      <c r="D488" s="21"/>
      <c r="E488" s="21"/>
      <c r="F488" s="21"/>
    </row>
    <row r="489" ht="15.75" customHeight="1">
      <c r="A489" s="21"/>
      <c r="B489" s="21"/>
      <c r="C489" s="21"/>
      <c r="D489" s="21"/>
      <c r="E489" s="21"/>
      <c r="F489" s="21"/>
    </row>
    <row r="490" ht="15.75" customHeight="1">
      <c r="A490" s="21"/>
      <c r="B490" s="21"/>
      <c r="C490" s="21"/>
      <c r="D490" s="21"/>
      <c r="E490" s="21"/>
      <c r="F490" s="21"/>
    </row>
    <row r="491" ht="15.75" customHeight="1">
      <c r="A491" s="21"/>
      <c r="B491" s="21"/>
      <c r="C491" s="21"/>
      <c r="D491" s="21"/>
      <c r="E491" s="21"/>
      <c r="F491" s="21"/>
    </row>
    <row r="492" ht="15.75" customHeight="1">
      <c r="A492" s="21"/>
      <c r="B492" s="21"/>
      <c r="C492" s="21"/>
      <c r="D492" s="21"/>
      <c r="E492" s="21"/>
      <c r="F492" s="21"/>
    </row>
    <row r="493" ht="15.75" customHeight="1">
      <c r="A493" s="21"/>
      <c r="B493" s="21"/>
      <c r="C493" s="21"/>
      <c r="D493" s="21"/>
      <c r="E493" s="21"/>
      <c r="F493" s="21"/>
    </row>
    <row r="494" ht="15.75" customHeight="1">
      <c r="A494" s="21"/>
      <c r="B494" s="21"/>
      <c r="C494" s="21"/>
      <c r="D494" s="21"/>
      <c r="E494" s="21"/>
      <c r="F494" s="21"/>
    </row>
    <row r="495" ht="15.75" customHeight="1">
      <c r="A495" s="21"/>
      <c r="B495" s="21"/>
      <c r="C495" s="21"/>
      <c r="D495" s="21"/>
      <c r="E495" s="21"/>
      <c r="F495" s="21"/>
    </row>
    <row r="496" ht="15.75" customHeight="1">
      <c r="A496" s="21"/>
      <c r="B496" s="21"/>
      <c r="C496" s="21"/>
      <c r="D496" s="21"/>
      <c r="E496" s="21"/>
      <c r="F496" s="21"/>
    </row>
    <row r="497" ht="15.75" customHeight="1">
      <c r="A497" s="21"/>
      <c r="B497" s="21"/>
      <c r="C497" s="21"/>
      <c r="D497" s="21"/>
      <c r="E497" s="21"/>
      <c r="F497" s="21"/>
    </row>
    <row r="498" ht="15.75" customHeight="1">
      <c r="A498" s="21"/>
      <c r="B498" s="21"/>
      <c r="C498" s="21"/>
      <c r="D498" s="21"/>
      <c r="E498" s="21"/>
      <c r="F498" s="21"/>
    </row>
    <row r="499" ht="15.75" customHeight="1">
      <c r="A499" s="21"/>
      <c r="B499" s="21"/>
      <c r="C499" s="21"/>
      <c r="D499" s="21"/>
      <c r="E499" s="21"/>
      <c r="F499" s="21"/>
    </row>
    <row r="500" ht="15.75" customHeight="1">
      <c r="A500" s="21"/>
      <c r="B500" s="21"/>
      <c r="C500" s="21"/>
      <c r="D500" s="21"/>
      <c r="E500" s="21"/>
      <c r="F500" s="21"/>
    </row>
    <row r="501" ht="15.75" customHeight="1">
      <c r="A501" s="21"/>
      <c r="B501" s="21"/>
      <c r="C501" s="21"/>
      <c r="D501" s="21"/>
      <c r="E501" s="21"/>
      <c r="F501" s="21"/>
    </row>
    <row r="502" ht="15.75" customHeight="1">
      <c r="A502" s="21"/>
      <c r="B502" s="21"/>
      <c r="C502" s="21"/>
      <c r="D502" s="21"/>
      <c r="E502" s="21"/>
      <c r="F502" s="21"/>
    </row>
    <row r="503" ht="15.75" customHeight="1">
      <c r="A503" s="21"/>
      <c r="B503" s="21"/>
      <c r="C503" s="21"/>
      <c r="D503" s="21"/>
      <c r="E503" s="21"/>
      <c r="F503" s="21"/>
    </row>
    <row r="504" ht="15.75" customHeight="1">
      <c r="A504" s="21"/>
      <c r="B504" s="21"/>
      <c r="C504" s="21"/>
      <c r="D504" s="21"/>
      <c r="E504" s="21"/>
      <c r="F504" s="21"/>
    </row>
    <row r="505" ht="15.75" customHeight="1">
      <c r="A505" s="21"/>
      <c r="B505" s="21"/>
      <c r="C505" s="21"/>
      <c r="D505" s="21"/>
      <c r="E505" s="21"/>
      <c r="F505" s="21"/>
    </row>
    <row r="506" ht="15.75" customHeight="1">
      <c r="A506" s="21"/>
      <c r="B506" s="21"/>
      <c r="C506" s="21"/>
      <c r="D506" s="21"/>
      <c r="E506" s="21"/>
      <c r="F506" s="21"/>
    </row>
    <row r="507" ht="15.75" customHeight="1">
      <c r="A507" s="21"/>
      <c r="B507" s="21"/>
      <c r="C507" s="21"/>
      <c r="D507" s="21"/>
      <c r="E507" s="21"/>
      <c r="F507" s="21"/>
    </row>
    <row r="508" ht="15.75" customHeight="1">
      <c r="A508" s="21"/>
      <c r="B508" s="21"/>
      <c r="C508" s="21"/>
      <c r="D508" s="21"/>
      <c r="E508" s="21"/>
      <c r="F508" s="21"/>
    </row>
    <row r="509" ht="15.75" customHeight="1">
      <c r="A509" s="21"/>
      <c r="B509" s="21"/>
      <c r="C509" s="21"/>
      <c r="D509" s="21"/>
      <c r="E509" s="21"/>
      <c r="F509" s="21"/>
    </row>
    <row r="510" ht="15.75" customHeight="1">
      <c r="A510" s="21"/>
      <c r="B510" s="21"/>
      <c r="C510" s="21"/>
      <c r="D510" s="21"/>
      <c r="E510" s="21"/>
      <c r="F510" s="21"/>
    </row>
    <row r="511" ht="15.75" customHeight="1">
      <c r="A511" s="21"/>
      <c r="B511" s="21"/>
      <c r="C511" s="21"/>
      <c r="D511" s="21"/>
      <c r="E511" s="21"/>
      <c r="F511" s="21"/>
    </row>
    <row r="512" ht="15.75" customHeight="1">
      <c r="A512" s="21"/>
      <c r="B512" s="21"/>
      <c r="C512" s="21"/>
      <c r="D512" s="21"/>
      <c r="E512" s="21"/>
      <c r="F512" s="21"/>
    </row>
    <row r="513" ht="15.75" customHeight="1">
      <c r="A513" s="21"/>
      <c r="B513" s="21"/>
      <c r="C513" s="21"/>
      <c r="D513" s="21"/>
      <c r="E513" s="21"/>
      <c r="F513" s="21"/>
    </row>
    <row r="514" ht="15.75" customHeight="1">
      <c r="A514" s="21"/>
      <c r="B514" s="21"/>
      <c r="C514" s="21"/>
      <c r="D514" s="21"/>
      <c r="E514" s="21"/>
      <c r="F514" s="21"/>
    </row>
    <row r="515" ht="15.75" customHeight="1">
      <c r="A515" s="21"/>
      <c r="B515" s="21"/>
      <c r="C515" s="21"/>
      <c r="D515" s="21"/>
      <c r="E515" s="21"/>
      <c r="F515" s="21"/>
    </row>
    <row r="516" ht="15.75" customHeight="1">
      <c r="A516" s="21"/>
      <c r="B516" s="21"/>
      <c r="C516" s="21"/>
      <c r="D516" s="21"/>
      <c r="E516" s="21"/>
      <c r="F516" s="21"/>
    </row>
    <row r="517" ht="15.75" customHeight="1">
      <c r="A517" s="21"/>
      <c r="B517" s="21"/>
      <c r="C517" s="21"/>
      <c r="D517" s="21"/>
      <c r="E517" s="21"/>
      <c r="F517" s="21"/>
    </row>
    <row r="518" ht="15.75" customHeight="1">
      <c r="A518" s="21"/>
      <c r="B518" s="21"/>
      <c r="C518" s="21"/>
      <c r="D518" s="21"/>
      <c r="E518" s="21"/>
      <c r="F518" s="21"/>
    </row>
    <row r="519" ht="15.75" customHeight="1">
      <c r="A519" s="21"/>
      <c r="B519" s="21"/>
      <c r="C519" s="21"/>
      <c r="D519" s="21"/>
      <c r="E519" s="21"/>
      <c r="F519" s="21"/>
    </row>
    <row r="520" ht="15.75" customHeight="1">
      <c r="A520" s="21"/>
      <c r="B520" s="21"/>
      <c r="C520" s="21"/>
      <c r="D520" s="21"/>
      <c r="E520" s="21"/>
      <c r="F520" s="21"/>
    </row>
    <row r="521" ht="15.75" customHeight="1">
      <c r="A521" s="21"/>
      <c r="B521" s="21"/>
      <c r="C521" s="21"/>
      <c r="D521" s="21"/>
      <c r="E521" s="21"/>
      <c r="F521" s="21"/>
    </row>
    <row r="522" ht="15.75" customHeight="1">
      <c r="A522" s="21"/>
      <c r="B522" s="21"/>
      <c r="C522" s="21"/>
      <c r="D522" s="21"/>
      <c r="E522" s="21"/>
      <c r="F522" s="21"/>
    </row>
    <row r="523" ht="15.75" customHeight="1">
      <c r="A523" s="21"/>
      <c r="B523" s="21"/>
      <c r="C523" s="21"/>
      <c r="D523" s="21"/>
      <c r="E523" s="21"/>
      <c r="F523" s="21"/>
    </row>
    <row r="524" ht="15.75" customHeight="1">
      <c r="A524" s="21"/>
      <c r="B524" s="21"/>
      <c r="C524" s="21"/>
      <c r="D524" s="21"/>
      <c r="E524" s="21"/>
      <c r="F524" s="21"/>
    </row>
    <row r="525" ht="15.75" customHeight="1">
      <c r="A525" s="21"/>
      <c r="B525" s="21"/>
      <c r="C525" s="21"/>
      <c r="D525" s="21"/>
      <c r="E525" s="21"/>
      <c r="F525" s="21"/>
    </row>
    <row r="526" ht="15.75" customHeight="1">
      <c r="A526" s="21"/>
      <c r="B526" s="21"/>
      <c r="C526" s="21"/>
      <c r="D526" s="21"/>
      <c r="E526" s="21"/>
      <c r="F526" s="21"/>
    </row>
    <row r="527" ht="15.75" customHeight="1">
      <c r="A527" s="21"/>
      <c r="B527" s="21"/>
      <c r="C527" s="21"/>
      <c r="D527" s="21"/>
      <c r="E527" s="21"/>
      <c r="F527" s="21"/>
    </row>
    <row r="528" ht="15.75" customHeight="1">
      <c r="A528" s="21"/>
      <c r="B528" s="21"/>
      <c r="C528" s="21"/>
      <c r="D528" s="21"/>
      <c r="E528" s="21"/>
      <c r="F528" s="21"/>
    </row>
    <row r="529" ht="15.75" customHeight="1">
      <c r="A529" s="21"/>
      <c r="B529" s="21"/>
      <c r="C529" s="21"/>
      <c r="D529" s="21"/>
      <c r="E529" s="21"/>
      <c r="F529" s="21"/>
    </row>
    <row r="530" ht="15.75" customHeight="1">
      <c r="A530" s="21"/>
      <c r="B530" s="21"/>
      <c r="C530" s="21"/>
      <c r="D530" s="21"/>
      <c r="E530" s="21"/>
      <c r="F530" s="21"/>
    </row>
    <row r="531" ht="15.75" customHeight="1">
      <c r="A531" s="21"/>
      <c r="B531" s="21"/>
      <c r="C531" s="21"/>
      <c r="D531" s="21"/>
      <c r="E531" s="21"/>
      <c r="F531" s="21"/>
    </row>
    <row r="532" ht="15.75" customHeight="1">
      <c r="A532" s="21"/>
      <c r="B532" s="21"/>
      <c r="C532" s="21"/>
      <c r="D532" s="21"/>
      <c r="E532" s="21"/>
      <c r="F532" s="21"/>
    </row>
    <row r="533" ht="15.75" customHeight="1">
      <c r="A533" s="21"/>
      <c r="B533" s="21"/>
      <c r="C533" s="21"/>
      <c r="D533" s="21"/>
      <c r="E533" s="21"/>
      <c r="F533" s="21"/>
    </row>
    <row r="534" ht="15.75" customHeight="1">
      <c r="A534" s="21"/>
      <c r="B534" s="21"/>
      <c r="C534" s="21"/>
      <c r="D534" s="21"/>
      <c r="E534" s="21"/>
      <c r="F534" s="21"/>
    </row>
    <row r="535" ht="15.75" customHeight="1">
      <c r="A535" s="21"/>
      <c r="B535" s="21"/>
      <c r="C535" s="21"/>
      <c r="D535" s="21"/>
      <c r="E535" s="21"/>
      <c r="F535" s="21"/>
    </row>
    <row r="536" ht="15.75" customHeight="1">
      <c r="A536" s="21"/>
      <c r="B536" s="21"/>
      <c r="C536" s="21"/>
      <c r="D536" s="21"/>
      <c r="E536" s="21"/>
      <c r="F536" s="21"/>
    </row>
    <row r="537" ht="15.75" customHeight="1">
      <c r="A537" s="21"/>
      <c r="B537" s="21"/>
      <c r="C537" s="21"/>
      <c r="D537" s="21"/>
      <c r="E537" s="21"/>
      <c r="F537" s="21"/>
    </row>
    <row r="538" ht="15.75" customHeight="1">
      <c r="A538" s="21"/>
      <c r="B538" s="21"/>
      <c r="C538" s="21"/>
      <c r="D538" s="21"/>
      <c r="E538" s="21"/>
      <c r="F538" s="21"/>
    </row>
    <row r="539" ht="15.75" customHeight="1">
      <c r="A539" s="21"/>
      <c r="B539" s="21"/>
      <c r="C539" s="21"/>
      <c r="D539" s="21"/>
      <c r="E539" s="21"/>
      <c r="F539" s="21"/>
    </row>
    <row r="540" ht="15.75" customHeight="1">
      <c r="A540" s="21"/>
      <c r="B540" s="21"/>
      <c r="C540" s="21"/>
      <c r="D540" s="21"/>
      <c r="E540" s="21"/>
      <c r="F540" s="21"/>
    </row>
    <row r="541" ht="15.75" customHeight="1">
      <c r="A541" s="21"/>
      <c r="B541" s="21"/>
      <c r="C541" s="21"/>
      <c r="D541" s="21"/>
      <c r="E541" s="21"/>
      <c r="F541" s="21"/>
    </row>
    <row r="542" ht="15.75" customHeight="1">
      <c r="A542" s="21"/>
      <c r="B542" s="21"/>
      <c r="C542" s="21"/>
      <c r="D542" s="21"/>
      <c r="E542" s="21"/>
      <c r="F542" s="21"/>
    </row>
    <row r="543" ht="15.75" customHeight="1">
      <c r="A543" s="21"/>
      <c r="B543" s="21"/>
      <c r="C543" s="21"/>
      <c r="D543" s="21"/>
      <c r="E543" s="21"/>
      <c r="F543" s="21"/>
    </row>
    <row r="544" ht="15.75" customHeight="1">
      <c r="A544" s="21"/>
      <c r="B544" s="21"/>
      <c r="C544" s="21"/>
      <c r="D544" s="21"/>
      <c r="E544" s="21"/>
      <c r="F544" s="21"/>
    </row>
    <row r="545" ht="15.75" customHeight="1">
      <c r="A545" s="21"/>
      <c r="B545" s="21"/>
      <c r="C545" s="21"/>
      <c r="D545" s="21"/>
      <c r="E545" s="21"/>
      <c r="F545" s="21"/>
    </row>
    <row r="546" ht="15.75" customHeight="1">
      <c r="A546" s="21"/>
      <c r="B546" s="21"/>
      <c r="C546" s="21"/>
      <c r="D546" s="21"/>
      <c r="E546" s="21"/>
      <c r="F546" s="21"/>
    </row>
    <row r="547" ht="15.75" customHeight="1">
      <c r="A547" s="21"/>
      <c r="B547" s="21"/>
      <c r="C547" s="21"/>
      <c r="D547" s="21"/>
      <c r="E547" s="21"/>
      <c r="F547" s="21"/>
    </row>
    <row r="548" ht="15.75" customHeight="1">
      <c r="A548" s="21"/>
      <c r="B548" s="21"/>
      <c r="C548" s="21"/>
      <c r="D548" s="21"/>
      <c r="E548" s="21"/>
      <c r="F548" s="21"/>
    </row>
    <row r="549" ht="15.75" customHeight="1">
      <c r="A549" s="21"/>
      <c r="B549" s="21"/>
      <c r="C549" s="21"/>
      <c r="D549" s="21"/>
      <c r="E549" s="21"/>
      <c r="F549" s="21"/>
    </row>
    <row r="550" ht="15.75" customHeight="1">
      <c r="A550" s="21"/>
      <c r="B550" s="21"/>
      <c r="C550" s="21"/>
      <c r="D550" s="21"/>
      <c r="E550" s="21"/>
      <c r="F550" s="21"/>
    </row>
    <row r="551" ht="15.75" customHeight="1">
      <c r="A551" s="21"/>
      <c r="B551" s="21"/>
      <c r="C551" s="21"/>
      <c r="D551" s="21"/>
      <c r="E551" s="21"/>
      <c r="F551" s="21"/>
    </row>
    <row r="552" ht="15.75" customHeight="1">
      <c r="A552" s="21"/>
      <c r="B552" s="21"/>
      <c r="C552" s="21"/>
      <c r="D552" s="21"/>
      <c r="E552" s="21"/>
      <c r="F552" s="21"/>
    </row>
    <row r="553" ht="15.75" customHeight="1">
      <c r="A553" s="21"/>
      <c r="B553" s="21"/>
      <c r="C553" s="21"/>
      <c r="D553" s="21"/>
      <c r="E553" s="21"/>
      <c r="F553" s="21"/>
    </row>
    <row r="554" ht="15.75" customHeight="1">
      <c r="A554" s="21"/>
      <c r="B554" s="21"/>
      <c r="C554" s="21"/>
      <c r="D554" s="21"/>
      <c r="E554" s="21"/>
      <c r="F554" s="21"/>
    </row>
    <row r="555" ht="15.75" customHeight="1">
      <c r="A555" s="21"/>
      <c r="B555" s="21"/>
      <c r="C555" s="21"/>
      <c r="D555" s="21"/>
      <c r="E555" s="21"/>
      <c r="F555" s="21"/>
    </row>
    <row r="556" ht="15.75" customHeight="1">
      <c r="A556" s="21"/>
      <c r="B556" s="21"/>
      <c r="C556" s="21"/>
      <c r="D556" s="21"/>
      <c r="E556" s="21"/>
      <c r="F556" s="21"/>
    </row>
    <row r="557" ht="15.75" customHeight="1">
      <c r="A557" s="21"/>
      <c r="B557" s="21"/>
      <c r="C557" s="21"/>
      <c r="D557" s="21"/>
      <c r="E557" s="21"/>
      <c r="F557" s="21"/>
    </row>
    <row r="558" ht="15.75" customHeight="1">
      <c r="A558" s="21"/>
      <c r="B558" s="21"/>
      <c r="C558" s="21"/>
      <c r="D558" s="21"/>
      <c r="E558" s="21"/>
      <c r="F558" s="21"/>
    </row>
    <row r="559" ht="15.75" customHeight="1">
      <c r="A559" s="21"/>
      <c r="B559" s="21"/>
      <c r="C559" s="21"/>
      <c r="D559" s="21"/>
      <c r="E559" s="21"/>
      <c r="F559" s="21"/>
    </row>
    <row r="560" ht="15.75" customHeight="1">
      <c r="A560" s="21"/>
      <c r="B560" s="21"/>
      <c r="C560" s="21"/>
      <c r="D560" s="21"/>
      <c r="E560" s="21"/>
      <c r="F560" s="21"/>
    </row>
    <row r="561" ht="15.75" customHeight="1">
      <c r="A561" s="21"/>
      <c r="B561" s="21"/>
      <c r="C561" s="21"/>
      <c r="D561" s="21"/>
      <c r="E561" s="21"/>
      <c r="F561" s="21"/>
    </row>
    <row r="562" ht="15.75" customHeight="1">
      <c r="A562" s="21"/>
      <c r="B562" s="21"/>
      <c r="C562" s="21"/>
      <c r="D562" s="21"/>
      <c r="E562" s="21"/>
      <c r="F562" s="21"/>
    </row>
    <row r="563" ht="15.75" customHeight="1">
      <c r="A563" s="21"/>
      <c r="B563" s="21"/>
      <c r="C563" s="21"/>
      <c r="D563" s="21"/>
      <c r="E563" s="21"/>
      <c r="F563" s="21"/>
    </row>
    <row r="564" ht="15.75" customHeight="1">
      <c r="A564" s="21"/>
      <c r="B564" s="21"/>
      <c r="C564" s="21"/>
      <c r="D564" s="21"/>
      <c r="E564" s="21"/>
      <c r="F564" s="21"/>
    </row>
    <row r="565" ht="15.75" customHeight="1">
      <c r="A565" s="21"/>
      <c r="B565" s="21"/>
      <c r="C565" s="21"/>
      <c r="D565" s="21"/>
      <c r="E565" s="21"/>
      <c r="F565" s="21"/>
    </row>
    <row r="566" ht="15.75" customHeight="1">
      <c r="A566" s="21"/>
      <c r="B566" s="21"/>
      <c r="C566" s="21"/>
      <c r="D566" s="21"/>
      <c r="E566" s="21"/>
      <c r="F566" s="21"/>
    </row>
    <row r="567" ht="15.75" customHeight="1">
      <c r="A567" s="21"/>
      <c r="B567" s="21"/>
      <c r="C567" s="21"/>
      <c r="D567" s="21"/>
      <c r="E567" s="21"/>
      <c r="F567" s="21"/>
    </row>
    <row r="568" ht="15.75" customHeight="1">
      <c r="A568" s="21"/>
      <c r="B568" s="21"/>
      <c r="C568" s="21"/>
      <c r="D568" s="21"/>
      <c r="E568" s="21"/>
      <c r="F568" s="21"/>
    </row>
    <row r="569" ht="15.75" customHeight="1">
      <c r="A569" s="21"/>
      <c r="B569" s="21"/>
      <c r="C569" s="21"/>
      <c r="D569" s="21"/>
      <c r="E569" s="21"/>
      <c r="F569" s="21"/>
    </row>
    <row r="570" ht="15.75" customHeight="1">
      <c r="A570" s="21"/>
      <c r="B570" s="21"/>
      <c r="C570" s="21"/>
      <c r="D570" s="21"/>
      <c r="E570" s="21"/>
      <c r="F570" s="21"/>
    </row>
    <row r="571" ht="15.75" customHeight="1">
      <c r="A571" s="21"/>
      <c r="B571" s="21"/>
      <c r="C571" s="21"/>
      <c r="D571" s="21"/>
      <c r="E571" s="21"/>
      <c r="F571" s="21"/>
    </row>
    <row r="572" ht="15.75" customHeight="1">
      <c r="A572" s="21"/>
      <c r="B572" s="21"/>
      <c r="C572" s="21"/>
      <c r="D572" s="21"/>
      <c r="E572" s="21"/>
      <c r="F572" s="21"/>
    </row>
    <row r="573" ht="15.75" customHeight="1">
      <c r="A573" s="21"/>
      <c r="B573" s="21"/>
      <c r="C573" s="21"/>
      <c r="D573" s="21"/>
      <c r="E573" s="21"/>
      <c r="F573" s="21"/>
    </row>
    <row r="574" ht="15.75" customHeight="1">
      <c r="A574" s="21"/>
      <c r="B574" s="21"/>
      <c r="C574" s="21"/>
      <c r="D574" s="21"/>
      <c r="E574" s="21"/>
      <c r="F574" s="21"/>
    </row>
    <row r="575" ht="15.75" customHeight="1">
      <c r="A575" s="21"/>
      <c r="B575" s="21"/>
      <c r="C575" s="21"/>
      <c r="D575" s="21"/>
      <c r="E575" s="21"/>
      <c r="F575" s="21"/>
    </row>
    <row r="576" ht="15.75" customHeight="1">
      <c r="A576" s="21"/>
      <c r="B576" s="21"/>
      <c r="C576" s="21"/>
      <c r="D576" s="21"/>
      <c r="E576" s="21"/>
      <c r="F576" s="21"/>
    </row>
    <row r="577" ht="15.75" customHeight="1">
      <c r="A577" s="21"/>
      <c r="B577" s="21"/>
      <c r="C577" s="21"/>
      <c r="D577" s="21"/>
      <c r="E577" s="21"/>
      <c r="F577" s="21"/>
    </row>
    <row r="578" ht="15.75" customHeight="1">
      <c r="A578" s="21"/>
      <c r="B578" s="21"/>
      <c r="C578" s="21"/>
      <c r="D578" s="21"/>
      <c r="E578" s="21"/>
      <c r="F578" s="21"/>
    </row>
    <row r="579" ht="15.75" customHeight="1">
      <c r="A579" s="21"/>
      <c r="B579" s="21"/>
      <c r="C579" s="21"/>
      <c r="D579" s="21"/>
      <c r="E579" s="21"/>
      <c r="F579" s="21"/>
    </row>
    <row r="580" ht="15.75" customHeight="1">
      <c r="A580" s="21"/>
      <c r="B580" s="21"/>
      <c r="C580" s="21"/>
      <c r="D580" s="21"/>
      <c r="E580" s="21"/>
      <c r="F580" s="21"/>
    </row>
    <row r="581" ht="15.75" customHeight="1">
      <c r="A581" s="21"/>
      <c r="B581" s="21"/>
      <c r="C581" s="21"/>
      <c r="D581" s="21"/>
      <c r="E581" s="21"/>
      <c r="F581" s="21"/>
    </row>
    <row r="582" ht="15.75" customHeight="1">
      <c r="A582" s="21"/>
      <c r="B582" s="21"/>
      <c r="C582" s="21"/>
      <c r="D582" s="21"/>
      <c r="E582" s="21"/>
      <c r="F582" s="21"/>
    </row>
    <row r="583" ht="15.75" customHeight="1">
      <c r="A583" s="21"/>
      <c r="B583" s="21"/>
      <c r="C583" s="21"/>
      <c r="D583" s="21"/>
      <c r="E583" s="21"/>
      <c r="F583" s="21"/>
    </row>
    <row r="584" ht="15.75" customHeight="1">
      <c r="A584" s="21"/>
      <c r="B584" s="21"/>
      <c r="C584" s="21"/>
      <c r="D584" s="21"/>
      <c r="E584" s="21"/>
      <c r="F584" s="21"/>
    </row>
    <row r="585" ht="15.75" customHeight="1">
      <c r="A585" s="21"/>
      <c r="B585" s="21"/>
      <c r="C585" s="21"/>
      <c r="D585" s="21"/>
      <c r="E585" s="21"/>
      <c r="F585" s="21"/>
    </row>
    <row r="586" ht="15.75" customHeight="1">
      <c r="A586" s="21"/>
      <c r="B586" s="21"/>
      <c r="C586" s="21"/>
      <c r="D586" s="21"/>
      <c r="E586" s="21"/>
      <c r="F586" s="21"/>
    </row>
    <row r="587" ht="15.75" customHeight="1">
      <c r="A587" s="21"/>
      <c r="B587" s="21"/>
      <c r="C587" s="21"/>
      <c r="D587" s="21"/>
      <c r="E587" s="21"/>
      <c r="F587" s="21"/>
    </row>
    <row r="588" ht="15.75" customHeight="1">
      <c r="A588" s="21"/>
      <c r="B588" s="21"/>
      <c r="C588" s="21"/>
      <c r="D588" s="21"/>
      <c r="E588" s="21"/>
      <c r="F588" s="21"/>
    </row>
    <row r="589" ht="15.75" customHeight="1">
      <c r="A589" s="21"/>
      <c r="B589" s="21"/>
      <c r="C589" s="21"/>
      <c r="D589" s="21"/>
      <c r="E589" s="21"/>
      <c r="F589" s="21"/>
    </row>
    <row r="590" ht="15.75" customHeight="1">
      <c r="A590" s="21"/>
      <c r="B590" s="21"/>
      <c r="C590" s="21"/>
      <c r="D590" s="21"/>
      <c r="E590" s="21"/>
      <c r="F590" s="21"/>
    </row>
    <row r="591" ht="15.75" customHeight="1">
      <c r="A591" s="21"/>
      <c r="B591" s="21"/>
      <c r="C591" s="21"/>
      <c r="D591" s="21"/>
      <c r="E591" s="21"/>
      <c r="F591" s="21"/>
    </row>
    <row r="592" ht="15.75" customHeight="1">
      <c r="A592" s="21"/>
      <c r="B592" s="21"/>
      <c r="C592" s="21"/>
      <c r="D592" s="21"/>
      <c r="E592" s="21"/>
      <c r="F592" s="21"/>
    </row>
    <row r="593" ht="15.75" customHeight="1">
      <c r="A593" s="21"/>
      <c r="B593" s="21"/>
      <c r="C593" s="21"/>
      <c r="D593" s="21"/>
      <c r="E593" s="21"/>
      <c r="F593" s="21"/>
    </row>
    <row r="594" ht="15.75" customHeight="1">
      <c r="A594" s="21"/>
      <c r="B594" s="21"/>
      <c r="C594" s="21"/>
      <c r="D594" s="21"/>
      <c r="E594" s="21"/>
      <c r="F594" s="21"/>
    </row>
    <row r="595" ht="15.75" customHeight="1">
      <c r="A595" s="21"/>
      <c r="B595" s="21"/>
      <c r="C595" s="21"/>
      <c r="D595" s="21"/>
      <c r="E595" s="21"/>
      <c r="F595" s="21"/>
    </row>
    <row r="596" ht="15.75" customHeight="1">
      <c r="A596" s="21"/>
      <c r="B596" s="21"/>
      <c r="C596" s="21"/>
      <c r="D596" s="21"/>
      <c r="E596" s="21"/>
      <c r="F596" s="21"/>
    </row>
    <row r="597" ht="15.75" customHeight="1">
      <c r="A597" s="21"/>
      <c r="B597" s="21"/>
      <c r="C597" s="21"/>
      <c r="D597" s="21"/>
      <c r="E597" s="21"/>
      <c r="F597" s="21"/>
    </row>
    <row r="598" ht="15.75" customHeight="1">
      <c r="A598" s="21"/>
      <c r="B598" s="21"/>
      <c r="C598" s="21"/>
      <c r="D598" s="21"/>
      <c r="E598" s="21"/>
      <c r="F598" s="21"/>
    </row>
    <row r="599" ht="15.75" customHeight="1">
      <c r="A599" s="21"/>
      <c r="B599" s="21"/>
      <c r="C599" s="21"/>
      <c r="D599" s="21"/>
      <c r="E599" s="21"/>
      <c r="F599" s="21"/>
    </row>
    <row r="600" ht="15.75" customHeight="1">
      <c r="A600" s="21"/>
      <c r="B600" s="21"/>
      <c r="C600" s="21"/>
      <c r="D600" s="21"/>
      <c r="E600" s="21"/>
      <c r="F600" s="21"/>
    </row>
    <row r="601" ht="15.75" customHeight="1">
      <c r="A601" s="21"/>
      <c r="B601" s="21"/>
      <c r="C601" s="21"/>
      <c r="D601" s="21"/>
      <c r="E601" s="21"/>
      <c r="F601" s="21"/>
    </row>
    <row r="602" ht="15.75" customHeight="1">
      <c r="A602" s="21"/>
      <c r="B602" s="21"/>
      <c r="C602" s="21"/>
      <c r="D602" s="21"/>
      <c r="E602" s="21"/>
      <c r="F602" s="21"/>
    </row>
    <row r="603" ht="15.75" customHeight="1">
      <c r="A603" s="21"/>
      <c r="B603" s="21"/>
      <c r="C603" s="21"/>
      <c r="D603" s="21"/>
      <c r="E603" s="21"/>
      <c r="F603" s="21"/>
    </row>
    <row r="604" ht="15.75" customHeight="1">
      <c r="A604" s="21"/>
      <c r="B604" s="21"/>
      <c r="C604" s="21"/>
      <c r="D604" s="21"/>
      <c r="E604" s="21"/>
      <c r="F604" s="21"/>
    </row>
    <row r="605" ht="15.75" customHeight="1">
      <c r="A605" s="21"/>
      <c r="B605" s="21"/>
      <c r="C605" s="21"/>
      <c r="D605" s="21"/>
      <c r="E605" s="21"/>
      <c r="F605" s="21"/>
    </row>
    <row r="606" ht="15.75" customHeight="1">
      <c r="A606" s="21"/>
      <c r="B606" s="21"/>
      <c r="C606" s="21"/>
      <c r="D606" s="21"/>
      <c r="E606" s="21"/>
      <c r="F606" s="21"/>
    </row>
    <row r="607" ht="15.75" customHeight="1">
      <c r="A607" s="21"/>
      <c r="B607" s="21"/>
      <c r="C607" s="21"/>
      <c r="D607" s="21"/>
      <c r="E607" s="21"/>
      <c r="F607" s="21"/>
    </row>
    <row r="608" ht="15.75" customHeight="1">
      <c r="A608" s="21"/>
      <c r="B608" s="21"/>
      <c r="C608" s="21"/>
      <c r="D608" s="21"/>
      <c r="E608" s="21"/>
      <c r="F608" s="21"/>
    </row>
    <row r="609" ht="15.75" customHeight="1">
      <c r="A609" s="21"/>
      <c r="B609" s="21"/>
      <c r="C609" s="21"/>
      <c r="D609" s="21"/>
      <c r="E609" s="21"/>
      <c r="F609" s="21"/>
    </row>
    <row r="610" ht="15.75" customHeight="1">
      <c r="A610" s="21"/>
      <c r="B610" s="21"/>
      <c r="C610" s="21"/>
      <c r="D610" s="21"/>
      <c r="E610" s="21"/>
      <c r="F610" s="21"/>
    </row>
    <row r="611" ht="15.75" customHeight="1">
      <c r="A611" s="21"/>
      <c r="B611" s="21"/>
      <c r="C611" s="21"/>
      <c r="D611" s="21"/>
      <c r="E611" s="21"/>
      <c r="F611" s="21"/>
    </row>
    <row r="612" ht="15.75" customHeight="1">
      <c r="A612" s="21"/>
      <c r="B612" s="21"/>
      <c r="C612" s="21"/>
      <c r="D612" s="21"/>
      <c r="E612" s="21"/>
      <c r="F612" s="21"/>
    </row>
    <row r="613" ht="15.75" customHeight="1">
      <c r="A613" s="21"/>
      <c r="B613" s="21"/>
      <c r="C613" s="21"/>
      <c r="D613" s="21"/>
      <c r="E613" s="21"/>
      <c r="F613" s="21"/>
    </row>
    <row r="614" ht="15.75" customHeight="1">
      <c r="A614" s="21"/>
      <c r="B614" s="21"/>
      <c r="C614" s="21"/>
      <c r="D614" s="21"/>
      <c r="E614" s="21"/>
      <c r="F614" s="21"/>
    </row>
    <row r="615" ht="15.75" customHeight="1">
      <c r="A615" s="21"/>
      <c r="B615" s="21"/>
      <c r="C615" s="21"/>
      <c r="D615" s="21"/>
      <c r="E615" s="21"/>
      <c r="F615" s="21"/>
    </row>
    <row r="616" ht="15.75" customHeight="1">
      <c r="A616" s="21"/>
      <c r="B616" s="21"/>
      <c r="C616" s="21"/>
      <c r="D616" s="21"/>
      <c r="E616" s="21"/>
      <c r="F616" s="21"/>
    </row>
    <row r="617" ht="15.75" customHeight="1">
      <c r="A617" s="21"/>
      <c r="B617" s="21"/>
      <c r="C617" s="21"/>
      <c r="D617" s="21"/>
      <c r="E617" s="21"/>
      <c r="F617" s="21"/>
    </row>
    <row r="618" ht="15.75" customHeight="1">
      <c r="A618" s="21"/>
      <c r="B618" s="21"/>
      <c r="C618" s="21"/>
      <c r="D618" s="21"/>
      <c r="E618" s="21"/>
      <c r="F618" s="21"/>
    </row>
    <row r="619" ht="15.75" customHeight="1">
      <c r="A619" s="21"/>
      <c r="B619" s="21"/>
      <c r="C619" s="21"/>
      <c r="D619" s="21"/>
      <c r="E619" s="21"/>
      <c r="F619" s="21"/>
    </row>
    <row r="620" ht="15.75" customHeight="1">
      <c r="A620" s="21"/>
      <c r="B620" s="21"/>
      <c r="C620" s="21"/>
      <c r="D620" s="21"/>
      <c r="E620" s="21"/>
      <c r="F620" s="21"/>
    </row>
    <row r="621" ht="15.75" customHeight="1">
      <c r="A621" s="21"/>
      <c r="B621" s="21"/>
      <c r="C621" s="21"/>
      <c r="D621" s="21"/>
      <c r="E621" s="21"/>
      <c r="F621" s="21"/>
    </row>
    <row r="622" ht="15.75" customHeight="1">
      <c r="A622" s="21"/>
      <c r="B622" s="21"/>
      <c r="C622" s="21"/>
      <c r="D622" s="21"/>
      <c r="E622" s="21"/>
      <c r="F622" s="21"/>
    </row>
    <row r="623" ht="15.75" customHeight="1">
      <c r="A623" s="21"/>
      <c r="B623" s="21"/>
      <c r="C623" s="21"/>
      <c r="D623" s="21"/>
      <c r="E623" s="21"/>
      <c r="F623" s="21"/>
    </row>
    <row r="624" ht="15.75" customHeight="1">
      <c r="A624" s="21"/>
      <c r="B624" s="21"/>
      <c r="C624" s="21"/>
      <c r="D624" s="21"/>
      <c r="E624" s="21"/>
      <c r="F624" s="21"/>
    </row>
    <row r="625" ht="15.75" customHeight="1">
      <c r="A625" s="21"/>
      <c r="B625" s="21"/>
      <c r="C625" s="21"/>
      <c r="D625" s="21"/>
      <c r="E625" s="21"/>
      <c r="F625" s="21"/>
    </row>
    <row r="626" ht="15.75" customHeight="1">
      <c r="A626" s="21"/>
      <c r="B626" s="21"/>
      <c r="C626" s="21"/>
      <c r="D626" s="21"/>
      <c r="E626" s="21"/>
      <c r="F626" s="21"/>
    </row>
    <row r="627" ht="15.75" customHeight="1">
      <c r="A627" s="21"/>
      <c r="B627" s="21"/>
      <c r="C627" s="21"/>
      <c r="D627" s="21"/>
      <c r="E627" s="21"/>
      <c r="F627" s="21"/>
    </row>
    <row r="628" ht="15.75" customHeight="1">
      <c r="A628" s="21"/>
      <c r="B628" s="21"/>
      <c r="C628" s="21"/>
      <c r="D628" s="21"/>
      <c r="E628" s="21"/>
      <c r="F628" s="21"/>
    </row>
    <row r="629" ht="15.75" customHeight="1">
      <c r="A629" s="21"/>
      <c r="B629" s="21"/>
      <c r="C629" s="21"/>
      <c r="D629" s="21"/>
      <c r="E629" s="21"/>
      <c r="F629" s="21"/>
    </row>
    <row r="630" ht="15.75" customHeight="1">
      <c r="A630" s="21"/>
      <c r="B630" s="21"/>
      <c r="C630" s="21"/>
      <c r="D630" s="21"/>
      <c r="E630" s="21"/>
      <c r="F630" s="21"/>
    </row>
    <row r="631" ht="15.75" customHeight="1">
      <c r="A631" s="21"/>
      <c r="B631" s="21"/>
      <c r="C631" s="21"/>
      <c r="D631" s="21"/>
      <c r="E631" s="21"/>
      <c r="F631" s="21"/>
    </row>
    <row r="632" ht="15.75" customHeight="1">
      <c r="A632" s="21"/>
      <c r="B632" s="21"/>
      <c r="C632" s="21"/>
      <c r="D632" s="21"/>
      <c r="E632" s="21"/>
      <c r="F632" s="21"/>
    </row>
    <row r="633" ht="15.75" customHeight="1">
      <c r="A633" s="21"/>
      <c r="B633" s="21"/>
      <c r="C633" s="21"/>
      <c r="D633" s="21"/>
      <c r="E633" s="21"/>
      <c r="F633" s="21"/>
    </row>
    <row r="634" ht="15.75" customHeight="1">
      <c r="A634" s="21"/>
      <c r="B634" s="21"/>
      <c r="C634" s="21"/>
      <c r="D634" s="21"/>
      <c r="E634" s="21"/>
      <c r="F634" s="21"/>
    </row>
    <row r="635" ht="15.75" customHeight="1">
      <c r="A635" s="21"/>
      <c r="B635" s="21"/>
      <c r="C635" s="21"/>
      <c r="D635" s="21"/>
      <c r="E635" s="21"/>
      <c r="F635" s="21"/>
    </row>
    <row r="636" ht="15.75" customHeight="1">
      <c r="A636" s="21"/>
      <c r="B636" s="21"/>
      <c r="C636" s="21"/>
      <c r="D636" s="21"/>
      <c r="E636" s="21"/>
      <c r="F636" s="21"/>
    </row>
    <row r="637" ht="15.75" customHeight="1">
      <c r="A637" s="21"/>
      <c r="B637" s="21"/>
      <c r="C637" s="21"/>
      <c r="D637" s="21"/>
      <c r="E637" s="21"/>
      <c r="F637" s="21"/>
    </row>
    <row r="638" ht="15.75" customHeight="1">
      <c r="A638" s="21"/>
      <c r="B638" s="21"/>
      <c r="C638" s="21"/>
      <c r="D638" s="21"/>
      <c r="E638" s="21"/>
      <c r="F638" s="21"/>
    </row>
    <row r="639" ht="15.75" customHeight="1">
      <c r="A639" s="21"/>
      <c r="B639" s="21"/>
      <c r="C639" s="21"/>
      <c r="D639" s="21"/>
      <c r="E639" s="21"/>
      <c r="F639" s="21"/>
    </row>
    <row r="640" ht="15.75" customHeight="1">
      <c r="A640" s="21"/>
      <c r="B640" s="21"/>
      <c r="C640" s="21"/>
      <c r="D640" s="21"/>
      <c r="E640" s="21"/>
      <c r="F640" s="21"/>
    </row>
    <row r="641" ht="15.75" customHeight="1">
      <c r="A641" s="21"/>
      <c r="B641" s="21"/>
      <c r="C641" s="21"/>
      <c r="D641" s="21"/>
      <c r="E641" s="21"/>
      <c r="F641" s="21"/>
    </row>
    <row r="642" ht="15.75" customHeight="1">
      <c r="A642" s="21"/>
      <c r="B642" s="21"/>
      <c r="C642" s="21"/>
      <c r="D642" s="21"/>
      <c r="E642" s="21"/>
      <c r="F642" s="21"/>
    </row>
    <row r="643" ht="15.75" customHeight="1">
      <c r="A643" s="21"/>
      <c r="B643" s="21"/>
      <c r="C643" s="21"/>
      <c r="D643" s="21"/>
      <c r="E643" s="21"/>
      <c r="F643" s="21"/>
    </row>
    <row r="644" ht="15.75" customHeight="1">
      <c r="A644" s="21"/>
      <c r="B644" s="21"/>
      <c r="C644" s="21"/>
      <c r="D644" s="21"/>
      <c r="E644" s="21"/>
      <c r="F644" s="21"/>
    </row>
    <row r="645" ht="15.75" customHeight="1">
      <c r="A645" s="21"/>
      <c r="B645" s="21"/>
      <c r="C645" s="21"/>
      <c r="D645" s="21"/>
      <c r="E645" s="21"/>
      <c r="F645" s="21"/>
    </row>
    <row r="646" ht="15.75" customHeight="1">
      <c r="A646" s="21"/>
      <c r="B646" s="21"/>
      <c r="C646" s="21"/>
      <c r="D646" s="21"/>
      <c r="E646" s="21"/>
      <c r="F646" s="21"/>
    </row>
    <row r="647" ht="15.75" customHeight="1">
      <c r="A647" s="21"/>
      <c r="B647" s="21"/>
      <c r="C647" s="21"/>
      <c r="D647" s="21"/>
      <c r="E647" s="21"/>
      <c r="F647" s="21"/>
    </row>
    <row r="648" ht="15.75" customHeight="1">
      <c r="A648" s="21"/>
      <c r="B648" s="21"/>
      <c r="C648" s="21"/>
      <c r="D648" s="21"/>
      <c r="E648" s="21"/>
      <c r="F648" s="21"/>
    </row>
    <row r="649" ht="15.75" customHeight="1">
      <c r="A649" s="21"/>
      <c r="B649" s="21"/>
      <c r="C649" s="21"/>
      <c r="D649" s="21"/>
      <c r="E649" s="21"/>
      <c r="F649" s="21"/>
    </row>
    <row r="650" ht="15.75" customHeight="1">
      <c r="A650" s="21"/>
      <c r="B650" s="21"/>
      <c r="C650" s="21"/>
      <c r="D650" s="21"/>
      <c r="E650" s="21"/>
      <c r="F650" s="21"/>
    </row>
    <row r="651" ht="15.75" customHeight="1">
      <c r="A651" s="21"/>
      <c r="B651" s="21"/>
      <c r="C651" s="21"/>
      <c r="D651" s="21"/>
      <c r="E651" s="21"/>
      <c r="F651" s="21"/>
    </row>
    <row r="652" ht="15.75" customHeight="1">
      <c r="A652" s="21"/>
      <c r="B652" s="21"/>
      <c r="C652" s="21"/>
      <c r="D652" s="21"/>
      <c r="E652" s="21"/>
      <c r="F652" s="21"/>
    </row>
    <row r="653" ht="15.75" customHeight="1">
      <c r="A653" s="21"/>
      <c r="B653" s="21"/>
      <c r="C653" s="21"/>
      <c r="D653" s="21"/>
      <c r="E653" s="21"/>
      <c r="F653" s="21"/>
    </row>
    <row r="654" ht="15.75" customHeight="1">
      <c r="A654" s="21"/>
      <c r="B654" s="21"/>
      <c r="C654" s="21"/>
      <c r="D654" s="21"/>
      <c r="E654" s="21"/>
      <c r="F654" s="21"/>
    </row>
    <row r="655" ht="15.75" customHeight="1">
      <c r="A655" s="21"/>
      <c r="B655" s="21"/>
      <c r="C655" s="21"/>
      <c r="D655" s="21"/>
      <c r="E655" s="21"/>
      <c r="F655" s="21"/>
    </row>
    <row r="656" ht="15.75" customHeight="1">
      <c r="A656" s="21"/>
      <c r="B656" s="21"/>
      <c r="C656" s="21"/>
      <c r="D656" s="21"/>
      <c r="E656" s="21"/>
      <c r="F656" s="21"/>
    </row>
    <row r="657" ht="15.75" customHeight="1">
      <c r="A657" s="21"/>
      <c r="B657" s="21"/>
      <c r="C657" s="21"/>
      <c r="D657" s="21"/>
      <c r="E657" s="21"/>
      <c r="F657" s="21"/>
    </row>
    <row r="658" ht="15.75" customHeight="1">
      <c r="A658" s="21"/>
      <c r="B658" s="21"/>
      <c r="C658" s="21"/>
      <c r="D658" s="21"/>
      <c r="E658" s="21"/>
      <c r="F658" s="21"/>
    </row>
    <row r="659" ht="15.75" customHeight="1">
      <c r="A659" s="21"/>
      <c r="B659" s="21"/>
      <c r="C659" s="21"/>
      <c r="D659" s="21"/>
      <c r="E659" s="21"/>
      <c r="F659" s="21"/>
    </row>
    <row r="660" ht="15.75" customHeight="1">
      <c r="A660" s="21"/>
      <c r="B660" s="21"/>
      <c r="C660" s="21"/>
      <c r="D660" s="21"/>
      <c r="E660" s="21"/>
      <c r="F660" s="21"/>
    </row>
    <row r="661" ht="15.75" customHeight="1">
      <c r="A661" s="21"/>
      <c r="B661" s="21"/>
      <c r="C661" s="21"/>
      <c r="D661" s="21"/>
      <c r="E661" s="21"/>
      <c r="F661" s="2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mergeCells count="7">
    <mergeCell ref="B2:F2"/>
    <mergeCell ref="B3:F3"/>
    <mergeCell ref="B5:F5"/>
    <mergeCell ref="B12:F12"/>
    <mergeCell ref="B48:F48"/>
    <mergeCell ref="B58:F58"/>
    <mergeCell ref="B119:F12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4.0"/>
    <col customWidth="1" min="3" max="3" width="11.0"/>
    <col customWidth="1" min="4" max="4" width="36.0"/>
    <col customWidth="1" min="5" max="5" width="13.0"/>
    <col customWidth="1" min="6" max="6" width="6.0"/>
    <col customWidth="1" min="7" max="10" width="9.0"/>
    <col customWidth="1" min="11" max="12" width="11.0"/>
    <col customWidth="1" min="13" max="13" width="20.29"/>
    <col customWidth="1" min="14" max="14" width="15.43"/>
    <col customWidth="1" min="15" max="15" width="15.71"/>
    <col customWidth="1" min="16" max="16" width="13.0"/>
    <col customWidth="1" min="17" max="17" width="14.0"/>
    <col customWidth="1" min="18" max="18" width="8.0"/>
    <col customWidth="1" min="19" max="20" width="8.71"/>
    <col customWidth="1" hidden="1" min="21" max="21" width="13.0"/>
  </cols>
  <sheetData>
    <row r="1" ht="7.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1"/>
      <c r="S1" s="1"/>
      <c r="T1" s="1" t="str">
        <f t="array" ref="T1">IF($I$14=0,$B$8,IFERROR(INDEX('Рецептуры'!$F:$F,MATCH($B$8&amp;"|"&amp;$I$14,'Рецептуры'!$K:$K,0)),$B$8))</f>
        <v>Black (PBl 7) / RASTR</v>
      </c>
      <c r="U1" s="1"/>
      <c r="V1" s="1"/>
      <c r="W1" s="1"/>
      <c r="X1" s="1"/>
      <c r="Y1" s="1"/>
    </row>
    <row r="2" ht="25.5" customHeight="1">
      <c r="A2" s="1"/>
      <c r="B2" s="47"/>
      <c r="C2" s="47"/>
      <c r="D2" s="47"/>
      <c r="E2" s="47"/>
      <c r="F2" s="48" t="s">
        <v>448</v>
      </c>
      <c r="G2" s="3"/>
      <c r="H2" s="3"/>
      <c r="I2" s="3"/>
      <c r="J2" s="3"/>
      <c r="K2" s="3"/>
      <c r="L2" s="3"/>
      <c r="M2" s="3"/>
      <c r="N2" s="3"/>
      <c r="O2" s="3"/>
      <c r="P2" s="4"/>
      <c r="Q2" s="47"/>
      <c r="R2" s="1"/>
      <c r="S2" s="1"/>
      <c r="T2" s="1"/>
      <c r="U2" s="1"/>
      <c r="V2" s="1"/>
      <c r="W2" s="1"/>
      <c r="X2" s="1"/>
      <c r="Y2" s="1"/>
    </row>
    <row r="3" ht="25.5" customHeight="1">
      <c r="A3" s="1"/>
      <c r="B3" s="47"/>
      <c r="C3" s="47"/>
      <c r="D3" s="47"/>
      <c r="E3" s="47"/>
      <c r="F3" s="5"/>
      <c r="G3" s="6"/>
      <c r="H3" s="6"/>
      <c r="I3" s="6"/>
      <c r="J3" s="6"/>
      <c r="K3" s="6"/>
      <c r="L3" s="6"/>
      <c r="M3" s="6"/>
      <c r="N3" s="6"/>
      <c r="O3" s="6"/>
      <c r="P3" s="7"/>
      <c r="Q3" s="47"/>
      <c r="R3" s="1"/>
      <c r="S3" s="1"/>
      <c r="T3" s="1"/>
      <c r="U3" s="1"/>
      <c r="V3" s="1"/>
      <c r="W3" s="1"/>
      <c r="X3" s="1"/>
      <c r="Y3" s="1"/>
    </row>
    <row r="4" ht="25.5" customHeight="1">
      <c r="A4" s="1"/>
      <c r="B4" s="47"/>
      <c r="C4" s="47"/>
      <c r="D4" s="47"/>
      <c r="E4" s="47"/>
      <c r="F4" s="49" t="s">
        <v>449</v>
      </c>
      <c r="G4" s="10"/>
      <c r="H4" s="10"/>
      <c r="I4" s="10"/>
      <c r="J4" s="10"/>
      <c r="K4" s="10"/>
      <c r="L4" s="10"/>
      <c r="M4" s="10"/>
      <c r="N4" s="10"/>
      <c r="O4" s="10"/>
      <c r="P4" s="11"/>
      <c r="Q4" s="47"/>
      <c r="R4" s="1"/>
      <c r="S4" s="1"/>
      <c r="T4" s="1"/>
      <c r="U4" s="1"/>
      <c r="V4" s="1"/>
      <c r="W4" s="1"/>
      <c r="X4" s="1"/>
      <c r="Y4" s="1"/>
    </row>
    <row r="5" ht="15.75" customHeight="1">
      <c r="A5" s="1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1"/>
      <c r="S5" s="1"/>
      <c r="T5" s="1"/>
      <c r="U5" s="1"/>
      <c r="V5" s="1"/>
      <c r="W5" s="1"/>
      <c r="X5" s="1"/>
      <c r="Y5" s="1"/>
    </row>
    <row r="6" ht="9.75" customHeight="1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1"/>
      <c r="S6" s="1"/>
      <c r="T6" s="1"/>
      <c r="U6" s="1"/>
      <c r="V6" s="1"/>
      <c r="W6" s="1"/>
      <c r="X6" s="1"/>
      <c r="Y6" s="1"/>
    </row>
    <row r="7" ht="21.75" customHeight="1">
      <c r="A7" s="47"/>
      <c r="B7" s="51" t="s">
        <v>450</v>
      </c>
      <c r="C7" s="10"/>
      <c r="D7" s="10"/>
      <c r="E7" s="11"/>
      <c r="F7" s="52" t="s">
        <v>451</v>
      </c>
      <c r="G7" s="53" t="s">
        <v>452</v>
      </c>
      <c r="H7" s="10"/>
      <c r="I7" s="11"/>
      <c r="J7" s="51" t="s">
        <v>453</v>
      </c>
      <c r="K7" s="10"/>
      <c r="L7" s="11"/>
      <c r="M7" s="47"/>
      <c r="N7" s="54"/>
      <c r="O7" s="54"/>
      <c r="P7" s="54"/>
      <c r="Q7" s="47"/>
      <c r="R7" s="1"/>
      <c r="S7" s="1"/>
      <c r="T7" s="1"/>
      <c r="U7" s="1"/>
      <c r="V7" s="1"/>
      <c r="W7" s="1"/>
      <c r="X7" s="1"/>
      <c r="Y7" s="1"/>
    </row>
    <row r="8" ht="30.0" customHeight="1">
      <c r="A8" s="47"/>
      <c r="B8" s="55" t="s">
        <v>454</v>
      </c>
      <c r="C8" s="56"/>
      <c r="D8" s="56"/>
      <c r="E8" s="57"/>
      <c r="F8" s="58" t="str">
        <f t="array" ref="F8">IFERROR(IF(INDEX('Продукты'!$F:$F,MATCH($B$8,'Продукты'!$D:$D,0))=0,IF(INDEX('Полупродукты'!$F:$F,MATCH($B$8,'Полупродукты'!$C:$C,0))=0,"—",INDEX('Полупродукты'!$F:$F,MATCH($B$8,'Полупродукты'!$C:$C,0))),INDEX('Продукты'!$F:$F,MATCH($B$8,'Продукты'!$D:$D,0))),IFERROR(IF(INDEX('Полупродукты'!$F:$F,MATCH($B$8,'Полупродукты'!$C:$C,0))=0,"—",INDEX('Полупродукты'!$F:$F,MATCH($B$8,'Полупродукты'!$C:$C,0))),"—"))</f>
        <v>—</v>
      </c>
      <c r="G8" s="59"/>
      <c r="H8" s="60" t="str">
        <f t="array" ref="H8">IF($G$8="","",IFERROR(INDEX('Продукты'!$D:$D,MATCH($G$8,'Продукты'!$F:$F,0)),IFERROR(INDEX('Полупродукты'!$C:$C,MATCH($G$8,'Полупродукты'!$F:$F,0)),"❌ артикул не найден")))</f>
        <v/>
      </c>
      <c r="J8" s="61">
        <f>IFERROR(LOOKUP(2,1/('Курсы ЦБ'!$C$7:$C$1000&lt;&gt;""),'Курсы ЦБ'!$C$7:$C$1000),100)</f>
        <v>83.6892</v>
      </c>
      <c r="K8" s="56"/>
      <c r="L8" s="57"/>
      <c r="M8" s="47"/>
      <c r="N8" s="62" t="s">
        <v>455</v>
      </c>
      <c r="O8" s="3"/>
      <c r="P8" s="4"/>
      <c r="Q8" s="47"/>
      <c r="R8" s="1"/>
      <c r="S8" s="1"/>
      <c r="T8" s="1"/>
      <c r="U8" s="1"/>
      <c r="V8" s="1"/>
      <c r="W8" s="1"/>
      <c r="X8" s="1"/>
      <c r="Y8" s="1"/>
    </row>
    <row r="9" ht="13.5" customHeight="1">
      <c r="A9" s="47"/>
      <c r="B9" s="63" t="s">
        <v>456</v>
      </c>
      <c r="C9" s="10"/>
      <c r="D9" s="10"/>
      <c r="E9" s="11"/>
      <c r="F9" s="64" t="s">
        <v>457</v>
      </c>
      <c r="G9" s="64" t="s">
        <v>458</v>
      </c>
      <c r="H9" s="65" t="s">
        <v>459</v>
      </c>
      <c r="J9" s="66" t="s">
        <v>460</v>
      </c>
      <c r="K9" s="10"/>
      <c r="L9" s="11"/>
      <c r="M9" s="47"/>
      <c r="N9" s="67"/>
      <c r="P9" s="68"/>
      <c r="Q9" s="47"/>
      <c r="R9" s="1"/>
      <c r="S9" s="1"/>
      <c r="T9" s="1"/>
      <c r="U9" s="1"/>
      <c r="V9" s="1"/>
      <c r="W9" s="1"/>
      <c r="X9" s="1"/>
      <c r="Y9" s="1"/>
    </row>
    <row r="10" ht="15.75" customHeight="1">
      <c r="A10" s="47"/>
      <c r="B10" s="69" t="s">
        <v>461</v>
      </c>
      <c r="C10" s="10"/>
      <c r="D10" s="10"/>
      <c r="E10" s="10"/>
      <c r="F10" s="10"/>
      <c r="G10" s="10"/>
      <c r="H10" s="10"/>
      <c r="I10" s="10"/>
      <c r="J10" s="10"/>
      <c r="K10" s="10"/>
      <c r="L10" s="11"/>
      <c r="M10" s="70" t="s">
        <v>462</v>
      </c>
      <c r="N10" s="5"/>
      <c r="O10" s="6"/>
      <c r="P10" s="7"/>
      <c r="Q10" s="47"/>
      <c r="R10" s="1"/>
      <c r="S10" s="1"/>
      <c r="T10" s="1"/>
      <c r="U10" s="1"/>
      <c r="V10" s="1"/>
      <c r="W10" s="1"/>
      <c r="X10" s="1"/>
      <c r="Y10" s="1"/>
    </row>
    <row r="11" ht="36.0" customHeight="1">
      <c r="A11" s="47"/>
      <c r="B11" s="71">
        <f>ROUND(K37,2)</f>
        <v>3.12</v>
      </c>
      <c r="C11" s="10"/>
      <c r="D11" s="11"/>
      <c r="E11" s="71">
        <f>ROUND(K37*(1+0.22),2)</f>
        <v>3.81</v>
      </c>
      <c r="F11" s="11"/>
      <c r="G11" s="72">
        <f>ROUND(K37*$J$8,2)</f>
        <v>261.11</v>
      </c>
      <c r="H11" s="10"/>
      <c r="I11" s="11"/>
      <c r="J11" s="72">
        <f>ROUND(K37*(1+0.22)*$J$8,2)</f>
        <v>318.55</v>
      </c>
      <c r="K11" s="10"/>
      <c r="L11" s="11"/>
      <c r="M11" s="73"/>
      <c r="N11" s="47"/>
      <c r="O11" s="47"/>
      <c r="P11" s="47"/>
      <c r="Q11" s="47"/>
      <c r="R11" s="1"/>
      <c r="S11" s="1"/>
      <c r="T11" s="1"/>
      <c r="U11" s="1"/>
      <c r="V11" s="1"/>
      <c r="W11" s="1"/>
      <c r="X11" s="1"/>
      <c r="Y11" s="1"/>
    </row>
    <row r="12" ht="13.5" customHeight="1">
      <c r="A12" s="47"/>
      <c r="B12" s="74" t="s">
        <v>463</v>
      </c>
      <c r="C12" s="10"/>
      <c r="D12" s="11"/>
      <c r="E12" s="74" t="s">
        <v>464</v>
      </c>
      <c r="F12" s="11"/>
      <c r="G12" s="74" t="s">
        <v>465</v>
      </c>
      <c r="H12" s="10"/>
      <c r="I12" s="11"/>
      <c r="J12" s="74" t="s">
        <v>466</v>
      </c>
      <c r="K12" s="10"/>
      <c r="L12" s="11"/>
      <c r="M12" s="75" t="s">
        <v>467</v>
      </c>
      <c r="N12" s="47"/>
      <c r="O12" s="47"/>
      <c r="P12" s="47"/>
      <c r="Q12" s="47"/>
      <c r="R12" s="1"/>
      <c r="S12" s="1"/>
      <c r="T12" s="1"/>
      <c r="U12" s="1"/>
      <c r="V12" s="1"/>
      <c r="W12" s="1"/>
      <c r="X12" s="1"/>
      <c r="Y12" s="1"/>
    </row>
    <row r="13" ht="21.75" customHeight="1">
      <c r="A13" s="47"/>
      <c r="B13" s="76" t="str">
        <f>IF($B$8="","← Выберите продукт в B8","Продукт: "&amp;$B$8&amp;"   |   Артикул: "&amp;$F$8&amp;"   |   Σ%: "&amp;TEXT($K$15,"0.00%")&amp;IF($G$15&lt;&gt;"","   |   "&amp;$G$15,""))</f>
        <v>Продукт: Black (PBl 7) / RASTR   |   Артикул: —   |   Σ%: 100,00%</v>
      </c>
      <c r="C13" s="77"/>
      <c r="D13" s="77"/>
      <c r="E13" s="77"/>
      <c r="F13" s="77"/>
      <c r="G13" s="77"/>
      <c r="H13" s="77"/>
      <c r="I13" s="77"/>
      <c r="J13" s="77"/>
      <c r="K13" s="77"/>
      <c r="L13" s="78"/>
      <c r="M13" s="47"/>
      <c r="N13" s="47"/>
      <c r="O13" s="47"/>
      <c r="P13" s="47"/>
      <c r="Q13" s="47"/>
      <c r="R13" s="1"/>
      <c r="S13" s="1"/>
      <c r="T13" s="1"/>
      <c r="U13" s="1"/>
      <c r="V13" s="1"/>
      <c r="W13" s="1"/>
      <c r="X13" s="1"/>
      <c r="Y13" s="1"/>
    </row>
    <row r="14" ht="24.0" customHeight="1">
      <c r="A14" s="47"/>
      <c r="B14" s="79" t="s">
        <v>468</v>
      </c>
      <c r="C14" s="10"/>
      <c r="D14" s="10"/>
      <c r="E14" s="10"/>
      <c r="F14" s="10"/>
      <c r="G14" s="10"/>
      <c r="H14" s="11"/>
      <c r="I14" s="80">
        <v>0.0</v>
      </c>
      <c r="J14" s="81" t="s">
        <v>469</v>
      </c>
      <c r="K14" s="10"/>
      <c r="L14" s="11"/>
      <c r="M14" s="47"/>
      <c r="N14" s="47"/>
      <c r="O14" s="47"/>
      <c r="P14" s="47"/>
      <c r="Q14" s="47"/>
      <c r="R14" s="1"/>
      <c r="S14" s="1"/>
      <c r="T14" s="1"/>
      <c r="U14" s="1"/>
      <c r="V14" s="1"/>
      <c r="W14" s="1"/>
      <c r="X14" s="1"/>
      <c r="Y14" s="1"/>
    </row>
    <row r="15" ht="25.5" customHeight="1">
      <c r="A15" s="47"/>
      <c r="B15" s="82" t="s">
        <v>470</v>
      </c>
      <c r="C15" s="10"/>
      <c r="D15" s="10"/>
      <c r="E15" s="10"/>
      <c r="F15" s="11"/>
      <c r="G15" s="21"/>
      <c r="I15" s="83" t="s">
        <v>471</v>
      </c>
      <c r="J15" s="11"/>
      <c r="K15" s="84">
        <f>SUM(H17:H36)</f>
        <v>1</v>
      </c>
      <c r="L15" s="85"/>
      <c r="M15" s="47"/>
      <c r="N15" s="54"/>
      <c r="O15" s="54"/>
      <c r="P15" s="54"/>
      <c r="Q15" s="47"/>
      <c r="R15" s="1"/>
      <c r="S15" s="1"/>
      <c r="T15" s="1"/>
      <c r="U15" s="1"/>
      <c r="V15" s="1"/>
      <c r="W15" s="1"/>
      <c r="X15" s="1"/>
      <c r="Y15" s="1"/>
    </row>
    <row r="16" ht="21.75" customHeight="1">
      <c r="A16" s="1"/>
      <c r="B16" s="86" t="s">
        <v>369</v>
      </c>
      <c r="C16" s="86" t="s">
        <v>371</v>
      </c>
      <c r="D16" s="86" t="s">
        <v>472</v>
      </c>
      <c r="E16" s="86" t="s">
        <v>473</v>
      </c>
      <c r="F16" s="86" t="s">
        <v>474</v>
      </c>
      <c r="G16" s="86" t="s">
        <v>475</v>
      </c>
      <c r="H16" s="86" t="s">
        <v>476</v>
      </c>
      <c r="I16" s="86" t="s">
        <v>477</v>
      </c>
      <c r="J16" s="86" t="s">
        <v>478</v>
      </c>
      <c r="K16" s="86" t="s">
        <v>479</v>
      </c>
      <c r="L16" s="86" t="s">
        <v>480</v>
      </c>
      <c r="M16" s="87" t="s">
        <v>481</v>
      </c>
      <c r="N16" s="86" t="s">
        <v>482</v>
      </c>
      <c r="O16" s="86" t="s">
        <v>483</v>
      </c>
      <c r="P16" s="86" t="s">
        <v>484</v>
      </c>
      <c r="Q16" s="54"/>
      <c r="R16" s="1"/>
      <c r="S16" s="1"/>
      <c r="T16" s="1"/>
      <c r="U16" s="1"/>
      <c r="V16" s="1"/>
      <c r="W16" s="1"/>
      <c r="X16" s="1"/>
      <c r="Y16" s="1"/>
    </row>
    <row r="17" ht="21.75" customHeight="1">
      <c r="A17" s="1"/>
      <c r="B17" s="88">
        <v>1.0</v>
      </c>
      <c r="C17" s="88" t="str">
        <f>IF(D17="","",IF(ISNUMBER(MATCH(D17,'Полупродукты'!$C$6:$C$62,0)),"⚗️ Полупр.","Сырьё"))</f>
        <v>Сырьё</v>
      </c>
      <c r="D17" s="89" t="str">
        <f t="array" ref="D17">IFERROR(INDEX('Рецептуры'!$F:$F,MATCH($T$1&amp;"|"&amp;1,'Рецептуры'!$K:$K,0)),"")</f>
        <v>Паста NSF/Paste Black (Pbk 7) КП 80 РАСТ</v>
      </c>
      <c r="E17" s="88" t="str">
        <f t="shared" ref="E17:E36" si="1">IF(D17="","","Материал основной")</f>
        <v>Материал основной</v>
      </c>
      <c r="F17" s="88" t="str">
        <f t="shared" ref="F17:F36" si="2">IF(D17="","","кг")</f>
        <v>кг</v>
      </c>
      <c r="G17" s="90"/>
      <c r="H17" s="91">
        <f t="array" ref="H17">IF(D17="","",IF(G17="",IFERROR(INDEX('Рецептуры'!$G:$G,MATCH($T$1&amp;"|"&amp;1,'Рецептуры'!$K:$K,0)),0),G17))</f>
        <v>0.78</v>
      </c>
      <c r="I17" s="92">
        <f t="shared" ref="I17:I36" si="3">IF(D17="","",ROUND(H17*(1+IFERROR($M$11,0)),6))</f>
        <v>0.78</v>
      </c>
      <c r="J17" s="92">
        <f>IF(D17="","",IF(AND(M17&lt;&gt;"",M17&gt;0),M17,IFERROR(VLOOKUP(D17,'Полупродукты'!$C$6:$E$62,3,FALSE()),IFERROR(VLOOKUP(D17,'Сырьё'!$C$6:$E$233,3,FALSE()),0))))</f>
        <v>3.6225</v>
      </c>
      <c r="K17" s="93">
        <f t="shared" ref="K17:K36" si="4">IF(D17="","",ROUND(IFERROR(I17*J17,0),2))</f>
        <v>2.83</v>
      </c>
      <c r="L17" s="94">
        <f t="shared" ref="L17:L36" si="5">IF(D17="","",ROUND(IFERROR(K17*$J$8,0),2))</f>
        <v>236.84</v>
      </c>
      <c r="M17" s="95"/>
      <c r="N17" s="89" t="s">
        <v>485</v>
      </c>
      <c r="O17" s="93">
        <f>E11</f>
        <v>3.81</v>
      </c>
      <c r="P17" s="94">
        <f t="shared" ref="P17:P22" si="6">ROUND(O17*$J$8,2)</f>
        <v>318.86</v>
      </c>
      <c r="Q17" s="54"/>
      <c r="R17" s="1"/>
      <c r="S17" s="1"/>
      <c r="T17" s="1"/>
      <c r="U17" s="1"/>
      <c r="V17" s="1"/>
      <c r="W17" s="1"/>
      <c r="X17" s="1"/>
      <c r="Y17" s="1"/>
    </row>
    <row r="18" ht="21.75" customHeight="1">
      <c r="A18" s="1"/>
      <c r="B18" s="96">
        <v>2.0</v>
      </c>
      <c r="C18" s="96" t="str">
        <f>IF(D18="","",IF(ISNUMBER(MATCH(D18,'Полупродукты'!$C$6:$C$62,0)),"⚗️ Полупр.","Сырьё"))</f>
        <v>⚗️ Полупр.</v>
      </c>
      <c r="D18" s="97" t="str">
        <f t="array" ref="D18">IFERROR(INDEX('Рецептуры'!$F:$F,MATCH($T$1&amp;"|"&amp;2,'Рецептуры'!$K:$K,0)),"")</f>
        <v>Technical Extender UNI 397</v>
      </c>
      <c r="E18" s="96" t="str">
        <f t="shared" si="1"/>
        <v>Материал основной</v>
      </c>
      <c r="F18" s="96" t="str">
        <f t="shared" si="2"/>
        <v>кг</v>
      </c>
      <c r="G18" s="90"/>
      <c r="H18" s="98">
        <f t="array" ref="H18">IF(D18="","",IF(G18="",IFERROR(INDEX('Рецептуры'!$G:$G,MATCH($T$1&amp;"|"&amp;2,'Рецептуры'!$K:$K,0)),0),G18))</f>
        <v>0.12</v>
      </c>
      <c r="I18" s="99">
        <f t="shared" si="3"/>
        <v>0.12</v>
      </c>
      <c r="J18" s="99" t="str">
        <f>IF(D18="","",IF(AND(M18&lt;&gt;"",M18&gt;0),M18,IFERROR(VLOOKUP(D18,'Полупродукты'!$C$6:$E$62,3,FALSE()),IFERROR(VLOOKUP(D18,'Сырьё'!$C$6:$E$233,3,FALSE()),0))))</f>
        <v/>
      </c>
      <c r="K18" s="100">
        <f t="shared" si="4"/>
        <v>0</v>
      </c>
      <c r="L18" s="101">
        <f t="shared" si="5"/>
        <v>0</v>
      </c>
      <c r="M18" s="102"/>
      <c r="N18" s="89" t="s">
        <v>486</v>
      </c>
      <c r="O18" s="103">
        <v>0.12</v>
      </c>
      <c r="P18" s="94">
        <f t="shared" si="6"/>
        <v>10.04</v>
      </c>
      <c r="Q18" s="54"/>
      <c r="R18" s="1"/>
      <c r="S18" s="1"/>
      <c r="T18" s="1"/>
      <c r="U18" s="1"/>
      <c r="V18" s="1"/>
      <c r="W18" s="1"/>
      <c r="X18" s="1"/>
      <c r="Y18" s="1"/>
    </row>
    <row r="19" ht="21.75" customHeight="1">
      <c r="A19" s="1"/>
      <c r="B19" s="88">
        <v>3.0</v>
      </c>
      <c r="C19" s="88" t="str">
        <f>IF(D19="","",IF(ISNUMBER(MATCH(D19,'Полупродукты'!$C$6:$C$62,0)),"⚗️ Полупр.","Сырьё"))</f>
        <v>⚗️ Полупр.</v>
      </c>
      <c r="D19" s="89" t="str">
        <f t="array" ref="D19">IFERROR(INDEX('Рецептуры'!$F:$F,MATCH($T$1&amp;"|"&amp;3,'Рецептуры'!$K:$K,0)),"")</f>
        <v>Extender SL-2 ЭЦ</v>
      </c>
      <c r="E19" s="88" t="str">
        <f t="shared" si="1"/>
        <v>Материал основной</v>
      </c>
      <c r="F19" s="88" t="str">
        <f t="shared" si="2"/>
        <v>кг</v>
      </c>
      <c r="G19" s="90"/>
      <c r="H19" s="91">
        <f t="array" ref="H19">IF(D19="","",IF(G19="",IFERROR(INDEX('Рецептуры'!$G:$G,MATCH($T$1&amp;"|"&amp;3,'Рецептуры'!$K:$K,0)),0),G19))</f>
        <v>0.05</v>
      </c>
      <c r="I19" s="92">
        <f t="shared" si="3"/>
        <v>0.05</v>
      </c>
      <c r="J19" s="92">
        <f>IF(D19="","",IF(AND(M19&lt;&gt;"",M19&gt;0),M19,IFERROR(VLOOKUP(D19,'Полупродукты'!$C$6:$E$62,3,FALSE()),IFERROR(VLOOKUP(D19,'Сырьё'!$C$6:$E$233,3,FALSE()),0))))</f>
        <v>2.7708</v>
      </c>
      <c r="K19" s="93">
        <f t="shared" si="4"/>
        <v>0.14</v>
      </c>
      <c r="L19" s="94">
        <f t="shared" si="5"/>
        <v>11.72</v>
      </c>
      <c r="M19" s="95"/>
      <c r="N19" s="89" t="s">
        <v>487</v>
      </c>
      <c r="O19" s="103">
        <v>0.65</v>
      </c>
      <c r="P19" s="94">
        <f t="shared" si="6"/>
        <v>54.4</v>
      </c>
      <c r="Q19" s="54"/>
      <c r="R19" s="1"/>
      <c r="S19" s="1"/>
      <c r="T19" s="1"/>
      <c r="U19" s="1"/>
      <c r="V19" s="1"/>
      <c r="W19" s="1"/>
      <c r="X19" s="1"/>
      <c r="Y19" s="1"/>
    </row>
    <row r="20" ht="21.75" customHeight="1">
      <c r="A20" s="1"/>
      <c r="B20" s="96">
        <v>4.0</v>
      </c>
      <c r="C20" s="96" t="str">
        <f>IF(D20="","",IF(ISNUMBER(MATCH(D20,'Полупродукты'!$C$6:$C$62,0)),"⚗️ Полупр.","Сырьё"))</f>
        <v>Сырьё</v>
      </c>
      <c r="D20" s="97" t="str">
        <f t="array" ref="D20">IFERROR(INDEX('Рецептуры'!$F:$F,MATCH($T$1&amp;"|"&amp;4,'Рецептуры'!$K:$K,0)),"")</f>
        <v>TCA-IAM20 (аналог Титан АП 100/Титан АП 130 Д)</v>
      </c>
      <c r="E20" s="96" t="str">
        <f t="shared" si="1"/>
        <v>Материал основной</v>
      </c>
      <c r="F20" s="96" t="str">
        <f t="shared" si="2"/>
        <v>кг</v>
      </c>
      <c r="G20" s="90"/>
      <c r="H20" s="98">
        <f t="array" ref="H20">IF(D20="","",IF(G20="",IFERROR(INDEX('Рецептуры'!$G:$G,MATCH($T$1&amp;"|"&amp;4,'Рецептуры'!$K:$K,0)),0),G20))</f>
        <v>0.005</v>
      </c>
      <c r="I20" s="99">
        <f t="shared" si="3"/>
        <v>0.005</v>
      </c>
      <c r="J20" s="99">
        <f>IF(D20="","",IF(AND(M20&lt;&gt;"",M20&gt;0),M20,IFERROR(VLOOKUP(D20,'Полупродукты'!$C$6:$E$62,3,FALSE()),IFERROR(VLOOKUP(D20,'Сырьё'!$C$6:$E$233,3,FALSE()),0))))</f>
        <v>14.556</v>
      </c>
      <c r="K20" s="100">
        <f t="shared" si="4"/>
        <v>0.07</v>
      </c>
      <c r="L20" s="101">
        <f t="shared" si="5"/>
        <v>5.86</v>
      </c>
      <c r="M20" s="95"/>
      <c r="N20" s="89" t="s">
        <v>488</v>
      </c>
      <c r="O20" s="104">
        <v>0.0</v>
      </c>
      <c r="P20" s="94">
        <f t="shared" si="6"/>
        <v>0</v>
      </c>
      <c r="Q20" s="54"/>
      <c r="R20" s="1"/>
      <c r="S20" s="1"/>
      <c r="T20" s="1"/>
      <c r="U20" s="1"/>
      <c r="V20" s="1"/>
      <c r="W20" s="1"/>
      <c r="X20" s="1"/>
      <c r="Y20" s="1"/>
    </row>
    <row r="21" ht="43.5" customHeight="1">
      <c r="A21" s="1"/>
      <c r="B21" s="88">
        <v>5.0</v>
      </c>
      <c r="C21" s="88" t="str">
        <f>IF(D21="","",IF(ISNUMBER(MATCH(D21,'Полупродукты'!$C$6:$C$62,0)),"⚗️ Полупр.","Сырьё"))</f>
        <v>Сырьё</v>
      </c>
      <c r="D21" s="89" t="str">
        <f t="array" ref="D21">IFERROR(INDEX('Рецептуры'!$F:$F,MATCH($T$1&amp;"|"&amp;5,'Рецептуры'!$K:$K,0)),"")</f>
        <v>Этилцеллозольв</v>
      </c>
      <c r="E21" s="88" t="str">
        <f t="shared" si="1"/>
        <v>Материал основной</v>
      </c>
      <c r="F21" s="88" t="str">
        <f t="shared" si="2"/>
        <v>кг</v>
      </c>
      <c r="G21" s="90"/>
      <c r="H21" s="91">
        <f t="array" ref="H21">IF(D21="","",IF(G21="",IFERROR(INDEX('Рецептуры'!$G:$G,MATCH($T$1&amp;"|"&amp;5,'Рецептуры'!$K:$K,0)),0),G21))</f>
        <v>0.045</v>
      </c>
      <c r="I21" s="92">
        <f t="shared" si="3"/>
        <v>0.045</v>
      </c>
      <c r="J21" s="92">
        <f>IF(D21="","",IF(AND(M21&lt;&gt;"",M21&gt;0),M21,IFERROR(VLOOKUP(D21,'Полупродукты'!$C$6:$E$62,3,FALSE()),IFERROR(VLOOKUP(D21,'Сырьё'!$C$6:$E$233,3,FALSE()),0))))</f>
        <v>1.7145</v>
      </c>
      <c r="K21" s="93">
        <f t="shared" si="4"/>
        <v>0.08</v>
      </c>
      <c r="L21" s="94">
        <f t="shared" si="5"/>
        <v>6.7</v>
      </c>
      <c r="M21" s="95"/>
      <c r="N21" s="89" t="s">
        <v>489</v>
      </c>
      <c r="O21" s="104">
        <v>0.0</v>
      </c>
      <c r="P21" s="94">
        <f t="shared" si="6"/>
        <v>0</v>
      </c>
      <c r="Q21" s="54"/>
      <c r="R21" s="1"/>
      <c r="S21" s="1"/>
      <c r="T21" s="1"/>
      <c r="U21" s="1"/>
      <c r="V21" s="1"/>
      <c r="W21" s="1"/>
      <c r="X21" s="1"/>
      <c r="Y21" s="1"/>
    </row>
    <row r="22" ht="35.25" customHeight="1">
      <c r="A22" s="1"/>
      <c r="B22" s="96">
        <v>6.0</v>
      </c>
      <c r="C22" s="96" t="str">
        <f>IF(D22="","",IF(ISNUMBER(MATCH(D22,'Полупродукты'!$C$6:$C$62,0)),"⚗️ Полупр.","Сырьё"))</f>
        <v/>
      </c>
      <c r="D22" s="97" t="str">
        <f t="array" ref="D22">IFERROR(INDEX('Рецептуры'!$F:$F,MATCH($T$1&amp;"|"&amp;6,'Рецептуры'!$K:$K,0)),"")</f>
        <v/>
      </c>
      <c r="E22" s="96" t="str">
        <f t="shared" si="1"/>
        <v/>
      </c>
      <c r="F22" s="96" t="str">
        <f t="shared" si="2"/>
        <v/>
      </c>
      <c r="G22" s="90"/>
      <c r="H22" s="98" t="str">
        <f t="array" ref="H22">IF(D22="","",IF(G22="",IFERROR(INDEX('Рецептуры'!$G:$G,MATCH($T$1&amp;"|"&amp;6,'Рецептуры'!$K:$K,0)),0),G22))</f>
        <v/>
      </c>
      <c r="I22" s="99" t="str">
        <f t="shared" si="3"/>
        <v/>
      </c>
      <c r="J22" s="99" t="str">
        <f>IF(D22="","",IF(AND(M22&lt;&gt;"",M22&gt;0),M22,IFERROR(VLOOKUP(D22,'Полупродукты'!$C$6:$E$62,3,FALSE()),IFERROR(VLOOKUP(D22,'Сырьё'!$C$6:$E$233,3,FALSE()),0))))</f>
        <v/>
      </c>
      <c r="K22" s="100" t="str">
        <f t="shared" si="4"/>
        <v/>
      </c>
      <c r="L22" s="101" t="str">
        <f t="shared" si="5"/>
        <v/>
      </c>
      <c r="M22" s="95"/>
      <c r="N22" s="105" t="s">
        <v>490</v>
      </c>
      <c r="O22" s="106">
        <f>ROUND(SUM(O17:O21),2)</f>
        <v>4.58</v>
      </c>
      <c r="P22" s="107">
        <f t="shared" si="6"/>
        <v>383.3</v>
      </c>
      <c r="Q22" s="54"/>
      <c r="R22" s="1"/>
      <c r="S22" s="1"/>
      <c r="T22" s="1"/>
      <c r="U22" s="1"/>
      <c r="V22" s="1"/>
      <c r="W22" s="1"/>
      <c r="X22" s="1"/>
      <c r="Y22" s="1"/>
    </row>
    <row r="23" ht="21.75" customHeight="1">
      <c r="A23" s="1"/>
      <c r="B23" s="88">
        <v>7.0</v>
      </c>
      <c r="C23" s="88" t="str">
        <f>IF(D23="","",IF(ISNUMBER(MATCH(D23,'Полупродукты'!$C$6:$C$62,0)),"⚗️ Полупр.","Сырьё"))</f>
        <v/>
      </c>
      <c r="D23" s="89" t="str">
        <f t="array" ref="D23">IFERROR(INDEX('Рецептуры'!$F:$F,MATCH($T$1&amp;"|"&amp;7,'Рецептуры'!$K:$K,0)),"")</f>
        <v/>
      </c>
      <c r="E23" s="88" t="str">
        <f t="shared" si="1"/>
        <v/>
      </c>
      <c r="F23" s="88" t="str">
        <f t="shared" si="2"/>
        <v/>
      </c>
      <c r="G23" s="90"/>
      <c r="H23" s="91" t="str">
        <f t="array" ref="H23">IF(D23="","",IF(G23="",IFERROR(INDEX('Рецептуры'!$G:$G,MATCH($T$1&amp;"|"&amp;7,'Рецептуры'!$K:$K,0)),0),G23))</f>
        <v/>
      </c>
      <c r="I23" s="92" t="str">
        <f t="shared" si="3"/>
        <v/>
      </c>
      <c r="J23" s="92" t="str">
        <f>IF(D23="","",IF(AND(M23&lt;&gt;"",M23&gt;0),M23,IFERROR(VLOOKUP(D23,'Полупродукты'!$C$6:$E$62,3,FALSE()),IFERROR(VLOOKUP(D23,'Сырьё'!$C$6:$E$233,3,FALSE()),0))))</f>
        <v/>
      </c>
      <c r="K23" s="93" t="str">
        <f t="shared" si="4"/>
        <v/>
      </c>
      <c r="L23" s="94" t="str">
        <f t="shared" si="5"/>
        <v/>
      </c>
      <c r="M23" s="95"/>
      <c r="N23" s="89" t="s">
        <v>491</v>
      </c>
      <c r="O23" s="108">
        <v>0.0</v>
      </c>
      <c r="P23" s="94">
        <f>ROUND(O22*O23*$J$8,2)</f>
        <v>0</v>
      </c>
      <c r="Q23" s="54"/>
      <c r="R23" s="1"/>
      <c r="S23" s="1"/>
      <c r="T23" s="1"/>
      <c r="U23" s="1"/>
      <c r="V23" s="1"/>
      <c r="W23" s="1"/>
      <c r="X23" s="1"/>
      <c r="Y23" s="1"/>
    </row>
    <row r="24" ht="24.0" customHeight="1">
      <c r="A24" s="1"/>
      <c r="B24" s="96">
        <v>8.0</v>
      </c>
      <c r="C24" s="96" t="str">
        <f>IF(D24="","",IF(ISNUMBER(MATCH(D24,'Полупродукты'!$C$6:$C$62,0)),"⚗️ Полупр.","Сырьё"))</f>
        <v/>
      </c>
      <c r="D24" s="97" t="str">
        <f t="array" ref="D24">IFERROR(INDEX('Рецептуры'!$F:$F,MATCH($T$1&amp;"|"&amp;8,'Рецептуры'!$K:$K,0)),"")</f>
        <v/>
      </c>
      <c r="E24" s="96" t="str">
        <f t="shared" si="1"/>
        <v/>
      </c>
      <c r="F24" s="96" t="str">
        <f t="shared" si="2"/>
        <v/>
      </c>
      <c r="G24" s="90"/>
      <c r="H24" s="98" t="str">
        <f t="array" ref="H24">IF(D24="","",IF(G24="",IFERROR(INDEX('Рецептуры'!$G:$G,MATCH($T$1&amp;"|"&amp;8,'Рецептуры'!$K:$K,0)),0),G24))</f>
        <v/>
      </c>
      <c r="I24" s="99" t="str">
        <f t="shared" si="3"/>
        <v/>
      </c>
      <c r="J24" s="99" t="str">
        <f>IF(D24="","",IF(AND(M24&lt;&gt;"",M24&gt;0),M24,IFERROR(VLOOKUP(D24,'Полупродукты'!$C$6:$E$62,3,FALSE()),IFERROR(VLOOKUP(D24,'Сырьё'!$C$6:$E$233,3,FALSE()),0))))</f>
        <v/>
      </c>
      <c r="K24" s="100" t="str">
        <f t="shared" si="4"/>
        <v/>
      </c>
      <c r="L24" s="101" t="str">
        <f t="shared" si="5"/>
        <v/>
      </c>
      <c r="M24" s="95"/>
      <c r="N24" s="109" t="s">
        <v>492</v>
      </c>
      <c r="O24" s="93">
        <f>ROUND(O22*O23,2)</f>
        <v>0</v>
      </c>
      <c r="P24" s="94">
        <f>ROUND(O24*$J$8,2)</f>
        <v>0</v>
      </c>
      <c r="Q24" s="54"/>
      <c r="R24" s="1"/>
      <c r="S24" s="1"/>
      <c r="T24" s="1"/>
      <c r="U24" s="1"/>
      <c r="V24" s="1"/>
      <c r="W24" s="1"/>
      <c r="X24" s="1"/>
      <c r="Y24" s="1"/>
    </row>
    <row r="25" ht="25.5" customHeight="1">
      <c r="A25" s="1"/>
      <c r="B25" s="88">
        <v>9.0</v>
      </c>
      <c r="C25" s="88" t="str">
        <f>IF(D25="","",IF(ISNUMBER(MATCH(D25,'Полупродукты'!$C$6:$C$62,0)),"⚗️ Полупр.","Сырьё"))</f>
        <v/>
      </c>
      <c r="D25" s="89" t="str">
        <f t="array" ref="D25">IFERROR(INDEX('Рецептуры'!$F:$F,MATCH($T$1&amp;"|"&amp;9,'Рецептуры'!$K:$K,0)),"")</f>
        <v/>
      </c>
      <c r="E25" s="88" t="str">
        <f t="shared" si="1"/>
        <v/>
      </c>
      <c r="F25" s="88" t="str">
        <f t="shared" si="2"/>
        <v/>
      </c>
      <c r="G25" s="90"/>
      <c r="H25" s="91" t="str">
        <f t="array" ref="H25">IF(D25="","",IF(G25="",IFERROR(INDEX('Рецептуры'!$G:$G,MATCH($T$1&amp;"|"&amp;9,'Рецептуры'!$K:$K,0)),0),G25))</f>
        <v/>
      </c>
      <c r="I25" s="92" t="str">
        <f t="shared" si="3"/>
        <v/>
      </c>
      <c r="J25" s="92" t="str">
        <f>IF(D25="","",IF(AND(M25&lt;&gt;"",M25&gt;0),M25,IFERROR(VLOOKUP(D25,'Полупродукты'!$C$6:$E$62,3,FALSE()),IFERROR(VLOOKUP(D25,'Сырьё'!$C$6:$E$233,3,FALSE()),0))))</f>
        <v/>
      </c>
      <c r="K25" s="93" t="str">
        <f t="shared" si="4"/>
        <v/>
      </c>
      <c r="L25" s="94" t="str">
        <f t="shared" si="5"/>
        <v/>
      </c>
      <c r="M25" s="95"/>
      <c r="N25" s="54"/>
      <c r="O25" s="54"/>
      <c r="P25" s="54"/>
      <c r="Q25" s="54"/>
      <c r="R25" s="1"/>
      <c r="S25" s="1"/>
      <c r="T25" s="1"/>
      <c r="U25" s="1"/>
      <c r="V25" s="1"/>
      <c r="W25" s="1"/>
      <c r="X25" s="1"/>
      <c r="Y25" s="1"/>
    </row>
    <row r="26" ht="30.0" customHeight="1">
      <c r="A26" s="1"/>
      <c r="B26" s="96">
        <v>10.0</v>
      </c>
      <c r="C26" s="96" t="str">
        <f>IF(D26="","",IF(ISNUMBER(MATCH(D26,'Полупродукты'!$C$6:$C$62,0)),"⚗️ Полупр.","Сырьё"))</f>
        <v/>
      </c>
      <c r="D26" s="97" t="str">
        <f t="array" ref="D26">IFERROR(INDEX('Рецептуры'!$F:$F,MATCH($T$1&amp;"|"&amp;10,'Рецептуры'!$K:$K,0)),"")</f>
        <v/>
      </c>
      <c r="E26" s="96" t="str">
        <f t="shared" si="1"/>
        <v/>
      </c>
      <c r="F26" s="96" t="str">
        <f t="shared" si="2"/>
        <v/>
      </c>
      <c r="G26" s="90"/>
      <c r="H26" s="98" t="str">
        <f t="array" ref="H26">IF(D26="","",IF(G26="",IFERROR(INDEX('Рецептуры'!$G:$G,MATCH($T$1&amp;"|"&amp;10,'Рецептуры'!$K:$K,0)),0),G26))</f>
        <v/>
      </c>
      <c r="I26" s="99" t="str">
        <f t="shared" si="3"/>
        <v/>
      </c>
      <c r="J26" s="99" t="str">
        <f>IF(D26="","",IF(AND(M26&lt;&gt;"",M26&gt;0),M26,IFERROR(VLOOKUP(D26,'Полупродукты'!$C$6:$E$62,3,FALSE()),IFERROR(VLOOKUP(D26,'Сырьё'!$C$6:$E$233,3,FALSE()),0))))</f>
        <v/>
      </c>
      <c r="K26" s="100" t="str">
        <f t="shared" si="4"/>
        <v/>
      </c>
      <c r="L26" s="101" t="str">
        <f t="shared" si="5"/>
        <v/>
      </c>
      <c r="M26" s="95"/>
      <c r="N26" s="110" t="s">
        <v>493</v>
      </c>
      <c r="O26" s="111"/>
      <c r="P26" s="85"/>
      <c r="Q26" s="54"/>
      <c r="R26" s="1"/>
      <c r="S26" s="1"/>
      <c r="T26" s="1"/>
      <c r="U26" s="1"/>
      <c r="V26" s="1"/>
      <c r="W26" s="1"/>
      <c r="X26" s="1"/>
      <c r="Y26" s="1"/>
    </row>
    <row r="27" ht="30.0" customHeight="1">
      <c r="A27" s="1"/>
      <c r="B27" s="88">
        <v>11.0</v>
      </c>
      <c r="C27" s="88" t="str">
        <f>IF(D27="","",IF(ISNUMBER(MATCH(D27,'Полупродукты'!$C$6:$C$62,0)),"⚗️ Полупр.","Сырьё"))</f>
        <v/>
      </c>
      <c r="D27" s="89" t="str">
        <f t="array" ref="D27">IFERROR(INDEX('Рецептуры'!$F:$F,MATCH($T$1&amp;"|"&amp;11,'Рецептуры'!$K:$K,0)),"")</f>
        <v/>
      </c>
      <c r="E27" s="88" t="str">
        <f t="shared" si="1"/>
        <v/>
      </c>
      <c r="F27" s="88" t="str">
        <f t="shared" si="2"/>
        <v/>
      </c>
      <c r="G27" s="90"/>
      <c r="H27" s="91" t="str">
        <f t="array" ref="H27">IF(D27="","",IF(G27="",IFERROR(INDEX('Рецептуры'!$G:$G,MATCH($T$1&amp;"|"&amp;11,'Рецептуры'!$K:$K,0)),0),G27))</f>
        <v/>
      </c>
      <c r="I27" s="92" t="str">
        <f t="shared" si="3"/>
        <v/>
      </c>
      <c r="J27" s="92" t="str">
        <f>IF(D27="","",IF(AND(M27&lt;&gt;"",M27&gt;0),M27,IFERROR(VLOOKUP(D27,'Полупродукты'!$C$6:$E$62,3,FALSE()),IFERROR(VLOOKUP(D27,'Сырьё'!$C$6:$E$233,3,FALSE()),0))))</f>
        <v/>
      </c>
      <c r="K27" s="93" t="str">
        <f t="shared" si="4"/>
        <v/>
      </c>
      <c r="L27" s="94" t="str">
        <f t="shared" si="5"/>
        <v/>
      </c>
      <c r="M27" s="95"/>
      <c r="N27" s="112" t="s">
        <v>494</v>
      </c>
      <c r="O27" s="113">
        <f>ROUND(O22*(1+O23),2)</f>
        <v>4.58</v>
      </c>
      <c r="P27" s="114">
        <f t="shared" ref="P27:P28" si="7">ROUND(O27*$J$8,2)</f>
        <v>383.3</v>
      </c>
      <c r="Q27" s="54"/>
      <c r="R27" s="1"/>
      <c r="S27" s="1"/>
      <c r="T27" s="1"/>
      <c r="U27" s="1"/>
      <c r="V27" s="1"/>
      <c r="W27" s="1"/>
      <c r="X27" s="1"/>
      <c r="Y27" s="1"/>
    </row>
    <row r="28" ht="15.0" customHeight="1">
      <c r="A28" s="1"/>
      <c r="B28" s="96">
        <v>12.0</v>
      </c>
      <c r="C28" s="96" t="str">
        <f>IF(D28="","",IF(ISNUMBER(MATCH(D28,'Полупродукты'!$C$6:$C$62,0)),"⚗️ Полупр.","Сырьё"))</f>
        <v/>
      </c>
      <c r="D28" s="97" t="str">
        <f t="array" ref="D28">IFERROR(INDEX('Рецептуры'!$F:$F,MATCH($T$1&amp;"|"&amp;12,'Рецептуры'!$K:$K,0)),"")</f>
        <v/>
      </c>
      <c r="E28" s="96" t="str">
        <f t="shared" si="1"/>
        <v/>
      </c>
      <c r="F28" s="96" t="str">
        <f t="shared" si="2"/>
        <v/>
      </c>
      <c r="G28" s="90"/>
      <c r="H28" s="98" t="str">
        <f t="array" ref="H28">IF(D28="","",IF(G28="",IFERROR(INDEX('Рецептуры'!$G:$G,MATCH($T$1&amp;"|"&amp;12,'Рецептуры'!$K:$K,0)),0),G28))</f>
        <v/>
      </c>
      <c r="I28" s="99" t="str">
        <f t="shared" si="3"/>
        <v/>
      </c>
      <c r="J28" s="99" t="str">
        <f>IF(D28="","",IF(AND(M28&lt;&gt;"",M28&gt;0),M28,IFERROR(VLOOKUP(D28,'Полупродукты'!$C$6:$E$62,3,FALSE()),IFERROR(VLOOKUP(D28,'Сырьё'!$C$6:$E$233,3,FALSE()),0))))</f>
        <v/>
      </c>
      <c r="K28" s="100" t="str">
        <f t="shared" si="4"/>
        <v/>
      </c>
      <c r="L28" s="101" t="str">
        <f t="shared" si="5"/>
        <v/>
      </c>
      <c r="M28" s="95"/>
      <c r="N28" s="115" t="s">
        <v>495</v>
      </c>
      <c r="O28" s="116">
        <f>ROUND(O27/(1+0.22),2)</f>
        <v>3.75</v>
      </c>
      <c r="P28" s="117">
        <f t="shared" si="7"/>
        <v>313.83</v>
      </c>
      <c r="Q28" s="54"/>
      <c r="R28" s="1"/>
      <c r="S28" s="1"/>
      <c r="T28" s="1"/>
      <c r="U28" s="1"/>
      <c r="V28" s="1"/>
      <c r="W28" s="1"/>
      <c r="X28" s="1"/>
      <c r="Y28" s="1"/>
    </row>
    <row r="29" ht="15.0" customHeight="1">
      <c r="A29" s="1"/>
      <c r="B29" s="88">
        <v>13.0</v>
      </c>
      <c r="C29" s="88" t="str">
        <f>IF(D29="","",IF(ISNUMBER(MATCH(D29,'Полупродукты'!$C$6:$C$62,0)),"⚗️ Полупр.","Сырьё"))</f>
        <v/>
      </c>
      <c r="D29" s="89" t="str">
        <f t="array" ref="D29">IFERROR(INDEX('Рецептуры'!$F:$F,MATCH($T$1&amp;"|"&amp;13,'Рецептуры'!$K:$K,0)),"")</f>
        <v/>
      </c>
      <c r="E29" s="88" t="str">
        <f t="shared" si="1"/>
        <v/>
      </c>
      <c r="F29" s="88" t="str">
        <f t="shared" si="2"/>
        <v/>
      </c>
      <c r="G29" s="90"/>
      <c r="H29" s="91" t="str">
        <f t="array" ref="H29">IF(D29="","",IF(G29="",IFERROR(INDEX('Рецептуры'!$G:$G,MATCH($T$1&amp;"|"&amp;13,'Рецептуры'!$K:$K,0)),0),G29))</f>
        <v/>
      </c>
      <c r="I29" s="92" t="str">
        <f t="shared" si="3"/>
        <v/>
      </c>
      <c r="J29" s="92" t="str">
        <f>IF(D29="","",IF(AND(M29&lt;&gt;"",M29&gt;0),M29,IFERROR(VLOOKUP(D29,'Полупродукты'!$C$6:$E$62,3,FALSE()),IFERROR(VLOOKUP(D29,'Сырьё'!$C$6:$E$233,3,FALSE()),0))))</f>
        <v/>
      </c>
      <c r="K29" s="93" t="str">
        <f t="shared" si="4"/>
        <v/>
      </c>
      <c r="L29" s="94" t="str">
        <f t="shared" si="5"/>
        <v/>
      </c>
      <c r="M29" s="95"/>
      <c r="N29" s="118"/>
      <c r="O29" s="47"/>
      <c r="P29" s="47"/>
      <c r="Q29" s="54"/>
      <c r="R29" s="1"/>
      <c r="S29" s="1"/>
      <c r="T29" s="1"/>
      <c r="U29" s="1"/>
      <c r="V29" s="1"/>
      <c r="W29" s="1"/>
      <c r="X29" s="1"/>
      <c r="Y29" s="1"/>
    </row>
    <row r="30" ht="15.0" customHeight="1">
      <c r="A30" s="1"/>
      <c r="B30" s="96">
        <v>14.0</v>
      </c>
      <c r="C30" s="96" t="str">
        <f>IF(D30="","",IF(ISNUMBER(MATCH(D30,'Полупродукты'!$C$6:$C$62,0)),"⚗️ Полупр.","Сырьё"))</f>
        <v/>
      </c>
      <c r="D30" s="97" t="str">
        <f t="array" ref="D30">IFERROR(INDEX('Рецептуры'!$F:$F,MATCH($T$1&amp;"|"&amp;14,'Рецептуры'!$K:$K,0)),"")</f>
        <v/>
      </c>
      <c r="E30" s="96" t="str">
        <f t="shared" si="1"/>
        <v/>
      </c>
      <c r="F30" s="96" t="str">
        <f t="shared" si="2"/>
        <v/>
      </c>
      <c r="G30" s="90"/>
      <c r="H30" s="98" t="str">
        <f t="array" ref="H30">IF(D30="","",IF(G30="",IFERROR(INDEX('Рецептуры'!$G:$G,MATCH($T$1&amp;"|"&amp;14,'Рецептуры'!$K:$K,0)),0),G30))</f>
        <v/>
      </c>
      <c r="I30" s="99" t="str">
        <f t="shared" si="3"/>
        <v/>
      </c>
      <c r="J30" s="99" t="str">
        <f>IF(D30="","",IF(AND(M30&lt;&gt;"",M30&gt;0),M30,IFERROR(VLOOKUP(D30,'Полупродукты'!$C$6:$E$62,3,FALSE()),IFERROR(VLOOKUP(D30,'Сырьё'!$C$6:$E$233,3,FALSE()),0))))</f>
        <v/>
      </c>
      <c r="K30" s="100" t="str">
        <f t="shared" si="4"/>
        <v/>
      </c>
      <c r="L30" s="101" t="str">
        <f t="shared" si="5"/>
        <v/>
      </c>
      <c r="M30" s="95"/>
      <c r="N30" s="118"/>
      <c r="O30" s="47"/>
      <c r="P30" s="47"/>
      <c r="Q30" s="54"/>
      <c r="R30" s="1"/>
      <c r="S30" s="1"/>
      <c r="T30" s="1"/>
      <c r="U30" s="1"/>
      <c r="V30" s="1"/>
      <c r="W30" s="1"/>
      <c r="X30" s="1"/>
      <c r="Y30" s="1"/>
    </row>
    <row r="31" ht="15.0" customHeight="1">
      <c r="A31" s="1"/>
      <c r="B31" s="88">
        <v>15.0</v>
      </c>
      <c r="C31" s="88" t="str">
        <f>IF(D31="","",IF(ISNUMBER(MATCH(D31,'Полупродукты'!$C$6:$C$62,0)),"⚗️ Полупр.","Сырьё"))</f>
        <v/>
      </c>
      <c r="D31" s="89" t="str">
        <f t="array" ref="D31">IFERROR(INDEX('Рецептуры'!$F:$F,MATCH($T$1&amp;"|"&amp;15,'Рецептуры'!$K:$K,0)),"")</f>
        <v/>
      </c>
      <c r="E31" s="88" t="str">
        <f t="shared" si="1"/>
        <v/>
      </c>
      <c r="F31" s="88" t="str">
        <f t="shared" si="2"/>
        <v/>
      </c>
      <c r="G31" s="90"/>
      <c r="H31" s="91" t="str">
        <f t="array" ref="H31">IF(D31="","",IF(G31="",IFERROR(INDEX('Рецептуры'!$G:$G,MATCH($T$1&amp;"|"&amp;15,'Рецептуры'!$K:$K,0)),0),G31))</f>
        <v/>
      </c>
      <c r="I31" s="92" t="str">
        <f t="shared" si="3"/>
        <v/>
      </c>
      <c r="J31" s="92" t="str">
        <f>IF(D31="","",IF(AND(M31&lt;&gt;"",M31&gt;0),M31,IFERROR(VLOOKUP(D31,'Полупродукты'!$C$6:$E$62,3,FALSE()),IFERROR(VLOOKUP(D31,'Сырьё'!$C$6:$E$233,3,FALSE()),0))))</f>
        <v/>
      </c>
      <c r="K31" s="93" t="str">
        <f t="shared" si="4"/>
        <v/>
      </c>
      <c r="L31" s="94" t="str">
        <f t="shared" si="5"/>
        <v/>
      </c>
      <c r="M31" s="95"/>
      <c r="N31" s="118"/>
      <c r="O31" s="47"/>
      <c r="P31" s="47"/>
      <c r="Q31" s="54"/>
      <c r="R31" s="1"/>
      <c r="S31" s="1"/>
      <c r="T31" s="1"/>
      <c r="U31" s="1"/>
      <c r="V31" s="1"/>
      <c r="W31" s="1"/>
      <c r="X31" s="1"/>
      <c r="Y31" s="1"/>
    </row>
    <row r="32" ht="15.0" customHeight="1">
      <c r="A32" s="1"/>
      <c r="B32" s="96">
        <v>16.0</v>
      </c>
      <c r="C32" s="96" t="str">
        <f>IF(D32="","",IF(ISNUMBER(MATCH(D32,'Полупродукты'!$C$6:$C$62,0)),"⚗️ Полупр.","Сырьё"))</f>
        <v/>
      </c>
      <c r="D32" s="97" t="str">
        <f t="array" ref="D32">IFERROR(INDEX('Рецептуры'!$F:$F,MATCH($T$1&amp;"|"&amp;16,'Рецептуры'!$K:$K,0)),"")</f>
        <v/>
      </c>
      <c r="E32" s="96" t="str">
        <f t="shared" si="1"/>
        <v/>
      </c>
      <c r="F32" s="96" t="str">
        <f t="shared" si="2"/>
        <v/>
      </c>
      <c r="G32" s="90"/>
      <c r="H32" s="98" t="str">
        <f t="array" ref="H32">IF(D32="","",IF(G32="",IFERROR(INDEX('Рецептуры'!$G:$G,MATCH($T$1&amp;"|"&amp;16,'Рецептуры'!$K:$K,0)),0),G32))</f>
        <v/>
      </c>
      <c r="I32" s="99" t="str">
        <f t="shared" si="3"/>
        <v/>
      </c>
      <c r="J32" s="99" t="str">
        <f>IF(D32="","",IF(AND(M32&lt;&gt;"",M32&gt;0),M32,IFERROR(VLOOKUP(D32,'Полупродукты'!$C$6:$E$62,3,FALSE()),IFERROR(VLOOKUP(D32,'Сырьё'!$C$6:$E$233,3,FALSE()),0))))</f>
        <v/>
      </c>
      <c r="K32" s="100" t="str">
        <f t="shared" si="4"/>
        <v/>
      </c>
      <c r="L32" s="101" t="str">
        <f t="shared" si="5"/>
        <v/>
      </c>
      <c r="M32" s="95"/>
      <c r="N32" s="118"/>
      <c r="O32" s="47"/>
      <c r="P32" s="47"/>
      <c r="Q32" s="54"/>
      <c r="R32" s="1"/>
      <c r="S32" s="1"/>
      <c r="T32" s="1"/>
      <c r="U32" s="1"/>
      <c r="V32" s="1"/>
      <c r="W32" s="1"/>
      <c r="X32" s="1"/>
      <c r="Y32" s="1"/>
    </row>
    <row r="33" ht="15.0" customHeight="1">
      <c r="A33" s="1"/>
      <c r="B33" s="88">
        <v>17.0</v>
      </c>
      <c r="C33" s="88" t="str">
        <f>IF(D33="","",IF(ISNUMBER(MATCH(D33,'Полупродукты'!$C$6:$C$62,0)),"⚗️ Полупр.","Сырьё"))</f>
        <v/>
      </c>
      <c r="D33" s="89" t="str">
        <f t="array" ref="D33">IFERROR(INDEX('Рецептуры'!$F:$F,MATCH($T$1&amp;"|"&amp;17,'Рецептуры'!$K:$K,0)),"")</f>
        <v/>
      </c>
      <c r="E33" s="88" t="str">
        <f t="shared" si="1"/>
        <v/>
      </c>
      <c r="F33" s="88" t="str">
        <f t="shared" si="2"/>
        <v/>
      </c>
      <c r="G33" s="90"/>
      <c r="H33" s="91" t="str">
        <f t="array" ref="H33">IF(D33="","",IF(G33="",IFERROR(INDEX('Рецептуры'!$G:$G,MATCH($T$1&amp;"|"&amp;17,'Рецептуры'!$K:$K,0)),0),G33))</f>
        <v/>
      </c>
      <c r="I33" s="92" t="str">
        <f t="shared" si="3"/>
        <v/>
      </c>
      <c r="J33" s="92" t="str">
        <f>IF(D33="","",IF(AND(M33&lt;&gt;"",M33&gt;0),M33,IFERROR(VLOOKUP(D33,'Полупродукты'!$C$6:$E$62,3,FALSE()),IFERROR(VLOOKUP(D33,'Сырьё'!$C$6:$E$233,3,FALSE()),0))))</f>
        <v/>
      </c>
      <c r="K33" s="93" t="str">
        <f t="shared" si="4"/>
        <v/>
      </c>
      <c r="L33" s="94" t="str">
        <f t="shared" si="5"/>
        <v/>
      </c>
      <c r="M33" s="95"/>
      <c r="N33" s="118"/>
      <c r="O33" s="47"/>
      <c r="P33" s="47"/>
      <c r="Q33" s="54"/>
      <c r="R33" s="1"/>
      <c r="S33" s="1"/>
      <c r="T33" s="1"/>
      <c r="U33" s="1"/>
      <c r="V33" s="1"/>
      <c r="W33" s="1"/>
      <c r="X33" s="1"/>
      <c r="Y33" s="1"/>
    </row>
    <row r="34" ht="15.0" customHeight="1">
      <c r="A34" s="1"/>
      <c r="B34" s="96">
        <v>18.0</v>
      </c>
      <c r="C34" s="96" t="str">
        <f>IF(D34="","",IF(ISNUMBER(MATCH(D34,'Полупродукты'!$C$6:$C$62,0)),"⚗️ Полупр.","Сырьё"))</f>
        <v/>
      </c>
      <c r="D34" s="97" t="str">
        <f t="array" ref="D34">IFERROR(INDEX('Рецептуры'!$F:$F,MATCH($T$1&amp;"|"&amp;18,'Рецептуры'!$K:$K,0)),"")</f>
        <v/>
      </c>
      <c r="E34" s="96" t="str">
        <f t="shared" si="1"/>
        <v/>
      </c>
      <c r="F34" s="96" t="str">
        <f t="shared" si="2"/>
        <v/>
      </c>
      <c r="G34" s="90"/>
      <c r="H34" s="98" t="str">
        <f t="array" ref="H34">IF(D34="","",IF(G34="",IFERROR(INDEX('Рецептуры'!$G:$G,MATCH($T$1&amp;"|"&amp;18,'Рецептуры'!$K:$K,0)),0),G34))</f>
        <v/>
      </c>
      <c r="I34" s="99" t="str">
        <f t="shared" si="3"/>
        <v/>
      </c>
      <c r="J34" s="99" t="str">
        <f>IF(D34="","",IF(AND(M34&lt;&gt;"",M34&gt;0),M34,IFERROR(VLOOKUP(D34,'Полупродукты'!$C$6:$E$62,3,FALSE()),IFERROR(VLOOKUP(D34,'Сырьё'!$C$6:$E$233,3,FALSE()),0))))</f>
        <v/>
      </c>
      <c r="K34" s="100" t="str">
        <f t="shared" si="4"/>
        <v/>
      </c>
      <c r="L34" s="101" t="str">
        <f t="shared" si="5"/>
        <v/>
      </c>
      <c r="M34" s="95"/>
      <c r="N34" s="118"/>
      <c r="O34" s="47"/>
      <c r="P34" s="47"/>
      <c r="Q34" s="54"/>
      <c r="R34" s="1"/>
      <c r="S34" s="1"/>
      <c r="T34" s="1"/>
      <c r="U34" s="1"/>
      <c r="V34" s="1"/>
      <c r="W34" s="1"/>
      <c r="X34" s="1"/>
      <c r="Y34" s="1"/>
    </row>
    <row r="35" ht="15.0" customHeight="1">
      <c r="A35" s="1"/>
      <c r="B35" s="88">
        <v>19.0</v>
      </c>
      <c r="C35" s="88" t="str">
        <f>IF(D35="","",IF(ISNUMBER(MATCH(D35,'Полупродукты'!$C$6:$C$62,0)),"⚗️ Полупр.","Сырьё"))</f>
        <v/>
      </c>
      <c r="D35" s="89" t="str">
        <f t="array" ref="D35">IFERROR(INDEX('Рецептуры'!$F:$F,MATCH($T$1&amp;"|"&amp;19,'Рецептуры'!$K:$K,0)),"")</f>
        <v/>
      </c>
      <c r="E35" s="88" t="str">
        <f t="shared" si="1"/>
        <v/>
      </c>
      <c r="F35" s="88" t="str">
        <f t="shared" si="2"/>
        <v/>
      </c>
      <c r="G35" s="90"/>
      <c r="H35" s="91" t="str">
        <f t="array" ref="H35">IF(D35="","",IF(G35="",IFERROR(INDEX('Рецептуры'!$G:$G,MATCH($T$1&amp;"|"&amp;19,'Рецептуры'!$K:$K,0)),0),G35))</f>
        <v/>
      </c>
      <c r="I35" s="92" t="str">
        <f t="shared" si="3"/>
        <v/>
      </c>
      <c r="J35" s="92" t="str">
        <f>IF(D35="","",IF(AND(M35&lt;&gt;"",M35&gt;0),M35,IFERROR(VLOOKUP(D35,'Полупродукты'!$C$6:$E$62,3,FALSE()),IFERROR(VLOOKUP(D35,'Сырьё'!$C$6:$E$233,3,FALSE()),0))))</f>
        <v/>
      </c>
      <c r="K35" s="93" t="str">
        <f t="shared" si="4"/>
        <v/>
      </c>
      <c r="L35" s="94" t="str">
        <f t="shared" si="5"/>
        <v/>
      </c>
      <c r="M35" s="95"/>
      <c r="N35" s="118"/>
      <c r="O35" s="47"/>
      <c r="P35" s="47"/>
      <c r="Q35" s="54"/>
      <c r="R35" s="1"/>
      <c r="S35" s="1"/>
      <c r="T35" s="1"/>
      <c r="U35" s="1"/>
      <c r="V35" s="1"/>
      <c r="W35" s="1"/>
      <c r="X35" s="1"/>
      <c r="Y35" s="1"/>
    </row>
    <row r="36" ht="15.0" customHeight="1">
      <c r="A36" s="1"/>
      <c r="B36" s="96">
        <v>20.0</v>
      </c>
      <c r="C36" s="96" t="str">
        <f>IF(D36="","",IF(ISNUMBER(MATCH(D36,'Полупродукты'!$C$6:$C$62,0)),"⚗️ Полупр.","Сырьё"))</f>
        <v/>
      </c>
      <c r="D36" s="97" t="str">
        <f t="array" ref="D36">IFERROR(INDEX('Рецептуры'!$F:$F,MATCH($T$1&amp;"|"&amp;20,'Рецептуры'!$K:$K,0)),"")</f>
        <v/>
      </c>
      <c r="E36" s="96" t="str">
        <f t="shared" si="1"/>
        <v/>
      </c>
      <c r="F36" s="96" t="str">
        <f t="shared" si="2"/>
        <v/>
      </c>
      <c r="G36" s="90"/>
      <c r="H36" s="98" t="str">
        <f t="array" ref="H36">IF(D36="","",IF(G36="",IFERROR(INDEX('Рецептуры'!$G:$G,MATCH($T$1&amp;"|"&amp;20,'Рецептуры'!$K:$K,0)),0),G36))</f>
        <v/>
      </c>
      <c r="I36" s="99" t="str">
        <f t="shared" si="3"/>
        <v/>
      </c>
      <c r="J36" s="99" t="str">
        <f>IF(D36="","",IF(AND(M36&lt;&gt;"",M36&gt;0),M36,IFERROR(VLOOKUP(D36,'Полупродукты'!$C$6:$E$62,3,FALSE()),IFERROR(VLOOKUP(D36,'Сырьё'!$C$6:$E$233,3,FALSE()),0))))</f>
        <v/>
      </c>
      <c r="K36" s="100" t="str">
        <f t="shared" si="4"/>
        <v/>
      </c>
      <c r="L36" s="101" t="str">
        <f t="shared" si="5"/>
        <v/>
      </c>
      <c r="M36" s="95"/>
      <c r="N36" s="118"/>
      <c r="O36" s="47"/>
      <c r="P36" s="47"/>
      <c r="Q36" s="54"/>
      <c r="R36" s="1"/>
      <c r="S36" s="1"/>
      <c r="T36" s="1"/>
      <c r="U36" s="1"/>
      <c r="V36" s="1"/>
      <c r="W36" s="1"/>
      <c r="X36" s="1"/>
      <c r="Y36" s="1"/>
    </row>
    <row r="37" ht="27.75" customHeight="1">
      <c r="A37" s="1"/>
      <c r="B37" s="119" t="s">
        <v>496</v>
      </c>
      <c r="C37" s="10"/>
      <c r="D37" s="10"/>
      <c r="E37" s="10"/>
      <c r="F37" s="10"/>
      <c r="G37" s="11"/>
      <c r="H37" s="120">
        <f>SUM(H17:H36)</f>
        <v>1</v>
      </c>
      <c r="I37" s="121"/>
      <c r="J37" s="121"/>
      <c r="K37" s="122">
        <f t="shared" ref="K37:L37" si="8">ROUND(SUM(K17:K36),2)</f>
        <v>3.12</v>
      </c>
      <c r="L37" s="123">
        <f t="shared" si="8"/>
        <v>261.12</v>
      </c>
      <c r="M37" s="47"/>
      <c r="N37" s="47"/>
      <c r="O37" s="47"/>
      <c r="P37" s="47"/>
      <c r="Q37" s="47"/>
      <c r="R37" s="1"/>
      <c r="S37" s="1"/>
      <c r="T37" s="1"/>
      <c r="U37" s="1"/>
      <c r="V37" s="1"/>
      <c r="W37" s="1"/>
      <c r="X37" s="1"/>
      <c r="Y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47"/>
      <c r="N38" s="47"/>
      <c r="O38" s="47"/>
      <c r="P38" s="47"/>
      <c r="Q38" s="47"/>
      <c r="R38" s="1"/>
      <c r="S38" s="1"/>
      <c r="T38" s="1"/>
      <c r="U38" s="1"/>
      <c r="V38" s="1"/>
      <c r="W38" s="1"/>
      <c r="X38" s="1"/>
      <c r="Y38" s="1"/>
    </row>
    <row r="39" ht="25.5" customHeight="1">
      <c r="A39" s="47"/>
      <c r="B39" s="124" t="str">
        <f>IF($I$14=0,"⬇ Чтобы увидеть состав полупродукта — введите № его строки в желтую ячейку справа от 🔍","🔬  Состав полупродукта: "&amp;$T$1)</f>
        <v>⬇ Чтобы увидеть состав полупродукта — введите № его строки в желтую ячейку справа от 🔍</v>
      </c>
      <c r="C39" s="10"/>
      <c r="D39" s="10"/>
      <c r="E39" s="10"/>
      <c r="F39" s="10"/>
      <c r="G39" s="10"/>
      <c r="H39" s="10"/>
      <c r="I39" s="10"/>
      <c r="J39" s="10"/>
      <c r="K39" s="10"/>
      <c r="L39" s="11"/>
      <c r="M39" s="47"/>
      <c r="N39" s="47"/>
      <c r="O39" s="47"/>
      <c r="P39" s="47"/>
      <c r="Q39" s="47"/>
      <c r="R39" s="1"/>
      <c r="S39" s="1"/>
      <c r="T39" s="1"/>
      <c r="U39" s="1"/>
      <c r="V39" s="1"/>
      <c r="W39" s="1"/>
      <c r="X39" s="1"/>
      <c r="Y39" s="1"/>
    </row>
    <row r="40" ht="36.0" customHeight="1">
      <c r="A40" s="47"/>
      <c r="B40" s="86" t="s">
        <v>369</v>
      </c>
      <c r="C40" s="86" t="s">
        <v>371</v>
      </c>
      <c r="D40" s="86" t="s">
        <v>472</v>
      </c>
      <c r="E40" s="86" t="s">
        <v>473</v>
      </c>
      <c r="F40" s="86" t="s">
        <v>474</v>
      </c>
      <c r="G40" s="86"/>
      <c r="H40" s="86" t="s">
        <v>497</v>
      </c>
      <c r="I40" s="86" t="s">
        <v>477</v>
      </c>
      <c r="J40" s="86" t="s">
        <v>478</v>
      </c>
      <c r="K40" s="86" t="s">
        <v>479</v>
      </c>
      <c r="L40" s="86" t="s">
        <v>480</v>
      </c>
      <c r="M40" s="47"/>
      <c r="N40" s="47"/>
      <c r="O40" s="47"/>
      <c r="P40" s="47"/>
      <c r="Q40" s="47"/>
      <c r="R40" s="1"/>
      <c r="S40" s="1"/>
      <c r="T40" s="1"/>
      <c r="U40" s="1"/>
      <c r="V40" s="1"/>
      <c r="W40" s="1"/>
      <c r="X40" s="1"/>
      <c r="Y40" s="1"/>
    </row>
    <row r="41" ht="15.0" customHeight="1">
      <c r="A41" s="47"/>
      <c r="B41" s="125" t="str">
        <f>IF($I$14=0,"",1)</f>
        <v/>
      </c>
      <c r="C41" s="125" t="str">
        <f>IF(OR($I$14=0,D41=""),"",IF(ISNUMBER(MATCH(D41,'Полупродукты'!$C$6:$C$62,0)),"⚗️ Полупр.","Сырьё"))</f>
        <v/>
      </c>
      <c r="D41" s="126" t="str">
        <f t="array" ref="D41">IF($I$14=0,"",IFERROR(INDEX('Рецептуры'!$F:$F,MATCH($T$1&amp;"|"&amp;1,'Рецептуры'!$K:$K,0)),""))</f>
        <v/>
      </c>
      <c r="E41" s="125" t="str">
        <f t="shared" ref="E41:E52" si="9">IF(D41="","","Материал основной")</f>
        <v/>
      </c>
      <c r="F41" s="125" t="str">
        <f t="shared" ref="F41:F52" si="10">IF(D41="","","кг")</f>
        <v/>
      </c>
      <c r="G41" s="127"/>
      <c r="H41" s="128" t="str">
        <f t="array" ref="H41">IF(OR($I$14=0,D41=""),"",IFERROR(INDEX('Рецептуры'!$G:$G,MATCH($T$1&amp;"|"&amp;1,'Рецептуры'!$K:$K,0)),0))</f>
        <v/>
      </c>
      <c r="I41" s="129" t="str">
        <f t="shared" ref="I41:I52" si="11">IF(OR($I$14=0,D41=""),"",IFERROR(H41,0))</f>
        <v/>
      </c>
      <c r="J41" s="130" t="str">
        <f>IF(OR($I$14=0,D41=""),"",IFERROR(VLOOKUP(D41,'Полупродукты'!$C$6:$E$62,3,FALSE()),IFERROR(VLOOKUP(D41,'Сырьё'!$C$6:$E$233,3,FALSE()),0)))</f>
        <v/>
      </c>
      <c r="K41" s="131" t="str">
        <f t="shared" ref="K41:K52" si="12">IF(OR($I$14=0,D41=""),"",ROUND(IFERROR(I41*J41,0),2))</f>
        <v/>
      </c>
      <c r="L41" s="132" t="str">
        <f t="shared" ref="L41:L52" si="13">IF(OR($I$14=0,D41=""),"",ROUND(IFERROR(K41*$J$8,0),2))</f>
        <v/>
      </c>
      <c r="M41" s="47"/>
      <c r="N41" s="47"/>
      <c r="O41" s="47"/>
      <c r="P41" s="47"/>
      <c r="Q41" s="47"/>
      <c r="R41" s="1"/>
      <c r="S41" s="1"/>
      <c r="T41" s="1"/>
      <c r="U41" s="1"/>
      <c r="V41" s="1"/>
      <c r="W41" s="1"/>
      <c r="X41" s="1"/>
      <c r="Y41" s="1"/>
    </row>
    <row r="42" ht="15.0" customHeight="1">
      <c r="A42" s="47"/>
      <c r="B42" s="96" t="str">
        <f>IF($I$14=0,"",2)</f>
        <v/>
      </c>
      <c r="C42" s="96" t="str">
        <f>IF(OR($I$14=0,D42=""),"",IF(ISNUMBER(MATCH(D42,'Полупродукты'!$C$6:$C$62,0)),"⚗️ Полупр.","Сырьё"))</f>
        <v/>
      </c>
      <c r="D42" s="97" t="str">
        <f t="array" ref="D42">IF($I$14=0,"",IFERROR(INDEX('Рецептуры'!$F:$F,MATCH($T$1&amp;"|"&amp;2,'Рецептуры'!$K:$K,0)),""))</f>
        <v/>
      </c>
      <c r="E42" s="96" t="str">
        <f t="shared" si="9"/>
        <v/>
      </c>
      <c r="F42" s="96" t="str">
        <f t="shared" si="10"/>
        <v/>
      </c>
      <c r="G42" s="127"/>
      <c r="H42" s="98" t="str">
        <f t="array" ref="H42">IF(OR($I$14=0,D42=""),"",IFERROR(INDEX('Рецептуры'!$G:$G,MATCH($T$1&amp;"|"&amp;2,'Рецептуры'!$K:$K,0)),0))</f>
        <v/>
      </c>
      <c r="I42" s="99" t="str">
        <f t="shared" si="11"/>
        <v/>
      </c>
      <c r="J42" s="133" t="str">
        <f>IF(OR($I$14=0,D42=""),"",IFERROR(VLOOKUP(D42,'Полупродукты'!$C$6:$E$62,3,FALSE()),IFERROR(VLOOKUP(D42,'Сырьё'!$C$6:$E$233,3,FALSE()),0)))</f>
        <v/>
      </c>
      <c r="K42" s="100" t="str">
        <f t="shared" si="12"/>
        <v/>
      </c>
      <c r="L42" s="101" t="str">
        <f t="shared" si="13"/>
        <v/>
      </c>
      <c r="M42" s="47"/>
      <c r="N42" s="47"/>
      <c r="O42" s="47"/>
      <c r="P42" s="47"/>
      <c r="Q42" s="47"/>
      <c r="R42" s="1"/>
      <c r="S42" s="1"/>
      <c r="T42" s="1"/>
      <c r="U42" s="1"/>
      <c r="V42" s="1"/>
      <c r="W42" s="1"/>
      <c r="X42" s="1"/>
      <c r="Y42" s="1"/>
    </row>
    <row r="43" ht="15.0" customHeight="1">
      <c r="A43" s="47"/>
      <c r="B43" s="125" t="str">
        <f>IF($I$14=0,"",3)</f>
        <v/>
      </c>
      <c r="C43" s="125" t="str">
        <f>IF(OR($I$14=0,D43=""),"",IF(ISNUMBER(MATCH(D43,'Полупродукты'!$C$6:$C$62,0)),"⚗️ Полупр.","Сырьё"))</f>
        <v/>
      </c>
      <c r="D43" s="126" t="str">
        <f t="array" ref="D43">IF($I$14=0,"",IFERROR(INDEX('Рецептуры'!$F:$F,MATCH($T$1&amp;"|"&amp;3,'Рецептуры'!$K:$K,0)),""))</f>
        <v/>
      </c>
      <c r="E43" s="125" t="str">
        <f t="shared" si="9"/>
        <v/>
      </c>
      <c r="F43" s="125" t="str">
        <f t="shared" si="10"/>
        <v/>
      </c>
      <c r="G43" s="127"/>
      <c r="H43" s="128" t="str">
        <f t="array" ref="H43">IF(OR($I$14=0,D43=""),"",IFERROR(INDEX('Рецептуры'!$G:$G,MATCH($T$1&amp;"|"&amp;3,'Рецептуры'!$K:$K,0)),0))</f>
        <v/>
      </c>
      <c r="I43" s="129" t="str">
        <f t="shared" si="11"/>
        <v/>
      </c>
      <c r="J43" s="130" t="str">
        <f>IF(OR($I$14=0,D43=""),"",IFERROR(VLOOKUP(D43,'Полупродукты'!$C$6:$E$62,3,FALSE()),IFERROR(VLOOKUP(D43,'Сырьё'!$C$6:$E$233,3,FALSE()),0)))</f>
        <v/>
      </c>
      <c r="K43" s="131" t="str">
        <f t="shared" si="12"/>
        <v/>
      </c>
      <c r="L43" s="132" t="str">
        <f t="shared" si="13"/>
        <v/>
      </c>
      <c r="M43" s="47"/>
      <c r="N43" s="47"/>
      <c r="O43" s="47"/>
      <c r="P43" s="47"/>
      <c r="Q43" s="47"/>
      <c r="R43" s="1"/>
      <c r="S43" s="1"/>
      <c r="T43" s="1"/>
      <c r="U43" s="1"/>
      <c r="V43" s="1"/>
      <c r="W43" s="1"/>
      <c r="X43" s="1"/>
      <c r="Y43" s="1"/>
    </row>
    <row r="44" ht="15.0" customHeight="1">
      <c r="A44" s="47"/>
      <c r="B44" s="96" t="str">
        <f>IF($I$14=0,"",4)</f>
        <v/>
      </c>
      <c r="C44" s="96" t="str">
        <f>IF(OR($I$14=0,D44=""),"",IF(ISNUMBER(MATCH(D44,'Полупродукты'!$C$6:$C$62,0)),"⚗️ Полупр.","Сырьё"))</f>
        <v/>
      </c>
      <c r="D44" s="97" t="str">
        <f t="array" ref="D44">IF($I$14=0,"",IFERROR(INDEX('Рецептуры'!$F:$F,MATCH($T$1&amp;"|"&amp;4,'Рецептуры'!$K:$K,0)),""))</f>
        <v/>
      </c>
      <c r="E44" s="96" t="str">
        <f t="shared" si="9"/>
        <v/>
      </c>
      <c r="F44" s="96" t="str">
        <f t="shared" si="10"/>
        <v/>
      </c>
      <c r="G44" s="127"/>
      <c r="H44" s="98" t="str">
        <f t="array" ref="H44">IF(OR($I$14=0,D44=""),"",IFERROR(INDEX('Рецептуры'!$G:$G,MATCH($T$1&amp;"|"&amp;4,'Рецептуры'!$K:$K,0)),0))</f>
        <v/>
      </c>
      <c r="I44" s="99" t="str">
        <f t="shared" si="11"/>
        <v/>
      </c>
      <c r="J44" s="133" t="str">
        <f>IF(OR($I$14=0,D44=""),"",IFERROR(VLOOKUP(D44,'Полупродукты'!$C$6:$E$62,3,FALSE()),IFERROR(VLOOKUP(D44,'Сырьё'!$C$6:$E$233,3,FALSE()),0)))</f>
        <v/>
      </c>
      <c r="K44" s="100" t="str">
        <f t="shared" si="12"/>
        <v/>
      </c>
      <c r="L44" s="101" t="str">
        <f t="shared" si="13"/>
        <v/>
      </c>
      <c r="M44" s="47"/>
      <c r="N44" s="47"/>
      <c r="O44" s="47"/>
      <c r="P44" s="47"/>
      <c r="Q44" s="47"/>
      <c r="R44" s="1"/>
      <c r="S44" s="1"/>
      <c r="T44" s="1"/>
      <c r="U44" s="1"/>
      <c r="V44" s="1"/>
      <c r="W44" s="1"/>
      <c r="X44" s="1"/>
      <c r="Y44" s="1"/>
    </row>
    <row r="45" ht="15.0" customHeight="1">
      <c r="A45" s="47"/>
      <c r="B45" s="125" t="str">
        <f>IF($I$14=0,"",5)</f>
        <v/>
      </c>
      <c r="C45" s="125" t="str">
        <f>IF(OR($I$14=0,D45=""),"",IF(ISNUMBER(MATCH(D45,'Полупродукты'!$C$6:$C$62,0)),"⚗️ Полупр.","Сырьё"))</f>
        <v/>
      </c>
      <c r="D45" s="126" t="str">
        <f t="array" ref="D45">IF($I$14=0,"",IFERROR(INDEX('Рецептуры'!$F:$F,MATCH($T$1&amp;"|"&amp;5,'Рецептуры'!$K:$K,0)),""))</f>
        <v/>
      </c>
      <c r="E45" s="125" t="str">
        <f t="shared" si="9"/>
        <v/>
      </c>
      <c r="F45" s="125" t="str">
        <f t="shared" si="10"/>
        <v/>
      </c>
      <c r="G45" s="127"/>
      <c r="H45" s="128" t="str">
        <f t="array" ref="H45">IF(OR($I$14=0,D45=""),"",IFERROR(INDEX('Рецептуры'!$G:$G,MATCH($T$1&amp;"|"&amp;5,'Рецептуры'!$K:$K,0)),0))</f>
        <v/>
      </c>
      <c r="I45" s="129" t="str">
        <f t="shared" si="11"/>
        <v/>
      </c>
      <c r="J45" s="130" t="str">
        <f>IF(OR($I$14=0,D45=""),"",IFERROR(VLOOKUP(D45,'Полупродукты'!$C$6:$E$62,3,FALSE()),IFERROR(VLOOKUP(D45,'Сырьё'!$C$6:$E$233,3,FALSE()),0)))</f>
        <v/>
      </c>
      <c r="K45" s="131" t="str">
        <f t="shared" si="12"/>
        <v/>
      </c>
      <c r="L45" s="132" t="str">
        <f t="shared" si="13"/>
        <v/>
      </c>
      <c r="M45" s="47"/>
      <c r="N45" s="47"/>
      <c r="O45" s="47"/>
      <c r="P45" s="47"/>
      <c r="Q45" s="47"/>
      <c r="R45" s="1"/>
      <c r="S45" s="1"/>
      <c r="T45" s="1"/>
      <c r="U45" s="1"/>
      <c r="V45" s="1"/>
      <c r="W45" s="1"/>
      <c r="X45" s="1"/>
      <c r="Y45" s="1"/>
    </row>
    <row r="46" ht="15.0" customHeight="1">
      <c r="A46" s="47"/>
      <c r="B46" s="96" t="str">
        <f>IF($I$14=0,"",6)</f>
        <v/>
      </c>
      <c r="C46" s="96" t="str">
        <f>IF(OR($I$14=0,D46=""),"",IF(ISNUMBER(MATCH(D46,'Полупродукты'!$C$6:$C$62,0)),"⚗️ Полупр.","Сырьё"))</f>
        <v/>
      </c>
      <c r="D46" s="97" t="str">
        <f t="array" ref="D46">IF($I$14=0,"",IFERROR(INDEX('Рецептуры'!$F:$F,MATCH($T$1&amp;"|"&amp;6,'Рецептуры'!$K:$K,0)),""))</f>
        <v/>
      </c>
      <c r="E46" s="96" t="str">
        <f t="shared" si="9"/>
        <v/>
      </c>
      <c r="F46" s="96" t="str">
        <f t="shared" si="10"/>
        <v/>
      </c>
      <c r="G46" s="127"/>
      <c r="H46" s="98" t="str">
        <f t="array" ref="H46">IF(OR($I$14=0,D46=""),"",IFERROR(INDEX('Рецептуры'!$G:$G,MATCH($T$1&amp;"|"&amp;6,'Рецептуры'!$K:$K,0)),0))</f>
        <v/>
      </c>
      <c r="I46" s="99" t="str">
        <f t="shared" si="11"/>
        <v/>
      </c>
      <c r="J46" s="133" t="str">
        <f>IF(OR($I$14=0,D46=""),"",IFERROR(VLOOKUP(D46,'Полупродукты'!$C$6:$E$62,3,FALSE()),IFERROR(VLOOKUP(D46,'Сырьё'!$C$6:$E$233,3,FALSE()),0)))</f>
        <v/>
      </c>
      <c r="K46" s="100" t="str">
        <f t="shared" si="12"/>
        <v/>
      </c>
      <c r="L46" s="101" t="str">
        <f t="shared" si="13"/>
        <v/>
      </c>
      <c r="M46" s="47"/>
      <c r="N46" s="47"/>
      <c r="O46" s="47"/>
      <c r="P46" s="47"/>
      <c r="Q46" s="47"/>
      <c r="R46" s="1"/>
      <c r="S46" s="1"/>
      <c r="T46" s="1"/>
      <c r="U46" s="1"/>
      <c r="V46" s="1"/>
      <c r="W46" s="1"/>
      <c r="X46" s="1"/>
      <c r="Y46" s="1"/>
    </row>
    <row r="47" ht="15.0" customHeight="1">
      <c r="A47" s="47"/>
      <c r="B47" s="125" t="str">
        <f>IF($I$14=0,"",7)</f>
        <v/>
      </c>
      <c r="C47" s="125" t="str">
        <f>IF(OR($I$14=0,D47=""),"",IF(ISNUMBER(MATCH(D47,'Полупродукты'!$C$6:$C$62,0)),"⚗️ Полупр.","Сырьё"))</f>
        <v/>
      </c>
      <c r="D47" s="126" t="str">
        <f t="array" ref="D47">IF($I$14=0,"",IFERROR(INDEX('Рецептуры'!$F:$F,MATCH($T$1&amp;"|"&amp;7,'Рецептуры'!$K:$K,0)),""))</f>
        <v/>
      </c>
      <c r="E47" s="125" t="str">
        <f t="shared" si="9"/>
        <v/>
      </c>
      <c r="F47" s="125" t="str">
        <f t="shared" si="10"/>
        <v/>
      </c>
      <c r="G47" s="127"/>
      <c r="H47" s="128" t="str">
        <f t="array" ref="H47">IF(OR($I$14=0,D47=""),"",IFERROR(INDEX('Рецептуры'!$G:$G,MATCH($T$1&amp;"|"&amp;7,'Рецептуры'!$K:$K,0)),0))</f>
        <v/>
      </c>
      <c r="I47" s="129" t="str">
        <f t="shared" si="11"/>
        <v/>
      </c>
      <c r="J47" s="130" t="str">
        <f>IF(OR($I$14=0,D47=""),"",IFERROR(VLOOKUP(D47,'Полупродукты'!$C$6:$E$62,3,FALSE()),IFERROR(VLOOKUP(D47,'Сырьё'!$C$6:$E$233,3,FALSE()),0)))</f>
        <v/>
      </c>
      <c r="K47" s="131" t="str">
        <f t="shared" si="12"/>
        <v/>
      </c>
      <c r="L47" s="132" t="str">
        <f t="shared" si="13"/>
        <v/>
      </c>
      <c r="M47" s="47"/>
      <c r="N47" s="47"/>
      <c r="O47" s="47"/>
      <c r="P47" s="47"/>
      <c r="Q47" s="47"/>
      <c r="R47" s="1"/>
      <c r="S47" s="1"/>
      <c r="T47" s="1"/>
      <c r="U47" s="1"/>
      <c r="V47" s="1"/>
      <c r="W47" s="1"/>
      <c r="X47" s="1"/>
      <c r="Y47" s="1"/>
    </row>
    <row r="48" ht="15.0" customHeight="1">
      <c r="A48" s="47"/>
      <c r="B48" s="96" t="str">
        <f>IF($I$14=0,"",8)</f>
        <v/>
      </c>
      <c r="C48" s="96" t="str">
        <f>IF(OR($I$14=0,D48=""),"",IF(ISNUMBER(MATCH(D48,'Полупродукты'!$C$6:$C$62,0)),"⚗️ Полупр.","Сырьё"))</f>
        <v/>
      </c>
      <c r="D48" s="97" t="str">
        <f t="array" ref="D48">IF($I$14=0,"",IFERROR(INDEX('Рецептуры'!$F:$F,MATCH($T$1&amp;"|"&amp;8,'Рецептуры'!$K:$K,0)),""))</f>
        <v/>
      </c>
      <c r="E48" s="96" t="str">
        <f t="shared" si="9"/>
        <v/>
      </c>
      <c r="F48" s="96" t="str">
        <f t="shared" si="10"/>
        <v/>
      </c>
      <c r="G48" s="127"/>
      <c r="H48" s="98" t="str">
        <f t="array" ref="H48">IF(OR($I$14=0,D48=""),"",IFERROR(INDEX('Рецептуры'!$G:$G,MATCH($T$1&amp;"|"&amp;8,'Рецептуры'!$K:$K,0)),0))</f>
        <v/>
      </c>
      <c r="I48" s="99" t="str">
        <f t="shared" si="11"/>
        <v/>
      </c>
      <c r="J48" s="133" t="str">
        <f>IF(OR($I$14=0,D48=""),"",IFERROR(VLOOKUP(D48,'Полупродукты'!$C$6:$E$62,3,FALSE()),IFERROR(VLOOKUP(D48,'Сырьё'!$C$6:$E$233,3,FALSE()),0)))</f>
        <v/>
      </c>
      <c r="K48" s="100" t="str">
        <f t="shared" si="12"/>
        <v/>
      </c>
      <c r="L48" s="101" t="str">
        <f t="shared" si="13"/>
        <v/>
      </c>
      <c r="M48" s="47"/>
      <c r="N48" s="47"/>
      <c r="O48" s="47"/>
      <c r="P48" s="47"/>
      <c r="Q48" s="47"/>
      <c r="R48" s="1"/>
      <c r="S48" s="1"/>
      <c r="T48" s="1"/>
      <c r="U48" s="1"/>
      <c r="V48" s="1"/>
      <c r="W48" s="1"/>
      <c r="X48" s="1"/>
      <c r="Y48" s="1"/>
    </row>
    <row r="49" ht="15.0" customHeight="1">
      <c r="A49" s="47"/>
      <c r="B49" s="125" t="str">
        <f>IF($I$14=0,"",9)</f>
        <v/>
      </c>
      <c r="C49" s="125" t="str">
        <f>IF(OR($I$14=0,D49=""),"",IF(ISNUMBER(MATCH(D49,'Полупродукты'!$C$6:$C$62,0)),"⚗️ Полупр.","Сырьё"))</f>
        <v/>
      </c>
      <c r="D49" s="126" t="str">
        <f t="array" ref="D49">IF($I$14=0,"",IFERROR(INDEX('Рецептуры'!$F:$F,MATCH($T$1&amp;"|"&amp;9,'Рецептуры'!$K:$K,0)),""))</f>
        <v/>
      </c>
      <c r="E49" s="125" t="str">
        <f t="shared" si="9"/>
        <v/>
      </c>
      <c r="F49" s="125" t="str">
        <f t="shared" si="10"/>
        <v/>
      </c>
      <c r="G49" s="127"/>
      <c r="H49" s="128" t="str">
        <f t="array" ref="H49">IF(OR($I$14=0,D49=""),"",IFERROR(INDEX('Рецептуры'!$G:$G,MATCH($T$1&amp;"|"&amp;9,'Рецептуры'!$K:$K,0)),0))</f>
        <v/>
      </c>
      <c r="I49" s="129" t="str">
        <f t="shared" si="11"/>
        <v/>
      </c>
      <c r="J49" s="130" t="str">
        <f>IF(OR($I$14=0,D49=""),"",IFERROR(VLOOKUP(D49,'Полупродукты'!$C$6:$E$62,3,FALSE()),IFERROR(VLOOKUP(D49,'Сырьё'!$C$6:$E$233,3,FALSE()),0)))</f>
        <v/>
      </c>
      <c r="K49" s="131" t="str">
        <f t="shared" si="12"/>
        <v/>
      </c>
      <c r="L49" s="132" t="str">
        <f t="shared" si="13"/>
        <v/>
      </c>
      <c r="M49" s="47"/>
      <c r="N49" s="47"/>
      <c r="O49" s="47"/>
      <c r="P49" s="47"/>
      <c r="Q49" s="47"/>
      <c r="R49" s="1"/>
      <c r="S49" s="1"/>
      <c r="T49" s="1"/>
      <c r="U49" s="1"/>
      <c r="V49" s="1"/>
      <c r="W49" s="1"/>
      <c r="X49" s="1"/>
      <c r="Y49" s="1"/>
    </row>
    <row r="50" ht="15.0" customHeight="1">
      <c r="A50" s="47"/>
      <c r="B50" s="96" t="str">
        <f>IF($I$14=0,"",10)</f>
        <v/>
      </c>
      <c r="C50" s="96" t="str">
        <f>IF(OR($I$14=0,D50=""),"",IF(ISNUMBER(MATCH(D50,'Полупродукты'!$C$6:$C$62,0)),"⚗️ Полупр.","Сырьё"))</f>
        <v/>
      </c>
      <c r="D50" s="97" t="str">
        <f t="array" ref="D50">IF($I$14=0,"",IFERROR(INDEX('Рецептуры'!$F:$F,MATCH($T$1&amp;"|"&amp;10,'Рецептуры'!$K:$K,0)),""))</f>
        <v/>
      </c>
      <c r="E50" s="96" t="str">
        <f t="shared" si="9"/>
        <v/>
      </c>
      <c r="F50" s="96" t="str">
        <f t="shared" si="10"/>
        <v/>
      </c>
      <c r="G50" s="127"/>
      <c r="H50" s="98" t="str">
        <f t="array" ref="H50">IF(OR($I$14=0,D50=""),"",IFERROR(INDEX('Рецептуры'!$G:$G,MATCH($T$1&amp;"|"&amp;10,'Рецептуры'!$K:$K,0)),0))</f>
        <v/>
      </c>
      <c r="I50" s="99" t="str">
        <f t="shared" si="11"/>
        <v/>
      </c>
      <c r="J50" s="133" t="str">
        <f>IF(OR($I$14=0,D50=""),"",IFERROR(VLOOKUP(D50,'Полупродукты'!$C$6:$E$62,3,FALSE()),IFERROR(VLOOKUP(D50,'Сырьё'!$C$6:$E$233,3,FALSE()),0)))</f>
        <v/>
      </c>
      <c r="K50" s="100" t="str">
        <f t="shared" si="12"/>
        <v/>
      </c>
      <c r="L50" s="101" t="str">
        <f t="shared" si="13"/>
        <v/>
      </c>
      <c r="M50" s="47"/>
      <c r="N50" s="47"/>
      <c r="O50" s="47"/>
      <c r="P50" s="47"/>
      <c r="Q50" s="47"/>
      <c r="R50" s="1"/>
      <c r="S50" s="1"/>
      <c r="T50" s="1"/>
      <c r="U50" s="1"/>
      <c r="V50" s="1"/>
      <c r="W50" s="1"/>
      <c r="X50" s="1"/>
      <c r="Y50" s="1"/>
    </row>
    <row r="51" ht="15.0" customHeight="1">
      <c r="A51" s="47"/>
      <c r="B51" s="125" t="str">
        <f>IF($I$14=0,"",11)</f>
        <v/>
      </c>
      <c r="C51" s="125" t="str">
        <f>IF(OR($I$14=0,D51=""),"",IF(ISNUMBER(MATCH(D51,'Полупродукты'!$C$6:$C$62,0)),"⚗️ Полупр.","Сырьё"))</f>
        <v/>
      </c>
      <c r="D51" s="126" t="str">
        <f t="array" ref="D51">IF($I$14=0,"",IFERROR(INDEX('Рецептуры'!$F:$F,MATCH($T$1&amp;"|"&amp;11,'Рецептуры'!$K:$K,0)),""))</f>
        <v/>
      </c>
      <c r="E51" s="125" t="str">
        <f t="shared" si="9"/>
        <v/>
      </c>
      <c r="F51" s="125" t="str">
        <f t="shared" si="10"/>
        <v/>
      </c>
      <c r="G51" s="127"/>
      <c r="H51" s="128" t="str">
        <f t="array" ref="H51">IF(OR($I$14=0,D51=""),"",IFERROR(INDEX('Рецептуры'!$G:$G,MATCH($T$1&amp;"|"&amp;11,'Рецептуры'!$K:$K,0)),0))</f>
        <v/>
      </c>
      <c r="I51" s="129" t="str">
        <f t="shared" si="11"/>
        <v/>
      </c>
      <c r="J51" s="130" t="str">
        <f>IF(OR($I$14=0,D51=""),"",IFERROR(VLOOKUP(D51,'Полупродукты'!$C$6:$E$62,3,FALSE()),IFERROR(VLOOKUP(D51,'Сырьё'!$C$6:$E$233,3,FALSE()),0)))</f>
        <v/>
      </c>
      <c r="K51" s="131" t="str">
        <f t="shared" si="12"/>
        <v/>
      </c>
      <c r="L51" s="132" t="str">
        <f t="shared" si="13"/>
        <v/>
      </c>
      <c r="M51" s="47"/>
      <c r="N51" s="47"/>
      <c r="O51" s="47"/>
      <c r="P51" s="47"/>
      <c r="Q51" s="47"/>
      <c r="R51" s="1"/>
      <c r="S51" s="1"/>
      <c r="T51" s="1"/>
      <c r="U51" s="1"/>
      <c r="V51" s="1"/>
      <c r="W51" s="1"/>
      <c r="X51" s="1"/>
      <c r="Y51" s="1"/>
    </row>
    <row r="52" ht="15.0" customHeight="1">
      <c r="A52" s="47"/>
      <c r="B52" s="96" t="str">
        <f>IF($I$14=0,"",12)</f>
        <v/>
      </c>
      <c r="C52" s="96" t="str">
        <f>IF(OR($I$14=0,D52=""),"",IF(ISNUMBER(MATCH(D52,'Полупродукты'!$C$6:$C$62,0)),"⚗️ Полупр.","Сырьё"))</f>
        <v/>
      </c>
      <c r="D52" s="97" t="str">
        <f t="array" ref="D52">IF($I$14=0,"",IFERROR(INDEX('Рецептуры'!$F:$F,MATCH($T$1&amp;"|"&amp;12,'Рецептуры'!$K:$K,0)),""))</f>
        <v/>
      </c>
      <c r="E52" s="96" t="str">
        <f t="shared" si="9"/>
        <v/>
      </c>
      <c r="F52" s="96" t="str">
        <f t="shared" si="10"/>
        <v/>
      </c>
      <c r="G52" s="127"/>
      <c r="H52" s="98" t="str">
        <f t="array" ref="H52">IF(OR($I$14=0,D52=""),"",IFERROR(INDEX('Рецептуры'!$G:$G,MATCH($T$1&amp;"|"&amp;12,'Рецептуры'!$K:$K,0)),0))</f>
        <v/>
      </c>
      <c r="I52" s="99" t="str">
        <f t="shared" si="11"/>
        <v/>
      </c>
      <c r="J52" s="133" t="str">
        <f>IF(OR($I$14=0,D52=""),"",IFERROR(VLOOKUP(D52,'Полупродукты'!$C$6:$E$62,3,FALSE()),IFERROR(VLOOKUP(D52,'Сырьё'!$C$6:$E$233,3,FALSE()),0)))</f>
        <v/>
      </c>
      <c r="K52" s="100" t="str">
        <f t="shared" si="12"/>
        <v/>
      </c>
      <c r="L52" s="101" t="str">
        <f t="shared" si="13"/>
        <v/>
      </c>
      <c r="M52" s="47"/>
      <c r="N52" s="47"/>
      <c r="O52" s="47"/>
      <c r="P52" s="47"/>
      <c r="Q52" s="47"/>
      <c r="R52" s="1"/>
      <c r="S52" s="1"/>
      <c r="T52" s="1"/>
      <c r="U52" s="1"/>
      <c r="V52" s="1"/>
      <c r="W52" s="1"/>
      <c r="X52" s="1"/>
      <c r="Y52" s="1"/>
    </row>
    <row r="53" ht="21.75" customHeight="1">
      <c r="A53" s="47"/>
      <c r="B53" s="119" t="s">
        <v>498</v>
      </c>
      <c r="C53" s="10"/>
      <c r="D53" s="10"/>
      <c r="E53" s="10"/>
      <c r="F53" s="10"/>
      <c r="G53" s="11"/>
      <c r="H53" s="120" t="str">
        <f>IF($I$14=0,"",SUM(H41:H52))</f>
        <v/>
      </c>
      <c r="I53" s="121"/>
      <c r="J53" s="121"/>
      <c r="K53" s="122" t="str">
        <f t="shared" ref="K53:L53" si="14">IF($I$14=0,"",ROUND(SUM(K41:K52),2))</f>
        <v/>
      </c>
      <c r="L53" s="123" t="str">
        <f t="shared" si="14"/>
        <v/>
      </c>
      <c r="M53" s="47"/>
      <c r="N53" s="47"/>
      <c r="O53" s="47"/>
      <c r="P53" s="47"/>
      <c r="Q53" s="47"/>
      <c r="R53" s="1"/>
      <c r="S53" s="1"/>
      <c r="T53" s="1"/>
      <c r="U53" s="1"/>
      <c r="V53" s="1"/>
      <c r="W53" s="1"/>
      <c r="X53" s="1"/>
      <c r="Y53" s="1"/>
    </row>
    <row r="54" ht="15.0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1"/>
      <c r="S54" s="1"/>
      <c r="T54" s="1"/>
      <c r="U54" s="1"/>
      <c r="V54" s="1"/>
      <c r="W54" s="1"/>
      <c r="X54" s="1"/>
      <c r="Y54" s="1"/>
    </row>
    <row r="55" ht="49.5" customHeight="1">
      <c r="A55" s="47"/>
      <c r="B55" s="134" t="s">
        <v>499</v>
      </c>
      <c r="C55" s="10"/>
      <c r="D55" s="10"/>
      <c r="E55" s="10"/>
      <c r="F55" s="10"/>
      <c r="G55" s="10"/>
      <c r="H55" s="10"/>
      <c r="I55" s="10"/>
      <c r="J55" s="10"/>
      <c r="K55" s="10"/>
      <c r="L55" s="11"/>
      <c r="M55" s="47"/>
      <c r="N55" s="47"/>
      <c r="O55" s="47"/>
      <c r="P55" s="47"/>
      <c r="Q55" s="47"/>
      <c r="R55" s="1"/>
      <c r="S55" s="1"/>
      <c r="T55" s="1"/>
      <c r="U55" s="1"/>
      <c r="V55" s="1"/>
      <c r="W55" s="1"/>
      <c r="X55" s="1"/>
      <c r="Y55" s="1"/>
    </row>
    <row r="56" ht="15.0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1"/>
      <c r="S56" s="1"/>
      <c r="T56" s="1"/>
      <c r="U56" s="1"/>
      <c r="V56" s="1"/>
      <c r="W56" s="1"/>
      <c r="X56" s="1"/>
      <c r="Y56" s="1"/>
    </row>
    <row r="57" ht="15.0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</row>
  </sheetData>
  <mergeCells count="33">
    <mergeCell ref="J8:L8"/>
    <mergeCell ref="N8:P10"/>
    <mergeCell ref="J9:L9"/>
    <mergeCell ref="J11:L11"/>
    <mergeCell ref="J12:L12"/>
    <mergeCell ref="N26:P26"/>
    <mergeCell ref="H8:I8"/>
    <mergeCell ref="H9:I9"/>
    <mergeCell ref="G11:I11"/>
    <mergeCell ref="G12:I12"/>
    <mergeCell ref="B37:G37"/>
    <mergeCell ref="B39:L39"/>
    <mergeCell ref="B53:G53"/>
    <mergeCell ref="B55:L55"/>
    <mergeCell ref="F2:P3"/>
    <mergeCell ref="F4:P4"/>
    <mergeCell ref="B7:E7"/>
    <mergeCell ref="G7:I7"/>
    <mergeCell ref="J7:L7"/>
    <mergeCell ref="B8:E8"/>
    <mergeCell ref="B10:L10"/>
    <mergeCell ref="B14:H14"/>
    <mergeCell ref="B15:F15"/>
    <mergeCell ref="G15:H15"/>
    <mergeCell ref="I15:J15"/>
    <mergeCell ref="K15:L15"/>
    <mergeCell ref="B9:E9"/>
    <mergeCell ref="B11:D11"/>
    <mergeCell ref="E11:F11"/>
    <mergeCell ref="B12:D12"/>
    <mergeCell ref="E12:F12"/>
    <mergeCell ref="B13:L13"/>
    <mergeCell ref="J14:L14"/>
  </mergeCells>
  <conditionalFormatting sqref="B17:L36">
    <cfRule type="expression" dxfId="0" priority="1">
      <formula>$C17="⚗️ Полупр."</formula>
    </cfRule>
  </conditionalFormatting>
  <conditionalFormatting sqref="K15:L15">
    <cfRule type="cellIs" dxfId="1" priority="2" operator="between">
      <formula>0.999</formula>
      <formula>1.001</formula>
    </cfRule>
  </conditionalFormatting>
  <conditionalFormatting sqref="K15:L15">
    <cfRule type="cellIs" dxfId="2" priority="3" operator="greaterThan">
      <formula>1.001</formula>
    </cfRule>
  </conditionalFormatting>
  <conditionalFormatting sqref="K15:L15">
    <cfRule type="cellIs" dxfId="3" priority="4" operator="lessThan">
      <formula>0.999</formula>
    </cfRule>
  </conditionalFormatting>
  <conditionalFormatting sqref="K15">
    <cfRule type="cellIs" dxfId="4" priority="5" operator="greaterThan">
      <formula>1.005</formula>
    </cfRule>
  </conditionalFormatting>
  <conditionalFormatting sqref="K15">
    <cfRule type="cellIs" dxfId="5" priority="6" operator="between">
      <formula>0.995</formula>
      <formula>1.005</formula>
    </cfRule>
  </conditionalFormatting>
  <conditionalFormatting sqref="K15">
    <cfRule type="cellIs" dxfId="6" priority="7" operator="lessThan">
      <formula>0.995</formula>
    </cfRule>
  </conditionalFormatting>
  <conditionalFormatting sqref="G17:G36">
    <cfRule type="expression" dxfId="7" priority="8">
      <formula>SUM($G$17:$G$36)&gt;1.005</formula>
    </cfRule>
  </conditionalFormatting>
  <conditionalFormatting sqref="J17:J36">
    <cfRule type="expression" dxfId="8" priority="9">
      <formula>AND($M17&lt;&gt;"",$M17&gt;0)</formula>
    </cfRule>
  </conditionalFormatting>
  <dataValidations>
    <dataValidation type="list" allowBlank="1" showInputMessage="1" prompt="Поиск по артикулу - Выберите из 31 артикулов или введите вручную" sqref="G8">
      <formula1>'Потери'!$M$2:$M$32</formula1>
    </dataValidation>
    <dataValidation type="list" allowBlank="1" sqref="B8">
      <formula1>'Продукты'!$D$6:$D$224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4.0"/>
    <col customWidth="1" min="3" max="3" width="11.0"/>
    <col customWidth="1" min="4" max="4" width="36.0"/>
    <col customWidth="1" min="5" max="5" width="13.0"/>
    <col customWidth="1" min="6" max="6" width="6.0"/>
    <col customWidth="1" min="7" max="10" width="9.0"/>
    <col customWidth="1" min="11" max="13" width="11.0"/>
    <col customWidth="1" min="14" max="15" width="12.0"/>
    <col customWidth="1" min="16" max="16" width="13.0"/>
    <col customWidth="1" min="17" max="17" width="14.0"/>
    <col customWidth="1" min="18" max="18" width="8.0"/>
  </cols>
  <sheetData>
    <row r="1" ht="7.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1"/>
      <c r="S1" s="1"/>
      <c r="T1" s="1"/>
      <c r="U1" s="1"/>
      <c r="V1" s="1"/>
      <c r="W1" s="1"/>
      <c r="X1" s="1"/>
      <c r="Y1" s="1"/>
    </row>
    <row r="2" ht="25.5" customHeight="1">
      <c r="A2" s="1"/>
      <c r="B2" s="47"/>
      <c r="C2" s="47"/>
      <c r="D2" s="47"/>
      <c r="E2" s="47"/>
      <c r="F2" s="48" t="s">
        <v>500</v>
      </c>
      <c r="G2" s="3"/>
      <c r="H2" s="3"/>
      <c r="I2" s="3"/>
      <c r="J2" s="3"/>
      <c r="K2" s="3"/>
      <c r="L2" s="3"/>
      <c r="M2" s="3"/>
      <c r="N2" s="3"/>
      <c r="O2" s="3"/>
      <c r="P2" s="4"/>
      <c r="Q2" s="47"/>
      <c r="R2" s="1"/>
      <c r="S2" s="1"/>
      <c r="T2" s="1"/>
      <c r="U2" s="1"/>
      <c r="V2" s="1"/>
      <c r="W2" s="1"/>
      <c r="X2" s="1"/>
      <c r="Y2" s="1"/>
    </row>
    <row r="3" ht="25.5" customHeight="1">
      <c r="A3" s="1"/>
      <c r="B3" s="47"/>
      <c r="C3" s="47"/>
      <c r="D3" s="47"/>
      <c r="E3" s="47"/>
      <c r="F3" s="5"/>
      <c r="G3" s="6"/>
      <c r="H3" s="6"/>
      <c r="I3" s="6"/>
      <c r="J3" s="6"/>
      <c r="K3" s="6"/>
      <c r="L3" s="6"/>
      <c r="M3" s="6"/>
      <c r="N3" s="6"/>
      <c r="O3" s="6"/>
      <c r="P3" s="7"/>
      <c r="Q3" s="47"/>
      <c r="R3" s="1"/>
      <c r="S3" s="1"/>
      <c r="T3" s="1"/>
      <c r="U3" s="1"/>
      <c r="V3" s="1"/>
      <c r="W3" s="1"/>
      <c r="X3" s="1"/>
      <c r="Y3" s="1"/>
    </row>
    <row r="4" ht="25.5" customHeight="1">
      <c r="A4" s="1"/>
      <c r="B4" s="47"/>
      <c r="C4" s="47"/>
      <c r="D4" s="47"/>
      <c r="E4" s="47"/>
      <c r="F4" s="49" t="s">
        <v>501</v>
      </c>
      <c r="G4" s="10"/>
      <c r="H4" s="10"/>
      <c r="I4" s="10"/>
      <c r="J4" s="10"/>
      <c r="K4" s="10"/>
      <c r="L4" s="10"/>
      <c r="M4" s="10"/>
      <c r="N4" s="10"/>
      <c r="O4" s="10"/>
      <c r="P4" s="11"/>
      <c r="Q4" s="47"/>
      <c r="R4" s="1"/>
      <c r="S4" s="1"/>
      <c r="T4" s="1"/>
      <c r="U4" s="1"/>
      <c r="V4" s="1"/>
      <c r="W4" s="1"/>
      <c r="X4" s="1"/>
      <c r="Y4" s="1"/>
    </row>
    <row r="5" ht="15.75" customHeight="1">
      <c r="A5" s="1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1"/>
      <c r="S5" s="1"/>
      <c r="T5" s="1"/>
      <c r="U5" s="1"/>
      <c r="V5" s="1"/>
      <c r="W5" s="1"/>
      <c r="X5" s="1"/>
      <c r="Y5" s="1"/>
    </row>
    <row r="6" ht="9.75" customHeight="1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1"/>
      <c r="S6" s="1"/>
      <c r="T6" s="1"/>
      <c r="U6" s="1"/>
      <c r="V6" s="1"/>
      <c r="W6" s="1"/>
      <c r="X6" s="1"/>
      <c r="Y6" s="1"/>
    </row>
    <row r="7" ht="21.75" customHeight="1">
      <c r="A7" s="47"/>
      <c r="B7" s="51" t="s">
        <v>450</v>
      </c>
      <c r="C7" s="10"/>
      <c r="D7" s="10"/>
      <c r="E7" s="11"/>
      <c r="F7" s="52" t="s">
        <v>451</v>
      </c>
      <c r="G7" s="53" t="s">
        <v>452</v>
      </c>
      <c r="H7" s="10"/>
      <c r="I7" s="11"/>
      <c r="J7" s="51" t="s">
        <v>453</v>
      </c>
      <c r="K7" s="10"/>
      <c r="L7" s="11"/>
      <c r="M7" s="47"/>
      <c r="N7" s="54"/>
      <c r="O7" s="54"/>
      <c r="P7" s="54"/>
      <c r="Q7" s="47"/>
      <c r="R7" s="1"/>
      <c r="S7" s="1"/>
      <c r="T7" s="1"/>
      <c r="U7" s="1"/>
      <c r="V7" s="1"/>
      <c r="W7" s="1"/>
      <c r="X7" s="1"/>
      <c r="Y7" s="1"/>
    </row>
    <row r="8" ht="30.0" customHeight="1">
      <c r="A8" s="47"/>
      <c r="B8" s="135" t="s">
        <v>502</v>
      </c>
      <c r="C8" s="10"/>
      <c r="D8" s="10"/>
      <c r="E8" s="11"/>
      <c r="F8" s="58" t="str">
        <f t="array" ref="F8">IFERROR(IF(INDEX('Продукты'!$F:$F,MATCH($B$8,'Продукты'!$D:$D,0))=0,IF(INDEX('Полупродукты'!$F:$F,MATCH($B$8,'Полупродукты'!$C:$C,0))=0,"—",INDEX('Полупродукты'!$F:$F,MATCH($B$8,'Полупродукты'!$C:$C,0))),INDEX('Продукты'!$F:$F,MATCH($B$8,'Продукты'!$D:$D,0))),IFERROR(IF(INDEX('Полупродукты'!$F:$F,MATCH($B$8,'Полупродукты'!$C:$C,0))=0,"—",INDEX('Полупродукты'!$F:$F,MATCH($B$8,'Полупродукты'!$C:$C,0))),"—"))</f>
        <v>—</v>
      </c>
      <c r="G8" s="59"/>
      <c r="H8" s="60" t="str">
        <f t="array" ref="H8">IF($G$8="","",IFERROR(INDEX('Продукты'!$D:$D,MATCH($G$8,'Продукты'!$F:$F,0)),IFERROR(INDEX('Полупродукты'!$C:$C,MATCH($G$8,'Полупродукты'!$F:$F,0)),"❌ артикул не найден")))</f>
        <v/>
      </c>
      <c r="J8" s="61">
        <f>IFERROR(LOOKUP(2,1/('Курсы ЦБ'!$C$7:$C$1000&lt;&gt;""),'Курсы ЦБ'!$C$7:$C$1000),100)</f>
        <v>83.6892</v>
      </c>
      <c r="K8" s="56"/>
      <c r="L8" s="57"/>
      <c r="M8" s="47"/>
      <c r="N8" s="62" t="s">
        <v>455</v>
      </c>
      <c r="O8" s="3"/>
      <c r="P8" s="4"/>
      <c r="Q8" s="47"/>
      <c r="R8" s="1"/>
      <c r="S8" s="1"/>
      <c r="T8" s="1"/>
      <c r="U8" s="1"/>
      <c r="V8" s="1"/>
      <c r="W8" s="1"/>
      <c r="X8" s="1"/>
      <c r="Y8" s="1"/>
    </row>
    <row r="9" ht="13.5" customHeight="1">
      <c r="A9" s="47"/>
      <c r="B9" s="63" t="s">
        <v>503</v>
      </c>
      <c r="C9" s="10"/>
      <c r="D9" s="10"/>
      <c r="E9" s="11"/>
      <c r="F9" s="64" t="s">
        <v>457</v>
      </c>
      <c r="G9" s="64" t="s">
        <v>458</v>
      </c>
      <c r="H9" s="65" t="s">
        <v>459</v>
      </c>
      <c r="J9" s="66" t="s">
        <v>460</v>
      </c>
      <c r="K9" s="10"/>
      <c r="L9" s="11"/>
      <c r="M9" s="47"/>
      <c r="N9" s="67"/>
      <c r="P9" s="68"/>
      <c r="Q9" s="47"/>
      <c r="R9" s="1"/>
      <c r="S9" s="1"/>
      <c r="T9" s="1"/>
      <c r="U9" s="1"/>
      <c r="V9" s="1"/>
      <c r="W9" s="1"/>
      <c r="X9" s="1"/>
      <c r="Y9" s="1"/>
    </row>
    <row r="10" ht="15.75" customHeight="1">
      <c r="A10" s="47"/>
      <c r="B10" s="69" t="s">
        <v>461</v>
      </c>
      <c r="C10" s="10"/>
      <c r="D10" s="10"/>
      <c r="E10" s="10"/>
      <c r="F10" s="10"/>
      <c r="G10" s="10"/>
      <c r="H10" s="10"/>
      <c r="I10" s="10"/>
      <c r="J10" s="10"/>
      <c r="K10" s="10"/>
      <c r="L10" s="11"/>
      <c r="M10" s="70" t="s">
        <v>462</v>
      </c>
      <c r="N10" s="5"/>
      <c r="O10" s="6"/>
      <c r="P10" s="7"/>
      <c r="Q10" s="47"/>
      <c r="R10" s="1"/>
      <c r="S10" s="1"/>
      <c r="T10" s="1"/>
      <c r="U10" s="1"/>
      <c r="V10" s="1"/>
      <c r="W10" s="1"/>
      <c r="X10" s="1"/>
      <c r="Y10" s="1"/>
    </row>
    <row r="11" ht="36.0" customHeight="1">
      <c r="A11" s="47"/>
      <c r="B11" s="71">
        <f>ROUND(K37,2)</f>
        <v>0</v>
      </c>
      <c r="C11" s="10"/>
      <c r="D11" s="11"/>
      <c r="E11" s="71">
        <f>ROUND(K37*(1+0.22),2)</f>
        <v>0</v>
      </c>
      <c r="F11" s="11"/>
      <c r="G11" s="72">
        <f>ROUND(K37*$J$8,2)</f>
        <v>0</v>
      </c>
      <c r="H11" s="10"/>
      <c r="I11" s="11"/>
      <c r="J11" s="72">
        <f>ROUND(K37*(1+0.22)*$J$8,2)</f>
        <v>0</v>
      </c>
      <c r="K11" s="10"/>
      <c r="L11" s="11"/>
      <c r="M11" s="73"/>
      <c r="N11" s="47"/>
      <c r="O11" s="47"/>
      <c r="P11" s="47"/>
      <c r="Q11" s="47"/>
      <c r="R11" s="1"/>
      <c r="S11" s="1"/>
      <c r="T11" s="1"/>
      <c r="U11" s="1"/>
      <c r="V11" s="1"/>
      <c r="W11" s="1"/>
      <c r="X11" s="1"/>
      <c r="Y11" s="1"/>
    </row>
    <row r="12" ht="13.5" customHeight="1">
      <c r="A12" s="47"/>
      <c r="B12" s="74" t="s">
        <v>463</v>
      </c>
      <c r="C12" s="10"/>
      <c r="D12" s="11"/>
      <c r="E12" s="74" t="s">
        <v>464</v>
      </c>
      <c r="F12" s="11"/>
      <c r="G12" s="74" t="s">
        <v>465</v>
      </c>
      <c r="H12" s="10"/>
      <c r="I12" s="11"/>
      <c r="J12" s="74" t="s">
        <v>466</v>
      </c>
      <c r="K12" s="10"/>
      <c r="L12" s="11"/>
      <c r="M12" s="75" t="s">
        <v>467</v>
      </c>
      <c r="N12" s="47"/>
      <c r="O12" s="47"/>
      <c r="P12" s="47"/>
      <c r="Q12" s="47"/>
      <c r="R12" s="1"/>
      <c r="S12" s="1"/>
      <c r="T12" s="1"/>
      <c r="U12" s="1"/>
      <c r="V12" s="1"/>
      <c r="W12" s="1"/>
      <c r="X12" s="1"/>
      <c r="Y12" s="1"/>
    </row>
    <row r="13" ht="21.75" customHeight="1">
      <c r="A13" s="47"/>
      <c r="B13" s="76" t="str">
        <f>IF($B$8="","← Выберите продукт в B8","Продукт: "&amp;$B$8&amp;"   |   Артикул: "&amp;$F$8&amp;"   |   Σ%: "&amp;TEXT($K$15,"0.00%")&amp;IF($G$15&lt;&gt;"","   |   "&amp;$G$15,""))</f>
        <v>Продукт: INK Magenta (PR 57:1) гу   |   Артикул: —   |   Σ%: 0,00%</v>
      </c>
      <c r="C13" s="77"/>
      <c r="D13" s="77"/>
      <c r="E13" s="77"/>
      <c r="F13" s="77"/>
      <c r="G13" s="77"/>
      <c r="H13" s="77"/>
      <c r="I13" s="77"/>
      <c r="J13" s="77"/>
      <c r="K13" s="77"/>
      <c r="L13" s="78"/>
      <c r="M13" s="47"/>
      <c r="N13" s="47"/>
      <c r="O13" s="47"/>
      <c r="P13" s="47"/>
      <c r="Q13" s="47"/>
      <c r="R13" s="1"/>
      <c r="S13" s="1"/>
      <c r="T13" s="1"/>
      <c r="U13" s="1"/>
      <c r="V13" s="1"/>
      <c r="W13" s="1"/>
      <c r="X13" s="1"/>
      <c r="Y13" s="1"/>
    </row>
    <row r="14" ht="24.0" customHeight="1">
      <c r="A14" s="47"/>
      <c r="B14" s="81" t="s">
        <v>504</v>
      </c>
      <c r="C14" s="10"/>
      <c r="D14" s="10"/>
      <c r="E14" s="10"/>
      <c r="F14" s="10"/>
      <c r="G14" s="10"/>
      <c r="H14" s="10"/>
      <c r="I14" s="10"/>
      <c r="J14" s="10"/>
      <c r="K14" s="10"/>
      <c r="L14" s="11"/>
      <c r="M14" s="47"/>
      <c r="N14" s="47"/>
      <c r="O14" s="47"/>
      <c r="P14" s="47"/>
      <c r="Q14" s="47"/>
      <c r="R14" s="1"/>
      <c r="S14" s="1"/>
      <c r="T14" s="1"/>
      <c r="U14" s="1"/>
      <c r="V14" s="1"/>
      <c r="W14" s="1"/>
      <c r="X14" s="1"/>
      <c r="Y14" s="1"/>
    </row>
    <row r="15" ht="25.5" customHeight="1">
      <c r="A15" s="47"/>
      <c r="B15" s="82" t="s">
        <v>505</v>
      </c>
      <c r="C15" s="10"/>
      <c r="D15" s="10"/>
      <c r="E15" s="10"/>
      <c r="F15" s="10"/>
      <c r="G15" s="10"/>
      <c r="H15" s="11"/>
      <c r="I15" s="83" t="s">
        <v>471</v>
      </c>
      <c r="J15" s="11"/>
      <c r="K15" s="84">
        <f>SUM(H17:H36)</f>
        <v>0</v>
      </c>
      <c r="L15" s="85"/>
      <c r="M15" s="47"/>
      <c r="N15" s="54"/>
      <c r="O15" s="54"/>
      <c r="P15" s="54"/>
      <c r="Q15" s="47"/>
      <c r="R15" s="1"/>
      <c r="S15" s="1"/>
      <c r="T15" s="1"/>
      <c r="U15" s="1"/>
      <c r="V15" s="1"/>
      <c r="W15" s="1"/>
      <c r="X15" s="1"/>
      <c r="Y15" s="1"/>
    </row>
    <row r="16" ht="21.75" customHeight="1">
      <c r="A16" s="1"/>
      <c r="B16" s="86" t="s">
        <v>369</v>
      </c>
      <c r="C16" s="86" t="s">
        <v>371</v>
      </c>
      <c r="D16" s="86" t="s">
        <v>472</v>
      </c>
      <c r="E16" s="86" t="s">
        <v>473</v>
      </c>
      <c r="F16" s="86" t="s">
        <v>474</v>
      </c>
      <c r="G16" s="86" t="s">
        <v>475</v>
      </c>
      <c r="H16" s="86" t="s">
        <v>476</v>
      </c>
      <c r="I16" s="86" t="s">
        <v>477</v>
      </c>
      <c r="J16" s="86" t="s">
        <v>478</v>
      </c>
      <c r="K16" s="86" t="s">
        <v>479</v>
      </c>
      <c r="L16" s="86" t="s">
        <v>480</v>
      </c>
      <c r="M16" s="87" t="s">
        <v>481</v>
      </c>
      <c r="N16" s="86" t="s">
        <v>482</v>
      </c>
      <c r="O16" s="86" t="s">
        <v>483</v>
      </c>
      <c r="P16" s="86" t="s">
        <v>484</v>
      </c>
      <c r="Q16" s="54"/>
      <c r="R16" s="1"/>
      <c r="S16" s="1"/>
      <c r="T16" s="1"/>
      <c r="U16" s="1"/>
      <c r="V16" s="1"/>
      <c r="W16" s="1"/>
      <c r="X16" s="1"/>
      <c r="Y16" s="1"/>
    </row>
    <row r="17" ht="21.75" customHeight="1">
      <c r="A17" s="1"/>
      <c r="B17" s="88">
        <v>1.0</v>
      </c>
      <c r="C17" s="88" t="str">
        <f>IF(D17="","",IF(ISNUMBER(MATCH(D17,'Полупродукты'!$C$6:$C$62,0)),"⚗️ Полупр.","Сырьё"))</f>
        <v/>
      </c>
      <c r="D17" s="136"/>
      <c r="E17" s="137"/>
      <c r="F17" s="88" t="str">
        <f t="shared" ref="F17:F36" si="1">IF(D17="","","кг")</f>
        <v/>
      </c>
      <c r="G17" s="138"/>
      <c r="H17" s="91" t="str">
        <f t="shared" ref="H17:H36" si="2">IF(D17="","",IFERROR(G17,0))</f>
        <v/>
      </c>
      <c r="I17" s="92" t="str">
        <f t="shared" ref="I17:I36" si="3">IF(D17="","",ROUND(H17*(1+IFERROR($M$11,0)),6))</f>
        <v/>
      </c>
      <c r="J17" s="92" t="str">
        <f>IF(D17="","",IF(AND(M17&lt;&gt;"",M17&gt;0),M17,IFERROR(VLOOKUP(D17,'Полупродукты'!$C$6:$E$62,3,FALSE()),IFERROR(VLOOKUP(D17,'Сырьё'!$C$6:$E$233,3,FALSE()),0))))</f>
        <v/>
      </c>
      <c r="K17" s="93" t="str">
        <f t="shared" ref="K17:K36" si="4">IF(D17="","",ROUND(IFERROR(I17*J17,0),2))</f>
        <v/>
      </c>
      <c r="L17" s="94" t="str">
        <f t="shared" ref="L17:L36" si="5">IF(D17="","",ROUND(IFERROR(K17*$J$8,0),2))</f>
        <v/>
      </c>
      <c r="M17" s="95"/>
      <c r="N17" s="89" t="s">
        <v>485</v>
      </c>
      <c r="O17" s="93">
        <f>E11</f>
        <v>0</v>
      </c>
      <c r="P17" s="94">
        <f t="shared" ref="P17:P22" si="6">ROUND(O17*$J$8,2)</f>
        <v>0</v>
      </c>
      <c r="Q17" s="54"/>
      <c r="R17" s="1"/>
      <c r="S17" s="1"/>
      <c r="T17" s="1"/>
      <c r="U17" s="1"/>
      <c r="V17" s="1"/>
      <c r="W17" s="1"/>
      <c r="X17" s="1"/>
      <c r="Y17" s="1"/>
    </row>
    <row r="18" ht="21.75" customHeight="1">
      <c r="A18" s="1"/>
      <c r="B18" s="96">
        <v>2.0</v>
      </c>
      <c r="C18" s="96" t="str">
        <f>IF(D18="","",IF(ISNUMBER(MATCH(D18,'Полупродукты'!$C$6:$C$62,0)),"⚗️ Полупр.","Сырьё"))</f>
        <v/>
      </c>
      <c r="D18" s="136"/>
      <c r="E18" s="137"/>
      <c r="F18" s="96" t="str">
        <f t="shared" si="1"/>
        <v/>
      </c>
      <c r="G18" s="90"/>
      <c r="H18" s="98" t="str">
        <f t="shared" si="2"/>
        <v/>
      </c>
      <c r="I18" s="99" t="str">
        <f t="shared" si="3"/>
        <v/>
      </c>
      <c r="J18" s="99" t="str">
        <f>IF(D18="","",IF(AND(M18&lt;&gt;"",M18&gt;0),M18,IFERROR(VLOOKUP(D18,'Полупродукты'!$C$6:$E$62,3,FALSE()),IFERROR(VLOOKUP(D18,'Сырьё'!$C$6:$E$233,3,FALSE()),0))))</f>
        <v/>
      </c>
      <c r="K18" s="100" t="str">
        <f t="shared" si="4"/>
        <v/>
      </c>
      <c r="L18" s="101" t="str">
        <f t="shared" si="5"/>
        <v/>
      </c>
      <c r="M18" s="95"/>
      <c r="N18" s="89" t="s">
        <v>486</v>
      </c>
      <c r="O18" s="104">
        <v>0.1</v>
      </c>
      <c r="P18" s="94">
        <f t="shared" si="6"/>
        <v>8.37</v>
      </c>
      <c r="Q18" s="54"/>
      <c r="R18" s="1"/>
      <c r="S18" s="1"/>
      <c r="T18" s="1"/>
      <c r="U18" s="1"/>
      <c r="V18" s="1"/>
      <c r="W18" s="1"/>
      <c r="X18" s="1"/>
      <c r="Y18" s="1"/>
    </row>
    <row r="19" ht="21.75" customHeight="1">
      <c r="A19" s="1"/>
      <c r="B19" s="88">
        <v>3.0</v>
      </c>
      <c r="C19" s="88" t="str">
        <f>IF(D19="","",IF(ISNUMBER(MATCH(D19,'Полупродукты'!$C$6:$C$62,0)),"⚗️ Полупр.","Сырьё"))</f>
        <v/>
      </c>
      <c r="D19" s="136"/>
      <c r="E19" s="137"/>
      <c r="F19" s="88" t="str">
        <f t="shared" si="1"/>
        <v/>
      </c>
      <c r="G19" s="90"/>
      <c r="H19" s="91" t="str">
        <f t="shared" si="2"/>
        <v/>
      </c>
      <c r="I19" s="92" t="str">
        <f t="shared" si="3"/>
        <v/>
      </c>
      <c r="J19" s="92" t="str">
        <f>IF(D19="","",IF(AND(M19&lt;&gt;"",M19&gt;0),M19,IFERROR(VLOOKUP(D19,'Полупродукты'!$C$6:$E$62,3,FALSE()),IFERROR(VLOOKUP(D19,'Сырьё'!$C$6:$E$233,3,FALSE()),0))))</f>
        <v/>
      </c>
      <c r="K19" s="93" t="str">
        <f t="shared" si="4"/>
        <v/>
      </c>
      <c r="L19" s="94" t="str">
        <f t="shared" si="5"/>
        <v/>
      </c>
      <c r="M19" s="95"/>
      <c r="N19" s="89" t="s">
        <v>487</v>
      </c>
      <c r="O19" s="104">
        <v>0.05</v>
      </c>
      <c r="P19" s="94">
        <f t="shared" si="6"/>
        <v>4.18</v>
      </c>
      <c r="Q19" s="54"/>
      <c r="R19" s="1"/>
      <c r="S19" s="1"/>
      <c r="T19" s="1"/>
      <c r="U19" s="1"/>
      <c r="V19" s="1"/>
      <c r="W19" s="1"/>
      <c r="X19" s="1"/>
      <c r="Y19" s="1"/>
    </row>
    <row r="20" ht="21.75" customHeight="1">
      <c r="A20" s="1"/>
      <c r="B20" s="96">
        <v>4.0</v>
      </c>
      <c r="C20" s="96" t="str">
        <f>IF(D20="","",IF(ISNUMBER(MATCH(D20,'Полупродукты'!$C$6:$C$62,0)),"⚗️ Полупр.","Сырьё"))</f>
        <v/>
      </c>
      <c r="D20" s="136"/>
      <c r="E20" s="137"/>
      <c r="F20" s="96" t="str">
        <f t="shared" si="1"/>
        <v/>
      </c>
      <c r="G20" s="90"/>
      <c r="H20" s="98" t="str">
        <f t="shared" si="2"/>
        <v/>
      </c>
      <c r="I20" s="99" t="str">
        <f t="shared" si="3"/>
        <v/>
      </c>
      <c r="J20" s="99" t="str">
        <f>IF(D20="","",IF(AND(M20&lt;&gt;"",M20&gt;0),M20,IFERROR(VLOOKUP(D20,'Полупродукты'!$C$6:$E$62,3,FALSE()),IFERROR(VLOOKUP(D20,'Сырьё'!$C$6:$E$233,3,FALSE()),0))))</f>
        <v/>
      </c>
      <c r="K20" s="100" t="str">
        <f t="shared" si="4"/>
        <v/>
      </c>
      <c r="L20" s="101" t="str">
        <f t="shared" si="5"/>
        <v/>
      </c>
      <c r="M20" s="95"/>
      <c r="N20" s="89" t="s">
        <v>488</v>
      </c>
      <c r="O20" s="104">
        <v>0.0</v>
      </c>
      <c r="P20" s="94">
        <f t="shared" si="6"/>
        <v>0</v>
      </c>
      <c r="Q20" s="54"/>
      <c r="R20" s="1"/>
      <c r="S20" s="1"/>
      <c r="T20" s="1"/>
      <c r="U20" s="1"/>
      <c r="V20" s="1"/>
      <c r="W20" s="1"/>
      <c r="X20" s="1"/>
      <c r="Y20" s="1"/>
    </row>
    <row r="21" ht="25.5" customHeight="1">
      <c r="A21" s="1"/>
      <c r="B21" s="88">
        <v>5.0</v>
      </c>
      <c r="C21" s="88" t="str">
        <f>IF(D21="","",IF(ISNUMBER(MATCH(D21,'Полупродукты'!$C$6:$C$62,0)),"⚗️ Полупр.","Сырьё"))</f>
        <v/>
      </c>
      <c r="D21" s="139"/>
      <c r="E21" s="137"/>
      <c r="F21" s="88" t="str">
        <f t="shared" si="1"/>
        <v/>
      </c>
      <c r="G21" s="90"/>
      <c r="H21" s="91" t="str">
        <f t="shared" si="2"/>
        <v/>
      </c>
      <c r="I21" s="92" t="str">
        <f t="shared" si="3"/>
        <v/>
      </c>
      <c r="J21" s="92" t="str">
        <f>IF(D21="","",IF(AND(M21&lt;&gt;"",M21&gt;0),M21,IFERROR(VLOOKUP(D21,'Полупродукты'!$C$6:$E$62,3,FALSE()),IFERROR(VLOOKUP(D21,'Сырьё'!$C$6:$E$233,3,FALSE()),0))))</f>
        <v/>
      </c>
      <c r="K21" s="93" t="str">
        <f t="shared" si="4"/>
        <v/>
      </c>
      <c r="L21" s="94" t="str">
        <f t="shared" si="5"/>
        <v/>
      </c>
      <c r="M21" s="95"/>
      <c r="N21" s="89" t="s">
        <v>489</v>
      </c>
      <c r="O21" s="104">
        <v>0.0</v>
      </c>
      <c r="P21" s="94">
        <f t="shared" si="6"/>
        <v>0</v>
      </c>
      <c r="Q21" s="54"/>
      <c r="R21" s="1"/>
      <c r="S21" s="1"/>
      <c r="T21" s="1"/>
      <c r="U21" s="1"/>
      <c r="V21" s="1"/>
      <c r="W21" s="1"/>
      <c r="X21" s="1"/>
      <c r="Y21" s="1"/>
    </row>
    <row r="22" ht="21.75" customHeight="1">
      <c r="A22" s="1"/>
      <c r="B22" s="96">
        <v>6.0</v>
      </c>
      <c r="C22" s="96" t="str">
        <f>IF(D22="","",IF(ISNUMBER(MATCH(D22,'Полупродукты'!$C$6:$C$62,0)),"⚗️ Полупр.","Сырьё"))</f>
        <v/>
      </c>
      <c r="D22" s="139"/>
      <c r="E22" s="137"/>
      <c r="F22" s="96" t="str">
        <f t="shared" si="1"/>
        <v/>
      </c>
      <c r="G22" s="90"/>
      <c r="H22" s="98" t="str">
        <f t="shared" si="2"/>
        <v/>
      </c>
      <c r="I22" s="99" t="str">
        <f t="shared" si="3"/>
        <v/>
      </c>
      <c r="J22" s="99" t="str">
        <f>IF(D22="","",IF(AND(M22&lt;&gt;"",M22&gt;0),M22,IFERROR(VLOOKUP(D22,'Полупродукты'!$C$6:$E$62,3,FALSE()),IFERROR(VLOOKUP(D22,'Сырьё'!$C$6:$E$233,3,FALSE()),0))))</f>
        <v/>
      </c>
      <c r="K22" s="100" t="str">
        <f t="shared" si="4"/>
        <v/>
      </c>
      <c r="L22" s="101" t="str">
        <f t="shared" si="5"/>
        <v/>
      </c>
      <c r="M22" s="95"/>
      <c r="N22" s="105" t="s">
        <v>490</v>
      </c>
      <c r="O22" s="106">
        <f>ROUND(SUM(O17:O21),2)</f>
        <v>0.15</v>
      </c>
      <c r="P22" s="107">
        <f t="shared" si="6"/>
        <v>12.55</v>
      </c>
      <c r="Q22" s="54"/>
      <c r="R22" s="1"/>
      <c r="S22" s="1"/>
      <c r="T22" s="1"/>
      <c r="U22" s="1"/>
      <c r="V22" s="1"/>
      <c r="W22" s="1"/>
      <c r="X22" s="1"/>
      <c r="Y22" s="1"/>
    </row>
    <row r="23" ht="21.75" customHeight="1">
      <c r="A23" s="1"/>
      <c r="B23" s="88">
        <v>7.0</v>
      </c>
      <c r="C23" s="88" t="str">
        <f>IF(D23="","",IF(ISNUMBER(MATCH(D23,'Полупродукты'!$C$6:$C$62,0)),"⚗️ Полупр.","Сырьё"))</f>
        <v/>
      </c>
      <c r="D23" s="139"/>
      <c r="E23" s="137"/>
      <c r="F23" s="88" t="str">
        <f t="shared" si="1"/>
        <v/>
      </c>
      <c r="G23" s="90"/>
      <c r="H23" s="91" t="str">
        <f t="shared" si="2"/>
        <v/>
      </c>
      <c r="I23" s="92" t="str">
        <f t="shared" si="3"/>
        <v/>
      </c>
      <c r="J23" s="92" t="str">
        <f>IF(D23="","",IF(AND(M23&lt;&gt;"",M23&gt;0),M23,IFERROR(VLOOKUP(D23,'Полупродукты'!$C$6:$E$62,3,FALSE()),IFERROR(VLOOKUP(D23,'Сырьё'!$C$6:$E$233,3,FALSE()),0))))</f>
        <v/>
      </c>
      <c r="K23" s="93" t="str">
        <f t="shared" si="4"/>
        <v/>
      </c>
      <c r="L23" s="94" t="str">
        <f t="shared" si="5"/>
        <v/>
      </c>
      <c r="M23" s="95"/>
      <c r="N23" s="89" t="s">
        <v>491</v>
      </c>
      <c r="O23" s="90">
        <v>0.2</v>
      </c>
      <c r="P23" s="94">
        <f>ROUND(O22*O23*$J$8,2)</f>
        <v>2.51</v>
      </c>
      <c r="Q23" s="54"/>
      <c r="R23" s="1"/>
      <c r="S23" s="1"/>
      <c r="T23" s="1"/>
      <c r="U23" s="1"/>
      <c r="V23" s="1"/>
      <c r="W23" s="1"/>
      <c r="X23" s="1"/>
      <c r="Y23" s="1"/>
    </row>
    <row r="24" ht="7.5" customHeight="1">
      <c r="A24" s="1"/>
      <c r="B24" s="96">
        <v>8.0</v>
      </c>
      <c r="C24" s="96" t="str">
        <f>IF(D24="","",IF(ISNUMBER(MATCH(D24,'Полупродукты'!$C$6:$C$62,0)),"⚗️ Полупр.","Сырьё"))</f>
        <v/>
      </c>
      <c r="D24" s="139"/>
      <c r="E24" s="137"/>
      <c r="F24" s="96" t="str">
        <f t="shared" si="1"/>
        <v/>
      </c>
      <c r="G24" s="90"/>
      <c r="H24" s="98" t="str">
        <f t="shared" si="2"/>
        <v/>
      </c>
      <c r="I24" s="99" t="str">
        <f t="shared" si="3"/>
        <v/>
      </c>
      <c r="J24" s="99" t="str">
        <f>IF(D24="","",IF(AND(M24&lt;&gt;"",M24&gt;0),M24,IFERROR(VLOOKUP(D24,'Полупродукты'!$C$6:$E$62,3,FALSE()),IFERROR(VLOOKUP(D24,'Сырьё'!$C$6:$E$233,3,FALSE()),0))))</f>
        <v/>
      </c>
      <c r="K24" s="100" t="str">
        <f t="shared" si="4"/>
        <v/>
      </c>
      <c r="L24" s="101" t="str">
        <f t="shared" si="5"/>
        <v/>
      </c>
      <c r="M24" s="95"/>
      <c r="N24" s="109" t="s">
        <v>492</v>
      </c>
      <c r="O24" s="93">
        <f>ROUND(O22*O23,2)</f>
        <v>0.03</v>
      </c>
      <c r="P24" s="94">
        <f>ROUND(O24*$J$8,2)</f>
        <v>2.51</v>
      </c>
      <c r="Q24" s="54"/>
      <c r="R24" s="1"/>
      <c r="S24" s="1"/>
      <c r="T24" s="1"/>
      <c r="U24" s="1"/>
      <c r="V24" s="1"/>
      <c r="W24" s="1"/>
      <c r="X24" s="1"/>
      <c r="Y24" s="1"/>
    </row>
    <row r="25" ht="25.5" customHeight="1">
      <c r="A25" s="1"/>
      <c r="B25" s="88">
        <v>9.0</v>
      </c>
      <c r="C25" s="88" t="str">
        <f>IF(D25="","",IF(ISNUMBER(MATCH(D25,'Полупродукты'!$C$6:$C$62,0)),"⚗️ Полупр.","Сырьё"))</f>
        <v/>
      </c>
      <c r="D25" s="139"/>
      <c r="E25" s="137"/>
      <c r="F25" s="88" t="str">
        <f t="shared" si="1"/>
        <v/>
      </c>
      <c r="G25" s="90"/>
      <c r="H25" s="91" t="str">
        <f t="shared" si="2"/>
        <v/>
      </c>
      <c r="I25" s="92" t="str">
        <f t="shared" si="3"/>
        <v/>
      </c>
      <c r="J25" s="92" t="str">
        <f>IF(D25="","",IF(AND(M25&lt;&gt;"",M25&gt;0),M25,IFERROR(VLOOKUP(D25,'Полупродукты'!$C$6:$E$62,3,FALSE()),IFERROR(VLOOKUP(D25,'Сырьё'!$C$6:$E$233,3,FALSE()),0))))</f>
        <v/>
      </c>
      <c r="K25" s="93" t="str">
        <f t="shared" si="4"/>
        <v/>
      </c>
      <c r="L25" s="94" t="str">
        <f t="shared" si="5"/>
        <v/>
      </c>
      <c r="M25" s="95"/>
      <c r="N25" s="54"/>
      <c r="O25" s="54"/>
      <c r="P25" s="54"/>
      <c r="Q25" s="54"/>
      <c r="R25" s="1"/>
      <c r="S25" s="1"/>
      <c r="T25" s="1"/>
      <c r="U25" s="1"/>
      <c r="V25" s="1"/>
      <c r="W25" s="1"/>
      <c r="X25" s="1"/>
      <c r="Y25" s="1"/>
    </row>
    <row r="26" ht="30.0" customHeight="1">
      <c r="A26" s="1"/>
      <c r="B26" s="96">
        <v>10.0</v>
      </c>
      <c r="C26" s="96" t="str">
        <f>IF(D26="","",IF(ISNUMBER(MATCH(D26,'Полупродукты'!$C$6:$C$62,0)),"⚗️ Полупр.","Сырьё"))</f>
        <v/>
      </c>
      <c r="D26" s="139"/>
      <c r="E26" s="137"/>
      <c r="F26" s="96" t="str">
        <f t="shared" si="1"/>
        <v/>
      </c>
      <c r="G26" s="90"/>
      <c r="H26" s="98" t="str">
        <f t="shared" si="2"/>
        <v/>
      </c>
      <c r="I26" s="99" t="str">
        <f t="shared" si="3"/>
        <v/>
      </c>
      <c r="J26" s="99" t="str">
        <f>IF(D26="","",IF(AND(M26&lt;&gt;"",M26&gt;0),M26,IFERROR(VLOOKUP(D26,'Полупродукты'!$C$6:$E$62,3,FALSE()),IFERROR(VLOOKUP(D26,'Сырьё'!$C$6:$E$233,3,FALSE()),0))))</f>
        <v/>
      </c>
      <c r="K26" s="100" t="str">
        <f t="shared" si="4"/>
        <v/>
      </c>
      <c r="L26" s="101" t="str">
        <f t="shared" si="5"/>
        <v/>
      </c>
      <c r="M26" s="95"/>
      <c r="N26" s="110" t="s">
        <v>493</v>
      </c>
      <c r="O26" s="111"/>
      <c r="P26" s="85"/>
      <c r="Q26" s="54"/>
      <c r="R26" s="1"/>
      <c r="S26" s="1"/>
      <c r="T26" s="1"/>
      <c r="U26" s="1"/>
      <c r="V26" s="1"/>
      <c r="W26" s="1"/>
      <c r="X26" s="1"/>
      <c r="Y26" s="1"/>
    </row>
    <row r="27" ht="30.0" customHeight="1">
      <c r="A27" s="1"/>
      <c r="B27" s="88">
        <v>11.0</v>
      </c>
      <c r="C27" s="88" t="str">
        <f>IF(D27="","",IF(ISNUMBER(MATCH(D27,'Полупродукты'!$C$6:$C$62,0)),"⚗️ Полупр.","Сырьё"))</f>
        <v/>
      </c>
      <c r="D27" s="139"/>
      <c r="E27" s="137"/>
      <c r="F27" s="88" t="str">
        <f t="shared" si="1"/>
        <v/>
      </c>
      <c r="G27" s="90"/>
      <c r="H27" s="91" t="str">
        <f t="shared" si="2"/>
        <v/>
      </c>
      <c r="I27" s="92" t="str">
        <f t="shared" si="3"/>
        <v/>
      </c>
      <c r="J27" s="92" t="str">
        <f>IF(D27="","",IF(AND(M27&lt;&gt;"",M27&gt;0),M27,IFERROR(VLOOKUP(D27,'Полупродукты'!$C$6:$E$62,3,FALSE()),IFERROR(VLOOKUP(D27,'Сырьё'!$C$6:$E$233,3,FALSE()),0))))</f>
        <v/>
      </c>
      <c r="K27" s="93" t="str">
        <f t="shared" si="4"/>
        <v/>
      </c>
      <c r="L27" s="94" t="str">
        <f t="shared" si="5"/>
        <v/>
      </c>
      <c r="M27" s="95"/>
      <c r="N27" s="112" t="s">
        <v>494</v>
      </c>
      <c r="O27" s="113">
        <f>ROUND(O22*(1+O23),2)</f>
        <v>0.18</v>
      </c>
      <c r="P27" s="114">
        <f t="shared" ref="P27:P28" si="7">ROUND(O27*$J$8,2)</f>
        <v>15.06</v>
      </c>
      <c r="Q27" s="54"/>
      <c r="R27" s="1"/>
      <c r="S27" s="1"/>
      <c r="T27" s="1"/>
      <c r="U27" s="1"/>
      <c r="V27" s="1"/>
      <c r="W27" s="1"/>
      <c r="X27" s="1"/>
      <c r="Y27" s="1"/>
    </row>
    <row r="28" ht="15.0" customHeight="1">
      <c r="A28" s="1"/>
      <c r="B28" s="96">
        <v>12.0</v>
      </c>
      <c r="C28" s="96" t="str">
        <f>IF(D28="","",IF(ISNUMBER(MATCH(D28,'Полупродукты'!$C$6:$C$62,0)),"⚗️ Полупр.","Сырьё"))</f>
        <v/>
      </c>
      <c r="D28" s="139"/>
      <c r="E28" s="137"/>
      <c r="F28" s="96" t="str">
        <f t="shared" si="1"/>
        <v/>
      </c>
      <c r="G28" s="90"/>
      <c r="H28" s="98" t="str">
        <f t="shared" si="2"/>
        <v/>
      </c>
      <c r="I28" s="99" t="str">
        <f t="shared" si="3"/>
        <v/>
      </c>
      <c r="J28" s="99" t="str">
        <f>IF(D28="","",IF(AND(M28&lt;&gt;"",M28&gt;0),M28,IFERROR(VLOOKUP(D28,'Полупродукты'!$C$6:$E$62,3,FALSE()),IFERROR(VLOOKUP(D28,'Сырьё'!$C$6:$E$233,3,FALSE()),0))))</f>
        <v/>
      </c>
      <c r="K28" s="100" t="str">
        <f t="shared" si="4"/>
        <v/>
      </c>
      <c r="L28" s="101" t="str">
        <f t="shared" si="5"/>
        <v/>
      </c>
      <c r="M28" s="95"/>
      <c r="N28" s="115" t="s">
        <v>495</v>
      </c>
      <c r="O28" s="116">
        <f>ROUND(O27/(1+0.22),2)</f>
        <v>0.15</v>
      </c>
      <c r="P28" s="117">
        <f t="shared" si="7"/>
        <v>12.55</v>
      </c>
      <c r="Q28" s="54"/>
      <c r="R28" s="1"/>
      <c r="S28" s="1"/>
      <c r="T28" s="1"/>
      <c r="U28" s="1"/>
      <c r="V28" s="1"/>
      <c r="W28" s="1"/>
      <c r="X28" s="1"/>
      <c r="Y28" s="1"/>
    </row>
    <row r="29" ht="15.0" customHeight="1">
      <c r="A29" s="1"/>
      <c r="B29" s="88">
        <v>13.0</v>
      </c>
      <c r="C29" s="88" t="str">
        <f>IF(D29="","",IF(ISNUMBER(MATCH(D29,'Полупродукты'!$C$6:$C$62,0)),"⚗️ Полупр.","Сырьё"))</f>
        <v/>
      </c>
      <c r="D29" s="139"/>
      <c r="E29" s="137"/>
      <c r="F29" s="88" t="str">
        <f t="shared" si="1"/>
        <v/>
      </c>
      <c r="G29" s="90"/>
      <c r="H29" s="91" t="str">
        <f t="shared" si="2"/>
        <v/>
      </c>
      <c r="I29" s="92" t="str">
        <f t="shared" si="3"/>
        <v/>
      </c>
      <c r="J29" s="92" t="str">
        <f>IF(D29="","",IF(AND(M29&lt;&gt;"",M29&gt;0),M29,IFERROR(VLOOKUP(D29,'Полупродукты'!$C$6:$E$62,3,FALSE()),IFERROR(VLOOKUP(D29,'Сырьё'!$C$6:$E$233,3,FALSE()),0))))</f>
        <v/>
      </c>
      <c r="K29" s="93" t="str">
        <f t="shared" si="4"/>
        <v/>
      </c>
      <c r="L29" s="94" t="str">
        <f t="shared" si="5"/>
        <v/>
      </c>
      <c r="M29" s="95"/>
      <c r="N29" s="118"/>
      <c r="O29" s="47"/>
      <c r="P29" s="47"/>
      <c r="Q29" s="54"/>
      <c r="R29" s="1"/>
      <c r="S29" s="1"/>
      <c r="T29" s="1"/>
      <c r="U29" s="1"/>
      <c r="V29" s="1"/>
      <c r="W29" s="1"/>
      <c r="X29" s="1"/>
      <c r="Y29" s="1"/>
    </row>
    <row r="30" ht="15.0" customHeight="1">
      <c r="A30" s="1"/>
      <c r="B30" s="96">
        <v>14.0</v>
      </c>
      <c r="C30" s="96" t="str">
        <f>IF(D30="","",IF(ISNUMBER(MATCH(D30,'Полупродукты'!$C$6:$C$62,0)),"⚗️ Полупр.","Сырьё"))</f>
        <v/>
      </c>
      <c r="D30" s="139"/>
      <c r="E30" s="137"/>
      <c r="F30" s="96" t="str">
        <f t="shared" si="1"/>
        <v/>
      </c>
      <c r="G30" s="90"/>
      <c r="H30" s="98" t="str">
        <f t="shared" si="2"/>
        <v/>
      </c>
      <c r="I30" s="99" t="str">
        <f t="shared" si="3"/>
        <v/>
      </c>
      <c r="J30" s="99" t="str">
        <f>IF(D30="","",IF(AND(M30&lt;&gt;"",M30&gt;0),M30,IFERROR(VLOOKUP(D30,'Полупродукты'!$C$6:$E$62,3,FALSE()),IFERROR(VLOOKUP(D30,'Сырьё'!$C$6:$E$233,3,FALSE()),0))))</f>
        <v/>
      </c>
      <c r="K30" s="100" t="str">
        <f t="shared" si="4"/>
        <v/>
      </c>
      <c r="L30" s="101" t="str">
        <f t="shared" si="5"/>
        <v/>
      </c>
      <c r="M30" s="95"/>
      <c r="N30" s="118"/>
      <c r="O30" s="47"/>
      <c r="P30" s="47"/>
      <c r="Q30" s="54"/>
      <c r="R30" s="1"/>
      <c r="S30" s="1"/>
      <c r="T30" s="1"/>
      <c r="U30" s="1"/>
      <c r="V30" s="1"/>
      <c r="W30" s="1"/>
      <c r="X30" s="1"/>
      <c r="Y30" s="1"/>
    </row>
    <row r="31" ht="15.0" customHeight="1">
      <c r="A31" s="1"/>
      <c r="B31" s="88">
        <v>15.0</v>
      </c>
      <c r="C31" s="88" t="str">
        <f>IF(D31="","",IF(ISNUMBER(MATCH(D31,'Полупродукты'!$C$6:$C$62,0)),"⚗️ Полупр.","Сырьё"))</f>
        <v/>
      </c>
      <c r="D31" s="139"/>
      <c r="E31" s="137"/>
      <c r="F31" s="88" t="str">
        <f t="shared" si="1"/>
        <v/>
      </c>
      <c r="G31" s="90"/>
      <c r="H31" s="91" t="str">
        <f t="shared" si="2"/>
        <v/>
      </c>
      <c r="I31" s="92" t="str">
        <f t="shared" si="3"/>
        <v/>
      </c>
      <c r="J31" s="92" t="str">
        <f>IF(D31="","",IF(AND(M31&lt;&gt;"",M31&gt;0),M31,IFERROR(VLOOKUP(D31,'Полупродукты'!$C$6:$E$62,3,FALSE()),IFERROR(VLOOKUP(D31,'Сырьё'!$C$6:$E$233,3,FALSE()),0))))</f>
        <v/>
      </c>
      <c r="K31" s="93" t="str">
        <f t="shared" si="4"/>
        <v/>
      </c>
      <c r="L31" s="94" t="str">
        <f t="shared" si="5"/>
        <v/>
      </c>
      <c r="M31" s="95"/>
      <c r="N31" s="118"/>
      <c r="O31" s="47"/>
      <c r="P31" s="47"/>
      <c r="Q31" s="54"/>
      <c r="R31" s="1"/>
      <c r="S31" s="1"/>
      <c r="T31" s="1"/>
      <c r="U31" s="1"/>
      <c r="V31" s="1"/>
      <c r="W31" s="1"/>
      <c r="X31" s="1"/>
      <c r="Y31" s="1"/>
    </row>
    <row r="32" ht="15.0" customHeight="1">
      <c r="A32" s="1"/>
      <c r="B32" s="96">
        <v>16.0</v>
      </c>
      <c r="C32" s="96" t="str">
        <f>IF(D32="","",IF(ISNUMBER(MATCH(D32,'Полупродукты'!$C$6:$C$62,0)),"⚗️ Полупр.","Сырьё"))</f>
        <v/>
      </c>
      <c r="D32" s="139"/>
      <c r="E32" s="137"/>
      <c r="F32" s="96" t="str">
        <f t="shared" si="1"/>
        <v/>
      </c>
      <c r="G32" s="90"/>
      <c r="H32" s="98" t="str">
        <f t="shared" si="2"/>
        <v/>
      </c>
      <c r="I32" s="99" t="str">
        <f t="shared" si="3"/>
        <v/>
      </c>
      <c r="J32" s="99" t="str">
        <f>IF(D32="","",IF(AND(M32&lt;&gt;"",M32&gt;0),M32,IFERROR(VLOOKUP(D32,'Полупродукты'!$C$6:$E$62,3,FALSE()),IFERROR(VLOOKUP(D32,'Сырьё'!$C$6:$E$233,3,FALSE()),0))))</f>
        <v/>
      </c>
      <c r="K32" s="100" t="str">
        <f t="shared" si="4"/>
        <v/>
      </c>
      <c r="L32" s="101" t="str">
        <f t="shared" si="5"/>
        <v/>
      </c>
      <c r="M32" s="95"/>
      <c r="N32" s="118"/>
      <c r="O32" s="47"/>
      <c r="P32" s="47"/>
      <c r="Q32" s="54"/>
      <c r="R32" s="1"/>
      <c r="S32" s="1"/>
      <c r="T32" s="1"/>
      <c r="U32" s="1"/>
      <c r="V32" s="1"/>
      <c r="W32" s="1"/>
      <c r="X32" s="1"/>
      <c r="Y32" s="1"/>
    </row>
    <row r="33" ht="15.0" customHeight="1">
      <c r="A33" s="1"/>
      <c r="B33" s="88">
        <v>17.0</v>
      </c>
      <c r="C33" s="88" t="str">
        <f>IF(D33="","",IF(ISNUMBER(MATCH(D33,'Полупродукты'!$C$6:$C$62,0)),"⚗️ Полупр.","Сырьё"))</f>
        <v/>
      </c>
      <c r="D33" s="139"/>
      <c r="E33" s="137"/>
      <c r="F33" s="88" t="str">
        <f t="shared" si="1"/>
        <v/>
      </c>
      <c r="G33" s="90"/>
      <c r="H33" s="91" t="str">
        <f t="shared" si="2"/>
        <v/>
      </c>
      <c r="I33" s="92" t="str">
        <f t="shared" si="3"/>
        <v/>
      </c>
      <c r="J33" s="92" t="str">
        <f>IF(D33="","",IF(AND(M33&lt;&gt;"",M33&gt;0),M33,IFERROR(VLOOKUP(D33,'Полупродукты'!$C$6:$E$62,3,FALSE()),IFERROR(VLOOKUP(D33,'Сырьё'!$C$6:$E$233,3,FALSE()),0))))</f>
        <v/>
      </c>
      <c r="K33" s="93" t="str">
        <f t="shared" si="4"/>
        <v/>
      </c>
      <c r="L33" s="94" t="str">
        <f t="shared" si="5"/>
        <v/>
      </c>
      <c r="M33" s="95"/>
      <c r="N33" s="118"/>
      <c r="O33" s="47"/>
      <c r="P33" s="47"/>
      <c r="Q33" s="54"/>
      <c r="R33" s="1"/>
      <c r="S33" s="1"/>
      <c r="T33" s="1"/>
      <c r="U33" s="1"/>
      <c r="V33" s="1"/>
      <c r="W33" s="1"/>
      <c r="X33" s="1"/>
      <c r="Y33" s="1"/>
    </row>
    <row r="34" ht="15.0" customHeight="1">
      <c r="A34" s="1"/>
      <c r="B34" s="96">
        <v>18.0</v>
      </c>
      <c r="C34" s="96" t="str">
        <f>IF(D34="","",IF(ISNUMBER(MATCH(D34,'Полупродукты'!$C$6:$C$62,0)),"⚗️ Полупр.","Сырьё"))</f>
        <v/>
      </c>
      <c r="D34" s="139"/>
      <c r="E34" s="137"/>
      <c r="F34" s="96" t="str">
        <f t="shared" si="1"/>
        <v/>
      </c>
      <c r="G34" s="90"/>
      <c r="H34" s="98" t="str">
        <f t="shared" si="2"/>
        <v/>
      </c>
      <c r="I34" s="99" t="str">
        <f t="shared" si="3"/>
        <v/>
      </c>
      <c r="J34" s="99" t="str">
        <f>IF(D34="","",IF(AND(M34&lt;&gt;"",M34&gt;0),M34,IFERROR(VLOOKUP(D34,'Полупродукты'!$C$6:$E$62,3,FALSE()),IFERROR(VLOOKUP(D34,'Сырьё'!$C$6:$E$233,3,FALSE()),0))))</f>
        <v/>
      </c>
      <c r="K34" s="100" t="str">
        <f t="shared" si="4"/>
        <v/>
      </c>
      <c r="L34" s="101" t="str">
        <f t="shared" si="5"/>
        <v/>
      </c>
      <c r="M34" s="95"/>
      <c r="N34" s="118"/>
      <c r="O34" s="47"/>
      <c r="P34" s="47"/>
      <c r="Q34" s="54"/>
      <c r="R34" s="1"/>
      <c r="S34" s="1"/>
      <c r="T34" s="1"/>
      <c r="U34" s="1"/>
      <c r="V34" s="1"/>
      <c r="W34" s="1"/>
      <c r="X34" s="1"/>
      <c r="Y34" s="1"/>
    </row>
    <row r="35" ht="15.0" customHeight="1">
      <c r="A35" s="1"/>
      <c r="B35" s="88">
        <v>19.0</v>
      </c>
      <c r="C35" s="88" t="str">
        <f>IF(D35="","",IF(ISNUMBER(MATCH(D35,'Полупродукты'!$C$6:$C$62,0)),"⚗️ Полупр.","Сырьё"))</f>
        <v/>
      </c>
      <c r="D35" s="139"/>
      <c r="E35" s="137"/>
      <c r="F35" s="88" t="str">
        <f t="shared" si="1"/>
        <v/>
      </c>
      <c r="G35" s="90"/>
      <c r="H35" s="91" t="str">
        <f t="shared" si="2"/>
        <v/>
      </c>
      <c r="I35" s="92" t="str">
        <f t="shared" si="3"/>
        <v/>
      </c>
      <c r="J35" s="92" t="str">
        <f>IF(D35="","",IF(AND(M35&lt;&gt;"",M35&gt;0),M35,IFERROR(VLOOKUP(D35,'Полупродукты'!$C$6:$E$62,3,FALSE()),IFERROR(VLOOKUP(D35,'Сырьё'!$C$6:$E$233,3,FALSE()),0))))</f>
        <v/>
      </c>
      <c r="K35" s="93" t="str">
        <f t="shared" si="4"/>
        <v/>
      </c>
      <c r="L35" s="94" t="str">
        <f t="shared" si="5"/>
        <v/>
      </c>
      <c r="M35" s="95"/>
      <c r="N35" s="118"/>
      <c r="O35" s="47"/>
      <c r="P35" s="47"/>
      <c r="Q35" s="54"/>
      <c r="R35" s="1"/>
      <c r="S35" s="1"/>
      <c r="T35" s="1"/>
      <c r="U35" s="1"/>
      <c r="V35" s="1"/>
      <c r="W35" s="1"/>
      <c r="X35" s="1"/>
      <c r="Y35" s="1"/>
    </row>
    <row r="36" ht="15.0" customHeight="1">
      <c r="A36" s="1"/>
      <c r="B36" s="96">
        <v>20.0</v>
      </c>
      <c r="C36" s="96" t="str">
        <f>IF(D36="","",IF(ISNUMBER(MATCH(D36,'Полупродукты'!$C$6:$C$62,0)),"⚗️ Полупр.","Сырьё"))</f>
        <v/>
      </c>
      <c r="D36" s="139"/>
      <c r="E36" s="137"/>
      <c r="F36" s="96" t="str">
        <f t="shared" si="1"/>
        <v/>
      </c>
      <c r="G36" s="90"/>
      <c r="H36" s="98" t="str">
        <f t="shared" si="2"/>
        <v/>
      </c>
      <c r="I36" s="99" t="str">
        <f t="shared" si="3"/>
        <v/>
      </c>
      <c r="J36" s="99" t="str">
        <f>IF(D36="","",IF(AND(M36&lt;&gt;"",M36&gt;0),M36,IFERROR(VLOOKUP(D36,'Полупродукты'!$C$6:$E$62,3,FALSE()),IFERROR(VLOOKUP(D36,'Сырьё'!$C$6:$E$233,3,FALSE()),0))))</f>
        <v/>
      </c>
      <c r="K36" s="100" t="str">
        <f t="shared" si="4"/>
        <v/>
      </c>
      <c r="L36" s="101" t="str">
        <f t="shared" si="5"/>
        <v/>
      </c>
      <c r="M36" s="95"/>
      <c r="N36" s="118"/>
      <c r="O36" s="47"/>
      <c r="P36" s="47"/>
      <c r="Q36" s="54"/>
      <c r="R36" s="1"/>
      <c r="S36" s="1"/>
      <c r="T36" s="1"/>
      <c r="U36" s="1"/>
      <c r="V36" s="1"/>
      <c r="W36" s="1"/>
      <c r="X36" s="1"/>
      <c r="Y36" s="1"/>
    </row>
    <row r="37" ht="27.75" customHeight="1">
      <c r="A37" s="1"/>
      <c r="B37" s="119" t="s">
        <v>496</v>
      </c>
      <c r="C37" s="10"/>
      <c r="D37" s="10"/>
      <c r="E37" s="10"/>
      <c r="F37" s="10"/>
      <c r="G37" s="11"/>
      <c r="H37" s="120">
        <f>SUM(H17:H36)</f>
        <v>0</v>
      </c>
      <c r="I37" s="121"/>
      <c r="J37" s="121"/>
      <c r="K37" s="122">
        <f t="shared" ref="K37:L37" si="8">ROUND(SUM(K17:K36),2)</f>
        <v>0</v>
      </c>
      <c r="L37" s="123">
        <f t="shared" si="8"/>
        <v>0</v>
      </c>
      <c r="M37" s="47"/>
      <c r="N37" s="47"/>
      <c r="O37" s="47"/>
      <c r="P37" s="47"/>
      <c r="Q37" s="47"/>
      <c r="R37" s="1"/>
      <c r="S37" s="1"/>
      <c r="T37" s="1"/>
      <c r="U37" s="1"/>
      <c r="V37" s="1"/>
      <c r="W37" s="1"/>
      <c r="X37" s="1"/>
      <c r="Y37" s="1"/>
    </row>
    <row r="38" ht="15.0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1"/>
      <c r="S38" s="1"/>
      <c r="T38" s="1"/>
      <c r="U38" s="1"/>
      <c r="V38" s="1"/>
      <c r="W38" s="1"/>
      <c r="X38" s="1"/>
      <c r="Y38" s="1"/>
    </row>
    <row r="39" ht="15.0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1"/>
      <c r="S39" s="1"/>
      <c r="T39" s="1"/>
      <c r="U39" s="1"/>
      <c r="V39" s="1"/>
      <c r="W39" s="1"/>
      <c r="X39" s="1"/>
      <c r="Y39" s="1"/>
    </row>
    <row r="40" ht="49.5" customHeight="1">
      <c r="A40" s="47"/>
      <c r="B40" s="134" t="s">
        <v>506</v>
      </c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47"/>
      <c r="N40" s="47"/>
      <c r="O40" s="47"/>
      <c r="P40" s="47"/>
      <c r="Q40" s="47"/>
      <c r="R40" s="1"/>
      <c r="S40" s="1"/>
      <c r="T40" s="1"/>
      <c r="U40" s="1"/>
      <c r="V40" s="1"/>
      <c r="W40" s="1"/>
      <c r="X40" s="1"/>
      <c r="Y40" s="1"/>
    </row>
    <row r="41" ht="15.0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1"/>
      <c r="S41" s="1"/>
      <c r="T41" s="1"/>
      <c r="U41" s="1"/>
      <c r="V41" s="1"/>
      <c r="W41" s="1"/>
      <c r="X41" s="1"/>
      <c r="Y41" s="1"/>
    </row>
    <row r="42" ht="15.0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</row>
  </sheetData>
  <mergeCells count="29">
    <mergeCell ref="J8:L8"/>
    <mergeCell ref="N8:P10"/>
    <mergeCell ref="J9:L9"/>
    <mergeCell ref="J11:L11"/>
    <mergeCell ref="J12:L12"/>
    <mergeCell ref="N26:P26"/>
    <mergeCell ref="H8:I8"/>
    <mergeCell ref="H9:I9"/>
    <mergeCell ref="G11:I11"/>
    <mergeCell ref="G12:I12"/>
    <mergeCell ref="B37:G37"/>
    <mergeCell ref="B40:L40"/>
    <mergeCell ref="F2:P3"/>
    <mergeCell ref="F4:P4"/>
    <mergeCell ref="B7:E7"/>
    <mergeCell ref="G7:I7"/>
    <mergeCell ref="J7:L7"/>
    <mergeCell ref="B8:E8"/>
    <mergeCell ref="B10:L10"/>
    <mergeCell ref="B15:H15"/>
    <mergeCell ref="I15:J15"/>
    <mergeCell ref="K15:L15"/>
    <mergeCell ref="B9:E9"/>
    <mergeCell ref="B11:D11"/>
    <mergeCell ref="E11:F11"/>
    <mergeCell ref="B12:D12"/>
    <mergeCell ref="E12:F12"/>
    <mergeCell ref="B13:L13"/>
    <mergeCell ref="B14:L14"/>
  </mergeCells>
  <conditionalFormatting sqref="K15:L15">
    <cfRule type="cellIs" dxfId="1" priority="1" operator="between">
      <formula>0.999</formula>
      <formula>1.001</formula>
    </cfRule>
  </conditionalFormatting>
  <conditionalFormatting sqref="K15:L15">
    <cfRule type="cellIs" dxfId="2" priority="2" operator="greaterThan">
      <formula>1.001</formula>
    </cfRule>
  </conditionalFormatting>
  <conditionalFormatting sqref="K15:L15">
    <cfRule type="cellIs" dxfId="3" priority="3" operator="lessThan">
      <formula>0.999</formula>
    </cfRule>
  </conditionalFormatting>
  <conditionalFormatting sqref="B17:L36">
    <cfRule type="expression" dxfId="0" priority="4">
      <formula>$C17="⚗️ Полупр."</formula>
    </cfRule>
  </conditionalFormatting>
  <conditionalFormatting sqref="K15">
    <cfRule type="cellIs" dxfId="4" priority="5" operator="greaterThan">
      <formula>1.005</formula>
    </cfRule>
  </conditionalFormatting>
  <conditionalFormatting sqref="K15">
    <cfRule type="cellIs" dxfId="5" priority="6" operator="between">
      <formula>0.995</formula>
      <formula>1.005</formula>
    </cfRule>
  </conditionalFormatting>
  <conditionalFormatting sqref="K15">
    <cfRule type="cellIs" dxfId="6" priority="7" operator="lessThan">
      <formula>0.995</formula>
    </cfRule>
  </conditionalFormatting>
  <conditionalFormatting sqref="G17:G36">
    <cfRule type="expression" dxfId="7" priority="8">
      <formula>SUM($G$17:$G$36)&gt;1.005</formula>
    </cfRule>
  </conditionalFormatting>
  <conditionalFormatting sqref="J17:J36">
    <cfRule type="expression" dxfId="8" priority="9">
      <formula>AND($M17&lt;&gt;"",$M17&gt;0)</formula>
    </cfRule>
  </conditionalFormatting>
  <dataValidations>
    <dataValidation type="list" allowBlank="1" showInputMessage="1" prompt="Поиск по артикулу - Выберите из 31 артикулов или введите вручную" sqref="G8">
      <formula1>'Потери'!$M$2:$M$32</formula1>
    </dataValidation>
    <dataValidation type="list" allowBlank="1" sqref="D17:D36">
      <formula1>'Сырьё'!$C$6:$C$233</formula1>
    </dataValidation>
    <dataValidation type="list" allowBlank="1" showInputMessage="1" prompt="Выбор продукта - Выберите продукт из списка или введите своё название" sqref="B8">
      <formula1>'Продукты'!$D$6:$D$224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0"/>
    <col customWidth="1" min="2" max="2" width="42.0"/>
    <col customWidth="1" min="3" max="3" width="12.0"/>
    <col customWidth="1" min="4" max="4" width="11.0"/>
    <col customWidth="1" min="5" max="5" width="12.0"/>
    <col customWidth="1" min="6" max="6" width="1.0"/>
    <col customWidth="1" min="7" max="7" width="4.0"/>
    <col customWidth="1" min="8" max="8" width="36.0"/>
    <col customWidth="1" min="9" max="9" width="6.0"/>
    <col customWidth="1" min="10" max="10" width="12.0"/>
    <col customWidth="1" min="11" max="11" width="11.0"/>
    <col customWidth="1" min="12" max="12" width="12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1"/>
      <c r="B2" s="140" t="s">
        <v>507</v>
      </c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5"/>
      <c r="C3" s="6"/>
      <c r="D3" s="6"/>
      <c r="E3" s="6"/>
      <c r="F3" s="6"/>
      <c r="G3" s="6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1"/>
      <c r="B4" s="141" t="s">
        <v>508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142" t="s">
        <v>509</v>
      </c>
      <c r="C6" s="10"/>
      <c r="D6" s="10"/>
      <c r="E6" s="11"/>
      <c r="F6" s="1"/>
      <c r="G6" s="143" t="s">
        <v>510</v>
      </c>
      <c r="H6" s="10"/>
      <c r="I6" s="10"/>
      <c r="J6" s="10"/>
      <c r="K6" s="10"/>
      <c r="L6" s="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44" t="s">
        <v>369</v>
      </c>
      <c r="B7" s="144" t="s">
        <v>375</v>
      </c>
      <c r="C7" s="144" t="s">
        <v>511</v>
      </c>
      <c r="D7" s="144" t="s">
        <v>512</v>
      </c>
      <c r="E7" s="144" t="s">
        <v>513</v>
      </c>
      <c r="F7" s="1"/>
      <c r="G7" s="145" t="s">
        <v>369</v>
      </c>
      <c r="H7" s="145" t="s">
        <v>472</v>
      </c>
      <c r="I7" s="145" t="s">
        <v>474</v>
      </c>
      <c r="J7" s="145" t="s">
        <v>514</v>
      </c>
      <c r="K7" s="145" t="s">
        <v>515</v>
      </c>
      <c r="L7" s="145" t="s">
        <v>516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46">
        <v>1.0</v>
      </c>
      <c r="B8" s="147" t="s">
        <v>517</v>
      </c>
      <c r="C8" s="148">
        <v>600.0</v>
      </c>
      <c r="D8" s="149">
        <f>IF(B8="","",SUMPRODUCT(('_Развёртки'!$A$2:$A$1361=B8)*'_Развёртки'!$F$2:$F$1361))</f>
        <v>3.712596601</v>
      </c>
      <c r="E8" s="150">
        <f t="shared" ref="E8:E27" si="1">IF(OR(B8="",C8=""),"",C8*D8)</f>
        <v>2227.557961</v>
      </c>
      <c r="F8" s="1"/>
      <c r="G8" s="142" t="s">
        <v>518</v>
      </c>
      <c r="H8" s="10"/>
      <c r="I8" s="10"/>
      <c r="J8" s="10"/>
      <c r="K8" s="10"/>
      <c r="L8" s="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46">
        <v>2.0</v>
      </c>
      <c r="B9" s="147" t="s">
        <v>519</v>
      </c>
      <c r="C9" s="148">
        <v>1200.0</v>
      </c>
      <c r="D9" s="149">
        <f>IF(B9="","",SUMPRODUCT(('_Развёртки'!$A$2:$A$1361=B9)*'_Развёртки'!$F$2:$F$1361))</f>
        <v>3.511317475</v>
      </c>
      <c r="E9" s="150">
        <f t="shared" si="1"/>
        <v>4213.58097</v>
      </c>
      <c r="F9" s="1"/>
      <c r="G9" s="151">
        <v>1.0</v>
      </c>
      <c r="H9" s="152" t="s">
        <v>520</v>
      </c>
      <c r="I9" s="153" t="str">
        <f>IFERROR(VLOOKUP(H9,'Сырьё'!$C$6:$D$233,2,FALSE()),IFERROR(VLOOKUP(H9,'Полупродукты'!$C$6:$D$60,2,FALSE()),"кг"))</f>
        <v>кг</v>
      </c>
      <c r="J9" s="154">
        <f t="array" ref="J9">IF(B8="",0,IFERROR(INDEX('_Развёртки'!$C$2:$C$1358,MATCH(B8&amp;"|"&amp;H9,'_Развёртки'!$D$2:$D$1358,0)),0)*N(C8))+IF(B9="",0,IFERROR(INDEX('_Развёртки'!$C$2:$C$1358,MATCH(B9&amp;"|"&amp;H9,'_Развёртки'!$D$2:$D$1358,0)),0)*N(C9))+IF(B10="",0,IFERROR(INDEX('_Развёртки'!$C$2:$C$1358,MATCH(B10&amp;"|"&amp;H9,'_Развёртки'!$D$2:$D$1358,0)),0)*N(C10))+IF(B11="",0,IFERROR(INDEX('_Развёртки'!$C$2:$C$1358,MATCH(B11&amp;"|"&amp;H9,'_Развёртки'!$D$2:$D$1358,0)),0)*N(C11))+IF(B12="",0,IFERROR(INDEX('_Развёртки'!$C$2:$C$1358,MATCH(B12&amp;"|"&amp;H9,'_Развёртки'!$D$2:$D$1358,0)),0)*N(C12))+IF(B13="",0,IFERROR(INDEX('_Развёртки'!$C$2:$C$1358,MATCH(B13&amp;"|"&amp;H9,'_Развёртки'!$D$2:$D$1358,0)),0)*N(C13))+IF(B14="",0,IFERROR(INDEX('_Развёртки'!$C$2:$C$1358,MATCH(B14&amp;"|"&amp;H9,'_Развёртки'!$D$2:$D$1358,0)),0)*N(C14))+IF(B15="",0,IFERROR(INDEX('_Развёртки'!$C$2:$C$1358,MATCH(B15&amp;"|"&amp;H9,'_Развёртки'!$D$2:$D$1358,0)),0)*N(C15))+IF(B16="",0,IFERROR(INDEX('_Развёртки'!$C$2:$C$1358,MATCH(B16&amp;"|"&amp;H9,'_Развёртки'!$D$2:$D$1358,0)),0)*N(C16))+IF(B17="",0,IFERROR(INDEX('_Развёртки'!$C$2:$C$1358,MATCH(B17&amp;"|"&amp;H9,'_Развёртки'!$D$2:$D$1358,0)),0)*N(C17))+IF(B18="",0,IFERROR(INDEX('_Развёртки'!$C$2:$C$1358,MATCH(B18&amp;"|"&amp;H9,'_Развёртки'!$D$2:$D$1358,0)),0)*N(C18))+IF(B19="",0,IFERROR(INDEX('_Развёртки'!$C$2:$C$1358,MATCH(B19&amp;"|"&amp;H9,'_Развёртки'!$D$2:$D$1358,0)),0)*N(C19))+IF(B20="",0,IFERROR(INDEX('_Развёртки'!$C$2:$C$1358,MATCH(B20&amp;"|"&amp;H9,'_Развёртки'!$D$2:$D$1358,0)),0)*N(C20))+IF(B21="",0,IFERROR(INDEX('_Развёртки'!$C$2:$C$1358,MATCH(B21&amp;"|"&amp;H9,'_Развёртки'!$D$2:$D$1358,0)),0)*N(C21))+IF(B22="",0,IFERROR(INDEX('_Развёртки'!$C$2:$C$1358,MATCH(B22&amp;"|"&amp;H9,'_Развёртки'!$D$2:$D$1358,0)),0)*N(C22))+IF(B23="",0,IFERROR(INDEX('_Развёртки'!$C$2:$C$1358,MATCH(B23&amp;"|"&amp;H9,'_Развёртки'!$D$2:$D$1358,0)),0)*N(C23))+IF(B24="",0,IFERROR(INDEX('_Развёртки'!$C$2:$C$1358,MATCH(B24&amp;"|"&amp;H9,'_Развёртки'!$D$2:$D$1358,0)),0)*N(C24))+IF(B25="",0,IFERROR(INDEX('_Развёртки'!$C$2:$C$1358,MATCH(B25&amp;"|"&amp;H9,'_Развёртки'!$D$2:$D$1358,0)),0)*N(C25))+IF(B26="",0,IFERROR(INDEX('_Развёртки'!$C$2:$C$1358,MATCH(B26&amp;"|"&amp;H9,'_Развёртки'!$D$2:$D$1358,0)),0)*N(C26))+IF(B27="",0,IFERROR(INDEX('_Развёртки'!$C$2:$C$1358,MATCH(B27&amp;"|"&amp;H9,'_Развёртки'!$D$2:$D$1358,0)),0)*N(C27))</f>
        <v>3.259</v>
      </c>
      <c r="K9" s="155">
        <f>IFERROR(VLOOKUP(H9,'Сырьё'!$C$6:$E$233,3,FALSE()),IFERROR(VLOOKUP(H9,'Полупродукты'!$C$6:$E$60,3,FALSE()),0))</f>
        <v>30.1527</v>
      </c>
      <c r="L9" s="156">
        <f t="shared" ref="L9:L10" si="2">IF(J9=0,0,J9*K9)</f>
        <v>98.2676493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46">
        <v>3.0</v>
      </c>
      <c r="B10" s="147" t="s">
        <v>521</v>
      </c>
      <c r="C10" s="148">
        <v>20.0</v>
      </c>
      <c r="D10" s="149">
        <f>IF(B10="","",SUMPRODUCT(('_Развёртки'!$A$2:$A$1361=B10)*'_Развёртки'!$F$2:$F$1361))</f>
        <v>3.7563635</v>
      </c>
      <c r="E10" s="150">
        <f t="shared" si="1"/>
        <v>75.12727</v>
      </c>
      <c r="F10" s="1"/>
      <c r="G10" s="151">
        <v>2.0</v>
      </c>
      <c r="H10" s="152" t="s">
        <v>522</v>
      </c>
      <c r="I10" s="153" t="str">
        <f>IFERROR(VLOOKUP(H10,'Сырьё'!$C$6:$D$233,2,FALSE()),IFERROR(VLOOKUP(H10,'Полупродукты'!$C$6:$D$60,2,FALSE()),"кг"))</f>
        <v>кг</v>
      </c>
      <c r="J10" s="154">
        <f t="array" ref="J10">IF(B8="",0,IFERROR(INDEX('_Развёртки'!$C$2:$C$1358,MATCH(B8&amp;"|"&amp;H10,'_Развёртки'!$D$2:$D$1358,0)),0)*N(C8))+IF(B9="",0,IFERROR(INDEX('_Развёртки'!$C$2:$C$1358,MATCH(B9&amp;"|"&amp;H10,'_Развёртки'!$D$2:$D$1358,0)),0)*N(C9))+IF(B10="",0,IFERROR(INDEX('_Развёртки'!$C$2:$C$1358,MATCH(B10&amp;"|"&amp;H10,'_Развёртки'!$D$2:$D$1358,0)),0)*N(C10))+IF(B11="",0,IFERROR(INDEX('_Развёртки'!$C$2:$C$1358,MATCH(B11&amp;"|"&amp;H10,'_Развёртки'!$D$2:$D$1358,0)),0)*N(C11))+IF(B12="",0,IFERROR(INDEX('_Развёртки'!$C$2:$C$1358,MATCH(B12&amp;"|"&amp;H10,'_Развёртки'!$D$2:$D$1358,0)),0)*N(C12))+IF(B13="",0,IFERROR(INDEX('_Развёртки'!$C$2:$C$1358,MATCH(B13&amp;"|"&amp;H10,'_Развёртки'!$D$2:$D$1358,0)),0)*N(C13))+IF(B14="",0,IFERROR(INDEX('_Развёртки'!$C$2:$C$1358,MATCH(B14&amp;"|"&amp;H10,'_Развёртки'!$D$2:$D$1358,0)),0)*N(C14))+IF(B15="",0,IFERROR(INDEX('_Развёртки'!$C$2:$C$1358,MATCH(B15&amp;"|"&amp;H10,'_Развёртки'!$D$2:$D$1358,0)),0)*N(C15))+IF(B16="",0,IFERROR(INDEX('_Развёртки'!$C$2:$C$1358,MATCH(B16&amp;"|"&amp;H10,'_Развёртки'!$D$2:$D$1358,0)),0)*N(C16))+IF(B17="",0,IFERROR(INDEX('_Развёртки'!$C$2:$C$1358,MATCH(B17&amp;"|"&amp;H10,'_Развёртки'!$D$2:$D$1358,0)),0)*N(C17))+IF(B18="",0,IFERROR(INDEX('_Развёртки'!$C$2:$C$1358,MATCH(B18&amp;"|"&amp;H10,'_Развёртки'!$D$2:$D$1358,0)),0)*N(C18))+IF(B19="",0,IFERROR(INDEX('_Развёртки'!$C$2:$C$1358,MATCH(B19&amp;"|"&amp;H10,'_Развёртки'!$D$2:$D$1358,0)),0)*N(C19))+IF(B20="",0,IFERROR(INDEX('_Развёртки'!$C$2:$C$1358,MATCH(B20&amp;"|"&amp;H10,'_Развёртки'!$D$2:$D$1358,0)),0)*N(C20))+IF(B21="",0,IFERROR(INDEX('_Развёртки'!$C$2:$C$1358,MATCH(B21&amp;"|"&amp;H10,'_Развёртки'!$D$2:$D$1358,0)),0)*N(C21))+IF(B22="",0,IFERROR(INDEX('_Развёртки'!$C$2:$C$1358,MATCH(B22&amp;"|"&amp;H10,'_Развёртки'!$D$2:$D$1358,0)),0)*N(C22))+IF(B23="",0,IFERROR(INDEX('_Развёртки'!$C$2:$C$1358,MATCH(B23&amp;"|"&amp;H10,'_Развёртки'!$D$2:$D$1358,0)),0)*N(C23))+IF(B24="",0,IFERROR(INDEX('_Развёртки'!$C$2:$C$1358,MATCH(B24&amp;"|"&amp;H10,'_Развёртки'!$D$2:$D$1358,0)),0)*N(C24))+IF(B25="",0,IFERROR(INDEX('_Развёртки'!$C$2:$C$1358,MATCH(B25&amp;"|"&amp;H10,'_Развёртки'!$D$2:$D$1358,0)),0)*N(C25))+IF(B26="",0,IFERROR(INDEX('_Развёртки'!$C$2:$C$1358,MATCH(B26&amp;"|"&amp;H10,'_Развёртки'!$D$2:$D$1358,0)),0)*N(C26))+IF(B27="",0,IFERROR(INDEX('_Развёртки'!$C$2:$C$1358,MATCH(B27&amp;"|"&amp;H10,'_Развёртки'!$D$2:$D$1358,0)),0)*N(C27))</f>
        <v>145.04138</v>
      </c>
      <c r="K10" s="155">
        <f>IFERROR(VLOOKUP(H10,'Сырьё'!$C$6:$E$233,3,FALSE()),IFERROR(VLOOKUP(H10,'Полупродукты'!$C$6:$E$60,3,FALSE()),0))</f>
        <v>3.7834</v>
      </c>
      <c r="L10" s="156">
        <f t="shared" si="2"/>
        <v>548.7495571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46">
        <v>4.0</v>
      </c>
      <c r="B11" s="147" t="s">
        <v>523</v>
      </c>
      <c r="C11" s="148">
        <v>1200.0</v>
      </c>
      <c r="D11" s="149">
        <f>IF(B11="","",SUMPRODUCT(('_Развёртки'!$A$2:$A$1361=B11)*'_Развёртки'!$F$2:$F$1361))</f>
        <v>3.164534646</v>
      </c>
      <c r="E11" s="150">
        <f t="shared" si="1"/>
        <v>3797.441575</v>
      </c>
      <c r="F11" s="1"/>
      <c r="G11" s="157"/>
      <c r="H11" s="158" t="s">
        <v>524</v>
      </c>
      <c r="I11" s="159"/>
      <c r="J11" s="160">
        <f>SUM(J9:J10)</f>
        <v>148.30038</v>
      </c>
      <c r="K11" s="161"/>
      <c r="L11" s="162">
        <f>SUM(L9:L10)</f>
        <v>647.0172064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46">
        <v>5.0</v>
      </c>
      <c r="B12" s="147" t="s">
        <v>525</v>
      </c>
      <c r="C12" s="148">
        <v>3500.0</v>
      </c>
      <c r="D12" s="149">
        <f>IF(B12="","",SUMPRODUCT(('_Развёртки'!$A$2:$A$1361=B12)*'_Развёртки'!$F$2:$F$1361))</f>
        <v>2.521875157</v>
      </c>
      <c r="E12" s="150">
        <f t="shared" si="1"/>
        <v>8826.563051</v>
      </c>
      <c r="F12" s="1"/>
      <c r="G12" s="163"/>
      <c r="H12" s="164"/>
      <c r="I12" s="165"/>
      <c r="J12" s="166"/>
      <c r="K12" s="167"/>
      <c r="L12" s="16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46">
        <v>6.0</v>
      </c>
      <c r="B13" s="147" t="s">
        <v>526</v>
      </c>
      <c r="C13" s="148">
        <v>1600.0</v>
      </c>
      <c r="D13" s="149">
        <f>IF(B13="","",SUMPRODUCT(('_Развёртки'!$A$2:$A$1361=B13)*'_Развёртки'!$F$2:$F$1361))</f>
        <v>1.731704677</v>
      </c>
      <c r="E13" s="150">
        <f t="shared" si="1"/>
        <v>2770.727483</v>
      </c>
      <c r="F13" s="1"/>
      <c r="G13" s="169" t="s">
        <v>527</v>
      </c>
      <c r="H13" s="10"/>
      <c r="I13" s="10"/>
      <c r="J13" s="10"/>
      <c r="K13" s="10"/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46">
        <v>7.0</v>
      </c>
      <c r="B14" s="147" t="s">
        <v>454</v>
      </c>
      <c r="C14" s="148">
        <v>300.0</v>
      </c>
      <c r="D14" s="149">
        <f>IF(B14="","",SUMPRODUCT(('_Развёртки'!$A$2:$A$1361=B14)*'_Развёртки'!$F$2:$F$1361))</f>
        <v>3.511847642</v>
      </c>
      <c r="E14" s="150">
        <f t="shared" si="1"/>
        <v>1053.554293</v>
      </c>
      <c r="F14" s="1"/>
      <c r="G14" s="170">
        <v>3.0</v>
      </c>
      <c r="H14" s="171" t="s">
        <v>528</v>
      </c>
      <c r="I14" s="172" t="str">
        <f>IFERROR(VLOOKUP(H14,'Сырьё'!$C$6:$D$233,2,FALSE()),IFERROR(VLOOKUP(H14,'Полупродукты'!$C$6:$D$60,2,FALSE()),"кг"))</f>
        <v>кг</v>
      </c>
      <c r="J14" s="173">
        <f t="array" ref="J14">IF(B8="",0,IFERROR(INDEX('_Развёртки'!$C$2:$C$1358,MATCH(B8&amp;"|"&amp;H14,'_Развёртки'!$D$2:$D$1358,0)),0)*N(C8))+IF(B9="",0,IFERROR(INDEX('_Развёртки'!$C$2:$C$1358,MATCH(B9&amp;"|"&amp;H14,'_Развёртки'!$D$2:$D$1358,0)),0)*N(C9))+IF(B10="",0,IFERROR(INDEX('_Развёртки'!$C$2:$C$1358,MATCH(B10&amp;"|"&amp;H14,'_Развёртки'!$D$2:$D$1358,0)),0)*N(C10))+IF(B11="",0,IFERROR(INDEX('_Развёртки'!$C$2:$C$1358,MATCH(B11&amp;"|"&amp;H14,'_Развёртки'!$D$2:$D$1358,0)),0)*N(C11))+IF(B12="",0,IFERROR(INDEX('_Развёртки'!$C$2:$C$1358,MATCH(B12&amp;"|"&amp;H14,'_Развёртки'!$D$2:$D$1358,0)),0)*N(C12))+IF(B13="",0,IFERROR(INDEX('_Развёртки'!$C$2:$C$1358,MATCH(B13&amp;"|"&amp;H14,'_Развёртки'!$D$2:$D$1358,0)),0)*N(C13))+IF(B14="",0,IFERROR(INDEX('_Развёртки'!$C$2:$C$1358,MATCH(B14&amp;"|"&amp;H14,'_Развёртки'!$D$2:$D$1358,0)),0)*N(C14))+IF(B15="",0,IFERROR(INDEX('_Развёртки'!$C$2:$C$1358,MATCH(B15&amp;"|"&amp;H14,'_Развёртки'!$D$2:$D$1358,0)),0)*N(C15))+IF(B16="",0,IFERROR(INDEX('_Развёртки'!$C$2:$C$1358,MATCH(B16&amp;"|"&amp;H14,'_Развёртки'!$D$2:$D$1358,0)),0)*N(C16))+IF(B17="",0,IFERROR(INDEX('_Развёртки'!$C$2:$C$1358,MATCH(B17&amp;"|"&amp;H14,'_Развёртки'!$D$2:$D$1358,0)),0)*N(C17))+IF(B18="",0,IFERROR(INDEX('_Развёртки'!$C$2:$C$1358,MATCH(B18&amp;"|"&amp;H14,'_Развёртки'!$D$2:$D$1358,0)),0)*N(C18))+IF(B19="",0,IFERROR(INDEX('_Развёртки'!$C$2:$C$1358,MATCH(B19&amp;"|"&amp;H14,'_Развёртки'!$D$2:$D$1358,0)),0)*N(C19))+IF(B20="",0,IFERROR(INDEX('_Развёртки'!$C$2:$C$1358,MATCH(B20&amp;"|"&amp;H14,'_Развёртки'!$D$2:$D$1358,0)),0)*N(C20))+IF(B21="",0,IFERROR(INDEX('_Развёртки'!$C$2:$C$1358,MATCH(B21&amp;"|"&amp;H14,'_Развёртки'!$D$2:$D$1358,0)),0)*N(C21))+IF(B22="",0,IFERROR(INDEX('_Развёртки'!$C$2:$C$1358,MATCH(B22&amp;"|"&amp;H14,'_Развёртки'!$D$2:$D$1358,0)),0)*N(C22))+IF(B23="",0,IFERROR(INDEX('_Развёртки'!$C$2:$C$1358,MATCH(B23&amp;"|"&amp;H14,'_Развёртки'!$D$2:$D$1358,0)),0)*N(C23))+IF(B24="",0,IFERROR(INDEX('_Развёртки'!$C$2:$C$1358,MATCH(B24&amp;"|"&amp;H14,'_Развёртки'!$D$2:$D$1358,0)),0)*N(C24))+IF(B25="",0,IFERROR(INDEX('_Развёртки'!$C$2:$C$1358,MATCH(B25&amp;"|"&amp;H14,'_Развёртки'!$D$2:$D$1358,0)),0)*N(C25))+IF(B26="",0,IFERROR(INDEX('_Развёртки'!$C$2:$C$1358,MATCH(B26&amp;"|"&amp;H14,'_Развёртки'!$D$2:$D$1358,0)),0)*N(C26))+IF(B27="",0,IFERROR(INDEX('_Развёртки'!$C$2:$C$1358,MATCH(B27&amp;"|"&amp;H14,'_Развёртки'!$D$2:$D$1358,0)),0)*N(C27))</f>
        <v>0</v>
      </c>
      <c r="K14" s="174">
        <f>IFERROR(VLOOKUP(H14,'Сырьё'!$C$6:$E$233,3,FALSE()),IFERROR(VLOOKUP(H14,'Полупродукты'!$C$6:$E$60,3,FALSE()),0))</f>
        <v>0</v>
      </c>
      <c r="L14" s="175">
        <f t="shared" ref="L14:L74" si="3">IF(J14=0,0,J14*K14)</f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46">
        <v>8.0</v>
      </c>
      <c r="B15" s="147" t="s">
        <v>529</v>
      </c>
      <c r="C15" s="148">
        <v>60.0</v>
      </c>
      <c r="D15" s="149">
        <f>IF(B15="","",SUMPRODUCT(('_Развёртки'!$A$2:$A$1361=B15)*'_Развёртки'!$F$2:$F$1361))</f>
        <v>4.052004491</v>
      </c>
      <c r="E15" s="150">
        <f t="shared" si="1"/>
        <v>243.1202695</v>
      </c>
      <c r="F15" s="1"/>
      <c r="G15" s="35">
        <v>4.0</v>
      </c>
      <c r="H15" s="36" t="s">
        <v>530</v>
      </c>
      <c r="I15" s="176" t="str">
        <f>IFERROR(VLOOKUP(H15,'Сырьё'!$C$6:$D$233,2,FALSE()),IFERROR(VLOOKUP(H15,'Полупродукты'!$C$6:$D$60,2,FALSE()),"кг"))</f>
        <v>кг</v>
      </c>
      <c r="J15" s="177">
        <f t="array" ref="J15">IF(B8="",0,IFERROR(INDEX('_Развёртки'!$C$2:$C$1358,MATCH(B8&amp;"|"&amp;H15,'_Развёртки'!$D$2:$D$1358,0)),0)*N(C8))+IF(B9="",0,IFERROR(INDEX('_Развёртки'!$C$2:$C$1358,MATCH(B9&amp;"|"&amp;H15,'_Развёртки'!$D$2:$D$1358,0)),0)*N(C9))+IF(B10="",0,IFERROR(INDEX('_Развёртки'!$C$2:$C$1358,MATCH(B10&amp;"|"&amp;H15,'_Развёртки'!$D$2:$D$1358,0)),0)*N(C10))+IF(B11="",0,IFERROR(INDEX('_Развёртки'!$C$2:$C$1358,MATCH(B11&amp;"|"&amp;H15,'_Развёртки'!$D$2:$D$1358,0)),0)*N(C11))+IF(B12="",0,IFERROR(INDEX('_Развёртки'!$C$2:$C$1358,MATCH(B12&amp;"|"&amp;H15,'_Развёртки'!$D$2:$D$1358,0)),0)*N(C12))+IF(B13="",0,IFERROR(INDEX('_Развёртки'!$C$2:$C$1358,MATCH(B13&amp;"|"&amp;H15,'_Развёртки'!$D$2:$D$1358,0)),0)*N(C13))+IF(B14="",0,IFERROR(INDEX('_Развёртки'!$C$2:$C$1358,MATCH(B14&amp;"|"&amp;H15,'_Развёртки'!$D$2:$D$1358,0)),0)*N(C14))+IF(B15="",0,IFERROR(INDEX('_Развёртки'!$C$2:$C$1358,MATCH(B15&amp;"|"&amp;H15,'_Развёртки'!$D$2:$D$1358,0)),0)*N(C15))+IF(B16="",0,IFERROR(INDEX('_Развёртки'!$C$2:$C$1358,MATCH(B16&amp;"|"&amp;H15,'_Развёртки'!$D$2:$D$1358,0)),0)*N(C16))+IF(B17="",0,IFERROR(INDEX('_Развёртки'!$C$2:$C$1358,MATCH(B17&amp;"|"&amp;H15,'_Развёртки'!$D$2:$D$1358,0)),0)*N(C17))+IF(B18="",0,IFERROR(INDEX('_Развёртки'!$C$2:$C$1358,MATCH(B18&amp;"|"&amp;H15,'_Развёртки'!$D$2:$D$1358,0)),0)*N(C18))+IF(B19="",0,IFERROR(INDEX('_Развёртки'!$C$2:$C$1358,MATCH(B19&amp;"|"&amp;H15,'_Развёртки'!$D$2:$D$1358,0)),0)*N(C19))+IF(B20="",0,IFERROR(INDEX('_Развёртки'!$C$2:$C$1358,MATCH(B20&amp;"|"&amp;H15,'_Развёртки'!$D$2:$D$1358,0)),0)*N(C20))+IF(B21="",0,IFERROR(INDEX('_Развёртки'!$C$2:$C$1358,MATCH(B21&amp;"|"&amp;H15,'_Развёртки'!$D$2:$D$1358,0)),0)*N(C21))+IF(B22="",0,IFERROR(INDEX('_Развёртки'!$C$2:$C$1358,MATCH(B22&amp;"|"&amp;H15,'_Развёртки'!$D$2:$D$1358,0)),0)*N(C22))+IF(B23="",0,IFERROR(INDEX('_Развёртки'!$C$2:$C$1358,MATCH(B23&amp;"|"&amp;H15,'_Развёртки'!$D$2:$D$1358,0)),0)*N(C23))+IF(B24="",0,IFERROR(INDEX('_Развёртки'!$C$2:$C$1358,MATCH(B24&amp;"|"&amp;H15,'_Развёртки'!$D$2:$D$1358,0)),0)*N(C24))+IF(B25="",0,IFERROR(INDEX('_Развёртки'!$C$2:$C$1358,MATCH(B25&amp;"|"&amp;H15,'_Развёртки'!$D$2:$D$1358,0)),0)*N(C25))+IF(B26="",0,IFERROR(INDEX('_Развёртки'!$C$2:$C$1358,MATCH(B26&amp;"|"&amp;H15,'_Развёртки'!$D$2:$D$1358,0)),0)*N(C26))+IF(B27="",0,IFERROR(INDEX('_Развёртки'!$C$2:$C$1358,MATCH(B27&amp;"|"&amp;H15,'_Развёртки'!$D$2:$D$1358,0)),0)*N(C27))</f>
        <v>0</v>
      </c>
      <c r="K15" s="178">
        <f>IFERROR(VLOOKUP(H15,'Сырьё'!$C$6:$E$233,3,FALSE()),IFERROR(VLOOKUP(H15,'Полупродукты'!$C$6:$E$60,3,FALSE()),0))</f>
        <v>0</v>
      </c>
      <c r="L15" s="179">
        <f t="shared" si="3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46">
        <v>9.0</v>
      </c>
      <c r="B16" s="147" t="s">
        <v>531</v>
      </c>
      <c r="C16" s="148">
        <v>600.0</v>
      </c>
      <c r="D16" s="149">
        <f>IF(B16="","",SUMPRODUCT(('_Развёртки'!$A$2:$A$1361=B16)*'_Развёртки'!$F$2:$F$1361))</f>
        <v>2.776684324</v>
      </c>
      <c r="E16" s="150">
        <f t="shared" si="1"/>
        <v>1666.010595</v>
      </c>
      <c r="F16" s="1"/>
      <c r="G16" s="170">
        <v>5.0</v>
      </c>
      <c r="H16" s="171" t="s">
        <v>532</v>
      </c>
      <c r="I16" s="172" t="str">
        <f>IFERROR(VLOOKUP(H16,'Сырьё'!$C$6:$D$233,2,FALSE()),IFERROR(VLOOKUP(H16,'Полупродукты'!$C$6:$D$60,2,FALSE()),"кг"))</f>
        <v>кг</v>
      </c>
      <c r="J16" s="173">
        <f t="array" ref="J16">IF(B8="",0,IFERROR(INDEX('_Развёртки'!$C$2:$C$1358,MATCH(B8&amp;"|"&amp;H16,'_Развёртки'!$D$2:$D$1358,0)),0)*N(C8))+IF(B9="",0,IFERROR(INDEX('_Развёртки'!$C$2:$C$1358,MATCH(B9&amp;"|"&amp;H16,'_Развёртки'!$D$2:$D$1358,0)),0)*N(C9))+IF(B10="",0,IFERROR(INDEX('_Развёртки'!$C$2:$C$1358,MATCH(B10&amp;"|"&amp;H16,'_Развёртки'!$D$2:$D$1358,0)),0)*N(C10))+IF(B11="",0,IFERROR(INDEX('_Развёртки'!$C$2:$C$1358,MATCH(B11&amp;"|"&amp;H16,'_Развёртки'!$D$2:$D$1358,0)),0)*N(C11))+IF(B12="",0,IFERROR(INDEX('_Развёртки'!$C$2:$C$1358,MATCH(B12&amp;"|"&amp;H16,'_Развёртки'!$D$2:$D$1358,0)),0)*N(C12))+IF(B13="",0,IFERROR(INDEX('_Развёртки'!$C$2:$C$1358,MATCH(B13&amp;"|"&amp;H16,'_Развёртки'!$D$2:$D$1358,0)),0)*N(C13))+IF(B14="",0,IFERROR(INDEX('_Развёртки'!$C$2:$C$1358,MATCH(B14&amp;"|"&amp;H16,'_Развёртки'!$D$2:$D$1358,0)),0)*N(C14))+IF(B15="",0,IFERROR(INDEX('_Развёртки'!$C$2:$C$1358,MATCH(B15&amp;"|"&amp;H16,'_Развёртки'!$D$2:$D$1358,0)),0)*N(C15))+IF(B16="",0,IFERROR(INDEX('_Развёртки'!$C$2:$C$1358,MATCH(B16&amp;"|"&amp;H16,'_Развёртки'!$D$2:$D$1358,0)),0)*N(C16))+IF(B17="",0,IFERROR(INDEX('_Развёртки'!$C$2:$C$1358,MATCH(B17&amp;"|"&amp;H16,'_Развёртки'!$D$2:$D$1358,0)),0)*N(C17))+IF(B18="",0,IFERROR(INDEX('_Развёртки'!$C$2:$C$1358,MATCH(B18&amp;"|"&amp;H16,'_Развёртки'!$D$2:$D$1358,0)),0)*N(C18))+IF(B19="",0,IFERROR(INDEX('_Развёртки'!$C$2:$C$1358,MATCH(B19&amp;"|"&amp;H16,'_Развёртки'!$D$2:$D$1358,0)),0)*N(C19))+IF(B20="",0,IFERROR(INDEX('_Развёртки'!$C$2:$C$1358,MATCH(B20&amp;"|"&amp;H16,'_Развёртки'!$D$2:$D$1358,0)),0)*N(C20))+IF(B21="",0,IFERROR(INDEX('_Развёртки'!$C$2:$C$1358,MATCH(B21&amp;"|"&amp;H16,'_Развёртки'!$D$2:$D$1358,0)),0)*N(C21))+IF(B22="",0,IFERROR(INDEX('_Развёртки'!$C$2:$C$1358,MATCH(B22&amp;"|"&amp;H16,'_Развёртки'!$D$2:$D$1358,0)),0)*N(C22))+IF(B23="",0,IFERROR(INDEX('_Развёртки'!$C$2:$C$1358,MATCH(B23&amp;"|"&amp;H16,'_Развёртки'!$D$2:$D$1358,0)),0)*N(C23))+IF(B24="",0,IFERROR(INDEX('_Развёртки'!$C$2:$C$1358,MATCH(B24&amp;"|"&amp;H16,'_Развёртки'!$D$2:$D$1358,0)),0)*N(C24))+IF(B25="",0,IFERROR(INDEX('_Развёртки'!$C$2:$C$1358,MATCH(B25&amp;"|"&amp;H16,'_Развёртки'!$D$2:$D$1358,0)),0)*N(C25))+IF(B26="",0,IFERROR(INDEX('_Развёртки'!$C$2:$C$1358,MATCH(B26&amp;"|"&amp;H16,'_Развёртки'!$D$2:$D$1358,0)),0)*N(C26))+IF(B27="",0,IFERROR(INDEX('_Развёртки'!$C$2:$C$1358,MATCH(B27&amp;"|"&amp;H16,'_Развёртки'!$D$2:$D$1358,0)),0)*N(C27))</f>
        <v>68.21192</v>
      </c>
      <c r="K16" s="174">
        <f>IFERROR(VLOOKUP(H16,'Сырьё'!$C$6:$E$233,3,FALSE()),IFERROR(VLOOKUP(H16,'Полупродукты'!$C$6:$E$60,3,FALSE()),0))</f>
        <v>2.337</v>
      </c>
      <c r="L16" s="175">
        <f t="shared" si="3"/>
        <v>159.411257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46">
        <v>10.0</v>
      </c>
      <c r="B17" s="147" t="s">
        <v>384</v>
      </c>
      <c r="C17" s="148">
        <v>20.0</v>
      </c>
      <c r="D17" s="149">
        <f>IF(B17="","",SUMPRODUCT(('_Развёртки'!$A$2:$A$1361=B17)*'_Развёртки'!$F$2:$F$1361))</f>
        <v>4.223360906</v>
      </c>
      <c r="E17" s="150">
        <f t="shared" si="1"/>
        <v>84.46721812</v>
      </c>
      <c r="F17" s="1"/>
      <c r="G17" s="35">
        <v>6.0</v>
      </c>
      <c r="H17" s="36" t="s">
        <v>533</v>
      </c>
      <c r="I17" s="176" t="str">
        <f>IFERROR(VLOOKUP(H17,'Сырьё'!$C$6:$D$233,2,FALSE()),IFERROR(VLOOKUP(H17,'Полупродукты'!$C$6:$D$60,2,FALSE()),"кг"))</f>
        <v>кг</v>
      </c>
      <c r="J17" s="177">
        <f t="array" ref="J17">IF(B8="",0,IFERROR(INDEX('_Развёртки'!$C$2:$C$1358,MATCH(B8&amp;"|"&amp;H17,'_Развёртки'!$D$2:$D$1358,0)),0)*N(C8))+IF(B9="",0,IFERROR(INDEX('_Развёртки'!$C$2:$C$1358,MATCH(B9&amp;"|"&amp;H17,'_Развёртки'!$D$2:$D$1358,0)),0)*N(C9))+IF(B10="",0,IFERROR(INDEX('_Развёртки'!$C$2:$C$1358,MATCH(B10&amp;"|"&amp;H17,'_Развёртки'!$D$2:$D$1358,0)),0)*N(C10))+IF(B11="",0,IFERROR(INDEX('_Развёртки'!$C$2:$C$1358,MATCH(B11&amp;"|"&amp;H17,'_Развёртки'!$D$2:$D$1358,0)),0)*N(C11))+IF(B12="",0,IFERROR(INDEX('_Развёртки'!$C$2:$C$1358,MATCH(B12&amp;"|"&amp;H17,'_Развёртки'!$D$2:$D$1358,0)),0)*N(C12))+IF(B13="",0,IFERROR(INDEX('_Развёртки'!$C$2:$C$1358,MATCH(B13&amp;"|"&amp;H17,'_Развёртки'!$D$2:$D$1358,0)),0)*N(C13))+IF(B14="",0,IFERROR(INDEX('_Развёртки'!$C$2:$C$1358,MATCH(B14&amp;"|"&amp;H17,'_Развёртки'!$D$2:$D$1358,0)),0)*N(C14))+IF(B15="",0,IFERROR(INDEX('_Развёртки'!$C$2:$C$1358,MATCH(B15&amp;"|"&amp;H17,'_Развёртки'!$D$2:$D$1358,0)),0)*N(C15))+IF(B16="",0,IFERROR(INDEX('_Развёртки'!$C$2:$C$1358,MATCH(B16&amp;"|"&amp;H17,'_Развёртки'!$D$2:$D$1358,0)),0)*N(C16))+IF(B17="",0,IFERROR(INDEX('_Развёртки'!$C$2:$C$1358,MATCH(B17&amp;"|"&amp;H17,'_Развёртки'!$D$2:$D$1358,0)),0)*N(C17))+IF(B18="",0,IFERROR(INDEX('_Развёртки'!$C$2:$C$1358,MATCH(B18&amp;"|"&amp;H17,'_Развёртки'!$D$2:$D$1358,0)),0)*N(C18))+IF(B19="",0,IFERROR(INDEX('_Развёртки'!$C$2:$C$1358,MATCH(B19&amp;"|"&amp;H17,'_Развёртки'!$D$2:$D$1358,0)),0)*N(C19))+IF(B20="",0,IFERROR(INDEX('_Развёртки'!$C$2:$C$1358,MATCH(B20&amp;"|"&amp;H17,'_Развёртки'!$D$2:$D$1358,0)),0)*N(C20))+IF(B21="",0,IFERROR(INDEX('_Развёртки'!$C$2:$C$1358,MATCH(B21&amp;"|"&amp;H17,'_Развёртки'!$D$2:$D$1358,0)),0)*N(C21))+IF(B22="",0,IFERROR(INDEX('_Развёртки'!$C$2:$C$1358,MATCH(B22&amp;"|"&amp;H17,'_Развёртки'!$D$2:$D$1358,0)),0)*N(C22))+IF(B23="",0,IFERROR(INDEX('_Развёртки'!$C$2:$C$1358,MATCH(B23&amp;"|"&amp;H17,'_Развёртки'!$D$2:$D$1358,0)),0)*N(C23))+IF(B24="",0,IFERROR(INDEX('_Развёртки'!$C$2:$C$1358,MATCH(B24&amp;"|"&amp;H17,'_Развёртки'!$D$2:$D$1358,0)),0)*N(C24))+IF(B25="",0,IFERROR(INDEX('_Развёртки'!$C$2:$C$1358,MATCH(B25&amp;"|"&amp;H17,'_Развёртки'!$D$2:$D$1358,0)),0)*N(C25))+IF(B26="",0,IFERROR(INDEX('_Развёртки'!$C$2:$C$1358,MATCH(B26&amp;"|"&amp;H17,'_Развёртки'!$D$2:$D$1358,0)),0)*N(C26))+IF(B27="",0,IFERROR(INDEX('_Развёртки'!$C$2:$C$1358,MATCH(B27&amp;"|"&amp;H17,'_Развёртки'!$D$2:$D$1358,0)),0)*N(C27))</f>
        <v>0</v>
      </c>
      <c r="K17" s="178">
        <f>IFERROR(VLOOKUP(H17,'Сырьё'!$C$6:$E$233,3,FALSE()),IFERROR(VLOOKUP(H17,'Полупродукты'!$C$6:$E$60,3,FALSE()),0))</f>
        <v>6.305</v>
      </c>
      <c r="L17" s="179">
        <f t="shared" si="3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46">
        <v>11.0</v>
      </c>
      <c r="B18" s="147" t="s">
        <v>534</v>
      </c>
      <c r="C18" s="148">
        <v>240.0</v>
      </c>
      <c r="D18" s="149">
        <f>IF(B18="","",SUMPRODUCT(('_Развёртки'!$A$2:$A$1361=B18)*'_Развёртки'!$F$2:$F$1361))</f>
        <v>8.493096849</v>
      </c>
      <c r="E18" s="150">
        <f t="shared" si="1"/>
        <v>2038.343244</v>
      </c>
      <c r="F18" s="1"/>
      <c r="G18" s="170">
        <v>7.0</v>
      </c>
      <c r="H18" s="171" t="s">
        <v>535</v>
      </c>
      <c r="I18" s="172" t="str">
        <f>IFERROR(VLOOKUP(H18,'Сырьё'!$C$6:$D$233,2,FALSE()),IFERROR(VLOOKUP(H18,'Полупродукты'!$C$6:$D$60,2,FALSE()),"кг"))</f>
        <v>кг</v>
      </c>
      <c r="J18" s="173">
        <f t="array" ref="J18">IF(B8="",0,IFERROR(INDEX('_Развёртки'!$C$2:$C$1358,MATCH(B8&amp;"|"&amp;H18,'_Развёртки'!$D$2:$D$1358,0)),0)*N(C8))+IF(B9="",0,IFERROR(INDEX('_Развёртки'!$C$2:$C$1358,MATCH(B9&amp;"|"&amp;H18,'_Развёртки'!$D$2:$D$1358,0)),0)*N(C9))+IF(B10="",0,IFERROR(INDEX('_Развёртки'!$C$2:$C$1358,MATCH(B10&amp;"|"&amp;H18,'_Развёртки'!$D$2:$D$1358,0)),0)*N(C10))+IF(B11="",0,IFERROR(INDEX('_Развёртки'!$C$2:$C$1358,MATCH(B11&amp;"|"&amp;H18,'_Развёртки'!$D$2:$D$1358,0)),0)*N(C11))+IF(B12="",0,IFERROR(INDEX('_Развёртки'!$C$2:$C$1358,MATCH(B12&amp;"|"&amp;H18,'_Развёртки'!$D$2:$D$1358,0)),0)*N(C12))+IF(B13="",0,IFERROR(INDEX('_Развёртки'!$C$2:$C$1358,MATCH(B13&amp;"|"&amp;H18,'_Развёртки'!$D$2:$D$1358,0)),0)*N(C13))+IF(B14="",0,IFERROR(INDEX('_Развёртки'!$C$2:$C$1358,MATCH(B14&amp;"|"&amp;H18,'_Развёртки'!$D$2:$D$1358,0)),0)*N(C14))+IF(B15="",0,IFERROR(INDEX('_Развёртки'!$C$2:$C$1358,MATCH(B15&amp;"|"&amp;H18,'_Развёртки'!$D$2:$D$1358,0)),0)*N(C15))+IF(B16="",0,IFERROR(INDEX('_Развёртки'!$C$2:$C$1358,MATCH(B16&amp;"|"&amp;H18,'_Развёртки'!$D$2:$D$1358,0)),0)*N(C16))+IF(B17="",0,IFERROR(INDEX('_Развёртки'!$C$2:$C$1358,MATCH(B17&amp;"|"&amp;H18,'_Развёртки'!$D$2:$D$1358,0)),0)*N(C17))+IF(B18="",0,IFERROR(INDEX('_Развёртки'!$C$2:$C$1358,MATCH(B18&amp;"|"&amp;H18,'_Развёртки'!$D$2:$D$1358,0)),0)*N(C18))+IF(B19="",0,IFERROR(INDEX('_Развёртки'!$C$2:$C$1358,MATCH(B19&amp;"|"&amp;H18,'_Развёртки'!$D$2:$D$1358,0)),0)*N(C19))+IF(B20="",0,IFERROR(INDEX('_Развёртки'!$C$2:$C$1358,MATCH(B20&amp;"|"&amp;H18,'_Развёртки'!$D$2:$D$1358,0)),0)*N(C20))+IF(B21="",0,IFERROR(INDEX('_Развёртки'!$C$2:$C$1358,MATCH(B21&amp;"|"&amp;H18,'_Развёртки'!$D$2:$D$1358,0)),0)*N(C21))+IF(B22="",0,IFERROR(INDEX('_Развёртки'!$C$2:$C$1358,MATCH(B22&amp;"|"&amp;H18,'_Развёртки'!$D$2:$D$1358,0)),0)*N(C22))+IF(B23="",0,IFERROR(INDEX('_Развёртки'!$C$2:$C$1358,MATCH(B23&amp;"|"&amp;H18,'_Развёртки'!$D$2:$D$1358,0)),0)*N(C23))+IF(B24="",0,IFERROR(INDEX('_Развёртки'!$C$2:$C$1358,MATCH(B24&amp;"|"&amp;H18,'_Развёртки'!$D$2:$D$1358,0)),0)*N(C24))+IF(B25="",0,IFERROR(INDEX('_Развёртки'!$C$2:$C$1358,MATCH(B25&amp;"|"&amp;H18,'_Развёртки'!$D$2:$D$1358,0)),0)*N(C25))+IF(B26="",0,IFERROR(INDEX('_Развёртки'!$C$2:$C$1358,MATCH(B26&amp;"|"&amp;H18,'_Развёртки'!$D$2:$D$1358,0)),0)*N(C26))+IF(B27="",0,IFERROR(INDEX('_Развёртки'!$C$2:$C$1358,MATCH(B27&amp;"|"&amp;H18,'_Развёртки'!$D$2:$D$1358,0)),0)*N(C27))</f>
        <v>0</v>
      </c>
      <c r="K18" s="174">
        <f>IFERROR(VLOOKUP(H18,'Сырьё'!$C$6:$E$233,3,FALSE()),IFERROR(VLOOKUP(H18,'Полупродукты'!$C$6:$E$60,3,FALSE()),0))</f>
        <v>1.3268</v>
      </c>
      <c r="L18" s="175">
        <f t="shared" si="3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46">
        <v>12.0</v>
      </c>
      <c r="B19" s="147" t="s">
        <v>536</v>
      </c>
      <c r="C19" s="148">
        <v>500.0</v>
      </c>
      <c r="D19" s="149">
        <f>IF(B19="","",SUMPRODUCT(('_Развёртки'!$A$2:$A$1361=B19)*'_Развёртки'!$F$2:$F$1361))</f>
        <v>3.02224617</v>
      </c>
      <c r="E19" s="150">
        <f t="shared" si="1"/>
        <v>1511.123085</v>
      </c>
      <c r="F19" s="1"/>
      <c r="G19" s="35">
        <v>8.0</v>
      </c>
      <c r="H19" s="36" t="s">
        <v>537</v>
      </c>
      <c r="I19" s="176" t="str">
        <f>IFERROR(VLOOKUP(H19,'Сырьё'!$C$6:$D$233,2,FALSE()),IFERROR(VLOOKUP(H19,'Полупродукты'!$C$6:$D$60,2,FALSE()),"кг"))</f>
        <v>кг</v>
      </c>
      <c r="J19" s="177">
        <f t="array" ref="J19">IF(B8="",0,IFERROR(INDEX('_Развёртки'!$C$2:$C$1358,MATCH(B8&amp;"|"&amp;H19,'_Развёртки'!$D$2:$D$1358,0)),0)*N(C8))+IF(B9="",0,IFERROR(INDEX('_Развёртки'!$C$2:$C$1358,MATCH(B9&amp;"|"&amp;H19,'_Развёртки'!$D$2:$D$1358,0)),0)*N(C9))+IF(B10="",0,IFERROR(INDEX('_Развёртки'!$C$2:$C$1358,MATCH(B10&amp;"|"&amp;H19,'_Развёртки'!$D$2:$D$1358,0)),0)*N(C10))+IF(B11="",0,IFERROR(INDEX('_Развёртки'!$C$2:$C$1358,MATCH(B11&amp;"|"&amp;H19,'_Развёртки'!$D$2:$D$1358,0)),0)*N(C11))+IF(B12="",0,IFERROR(INDEX('_Развёртки'!$C$2:$C$1358,MATCH(B12&amp;"|"&amp;H19,'_Развёртки'!$D$2:$D$1358,0)),0)*N(C12))+IF(B13="",0,IFERROR(INDEX('_Развёртки'!$C$2:$C$1358,MATCH(B13&amp;"|"&amp;H19,'_Развёртки'!$D$2:$D$1358,0)),0)*N(C13))+IF(B14="",0,IFERROR(INDEX('_Развёртки'!$C$2:$C$1358,MATCH(B14&amp;"|"&amp;H19,'_Развёртки'!$D$2:$D$1358,0)),0)*N(C14))+IF(B15="",0,IFERROR(INDEX('_Развёртки'!$C$2:$C$1358,MATCH(B15&amp;"|"&amp;H19,'_Развёртки'!$D$2:$D$1358,0)),0)*N(C15))+IF(B16="",0,IFERROR(INDEX('_Развёртки'!$C$2:$C$1358,MATCH(B16&amp;"|"&amp;H19,'_Развёртки'!$D$2:$D$1358,0)),0)*N(C16))+IF(B17="",0,IFERROR(INDEX('_Развёртки'!$C$2:$C$1358,MATCH(B17&amp;"|"&amp;H19,'_Развёртки'!$D$2:$D$1358,0)),0)*N(C17))+IF(B18="",0,IFERROR(INDEX('_Развёртки'!$C$2:$C$1358,MATCH(B18&amp;"|"&amp;H19,'_Развёртки'!$D$2:$D$1358,0)),0)*N(C18))+IF(B19="",0,IFERROR(INDEX('_Развёртки'!$C$2:$C$1358,MATCH(B19&amp;"|"&amp;H19,'_Развёртки'!$D$2:$D$1358,0)),0)*N(C19))+IF(B20="",0,IFERROR(INDEX('_Развёртки'!$C$2:$C$1358,MATCH(B20&amp;"|"&amp;H19,'_Развёртки'!$D$2:$D$1358,0)),0)*N(C20))+IF(B21="",0,IFERROR(INDEX('_Развёртки'!$C$2:$C$1358,MATCH(B21&amp;"|"&amp;H19,'_Развёртки'!$D$2:$D$1358,0)),0)*N(C21))+IF(B22="",0,IFERROR(INDEX('_Развёртки'!$C$2:$C$1358,MATCH(B22&amp;"|"&amp;H19,'_Развёртки'!$D$2:$D$1358,0)),0)*N(C22))+IF(B23="",0,IFERROR(INDEX('_Развёртки'!$C$2:$C$1358,MATCH(B23&amp;"|"&amp;H19,'_Развёртки'!$D$2:$D$1358,0)),0)*N(C23))+IF(B24="",0,IFERROR(INDEX('_Развёртки'!$C$2:$C$1358,MATCH(B24&amp;"|"&amp;H19,'_Развёртки'!$D$2:$D$1358,0)),0)*N(C24))+IF(B25="",0,IFERROR(INDEX('_Развёртки'!$C$2:$C$1358,MATCH(B25&amp;"|"&amp;H19,'_Развёртки'!$D$2:$D$1358,0)),0)*N(C25))+IF(B26="",0,IFERROR(INDEX('_Развёртки'!$C$2:$C$1358,MATCH(B26&amp;"|"&amp;H19,'_Развёртки'!$D$2:$D$1358,0)),0)*N(C26))+IF(B27="",0,IFERROR(INDEX('_Развёртки'!$C$2:$C$1358,MATCH(B27&amp;"|"&amp;H19,'_Развёртки'!$D$2:$D$1358,0)),0)*N(C27))</f>
        <v>29.07868</v>
      </c>
      <c r="K19" s="178">
        <f>IFERROR(VLOOKUP(H19,'Сырьё'!$C$6:$E$233,3,FALSE()),IFERROR(VLOOKUP(H19,'Полупродукты'!$C$6:$E$60,3,FALSE()),0))</f>
        <v>8.8284</v>
      </c>
      <c r="L19" s="179">
        <f t="shared" si="3"/>
        <v>256.7182185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46">
        <v>13.0</v>
      </c>
      <c r="B20" s="147" t="s">
        <v>538</v>
      </c>
      <c r="C20" s="148">
        <v>100.0</v>
      </c>
      <c r="D20" s="149">
        <f>IF(B20="","",SUMPRODUCT(('_Развёртки'!$A$2:$A$1361=B20)*'_Развёртки'!$F$2:$F$1361))</f>
        <v>7.202962562</v>
      </c>
      <c r="E20" s="150">
        <f t="shared" si="1"/>
        <v>720.2962562</v>
      </c>
      <c r="F20" s="1"/>
      <c r="G20" s="170">
        <v>9.0</v>
      </c>
      <c r="H20" s="171" t="s">
        <v>539</v>
      </c>
      <c r="I20" s="172" t="str">
        <f>IFERROR(VLOOKUP(H20,'Сырьё'!$C$6:$D$233,2,FALSE()),IFERROR(VLOOKUP(H20,'Полупродукты'!$C$6:$D$60,2,FALSE()),"кг"))</f>
        <v>кг</v>
      </c>
      <c r="J20" s="173">
        <f t="array" ref="J20">IF(B8="",0,IFERROR(INDEX('_Развёртки'!$C$2:$C$1358,MATCH(B8&amp;"|"&amp;H20,'_Развёртки'!$D$2:$D$1358,0)),0)*N(C8))+IF(B9="",0,IFERROR(INDEX('_Развёртки'!$C$2:$C$1358,MATCH(B9&amp;"|"&amp;H20,'_Развёртки'!$D$2:$D$1358,0)),0)*N(C9))+IF(B10="",0,IFERROR(INDEX('_Развёртки'!$C$2:$C$1358,MATCH(B10&amp;"|"&amp;H20,'_Развёртки'!$D$2:$D$1358,0)),0)*N(C10))+IF(B11="",0,IFERROR(INDEX('_Развёртки'!$C$2:$C$1358,MATCH(B11&amp;"|"&amp;H20,'_Развёртки'!$D$2:$D$1358,0)),0)*N(C11))+IF(B12="",0,IFERROR(INDEX('_Развёртки'!$C$2:$C$1358,MATCH(B12&amp;"|"&amp;H20,'_Развёртки'!$D$2:$D$1358,0)),0)*N(C12))+IF(B13="",0,IFERROR(INDEX('_Развёртки'!$C$2:$C$1358,MATCH(B13&amp;"|"&amp;H20,'_Развёртки'!$D$2:$D$1358,0)),0)*N(C13))+IF(B14="",0,IFERROR(INDEX('_Развёртки'!$C$2:$C$1358,MATCH(B14&amp;"|"&amp;H20,'_Развёртки'!$D$2:$D$1358,0)),0)*N(C14))+IF(B15="",0,IFERROR(INDEX('_Развёртки'!$C$2:$C$1358,MATCH(B15&amp;"|"&amp;H20,'_Развёртки'!$D$2:$D$1358,0)),0)*N(C15))+IF(B16="",0,IFERROR(INDEX('_Развёртки'!$C$2:$C$1358,MATCH(B16&amp;"|"&amp;H20,'_Развёртки'!$D$2:$D$1358,0)),0)*N(C16))+IF(B17="",0,IFERROR(INDEX('_Развёртки'!$C$2:$C$1358,MATCH(B17&amp;"|"&amp;H20,'_Развёртки'!$D$2:$D$1358,0)),0)*N(C17))+IF(B18="",0,IFERROR(INDEX('_Развёртки'!$C$2:$C$1358,MATCH(B18&amp;"|"&amp;H20,'_Развёртки'!$D$2:$D$1358,0)),0)*N(C18))+IF(B19="",0,IFERROR(INDEX('_Развёртки'!$C$2:$C$1358,MATCH(B19&amp;"|"&amp;H20,'_Развёртки'!$D$2:$D$1358,0)),0)*N(C19))+IF(B20="",0,IFERROR(INDEX('_Развёртки'!$C$2:$C$1358,MATCH(B20&amp;"|"&amp;H20,'_Развёртки'!$D$2:$D$1358,0)),0)*N(C20))+IF(B21="",0,IFERROR(INDEX('_Развёртки'!$C$2:$C$1358,MATCH(B21&amp;"|"&amp;H20,'_Развёртки'!$D$2:$D$1358,0)),0)*N(C21))+IF(B22="",0,IFERROR(INDEX('_Развёртки'!$C$2:$C$1358,MATCH(B22&amp;"|"&amp;H20,'_Развёртки'!$D$2:$D$1358,0)),0)*N(C22))+IF(B23="",0,IFERROR(INDEX('_Развёртки'!$C$2:$C$1358,MATCH(B23&amp;"|"&amp;H20,'_Развёртки'!$D$2:$D$1358,0)),0)*N(C23))+IF(B24="",0,IFERROR(INDEX('_Развёртки'!$C$2:$C$1358,MATCH(B24&amp;"|"&amp;H20,'_Развёртки'!$D$2:$D$1358,0)),0)*N(C24))+IF(B25="",0,IFERROR(INDEX('_Развёртки'!$C$2:$C$1358,MATCH(B25&amp;"|"&amp;H20,'_Развёртки'!$D$2:$D$1358,0)),0)*N(C25))+IF(B26="",0,IFERROR(INDEX('_Развёртки'!$C$2:$C$1358,MATCH(B26&amp;"|"&amp;H20,'_Развёртки'!$D$2:$D$1358,0)),0)*N(C26))+IF(B27="",0,IFERROR(INDEX('_Развёртки'!$C$2:$C$1358,MATCH(B27&amp;"|"&amp;H20,'_Развёртки'!$D$2:$D$1358,0)),0)*N(C27))</f>
        <v>0</v>
      </c>
      <c r="K20" s="174">
        <f>IFERROR(VLOOKUP(H20,'Сырьё'!$C$6:$E$233,3,FALSE()),IFERROR(VLOOKUP(H20,'Полупродукты'!$C$6:$E$60,3,FALSE()),0))</f>
        <v>3.2337</v>
      </c>
      <c r="L20" s="175">
        <f t="shared" si="3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46">
        <v>14.0</v>
      </c>
      <c r="B21" s="180"/>
      <c r="C21" s="181"/>
      <c r="D21" s="149" t="str">
        <f>IF(B21="","",SUMPRODUCT(('_Развёртки'!$A$2:$A$1361=B21)*'_Развёртки'!$F$2:$F$1361))</f>
        <v/>
      </c>
      <c r="E21" s="150" t="str">
        <f t="shared" si="1"/>
        <v/>
      </c>
      <c r="F21" s="1"/>
      <c r="G21" s="35">
        <v>10.0</v>
      </c>
      <c r="H21" s="36" t="s">
        <v>540</v>
      </c>
      <c r="I21" s="176" t="str">
        <f>IFERROR(VLOOKUP(H21,'Сырьё'!$C$6:$D$233,2,FALSE()),IFERROR(VLOOKUP(H21,'Полупродукты'!$C$6:$D$60,2,FALSE()),"кг"))</f>
        <v>кг</v>
      </c>
      <c r="J21" s="177">
        <f t="array" ref="J21">IF(B8="",0,IFERROR(INDEX('_Развёртки'!$C$2:$C$1358,MATCH(B8&amp;"|"&amp;H21,'_Развёртки'!$D$2:$D$1358,0)),0)*N(C8))+IF(B9="",0,IFERROR(INDEX('_Развёртки'!$C$2:$C$1358,MATCH(B9&amp;"|"&amp;H21,'_Развёртки'!$D$2:$D$1358,0)),0)*N(C9))+IF(B10="",0,IFERROR(INDEX('_Развёртки'!$C$2:$C$1358,MATCH(B10&amp;"|"&amp;H21,'_Развёртки'!$D$2:$D$1358,0)),0)*N(C10))+IF(B11="",0,IFERROR(INDEX('_Развёртки'!$C$2:$C$1358,MATCH(B11&amp;"|"&amp;H21,'_Развёртки'!$D$2:$D$1358,0)),0)*N(C11))+IF(B12="",0,IFERROR(INDEX('_Развёртки'!$C$2:$C$1358,MATCH(B12&amp;"|"&amp;H21,'_Развёртки'!$D$2:$D$1358,0)),0)*N(C12))+IF(B13="",0,IFERROR(INDEX('_Развёртки'!$C$2:$C$1358,MATCH(B13&amp;"|"&amp;H21,'_Развёртки'!$D$2:$D$1358,0)),0)*N(C13))+IF(B14="",0,IFERROR(INDEX('_Развёртки'!$C$2:$C$1358,MATCH(B14&amp;"|"&amp;H21,'_Развёртки'!$D$2:$D$1358,0)),0)*N(C14))+IF(B15="",0,IFERROR(INDEX('_Развёртки'!$C$2:$C$1358,MATCH(B15&amp;"|"&amp;H21,'_Развёртки'!$D$2:$D$1358,0)),0)*N(C15))+IF(B16="",0,IFERROR(INDEX('_Развёртки'!$C$2:$C$1358,MATCH(B16&amp;"|"&amp;H21,'_Развёртки'!$D$2:$D$1358,0)),0)*N(C16))+IF(B17="",0,IFERROR(INDEX('_Развёртки'!$C$2:$C$1358,MATCH(B17&amp;"|"&amp;H21,'_Развёртки'!$D$2:$D$1358,0)),0)*N(C17))+IF(B18="",0,IFERROR(INDEX('_Развёртки'!$C$2:$C$1358,MATCH(B18&amp;"|"&amp;H21,'_Развёртки'!$D$2:$D$1358,0)),0)*N(C18))+IF(B19="",0,IFERROR(INDEX('_Развёртки'!$C$2:$C$1358,MATCH(B19&amp;"|"&amp;H21,'_Развёртки'!$D$2:$D$1358,0)),0)*N(C19))+IF(B20="",0,IFERROR(INDEX('_Развёртки'!$C$2:$C$1358,MATCH(B20&amp;"|"&amp;H21,'_Развёртки'!$D$2:$D$1358,0)),0)*N(C20))+IF(B21="",0,IFERROR(INDEX('_Развёртки'!$C$2:$C$1358,MATCH(B21&amp;"|"&amp;H21,'_Развёртки'!$D$2:$D$1358,0)),0)*N(C21))+IF(B22="",0,IFERROR(INDEX('_Развёртки'!$C$2:$C$1358,MATCH(B22&amp;"|"&amp;H21,'_Развёртки'!$D$2:$D$1358,0)),0)*N(C22))+IF(B23="",0,IFERROR(INDEX('_Развёртки'!$C$2:$C$1358,MATCH(B23&amp;"|"&amp;H21,'_Развёртки'!$D$2:$D$1358,0)),0)*N(C23))+IF(B24="",0,IFERROR(INDEX('_Развёртки'!$C$2:$C$1358,MATCH(B24&amp;"|"&amp;H21,'_Развёртки'!$D$2:$D$1358,0)),0)*N(C24))+IF(B25="",0,IFERROR(INDEX('_Развёртки'!$C$2:$C$1358,MATCH(B25&amp;"|"&amp;H21,'_Развёртки'!$D$2:$D$1358,0)),0)*N(C25))+IF(B26="",0,IFERROR(INDEX('_Развёртки'!$C$2:$C$1358,MATCH(B26&amp;"|"&amp;H21,'_Развёртки'!$D$2:$D$1358,0)),0)*N(C26))+IF(B27="",0,IFERROR(INDEX('_Развёртки'!$C$2:$C$1358,MATCH(B27&amp;"|"&amp;H21,'_Развёртки'!$D$2:$D$1358,0)),0)*N(C27))</f>
        <v>0</v>
      </c>
      <c r="K21" s="178">
        <f>IFERROR(VLOOKUP(H21,'Сырьё'!$C$6:$E$233,3,FALSE()),IFERROR(VLOOKUP(H21,'Полупродукты'!$C$6:$E$60,3,FALSE()),0))</f>
        <v>0</v>
      </c>
      <c r="L21" s="179">
        <f t="shared" si="3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46">
        <v>15.0</v>
      </c>
      <c r="B22" s="180"/>
      <c r="C22" s="181"/>
      <c r="D22" s="149" t="str">
        <f>IF(B22="","",SUMPRODUCT(('_Развёртки'!$A$2:$A$1361=B22)*'_Развёртки'!$F$2:$F$1361))</f>
        <v/>
      </c>
      <c r="E22" s="150" t="str">
        <f t="shared" si="1"/>
        <v/>
      </c>
      <c r="F22" s="1"/>
      <c r="G22" s="170">
        <v>11.0</v>
      </c>
      <c r="H22" s="171" t="s">
        <v>541</v>
      </c>
      <c r="I22" s="172" t="str">
        <f>IFERROR(VLOOKUP(H22,'Сырьё'!$C$6:$D$233,2,FALSE()),IFERROR(VLOOKUP(H22,'Полупродукты'!$C$6:$D$60,2,FALSE()),"кг"))</f>
        <v>кг</v>
      </c>
      <c r="J22" s="173">
        <f t="array" ref="J22">IF(B8="",0,IFERROR(INDEX('_Развёртки'!$C$2:$C$1358,MATCH(B8&amp;"|"&amp;H22,'_Развёртки'!$D$2:$D$1358,0)),0)*N(C8))+IF(B9="",0,IFERROR(INDEX('_Развёртки'!$C$2:$C$1358,MATCH(B9&amp;"|"&amp;H22,'_Развёртки'!$D$2:$D$1358,0)),0)*N(C9))+IF(B10="",0,IFERROR(INDEX('_Развёртки'!$C$2:$C$1358,MATCH(B10&amp;"|"&amp;H22,'_Развёртки'!$D$2:$D$1358,0)),0)*N(C10))+IF(B11="",0,IFERROR(INDEX('_Развёртки'!$C$2:$C$1358,MATCH(B11&amp;"|"&amp;H22,'_Развёртки'!$D$2:$D$1358,0)),0)*N(C11))+IF(B12="",0,IFERROR(INDEX('_Развёртки'!$C$2:$C$1358,MATCH(B12&amp;"|"&amp;H22,'_Развёртки'!$D$2:$D$1358,0)),0)*N(C12))+IF(B13="",0,IFERROR(INDEX('_Развёртки'!$C$2:$C$1358,MATCH(B13&amp;"|"&amp;H22,'_Развёртки'!$D$2:$D$1358,0)),0)*N(C13))+IF(B14="",0,IFERROR(INDEX('_Развёртки'!$C$2:$C$1358,MATCH(B14&amp;"|"&amp;H22,'_Развёртки'!$D$2:$D$1358,0)),0)*N(C14))+IF(B15="",0,IFERROR(INDEX('_Развёртки'!$C$2:$C$1358,MATCH(B15&amp;"|"&amp;H22,'_Развёртки'!$D$2:$D$1358,0)),0)*N(C15))+IF(B16="",0,IFERROR(INDEX('_Развёртки'!$C$2:$C$1358,MATCH(B16&amp;"|"&amp;H22,'_Развёртки'!$D$2:$D$1358,0)),0)*N(C16))+IF(B17="",0,IFERROR(INDEX('_Развёртки'!$C$2:$C$1358,MATCH(B17&amp;"|"&amp;H22,'_Развёртки'!$D$2:$D$1358,0)),0)*N(C17))+IF(B18="",0,IFERROR(INDEX('_Развёртки'!$C$2:$C$1358,MATCH(B18&amp;"|"&amp;H22,'_Развёртки'!$D$2:$D$1358,0)),0)*N(C18))+IF(B19="",0,IFERROR(INDEX('_Развёртки'!$C$2:$C$1358,MATCH(B19&amp;"|"&amp;H22,'_Развёртки'!$D$2:$D$1358,0)),0)*N(C19))+IF(B20="",0,IFERROR(INDEX('_Развёртки'!$C$2:$C$1358,MATCH(B20&amp;"|"&amp;H22,'_Развёртки'!$D$2:$D$1358,0)),0)*N(C20))+IF(B21="",0,IFERROR(INDEX('_Развёртки'!$C$2:$C$1358,MATCH(B21&amp;"|"&amp;H22,'_Развёртки'!$D$2:$D$1358,0)),0)*N(C21))+IF(B22="",0,IFERROR(INDEX('_Развёртки'!$C$2:$C$1358,MATCH(B22&amp;"|"&amp;H22,'_Развёртки'!$D$2:$D$1358,0)),0)*N(C22))+IF(B23="",0,IFERROR(INDEX('_Развёртки'!$C$2:$C$1358,MATCH(B23&amp;"|"&amp;H22,'_Развёртки'!$D$2:$D$1358,0)),0)*N(C23))+IF(B24="",0,IFERROR(INDEX('_Развёртки'!$C$2:$C$1358,MATCH(B24&amp;"|"&amp;H22,'_Развёртки'!$D$2:$D$1358,0)),0)*N(C24))+IF(B25="",0,IFERROR(INDEX('_Развёртки'!$C$2:$C$1358,MATCH(B25&amp;"|"&amp;H22,'_Развёртки'!$D$2:$D$1358,0)),0)*N(C25))+IF(B26="",0,IFERROR(INDEX('_Развёртки'!$C$2:$C$1358,MATCH(B26&amp;"|"&amp;H22,'_Развёртки'!$D$2:$D$1358,0)),0)*N(C26))+IF(B27="",0,IFERROR(INDEX('_Развёртки'!$C$2:$C$1358,MATCH(B27&amp;"|"&amp;H22,'_Развёртки'!$D$2:$D$1358,0)),0)*N(C27))</f>
        <v>2.0472</v>
      </c>
      <c r="K22" s="174">
        <f>IFERROR(VLOOKUP(H22,'Сырьё'!$C$6:$E$233,3,FALSE()),IFERROR(VLOOKUP(H22,'Полупродукты'!$C$6:$E$60,3,FALSE()),0))</f>
        <v>78.7704</v>
      </c>
      <c r="L22" s="175">
        <f t="shared" si="3"/>
        <v>161.2587629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46">
        <v>16.0</v>
      </c>
      <c r="B23" s="180"/>
      <c r="C23" s="181"/>
      <c r="D23" s="149" t="str">
        <f>IF(B23="","",SUMPRODUCT(('_Развёртки'!$A$2:$A$1361=B23)*'_Развёртки'!$F$2:$F$1361))</f>
        <v/>
      </c>
      <c r="E23" s="150" t="str">
        <f t="shared" si="1"/>
        <v/>
      </c>
      <c r="F23" s="1"/>
      <c r="G23" s="35">
        <v>12.0</v>
      </c>
      <c r="H23" s="36" t="s">
        <v>542</v>
      </c>
      <c r="I23" s="176" t="str">
        <f>IFERROR(VLOOKUP(H23,'Сырьё'!$C$6:$D$233,2,FALSE()),IFERROR(VLOOKUP(H23,'Полупродукты'!$C$6:$D$60,2,FALSE()),"кг"))</f>
        <v>кг</v>
      </c>
      <c r="J23" s="177">
        <f t="array" ref="J23">IF(B8="",0,IFERROR(INDEX('_Развёртки'!$C$2:$C$1358,MATCH(B8&amp;"|"&amp;H23,'_Развёртки'!$D$2:$D$1358,0)),0)*N(C8))+IF(B9="",0,IFERROR(INDEX('_Развёртки'!$C$2:$C$1358,MATCH(B9&amp;"|"&amp;H23,'_Развёртки'!$D$2:$D$1358,0)),0)*N(C9))+IF(B10="",0,IFERROR(INDEX('_Развёртки'!$C$2:$C$1358,MATCH(B10&amp;"|"&amp;H23,'_Развёртки'!$D$2:$D$1358,0)),0)*N(C10))+IF(B11="",0,IFERROR(INDEX('_Развёртки'!$C$2:$C$1358,MATCH(B11&amp;"|"&amp;H23,'_Развёртки'!$D$2:$D$1358,0)),0)*N(C11))+IF(B12="",0,IFERROR(INDEX('_Развёртки'!$C$2:$C$1358,MATCH(B12&amp;"|"&amp;H23,'_Развёртки'!$D$2:$D$1358,0)),0)*N(C12))+IF(B13="",0,IFERROR(INDEX('_Развёртки'!$C$2:$C$1358,MATCH(B13&amp;"|"&amp;H23,'_Развёртки'!$D$2:$D$1358,0)),0)*N(C13))+IF(B14="",0,IFERROR(INDEX('_Развёртки'!$C$2:$C$1358,MATCH(B14&amp;"|"&amp;H23,'_Развёртки'!$D$2:$D$1358,0)),0)*N(C14))+IF(B15="",0,IFERROR(INDEX('_Развёртки'!$C$2:$C$1358,MATCH(B15&amp;"|"&amp;H23,'_Развёртки'!$D$2:$D$1358,0)),0)*N(C15))+IF(B16="",0,IFERROR(INDEX('_Развёртки'!$C$2:$C$1358,MATCH(B16&amp;"|"&amp;H23,'_Развёртки'!$D$2:$D$1358,0)),0)*N(C16))+IF(B17="",0,IFERROR(INDEX('_Развёртки'!$C$2:$C$1358,MATCH(B17&amp;"|"&amp;H23,'_Развёртки'!$D$2:$D$1358,0)),0)*N(C17))+IF(B18="",0,IFERROR(INDEX('_Развёртки'!$C$2:$C$1358,MATCH(B18&amp;"|"&amp;H23,'_Развёртки'!$D$2:$D$1358,0)),0)*N(C18))+IF(B19="",0,IFERROR(INDEX('_Развёртки'!$C$2:$C$1358,MATCH(B19&amp;"|"&amp;H23,'_Развёртки'!$D$2:$D$1358,0)),0)*N(C19))+IF(B20="",0,IFERROR(INDEX('_Развёртки'!$C$2:$C$1358,MATCH(B20&amp;"|"&amp;H23,'_Развёртки'!$D$2:$D$1358,0)),0)*N(C20))+IF(B21="",0,IFERROR(INDEX('_Развёртки'!$C$2:$C$1358,MATCH(B21&amp;"|"&amp;H23,'_Развёртки'!$D$2:$D$1358,0)),0)*N(C21))+IF(B22="",0,IFERROR(INDEX('_Развёртки'!$C$2:$C$1358,MATCH(B22&amp;"|"&amp;H23,'_Развёртки'!$D$2:$D$1358,0)),0)*N(C22))+IF(B23="",0,IFERROR(INDEX('_Развёртки'!$C$2:$C$1358,MATCH(B23&amp;"|"&amp;H23,'_Развёртки'!$D$2:$D$1358,0)),0)*N(C23))+IF(B24="",0,IFERROR(INDEX('_Развёртки'!$C$2:$C$1358,MATCH(B24&amp;"|"&amp;H23,'_Развёртки'!$D$2:$D$1358,0)),0)*N(C24))+IF(B25="",0,IFERROR(INDEX('_Развёртки'!$C$2:$C$1358,MATCH(B25&amp;"|"&amp;H23,'_Развёртки'!$D$2:$D$1358,0)),0)*N(C25))+IF(B26="",0,IFERROR(INDEX('_Развёртки'!$C$2:$C$1358,MATCH(B26&amp;"|"&amp;H23,'_Развёртки'!$D$2:$D$1358,0)),0)*N(C26))+IF(B27="",0,IFERROR(INDEX('_Развёртки'!$C$2:$C$1358,MATCH(B27&amp;"|"&amp;H23,'_Развёртки'!$D$2:$D$1358,0)),0)*N(C27))</f>
        <v>0</v>
      </c>
      <c r="K23" s="178">
        <f>IFERROR(VLOOKUP(H23,'Сырьё'!$C$6:$E$233,3,FALSE()),IFERROR(VLOOKUP(H23,'Полупродукты'!$C$6:$E$60,3,FALSE()),0))</f>
        <v>16.0534</v>
      </c>
      <c r="L23" s="179">
        <f t="shared" si="3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46">
        <v>17.0</v>
      </c>
      <c r="B24" s="180"/>
      <c r="C24" s="181"/>
      <c r="D24" s="149" t="str">
        <f>IF(B24="","",SUMPRODUCT(('_Развёртки'!$A$2:$A$1361=B24)*'_Развёртки'!$F$2:$F$1361))</f>
        <v/>
      </c>
      <c r="E24" s="150" t="str">
        <f t="shared" si="1"/>
        <v/>
      </c>
      <c r="F24" s="1"/>
      <c r="G24" s="170">
        <v>13.0</v>
      </c>
      <c r="H24" s="171" t="s">
        <v>543</v>
      </c>
      <c r="I24" s="172" t="str">
        <f>IFERROR(VLOOKUP(H24,'Сырьё'!$C$6:$D$233,2,FALSE()),IFERROR(VLOOKUP(H24,'Полупродукты'!$C$6:$D$60,2,FALSE()),"кг"))</f>
        <v>кг</v>
      </c>
      <c r="J24" s="173">
        <f t="array" ref="J24">IF(B8="",0,IFERROR(INDEX('_Развёртки'!$C$2:$C$1358,MATCH(B8&amp;"|"&amp;H24,'_Развёртки'!$D$2:$D$1358,0)),0)*N(C8))+IF(B9="",0,IFERROR(INDEX('_Развёртки'!$C$2:$C$1358,MATCH(B9&amp;"|"&amp;H24,'_Развёртки'!$D$2:$D$1358,0)),0)*N(C9))+IF(B10="",0,IFERROR(INDEX('_Развёртки'!$C$2:$C$1358,MATCH(B10&amp;"|"&amp;H24,'_Развёртки'!$D$2:$D$1358,0)),0)*N(C10))+IF(B11="",0,IFERROR(INDEX('_Развёртки'!$C$2:$C$1358,MATCH(B11&amp;"|"&amp;H24,'_Развёртки'!$D$2:$D$1358,0)),0)*N(C11))+IF(B12="",0,IFERROR(INDEX('_Развёртки'!$C$2:$C$1358,MATCH(B12&amp;"|"&amp;H24,'_Развёртки'!$D$2:$D$1358,0)),0)*N(C12))+IF(B13="",0,IFERROR(INDEX('_Развёртки'!$C$2:$C$1358,MATCH(B13&amp;"|"&amp;H24,'_Развёртки'!$D$2:$D$1358,0)),0)*N(C13))+IF(B14="",0,IFERROR(INDEX('_Развёртки'!$C$2:$C$1358,MATCH(B14&amp;"|"&amp;H24,'_Развёртки'!$D$2:$D$1358,0)),0)*N(C14))+IF(B15="",0,IFERROR(INDEX('_Развёртки'!$C$2:$C$1358,MATCH(B15&amp;"|"&amp;H24,'_Развёртки'!$D$2:$D$1358,0)),0)*N(C15))+IF(B16="",0,IFERROR(INDEX('_Развёртки'!$C$2:$C$1358,MATCH(B16&amp;"|"&amp;H24,'_Развёртки'!$D$2:$D$1358,0)),0)*N(C16))+IF(B17="",0,IFERROR(INDEX('_Развёртки'!$C$2:$C$1358,MATCH(B17&amp;"|"&amp;H24,'_Развёртки'!$D$2:$D$1358,0)),0)*N(C17))+IF(B18="",0,IFERROR(INDEX('_Развёртки'!$C$2:$C$1358,MATCH(B18&amp;"|"&amp;H24,'_Развёртки'!$D$2:$D$1358,0)),0)*N(C18))+IF(B19="",0,IFERROR(INDEX('_Развёртки'!$C$2:$C$1358,MATCH(B19&amp;"|"&amp;H24,'_Развёртки'!$D$2:$D$1358,0)),0)*N(C19))+IF(B20="",0,IFERROR(INDEX('_Развёртки'!$C$2:$C$1358,MATCH(B20&amp;"|"&amp;H24,'_Развёртки'!$D$2:$D$1358,0)),0)*N(C20))+IF(B21="",0,IFERROR(INDEX('_Развёртки'!$C$2:$C$1358,MATCH(B21&amp;"|"&amp;H24,'_Развёртки'!$D$2:$D$1358,0)),0)*N(C21))+IF(B22="",0,IFERROR(INDEX('_Развёртки'!$C$2:$C$1358,MATCH(B22&amp;"|"&amp;H24,'_Развёртки'!$D$2:$D$1358,0)),0)*N(C22))+IF(B23="",0,IFERROR(INDEX('_Развёртки'!$C$2:$C$1358,MATCH(B23&amp;"|"&amp;H24,'_Развёртки'!$D$2:$D$1358,0)),0)*N(C23))+IF(B24="",0,IFERROR(INDEX('_Развёртки'!$C$2:$C$1358,MATCH(B24&amp;"|"&amp;H24,'_Развёртки'!$D$2:$D$1358,0)),0)*N(C24))+IF(B25="",0,IFERROR(INDEX('_Развёртки'!$C$2:$C$1358,MATCH(B25&amp;"|"&amp;H24,'_Развёртки'!$D$2:$D$1358,0)),0)*N(C25))+IF(B26="",0,IFERROR(INDEX('_Развёртки'!$C$2:$C$1358,MATCH(B26&amp;"|"&amp;H24,'_Развёртки'!$D$2:$D$1358,0)),0)*N(C26))+IF(B27="",0,IFERROR(INDEX('_Развёртки'!$C$2:$C$1358,MATCH(B27&amp;"|"&amp;H24,'_Развёртки'!$D$2:$D$1358,0)),0)*N(C27))</f>
        <v>0.11228</v>
      </c>
      <c r="K24" s="174">
        <f>IFERROR(VLOOKUP(H24,'Сырьё'!$C$6:$E$233,3,FALSE()),IFERROR(VLOOKUP(H24,'Полупродукты'!$C$6:$E$60,3,FALSE()),0))</f>
        <v>80.7112</v>
      </c>
      <c r="L24" s="175">
        <f t="shared" si="3"/>
        <v>9.062253536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46">
        <v>18.0</v>
      </c>
      <c r="B25" s="180"/>
      <c r="C25" s="181"/>
      <c r="D25" s="149" t="str">
        <f>IF(B25="","",SUMPRODUCT(('_Развёртки'!$A$2:$A$1361=B25)*'_Развёртки'!$F$2:$F$1361))</f>
        <v/>
      </c>
      <c r="E25" s="150" t="str">
        <f t="shared" si="1"/>
        <v/>
      </c>
      <c r="F25" s="1"/>
      <c r="G25" s="35">
        <v>14.0</v>
      </c>
      <c r="H25" s="36" t="s">
        <v>544</v>
      </c>
      <c r="I25" s="176" t="str">
        <f>IFERROR(VLOOKUP(H25,'Сырьё'!$C$6:$D$233,2,FALSE()),IFERROR(VLOOKUP(H25,'Полупродукты'!$C$6:$D$60,2,FALSE()),"кг"))</f>
        <v>кг</v>
      </c>
      <c r="J25" s="177">
        <f t="array" ref="J25">IF(B8="",0,IFERROR(INDEX('_Развёртки'!$C$2:$C$1358,MATCH(B8&amp;"|"&amp;H25,'_Развёртки'!$D$2:$D$1358,0)),0)*N(C8))+IF(B9="",0,IFERROR(INDEX('_Развёртки'!$C$2:$C$1358,MATCH(B9&amp;"|"&amp;H25,'_Развёртки'!$D$2:$D$1358,0)),0)*N(C9))+IF(B10="",0,IFERROR(INDEX('_Развёртки'!$C$2:$C$1358,MATCH(B10&amp;"|"&amp;H25,'_Развёртки'!$D$2:$D$1358,0)),0)*N(C10))+IF(B11="",0,IFERROR(INDEX('_Развёртки'!$C$2:$C$1358,MATCH(B11&amp;"|"&amp;H25,'_Развёртки'!$D$2:$D$1358,0)),0)*N(C11))+IF(B12="",0,IFERROR(INDEX('_Развёртки'!$C$2:$C$1358,MATCH(B12&amp;"|"&amp;H25,'_Развёртки'!$D$2:$D$1358,0)),0)*N(C12))+IF(B13="",0,IFERROR(INDEX('_Развёртки'!$C$2:$C$1358,MATCH(B13&amp;"|"&amp;H25,'_Развёртки'!$D$2:$D$1358,0)),0)*N(C13))+IF(B14="",0,IFERROR(INDEX('_Развёртки'!$C$2:$C$1358,MATCH(B14&amp;"|"&amp;H25,'_Развёртки'!$D$2:$D$1358,0)),0)*N(C14))+IF(B15="",0,IFERROR(INDEX('_Развёртки'!$C$2:$C$1358,MATCH(B15&amp;"|"&amp;H25,'_Развёртки'!$D$2:$D$1358,0)),0)*N(C15))+IF(B16="",0,IFERROR(INDEX('_Развёртки'!$C$2:$C$1358,MATCH(B16&amp;"|"&amp;H25,'_Развёртки'!$D$2:$D$1358,0)),0)*N(C16))+IF(B17="",0,IFERROR(INDEX('_Развёртки'!$C$2:$C$1358,MATCH(B17&amp;"|"&amp;H25,'_Развёртки'!$D$2:$D$1358,0)),0)*N(C17))+IF(B18="",0,IFERROR(INDEX('_Развёртки'!$C$2:$C$1358,MATCH(B18&amp;"|"&amp;H25,'_Развёртки'!$D$2:$D$1358,0)),0)*N(C18))+IF(B19="",0,IFERROR(INDEX('_Развёртки'!$C$2:$C$1358,MATCH(B19&amp;"|"&amp;H25,'_Развёртки'!$D$2:$D$1358,0)),0)*N(C19))+IF(B20="",0,IFERROR(INDEX('_Развёртки'!$C$2:$C$1358,MATCH(B20&amp;"|"&amp;H25,'_Развёртки'!$D$2:$D$1358,0)),0)*N(C20))+IF(B21="",0,IFERROR(INDEX('_Развёртки'!$C$2:$C$1358,MATCH(B21&amp;"|"&amp;H25,'_Развёртки'!$D$2:$D$1358,0)),0)*N(C21))+IF(B22="",0,IFERROR(INDEX('_Развёртки'!$C$2:$C$1358,MATCH(B22&amp;"|"&amp;H25,'_Развёртки'!$D$2:$D$1358,0)),0)*N(C22))+IF(B23="",0,IFERROR(INDEX('_Развёртки'!$C$2:$C$1358,MATCH(B23&amp;"|"&amp;H25,'_Развёртки'!$D$2:$D$1358,0)),0)*N(C23))+IF(B24="",0,IFERROR(INDEX('_Развёртки'!$C$2:$C$1358,MATCH(B24&amp;"|"&amp;H25,'_Развёртки'!$D$2:$D$1358,0)),0)*N(C24))+IF(B25="",0,IFERROR(INDEX('_Развёртки'!$C$2:$C$1358,MATCH(B25&amp;"|"&amp;H25,'_Развёртки'!$D$2:$D$1358,0)),0)*N(C25))+IF(B26="",0,IFERROR(INDEX('_Развёртки'!$C$2:$C$1358,MATCH(B26&amp;"|"&amp;H25,'_Развёртки'!$D$2:$D$1358,0)),0)*N(C26))+IF(B27="",0,IFERROR(INDEX('_Развёртки'!$C$2:$C$1358,MATCH(B27&amp;"|"&amp;H25,'_Развёртки'!$D$2:$D$1358,0)),0)*N(C27))</f>
        <v>0</v>
      </c>
      <c r="K25" s="178">
        <f>IFERROR(VLOOKUP(H25,'Сырьё'!$C$6:$E$233,3,FALSE()),IFERROR(VLOOKUP(H25,'Полупродукты'!$C$6:$E$60,3,FALSE()),0))</f>
        <v>6.879</v>
      </c>
      <c r="L25" s="179">
        <f t="shared" si="3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46">
        <v>19.0</v>
      </c>
      <c r="B26" s="180"/>
      <c r="C26" s="181"/>
      <c r="D26" s="149" t="str">
        <f>IF(B26="","",SUMPRODUCT(('_Развёртки'!$A$2:$A$1361=B26)*'_Развёртки'!$F$2:$F$1361))</f>
        <v/>
      </c>
      <c r="E26" s="150" t="str">
        <f t="shared" si="1"/>
        <v/>
      </c>
      <c r="F26" s="1"/>
      <c r="G26" s="170">
        <v>15.0</v>
      </c>
      <c r="H26" s="171" t="s">
        <v>545</v>
      </c>
      <c r="I26" s="172" t="str">
        <f>IFERROR(VLOOKUP(H26,'Сырьё'!$C$6:$D$233,2,FALSE()),IFERROR(VLOOKUP(H26,'Полупродукты'!$C$6:$D$60,2,FALSE()),"кг"))</f>
        <v>кг</v>
      </c>
      <c r="J26" s="173">
        <f t="array" ref="J26">IF(B8="",0,IFERROR(INDEX('_Развёртки'!$C$2:$C$1358,MATCH(B8&amp;"|"&amp;H26,'_Развёртки'!$D$2:$D$1358,0)),0)*N(C8))+IF(B9="",0,IFERROR(INDEX('_Развёртки'!$C$2:$C$1358,MATCH(B9&amp;"|"&amp;H26,'_Развёртки'!$D$2:$D$1358,0)),0)*N(C9))+IF(B10="",0,IFERROR(INDEX('_Развёртки'!$C$2:$C$1358,MATCH(B10&amp;"|"&amp;H26,'_Развёртки'!$D$2:$D$1358,0)),0)*N(C10))+IF(B11="",0,IFERROR(INDEX('_Развёртки'!$C$2:$C$1358,MATCH(B11&amp;"|"&amp;H26,'_Развёртки'!$D$2:$D$1358,0)),0)*N(C11))+IF(B12="",0,IFERROR(INDEX('_Развёртки'!$C$2:$C$1358,MATCH(B12&amp;"|"&amp;H26,'_Развёртки'!$D$2:$D$1358,0)),0)*N(C12))+IF(B13="",0,IFERROR(INDEX('_Развёртки'!$C$2:$C$1358,MATCH(B13&amp;"|"&amp;H26,'_Развёртки'!$D$2:$D$1358,0)),0)*N(C13))+IF(B14="",0,IFERROR(INDEX('_Развёртки'!$C$2:$C$1358,MATCH(B14&amp;"|"&amp;H26,'_Развёртки'!$D$2:$D$1358,0)),0)*N(C14))+IF(B15="",0,IFERROR(INDEX('_Развёртки'!$C$2:$C$1358,MATCH(B15&amp;"|"&amp;H26,'_Развёртки'!$D$2:$D$1358,0)),0)*N(C15))+IF(B16="",0,IFERROR(INDEX('_Развёртки'!$C$2:$C$1358,MATCH(B16&amp;"|"&amp;H26,'_Развёртки'!$D$2:$D$1358,0)),0)*N(C16))+IF(B17="",0,IFERROR(INDEX('_Развёртки'!$C$2:$C$1358,MATCH(B17&amp;"|"&amp;H26,'_Развёртки'!$D$2:$D$1358,0)),0)*N(C17))+IF(B18="",0,IFERROR(INDEX('_Развёртки'!$C$2:$C$1358,MATCH(B18&amp;"|"&amp;H26,'_Развёртки'!$D$2:$D$1358,0)),0)*N(C18))+IF(B19="",0,IFERROR(INDEX('_Развёртки'!$C$2:$C$1358,MATCH(B19&amp;"|"&amp;H26,'_Развёртки'!$D$2:$D$1358,0)),0)*N(C19))+IF(B20="",0,IFERROR(INDEX('_Развёртки'!$C$2:$C$1358,MATCH(B20&amp;"|"&amp;H26,'_Развёртки'!$D$2:$D$1358,0)),0)*N(C20))+IF(B21="",0,IFERROR(INDEX('_Развёртки'!$C$2:$C$1358,MATCH(B21&amp;"|"&amp;H26,'_Развёртки'!$D$2:$D$1358,0)),0)*N(C21))+IF(B22="",0,IFERROR(INDEX('_Развёртки'!$C$2:$C$1358,MATCH(B22&amp;"|"&amp;H26,'_Развёртки'!$D$2:$D$1358,0)),0)*N(C22))+IF(B23="",0,IFERROR(INDEX('_Развёртки'!$C$2:$C$1358,MATCH(B23&amp;"|"&amp;H26,'_Развёртки'!$D$2:$D$1358,0)),0)*N(C23))+IF(B24="",0,IFERROR(INDEX('_Развёртки'!$C$2:$C$1358,MATCH(B24&amp;"|"&amp;H26,'_Развёртки'!$D$2:$D$1358,0)),0)*N(C24))+IF(B25="",0,IFERROR(INDEX('_Развёртки'!$C$2:$C$1358,MATCH(B25&amp;"|"&amp;H26,'_Развёртки'!$D$2:$D$1358,0)),0)*N(C25))+IF(B26="",0,IFERROR(INDEX('_Развёртки'!$C$2:$C$1358,MATCH(B26&amp;"|"&amp;H26,'_Развёртки'!$D$2:$D$1358,0)),0)*N(C26))+IF(B27="",0,IFERROR(INDEX('_Развёртки'!$C$2:$C$1358,MATCH(B27&amp;"|"&amp;H26,'_Развёртки'!$D$2:$D$1358,0)),0)*N(C27))</f>
        <v>0</v>
      </c>
      <c r="K26" s="174">
        <f>IFERROR(VLOOKUP(H26,'Сырьё'!$C$6:$E$233,3,FALSE()),IFERROR(VLOOKUP(H26,'Полупродукты'!$C$6:$E$60,3,FALSE()),0))</f>
        <v>11.43</v>
      </c>
      <c r="L26" s="175">
        <f t="shared" si="3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46">
        <v>20.0</v>
      </c>
      <c r="B27" s="180"/>
      <c r="C27" s="181"/>
      <c r="D27" s="149" t="str">
        <f>IF(B27="","",SUMPRODUCT(('_Развёртки'!$A$2:$A$1361=B27)*'_Развёртки'!$F$2:$F$1361))</f>
        <v/>
      </c>
      <c r="E27" s="150" t="str">
        <f t="shared" si="1"/>
        <v/>
      </c>
      <c r="F27" s="1"/>
      <c r="G27" s="35">
        <v>16.0</v>
      </c>
      <c r="H27" s="36" t="s">
        <v>546</v>
      </c>
      <c r="I27" s="176" t="str">
        <f>IFERROR(VLOOKUP(H27,'Сырьё'!$C$6:$D$233,2,FALSE()),IFERROR(VLOOKUP(H27,'Полупродукты'!$C$6:$D$60,2,FALSE()),"кг"))</f>
        <v>кг</v>
      </c>
      <c r="J27" s="177">
        <f t="array" ref="J27">IF(B8="",0,IFERROR(INDEX('_Развёртки'!$C$2:$C$1358,MATCH(B8&amp;"|"&amp;H27,'_Развёртки'!$D$2:$D$1358,0)),0)*N(C8))+IF(B9="",0,IFERROR(INDEX('_Развёртки'!$C$2:$C$1358,MATCH(B9&amp;"|"&amp;H27,'_Развёртки'!$D$2:$D$1358,0)),0)*N(C9))+IF(B10="",0,IFERROR(INDEX('_Развёртки'!$C$2:$C$1358,MATCH(B10&amp;"|"&amp;H27,'_Развёртки'!$D$2:$D$1358,0)),0)*N(C10))+IF(B11="",0,IFERROR(INDEX('_Развёртки'!$C$2:$C$1358,MATCH(B11&amp;"|"&amp;H27,'_Развёртки'!$D$2:$D$1358,0)),0)*N(C11))+IF(B12="",0,IFERROR(INDEX('_Развёртки'!$C$2:$C$1358,MATCH(B12&amp;"|"&amp;H27,'_Развёртки'!$D$2:$D$1358,0)),0)*N(C12))+IF(B13="",0,IFERROR(INDEX('_Развёртки'!$C$2:$C$1358,MATCH(B13&amp;"|"&amp;H27,'_Развёртки'!$D$2:$D$1358,0)),0)*N(C13))+IF(B14="",0,IFERROR(INDEX('_Развёртки'!$C$2:$C$1358,MATCH(B14&amp;"|"&amp;H27,'_Развёртки'!$D$2:$D$1358,0)),0)*N(C14))+IF(B15="",0,IFERROR(INDEX('_Развёртки'!$C$2:$C$1358,MATCH(B15&amp;"|"&amp;H27,'_Развёртки'!$D$2:$D$1358,0)),0)*N(C15))+IF(B16="",0,IFERROR(INDEX('_Развёртки'!$C$2:$C$1358,MATCH(B16&amp;"|"&amp;H27,'_Развёртки'!$D$2:$D$1358,0)),0)*N(C16))+IF(B17="",0,IFERROR(INDEX('_Развёртки'!$C$2:$C$1358,MATCH(B17&amp;"|"&amp;H27,'_Развёртки'!$D$2:$D$1358,0)),0)*N(C17))+IF(B18="",0,IFERROR(INDEX('_Развёртки'!$C$2:$C$1358,MATCH(B18&amp;"|"&amp;H27,'_Развёртки'!$D$2:$D$1358,0)),0)*N(C18))+IF(B19="",0,IFERROR(INDEX('_Развёртки'!$C$2:$C$1358,MATCH(B19&amp;"|"&amp;H27,'_Развёртки'!$D$2:$D$1358,0)),0)*N(C19))+IF(B20="",0,IFERROR(INDEX('_Развёртки'!$C$2:$C$1358,MATCH(B20&amp;"|"&amp;H27,'_Развёртки'!$D$2:$D$1358,0)),0)*N(C20))+IF(B21="",0,IFERROR(INDEX('_Развёртки'!$C$2:$C$1358,MATCH(B21&amp;"|"&amp;H27,'_Развёртки'!$D$2:$D$1358,0)),0)*N(C21))+IF(B22="",0,IFERROR(INDEX('_Развёртки'!$C$2:$C$1358,MATCH(B22&amp;"|"&amp;H27,'_Развёртки'!$D$2:$D$1358,0)),0)*N(C22))+IF(B23="",0,IFERROR(INDEX('_Развёртки'!$C$2:$C$1358,MATCH(B23&amp;"|"&amp;H27,'_Развёртки'!$D$2:$D$1358,0)),0)*N(C23))+IF(B24="",0,IFERROR(INDEX('_Развёртки'!$C$2:$C$1358,MATCH(B24&amp;"|"&amp;H27,'_Развёртки'!$D$2:$D$1358,0)),0)*N(C24))+IF(B25="",0,IFERROR(INDEX('_Развёртки'!$C$2:$C$1358,MATCH(B25&amp;"|"&amp;H27,'_Развёртки'!$D$2:$D$1358,0)),0)*N(C25))+IF(B26="",0,IFERROR(INDEX('_Развёртки'!$C$2:$C$1358,MATCH(B26&amp;"|"&amp;H27,'_Развёртки'!$D$2:$D$1358,0)),0)*N(C26))+IF(B27="",0,IFERROR(INDEX('_Развёртки'!$C$2:$C$1358,MATCH(B27&amp;"|"&amp;H27,'_Развёртки'!$D$2:$D$1358,0)),0)*N(C27))</f>
        <v>0</v>
      </c>
      <c r="K27" s="178">
        <f>IFERROR(VLOOKUP(H27,'Сырьё'!$C$6:$E$233,3,FALSE()),IFERROR(VLOOKUP(H27,'Полупродукты'!$C$6:$E$60,3,FALSE()),0))</f>
        <v>0</v>
      </c>
      <c r="L27" s="179">
        <f t="shared" si="3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2" t="s">
        <v>547</v>
      </c>
      <c r="C28" s="183">
        <f>SUM(C8:C27)</f>
        <v>9940</v>
      </c>
      <c r="D28" s="184"/>
      <c r="E28" s="185">
        <f>SUM(E8:E27)</f>
        <v>29227.91327</v>
      </c>
      <c r="F28" s="1"/>
      <c r="G28" s="170">
        <v>17.0</v>
      </c>
      <c r="H28" s="171" t="s">
        <v>548</v>
      </c>
      <c r="I28" s="172" t="str">
        <f>IFERROR(VLOOKUP(H28,'Сырьё'!$C$6:$D$233,2,FALSE()),IFERROR(VLOOKUP(H28,'Полупродукты'!$C$6:$D$60,2,FALSE()),"кг"))</f>
        <v>кг</v>
      </c>
      <c r="J28" s="173">
        <f t="array" ref="J28">IF(B8="",0,IFERROR(INDEX('_Развёртки'!$C$2:$C$1358,MATCH(B8&amp;"|"&amp;H28,'_Развёртки'!$D$2:$D$1358,0)),0)*N(C8))+IF(B9="",0,IFERROR(INDEX('_Развёртки'!$C$2:$C$1358,MATCH(B9&amp;"|"&amp;H28,'_Развёртки'!$D$2:$D$1358,0)),0)*N(C9))+IF(B10="",0,IFERROR(INDEX('_Развёртки'!$C$2:$C$1358,MATCH(B10&amp;"|"&amp;H28,'_Развёртки'!$D$2:$D$1358,0)),0)*N(C10))+IF(B11="",0,IFERROR(INDEX('_Развёртки'!$C$2:$C$1358,MATCH(B11&amp;"|"&amp;H28,'_Развёртки'!$D$2:$D$1358,0)),0)*N(C11))+IF(B12="",0,IFERROR(INDEX('_Развёртки'!$C$2:$C$1358,MATCH(B12&amp;"|"&amp;H28,'_Развёртки'!$D$2:$D$1358,0)),0)*N(C12))+IF(B13="",0,IFERROR(INDEX('_Развёртки'!$C$2:$C$1358,MATCH(B13&amp;"|"&amp;H28,'_Развёртки'!$D$2:$D$1358,0)),0)*N(C13))+IF(B14="",0,IFERROR(INDEX('_Развёртки'!$C$2:$C$1358,MATCH(B14&amp;"|"&amp;H28,'_Развёртки'!$D$2:$D$1358,0)),0)*N(C14))+IF(B15="",0,IFERROR(INDEX('_Развёртки'!$C$2:$C$1358,MATCH(B15&amp;"|"&amp;H28,'_Развёртки'!$D$2:$D$1358,0)),0)*N(C15))+IF(B16="",0,IFERROR(INDEX('_Развёртки'!$C$2:$C$1358,MATCH(B16&amp;"|"&amp;H28,'_Развёртки'!$D$2:$D$1358,0)),0)*N(C16))+IF(B17="",0,IFERROR(INDEX('_Развёртки'!$C$2:$C$1358,MATCH(B17&amp;"|"&amp;H28,'_Развёртки'!$D$2:$D$1358,0)),0)*N(C17))+IF(B18="",0,IFERROR(INDEX('_Развёртки'!$C$2:$C$1358,MATCH(B18&amp;"|"&amp;H28,'_Развёртки'!$D$2:$D$1358,0)),0)*N(C18))+IF(B19="",0,IFERROR(INDEX('_Развёртки'!$C$2:$C$1358,MATCH(B19&amp;"|"&amp;H28,'_Развёртки'!$D$2:$D$1358,0)),0)*N(C19))+IF(B20="",0,IFERROR(INDEX('_Развёртки'!$C$2:$C$1358,MATCH(B20&amp;"|"&amp;H28,'_Развёртки'!$D$2:$D$1358,0)),0)*N(C20))+IF(B21="",0,IFERROR(INDEX('_Развёртки'!$C$2:$C$1358,MATCH(B21&amp;"|"&amp;H28,'_Развёртки'!$D$2:$D$1358,0)),0)*N(C21))+IF(B22="",0,IFERROR(INDEX('_Развёртки'!$C$2:$C$1358,MATCH(B22&amp;"|"&amp;H28,'_Развёртки'!$D$2:$D$1358,0)),0)*N(C22))+IF(B23="",0,IFERROR(INDEX('_Развёртки'!$C$2:$C$1358,MATCH(B23&amp;"|"&amp;H28,'_Развёртки'!$D$2:$D$1358,0)),0)*N(C23))+IF(B24="",0,IFERROR(INDEX('_Развёртки'!$C$2:$C$1358,MATCH(B24&amp;"|"&amp;H28,'_Развёртки'!$D$2:$D$1358,0)),0)*N(C24))+IF(B25="",0,IFERROR(INDEX('_Развёртки'!$C$2:$C$1358,MATCH(B25&amp;"|"&amp;H28,'_Развёртки'!$D$2:$D$1358,0)),0)*N(C25))+IF(B26="",0,IFERROR(INDEX('_Развёртки'!$C$2:$C$1358,MATCH(B26&amp;"|"&amp;H28,'_Развёртки'!$D$2:$D$1358,0)),0)*N(C26))+IF(B27="",0,IFERROR(INDEX('_Развёртки'!$C$2:$C$1358,MATCH(B27&amp;"|"&amp;H28,'_Развёртки'!$D$2:$D$1358,0)),0)*N(C27))</f>
        <v>0</v>
      </c>
      <c r="K28" s="174">
        <f>IFERROR(VLOOKUP(H28,'Сырьё'!$C$6:$E$233,3,FALSE()),IFERROR(VLOOKUP(H28,'Полупродукты'!$C$6:$E$60,3,FALSE()),0))</f>
        <v>0</v>
      </c>
      <c r="L28" s="175">
        <f t="shared" si="3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"/>
      <c r="C29" s="1"/>
      <c r="D29" s="1"/>
      <c r="E29" s="1"/>
      <c r="F29" s="1"/>
      <c r="G29" s="35">
        <v>18.0</v>
      </c>
      <c r="H29" s="36" t="s">
        <v>549</v>
      </c>
      <c r="I29" s="176" t="str">
        <f>IFERROR(VLOOKUP(H29,'Сырьё'!$C$6:$D$233,2,FALSE()),IFERROR(VLOOKUP(H29,'Полупродукты'!$C$6:$D$60,2,FALSE()),"кг"))</f>
        <v>кг</v>
      </c>
      <c r="J29" s="177">
        <f t="array" ref="J29">IF(B8="",0,IFERROR(INDEX('_Развёртки'!$C$2:$C$1358,MATCH(B8&amp;"|"&amp;H29,'_Развёртки'!$D$2:$D$1358,0)),0)*N(C8))+IF(B9="",0,IFERROR(INDEX('_Развёртки'!$C$2:$C$1358,MATCH(B9&amp;"|"&amp;H29,'_Развёртки'!$D$2:$D$1358,0)),0)*N(C9))+IF(B10="",0,IFERROR(INDEX('_Развёртки'!$C$2:$C$1358,MATCH(B10&amp;"|"&amp;H29,'_Развёртки'!$D$2:$D$1358,0)),0)*N(C10))+IF(B11="",0,IFERROR(INDEX('_Развёртки'!$C$2:$C$1358,MATCH(B11&amp;"|"&amp;H29,'_Развёртки'!$D$2:$D$1358,0)),0)*N(C11))+IF(B12="",0,IFERROR(INDEX('_Развёртки'!$C$2:$C$1358,MATCH(B12&amp;"|"&amp;H29,'_Развёртки'!$D$2:$D$1358,0)),0)*N(C12))+IF(B13="",0,IFERROR(INDEX('_Развёртки'!$C$2:$C$1358,MATCH(B13&amp;"|"&amp;H29,'_Развёртки'!$D$2:$D$1358,0)),0)*N(C13))+IF(B14="",0,IFERROR(INDEX('_Развёртки'!$C$2:$C$1358,MATCH(B14&amp;"|"&amp;H29,'_Развёртки'!$D$2:$D$1358,0)),0)*N(C14))+IF(B15="",0,IFERROR(INDEX('_Развёртки'!$C$2:$C$1358,MATCH(B15&amp;"|"&amp;H29,'_Развёртки'!$D$2:$D$1358,0)),0)*N(C15))+IF(B16="",0,IFERROR(INDEX('_Развёртки'!$C$2:$C$1358,MATCH(B16&amp;"|"&amp;H29,'_Развёртки'!$D$2:$D$1358,0)),0)*N(C16))+IF(B17="",0,IFERROR(INDEX('_Развёртки'!$C$2:$C$1358,MATCH(B17&amp;"|"&amp;H29,'_Развёртки'!$D$2:$D$1358,0)),0)*N(C17))+IF(B18="",0,IFERROR(INDEX('_Развёртки'!$C$2:$C$1358,MATCH(B18&amp;"|"&amp;H29,'_Развёртки'!$D$2:$D$1358,0)),0)*N(C18))+IF(B19="",0,IFERROR(INDEX('_Развёртки'!$C$2:$C$1358,MATCH(B19&amp;"|"&amp;H29,'_Развёртки'!$D$2:$D$1358,0)),0)*N(C19))+IF(B20="",0,IFERROR(INDEX('_Развёртки'!$C$2:$C$1358,MATCH(B20&amp;"|"&amp;H29,'_Развёртки'!$D$2:$D$1358,0)),0)*N(C20))+IF(B21="",0,IFERROR(INDEX('_Развёртки'!$C$2:$C$1358,MATCH(B21&amp;"|"&amp;H29,'_Развёртки'!$D$2:$D$1358,0)),0)*N(C21))+IF(B22="",0,IFERROR(INDEX('_Развёртки'!$C$2:$C$1358,MATCH(B22&amp;"|"&amp;H29,'_Развёртки'!$D$2:$D$1358,0)),0)*N(C22))+IF(B23="",0,IFERROR(INDEX('_Развёртки'!$C$2:$C$1358,MATCH(B23&amp;"|"&amp;H29,'_Развёртки'!$D$2:$D$1358,0)),0)*N(C23))+IF(B24="",0,IFERROR(INDEX('_Развёртки'!$C$2:$C$1358,MATCH(B24&amp;"|"&amp;H29,'_Развёртки'!$D$2:$D$1358,0)),0)*N(C24))+IF(B25="",0,IFERROR(INDEX('_Развёртки'!$C$2:$C$1358,MATCH(B25&amp;"|"&amp;H29,'_Развёртки'!$D$2:$D$1358,0)),0)*N(C25))+IF(B26="",0,IFERROR(INDEX('_Развёртки'!$C$2:$C$1358,MATCH(B26&amp;"|"&amp;H29,'_Развёртки'!$D$2:$D$1358,0)),0)*N(C26))+IF(B27="",0,IFERROR(INDEX('_Развёртки'!$C$2:$C$1358,MATCH(B27&amp;"|"&amp;H29,'_Развёртки'!$D$2:$D$1358,0)),0)*N(C27))</f>
        <v>559.93002</v>
      </c>
      <c r="K29" s="178">
        <f>IFERROR(VLOOKUP(H29,'Сырьё'!$C$6:$E$233,3,FALSE()),IFERROR(VLOOKUP(H29,'Полупродукты'!$C$6:$E$60,3,FALSE()),0))</f>
        <v>6.519</v>
      </c>
      <c r="L29" s="179">
        <f t="shared" si="3"/>
        <v>3650.1838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"/>
      <c r="C30" s="1"/>
      <c r="D30" s="1"/>
      <c r="E30" s="1"/>
      <c r="F30" s="1"/>
      <c r="G30" s="170">
        <v>19.0</v>
      </c>
      <c r="H30" s="171" t="s">
        <v>550</v>
      </c>
      <c r="I30" s="172" t="str">
        <f>IFERROR(VLOOKUP(H30,'Сырьё'!$C$6:$D$233,2,FALSE()),IFERROR(VLOOKUP(H30,'Полупродукты'!$C$6:$D$60,2,FALSE()),"кг"))</f>
        <v>кг</v>
      </c>
      <c r="J30" s="173">
        <f t="array" ref="J30">IF(B8="",0,IFERROR(INDEX('_Развёртки'!$C$2:$C$1358,MATCH(B8&amp;"|"&amp;H30,'_Развёртки'!$D$2:$D$1358,0)),0)*N(C8))+IF(B9="",0,IFERROR(INDEX('_Развёртки'!$C$2:$C$1358,MATCH(B9&amp;"|"&amp;H30,'_Развёртки'!$D$2:$D$1358,0)),0)*N(C9))+IF(B10="",0,IFERROR(INDEX('_Развёртки'!$C$2:$C$1358,MATCH(B10&amp;"|"&amp;H30,'_Развёртки'!$D$2:$D$1358,0)),0)*N(C10))+IF(B11="",0,IFERROR(INDEX('_Развёртки'!$C$2:$C$1358,MATCH(B11&amp;"|"&amp;H30,'_Развёртки'!$D$2:$D$1358,0)),0)*N(C11))+IF(B12="",0,IFERROR(INDEX('_Развёртки'!$C$2:$C$1358,MATCH(B12&amp;"|"&amp;H30,'_Развёртки'!$D$2:$D$1358,0)),0)*N(C12))+IF(B13="",0,IFERROR(INDEX('_Развёртки'!$C$2:$C$1358,MATCH(B13&amp;"|"&amp;H30,'_Развёртки'!$D$2:$D$1358,0)),0)*N(C13))+IF(B14="",0,IFERROR(INDEX('_Развёртки'!$C$2:$C$1358,MATCH(B14&amp;"|"&amp;H30,'_Развёртки'!$D$2:$D$1358,0)),0)*N(C14))+IF(B15="",0,IFERROR(INDEX('_Развёртки'!$C$2:$C$1358,MATCH(B15&amp;"|"&amp;H30,'_Развёртки'!$D$2:$D$1358,0)),0)*N(C15))+IF(B16="",0,IFERROR(INDEX('_Развёртки'!$C$2:$C$1358,MATCH(B16&amp;"|"&amp;H30,'_Развёртки'!$D$2:$D$1358,0)),0)*N(C16))+IF(B17="",0,IFERROR(INDEX('_Развёртки'!$C$2:$C$1358,MATCH(B17&amp;"|"&amp;H30,'_Развёртки'!$D$2:$D$1358,0)),0)*N(C17))+IF(B18="",0,IFERROR(INDEX('_Развёртки'!$C$2:$C$1358,MATCH(B18&amp;"|"&amp;H30,'_Развёртки'!$D$2:$D$1358,0)),0)*N(C18))+IF(B19="",0,IFERROR(INDEX('_Развёртки'!$C$2:$C$1358,MATCH(B19&amp;"|"&amp;H30,'_Развёртки'!$D$2:$D$1358,0)),0)*N(C19))+IF(B20="",0,IFERROR(INDEX('_Развёртки'!$C$2:$C$1358,MATCH(B20&amp;"|"&amp;H30,'_Развёртки'!$D$2:$D$1358,0)),0)*N(C20))+IF(B21="",0,IFERROR(INDEX('_Развёртки'!$C$2:$C$1358,MATCH(B21&amp;"|"&amp;H30,'_Развёртки'!$D$2:$D$1358,0)),0)*N(C21))+IF(B22="",0,IFERROR(INDEX('_Развёртки'!$C$2:$C$1358,MATCH(B22&amp;"|"&amp;H30,'_Развёртки'!$D$2:$D$1358,0)),0)*N(C22))+IF(B23="",0,IFERROR(INDEX('_Развёртки'!$C$2:$C$1358,MATCH(B23&amp;"|"&amp;H30,'_Развёртки'!$D$2:$D$1358,0)),0)*N(C23))+IF(B24="",0,IFERROR(INDEX('_Развёртки'!$C$2:$C$1358,MATCH(B24&amp;"|"&amp;H30,'_Развёртки'!$D$2:$D$1358,0)),0)*N(C24))+IF(B25="",0,IFERROR(INDEX('_Развёртки'!$C$2:$C$1358,MATCH(B25&amp;"|"&amp;H30,'_Развёртки'!$D$2:$D$1358,0)),0)*N(C25))+IF(B26="",0,IFERROR(INDEX('_Развёртки'!$C$2:$C$1358,MATCH(B26&amp;"|"&amp;H30,'_Развёртки'!$D$2:$D$1358,0)),0)*N(C26))+IF(B27="",0,IFERROR(INDEX('_Развёртки'!$C$2:$C$1358,MATCH(B27&amp;"|"&amp;H30,'_Развёртки'!$D$2:$D$1358,0)),0)*N(C27))</f>
        <v>142.2636</v>
      </c>
      <c r="K30" s="174">
        <f>IFERROR(VLOOKUP(H30,'Сырьё'!$C$6:$E$233,3,FALSE()),IFERROR(VLOOKUP(H30,'Полупродукты'!$C$6:$E$60,3,FALSE()),0))</f>
        <v>0</v>
      </c>
      <c r="L30" s="175">
        <f t="shared" si="3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"/>
      <c r="C31" s="1"/>
      <c r="D31" s="1"/>
      <c r="E31" s="1"/>
      <c r="F31" s="1"/>
      <c r="G31" s="35">
        <v>20.0</v>
      </c>
      <c r="H31" s="36" t="s">
        <v>551</v>
      </c>
      <c r="I31" s="176" t="str">
        <f>IFERROR(VLOOKUP(H31,'Сырьё'!$C$6:$D$233,2,FALSE()),IFERROR(VLOOKUP(H31,'Полупродукты'!$C$6:$D$60,2,FALSE()),"кг"))</f>
        <v>кг</v>
      </c>
      <c r="J31" s="177">
        <f t="array" ref="J31">IF(B8="",0,IFERROR(INDEX('_Развёртки'!$C$2:$C$1358,MATCH(B8&amp;"|"&amp;H31,'_Развёртки'!$D$2:$D$1358,0)),0)*N(C8))+IF(B9="",0,IFERROR(INDEX('_Развёртки'!$C$2:$C$1358,MATCH(B9&amp;"|"&amp;H31,'_Развёртки'!$D$2:$D$1358,0)),0)*N(C9))+IF(B10="",0,IFERROR(INDEX('_Развёртки'!$C$2:$C$1358,MATCH(B10&amp;"|"&amp;H31,'_Развёртки'!$D$2:$D$1358,0)),0)*N(C10))+IF(B11="",0,IFERROR(INDEX('_Развёртки'!$C$2:$C$1358,MATCH(B11&amp;"|"&amp;H31,'_Развёртки'!$D$2:$D$1358,0)),0)*N(C11))+IF(B12="",0,IFERROR(INDEX('_Развёртки'!$C$2:$C$1358,MATCH(B12&amp;"|"&amp;H31,'_Развёртки'!$D$2:$D$1358,0)),0)*N(C12))+IF(B13="",0,IFERROR(INDEX('_Развёртки'!$C$2:$C$1358,MATCH(B13&amp;"|"&amp;H31,'_Развёртки'!$D$2:$D$1358,0)),0)*N(C13))+IF(B14="",0,IFERROR(INDEX('_Развёртки'!$C$2:$C$1358,MATCH(B14&amp;"|"&amp;H31,'_Развёртки'!$D$2:$D$1358,0)),0)*N(C14))+IF(B15="",0,IFERROR(INDEX('_Развёртки'!$C$2:$C$1358,MATCH(B15&amp;"|"&amp;H31,'_Развёртки'!$D$2:$D$1358,0)),0)*N(C15))+IF(B16="",0,IFERROR(INDEX('_Развёртки'!$C$2:$C$1358,MATCH(B16&amp;"|"&amp;H31,'_Развёртки'!$D$2:$D$1358,0)),0)*N(C16))+IF(B17="",0,IFERROR(INDEX('_Развёртки'!$C$2:$C$1358,MATCH(B17&amp;"|"&amp;H31,'_Развёртки'!$D$2:$D$1358,0)),0)*N(C17))+IF(B18="",0,IFERROR(INDEX('_Развёртки'!$C$2:$C$1358,MATCH(B18&amp;"|"&amp;H31,'_Развёртки'!$D$2:$D$1358,0)),0)*N(C18))+IF(B19="",0,IFERROR(INDEX('_Развёртки'!$C$2:$C$1358,MATCH(B19&amp;"|"&amp;H31,'_Развёртки'!$D$2:$D$1358,0)),0)*N(C19))+IF(B20="",0,IFERROR(INDEX('_Развёртки'!$C$2:$C$1358,MATCH(B20&amp;"|"&amp;H31,'_Развёртки'!$D$2:$D$1358,0)),0)*N(C20))+IF(B21="",0,IFERROR(INDEX('_Развёртки'!$C$2:$C$1358,MATCH(B21&amp;"|"&amp;H31,'_Развёртки'!$D$2:$D$1358,0)),0)*N(C21))+IF(B22="",0,IFERROR(INDEX('_Развёртки'!$C$2:$C$1358,MATCH(B22&amp;"|"&amp;H31,'_Развёртки'!$D$2:$D$1358,0)),0)*N(C22))+IF(B23="",0,IFERROR(INDEX('_Развёртки'!$C$2:$C$1358,MATCH(B23&amp;"|"&amp;H31,'_Развёртки'!$D$2:$D$1358,0)),0)*N(C23))+IF(B24="",0,IFERROR(INDEX('_Развёртки'!$C$2:$C$1358,MATCH(B24&amp;"|"&amp;H31,'_Развёртки'!$D$2:$D$1358,0)),0)*N(C24))+IF(B25="",0,IFERROR(INDEX('_Развёртки'!$C$2:$C$1358,MATCH(B25&amp;"|"&amp;H31,'_Развёртки'!$D$2:$D$1358,0)),0)*N(C25))+IF(B26="",0,IFERROR(INDEX('_Развёртки'!$C$2:$C$1358,MATCH(B26&amp;"|"&amp;H31,'_Развёртки'!$D$2:$D$1358,0)),0)*N(C26))+IF(B27="",0,IFERROR(INDEX('_Развёртки'!$C$2:$C$1358,MATCH(B27&amp;"|"&amp;H31,'_Развёртки'!$D$2:$D$1358,0)),0)*N(C27))</f>
        <v>0</v>
      </c>
      <c r="K31" s="178">
        <f>IFERROR(VLOOKUP(H31,'Сырьё'!$C$6:$E$233,3,FALSE()),IFERROR(VLOOKUP(H31,'Полупродукты'!$C$6:$E$60,3,FALSE()),0))</f>
        <v>3.7202</v>
      </c>
      <c r="L31" s="179">
        <f t="shared" si="3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"/>
      <c r="C32" s="1"/>
      <c r="D32" s="1"/>
      <c r="E32" s="1"/>
      <c r="F32" s="1"/>
      <c r="G32" s="170">
        <v>21.0</v>
      </c>
      <c r="H32" s="171" t="s">
        <v>552</v>
      </c>
      <c r="I32" s="172" t="str">
        <f>IFERROR(VLOOKUP(H32,'Сырьё'!$C$6:$D$233,2,FALSE()),IFERROR(VLOOKUP(H32,'Полупродукты'!$C$6:$D$60,2,FALSE()),"кг"))</f>
        <v>кг</v>
      </c>
      <c r="J32" s="173">
        <f t="array" ref="J32">IF(B8="",0,IFERROR(INDEX('_Развёртки'!$C$2:$C$1358,MATCH(B8&amp;"|"&amp;H32,'_Развёртки'!$D$2:$D$1358,0)),0)*N(C8))+IF(B9="",0,IFERROR(INDEX('_Развёртки'!$C$2:$C$1358,MATCH(B9&amp;"|"&amp;H32,'_Развёртки'!$D$2:$D$1358,0)),0)*N(C9))+IF(B10="",0,IFERROR(INDEX('_Развёртки'!$C$2:$C$1358,MATCH(B10&amp;"|"&amp;H32,'_Развёртки'!$D$2:$D$1358,0)),0)*N(C10))+IF(B11="",0,IFERROR(INDEX('_Развёртки'!$C$2:$C$1358,MATCH(B11&amp;"|"&amp;H32,'_Развёртки'!$D$2:$D$1358,0)),0)*N(C11))+IF(B12="",0,IFERROR(INDEX('_Развёртки'!$C$2:$C$1358,MATCH(B12&amp;"|"&amp;H32,'_Развёртки'!$D$2:$D$1358,0)),0)*N(C12))+IF(B13="",0,IFERROR(INDEX('_Развёртки'!$C$2:$C$1358,MATCH(B13&amp;"|"&amp;H32,'_Развёртки'!$D$2:$D$1358,0)),0)*N(C13))+IF(B14="",0,IFERROR(INDEX('_Развёртки'!$C$2:$C$1358,MATCH(B14&amp;"|"&amp;H32,'_Развёртки'!$D$2:$D$1358,0)),0)*N(C14))+IF(B15="",0,IFERROR(INDEX('_Развёртки'!$C$2:$C$1358,MATCH(B15&amp;"|"&amp;H32,'_Развёртки'!$D$2:$D$1358,0)),0)*N(C15))+IF(B16="",0,IFERROR(INDEX('_Развёртки'!$C$2:$C$1358,MATCH(B16&amp;"|"&amp;H32,'_Развёртки'!$D$2:$D$1358,0)),0)*N(C16))+IF(B17="",0,IFERROR(INDEX('_Развёртки'!$C$2:$C$1358,MATCH(B17&amp;"|"&amp;H32,'_Развёртки'!$D$2:$D$1358,0)),0)*N(C17))+IF(B18="",0,IFERROR(INDEX('_Развёртки'!$C$2:$C$1358,MATCH(B18&amp;"|"&amp;H32,'_Развёртки'!$D$2:$D$1358,0)),0)*N(C18))+IF(B19="",0,IFERROR(INDEX('_Развёртки'!$C$2:$C$1358,MATCH(B19&amp;"|"&amp;H32,'_Развёртки'!$D$2:$D$1358,0)),0)*N(C19))+IF(B20="",0,IFERROR(INDEX('_Развёртки'!$C$2:$C$1358,MATCH(B20&amp;"|"&amp;H32,'_Развёртки'!$D$2:$D$1358,0)),0)*N(C20))+IF(B21="",0,IFERROR(INDEX('_Развёртки'!$C$2:$C$1358,MATCH(B21&amp;"|"&amp;H32,'_Развёртки'!$D$2:$D$1358,0)),0)*N(C21))+IF(B22="",0,IFERROR(INDEX('_Развёртки'!$C$2:$C$1358,MATCH(B22&amp;"|"&amp;H32,'_Развёртки'!$D$2:$D$1358,0)),0)*N(C22))+IF(B23="",0,IFERROR(INDEX('_Развёртки'!$C$2:$C$1358,MATCH(B23&amp;"|"&amp;H32,'_Развёртки'!$D$2:$D$1358,0)),0)*N(C23))+IF(B24="",0,IFERROR(INDEX('_Развёртки'!$C$2:$C$1358,MATCH(B24&amp;"|"&amp;H32,'_Развёртки'!$D$2:$D$1358,0)),0)*N(C24))+IF(B25="",0,IFERROR(INDEX('_Развёртки'!$C$2:$C$1358,MATCH(B25&amp;"|"&amp;H32,'_Развёртки'!$D$2:$D$1358,0)),0)*N(C25))+IF(B26="",0,IFERROR(INDEX('_Развёртки'!$C$2:$C$1358,MATCH(B26&amp;"|"&amp;H32,'_Развёртки'!$D$2:$D$1358,0)),0)*N(C26))+IF(B27="",0,IFERROR(INDEX('_Развёртки'!$C$2:$C$1358,MATCH(B27&amp;"|"&amp;H32,'_Развёртки'!$D$2:$D$1358,0)),0)*N(C27))</f>
        <v>0</v>
      </c>
      <c r="K32" s="174">
        <f>IFERROR(VLOOKUP(H32,'Сырьё'!$C$6:$E$233,3,FALSE()),IFERROR(VLOOKUP(H32,'Полупродукты'!$C$6:$E$60,3,FALSE()),0))</f>
        <v>3.8883</v>
      </c>
      <c r="L32" s="175">
        <f t="shared" si="3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"/>
      <c r="C33" s="1"/>
      <c r="D33" s="1"/>
      <c r="E33" s="1"/>
      <c r="F33" s="1"/>
      <c r="G33" s="35">
        <v>22.0</v>
      </c>
      <c r="H33" s="36" t="s">
        <v>553</v>
      </c>
      <c r="I33" s="176" t="str">
        <f>IFERROR(VLOOKUP(H33,'Сырьё'!$C$6:$D$233,2,FALSE()),IFERROR(VLOOKUP(H33,'Полупродукты'!$C$6:$D$60,2,FALSE()),"кг"))</f>
        <v>кг</v>
      </c>
      <c r="J33" s="177">
        <f t="array" ref="J33">IF(B8="",0,IFERROR(INDEX('_Развёртки'!$C$2:$C$1358,MATCH(B8&amp;"|"&amp;H33,'_Развёртки'!$D$2:$D$1358,0)),0)*N(C8))+IF(B9="",0,IFERROR(INDEX('_Развёртки'!$C$2:$C$1358,MATCH(B9&amp;"|"&amp;H33,'_Развёртки'!$D$2:$D$1358,0)),0)*N(C9))+IF(B10="",0,IFERROR(INDEX('_Развёртки'!$C$2:$C$1358,MATCH(B10&amp;"|"&amp;H33,'_Развёртки'!$D$2:$D$1358,0)),0)*N(C10))+IF(B11="",0,IFERROR(INDEX('_Развёртки'!$C$2:$C$1358,MATCH(B11&amp;"|"&amp;H33,'_Развёртки'!$D$2:$D$1358,0)),0)*N(C11))+IF(B12="",0,IFERROR(INDEX('_Развёртки'!$C$2:$C$1358,MATCH(B12&amp;"|"&amp;H33,'_Развёртки'!$D$2:$D$1358,0)),0)*N(C12))+IF(B13="",0,IFERROR(INDEX('_Развёртки'!$C$2:$C$1358,MATCH(B13&amp;"|"&amp;H33,'_Развёртки'!$D$2:$D$1358,0)),0)*N(C13))+IF(B14="",0,IFERROR(INDEX('_Развёртки'!$C$2:$C$1358,MATCH(B14&amp;"|"&amp;H33,'_Развёртки'!$D$2:$D$1358,0)),0)*N(C14))+IF(B15="",0,IFERROR(INDEX('_Развёртки'!$C$2:$C$1358,MATCH(B15&amp;"|"&amp;H33,'_Развёртки'!$D$2:$D$1358,0)),0)*N(C15))+IF(B16="",0,IFERROR(INDEX('_Развёртки'!$C$2:$C$1358,MATCH(B16&amp;"|"&amp;H33,'_Развёртки'!$D$2:$D$1358,0)),0)*N(C16))+IF(B17="",0,IFERROR(INDEX('_Развёртки'!$C$2:$C$1358,MATCH(B17&amp;"|"&amp;H33,'_Развёртки'!$D$2:$D$1358,0)),0)*N(C17))+IF(B18="",0,IFERROR(INDEX('_Развёртки'!$C$2:$C$1358,MATCH(B18&amp;"|"&amp;H33,'_Развёртки'!$D$2:$D$1358,0)),0)*N(C18))+IF(B19="",0,IFERROR(INDEX('_Развёртки'!$C$2:$C$1358,MATCH(B19&amp;"|"&amp;H33,'_Развёртки'!$D$2:$D$1358,0)),0)*N(C19))+IF(B20="",0,IFERROR(INDEX('_Развёртки'!$C$2:$C$1358,MATCH(B20&amp;"|"&amp;H33,'_Развёртки'!$D$2:$D$1358,0)),0)*N(C20))+IF(B21="",0,IFERROR(INDEX('_Развёртки'!$C$2:$C$1358,MATCH(B21&amp;"|"&amp;H33,'_Развёртки'!$D$2:$D$1358,0)),0)*N(C21))+IF(B22="",0,IFERROR(INDEX('_Развёртки'!$C$2:$C$1358,MATCH(B22&amp;"|"&amp;H33,'_Развёртки'!$D$2:$D$1358,0)),0)*N(C22))+IF(B23="",0,IFERROR(INDEX('_Развёртки'!$C$2:$C$1358,MATCH(B23&amp;"|"&amp;H33,'_Развёртки'!$D$2:$D$1358,0)),0)*N(C23))+IF(B24="",0,IFERROR(INDEX('_Развёртки'!$C$2:$C$1358,MATCH(B24&amp;"|"&amp;H33,'_Развёртки'!$D$2:$D$1358,0)),0)*N(C24))+IF(B25="",0,IFERROR(INDEX('_Развёртки'!$C$2:$C$1358,MATCH(B25&amp;"|"&amp;H33,'_Развёртки'!$D$2:$D$1358,0)),0)*N(C25))+IF(B26="",0,IFERROR(INDEX('_Развёртки'!$C$2:$C$1358,MATCH(B26&amp;"|"&amp;H33,'_Развёртки'!$D$2:$D$1358,0)),0)*N(C26))+IF(B27="",0,IFERROR(INDEX('_Развёртки'!$C$2:$C$1358,MATCH(B27&amp;"|"&amp;H33,'_Развёртки'!$D$2:$D$1358,0)),0)*N(C27))</f>
        <v>0</v>
      </c>
      <c r="K33" s="178">
        <f>IFERROR(VLOOKUP(H33,'Сырьё'!$C$6:$E$233,3,FALSE()),IFERROR(VLOOKUP(H33,'Полупродукты'!$C$6:$E$60,3,FALSE()),0))</f>
        <v>3.5357</v>
      </c>
      <c r="L33" s="179">
        <f t="shared" si="3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"/>
      <c r="C34" s="1"/>
      <c r="D34" s="1"/>
      <c r="E34" s="1"/>
      <c r="F34" s="1"/>
      <c r="G34" s="170">
        <v>23.0</v>
      </c>
      <c r="H34" s="171" t="s">
        <v>554</v>
      </c>
      <c r="I34" s="172" t="str">
        <f>IFERROR(VLOOKUP(H34,'Сырьё'!$C$6:$D$233,2,FALSE()),IFERROR(VLOOKUP(H34,'Полупродукты'!$C$6:$D$60,2,FALSE()),"кг"))</f>
        <v>кг</v>
      </c>
      <c r="J34" s="173">
        <f t="array" ref="J34">IF(B8="",0,IFERROR(INDEX('_Развёртки'!$C$2:$C$1358,MATCH(B8&amp;"|"&amp;H34,'_Развёртки'!$D$2:$D$1358,0)),0)*N(C8))+IF(B9="",0,IFERROR(INDEX('_Развёртки'!$C$2:$C$1358,MATCH(B9&amp;"|"&amp;H34,'_Развёртки'!$D$2:$D$1358,0)),0)*N(C9))+IF(B10="",0,IFERROR(INDEX('_Развёртки'!$C$2:$C$1358,MATCH(B10&amp;"|"&amp;H34,'_Развёртки'!$D$2:$D$1358,0)),0)*N(C10))+IF(B11="",0,IFERROR(INDEX('_Развёртки'!$C$2:$C$1358,MATCH(B11&amp;"|"&amp;H34,'_Развёртки'!$D$2:$D$1358,0)),0)*N(C11))+IF(B12="",0,IFERROR(INDEX('_Развёртки'!$C$2:$C$1358,MATCH(B12&amp;"|"&amp;H34,'_Развёртки'!$D$2:$D$1358,0)),0)*N(C12))+IF(B13="",0,IFERROR(INDEX('_Развёртки'!$C$2:$C$1358,MATCH(B13&amp;"|"&amp;H34,'_Развёртки'!$D$2:$D$1358,0)),0)*N(C13))+IF(B14="",0,IFERROR(INDEX('_Развёртки'!$C$2:$C$1358,MATCH(B14&amp;"|"&amp;H34,'_Развёртки'!$D$2:$D$1358,0)),0)*N(C14))+IF(B15="",0,IFERROR(INDEX('_Развёртки'!$C$2:$C$1358,MATCH(B15&amp;"|"&amp;H34,'_Развёртки'!$D$2:$D$1358,0)),0)*N(C15))+IF(B16="",0,IFERROR(INDEX('_Развёртки'!$C$2:$C$1358,MATCH(B16&amp;"|"&amp;H34,'_Развёртки'!$D$2:$D$1358,0)),0)*N(C16))+IF(B17="",0,IFERROR(INDEX('_Развёртки'!$C$2:$C$1358,MATCH(B17&amp;"|"&amp;H34,'_Развёртки'!$D$2:$D$1358,0)),0)*N(C17))+IF(B18="",0,IFERROR(INDEX('_Развёртки'!$C$2:$C$1358,MATCH(B18&amp;"|"&amp;H34,'_Развёртки'!$D$2:$D$1358,0)),0)*N(C18))+IF(B19="",0,IFERROR(INDEX('_Развёртки'!$C$2:$C$1358,MATCH(B19&amp;"|"&amp;H34,'_Развёртки'!$D$2:$D$1358,0)),0)*N(C19))+IF(B20="",0,IFERROR(INDEX('_Развёртки'!$C$2:$C$1358,MATCH(B20&amp;"|"&amp;H34,'_Развёртки'!$D$2:$D$1358,0)),0)*N(C20))+IF(B21="",0,IFERROR(INDEX('_Развёртки'!$C$2:$C$1358,MATCH(B21&amp;"|"&amp;H34,'_Развёртки'!$D$2:$D$1358,0)),0)*N(C21))+IF(B22="",0,IFERROR(INDEX('_Развёртки'!$C$2:$C$1358,MATCH(B22&amp;"|"&amp;H34,'_Развёртки'!$D$2:$D$1358,0)),0)*N(C22))+IF(B23="",0,IFERROR(INDEX('_Развёртки'!$C$2:$C$1358,MATCH(B23&amp;"|"&amp;H34,'_Развёртки'!$D$2:$D$1358,0)),0)*N(C23))+IF(B24="",0,IFERROR(INDEX('_Развёртки'!$C$2:$C$1358,MATCH(B24&amp;"|"&amp;H34,'_Развёртки'!$D$2:$D$1358,0)),0)*N(C24))+IF(B25="",0,IFERROR(INDEX('_Развёртки'!$C$2:$C$1358,MATCH(B25&amp;"|"&amp;H34,'_Развёртки'!$D$2:$D$1358,0)),0)*N(C25))+IF(B26="",0,IFERROR(INDEX('_Развёртки'!$C$2:$C$1358,MATCH(B26&amp;"|"&amp;H34,'_Развёртки'!$D$2:$D$1358,0)),0)*N(C26))+IF(B27="",0,IFERROR(INDEX('_Развёртки'!$C$2:$C$1358,MATCH(B27&amp;"|"&amp;H34,'_Развёртки'!$D$2:$D$1358,0)),0)*N(C27))</f>
        <v>114.63918</v>
      </c>
      <c r="K34" s="174">
        <f>IFERROR(VLOOKUP(H34,'Сырьё'!$C$6:$E$233,3,FALSE()),IFERROR(VLOOKUP(H34,'Полупродукты'!$C$6:$E$60,3,FALSE()),0))</f>
        <v>7.3406</v>
      </c>
      <c r="L34" s="175">
        <f t="shared" si="3"/>
        <v>841.5203647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"/>
      <c r="C35" s="1"/>
      <c r="D35" s="1"/>
      <c r="E35" s="1"/>
      <c r="F35" s="1"/>
      <c r="G35" s="35">
        <v>24.0</v>
      </c>
      <c r="H35" s="36" t="s">
        <v>555</v>
      </c>
      <c r="I35" s="176" t="str">
        <f>IFERROR(VLOOKUP(H35,'Сырьё'!$C$6:$D$233,2,FALSE()),IFERROR(VLOOKUP(H35,'Полупродукты'!$C$6:$D$60,2,FALSE()),"кг"))</f>
        <v>кг</v>
      </c>
      <c r="J35" s="177">
        <f t="array" ref="J35">IF(B8="",0,IFERROR(INDEX('_Развёртки'!$C$2:$C$1358,MATCH(B8&amp;"|"&amp;H35,'_Развёртки'!$D$2:$D$1358,0)),0)*N(C8))+IF(B9="",0,IFERROR(INDEX('_Развёртки'!$C$2:$C$1358,MATCH(B9&amp;"|"&amp;H35,'_Развёртки'!$D$2:$D$1358,0)),0)*N(C9))+IF(B10="",0,IFERROR(INDEX('_Развёртки'!$C$2:$C$1358,MATCH(B10&amp;"|"&amp;H35,'_Развёртки'!$D$2:$D$1358,0)),0)*N(C10))+IF(B11="",0,IFERROR(INDEX('_Развёртки'!$C$2:$C$1358,MATCH(B11&amp;"|"&amp;H35,'_Развёртки'!$D$2:$D$1358,0)),0)*N(C11))+IF(B12="",0,IFERROR(INDEX('_Развёртки'!$C$2:$C$1358,MATCH(B12&amp;"|"&amp;H35,'_Развёртки'!$D$2:$D$1358,0)),0)*N(C12))+IF(B13="",0,IFERROR(INDEX('_Развёртки'!$C$2:$C$1358,MATCH(B13&amp;"|"&amp;H35,'_Развёртки'!$D$2:$D$1358,0)),0)*N(C13))+IF(B14="",0,IFERROR(INDEX('_Развёртки'!$C$2:$C$1358,MATCH(B14&amp;"|"&amp;H35,'_Развёртки'!$D$2:$D$1358,0)),0)*N(C14))+IF(B15="",0,IFERROR(INDEX('_Развёртки'!$C$2:$C$1358,MATCH(B15&amp;"|"&amp;H35,'_Развёртки'!$D$2:$D$1358,0)),0)*N(C15))+IF(B16="",0,IFERROR(INDEX('_Развёртки'!$C$2:$C$1358,MATCH(B16&amp;"|"&amp;H35,'_Развёртки'!$D$2:$D$1358,0)),0)*N(C16))+IF(B17="",0,IFERROR(INDEX('_Развёртки'!$C$2:$C$1358,MATCH(B17&amp;"|"&amp;H35,'_Развёртки'!$D$2:$D$1358,0)),0)*N(C17))+IF(B18="",0,IFERROR(INDEX('_Развёртки'!$C$2:$C$1358,MATCH(B18&amp;"|"&amp;H35,'_Развёртки'!$D$2:$D$1358,0)),0)*N(C18))+IF(B19="",0,IFERROR(INDEX('_Развёртки'!$C$2:$C$1358,MATCH(B19&amp;"|"&amp;H35,'_Развёртки'!$D$2:$D$1358,0)),0)*N(C19))+IF(B20="",0,IFERROR(INDEX('_Развёртки'!$C$2:$C$1358,MATCH(B20&amp;"|"&amp;H35,'_Развёртки'!$D$2:$D$1358,0)),0)*N(C20))+IF(B21="",0,IFERROR(INDEX('_Развёртки'!$C$2:$C$1358,MATCH(B21&amp;"|"&amp;H35,'_Развёртки'!$D$2:$D$1358,0)),0)*N(C21))+IF(B22="",0,IFERROR(INDEX('_Развёртки'!$C$2:$C$1358,MATCH(B22&amp;"|"&amp;H35,'_Развёртки'!$D$2:$D$1358,0)),0)*N(C22))+IF(B23="",0,IFERROR(INDEX('_Развёртки'!$C$2:$C$1358,MATCH(B23&amp;"|"&amp;H35,'_Развёртки'!$D$2:$D$1358,0)),0)*N(C23))+IF(B24="",0,IFERROR(INDEX('_Развёртки'!$C$2:$C$1358,MATCH(B24&amp;"|"&amp;H35,'_Развёртки'!$D$2:$D$1358,0)),0)*N(C24))+IF(B25="",0,IFERROR(INDEX('_Развёртки'!$C$2:$C$1358,MATCH(B25&amp;"|"&amp;H35,'_Развёртки'!$D$2:$D$1358,0)),0)*N(C25))+IF(B26="",0,IFERROR(INDEX('_Развёртки'!$C$2:$C$1358,MATCH(B26&amp;"|"&amp;H35,'_Развёртки'!$D$2:$D$1358,0)),0)*N(C26))+IF(B27="",0,IFERROR(INDEX('_Развёртки'!$C$2:$C$1358,MATCH(B27&amp;"|"&amp;H35,'_Развёртки'!$D$2:$D$1358,0)),0)*N(C27))</f>
        <v>0</v>
      </c>
      <c r="K35" s="178">
        <f>IFERROR(VLOOKUP(H35,'Сырьё'!$C$6:$E$233,3,FALSE()),IFERROR(VLOOKUP(H35,'Полупродукты'!$C$6:$E$60,3,FALSE()),0))</f>
        <v>8.4</v>
      </c>
      <c r="L35" s="179">
        <f t="shared" si="3"/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"/>
      <c r="C36" s="1"/>
      <c r="D36" s="1"/>
      <c r="E36" s="1"/>
      <c r="F36" s="1"/>
      <c r="G36" s="170">
        <v>25.0</v>
      </c>
      <c r="H36" s="171" t="s">
        <v>556</v>
      </c>
      <c r="I36" s="172" t="str">
        <f>IFERROR(VLOOKUP(H36,'Сырьё'!$C$6:$D$233,2,FALSE()),IFERROR(VLOOKUP(H36,'Полупродукты'!$C$6:$D$60,2,FALSE()),"кг"))</f>
        <v>кг</v>
      </c>
      <c r="J36" s="173">
        <f t="array" ref="J36">IF(B8="",0,IFERROR(INDEX('_Развёртки'!$C$2:$C$1358,MATCH(B8&amp;"|"&amp;H36,'_Развёртки'!$D$2:$D$1358,0)),0)*N(C8))+IF(B9="",0,IFERROR(INDEX('_Развёртки'!$C$2:$C$1358,MATCH(B9&amp;"|"&amp;H36,'_Развёртки'!$D$2:$D$1358,0)),0)*N(C9))+IF(B10="",0,IFERROR(INDEX('_Развёртки'!$C$2:$C$1358,MATCH(B10&amp;"|"&amp;H36,'_Развёртки'!$D$2:$D$1358,0)),0)*N(C10))+IF(B11="",0,IFERROR(INDEX('_Развёртки'!$C$2:$C$1358,MATCH(B11&amp;"|"&amp;H36,'_Развёртки'!$D$2:$D$1358,0)),0)*N(C11))+IF(B12="",0,IFERROR(INDEX('_Развёртки'!$C$2:$C$1358,MATCH(B12&amp;"|"&amp;H36,'_Развёртки'!$D$2:$D$1358,0)),0)*N(C12))+IF(B13="",0,IFERROR(INDEX('_Развёртки'!$C$2:$C$1358,MATCH(B13&amp;"|"&amp;H36,'_Развёртки'!$D$2:$D$1358,0)),0)*N(C13))+IF(B14="",0,IFERROR(INDEX('_Развёртки'!$C$2:$C$1358,MATCH(B14&amp;"|"&amp;H36,'_Развёртки'!$D$2:$D$1358,0)),0)*N(C14))+IF(B15="",0,IFERROR(INDEX('_Развёртки'!$C$2:$C$1358,MATCH(B15&amp;"|"&amp;H36,'_Развёртки'!$D$2:$D$1358,0)),0)*N(C15))+IF(B16="",0,IFERROR(INDEX('_Развёртки'!$C$2:$C$1358,MATCH(B16&amp;"|"&amp;H36,'_Развёртки'!$D$2:$D$1358,0)),0)*N(C16))+IF(B17="",0,IFERROR(INDEX('_Развёртки'!$C$2:$C$1358,MATCH(B17&amp;"|"&amp;H36,'_Развёртки'!$D$2:$D$1358,0)),0)*N(C17))+IF(B18="",0,IFERROR(INDEX('_Развёртки'!$C$2:$C$1358,MATCH(B18&amp;"|"&amp;H36,'_Развёртки'!$D$2:$D$1358,0)),0)*N(C18))+IF(B19="",0,IFERROR(INDEX('_Развёртки'!$C$2:$C$1358,MATCH(B19&amp;"|"&amp;H36,'_Развёртки'!$D$2:$D$1358,0)),0)*N(C19))+IF(B20="",0,IFERROR(INDEX('_Развёртки'!$C$2:$C$1358,MATCH(B20&amp;"|"&amp;H36,'_Развёртки'!$D$2:$D$1358,0)),0)*N(C20))+IF(B21="",0,IFERROR(INDEX('_Развёртки'!$C$2:$C$1358,MATCH(B21&amp;"|"&amp;H36,'_Развёртки'!$D$2:$D$1358,0)),0)*N(C21))+IF(B22="",0,IFERROR(INDEX('_Развёртки'!$C$2:$C$1358,MATCH(B22&amp;"|"&amp;H36,'_Развёртки'!$D$2:$D$1358,0)),0)*N(C22))+IF(B23="",0,IFERROR(INDEX('_Развёртки'!$C$2:$C$1358,MATCH(B23&amp;"|"&amp;H36,'_Развёртки'!$D$2:$D$1358,0)),0)*N(C23))+IF(B24="",0,IFERROR(INDEX('_Развёртки'!$C$2:$C$1358,MATCH(B24&amp;"|"&amp;H36,'_Развёртки'!$D$2:$D$1358,0)),0)*N(C24))+IF(B25="",0,IFERROR(INDEX('_Развёртки'!$C$2:$C$1358,MATCH(B25&amp;"|"&amp;H36,'_Развёртки'!$D$2:$D$1358,0)),0)*N(C25))+IF(B26="",0,IFERROR(INDEX('_Развёртки'!$C$2:$C$1358,MATCH(B26&amp;"|"&amp;H36,'_Развёртки'!$D$2:$D$1358,0)),0)*N(C26))+IF(B27="",0,IFERROR(INDEX('_Развёртки'!$C$2:$C$1358,MATCH(B27&amp;"|"&amp;H36,'_Развёртки'!$D$2:$D$1358,0)),0)*N(C27))</f>
        <v>1.2054</v>
      </c>
      <c r="K36" s="174">
        <f>IFERROR(VLOOKUP(H36,'Сырьё'!$C$6:$E$233,3,FALSE()),IFERROR(VLOOKUP(H36,'Полупродукты'!$C$6:$E$60,3,FALSE()),0))</f>
        <v>5.6362</v>
      </c>
      <c r="L36" s="175">
        <f t="shared" si="3"/>
        <v>6.79387548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"/>
      <c r="C37" s="1"/>
      <c r="D37" s="1"/>
      <c r="E37" s="1"/>
      <c r="F37" s="1"/>
      <c r="G37" s="35">
        <v>26.0</v>
      </c>
      <c r="H37" s="36" t="s">
        <v>557</v>
      </c>
      <c r="I37" s="176" t="str">
        <f>IFERROR(VLOOKUP(H37,'Сырьё'!$C$6:$D$233,2,FALSE()),IFERROR(VLOOKUP(H37,'Полупродукты'!$C$6:$D$60,2,FALSE()),"кг"))</f>
        <v>кг</v>
      </c>
      <c r="J37" s="177">
        <f t="array" ref="J37">IF(B8="",0,IFERROR(INDEX('_Развёртки'!$C$2:$C$1358,MATCH(B8&amp;"|"&amp;H37,'_Развёртки'!$D$2:$D$1358,0)),0)*N(C8))+IF(B9="",0,IFERROR(INDEX('_Развёртки'!$C$2:$C$1358,MATCH(B9&amp;"|"&amp;H37,'_Развёртки'!$D$2:$D$1358,0)),0)*N(C9))+IF(B10="",0,IFERROR(INDEX('_Развёртки'!$C$2:$C$1358,MATCH(B10&amp;"|"&amp;H37,'_Развёртки'!$D$2:$D$1358,0)),0)*N(C10))+IF(B11="",0,IFERROR(INDEX('_Развёртки'!$C$2:$C$1358,MATCH(B11&amp;"|"&amp;H37,'_Развёртки'!$D$2:$D$1358,0)),0)*N(C11))+IF(B12="",0,IFERROR(INDEX('_Развёртки'!$C$2:$C$1358,MATCH(B12&amp;"|"&amp;H37,'_Развёртки'!$D$2:$D$1358,0)),0)*N(C12))+IF(B13="",0,IFERROR(INDEX('_Развёртки'!$C$2:$C$1358,MATCH(B13&amp;"|"&amp;H37,'_Развёртки'!$D$2:$D$1358,0)),0)*N(C13))+IF(B14="",0,IFERROR(INDEX('_Развёртки'!$C$2:$C$1358,MATCH(B14&amp;"|"&amp;H37,'_Развёртки'!$D$2:$D$1358,0)),0)*N(C14))+IF(B15="",0,IFERROR(INDEX('_Развёртки'!$C$2:$C$1358,MATCH(B15&amp;"|"&amp;H37,'_Развёртки'!$D$2:$D$1358,0)),0)*N(C15))+IF(B16="",0,IFERROR(INDEX('_Развёртки'!$C$2:$C$1358,MATCH(B16&amp;"|"&amp;H37,'_Развёртки'!$D$2:$D$1358,0)),0)*N(C16))+IF(B17="",0,IFERROR(INDEX('_Развёртки'!$C$2:$C$1358,MATCH(B17&amp;"|"&amp;H37,'_Развёртки'!$D$2:$D$1358,0)),0)*N(C17))+IF(B18="",0,IFERROR(INDEX('_Развёртки'!$C$2:$C$1358,MATCH(B18&amp;"|"&amp;H37,'_Развёртки'!$D$2:$D$1358,0)),0)*N(C18))+IF(B19="",0,IFERROR(INDEX('_Развёртки'!$C$2:$C$1358,MATCH(B19&amp;"|"&amp;H37,'_Развёртки'!$D$2:$D$1358,0)),0)*N(C19))+IF(B20="",0,IFERROR(INDEX('_Развёртки'!$C$2:$C$1358,MATCH(B20&amp;"|"&amp;H37,'_Развёртки'!$D$2:$D$1358,0)),0)*N(C20))+IF(B21="",0,IFERROR(INDEX('_Развёртки'!$C$2:$C$1358,MATCH(B21&amp;"|"&amp;H37,'_Развёртки'!$D$2:$D$1358,0)),0)*N(C21))+IF(B22="",0,IFERROR(INDEX('_Развёртки'!$C$2:$C$1358,MATCH(B22&amp;"|"&amp;H37,'_Развёртки'!$D$2:$D$1358,0)),0)*N(C22))+IF(B23="",0,IFERROR(INDEX('_Развёртки'!$C$2:$C$1358,MATCH(B23&amp;"|"&amp;H37,'_Развёртки'!$D$2:$D$1358,0)),0)*N(C23))+IF(B24="",0,IFERROR(INDEX('_Развёртки'!$C$2:$C$1358,MATCH(B24&amp;"|"&amp;H37,'_Развёртки'!$D$2:$D$1358,0)),0)*N(C24))+IF(B25="",0,IFERROR(INDEX('_Развёртки'!$C$2:$C$1358,MATCH(B25&amp;"|"&amp;H37,'_Развёртки'!$D$2:$D$1358,0)),0)*N(C25))+IF(B26="",0,IFERROR(INDEX('_Развёртки'!$C$2:$C$1358,MATCH(B26&amp;"|"&amp;H37,'_Развёртки'!$D$2:$D$1358,0)),0)*N(C26))+IF(B27="",0,IFERROR(INDEX('_Развёртки'!$C$2:$C$1358,MATCH(B27&amp;"|"&amp;H37,'_Развёртки'!$D$2:$D$1358,0)),0)*N(C27))</f>
        <v>4.7174</v>
      </c>
      <c r="K37" s="178">
        <f>IFERROR(VLOOKUP(H37,'Сырьё'!$C$6:$E$233,3,FALSE()),IFERROR(VLOOKUP(H37,'Полупродукты'!$C$6:$E$60,3,FALSE()),0))</f>
        <v>12.0149</v>
      </c>
      <c r="L37" s="179">
        <f t="shared" si="3"/>
        <v>56.67908926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"/>
      <c r="C38" s="1"/>
      <c r="D38" s="1"/>
      <c r="E38" s="1"/>
      <c r="F38" s="1"/>
      <c r="G38" s="170">
        <v>27.0</v>
      </c>
      <c r="H38" s="171" t="s">
        <v>558</v>
      </c>
      <c r="I38" s="172" t="str">
        <f>IFERROR(VLOOKUP(H38,'Сырьё'!$C$6:$D$233,2,FALSE()),IFERROR(VLOOKUP(H38,'Полупродукты'!$C$6:$D$60,2,FALSE()),"кг"))</f>
        <v>кг</v>
      </c>
      <c r="J38" s="173">
        <f t="array" ref="J38">IF(B8="",0,IFERROR(INDEX('_Развёртки'!$C$2:$C$1358,MATCH(B8&amp;"|"&amp;H38,'_Развёртки'!$D$2:$D$1358,0)),0)*N(C8))+IF(B9="",0,IFERROR(INDEX('_Развёртки'!$C$2:$C$1358,MATCH(B9&amp;"|"&amp;H38,'_Развёртки'!$D$2:$D$1358,0)),0)*N(C9))+IF(B10="",0,IFERROR(INDEX('_Развёртки'!$C$2:$C$1358,MATCH(B10&amp;"|"&amp;H38,'_Развёртки'!$D$2:$D$1358,0)),0)*N(C10))+IF(B11="",0,IFERROR(INDEX('_Развёртки'!$C$2:$C$1358,MATCH(B11&amp;"|"&amp;H38,'_Развёртки'!$D$2:$D$1358,0)),0)*N(C11))+IF(B12="",0,IFERROR(INDEX('_Развёртки'!$C$2:$C$1358,MATCH(B12&amp;"|"&amp;H38,'_Развёртки'!$D$2:$D$1358,0)),0)*N(C12))+IF(B13="",0,IFERROR(INDEX('_Развёртки'!$C$2:$C$1358,MATCH(B13&amp;"|"&amp;H38,'_Развёртки'!$D$2:$D$1358,0)),0)*N(C13))+IF(B14="",0,IFERROR(INDEX('_Развёртки'!$C$2:$C$1358,MATCH(B14&amp;"|"&amp;H38,'_Развёртки'!$D$2:$D$1358,0)),0)*N(C14))+IF(B15="",0,IFERROR(INDEX('_Развёртки'!$C$2:$C$1358,MATCH(B15&amp;"|"&amp;H38,'_Развёртки'!$D$2:$D$1358,0)),0)*N(C15))+IF(B16="",0,IFERROR(INDEX('_Развёртки'!$C$2:$C$1358,MATCH(B16&amp;"|"&amp;H38,'_Развёртки'!$D$2:$D$1358,0)),0)*N(C16))+IF(B17="",0,IFERROR(INDEX('_Развёртки'!$C$2:$C$1358,MATCH(B17&amp;"|"&amp;H38,'_Развёртки'!$D$2:$D$1358,0)),0)*N(C17))+IF(B18="",0,IFERROR(INDEX('_Развёртки'!$C$2:$C$1358,MATCH(B18&amp;"|"&amp;H38,'_Развёртки'!$D$2:$D$1358,0)),0)*N(C18))+IF(B19="",0,IFERROR(INDEX('_Развёртки'!$C$2:$C$1358,MATCH(B19&amp;"|"&amp;H38,'_Развёртки'!$D$2:$D$1358,0)),0)*N(C19))+IF(B20="",0,IFERROR(INDEX('_Развёртки'!$C$2:$C$1358,MATCH(B20&amp;"|"&amp;H38,'_Развёртки'!$D$2:$D$1358,0)),0)*N(C20))+IF(B21="",0,IFERROR(INDEX('_Развёртки'!$C$2:$C$1358,MATCH(B21&amp;"|"&amp;H38,'_Развёртки'!$D$2:$D$1358,0)),0)*N(C21))+IF(B22="",0,IFERROR(INDEX('_Развёртки'!$C$2:$C$1358,MATCH(B22&amp;"|"&amp;H38,'_Развёртки'!$D$2:$D$1358,0)),0)*N(C22))+IF(B23="",0,IFERROR(INDEX('_Развёртки'!$C$2:$C$1358,MATCH(B23&amp;"|"&amp;H38,'_Развёртки'!$D$2:$D$1358,0)),0)*N(C23))+IF(B24="",0,IFERROR(INDEX('_Развёртки'!$C$2:$C$1358,MATCH(B24&amp;"|"&amp;H38,'_Развёртки'!$D$2:$D$1358,0)),0)*N(C24))+IF(B25="",0,IFERROR(INDEX('_Развёртки'!$C$2:$C$1358,MATCH(B25&amp;"|"&amp;H38,'_Развёртки'!$D$2:$D$1358,0)),0)*N(C25))+IF(B26="",0,IFERROR(INDEX('_Развёртки'!$C$2:$C$1358,MATCH(B26&amp;"|"&amp;H38,'_Развёртки'!$D$2:$D$1358,0)),0)*N(C26))+IF(B27="",0,IFERROR(INDEX('_Развёртки'!$C$2:$C$1358,MATCH(B27&amp;"|"&amp;H38,'_Развёртки'!$D$2:$D$1358,0)),0)*N(C27))</f>
        <v>0</v>
      </c>
      <c r="K38" s="174">
        <f>IFERROR(VLOOKUP(H38,'Сырьё'!$C$6:$E$233,3,FALSE()),IFERROR(VLOOKUP(H38,'Полупродукты'!$C$6:$E$60,3,FALSE()),0))</f>
        <v>2.53</v>
      </c>
      <c r="L38" s="175">
        <f t="shared" si="3"/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"/>
      <c r="C39" s="1"/>
      <c r="D39" s="1"/>
      <c r="E39" s="1"/>
      <c r="F39" s="1"/>
      <c r="G39" s="35">
        <v>28.0</v>
      </c>
      <c r="H39" s="36" t="s">
        <v>559</v>
      </c>
      <c r="I39" s="176" t="str">
        <f>IFERROR(VLOOKUP(H39,'Сырьё'!$C$6:$D$233,2,FALSE()),IFERROR(VLOOKUP(H39,'Полупродукты'!$C$6:$D$60,2,FALSE()),"кг"))</f>
        <v>кг</v>
      </c>
      <c r="J39" s="177">
        <f t="array" ref="J39">IF(B8="",0,IFERROR(INDEX('_Развёртки'!$C$2:$C$1358,MATCH(B8&amp;"|"&amp;H39,'_Развёртки'!$D$2:$D$1358,0)),0)*N(C8))+IF(B9="",0,IFERROR(INDEX('_Развёртки'!$C$2:$C$1358,MATCH(B9&amp;"|"&amp;H39,'_Развёртки'!$D$2:$D$1358,0)),0)*N(C9))+IF(B10="",0,IFERROR(INDEX('_Развёртки'!$C$2:$C$1358,MATCH(B10&amp;"|"&amp;H39,'_Развёртки'!$D$2:$D$1358,0)),0)*N(C10))+IF(B11="",0,IFERROR(INDEX('_Развёртки'!$C$2:$C$1358,MATCH(B11&amp;"|"&amp;H39,'_Развёртки'!$D$2:$D$1358,0)),0)*N(C11))+IF(B12="",0,IFERROR(INDEX('_Развёртки'!$C$2:$C$1358,MATCH(B12&amp;"|"&amp;H39,'_Развёртки'!$D$2:$D$1358,0)),0)*N(C12))+IF(B13="",0,IFERROR(INDEX('_Развёртки'!$C$2:$C$1358,MATCH(B13&amp;"|"&amp;H39,'_Развёртки'!$D$2:$D$1358,0)),0)*N(C13))+IF(B14="",0,IFERROR(INDEX('_Развёртки'!$C$2:$C$1358,MATCH(B14&amp;"|"&amp;H39,'_Развёртки'!$D$2:$D$1358,0)),0)*N(C14))+IF(B15="",0,IFERROR(INDEX('_Развёртки'!$C$2:$C$1358,MATCH(B15&amp;"|"&amp;H39,'_Развёртки'!$D$2:$D$1358,0)),0)*N(C15))+IF(B16="",0,IFERROR(INDEX('_Развёртки'!$C$2:$C$1358,MATCH(B16&amp;"|"&amp;H39,'_Развёртки'!$D$2:$D$1358,0)),0)*N(C16))+IF(B17="",0,IFERROR(INDEX('_Развёртки'!$C$2:$C$1358,MATCH(B17&amp;"|"&amp;H39,'_Развёртки'!$D$2:$D$1358,0)),0)*N(C17))+IF(B18="",0,IFERROR(INDEX('_Развёртки'!$C$2:$C$1358,MATCH(B18&amp;"|"&amp;H39,'_Развёртки'!$D$2:$D$1358,0)),0)*N(C18))+IF(B19="",0,IFERROR(INDEX('_Развёртки'!$C$2:$C$1358,MATCH(B19&amp;"|"&amp;H39,'_Развёртки'!$D$2:$D$1358,0)),0)*N(C19))+IF(B20="",0,IFERROR(INDEX('_Развёртки'!$C$2:$C$1358,MATCH(B20&amp;"|"&amp;H39,'_Развёртки'!$D$2:$D$1358,0)),0)*N(C20))+IF(B21="",0,IFERROR(INDEX('_Развёртки'!$C$2:$C$1358,MATCH(B21&amp;"|"&amp;H39,'_Развёртки'!$D$2:$D$1358,0)),0)*N(C21))+IF(B22="",0,IFERROR(INDEX('_Развёртки'!$C$2:$C$1358,MATCH(B22&amp;"|"&amp;H39,'_Развёртки'!$D$2:$D$1358,0)),0)*N(C22))+IF(B23="",0,IFERROR(INDEX('_Развёртки'!$C$2:$C$1358,MATCH(B23&amp;"|"&amp;H39,'_Развёртки'!$D$2:$D$1358,0)),0)*N(C23))+IF(B24="",0,IFERROR(INDEX('_Развёртки'!$C$2:$C$1358,MATCH(B24&amp;"|"&amp;H39,'_Развёртки'!$D$2:$D$1358,0)),0)*N(C24))+IF(B25="",0,IFERROR(INDEX('_Развёртки'!$C$2:$C$1358,MATCH(B25&amp;"|"&amp;H39,'_Развёртки'!$D$2:$D$1358,0)),0)*N(C25))+IF(B26="",0,IFERROR(INDEX('_Развёртки'!$C$2:$C$1358,MATCH(B26&amp;"|"&amp;H39,'_Развёртки'!$D$2:$D$1358,0)),0)*N(C26))+IF(B27="",0,IFERROR(INDEX('_Развёртки'!$C$2:$C$1358,MATCH(B27&amp;"|"&amp;H39,'_Развёртки'!$D$2:$D$1358,0)),0)*N(C27))</f>
        <v>0</v>
      </c>
      <c r="K39" s="178">
        <f>IFERROR(VLOOKUP(H39,'Сырьё'!$C$6:$E$233,3,FALSE()),IFERROR(VLOOKUP(H39,'Полупродукты'!$C$6:$E$60,3,FALSE()),0))</f>
        <v>0</v>
      </c>
      <c r="L39" s="179">
        <f t="shared" si="3"/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"/>
      <c r="C40" s="1"/>
      <c r="D40" s="1"/>
      <c r="E40" s="1"/>
      <c r="F40" s="1"/>
      <c r="G40" s="170">
        <v>29.0</v>
      </c>
      <c r="H40" s="171" t="s">
        <v>560</v>
      </c>
      <c r="I40" s="172" t="str">
        <f>IFERROR(VLOOKUP(H40,'Сырьё'!$C$6:$D$233,2,FALSE()),IFERROR(VLOOKUP(H40,'Полупродукты'!$C$6:$D$60,2,FALSE()),"кг"))</f>
        <v>кг</v>
      </c>
      <c r="J40" s="173">
        <f t="array" ref="J40">IF(B8="",0,IFERROR(INDEX('_Развёртки'!$C$2:$C$1358,MATCH(B8&amp;"|"&amp;H40,'_Развёртки'!$D$2:$D$1358,0)),0)*N(C8))+IF(B9="",0,IFERROR(INDEX('_Развёртки'!$C$2:$C$1358,MATCH(B9&amp;"|"&amp;H40,'_Развёртки'!$D$2:$D$1358,0)),0)*N(C9))+IF(B10="",0,IFERROR(INDEX('_Развёртки'!$C$2:$C$1358,MATCH(B10&amp;"|"&amp;H40,'_Развёртки'!$D$2:$D$1358,0)),0)*N(C10))+IF(B11="",0,IFERROR(INDEX('_Развёртки'!$C$2:$C$1358,MATCH(B11&amp;"|"&amp;H40,'_Развёртки'!$D$2:$D$1358,0)),0)*N(C11))+IF(B12="",0,IFERROR(INDEX('_Развёртки'!$C$2:$C$1358,MATCH(B12&amp;"|"&amp;H40,'_Развёртки'!$D$2:$D$1358,0)),0)*N(C12))+IF(B13="",0,IFERROR(INDEX('_Развёртки'!$C$2:$C$1358,MATCH(B13&amp;"|"&amp;H40,'_Развёртки'!$D$2:$D$1358,0)),0)*N(C13))+IF(B14="",0,IFERROR(INDEX('_Развёртки'!$C$2:$C$1358,MATCH(B14&amp;"|"&amp;H40,'_Развёртки'!$D$2:$D$1358,0)),0)*N(C14))+IF(B15="",0,IFERROR(INDEX('_Развёртки'!$C$2:$C$1358,MATCH(B15&amp;"|"&amp;H40,'_Развёртки'!$D$2:$D$1358,0)),0)*N(C15))+IF(B16="",0,IFERROR(INDEX('_Развёртки'!$C$2:$C$1358,MATCH(B16&amp;"|"&amp;H40,'_Развёртки'!$D$2:$D$1358,0)),0)*N(C16))+IF(B17="",0,IFERROR(INDEX('_Развёртки'!$C$2:$C$1358,MATCH(B17&amp;"|"&amp;H40,'_Развёртки'!$D$2:$D$1358,0)),0)*N(C17))+IF(B18="",0,IFERROR(INDEX('_Развёртки'!$C$2:$C$1358,MATCH(B18&amp;"|"&amp;H40,'_Развёртки'!$D$2:$D$1358,0)),0)*N(C18))+IF(B19="",0,IFERROR(INDEX('_Развёртки'!$C$2:$C$1358,MATCH(B19&amp;"|"&amp;H40,'_Развёртки'!$D$2:$D$1358,0)),0)*N(C19))+IF(B20="",0,IFERROR(INDEX('_Развёртки'!$C$2:$C$1358,MATCH(B20&amp;"|"&amp;H40,'_Развёртки'!$D$2:$D$1358,0)),0)*N(C20))+IF(B21="",0,IFERROR(INDEX('_Развёртки'!$C$2:$C$1358,MATCH(B21&amp;"|"&amp;H40,'_Развёртки'!$D$2:$D$1358,0)),0)*N(C21))+IF(B22="",0,IFERROR(INDEX('_Развёртки'!$C$2:$C$1358,MATCH(B22&amp;"|"&amp;H40,'_Развёртки'!$D$2:$D$1358,0)),0)*N(C22))+IF(B23="",0,IFERROR(INDEX('_Развёртки'!$C$2:$C$1358,MATCH(B23&amp;"|"&amp;H40,'_Развёртки'!$D$2:$D$1358,0)),0)*N(C23))+IF(B24="",0,IFERROR(INDEX('_Развёртки'!$C$2:$C$1358,MATCH(B24&amp;"|"&amp;H40,'_Развёртки'!$D$2:$D$1358,0)),0)*N(C24))+IF(B25="",0,IFERROR(INDEX('_Развёртки'!$C$2:$C$1358,MATCH(B25&amp;"|"&amp;H40,'_Развёртки'!$D$2:$D$1358,0)),0)*N(C25))+IF(B26="",0,IFERROR(INDEX('_Развёртки'!$C$2:$C$1358,MATCH(B26&amp;"|"&amp;H40,'_Развёртки'!$D$2:$D$1358,0)),0)*N(C26))+IF(B27="",0,IFERROR(INDEX('_Развёртки'!$C$2:$C$1358,MATCH(B27&amp;"|"&amp;H40,'_Развёртки'!$D$2:$D$1358,0)),0)*N(C27))</f>
        <v>0</v>
      </c>
      <c r="K40" s="174">
        <f>IFERROR(VLOOKUP(H40,'Сырьё'!$C$6:$E$233,3,FALSE()),IFERROR(VLOOKUP(H40,'Полупродукты'!$C$6:$E$60,3,FALSE()),0))</f>
        <v>0</v>
      </c>
      <c r="L40" s="175">
        <f t="shared" si="3"/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"/>
      <c r="C41" s="1"/>
      <c r="D41" s="1"/>
      <c r="E41" s="1"/>
      <c r="F41" s="1"/>
      <c r="G41" s="35">
        <v>30.0</v>
      </c>
      <c r="H41" s="36" t="s">
        <v>561</v>
      </c>
      <c r="I41" s="176" t="str">
        <f>IFERROR(VLOOKUP(H41,'Сырьё'!$C$6:$D$233,2,FALSE()),IFERROR(VLOOKUP(H41,'Полупродукты'!$C$6:$D$60,2,FALSE()),"кг"))</f>
        <v>кг</v>
      </c>
      <c r="J41" s="177">
        <f t="array" ref="J41">IF(B8="",0,IFERROR(INDEX('_Развёртки'!$C$2:$C$1358,MATCH(B8&amp;"|"&amp;H41,'_Развёртки'!$D$2:$D$1358,0)),0)*N(C8))+IF(B9="",0,IFERROR(INDEX('_Развёртки'!$C$2:$C$1358,MATCH(B9&amp;"|"&amp;H41,'_Развёртки'!$D$2:$D$1358,0)),0)*N(C9))+IF(B10="",0,IFERROR(INDEX('_Развёртки'!$C$2:$C$1358,MATCH(B10&amp;"|"&amp;H41,'_Развёртки'!$D$2:$D$1358,0)),0)*N(C10))+IF(B11="",0,IFERROR(INDEX('_Развёртки'!$C$2:$C$1358,MATCH(B11&amp;"|"&amp;H41,'_Развёртки'!$D$2:$D$1358,0)),0)*N(C11))+IF(B12="",0,IFERROR(INDEX('_Развёртки'!$C$2:$C$1358,MATCH(B12&amp;"|"&amp;H41,'_Развёртки'!$D$2:$D$1358,0)),0)*N(C12))+IF(B13="",0,IFERROR(INDEX('_Развёртки'!$C$2:$C$1358,MATCH(B13&amp;"|"&amp;H41,'_Развёртки'!$D$2:$D$1358,0)),0)*N(C13))+IF(B14="",0,IFERROR(INDEX('_Развёртки'!$C$2:$C$1358,MATCH(B14&amp;"|"&amp;H41,'_Развёртки'!$D$2:$D$1358,0)),0)*N(C14))+IF(B15="",0,IFERROR(INDEX('_Развёртки'!$C$2:$C$1358,MATCH(B15&amp;"|"&amp;H41,'_Развёртки'!$D$2:$D$1358,0)),0)*N(C15))+IF(B16="",0,IFERROR(INDEX('_Развёртки'!$C$2:$C$1358,MATCH(B16&amp;"|"&amp;H41,'_Развёртки'!$D$2:$D$1358,0)),0)*N(C16))+IF(B17="",0,IFERROR(INDEX('_Развёртки'!$C$2:$C$1358,MATCH(B17&amp;"|"&amp;H41,'_Развёртки'!$D$2:$D$1358,0)),0)*N(C17))+IF(B18="",0,IFERROR(INDEX('_Развёртки'!$C$2:$C$1358,MATCH(B18&amp;"|"&amp;H41,'_Развёртки'!$D$2:$D$1358,0)),0)*N(C18))+IF(B19="",0,IFERROR(INDEX('_Развёртки'!$C$2:$C$1358,MATCH(B19&amp;"|"&amp;H41,'_Развёртки'!$D$2:$D$1358,0)),0)*N(C19))+IF(B20="",0,IFERROR(INDEX('_Развёртки'!$C$2:$C$1358,MATCH(B20&amp;"|"&amp;H41,'_Развёртки'!$D$2:$D$1358,0)),0)*N(C20))+IF(B21="",0,IFERROR(INDEX('_Развёртки'!$C$2:$C$1358,MATCH(B21&amp;"|"&amp;H41,'_Развёртки'!$D$2:$D$1358,0)),0)*N(C21))+IF(B22="",0,IFERROR(INDEX('_Развёртки'!$C$2:$C$1358,MATCH(B22&amp;"|"&amp;H41,'_Развёртки'!$D$2:$D$1358,0)),0)*N(C22))+IF(B23="",0,IFERROR(INDEX('_Развёртки'!$C$2:$C$1358,MATCH(B23&amp;"|"&amp;H41,'_Развёртки'!$D$2:$D$1358,0)),0)*N(C23))+IF(B24="",0,IFERROR(INDEX('_Развёртки'!$C$2:$C$1358,MATCH(B24&amp;"|"&amp;H41,'_Развёртки'!$D$2:$D$1358,0)),0)*N(C24))+IF(B25="",0,IFERROR(INDEX('_Развёртки'!$C$2:$C$1358,MATCH(B25&amp;"|"&amp;H41,'_Развёртки'!$D$2:$D$1358,0)),0)*N(C25))+IF(B26="",0,IFERROR(INDEX('_Развёртки'!$C$2:$C$1358,MATCH(B26&amp;"|"&amp;H41,'_Развёртки'!$D$2:$D$1358,0)),0)*N(C26))+IF(B27="",0,IFERROR(INDEX('_Развёртки'!$C$2:$C$1358,MATCH(B27&amp;"|"&amp;H41,'_Развёртки'!$D$2:$D$1358,0)),0)*N(C27))</f>
        <v>0</v>
      </c>
      <c r="K41" s="178">
        <f>IFERROR(VLOOKUP(H41,'Сырьё'!$C$6:$E$233,3,FALSE()),IFERROR(VLOOKUP(H41,'Полупродукты'!$C$6:$E$60,3,FALSE()),0))</f>
        <v>18.9593</v>
      </c>
      <c r="L41" s="179">
        <f t="shared" si="3"/>
        <v>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"/>
      <c r="C42" s="1"/>
      <c r="D42" s="1"/>
      <c r="E42" s="1"/>
      <c r="F42" s="1"/>
      <c r="G42" s="170">
        <v>31.0</v>
      </c>
      <c r="H42" s="171" t="s">
        <v>562</v>
      </c>
      <c r="I42" s="172" t="str">
        <f>IFERROR(VLOOKUP(H42,'Сырьё'!$C$6:$D$233,2,FALSE()),IFERROR(VLOOKUP(H42,'Полупродукты'!$C$6:$D$60,2,FALSE()),"кг"))</f>
        <v>кг</v>
      </c>
      <c r="J42" s="173">
        <f t="array" ref="J42">IF(B8="",0,IFERROR(INDEX('_Развёртки'!$C$2:$C$1358,MATCH(B8&amp;"|"&amp;H42,'_Развёртки'!$D$2:$D$1358,0)),0)*N(C8))+IF(B9="",0,IFERROR(INDEX('_Развёртки'!$C$2:$C$1358,MATCH(B9&amp;"|"&amp;H42,'_Развёртки'!$D$2:$D$1358,0)),0)*N(C9))+IF(B10="",0,IFERROR(INDEX('_Развёртки'!$C$2:$C$1358,MATCH(B10&amp;"|"&amp;H42,'_Развёртки'!$D$2:$D$1358,0)),0)*N(C10))+IF(B11="",0,IFERROR(INDEX('_Развёртки'!$C$2:$C$1358,MATCH(B11&amp;"|"&amp;H42,'_Развёртки'!$D$2:$D$1358,0)),0)*N(C11))+IF(B12="",0,IFERROR(INDEX('_Развёртки'!$C$2:$C$1358,MATCH(B12&amp;"|"&amp;H42,'_Развёртки'!$D$2:$D$1358,0)),0)*N(C12))+IF(B13="",0,IFERROR(INDEX('_Развёртки'!$C$2:$C$1358,MATCH(B13&amp;"|"&amp;H42,'_Развёртки'!$D$2:$D$1358,0)),0)*N(C13))+IF(B14="",0,IFERROR(INDEX('_Развёртки'!$C$2:$C$1358,MATCH(B14&amp;"|"&amp;H42,'_Развёртки'!$D$2:$D$1358,0)),0)*N(C14))+IF(B15="",0,IFERROR(INDEX('_Развёртки'!$C$2:$C$1358,MATCH(B15&amp;"|"&amp;H42,'_Развёртки'!$D$2:$D$1358,0)),0)*N(C15))+IF(B16="",0,IFERROR(INDEX('_Развёртки'!$C$2:$C$1358,MATCH(B16&amp;"|"&amp;H42,'_Развёртки'!$D$2:$D$1358,0)),0)*N(C16))+IF(B17="",0,IFERROR(INDEX('_Развёртки'!$C$2:$C$1358,MATCH(B17&amp;"|"&amp;H42,'_Развёртки'!$D$2:$D$1358,0)),0)*N(C17))+IF(B18="",0,IFERROR(INDEX('_Развёртки'!$C$2:$C$1358,MATCH(B18&amp;"|"&amp;H42,'_Развёртки'!$D$2:$D$1358,0)),0)*N(C18))+IF(B19="",0,IFERROR(INDEX('_Развёртки'!$C$2:$C$1358,MATCH(B19&amp;"|"&amp;H42,'_Развёртки'!$D$2:$D$1358,0)),0)*N(C19))+IF(B20="",0,IFERROR(INDEX('_Развёртки'!$C$2:$C$1358,MATCH(B20&amp;"|"&amp;H42,'_Развёртки'!$D$2:$D$1358,0)),0)*N(C20))+IF(B21="",0,IFERROR(INDEX('_Развёртки'!$C$2:$C$1358,MATCH(B21&amp;"|"&amp;H42,'_Развёртки'!$D$2:$D$1358,0)),0)*N(C21))+IF(B22="",0,IFERROR(INDEX('_Развёртки'!$C$2:$C$1358,MATCH(B22&amp;"|"&amp;H42,'_Развёртки'!$D$2:$D$1358,0)),0)*N(C22))+IF(B23="",0,IFERROR(INDEX('_Развёртки'!$C$2:$C$1358,MATCH(B23&amp;"|"&amp;H42,'_Развёртки'!$D$2:$D$1358,0)),0)*N(C23))+IF(B24="",0,IFERROR(INDEX('_Развёртки'!$C$2:$C$1358,MATCH(B24&amp;"|"&amp;H42,'_Развёртки'!$D$2:$D$1358,0)),0)*N(C24))+IF(B25="",0,IFERROR(INDEX('_Развёртки'!$C$2:$C$1358,MATCH(B25&amp;"|"&amp;H42,'_Развёртки'!$D$2:$D$1358,0)),0)*N(C25))+IF(B26="",0,IFERROR(INDEX('_Развёртки'!$C$2:$C$1358,MATCH(B26&amp;"|"&amp;H42,'_Развёртки'!$D$2:$D$1358,0)),0)*N(C26))+IF(B27="",0,IFERROR(INDEX('_Развёртки'!$C$2:$C$1358,MATCH(B27&amp;"|"&amp;H42,'_Развёртки'!$D$2:$D$1358,0)),0)*N(C27))</f>
        <v>0</v>
      </c>
      <c r="K42" s="174">
        <f>IFERROR(VLOOKUP(H42,'Сырьё'!$C$6:$E$233,3,FALSE()),IFERROR(VLOOKUP(H42,'Полупродукты'!$C$6:$E$60,3,FALSE()),0))</f>
        <v>19.1461</v>
      </c>
      <c r="L42" s="175">
        <f t="shared" si="3"/>
        <v>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"/>
      <c r="C43" s="1"/>
      <c r="D43" s="1"/>
      <c r="E43" s="1"/>
      <c r="F43" s="1"/>
      <c r="G43" s="35">
        <v>32.0</v>
      </c>
      <c r="H43" s="36" t="s">
        <v>563</v>
      </c>
      <c r="I43" s="176" t="str">
        <f>IFERROR(VLOOKUP(H43,'Сырьё'!$C$6:$D$233,2,FALSE()),IFERROR(VLOOKUP(H43,'Полупродукты'!$C$6:$D$60,2,FALSE()),"кг"))</f>
        <v>кг</v>
      </c>
      <c r="J43" s="177">
        <f t="array" ref="J43">IF(B8="",0,IFERROR(INDEX('_Развёртки'!$C$2:$C$1358,MATCH(B8&amp;"|"&amp;H43,'_Развёртки'!$D$2:$D$1358,0)),0)*N(C8))+IF(B9="",0,IFERROR(INDEX('_Развёртки'!$C$2:$C$1358,MATCH(B9&amp;"|"&amp;H43,'_Развёртки'!$D$2:$D$1358,0)),0)*N(C9))+IF(B10="",0,IFERROR(INDEX('_Развёртки'!$C$2:$C$1358,MATCH(B10&amp;"|"&amp;H43,'_Развёртки'!$D$2:$D$1358,0)),0)*N(C10))+IF(B11="",0,IFERROR(INDEX('_Развёртки'!$C$2:$C$1358,MATCH(B11&amp;"|"&amp;H43,'_Развёртки'!$D$2:$D$1358,0)),0)*N(C11))+IF(B12="",0,IFERROR(INDEX('_Развёртки'!$C$2:$C$1358,MATCH(B12&amp;"|"&amp;H43,'_Развёртки'!$D$2:$D$1358,0)),0)*N(C12))+IF(B13="",0,IFERROR(INDEX('_Развёртки'!$C$2:$C$1358,MATCH(B13&amp;"|"&amp;H43,'_Развёртки'!$D$2:$D$1358,0)),0)*N(C13))+IF(B14="",0,IFERROR(INDEX('_Развёртки'!$C$2:$C$1358,MATCH(B14&amp;"|"&amp;H43,'_Развёртки'!$D$2:$D$1358,0)),0)*N(C14))+IF(B15="",0,IFERROR(INDEX('_Развёртки'!$C$2:$C$1358,MATCH(B15&amp;"|"&amp;H43,'_Развёртки'!$D$2:$D$1358,0)),0)*N(C15))+IF(B16="",0,IFERROR(INDEX('_Развёртки'!$C$2:$C$1358,MATCH(B16&amp;"|"&amp;H43,'_Развёртки'!$D$2:$D$1358,0)),0)*N(C16))+IF(B17="",0,IFERROR(INDEX('_Развёртки'!$C$2:$C$1358,MATCH(B17&amp;"|"&amp;H43,'_Развёртки'!$D$2:$D$1358,0)),0)*N(C17))+IF(B18="",0,IFERROR(INDEX('_Развёртки'!$C$2:$C$1358,MATCH(B18&amp;"|"&amp;H43,'_Развёртки'!$D$2:$D$1358,0)),0)*N(C18))+IF(B19="",0,IFERROR(INDEX('_Развёртки'!$C$2:$C$1358,MATCH(B19&amp;"|"&amp;H43,'_Развёртки'!$D$2:$D$1358,0)),0)*N(C19))+IF(B20="",0,IFERROR(INDEX('_Развёртки'!$C$2:$C$1358,MATCH(B20&amp;"|"&amp;H43,'_Развёртки'!$D$2:$D$1358,0)),0)*N(C20))+IF(B21="",0,IFERROR(INDEX('_Развёртки'!$C$2:$C$1358,MATCH(B21&amp;"|"&amp;H43,'_Развёртки'!$D$2:$D$1358,0)),0)*N(C21))+IF(B22="",0,IFERROR(INDEX('_Развёртки'!$C$2:$C$1358,MATCH(B22&amp;"|"&amp;H43,'_Развёртки'!$D$2:$D$1358,0)),0)*N(C22))+IF(B23="",0,IFERROR(INDEX('_Развёртки'!$C$2:$C$1358,MATCH(B23&amp;"|"&amp;H43,'_Развёртки'!$D$2:$D$1358,0)),0)*N(C23))+IF(B24="",0,IFERROR(INDEX('_Развёртки'!$C$2:$C$1358,MATCH(B24&amp;"|"&amp;H43,'_Развёртки'!$D$2:$D$1358,0)),0)*N(C24))+IF(B25="",0,IFERROR(INDEX('_Развёртки'!$C$2:$C$1358,MATCH(B25&amp;"|"&amp;H43,'_Развёртки'!$D$2:$D$1358,0)),0)*N(C25))+IF(B26="",0,IFERROR(INDEX('_Развёртки'!$C$2:$C$1358,MATCH(B26&amp;"|"&amp;H43,'_Развёртки'!$D$2:$D$1358,0)),0)*N(C26))+IF(B27="",0,IFERROR(INDEX('_Развёртки'!$C$2:$C$1358,MATCH(B27&amp;"|"&amp;H43,'_Развёртки'!$D$2:$D$1358,0)),0)*N(C27))</f>
        <v>0</v>
      </c>
      <c r="K43" s="178">
        <f>IFERROR(VLOOKUP(H43,'Сырьё'!$C$6:$E$233,3,FALSE()),IFERROR(VLOOKUP(H43,'Полупродукты'!$C$6:$E$60,3,FALSE()),0))</f>
        <v>51.1495</v>
      </c>
      <c r="L43" s="179">
        <f t="shared" si="3"/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"/>
      <c r="C44" s="1"/>
      <c r="D44" s="1"/>
      <c r="E44" s="1"/>
      <c r="F44" s="1"/>
      <c r="G44" s="170">
        <v>33.0</v>
      </c>
      <c r="H44" s="171" t="s">
        <v>564</v>
      </c>
      <c r="I44" s="172" t="str">
        <f>IFERROR(VLOOKUP(H44,'Сырьё'!$C$6:$D$233,2,FALSE()),IFERROR(VLOOKUP(H44,'Полупродукты'!$C$6:$D$60,2,FALSE()),"кг"))</f>
        <v>кг</v>
      </c>
      <c r="J44" s="173">
        <f t="array" ref="J44">IF(B8="",0,IFERROR(INDEX('_Развёртки'!$C$2:$C$1358,MATCH(B8&amp;"|"&amp;H44,'_Развёртки'!$D$2:$D$1358,0)),0)*N(C8))+IF(B9="",0,IFERROR(INDEX('_Развёртки'!$C$2:$C$1358,MATCH(B9&amp;"|"&amp;H44,'_Развёртки'!$D$2:$D$1358,0)),0)*N(C9))+IF(B10="",0,IFERROR(INDEX('_Развёртки'!$C$2:$C$1358,MATCH(B10&amp;"|"&amp;H44,'_Развёртки'!$D$2:$D$1358,0)),0)*N(C10))+IF(B11="",0,IFERROR(INDEX('_Развёртки'!$C$2:$C$1358,MATCH(B11&amp;"|"&amp;H44,'_Развёртки'!$D$2:$D$1358,0)),0)*N(C11))+IF(B12="",0,IFERROR(INDEX('_Развёртки'!$C$2:$C$1358,MATCH(B12&amp;"|"&amp;H44,'_Развёртки'!$D$2:$D$1358,0)),0)*N(C12))+IF(B13="",0,IFERROR(INDEX('_Развёртки'!$C$2:$C$1358,MATCH(B13&amp;"|"&amp;H44,'_Развёртки'!$D$2:$D$1358,0)),0)*N(C13))+IF(B14="",0,IFERROR(INDEX('_Развёртки'!$C$2:$C$1358,MATCH(B14&amp;"|"&amp;H44,'_Развёртки'!$D$2:$D$1358,0)),0)*N(C14))+IF(B15="",0,IFERROR(INDEX('_Развёртки'!$C$2:$C$1358,MATCH(B15&amp;"|"&amp;H44,'_Развёртки'!$D$2:$D$1358,0)),0)*N(C15))+IF(B16="",0,IFERROR(INDEX('_Развёртки'!$C$2:$C$1358,MATCH(B16&amp;"|"&amp;H44,'_Развёртки'!$D$2:$D$1358,0)),0)*N(C16))+IF(B17="",0,IFERROR(INDEX('_Развёртки'!$C$2:$C$1358,MATCH(B17&amp;"|"&amp;H44,'_Развёртки'!$D$2:$D$1358,0)),0)*N(C17))+IF(B18="",0,IFERROR(INDEX('_Развёртки'!$C$2:$C$1358,MATCH(B18&amp;"|"&amp;H44,'_Развёртки'!$D$2:$D$1358,0)),0)*N(C18))+IF(B19="",0,IFERROR(INDEX('_Развёртки'!$C$2:$C$1358,MATCH(B19&amp;"|"&amp;H44,'_Развёртки'!$D$2:$D$1358,0)),0)*N(C19))+IF(B20="",0,IFERROR(INDEX('_Развёртки'!$C$2:$C$1358,MATCH(B20&amp;"|"&amp;H44,'_Развёртки'!$D$2:$D$1358,0)),0)*N(C20))+IF(B21="",0,IFERROR(INDEX('_Развёртки'!$C$2:$C$1358,MATCH(B21&amp;"|"&amp;H44,'_Развёртки'!$D$2:$D$1358,0)),0)*N(C21))+IF(B22="",0,IFERROR(INDEX('_Развёртки'!$C$2:$C$1358,MATCH(B22&amp;"|"&amp;H44,'_Развёртки'!$D$2:$D$1358,0)),0)*N(C22))+IF(B23="",0,IFERROR(INDEX('_Развёртки'!$C$2:$C$1358,MATCH(B23&amp;"|"&amp;H44,'_Развёртки'!$D$2:$D$1358,0)),0)*N(C23))+IF(B24="",0,IFERROR(INDEX('_Развёртки'!$C$2:$C$1358,MATCH(B24&amp;"|"&amp;H44,'_Развёртки'!$D$2:$D$1358,0)),0)*N(C24))+IF(B25="",0,IFERROR(INDEX('_Развёртки'!$C$2:$C$1358,MATCH(B25&amp;"|"&amp;H44,'_Развёртки'!$D$2:$D$1358,0)),0)*N(C25))+IF(B26="",0,IFERROR(INDEX('_Развёртки'!$C$2:$C$1358,MATCH(B26&amp;"|"&amp;H44,'_Развёртки'!$D$2:$D$1358,0)),0)*N(C26))+IF(B27="",0,IFERROR(INDEX('_Развёртки'!$C$2:$C$1358,MATCH(B27&amp;"|"&amp;H44,'_Развёртки'!$D$2:$D$1358,0)),0)*N(C27))</f>
        <v>191.58</v>
      </c>
      <c r="K44" s="174">
        <f>IFERROR(VLOOKUP(H44,'Сырьё'!$C$6:$E$233,3,FALSE()),IFERROR(VLOOKUP(H44,'Полупродукты'!$C$6:$E$60,3,FALSE()),0))</f>
        <v>6.2082</v>
      </c>
      <c r="L44" s="175">
        <f t="shared" si="3"/>
        <v>1189.366956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"/>
      <c r="C45" s="1"/>
      <c r="D45" s="1"/>
      <c r="E45" s="1"/>
      <c r="F45" s="1"/>
      <c r="G45" s="35">
        <v>34.0</v>
      </c>
      <c r="H45" s="36" t="s">
        <v>565</v>
      </c>
      <c r="I45" s="176" t="str">
        <f>IFERROR(VLOOKUP(H45,'Сырьё'!$C$6:$D$233,2,FALSE()),IFERROR(VLOOKUP(H45,'Полупродукты'!$C$6:$D$60,2,FALSE()),"кг"))</f>
        <v>кг</v>
      </c>
      <c r="J45" s="177">
        <f t="array" ref="J45">IF(B8="",0,IFERROR(INDEX('_Развёртки'!$C$2:$C$1358,MATCH(B8&amp;"|"&amp;H45,'_Развёртки'!$D$2:$D$1358,0)),0)*N(C8))+IF(B9="",0,IFERROR(INDEX('_Развёртки'!$C$2:$C$1358,MATCH(B9&amp;"|"&amp;H45,'_Развёртки'!$D$2:$D$1358,0)),0)*N(C9))+IF(B10="",0,IFERROR(INDEX('_Развёртки'!$C$2:$C$1358,MATCH(B10&amp;"|"&amp;H45,'_Развёртки'!$D$2:$D$1358,0)),0)*N(C10))+IF(B11="",0,IFERROR(INDEX('_Развёртки'!$C$2:$C$1358,MATCH(B11&amp;"|"&amp;H45,'_Развёртки'!$D$2:$D$1358,0)),0)*N(C11))+IF(B12="",0,IFERROR(INDEX('_Развёртки'!$C$2:$C$1358,MATCH(B12&amp;"|"&amp;H45,'_Развёртки'!$D$2:$D$1358,0)),0)*N(C12))+IF(B13="",0,IFERROR(INDEX('_Развёртки'!$C$2:$C$1358,MATCH(B13&amp;"|"&amp;H45,'_Развёртки'!$D$2:$D$1358,0)),0)*N(C13))+IF(B14="",0,IFERROR(INDEX('_Развёртки'!$C$2:$C$1358,MATCH(B14&amp;"|"&amp;H45,'_Развёртки'!$D$2:$D$1358,0)),0)*N(C14))+IF(B15="",0,IFERROR(INDEX('_Развёртки'!$C$2:$C$1358,MATCH(B15&amp;"|"&amp;H45,'_Развёртки'!$D$2:$D$1358,0)),0)*N(C15))+IF(B16="",0,IFERROR(INDEX('_Развёртки'!$C$2:$C$1358,MATCH(B16&amp;"|"&amp;H45,'_Развёртки'!$D$2:$D$1358,0)),0)*N(C16))+IF(B17="",0,IFERROR(INDEX('_Развёртки'!$C$2:$C$1358,MATCH(B17&amp;"|"&amp;H45,'_Развёртки'!$D$2:$D$1358,0)),0)*N(C17))+IF(B18="",0,IFERROR(INDEX('_Развёртки'!$C$2:$C$1358,MATCH(B18&amp;"|"&amp;H45,'_Развёртки'!$D$2:$D$1358,0)),0)*N(C18))+IF(B19="",0,IFERROR(INDEX('_Развёртки'!$C$2:$C$1358,MATCH(B19&amp;"|"&amp;H45,'_Развёртки'!$D$2:$D$1358,0)),0)*N(C19))+IF(B20="",0,IFERROR(INDEX('_Развёртки'!$C$2:$C$1358,MATCH(B20&amp;"|"&amp;H45,'_Развёртки'!$D$2:$D$1358,0)),0)*N(C20))+IF(B21="",0,IFERROR(INDEX('_Развёртки'!$C$2:$C$1358,MATCH(B21&amp;"|"&amp;H45,'_Развёртки'!$D$2:$D$1358,0)),0)*N(C21))+IF(B22="",0,IFERROR(INDEX('_Развёртки'!$C$2:$C$1358,MATCH(B22&amp;"|"&amp;H45,'_Развёртки'!$D$2:$D$1358,0)),0)*N(C22))+IF(B23="",0,IFERROR(INDEX('_Развёртки'!$C$2:$C$1358,MATCH(B23&amp;"|"&amp;H45,'_Развёртки'!$D$2:$D$1358,0)),0)*N(C23))+IF(B24="",0,IFERROR(INDEX('_Развёртки'!$C$2:$C$1358,MATCH(B24&amp;"|"&amp;H45,'_Развёртки'!$D$2:$D$1358,0)),0)*N(C24))+IF(B25="",0,IFERROR(INDEX('_Развёртки'!$C$2:$C$1358,MATCH(B25&amp;"|"&amp;H45,'_Развёртки'!$D$2:$D$1358,0)),0)*N(C25))+IF(B26="",0,IFERROR(INDEX('_Развёртки'!$C$2:$C$1358,MATCH(B26&amp;"|"&amp;H45,'_Развёртки'!$D$2:$D$1358,0)),0)*N(C26))+IF(B27="",0,IFERROR(INDEX('_Развёртки'!$C$2:$C$1358,MATCH(B27&amp;"|"&amp;H45,'_Развёртки'!$D$2:$D$1358,0)),0)*N(C27))</f>
        <v>0</v>
      </c>
      <c r="K45" s="178">
        <f>IFERROR(VLOOKUP(H45,'Сырьё'!$C$6:$E$233,3,FALSE()),IFERROR(VLOOKUP(H45,'Полупродукты'!$C$6:$E$60,3,FALSE()),0))</f>
        <v>0</v>
      </c>
      <c r="L45" s="179">
        <f t="shared" si="3"/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"/>
      <c r="C46" s="1"/>
      <c r="D46" s="1"/>
      <c r="E46" s="1"/>
      <c r="F46" s="1"/>
      <c r="G46" s="170">
        <v>35.0</v>
      </c>
      <c r="H46" s="171" t="s">
        <v>566</v>
      </c>
      <c r="I46" s="172" t="str">
        <f>IFERROR(VLOOKUP(H46,'Сырьё'!$C$6:$D$233,2,FALSE()),IFERROR(VLOOKUP(H46,'Полупродукты'!$C$6:$D$60,2,FALSE()),"кг"))</f>
        <v>кг</v>
      </c>
      <c r="J46" s="173">
        <f t="array" ref="J46">IF(B8="",0,IFERROR(INDEX('_Развёртки'!$C$2:$C$1358,MATCH(B8&amp;"|"&amp;H46,'_Развёртки'!$D$2:$D$1358,0)),0)*N(C8))+IF(B9="",0,IFERROR(INDEX('_Развёртки'!$C$2:$C$1358,MATCH(B9&amp;"|"&amp;H46,'_Развёртки'!$D$2:$D$1358,0)),0)*N(C9))+IF(B10="",0,IFERROR(INDEX('_Развёртки'!$C$2:$C$1358,MATCH(B10&amp;"|"&amp;H46,'_Развёртки'!$D$2:$D$1358,0)),0)*N(C10))+IF(B11="",0,IFERROR(INDEX('_Развёртки'!$C$2:$C$1358,MATCH(B11&amp;"|"&amp;H46,'_Развёртки'!$D$2:$D$1358,0)),0)*N(C11))+IF(B12="",0,IFERROR(INDEX('_Развёртки'!$C$2:$C$1358,MATCH(B12&amp;"|"&amp;H46,'_Развёртки'!$D$2:$D$1358,0)),0)*N(C12))+IF(B13="",0,IFERROR(INDEX('_Развёртки'!$C$2:$C$1358,MATCH(B13&amp;"|"&amp;H46,'_Развёртки'!$D$2:$D$1358,0)),0)*N(C13))+IF(B14="",0,IFERROR(INDEX('_Развёртки'!$C$2:$C$1358,MATCH(B14&amp;"|"&amp;H46,'_Развёртки'!$D$2:$D$1358,0)),0)*N(C14))+IF(B15="",0,IFERROR(INDEX('_Развёртки'!$C$2:$C$1358,MATCH(B15&amp;"|"&amp;H46,'_Развёртки'!$D$2:$D$1358,0)),0)*N(C15))+IF(B16="",0,IFERROR(INDEX('_Развёртки'!$C$2:$C$1358,MATCH(B16&amp;"|"&amp;H46,'_Развёртки'!$D$2:$D$1358,0)),0)*N(C16))+IF(B17="",0,IFERROR(INDEX('_Развёртки'!$C$2:$C$1358,MATCH(B17&amp;"|"&amp;H46,'_Развёртки'!$D$2:$D$1358,0)),0)*N(C17))+IF(B18="",0,IFERROR(INDEX('_Развёртки'!$C$2:$C$1358,MATCH(B18&amp;"|"&amp;H46,'_Развёртки'!$D$2:$D$1358,0)),0)*N(C18))+IF(B19="",0,IFERROR(INDEX('_Развёртки'!$C$2:$C$1358,MATCH(B19&amp;"|"&amp;H46,'_Развёртки'!$D$2:$D$1358,0)),0)*N(C19))+IF(B20="",0,IFERROR(INDEX('_Развёртки'!$C$2:$C$1358,MATCH(B20&amp;"|"&amp;H46,'_Развёртки'!$D$2:$D$1358,0)),0)*N(C20))+IF(B21="",0,IFERROR(INDEX('_Развёртки'!$C$2:$C$1358,MATCH(B21&amp;"|"&amp;H46,'_Развёртки'!$D$2:$D$1358,0)),0)*N(C21))+IF(B22="",0,IFERROR(INDEX('_Развёртки'!$C$2:$C$1358,MATCH(B22&amp;"|"&amp;H46,'_Развёртки'!$D$2:$D$1358,0)),0)*N(C22))+IF(B23="",0,IFERROR(INDEX('_Развёртки'!$C$2:$C$1358,MATCH(B23&amp;"|"&amp;H46,'_Развёртки'!$D$2:$D$1358,0)),0)*N(C23))+IF(B24="",0,IFERROR(INDEX('_Развёртки'!$C$2:$C$1358,MATCH(B24&amp;"|"&amp;H46,'_Развёртки'!$D$2:$D$1358,0)),0)*N(C24))+IF(B25="",0,IFERROR(INDEX('_Развёртки'!$C$2:$C$1358,MATCH(B25&amp;"|"&amp;H46,'_Развёртки'!$D$2:$D$1358,0)),0)*N(C25))+IF(B26="",0,IFERROR(INDEX('_Развёртки'!$C$2:$C$1358,MATCH(B26&amp;"|"&amp;H46,'_Развёртки'!$D$2:$D$1358,0)),0)*N(C26))+IF(B27="",0,IFERROR(INDEX('_Развёртки'!$C$2:$C$1358,MATCH(B27&amp;"|"&amp;H46,'_Развёртки'!$D$2:$D$1358,0)),0)*N(C27))</f>
        <v>0</v>
      </c>
      <c r="K46" s="174">
        <f>IFERROR(VLOOKUP(H46,'Сырьё'!$C$6:$E$233,3,FALSE()),IFERROR(VLOOKUP(H46,'Полупродукты'!$C$6:$E$60,3,FALSE()),0))</f>
        <v>0</v>
      </c>
      <c r="L46" s="175">
        <f t="shared" si="3"/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"/>
      <c r="C47" s="1"/>
      <c r="D47" s="1"/>
      <c r="E47" s="1"/>
      <c r="F47" s="1"/>
      <c r="G47" s="35">
        <v>36.0</v>
      </c>
      <c r="H47" s="36" t="s">
        <v>567</v>
      </c>
      <c r="I47" s="176" t="str">
        <f>IFERROR(VLOOKUP(H47,'Сырьё'!$C$6:$D$233,2,FALSE()),IFERROR(VLOOKUP(H47,'Полупродукты'!$C$6:$D$60,2,FALSE()),"кг"))</f>
        <v>кг</v>
      </c>
      <c r="J47" s="177">
        <f t="array" ref="J47">IF(B8="",0,IFERROR(INDEX('_Развёртки'!$C$2:$C$1358,MATCH(B8&amp;"|"&amp;H47,'_Развёртки'!$D$2:$D$1358,0)),0)*N(C8))+IF(B9="",0,IFERROR(INDEX('_Развёртки'!$C$2:$C$1358,MATCH(B9&amp;"|"&amp;H47,'_Развёртки'!$D$2:$D$1358,0)),0)*N(C9))+IF(B10="",0,IFERROR(INDEX('_Развёртки'!$C$2:$C$1358,MATCH(B10&amp;"|"&amp;H47,'_Развёртки'!$D$2:$D$1358,0)),0)*N(C10))+IF(B11="",0,IFERROR(INDEX('_Развёртки'!$C$2:$C$1358,MATCH(B11&amp;"|"&amp;H47,'_Развёртки'!$D$2:$D$1358,0)),0)*N(C11))+IF(B12="",0,IFERROR(INDEX('_Развёртки'!$C$2:$C$1358,MATCH(B12&amp;"|"&amp;H47,'_Развёртки'!$D$2:$D$1358,0)),0)*N(C12))+IF(B13="",0,IFERROR(INDEX('_Развёртки'!$C$2:$C$1358,MATCH(B13&amp;"|"&amp;H47,'_Развёртки'!$D$2:$D$1358,0)),0)*N(C13))+IF(B14="",0,IFERROR(INDEX('_Развёртки'!$C$2:$C$1358,MATCH(B14&amp;"|"&amp;H47,'_Развёртки'!$D$2:$D$1358,0)),0)*N(C14))+IF(B15="",0,IFERROR(INDEX('_Развёртки'!$C$2:$C$1358,MATCH(B15&amp;"|"&amp;H47,'_Развёртки'!$D$2:$D$1358,0)),0)*N(C15))+IF(B16="",0,IFERROR(INDEX('_Развёртки'!$C$2:$C$1358,MATCH(B16&amp;"|"&amp;H47,'_Развёртки'!$D$2:$D$1358,0)),0)*N(C16))+IF(B17="",0,IFERROR(INDEX('_Развёртки'!$C$2:$C$1358,MATCH(B17&amp;"|"&amp;H47,'_Развёртки'!$D$2:$D$1358,0)),0)*N(C17))+IF(B18="",0,IFERROR(INDEX('_Развёртки'!$C$2:$C$1358,MATCH(B18&amp;"|"&amp;H47,'_Развёртки'!$D$2:$D$1358,0)),0)*N(C18))+IF(B19="",0,IFERROR(INDEX('_Развёртки'!$C$2:$C$1358,MATCH(B19&amp;"|"&amp;H47,'_Развёртки'!$D$2:$D$1358,0)),0)*N(C19))+IF(B20="",0,IFERROR(INDEX('_Развёртки'!$C$2:$C$1358,MATCH(B20&amp;"|"&amp;H47,'_Развёртки'!$D$2:$D$1358,0)),0)*N(C20))+IF(B21="",0,IFERROR(INDEX('_Развёртки'!$C$2:$C$1358,MATCH(B21&amp;"|"&amp;H47,'_Развёртки'!$D$2:$D$1358,0)),0)*N(C21))+IF(B22="",0,IFERROR(INDEX('_Развёртки'!$C$2:$C$1358,MATCH(B22&amp;"|"&amp;H47,'_Развёртки'!$D$2:$D$1358,0)),0)*N(C22))+IF(B23="",0,IFERROR(INDEX('_Развёртки'!$C$2:$C$1358,MATCH(B23&amp;"|"&amp;H47,'_Развёртки'!$D$2:$D$1358,0)),0)*N(C23))+IF(B24="",0,IFERROR(INDEX('_Развёртки'!$C$2:$C$1358,MATCH(B24&amp;"|"&amp;H47,'_Развёртки'!$D$2:$D$1358,0)),0)*N(C24))+IF(B25="",0,IFERROR(INDEX('_Развёртки'!$C$2:$C$1358,MATCH(B25&amp;"|"&amp;H47,'_Развёртки'!$D$2:$D$1358,0)),0)*N(C25))+IF(B26="",0,IFERROR(INDEX('_Развёртки'!$C$2:$C$1358,MATCH(B26&amp;"|"&amp;H47,'_Развёртки'!$D$2:$D$1358,0)),0)*N(C26))+IF(B27="",0,IFERROR(INDEX('_Развёртки'!$C$2:$C$1358,MATCH(B27&amp;"|"&amp;H47,'_Развёртки'!$D$2:$D$1358,0)),0)*N(C27))</f>
        <v>230.5888</v>
      </c>
      <c r="K47" s="178">
        <f>IFERROR(VLOOKUP(H47,'Сырьё'!$C$6:$E$233,3,FALSE()),IFERROR(VLOOKUP(H47,'Полупродукты'!$C$6:$E$60,3,FALSE()),0))</f>
        <v>0</v>
      </c>
      <c r="L47" s="179">
        <f t="shared" si="3"/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"/>
      <c r="C48" s="1"/>
      <c r="D48" s="1"/>
      <c r="E48" s="1"/>
      <c r="F48" s="1"/>
      <c r="G48" s="170">
        <v>37.0</v>
      </c>
      <c r="H48" s="171" t="s">
        <v>568</v>
      </c>
      <c r="I48" s="172" t="str">
        <f>IFERROR(VLOOKUP(H48,'Сырьё'!$C$6:$D$233,2,FALSE()),IFERROR(VLOOKUP(H48,'Полупродукты'!$C$6:$D$60,2,FALSE()),"кг"))</f>
        <v>кг</v>
      </c>
      <c r="J48" s="173">
        <f t="array" ref="J48">IF(B8="",0,IFERROR(INDEX('_Развёртки'!$C$2:$C$1358,MATCH(B8&amp;"|"&amp;H48,'_Развёртки'!$D$2:$D$1358,0)),0)*N(C8))+IF(B9="",0,IFERROR(INDEX('_Развёртки'!$C$2:$C$1358,MATCH(B9&amp;"|"&amp;H48,'_Развёртки'!$D$2:$D$1358,0)),0)*N(C9))+IF(B10="",0,IFERROR(INDEX('_Развёртки'!$C$2:$C$1358,MATCH(B10&amp;"|"&amp;H48,'_Развёртки'!$D$2:$D$1358,0)),0)*N(C10))+IF(B11="",0,IFERROR(INDEX('_Развёртки'!$C$2:$C$1358,MATCH(B11&amp;"|"&amp;H48,'_Развёртки'!$D$2:$D$1358,0)),0)*N(C11))+IF(B12="",0,IFERROR(INDEX('_Развёртки'!$C$2:$C$1358,MATCH(B12&amp;"|"&amp;H48,'_Развёртки'!$D$2:$D$1358,0)),0)*N(C12))+IF(B13="",0,IFERROR(INDEX('_Развёртки'!$C$2:$C$1358,MATCH(B13&amp;"|"&amp;H48,'_Развёртки'!$D$2:$D$1358,0)),0)*N(C13))+IF(B14="",0,IFERROR(INDEX('_Развёртки'!$C$2:$C$1358,MATCH(B14&amp;"|"&amp;H48,'_Развёртки'!$D$2:$D$1358,0)),0)*N(C14))+IF(B15="",0,IFERROR(INDEX('_Развёртки'!$C$2:$C$1358,MATCH(B15&amp;"|"&amp;H48,'_Развёртки'!$D$2:$D$1358,0)),0)*N(C15))+IF(B16="",0,IFERROR(INDEX('_Развёртки'!$C$2:$C$1358,MATCH(B16&amp;"|"&amp;H48,'_Развёртки'!$D$2:$D$1358,0)),0)*N(C16))+IF(B17="",0,IFERROR(INDEX('_Развёртки'!$C$2:$C$1358,MATCH(B17&amp;"|"&amp;H48,'_Развёртки'!$D$2:$D$1358,0)),0)*N(C17))+IF(B18="",0,IFERROR(INDEX('_Развёртки'!$C$2:$C$1358,MATCH(B18&amp;"|"&amp;H48,'_Развёртки'!$D$2:$D$1358,0)),0)*N(C18))+IF(B19="",0,IFERROR(INDEX('_Развёртки'!$C$2:$C$1358,MATCH(B19&amp;"|"&amp;H48,'_Развёртки'!$D$2:$D$1358,0)),0)*N(C19))+IF(B20="",0,IFERROR(INDEX('_Развёртки'!$C$2:$C$1358,MATCH(B20&amp;"|"&amp;H48,'_Развёртки'!$D$2:$D$1358,0)),0)*N(C20))+IF(B21="",0,IFERROR(INDEX('_Развёртки'!$C$2:$C$1358,MATCH(B21&amp;"|"&amp;H48,'_Развёртки'!$D$2:$D$1358,0)),0)*N(C21))+IF(B22="",0,IFERROR(INDEX('_Развёртки'!$C$2:$C$1358,MATCH(B22&amp;"|"&amp;H48,'_Развёртки'!$D$2:$D$1358,0)),0)*N(C22))+IF(B23="",0,IFERROR(INDEX('_Развёртки'!$C$2:$C$1358,MATCH(B23&amp;"|"&amp;H48,'_Развёртки'!$D$2:$D$1358,0)),0)*N(C23))+IF(B24="",0,IFERROR(INDEX('_Развёртки'!$C$2:$C$1358,MATCH(B24&amp;"|"&amp;H48,'_Развёртки'!$D$2:$D$1358,0)),0)*N(C24))+IF(B25="",0,IFERROR(INDEX('_Развёртки'!$C$2:$C$1358,MATCH(B25&amp;"|"&amp;H48,'_Развёртки'!$D$2:$D$1358,0)),0)*N(C25))+IF(B26="",0,IFERROR(INDEX('_Развёртки'!$C$2:$C$1358,MATCH(B26&amp;"|"&amp;H48,'_Развёртки'!$D$2:$D$1358,0)),0)*N(C26))+IF(B27="",0,IFERROR(INDEX('_Развёртки'!$C$2:$C$1358,MATCH(B27&amp;"|"&amp;H48,'_Развёртки'!$D$2:$D$1358,0)),0)*N(C27))</f>
        <v>0</v>
      </c>
      <c r="K48" s="174">
        <f>IFERROR(VLOOKUP(H48,'Сырьё'!$C$6:$E$233,3,FALSE()),IFERROR(VLOOKUP(H48,'Полупродукты'!$C$6:$E$60,3,FALSE()),0))</f>
        <v>5.1326</v>
      </c>
      <c r="L48" s="175">
        <f t="shared" si="3"/>
        <v>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"/>
      <c r="C49" s="1"/>
      <c r="D49" s="1"/>
      <c r="E49" s="1"/>
      <c r="F49" s="1"/>
      <c r="G49" s="35">
        <v>38.0</v>
      </c>
      <c r="H49" s="36" t="s">
        <v>569</v>
      </c>
      <c r="I49" s="176" t="str">
        <f>IFERROR(VLOOKUP(H49,'Сырьё'!$C$6:$D$233,2,FALSE()),IFERROR(VLOOKUP(H49,'Полупродукты'!$C$6:$D$60,2,FALSE()),"кг"))</f>
        <v>кг</v>
      </c>
      <c r="J49" s="177">
        <f t="array" ref="J49">IF(B8="",0,IFERROR(INDEX('_Развёртки'!$C$2:$C$1358,MATCH(B8&amp;"|"&amp;H49,'_Развёртки'!$D$2:$D$1358,0)),0)*N(C8))+IF(B9="",0,IFERROR(INDEX('_Развёртки'!$C$2:$C$1358,MATCH(B9&amp;"|"&amp;H49,'_Развёртки'!$D$2:$D$1358,0)),0)*N(C9))+IF(B10="",0,IFERROR(INDEX('_Развёртки'!$C$2:$C$1358,MATCH(B10&amp;"|"&amp;H49,'_Развёртки'!$D$2:$D$1358,0)),0)*N(C10))+IF(B11="",0,IFERROR(INDEX('_Развёртки'!$C$2:$C$1358,MATCH(B11&amp;"|"&amp;H49,'_Развёртки'!$D$2:$D$1358,0)),0)*N(C11))+IF(B12="",0,IFERROR(INDEX('_Развёртки'!$C$2:$C$1358,MATCH(B12&amp;"|"&amp;H49,'_Развёртки'!$D$2:$D$1358,0)),0)*N(C12))+IF(B13="",0,IFERROR(INDEX('_Развёртки'!$C$2:$C$1358,MATCH(B13&amp;"|"&amp;H49,'_Развёртки'!$D$2:$D$1358,0)),0)*N(C13))+IF(B14="",0,IFERROR(INDEX('_Развёртки'!$C$2:$C$1358,MATCH(B14&amp;"|"&amp;H49,'_Развёртки'!$D$2:$D$1358,0)),0)*N(C14))+IF(B15="",0,IFERROR(INDEX('_Развёртки'!$C$2:$C$1358,MATCH(B15&amp;"|"&amp;H49,'_Развёртки'!$D$2:$D$1358,0)),0)*N(C15))+IF(B16="",0,IFERROR(INDEX('_Развёртки'!$C$2:$C$1358,MATCH(B16&amp;"|"&amp;H49,'_Развёртки'!$D$2:$D$1358,0)),0)*N(C16))+IF(B17="",0,IFERROR(INDEX('_Развёртки'!$C$2:$C$1358,MATCH(B17&amp;"|"&amp;H49,'_Развёртки'!$D$2:$D$1358,0)),0)*N(C17))+IF(B18="",0,IFERROR(INDEX('_Развёртки'!$C$2:$C$1358,MATCH(B18&amp;"|"&amp;H49,'_Развёртки'!$D$2:$D$1358,0)),0)*N(C18))+IF(B19="",0,IFERROR(INDEX('_Развёртки'!$C$2:$C$1358,MATCH(B19&amp;"|"&amp;H49,'_Развёртки'!$D$2:$D$1358,0)),0)*N(C19))+IF(B20="",0,IFERROR(INDEX('_Развёртки'!$C$2:$C$1358,MATCH(B20&amp;"|"&amp;H49,'_Развёртки'!$D$2:$D$1358,0)),0)*N(C20))+IF(B21="",0,IFERROR(INDEX('_Развёртки'!$C$2:$C$1358,MATCH(B21&amp;"|"&amp;H49,'_Развёртки'!$D$2:$D$1358,0)),0)*N(C21))+IF(B22="",0,IFERROR(INDEX('_Развёртки'!$C$2:$C$1358,MATCH(B22&amp;"|"&amp;H49,'_Развёртки'!$D$2:$D$1358,0)),0)*N(C22))+IF(B23="",0,IFERROR(INDEX('_Развёртки'!$C$2:$C$1358,MATCH(B23&amp;"|"&amp;H49,'_Развёртки'!$D$2:$D$1358,0)),0)*N(C23))+IF(B24="",0,IFERROR(INDEX('_Развёртки'!$C$2:$C$1358,MATCH(B24&amp;"|"&amp;H49,'_Развёртки'!$D$2:$D$1358,0)),0)*N(C24))+IF(B25="",0,IFERROR(INDEX('_Развёртки'!$C$2:$C$1358,MATCH(B25&amp;"|"&amp;H49,'_Развёртки'!$D$2:$D$1358,0)),0)*N(C25))+IF(B26="",0,IFERROR(INDEX('_Развёртки'!$C$2:$C$1358,MATCH(B26&amp;"|"&amp;H49,'_Развёртки'!$D$2:$D$1358,0)),0)*N(C26))+IF(B27="",0,IFERROR(INDEX('_Развёртки'!$C$2:$C$1358,MATCH(B27&amp;"|"&amp;H49,'_Развёртки'!$D$2:$D$1358,0)),0)*N(C27))</f>
        <v>252.418</v>
      </c>
      <c r="K49" s="178">
        <f>IFERROR(VLOOKUP(H49,'Сырьё'!$C$6:$E$233,3,FALSE()),IFERROR(VLOOKUP(H49,'Полупродукты'!$C$6:$E$60,3,FALSE()),0))</f>
        <v>3.2853</v>
      </c>
      <c r="L49" s="179">
        <f t="shared" si="3"/>
        <v>829.2688554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"/>
      <c r="C50" s="1"/>
      <c r="D50" s="1"/>
      <c r="E50" s="1"/>
      <c r="F50" s="1"/>
      <c r="G50" s="170">
        <v>39.0</v>
      </c>
      <c r="H50" s="171" t="s">
        <v>570</v>
      </c>
      <c r="I50" s="172" t="str">
        <f>IFERROR(VLOOKUP(H50,'Сырьё'!$C$6:$D$233,2,FALSE()),IFERROR(VLOOKUP(H50,'Полупродукты'!$C$6:$D$60,2,FALSE()),"кг"))</f>
        <v>кг</v>
      </c>
      <c r="J50" s="173">
        <f t="array" ref="J50">IF(B8="",0,IFERROR(INDEX('_Развёртки'!$C$2:$C$1358,MATCH(B8&amp;"|"&amp;H50,'_Развёртки'!$D$2:$D$1358,0)),0)*N(C8))+IF(B9="",0,IFERROR(INDEX('_Развёртки'!$C$2:$C$1358,MATCH(B9&amp;"|"&amp;H50,'_Развёртки'!$D$2:$D$1358,0)),0)*N(C9))+IF(B10="",0,IFERROR(INDEX('_Развёртки'!$C$2:$C$1358,MATCH(B10&amp;"|"&amp;H50,'_Развёртки'!$D$2:$D$1358,0)),0)*N(C10))+IF(B11="",0,IFERROR(INDEX('_Развёртки'!$C$2:$C$1358,MATCH(B11&amp;"|"&amp;H50,'_Развёртки'!$D$2:$D$1358,0)),0)*N(C11))+IF(B12="",0,IFERROR(INDEX('_Развёртки'!$C$2:$C$1358,MATCH(B12&amp;"|"&amp;H50,'_Развёртки'!$D$2:$D$1358,0)),0)*N(C12))+IF(B13="",0,IFERROR(INDEX('_Развёртки'!$C$2:$C$1358,MATCH(B13&amp;"|"&amp;H50,'_Развёртки'!$D$2:$D$1358,0)),0)*N(C13))+IF(B14="",0,IFERROR(INDEX('_Развёртки'!$C$2:$C$1358,MATCH(B14&amp;"|"&amp;H50,'_Развёртки'!$D$2:$D$1358,0)),0)*N(C14))+IF(B15="",0,IFERROR(INDEX('_Развёртки'!$C$2:$C$1358,MATCH(B15&amp;"|"&amp;H50,'_Развёртки'!$D$2:$D$1358,0)),0)*N(C15))+IF(B16="",0,IFERROR(INDEX('_Развёртки'!$C$2:$C$1358,MATCH(B16&amp;"|"&amp;H50,'_Развёртки'!$D$2:$D$1358,0)),0)*N(C16))+IF(B17="",0,IFERROR(INDEX('_Развёртки'!$C$2:$C$1358,MATCH(B17&amp;"|"&amp;H50,'_Развёртки'!$D$2:$D$1358,0)),0)*N(C17))+IF(B18="",0,IFERROR(INDEX('_Развёртки'!$C$2:$C$1358,MATCH(B18&amp;"|"&amp;H50,'_Развёртки'!$D$2:$D$1358,0)),0)*N(C18))+IF(B19="",0,IFERROR(INDEX('_Развёртки'!$C$2:$C$1358,MATCH(B19&amp;"|"&amp;H50,'_Развёртки'!$D$2:$D$1358,0)),0)*N(C19))+IF(B20="",0,IFERROR(INDEX('_Развёртки'!$C$2:$C$1358,MATCH(B20&amp;"|"&amp;H50,'_Развёртки'!$D$2:$D$1358,0)),0)*N(C20))+IF(B21="",0,IFERROR(INDEX('_Развёртки'!$C$2:$C$1358,MATCH(B21&amp;"|"&amp;H50,'_Развёртки'!$D$2:$D$1358,0)),0)*N(C21))+IF(B22="",0,IFERROR(INDEX('_Развёртки'!$C$2:$C$1358,MATCH(B22&amp;"|"&amp;H50,'_Развёртки'!$D$2:$D$1358,0)),0)*N(C22))+IF(B23="",0,IFERROR(INDEX('_Развёртки'!$C$2:$C$1358,MATCH(B23&amp;"|"&amp;H50,'_Развёртки'!$D$2:$D$1358,0)),0)*N(C23))+IF(B24="",0,IFERROR(INDEX('_Развёртки'!$C$2:$C$1358,MATCH(B24&amp;"|"&amp;H50,'_Развёртки'!$D$2:$D$1358,0)),0)*N(C24))+IF(B25="",0,IFERROR(INDEX('_Развёртки'!$C$2:$C$1358,MATCH(B25&amp;"|"&amp;H50,'_Развёртки'!$D$2:$D$1358,0)),0)*N(C25))+IF(B26="",0,IFERROR(INDEX('_Развёртки'!$C$2:$C$1358,MATCH(B26&amp;"|"&amp;H50,'_Развёртки'!$D$2:$D$1358,0)),0)*N(C26))+IF(B27="",0,IFERROR(INDEX('_Развёртки'!$C$2:$C$1358,MATCH(B27&amp;"|"&amp;H50,'_Развёртки'!$D$2:$D$1358,0)),0)*N(C27))</f>
        <v>749.93536</v>
      </c>
      <c r="K50" s="174">
        <f>IFERROR(VLOOKUP(H50,'Сырьё'!$C$6:$E$233,3,FALSE()),IFERROR(VLOOKUP(H50,'Полупродукты'!$C$6:$E$60,3,FALSE()),0))</f>
        <v>3.3046</v>
      </c>
      <c r="L50" s="175">
        <f t="shared" si="3"/>
        <v>2478.236391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1"/>
      <c r="C51" s="1"/>
      <c r="D51" s="1"/>
      <c r="E51" s="1"/>
      <c r="F51" s="1"/>
      <c r="G51" s="35">
        <v>40.0</v>
      </c>
      <c r="H51" s="36" t="s">
        <v>571</v>
      </c>
      <c r="I51" s="176" t="str">
        <f>IFERROR(VLOOKUP(H51,'Сырьё'!$C$6:$D$233,2,FALSE()),IFERROR(VLOOKUP(H51,'Полупродукты'!$C$6:$D$60,2,FALSE()),"кг"))</f>
        <v>кг</v>
      </c>
      <c r="J51" s="177">
        <f t="array" ref="J51">IF(B8="",0,IFERROR(INDEX('_Развёртки'!$C$2:$C$1358,MATCH(B8&amp;"|"&amp;H51,'_Развёртки'!$D$2:$D$1358,0)),0)*N(C8))+IF(B9="",0,IFERROR(INDEX('_Развёртки'!$C$2:$C$1358,MATCH(B9&amp;"|"&amp;H51,'_Развёртки'!$D$2:$D$1358,0)),0)*N(C9))+IF(B10="",0,IFERROR(INDEX('_Развёртки'!$C$2:$C$1358,MATCH(B10&amp;"|"&amp;H51,'_Развёртки'!$D$2:$D$1358,0)),0)*N(C10))+IF(B11="",0,IFERROR(INDEX('_Развёртки'!$C$2:$C$1358,MATCH(B11&amp;"|"&amp;H51,'_Развёртки'!$D$2:$D$1358,0)),0)*N(C11))+IF(B12="",0,IFERROR(INDEX('_Развёртки'!$C$2:$C$1358,MATCH(B12&amp;"|"&amp;H51,'_Развёртки'!$D$2:$D$1358,0)),0)*N(C12))+IF(B13="",0,IFERROR(INDEX('_Развёртки'!$C$2:$C$1358,MATCH(B13&amp;"|"&amp;H51,'_Развёртки'!$D$2:$D$1358,0)),0)*N(C13))+IF(B14="",0,IFERROR(INDEX('_Развёртки'!$C$2:$C$1358,MATCH(B14&amp;"|"&amp;H51,'_Развёртки'!$D$2:$D$1358,0)),0)*N(C14))+IF(B15="",0,IFERROR(INDEX('_Развёртки'!$C$2:$C$1358,MATCH(B15&amp;"|"&amp;H51,'_Развёртки'!$D$2:$D$1358,0)),0)*N(C15))+IF(B16="",0,IFERROR(INDEX('_Развёртки'!$C$2:$C$1358,MATCH(B16&amp;"|"&amp;H51,'_Развёртки'!$D$2:$D$1358,0)),0)*N(C16))+IF(B17="",0,IFERROR(INDEX('_Развёртки'!$C$2:$C$1358,MATCH(B17&amp;"|"&amp;H51,'_Развёртки'!$D$2:$D$1358,0)),0)*N(C17))+IF(B18="",0,IFERROR(INDEX('_Развёртки'!$C$2:$C$1358,MATCH(B18&amp;"|"&amp;H51,'_Развёртки'!$D$2:$D$1358,0)),0)*N(C18))+IF(B19="",0,IFERROR(INDEX('_Развёртки'!$C$2:$C$1358,MATCH(B19&amp;"|"&amp;H51,'_Развёртки'!$D$2:$D$1358,0)),0)*N(C19))+IF(B20="",0,IFERROR(INDEX('_Развёртки'!$C$2:$C$1358,MATCH(B20&amp;"|"&amp;H51,'_Развёртки'!$D$2:$D$1358,0)),0)*N(C20))+IF(B21="",0,IFERROR(INDEX('_Развёртки'!$C$2:$C$1358,MATCH(B21&amp;"|"&amp;H51,'_Развёртки'!$D$2:$D$1358,0)),0)*N(C21))+IF(B22="",0,IFERROR(INDEX('_Развёртки'!$C$2:$C$1358,MATCH(B22&amp;"|"&amp;H51,'_Развёртки'!$D$2:$D$1358,0)),0)*N(C22))+IF(B23="",0,IFERROR(INDEX('_Развёртки'!$C$2:$C$1358,MATCH(B23&amp;"|"&amp;H51,'_Развёртки'!$D$2:$D$1358,0)),0)*N(C23))+IF(B24="",0,IFERROR(INDEX('_Развёртки'!$C$2:$C$1358,MATCH(B24&amp;"|"&amp;H51,'_Развёртки'!$D$2:$D$1358,0)),0)*N(C24))+IF(B25="",0,IFERROR(INDEX('_Развёртки'!$C$2:$C$1358,MATCH(B25&amp;"|"&amp;H51,'_Развёртки'!$D$2:$D$1358,0)),0)*N(C25))+IF(B26="",0,IFERROR(INDEX('_Развёртки'!$C$2:$C$1358,MATCH(B26&amp;"|"&amp;H51,'_Развёртки'!$D$2:$D$1358,0)),0)*N(C26))+IF(B27="",0,IFERROR(INDEX('_Развёртки'!$C$2:$C$1358,MATCH(B27&amp;"|"&amp;H51,'_Развёртки'!$D$2:$D$1358,0)),0)*N(C27))</f>
        <v>56.135</v>
      </c>
      <c r="K51" s="178">
        <f>IFERROR(VLOOKUP(H51,'Сырьё'!$C$6:$E$233,3,FALSE()),IFERROR(VLOOKUP(H51,'Полупродукты'!$C$6:$E$60,3,FALSE()),0))</f>
        <v>14.556</v>
      </c>
      <c r="L51" s="179">
        <f t="shared" si="3"/>
        <v>817.10106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"/>
      <c r="C52" s="1"/>
      <c r="D52" s="1"/>
      <c r="E52" s="1"/>
      <c r="F52" s="1"/>
      <c r="G52" s="170">
        <v>41.0</v>
      </c>
      <c r="H52" s="171" t="s">
        <v>572</v>
      </c>
      <c r="I52" s="172" t="str">
        <f>IFERROR(VLOOKUP(H52,'Сырьё'!$C$6:$D$233,2,FALSE()),IFERROR(VLOOKUP(H52,'Полупродукты'!$C$6:$D$60,2,FALSE()),"кг"))</f>
        <v>кг</v>
      </c>
      <c r="J52" s="173">
        <f t="array" ref="J52">IF(B8="",0,IFERROR(INDEX('_Развёртки'!$C$2:$C$1358,MATCH(B8&amp;"|"&amp;H52,'_Развёртки'!$D$2:$D$1358,0)),0)*N(C8))+IF(B9="",0,IFERROR(INDEX('_Развёртки'!$C$2:$C$1358,MATCH(B9&amp;"|"&amp;H52,'_Развёртки'!$D$2:$D$1358,0)),0)*N(C9))+IF(B10="",0,IFERROR(INDEX('_Развёртки'!$C$2:$C$1358,MATCH(B10&amp;"|"&amp;H52,'_Развёртки'!$D$2:$D$1358,0)),0)*N(C10))+IF(B11="",0,IFERROR(INDEX('_Развёртки'!$C$2:$C$1358,MATCH(B11&amp;"|"&amp;H52,'_Развёртки'!$D$2:$D$1358,0)),0)*N(C11))+IF(B12="",0,IFERROR(INDEX('_Развёртки'!$C$2:$C$1358,MATCH(B12&amp;"|"&amp;H52,'_Развёртки'!$D$2:$D$1358,0)),0)*N(C12))+IF(B13="",0,IFERROR(INDEX('_Развёртки'!$C$2:$C$1358,MATCH(B13&amp;"|"&amp;H52,'_Развёртки'!$D$2:$D$1358,0)),0)*N(C13))+IF(B14="",0,IFERROR(INDEX('_Развёртки'!$C$2:$C$1358,MATCH(B14&amp;"|"&amp;H52,'_Развёртки'!$D$2:$D$1358,0)),0)*N(C14))+IF(B15="",0,IFERROR(INDEX('_Развёртки'!$C$2:$C$1358,MATCH(B15&amp;"|"&amp;H52,'_Развёртки'!$D$2:$D$1358,0)),0)*N(C15))+IF(B16="",0,IFERROR(INDEX('_Развёртки'!$C$2:$C$1358,MATCH(B16&amp;"|"&amp;H52,'_Развёртки'!$D$2:$D$1358,0)),0)*N(C16))+IF(B17="",0,IFERROR(INDEX('_Развёртки'!$C$2:$C$1358,MATCH(B17&amp;"|"&amp;H52,'_Развёртки'!$D$2:$D$1358,0)),0)*N(C17))+IF(B18="",0,IFERROR(INDEX('_Развёртки'!$C$2:$C$1358,MATCH(B18&amp;"|"&amp;H52,'_Развёртки'!$D$2:$D$1358,0)),0)*N(C18))+IF(B19="",0,IFERROR(INDEX('_Развёртки'!$C$2:$C$1358,MATCH(B19&amp;"|"&amp;H52,'_Развёртки'!$D$2:$D$1358,0)),0)*N(C19))+IF(B20="",0,IFERROR(INDEX('_Развёртки'!$C$2:$C$1358,MATCH(B20&amp;"|"&amp;H52,'_Развёртки'!$D$2:$D$1358,0)),0)*N(C20))+IF(B21="",0,IFERROR(INDEX('_Развёртки'!$C$2:$C$1358,MATCH(B21&amp;"|"&amp;H52,'_Развёртки'!$D$2:$D$1358,0)),0)*N(C21))+IF(B22="",0,IFERROR(INDEX('_Развёртки'!$C$2:$C$1358,MATCH(B22&amp;"|"&amp;H52,'_Развёртки'!$D$2:$D$1358,0)),0)*N(C22))+IF(B23="",0,IFERROR(INDEX('_Развёртки'!$C$2:$C$1358,MATCH(B23&amp;"|"&amp;H52,'_Развёртки'!$D$2:$D$1358,0)),0)*N(C23))+IF(B24="",0,IFERROR(INDEX('_Развёртки'!$C$2:$C$1358,MATCH(B24&amp;"|"&amp;H52,'_Развёртки'!$D$2:$D$1358,0)),0)*N(C24))+IF(B25="",0,IFERROR(INDEX('_Развёртки'!$C$2:$C$1358,MATCH(B25&amp;"|"&amp;H52,'_Развёртки'!$D$2:$D$1358,0)),0)*N(C25))+IF(B26="",0,IFERROR(INDEX('_Развёртки'!$C$2:$C$1358,MATCH(B26&amp;"|"&amp;H52,'_Развёртки'!$D$2:$D$1358,0)),0)*N(C26))+IF(B27="",0,IFERROR(INDEX('_Развёртки'!$C$2:$C$1358,MATCH(B27&amp;"|"&amp;H52,'_Развёртки'!$D$2:$D$1358,0)),0)*N(C27))</f>
        <v>0</v>
      </c>
      <c r="K52" s="174">
        <f>IFERROR(VLOOKUP(H52,'Сырьё'!$C$6:$E$233,3,FALSE()),IFERROR(VLOOKUP(H52,'Полупродукты'!$C$6:$E$60,3,FALSE()),0))</f>
        <v>6.4085</v>
      </c>
      <c r="L52" s="175">
        <f t="shared" si="3"/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1"/>
      <c r="C53" s="1"/>
      <c r="D53" s="1"/>
      <c r="E53" s="1"/>
      <c r="F53" s="1"/>
      <c r="G53" s="35">
        <v>42.0</v>
      </c>
      <c r="H53" s="36" t="s">
        <v>573</v>
      </c>
      <c r="I53" s="176" t="str">
        <f>IFERROR(VLOOKUP(H53,'Сырьё'!$C$6:$D$233,2,FALSE()),IFERROR(VLOOKUP(H53,'Полупродукты'!$C$6:$D$60,2,FALSE()),"кг"))</f>
        <v>кг</v>
      </c>
      <c r="J53" s="177">
        <f t="array" ref="J53">IF(B8="",0,IFERROR(INDEX('_Развёртки'!$C$2:$C$1358,MATCH(B8&amp;"|"&amp;H53,'_Развёртки'!$D$2:$D$1358,0)),0)*N(C8))+IF(B9="",0,IFERROR(INDEX('_Развёртки'!$C$2:$C$1358,MATCH(B9&amp;"|"&amp;H53,'_Развёртки'!$D$2:$D$1358,0)),0)*N(C9))+IF(B10="",0,IFERROR(INDEX('_Развёртки'!$C$2:$C$1358,MATCH(B10&amp;"|"&amp;H53,'_Развёртки'!$D$2:$D$1358,0)),0)*N(C10))+IF(B11="",0,IFERROR(INDEX('_Развёртки'!$C$2:$C$1358,MATCH(B11&amp;"|"&amp;H53,'_Развёртки'!$D$2:$D$1358,0)),0)*N(C11))+IF(B12="",0,IFERROR(INDEX('_Развёртки'!$C$2:$C$1358,MATCH(B12&amp;"|"&amp;H53,'_Развёртки'!$D$2:$D$1358,0)),0)*N(C12))+IF(B13="",0,IFERROR(INDEX('_Развёртки'!$C$2:$C$1358,MATCH(B13&amp;"|"&amp;H53,'_Развёртки'!$D$2:$D$1358,0)),0)*N(C13))+IF(B14="",0,IFERROR(INDEX('_Развёртки'!$C$2:$C$1358,MATCH(B14&amp;"|"&amp;H53,'_Развёртки'!$D$2:$D$1358,0)),0)*N(C14))+IF(B15="",0,IFERROR(INDEX('_Развёртки'!$C$2:$C$1358,MATCH(B15&amp;"|"&amp;H53,'_Развёртки'!$D$2:$D$1358,0)),0)*N(C15))+IF(B16="",0,IFERROR(INDEX('_Развёртки'!$C$2:$C$1358,MATCH(B16&amp;"|"&amp;H53,'_Развёртки'!$D$2:$D$1358,0)),0)*N(C16))+IF(B17="",0,IFERROR(INDEX('_Развёртки'!$C$2:$C$1358,MATCH(B17&amp;"|"&amp;H53,'_Развёртки'!$D$2:$D$1358,0)),0)*N(C17))+IF(B18="",0,IFERROR(INDEX('_Развёртки'!$C$2:$C$1358,MATCH(B18&amp;"|"&amp;H53,'_Развёртки'!$D$2:$D$1358,0)),0)*N(C18))+IF(B19="",0,IFERROR(INDEX('_Развёртки'!$C$2:$C$1358,MATCH(B19&amp;"|"&amp;H53,'_Развёртки'!$D$2:$D$1358,0)),0)*N(C19))+IF(B20="",0,IFERROR(INDEX('_Развёртки'!$C$2:$C$1358,MATCH(B20&amp;"|"&amp;H53,'_Развёртки'!$D$2:$D$1358,0)),0)*N(C20))+IF(B21="",0,IFERROR(INDEX('_Развёртки'!$C$2:$C$1358,MATCH(B21&amp;"|"&amp;H53,'_Развёртки'!$D$2:$D$1358,0)),0)*N(C21))+IF(B22="",0,IFERROR(INDEX('_Развёртки'!$C$2:$C$1358,MATCH(B22&amp;"|"&amp;H53,'_Развёртки'!$D$2:$D$1358,0)),0)*N(C22))+IF(B23="",0,IFERROR(INDEX('_Развёртки'!$C$2:$C$1358,MATCH(B23&amp;"|"&amp;H53,'_Развёртки'!$D$2:$D$1358,0)),0)*N(C23))+IF(B24="",0,IFERROR(INDEX('_Развёртки'!$C$2:$C$1358,MATCH(B24&amp;"|"&amp;H53,'_Развёртки'!$D$2:$D$1358,0)),0)*N(C24))+IF(B25="",0,IFERROR(INDEX('_Развёртки'!$C$2:$C$1358,MATCH(B25&amp;"|"&amp;H53,'_Развёртки'!$D$2:$D$1358,0)),0)*N(C25))+IF(B26="",0,IFERROR(INDEX('_Развёртки'!$C$2:$C$1358,MATCH(B26&amp;"|"&amp;H53,'_Развёртки'!$D$2:$D$1358,0)),0)*N(C26))+IF(B27="",0,IFERROR(INDEX('_Развёртки'!$C$2:$C$1358,MATCH(B27&amp;"|"&amp;H53,'_Развёртки'!$D$2:$D$1358,0)),0)*N(C27))</f>
        <v>5.15</v>
      </c>
      <c r="K53" s="178">
        <f>IFERROR(VLOOKUP(H53,'Сырьё'!$C$6:$E$233,3,FALSE()),IFERROR(VLOOKUP(H53,'Полупродукты'!$C$6:$E$60,3,FALSE()),0))</f>
        <v>4.7016</v>
      </c>
      <c r="L53" s="179">
        <f t="shared" si="3"/>
        <v>24.21324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1"/>
      <c r="C54" s="1"/>
      <c r="D54" s="1"/>
      <c r="E54" s="1"/>
      <c r="F54" s="1"/>
      <c r="G54" s="170">
        <v>43.0</v>
      </c>
      <c r="H54" s="171" t="s">
        <v>574</v>
      </c>
      <c r="I54" s="172" t="str">
        <f>IFERROR(VLOOKUP(H54,'Сырьё'!$C$6:$D$233,2,FALSE()),IFERROR(VLOOKUP(H54,'Полупродукты'!$C$6:$D$60,2,FALSE()),"кг"))</f>
        <v>кг</v>
      </c>
      <c r="J54" s="173">
        <f t="array" ref="J54">IF(B8="",0,IFERROR(INDEX('_Развёртки'!$C$2:$C$1358,MATCH(B8&amp;"|"&amp;H54,'_Развёртки'!$D$2:$D$1358,0)),0)*N(C8))+IF(B9="",0,IFERROR(INDEX('_Развёртки'!$C$2:$C$1358,MATCH(B9&amp;"|"&amp;H54,'_Развёртки'!$D$2:$D$1358,0)),0)*N(C9))+IF(B10="",0,IFERROR(INDEX('_Развёртки'!$C$2:$C$1358,MATCH(B10&amp;"|"&amp;H54,'_Развёртки'!$D$2:$D$1358,0)),0)*N(C10))+IF(B11="",0,IFERROR(INDEX('_Развёртки'!$C$2:$C$1358,MATCH(B11&amp;"|"&amp;H54,'_Развёртки'!$D$2:$D$1358,0)),0)*N(C11))+IF(B12="",0,IFERROR(INDEX('_Развёртки'!$C$2:$C$1358,MATCH(B12&amp;"|"&amp;H54,'_Развёртки'!$D$2:$D$1358,0)),0)*N(C12))+IF(B13="",0,IFERROR(INDEX('_Развёртки'!$C$2:$C$1358,MATCH(B13&amp;"|"&amp;H54,'_Развёртки'!$D$2:$D$1358,0)),0)*N(C13))+IF(B14="",0,IFERROR(INDEX('_Развёртки'!$C$2:$C$1358,MATCH(B14&amp;"|"&amp;H54,'_Развёртки'!$D$2:$D$1358,0)),0)*N(C14))+IF(B15="",0,IFERROR(INDEX('_Развёртки'!$C$2:$C$1358,MATCH(B15&amp;"|"&amp;H54,'_Развёртки'!$D$2:$D$1358,0)),0)*N(C15))+IF(B16="",0,IFERROR(INDEX('_Развёртки'!$C$2:$C$1358,MATCH(B16&amp;"|"&amp;H54,'_Развёртки'!$D$2:$D$1358,0)),0)*N(C16))+IF(B17="",0,IFERROR(INDEX('_Развёртки'!$C$2:$C$1358,MATCH(B17&amp;"|"&amp;H54,'_Развёртки'!$D$2:$D$1358,0)),0)*N(C17))+IF(B18="",0,IFERROR(INDEX('_Развёртки'!$C$2:$C$1358,MATCH(B18&amp;"|"&amp;H54,'_Развёртки'!$D$2:$D$1358,0)),0)*N(C18))+IF(B19="",0,IFERROR(INDEX('_Развёртки'!$C$2:$C$1358,MATCH(B19&amp;"|"&amp;H54,'_Развёртки'!$D$2:$D$1358,0)),0)*N(C19))+IF(B20="",0,IFERROR(INDEX('_Развёртки'!$C$2:$C$1358,MATCH(B20&amp;"|"&amp;H54,'_Развёртки'!$D$2:$D$1358,0)),0)*N(C20))+IF(B21="",0,IFERROR(INDEX('_Развёртки'!$C$2:$C$1358,MATCH(B21&amp;"|"&amp;H54,'_Развёртки'!$D$2:$D$1358,0)),0)*N(C21))+IF(B22="",0,IFERROR(INDEX('_Развёртки'!$C$2:$C$1358,MATCH(B22&amp;"|"&amp;H54,'_Развёртки'!$D$2:$D$1358,0)),0)*N(C22))+IF(B23="",0,IFERROR(INDEX('_Развёртки'!$C$2:$C$1358,MATCH(B23&amp;"|"&amp;H54,'_Развёртки'!$D$2:$D$1358,0)),0)*N(C23))+IF(B24="",0,IFERROR(INDEX('_Развёртки'!$C$2:$C$1358,MATCH(B24&amp;"|"&amp;H54,'_Развёртки'!$D$2:$D$1358,0)),0)*N(C24))+IF(B25="",0,IFERROR(INDEX('_Развёртки'!$C$2:$C$1358,MATCH(B25&amp;"|"&amp;H54,'_Развёртки'!$D$2:$D$1358,0)),0)*N(C25))+IF(B26="",0,IFERROR(INDEX('_Развёртки'!$C$2:$C$1358,MATCH(B26&amp;"|"&amp;H54,'_Развёртки'!$D$2:$D$1358,0)),0)*N(C26))+IF(B27="",0,IFERROR(INDEX('_Развёртки'!$C$2:$C$1358,MATCH(B27&amp;"|"&amp;H54,'_Развёртки'!$D$2:$D$1358,0)),0)*N(C27))</f>
        <v>0</v>
      </c>
      <c r="K54" s="174">
        <f>IFERROR(VLOOKUP(H54,'Сырьё'!$C$6:$E$233,3,FALSE()),IFERROR(VLOOKUP(H54,'Полупродукты'!$C$6:$E$60,3,FALSE()),0))</f>
        <v>0</v>
      </c>
      <c r="L54" s="175">
        <f t="shared" si="3"/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35">
        <v>44.0</v>
      </c>
      <c r="H55" s="36" t="s">
        <v>575</v>
      </c>
      <c r="I55" s="176" t="str">
        <f>IFERROR(VLOOKUP(H55,'Сырьё'!$C$6:$D$233,2,FALSE()),IFERROR(VLOOKUP(H55,'Полупродукты'!$C$6:$D$60,2,FALSE()),"кг"))</f>
        <v>кг</v>
      </c>
      <c r="J55" s="177">
        <f t="array" ref="J55">IF(B8="",0,IFERROR(INDEX('_Развёртки'!$C$2:$C$1358,MATCH(B8&amp;"|"&amp;H55,'_Развёртки'!$D$2:$D$1358,0)),0)*N(C8))+IF(B9="",0,IFERROR(INDEX('_Развёртки'!$C$2:$C$1358,MATCH(B9&amp;"|"&amp;H55,'_Развёртки'!$D$2:$D$1358,0)),0)*N(C9))+IF(B10="",0,IFERROR(INDEX('_Развёртки'!$C$2:$C$1358,MATCH(B10&amp;"|"&amp;H55,'_Развёртки'!$D$2:$D$1358,0)),0)*N(C10))+IF(B11="",0,IFERROR(INDEX('_Развёртки'!$C$2:$C$1358,MATCH(B11&amp;"|"&amp;H55,'_Развёртки'!$D$2:$D$1358,0)),0)*N(C11))+IF(B12="",0,IFERROR(INDEX('_Развёртки'!$C$2:$C$1358,MATCH(B12&amp;"|"&amp;H55,'_Развёртки'!$D$2:$D$1358,0)),0)*N(C12))+IF(B13="",0,IFERROR(INDEX('_Развёртки'!$C$2:$C$1358,MATCH(B13&amp;"|"&amp;H55,'_Развёртки'!$D$2:$D$1358,0)),0)*N(C13))+IF(B14="",0,IFERROR(INDEX('_Развёртки'!$C$2:$C$1358,MATCH(B14&amp;"|"&amp;H55,'_Развёртки'!$D$2:$D$1358,0)),0)*N(C14))+IF(B15="",0,IFERROR(INDEX('_Развёртки'!$C$2:$C$1358,MATCH(B15&amp;"|"&amp;H55,'_Развёртки'!$D$2:$D$1358,0)),0)*N(C15))+IF(B16="",0,IFERROR(INDEX('_Развёртки'!$C$2:$C$1358,MATCH(B16&amp;"|"&amp;H55,'_Развёртки'!$D$2:$D$1358,0)),0)*N(C16))+IF(B17="",0,IFERROR(INDEX('_Развёртки'!$C$2:$C$1358,MATCH(B17&amp;"|"&amp;H55,'_Развёртки'!$D$2:$D$1358,0)),0)*N(C17))+IF(B18="",0,IFERROR(INDEX('_Развёртки'!$C$2:$C$1358,MATCH(B18&amp;"|"&amp;H55,'_Развёртки'!$D$2:$D$1358,0)),0)*N(C18))+IF(B19="",0,IFERROR(INDEX('_Развёртки'!$C$2:$C$1358,MATCH(B19&amp;"|"&amp;H55,'_Развёртки'!$D$2:$D$1358,0)),0)*N(C19))+IF(B20="",0,IFERROR(INDEX('_Развёртки'!$C$2:$C$1358,MATCH(B20&amp;"|"&amp;H55,'_Развёртки'!$D$2:$D$1358,0)),0)*N(C20))+IF(B21="",0,IFERROR(INDEX('_Развёртки'!$C$2:$C$1358,MATCH(B21&amp;"|"&amp;H55,'_Развёртки'!$D$2:$D$1358,0)),0)*N(C21))+IF(B22="",0,IFERROR(INDEX('_Развёртки'!$C$2:$C$1358,MATCH(B22&amp;"|"&amp;H55,'_Развёртки'!$D$2:$D$1358,0)),0)*N(C22))+IF(B23="",0,IFERROR(INDEX('_Развёртки'!$C$2:$C$1358,MATCH(B23&amp;"|"&amp;H55,'_Развёртки'!$D$2:$D$1358,0)),0)*N(C23))+IF(B24="",0,IFERROR(INDEX('_Развёртки'!$C$2:$C$1358,MATCH(B24&amp;"|"&amp;H55,'_Развёртки'!$D$2:$D$1358,0)),0)*N(C24))+IF(B25="",0,IFERROR(INDEX('_Развёртки'!$C$2:$C$1358,MATCH(B25&amp;"|"&amp;H55,'_Развёртки'!$D$2:$D$1358,0)),0)*N(C25))+IF(B26="",0,IFERROR(INDEX('_Развёртки'!$C$2:$C$1358,MATCH(B26&amp;"|"&amp;H55,'_Развёртки'!$D$2:$D$1358,0)),0)*N(C26))+IF(B27="",0,IFERROR(INDEX('_Развёртки'!$C$2:$C$1358,MATCH(B27&amp;"|"&amp;H55,'_Развёртки'!$D$2:$D$1358,0)),0)*N(C27))</f>
        <v>0</v>
      </c>
      <c r="K55" s="178">
        <f>IFERROR(VLOOKUP(H55,'Сырьё'!$C$6:$E$233,3,FALSE()),IFERROR(VLOOKUP(H55,'Полупродукты'!$C$6:$E$60,3,FALSE()),0))</f>
        <v>16.0088</v>
      </c>
      <c r="L55" s="179">
        <f t="shared" si="3"/>
        <v>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"/>
      <c r="C56" s="1"/>
      <c r="D56" s="1"/>
      <c r="E56" s="1"/>
      <c r="F56" s="1"/>
      <c r="G56" s="170">
        <v>45.0</v>
      </c>
      <c r="H56" s="171" t="s">
        <v>576</v>
      </c>
      <c r="I56" s="172" t="str">
        <f>IFERROR(VLOOKUP(H56,'Сырьё'!$C$6:$D$233,2,FALSE()),IFERROR(VLOOKUP(H56,'Полупродукты'!$C$6:$D$60,2,FALSE()),"кг"))</f>
        <v>шт</v>
      </c>
      <c r="J56" s="173">
        <f t="array" ref="J56">IF(B8="",0,IFERROR(INDEX('_Развёртки'!$C$2:$C$1358,MATCH(B8&amp;"|"&amp;H56,'_Развёртки'!$D$2:$D$1358,0)),0)*N(C8))+IF(B9="",0,IFERROR(INDEX('_Развёртки'!$C$2:$C$1358,MATCH(B9&amp;"|"&amp;H56,'_Развёртки'!$D$2:$D$1358,0)),0)*N(C9))+IF(B10="",0,IFERROR(INDEX('_Развёртки'!$C$2:$C$1358,MATCH(B10&amp;"|"&amp;H56,'_Развёртки'!$D$2:$D$1358,0)),0)*N(C10))+IF(B11="",0,IFERROR(INDEX('_Развёртки'!$C$2:$C$1358,MATCH(B11&amp;"|"&amp;H56,'_Развёртки'!$D$2:$D$1358,0)),0)*N(C11))+IF(B12="",0,IFERROR(INDEX('_Развёртки'!$C$2:$C$1358,MATCH(B12&amp;"|"&amp;H56,'_Развёртки'!$D$2:$D$1358,0)),0)*N(C12))+IF(B13="",0,IFERROR(INDEX('_Развёртки'!$C$2:$C$1358,MATCH(B13&amp;"|"&amp;H56,'_Развёртки'!$D$2:$D$1358,0)),0)*N(C13))+IF(B14="",0,IFERROR(INDEX('_Развёртки'!$C$2:$C$1358,MATCH(B14&amp;"|"&amp;H56,'_Развёртки'!$D$2:$D$1358,0)),0)*N(C14))+IF(B15="",0,IFERROR(INDEX('_Развёртки'!$C$2:$C$1358,MATCH(B15&amp;"|"&amp;H56,'_Развёртки'!$D$2:$D$1358,0)),0)*N(C15))+IF(B16="",0,IFERROR(INDEX('_Развёртки'!$C$2:$C$1358,MATCH(B16&amp;"|"&amp;H56,'_Развёртки'!$D$2:$D$1358,0)),0)*N(C16))+IF(B17="",0,IFERROR(INDEX('_Развёртки'!$C$2:$C$1358,MATCH(B17&amp;"|"&amp;H56,'_Развёртки'!$D$2:$D$1358,0)),0)*N(C17))+IF(B18="",0,IFERROR(INDEX('_Развёртки'!$C$2:$C$1358,MATCH(B18&amp;"|"&amp;H56,'_Развёртки'!$D$2:$D$1358,0)),0)*N(C18))+IF(B19="",0,IFERROR(INDEX('_Развёртки'!$C$2:$C$1358,MATCH(B19&amp;"|"&amp;H56,'_Развёртки'!$D$2:$D$1358,0)),0)*N(C19))+IF(B20="",0,IFERROR(INDEX('_Развёртки'!$C$2:$C$1358,MATCH(B20&amp;"|"&amp;H56,'_Развёртки'!$D$2:$D$1358,0)),0)*N(C20))+IF(B21="",0,IFERROR(INDEX('_Развёртки'!$C$2:$C$1358,MATCH(B21&amp;"|"&amp;H56,'_Развёртки'!$D$2:$D$1358,0)),0)*N(C21))+IF(B22="",0,IFERROR(INDEX('_Развёртки'!$C$2:$C$1358,MATCH(B22&amp;"|"&amp;H56,'_Развёртки'!$D$2:$D$1358,0)),0)*N(C22))+IF(B23="",0,IFERROR(INDEX('_Развёртки'!$C$2:$C$1358,MATCH(B23&amp;"|"&amp;H56,'_Развёртки'!$D$2:$D$1358,0)),0)*N(C23))+IF(B24="",0,IFERROR(INDEX('_Развёртки'!$C$2:$C$1358,MATCH(B24&amp;"|"&amp;H56,'_Развёртки'!$D$2:$D$1358,0)),0)*N(C24))+IF(B25="",0,IFERROR(INDEX('_Развёртки'!$C$2:$C$1358,MATCH(B25&amp;"|"&amp;H56,'_Развёртки'!$D$2:$D$1358,0)),0)*N(C25))+IF(B26="",0,IFERROR(INDEX('_Развёртки'!$C$2:$C$1358,MATCH(B26&amp;"|"&amp;H56,'_Развёртки'!$D$2:$D$1358,0)),0)*N(C26))+IF(B27="",0,IFERROR(INDEX('_Развёртки'!$C$2:$C$1358,MATCH(B27&amp;"|"&amp;H56,'_Развёртки'!$D$2:$D$1358,0)),0)*N(C27))</f>
        <v>0</v>
      </c>
      <c r="K56" s="174">
        <f>IFERROR(VLOOKUP(H56,'Сырьё'!$C$6:$E$233,3,FALSE()),IFERROR(VLOOKUP(H56,'Полупродукты'!$C$6:$E$60,3,FALSE()),0))</f>
        <v>4.6836</v>
      </c>
      <c r="L56" s="175">
        <f t="shared" si="3"/>
        <v>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35">
        <v>46.0</v>
      </c>
      <c r="H57" s="36" t="s">
        <v>577</v>
      </c>
      <c r="I57" s="176" t="str">
        <f>IFERROR(VLOOKUP(H57,'Сырьё'!$C$6:$D$233,2,FALSE()),IFERROR(VLOOKUP(H57,'Полупродукты'!$C$6:$D$60,2,FALSE()),"кг"))</f>
        <v>кг</v>
      </c>
      <c r="J57" s="177">
        <f t="array" ref="J57">IF(B8="",0,IFERROR(INDEX('_Развёртки'!$C$2:$C$1358,MATCH(B8&amp;"|"&amp;H57,'_Развёртки'!$D$2:$D$1358,0)),0)*N(C8))+IF(B9="",0,IFERROR(INDEX('_Развёртки'!$C$2:$C$1358,MATCH(B9&amp;"|"&amp;H57,'_Развёртки'!$D$2:$D$1358,0)),0)*N(C9))+IF(B10="",0,IFERROR(INDEX('_Развёртки'!$C$2:$C$1358,MATCH(B10&amp;"|"&amp;H57,'_Развёртки'!$D$2:$D$1358,0)),0)*N(C10))+IF(B11="",0,IFERROR(INDEX('_Развёртки'!$C$2:$C$1358,MATCH(B11&amp;"|"&amp;H57,'_Развёртки'!$D$2:$D$1358,0)),0)*N(C11))+IF(B12="",0,IFERROR(INDEX('_Развёртки'!$C$2:$C$1358,MATCH(B12&amp;"|"&amp;H57,'_Развёртки'!$D$2:$D$1358,0)),0)*N(C12))+IF(B13="",0,IFERROR(INDEX('_Развёртки'!$C$2:$C$1358,MATCH(B13&amp;"|"&amp;H57,'_Развёртки'!$D$2:$D$1358,0)),0)*N(C13))+IF(B14="",0,IFERROR(INDEX('_Развёртки'!$C$2:$C$1358,MATCH(B14&amp;"|"&amp;H57,'_Развёртки'!$D$2:$D$1358,0)),0)*N(C14))+IF(B15="",0,IFERROR(INDEX('_Развёртки'!$C$2:$C$1358,MATCH(B15&amp;"|"&amp;H57,'_Развёртки'!$D$2:$D$1358,0)),0)*N(C15))+IF(B16="",0,IFERROR(INDEX('_Развёртки'!$C$2:$C$1358,MATCH(B16&amp;"|"&amp;H57,'_Развёртки'!$D$2:$D$1358,0)),0)*N(C16))+IF(B17="",0,IFERROR(INDEX('_Развёртки'!$C$2:$C$1358,MATCH(B17&amp;"|"&amp;H57,'_Развёртки'!$D$2:$D$1358,0)),0)*N(C17))+IF(B18="",0,IFERROR(INDEX('_Развёртки'!$C$2:$C$1358,MATCH(B18&amp;"|"&amp;H57,'_Развёртки'!$D$2:$D$1358,0)),0)*N(C18))+IF(B19="",0,IFERROR(INDEX('_Развёртки'!$C$2:$C$1358,MATCH(B19&amp;"|"&amp;H57,'_Развёртки'!$D$2:$D$1358,0)),0)*N(C19))+IF(B20="",0,IFERROR(INDEX('_Развёртки'!$C$2:$C$1358,MATCH(B20&amp;"|"&amp;H57,'_Развёртки'!$D$2:$D$1358,0)),0)*N(C20))+IF(B21="",0,IFERROR(INDEX('_Развёртки'!$C$2:$C$1358,MATCH(B21&amp;"|"&amp;H57,'_Развёртки'!$D$2:$D$1358,0)),0)*N(C21))+IF(B22="",0,IFERROR(INDEX('_Развёртки'!$C$2:$C$1358,MATCH(B22&amp;"|"&amp;H57,'_Развёртки'!$D$2:$D$1358,0)),0)*N(C22))+IF(B23="",0,IFERROR(INDEX('_Развёртки'!$C$2:$C$1358,MATCH(B23&amp;"|"&amp;H57,'_Развёртки'!$D$2:$D$1358,0)),0)*N(C23))+IF(B24="",0,IFERROR(INDEX('_Развёртки'!$C$2:$C$1358,MATCH(B24&amp;"|"&amp;H57,'_Развёртки'!$D$2:$D$1358,0)),0)*N(C24))+IF(B25="",0,IFERROR(INDEX('_Развёртки'!$C$2:$C$1358,MATCH(B25&amp;"|"&amp;H57,'_Развёртки'!$D$2:$D$1358,0)),0)*N(C25))+IF(B26="",0,IFERROR(INDEX('_Развёртки'!$C$2:$C$1358,MATCH(B26&amp;"|"&amp;H57,'_Развёртки'!$D$2:$D$1358,0)),0)*N(C26))+IF(B27="",0,IFERROR(INDEX('_Развёртки'!$C$2:$C$1358,MATCH(B27&amp;"|"&amp;H57,'_Развёртки'!$D$2:$D$1358,0)),0)*N(C27))</f>
        <v>1528.9065</v>
      </c>
      <c r="K57" s="178">
        <f>IFERROR(VLOOKUP(H57,'Сырьё'!$C$6:$E$233,3,FALSE()),IFERROR(VLOOKUP(H57,'Полупродукты'!$C$6:$E$60,3,FALSE()),0))</f>
        <v>2.8015</v>
      </c>
      <c r="L57" s="179">
        <f t="shared" si="3"/>
        <v>4283.23156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70">
        <v>47.0</v>
      </c>
      <c r="H58" s="171" t="s">
        <v>578</v>
      </c>
      <c r="I58" s="172" t="str">
        <f>IFERROR(VLOOKUP(H58,'Сырьё'!$C$6:$D$233,2,FALSE()),IFERROR(VLOOKUP(H58,'Полупродукты'!$C$6:$D$60,2,FALSE()),"кг"))</f>
        <v>шт</v>
      </c>
      <c r="J58" s="173">
        <f t="array" ref="J58">IF(B8="",0,IFERROR(INDEX('_Развёртки'!$C$2:$C$1358,MATCH(B8&amp;"|"&amp;H58,'_Развёртки'!$D$2:$D$1358,0)),0)*N(C8))+IF(B9="",0,IFERROR(INDEX('_Развёртки'!$C$2:$C$1358,MATCH(B9&amp;"|"&amp;H58,'_Развёртки'!$D$2:$D$1358,0)),0)*N(C9))+IF(B10="",0,IFERROR(INDEX('_Развёртки'!$C$2:$C$1358,MATCH(B10&amp;"|"&amp;H58,'_Развёртки'!$D$2:$D$1358,0)),0)*N(C10))+IF(B11="",0,IFERROR(INDEX('_Развёртки'!$C$2:$C$1358,MATCH(B11&amp;"|"&amp;H58,'_Развёртки'!$D$2:$D$1358,0)),0)*N(C11))+IF(B12="",0,IFERROR(INDEX('_Развёртки'!$C$2:$C$1358,MATCH(B12&amp;"|"&amp;H58,'_Развёртки'!$D$2:$D$1358,0)),0)*N(C12))+IF(B13="",0,IFERROR(INDEX('_Развёртки'!$C$2:$C$1358,MATCH(B13&amp;"|"&amp;H58,'_Развёртки'!$D$2:$D$1358,0)),0)*N(C13))+IF(B14="",0,IFERROR(INDEX('_Развёртки'!$C$2:$C$1358,MATCH(B14&amp;"|"&amp;H58,'_Развёртки'!$D$2:$D$1358,0)),0)*N(C14))+IF(B15="",0,IFERROR(INDEX('_Развёртки'!$C$2:$C$1358,MATCH(B15&amp;"|"&amp;H58,'_Развёртки'!$D$2:$D$1358,0)),0)*N(C15))+IF(B16="",0,IFERROR(INDEX('_Развёртки'!$C$2:$C$1358,MATCH(B16&amp;"|"&amp;H58,'_Развёртки'!$D$2:$D$1358,0)),0)*N(C16))+IF(B17="",0,IFERROR(INDEX('_Развёртки'!$C$2:$C$1358,MATCH(B17&amp;"|"&amp;H58,'_Развёртки'!$D$2:$D$1358,0)),0)*N(C17))+IF(B18="",0,IFERROR(INDEX('_Развёртки'!$C$2:$C$1358,MATCH(B18&amp;"|"&amp;H58,'_Развёртки'!$D$2:$D$1358,0)),0)*N(C18))+IF(B19="",0,IFERROR(INDEX('_Развёртки'!$C$2:$C$1358,MATCH(B19&amp;"|"&amp;H58,'_Развёртки'!$D$2:$D$1358,0)),0)*N(C19))+IF(B20="",0,IFERROR(INDEX('_Развёртки'!$C$2:$C$1358,MATCH(B20&amp;"|"&amp;H58,'_Развёртки'!$D$2:$D$1358,0)),0)*N(C20))+IF(B21="",0,IFERROR(INDEX('_Развёртки'!$C$2:$C$1358,MATCH(B21&amp;"|"&amp;H58,'_Развёртки'!$D$2:$D$1358,0)),0)*N(C21))+IF(B22="",0,IFERROR(INDEX('_Развёртки'!$C$2:$C$1358,MATCH(B22&amp;"|"&amp;H58,'_Развёртки'!$D$2:$D$1358,0)),0)*N(C22))+IF(B23="",0,IFERROR(INDEX('_Развёртки'!$C$2:$C$1358,MATCH(B23&amp;"|"&amp;H58,'_Развёртки'!$D$2:$D$1358,0)),0)*N(C23))+IF(B24="",0,IFERROR(INDEX('_Развёртки'!$C$2:$C$1358,MATCH(B24&amp;"|"&amp;H58,'_Развёртки'!$D$2:$D$1358,0)),0)*N(C24))+IF(B25="",0,IFERROR(INDEX('_Развёртки'!$C$2:$C$1358,MATCH(B25&amp;"|"&amp;H58,'_Развёртки'!$D$2:$D$1358,0)),0)*N(C25))+IF(B26="",0,IFERROR(INDEX('_Развёртки'!$C$2:$C$1358,MATCH(B26&amp;"|"&amp;H58,'_Развёртки'!$D$2:$D$1358,0)),0)*N(C26))+IF(B27="",0,IFERROR(INDEX('_Развёртки'!$C$2:$C$1358,MATCH(B27&amp;"|"&amp;H58,'_Развёртки'!$D$2:$D$1358,0)),0)*N(C27))</f>
        <v>0</v>
      </c>
      <c r="K58" s="174">
        <f>IFERROR(VLOOKUP(H58,'Сырьё'!$C$6:$E$233,3,FALSE()),IFERROR(VLOOKUP(H58,'Полупродукты'!$C$6:$E$60,3,FALSE()),0))</f>
        <v>4.0017</v>
      </c>
      <c r="L58" s="175">
        <f t="shared" si="3"/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35">
        <v>48.0</v>
      </c>
      <c r="H59" s="36" t="s">
        <v>579</v>
      </c>
      <c r="I59" s="176" t="str">
        <f>IFERROR(VLOOKUP(H59,'Сырьё'!$C$6:$D$233,2,FALSE()),IFERROR(VLOOKUP(H59,'Полупродукты'!$C$6:$D$60,2,FALSE()),"кг"))</f>
        <v>кг</v>
      </c>
      <c r="J59" s="177">
        <f t="array" ref="J59">IF(B8="",0,IFERROR(INDEX('_Развёртки'!$C$2:$C$1358,MATCH(B8&amp;"|"&amp;H59,'_Развёртки'!$D$2:$D$1358,0)),0)*N(C8))+IF(B9="",0,IFERROR(INDEX('_Развёртки'!$C$2:$C$1358,MATCH(B9&amp;"|"&amp;H59,'_Развёртки'!$D$2:$D$1358,0)),0)*N(C9))+IF(B10="",0,IFERROR(INDEX('_Развёртки'!$C$2:$C$1358,MATCH(B10&amp;"|"&amp;H59,'_Развёртки'!$D$2:$D$1358,0)),0)*N(C10))+IF(B11="",0,IFERROR(INDEX('_Развёртки'!$C$2:$C$1358,MATCH(B11&amp;"|"&amp;H59,'_Развёртки'!$D$2:$D$1358,0)),0)*N(C11))+IF(B12="",0,IFERROR(INDEX('_Развёртки'!$C$2:$C$1358,MATCH(B12&amp;"|"&amp;H59,'_Развёртки'!$D$2:$D$1358,0)),0)*N(C12))+IF(B13="",0,IFERROR(INDEX('_Развёртки'!$C$2:$C$1358,MATCH(B13&amp;"|"&amp;H59,'_Развёртки'!$D$2:$D$1358,0)),0)*N(C13))+IF(B14="",0,IFERROR(INDEX('_Развёртки'!$C$2:$C$1358,MATCH(B14&amp;"|"&amp;H59,'_Развёртки'!$D$2:$D$1358,0)),0)*N(C14))+IF(B15="",0,IFERROR(INDEX('_Развёртки'!$C$2:$C$1358,MATCH(B15&amp;"|"&amp;H59,'_Развёртки'!$D$2:$D$1358,0)),0)*N(C15))+IF(B16="",0,IFERROR(INDEX('_Развёртки'!$C$2:$C$1358,MATCH(B16&amp;"|"&amp;H59,'_Развёртки'!$D$2:$D$1358,0)),0)*N(C16))+IF(B17="",0,IFERROR(INDEX('_Развёртки'!$C$2:$C$1358,MATCH(B17&amp;"|"&amp;H59,'_Развёртки'!$D$2:$D$1358,0)),0)*N(C17))+IF(B18="",0,IFERROR(INDEX('_Развёртки'!$C$2:$C$1358,MATCH(B18&amp;"|"&amp;H59,'_Развёртки'!$D$2:$D$1358,0)),0)*N(C18))+IF(B19="",0,IFERROR(INDEX('_Развёртки'!$C$2:$C$1358,MATCH(B19&amp;"|"&amp;H59,'_Развёртки'!$D$2:$D$1358,0)),0)*N(C19))+IF(B20="",0,IFERROR(INDEX('_Развёртки'!$C$2:$C$1358,MATCH(B20&amp;"|"&amp;H59,'_Развёртки'!$D$2:$D$1358,0)),0)*N(C20))+IF(B21="",0,IFERROR(INDEX('_Развёртки'!$C$2:$C$1358,MATCH(B21&amp;"|"&amp;H59,'_Развёртки'!$D$2:$D$1358,0)),0)*N(C21))+IF(B22="",0,IFERROR(INDEX('_Развёртки'!$C$2:$C$1358,MATCH(B22&amp;"|"&amp;H59,'_Развёртки'!$D$2:$D$1358,0)),0)*N(C22))+IF(B23="",0,IFERROR(INDEX('_Развёртки'!$C$2:$C$1358,MATCH(B23&amp;"|"&amp;H59,'_Развёртки'!$D$2:$D$1358,0)),0)*N(C23))+IF(B24="",0,IFERROR(INDEX('_Развёртки'!$C$2:$C$1358,MATCH(B24&amp;"|"&amp;H59,'_Развёртки'!$D$2:$D$1358,0)),0)*N(C24))+IF(B25="",0,IFERROR(INDEX('_Развёртки'!$C$2:$C$1358,MATCH(B25&amp;"|"&amp;H59,'_Развёртки'!$D$2:$D$1358,0)),0)*N(C25))+IF(B26="",0,IFERROR(INDEX('_Развёртки'!$C$2:$C$1358,MATCH(B26&amp;"|"&amp;H59,'_Развёртки'!$D$2:$D$1358,0)),0)*N(C26))+IF(B27="",0,IFERROR(INDEX('_Развёртки'!$C$2:$C$1358,MATCH(B27&amp;"|"&amp;H59,'_Развёртки'!$D$2:$D$1358,0)),0)*N(C27))</f>
        <v>1426.77812</v>
      </c>
      <c r="K59" s="178">
        <f>IFERROR(VLOOKUP(H59,'Сырьё'!$C$6:$E$233,3,FALSE()),IFERROR(VLOOKUP(H59,'Полупродукты'!$C$6:$E$60,3,FALSE()),0))</f>
        <v>1.2831</v>
      </c>
      <c r="L59" s="179">
        <f t="shared" si="3"/>
        <v>1830.699006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70">
        <v>49.0</v>
      </c>
      <c r="H60" s="171" t="s">
        <v>580</v>
      </c>
      <c r="I60" s="172" t="str">
        <f>IFERROR(VLOOKUP(H60,'Сырьё'!$C$6:$D$233,2,FALSE()),IFERROR(VLOOKUP(H60,'Полупродукты'!$C$6:$D$60,2,FALSE()),"кг"))</f>
        <v>кг</v>
      </c>
      <c r="J60" s="173">
        <f t="array" ref="J60">IF(B8="",0,IFERROR(INDEX('_Развёртки'!$C$2:$C$1358,MATCH(B8&amp;"|"&amp;H60,'_Развёртки'!$D$2:$D$1358,0)),0)*N(C8))+IF(B9="",0,IFERROR(INDEX('_Развёртки'!$C$2:$C$1358,MATCH(B9&amp;"|"&amp;H60,'_Развёртки'!$D$2:$D$1358,0)),0)*N(C9))+IF(B10="",0,IFERROR(INDEX('_Развёртки'!$C$2:$C$1358,MATCH(B10&amp;"|"&amp;H60,'_Развёртки'!$D$2:$D$1358,0)),0)*N(C10))+IF(B11="",0,IFERROR(INDEX('_Развёртки'!$C$2:$C$1358,MATCH(B11&amp;"|"&amp;H60,'_Развёртки'!$D$2:$D$1358,0)),0)*N(C11))+IF(B12="",0,IFERROR(INDEX('_Развёртки'!$C$2:$C$1358,MATCH(B12&amp;"|"&amp;H60,'_Развёртки'!$D$2:$D$1358,0)),0)*N(C12))+IF(B13="",0,IFERROR(INDEX('_Развёртки'!$C$2:$C$1358,MATCH(B13&amp;"|"&amp;H60,'_Развёртки'!$D$2:$D$1358,0)),0)*N(C13))+IF(B14="",0,IFERROR(INDEX('_Развёртки'!$C$2:$C$1358,MATCH(B14&amp;"|"&amp;H60,'_Развёртки'!$D$2:$D$1358,0)),0)*N(C14))+IF(B15="",0,IFERROR(INDEX('_Развёртки'!$C$2:$C$1358,MATCH(B15&amp;"|"&amp;H60,'_Развёртки'!$D$2:$D$1358,0)),0)*N(C15))+IF(B16="",0,IFERROR(INDEX('_Развёртки'!$C$2:$C$1358,MATCH(B16&amp;"|"&amp;H60,'_Развёртки'!$D$2:$D$1358,0)),0)*N(C16))+IF(B17="",0,IFERROR(INDEX('_Развёртки'!$C$2:$C$1358,MATCH(B17&amp;"|"&amp;H60,'_Развёртки'!$D$2:$D$1358,0)),0)*N(C17))+IF(B18="",0,IFERROR(INDEX('_Развёртки'!$C$2:$C$1358,MATCH(B18&amp;"|"&amp;H60,'_Развёртки'!$D$2:$D$1358,0)),0)*N(C18))+IF(B19="",0,IFERROR(INDEX('_Развёртки'!$C$2:$C$1358,MATCH(B19&amp;"|"&amp;H60,'_Развёртки'!$D$2:$D$1358,0)),0)*N(C19))+IF(B20="",0,IFERROR(INDEX('_Развёртки'!$C$2:$C$1358,MATCH(B20&amp;"|"&amp;H60,'_Развёртки'!$D$2:$D$1358,0)),0)*N(C20))+IF(B21="",0,IFERROR(INDEX('_Развёртки'!$C$2:$C$1358,MATCH(B21&amp;"|"&amp;H60,'_Развёртки'!$D$2:$D$1358,0)),0)*N(C21))+IF(B22="",0,IFERROR(INDEX('_Развёртки'!$C$2:$C$1358,MATCH(B22&amp;"|"&amp;H60,'_Развёртки'!$D$2:$D$1358,0)),0)*N(C22))+IF(B23="",0,IFERROR(INDEX('_Развёртки'!$C$2:$C$1358,MATCH(B23&amp;"|"&amp;H60,'_Развёртки'!$D$2:$D$1358,0)),0)*N(C23))+IF(B24="",0,IFERROR(INDEX('_Развёртки'!$C$2:$C$1358,MATCH(B24&amp;"|"&amp;H60,'_Развёртки'!$D$2:$D$1358,0)),0)*N(C24))+IF(B25="",0,IFERROR(INDEX('_Развёртки'!$C$2:$C$1358,MATCH(B25&amp;"|"&amp;H60,'_Развёртки'!$D$2:$D$1358,0)),0)*N(C25))+IF(B26="",0,IFERROR(INDEX('_Развёртки'!$C$2:$C$1358,MATCH(B26&amp;"|"&amp;H60,'_Развёртки'!$D$2:$D$1358,0)),0)*N(C26))+IF(B27="",0,IFERROR(INDEX('_Развёртки'!$C$2:$C$1358,MATCH(B27&amp;"|"&amp;H60,'_Развёртки'!$D$2:$D$1358,0)),0)*N(C27))</f>
        <v>0</v>
      </c>
      <c r="K60" s="174">
        <f>IFERROR(VLOOKUP(H60,'Сырьё'!$C$6:$E$233,3,FALSE()),IFERROR(VLOOKUP(H60,'Полупродукты'!$C$6:$E$60,3,FALSE()),0))</f>
        <v>6.1299</v>
      </c>
      <c r="L60" s="175">
        <f t="shared" si="3"/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35">
        <v>50.0</v>
      </c>
      <c r="H61" s="36" t="s">
        <v>581</v>
      </c>
      <c r="I61" s="176" t="str">
        <f>IFERROR(VLOOKUP(H61,'Сырьё'!$C$6:$D$233,2,FALSE()),IFERROR(VLOOKUP(H61,'Полупродукты'!$C$6:$D$60,2,FALSE()),"кг"))</f>
        <v>кг</v>
      </c>
      <c r="J61" s="177">
        <f t="array" ref="J61">IF(B8="",0,IFERROR(INDEX('_Развёртки'!$C$2:$C$1358,MATCH(B8&amp;"|"&amp;H61,'_Развёртки'!$D$2:$D$1358,0)),0)*N(C8))+IF(B9="",0,IFERROR(INDEX('_Развёртки'!$C$2:$C$1358,MATCH(B9&amp;"|"&amp;H61,'_Развёртки'!$D$2:$D$1358,0)),0)*N(C9))+IF(B10="",0,IFERROR(INDEX('_Развёртки'!$C$2:$C$1358,MATCH(B10&amp;"|"&amp;H61,'_Развёртки'!$D$2:$D$1358,0)),0)*N(C10))+IF(B11="",0,IFERROR(INDEX('_Развёртки'!$C$2:$C$1358,MATCH(B11&amp;"|"&amp;H61,'_Развёртки'!$D$2:$D$1358,0)),0)*N(C11))+IF(B12="",0,IFERROR(INDEX('_Развёртки'!$C$2:$C$1358,MATCH(B12&amp;"|"&amp;H61,'_Развёртки'!$D$2:$D$1358,0)),0)*N(C12))+IF(B13="",0,IFERROR(INDEX('_Развёртки'!$C$2:$C$1358,MATCH(B13&amp;"|"&amp;H61,'_Развёртки'!$D$2:$D$1358,0)),0)*N(C13))+IF(B14="",0,IFERROR(INDEX('_Развёртки'!$C$2:$C$1358,MATCH(B14&amp;"|"&amp;H61,'_Развёртки'!$D$2:$D$1358,0)),0)*N(C14))+IF(B15="",0,IFERROR(INDEX('_Развёртки'!$C$2:$C$1358,MATCH(B15&amp;"|"&amp;H61,'_Развёртки'!$D$2:$D$1358,0)),0)*N(C15))+IF(B16="",0,IFERROR(INDEX('_Развёртки'!$C$2:$C$1358,MATCH(B16&amp;"|"&amp;H61,'_Развёртки'!$D$2:$D$1358,0)),0)*N(C16))+IF(B17="",0,IFERROR(INDEX('_Развёртки'!$C$2:$C$1358,MATCH(B17&amp;"|"&amp;H61,'_Развёртки'!$D$2:$D$1358,0)),0)*N(C17))+IF(B18="",0,IFERROR(INDEX('_Развёртки'!$C$2:$C$1358,MATCH(B18&amp;"|"&amp;H61,'_Развёртки'!$D$2:$D$1358,0)),0)*N(C18))+IF(B19="",0,IFERROR(INDEX('_Развёртки'!$C$2:$C$1358,MATCH(B19&amp;"|"&amp;H61,'_Развёртки'!$D$2:$D$1358,0)),0)*N(C19))+IF(B20="",0,IFERROR(INDEX('_Развёртки'!$C$2:$C$1358,MATCH(B20&amp;"|"&amp;H61,'_Развёртки'!$D$2:$D$1358,0)),0)*N(C20))+IF(B21="",0,IFERROR(INDEX('_Развёртки'!$C$2:$C$1358,MATCH(B21&amp;"|"&amp;H61,'_Развёртки'!$D$2:$D$1358,0)),0)*N(C21))+IF(B22="",0,IFERROR(INDEX('_Развёртки'!$C$2:$C$1358,MATCH(B22&amp;"|"&amp;H61,'_Развёртки'!$D$2:$D$1358,0)),0)*N(C22))+IF(B23="",0,IFERROR(INDEX('_Развёртки'!$C$2:$C$1358,MATCH(B23&amp;"|"&amp;H61,'_Развёртки'!$D$2:$D$1358,0)),0)*N(C23))+IF(B24="",0,IFERROR(INDEX('_Развёртки'!$C$2:$C$1358,MATCH(B24&amp;"|"&amp;H61,'_Развёртки'!$D$2:$D$1358,0)),0)*N(C24))+IF(B25="",0,IFERROR(INDEX('_Развёртки'!$C$2:$C$1358,MATCH(B25&amp;"|"&amp;H61,'_Развёртки'!$D$2:$D$1358,0)),0)*N(C25))+IF(B26="",0,IFERROR(INDEX('_Развёртки'!$C$2:$C$1358,MATCH(B26&amp;"|"&amp;H61,'_Развёртки'!$D$2:$D$1358,0)),0)*N(C26))+IF(B27="",0,IFERROR(INDEX('_Развёртки'!$C$2:$C$1358,MATCH(B27&amp;"|"&amp;H61,'_Развёртки'!$D$2:$D$1358,0)),0)*N(C27))</f>
        <v>0</v>
      </c>
      <c r="K61" s="178">
        <f>IFERROR(VLOOKUP(H61,'Сырьё'!$C$6:$E$233,3,FALSE()),IFERROR(VLOOKUP(H61,'Полупродукты'!$C$6:$E$60,3,FALSE()),0))</f>
        <v>7.2777</v>
      </c>
      <c r="L61" s="179">
        <f t="shared" si="3"/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70">
        <v>51.0</v>
      </c>
      <c r="H62" s="171" t="s">
        <v>582</v>
      </c>
      <c r="I62" s="172" t="str">
        <f>IFERROR(VLOOKUP(H62,'Сырьё'!$C$6:$D$233,2,FALSE()),IFERROR(VLOOKUP(H62,'Полупродукты'!$C$6:$D$60,2,FALSE()),"кг"))</f>
        <v>шт</v>
      </c>
      <c r="J62" s="173">
        <f t="array" ref="J62">IF(B8="",0,IFERROR(INDEX('_Развёртки'!$C$2:$C$1358,MATCH(B8&amp;"|"&amp;H62,'_Развёртки'!$D$2:$D$1358,0)),0)*N(C8))+IF(B9="",0,IFERROR(INDEX('_Развёртки'!$C$2:$C$1358,MATCH(B9&amp;"|"&amp;H62,'_Развёртки'!$D$2:$D$1358,0)),0)*N(C9))+IF(B10="",0,IFERROR(INDEX('_Развёртки'!$C$2:$C$1358,MATCH(B10&amp;"|"&amp;H62,'_Развёртки'!$D$2:$D$1358,0)),0)*N(C10))+IF(B11="",0,IFERROR(INDEX('_Развёртки'!$C$2:$C$1358,MATCH(B11&amp;"|"&amp;H62,'_Развёртки'!$D$2:$D$1358,0)),0)*N(C11))+IF(B12="",0,IFERROR(INDEX('_Развёртки'!$C$2:$C$1358,MATCH(B12&amp;"|"&amp;H62,'_Развёртки'!$D$2:$D$1358,0)),0)*N(C12))+IF(B13="",0,IFERROR(INDEX('_Развёртки'!$C$2:$C$1358,MATCH(B13&amp;"|"&amp;H62,'_Развёртки'!$D$2:$D$1358,0)),0)*N(C13))+IF(B14="",0,IFERROR(INDEX('_Развёртки'!$C$2:$C$1358,MATCH(B14&amp;"|"&amp;H62,'_Развёртки'!$D$2:$D$1358,0)),0)*N(C14))+IF(B15="",0,IFERROR(INDEX('_Развёртки'!$C$2:$C$1358,MATCH(B15&amp;"|"&amp;H62,'_Развёртки'!$D$2:$D$1358,0)),0)*N(C15))+IF(B16="",0,IFERROR(INDEX('_Развёртки'!$C$2:$C$1358,MATCH(B16&amp;"|"&amp;H62,'_Развёртки'!$D$2:$D$1358,0)),0)*N(C16))+IF(B17="",0,IFERROR(INDEX('_Развёртки'!$C$2:$C$1358,MATCH(B17&amp;"|"&amp;H62,'_Развёртки'!$D$2:$D$1358,0)),0)*N(C17))+IF(B18="",0,IFERROR(INDEX('_Развёртки'!$C$2:$C$1358,MATCH(B18&amp;"|"&amp;H62,'_Развёртки'!$D$2:$D$1358,0)),0)*N(C18))+IF(B19="",0,IFERROR(INDEX('_Развёртки'!$C$2:$C$1358,MATCH(B19&amp;"|"&amp;H62,'_Развёртки'!$D$2:$D$1358,0)),0)*N(C19))+IF(B20="",0,IFERROR(INDEX('_Развёртки'!$C$2:$C$1358,MATCH(B20&amp;"|"&amp;H62,'_Развёртки'!$D$2:$D$1358,0)),0)*N(C20))+IF(B21="",0,IFERROR(INDEX('_Развёртки'!$C$2:$C$1358,MATCH(B21&amp;"|"&amp;H62,'_Развёртки'!$D$2:$D$1358,0)),0)*N(C21))+IF(B22="",0,IFERROR(INDEX('_Развёртки'!$C$2:$C$1358,MATCH(B22&amp;"|"&amp;H62,'_Развёртки'!$D$2:$D$1358,0)),0)*N(C22))+IF(B23="",0,IFERROR(INDEX('_Развёртки'!$C$2:$C$1358,MATCH(B23&amp;"|"&amp;H62,'_Развёртки'!$D$2:$D$1358,0)),0)*N(C23))+IF(B24="",0,IFERROR(INDEX('_Развёртки'!$C$2:$C$1358,MATCH(B24&amp;"|"&amp;H62,'_Развёртки'!$D$2:$D$1358,0)),0)*N(C24))+IF(B25="",0,IFERROR(INDEX('_Развёртки'!$C$2:$C$1358,MATCH(B25&amp;"|"&amp;H62,'_Развёртки'!$D$2:$D$1358,0)),0)*N(C25))+IF(B26="",0,IFERROR(INDEX('_Развёртки'!$C$2:$C$1358,MATCH(B26&amp;"|"&amp;H62,'_Развёртки'!$D$2:$D$1358,0)),0)*N(C26))+IF(B27="",0,IFERROR(INDEX('_Развёртки'!$C$2:$C$1358,MATCH(B27&amp;"|"&amp;H62,'_Развёртки'!$D$2:$D$1358,0)),0)*N(C27))</f>
        <v>0</v>
      </c>
      <c r="K62" s="174">
        <f>IFERROR(VLOOKUP(H62,'Сырьё'!$C$6:$E$233,3,FALSE()),IFERROR(VLOOKUP(H62,'Полупродукты'!$C$6:$E$60,3,FALSE()),0))</f>
        <v>1.8685</v>
      </c>
      <c r="L62" s="175">
        <f t="shared" si="3"/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35">
        <v>52.0</v>
      </c>
      <c r="H63" s="36" t="s">
        <v>583</v>
      </c>
      <c r="I63" s="176" t="str">
        <f>IFERROR(VLOOKUP(H63,'Сырьё'!$C$6:$D$233,2,FALSE()),IFERROR(VLOOKUP(H63,'Полупродукты'!$C$6:$D$60,2,FALSE()),"кг"))</f>
        <v>кг</v>
      </c>
      <c r="J63" s="177">
        <f t="array" ref="J63">IF(B8="",0,IFERROR(INDEX('_Развёртки'!$C$2:$C$1358,MATCH(B8&amp;"|"&amp;H63,'_Развёртки'!$D$2:$D$1358,0)),0)*N(C8))+IF(B9="",0,IFERROR(INDEX('_Развёртки'!$C$2:$C$1358,MATCH(B9&amp;"|"&amp;H63,'_Развёртки'!$D$2:$D$1358,0)),0)*N(C9))+IF(B10="",0,IFERROR(INDEX('_Развёртки'!$C$2:$C$1358,MATCH(B10&amp;"|"&amp;H63,'_Развёртки'!$D$2:$D$1358,0)),0)*N(C10))+IF(B11="",0,IFERROR(INDEX('_Развёртки'!$C$2:$C$1358,MATCH(B11&amp;"|"&amp;H63,'_Развёртки'!$D$2:$D$1358,0)),0)*N(C11))+IF(B12="",0,IFERROR(INDEX('_Развёртки'!$C$2:$C$1358,MATCH(B12&amp;"|"&amp;H63,'_Развёртки'!$D$2:$D$1358,0)),0)*N(C12))+IF(B13="",0,IFERROR(INDEX('_Развёртки'!$C$2:$C$1358,MATCH(B13&amp;"|"&amp;H63,'_Развёртки'!$D$2:$D$1358,0)),0)*N(C13))+IF(B14="",0,IFERROR(INDEX('_Развёртки'!$C$2:$C$1358,MATCH(B14&amp;"|"&amp;H63,'_Развёртки'!$D$2:$D$1358,0)),0)*N(C14))+IF(B15="",0,IFERROR(INDEX('_Развёртки'!$C$2:$C$1358,MATCH(B15&amp;"|"&amp;H63,'_Развёртки'!$D$2:$D$1358,0)),0)*N(C15))+IF(B16="",0,IFERROR(INDEX('_Развёртки'!$C$2:$C$1358,MATCH(B16&amp;"|"&amp;H63,'_Развёртки'!$D$2:$D$1358,0)),0)*N(C16))+IF(B17="",0,IFERROR(INDEX('_Развёртки'!$C$2:$C$1358,MATCH(B17&amp;"|"&amp;H63,'_Развёртки'!$D$2:$D$1358,0)),0)*N(C17))+IF(B18="",0,IFERROR(INDEX('_Развёртки'!$C$2:$C$1358,MATCH(B18&amp;"|"&amp;H63,'_Развёртки'!$D$2:$D$1358,0)),0)*N(C18))+IF(B19="",0,IFERROR(INDEX('_Развёртки'!$C$2:$C$1358,MATCH(B19&amp;"|"&amp;H63,'_Развёртки'!$D$2:$D$1358,0)),0)*N(C19))+IF(B20="",0,IFERROR(INDEX('_Развёртки'!$C$2:$C$1358,MATCH(B20&amp;"|"&amp;H63,'_Развёртки'!$D$2:$D$1358,0)),0)*N(C20))+IF(B21="",0,IFERROR(INDEX('_Развёртки'!$C$2:$C$1358,MATCH(B21&amp;"|"&amp;H63,'_Развёртки'!$D$2:$D$1358,0)),0)*N(C21))+IF(B22="",0,IFERROR(INDEX('_Развёртки'!$C$2:$C$1358,MATCH(B22&amp;"|"&amp;H63,'_Развёртки'!$D$2:$D$1358,0)),0)*N(C22))+IF(B23="",0,IFERROR(INDEX('_Развёртки'!$C$2:$C$1358,MATCH(B23&amp;"|"&amp;H63,'_Развёртки'!$D$2:$D$1358,0)),0)*N(C23))+IF(B24="",0,IFERROR(INDEX('_Развёртки'!$C$2:$C$1358,MATCH(B24&amp;"|"&amp;H63,'_Развёртки'!$D$2:$D$1358,0)),0)*N(C24))+IF(B25="",0,IFERROR(INDEX('_Развёртки'!$C$2:$C$1358,MATCH(B25&amp;"|"&amp;H63,'_Развёртки'!$D$2:$D$1358,0)),0)*N(C25))+IF(B26="",0,IFERROR(INDEX('_Развёртки'!$C$2:$C$1358,MATCH(B26&amp;"|"&amp;H63,'_Развёртки'!$D$2:$D$1358,0)),0)*N(C26))+IF(B27="",0,IFERROR(INDEX('_Развёртки'!$C$2:$C$1358,MATCH(B27&amp;"|"&amp;H63,'_Развёртки'!$D$2:$D$1358,0)),0)*N(C27))</f>
        <v>6.36026</v>
      </c>
      <c r="K63" s="178">
        <f>IFERROR(VLOOKUP(H63,'Сырьё'!$C$6:$E$233,3,FALSE()),IFERROR(VLOOKUP(H63,'Полупродукты'!$C$6:$E$60,3,FALSE()),0))</f>
        <v>1.4708</v>
      </c>
      <c r="L63" s="179">
        <f t="shared" si="3"/>
        <v>9.354670408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70">
        <v>53.0</v>
      </c>
      <c r="H64" s="171" t="s">
        <v>584</v>
      </c>
      <c r="I64" s="172" t="str">
        <f>IFERROR(VLOOKUP(H64,'Сырьё'!$C$6:$D$233,2,FALSE()),IFERROR(VLOOKUP(H64,'Полупродукты'!$C$6:$D$60,2,FALSE()),"кг"))</f>
        <v>кг</v>
      </c>
      <c r="J64" s="173">
        <f t="array" ref="J64">IF(B8="",0,IFERROR(INDEX('_Развёртки'!$C$2:$C$1358,MATCH(B8&amp;"|"&amp;H64,'_Развёртки'!$D$2:$D$1358,0)),0)*N(C8))+IF(B9="",0,IFERROR(INDEX('_Развёртки'!$C$2:$C$1358,MATCH(B9&amp;"|"&amp;H64,'_Развёртки'!$D$2:$D$1358,0)),0)*N(C9))+IF(B10="",0,IFERROR(INDEX('_Развёртки'!$C$2:$C$1358,MATCH(B10&amp;"|"&amp;H64,'_Развёртки'!$D$2:$D$1358,0)),0)*N(C10))+IF(B11="",0,IFERROR(INDEX('_Развёртки'!$C$2:$C$1358,MATCH(B11&amp;"|"&amp;H64,'_Развёртки'!$D$2:$D$1358,0)),0)*N(C11))+IF(B12="",0,IFERROR(INDEX('_Развёртки'!$C$2:$C$1358,MATCH(B12&amp;"|"&amp;H64,'_Развёртки'!$D$2:$D$1358,0)),0)*N(C12))+IF(B13="",0,IFERROR(INDEX('_Развёртки'!$C$2:$C$1358,MATCH(B13&amp;"|"&amp;H64,'_Развёртки'!$D$2:$D$1358,0)),0)*N(C13))+IF(B14="",0,IFERROR(INDEX('_Развёртки'!$C$2:$C$1358,MATCH(B14&amp;"|"&amp;H64,'_Развёртки'!$D$2:$D$1358,0)),0)*N(C14))+IF(B15="",0,IFERROR(INDEX('_Развёртки'!$C$2:$C$1358,MATCH(B15&amp;"|"&amp;H64,'_Развёртки'!$D$2:$D$1358,0)),0)*N(C15))+IF(B16="",0,IFERROR(INDEX('_Развёртки'!$C$2:$C$1358,MATCH(B16&amp;"|"&amp;H64,'_Развёртки'!$D$2:$D$1358,0)),0)*N(C16))+IF(B17="",0,IFERROR(INDEX('_Развёртки'!$C$2:$C$1358,MATCH(B17&amp;"|"&amp;H64,'_Развёртки'!$D$2:$D$1358,0)),0)*N(C17))+IF(B18="",0,IFERROR(INDEX('_Развёртки'!$C$2:$C$1358,MATCH(B18&amp;"|"&amp;H64,'_Развёртки'!$D$2:$D$1358,0)),0)*N(C18))+IF(B19="",0,IFERROR(INDEX('_Развёртки'!$C$2:$C$1358,MATCH(B19&amp;"|"&amp;H64,'_Развёртки'!$D$2:$D$1358,0)),0)*N(C19))+IF(B20="",0,IFERROR(INDEX('_Развёртки'!$C$2:$C$1358,MATCH(B20&amp;"|"&amp;H64,'_Развёртки'!$D$2:$D$1358,0)),0)*N(C20))+IF(B21="",0,IFERROR(INDEX('_Развёртки'!$C$2:$C$1358,MATCH(B21&amp;"|"&amp;H64,'_Развёртки'!$D$2:$D$1358,0)),0)*N(C21))+IF(B22="",0,IFERROR(INDEX('_Развёртки'!$C$2:$C$1358,MATCH(B22&amp;"|"&amp;H64,'_Развёртки'!$D$2:$D$1358,0)),0)*N(C22))+IF(B23="",0,IFERROR(INDEX('_Развёртки'!$C$2:$C$1358,MATCH(B23&amp;"|"&amp;H64,'_Развёртки'!$D$2:$D$1358,0)),0)*N(C23))+IF(B24="",0,IFERROR(INDEX('_Развёртки'!$C$2:$C$1358,MATCH(B24&amp;"|"&amp;H64,'_Развёртки'!$D$2:$D$1358,0)),0)*N(C24))+IF(B25="",0,IFERROR(INDEX('_Развёртки'!$C$2:$C$1358,MATCH(B25&amp;"|"&amp;H64,'_Развёртки'!$D$2:$D$1358,0)),0)*N(C25))+IF(B26="",0,IFERROR(INDEX('_Развёртки'!$C$2:$C$1358,MATCH(B26&amp;"|"&amp;H64,'_Развёртки'!$D$2:$D$1358,0)),0)*N(C26))+IF(B27="",0,IFERROR(INDEX('_Развёртки'!$C$2:$C$1358,MATCH(B27&amp;"|"&amp;H64,'_Развёртки'!$D$2:$D$1358,0)),0)*N(C27))</f>
        <v>28.1602</v>
      </c>
      <c r="K64" s="174">
        <f>IFERROR(VLOOKUP(H64,'Сырьё'!$C$6:$E$233,3,FALSE()),IFERROR(VLOOKUP(H64,'Полупродукты'!$C$6:$E$60,3,FALSE()),0))</f>
        <v>2.0494</v>
      </c>
      <c r="L64" s="175">
        <f t="shared" si="3"/>
        <v>57.71151388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35">
        <v>54.0</v>
      </c>
      <c r="H65" s="36" t="s">
        <v>585</v>
      </c>
      <c r="I65" s="176" t="str">
        <f>IFERROR(VLOOKUP(H65,'Сырьё'!$C$6:$D$233,2,FALSE()),IFERROR(VLOOKUP(H65,'Полупродукты'!$C$6:$D$60,2,FALSE()),"кг"))</f>
        <v>кг</v>
      </c>
      <c r="J65" s="177">
        <f t="array" ref="J65">IF(B8="",0,IFERROR(INDEX('_Развёртки'!$C$2:$C$1358,MATCH(B8&amp;"|"&amp;H65,'_Развёртки'!$D$2:$D$1358,0)),0)*N(C8))+IF(B9="",0,IFERROR(INDEX('_Развёртки'!$C$2:$C$1358,MATCH(B9&amp;"|"&amp;H65,'_Развёртки'!$D$2:$D$1358,0)),0)*N(C9))+IF(B10="",0,IFERROR(INDEX('_Развёртки'!$C$2:$C$1358,MATCH(B10&amp;"|"&amp;H65,'_Развёртки'!$D$2:$D$1358,0)),0)*N(C10))+IF(B11="",0,IFERROR(INDEX('_Развёртки'!$C$2:$C$1358,MATCH(B11&amp;"|"&amp;H65,'_Развёртки'!$D$2:$D$1358,0)),0)*N(C11))+IF(B12="",0,IFERROR(INDEX('_Развёртки'!$C$2:$C$1358,MATCH(B12&amp;"|"&amp;H65,'_Развёртки'!$D$2:$D$1358,0)),0)*N(C12))+IF(B13="",0,IFERROR(INDEX('_Развёртки'!$C$2:$C$1358,MATCH(B13&amp;"|"&amp;H65,'_Развёртки'!$D$2:$D$1358,0)),0)*N(C13))+IF(B14="",0,IFERROR(INDEX('_Развёртки'!$C$2:$C$1358,MATCH(B14&amp;"|"&amp;H65,'_Развёртки'!$D$2:$D$1358,0)),0)*N(C14))+IF(B15="",0,IFERROR(INDEX('_Развёртки'!$C$2:$C$1358,MATCH(B15&amp;"|"&amp;H65,'_Развёртки'!$D$2:$D$1358,0)),0)*N(C15))+IF(B16="",0,IFERROR(INDEX('_Развёртки'!$C$2:$C$1358,MATCH(B16&amp;"|"&amp;H65,'_Развёртки'!$D$2:$D$1358,0)),0)*N(C16))+IF(B17="",0,IFERROR(INDEX('_Развёртки'!$C$2:$C$1358,MATCH(B17&amp;"|"&amp;H65,'_Развёртки'!$D$2:$D$1358,0)),0)*N(C17))+IF(B18="",0,IFERROR(INDEX('_Развёртки'!$C$2:$C$1358,MATCH(B18&amp;"|"&amp;H65,'_Развёртки'!$D$2:$D$1358,0)),0)*N(C18))+IF(B19="",0,IFERROR(INDEX('_Развёртки'!$C$2:$C$1358,MATCH(B19&amp;"|"&amp;H65,'_Развёртки'!$D$2:$D$1358,0)),0)*N(C19))+IF(B20="",0,IFERROR(INDEX('_Развёртки'!$C$2:$C$1358,MATCH(B20&amp;"|"&amp;H65,'_Развёртки'!$D$2:$D$1358,0)),0)*N(C20))+IF(B21="",0,IFERROR(INDEX('_Развёртки'!$C$2:$C$1358,MATCH(B21&amp;"|"&amp;H65,'_Развёртки'!$D$2:$D$1358,0)),0)*N(C21))+IF(B22="",0,IFERROR(INDEX('_Развёртки'!$C$2:$C$1358,MATCH(B22&amp;"|"&amp;H65,'_Развёртки'!$D$2:$D$1358,0)),0)*N(C22))+IF(B23="",0,IFERROR(INDEX('_Развёртки'!$C$2:$C$1358,MATCH(B23&amp;"|"&amp;H65,'_Развёртки'!$D$2:$D$1358,0)),0)*N(C23))+IF(B24="",0,IFERROR(INDEX('_Развёртки'!$C$2:$C$1358,MATCH(B24&amp;"|"&amp;H65,'_Развёртки'!$D$2:$D$1358,0)),0)*N(C24))+IF(B25="",0,IFERROR(INDEX('_Развёртки'!$C$2:$C$1358,MATCH(B25&amp;"|"&amp;H65,'_Развёртки'!$D$2:$D$1358,0)),0)*N(C25))+IF(B26="",0,IFERROR(INDEX('_Развёртки'!$C$2:$C$1358,MATCH(B26&amp;"|"&amp;H65,'_Развёртки'!$D$2:$D$1358,0)),0)*N(C26))+IF(B27="",0,IFERROR(INDEX('_Развёртки'!$C$2:$C$1358,MATCH(B27&amp;"|"&amp;H65,'_Развёртки'!$D$2:$D$1358,0)),0)*N(C27))</f>
        <v>15.7493</v>
      </c>
      <c r="K65" s="178">
        <f>IFERROR(VLOOKUP(H65,'Сырьё'!$C$6:$E$233,3,FALSE()),IFERROR(VLOOKUP(H65,'Полупродукты'!$C$6:$E$60,3,FALSE()),0))</f>
        <v>6.9052</v>
      </c>
      <c r="L65" s="179">
        <f t="shared" si="3"/>
        <v>108.7520664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70">
        <v>55.0</v>
      </c>
      <c r="H66" s="171" t="s">
        <v>586</v>
      </c>
      <c r="I66" s="172" t="str">
        <f>IFERROR(VLOOKUP(H66,'Сырьё'!$C$6:$D$233,2,FALSE()),IFERROR(VLOOKUP(H66,'Полупродукты'!$C$6:$D$60,2,FALSE()),"кг"))</f>
        <v>кг</v>
      </c>
      <c r="J66" s="173">
        <f t="array" ref="J66">IF(B8="",0,IFERROR(INDEX('_Развёртки'!$C$2:$C$1358,MATCH(B8&amp;"|"&amp;H66,'_Развёртки'!$D$2:$D$1358,0)),0)*N(C8))+IF(B9="",0,IFERROR(INDEX('_Развёртки'!$C$2:$C$1358,MATCH(B9&amp;"|"&amp;H66,'_Развёртки'!$D$2:$D$1358,0)),0)*N(C9))+IF(B10="",0,IFERROR(INDEX('_Развёртки'!$C$2:$C$1358,MATCH(B10&amp;"|"&amp;H66,'_Развёртки'!$D$2:$D$1358,0)),0)*N(C10))+IF(B11="",0,IFERROR(INDEX('_Развёртки'!$C$2:$C$1358,MATCH(B11&amp;"|"&amp;H66,'_Развёртки'!$D$2:$D$1358,0)),0)*N(C11))+IF(B12="",0,IFERROR(INDEX('_Развёртки'!$C$2:$C$1358,MATCH(B12&amp;"|"&amp;H66,'_Развёртки'!$D$2:$D$1358,0)),0)*N(C12))+IF(B13="",0,IFERROR(INDEX('_Развёртки'!$C$2:$C$1358,MATCH(B13&amp;"|"&amp;H66,'_Развёртки'!$D$2:$D$1358,0)),0)*N(C13))+IF(B14="",0,IFERROR(INDEX('_Развёртки'!$C$2:$C$1358,MATCH(B14&amp;"|"&amp;H66,'_Развёртки'!$D$2:$D$1358,0)),0)*N(C14))+IF(B15="",0,IFERROR(INDEX('_Развёртки'!$C$2:$C$1358,MATCH(B15&amp;"|"&amp;H66,'_Развёртки'!$D$2:$D$1358,0)),0)*N(C15))+IF(B16="",0,IFERROR(INDEX('_Развёртки'!$C$2:$C$1358,MATCH(B16&amp;"|"&amp;H66,'_Развёртки'!$D$2:$D$1358,0)),0)*N(C16))+IF(B17="",0,IFERROR(INDEX('_Развёртки'!$C$2:$C$1358,MATCH(B17&amp;"|"&amp;H66,'_Развёртки'!$D$2:$D$1358,0)),0)*N(C17))+IF(B18="",0,IFERROR(INDEX('_Развёртки'!$C$2:$C$1358,MATCH(B18&amp;"|"&amp;H66,'_Развёртки'!$D$2:$D$1358,0)),0)*N(C18))+IF(B19="",0,IFERROR(INDEX('_Развёртки'!$C$2:$C$1358,MATCH(B19&amp;"|"&amp;H66,'_Развёртки'!$D$2:$D$1358,0)),0)*N(C19))+IF(B20="",0,IFERROR(INDEX('_Развёртки'!$C$2:$C$1358,MATCH(B20&amp;"|"&amp;H66,'_Развёртки'!$D$2:$D$1358,0)),0)*N(C20))+IF(B21="",0,IFERROR(INDEX('_Развёртки'!$C$2:$C$1358,MATCH(B21&amp;"|"&amp;H66,'_Развёртки'!$D$2:$D$1358,0)),0)*N(C21))+IF(B22="",0,IFERROR(INDEX('_Развёртки'!$C$2:$C$1358,MATCH(B22&amp;"|"&amp;H66,'_Развёртки'!$D$2:$D$1358,0)),0)*N(C22))+IF(B23="",0,IFERROR(INDEX('_Развёртки'!$C$2:$C$1358,MATCH(B23&amp;"|"&amp;H66,'_Развёртки'!$D$2:$D$1358,0)),0)*N(C23))+IF(B24="",0,IFERROR(INDEX('_Развёртки'!$C$2:$C$1358,MATCH(B24&amp;"|"&amp;H66,'_Развёртки'!$D$2:$D$1358,0)),0)*N(C24))+IF(B25="",0,IFERROR(INDEX('_Развёртки'!$C$2:$C$1358,MATCH(B25&amp;"|"&amp;H66,'_Развёртки'!$D$2:$D$1358,0)),0)*N(C25))+IF(B26="",0,IFERROR(INDEX('_Развёртки'!$C$2:$C$1358,MATCH(B26&amp;"|"&amp;H66,'_Развёртки'!$D$2:$D$1358,0)),0)*N(C26))+IF(B27="",0,IFERROR(INDEX('_Развёртки'!$C$2:$C$1358,MATCH(B27&amp;"|"&amp;H66,'_Развёртки'!$D$2:$D$1358,0)),0)*N(C27))</f>
        <v>29.43528</v>
      </c>
      <c r="K66" s="174">
        <f>IFERROR(VLOOKUP(H66,'Сырьё'!$C$6:$E$233,3,FALSE()),IFERROR(VLOOKUP(H66,'Полупродукты'!$C$6:$E$60,3,FALSE()),0))</f>
        <v>53.4751</v>
      </c>
      <c r="L66" s="175">
        <f t="shared" si="3"/>
        <v>1574.054542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35">
        <v>56.0</v>
      </c>
      <c r="H67" s="36" t="s">
        <v>587</v>
      </c>
      <c r="I67" s="176" t="str">
        <f>IFERROR(VLOOKUP(H67,'Сырьё'!$C$6:$D$233,2,FALSE()),IFERROR(VLOOKUP(H67,'Полупродукты'!$C$6:$D$60,2,FALSE()),"кг"))</f>
        <v>кг</v>
      </c>
      <c r="J67" s="177">
        <f t="array" ref="J67">IF(B8="",0,IFERROR(INDEX('_Развёртки'!$C$2:$C$1358,MATCH(B8&amp;"|"&amp;H67,'_Развёртки'!$D$2:$D$1358,0)),0)*N(C8))+IF(B9="",0,IFERROR(INDEX('_Развёртки'!$C$2:$C$1358,MATCH(B9&amp;"|"&amp;H67,'_Развёртки'!$D$2:$D$1358,0)),0)*N(C9))+IF(B10="",0,IFERROR(INDEX('_Развёртки'!$C$2:$C$1358,MATCH(B10&amp;"|"&amp;H67,'_Развёртки'!$D$2:$D$1358,0)),0)*N(C10))+IF(B11="",0,IFERROR(INDEX('_Развёртки'!$C$2:$C$1358,MATCH(B11&amp;"|"&amp;H67,'_Развёртки'!$D$2:$D$1358,0)),0)*N(C11))+IF(B12="",0,IFERROR(INDEX('_Развёртки'!$C$2:$C$1358,MATCH(B12&amp;"|"&amp;H67,'_Развёртки'!$D$2:$D$1358,0)),0)*N(C12))+IF(B13="",0,IFERROR(INDEX('_Развёртки'!$C$2:$C$1358,MATCH(B13&amp;"|"&amp;H67,'_Развёртки'!$D$2:$D$1358,0)),0)*N(C13))+IF(B14="",0,IFERROR(INDEX('_Развёртки'!$C$2:$C$1358,MATCH(B14&amp;"|"&amp;H67,'_Развёртки'!$D$2:$D$1358,0)),0)*N(C14))+IF(B15="",0,IFERROR(INDEX('_Развёртки'!$C$2:$C$1358,MATCH(B15&amp;"|"&amp;H67,'_Развёртки'!$D$2:$D$1358,0)),0)*N(C15))+IF(B16="",0,IFERROR(INDEX('_Развёртки'!$C$2:$C$1358,MATCH(B16&amp;"|"&amp;H67,'_Развёртки'!$D$2:$D$1358,0)),0)*N(C16))+IF(B17="",0,IFERROR(INDEX('_Развёртки'!$C$2:$C$1358,MATCH(B17&amp;"|"&amp;H67,'_Развёртки'!$D$2:$D$1358,0)),0)*N(C17))+IF(B18="",0,IFERROR(INDEX('_Развёртки'!$C$2:$C$1358,MATCH(B18&amp;"|"&amp;H67,'_Развёртки'!$D$2:$D$1358,0)),0)*N(C18))+IF(B19="",0,IFERROR(INDEX('_Развёртки'!$C$2:$C$1358,MATCH(B19&amp;"|"&amp;H67,'_Развёртки'!$D$2:$D$1358,0)),0)*N(C19))+IF(B20="",0,IFERROR(INDEX('_Развёртки'!$C$2:$C$1358,MATCH(B20&amp;"|"&amp;H67,'_Развёртки'!$D$2:$D$1358,0)),0)*N(C20))+IF(B21="",0,IFERROR(INDEX('_Развёртки'!$C$2:$C$1358,MATCH(B21&amp;"|"&amp;H67,'_Развёртки'!$D$2:$D$1358,0)),0)*N(C21))+IF(B22="",0,IFERROR(INDEX('_Развёртки'!$C$2:$C$1358,MATCH(B22&amp;"|"&amp;H67,'_Развёртки'!$D$2:$D$1358,0)),0)*N(C22))+IF(B23="",0,IFERROR(INDEX('_Развёртки'!$C$2:$C$1358,MATCH(B23&amp;"|"&amp;H67,'_Развёртки'!$D$2:$D$1358,0)),0)*N(C23))+IF(B24="",0,IFERROR(INDEX('_Развёртки'!$C$2:$C$1358,MATCH(B24&amp;"|"&amp;H67,'_Развёртки'!$D$2:$D$1358,0)),0)*N(C24))+IF(B25="",0,IFERROR(INDEX('_Развёртки'!$C$2:$C$1358,MATCH(B25&amp;"|"&amp;H67,'_Развёртки'!$D$2:$D$1358,0)),0)*N(C25))+IF(B26="",0,IFERROR(INDEX('_Развёртки'!$C$2:$C$1358,MATCH(B26&amp;"|"&amp;H67,'_Развёртки'!$D$2:$D$1358,0)),0)*N(C26))+IF(B27="",0,IFERROR(INDEX('_Развёртки'!$C$2:$C$1358,MATCH(B27&amp;"|"&amp;H67,'_Развёртки'!$D$2:$D$1358,0)),0)*N(C27))</f>
        <v>0</v>
      </c>
      <c r="K67" s="178">
        <f>IFERROR(VLOOKUP(H67,'Сырьё'!$C$6:$E$233,3,FALSE()),IFERROR(VLOOKUP(H67,'Полупродукты'!$C$6:$E$60,3,FALSE()),0))</f>
        <v>0</v>
      </c>
      <c r="L67" s="179">
        <f t="shared" si="3"/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70">
        <v>57.0</v>
      </c>
      <c r="H68" s="171" t="s">
        <v>588</v>
      </c>
      <c r="I68" s="172" t="str">
        <f>IFERROR(VLOOKUP(H68,'Сырьё'!$C$6:$D$233,2,FALSE()),IFERROR(VLOOKUP(H68,'Полупродукты'!$C$6:$D$60,2,FALSE()),"кг"))</f>
        <v>кг</v>
      </c>
      <c r="J68" s="173">
        <f t="array" ref="J68">IF(B8="",0,IFERROR(INDEX('_Развёртки'!$C$2:$C$1358,MATCH(B8&amp;"|"&amp;H68,'_Развёртки'!$D$2:$D$1358,0)),0)*N(C8))+IF(B9="",0,IFERROR(INDEX('_Развёртки'!$C$2:$C$1358,MATCH(B9&amp;"|"&amp;H68,'_Развёртки'!$D$2:$D$1358,0)),0)*N(C9))+IF(B10="",0,IFERROR(INDEX('_Развёртки'!$C$2:$C$1358,MATCH(B10&amp;"|"&amp;H68,'_Развёртки'!$D$2:$D$1358,0)),0)*N(C10))+IF(B11="",0,IFERROR(INDEX('_Развёртки'!$C$2:$C$1358,MATCH(B11&amp;"|"&amp;H68,'_Развёртки'!$D$2:$D$1358,0)),0)*N(C11))+IF(B12="",0,IFERROR(INDEX('_Развёртки'!$C$2:$C$1358,MATCH(B12&amp;"|"&amp;H68,'_Развёртки'!$D$2:$D$1358,0)),0)*N(C12))+IF(B13="",0,IFERROR(INDEX('_Развёртки'!$C$2:$C$1358,MATCH(B13&amp;"|"&amp;H68,'_Развёртки'!$D$2:$D$1358,0)),0)*N(C13))+IF(B14="",0,IFERROR(INDEX('_Развёртки'!$C$2:$C$1358,MATCH(B14&amp;"|"&amp;H68,'_Развёртки'!$D$2:$D$1358,0)),0)*N(C14))+IF(B15="",0,IFERROR(INDEX('_Развёртки'!$C$2:$C$1358,MATCH(B15&amp;"|"&amp;H68,'_Развёртки'!$D$2:$D$1358,0)),0)*N(C15))+IF(B16="",0,IFERROR(INDEX('_Развёртки'!$C$2:$C$1358,MATCH(B16&amp;"|"&amp;H68,'_Развёртки'!$D$2:$D$1358,0)),0)*N(C16))+IF(B17="",0,IFERROR(INDEX('_Развёртки'!$C$2:$C$1358,MATCH(B17&amp;"|"&amp;H68,'_Развёртки'!$D$2:$D$1358,0)),0)*N(C17))+IF(B18="",0,IFERROR(INDEX('_Развёртки'!$C$2:$C$1358,MATCH(B18&amp;"|"&amp;H68,'_Развёртки'!$D$2:$D$1358,0)),0)*N(C18))+IF(B19="",0,IFERROR(INDEX('_Развёртки'!$C$2:$C$1358,MATCH(B19&amp;"|"&amp;H68,'_Развёртки'!$D$2:$D$1358,0)),0)*N(C19))+IF(B20="",0,IFERROR(INDEX('_Развёртки'!$C$2:$C$1358,MATCH(B20&amp;"|"&amp;H68,'_Развёртки'!$D$2:$D$1358,0)),0)*N(C20))+IF(B21="",0,IFERROR(INDEX('_Развёртки'!$C$2:$C$1358,MATCH(B21&amp;"|"&amp;H68,'_Развёртки'!$D$2:$D$1358,0)),0)*N(C21))+IF(B22="",0,IFERROR(INDEX('_Развёртки'!$C$2:$C$1358,MATCH(B22&amp;"|"&amp;H68,'_Развёртки'!$D$2:$D$1358,0)),0)*N(C22))+IF(B23="",0,IFERROR(INDEX('_Развёртки'!$C$2:$C$1358,MATCH(B23&amp;"|"&amp;H68,'_Развёртки'!$D$2:$D$1358,0)),0)*N(C23))+IF(B24="",0,IFERROR(INDEX('_Развёртки'!$C$2:$C$1358,MATCH(B24&amp;"|"&amp;H68,'_Развёртки'!$D$2:$D$1358,0)),0)*N(C24))+IF(B25="",0,IFERROR(INDEX('_Развёртки'!$C$2:$C$1358,MATCH(B25&amp;"|"&amp;H68,'_Развёртки'!$D$2:$D$1358,0)),0)*N(C25))+IF(B26="",0,IFERROR(INDEX('_Развёртки'!$C$2:$C$1358,MATCH(B26&amp;"|"&amp;H68,'_Развёртки'!$D$2:$D$1358,0)),0)*N(C26))+IF(B27="",0,IFERROR(INDEX('_Развёртки'!$C$2:$C$1358,MATCH(B27&amp;"|"&amp;H68,'_Развёртки'!$D$2:$D$1358,0)),0)*N(C27))</f>
        <v>0</v>
      </c>
      <c r="K68" s="174">
        <f>IFERROR(VLOOKUP(H68,'Сырьё'!$C$6:$E$233,3,FALSE()),IFERROR(VLOOKUP(H68,'Полупродукты'!$C$6:$E$60,3,FALSE()),0))</f>
        <v>5.0212</v>
      </c>
      <c r="L68" s="175">
        <f t="shared" si="3"/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1"/>
      <c r="C69" s="1"/>
      <c r="D69" s="1"/>
      <c r="E69" s="1"/>
      <c r="F69" s="1"/>
      <c r="G69" s="35">
        <v>58.0</v>
      </c>
      <c r="H69" s="36" t="s">
        <v>589</v>
      </c>
      <c r="I69" s="176" t="str">
        <f>IFERROR(VLOOKUP(H69,'Сырьё'!$C$6:$D$233,2,FALSE()),IFERROR(VLOOKUP(H69,'Полупродукты'!$C$6:$D$60,2,FALSE()),"кг"))</f>
        <v>кг</v>
      </c>
      <c r="J69" s="177">
        <f t="array" ref="J69">IF(B8="",0,IFERROR(INDEX('_Развёртки'!$C$2:$C$1358,MATCH(B8&amp;"|"&amp;H69,'_Развёртки'!$D$2:$D$1358,0)),0)*N(C8))+IF(B9="",0,IFERROR(INDEX('_Развёртки'!$C$2:$C$1358,MATCH(B9&amp;"|"&amp;H69,'_Развёртки'!$D$2:$D$1358,0)),0)*N(C9))+IF(B10="",0,IFERROR(INDEX('_Развёртки'!$C$2:$C$1358,MATCH(B10&amp;"|"&amp;H69,'_Развёртки'!$D$2:$D$1358,0)),0)*N(C10))+IF(B11="",0,IFERROR(INDEX('_Развёртки'!$C$2:$C$1358,MATCH(B11&amp;"|"&amp;H69,'_Развёртки'!$D$2:$D$1358,0)),0)*N(C11))+IF(B12="",0,IFERROR(INDEX('_Развёртки'!$C$2:$C$1358,MATCH(B12&amp;"|"&amp;H69,'_Развёртки'!$D$2:$D$1358,0)),0)*N(C12))+IF(B13="",0,IFERROR(INDEX('_Развёртки'!$C$2:$C$1358,MATCH(B13&amp;"|"&amp;H69,'_Развёртки'!$D$2:$D$1358,0)),0)*N(C13))+IF(B14="",0,IFERROR(INDEX('_Развёртки'!$C$2:$C$1358,MATCH(B14&amp;"|"&amp;H69,'_Развёртки'!$D$2:$D$1358,0)),0)*N(C14))+IF(B15="",0,IFERROR(INDEX('_Развёртки'!$C$2:$C$1358,MATCH(B15&amp;"|"&amp;H69,'_Развёртки'!$D$2:$D$1358,0)),0)*N(C15))+IF(B16="",0,IFERROR(INDEX('_Развёртки'!$C$2:$C$1358,MATCH(B16&amp;"|"&amp;H69,'_Развёртки'!$D$2:$D$1358,0)),0)*N(C16))+IF(B17="",0,IFERROR(INDEX('_Развёртки'!$C$2:$C$1358,MATCH(B17&amp;"|"&amp;H69,'_Развёртки'!$D$2:$D$1358,0)),0)*N(C17))+IF(B18="",0,IFERROR(INDEX('_Развёртки'!$C$2:$C$1358,MATCH(B18&amp;"|"&amp;H69,'_Развёртки'!$D$2:$D$1358,0)),0)*N(C18))+IF(B19="",0,IFERROR(INDEX('_Развёртки'!$C$2:$C$1358,MATCH(B19&amp;"|"&amp;H69,'_Развёртки'!$D$2:$D$1358,0)),0)*N(C19))+IF(B20="",0,IFERROR(INDEX('_Развёртки'!$C$2:$C$1358,MATCH(B20&amp;"|"&amp;H69,'_Развёртки'!$D$2:$D$1358,0)),0)*N(C20))+IF(B21="",0,IFERROR(INDEX('_Развёртки'!$C$2:$C$1358,MATCH(B21&amp;"|"&amp;H69,'_Развёртки'!$D$2:$D$1358,0)),0)*N(C21))+IF(B22="",0,IFERROR(INDEX('_Развёртки'!$C$2:$C$1358,MATCH(B22&amp;"|"&amp;H69,'_Развёртки'!$D$2:$D$1358,0)),0)*N(C22))+IF(B23="",0,IFERROR(INDEX('_Развёртки'!$C$2:$C$1358,MATCH(B23&amp;"|"&amp;H69,'_Развёртки'!$D$2:$D$1358,0)),0)*N(C23))+IF(B24="",0,IFERROR(INDEX('_Развёртки'!$C$2:$C$1358,MATCH(B24&amp;"|"&amp;H69,'_Развёртки'!$D$2:$D$1358,0)),0)*N(C24))+IF(B25="",0,IFERROR(INDEX('_Развёртки'!$C$2:$C$1358,MATCH(B25&amp;"|"&amp;H69,'_Развёртки'!$D$2:$D$1358,0)),0)*N(C25))+IF(B26="",0,IFERROR(INDEX('_Развёртки'!$C$2:$C$1358,MATCH(B26&amp;"|"&amp;H69,'_Развёртки'!$D$2:$D$1358,0)),0)*N(C26))+IF(B27="",0,IFERROR(INDEX('_Развёртки'!$C$2:$C$1358,MATCH(B27&amp;"|"&amp;H69,'_Развёртки'!$D$2:$D$1358,0)),0)*N(C27))</f>
        <v>0</v>
      </c>
      <c r="K69" s="178">
        <f>IFERROR(VLOOKUP(H69,'Сырьё'!$C$6:$E$233,3,FALSE()),IFERROR(VLOOKUP(H69,'Полупродукты'!$C$6:$E$60,3,FALSE()),0))</f>
        <v>0</v>
      </c>
      <c r="L69" s="179">
        <f t="shared" si="3"/>
        <v>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170">
        <v>59.0</v>
      </c>
      <c r="H70" s="171" t="s">
        <v>590</v>
      </c>
      <c r="I70" s="172" t="str">
        <f>IFERROR(VLOOKUP(H70,'Сырьё'!$C$6:$D$233,2,FALSE()),IFERROR(VLOOKUP(H70,'Полупродукты'!$C$6:$D$60,2,FALSE()),"кг"))</f>
        <v>кг</v>
      </c>
      <c r="J70" s="173">
        <f t="array" ref="J70">IF(B8="",0,IFERROR(INDEX('_Развёртки'!$C$2:$C$1358,MATCH(B8&amp;"|"&amp;H70,'_Развёртки'!$D$2:$D$1358,0)),0)*N(C8))+IF(B9="",0,IFERROR(INDEX('_Развёртки'!$C$2:$C$1358,MATCH(B9&amp;"|"&amp;H70,'_Развёртки'!$D$2:$D$1358,0)),0)*N(C9))+IF(B10="",0,IFERROR(INDEX('_Развёртки'!$C$2:$C$1358,MATCH(B10&amp;"|"&amp;H70,'_Развёртки'!$D$2:$D$1358,0)),0)*N(C10))+IF(B11="",0,IFERROR(INDEX('_Развёртки'!$C$2:$C$1358,MATCH(B11&amp;"|"&amp;H70,'_Развёртки'!$D$2:$D$1358,0)),0)*N(C11))+IF(B12="",0,IFERROR(INDEX('_Развёртки'!$C$2:$C$1358,MATCH(B12&amp;"|"&amp;H70,'_Развёртки'!$D$2:$D$1358,0)),0)*N(C12))+IF(B13="",0,IFERROR(INDEX('_Развёртки'!$C$2:$C$1358,MATCH(B13&amp;"|"&amp;H70,'_Развёртки'!$D$2:$D$1358,0)),0)*N(C13))+IF(B14="",0,IFERROR(INDEX('_Развёртки'!$C$2:$C$1358,MATCH(B14&amp;"|"&amp;H70,'_Развёртки'!$D$2:$D$1358,0)),0)*N(C14))+IF(B15="",0,IFERROR(INDEX('_Развёртки'!$C$2:$C$1358,MATCH(B15&amp;"|"&amp;H70,'_Развёртки'!$D$2:$D$1358,0)),0)*N(C15))+IF(B16="",0,IFERROR(INDEX('_Развёртки'!$C$2:$C$1358,MATCH(B16&amp;"|"&amp;H70,'_Развёртки'!$D$2:$D$1358,0)),0)*N(C16))+IF(B17="",0,IFERROR(INDEX('_Развёртки'!$C$2:$C$1358,MATCH(B17&amp;"|"&amp;H70,'_Развёртки'!$D$2:$D$1358,0)),0)*N(C17))+IF(B18="",0,IFERROR(INDEX('_Развёртки'!$C$2:$C$1358,MATCH(B18&amp;"|"&amp;H70,'_Развёртки'!$D$2:$D$1358,0)),0)*N(C18))+IF(B19="",0,IFERROR(INDEX('_Развёртки'!$C$2:$C$1358,MATCH(B19&amp;"|"&amp;H70,'_Развёртки'!$D$2:$D$1358,0)),0)*N(C19))+IF(B20="",0,IFERROR(INDEX('_Развёртки'!$C$2:$C$1358,MATCH(B20&amp;"|"&amp;H70,'_Развёртки'!$D$2:$D$1358,0)),0)*N(C20))+IF(B21="",0,IFERROR(INDEX('_Развёртки'!$C$2:$C$1358,MATCH(B21&amp;"|"&amp;H70,'_Развёртки'!$D$2:$D$1358,0)),0)*N(C21))+IF(B22="",0,IFERROR(INDEX('_Развёртки'!$C$2:$C$1358,MATCH(B22&amp;"|"&amp;H70,'_Развёртки'!$D$2:$D$1358,0)),0)*N(C22))+IF(B23="",0,IFERROR(INDEX('_Развёртки'!$C$2:$C$1358,MATCH(B23&amp;"|"&amp;H70,'_Развёртки'!$D$2:$D$1358,0)),0)*N(C23))+IF(B24="",0,IFERROR(INDEX('_Развёртки'!$C$2:$C$1358,MATCH(B24&amp;"|"&amp;H70,'_Развёртки'!$D$2:$D$1358,0)),0)*N(C24))+IF(B25="",0,IFERROR(INDEX('_Развёртки'!$C$2:$C$1358,MATCH(B25&amp;"|"&amp;H70,'_Развёртки'!$D$2:$D$1358,0)),0)*N(C25))+IF(B26="",0,IFERROR(INDEX('_Развёртки'!$C$2:$C$1358,MATCH(B26&amp;"|"&amp;H70,'_Развёртки'!$D$2:$D$1358,0)),0)*N(C26))+IF(B27="",0,IFERROR(INDEX('_Развёртки'!$C$2:$C$1358,MATCH(B27&amp;"|"&amp;H70,'_Развёртки'!$D$2:$D$1358,0)),0)*N(C27))</f>
        <v>0</v>
      </c>
      <c r="K70" s="174">
        <f>IFERROR(VLOOKUP(H70,'Сырьё'!$C$6:$E$233,3,FALSE()),IFERROR(VLOOKUP(H70,'Полупродукты'!$C$6:$E$60,3,FALSE()),0))</f>
        <v>1.8153</v>
      </c>
      <c r="L70" s="175">
        <f t="shared" si="3"/>
        <v>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1"/>
      <c r="C71" s="1"/>
      <c r="D71" s="1"/>
      <c r="E71" s="1"/>
      <c r="F71" s="1"/>
      <c r="G71" s="35">
        <v>60.0</v>
      </c>
      <c r="H71" s="36" t="s">
        <v>591</v>
      </c>
      <c r="I71" s="176" t="str">
        <f>IFERROR(VLOOKUP(H71,'Сырьё'!$C$6:$D$233,2,FALSE()),IFERROR(VLOOKUP(H71,'Полупродукты'!$C$6:$D$60,2,FALSE()),"кг"))</f>
        <v>кг</v>
      </c>
      <c r="J71" s="177">
        <f t="array" ref="J71">IF(B8="",0,IFERROR(INDEX('_Развёртки'!$C$2:$C$1358,MATCH(B8&amp;"|"&amp;H71,'_Развёртки'!$D$2:$D$1358,0)),0)*N(C8))+IF(B9="",0,IFERROR(INDEX('_Развёртки'!$C$2:$C$1358,MATCH(B9&amp;"|"&amp;H71,'_Развёртки'!$D$2:$D$1358,0)),0)*N(C9))+IF(B10="",0,IFERROR(INDEX('_Развёртки'!$C$2:$C$1358,MATCH(B10&amp;"|"&amp;H71,'_Развёртки'!$D$2:$D$1358,0)),0)*N(C10))+IF(B11="",0,IFERROR(INDEX('_Развёртки'!$C$2:$C$1358,MATCH(B11&amp;"|"&amp;H71,'_Развёртки'!$D$2:$D$1358,0)),0)*N(C11))+IF(B12="",0,IFERROR(INDEX('_Развёртки'!$C$2:$C$1358,MATCH(B12&amp;"|"&amp;H71,'_Развёртки'!$D$2:$D$1358,0)),0)*N(C12))+IF(B13="",0,IFERROR(INDEX('_Развёртки'!$C$2:$C$1358,MATCH(B13&amp;"|"&amp;H71,'_Развёртки'!$D$2:$D$1358,0)),0)*N(C13))+IF(B14="",0,IFERROR(INDEX('_Развёртки'!$C$2:$C$1358,MATCH(B14&amp;"|"&amp;H71,'_Развёртки'!$D$2:$D$1358,0)),0)*N(C14))+IF(B15="",0,IFERROR(INDEX('_Развёртки'!$C$2:$C$1358,MATCH(B15&amp;"|"&amp;H71,'_Развёртки'!$D$2:$D$1358,0)),0)*N(C15))+IF(B16="",0,IFERROR(INDEX('_Развёртки'!$C$2:$C$1358,MATCH(B16&amp;"|"&amp;H71,'_Развёртки'!$D$2:$D$1358,0)),0)*N(C16))+IF(B17="",0,IFERROR(INDEX('_Развёртки'!$C$2:$C$1358,MATCH(B17&amp;"|"&amp;H71,'_Развёртки'!$D$2:$D$1358,0)),0)*N(C17))+IF(B18="",0,IFERROR(INDEX('_Развёртки'!$C$2:$C$1358,MATCH(B18&amp;"|"&amp;H71,'_Развёртки'!$D$2:$D$1358,0)),0)*N(C18))+IF(B19="",0,IFERROR(INDEX('_Развёртки'!$C$2:$C$1358,MATCH(B19&amp;"|"&amp;H71,'_Развёртки'!$D$2:$D$1358,0)),0)*N(C19))+IF(B20="",0,IFERROR(INDEX('_Развёртки'!$C$2:$C$1358,MATCH(B20&amp;"|"&amp;H71,'_Развёртки'!$D$2:$D$1358,0)),0)*N(C20))+IF(B21="",0,IFERROR(INDEX('_Развёртки'!$C$2:$C$1358,MATCH(B21&amp;"|"&amp;H71,'_Развёртки'!$D$2:$D$1358,0)),0)*N(C21))+IF(B22="",0,IFERROR(INDEX('_Развёртки'!$C$2:$C$1358,MATCH(B22&amp;"|"&amp;H71,'_Развёртки'!$D$2:$D$1358,0)),0)*N(C22))+IF(B23="",0,IFERROR(INDEX('_Развёртки'!$C$2:$C$1358,MATCH(B23&amp;"|"&amp;H71,'_Развёртки'!$D$2:$D$1358,0)),0)*N(C23))+IF(B24="",0,IFERROR(INDEX('_Развёртки'!$C$2:$C$1358,MATCH(B24&amp;"|"&amp;H71,'_Развёртки'!$D$2:$D$1358,0)),0)*N(C24))+IF(B25="",0,IFERROR(INDEX('_Развёртки'!$C$2:$C$1358,MATCH(B25&amp;"|"&amp;H71,'_Развёртки'!$D$2:$D$1358,0)),0)*N(C25))+IF(B26="",0,IFERROR(INDEX('_Развёртки'!$C$2:$C$1358,MATCH(B26&amp;"|"&amp;H71,'_Развёртки'!$D$2:$D$1358,0)),0)*N(C26))+IF(B27="",0,IFERROR(INDEX('_Развёртки'!$C$2:$C$1358,MATCH(B27&amp;"|"&amp;H71,'_Развёртки'!$D$2:$D$1358,0)),0)*N(C27))</f>
        <v>152.2876</v>
      </c>
      <c r="K71" s="178">
        <f>IFERROR(VLOOKUP(H71,'Сырьё'!$C$6:$E$233,3,FALSE()),IFERROR(VLOOKUP(H71,'Полупродукты'!$C$6:$E$60,3,FALSE()),0))</f>
        <v>1.9734</v>
      </c>
      <c r="L71" s="179">
        <f t="shared" si="3"/>
        <v>300.5243498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70">
        <v>61.0</v>
      </c>
      <c r="H72" s="171" t="s">
        <v>592</v>
      </c>
      <c r="I72" s="172" t="str">
        <f>IFERROR(VLOOKUP(H72,'Сырьё'!$C$6:$D$233,2,FALSE()),IFERROR(VLOOKUP(H72,'Полупродукты'!$C$6:$D$60,2,FALSE()),"кг"))</f>
        <v>кг</v>
      </c>
      <c r="J72" s="173">
        <f t="array" ref="J72">IF(B8="",0,IFERROR(INDEX('_Развёртки'!$C$2:$C$1358,MATCH(B8&amp;"|"&amp;H72,'_Развёртки'!$D$2:$D$1358,0)),0)*N(C8))+IF(B9="",0,IFERROR(INDEX('_Развёртки'!$C$2:$C$1358,MATCH(B9&amp;"|"&amp;H72,'_Развёртки'!$D$2:$D$1358,0)),0)*N(C9))+IF(B10="",0,IFERROR(INDEX('_Развёртки'!$C$2:$C$1358,MATCH(B10&amp;"|"&amp;H72,'_Развёртки'!$D$2:$D$1358,0)),0)*N(C10))+IF(B11="",0,IFERROR(INDEX('_Развёртки'!$C$2:$C$1358,MATCH(B11&amp;"|"&amp;H72,'_Развёртки'!$D$2:$D$1358,0)),0)*N(C11))+IF(B12="",0,IFERROR(INDEX('_Развёртки'!$C$2:$C$1358,MATCH(B12&amp;"|"&amp;H72,'_Развёртки'!$D$2:$D$1358,0)),0)*N(C12))+IF(B13="",0,IFERROR(INDEX('_Развёртки'!$C$2:$C$1358,MATCH(B13&amp;"|"&amp;H72,'_Развёртки'!$D$2:$D$1358,0)),0)*N(C13))+IF(B14="",0,IFERROR(INDEX('_Развёртки'!$C$2:$C$1358,MATCH(B14&amp;"|"&amp;H72,'_Развёртки'!$D$2:$D$1358,0)),0)*N(C14))+IF(B15="",0,IFERROR(INDEX('_Развёртки'!$C$2:$C$1358,MATCH(B15&amp;"|"&amp;H72,'_Развёртки'!$D$2:$D$1358,0)),0)*N(C15))+IF(B16="",0,IFERROR(INDEX('_Развёртки'!$C$2:$C$1358,MATCH(B16&amp;"|"&amp;H72,'_Развёртки'!$D$2:$D$1358,0)),0)*N(C16))+IF(B17="",0,IFERROR(INDEX('_Развёртки'!$C$2:$C$1358,MATCH(B17&amp;"|"&amp;H72,'_Развёртки'!$D$2:$D$1358,0)),0)*N(C17))+IF(B18="",0,IFERROR(INDEX('_Развёртки'!$C$2:$C$1358,MATCH(B18&amp;"|"&amp;H72,'_Развёртки'!$D$2:$D$1358,0)),0)*N(C18))+IF(B19="",0,IFERROR(INDEX('_Развёртки'!$C$2:$C$1358,MATCH(B19&amp;"|"&amp;H72,'_Развёртки'!$D$2:$D$1358,0)),0)*N(C19))+IF(B20="",0,IFERROR(INDEX('_Развёртки'!$C$2:$C$1358,MATCH(B20&amp;"|"&amp;H72,'_Развёртки'!$D$2:$D$1358,0)),0)*N(C20))+IF(B21="",0,IFERROR(INDEX('_Развёртки'!$C$2:$C$1358,MATCH(B21&amp;"|"&amp;H72,'_Развёртки'!$D$2:$D$1358,0)),0)*N(C21))+IF(B22="",0,IFERROR(INDEX('_Развёртки'!$C$2:$C$1358,MATCH(B22&amp;"|"&amp;H72,'_Развёртки'!$D$2:$D$1358,0)),0)*N(C22))+IF(B23="",0,IFERROR(INDEX('_Развёртки'!$C$2:$C$1358,MATCH(B23&amp;"|"&amp;H72,'_Развёртки'!$D$2:$D$1358,0)),0)*N(C23))+IF(B24="",0,IFERROR(INDEX('_Развёртки'!$C$2:$C$1358,MATCH(B24&amp;"|"&amp;H72,'_Развёртки'!$D$2:$D$1358,0)),0)*N(C24))+IF(B25="",0,IFERROR(INDEX('_Развёртки'!$C$2:$C$1358,MATCH(B25&amp;"|"&amp;H72,'_Развёртки'!$D$2:$D$1358,0)),0)*N(C25))+IF(B26="",0,IFERROR(INDEX('_Развёртки'!$C$2:$C$1358,MATCH(B26&amp;"|"&amp;H72,'_Развёртки'!$D$2:$D$1358,0)),0)*N(C26))+IF(B27="",0,IFERROR(INDEX('_Развёртки'!$C$2:$C$1358,MATCH(B27&amp;"|"&amp;H72,'_Развёртки'!$D$2:$D$1358,0)),0)*N(C27))</f>
        <v>0</v>
      </c>
      <c r="K72" s="174">
        <f>IFERROR(VLOOKUP(H72,'Сырьё'!$C$6:$E$233,3,FALSE()),IFERROR(VLOOKUP(H72,'Полупродукты'!$C$6:$E$60,3,FALSE()),0))</f>
        <v>10.8101</v>
      </c>
      <c r="L72" s="175">
        <f t="shared" si="3"/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35">
        <v>62.0</v>
      </c>
      <c r="H73" s="36" t="s">
        <v>593</v>
      </c>
      <c r="I73" s="176" t="str">
        <f>IFERROR(VLOOKUP(H73,'Сырьё'!$C$6:$D$233,2,FALSE()),IFERROR(VLOOKUP(H73,'Полупродукты'!$C$6:$D$60,2,FALSE()),"кг"))</f>
        <v>кг</v>
      </c>
      <c r="J73" s="177">
        <f t="array" ref="J73">IF(B8="",0,IFERROR(INDEX('_Развёртки'!$C$2:$C$1358,MATCH(B8&amp;"|"&amp;H73,'_Развёртки'!$D$2:$D$1358,0)),0)*N(C8))+IF(B9="",0,IFERROR(INDEX('_Развёртки'!$C$2:$C$1358,MATCH(B9&amp;"|"&amp;H73,'_Развёртки'!$D$2:$D$1358,0)),0)*N(C9))+IF(B10="",0,IFERROR(INDEX('_Развёртки'!$C$2:$C$1358,MATCH(B10&amp;"|"&amp;H73,'_Развёртки'!$D$2:$D$1358,0)),0)*N(C10))+IF(B11="",0,IFERROR(INDEX('_Развёртки'!$C$2:$C$1358,MATCH(B11&amp;"|"&amp;H73,'_Развёртки'!$D$2:$D$1358,0)),0)*N(C11))+IF(B12="",0,IFERROR(INDEX('_Развёртки'!$C$2:$C$1358,MATCH(B12&amp;"|"&amp;H73,'_Развёртки'!$D$2:$D$1358,0)),0)*N(C12))+IF(B13="",0,IFERROR(INDEX('_Развёртки'!$C$2:$C$1358,MATCH(B13&amp;"|"&amp;H73,'_Развёртки'!$D$2:$D$1358,0)),0)*N(C13))+IF(B14="",0,IFERROR(INDEX('_Развёртки'!$C$2:$C$1358,MATCH(B14&amp;"|"&amp;H73,'_Развёртки'!$D$2:$D$1358,0)),0)*N(C14))+IF(B15="",0,IFERROR(INDEX('_Развёртки'!$C$2:$C$1358,MATCH(B15&amp;"|"&amp;H73,'_Развёртки'!$D$2:$D$1358,0)),0)*N(C15))+IF(B16="",0,IFERROR(INDEX('_Развёртки'!$C$2:$C$1358,MATCH(B16&amp;"|"&amp;H73,'_Развёртки'!$D$2:$D$1358,0)),0)*N(C16))+IF(B17="",0,IFERROR(INDEX('_Развёртки'!$C$2:$C$1358,MATCH(B17&amp;"|"&amp;H73,'_Развёртки'!$D$2:$D$1358,0)),0)*N(C17))+IF(B18="",0,IFERROR(INDEX('_Развёртки'!$C$2:$C$1358,MATCH(B18&amp;"|"&amp;H73,'_Развёртки'!$D$2:$D$1358,0)),0)*N(C18))+IF(B19="",0,IFERROR(INDEX('_Развёртки'!$C$2:$C$1358,MATCH(B19&amp;"|"&amp;H73,'_Развёртки'!$D$2:$D$1358,0)),0)*N(C19))+IF(B20="",0,IFERROR(INDEX('_Развёртки'!$C$2:$C$1358,MATCH(B20&amp;"|"&amp;H73,'_Развёртки'!$D$2:$D$1358,0)),0)*N(C20))+IF(B21="",0,IFERROR(INDEX('_Развёртки'!$C$2:$C$1358,MATCH(B21&amp;"|"&amp;H73,'_Развёртки'!$D$2:$D$1358,0)),0)*N(C21))+IF(B22="",0,IFERROR(INDEX('_Развёртки'!$C$2:$C$1358,MATCH(B22&amp;"|"&amp;H73,'_Развёртки'!$D$2:$D$1358,0)),0)*N(C22))+IF(B23="",0,IFERROR(INDEX('_Развёртки'!$C$2:$C$1358,MATCH(B23&amp;"|"&amp;H73,'_Развёртки'!$D$2:$D$1358,0)),0)*N(C23))+IF(B24="",0,IFERROR(INDEX('_Развёртки'!$C$2:$C$1358,MATCH(B24&amp;"|"&amp;H73,'_Развёртки'!$D$2:$D$1358,0)),0)*N(C24))+IF(B25="",0,IFERROR(INDEX('_Развёртки'!$C$2:$C$1358,MATCH(B25&amp;"|"&amp;H73,'_Развёртки'!$D$2:$D$1358,0)),0)*N(C25))+IF(B26="",0,IFERROR(INDEX('_Развёртки'!$C$2:$C$1358,MATCH(B26&amp;"|"&amp;H73,'_Развёртки'!$D$2:$D$1358,0)),0)*N(C26))+IF(B27="",0,IFERROR(INDEX('_Развёртки'!$C$2:$C$1358,MATCH(B27&amp;"|"&amp;H73,'_Развёртки'!$D$2:$D$1358,0)),0)*N(C27))</f>
        <v>1079.29976</v>
      </c>
      <c r="K73" s="178">
        <f>IFERROR(VLOOKUP(H73,'Сырьё'!$C$6:$E$233,3,FALSE()),IFERROR(VLOOKUP(H73,'Полупродукты'!$C$6:$E$60,3,FALSE()),0))</f>
        <v>1.6575</v>
      </c>
      <c r="L73" s="179">
        <f t="shared" si="3"/>
        <v>1788.939352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70">
        <v>63.0</v>
      </c>
      <c r="H74" s="171" t="s">
        <v>594</v>
      </c>
      <c r="I74" s="172" t="str">
        <f>IFERROR(VLOOKUP(H74,'Сырьё'!$C$6:$D$233,2,FALSE()),IFERROR(VLOOKUP(H74,'Полупродукты'!$C$6:$D$60,2,FALSE()),"кг"))</f>
        <v>кг</v>
      </c>
      <c r="J74" s="173">
        <f t="array" ref="J74">IF(B8="",0,IFERROR(INDEX('_Развёртки'!$C$2:$C$1358,MATCH(B8&amp;"|"&amp;H74,'_Развёртки'!$D$2:$D$1358,0)),0)*N(C8))+IF(B9="",0,IFERROR(INDEX('_Развёртки'!$C$2:$C$1358,MATCH(B9&amp;"|"&amp;H74,'_Развёртки'!$D$2:$D$1358,0)),0)*N(C9))+IF(B10="",0,IFERROR(INDEX('_Развёртки'!$C$2:$C$1358,MATCH(B10&amp;"|"&amp;H74,'_Развёртки'!$D$2:$D$1358,0)),0)*N(C10))+IF(B11="",0,IFERROR(INDEX('_Развёртки'!$C$2:$C$1358,MATCH(B11&amp;"|"&amp;H74,'_Развёртки'!$D$2:$D$1358,0)),0)*N(C11))+IF(B12="",0,IFERROR(INDEX('_Развёртки'!$C$2:$C$1358,MATCH(B12&amp;"|"&amp;H74,'_Развёртки'!$D$2:$D$1358,0)),0)*N(C12))+IF(B13="",0,IFERROR(INDEX('_Развёртки'!$C$2:$C$1358,MATCH(B13&amp;"|"&amp;H74,'_Развёртки'!$D$2:$D$1358,0)),0)*N(C13))+IF(B14="",0,IFERROR(INDEX('_Развёртки'!$C$2:$C$1358,MATCH(B14&amp;"|"&amp;H74,'_Развёртки'!$D$2:$D$1358,0)),0)*N(C14))+IF(B15="",0,IFERROR(INDEX('_Развёртки'!$C$2:$C$1358,MATCH(B15&amp;"|"&amp;H74,'_Развёртки'!$D$2:$D$1358,0)),0)*N(C15))+IF(B16="",0,IFERROR(INDEX('_Развёртки'!$C$2:$C$1358,MATCH(B16&amp;"|"&amp;H74,'_Развёртки'!$D$2:$D$1358,0)),0)*N(C16))+IF(B17="",0,IFERROR(INDEX('_Развёртки'!$C$2:$C$1358,MATCH(B17&amp;"|"&amp;H74,'_Развёртки'!$D$2:$D$1358,0)),0)*N(C17))+IF(B18="",0,IFERROR(INDEX('_Развёртки'!$C$2:$C$1358,MATCH(B18&amp;"|"&amp;H74,'_Развёртки'!$D$2:$D$1358,0)),0)*N(C18))+IF(B19="",0,IFERROR(INDEX('_Развёртки'!$C$2:$C$1358,MATCH(B19&amp;"|"&amp;H74,'_Развёртки'!$D$2:$D$1358,0)),0)*N(C19))+IF(B20="",0,IFERROR(INDEX('_Развёртки'!$C$2:$C$1358,MATCH(B20&amp;"|"&amp;H74,'_Развёртки'!$D$2:$D$1358,0)),0)*N(C20))+IF(B21="",0,IFERROR(INDEX('_Развёртки'!$C$2:$C$1358,MATCH(B21&amp;"|"&amp;H74,'_Развёртки'!$D$2:$D$1358,0)),0)*N(C21))+IF(B22="",0,IFERROR(INDEX('_Развёртки'!$C$2:$C$1358,MATCH(B22&amp;"|"&amp;H74,'_Развёртки'!$D$2:$D$1358,0)),0)*N(C22))+IF(B23="",0,IFERROR(INDEX('_Развёртки'!$C$2:$C$1358,MATCH(B23&amp;"|"&amp;H74,'_Развёртки'!$D$2:$D$1358,0)),0)*N(C23))+IF(B24="",0,IFERROR(INDEX('_Развёртки'!$C$2:$C$1358,MATCH(B24&amp;"|"&amp;H74,'_Развёртки'!$D$2:$D$1358,0)),0)*N(C24))+IF(B25="",0,IFERROR(INDEX('_Развёртки'!$C$2:$C$1358,MATCH(B25&amp;"|"&amp;H74,'_Развёртки'!$D$2:$D$1358,0)),0)*N(C25))+IF(B26="",0,IFERROR(INDEX('_Развёртки'!$C$2:$C$1358,MATCH(B26&amp;"|"&amp;H74,'_Развёртки'!$D$2:$D$1358,0)),0)*N(C26))+IF(B27="",0,IFERROR(INDEX('_Развёртки'!$C$2:$C$1358,MATCH(B27&amp;"|"&amp;H74,'_Развёртки'!$D$2:$D$1358,0)),0)*N(C27))</f>
        <v>1780.18116</v>
      </c>
      <c r="K74" s="174">
        <f>IFERROR(VLOOKUP(H74,'Сырьё'!$C$6:$E$233,3,FALSE()),IFERROR(VLOOKUP(H74,'Полупродукты'!$C$6:$E$60,3,FALSE()),0))</f>
        <v>1.7145</v>
      </c>
      <c r="L74" s="175">
        <f t="shared" si="3"/>
        <v>3052.120599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1"/>
      <c r="C75" s="1"/>
      <c r="D75" s="1"/>
      <c r="E75" s="1"/>
      <c r="F75" s="1"/>
      <c r="G75" s="186"/>
      <c r="H75" s="187" t="s">
        <v>595</v>
      </c>
      <c r="I75" s="188"/>
      <c r="J75" s="189">
        <f>SUM(J14:J74)</f>
        <v>8455.17102</v>
      </c>
      <c r="K75" s="190"/>
      <c r="L75" s="191">
        <f>SUM(L14:L74)</f>
        <v>23485.20178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63"/>
      <c r="H76" s="192"/>
      <c r="I76" s="165"/>
      <c r="J76" s="166"/>
      <c r="K76" s="167"/>
      <c r="L76" s="16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1"/>
      <c r="C77" s="1"/>
      <c r="D77" s="1"/>
      <c r="E77" s="1"/>
      <c r="F77" s="1"/>
      <c r="G77" s="193" t="s">
        <v>596</v>
      </c>
      <c r="H77" s="10"/>
      <c r="I77" s="10"/>
      <c r="J77" s="10"/>
      <c r="K77" s="10"/>
      <c r="L77" s="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94">
        <v>64.0</v>
      </c>
      <c r="H78" s="195" t="s">
        <v>390</v>
      </c>
      <c r="I78" s="196" t="str">
        <f>IFERROR(VLOOKUP(H78,'Сырьё'!$C$6:$D$233,2,FALSE()),IFERROR(VLOOKUP(H78,'Полупродукты'!$C$6:$D$60,2,FALSE()),"кг"))</f>
        <v>кг</v>
      </c>
      <c r="J78" s="197">
        <f t="array" ref="J78">IF(B8="",0,IFERROR(INDEX('_Развёртки'!$C$2:$C$1358,MATCH(B8&amp;"|"&amp;H78,'_Развёртки'!$D$2:$D$1358,0)),0)*N(C8))+IF(B9="",0,IFERROR(INDEX('_Развёртки'!$C$2:$C$1358,MATCH(B9&amp;"|"&amp;H78,'_Развёртки'!$D$2:$D$1358,0)),0)*N(C9))+IF(B10="",0,IFERROR(INDEX('_Развёртки'!$C$2:$C$1358,MATCH(B10&amp;"|"&amp;H78,'_Развёртки'!$D$2:$D$1358,0)),0)*N(C10))+IF(B11="",0,IFERROR(INDEX('_Развёртки'!$C$2:$C$1358,MATCH(B11&amp;"|"&amp;H78,'_Развёртки'!$D$2:$D$1358,0)),0)*N(C11))+IF(B12="",0,IFERROR(INDEX('_Развёртки'!$C$2:$C$1358,MATCH(B12&amp;"|"&amp;H78,'_Развёртки'!$D$2:$D$1358,0)),0)*N(C12))+IF(B13="",0,IFERROR(INDEX('_Развёртки'!$C$2:$C$1358,MATCH(B13&amp;"|"&amp;H78,'_Развёртки'!$D$2:$D$1358,0)),0)*N(C13))+IF(B14="",0,IFERROR(INDEX('_Развёртки'!$C$2:$C$1358,MATCH(B14&amp;"|"&amp;H78,'_Развёртки'!$D$2:$D$1358,0)),0)*N(C14))+IF(B15="",0,IFERROR(INDEX('_Развёртки'!$C$2:$C$1358,MATCH(B15&amp;"|"&amp;H78,'_Развёртки'!$D$2:$D$1358,0)),0)*N(C15))+IF(B16="",0,IFERROR(INDEX('_Развёртки'!$C$2:$C$1358,MATCH(B16&amp;"|"&amp;H78,'_Развёртки'!$D$2:$D$1358,0)),0)*N(C16))+IF(B17="",0,IFERROR(INDEX('_Развёртки'!$C$2:$C$1358,MATCH(B17&amp;"|"&amp;H78,'_Развёртки'!$D$2:$D$1358,0)),0)*N(C17))+IF(B18="",0,IFERROR(INDEX('_Развёртки'!$C$2:$C$1358,MATCH(B18&amp;"|"&amp;H78,'_Развёртки'!$D$2:$D$1358,0)),0)*N(C18))+IF(B19="",0,IFERROR(INDEX('_Развёртки'!$C$2:$C$1358,MATCH(B19&amp;"|"&amp;H78,'_Развёртки'!$D$2:$D$1358,0)),0)*N(C19))+IF(B20="",0,IFERROR(INDEX('_Развёртки'!$C$2:$C$1358,MATCH(B20&amp;"|"&amp;H78,'_Развёртки'!$D$2:$D$1358,0)),0)*N(C20))+IF(B21="",0,IFERROR(INDEX('_Развёртки'!$C$2:$C$1358,MATCH(B21&amp;"|"&amp;H78,'_Развёртки'!$D$2:$D$1358,0)),0)*N(C21))+IF(B22="",0,IFERROR(INDEX('_Развёртки'!$C$2:$C$1358,MATCH(B22&amp;"|"&amp;H78,'_Развёртки'!$D$2:$D$1358,0)),0)*N(C22))+IF(B23="",0,IFERROR(INDEX('_Развёртки'!$C$2:$C$1358,MATCH(B23&amp;"|"&amp;H78,'_Развёртки'!$D$2:$D$1358,0)),0)*N(C23))+IF(B24="",0,IFERROR(INDEX('_Развёртки'!$C$2:$C$1358,MATCH(B24&amp;"|"&amp;H78,'_Развёртки'!$D$2:$D$1358,0)),0)*N(C24))+IF(B25="",0,IFERROR(INDEX('_Развёртки'!$C$2:$C$1358,MATCH(B25&amp;"|"&amp;H78,'_Развёртки'!$D$2:$D$1358,0)),0)*N(C25))+IF(B26="",0,IFERROR(INDEX('_Развёртки'!$C$2:$C$1358,MATCH(B26&amp;"|"&amp;H78,'_Развёртки'!$D$2:$D$1358,0)),0)*N(C26))+IF(B27="",0,IFERROR(INDEX('_Развёртки'!$C$2:$C$1358,MATCH(B27&amp;"|"&amp;H78,'_Развёртки'!$D$2:$D$1358,0)),0)*N(C27))</f>
        <v>0</v>
      </c>
      <c r="K78" s="198">
        <f>IFERROR(VLOOKUP(H78,'Сырьё'!$C$6:$E$233,3,FALSE()),IFERROR(VLOOKUP(H78,'Полупродукты'!$C$6:$E$60,3,FALSE()),0))</f>
        <v>3.5368</v>
      </c>
      <c r="L78" s="199">
        <f t="shared" ref="L78:L133" si="4">IF(J78=0,0,J78*K78)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94">
        <v>65.0</v>
      </c>
      <c r="H79" s="195" t="s">
        <v>392</v>
      </c>
      <c r="I79" s="196" t="str">
        <f>IFERROR(VLOOKUP(H79,'Сырьё'!$C$6:$D$233,2,FALSE()),IFERROR(VLOOKUP(H79,'Полупродукты'!$C$6:$D$60,2,FALSE()),"кг"))</f>
        <v>кг</v>
      </c>
      <c r="J79" s="197">
        <f t="array" ref="J79">IF(B8="",0,IFERROR(INDEX('_Развёртки'!$C$2:$C$1358,MATCH(B8&amp;"|"&amp;H79,'_Развёртки'!$D$2:$D$1358,0)),0)*N(C8))+IF(B9="",0,IFERROR(INDEX('_Развёртки'!$C$2:$C$1358,MATCH(B9&amp;"|"&amp;H79,'_Развёртки'!$D$2:$D$1358,0)),0)*N(C9))+IF(B10="",0,IFERROR(INDEX('_Развёртки'!$C$2:$C$1358,MATCH(B10&amp;"|"&amp;H79,'_Развёртки'!$D$2:$D$1358,0)),0)*N(C10))+IF(B11="",0,IFERROR(INDEX('_Развёртки'!$C$2:$C$1358,MATCH(B11&amp;"|"&amp;H79,'_Развёртки'!$D$2:$D$1358,0)),0)*N(C11))+IF(B12="",0,IFERROR(INDEX('_Развёртки'!$C$2:$C$1358,MATCH(B12&amp;"|"&amp;H79,'_Развёртки'!$D$2:$D$1358,0)),0)*N(C12))+IF(B13="",0,IFERROR(INDEX('_Развёртки'!$C$2:$C$1358,MATCH(B13&amp;"|"&amp;H79,'_Развёртки'!$D$2:$D$1358,0)),0)*N(C13))+IF(B14="",0,IFERROR(INDEX('_Развёртки'!$C$2:$C$1358,MATCH(B14&amp;"|"&amp;H79,'_Развёртки'!$D$2:$D$1358,0)),0)*N(C14))+IF(B15="",0,IFERROR(INDEX('_Развёртки'!$C$2:$C$1358,MATCH(B15&amp;"|"&amp;H79,'_Развёртки'!$D$2:$D$1358,0)),0)*N(C15))+IF(B16="",0,IFERROR(INDEX('_Развёртки'!$C$2:$C$1358,MATCH(B16&amp;"|"&amp;H79,'_Развёртки'!$D$2:$D$1358,0)),0)*N(C16))+IF(B17="",0,IFERROR(INDEX('_Развёртки'!$C$2:$C$1358,MATCH(B17&amp;"|"&amp;H79,'_Развёртки'!$D$2:$D$1358,0)),0)*N(C17))+IF(B18="",0,IFERROR(INDEX('_Развёртки'!$C$2:$C$1358,MATCH(B18&amp;"|"&amp;H79,'_Развёртки'!$D$2:$D$1358,0)),0)*N(C18))+IF(B19="",0,IFERROR(INDEX('_Развёртки'!$C$2:$C$1358,MATCH(B19&amp;"|"&amp;H79,'_Развёртки'!$D$2:$D$1358,0)),0)*N(C19))+IF(B20="",0,IFERROR(INDEX('_Развёртки'!$C$2:$C$1358,MATCH(B20&amp;"|"&amp;H79,'_Развёртки'!$D$2:$D$1358,0)),0)*N(C20))+IF(B21="",0,IFERROR(INDEX('_Развёртки'!$C$2:$C$1358,MATCH(B21&amp;"|"&amp;H79,'_Развёртки'!$D$2:$D$1358,0)),0)*N(C21))+IF(B22="",0,IFERROR(INDEX('_Развёртки'!$C$2:$C$1358,MATCH(B22&amp;"|"&amp;H79,'_Развёртки'!$D$2:$D$1358,0)),0)*N(C22))+IF(B23="",0,IFERROR(INDEX('_Развёртки'!$C$2:$C$1358,MATCH(B23&amp;"|"&amp;H79,'_Развёртки'!$D$2:$D$1358,0)),0)*N(C23))+IF(B24="",0,IFERROR(INDEX('_Развёртки'!$C$2:$C$1358,MATCH(B24&amp;"|"&amp;H79,'_Развёртки'!$D$2:$D$1358,0)),0)*N(C24))+IF(B25="",0,IFERROR(INDEX('_Развёртки'!$C$2:$C$1358,MATCH(B25&amp;"|"&amp;H79,'_Развёртки'!$D$2:$D$1358,0)),0)*N(C25))+IF(B26="",0,IFERROR(INDEX('_Развёртки'!$C$2:$C$1358,MATCH(B26&amp;"|"&amp;H79,'_Развёртки'!$D$2:$D$1358,0)),0)*N(C26))+IF(B27="",0,IFERROR(INDEX('_Развёртки'!$C$2:$C$1358,MATCH(B27&amp;"|"&amp;H79,'_Развёртки'!$D$2:$D$1358,0)),0)*N(C27))</f>
        <v>0</v>
      </c>
      <c r="K79" s="198">
        <f>IFERROR(VLOOKUP(H79,'Сырьё'!$C$6:$E$233,3,FALSE()),IFERROR(VLOOKUP(H79,'Полупродукты'!$C$6:$E$60,3,FALSE()),0))</f>
        <v>2.0535</v>
      </c>
      <c r="L79" s="199">
        <f t="shared" si="4"/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94">
        <v>66.0</v>
      </c>
      <c r="H80" s="195" t="s">
        <v>393</v>
      </c>
      <c r="I80" s="196" t="str">
        <f>IFERROR(VLOOKUP(H80,'Сырьё'!$C$6:$D$233,2,FALSE()),IFERROR(VLOOKUP(H80,'Полупродукты'!$C$6:$D$60,2,FALSE()),"кг"))</f>
        <v>кг</v>
      </c>
      <c r="J80" s="197">
        <f t="array" ref="J80">IF(B8="",0,IFERROR(INDEX('_Развёртки'!$C$2:$C$1358,MATCH(B8&amp;"|"&amp;H80,'_Развёртки'!$D$2:$D$1358,0)),0)*N(C8))+IF(B9="",0,IFERROR(INDEX('_Развёртки'!$C$2:$C$1358,MATCH(B9&amp;"|"&amp;H80,'_Развёртки'!$D$2:$D$1358,0)),0)*N(C9))+IF(B10="",0,IFERROR(INDEX('_Развёртки'!$C$2:$C$1358,MATCH(B10&amp;"|"&amp;H80,'_Развёртки'!$D$2:$D$1358,0)),0)*N(C10))+IF(B11="",0,IFERROR(INDEX('_Развёртки'!$C$2:$C$1358,MATCH(B11&amp;"|"&amp;H80,'_Развёртки'!$D$2:$D$1358,0)),0)*N(C11))+IF(B12="",0,IFERROR(INDEX('_Развёртки'!$C$2:$C$1358,MATCH(B12&amp;"|"&amp;H80,'_Развёртки'!$D$2:$D$1358,0)),0)*N(C12))+IF(B13="",0,IFERROR(INDEX('_Развёртки'!$C$2:$C$1358,MATCH(B13&amp;"|"&amp;H80,'_Развёртки'!$D$2:$D$1358,0)),0)*N(C13))+IF(B14="",0,IFERROR(INDEX('_Развёртки'!$C$2:$C$1358,MATCH(B14&amp;"|"&amp;H80,'_Развёртки'!$D$2:$D$1358,0)),0)*N(C14))+IF(B15="",0,IFERROR(INDEX('_Развёртки'!$C$2:$C$1358,MATCH(B15&amp;"|"&amp;H80,'_Развёртки'!$D$2:$D$1358,0)),0)*N(C15))+IF(B16="",0,IFERROR(INDEX('_Развёртки'!$C$2:$C$1358,MATCH(B16&amp;"|"&amp;H80,'_Развёртки'!$D$2:$D$1358,0)),0)*N(C16))+IF(B17="",0,IFERROR(INDEX('_Развёртки'!$C$2:$C$1358,MATCH(B17&amp;"|"&amp;H80,'_Развёртки'!$D$2:$D$1358,0)),0)*N(C17))+IF(B18="",0,IFERROR(INDEX('_Развёртки'!$C$2:$C$1358,MATCH(B18&amp;"|"&amp;H80,'_Развёртки'!$D$2:$D$1358,0)),0)*N(C18))+IF(B19="",0,IFERROR(INDEX('_Развёртки'!$C$2:$C$1358,MATCH(B19&amp;"|"&amp;H80,'_Развёртки'!$D$2:$D$1358,0)),0)*N(C19))+IF(B20="",0,IFERROR(INDEX('_Развёртки'!$C$2:$C$1358,MATCH(B20&amp;"|"&amp;H80,'_Развёртки'!$D$2:$D$1358,0)),0)*N(C20))+IF(B21="",0,IFERROR(INDEX('_Развёртки'!$C$2:$C$1358,MATCH(B21&amp;"|"&amp;H80,'_Развёртки'!$D$2:$D$1358,0)),0)*N(C21))+IF(B22="",0,IFERROR(INDEX('_Развёртки'!$C$2:$C$1358,MATCH(B22&amp;"|"&amp;H80,'_Развёртки'!$D$2:$D$1358,0)),0)*N(C22))+IF(B23="",0,IFERROR(INDEX('_Развёртки'!$C$2:$C$1358,MATCH(B23&amp;"|"&amp;H80,'_Развёртки'!$D$2:$D$1358,0)),0)*N(C23))+IF(B24="",0,IFERROR(INDEX('_Развёртки'!$C$2:$C$1358,MATCH(B24&amp;"|"&amp;H80,'_Развёртки'!$D$2:$D$1358,0)),0)*N(C24))+IF(B25="",0,IFERROR(INDEX('_Развёртки'!$C$2:$C$1358,MATCH(B25&amp;"|"&amp;H80,'_Развёртки'!$D$2:$D$1358,0)),0)*N(C25))+IF(B26="",0,IFERROR(INDEX('_Развёртки'!$C$2:$C$1358,MATCH(B26&amp;"|"&amp;H80,'_Развёртки'!$D$2:$D$1358,0)),0)*N(C26))+IF(B27="",0,IFERROR(INDEX('_Развёртки'!$C$2:$C$1358,MATCH(B27&amp;"|"&amp;H80,'_Развёртки'!$D$2:$D$1358,0)),0)*N(C27))</f>
        <v>0</v>
      </c>
      <c r="K80" s="198">
        <f>IFERROR(VLOOKUP(H80,'Сырьё'!$C$6:$E$233,3,FALSE()),IFERROR(VLOOKUP(H80,'Полупродукты'!$C$6:$E$60,3,FALSE()),0))</f>
        <v>3.4798</v>
      </c>
      <c r="L80" s="199">
        <f t="shared" si="4"/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94">
        <v>67.0</v>
      </c>
      <c r="H81" s="195" t="s">
        <v>394</v>
      </c>
      <c r="I81" s="196" t="str">
        <f>IFERROR(VLOOKUP(H81,'Сырьё'!$C$6:$D$233,2,FALSE()),IFERROR(VLOOKUP(H81,'Полупродукты'!$C$6:$D$60,2,FALSE()),"кг"))</f>
        <v>кг</v>
      </c>
      <c r="J81" s="197">
        <f t="array" ref="J81">IF(B8="",0,IFERROR(INDEX('_Развёртки'!$C$2:$C$1358,MATCH(B8&amp;"|"&amp;H81,'_Развёртки'!$D$2:$D$1358,0)),0)*N(C8))+IF(B9="",0,IFERROR(INDEX('_Развёртки'!$C$2:$C$1358,MATCH(B9&amp;"|"&amp;H81,'_Развёртки'!$D$2:$D$1358,0)),0)*N(C9))+IF(B10="",0,IFERROR(INDEX('_Развёртки'!$C$2:$C$1358,MATCH(B10&amp;"|"&amp;H81,'_Развёртки'!$D$2:$D$1358,0)),0)*N(C10))+IF(B11="",0,IFERROR(INDEX('_Развёртки'!$C$2:$C$1358,MATCH(B11&amp;"|"&amp;H81,'_Развёртки'!$D$2:$D$1358,0)),0)*N(C11))+IF(B12="",0,IFERROR(INDEX('_Развёртки'!$C$2:$C$1358,MATCH(B12&amp;"|"&amp;H81,'_Развёртки'!$D$2:$D$1358,0)),0)*N(C12))+IF(B13="",0,IFERROR(INDEX('_Развёртки'!$C$2:$C$1358,MATCH(B13&amp;"|"&amp;H81,'_Развёртки'!$D$2:$D$1358,0)),0)*N(C13))+IF(B14="",0,IFERROR(INDEX('_Развёртки'!$C$2:$C$1358,MATCH(B14&amp;"|"&amp;H81,'_Развёртки'!$D$2:$D$1358,0)),0)*N(C14))+IF(B15="",0,IFERROR(INDEX('_Развёртки'!$C$2:$C$1358,MATCH(B15&amp;"|"&amp;H81,'_Развёртки'!$D$2:$D$1358,0)),0)*N(C15))+IF(B16="",0,IFERROR(INDEX('_Развёртки'!$C$2:$C$1358,MATCH(B16&amp;"|"&amp;H81,'_Развёртки'!$D$2:$D$1358,0)),0)*N(C16))+IF(B17="",0,IFERROR(INDEX('_Развёртки'!$C$2:$C$1358,MATCH(B17&amp;"|"&amp;H81,'_Развёртки'!$D$2:$D$1358,0)),0)*N(C17))+IF(B18="",0,IFERROR(INDEX('_Развёртки'!$C$2:$C$1358,MATCH(B18&amp;"|"&amp;H81,'_Развёртки'!$D$2:$D$1358,0)),0)*N(C18))+IF(B19="",0,IFERROR(INDEX('_Развёртки'!$C$2:$C$1358,MATCH(B19&amp;"|"&amp;H81,'_Развёртки'!$D$2:$D$1358,0)),0)*N(C19))+IF(B20="",0,IFERROR(INDEX('_Развёртки'!$C$2:$C$1358,MATCH(B20&amp;"|"&amp;H81,'_Развёртки'!$D$2:$D$1358,0)),0)*N(C20))+IF(B21="",0,IFERROR(INDEX('_Развёртки'!$C$2:$C$1358,MATCH(B21&amp;"|"&amp;H81,'_Развёртки'!$D$2:$D$1358,0)),0)*N(C21))+IF(B22="",0,IFERROR(INDEX('_Развёртки'!$C$2:$C$1358,MATCH(B22&amp;"|"&amp;H81,'_Развёртки'!$D$2:$D$1358,0)),0)*N(C22))+IF(B23="",0,IFERROR(INDEX('_Развёртки'!$C$2:$C$1358,MATCH(B23&amp;"|"&amp;H81,'_Развёртки'!$D$2:$D$1358,0)),0)*N(C23))+IF(B24="",0,IFERROR(INDEX('_Развёртки'!$C$2:$C$1358,MATCH(B24&amp;"|"&amp;H81,'_Развёртки'!$D$2:$D$1358,0)),0)*N(C24))+IF(B25="",0,IFERROR(INDEX('_Развёртки'!$C$2:$C$1358,MATCH(B25&amp;"|"&amp;H81,'_Развёртки'!$D$2:$D$1358,0)),0)*N(C25))+IF(B26="",0,IFERROR(INDEX('_Развёртки'!$C$2:$C$1358,MATCH(B26&amp;"|"&amp;H81,'_Развёртки'!$D$2:$D$1358,0)),0)*N(C26))+IF(B27="",0,IFERROR(INDEX('_Развёртки'!$C$2:$C$1358,MATCH(B27&amp;"|"&amp;H81,'_Развёртки'!$D$2:$D$1358,0)),0)*N(C27))</f>
        <v>0</v>
      </c>
      <c r="K81" s="198">
        <f>IFERROR(VLOOKUP(H81,'Сырьё'!$C$6:$E$233,3,FALSE()),IFERROR(VLOOKUP(H81,'Полупродукты'!$C$6:$E$60,3,FALSE()),0))</f>
        <v>3.6988</v>
      </c>
      <c r="L81" s="199">
        <f t="shared" si="4"/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94">
        <v>68.0</v>
      </c>
      <c r="H82" s="195" t="s">
        <v>395</v>
      </c>
      <c r="I82" s="196" t="str">
        <f>IFERROR(VLOOKUP(H82,'Сырьё'!$C$6:$D$233,2,FALSE()),IFERROR(VLOOKUP(H82,'Полупродукты'!$C$6:$D$60,2,FALSE()),"кг"))</f>
        <v>кг</v>
      </c>
      <c r="J82" s="197">
        <f t="array" ref="J82">IF(B8="",0,IFERROR(INDEX('_Развёртки'!$C$2:$C$1358,MATCH(B8&amp;"|"&amp;H82,'_Развёртки'!$D$2:$D$1358,0)),0)*N(C8))+IF(B9="",0,IFERROR(INDEX('_Развёртки'!$C$2:$C$1358,MATCH(B9&amp;"|"&amp;H82,'_Развёртки'!$D$2:$D$1358,0)),0)*N(C9))+IF(B10="",0,IFERROR(INDEX('_Развёртки'!$C$2:$C$1358,MATCH(B10&amp;"|"&amp;H82,'_Развёртки'!$D$2:$D$1358,0)),0)*N(C10))+IF(B11="",0,IFERROR(INDEX('_Развёртки'!$C$2:$C$1358,MATCH(B11&amp;"|"&amp;H82,'_Развёртки'!$D$2:$D$1358,0)),0)*N(C11))+IF(B12="",0,IFERROR(INDEX('_Развёртки'!$C$2:$C$1358,MATCH(B12&amp;"|"&amp;H82,'_Развёртки'!$D$2:$D$1358,0)),0)*N(C12))+IF(B13="",0,IFERROR(INDEX('_Развёртки'!$C$2:$C$1358,MATCH(B13&amp;"|"&amp;H82,'_Развёртки'!$D$2:$D$1358,0)),0)*N(C13))+IF(B14="",0,IFERROR(INDEX('_Развёртки'!$C$2:$C$1358,MATCH(B14&amp;"|"&amp;H82,'_Развёртки'!$D$2:$D$1358,0)),0)*N(C14))+IF(B15="",0,IFERROR(INDEX('_Развёртки'!$C$2:$C$1358,MATCH(B15&amp;"|"&amp;H82,'_Развёртки'!$D$2:$D$1358,0)),0)*N(C15))+IF(B16="",0,IFERROR(INDEX('_Развёртки'!$C$2:$C$1358,MATCH(B16&amp;"|"&amp;H82,'_Развёртки'!$D$2:$D$1358,0)),0)*N(C16))+IF(B17="",0,IFERROR(INDEX('_Развёртки'!$C$2:$C$1358,MATCH(B17&amp;"|"&amp;H82,'_Развёртки'!$D$2:$D$1358,0)),0)*N(C17))+IF(B18="",0,IFERROR(INDEX('_Развёртки'!$C$2:$C$1358,MATCH(B18&amp;"|"&amp;H82,'_Развёртки'!$D$2:$D$1358,0)),0)*N(C18))+IF(B19="",0,IFERROR(INDEX('_Развёртки'!$C$2:$C$1358,MATCH(B19&amp;"|"&amp;H82,'_Развёртки'!$D$2:$D$1358,0)),0)*N(C19))+IF(B20="",0,IFERROR(INDEX('_Развёртки'!$C$2:$C$1358,MATCH(B20&amp;"|"&amp;H82,'_Развёртки'!$D$2:$D$1358,0)),0)*N(C20))+IF(B21="",0,IFERROR(INDEX('_Развёртки'!$C$2:$C$1358,MATCH(B21&amp;"|"&amp;H82,'_Развёртки'!$D$2:$D$1358,0)),0)*N(C21))+IF(B22="",0,IFERROR(INDEX('_Развёртки'!$C$2:$C$1358,MATCH(B22&amp;"|"&amp;H82,'_Развёртки'!$D$2:$D$1358,0)),0)*N(C22))+IF(B23="",0,IFERROR(INDEX('_Развёртки'!$C$2:$C$1358,MATCH(B23&amp;"|"&amp;H82,'_Развёртки'!$D$2:$D$1358,0)),0)*N(C23))+IF(B24="",0,IFERROR(INDEX('_Развёртки'!$C$2:$C$1358,MATCH(B24&amp;"|"&amp;H82,'_Развёртки'!$D$2:$D$1358,0)),0)*N(C24))+IF(B25="",0,IFERROR(INDEX('_Развёртки'!$C$2:$C$1358,MATCH(B25&amp;"|"&amp;H82,'_Развёртки'!$D$2:$D$1358,0)),0)*N(C25))+IF(B26="",0,IFERROR(INDEX('_Развёртки'!$C$2:$C$1358,MATCH(B26&amp;"|"&amp;H82,'_Развёртки'!$D$2:$D$1358,0)),0)*N(C26))+IF(B27="",0,IFERROR(INDEX('_Развёртки'!$C$2:$C$1358,MATCH(B27&amp;"|"&amp;H82,'_Развёртки'!$D$2:$D$1358,0)),0)*N(C27))</f>
        <v>0</v>
      </c>
      <c r="K82" s="198">
        <f>IFERROR(VLOOKUP(H82,'Сырьё'!$C$6:$E$233,3,FALSE()),IFERROR(VLOOKUP(H82,'Полупродукты'!$C$6:$E$60,3,FALSE()),0))</f>
        <v>3.4656</v>
      </c>
      <c r="L82" s="199">
        <f t="shared" si="4"/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94">
        <v>69.0</v>
      </c>
      <c r="H83" s="195" t="s">
        <v>396</v>
      </c>
      <c r="I83" s="196" t="str">
        <f>IFERROR(VLOOKUP(H83,'Сырьё'!$C$6:$D$233,2,FALSE()),IFERROR(VLOOKUP(H83,'Полупродукты'!$C$6:$D$60,2,FALSE()),"кг"))</f>
        <v>кг</v>
      </c>
      <c r="J83" s="197">
        <f t="array" ref="J83">IF(B8="",0,IFERROR(INDEX('_Развёртки'!$C$2:$C$1358,MATCH(B8&amp;"|"&amp;H83,'_Развёртки'!$D$2:$D$1358,0)),0)*N(C8))+IF(B9="",0,IFERROR(INDEX('_Развёртки'!$C$2:$C$1358,MATCH(B9&amp;"|"&amp;H83,'_Развёртки'!$D$2:$D$1358,0)),0)*N(C9))+IF(B10="",0,IFERROR(INDEX('_Развёртки'!$C$2:$C$1358,MATCH(B10&amp;"|"&amp;H83,'_Развёртки'!$D$2:$D$1358,0)),0)*N(C10))+IF(B11="",0,IFERROR(INDEX('_Развёртки'!$C$2:$C$1358,MATCH(B11&amp;"|"&amp;H83,'_Развёртки'!$D$2:$D$1358,0)),0)*N(C11))+IF(B12="",0,IFERROR(INDEX('_Развёртки'!$C$2:$C$1358,MATCH(B12&amp;"|"&amp;H83,'_Развёртки'!$D$2:$D$1358,0)),0)*N(C12))+IF(B13="",0,IFERROR(INDEX('_Развёртки'!$C$2:$C$1358,MATCH(B13&amp;"|"&amp;H83,'_Развёртки'!$D$2:$D$1358,0)),0)*N(C13))+IF(B14="",0,IFERROR(INDEX('_Развёртки'!$C$2:$C$1358,MATCH(B14&amp;"|"&amp;H83,'_Развёртки'!$D$2:$D$1358,0)),0)*N(C14))+IF(B15="",0,IFERROR(INDEX('_Развёртки'!$C$2:$C$1358,MATCH(B15&amp;"|"&amp;H83,'_Развёртки'!$D$2:$D$1358,0)),0)*N(C15))+IF(B16="",0,IFERROR(INDEX('_Развёртки'!$C$2:$C$1358,MATCH(B16&amp;"|"&amp;H83,'_Развёртки'!$D$2:$D$1358,0)),0)*N(C16))+IF(B17="",0,IFERROR(INDEX('_Развёртки'!$C$2:$C$1358,MATCH(B17&amp;"|"&amp;H83,'_Развёртки'!$D$2:$D$1358,0)),0)*N(C17))+IF(B18="",0,IFERROR(INDEX('_Развёртки'!$C$2:$C$1358,MATCH(B18&amp;"|"&amp;H83,'_Развёртки'!$D$2:$D$1358,0)),0)*N(C18))+IF(B19="",0,IFERROR(INDEX('_Развёртки'!$C$2:$C$1358,MATCH(B19&amp;"|"&amp;H83,'_Развёртки'!$D$2:$D$1358,0)),0)*N(C19))+IF(B20="",0,IFERROR(INDEX('_Развёртки'!$C$2:$C$1358,MATCH(B20&amp;"|"&amp;H83,'_Развёртки'!$D$2:$D$1358,0)),0)*N(C20))+IF(B21="",0,IFERROR(INDEX('_Развёртки'!$C$2:$C$1358,MATCH(B21&amp;"|"&amp;H83,'_Развёртки'!$D$2:$D$1358,0)),0)*N(C21))+IF(B22="",0,IFERROR(INDEX('_Развёртки'!$C$2:$C$1358,MATCH(B22&amp;"|"&amp;H83,'_Развёртки'!$D$2:$D$1358,0)),0)*N(C22))+IF(B23="",0,IFERROR(INDEX('_Развёртки'!$C$2:$C$1358,MATCH(B23&amp;"|"&amp;H83,'_Развёртки'!$D$2:$D$1358,0)),0)*N(C23))+IF(B24="",0,IFERROR(INDEX('_Развёртки'!$C$2:$C$1358,MATCH(B24&amp;"|"&amp;H83,'_Развёртки'!$D$2:$D$1358,0)),0)*N(C24))+IF(B25="",0,IFERROR(INDEX('_Развёртки'!$C$2:$C$1358,MATCH(B25&amp;"|"&amp;H83,'_Развёртки'!$D$2:$D$1358,0)),0)*N(C25))+IF(B26="",0,IFERROR(INDEX('_Развёртки'!$C$2:$C$1358,MATCH(B26&amp;"|"&amp;H83,'_Развёртки'!$D$2:$D$1358,0)),0)*N(C26))+IF(B27="",0,IFERROR(INDEX('_Развёртки'!$C$2:$C$1358,MATCH(B27&amp;"|"&amp;H83,'_Развёртки'!$D$2:$D$1358,0)),0)*N(C27))</f>
        <v>0</v>
      </c>
      <c r="K83" s="198">
        <f>IFERROR(VLOOKUP(H83,'Сырьё'!$C$6:$E$233,3,FALSE()),IFERROR(VLOOKUP(H83,'Полупродукты'!$C$6:$E$60,3,FALSE()),0))</f>
        <v>0</v>
      </c>
      <c r="L83" s="199">
        <f t="shared" si="4"/>
        <v>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94">
        <v>70.0</v>
      </c>
      <c r="H84" s="195" t="s">
        <v>397</v>
      </c>
      <c r="I84" s="196" t="str">
        <f>IFERROR(VLOOKUP(H84,'Сырьё'!$C$6:$D$233,2,FALSE()),IFERROR(VLOOKUP(H84,'Полупродукты'!$C$6:$D$60,2,FALSE()),"кг"))</f>
        <v>кг</v>
      </c>
      <c r="J84" s="197">
        <f t="array" ref="J84">IF(B8="",0,IFERROR(INDEX('_Развёртки'!$C$2:$C$1358,MATCH(B8&amp;"|"&amp;H84,'_Развёртки'!$D$2:$D$1358,0)),0)*N(C8))+IF(B9="",0,IFERROR(INDEX('_Развёртки'!$C$2:$C$1358,MATCH(B9&amp;"|"&amp;H84,'_Развёртки'!$D$2:$D$1358,0)),0)*N(C9))+IF(B10="",0,IFERROR(INDEX('_Развёртки'!$C$2:$C$1358,MATCH(B10&amp;"|"&amp;H84,'_Развёртки'!$D$2:$D$1358,0)),0)*N(C10))+IF(B11="",0,IFERROR(INDEX('_Развёртки'!$C$2:$C$1358,MATCH(B11&amp;"|"&amp;H84,'_Развёртки'!$D$2:$D$1358,0)),0)*N(C11))+IF(B12="",0,IFERROR(INDEX('_Развёртки'!$C$2:$C$1358,MATCH(B12&amp;"|"&amp;H84,'_Развёртки'!$D$2:$D$1358,0)),0)*N(C12))+IF(B13="",0,IFERROR(INDEX('_Развёртки'!$C$2:$C$1358,MATCH(B13&amp;"|"&amp;H84,'_Развёртки'!$D$2:$D$1358,0)),0)*N(C13))+IF(B14="",0,IFERROR(INDEX('_Развёртки'!$C$2:$C$1358,MATCH(B14&amp;"|"&amp;H84,'_Развёртки'!$D$2:$D$1358,0)),0)*N(C14))+IF(B15="",0,IFERROR(INDEX('_Развёртки'!$C$2:$C$1358,MATCH(B15&amp;"|"&amp;H84,'_Развёртки'!$D$2:$D$1358,0)),0)*N(C15))+IF(B16="",0,IFERROR(INDEX('_Развёртки'!$C$2:$C$1358,MATCH(B16&amp;"|"&amp;H84,'_Развёртки'!$D$2:$D$1358,0)),0)*N(C16))+IF(B17="",0,IFERROR(INDEX('_Развёртки'!$C$2:$C$1358,MATCH(B17&amp;"|"&amp;H84,'_Развёртки'!$D$2:$D$1358,0)),0)*N(C17))+IF(B18="",0,IFERROR(INDEX('_Развёртки'!$C$2:$C$1358,MATCH(B18&amp;"|"&amp;H84,'_Развёртки'!$D$2:$D$1358,0)),0)*N(C18))+IF(B19="",0,IFERROR(INDEX('_Развёртки'!$C$2:$C$1358,MATCH(B19&amp;"|"&amp;H84,'_Развёртки'!$D$2:$D$1358,0)),0)*N(C19))+IF(B20="",0,IFERROR(INDEX('_Развёртки'!$C$2:$C$1358,MATCH(B20&amp;"|"&amp;H84,'_Развёртки'!$D$2:$D$1358,0)),0)*N(C20))+IF(B21="",0,IFERROR(INDEX('_Развёртки'!$C$2:$C$1358,MATCH(B21&amp;"|"&amp;H84,'_Развёртки'!$D$2:$D$1358,0)),0)*N(C21))+IF(B22="",0,IFERROR(INDEX('_Развёртки'!$C$2:$C$1358,MATCH(B22&amp;"|"&amp;H84,'_Развёртки'!$D$2:$D$1358,0)),0)*N(C22))+IF(B23="",0,IFERROR(INDEX('_Развёртки'!$C$2:$C$1358,MATCH(B23&amp;"|"&amp;H84,'_Развёртки'!$D$2:$D$1358,0)),0)*N(C23))+IF(B24="",0,IFERROR(INDEX('_Развёртки'!$C$2:$C$1358,MATCH(B24&amp;"|"&amp;H84,'_Развёртки'!$D$2:$D$1358,0)),0)*N(C24))+IF(B25="",0,IFERROR(INDEX('_Развёртки'!$C$2:$C$1358,MATCH(B25&amp;"|"&amp;H84,'_Развёртки'!$D$2:$D$1358,0)),0)*N(C25))+IF(B26="",0,IFERROR(INDEX('_Развёртки'!$C$2:$C$1358,MATCH(B26&amp;"|"&amp;H84,'_Развёртки'!$D$2:$D$1358,0)),0)*N(C26))+IF(B27="",0,IFERROR(INDEX('_Развёртки'!$C$2:$C$1358,MATCH(B27&amp;"|"&amp;H84,'_Развёртки'!$D$2:$D$1358,0)),0)*N(C27))</f>
        <v>0</v>
      </c>
      <c r="K84" s="198">
        <f>IFERROR(VLOOKUP(H84,'Сырьё'!$C$6:$E$233,3,FALSE()),IFERROR(VLOOKUP(H84,'Полупродукты'!$C$6:$E$60,3,FALSE()),0))</f>
        <v>3.2387</v>
      </c>
      <c r="L84" s="199">
        <f t="shared" si="4"/>
        <v>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1"/>
      <c r="C85" s="1"/>
      <c r="D85" s="1"/>
      <c r="E85" s="1"/>
      <c r="F85" s="1"/>
      <c r="G85" s="194">
        <v>71.0</v>
      </c>
      <c r="H85" s="195" t="s">
        <v>398</v>
      </c>
      <c r="I85" s="196" t="str">
        <f>IFERROR(VLOOKUP(H85,'Сырьё'!$C$6:$D$233,2,FALSE()),IFERROR(VLOOKUP(H85,'Полупродукты'!$C$6:$D$60,2,FALSE()),"кг"))</f>
        <v>кг</v>
      </c>
      <c r="J85" s="197">
        <f t="array" ref="J85">IF(B8="",0,IFERROR(INDEX('_Развёртки'!$C$2:$C$1358,MATCH(B8&amp;"|"&amp;H85,'_Развёртки'!$D$2:$D$1358,0)),0)*N(C8))+IF(B9="",0,IFERROR(INDEX('_Развёртки'!$C$2:$C$1358,MATCH(B9&amp;"|"&amp;H85,'_Развёртки'!$D$2:$D$1358,0)),0)*N(C9))+IF(B10="",0,IFERROR(INDEX('_Развёртки'!$C$2:$C$1358,MATCH(B10&amp;"|"&amp;H85,'_Развёртки'!$D$2:$D$1358,0)),0)*N(C10))+IF(B11="",0,IFERROR(INDEX('_Развёртки'!$C$2:$C$1358,MATCH(B11&amp;"|"&amp;H85,'_Развёртки'!$D$2:$D$1358,0)),0)*N(C11))+IF(B12="",0,IFERROR(INDEX('_Развёртки'!$C$2:$C$1358,MATCH(B12&amp;"|"&amp;H85,'_Развёртки'!$D$2:$D$1358,0)),0)*N(C12))+IF(B13="",0,IFERROR(INDEX('_Развёртки'!$C$2:$C$1358,MATCH(B13&amp;"|"&amp;H85,'_Развёртки'!$D$2:$D$1358,0)),0)*N(C13))+IF(B14="",0,IFERROR(INDEX('_Развёртки'!$C$2:$C$1358,MATCH(B14&amp;"|"&amp;H85,'_Развёртки'!$D$2:$D$1358,0)),0)*N(C14))+IF(B15="",0,IFERROR(INDEX('_Развёртки'!$C$2:$C$1358,MATCH(B15&amp;"|"&amp;H85,'_Развёртки'!$D$2:$D$1358,0)),0)*N(C15))+IF(B16="",0,IFERROR(INDEX('_Развёртки'!$C$2:$C$1358,MATCH(B16&amp;"|"&amp;H85,'_Развёртки'!$D$2:$D$1358,0)),0)*N(C16))+IF(B17="",0,IFERROR(INDEX('_Развёртки'!$C$2:$C$1358,MATCH(B17&amp;"|"&amp;H85,'_Развёртки'!$D$2:$D$1358,0)),0)*N(C17))+IF(B18="",0,IFERROR(INDEX('_Развёртки'!$C$2:$C$1358,MATCH(B18&amp;"|"&amp;H85,'_Развёртки'!$D$2:$D$1358,0)),0)*N(C18))+IF(B19="",0,IFERROR(INDEX('_Развёртки'!$C$2:$C$1358,MATCH(B19&amp;"|"&amp;H85,'_Развёртки'!$D$2:$D$1358,0)),0)*N(C19))+IF(B20="",0,IFERROR(INDEX('_Развёртки'!$C$2:$C$1358,MATCH(B20&amp;"|"&amp;H85,'_Развёртки'!$D$2:$D$1358,0)),0)*N(C20))+IF(B21="",0,IFERROR(INDEX('_Развёртки'!$C$2:$C$1358,MATCH(B21&amp;"|"&amp;H85,'_Развёртки'!$D$2:$D$1358,0)),0)*N(C21))+IF(B22="",0,IFERROR(INDEX('_Развёртки'!$C$2:$C$1358,MATCH(B22&amp;"|"&amp;H85,'_Развёртки'!$D$2:$D$1358,0)),0)*N(C22))+IF(B23="",0,IFERROR(INDEX('_Развёртки'!$C$2:$C$1358,MATCH(B23&amp;"|"&amp;H85,'_Развёртки'!$D$2:$D$1358,0)),0)*N(C23))+IF(B24="",0,IFERROR(INDEX('_Развёртки'!$C$2:$C$1358,MATCH(B24&amp;"|"&amp;H85,'_Развёртки'!$D$2:$D$1358,0)),0)*N(C24))+IF(B25="",0,IFERROR(INDEX('_Развёртки'!$C$2:$C$1358,MATCH(B25&amp;"|"&amp;H85,'_Развёртки'!$D$2:$D$1358,0)),0)*N(C25))+IF(B26="",0,IFERROR(INDEX('_Развёртки'!$C$2:$C$1358,MATCH(B26&amp;"|"&amp;H85,'_Развёртки'!$D$2:$D$1358,0)),0)*N(C26))+IF(B27="",0,IFERROR(INDEX('_Развёртки'!$C$2:$C$1358,MATCH(B27&amp;"|"&amp;H85,'_Развёртки'!$D$2:$D$1358,0)),0)*N(C27))</f>
        <v>0</v>
      </c>
      <c r="K85" s="198">
        <f>IFERROR(VLOOKUP(H85,'Сырьё'!$C$6:$E$233,3,FALSE()),IFERROR(VLOOKUP(H85,'Полупродукты'!$C$6:$E$60,3,FALSE()),0))</f>
        <v>2.2294</v>
      </c>
      <c r="L85" s="199">
        <f t="shared" si="4"/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1"/>
      <c r="C86" s="1"/>
      <c r="D86" s="1"/>
      <c r="E86" s="1"/>
      <c r="F86" s="1"/>
      <c r="G86" s="194">
        <v>72.0</v>
      </c>
      <c r="H86" s="195" t="s">
        <v>399</v>
      </c>
      <c r="I86" s="196" t="str">
        <f>IFERROR(VLOOKUP(H86,'Сырьё'!$C$6:$D$233,2,FALSE()),IFERROR(VLOOKUP(H86,'Полупродукты'!$C$6:$D$60,2,FALSE()),"кг"))</f>
        <v>кг</v>
      </c>
      <c r="J86" s="197">
        <f t="array" ref="J86">IF(B8="",0,IFERROR(INDEX('_Развёртки'!$C$2:$C$1358,MATCH(B8&amp;"|"&amp;H86,'_Развёртки'!$D$2:$D$1358,0)),0)*N(C8))+IF(B9="",0,IFERROR(INDEX('_Развёртки'!$C$2:$C$1358,MATCH(B9&amp;"|"&amp;H86,'_Развёртки'!$D$2:$D$1358,0)),0)*N(C9))+IF(B10="",0,IFERROR(INDEX('_Развёртки'!$C$2:$C$1358,MATCH(B10&amp;"|"&amp;H86,'_Развёртки'!$D$2:$D$1358,0)),0)*N(C10))+IF(B11="",0,IFERROR(INDEX('_Развёртки'!$C$2:$C$1358,MATCH(B11&amp;"|"&amp;H86,'_Развёртки'!$D$2:$D$1358,0)),0)*N(C11))+IF(B12="",0,IFERROR(INDEX('_Развёртки'!$C$2:$C$1358,MATCH(B12&amp;"|"&amp;H86,'_Развёртки'!$D$2:$D$1358,0)),0)*N(C12))+IF(B13="",0,IFERROR(INDEX('_Развёртки'!$C$2:$C$1358,MATCH(B13&amp;"|"&amp;H86,'_Развёртки'!$D$2:$D$1358,0)),0)*N(C13))+IF(B14="",0,IFERROR(INDEX('_Развёртки'!$C$2:$C$1358,MATCH(B14&amp;"|"&amp;H86,'_Развёртки'!$D$2:$D$1358,0)),0)*N(C14))+IF(B15="",0,IFERROR(INDEX('_Развёртки'!$C$2:$C$1358,MATCH(B15&amp;"|"&amp;H86,'_Развёртки'!$D$2:$D$1358,0)),0)*N(C15))+IF(B16="",0,IFERROR(INDEX('_Развёртки'!$C$2:$C$1358,MATCH(B16&amp;"|"&amp;H86,'_Развёртки'!$D$2:$D$1358,0)),0)*N(C16))+IF(B17="",0,IFERROR(INDEX('_Развёртки'!$C$2:$C$1358,MATCH(B17&amp;"|"&amp;H86,'_Развёртки'!$D$2:$D$1358,0)),0)*N(C17))+IF(B18="",0,IFERROR(INDEX('_Развёртки'!$C$2:$C$1358,MATCH(B18&amp;"|"&amp;H86,'_Развёртки'!$D$2:$D$1358,0)),0)*N(C18))+IF(B19="",0,IFERROR(INDEX('_Развёртки'!$C$2:$C$1358,MATCH(B19&amp;"|"&amp;H86,'_Развёртки'!$D$2:$D$1358,0)),0)*N(C19))+IF(B20="",0,IFERROR(INDEX('_Развёртки'!$C$2:$C$1358,MATCH(B20&amp;"|"&amp;H86,'_Развёртки'!$D$2:$D$1358,0)),0)*N(C20))+IF(B21="",0,IFERROR(INDEX('_Развёртки'!$C$2:$C$1358,MATCH(B21&amp;"|"&amp;H86,'_Развёртки'!$D$2:$D$1358,0)),0)*N(C21))+IF(B22="",0,IFERROR(INDEX('_Развёртки'!$C$2:$C$1358,MATCH(B22&amp;"|"&amp;H86,'_Развёртки'!$D$2:$D$1358,0)),0)*N(C22))+IF(B23="",0,IFERROR(INDEX('_Развёртки'!$C$2:$C$1358,MATCH(B23&amp;"|"&amp;H86,'_Развёртки'!$D$2:$D$1358,0)),0)*N(C23))+IF(B24="",0,IFERROR(INDEX('_Развёртки'!$C$2:$C$1358,MATCH(B24&amp;"|"&amp;H86,'_Развёртки'!$D$2:$D$1358,0)),0)*N(C24))+IF(B25="",0,IFERROR(INDEX('_Развёртки'!$C$2:$C$1358,MATCH(B25&amp;"|"&amp;H86,'_Развёртки'!$D$2:$D$1358,0)),0)*N(C25))+IF(B26="",0,IFERROR(INDEX('_Развёртки'!$C$2:$C$1358,MATCH(B26&amp;"|"&amp;H86,'_Развёртки'!$D$2:$D$1358,0)),0)*N(C26))+IF(B27="",0,IFERROR(INDEX('_Развёртки'!$C$2:$C$1358,MATCH(B27&amp;"|"&amp;H86,'_Развёртки'!$D$2:$D$1358,0)),0)*N(C27))</f>
        <v>0</v>
      </c>
      <c r="K86" s="198">
        <f>IFERROR(VLOOKUP(H86,'Сырьё'!$C$6:$E$233,3,FALSE()),IFERROR(VLOOKUP(H86,'Полупродукты'!$C$6:$E$60,3,FALSE()),0))</f>
        <v>1.7496</v>
      </c>
      <c r="L86" s="199">
        <f t="shared" si="4"/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1"/>
      <c r="C87" s="1"/>
      <c r="D87" s="1"/>
      <c r="E87" s="1"/>
      <c r="F87" s="1"/>
      <c r="G87" s="194">
        <v>73.0</v>
      </c>
      <c r="H87" s="200" t="s">
        <v>400</v>
      </c>
      <c r="I87" s="196" t="str">
        <f>IFERROR(VLOOKUP(H87,'Сырьё'!$C$6:$D$233,2,FALSE()),IFERROR(VLOOKUP(H87,'Полупродукты'!$C$6:$D$60,2,FALSE()),"кг"))</f>
        <v>кг</v>
      </c>
      <c r="J87" s="197">
        <f t="array" ref="J87">IF(B8="",0,IFERROR(INDEX('_Развёртки'!$C$2:$C$1358,MATCH(B8&amp;"|"&amp;H87,'_Развёртки'!$D$2:$D$1358,0)),0)*N(C8))+IF(B9="",0,IFERROR(INDEX('_Развёртки'!$C$2:$C$1358,MATCH(B9&amp;"|"&amp;H87,'_Развёртки'!$D$2:$D$1358,0)),0)*N(C9))+IF(B10="",0,IFERROR(INDEX('_Развёртки'!$C$2:$C$1358,MATCH(B10&amp;"|"&amp;H87,'_Развёртки'!$D$2:$D$1358,0)),0)*N(C10))+IF(B11="",0,IFERROR(INDEX('_Развёртки'!$C$2:$C$1358,MATCH(B11&amp;"|"&amp;H87,'_Развёртки'!$D$2:$D$1358,0)),0)*N(C11))+IF(B12="",0,IFERROR(INDEX('_Развёртки'!$C$2:$C$1358,MATCH(B12&amp;"|"&amp;H87,'_Развёртки'!$D$2:$D$1358,0)),0)*N(C12))+IF(B13="",0,IFERROR(INDEX('_Развёртки'!$C$2:$C$1358,MATCH(B13&amp;"|"&amp;H87,'_Развёртки'!$D$2:$D$1358,0)),0)*N(C13))+IF(B14="",0,IFERROR(INDEX('_Развёртки'!$C$2:$C$1358,MATCH(B14&amp;"|"&amp;H87,'_Развёртки'!$D$2:$D$1358,0)),0)*N(C14))+IF(B15="",0,IFERROR(INDEX('_Развёртки'!$C$2:$C$1358,MATCH(B15&amp;"|"&amp;H87,'_Развёртки'!$D$2:$D$1358,0)),0)*N(C15))+IF(B16="",0,IFERROR(INDEX('_Развёртки'!$C$2:$C$1358,MATCH(B16&amp;"|"&amp;H87,'_Развёртки'!$D$2:$D$1358,0)),0)*N(C16))+IF(B17="",0,IFERROR(INDEX('_Развёртки'!$C$2:$C$1358,MATCH(B17&amp;"|"&amp;H87,'_Развёртки'!$D$2:$D$1358,0)),0)*N(C17))+IF(B18="",0,IFERROR(INDEX('_Развёртки'!$C$2:$C$1358,MATCH(B18&amp;"|"&amp;H87,'_Развёртки'!$D$2:$D$1358,0)),0)*N(C18))+IF(B19="",0,IFERROR(INDEX('_Развёртки'!$C$2:$C$1358,MATCH(B19&amp;"|"&amp;H87,'_Развёртки'!$D$2:$D$1358,0)),0)*N(C19))+IF(B20="",0,IFERROR(INDEX('_Развёртки'!$C$2:$C$1358,MATCH(B20&amp;"|"&amp;H87,'_Развёртки'!$D$2:$D$1358,0)),0)*N(C20))+IF(B21="",0,IFERROR(INDEX('_Развёртки'!$C$2:$C$1358,MATCH(B21&amp;"|"&amp;H87,'_Развёртки'!$D$2:$D$1358,0)),0)*N(C21))+IF(B22="",0,IFERROR(INDEX('_Развёртки'!$C$2:$C$1358,MATCH(B22&amp;"|"&amp;H87,'_Развёртки'!$D$2:$D$1358,0)),0)*N(C22))+IF(B23="",0,IFERROR(INDEX('_Развёртки'!$C$2:$C$1358,MATCH(B23&amp;"|"&amp;H87,'_Развёртки'!$D$2:$D$1358,0)),0)*N(C23))+IF(B24="",0,IFERROR(INDEX('_Развёртки'!$C$2:$C$1358,MATCH(B24&amp;"|"&amp;H87,'_Развёртки'!$D$2:$D$1358,0)),0)*N(C24))+IF(B25="",0,IFERROR(INDEX('_Развёртки'!$C$2:$C$1358,MATCH(B25&amp;"|"&amp;H87,'_Развёртки'!$D$2:$D$1358,0)),0)*N(C25))+IF(B26="",0,IFERROR(INDEX('_Развёртки'!$C$2:$C$1358,MATCH(B26&amp;"|"&amp;H87,'_Развёртки'!$D$2:$D$1358,0)),0)*N(C26))+IF(B27="",0,IFERROR(INDEX('_Развёртки'!$C$2:$C$1358,MATCH(B27&amp;"|"&amp;H87,'_Развёртки'!$D$2:$D$1358,0)),0)*N(C27))</f>
        <v>0</v>
      </c>
      <c r="K87" s="198">
        <f>IFERROR(VLOOKUP(H87,'Сырьё'!$C$6:$E$233,3,FALSE()),IFERROR(VLOOKUP(H87,'Полупродукты'!$C$6:$E$60,3,FALSE()),0))</f>
        <v>0</v>
      </c>
      <c r="L87" s="199">
        <f t="shared" si="4"/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1"/>
      <c r="C88" s="1"/>
      <c r="D88" s="1"/>
      <c r="E88" s="1"/>
      <c r="F88" s="1"/>
      <c r="G88" s="194">
        <v>74.0</v>
      </c>
      <c r="H88" s="195" t="s">
        <v>401</v>
      </c>
      <c r="I88" s="196" t="str">
        <f>IFERROR(VLOOKUP(H88,'Сырьё'!$C$6:$D$233,2,FALSE()),IFERROR(VLOOKUP(H88,'Полупродукты'!$C$6:$D$60,2,FALSE()),"кг"))</f>
        <v>кг</v>
      </c>
      <c r="J88" s="197">
        <f t="array" ref="J88">IF(B8="",0,IFERROR(INDEX('_Развёртки'!$C$2:$C$1358,MATCH(B8&amp;"|"&amp;H88,'_Развёртки'!$D$2:$D$1358,0)),0)*N(C8))+IF(B9="",0,IFERROR(INDEX('_Развёртки'!$C$2:$C$1358,MATCH(B9&amp;"|"&amp;H88,'_Развёртки'!$D$2:$D$1358,0)),0)*N(C9))+IF(B10="",0,IFERROR(INDEX('_Развёртки'!$C$2:$C$1358,MATCH(B10&amp;"|"&amp;H88,'_Развёртки'!$D$2:$D$1358,0)),0)*N(C10))+IF(B11="",0,IFERROR(INDEX('_Развёртки'!$C$2:$C$1358,MATCH(B11&amp;"|"&amp;H88,'_Развёртки'!$D$2:$D$1358,0)),0)*N(C11))+IF(B12="",0,IFERROR(INDEX('_Развёртки'!$C$2:$C$1358,MATCH(B12&amp;"|"&amp;H88,'_Развёртки'!$D$2:$D$1358,0)),0)*N(C12))+IF(B13="",0,IFERROR(INDEX('_Развёртки'!$C$2:$C$1358,MATCH(B13&amp;"|"&amp;H88,'_Развёртки'!$D$2:$D$1358,0)),0)*N(C13))+IF(B14="",0,IFERROR(INDEX('_Развёртки'!$C$2:$C$1358,MATCH(B14&amp;"|"&amp;H88,'_Развёртки'!$D$2:$D$1358,0)),0)*N(C14))+IF(B15="",0,IFERROR(INDEX('_Развёртки'!$C$2:$C$1358,MATCH(B15&amp;"|"&amp;H88,'_Развёртки'!$D$2:$D$1358,0)),0)*N(C15))+IF(B16="",0,IFERROR(INDEX('_Развёртки'!$C$2:$C$1358,MATCH(B16&amp;"|"&amp;H88,'_Развёртки'!$D$2:$D$1358,0)),0)*N(C16))+IF(B17="",0,IFERROR(INDEX('_Развёртки'!$C$2:$C$1358,MATCH(B17&amp;"|"&amp;H88,'_Развёртки'!$D$2:$D$1358,0)),0)*N(C17))+IF(B18="",0,IFERROR(INDEX('_Развёртки'!$C$2:$C$1358,MATCH(B18&amp;"|"&amp;H88,'_Развёртки'!$D$2:$D$1358,0)),0)*N(C18))+IF(B19="",0,IFERROR(INDEX('_Развёртки'!$C$2:$C$1358,MATCH(B19&amp;"|"&amp;H88,'_Развёртки'!$D$2:$D$1358,0)),0)*N(C19))+IF(B20="",0,IFERROR(INDEX('_Развёртки'!$C$2:$C$1358,MATCH(B20&amp;"|"&amp;H88,'_Развёртки'!$D$2:$D$1358,0)),0)*N(C20))+IF(B21="",0,IFERROR(INDEX('_Развёртки'!$C$2:$C$1358,MATCH(B21&amp;"|"&amp;H88,'_Развёртки'!$D$2:$D$1358,0)),0)*N(C21))+IF(B22="",0,IFERROR(INDEX('_Развёртки'!$C$2:$C$1358,MATCH(B22&amp;"|"&amp;H88,'_Развёртки'!$D$2:$D$1358,0)),0)*N(C22))+IF(B23="",0,IFERROR(INDEX('_Развёртки'!$C$2:$C$1358,MATCH(B23&amp;"|"&amp;H88,'_Развёртки'!$D$2:$D$1358,0)),0)*N(C23))+IF(B24="",0,IFERROR(INDEX('_Развёртки'!$C$2:$C$1358,MATCH(B24&amp;"|"&amp;H88,'_Развёртки'!$D$2:$D$1358,0)),0)*N(C24))+IF(B25="",0,IFERROR(INDEX('_Развёртки'!$C$2:$C$1358,MATCH(B25&amp;"|"&amp;H88,'_Развёртки'!$D$2:$D$1358,0)),0)*N(C25))+IF(B26="",0,IFERROR(INDEX('_Развёртки'!$C$2:$C$1358,MATCH(B26&amp;"|"&amp;H88,'_Развёртки'!$D$2:$D$1358,0)),0)*N(C26))+IF(B27="",0,IFERROR(INDEX('_Развёртки'!$C$2:$C$1358,MATCH(B27&amp;"|"&amp;H88,'_Развёртки'!$D$2:$D$1358,0)),0)*N(C27))</f>
        <v>0</v>
      </c>
      <c r="K88" s="198">
        <f>IFERROR(VLOOKUP(H88,'Сырьё'!$C$6:$E$233,3,FALSE()),IFERROR(VLOOKUP(H88,'Полупродукты'!$C$6:$E$60,3,FALSE()),0))</f>
        <v>3.3725</v>
      </c>
      <c r="L88" s="199">
        <f t="shared" si="4"/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30.0" customHeight="1">
      <c r="A89" s="1"/>
      <c r="B89" s="201" t="s">
        <v>597</v>
      </c>
      <c r="C89" s="1"/>
      <c r="D89" s="1"/>
      <c r="E89" s="1"/>
      <c r="F89" s="1"/>
      <c r="G89" s="194">
        <v>75.0</v>
      </c>
      <c r="H89" s="195" t="s">
        <v>402</v>
      </c>
      <c r="I89" s="196" t="str">
        <f>IFERROR(VLOOKUP(H89,'Сырьё'!$C$6:$D$233,2,FALSE()),IFERROR(VLOOKUP(H89,'Полупродукты'!$C$6:$D$60,2,FALSE()),"кг"))</f>
        <v>кг</v>
      </c>
      <c r="J89" s="197">
        <f t="array" ref="J89">IF(B8="",0,IFERROR(INDEX('_Развёртки'!$C$2:$C$1358,MATCH(B8&amp;"|"&amp;H89,'_Развёртки'!$D$2:$D$1358,0)),0)*N(C8))+IF(B9="",0,IFERROR(INDEX('_Развёртки'!$C$2:$C$1358,MATCH(B9&amp;"|"&amp;H89,'_Развёртки'!$D$2:$D$1358,0)),0)*N(C9))+IF(B10="",0,IFERROR(INDEX('_Развёртки'!$C$2:$C$1358,MATCH(B10&amp;"|"&amp;H89,'_Развёртки'!$D$2:$D$1358,0)),0)*N(C10))+IF(B11="",0,IFERROR(INDEX('_Развёртки'!$C$2:$C$1358,MATCH(B11&amp;"|"&amp;H89,'_Развёртки'!$D$2:$D$1358,0)),0)*N(C11))+IF(B12="",0,IFERROR(INDEX('_Развёртки'!$C$2:$C$1358,MATCH(B12&amp;"|"&amp;H89,'_Развёртки'!$D$2:$D$1358,0)),0)*N(C12))+IF(B13="",0,IFERROR(INDEX('_Развёртки'!$C$2:$C$1358,MATCH(B13&amp;"|"&amp;H89,'_Развёртки'!$D$2:$D$1358,0)),0)*N(C13))+IF(B14="",0,IFERROR(INDEX('_Развёртки'!$C$2:$C$1358,MATCH(B14&amp;"|"&amp;H89,'_Развёртки'!$D$2:$D$1358,0)),0)*N(C14))+IF(B15="",0,IFERROR(INDEX('_Развёртки'!$C$2:$C$1358,MATCH(B15&amp;"|"&amp;H89,'_Развёртки'!$D$2:$D$1358,0)),0)*N(C15))+IF(B16="",0,IFERROR(INDEX('_Развёртки'!$C$2:$C$1358,MATCH(B16&amp;"|"&amp;H89,'_Развёртки'!$D$2:$D$1358,0)),0)*N(C16))+IF(B17="",0,IFERROR(INDEX('_Развёртки'!$C$2:$C$1358,MATCH(B17&amp;"|"&amp;H89,'_Развёртки'!$D$2:$D$1358,0)),0)*N(C17))+IF(B18="",0,IFERROR(INDEX('_Развёртки'!$C$2:$C$1358,MATCH(B18&amp;"|"&amp;H89,'_Развёртки'!$D$2:$D$1358,0)),0)*N(C18))+IF(B19="",0,IFERROR(INDEX('_Развёртки'!$C$2:$C$1358,MATCH(B19&amp;"|"&amp;H89,'_Развёртки'!$D$2:$D$1358,0)),0)*N(C19))+IF(B20="",0,IFERROR(INDEX('_Развёртки'!$C$2:$C$1358,MATCH(B20&amp;"|"&amp;H89,'_Развёртки'!$D$2:$D$1358,0)),0)*N(C20))+IF(B21="",0,IFERROR(INDEX('_Развёртки'!$C$2:$C$1358,MATCH(B21&amp;"|"&amp;H89,'_Развёртки'!$D$2:$D$1358,0)),0)*N(C21))+IF(B22="",0,IFERROR(INDEX('_Развёртки'!$C$2:$C$1358,MATCH(B22&amp;"|"&amp;H89,'_Развёртки'!$D$2:$D$1358,0)),0)*N(C22))+IF(B23="",0,IFERROR(INDEX('_Развёртки'!$C$2:$C$1358,MATCH(B23&amp;"|"&amp;H89,'_Развёртки'!$D$2:$D$1358,0)),0)*N(C23))+IF(B24="",0,IFERROR(INDEX('_Развёртки'!$C$2:$C$1358,MATCH(B24&amp;"|"&amp;H89,'_Развёртки'!$D$2:$D$1358,0)),0)*N(C24))+IF(B25="",0,IFERROR(INDEX('_Развёртки'!$C$2:$C$1358,MATCH(B25&amp;"|"&amp;H89,'_Развёртки'!$D$2:$D$1358,0)),0)*N(C25))+IF(B26="",0,IFERROR(INDEX('_Развёртки'!$C$2:$C$1358,MATCH(B26&amp;"|"&amp;H89,'_Развёртки'!$D$2:$D$1358,0)),0)*N(C26))+IF(B27="",0,IFERROR(INDEX('_Развёртки'!$C$2:$C$1358,MATCH(B27&amp;"|"&amp;H89,'_Развёртки'!$D$2:$D$1358,0)),0)*N(C27))</f>
        <v>0</v>
      </c>
      <c r="K89" s="198">
        <f>IFERROR(VLOOKUP(H89,'Сырьё'!$C$6:$E$233,3,FALSE()),IFERROR(VLOOKUP(H89,'Полупродукты'!$C$6:$E$60,3,FALSE()),0))</f>
        <v>0</v>
      </c>
      <c r="L89" s="199">
        <f t="shared" si="4"/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0.0" customHeight="1">
      <c r="A90" s="1"/>
      <c r="B90" s="1"/>
      <c r="C90" s="1"/>
      <c r="D90" s="1"/>
      <c r="E90" s="1"/>
      <c r="F90" s="1"/>
      <c r="G90" s="194">
        <v>76.0</v>
      </c>
      <c r="H90" s="195" t="s">
        <v>403</v>
      </c>
      <c r="I90" s="196" t="str">
        <f>IFERROR(VLOOKUP(H90,'Сырьё'!$C$6:$D$233,2,FALSE()),IFERROR(VLOOKUP(H90,'Полупродукты'!$C$6:$D$60,2,FALSE()),"кг"))</f>
        <v>кг</v>
      </c>
      <c r="J90" s="197">
        <f t="array" ref="J90">IF(B8="",0,IFERROR(INDEX('_Развёртки'!$C$2:$C$1358,MATCH(B8&amp;"|"&amp;H90,'_Развёртки'!$D$2:$D$1358,0)),0)*N(C8))+IF(B9="",0,IFERROR(INDEX('_Развёртки'!$C$2:$C$1358,MATCH(B9&amp;"|"&amp;H90,'_Развёртки'!$D$2:$D$1358,0)),0)*N(C9))+IF(B10="",0,IFERROR(INDEX('_Развёртки'!$C$2:$C$1358,MATCH(B10&amp;"|"&amp;H90,'_Развёртки'!$D$2:$D$1358,0)),0)*N(C10))+IF(B11="",0,IFERROR(INDEX('_Развёртки'!$C$2:$C$1358,MATCH(B11&amp;"|"&amp;H90,'_Развёртки'!$D$2:$D$1358,0)),0)*N(C11))+IF(B12="",0,IFERROR(INDEX('_Развёртки'!$C$2:$C$1358,MATCH(B12&amp;"|"&amp;H90,'_Развёртки'!$D$2:$D$1358,0)),0)*N(C12))+IF(B13="",0,IFERROR(INDEX('_Развёртки'!$C$2:$C$1358,MATCH(B13&amp;"|"&amp;H90,'_Развёртки'!$D$2:$D$1358,0)),0)*N(C13))+IF(B14="",0,IFERROR(INDEX('_Развёртки'!$C$2:$C$1358,MATCH(B14&amp;"|"&amp;H90,'_Развёртки'!$D$2:$D$1358,0)),0)*N(C14))+IF(B15="",0,IFERROR(INDEX('_Развёртки'!$C$2:$C$1358,MATCH(B15&amp;"|"&amp;H90,'_Развёртки'!$D$2:$D$1358,0)),0)*N(C15))+IF(B16="",0,IFERROR(INDEX('_Развёртки'!$C$2:$C$1358,MATCH(B16&amp;"|"&amp;H90,'_Развёртки'!$D$2:$D$1358,0)),0)*N(C16))+IF(B17="",0,IFERROR(INDEX('_Развёртки'!$C$2:$C$1358,MATCH(B17&amp;"|"&amp;H90,'_Развёртки'!$D$2:$D$1358,0)),0)*N(C17))+IF(B18="",0,IFERROR(INDEX('_Развёртки'!$C$2:$C$1358,MATCH(B18&amp;"|"&amp;H90,'_Развёртки'!$D$2:$D$1358,0)),0)*N(C18))+IF(B19="",0,IFERROR(INDEX('_Развёртки'!$C$2:$C$1358,MATCH(B19&amp;"|"&amp;H90,'_Развёртки'!$D$2:$D$1358,0)),0)*N(C19))+IF(B20="",0,IFERROR(INDEX('_Развёртки'!$C$2:$C$1358,MATCH(B20&amp;"|"&amp;H90,'_Развёртки'!$D$2:$D$1358,0)),0)*N(C20))+IF(B21="",0,IFERROR(INDEX('_Развёртки'!$C$2:$C$1358,MATCH(B21&amp;"|"&amp;H90,'_Развёртки'!$D$2:$D$1358,0)),0)*N(C21))+IF(B22="",0,IFERROR(INDEX('_Развёртки'!$C$2:$C$1358,MATCH(B22&amp;"|"&amp;H90,'_Развёртки'!$D$2:$D$1358,0)),0)*N(C22))+IF(B23="",0,IFERROR(INDEX('_Развёртки'!$C$2:$C$1358,MATCH(B23&amp;"|"&amp;H90,'_Развёртки'!$D$2:$D$1358,0)),0)*N(C23))+IF(B24="",0,IFERROR(INDEX('_Развёртки'!$C$2:$C$1358,MATCH(B24&amp;"|"&amp;H90,'_Развёртки'!$D$2:$D$1358,0)),0)*N(C24))+IF(B25="",0,IFERROR(INDEX('_Развёртки'!$C$2:$C$1358,MATCH(B25&amp;"|"&amp;H90,'_Развёртки'!$D$2:$D$1358,0)),0)*N(C25))+IF(B26="",0,IFERROR(INDEX('_Развёртки'!$C$2:$C$1358,MATCH(B26&amp;"|"&amp;H90,'_Развёртки'!$D$2:$D$1358,0)),0)*N(C26))+IF(B27="",0,IFERROR(INDEX('_Развёртки'!$C$2:$C$1358,MATCH(B27&amp;"|"&amp;H90,'_Развёртки'!$D$2:$D$1358,0)),0)*N(C27))</f>
        <v>526.33</v>
      </c>
      <c r="K90" s="198">
        <f>IFERROR(VLOOKUP(H90,'Сырьё'!$C$6:$E$233,3,FALSE()),IFERROR(VLOOKUP(H90,'Полупродукты'!$C$6:$E$60,3,FALSE()),0))</f>
        <v>0</v>
      </c>
      <c r="L90" s="199">
        <f t="shared" si="4"/>
        <v>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1"/>
      <c r="C91" s="1"/>
      <c r="D91" s="1"/>
      <c r="E91" s="1"/>
      <c r="F91" s="1"/>
      <c r="G91" s="194">
        <v>77.0</v>
      </c>
      <c r="H91" s="195" t="s">
        <v>404</v>
      </c>
      <c r="I91" s="196" t="str">
        <f>IFERROR(VLOOKUP(H91,'Сырьё'!$C$6:$D$233,2,FALSE()),IFERROR(VLOOKUP(H91,'Полупродукты'!$C$6:$D$60,2,FALSE()),"кг"))</f>
        <v>кг</v>
      </c>
      <c r="J91" s="197">
        <f t="array" ref="J91">IF(B8="",0,IFERROR(INDEX('_Развёртки'!$C$2:$C$1358,MATCH(B8&amp;"|"&amp;H91,'_Развёртки'!$D$2:$D$1358,0)),0)*N(C8))+IF(B9="",0,IFERROR(INDEX('_Развёртки'!$C$2:$C$1358,MATCH(B9&amp;"|"&amp;H91,'_Развёртки'!$D$2:$D$1358,0)),0)*N(C9))+IF(B10="",0,IFERROR(INDEX('_Развёртки'!$C$2:$C$1358,MATCH(B10&amp;"|"&amp;H91,'_Развёртки'!$D$2:$D$1358,0)),0)*N(C10))+IF(B11="",0,IFERROR(INDEX('_Развёртки'!$C$2:$C$1358,MATCH(B11&amp;"|"&amp;H91,'_Развёртки'!$D$2:$D$1358,0)),0)*N(C11))+IF(B12="",0,IFERROR(INDEX('_Развёртки'!$C$2:$C$1358,MATCH(B12&amp;"|"&amp;H91,'_Развёртки'!$D$2:$D$1358,0)),0)*N(C12))+IF(B13="",0,IFERROR(INDEX('_Развёртки'!$C$2:$C$1358,MATCH(B13&amp;"|"&amp;H91,'_Развёртки'!$D$2:$D$1358,0)),0)*N(C13))+IF(B14="",0,IFERROR(INDEX('_Развёртки'!$C$2:$C$1358,MATCH(B14&amp;"|"&amp;H91,'_Развёртки'!$D$2:$D$1358,0)),0)*N(C14))+IF(B15="",0,IFERROR(INDEX('_Развёртки'!$C$2:$C$1358,MATCH(B15&amp;"|"&amp;H91,'_Развёртки'!$D$2:$D$1358,0)),0)*N(C15))+IF(B16="",0,IFERROR(INDEX('_Развёртки'!$C$2:$C$1358,MATCH(B16&amp;"|"&amp;H91,'_Развёртки'!$D$2:$D$1358,0)),0)*N(C16))+IF(B17="",0,IFERROR(INDEX('_Развёртки'!$C$2:$C$1358,MATCH(B17&amp;"|"&amp;H91,'_Развёртки'!$D$2:$D$1358,0)),0)*N(C17))+IF(B18="",0,IFERROR(INDEX('_Развёртки'!$C$2:$C$1358,MATCH(B18&amp;"|"&amp;H91,'_Развёртки'!$D$2:$D$1358,0)),0)*N(C18))+IF(B19="",0,IFERROR(INDEX('_Развёртки'!$C$2:$C$1358,MATCH(B19&amp;"|"&amp;H91,'_Развёртки'!$D$2:$D$1358,0)),0)*N(C19))+IF(B20="",0,IFERROR(INDEX('_Развёртки'!$C$2:$C$1358,MATCH(B20&amp;"|"&amp;H91,'_Развёртки'!$D$2:$D$1358,0)),0)*N(C20))+IF(B21="",0,IFERROR(INDEX('_Развёртки'!$C$2:$C$1358,MATCH(B21&amp;"|"&amp;H91,'_Развёртки'!$D$2:$D$1358,0)),0)*N(C21))+IF(B22="",0,IFERROR(INDEX('_Развёртки'!$C$2:$C$1358,MATCH(B22&amp;"|"&amp;H91,'_Развёртки'!$D$2:$D$1358,0)),0)*N(C22))+IF(B23="",0,IFERROR(INDEX('_Развёртки'!$C$2:$C$1358,MATCH(B23&amp;"|"&amp;H91,'_Развёртки'!$D$2:$D$1358,0)),0)*N(C23))+IF(B24="",0,IFERROR(INDEX('_Развёртки'!$C$2:$C$1358,MATCH(B24&amp;"|"&amp;H91,'_Развёртки'!$D$2:$D$1358,0)),0)*N(C24))+IF(B25="",0,IFERROR(INDEX('_Развёртки'!$C$2:$C$1358,MATCH(B25&amp;"|"&amp;H91,'_Развёртки'!$D$2:$D$1358,0)),0)*N(C25))+IF(B26="",0,IFERROR(INDEX('_Развёртки'!$C$2:$C$1358,MATCH(B26&amp;"|"&amp;H91,'_Развёртки'!$D$2:$D$1358,0)),0)*N(C26))+IF(B27="",0,IFERROR(INDEX('_Развёртки'!$C$2:$C$1358,MATCH(B27&amp;"|"&amp;H91,'_Развёртки'!$D$2:$D$1358,0)),0)*N(C27))</f>
        <v>0</v>
      </c>
      <c r="K91" s="198">
        <f>IFERROR(VLOOKUP(H91,'Сырьё'!$C$6:$E$233,3,FALSE()),IFERROR(VLOOKUP(H91,'Полупродукты'!$C$6:$E$60,3,FALSE()),0))</f>
        <v>0</v>
      </c>
      <c r="L91" s="199">
        <f t="shared" si="4"/>
        <v>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1"/>
      <c r="C92" s="1"/>
      <c r="D92" s="1"/>
      <c r="E92" s="1"/>
      <c r="F92" s="1"/>
      <c r="G92" s="194">
        <v>78.0</v>
      </c>
      <c r="H92" s="195" t="s">
        <v>405</v>
      </c>
      <c r="I92" s="196" t="str">
        <f>IFERROR(VLOOKUP(H92,'Сырьё'!$C$6:$D$233,2,FALSE()),IFERROR(VLOOKUP(H92,'Полупродукты'!$C$6:$D$60,2,FALSE()),"кг"))</f>
        <v>кг</v>
      </c>
      <c r="J92" s="197">
        <f t="array" ref="J92">IF(B8="",0,IFERROR(INDEX('_Развёртки'!$C$2:$C$1358,MATCH(B8&amp;"|"&amp;H92,'_Развёртки'!$D$2:$D$1358,0)),0)*N(C8))+IF(B9="",0,IFERROR(INDEX('_Развёртки'!$C$2:$C$1358,MATCH(B9&amp;"|"&amp;H92,'_Развёртки'!$D$2:$D$1358,0)),0)*N(C9))+IF(B10="",0,IFERROR(INDEX('_Развёртки'!$C$2:$C$1358,MATCH(B10&amp;"|"&amp;H92,'_Развёртки'!$D$2:$D$1358,0)),0)*N(C10))+IF(B11="",0,IFERROR(INDEX('_Развёртки'!$C$2:$C$1358,MATCH(B11&amp;"|"&amp;H92,'_Развёртки'!$D$2:$D$1358,0)),0)*N(C11))+IF(B12="",0,IFERROR(INDEX('_Развёртки'!$C$2:$C$1358,MATCH(B12&amp;"|"&amp;H92,'_Развёртки'!$D$2:$D$1358,0)),0)*N(C12))+IF(B13="",0,IFERROR(INDEX('_Развёртки'!$C$2:$C$1358,MATCH(B13&amp;"|"&amp;H92,'_Развёртки'!$D$2:$D$1358,0)),0)*N(C13))+IF(B14="",0,IFERROR(INDEX('_Развёртки'!$C$2:$C$1358,MATCH(B14&amp;"|"&amp;H92,'_Развёртки'!$D$2:$D$1358,0)),0)*N(C14))+IF(B15="",0,IFERROR(INDEX('_Развёртки'!$C$2:$C$1358,MATCH(B15&amp;"|"&amp;H92,'_Развёртки'!$D$2:$D$1358,0)),0)*N(C15))+IF(B16="",0,IFERROR(INDEX('_Развёртки'!$C$2:$C$1358,MATCH(B16&amp;"|"&amp;H92,'_Развёртки'!$D$2:$D$1358,0)),0)*N(C16))+IF(B17="",0,IFERROR(INDEX('_Развёртки'!$C$2:$C$1358,MATCH(B17&amp;"|"&amp;H92,'_Развёртки'!$D$2:$D$1358,0)),0)*N(C17))+IF(B18="",0,IFERROR(INDEX('_Развёртки'!$C$2:$C$1358,MATCH(B18&amp;"|"&amp;H92,'_Развёртки'!$D$2:$D$1358,0)),0)*N(C18))+IF(B19="",0,IFERROR(INDEX('_Развёртки'!$C$2:$C$1358,MATCH(B19&amp;"|"&amp;H92,'_Развёртки'!$D$2:$D$1358,0)),0)*N(C19))+IF(B20="",0,IFERROR(INDEX('_Развёртки'!$C$2:$C$1358,MATCH(B20&amp;"|"&amp;H92,'_Развёртки'!$D$2:$D$1358,0)),0)*N(C20))+IF(B21="",0,IFERROR(INDEX('_Развёртки'!$C$2:$C$1358,MATCH(B21&amp;"|"&amp;H92,'_Развёртки'!$D$2:$D$1358,0)),0)*N(C21))+IF(B22="",0,IFERROR(INDEX('_Развёртки'!$C$2:$C$1358,MATCH(B22&amp;"|"&amp;H92,'_Развёртки'!$D$2:$D$1358,0)),0)*N(C22))+IF(B23="",0,IFERROR(INDEX('_Развёртки'!$C$2:$C$1358,MATCH(B23&amp;"|"&amp;H92,'_Развёртки'!$D$2:$D$1358,0)),0)*N(C23))+IF(B24="",0,IFERROR(INDEX('_Развёртки'!$C$2:$C$1358,MATCH(B24&amp;"|"&amp;H92,'_Развёртки'!$D$2:$D$1358,0)),0)*N(C24))+IF(B25="",0,IFERROR(INDEX('_Развёртки'!$C$2:$C$1358,MATCH(B25&amp;"|"&amp;H92,'_Развёртки'!$D$2:$D$1358,0)),0)*N(C25))+IF(B26="",0,IFERROR(INDEX('_Развёртки'!$C$2:$C$1358,MATCH(B26&amp;"|"&amp;H92,'_Развёртки'!$D$2:$D$1358,0)),0)*N(C26))+IF(B27="",0,IFERROR(INDEX('_Развёртки'!$C$2:$C$1358,MATCH(B27&amp;"|"&amp;H92,'_Развёртки'!$D$2:$D$1358,0)),0)*N(C27))</f>
        <v>0</v>
      </c>
      <c r="K92" s="198">
        <f>IFERROR(VLOOKUP(H92,'Сырьё'!$C$6:$E$233,3,FALSE()),IFERROR(VLOOKUP(H92,'Полупродукты'!$C$6:$E$60,3,FALSE()),0))</f>
        <v>3.7118</v>
      </c>
      <c r="L92" s="199">
        <f t="shared" si="4"/>
        <v>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1"/>
      <c r="C93" s="1"/>
      <c r="D93" s="1"/>
      <c r="E93" s="1"/>
      <c r="F93" s="1"/>
      <c r="G93" s="194">
        <v>79.0</v>
      </c>
      <c r="H93" s="195" t="s">
        <v>406</v>
      </c>
      <c r="I93" s="196" t="str">
        <f>IFERROR(VLOOKUP(H93,'Сырьё'!$C$6:$D$233,2,FALSE()),IFERROR(VLOOKUP(H93,'Полупродукты'!$C$6:$D$60,2,FALSE()),"кг"))</f>
        <v>кг</v>
      </c>
      <c r="J93" s="197">
        <f t="array" ref="J93">IF(B8="",0,IFERROR(INDEX('_Развёртки'!$C$2:$C$1358,MATCH(B8&amp;"|"&amp;H93,'_Развёртки'!$D$2:$D$1358,0)),0)*N(C8))+IF(B9="",0,IFERROR(INDEX('_Развёртки'!$C$2:$C$1358,MATCH(B9&amp;"|"&amp;H93,'_Развёртки'!$D$2:$D$1358,0)),0)*N(C9))+IF(B10="",0,IFERROR(INDEX('_Развёртки'!$C$2:$C$1358,MATCH(B10&amp;"|"&amp;H93,'_Развёртки'!$D$2:$D$1358,0)),0)*N(C10))+IF(B11="",0,IFERROR(INDEX('_Развёртки'!$C$2:$C$1358,MATCH(B11&amp;"|"&amp;H93,'_Развёртки'!$D$2:$D$1358,0)),0)*N(C11))+IF(B12="",0,IFERROR(INDEX('_Развёртки'!$C$2:$C$1358,MATCH(B12&amp;"|"&amp;H93,'_Развёртки'!$D$2:$D$1358,0)),0)*N(C12))+IF(B13="",0,IFERROR(INDEX('_Развёртки'!$C$2:$C$1358,MATCH(B13&amp;"|"&amp;H93,'_Развёртки'!$D$2:$D$1358,0)),0)*N(C13))+IF(B14="",0,IFERROR(INDEX('_Развёртки'!$C$2:$C$1358,MATCH(B14&amp;"|"&amp;H93,'_Развёртки'!$D$2:$D$1358,0)),0)*N(C14))+IF(B15="",0,IFERROR(INDEX('_Развёртки'!$C$2:$C$1358,MATCH(B15&amp;"|"&amp;H93,'_Развёртки'!$D$2:$D$1358,0)),0)*N(C15))+IF(B16="",0,IFERROR(INDEX('_Развёртки'!$C$2:$C$1358,MATCH(B16&amp;"|"&amp;H93,'_Развёртки'!$D$2:$D$1358,0)),0)*N(C16))+IF(B17="",0,IFERROR(INDEX('_Развёртки'!$C$2:$C$1358,MATCH(B17&amp;"|"&amp;H93,'_Развёртки'!$D$2:$D$1358,0)),0)*N(C17))+IF(B18="",0,IFERROR(INDEX('_Развёртки'!$C$2:$C$1358,MATCH(B18&amp;"|"&amp;H93,'_Развёртки'!$D$2:$D$1358,0)),0)*N(C18))+IF(B19="",0,IFERROR(INDEX('_Развёртки'!$C$2:$C$1358,MATCH(B19&amp;"|"&amp;H93,'_Развёртки'!$D$2:$D$1358,0)),0)*N(C19))+IF(B20="",0,IFERROR(INDEX('_Развёртки'!$C$2:$C$1358,MATCH(B20&amp;"|"&amp;H93,'_Развёртки'!$D$2:$D$1358,0)),0)*N(C20))+IF(B21="",0,IFERROR(INDEX('_Развёртки'!$C$2:$C$1358,MATCH(B21&amp;"|"&amp;H93,'_Развёртки'!$D$2:$D$1358,0)),0)*N(C21))+IF(B22="",0,IFERROR(INDEX('_Развёртки'!$C$2:$C$1358,MATCH(B22&amp;"|"&amp;H93,'_Развёртки'!$D$2:$D$1358,0)),0)*N(C22))+IF(B23="",0,IFERROR(INDEX('_Развёртки'!$C$2:$C$1358,MATCH(B23&amp;"|"&amp;H93,'_Развёртки'!$D$2:$D$1358,0)),0)*N(C23))+IF(B24="",0,IFERROR(INDEX('_Развёртки'!$C$2:$C$1358,MATCH(B24&amp;"|"&amp;H93,'_Развёртки'!$D$2:$D$1358,0)),0)*N(C24))+IF(B25="",0,IFERROR(INDEX('_Развёртки'!$C$2:$C$1358,MATCH(B25&amp;"|"&amp;H93,'_Развёртки'!$D$2:$D$1358,0)),0)*N(C25))+IF(B26="",0,IFERROR(INDEX('_Развёртки'!$C$2:$C$1358,MATCH(B26&amp;"|"&amp;H93,'_Развёртки'!$D$2:$D$1358,0)),0)*N(C26))+IF(B27="",0,IFERROR(INDEX('_Развёртки'!$C$2:$C$1358,MATCH(B27&amp;"|"&amp;H93,'_Развёртки'!$D$2:$D$1358,0)),0)*N(C27))</f>
        <v>0</v>
      </c>
      <c r="K93" s="198">
        <f>IFERROR(VLOOKUP(H93,'Сырьё'!$C$6:$E$233,3,FALSE()),IFERROR(VLOOKUP(H93,'Полупродукты'!$C$6:$E$60,3,FALSE()),0))</f>
        <v>4.486</v>
      </c>
      <c r="L93" s="199">
        <f t="shared" si="4"/>
        <v>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1"/>
      <c r="C94" s="1"/>
      <c r="D94" s="1"/>
      <c r="E94" s="1"/>
      <c r="F94" s="1"/>
      <c r="G94" s="194">
        <v>80.0</v>
      </c>
      <c r="H94" s="195" t="s">
        <v>407</v>
      </c>
      <c r="I94" s="196" t="str">
        <f>IFERROR(VLOOKUP(H94,'Сырьё'!$C$6:$D$233,2,FALSE()),IFERROR(VLOOKUP(H94,'Полупродукты'!$C$6:$D$60,2,FALSE()),"кг"))</f>
        <v>кг</v>
      </c>
      <c r="J94" s="197">
        <f t="array" ref="J94">IF(B8="",0,IFERROR(INDEX('_Развёртки'!$C$2:$C$1358,MATCH(B8&amp;"|"&amp;H94,'_Развёртки'!$D$2:$D$1358,0)),0)*N(C8))+IF(B9="",0,IFERROR(INDEX('_Развёртки'!$C$2:$C$1358,MATCH(B9&amp;"|"&amp;H94,'_Развёртки'!$D$2:$D$1358,0)),0)*N(C9))+IF(B10="",0,IFERROR(INDEX('_Развёртки'!$C$2:$C$1358,MATCH(B10&amp;"|"&amp;H94,'_Развёртки'!$D$2:$D$1358,0)),0)*N(C10))+IF(B11="",0,IFERROR(INDEX('_Развёртки'!$C$2:$C$1358,MATCH(B11&amp;"|"&amp;H94,'_Развёртки'!$D$2:$D$1358,0)),0)*N(C11))+IF(B12="",0,IFERROR(INDEX('_Развёртки'!$C$2:$C$1358,MATCH(B12&amp;"|"&amp;H94,'_Развёртки'!$D$2:$D$1358,0)),0)*N(C12))+IF(B13="",0,IFERROR(INDEX('_Развёртки'!$C$2:$C$1358,MATCH(B13&amp;"|"&amp;H94,'_Развёртки'!$D$2:$D$1358,0)),0)*N(C13))+IF(B14="",0,IFERROR(INDEX('_Развёртки'!$C$2:$C$1358,MATCH(B14&amp;"|"&amp;H94,'_Развёртки'!$D$2:$D$1358,0)),0)*N(C14))+IF(B15="",0,IFERROR(INDEX('_Развёртки'!$C$2:$C$1358,MATCH(B15&amp;"|"&amp;H94,'_Развёртки'!$D$2:$D$1358,0)),0)*N(C15))+IF(B16="",0,IFERROR(INDEX('_Развёртки'!$C$2:$C$1358,MATCH(B16&amp;"|"&amp;H94,'_Развёртки'!$D$2:$D$1358,0)),0)*N(C16))+IF(B17="",0,IFERROR(INDEX('_Развёртки'!$C$2:$C$1358,MATCH(B17&amp;"|"&amp;H94,'_Развёртки'!$D$2:$D$1358,0)),0)*N(C17))+IF(B18="",0,IFERROR(INDEX('_Развёртки'!$C$2:$C$1358,MATCH(B18&amp;"|"&amp;H94,'_Развёртки'!$D$2:$D$1358,0)),0)*N(C18))+IF(B19="",0,IFERROR(INDEX('_Развёртки'!$C$2:$C$1358,MATCH(B19&amp;"|"&amp;H94,'_Развёртки'!$D$2:$D$1358,0)),0)*N(C19))+IF(B20="",0,IFERROR(INDEX('_Развёртки'!$C$2:$C$1358,MATCH(B20&amp;"|"&amp;H94,'_Развёртки'!$D$2:$D$1358,0)),0)*N(C20))+IF(B21="",0,IFERROR(INDEX('_Развёртки'!$C$2:$C$1358,MATCH(B21&amp;"|"&amp;H94,'_Развёртки'!$D$2:$D$1358,0)),0)*N(C21))+IF(B22="",0,IFERROR(INDEX('_Развёртки'!$C$2:$C$1358,MATCH(B22&amp;"|"&amp;H94,'_Развёртки'!$D$2:$D$1358,0)),0)*N(C22))+IF(B23="",0,IFERROR(INDEX('_Развёртки'!$C$2:$C$1358,MATCH(B23&amp;"|"&amp;H94,'_Развёртки'!$D$2:$D$1358,0)),0)*N(C23))+IF(B24="",0,IFERROR(INDEX('_Развёртки'!$C$2:$C$1358,MATCH(B24&amp;"|"&amp;H94,'_Развёртки'!$D$2:$D$1358,0)),0)*N(C24))+IF(B25="",0,IFERROR(INDEX('_Развёртки'!$C$2:$C$1358,MATCH(B25&amp;"|"&amp;H94,'_Развёртки'!$D$2:$D$1358,0)),0)*N(C25))+IF(B26="",0,IFERROR(INDEX('_Развёртки'!$C$2:$C$1358,MATCH(B26&amp;"|"&amp;H94,'_Развёртки'!$D$2:$D$1358,0)),0)*N(C26))+IF(B27="",0,IFERROR(INDEX('_Развёртки'!$C$2:$C$1358,MATCH(B27&amp;"|"&amp;H94,'_Развёртки'!$D$2:$D$1358,0)),0)*N(C27))</f>
        <v>0</v>
      </c>
      <c r="K94" s="198">
        <f>IFERROR(VLOOKUP(H94,'Сырьё'!$C$6:$E$233,3,FALSE()),IFERROR(VLOOKUP(H94,'Полупродукты'!$C$6:$E$60,3,FALSE()),0))</f>
        <v>2.1138</v>
      </c>
      <c r="L94" s="199">
        <f t="shared" si="4"/>
        <v>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1"/>
      <c r="C95" s="1"/>
      <c r="D95" s="1"/>
      <c r="E95" s="1"/>
      <c r="F95" s="1"/>
      <c r="G95" s="194">
        <v>81.0</v>
      </c>
      <c r="H95" s="195" t="s">
        <v>408</v>
      </c>
      <c r="I95" s="196" t="str">
        <f>IFERROR(VLOOKUP(H95,'Сырьё'!$C$6:$D$233,2,FALSE()),IFERROR(VLOOKUP(H95,'Полупродукты'!$C$6:$D$60,2,FALSE()),"кг"))</f>
        <v>кг</v>
      </c>
      <c r="J95" s="197">
        <f t="array" ref="J95">IF(B8="",0,IFERROR(INDEX('_Развёртки'!$C$2:$C$1358,MATCH(B8&amp;"|"&amp;H95,'_Развёртки'!$D$2:$D$1358,0)),0)*N(C8))+IF(B9="",0,IFERROR(INDEX('_Развёртки'!$C$2:$C$1358,MATCH(B9&amp;"|"&amp;H95,'_Развёртки'!$D$2:$D$1358,0)),0)*N(C9))+IF(B10="",0,IFERROR(INDEX('_Развёртки'!$C$2:$C$1358,MATCH(B10&amp;"|"&amp;H95,'_Развёртки'!$D$2:$D$1358,0)),0)*N(C10))+IF(B11="",0,IFERROR(INDEX('_Развёртки'!$C$2:$C$1358,MATCH(B11&amp;"|"&amp;H95,'_Развёртки'!$D$2:$D$1358,0)),0)*N(C11))+IF(B12="",0,IFERROR(INDEX('_Развёртки'!$C$2:$C$1358,MATCH(B12&amp;"|"&amp;H95,'_Развёртки'!$D$2:$D$1358,0)),0)*N(C12))+IF(B13="",0,IFERROR(INDEX('_Развёртки'!$C$2:$C$1358,MATCH(B13&amp;"|"&amp;H95,'_Развёртки'!$D$2:$D$1358,0)),0)*N(C13))+IF(B14="",0,IFERROR(INDEX('_Развёртки'!$C$2:$C$1358,MATCH(B14&amp;"|"&amp;H95,'_Развёртки'!$D$2:$D$1358,0)),0)*N(C14))+IF(B15="",0,IFERROR(INDEX('_Развёртки'!$C$2:$C$1358,MATCH(B15&amp;"|"&amp;H95,'_Развёртки'!$D$2:$D$1358,0)),0)*N(C15))+IF(B16="",0,IFERROR(INDEX('_Развёртки'!$C$2:$C$1358,MATCH(B16&amp;"|"&amp;H95,'_Развёртки'!$D$2:$D$1358,0)),0)*N(C16))+IF(B17="",0,IFERROR(INDEX('_Развёртки'!$C$2:$C$1358,MATCH(B17&amp;"|"&amp;H95,'_Развёртки'!$D$2:$D$1358,0)),0)*N(C17))+IF(B18="",0,IFERROR(INDEX('_Развёртки'!$C$2:$C$1358,MATCH(B18&amp;"|"&amp;H95,'_Развёртки'!$D$2:$D$1358,0)),0)*N(C18))+IF(B19="",0,IFERROR(INDEX('_Развёртки'!$C$2:$C$1358,MATCH(B19&amp;"|"&amp;H95,'_Развёртки'!$D$2:$D$1358,0)),0)*N(C19))+IF(B20="",0,IFERROR(INDEX('_Развёртки'!$C$2:$C$1358,MATCH(B20&amp;"|"&amp;H95,'_Развёртки'!$D$2:$D$1358,0)),0)*N(C20))+IF(B21="",0,IFERROR(INDEX('_Развёртки'!$C$2:$C$1358,MATCH(B21&amp;"|"&amp;H95,'_Развёртки'!$D$2:$D$1358,0)),0)*N(C21))+IF(B22="",0,IFERROR(INDEX('_Развёртки'!$C$2:$C$1358,MATCH(B22&amp;"|"&amp;H95,'_Развёртки'!$D$2:$D$1358,0)),0)*N(C22))+IF(B23="",0,IFERROR(INDEX('_Развёртки'!$C$2:$C$1358,MATCH(B23&amp;"|"&amp;H95,'_Развёртки'!$D$2:$D$1358,0)),0)*N(C23))+IF(B24="",0,IFERROR(INDEX('_Развёртки'!$C$2:$C$1358,MATCH(B24&amp;"|"&amp;H95,'_Развёртки'!$D$2:$D$1358,0)),0)*N(C24))+IF(B25="",0,IFERROR(INDEX('_Развёртки'!$C$2:$C$1358,MATCH(B25&amp;"|"&amp;H95,'_Развёртки'!$D$2:$D$1358,0)),0)*N(C25))+IF(B26="",0,IFERROR(INDEX('_Развёртки'!$C$2:$C$1358,MATCH(B26&amp;"|"&amp;H95,'_Развёртки'!$D$2:$D$1358,0)),0)*N(C26))+IF(B27="",0,IFERROR(INDEX('_Развёртки'!$C$2:$C$1358,MATCH(B27&amp;"|"&amp;H95,'_Развёртки'!$D$2:$D$1358,0)),0)*N(C27))</f>
        <v>0</v>
      </c>
      <c r="K95" s="198">
        <f>IFERROR(VLOOKUP(H95,'Сырьё'!$C$6:$E$233,3,FALSE()),IFERROR(VLOOKUP(H95,'Полупродукты'!$C$6:$E$60,3,FALSE()),0))</f>
        <v>4.6239</v>
      </c>
      <c r="L95" s="199">
        <f t="shared" si="4"/>
        <v>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1"/>
      <c r="C96" s="1"/>
      <c r="D96" s="1"/>
      <c r="E96" s="1"/>
      <c r="F96" s="1"/>
      <c r="G96" s="194">
        <v>82.0</v>
      </c>
      <c r="H96" s="195" t="s">
        <v>409</v>
      </c>
      <c r="I96" s="196" t="str">
        <f>IFERROR(VLOOKUP(H96,'Сырьё'!$C$6:$D$233,2,FALSE()),IFERROR(VLOOKUP(H96,'Полупродукты'!$C$6:$D$60,2,FALSE()),"кг"))</f>
        <v>шт</v>
      </c>
      <c r="J96" s="197">
        <f t="array" ref="J96">IF(B8="",0,IFERROR(INDEX('_Развёртки'!$C$2:$C$1358,MATCH(B8&amp;"|"&amp;H96,'_Развёртки'!$D$2:$D$1358,0)),0)*N(C8))+IF(B9="",0,IFERROR(INDEX('_Развёртки'!$C$2:$C$1358,MATCH(B9&amp;"|"&amp;H96,'_Развёртки'!$D$2:$D$1358,0)),0)*N(C9))+IF(B10="",0,IFERROR(INDEX('_Развёртки'!$C$2:$C$1358,MATCH(B10&amp;"|"&amp;H96,'_Развёртки'!$D$2:$D$1358,0)),0)*N(C10))+IF(B11="",0,IFERROR(INDEX('_Развёртки'!$C$2:$C$1358,MATCH(B11&amp;"|"&amp;H96,'_Развёртки'!$D$2:$D$1358,0)),0)*N(C11))+IF(B12="",0,IFERROR(INDEX('_Развёртки'!$C$2:$C$1358,MATCH(B12&amp;"|"&amp;H96,'_Развёртки'!$D$2:$D$1358,0)),0)*N(C12))+IF(B13="",0,IFERROR(INDEX('_Развёртки'!$C$2:$C$1358,MATCH(B13&amp;"|"&amp;H96,'_Развёртки'!$D$2:$D$1358,0)),0)*N(C13))+IF(B14="",0,IFERROR(INDEX('_Развёртки'!$C$2:$C$1358,MATCH(B14&amp;"|"&amp;H96,'_Развёртки'!$D$2:$D$1358,0)),0)*N(C14))+IF(B15="",0,IFERROR(INDEX('_Развёртки'!$C$2:$C$1358,MATCH(B15&amp;"|"&amp;H96,'_Развёртки'!$D$2:$D$1358,0)),0)*N(C15))+IF(B16="",0,IFERROR(INDEX('_Развёртки'!$C$2:$C$1358,MATCH(B16&amp;"|"&amp;H96,'_Развёртки'!$D$2:$D$1358,0)),0)*N(C16))+IF(B17="",0,IFERROR(INDEX('_Развёртки'!$C$2:$C$1358,MATCH(B17&amp;"|"&amp;H96,'_Развёртки'!$D$2:$D$1358,0)),0)*N(C17))+IF(B18="",0,IFERROR(INDEX('_Развёртки'!$C$2:$C$1358,MATCH(B18&amp;"|"&amp;H96,'_Развёртки'!$D$2:$D$1358,0)),0)*N(C18))+IF(B19="",0,IFERROR(INDEX('_Развёртки'!$C$2:$C$1358,MATCH(B19&amp;"|"&amp;H96,'_Развёртки'!$D$2:$D$1358,0)),0)*N(C19))+IF(B20="",0,IFERROR(INDEX('_Развёртки'!$C$2:$C$1358,MATCH(B20&amp;"|"&amp;H96,'_Развёртки'!$D$2:$D$1358,0)),0)*N(C20))+IF(B21="",0,IFERROR(INDEX('_Развёртки'!$C$2:$C$1358,MATCH(B21&amp;"|"&amp;H96,'_Развёртки'!$D$2:$D$1358,0)),0)*N(C21))+IF(B22="",0,IFERROR(INDEX('_Развёртки'!$C$2:$C$1358,MATCH(B22&amp;"|"&amp;H96,'_Развёртки'!$D$2:$D$1358,0)),0)*N(C22))+IF(B23="",0,IFERROR(INDEX('_Развёртки'!$C$2:$C$1358,MATCH(B23&amp;"|"&amp;H96,'_Развёртки'!$D$2:$D$1358,0)),0)*N(C23))+IF(B24="",0,IFERROR(INDEX('_Развёртки'!$C$2:$C$1358,MATCH(B24&amp;"|"&amp;H96,'_Развёртки'!$D$2:$D$1358,0)),0)*N(C24))+IF(B25="",0,IFERROR(INDEX('_Развёртки'!$C$2:$C$1358,MATCH(B25&amp;"|"&amp;H96,'_Развёртки'!$D$2:$D$1358,0)),0)*N(C25))+IF(B26="",0,IFERROR(INDEX('_Развёртки'!$C$2:$C$1358,MATCH(B26&amp;"|"&amp;H96,'_Развёртки'!$D$2:$D$1358,0)),0)*N(C26))+IF(B27="",0,IFERROR(INDEX('_Развёртки'!$C$2:$C$1358,MATCH(B27&amp;"|"&amp;H96,'_Развёртки'!$D$2:$D$1358,0)),0)*N(C27))</f>
        <v>0</v>
      </c>
      <c r="K96" s="198">
        <f>IFERROR(VLOOKUP(H96,'Сырьё'!$C$6:$E$233,3,FALSE()),IFERROR(VLOOKUP(H96,'Полупродукты'!$C$6:$E$60,3,FALSE()),0))</f>
        <v>3.6534</v>
      </c>
      <c r="L96" s="199">
        <f t="shared" si="4"/>
        <v>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1"/>
      <c r="C97" s="1"/>
      <c r="D97" s="1"/>
      <c r="E97" s="1"/>
      <c r="F97" s="1"/>
      <c r="G97" s="194">
        <v>83.0</v>
      </c>
      <c r="H97" s="195" t="s">
        <v>410</v>
      </c>
      <c r="I97" s="196" t="str">
        <f>IFERROR(VLOOKUP(H97,'Сырьё'!$C$6:$D$233,2,FALSE()),IFERROR(VLOOKUP(H97,'Полупродукты'!$C$6:$D$60,2,FALSE()),"кг"))</f>
        <v>шт</v>
      </c>
      <c r="J97" s="197">
        <f t="array" ref="J97">IF(B8="",0,IFERROR(INDEX('_Развёртки'!$C$2:$C$1358,MATCH(B8&amp;"|"&amp;H97,'_Развёртки'!$D$2:$D$1358,0)),0)*N(C8))+IF(B9="",0,IFERROR(INDEX('_Развёртки'!$C$2:$C$1358,MATCH(B9&amp;"|"&amp;H97,'_Развёртки'!$D$2:$D$1358,0)),0)*N(C9))+IF(B10="",0,IFERROR(INDEX('_Развёртки'!$C$2:$C$1358,MATCH(B10&amp;"|"&amp;H97,'_Развёртки'!$D$2:$D$1358,0)),0)*N(C10))+IF(B11="",0,IFERROR(INDEX('_Развёртки'!$C$2:$C$1358,MATCH(B11&amp;"|"&amp;H97,'_Развёртки'!$D$2:$D$1358,0)),0)*N(C11))+IF(B12="",0,IFERROR(INDEX('_Развёртки'!$C$2:$C$1358,MATCH(B12&amp;"|"&amp;H97,'_Развёртки'!$D$2:$D$1358,0)),0)*N(C12))+IF(B13="",0,IFERROR(INDEX('_Развёртки'!$C$2:$C$1358,MATCH(B13&amp;"|"&amp;H97,'_Развёртки'!$D$2:$D$1358,0)),0)*N(C13))+IF(B14="",0,IFERROR(INDEX('_Развёртки'!$C$2:$C$1358,MATCH(B14&amp;"|"&amp;H97,'_Развёртки'!$D$2:$D$1358,0)),0)*N(C14))+IF(B15="",0,IFERROR(INDEX('_Развёртки'!$C$2:$C$1358,MATCH(B15&amp;"|"&amp;H97,'_Развёртки'!$D$2:$D$1358,0)),0)*N(C15))+IF(B16="",0,IFERROR(INDEX('_Развёртки'!$C$2:$C$1358,MATCH(B16&amp;"|"&amp;H97,'_Развёртки'!$D$2:$D$1358,0)),0)*N(C16))+IF(B17="",0,IFERROR(INDEX('_Развёртки'!$C$2:$C$1358,MATCH(B17&amp;"|"&amp;H97,'_Развёртки'!$D$2:$D$1358,0)),0)*N(C17))+IF(B18="",0,IFERROR(INDEX('_Развёртки'!$C$2:$C$1358,MATCH(B18&amp;"|"&amp;H97,'_Развёртки'!$D$2:$D$1358,0)),0)*N(C18))+IF(B19="",0,IFERROR(INDEX('_Развёртки'!$C$2:$C$1358,MATCH(B19&amp;"|"&amp;H97,'_Развёртки'!$D$2:$D$1358,0)),0)*N(C19))+IF(B20="",0,IFERROR(INDEX('_Развёртки'!$C$2:$C$1358,MATCH(B20&amp;"|"&amp;H97,'_Развёртки'!$D$2:$D$1358,0)),0)*N(C20))+IF(B21="",0,IFERROR(INDEX('_Развёртки'!$C$2:$C$1358,MATCH(B21&amp;"|"&amp;H97,'_Развёртки'!$D$2:$D$1358,0)),0)*N(C21))+IF(B22="",0,IFERROR(INDEX('_Развёртки'!$C$2:$C$1358,MATCH(B22&amp;"|"&amp;H97,'_Развёртки'!$D$2:$D$1358,0)),0)*N(C22))+IF(B23="",0,IFERROR(INDEX('_Развёртки'!$C$2:$C$1358,MATCH(B23&amp;"|"&amp;H97,'_Развёртки'!$D$2:$D$1358,0)),0)*N(C23))+IF(B24="",0,IFERROR(INDEX('_Развёртки'!$C$2:$C$1358,MATCH(B24&amp;"|"&amp;H97,'_Развёртки'!$D$2:$D$1358,0)),0)*N(C24))+IF(B25="",0,IFERROR(INDEX('_Развёртки'!$C$2:$C$1358,MATCH(B25&amp;"|"&amp;H97,'_Развёртки'!$D$2:$D$1358,0)),0)*N(C25))+IF(B26="",0,IFERROR(INDEX('_Развёртки'!$C$2:$C$1358,MATCH(B26&amp;"|"&amp;H97,'_Развёртки'!$D$2:$D$1358,0)),0)*N(C26))+IF(B27="",0,IFERROR(INDEX('_Развёртки'!$C$2:$C$1358,MATCH(B27&amp;"|"&amp;H97,'_Развёртки'!$D$2:$D$1358,0)),0)*N(C27))</f>
        <v>0</v>
      </c>
      <c r="K97" s="198">
        <f>IFERROR(VLOOKUP(H97,'Сырьё'!$C$6:$E$233,3,FALSE()),IFERROR(VLOOKUP(H97,'Полупродукты'!$C$6:$E$60,3,FALSE()),0))</f>
        <v>3.6604</v>
      </c>
      <c r="L97" s="199">
        <f t="shared" si="4"/>
        <v>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1"/>
      <c r="C98" s="1"/>
      <c r="D98" s="1"/>
      <c r="E98" s="1"/>
      <c r="F98" s="1"/>
      <c r="G98" s="194">
        <v>84.0</v>
      </c>
      <c r="H98" s="195" t="s">
        <v>411</v>
      </c>
      <c r="I98" s="196" t="str">
        <f>IFERROR(VLOOKUP(H98,'Сырьё'!$C$6:$D$233,2,FALSE()),IFERROR(VLOOKUP(H98,'Полупродукты'!$C$6:$D$60,2,FALSE()),"кг"))</f>
        <v>кг</v>
      </c>
      <c r="J98" s="197">
        <f t="array" ref="J98">IF(B8="",0,IFERROR(INDEX('_Развёртки'!$C$2:$C$1358,MATCH(B8&amp;"|"&amp;H98,'_Развёртки'!$D$2:$D$1358,0)),0)*N(C8))+IF(B9="",0,IFERROR(INDEX('_Развёртки'!$C$2:$C$1358,MATCH(B9&amp;"|"&amp;H98,'_Развёртки'!$D$2:$D$1358,0)),0)*N(C9))+IF(B10="",0,IFERROR(INDEX('_Развёртки'!$C$2:$C$1358,MATCH(B10&amp;"|"&amp;H98,'_Развёртки'!$D$2:$D$1358,0)),0)*N(C10))+IF(B11="",0,IFERROR(INDEX('_Развёртки'!$C$2:$C$1358,MATCH(B11&amp;"|"&amp;H98,'_Развёртки'!$D$2:$D$1358,0)),0)*N(C11))+IF(B12="",0,IFERROR(INDEX('_Развёртки'!$C$2:$C$1358,MATCH(B12&amp;"|"&amp;H98,'_Развёртки'!$D$2:$D$1358,0)),0)*N(C12))+IF(B13="",0,IFERROR(INDEX('_Развёртки'!$C$2:$C$1358,MATCH(B13&amp;"|"&amp;H98,'_Развёртки'!$D$2:$D$1358,0)),0)*N(C13))+IF(B14="",0,IFERROR(INDEX('_Развёртки'!$C$2:$C$1358,MATCH(B14&amp;"|"&amp;H98,'_Развёртки'!$D$2:$D$1358,0)),0)*N(C14))+IF(B15="",0,IFERROR(INDEX('_Развёртки'!$C$2:$C$1358,MATCH(B15&amp;"|"&amp;H98,'_Развёртки'!$D$2:$D$1358,0)),0)*N(C15))+IF(B16="",0,IFERROR(INDEX('_Развёртки'!$C$2:$C$1358,MATCH(B16&amp;"|"&amp;H98,'_Развёртки'!$D$2:$D$1358,0)),0)*N(C16))+IF(B17="",0,IFERROR(INDEX('_Развёртки'!$C$2:$C$1358,MATCH(B17&amp;"|"&amp;H98,'_Развёртки'!$D$2:$D$1358,0)),0)*N(C17))+IF(B18="",0,IFERROR(INDEX('_Развёртки'!$C$2:$C$1358,MATCH(B18&amp;"|"&amp;H98,'_Развёртки'!$D$2:$D$1358,0)),0)*N(C18))+IF(B19="",0,IFERROR(INDEX('_Развёртки'!$C$2:$C$1358,MATCH(B19&amp;"|"&amp;H98,'_Развёртки'!$D$2:$D$1358,0)),0)*N(C19))+IF(B20="",0,IFERROR(INDEX('_Развёртки'!$C$2:$C$1358,MATCH(B20&amp;"|"&amp;H98,'_Развёртки'!$D$2:$D$1358,0)),0)*N(C20))+IF(B21="",0,IFERROR(INDEX('_Развёртки'!$C$2:$C$1358,MATCH(B21&amp;"|"&amp;H98,'_Развёртки'!$D$2:$D$1358,0)),0)*N(C21))+IF(B22="",0,IFERROR(INDEX('_Развёртки'!$C$2:$C$1358,MATCH(B22&amp;"|"&amp;H98,'_Развёртки'!$D$2:$D$1358,0)),0)*N(C22))+IF(B23="",0,IFERROR(INDEX('_Развёртки'!$C$2:$C$1358,MATCH(B23&amp;"|"&amp;H98,'_Развёртки'!$D$2:$D$1358,0)),0)*N(C23))+IF(B24="",0,IFERROR(INDEX('_Развёртки'!$C$2:$C$1358,MATCH(B24&amp;"|"&amp;H98,'_Развёртки'!$D$2:$D$1358,0)),0)*N(C24))+IF(B25="",0,IFERROR(INDEX('_Развёртки'!$C$2:$C$1358,MATCH(B25&amp;"|"&amp;H98,'_Развёртки'!$D$2:$D$1358,0)),0)*N(C25))+IF(B26="",0,IFERROR(INDEX('_Развёртки'!$C$2:$C$1358,MATCH(B26&amp;"|"&amp;H98,'_Развёртки'!$D$2:$D$1358,0)),0)*N(C26))+IF(B27="",0,IFERROR(INDEX('_Развёртки'!$C$2:$C$1358,MATCH(B27&amp;"|"&amp;H98,'_Развёртки'!$D$2:$D$1358,0)),0)*N(C27))</f>
        <v>0</v>
      </c>
      <c r="K98" s="198">
        <f>IFERROR(VLOOKUP(H98,'Сырьё'!$C$6:$E$233,3,FALSE()),IFERROR(VLOOKUP(H98,'Полупродукты'!$C$6:$E$60,3,FALSE()),0))</f>
        <v>7.1373</v>
      </c>
      <c r="L98" s="199">
        <f t="shared" si="4"/>
        <v>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1"/>
      <c r="C99" s="1"/>
      <c r="D99" s="1"/>
      <c r="E99" s="1"/>
      <c r="F99" s="1"/>
      <c r="G99" s="194">
        <v>85.0</v>
      </c>
      <c r="H99" s="195" t="s">
        <v>412</v>
      </c>
      <c r="I99" s="196" t="str">
        <f>IFERROR(VLOOKUP(H99,'Сырьё'!$C$6:$D$233,2,FALSE()),IFERROR(VLOOKUP(H99,'Полупродукты'!$C$6:$D$60,2,FALSE()),"кг"))</f>
        <v>кг</v>
      </c>
      <c r="J99" s="197">
        <f t="array" ref="J99">IF(B8="",0,IFERROR(INDEX('_Развёртки'!$C$2:$C$1358,MATCH(B8&amp;"|"&amp;H99,'_Развёртки'!$D$2:$D$1358,0)),0)*N(C8))+IF(B9="",0,IFERROR(INDEX('_Развёртки'!$C$2:$C$1358,MATCH(B9&amp;"|"&amp;H99,'_Развёртки'!$D$2:$D$1358,0)),0)*N(C9))+IF(B10="",0,IFERROR(INDEX('_Развёртки'!$C$2:$C$1358,MATCH(B10&amp;"|"&amp;H99,'_Развёртки'!$D$2:$D$1358,0)),0)*N(C10))+IF(B11="",0,IFERROR(INDEX('_Развёртки'!$C$2:$C$1358,MATCH(B11&amp;"|"&amp;H99,'_Развёртки'!$D$2:$D$1358,0)),0)*N(C11))+IF(B12="",0,IFERROR(INDEX('_Развёртки'!$C$2:$C$1358,MATCH(B12&amp;"|"&amp;H99,'_Развёртки'!$D$2:$D$1358,0)),0)*N(C12))+IF(B13="",0,IFERROR(INDEX('_Развёртки'!$C$2:$C$1358,MATCH(B13&amp;"|"&amp;H99,'_Развёртки'!$D$2:$D$1358,0)),0)*N(C13))+IF(B14="",0,IFERROR(INDEX('_Развёртки'!$C$2:$C$1358,MATCH(B14&amp;"|"&amp;H99,'_Развёртки'!$D$2:$D$1358,0)),0)*N(C14))+IF(B15="",0,IFERROR(INDEX('_Развёртки'!$C$2:$C$1358,MATCH(B15&amp;"|"&amp;H99,'_Развёртки'!$D$2:$D$1358,0)),0)*N(C15))+IF(B16="",0,IFERROR(INDEX('_Развёртки'!$C$2:$C$1358,MATCH(B16&amp;"|"&amp;H99,'_Развёртки'!$D$2:$D$1358,0)),0)*N(C16))+IF(B17="",0,IFERROR(INDEX('_Развёртки'!$C$2:$C$1358,MATCH(B17&amp;"|"&amp;H99,'_Развёртки'!$D$2:$D$1358,0)),0)*N(C17))+IF(B18="",0,IFERROR(INDEX('_Развёртки'!$C$2:$C$1358,MATCH(B18&amp;"|"&amp;H99,'_Развёртки'!$D$2:$D$1358,0)),0)*N(C18))+IF(B19="",0,IFERROR(INDEX('_Развёртки'!$C$2:$C$1358,MATCH(B19&amp;"|"&amp;H99,'_Развёртки'!$D$2:$D$1358,0)),0)*N(C19))+IF(B20="",0,IFERROR(INDEX('_Развёртки'!$C$2:$C$1358,MATCH(B20&amp;"|"&amp;H99,'_Развёртки'!$D$2:$D$1358,0)),0)*N(C20))+IF(B21="",0,IFERROR(INDEX('_Развёртки'!$C$2:$C$1358,MATCH(B21&amp;"|"&amp;H99,'_Развёртки'!$D$2:$D$1358,0)),0)*N(C21))+IF(B22="",0,IFERROR(INDEX('_Развёртки'!$C$2:$C$1358,MATCH(B22&amp;"|"&amp;H99,'_Развёртки'!$D$2:$D$1358,0)),0)*N(C22))+IF(B23="",0,IFERROR(INDEX('_Развёртки'!$C$2:$C$1358,MATCH(B23&amp;"|"&amp;H99,'_Развёртки'!$D$2:$D$1358,0)),0)*N(C23))+IF(B24="",0,IFERROR(INDEX('_Развёртки'!$C$2:$C$1358,MATCH(B24&amp;"|"&amp;H99,'_Развёртки'!$D$2:$D$1358,0)),0)*N(C24))+IF(B25="",0,IFERROR(INDEX('_Развёртки'!$C$2:$C$1358,MATCH(B25&amp;"|"&amp;H99,'_Развёртки'!$D$2:$D$1358,0)),0)*N(C25))+IF(B26="",0,IFERROR(INDEX('_Развёртки'!$C$2:$C$1358,MATCH(B26&amp;"|"&amp;H99,'_Развёртки'!$D$2:$D$1358,0)),0)*N(C26))+IF(B27="",0,IFERROR(INDEX('_Развёртки'!$C$2:$C$1358,MATCH(B27&amp;"|"&amp;H99,'_Развёртки'!$D$2:$D$1358,0)),0)*N(C27))</f>
        <v>0</v>
      </c>
      <c r="K99" s="198">
        <f>IFERROR(VLOOKUP(H99,'Сырьё'!$C$6:$E$233,3,FALSE()),IFERROR(VLOOKUP(H99,'Полупродукты'!$C$6:$E$60,3,FALSE()),0))</f>
        <v>4.3775</v>
      </c>
      <c r="L99" s="199">
        <f t="shared" si="4"/>
        <v>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1"/>
      <c r="C100" s="1"/>
      <c r="D100" s="1"/>
      <c r="E100" s="1"/>
      <c r="F100" s="1"/>
      <c r="G100" s="194">
        <v>86.0</v>
      </c>
      <c r="H100" s="195" t="s">
        <v>413</v>
      </c>
      <c r="I100" s="196" t="str">
        <f>IFERROR(VLOOKUP(H100,'Сырьё'!$C$6:$D$233,2,FALSE()),IFERROR(VLOOKUP(H100,'Полупродукты'!$C$6:$D$60,2,FALSE()),"кг"))</f>
        <v>кг</v>
      </c>
      <c r="J100" s="197">
        <f t="array" ref="J100">IF(B8="",0,IFERROR(INDEX('_Развёртки'!$C$2:$C$1358,MATCH(B8&amp;"|"&amp;H100,'_Развёртки'!$D$2:$D$1358,0)),0)*N(C8))+IF(B9="",0,IFERROR(INDEX('_Развёртки'!$C$2:$C$1358,MATCH(B9&amp;"|"&amp;H100,'_Развёртки'!$D$2:$D$1358,0)),0)*N(C9))+IF(B10="",0,IFERROR(INDEX('_Развёртки'!$C$2:$C$1358,MATCH(B10&amp;"|"&amp;H100,'_Развёртки'!$D$2:$D$1358,0)),0)*N(C10))+IF(B11="",0,IFERROR(INDEX('_Развёртки'!$C$2:$C$1358,MATCH(B11&amp;"|"&amp;H100,'_Развёртки'!$D$2:$D$1358,0)),0)*N(C11))+IF(B12="",0,IFERROR(INDEX('_Развёртки'!$C$2:$C$1358,MATCH(B12&amp;"|"&amp;H100,'_Развёртки'!$D$2:$D$1358,0)),0)*N(C12))+IF(B13="",0,IFERROR(INDEX('_Развёртки'!$C$2:$C$1358,MATCH(B13&amp;"|"&amp;H100,'_Развёртки'!$D$2:$D$1358,0)),0)*N(C13))+IF(B14="",0,IFERROR(INDEX('_Развёртки'!$C$2:$C$1358,MATCH(B14&amp;"|"&amp;H100,'_Развёртки'!$D$2:$D$1358,0)),0)*N(C14))+IF(B15="",0,IFERROR(INDEX('_Развёртки'!$C$2:$C$1358,MATCH(B15&amp;"|"&amp;H100,'_Развёртки'!$D$2:$D$1358,0)),0)*N(C15))+IF(B16="",0,IFERROR(INDEX('_Развёртки'!$C$2:$C$1358,MATCH(B16&amp;"|"&amp;H100,'_Развёртки'!$D$2:$D$1358,0)),0)*N(C16))+IF(B17="",0,IFERROR(INDEX('_Развёртки'!$C$2:$C$1358,MATCH(B17&amp;"|"&amp;H100,'_Развёртки'!$D$2:$D$1358,0)),0)*N(C17))+IF(B18="",0,IFERROR(INDEX('_Развёртки'!$C$2:$C$1358,MATCH(B18&amp;"|"&amp;H100,'_Развёртки'!$D$2:$D$1358,0)),0)*N(C18))+IF(B19="",0,IFERROR(INDEX('_Развёртки'!$C$2:$C$1358,MATCH(B19&amp;"|"&amp;H100,'_Развёртки'!$D$2:$D$1358,0)),0)*N(C19))+IF(B20="",0,IFERROR(INDEX('_Развёртки'!$C$2:$C$1358,MATCH(B20&amp;"|"&amp;H100,'_Развёртки'!$D$2:$D$1358,0)),0)*N(C20))+IF(B21="",0,IFERROR(INDEX('_Развёртки'!$C$2:$C$1358,MATCH(B21&amp;"|"&amp;H100,'_Развёртки'!$D$2:$D$1358,0)),0)*N(C21))+IF(B22="",0,IFERROR(INDEX('_Развёртки'!$C$2:$C$1358,MATCH(B22&amp;"|"&amp;H100,'_Развёртки'!$D$2:$D$1358,0)),0)*N(C22))+IF(B23="",0,IFERROR(INDEX('_Развёртки'!$C$2:$C$1358,MATCH(B23&amp;"|"&amp;H100,'_Развёртки'!$D$2:$D$1358,0)),0)*N(C23))+IF(B24="",0,IFERROR(INDEX('_Развёртки'!$C$2:$C$1358,MATCH(B24&amp;"|"&amp;H100,'_Развёртки'!$D$2:$D$1358,0)),0)*N(C24))+IF(B25="",0,IFERROR(INDEX('_Развёртки'!$C$2:$C$1358,MATCH(B25&amp;"|"&amp;H100,'_Развёртки'!$D$2:$D$1358,0)),0)*N(C25))+IF(B26="",0,IFERROR(INDEX('_Развёртки'!$C$2:$C$1358,MATCH(B26&amp;"|"&amp;H100,'_Развёртки'!$D$2:$D$1358,0)),0)*N(C26))+IF(B27="",0,IFERROR(INDEX('_Развёртки'!$C$2:$C$1358,MATCH(B27&amp;"|"&amp;H100,'_Развёртки'!$D$2:$D$1358,0)),0)*N(C27))</f>
        <v>0</v>
      </c>
      <c r="K100" s="198">
        <f>IFERROR(VLOOKUP(H100,'Сырьё'!$C$6:$E$233,3,FALSE()),IFERROR(VLOOKUP(H100,'Полупродукты'!$C$6:$E$60,3,FALSE()),0))</f>
        <v>7.0583</v>
      </c>
      <c r="L100" s="199">
        <f t="shared" si="4"/>
        <v>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1"/>
      <c r="C101" s="1"/>
      <c r="D101" s="1"/>
      <c r="E101" s="1"/>
      <c r="F101" s="1"/>
      <c r="G101" s="194">
        <v>87.0</v>
      </c>
      <c r="H101" s="195" t="s">
        <v>414</v>
      </c>
      <c r="I101" s="196" t="str">
        <f>IFERROR(VLOOKUP(H101,'Сырьё'!$C$6:$D$233,2,FALSE()),IFERROR(VLOOKUP(H101,'Полупродукты'!$C$6:$D$60,2,FALSE()),"кг"))</f>
        <v>кг</v>
      </c>
      <c r="J101" s="197">
        <f t="array" ref="J101">IF(B8="",0,IFERROR(INDEX('_Развёртки'!$C$2:$C$1358,MATCH(B8&amp;"|"&amp;H101,'_Развёртки'!$D$2:$D$1358,0)),0)*N(C8))+IF(B9="",0,IFERROR(INDEX('_Развёртки'!$C$2:$C$1358,MATCH(B9&amp;"|"&amp;H101,'_Развёртки'!$D$2:$D$1358,0)),0)*N(C9))+IF(B10="",0,IFERROR(INDEX('_Развёртки'!$C$2:$C$1358,MATCH(B10&amp;"|"&amp;H101,'_Развёртки'!$D$2:$D$1358,0)),0)*N(C10))+IF(B11="",0,IFERROR(INDEX('_Развёртки'!$C$2:$C$1358,MATCH(B11&amp;"|"&amp;H101,'_Развёртки'!$D$2:$D$1358,0)),0)*N(C11))+IF(B12="",0,IFERROR(INDEX('_Развёртки'!$C$2:$C$1358,MATCH(B12&amp;"|"&amp;H101,'_Развёртки'!$D$2:$D$1358,0)),0)*N(C12))+IF(B13="",0,IFERROR(INDEX('_Развёртки'!$C$2:$C$1358,MATCH(B13&amp;"|"&amp;H101,'_Развёртки'!$D$2:$D$1358,0)),0)*N(C13))+IF(B14="",0,IFERROR(INDEX('_Развёртки'!$C$2:$C$1358,MATCH(B14&amp;"|"&amp;H101,'_Развёртки'!$D$2:$D$1358,0)),0)*N(C14))+IF(B15="",0,IFERROR(INDEX('_Развёртки'!$C$2:$C$1358,MATCH(B15&amp;"|"&amp;H101,'_Развёртки'!$D$2:$D$1358,0)),0)*N(C15))+IF(B16="",0,IFERROR(INDEX('_Развёртки'!$C$2:$C$1358,MATCH(B16&amp;"|"&amp;H101,'_Развёртки'!$D$2:$D$1358,0)),0)*N(C16))+IF(B17="",0,IFERROR(INDEX('_Развёртки'!$C$2:$C$1358,MATCH(B17&amp;"|"&amp;H101,'_Развёртки'!$D$2:$D$1358,0)),0)*N(C17))+IF(B18="",0,IFERROR(INDEX('_Развёртки'!$C$2:$C$1358,MATCH(B18&amp;"|"&amp;H101,'_Развёртки'!$D$2:$D$1358,0)),0)*N(C18))+IF(B19="",0,IFERROR(INDEX('_Развёртки'!$C$2:$C$1358,MATCH(B19&amp;"|"&amp;H101,'_Развёртки'!$D$2:$D$1358,0)),0)*N(C19))+IF(B20="",0,IFERROR(INDEX('_Развёртки'!$C$2:$C$1358,MATCH(B20&amp;"|"&amp;H101,'_Развёртки'!$D$2:$D$1358,0)),0)*N(C20))+IF(B21="",0,IFERROR(INDEX('_Развёртки'!$C$2:$C$1358,MATCH(B21&amp;"|"&amp;H101,'_Развёртки'!$D$2:$D$1358,0)),0)*N(C21))+IF(B22="",0,IFERROR(INDEX('_Развёртки'!$C$2:$C$1358,MATCH(B22&amp;"|"&amp;H101,'_Развёртки'!$D$2:$D$1358,0)),0)*N(C22))+IF(B23="",0,IFERROR(INDEX('_Развёртки'!$C$2:$C$1358,MATCH(B23&amp;"|"&amp;H101,'_Развёртки'!$D$2:$D$1358,0)),0)*N(C23))+IF(B24="",0,IFERROR(INDEX('_Развёртки'!$C$2:$C$1358,MATCH(B24&amp;"|"&amp;H101,'_Развёртки'!$D$2:$D$1358,0)),0)*N(C24))+IF(B25="",0,IFERROR(INDEX('_Развёртки'!$C$2:$C$1358,MATCH(B25&amp;"|"&amp;H101,'_Развёртки'!$D$2:$D$1358,0)),0)*N(C25))+IF(B26="",0,IFERROR(INDEX('_Развёртки'!$C$2:$C$1358,MATCH(B26&amp;"|"&amp;H101,'_Развёртки'!$D$2:$D$1358,0)),0)*N(C26))+IF(B27="",0,IFERROR(INDEX('_Развёртки'!$C$2:$C$1358,MATCH(B27&amp;"|"&amp;H101,'_Развёртки'!$D$2:$D$1358,0)),0)*N(C27))</f>
        <v>0</v>
      </c>
      <c r="K101" s="198">
        <f>IFERROR(VLOOKUP(H101,'Сырьё'!$C$6:$E$233,3,FALSE()),IFERROR(VLOOKUP(H101,'Полупродукты'!$C$6:$E$60,3,FALSE()),0))</f>
        <v>6.3954</v>
      </c>
      <c r="L101" s="199">
        <f t="shared" si="4"/>
        <v>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1"/>
      <c r="C102" s="1"/>
      <c r="D102" s="1"/>
      <c r="E102" s="1"/>
      <c r="F102" s="1"/>
      <c r="G102" s="194">
        <v>88.0</v>
      </c>
      <c r="H102" s="195" t="s">
        <v>415</v>
      </c>
      <c r="I102" s="196" t="str">
        <f>IFERROR(VLOOKUP(H102,'Сырьё'!$C$6:$D$233,2,FALSE()),IFERROR(VLOOKUP(H102,'Полупродукты'!$C$6:$D$60,2,FALSE()),"кг"))</f>
        <v>кг</v>
      </c>
      <c r="J102" s="197">
        <f t="array" ref="J102">IF(B8="",0,IFERROR(INDEX('_Развёртки'!$C$2:$C$1358,MATCH(B8&amp;"|"&amp;H102,'_Развёртки'!$D$2:$D$1358,0)),0)*N(C8))+IF(B9="",0,IFERROR(INDEX('_Развёртки'!$C$2:$C$1358,MATCH(B9&amp;"|"&amp;H102,'_Развёртки'!$D$2:$D$1358,0)),0)*N(C9))+IF(B10="",0,IFERROR(INDEX('_Развёртки'!$C$2:$C$1358,MATCH(B10&amp;"|"&amp;H102,'_Развёртки'!$D$2:$D$1358,0)),0)*N(C10))+IF(B11="",0,IFERROR(INDEX('_Развёртки'!$C$2:$C$1358,MATCH(B11&amp;"|"&amp;H102,'_Развёртки'!$D$2:$D$1358,0)),0)*N(C11))+IF(B12="",0,IFERROR(INDEX('_Развёртки'!$C$2:$C$1358,MATCH(B12&amp;"|"&amp;H102,'_Развёртки'!$D$2:$D$1358,0)),0)*N(C12))+IF(B13="",0,IFERROR(INDEX('_Развёртки'!$C$2:$C$1358,MATCH(B13&amp;"|"&amp;H102,'_Развёртки'!$D$2:$D$1358,0)),0)*N(C13))+IF(B14="",0,IFERROR(INDEX('_Развёртки'!$C$2:$C$1358,MATCH(B14&amp;"|"&amp;H102,'_Развёртки'!$D$2:$D$1358,0)),0)*N(C14))+IF(B15="",0,IFERROR(INDEX('_Развёртки'!$C$2:$C$1358,MATCH(B15&amp;"|"&amp;H102,'_Развёртки'!$D$2:$D$1358,0)),0)*N(C15))+IF(B16="",0,IFERROR(INDEX('_Развёртки'!$C$2:$C$1358,MATCH(B16&amp;"|"&amp;H102,'_Развёртки'!$D$2:$D$1358,0)),0)*N(C16))+IF(B17="",0,IFERROR(INDEX('_Развёртки'!$C$2:$C$1358,MATCH(B17&amp;"|"&amp;H102,'_Развёртки'!$D$2:$D$1358,0)),0)*N(C17))+IF(B18="",0,IFERROR(INDEX('_Развёртки'!$C$2:$C$1358,MATCH(B18&amp;"|"&amp;H102,'_Развёртки'!$D$2:$D$1358,0)),0)*N(C18))+IF(B19="",0,IFERROR(INDEX('_Развёртки'!$C$2:$C$1358,MATCH(B19&amp;"|"&amp;H102,'_Развёртки'!$D$2:$D$1358,0)),0)*N(C19))+IF(B20="",0,IFERROR(INDEX('_Развёртки'!$C$2:$C$1358,MATCH(B20&amp;"|"&amp;H102,'_Развёртки'!$D$2:$D$1358,0)),0)*N(C20))+IF(B21="",0,IFERROR(INDEX('_Развёртки'!$C$2:$C$1358,MATCH(B21&amp;"|"&amp;H102,'_Развёртки'!$D$2:$D$1358,0)),0)*N(C21))+IF(B22="",0,IFERROR(INDEX('_Развёртки'!$C$2:$C$1358,MATCH(B22&amp;"|"&amp;H102,'_Развёртки'!$D$2:$D$1358,0)),0)*N(C22))+IF(B23="",0,IFERROR(INDEX('_Развёртки'!$C$2:$C$1358,MATCH(B23&amp;"|"&amp;H102,'_Развёртки'!$D$2:$D$1358,0)),0)*N(C23))+IF(B24="",0,IFERROR(INDEX('_Развёртки'!$C$2:$C$1358,MATCH(B24&amp;"|"&amp;H102,'_Развёртки'!$D$2:$D$1358,0)),0)*N(C24))+IF(B25="",0,IFERROR(INDEX('_Развёртки'!$C$2:$C$1358,MATCH(B25&amp;"|"&amp;H102,'_Развёртки'!$D$2:$D$1358,0)),0)*N(C25))+IF(B26="",0,IFERROR(INDEX('_Развёртки'!$C$2:$C$1358,MATCH(B26&amp;"|"&amp;H102,'_Развёртки'!$D$2:$D$1358,0)),0)*N(C26))+IF(B27="",0,IFERROR(INDEX('_Развёртки'!$C$2:$C$1358,MATCH(B27&amp;"|"&amp;H102,'_Развёртки'!$D$2:$D$1358,0)),0)*N(C27))</f>
        <v>0</v>
      </c>
      <c r="K102" s="198">
        <f>IFERROR(VLOOKUP(H102,'Сырьё'!$C$6:$E$233,3,FALSE()),IFERROR(VLOOKUP(H102,'Полупродукты'!$C$6:$E$60,3,FALSE()),0))</f>
        <v>3.799</v>
      </c>
      <c r="L102" s="199">
        <f t="shared" si="4"/>
        <v>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1"/>
      <c r="C103" s="1"/>
      <c r="D103" s="1"/>
      <c r="E103" s="1"/>
      <c r="F103" s="1"/>
      <c r="G103" s="194">
        <v>89.0</v>
      </c>
      <c r="H103" s="195" t="s">
        <v>416</v>
      </c>
      <c r="I103" s="196" t="str">
        <f>IFERROR(VLOOKUP(H103,'Сырьё'!$C$6:$D$233,2,FALSE()),IFERROR(VLOOKUP(H103,'Полупродукты'!$C$6:$D$60,2,FALSE()),"кг"))</f>
        <v>кг</v>
      </c>
      <c r="J103" s="197">
        <f t="array" ref="J103">IF(B8="",0,IFERROR(INDEX('_Развёртки'!$C$2:$C$1358,MATCH(B8&amp;"|"&amp;H103,'_Развёртки'!$D$2:$D$1358,0)),0)*N(C8))+IF(B9="",0,IFERROR(INDEX('_Развёртки'!$C$2:$C$1358,MATCH(B9&amp;"|"&amp;H103,'_Развёртки'!$D$2:$D$1358,0)),0)*N(C9))+IF(B10="",0,IFERROR(INDEX('_Развёртки'!$C$2:$C$1358,MATCH(B10&amp;"|"&amp;H103,'_Развёртки'!$D$2:$D$1358,0)),0)*N(C10))+IF(B11="",0,IFERROR(INDEX('_Развёртки'!$C$2:$C$1358,MATCH(B11&amp;"|"&amp;H103,'_Развёртки'!$D$2:$D$1358,0)),0)*N(C11))+IF(B12="",0,IFERROR(INDEX('_Развёртки'!$C$2:$C$1358,MATCH(B12&amp;"|"&amp;H103,'_Развёртки'!$D$2:$D$1358,0)),0)*N(C12))+IF(B13="",0,IFERROR(INDEX('_Развёртки'!$C$2:$C$1358,MATCH(B13&amp;"|"&amp;H103,'_Развёртки'!$D$2:$D$1358,0)),0)*N(C13))+IF(B14="",0,IFERROR(INDEX('_Развёртки'!$C$2:$C$1358,MATCH(B14&amp;"|"&amp;H103,'_Развёртки'!$D$2:$D$1358,0)),0)*N(C14))+IF(B15="",0,IFERROR(INDEX('_Развёртки'!$C$2:$C$1358,MATCH(B15&amp;"|"&amp;H103,'_Развёртки'!$D$2:$D$1358,0)),0)*N(C15))+IF(B16="",0,IFERROR(INDEX('_Развёртки'!$C$2:$C$1358,MATCH(B16&amp;"|"&amp;H103,'_Развёртки'!$D$2:$D$1358,0)),0)*N(C16))+IF(B17="",0,IFERROR(INDEX('_Развёртки'!$C$2:$C$1358,MATCH(B17&amp;"|"&amp;H103,'_Развёртки'!$D$2:$D$1358,0)),0)*N(C17))+IF(B18="",0,IFERROR(INDEX('_Развёртки'!$C$2:$C$1358,MATCH(B18&amp;"|"&amp;H103,'_Развёртки'!$D$2:$D$1358,0)),0)*N(C18))+IF(B19="",0,IFERROR(INDEX('_Развёртки'!$C$2:$C$1358,MATCH(B19&amp;"|"&amp;H103,'_Развёртки'!$D$2:$D$1358,0)),0)*N(C19))+IF(B20="",0,IFERROR(INDEX('_Развёртки'!$C$2:$C$1358,MATCH(B20&amp;"|"&amp;H103,'_Развёртки'!$D$2:$D$1358,0)),0)*N(C20))+IF(B21="",0,IFERROR(INDEX('_Развёртки'!$C$2:$C$1358,MATCH(B21&amp;"|"&amp;H103,'_Развёртки'!$D$2:$D$1358,0)),0)*N(C21))+IF(B22="",0,IFERROR(INDEX('_Развёртки'!$C$2:$C$1358,MATCH(B22&amp;"|"&amp;H103,'_Развёртки'!$D$2:$D$1358,0)),0)*N(C22))+IF(B23="",0,IFERROR(INDEX('_Развёртки'!$C$2:$C$1358,MATCH(B23&amp;"|"&amp;H103,'_Развёртки'!$D$2:$D$1358,0)),0)*N(C23))+IF(B24="",0,IFERROR(INDEX('_Развёртки'!$C$2:$C$1358,MATCH(B24&amp;"|"&amp;H103,'_Развёртки'!$D$2:$D$1358,0)),0)*N(C24))+IF(B25="",0,IFERROR(INDEX('_Развёртки'!$C$2:$C$1358,MATCH(B25&amp;"|"&amp;H103,'_Развёртки'!$D$2:$D$1358,0)),0)*N(C25))+IF(B26="",0,IFERROR(INDEX('_Развёртки'!$C$2:$C$1358,MATCH(B26&amp;"|"&amp;H103,'_Развёртки'!$D$2:$D$1358,0)),0)*N(C26))+IF(B27="",0,IFERROR(INDEX('_Развёртки'!$C$2:$C$1358,MATCH(B27&amp;"|"&amp;H103,'_Развёртки'!$D$2:$D$1358,0)),0)*N(C27))</f>
        <v>0</v>
      </c>
      <c r="K103" s="198">
        <f>IFERROR(VLOOKUP(H103,'Сырьё'!$C$6:$E$233,3,FALSE()),IFERROR(VLOOKUP(H103,'Полупродукты'!$C$6:$E$60,3,FALSE()),0))</f>
        <v>4.2457</v>
      </c>
      <c r="L103" s="199">
        <f t="shared" si="4"/>
        <v>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1"/>
      <c r="C104" s="1"/>
      <c r="D104" s="1"/>
      <c r="E104" s="1"/>
      <c r="F104" s="1"/>
      <c r="G104" s="194">
        <v>90.0</v>
      </c>
      <c r="H104" s="195" t="s">
        <v>417</v>
      </c>
      <c r="I104" s="196" t="str">
        <f>IFERROR(VLOOKUP(H104,'Сырьё'!$C$6:$D$233,2,FALSE()),IFERROR(VLOOKUP(H104,'Полупродукты'!$C$6:$D$60,2,FALSE()),"кг"))</f>
        <v>кг</v>
      </c>
      <c r="J104" s="197">
        <f t="array" ref="J104">IF(B8="",0,IFERROR(INDEX('_Развёртки'!$C$2:$C$1358,MATCH(B8&amp;"|"&amp;H104,'_Развёртки'!$D$2:$D$1358,0)),0)*N(C8))+IF(B9="",0,IFERROR(INDEX('_Развёртки'!$C$2:$C$1358,MATCH(B9&amp;"|"&amp;H104,'_Развёртки'!$D$2:$D$1358,0)),0)*N(C9))+IF(B10="",0,IFERROR(INDEX('_Развёртки'!$C$2:$C$1358,MATCH(B10&amp;"|"&amp;H104,'_Развёртки'!$D$2:$D$1358,0)),0)*N(C10))+IF(B11="",0,IFERROR(INDEX('_Развёртки'!$C$2:$C$1358,MATCH(B11&amp;"|"&amp;H104,'_Развёртки'!$D$2:$D$1358,0)),0)*N(C11))+IF(B12="",0,IFERROR(INDEX('_Развёртки'!$C$2:$C$1358,MATCH(B12&amp;"|"&amp;H104,'_Развёртки'!$D$2:$D$1358,0)),0)*N(C12))+IF(B13="",0,IFERROR(INDEX('_Развёртки'!$C$2:$C$1358,MATCH(B13&amp;"|"&amp;H104,'_Развёртки'!$D$2:$D$1358,0)),0)*N(C13))+IF(B14="",0,IFERROR(INDEX('_Развёртки'!$C$2:$C$1358,MATCH(B14&amp;"|"&amp;H104,'_Развёртки'!$D$2:$D$1358,0)),0)*N(C14))+IF(B15="",0,IFERROR(INDEX('_Развёртки'!$C$2:$C$1358,MATCH(B15&amp;"|"&amp;H104,'_Развёртки'!$D$2:$D$1358,0)),0)*N(C15))+IF(B16="",0,IFERROR(INDEX('_Развёртки'!$C$2:$C$1358,MATCH(B16&amp;"|"&amp;H104,'_Развёртки'!$D$2:$D$1358,0)),0)*N(C16))+IF(B17="",0,IFERROR(INDEX('_Развёртки'!$C$2:$C$1358,MATCH(B17&amp;"|"&amp;H104,'_Развёртки'!$D$2:$D$1358,0)),0)*N(C17))+IF(B18="",0,IFERROR(INDEX('_Развёртки'!$C$2:$C$1358,MATCH(B18&amp;"|"&amp;H104,'_Развёртки'!$D$2:$D$1358,0)),0)*N(C18))+IF(B19="",0,IFERROR(INDEX('_Развёртки'!$C$2:$C$1358,MATCH(B19&amp;"|"&amp;H104,'_Развёртки'!$D$2:$D$1358,0)),0)*N(C19))+IF(B20="",0,IFERROR(INDEX('_Развёртки'!$C$2:$C$1358,MATCH(B20&amp;"|"&amp;H104,'_Развёртки'!$D$2:$D$1358,0)),0)*N(C20))+IF(B21="",0,IFERROR(INDEX('_Развёртки'!$C$2:$C$1358,MATCH(B21&amp;"|"&amp;H104,'_Развёртки'!$D$2:$D$1358,0)),0)*N(C21))+IF(B22="",0,IFERROR(INDEX('_Развёртки'!$C$2:$C$1358,MATCH(B22&amp;"|"&amp;H104,'_Развёртки'!$D$2:$D$1358,0)),0)*N(C22))+IF(B23="",0,IFERROR(INDEX('_Развёртки'!$C$2:$C$1358,MATCH(B23&amp;"|"&amp;H104,'_Развёртки'!$D$2:$D$1358,0)),0)*N(C23))+IF(B24="",0,IFERROR(INDEX('_Развёртки'!$C$2:$C$1358,MATCH(B24&amp;"|"&amp;H104,'_Развёртки'!$D$2:$D$1358,0)),0)*N(C24))+IF(B25="",0,IFERROR(INDEX('_Развёртки'!$C$2:$C$1358,MATCH(B25&amp;"|"&amp;H104,'_Развёртки'!$D$2:$D$1358,0)),0)*N(C25))+IF(B26="",0,IFERROR(INDEX('_Развёртки'!$C$2:$C$1358,MATCH(B26&amp;"|"&amp;H104,'_Развёртки'!$D$2:$D$1358,0)),0)*N(C26))+IF(B27="",0,IFERROR(INDEX('_Развёртки'!$C$2:$C$1358,MATCH(B27&amp;"|"&amp;H104,'_Развёртки'!$D$2:$D$1358,0)),0)*N(C27))</f>
        <v>0</v>
      </c>
      <c r="K104" s="198">
        <f>IFERROR(VLOOKUP(H104,'Сырьё'!$C$6:$E$233,3,FALSE()),IFERROR(VLOOKUP(H104,'Полупродукты'!$C$6:$E$60,3,FALSE()),0))</f>
        <v>0</v>
      </c>
      <c r="L104" s="199">
        <f t="shared" si="4"/>
        <v>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1"/>
      <c r="C105" s="1"/>
      <c r="D105" s="1"/>
      <c r="E105" s="1"/>
      <c r="F105" s="1"/>
      <c r="G105" s="194">
        <v>91.0</v>
      </c>
      <c r="H105" s="195" t="s">
        <v>418</v>
      </c>
      <c r="I105" s="196" t="str">
        <f>IFERROR(VLOOKUP(H105,'Сырьё'!$C$6:$D$233,2,FALSE()),IFERROR(VLOOKUP(H105,'Полупродукты'!$C$6:$D$60,2,FALSE()),"кг"))</f>
        <v>кг</v>
      </c>
      <c r="J105" s="197">
        <f t="array" ref="J105">IF(B8="",0,IFERROR(INDEX('_Развёртки'!$C$2:$C$1358,MATCH(B8&amp;"|"&amp;H105,'_Развёртки'!$D$2:$D$1358,0)),0)*N(C8))+IF(B9="",0,IFERROR(INDEX('_Развёртки'!$C$2:$C$1358,MATCH(B9&amp;"|"&amp;H105,'_Развёртки'!$D$2:$D$1358,0)),0)*N(C9))+IF(B10="",0,IFERROR(INDEX('_Развёртки'!$C$2:$C$1358,MATCH(B10&amp;"|"&amp;H105,'_Развёртки'!$D$2:$D$1358,0)),0)*N(C10))+IF(B11="",0,IFERROR(INDEX('_Развёртки'!$C$2:$C$1358,MATCH(B11&amp;"|"&amp;H105,'_Развёртки'!$D$2:$D$1358,0)),0)*N(C11))+IF(B12="",0,IFERROR(INDEX('_Развёртки'!$C$2:$C$1358,MATCH(B12&amp;"|"&amp;H105,'_Развёртки'!$D$2:$D$1358,0)),0)*N(C12))+IF(B13="",0,IFERROR(INDEX('_Развёртки'!$C$2:$C$1358,MATCH(B13&amp;"|"&amp;H105,'_Развёртки'!$D$2:$D$1358,0)),0)*N(C13))+IF(B14="",0,IFERROR(INDEX('_Развёртки'!$C$2:$C$1358,MATCH(B14&amp;"|"&amp;H105,'_Развёртки'!$D$2:$D$1358,0)),0)*N(C14))+IF(B15="",0,IFERROR(INDEX('_Развёртки'!$C$2:$C$1358,MATCH(B15&amp;"|"&amp;H105,'_Развёртки'!$D$2:$D$1358,0)),0)*N(C15))+IF(B16="",0,IFERROR(INDEX('_Развёртки'!$C$2:$C$1358,MATCH(B16&amp;"|"&amp;H105,'_Развёртки'!$D$2:$D$1358,0)),0)*N(C16))+IF(B17="",0,IFERROR(INDEX('_Развёртки'!$C$2:$C$1358,MATCH(B17&amp;"|"&amp;H105,'_Развёртки'!$D$2:$D$1358,0)),0)*N(C17))+IF(B18="",0,IFERROR(INDEX('_Развёртки'!$C$2:$C$1358,MATCH(B18&amp;"|"&amp;H105,'_Развёртки'!$D$2:$D$1358,0)),0)*N(C18))+IF(B19="",0,IFERROR(INDEX('_Развёртки'!$C$2:$C$1358,MATCH(B19&amp;"|"&amp;H105,'_Развёртки'!$D$2:$D$1358,0)),0)*N(C19))+IF(B20="",0,IFERROR(INDEX('_Развёртки'!$C$2:$C$1358,MATCH(B20&amp;"|"&amp;H105,'_Развёртки'!$D$2:$D$1358,0)),0)*N(C20))+IF(B21="",0,IFERROR(INDEX('_Развёртки'!$C$2:$C$1358,MATCH(B21&amp;"|"&amp;H105,'_Развёртки'!$D$2:$D$1358,0)),0)*N(C21))+IF(B22="",0,IFERROR(INDEX('_Развёртки'!$C$2:$C$1358,MATCH(B22&amp;"|"&amp;H105,'_Развёртки'!$D$2:$D$1358,0)),0)*N(C22))+IF(B23="",0,IFERROR(INDEX('_Развёртки'!$C$2:$C$1358,MATCH(B23&amp;"|"&amp;H105,'_Развёртки'!$D$2:$D$1358,0)),0)*N(C23))+IF(B24="",0,IFERROR(INDEX('_Развёртки'!$C$2:$C$1358,MATCH(B24&amp;"|"&amp;H105,'_Развёртки'!$D$2:$D$1358,0)),0)*N(C24))+IF(B25="",0,IFERROR(INDEX('_Развёртки'!$C$2:$C$1358,MATCH(B25&amp;"|"&amp;H105,'_Развёртки'!$D$2:$D$1358,0)),0)*N(C25))+IF(B26="",0,IFERROR(INDEX('_Развёртки'!$C$2:$C$1358,MATCH(B26&amp;"|"&amp;H105,'_Развёртки'!$D$2:$D$1358,0)),0)*N(C26))+IF(B27="",0,IFERROR(INDEX('_Развёртки'!$C$2:$C$1358,MATCH(B27&amp;"|"&amp;H105,'_Развёртки'!$D$2:$D$1358,0)),0)*N(C27))</f>
        <v>0</v>
      </c>
      <c r="K105" s="198">
        <f>IFERROR(VLOOKUP(H105,'Сырьё'!$C$6:$E$233,3,FALSE()),IFERROR(VLOOKUP(H105,'Полупродукты'!$C$6:$E$60,3,FALSE()),0))</f>
        <v>0</v>
      </c>
      <c r="L105" s="199">
        <f t="shared" si="4"/>
        <v>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1"/>
      <c r="C106" s="1"/>
      <c r="D106" s="1"/>
      <c r="E106" s="1"/>
      <c r="F106" s="1"/>
      <c r="G106" s="194">
        <v>92.0</v>
      </c>
      <c r="H106" s="195" t="s">
        <v>419</v>
      </c>
      <c r="I106" s="196" t="str">
        <f>IFERROR(VLOOKUP(H106,'Сырьё'!$C$6:$D$233,2,FALSE()),IFERROR(VLOOKUP(H106,'Полупродукты'!$C$6:$D$60,2,FALSE()),"кг"))</f>
        <v>кг</v>
      </c>
      <c r="J106" s="197">
        <f t="array" ref="J106">IF(B8="",0,IFERROR(INDEX('_Развёртки'!$C$2:$C$1358,MATCH(B8&amp;"|"&amp;H106,'_Развёртки'!$D$2:$D$1358,0)),0)*N(C8))+IF(B9="",0,IFERROR(INDEX('_Развёртки'!$C$2:$C$1358,MATCH(B9&amp;"|"&amp;H106,'_Развёртки'!$D$2:$D$1358,0)),0)*N(C9))+IF(B10="",0,IFERROR(INDEX('_Развёртки'!$C$2:$C$1358,MATCH(B10&amp;"|"&amp;H106,'_Развёртки'!$D$2:$D$1358,0)),0)*N(C10))+IF(B11="",0,IFERROR(INDEX('_Развёртки'!$C$2:$C$1358,MATCH(B11&amp;"|"&amp;H106,'_Развёртки'!$D$2:$D$1358,0)),0)*N(C11))+IF(B12="",0,IFERROR(INDEX('_Развёртки'!$C$2:$C$1358,MATCH(B12&amp;"|"&amp;H106,'_Развёртки'!$D$2:$D$1358,0)),0)*N(C12))+IF(B13="",0,IFERROR(INDEX('_Развёртки'!$C$2:$C$1358,MATCH(B13&amp;"|"&amp;H106,'_Развёртки'!$D$2:$D$1358,0)),0)*N(C13))+IF(B14="",0,IFERROR(INDEX('_Развёртки'!$C$2:$C$1358,MATCH(B14&amp;"|"&amp;H106,'_Развёртки'!$D$2:$D$1358,0)),0)*N(C14))+IF(B15="",0,IFERROR(INDEX('_Развёртки'!$C$2:$C$1358,MATCH(B15&amp;"|"&amp;H106,'_Развёртки'!$D$2:$D$1358,0)),0)*N(C15))+IF(B16="",0,IFERROR(INDEX('_Развёртки'!$C$2:$C$1358,MATCH(B16&amp;"|"&amp;H106,'_Развёртки'!$D$2:$D$1358,0)),0)*N(C16))+IF(B17="",0,IFERROR(INDEX('_Развёртки'!$C$2:$C$1358,MATCH(B17&amp;"|"&amp;H106,'_Развёртки'!$D$2:$D$1358,0)),0)*N(C17))+IF(B18="",0,IFERROR(INDEX('_Развёртки'!$C$2:$C$1358,MATCH(B18&amp;"|"&amp;H106,'_Развёртки'!$D$2:$D$1358,0)),0)*N(C18))+IF(B19="",0,IFERROR(INDEX('_Развёртки'!$C$2:$C$1358,MATCH(B19&amp;"|"&amp;H106,'_Развёртки'!$D$2:$D$1358,0)),0)*N(C19))+IF(B20="",0,IFERROR(INDEX('_Развёртки'!$C$2:$C$1358,MATCH(B20&amp;"|"&amp;H106,'_Развёртки'!$D$2:$D$1358,0)),0)*N(C20))+IF(B21="",0,IFERROR(INDEX('_Развёртки'!$C$2:$C$1358,MATCH(B21&amp;"|"&amp;H106,'_Развёртки'!$D$2:$D$1358,0)),0)*N(C21))+IF(B22="",0,IFERROR(INDEX('_Развёртки'!$C$2:$C$1358,MATCH(B22&amp;"|"&amp;H106,'_Развёртки'!$D$2:$D$1358,0)),0)*N(C22))+IF(B23="",0,IFERROR(INDEX('_Развёртки'!$C$2:$C$1358,MATCH(B23&amp;"|"&amp;H106,'_Развёртки'!$D$2:$D$1358,0)),0)*N(C23))+IF(B24="",0,IFERROR(INDEX('_Развёртки'!$C$2:$C$1358,MATCH(B24&amp;"|"&amp;H106,'_Развёртки'!$D$2:$D$1358,0)),0)*N(C24))+IF(B25="",0,IFERROR(INDEX('_Развёртки'!$C$2:$C$1358,MATCH(B25&amp;"|"&amp;H106,'_Развёртки'!$D$2:$D$1358,0)),0)*N(C25))+IF(B26="",0,IFERROR(INDEX('_Развёртки'!$C$2:$C$1358,MATCH(B26&amp;"|"&amp;H106,'_Развёртки'!$D$2:$D$1358,0)),0)*N(C26))+IF(B27="",0,IFERROR(INDEX('_Развёртки'!$C$2:$C$1358,MATCH(B27&amp;"|"&amp;H106,'_Развёртки'!$D$2:$D$1358,0)),0)*N(C27))</f>
        <v>0</v>
      </c>
      <c r="K106" s="198">
        <f>IFERROR(VLOOKUP(H106,'Сырьё'!$C$6:$E$233,3,FALSE()),IFERROR(VLOOKUP(H106,'Полупродукты'!$C$6:$E$60,3,FALSE()),0))</f>
        <v>2.8226</v>
      </c>
      <c r="L106" s="199">
        <f t="shared" si="4"/>
        <v>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1"/>
      <c r="C107" s="1"/>
      <c r="D107" s="1"/>
      <c r="E107" s="1"/>
      <c r="F107" s="1"/>
      <c r="G107" s="194">
        <v>93.0</v>
      </c>
      <c r="H107" s="195" t="s">
        <v>420</v>
      </c>
      <c r="I107" s="196" t="str">
        <f>IFERROR(VLOOKUP(H107,'Сырьё'!$C$6:$D$233,2,FALSE()),IFERROR(VLOOKUP(H107,'Полупродукты'!$C$6:$D$60,2,FALSE()),"кг"))</f>
        <v>кг</v>
      </c>
      <c r="J107" s="197">
        <f t="array" ref="J107">IF(B8="",0,IFERROR(INDEX('_Развёртки'!$C$2:$C$1358,MATCH(B8&amp;"|"&amp;H107,'_Развёртки'!$D$2:$D$1358,0)),0)*N(C8))+IF(B9="",0,IFERROR(INDEX('_Развёртки'!$C$2:$C$1358,MATCH(B9&amp;"|"&amp;H107,'_Развёртки'!$D$2:$D$1358,0)),0)*N(C9))+IF(B10="",0,IFERROR(INDEX('_Развёртки'!$C$2:$C$1358,MATCH(B10&amp;"|"&amp;H107,'_Развёртки'!$D$2:$D$1358,0)),0)*N(C10))+IF(B11="",0,IFERROR(INDEX('_Развёртки'!$C$2:$C$1358,MATCH(B11&amp;"|"&amp;H107,'_Развёртки'!$D$2:$D$1358,0)),0)*N(C11))+IF(B12="",0,IFERROR(INDEX('_Развёртки'!$C$2:$C$1358,MATCH(B12&amp;"|"&amp;H107,'_Развёртки'!$D$2:$D$1358,0)),0)*N(C12))+IF(B13="",0,IFERROR(INDEX('_Развёртки'!$C$2:$C$1358,MATCH(B13&amp;"|"&amp;H107,'_Развёртки'!$D$2:$D$1358,0)),0)*N(C13))+IF(B14="",0,IFERROR(INDEX('_Развёртки'!$C$2:$C$1358,MATCH(B14&amp;"|"&amp;H107,'_Развёртки'!$D$2:$D$1358,0)),0)*N(C14))+IF(B15="",0,IFERROR(INDEX('_Развёртки'!$C$2:$C$1358,MATCH(B15&amp;"|"&amp;H107,'_Развёртки'!$D$2:$D$1358,0)),0)*N(C15))+IF(B16="",0,IFERROR(INDEX('_Развёртки'!$C$2:$C$1358,MATCH(B16&amp;"|"&amp;H107,'_Развёртки'!$D$2:$D$1358,0)),0)*N(C16))+IF(B17="",0,IFERROR(INDEX('_Развёртки'!$C$2:$C$1358,MATCH(B17&amp;"|"&amp;H107,'_Развёртки'!$D$2:$D$1358,0)),0)*N(C17))+IF(B18="",0,IFERROR(INDEX('_Развёртки'!$C$2:$C$1358,MATCH(B18&amp;"|"&amp;H107,'_Развёртки'!$D$2:$D$1358,0)),0)*N(C18))+IF(B19="",0,IFERROR(INDEX('_Развёртки'!$C$2:$C$1358,MATCH(B19&amp;"|"&amp;H107,'_Развёртки'!$D$2:$D$1358,0)),0)*N(C19))+IF(B20="",0,IFERROR(INDEX('_Развёртки'!$C$2:$C$1358,MATCH(B20&amp;"|"&amp;H107,'_Развёртки'!$D$2:$D$1358,0)),0)*N(C20))+IF(B21="",0,IFERROR(INDEX('_Развёртки'!$C$2:$C$1358,MATCH(B21&amp;"|"&amp;H107,'_Развёртки'!$D$2:$D$1358,0)),0)*N(C21))+IF(B22="",0,IFERROR(INDEX('_Развёртки'!$C$2:$C$1358,MATCH(B22&amp;"|"&amp;H107,'_Развёртки'!$D$2:$D$1358,0)),0)*N(C22))+IF(B23="",0,IFERROR(INDEX('_Развёртки'!$C$2:$C$1358,MATCH(B23&amp;"|"&amp;H107,'_Развёртки'!$D$2:$D$1358,0)),0)*N(C23))+IF(B24="",0,IFERROR(INDEX('_Развёртки'!$C$2:$C$1358,MATCH(B24&amp;"|"&amp;H107,'_Развёртки'!$D$2:$D$1358,0)),0)*N(C24))+IF(B25="",0,IFERROR(INDEX('_Развёртки'!$C$2:$C$1358,MATCH(B25&amp;"|"&amp;H107,'_Развёртки'!$D$2:$D$1358,0)),0)*N(C25))+IF(B26="",0,IFERROR(INDEX('_Развёртки'!$C$2:$C$1358,MATCH(B26&amp;"|"&amp;H107,'_Развёртки'!$D$2:$D$1358,0)),0)*N(C26))+IF(B27="",0,IFERROR(INDEX('_Развёртки'!$C$2:$C$1358,MATCH(B27&amp;"|"&amp;H107,'_Развёртки'!$D$2:$D$1358,0)),0)*N(C27))</f>
        <v>0</v>
      </c>
      <c r="K107" s="198">
        <f>IFERROR(VLOOKUP(H107,'Сырьё'!$C$6:$E$233,3,FALSE()),IFERROR(VLOOKUP(H107,'Полупродукты'!$C$6:$E$60,3,FALSE()),0))</f>
        <v>2.4576</v>
      </c>
      <c r="L107" s="199">
        <f t="shared" si="4"/>
        <v>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1"/>
      <c r="C108" s="1"/>
      <c r="D108" s="1"/>
      <c r="E108" s="1"/>
      <c r="F108" s="1"/>
      <c r="G108" s="194">
        <v>94.0</v>
      </c>
      <c r="H108" s="195" t="s">
        <v>421</v>
      </c>
      <c r="I108" s="196" t="str">
        <f>IFERROR(VLOOKUP(H108,'Сырьё'!$C$6:$D$233,2,FALSE()),IFERROR(VLOOKUP(H108,'Полупродукты'!$C$6:$D$60,2,FALSE()),"кг"))</f>
        <v>кг</v>
      </c>
      <c r="J108" s="197">
        <f t="array" ref="J108">IF(B8="",0,IFERROR(INDEX('_Развёртки'!$C$2:$C$1358,MATCH(B8&amp;"|"&amp;H108,'_Развёртки'!$D$2:$D$1358,0)),0)*N(C8))+IF(B9="",0,IFERROR(INDEX('_Развёртки'!$C$2:$C$1358,MATCH(B9&amp;"|"&amp;H108,'_Развёртки'!$D$2:$D$1358,0)),0)*N(C9))+IF(B10="",0,IFERROR(INDEX('_Развёртки'!$C$2:$C$1358,MATCH(B10&amp;"|"&amp;H108,'_Развёртки'!$D$2:$D$1358,0)),0)*N(C10))+IF(B11="",0,IFERROR(INDEX('_Развёртки'!$C$2:$C$1358,MATCH(B11&amp;"|"&amp;H108,'_Развёртки'!$D$2:$D$1358,0)),0)*N(C11))+IF(B12="",0,IFERROR(INDEX('_Развёртки'!$C$2:$C$1358,MATCH(B12&amp;"|"&amp;H108,'_Развёртки'!$D$2:$D$1358,0)),0)*N(C12))+IF(B13="",0,IFERROR(INDEX('_Развёртки'!$C$2:$C$1358,MATCH(B13&amp;"|"&amp;H108,'_Развёртки'!$D$2:$D$1358,0)),0)*N(C13))+IF(B14="",0,IFERROR(INDEX('_Развёртки'!$C$2:$C$1358,MATCH(B14&amp;"|"&amp;H108,'_Развёртки'!$D$2:$D$1358,0)),0)*N(C14))+IF(B15="",0,IFERROR(INDEX('_Развёртки'!$C$2:$C$1358,MATCH(B15&amp;"|"&amp;H108,'_Развёртки'!$D$2:$D$1358,0)),0)*N(C15))+IF(B16="",0,IFERROR(INDEX('_Развёртки'!$C$2:$C$1358,MATCH(B16&amp;"|"&amp;H108,'_Развёртки'!$D$2:$D$1358,0)),0)*N(C16))+IF(B17="",0,IFERROR(INDEX('_Развёртки'!$C$2:$C$1358,MATCH(B17&amp;"|"&amp;H108,'_Развёртки'!$D$2:$D$1358,0)),0)*N(C17))+IF(B18="",0,IFERROR(INDEX('_Развёртки'!$C$2:$C$1358,MATCH(B18&amp;"|"&amp;H108,'_Развёртки'!$D$2:$D$1358,0)),0)*N(C18))+IF(B19="",0,IFERROR(INDEX('_Развёртки'!$C$2:$C$1358,MATCH(B19&amp;"|"&amp;H108,'_Развёртки'!$D$2:$D$1358,0)),0)*N(C19))+IF(B20="",0,IFERROR(INDEX('_Развёртки'!$C$2:$C$1358,MATCH(B20&amp;"|"&amp;H108,'_Развёртки'!$D$2:$D$1358,0)),0)*N(C20))+IF(B21="",0,IFERROR(INDEX('_Развёртки'!$C$2:$C$1358,MATCH(B21&amp;"|"&amp;H108,'_Развёртки'!$D$2:$D$1358,0)),0)*N(C21))+IF(B22="",0,IFERROR(INDEX('_Развёртки'!$C$2:$C$1358,MATCH(B22&amp;"|"&amp;H108,'_Развёртки'!$D$2:$D$1358,0)),0)*N(C22))+IF(B23="",0,IFERROR(INDEX('_Развёртки'!$C$2:$C$1358,MATCH(B23&amp;"|"&amp;H108,'_Развёртки'!$D$2:$D$1358,0)),0)*N(C23))+IF(B24="",0,IFERROR(INDEX('_Развёртки'!$C$2:$C$1358,MATCH(B24&amp;"|"&amp;H108,'_Развёртки'!$D$2:$D$1358,0)),0)*N(C24))+IF(B25="",0,IFERROR(INDEX('_Развёртки'!$C$2:$C$1358,MATCH(B25&amp;"|"&amp;H108,'_Развёртки'!$D$2:$D$1358,0)),0)*N(C25))+IF(B26="",0,IFERROR(INDEX('_Развёртки'!$C$2:$C$1358,MATCH(B26&amp;"|"&amp;H108,'_Развёртки'!$D$2:$D$1358,0)),0)*N(C26))+IF(B27="",0,IFERROR(INDEX('_Развёртки'!$C$2:$C$1358,MATCH(B27&amp;"|"&amp;H108,'_Развёртки'!$D$2:$D$1358,0)),0)*N(C27))</f>
        <v>0</v>
      </c>
      <c r="K108" s="198">
        <f>IFERROR(VLOOKUP(H108,'Сырьё'!$C$6:$E$233,3,FALSE()),IFERROR(VLOOKUP(H108,'Полупродукты'!$C$6:$E$60,3,FALSE()),0))</f>
        <v>2.9515</v>
      </c>
      <c r="L108" s="199">
        <f t="shared" si="4"/>
        <v>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1"/>
      <c r="C109" s="1"/>
      <c r="D109" s="1"/>
      <c r="E109" s="1"/>
      <c r="F109" s="1"/>
      <c r="G109" s="194">
        <v>95.0</v>
      </c>
      <c r="H109" s="195" t="s">
        <v>422</v>
      </c>
      <c r="I109" s="196" t="str">
        <f>IFERROR(VLOOKUP(H109,'Сырьё'!$C$6:$D$233,2,FALSE()),IFERROR(VLOOKUP(H109,'Полупродукты'!$C$6:$D$60,2,FALSE()),"кг"))</f>
        <v>кг</v>
      </c>
      <c r="J109" s="197">
        <f t="array" ref="J109">IF(B8="",0,IFERROR(INDEX('_Развёртки'!$C$2:$C$1358,MATCH(B8&amp;"|"&amp;H109,'_Развёртки'!$D$2:$D$1358,0)),0)*N(C8))+IF(B9="",0,IFERROR(INDEX('_Развёртки'!$C$2:$C$1358,MATCH(B9&amp;"|"&amp;H109,'_Развёртки'!$D$2:$D$1358,0)),0)*N(C9))+IF(B10="",0,IFERROR(INDEX('_Развёртки'!$C$2:$C$1358,MATCH(B10&amp;"|"&amp;H109,'_Развёртки'!$D$2:$D$1358,0)),0)*N(C10))+IF(B11="",0,IFERROR(INDEX('_Развёртки'!$C$2:$C$1358,MATCH(B11&amp;"|"&amp;H109,'_Развёртки'!$D$2:$D$1358,0)),0)*N(C11))+IF(B12="",0,IFERROR(INDEX('_Развёртки'!$C$2:$C$1358,MATCH(B12&amp;"|"&amp;H109,'_Развёртки'!$D$2:$D$1358,0)),0)*N(C12))+IF(B13="",0,IFERROR(INDEX('_Развёртки'!$C$2:$C$1358,MATCH(B13&amp;"|"&amp;H109,'_Развёртки'!$D$2:$D$1358,0)),0)*N(C13))+IF(B14="",0,IFERROR(INDEX('_Развёртки'!$C$2:$C$1358,MATCH(B14&amp;"|"&amp;H109,'_Развёртки'!$D$2:$D$1358,0)),0)*N(C14))+IF(B15="",0,IFERROR(INDEX('_Развёртки'!$C$2:$C$1358,MATCH(B15&amp;"|"&amp;H109,'_Развёртки'!$D$2:$D$1358,0)),0)*N(C15))+IF(B16="",0,IFERROR(INDEX('_Развёртки'!$C$2:$C$1358,MATCH(B16&amp;"|"&amp;H109,'_Развёртки'!$D$2:$D$1358,0)),0)*N(C16))+IF(B17="",0,IFERROR(INDEX('_Развёртки'!$C$2:$C$1358,MATCH(B17&amp;"|"&amp;H109,'_Развёртки'!$D$2:$D$1358,0)),0)*N(C17))+IF(B18="",0,IFERROR(INDEX('_Развёртки'!$C$2:$C$1358,MATCH(B18&amp;"|"&amp;H109,'_Развёртки'!$D$2:$D$1358,0)),0)*N(C18))+IF(B19="",0,IFERROR(INDEX('_Развёртки'!$C$2:$C$1358,MATCH(B19&amp;"|"&amp;H109,'_Развёртки'!$D$2:$D$1358,0)),0)*N(C19))+IF(B20="",0,IFERROR(INDEX('_Развёртки'!$C$2:$C$1358,MATCH(B20&amp;"|"&amp;H109,'_Развёртки'!$D$2:$D$1358,0)),0)*N(C20))+IF(B21="",0,IFERROR(INDEX('_Развёртки'!$C$2:$C$1358,MATCH(B21&amp;"|"&amp;H109,'_Развёртки'!$D$2:$D$1358,0)),0)*N(C21))+IF(B22="",0,IFERROR(INDEX('_Развёртки'!$C$2:$C$1358,MATCH(B22&amp;"|"&amp;H109,'_Развёртки'!$D$2:$D$1358,0)),0)*N(C22))+IF(B23="",0,IFERROR(INDEX('_Развёртки'!$C$2:$C$1358,MATCH(B23&amp;"|"&amp;H109,'_Развёртки'!$D$2:$D$1358,0)),0)*N(C23))+IF(B24="",0,IFERROR(INDEX('_Развёртки'!$C$2:$C$1358,MATCH(B24&amp;"|"&amp;H109,'_Развёртки'!$D$2:$D$1358,0)),0)*N(C24))+IF(B25="",0,IFERROR(INDEX('_Развёртки'!$C$2:$C$1358,MATCH(B25&amp;"|"&amp;H109,'_Развёртки'!$D$2:$D$1358,0)),0)*N(C25))+IF(B26="",0,IFERROR(INDEX('_Развёртки'!$C$2:$C$1358,MATCH(B26&amp;"|"&amp;H109,'_Развёртки'!$D$2:$D$1358,0)),0)*N(C26))+IF(B27="",0,IFERROR(INDEX('_Развёртки'!$C$2:$C$1358,MATCH(B27&amp;"|"&amp;H109,'_Развёртки'!$D$2:$D$1358,0)),0)*N(C27))</f>
        <v>0</v>
      </c>
      <c r="K109" s="198">
        <f>IFERROR(VLOOKUP(H109,'Сырьё'!$C$6:$E$233,3,FALSE()),IFERROR(VLOOKUP(H109,'Полупродукты'!$C$6:$E$60,3,FALSE()),0))</f>
        <v>3.3223</v>
      </c>
      <c r="L109" s="199">
        <f t="shared" si="4"/>
        <v>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1"/>
      <c r="C110" s="1"/>
      <c r="D110" s="1"/>
      <c r="E110" s="1"/>
      <c r="F110" s="1"/>
      <c r="G110" s="194">
        <v>96.0</v>
      </c>
      <c r="H110" s="195" t="s">
        <v>423</v>
      </c>
      <c r="I110" s="196" t="str">
        <f>IFERROR(VLOOKUP(H110,'Сырьё'!$C$6:$D$233,2,FALSE()),IFERROR(VLOOKUP(H110,'Полупродукты'!$C$6:$D$60,2,FALSE()),"кг"))</f>
        <v>кг</v>
      </c>
      <c r="J110" s="197">
        <f t="array" ref="J110">IF(B8="",0,IFERROR(INDEX('_Развёртки'!$C$2:$C$1358,MATCH(B8&amp;"|"&amp;H110,'_Развёртки'!$D$2:$D$1358,0)),0)*N(C8))+IF(B9="",0,IFERROR(INDEX('_Развёртки'!$C$2:$C$1358,MATCH(B9&amp;"|"&amp;H110,'_Развёртки'!$D$2:$D$1358,0)),0)*N(C9))+IF(B10="",0,IFERROR(INDEX('_Развёртки'!$C$2:$C$1358,MATCH(B10&amp;"|"&amp;H110,'_Развёртки'!$D$2:$D$1358,0)),0)*N(C10))+IF(B11="",0,IFERROR(INDEX('_Развёртки'!$C$2:$C$1358,MATCH(B11&amp;"|"&amp;H110,'_Развёртки'!$D$2:$D$1358,0)),0)*N(C11))+IF(B12="",0,IFERROR(INDEX('_Развёртки'!$C$2:$C$1358,MATCH(B12&amp;"|"&amp;H110,'_Развёртки'!$D$2:$D$1358,0)),0)*N(C12))+IF(B13="",0,IFERROR(INDEX('_Развёртки'!$C$2:$C$1358,MATCH(B13&amp;"|"&amp;H110,'_Развёртки'!$D$2:$D$1358,0)),0)*N(C13))+IF(B14="",0,IFERROR(INDEX('_Развёртки'!$C$2:$C$1358,MATCH(B14&amp;"|"&amp;H110,'_Развёртки'!$D$2:$D$1358,0)),0)*N(C14))+IF(B15="",0,IFERROR(INDEX('_Развёртки'!$C$2:$C$1358,MATCH(B15&amp;"|"&amp;H110,'_Развёртки'!$D$2:$D$1358,0)),0)*N(C15))+IF(B16="",0,IFERROR(INDEX('_Развёртки'!$C$2:$C$1358,MATCH(B16&amp;"|"&amp;H110,'_Развёртки'!$D$2:$D$1358,0)),0)*N(C16))+IF(B17="",0,IFERROR(INDEX('_Развёртки'!$C$2:$C$1358,MATCH(B17&amp;"|"&amp;H110,'_Развёртки'!$D$2:$D$1358,0)),0)*N(C17))+IF(B18="",0,IFERROR(INDEX('_Развёртки'!$C$2:$C$1358,MATCH(B18&amp;"|"&amp;H110,'_Развёртки'!$D$2:$D$1358,0)),0)*N(C18))+IF(B19="",0,IFERROR(INDEX('_Развёртки'!$C$2:$C$1358,MATCH(B19&amp;"|"&amp;H110,'_Развёртки'!$D$2:$D$1358,0)),0)*N(C19))+IF(B20="",0,IFERROR(INDEX('_Развёртки'!$C$2:$C$1358,MATCH(B20&amp;"|"&amp;H110,'_Развёртки'!$D$2:$D$1358,0)),0)*N(C20))+IF(B21="",0,IFERROR(INDEX('_Развёртки'!$C$2:$C$1358,MATCH(B21&amp;"|"&amp;H110,'_Развёртки'!$D$2:$D$1358,0)),0)*N(C21))+IF(B22="",0,IFERROR(INDEX('_Развёртки'!$C$2:$C$1358,MATCH(B22&amp;"|"&amp;H110,'_Развёртки'!$D$2:$D$1358,0)),0)*N(C22))+IF(B23="",0,IFERROR(INDEX('_Развёртки'!$C$2:$C$1358,MATCH(B23&amp;"|"&amp;H110,'_Развёртки'!$D$2:$D$1358,0)),0)*N(C23))+IF(B24="",0,IFERROR(INDEX('_Развёртки'!$C$2:$C$1358,MATCH(B24&amp;"|"&amp;H110,'_Развёртки'!$D$2:$D$1358,0)),0)*N(C24))+IF(B25="",0,IFERROR(INDEX('_Развёртки'!$C$2:$C$1358,MATCH(B25&amp;"|"&amp;H110,'_Развёртки'!$D$2:$D$1358,0)),0)*N(C25))+IF(B26="",0,IFERROR(INDEX('_Развёртки'!$C$2:$C$1358,MATCH(B26&amp;"|"&amp;H110,'_Развёртки'!$D$2:$D$1358,0)),0)*N(C26))+IF(B27="",0,IFERROR(INDEX('_Развёртки'!$C$2:$C$1358,MATCH(B27&amp;"|"&amp;H110,'_Развёртки'!$D$2:$D$1358,0)),0)*N(C27))</f>
        <v>0</v>
      </c>
      <c r="K110" s="198">
        <f>IFERROR(VLOOKUP(H110,'Сырьё'!$C$6:$E$233,3,FALSE()),IFERROR(VLOOKUP(H110,'Полупродукты'!$C$6:$E$60,3,FALSE()),0))</f>
        <v>2.961</v>
      </c>
      <c r="L110" s="199">
        <f t="shared" si="4"/>
        <v>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1"/>
      <c r="C111" s="1"/>
      <c r="D111" s="1"/>
      <c r="E111" s="1"/>
      <c r="F111" s="1"/>
      <c r="G111" s="194">
        <v>97.0</v>
      </c>
      <c r="H111" s="195" t="s">
        <v>424</v>
      </c>
      <c r="I111" s="196" t="str">
        <f>IFERROR(VLOOKUP(H111,'Сырьё'!$C$6:$D$233,2,FALSE()),IFERROR(VLOOKUP(H111,'Полупродукты'!$C$6:$D$60,2,FALSE()),"кг"))</f>
        <v>кг</v>
      </c>
      <c r="J111" s="197">
        <f t="array" ref="J111">IF(B8="",0,IFERROR(INDEX('_Развёртки'!$C$2:$C$1358,MATCH(B8&amp;"|"&amp;H111,'_Развёртки'!$D$2:$D$1358,0)),0)*N(C8))+IF(B9="",0,IFERROR(INDEX('_Развёртки'!$C$2:$C$1358,MATCH(B9&amp;"|"&amp;H111,'_Развёртки'!$D$2:$D$1358,0)),0)*N(C9))+IF(B10="",0,IFERROR(INDEX('_Развёртки'!$C$2:$C$1358,MATCH(B10&amp;"|"&amp;H111,'_Развёртки'!$D$2:$D$1358,0)),0)*N(C10))+IF(B11="",0,IFERROR(INDEX('_Развёртки'!$C$2:$C$1358,MATCH(B11&amp;"|"&amp;H111,'_Развёртки'!$D$2:$D$1358,0)),0)*N(C11))+IF(B12="",0,IFERROR(INDEX('_Развёртки'!$C$2:$C$1358,MATCH(B12&amp;"|"&amp;H111,'_Развёртки'!$D$2:$D$1358,0)),0)*N(C12))+IF(B13="",0,IFERROR(INDEX('_Развёртки'!$C$2:$C$1358,MATCH(B13&amp;"|"&amp;H111,'_Развёртки'!$D$2:$D$1358,0)),0)*N(C13))+IF(B14="",0,IFERROR(INDEX('_Развёртки'!$C$2:$C$1358,MATCH(B14&amp;"|"&amp;H111,'_Развёртки'!$D$2:$D$1358,0)),0)*N(C14))+IF(B15="",0,IFERROR(INDEX('_Развёртки'!$C$2:$C$1358,MATCH(B15&amp;"|"&amp;H111,'_Развёртки'!$D$2:$D$1358,0)),0)*N(C15))+IF(B16="",0,IFERROR(INDEX('_Развёртки'!$C$2:$C$1358,MATCH(B16&amp;"|"&amp;H111,'_Развёртки'!$D$2:$D$1358,0)),0)*N(C16))+IF(B17="",0,IFERROR(INDEX('_Развёртки'!$C$2:$C$1358,MATCH(B17&amp;"|"&amp;H111,'_Развёртки'!$D$2:$D$1358,0)),0)*N(C17))+IF(B18="",0,IFERROR(INDEX('_Развёртки'!$C$2:$C$1358,MATCH(B18&amp;"|"&amp;H111,'_Развёртки'!$D$2:$D$1358,0)),0)*N(C18))+IF(B19="",0,IFERROR(INDEX('_Развёртки'!$C$2:$C$1358,MATCH(B19&amp;"|"&amp;H111,'_Развёртки'!$D$2:$D$1358,0)),0)*N(C19))+IF(B20="",0,IFERROR(INDEX('_Развёртки'!$C$2:$C$1358,MATCH(B20&amp;"|"&amp;H111,'_Развёртки'!$D$2:$D$1358,0)),0)*N(C20))+IF(B21="",0,IFERROR(INDEX('_Развёртки'!$C$2:$C$1358,MATCH(B21&amp;"|"&amp;H111,'_Развёртки'!$D$2:$D$1358,0)),0)*N(C21))+IF(B22="",0,IFERROR(INDEX('_Развёртки'!$C$2:$C$1358,MATCH(B22&amp;"|"&amp;H111,'_Развёртки'!$D$2:$D$1358,0)),0)*N(C22))+IF(B23="",0,IFERROR(INDEX('_Развёртки'!$C$2:$C$1358,MATCH(B23&amp;"|"&amp;H111,'_Развёртки'!$D$2:$D$1358,0)),0)*N(C23))+IF(B24="",0,IFERROR(INDEX('_Развёртки'!$C$2:$C$1358,MATCH(B24&amp;"|"&amp;H111,'_Развёртки'!$D$2:$D$1358,0)),0)*N(C24))+IF(B25="",0,IFERROR(INDEX('_Развёртки'!$C$2:$C$1358,MATCH(B25&amp;"|"&amp;H111,'_Развёртки'!$D$2:$D$1358,0)),0)*N(C25))+IF(B26="",0,IFERROR(INDEX('_Развёртки'!$C$2:$C$1358,MATCH(B26&amp;"|"&amp;H111,'_Развёртки'!$D$2:$D$1358,0)),0)*N(C26))+IF(B27="",0,IFERROR(INDEX('_Развёртки'!$C$2:$C$1358,MATCH(B27&amp;"|"&amp;H111,'_Развёртки'!$D$2:$D$1358,0)),0)*N(C27))</f>
        <v>0</v>
      </c>
      <c r="K111" s="198">
        <f>IFERROR(VLOOKUP(H111,'Сырьё'!$C$6:$E$233,3,FALSE()),IFERROR(VLOOKUP(H111,'Полупродукты'!$C$6:$E$60,3,FALSE()),0))</f>
        <v>2.9153</v>
      </c>
      <c r="L111" s="199">
        <f t="shared" si="4"/>
        <v>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1"/>
      <c r="C112" s="1"/>
      <c r="D112" s="1"/>
      <c r="E112" s="1"/>
      <c r="F112" s="1"/>
      <c r="G112" s="194">
        <v>98.0</v>
      </c>
      <c r="H112" s="195" t="s">
        <v>425</v>
      </c>
      <c r="I112" s="196" t="str">
        <f>IFERROR(VLOOKUP(H112,'Сырьё'!$C$6:$D$233,2,FALSE()),IFERROR(VLOOKUP(H112,'Полупродукты'!$C$6:$D$60,2,FALSE()),"кг"))</f>
        <v>кг</v>
      </c>
      <c r="J112" s="197">
        <f t="array" ref="J112">IF(B8="",0,IFERROR(INDEX('_Развёртки'!$C$2:$C$1358,MATCH(B8&amp;"|"&amp;H112,'_Развёртки'!$D$2:$D$1358,0)),0)*N(C8))+IF(B9="",0,IFERROR(INDEX('_Развёртки'!$C$2:$C$1358,MATCH(B9&amp;"|"&amp;H112,'_Развёртки'!$D$2:$D$1358,0)),0)*N(C9))+IF(B10="",0,IFERROR(INDEX('_Развёртки'!$C$2:$C$1358,MATCH(B10&amp;"|"&amp;H112,'_Развёртки'!$D$2:$D$1358,0)),0)*N(C10))+IF(B11="",0,IFERROR(INDEX('_Развёртки'!$C$2:$C$1358,MATCH(B11&amp;"|"&amp;H112,'_Развёртки'!$D$2:$D$1358,0)),0)*N(C11))+IF(B12="",0,IFERROR(INDEX('_Развёртки'!$C$2:$C$1358,MATCH(B12&amp;"|"&amp;H112,'_Развёртки'!$D$2:$D$1358,0)),0)*N(C12))+IF(B13="",0,IFERROR(INDEX('_Развёртки'!$C$2:$C$1358,MATCH(B13&amp;"|"&amp;H112,'_Развёртки'!$D$2:$D$1358,0)),0)*N(C13))+IF(B14="",0,IFERROR(INDEX('_Развёртки'!$C$2:$C$1358,MATCH(B14&amp;"|"&amp;H112,'_Развёртки'!$D$2:$D$1358,0)),0)*N(C14))+IF(B15="",0,IFERROR(INDEX('_Развёртки'!$C$2:$C$1358,MATCH(B15&amp;"|"&amp;H112,'_Развёртки'!$D$2:$D$1358,0)),0)*N(C15))+IF(B16="",0,IFERROR(INDEX('_Развёртки'!$C$2:$C$1358,MATCH(B16&amp;"|"&amp;H112,'_Развёртки'!$D$2:$D$1358,0)),0)*N(C16))+IF(B17="",0,IFERROR(INDEX('_Развёртки'!$C$2:$C$1358,MATCH(B17&amp;"|"&amp;H112,'_Развёртки'!$D$2:$D$1358,0)),0)*N(C17))+IF(B18="",0,IFERROR(INDEX('_Развёртки'!$C$2:$C$1358,MATCH(B18&amp;"|"&amp;H112,'_Развёртки'!$D$2:$D$1358,0)),0)*N(C18))+IF(B19="",0,IFERROR(INDEX('_Развёртки'!$C$2:$C$1358,MATCH(B19&amp;"|"&amp;H112,'_Развёртки'!$D$2:$D$1358,0)),0)*N(C19))+IF(B20="",0,IFERROR(INDEX('_Развёртки'!$C$2:$C$1358,MATCH(B20&amp;"|"&amp;H112,'_Развёртки'!$D$2:$D$1358,0)),0)*N(C20))+IF(B21="",0,IFERROR(INDEX('_Развёртки'!$C$2:$C$1358,MATCH(B21&amp;"|"&amp;H112,'_Развёртки'!$D$2:$D$1358,0)),0)*N(C21))+IF(B22="",0,IFERROR(INDEX('_Развёртки'!$C$2:$C$1358,MATCH(B22&amp;"|"&amp;H112,'_Развёртки'!$D$2:$D$1358,0)),0)*N(C22))+IF(B23="",0,IFERROR(INDEX('_Развёртки'!$C$2:$C$1358,MATCH(B23&amp;"|"&amp;H112,'_Развёртки'!$D$2:$D$1358,0)),0)*N(C23))+IF(B24="",0,IFERROR(INDEX('_Развёртки'!$C$2:$C$1358,MATCH(B24&amp;"|"&amp;H112,'_Развёртки'!$D$2:$D$1358,0)),0)*N(C24))+IF(B25="",0,IFERROR(INDEX('_Развёртки'!$C$2:$C$1358,MATCH(B25&amp;"|"&amp;H112,'_Развёртки'!$D$2:$D$1358,0)),0)*N(C25))+IF(B26="",0,IFERROR(INDEX('_Развёртки'!$C$2:$C$1358,MATCH(B26&amp;"|"&amp;H112,'_Развёртки'!$D$2:$D$1358,0)),0)*N(C26))+IF(B27="",0,IFERROR(INDEX('_Развёртки'!$C$2:$C$1358,MATCH(B27&amp;"|"&amp;H112,'_Развёртки'!$D$2:$D$1358,0)),0)*N(C27))</f>
        <v>0</v>
      </c>
      <c r="K112" s="198">
        <f>IFERROR(VLOOKUP(H112,'Сырьё'!$C$6:$E$233,3,FALSE()),IFERROR(VLOOKUP(H112,'Полупродукты'!$C$6:$E$60,3,FALSE()),0))</f>
        <v>2.1642</v>
      </c>
      <c r="L112" s="199">
        <f t="shared" si="4"/>
        <v>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1"/>
      <c r="C113" s="1"/>
      <c r="D113" s="1"/>
      <c r="E113" s="1"/>
      <c r="F113" s="1"/>
      <c r="G113" s="194">
        <v>99.0</v>
      </c>
      <c r="H113" s="195" t="s">
        <v>426</v>
      </c>
      <c r="I113" s="196" t="str">
        <f>IFERROR(VLOOKUP(H113,'Сырьё'!$C$6:$D$233,2,FALSE()),IFERROR(VLOOKUP(H113,'Полупродукты'!$C$6:$D$60,2,FALSE()),"кг"))</f>
        <v>кг</v>
      </c>
      <c r="J113" s="197">
        <f t="array" ref="J113">IF(B8="",0,IFERROR(INDEX('_Развёртки'!$C$2:$C$1358,MATCH(B8&amp;"|"&amp;H113,'_Развёртки'!$D$2:$D$1358,0)),0)*N(C8))+IF(B9="",0,IFERROR(INDEX('_Развёртки'!$C$2:$C$1358,MATCH(B9&amp;"|"&amp;H113,'_Развёртки'!$D$2:$D$1358,0)),0)*N(C9))+IF(B10="",0,IFERROR(INDEX('_Развёртки'!$C$2:$C$1358,MATCH(B10&amp;"|"&amp;H113,'_Развёртки'!$D$2:$D$1358,0)),0)*N(C10))+IF(B11="",0,IFERROR(INDEX('_Развёртки'!$C$2:$C$1358,MATCH(B11&amp;"|"&amp;H113,'_Развёртки'!$D$2:$D$1358,0)),0)*N(C11))+IF(B12="",0,IFERROR(INDEX('_Развёртки'!$C$2:$C$1358,MATCH(B12&amp;"|"&amp;H113,'_Развёртки'!$D$2:$D$1358,0)),0)*N(C12))+IF(B13="",0,IFERROR(INDEX('_Развёртки'!$C$2:$C$1358,MATCH(B13&amp;"|"&amp;H113,'_Развёртки'!$D$2:$D$1358,0)),0)*N(C13))+IF(B14="",0,IFERROR(INDEX('_Развёртки'!$C$2:$C$1358,MATCH(B14&amp;"|"&amp;H113,'_Развёртки'!$D$2:$D$1358,0)),0)*N(C14))+IF(B15="",0,IFERROR(INDEX('_Развёртки'!$C$2:$C$1358,MATCH(B15&amp;"|"&amp;H113,'_Развёртки'!$D$2:$D$1358,0)),0)*N(C15))+IF(B16="",0,IFERROR(INDEX('_Развёртки'!$C$2:$C$1358,MATCH(B16&amp;"|"&amp;H113,'_Развёртки'!$D$2:$D$1358,0)),0)*N(C16))+IF(B17="",0,IFERROR(INDEX('_Развёртки'!$C$2:$C$1358,MATCH(B17&amp;"|"&amp;H113,'_Развёртки'!$D$2:$D$1358,0)),0)*N(C17))+IF(B18="",0,IFERROR(INDEX('_Развёртки'!$C$2:$C$1358,MATCH(B18&amp;"|"&amp;H113,'_Развёртки'!$D$2:$D$1358,0)),0)*N(C18))+IF(B19="",0,IFERROR(INDEX('_Развёртки'!$C$2:$C$1358,MATCH(B19&amp;"|"&amp;H113,'_Развёртки'!$D$2:$D$1358,0)),0)*N(C19))+IF(B20="",0,IFERROR(INDEX('_Развёртки'!$C$2:$C$1358,MATCH(B20&amp;"|"&amp;H113,'_Развёртки'!$D$2:$D$1358,0)),0)*N(C20))+IF(B21="",0,IFERROR(INDEX('_Развёртки'!$C$2:$C$1358,MATCH(B21&amp;"|"&amp;H113,'_Развёртки'!$D$2:$D$1358,0)),0)*N(C21))+IF(B22="",0,IFERROR(INDEX('_Развёртки'!$C$2:$C$1358,MATCH(B22&amp;"|"&amp;H113,'_Развёртки'!$D$2:$D$1358,0)),0)*N(C22))+IF(B23="",0,IFERROR(INDEX('_Развёртки'!$C$2:$C$1358,MATCH(B23&amp;"|"&amp;H113,'_Развёртки'!$D$2:$D$1358,0)),0)*N(C23))+IF(B24="",0,IFERROR(INDEX('_Развёртки'!$C$2:$C$1358,MATCH(B24&amp;"|"&amp;H113,'_Развёртки'!$D$2:$D$1358,0)),0)*N(C24))+IF(B25="",0,IFERROR(INDEX('_Развёртки'!$C$2:$C$1358,MATCH(B25&amp;"|"&amp;H113,'_Развёртки'!$D$2:$D$1358,0)),0)*N(C25))+IF(B26="",0,IFERROR(INDEX('_Развёртки'!$C$2:$C$1358,MATCH(B26&amp;"|"&amp;H113,'_Развёртки'!$D$2:$D$1358,0)),0)*N(C26))+IF(B27="",0,IFERROR(INDEX('_Развёртки'!$C$2:$C$1358,MATCH(B27&amp;"|"&amp;H113,'_Развёртки'!$D$2:$D$1358,0)),0)*N(C27))</f>
        <v>0</v>
      </c>
      <c r="K113" s="198">
        <f>IFERROR(VLOOKUP(H113,'Сырьё'!$C$6:$E$233,3,FALSE()),IFERROR(VLOOKUP(H113,'Полупродукты'!$C$6:$E$60,3,FALSE()),0))</f>
        <v>2.843</v>
      </c>
      <c r="L113" s="199">
        <f t="shared" si="4"/>
        <v>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1"/>
      <c r="C114" s="1"/>
      <c r="D114" s="1"/>
      <c r="E114" s="1"/>
      <c r="F114" s="1"/>
      <c r="G114" s="194">
        <v>100.0</v>
      </c>
      <c r="H114" s="195" t="s">
        <v>427</v>
      </c>
      <c r="I114" s="196" t="str">
        <f>IFERROR(VLOOKUP(H114,'Сырьё'!$C$6:$D$233,2,FALSE()),IFERROR(VLOOKUP(H114,'Полупродукты'!$C$6:$D$60,2,FALSE()),"кг"))</f>
        <v>кг</v>
      </c>
      <c r="J114" s="197">
        <f t="array" ref="J114">IF(B8="",0,IFERROR(INDEX('_Развёртки'!$C$2:$C$1358,MATCH(B8&amp;"|"&amp;H114,'_Развёртки'!$D$2:$D$1358,0)),0)*N(C8))+IF(B9="",0,IFERROR(INDEX('_Развёртки'!$C$2:$C$1358,MATCH(B9&amp;"|"&amp;H114,'_Развёртки'!$D$2:$D$1358,0)),0)*N(C9))+IF(B10="",0,IFERROR(INDEX('_Развёртки'!$C$2:$C$1358,MATCH(B10&amp;"|"&amp;H114,'_Развёртки'!$D$2:$D$1358,0)),0)*N(C10))+IF(B11="",0,IFERROR(INDEX('_Развёртки'!$C$2:$C$1358,MATCH(B11&amp;"|"&amp;H114,'_Развёртки'!$D$2:$D$1358,0)),0)*N(C11))+IF(B12="",0,IFERROR(INDEX('_Развёртки'!$C$2:$C$1358,MATCH(B12&amp;"|"&amp;H114,'_Развёртки'!$D$2:$D$1358,0)),0)*N(C12))+IF(B13="",0,IFERROR(INDEX('_Развёртки'!$C$2:$C$1358,MATCH(B13&amp;"|"&amp;H114,'_Развёртки'!$D$2:$D$1358,0)),0)*N(C13))+IF(B14="",0,IFERROR(INDEX('_Развёртки'!$C$2:$C$1358,MATCH(B14&amp;"|"&amp;H114,'_Развёртки'!$D$2:$D$1358,0)),0)*N(C14))+IF(B15="",0,IFERROR(INDEX('_Развёртки'!$C$2:$C$1358,MATCH(B15&amp;"|"&amp;H114,'_Развёртки'!$D$2:$D$1358,0)),0)*N(C15))+IF(B16="",0,IFERROR(INDEX('_Развёртки'!$C$2:$C$1358,MATCH(B16&amp;"|"&amp;H114,'_Развёртки'!$D$2:$D$1358,0)),0)*N(C16))+IF(B17="",0,IFERROR(INDEX('_Развёртки'!$C$2:$C$1358,MATCH(B17&amp;"|"&amp;H114,'_Развёртки'!$D$2:$D$1358,0)),0)*N(C17))+IF(B18="",0,IFERROR(INDEX('_Развёртки'!$C$2:$C$1358,MATCH(B18&amp;"|"&amp;H114,'_Развёртки'!$D$2:$D$1358,0)),0)*N(C18))+IF(B19="",0,IFERROR(INDEX('_Развёртки'!$C$2:$C$1358,MATCH(B19&amp;"|"&amp;H114,'_Развёртки'!$D$2:$D$1358,0)),0)*N(C19))+IF(B20="",0,IFERROR(INDEX('_Развёртки'!$C$2:$C$1358,MATCH(B20&amp;"|"&amp;H114,'_Развёртки'!$D$2:$D$1358,0)),0)*N(C20))+IF(B21="",0,IFERROR(INDEX('_Развёртки'!$C$2:$C$1358,MATCH(B21&amp;"|"&amp;H114,'_Развёртки'!$D$2:$D$1358,0)),0)*N(C21))+IF(B22="",0,IFERROR(INDEX('_Развёртки'!$C$2:$C$1358,MATCH(B22&amp;"|"&amp;H114,'_Развёртки'!$D$2:$D$1358,0)),0)*N(C22))+IF(B23="",0,IFERROR(INDEX('_Развёртки'!$C$2:$C$1358,MATCH(B23&amp;"|"&amp;H114,'_Развёртки'!$D$2:$D$1358,0)),0)*N(C23))+IF(B24="",0,IFERROR(INDEX('_Развёртки'!$C$2:$C$1358,MATCH(B24&amp;"|"&amp;H114,'_Развёртки'!$D$2:$D$1358,0)),0)*N(C24))+IF(B25="",0,IFERROR(INDEX('_Развёртки'!$C$2:$C$1358,MATCH(B25&amp;"|"&amp;H114,'_Развёртки'!$D$2:$D$1358,0)),0)*N(C25))+IF(B26="",0,IFERROR(INDEX('_Развёртки'!$C$2:$C$1358,MATCH(B26&amp;"|"&amp;H114,'_Развёртки'!$D$2:$D$1358,0)),0)*N(C26))+IF(B27="",0,IFERROR(INDEX('_Развёртки'!$C$2:$C$1358,MATCH(B27&amp;"|"&amp;H114,'_Развёртки'!$D$2:$D$1358,0)),0)*N(C27))</f>
        <v>0</v>
      </c>
      <c r="K114" s="198">
        <f>IFERROR(VLOOKUP(H114,'Сырьё'!$C$6:$E$233,3,FALSE()),IFERROR(VLOOKUP(H114,'Полупродукты'!$C$6:$E$60,3,FALSE()),0))</f>
        <v>5.1711</v>
      </c>
      <c r="L114" s="199">
        <f t="shared" si="4"/>
        <v>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1"/>
      <c r="C115" s="1"/>
      <c r="D115" s="1"/>
      <c r="E115" s="1"/>
      <c r="F115" s="1"/>
      <c r="G115" s="194">
        <v>101.0</v>
      </c>
      <c r="H115" s="195" t="s">
        <v>428</v>
      </c>
      <c r="I115" s="196" t="str">
        <f>IFERROR(VLOOKUP(H115,'Сырьё'!$C$6:$D$233,2,FALSE()),IFERROR(VLOOKUP(H115,'Полупродукты'!$C$6:$D$60,2,FALSE()),"кг"))</f>
        <v>кг</v>
      </c>
      <c r="J115" s="197">
        <f t="array" ref="J115">IF(B8="",0,IFERROR(INDEX('_Развёртки'!$C$2:$C$1358,MATCH(B8&amp;"|"&amp;H115,'_Развёртки'!$D$2:$D$1358,0)),0)*N(C8))+IF(B9="",0,IFERROR(INDEX('_Развёртки'!$C$2:$C$1358,MATCH(B9&amp;"|"&amp;H115,'_Развёртки'!$D$2:$D$1358,0)),0)*N(C9))+IF(B10="",0,IFERROR(INDEX('_Развёртки'!$C$2:$C$1358,MATCH(B10&amp;"|"&amp;H115,'_Развёртки'!$D$2:$D$1358,0)),0)*N(C10))+IF(B11="",0,IFERROR(INDEX('_Развёртки'!$C$2:$C$1358,MATCH(B11&amp;"|"&amp;H115,'_Развёртки'!$D$2:$D$1358,0)),0)*N(C11))+IF(B12="",0,IFERROR(INDEX('_Развёртки'!$C$2:$C$1358,MATCH(B12&amp;"|"&amp;H115,'_Развёртки'!$D$2:$D$1358,0)),0)*N(C12))+IF(B13="",0,IFERROR(INDEX('_Развёртки'!$C$2:$C$1358,MATCH(B13&amp;"|"&amp;H115,'_Развёртки'!$D$2:$D$1358,0)),0)*N(C13))+IF(B14="",0,IFERROR(INDEX('_Развёртки'!$C$2:$C$1358,MATCH(B14&amp;"|"&amp;H115,'_Развёртки'!$D$2:$D$1358,0)),0)*N(C14))+IF(B15="",0,IFERROR(INDEX('_Развёртки'!$C$2:$C$1358,MATCH(B15&amp;"|"&amp;H115,'_Развёртки'!$D$2:$D$1358,0)),0)*N(C15))+IF(B16="",0,IFERROR(INDEX('_Развёртки'!$C$2:$C$1358,MATCH(B16&amp;"|"&amp;H115,'_Развёртки'!$D$2:$D$1358,0)),0)*N(C16))+IF(B17="",0,IFERROR(INDEX('_Развёртки'!$C$2:$C$1358,MATCH(B17&amp;"|"&amp;H115,'_Развёртки'!$D$2:$D$1358,0)),0)*N(C17))+IF(B18="",0,IFERROR(INDEX('_Развёртки'!$C$2:$C$1358,MATCH(B18&amp;"|"&amp;H115,'_Развёртки'!$D$2:$D$1358,0)),0)*N(C18))+IF(B19="",0,IFERROR(INDEX('_Развёртки'!$C$2:$C$1358,MATCH(B19&amp;"|"&amp;H115,'_Развёртки'!$D$2:$D$1358,0)),0)*N(C19))+IF(B20="",0,IFERROR(INDEX('_Развёртки'!$C$2:$C$1358,MATCH(B20&amp;"|"&amp;H115,'_Развёртки'!$D$2:$D$1358,0)),0)*N(C20))+IF(B21="",0,IFERROR(INDEX('_Развёртки'!$C$2:$C$1358,MATCH(B21&amp;"|"&amp;H115,'_Развёртки'!$D$2:$D$1358,0)),0)*N(C21))+IF(B22="",0,IFERROR(INDEX('_Развёртки'!$C$2:$C$1358,MATCH(B22&amp;"|"&amp;H115,'_Развёртки'!$D$2:$D$1358,0)),0)*N(C22))+IF(B23="",0,IFERROR(INDEX('_Развёртки'!$C$2:$C$1358,MATCH(B23&amp;"|"&amp;H115,'_Развёртки'!$D$2:$D$1358,0)),0)*N(C23))+IF(B24="",0,IFERROR(INDEX('_Развёртки'!$C$2:$C$1358,MATCH(B24&amp;"|"&amp;H115,'_Развёртки'!$D$2:$D$1358,0)),0)*N(C24))+IF(B25="",0,IFERROR(INDEX('_Развёртки'!$C$2:$C$1358,MATCH(B25&amp;"|"&amp;H115,'_Развёртки'!$D$2:$D$1358,0)),0)*N(C25))+IF(B26="",0,IFERROR(INDEX('_Развёртки'!$C$2:$C$1358,MATCH(B26&amp;"|"&amp;H115,'_Развёртки'!$D$2:$D$1358,0)),0)*N(C26))+IF(B27="",0,IFERROR(INDEX('_Развёртки'!$C$2:$C$1358,MATCH(B27&amp;"|"&amp;H115,'_Развёртки'!$D$2:$D$1358,0)),0)*N(C27))</f>
        <v>0</v>
      </c>
      <c r="K115" s="198">
        <f>IFERROR(VLOOKUP(H115,'Сырьё'!$C$6:$E$233,3,FALSE()),IFERROR(VLOOKUP(H115,'Полупродукты'!$C$6:$E$60,3,FALSE()),0))</f>
        <v>6.7804</v>
      </c>
      <c r="L115" s="199">
        <f t="shared" si="4"/>
        <v>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1"/>
      <c r="C116" s="1"/>
      <c r="D116" s="1"/>
      <c r="E116" s="1"/>
      <c r="F116" s="1"/>
      <c r="G116" s="194">
        <v>102.0</v>
      </c>
      <c r="H116" s="195" t="s">
        <v>429</v>
      </c>
      <c r="I116" s="196" t="str">
        <f>IFERROR(VLOOKUP(H116,'Сырьё'!$C$6:$D$233,2,FALSE()),IFERROR(VLOOKUP(H116,'Полупродукты'!$C$6:$D$60,2,FALSE()),"кг"))</f>
        <v>кг</v>
      </c>
      <c r="J116" s="197">
        <f t="array" ref="J116">IF(B8="",0,IFERROR(INDEX('_Развёртки'!$C$2:$C$1358,MATCH(B8&amp;"|"&amp;H116,'_Развёртки'!$D$2:$D$1358,0)),0)*N(C8))+IF(B9="",0,IFERROR(INDEX('_Развёртки'!$C$2:$C$1358,MATCH(B9&amp;"|"&amp;H116,'_Развёртки'!$D$2:$D$1358,0)),0)*N(C9))+IF(B10="",0,IFERROR(INDEX('_Развёртки'!$C$2:$C$1358,MATCH(B10&amp;"|"&amp;H116,'_Развёртки'!$D$2:$D$1358,0)),0)*N(C10))+IF(B11="",0,IFERROR(INDEX('_Развёртки'!$C$2:$C$1358,MATCH(B11&amp;"|"&amp;H116,'_Развёртки'!$D$2:$D$1358,0)),0)*N(C11))+IF(B12="",0,IFERROR(INDEX('_Развёртки'!$C$2:$C$1358,MATCH(B12&amp;"|"&amp;H116,'_Развёртки'!$D$2:$D$1358,0)),0)*N(C12))+IF(B13="",0,IFERROR(INDEX('_Развёртки'!$C$2:$C$1358,MATCH(B13&amp;"|"&amp;H116,'_Развёртки'!$D$2:$D$1358,0)),0)*N(C13))+IF(B14="",0,IFERROR(INDEX('_Развёртки'!$C$2:$C$1358,MATCH(B14&amp;"|"&amp;H116,'_Развёртки'!$D$2:$D$1358,0)),0)*N(C14))+IF(B15="",0,IFERROR(INDEX('_Развёртки'!$C$2:$C$1358,MATCH(B15&amp;"|"&amp;H116,'_Развёртки'!$D$2:$D$1358,0)),0)*N(C15))+IF(B16="",0,IFERROR(INDEX('_Развёртки'!$C$2:$C$1358,MATCH(B16&amp;"|"&amp;H116,'_Развёртки'!$D$2:$D$1358,0)),0)*N(C16))+IF(B17="",0,IFERROR(INDEX('_Развёртки'!$C$2:$C$1358,MATCH(B17&amp;"|"&amp;H116,'_Развёртки'!$D$2:$D$1358,0)),0)*N(C17))+IF(B18="",0,IFERROR(INDEX('_Развёртки'!$C$2:$C$1358,MATCH(B18&amp;"|"&amp;H116,'_Развёртки'!$D$2:$D$1358,0)),0)*N(C18))+IF(B19="",0,IFERROR(INDEX('_Развёртки'!$C$2:$C$1358,MATCH(B19&amp;"|"&amp;H116,'_Развёртки'!$D$2:$D$1358,0)),0)*N(C19))+IF(B20="",0,IFERROR(INDEX('_Развёртки'!$C$2:$C$1358,MATCH(B20&amp;"|"&amp;H116,'_Развёртки'!$D$2:$D$1358,0)),0)*N(C20))+IF(B21="",0,IFERROR(INDEX('_Развёртки'!$C$2:$C$1358,MATCH(B21&amp;"|"&amp;H116,'_Развёртки'!$D$2:$D$1358,0)),0)*N(C21))+IF(B22="",0,IFERROR(INDEX('_Развёртки'!$C$2:$C$1358,MATCH(B22&amp;"|"&amp;H116,'_Развёртки'!$D$2:$D$1358,0)),0)*N(C22))+IF(B23="",0,IFERROR(INDEX('_Развёртки'!$C$2:$C$1358,MATCH(B23&amp;"|"&amp;H116,'_Развёртки'!$D$2:$D$1358,0)),0)*N(C23))+IF(B24="",0,IFERROR(INDEX('_Развёртки'!$C$2:$C$1358,MATCH(B24&amp;"|"&amp;H116,'_Развёртки'!$D$2:$D$1358,0)),0)*N(C24))+IF(B25="",0,IFERROR(INDEX('_Развёртки'!$C$2:$C$1358,MATCH(B25&amp;"|"&amp;H116,'_Развёртки'!$D$2:$D$1358,0)),0)*N(C25))+IF(B26="",0,IFERROR(INDEX('_Развёртки'!$C$2:$C$1358,MATCH(B26&amp;"|"&amp;H116,'_Развёртки'!$D$2:$D$1358,0)),0)*N(C26))+IF(B27="",0,IFERROR(INDEX('_Развёртки'!$C$2:$C$1358,MATCH(B27&amp;"|"&amp;H116,'_Развёртки'!$D$2:$D$1358,0)),0)*N(C27))</f>
        <v>988.8</v>
      </c>
      <c r="K116" s="198">
        <f>IFERROR(VLOOKUP(H116,'Сырьё'!$C$6:$E$233,3,FALSE()),IFERROR(VLOOKUP(H116,'Полупродукты'!$C$6:$E$60,3,FALSE()),0))</f>
        <v>3.6345</v>
      </c>
      <c r="L116" s="199">
        <f t="shared" si="4"/>
        <v>3593.7936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1"/>
      <c r="C117" s="1"/>
      <c r="D117" s="1"/>
      <c r="E117" s="1"/>
      <c r="F117" s="1"/>
      <c r="G117" s="194">
        <v>103.0</v>
      </c>
      <c r="H117" s="195" t="s">
        <v>430</v>
      </c>
      <c r="I117" s="196" t="str">
        <f>IFERROR(VLOOKUP(H117,'Сырьё'!$C$6:$D$233,2,FALSE()),IFERROR(VLOOKUP(H117,'Полупродукты'!$C$6:$D$60,2,FALSE()),"кг"))</f>
        <v>кг</v>
      </c>
      <c r="J117" s="197">
        <f t="array" ref="J117">IF(B8="",0,IFERROR(INDEX('_Развёртки'!$C$2:$C$1358,MATCH(B8&amp;"|"&amp;H117,'_Развёртки'!$D$2:$D$1358,0)),0)*N(C8))+IF(B9="",0,IFERROR(INDEX('_Развёртки'!$C$2:$C$1358,MATCH(B9&amp;"|"&amp;H117,'_Развёртки'!$D$2:$D$1358,0)),0)*N(C9))+IF(B10="",0,IFERROR(INDEX('_Развёртки'!$C$2:$C$1358,MATCH(B10&amp;"|"&amp;H117,'_Развёртки'!$D$2:$D$1358,0)),0)*N(C10))+IF(B11="",0,IFERROR(INDEX('_Развёртки'!$C$2:$C$1358,MATCH(B11&amp;"|"&amp;H117,'_Развёртки'!$D$2:$D$1358,0)),0)*N(C11))+IF(B12="",0,IFERROR(INDEX('_Развёртки'!$C$2:$C$1358,MATCH(B12&amp;"|"&amp;H117,'_Развёртки'!$D$2:$D$1358,0)),0)*N(C12))+IF(B13="",0,IFERROR(INDEX('_Развёртки'!$C$2:$C$1358,MATCH(B13&amp;"|"&amp;H117,'_Развёртки'!$D$2:$D$1358,0)),0)*N(C13))+IF(B14="",0,IFERROR(INDEX('_Развёртки'!$C$2:$C$1358,MATCH(B14&amp;"|"&amp;H117,'_Развёртки'!$D$2:$D$1358,0)),0)*N(C14))+IF(B15="",0,IFERROR(INDEX('_Развёртки'!$C$2:$C$1358,MATCH(B15&amp;"|"&amp;H117,'_Развёртки'!$D$2:$D$1358,0)),0)*N(C15))+IF(B16="",0,IFERROR(INDEX('_Развёртки'!$C$2:$C$1358,MATCH(B16&amp;"|"&amp;H117,'_Развёртки'!$D$2:$D$1358,0)),0)*N(C16))+IF(B17="",0,IFERROR(INDEX('_Развёртки'!$C$2:$C$1358,MATCH(B17&amp;"|"&amp;H117,'_Развёртки'!$D$2:$D$1358,0)),0)*N(C17))+IF(B18="",0,IFERROR(INDEX('_Развёртки'!$C$2:$C$1358,MATCH(B18&amp;"|"&amp;H117,'_Развёртки'!$D$2:$D$1358,0)),0)*N(C18))+IF(B19="",0,IFERROR(INDEX('_Развёртки'!$C$2:$C$1358,MATCH(B19&amp;"|"&amp;H117,'_Развёртки'!$D$2:$D$1358,0)),0)*N(C19))+IF(B20="",0,IFERROR(INDEX('_Развёртки'!$C$2:$C$1358,MATCH(B20&amp;"|"&amp;H117,'_Развёртки'!$D$2:$D$1358,0)),0)*N(C20))+IF(B21="",0,IFERROR(INDEX('_Развёртки'!$C$2:$C$1358,MATCH(B21&amp;"|"&amp;H117,'_Развёртки'!$D$2:$D$1358,0)),0)*N(C21))+IF(B22="",0,IFERROR(INDEX('_Развёртки'!$C$2:$C$1358,MATCH(B22&amp;"|"&amp;H117,'_Развёртки'!$D$2:$D$1358,0)),0)*N(C22))+IF(B23="",0,IFERROR(INDEX('_Развёртки'!$C$2:$C$1358,MATCH(B23&amp;"|"&amp;H117,'_Развёртки'!$D$2:$D$1358,0)),0)*N(C23))+IF(B24="",0,IFERROR(INDEX('_Развёртки'!$C$2:$C$1358,MATCH(B24&amp;"|"&amp;H117,'_Развёртки'!$D$2:$D$1358,0)),0)*N(C24))+IF(B25="",0,IFERROR(INDEX('_Развёртки'!$C$2:$C$1358,MATCH(B25&amp;"|"&amp;H117,'_Развёртки'!$D$2:$D$1358,0)),0)*N(C25))+IF(B26="",0,IFERROR(INDEX('_Развёртки'!$C$2:$C$1358,MATCH(B26&amp;"|"&amp;H117,'_Развёртки'!$D$2:$D$1358,0)),0)*N(C26))+IF(B27="",0,IFERROR(INDEX('_Развёртки'!$C$2:$C$1358,MATCH(B27&amp;"|"&amp;H117,'_Развёртки'!$D$2:$D$1358,0)),0)*N(C27))</f>
        <v>0</v>
      </c>
      <c r="K117" s="198">
        <f>IFERROR(VLOOKUP(H117,'Сырьё'!$C$6:$E$233,3,FALSE()),IFERROR(VLOOKUP(H117,'Полупродукты'!$C$6:$E$60,3,FALSE()),0))</f>
        <v>3.8384</v>
      </c>
      <c r="L117" s="199">
        <f t="shared" si="4"/>
        <v>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1"/>
      <c r="C118" s="1"/>
      <c r="D118" s="1"/>
      <c r="E118" s="1"/>
      <c r="F118" s="1"/>
      <c r="G118" s="194">
        <v>104.0</v>
      </c>
      <c r="H118" s="195" t="s">
        <v>431</v>
      </c>
      <c r="I118" s="196" t="str">
        <f>IFERROR(VLOOKUP(H118,'Сырьё'!$C$6:$D$233,2,FALSE()),IFERROR(VLOOKUP(H118,'Полупродукты'!$C$6:$D$60,2,FALSE()),"кг"))</f>
        <v>кг</v>
      </c>
      <c r="J118" s="197">
        <f t="array" ref="J118">IF(B8="",0,IFERROR(INDEX('_Развёртки'!$C$2:$C$1358,MATCH(B8&amp;"|"&amp;H118,'_Развёртки'!$D$2:$D$1358,0)),0)*N(C8))+IF(B9="",0,IFERROR(INDEX('_Развёртки'!$C$2:$C$1358,MATCH(B9&amp;"|"&amp;H118,'_Развёртки'!$D$2:$D$1358,0)),0)*N(C9))+IF(B10="",0,IFERROR(INDEX('_Развёртки'!$C$2:$C$1358,MATCH(B10&amp;"|"&amp;H118,'_Развёртки'!$D$2:$D$1358,0)),0)*N(C10))+IF(B11="",0,IFERROR(INDEX('_Развёртки'!$C$2:$C$1358,MATCH(B11&amp;"|"&amp;H118,'_Развёртки'!$D$2:$D$1358,0)),0)*N(C11))+IF(B12="",0,IFERROR(INDEX('_Развёртки'!$C$2:$C$1358,MATCH(B12&amp;"|"&amp;H118,'_Развёртки'!$D$2:$D$1358,0)),0)*N(C12))+IF(B13="",0,IFERROR(INDEX('_Развёртки'!$C$2:$C$1358,MATCH(B13&amp;"|"&amp;H118,'_Развёртки'!$D$2:$D$1358,0)),0)*N(C13))+IF(B14="",0,IFERROR(INDEX('_Развёртки'!$C$2:$C$1358,MATCH(B14&amp;"|"&amp;H118,'_Развёртки'!$D$2:$D$1358,0)),0)*N(C14))+IF(B15="",0,IFERROR(INDEX('_Развёртки'!$C$2:$C$1358,MATCH(B15&amp;"|"&amp;H118,'_Развёртки'!$D$2:$D$1358,0)),0)*N(C15))+IF(B16="",0,IFERROR(INDEX('_Развёртки'!$C$2:$C$1358,MATCH(B16&amp;"|"&amp;H118,'_Развёртки'!$D$2:$D$1358,0)),0)*N(C16))+IF(B17="",0,IFERROR(INDEX('_Развёртки'!$C$2:$C$1358,MATCH(B17&amp;"|"&amp;H118,'_Развёртки'!$D$2:$D$1358,0)),0)*N(C17))+IF(B18="",0,IFERROR(INDEX('_Развёртки'!$C$2:$C$1358,MATCH(B18&amp;"|"&amp;H118,'_Развёртки'!$D$2:$D$1358,0)),0)*N(C18))+IF(B19="",0,IFERROR(INDEX('_Развёртки'!$C$2:$C$1358,MATCH(B19&amp;"|"&amp;H118,'_Развёртки'!$D$2:$D$1358,0)),0)*N(C19))+IF(B20="",0,IFERROR(INDEX('_Развёртки'!$C$2:$C$1358,MATCH(B20&amp;"|"&amp;H118,'_Развёртки'!$D$2:$D$1358,0)),0)*N(C20))+IF(B21="",0,IFERROR(INDEX('_Развёртки'!$C$2:$C$1358,MATCH(B21&amp;"|"&amp;H118,'_Развёртки'!$D$2:$D$1358,0)),0)*N(C21))+IF(B22="",0,IFERROR(INDEX('_Развёртки'!$C$2:$C$1358,MATCH(B22&amp;"|"&amp;H118,'_Развёртки'!$D$2:$D$1358,0)),0)*N(C22))+IF(B23="",0,IFERROR(INDEX('_Развёртки'!$C$2:$C$1358,MATCH(B23&amp;"|"&amp;H118,'_Развёртки'!$D$2:$D$1358,0)),0)*N(C23))+IF(B24="",0,IFERROR(INDEX('_Развёртки'!$C$2:$C$1358,MATCH(B24&amp;"|"&amp;H118,'_Развёртки'!$D$2:$D$1358,0)),0)*N(C24))+IF(B25="",0,IFERROR(INDEX('_Развёртки'!$C$2:$C$1358,MATCH(B25&amp;"|"&amp;H118,'_Развёртки'!$D$2:$D$1358,0)),0)*N(C25))+IF(B26="",0,IFERROR(INDEX('_Развёртки'!$C$2:$C$1358,MATCH(B26&amp;"|"&amp;H118,'_Развёртки'!$D$2:$D$1358,0)),0)*N(C26))+IF(B27="",0,IFERROR(INDEX('_Развёртки'!$C$2:$C$1358,MATCH(B27&amp;"|"&amp;H118,'_Развёртки'!$D$2:$D$1358,0)),0)*N(C27))</f>
        <v>72.1</v>
      </c>
      <c r="K118" s="198">
        <f>IFERROR(VLOOKUP(H118,'Сырьё'!$C$6:$E$233,3,FALSE()),IFERROR(VLOOKUP(H118,'Полупродукты'!$C$6:$E$60,3,FALSE()),0))</f>
        <v>8.7213</v>
      </c>
      <c r="L118" s="199">
        <f t="shared" si="4"/>
        <v>628.80573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1"/>
      <c r="C119" s="1"/>
      <c r="D119" s="1"/>
      <c r="E119" s="1"/>
      <c r="F119" s="1"/>
      <c r="G119" s="194">
        <v>105.0</v>
      </c>
      <c r="H119" s="195" t="s">
        <v>432</v>
      </c>
      <c r="I119" s="196" t="str">
        <f>IFERROR(VLOOKUP(H119,'Сырьё'!$C$6:$D$233,2,FALSE()),IFERROR(VLOOKUP(H119,'Полупродукты'!$C$6:$D$60,2,FALSE()),"кг"))</f>
        <v>шт</v>
      </c>
      <c r="J119" s="197">
        <f t="array" ref="J119">IF(B8="",0,IFERROR(INDEX('_Развёртки'!$C$2:$C$1358,MATCH(B8&amp;"|"&amp;H119,'_Развёртки'!$D$2:$D$1358,0)),0)*N(C8))+IF(B9="",0,IFERROR(INDEX('_Развёртки'!$C$2:$C$1358,MATCH(B9&amp;"|"&amp;H119,'_Развёртки'!$D$2:$D$1358,0)),0)*N(C9))+IF(B10="",0,IFERROR(INDEX('_Развёртки'!$C$2:$C$1358,MATCH(B10&amp;"|"&amp;H119,'_Развёртки'!$D$2:$D$1358,0)),0)*N(C10))+IF(B11="",0,IFERROR(INDEX('_Развёртки'!$C$2:$C$1358,MATCH(B11&amp;"|"&amp;H119,'_Развёртки'!$D$2:$D$1358,0)),0)*N(C11))+IF(B12="",0,IFERROR(INDEX('_Развёртки'!$C$2:$C$1358,MATCH(B12&amp;"|"&amp;H119,'_Развёртки'!$D$2:$D$1358,0)),0)*N(C12))+IF(B13="",0,IFERROR(INDEX('_Развёртки'!$C$2:$C$1358,MATCH(B13&amp;"|"&amp;H119,'_Развёртки'!$D$2:$D$1358,0)),0)*N(C13))+IF(B14="",0,IFERROR(INDEX('_Развёртки'!$C$2:$C$1358,MATCH(B14&amp;"|"&amp;H119,'_Развёртки'!$D$2:$D$1358,0)),0)*N(C14))+IF(B15="",0,IFERROR(INDEX('_Развёртки'!$C$2:$C$1358,MATCH(B15&amp;"|"&amp;H119,'_Развёртки'!$D$2:$D$1358,0)),0)*N(C15))+IF(B16="",0,IFERROR(INDEX('_Развёртки'!$C$2:$C$1358,MATCH(B16&amp;"|"&amp;H119,'_Развёртки'!$D$2:$D$1358,0)),0)*N(C16))+IF(B17="",0,IFERROR(INDEX('_Развёртки'!$C$2:$C$1358,MATCH(B17&amp;"|"&amp;H119,'_Развёртки'!$D$2:$D$1358,0)),0)*N(C17))+IF(B18="",0,IFERROR(INDEX('_Развёртки'!$C$2:$C$1358,MATCH(B18&amp;"|"&amp;H119,'_Развёртки'!$D$2:$D$1358,0)),0)*N(C18))+IF(B19="",0,IFERROR(INDEX('_Развёртки'!$C$2:$C$1358,MATCH(B19&amp;"|"&amp;H119,'_Развёртки'!$D$2:$D$1358,0)),0)*N(C19))+IF(B20="",0,IFERROR(INDEX('_Развёртки'!$C$2:$C$1358,MATCH(B20&amp;"|"&amp;H119,'_Развёртки'!$D$2:$D$1358,0)),0)*N(C20))+IF(B21="",0,IFERROR(INDEX('_Развёртки'!$C$2:$C$1358,MATCH(B21&amp;"|"&amp;H119,'_Развёртки'!$D$2:$D$1358,0)),0)*N(C21))+IF(B22="",0,IFERROR(INDEX('_Развёртки'!$C$2:$C$1358,MATCH(B22&amp;"|"&amp;H119,'_Развёртки'!$D$2:$D$1358,0)),0)*N(C22))+IF(B23="",0,IFERROR(INDEX('_Развёртки'!$C$2:$C$1358,MATCH(B23&amp;"|"&amp;H119,'_Развёртки'!$D$2:$D$1358,0)),0)*N(C23))+IF(B24="",0,IFERROR(INDEX('_Развёртки'!$C$2:$C$1358,MATCH(B24&amp;"|"&amp;H119,'_Развёртки'!$D$2:$D$1358,0)),0)*N(C24))+IF(B25="",0,IFERROR(INDEX('_Развёртки'!$C$2:$C$1358,MATCH(B25&amp;"|"&amp;H119,'_Развёртки'!$D$2:$D$1358,0)),0)*N(C25))+IF(B26="",0,IFERROR(INDEX('_Развёртки'!$C$2:$C$1358,MATCH(B26&amp;"|"&amp;H119,'_Развёртки'!$D$2:$D$1358,0)),0)*N(C26))+IF(B27="",0,IFERROR(INDEX('_Развёртки'!$C$2:$C$1358,MATCH(B27&amp;"|"&amp;H119,'_Развёртки'!$D$2:$D$1358,0)),0)*N(C27))</f>
        <v>0</v>
      </c>
      <c r="K119" s="198">
        <f>IFERROR(VLOOKUP(H119,'Сырьё'!$C$6:$E$233,3,FALSE()),IFERROR(VLOOKUP(H119,'Полупродукты'!$C$6:$E$60,3,FALSE()),0))</f>
        <v>3.7175</v>
      </c>
      <c r="L119" s="199">
        <f t="shared" si="4"/>
        <v>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1"/>
      <c r="C120" s="1"/>
      <c r="D120" s="1"/>
      <c r="E120" s="1"/>
      <c r="F120" s="1"/>
      <c r="G120" s="194">
        <v>106.0</v>
      </c>
      <c r="H120" s="195" t="s">
        <v>433</v>
      </c>
      <c r="I120" s="196" t="str">
        <f>IFERROR(VLOOKUP(H120,'Сырьё'!$C$6:$D$233,2,FALSE()),IFERROR(VLOOKUP(H120,'Полупродукты'!$C$6:$D$60,2,FALSE()),"кг"))</f>
        <v>кг</v>
      </c>
      <c r="J120" s="197">
        <f t="array" ref="J120">IF(B8="",0,IFERROR(INDEX('_Развёртки'!$C$2:$C$1358,MATCH(B8&amp;"|"&amp;H120,'_Развёртки'!$D$2:$D$1358,0)),0)*N(C8))+IF(B9="",0,IFERROR(INDEX('_Развёртки'!$C$2:$C$1358,MATCH(B9&amp;"|"&amp;H120,'_Развёртки'!$D$2:$D$1358,0)),0)*N(C9))+IF(B10="",0,IFERROR(INDEX('_Развёртки'!$C$2:$C$1358,MATCH(B10&amp;"|"&amp;H120,'_Развёртки'!$D$2:$D$1358,0)),0)*N(C10))+IF(B11="",0,IFERROR(INDEX('_Развёртки'!$C$2:$C$1358,MATCH(B11&amp;"|"&amp;H120,'_Развёртки'!$D$2:$D$1358,0)),0)*N(C11))+IF(B12="",0,IFERROR(INDEX('_Развёртки'!$C$2:$C$1358,MATCH(B12&amp;"|"&amp;H120,'_Развёртки'!$D$2:$D$1358,0)),0)*N(C12))+IF(B13="",0,IFERROR(INDEX('_Развёртки'!$C$2:$C$1358,MATCH(B13&amp;"|"&amp;H120,'_Развёртки'!$D$2:$D$1358,0)),0)*N(C13))+IF(B14="",0,IFERROR(INDEX('_Развёртки'!$C$2:$C$1358,MATCH(B14&amp;"|"&amp;H120,'_Развёртки'!$D$2:$D$1358,0)),0)*N(C14))+IF(B15="",0,IFERROR(INDEX('_Развёртки'!$C$2:$C$1358,MATCH(B15&amp;"|"&amp;H120,'_Развёртки'!$D$2:$D$1358,0)),0)*N(C15))+IF(B16="",0,IFERROR(INDEX('_Развёртки'!$C$2:$C$1358,MATCH(B16&amp;"|"&amp;H120,'_Развёртки'!$D$2:$D$1358,0)),0)*N(C16))+IF(B17="",0,IFERROR(INDEX('_Развёртки'!$C$2:$C$1358,MATCH(B17&amp;"|"&amp;H120,'_Развёртки'!$D$2:$D$1358,0)),0)*N(C17))+IF(B18="",0,IFERROR(INDEX('_Развёртки'!$C$2:$C$1358,MATCH(B18&amp;"|"&amp;H120,'_Развёртки'!$D$2:$D$1358,0)),0)*N(C18))+IF(B19="",0,IFERROR(INDEX('_Развёртки'!$C$2:$C$1358,MATCH(B19&amp;"|"&amp;H120,'_Развёртки'!$D$2:$D$1358,0)),0)*N(C19))+IF(B20="",0,IFERROR(INDEX('_Развёртки'!$C$2:$C$1358,MATCH(B20&amp;"|"&amp;H120,'_Развёртки'!$D$2:$D$1358,0)),0)*N(C20))+IF(B21="",0,IFERROR(INDEX('_Развёртки'!$C$2:$C$1358,MATCH(B21&amp;"|"&amp;H120,'_Развёртки'!$D$2:$D$1358,0)),0)*N(C21))+IF(B22="",0,IFERROR(INDEX('_Развёртки'!$C$2:$C$1358,MATCH(B22&amp;"|"&amp;H120,'_Развёртки'!$D$2:$D$1358,0)),0)*N(C22))+IF(B23="",0,IFERROR(INDEX('_Развёртки'!$C$2:$C$1358,MATCH(B23&amp;"|"&amp;H120,'_Развёртки'!$D$2:$D$1358,0)),0)*N(C23))+IF(B24="",0,IFERROR(INDEX('_Развёртки'!$C$2:$C$1358,MATCH(B24&amp;"|"&amp;H120,'_Развёртки'!$D$2:$D$1358,0)),0)*N(C24))+IF(B25="",0,IFERROR(INDEX('_Развёртки'!$C$2:$C$1358,MATCH(B25&amp;"|"&amp;H120,'_Развёртки'!$D$2:$D$1358,0)),0)*N(C25))+IF(B26="",0,IFERROR(INDEX('_Развёртки'!$C$2:$C$1358,MATCH(B26&amp;"|"&amp;H120,'_Развёртки'!$D$2:$D$1358,0)),0)*N(C26))+IF(B27="",0,IFERROR(INDEX('_Развёртки'!$C$2:$C$1358,MATCH(B27&amp;"|"&amp;H120,'_Развёртки'!$D$2:$D$1358,0)),0)*N(C27))</f>
        <v>0</v>
      </c>
      <c r="K120" s="198">
        <f>IFERROR(VLOOKUP(H120,'Сырьё'!$C$6:$E$233,3,FALSE()),IFERROR(VLOOKUP(H120,'Полупродукты'!$C$6:$E$60,3,FALSE()),0))</f>
        <v>4.4172</v>
      </c>
      <c r="L120" s="199">
        <f t="shared" si="4"/>
        <v>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1"/>
      <c r="C121" s="1"/>
      <c r="D121" s="1"/>
      <c r="E121" s="1"/>
      <c r="F121" s="1"/>
      <c r="G121" s="194">
        <v>107.0</v>
      </c>
      <c r="H121" s="195" t="s">
        <v>434</v>
      </c>
      <c r="I121" s="196" t="str">
        <f>IFERROR(VLOOKUP(H121,'Сырьё'!$C$6:$D$233,2,FALSE()),IFERROR(VLOOKUP(H121,'Полупродукты'!$C$6:$D$60,2,FALSE()),"кг"))</f>
        <v>кг</v>
      </c>
      <c r="J121" s="197">
        <f t="array" ref="J121">IF(B8="",0,IFERROR(INDEX('_Развёртки'!$C$2:$C$1358,MATCH(B8&amp;"|"&amp;H121,'_Развёртки'!$D$2:$D$1358,0)),0)*N(C8))+IF(B9="",0,IFERROR(INDEX('_Развёртки'!$C$2:$C$1358,MATCH(B9&amp;"|"&amp;H121,'_Развёртки'!$D$2:$D$1358,0)),0)*N(C9))+IF(B10="",0,IFERROR(INDEX('_Развёртки'!$C$2:$C$1358,MATCH(B10&amp;"|"&amp;H121,'_Развёртки'!$D$2:$D$1358,0)),0)*N(C10))+IF(B11="",0,IFERROR(INDEX('_Развёртки'!$C$2:$C$1358,MATCH(B11&amp;"|"&amp;H121,'_Развёртки'!$D$2:$D$1358,0)),0)*N(C11))+IF(B12="",0,IFERROR(INDEX('_Развёртки'!$C$2:$C$1358,MATCH(B12&amp;"|"&amp;H121,'_Развёртки'!$D$2:$D$1358,0)),0)*N(C12))+IF(B13="",0,IFERROR(INDEX('_Развёртки'!$C$2:$C$1358,MATCH(B13&amp;"|"&amp;H121,'_Развёртки'!$D$2:$D$1358,0)),0)*N(C13))+IF(B14="",0,IFERROR(INDEX('_Развёртки'!$C$2:$C$1358,MATCH(B14&amp;"|"&amp;H121,'_Развёртки'!$D$2:$D$1358,0)),0)*N(C14))+IF(B15="",0,IFERROR(INDEX('_Развёртки'!$C$2:$C$1358,MATCH(B15&amp;"|"&amp;H121,'_Развёртки'!$D$2:$D$1358,0)),0)*N(C15))+IF(B16="",0,IFERROR(INDEX('_Развёртки'!$C$2:$C$1358,MATCH(B16&amp;"|"&amp;H121,'_Развёртки'!$D$2:$D$1358,0)),0)*N(C16))+IF(B17="",0,IFERROR(INDEX('_Развёртки'!$C$2:$C$1358,MATCH(B17&amp;"|"&amp;H121,'_Развёртки'!$D$2:$D$1358,0)),0)*N(C17))+IF(B18="",0,IFERROR(INDEX('_Развёртки'!$C$2:$C$1358,MATCH(B18&amp;"|"&amp;H121,'_Развёртки'!$D$2:$D$1358,0)),0)*N(C18))+IF(B19="",0,IFERROR(INDEX('_Развёртки'!$C$2:$C$1358,MATCH(B19&amp;"|"&amp;H121,'_Развёртки'!$D$2:$D$1358,0)),0)*N(C19))+IF(B20="",0,IFERROR(INDEX('_Развёртки'!$C$2:$C$1358,MATCH(B20&amp;"|"&amp;H121,'_Развёртки'!$D$2:$D$1358,0)),0)*N(C20))+IF(B21="",0,IFERROR(INDEX('_Развёртки'!$C$2:$C$1358,MATCH(B21&amp;"|"&amp;H121,'_Развёртки'!$D$2:$D$1358,0)),0)*N(C21))+IF(B22="",0,IFERROR(INDEX('_Развёртки'!$C$2:$C$1358,MATCH(B22&amp;"|"&amp;H121,'_Развёртки'!$D$2:$D$1358,0)),0)*N(C22))+IF(B23="",0,IFERROR(INDEX('_Развёртки'!$C$2:$C$1358,MATCH(B23&amp;"|"&amp;H121,'_Развёртки'!$D$2:$D$1358,0)),0)*N(C23))+IF(B24="",0,IFERROR(INDEX('_Развёртки'!$C$2:$C$1358,MATCH(B24&amp;"|"&amp;H121,'_Развёртки'!$D$2:$D$1358,0)),0)*N(C24))+IF(B25="",0,IFERROR(INDEX('_Развёртки'!$C$2:$C$1358,MATCH(B25&amp;"|"&amp;H121,'_Развёртки'!$D$2:$D$1358,0)),0)*N(C25))+IF(B26="",0,IFERROR(INDEX('_Развёртки'!$C$2:$C$1358,MATCH(B26&amp;"|"&amp;H121,'_Развёртки'!$D$2:$D$1358,0)),0)*N(C26))+IF(B27="",0,IFERROR(INDEX('_Развёртки'!$C$2:$C$1358,MATCH(B27&amp;"|"&amp;H121,'_Развёртки'!$D$2:$D$1358,0)),0)*N(C27))</f>
        <v>0</v>
      </c>
      <c r="K121" s="198">
        <f>IFERROR(VLOOKUP(H121,'Сырьё'!$C$6:$E$233,3,FALSE()),IFERROR(VLOOKUP(H121,'Полупродукты'!$C$6:$E$60,3,FALSE()),0))</f>
        <v>5.6324</v>
      </c>
      <c r="L121" s="199">
        <f t="shared" si="4"/>
        <v>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1"/>
      <c r="C122" s="1"/>
      <c r="D122" s="1"/>
      <c r="E122" s="1"/>
      <c r="F122" s="1"/>
      <c r="G122" s="194">
        <v>108.0</v>
      </c>
      <c r="H122" s="195" t="s">
        <v>435</v>
      </c>
      <c r="I122" s="196" t="str">
        <f>IFERROR(VLOOKUP(H122,'Сырьё'!$C$6:$D$233,2,FALSE()),IFERROR(VLOOKUP(H122,'Полупродукты'!$C$6:$D$60,2,FALSE()),"кг"))</f>
        <v>кг</v>
      </c>
      <c r="J122" s="197">
        <f t="array" ref="J122">IF(B8="",0,IFERROR(INDEX('_Развёртки'!$C$2:$C$1358,MATCH(B8&amp;"|"&amp;H122,'_Развёртки'!$D$2:$D$1358,0)),0)*N(C8))+IF(B9="",0,IFERROR(INDEX('_Развёртки'!$C$2:$C$1358,MATCH(B9&amp;"|"&amp;H122,'_Развёртки'!$D$2:$D$1358,0)),0)*N(C9))+IF(B10="",0,IFERROR(INDEX('_Развёртки'!$C$2:$C$1358,MATCH(B10&amp;"|"&amp;H122,'_Развёртки'!$D$2:$D$1358,0)),0)*N(C10))+IF(B11="",0,IFERROR(INDEX('_Развёртки'!$C$2:$C$1358,MATCH(B11&amp;"|"&amp;H122,'_Развёртки'!$D$2:$D$1358,0)),0)*N(C11))+IF(B12="",0,IFERROR(INDEX('_Развёртки'!$C$2:$C$1358,MATCH(B12&amp;"|"&amp;H122,'_Развёртки'!$D$2:$D$1358,0)),0)*N(C12))+IF(B13="",0,IFERROR(INDEX('_Развёртки'!$C$2:$C$1358,MATCH(B13&amp;"|"&amp;H122,'_Развёртки'!$D$2:$D$1358,0)),0)*N(C13))+IF(B14="",0,IFERROR(INDEX('_Развёртки'!$C$2:$C$1358,MATCH(B14&amp;"|"&amp;H122,'_Развёртки'!$D$2:$D$1358,0)),0)*N(C14))+IF(B15="",0,IFERROR(INDEX('_Развёртки'!$C$2:$C$1358,MATCH(B15&amp;"|"&amp;H122,'_Развёртки'!$D$2:$D$1358,0)),0)*N(C15))+IF(B16="",0,IFERROR(INDEX('_Развёртки'!$C$2:$C$1358,MATCH(B16&amp;"|"&amp;H122,'_Развёртки'!$D$2:$D$1358,0)),0)*N(C16))+IF(B17="",0,IFERROR(INDEX('_Развёртки'!$C$2:$C$1358,MATCH(B17&amp;"|"&amp;H122,'_Развёртки'!$D$2:$D$1358,0)),0)*N(C17))+IF(B18="",0,IFERROR(INDEX('_Развёртки'!$C$2:$C$1358,MATCH(B18&amp;"|"&amp;H122,'_Развёртки'!$D$2:$D$1358,0)),0)*N(C18))+IF(B19="",0,IFERROR(INDEX('_Развёртки'!$C$2:$C$1358,MATCH(B19&amp;"|"&amp;H122,'_Развёртки'!$D$2:$D$1358,0)),0)*N(C19))+IF(B20="",0,IFERROR(INDEX('_Развёртки'!$C$2:$C$1358,MATCH(B20&amp;"|"&amp;H122,'_Развёртки'!$D$2:$D$1358,0)),0)*N(C20))+IF(B21="",0,IFERROR(INDEX('_Развёртки'!$C$2:$C$1358,MATCH(B21&amp;"|"&amp;H122,'_Развёртки'!$D$2:$D$1358,0)),0)*N(C21))+IF(B22="",0,IFERROR(INDEX('_Развёртки'!$C$2:$C$1358,MATCH(B22&amp;"|"&amp;H122,'_Развёртки'!$D$2:$D$1358,0)),0)*N(C22))+IF(B23="",0,IFERROR(INDEX('_Развёртки'!$C$2:$C$1358,MATCH(B23&amp;"|"&amp;H122,'_Развёртки'!$D$2:$D$1358,0)),0)*N(C23))+IF(B24="",0,IFERROR(INDEX('_Развёртки'!$C$2:$C$1358,MATCH(B24&amp;"|"&amp;H122,'_Развёртки'!$D$2:$D$1358,0)),0)*N(C24))+IF(B25="",0,IFERROR(INDEX('_Развёртки'!$C$2:$C$1358,MATCH(B25&amp;"|"&amp;H122,'_Развёртки'!$D$2:$D$1358,0)),0)*N(C25))+IF(B26="",0,IFERROR(INDEX('_Развёртки'!$C$2:$C$1358,MATCH(B26&amp;"|"&amp;H122,'_Развёртки'!$D$2:$D$1358,0)),0)*N(C26))+IF(B27="",0,IFERROR(INDEX('_Развёртки'!$C$2:$C$1358,MATCH(B27&amp;"|"&amp;H122,'_Развёртки'!$D$2:$D$1358,0)),0)*N(C27))</f>
        <v>0</v>
      </c>
      <c r="K122" s="198">
        <f>IFERROR(VLOOKUP(H122,'Сырьё'!$C$6:$E$233,3,FALSE()),IFERROR(VLOOKUP(H122,'Полупродукты'!$C$6:$E$60,3,FALSE()),0))</f>
        <v>4.42</v>
      </c>
      <c r="L122" s="199">
        <f t="shared" si="4"/>
        <v>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1"/>
      <c r="C123" s="1"/>
      <c r="D123" s="1"/>
      <c r="E123" s="1"/>
      <c r="F123" s="1"/>
      <c r="G123" s="194">
        <v>109.0</v>
      </c>
      <c r="H123" s="195" t="s">
        <v>436</v>
      </c>
      <c r="I123" s="196" t="str">
        <f>IFERROR(VLOOKUP(H123,'Сырьё'!$C$6:$D$233,2,FALSE()),IFERROR(VLOOKUP(H123,'Полупродукты'!$C$6:$D$60,2,FALSE()),"кг"))</f>
        <v>кг</v>
      </c>
      <c r="J123" s="197">
        <f t="array" ref="J123">IF(B8="",0,IFERROR(INDEX('_Развёртки'!$C$2:$C$1358,MATCH(B8&amp;"|"&amp;H123,'_Развёртки'!$D$2:$D$1358,0)),0)*N(C8))+IF(B9="",0,IFERROR(INDEX('_Развёртки'!$C$2:$C$1358,MATCH(B9&amp;"|"&amp;H123,'_Развёртки'!$D$2:$D$1358,0)),0)*N(C9))+IF(B10="",0,IFERROR(INDEX('_Развёртки'!$C$2:$C$1358,MATCH(B10&amp;"|"&amp;H123,'_Развёртки'!$D$2:$D$1358,0)),0)*N(C10))+IF(B11="",0,IFERROR(INDEX('_Развёртки'!$C$2:$C$1358,MATCH(B11&amp;"|"&amp;H123,'_Развёртки'!$D$2:$D$1358,0)),0)*N(C11))+IF(B12="",0,IFERROR(INDEX('_Развёртки'!$C$2:$C$1358,MATCH(B12&amp;"|"&amp;H123,'_Развёртки'!$D$2:$D$1358,0)),0)*N(C12))+IF(B13="",0,IFERROR(INDEX('_Развёртки'!$C$2:$C$1358,MATCH(B13&amp;"|"&amp;H123,'_Развёртки'!$D$2:$D$1358,0)),0)*N(C13))+IF(B14="",0,IFERROR(INDEX('_Развёртки'!$C$2:$C$1358,MATCH(B14&amp;"|"&amp;H123,'_Развёртки'!$D$2:$D$1358,0)),0)*N(C14))+IF(B15="",0,IFERROR(INDEX('_Развёртки'!$C$2:$C$1358,MATCH(B15&amp;"|"&amp;H123,'_Развёртки'!$D$2:$D$1358,0)),0)*N(C15))+IF(B16="",0,IFERROR(INDEX('_Развёртки'!$C$2:$C$1358,MATCH(B16&amp;"|"&amp;H123,'_Развёртки'!$D$2:$D$1358,0)),0)*N(C16))+IF(B17="",0,IFERROR(INDEX('_Развёртки'!$C$2:$C$1358,MATCH(B17&amp;"|"&amp;H123,'_Развёртки'!$D$2:$D$1358,0)),0)*N(C17))+IF(B18="",0,IFERROR(INDEX('_Развёртки'!$C$2:$C$1358,MATCH(B18&amp;"|"&amp;H123,'_Развёртки'!$D$2:$D$1358,0)),0)*N(C18))+IF(B19="",0,IFERROR(INDEX('_Развёртки'!$C$2:$C$1358,MATCH(B19&amp;"|"&amp;H123,'_Развёртки'!$D$2:$D$1358,0)),0)*N(C19))+IF(B20="",0,IFERROR(INDEX('_Развёртки'!$C$2:$C$1358,MATCH(B20&amp;"|"&amp;H123,'_Развёртки'!$D$2:$D$1358,0)),0)*N(C20))+IF(B21="",0,IFERROR(INDEX('_Развёртки'!$C$2:$C$1358,MATCH(B21&amp;"|"&amp;H123,'_Развёртки'!$D$2:$D$1358,0)),0)*N(C21))+IF(B22="",0,IFERROR(INDEX('_Развёртки'!$C$2:$C$1358,MATCH(B22&amp;"|"&amp;H123,'_Развёртки'!$D$2:$D$1358,0)),0)*N(C22))+IF(B23="",0,IFERROR(INDEX('_Развёртки'!$C$2:$C$1358,MATCH(B23&amp;"|"&amp;H123,'_Развёртки'!$D$2:$D$1358,0)),0)*N(C23))+IF(B24="",0,IFERROR(INDEX('_Развёртки'!$C$2:$C$1358,MATCH(B24&amp;"|"&amp;H123,'_Развёртки'!$D$2:$D$1358,0)),0)*N(C24))+IF(B25="",0,IFERROR(INDEX('_Развёртки'!$C$2:$C$1358,MATCH(B25&amp;"|"&amp;H123,'_Развёртки'!$D$2:$D$1358,0)),0)*N(C25))+IF(B26="",0,IFERROR(INDEX('_Развёртки'!$C$2:$C$1358,MATCH(B26&amp;"|"&amp;H123,'_Развёртки'!$D$2:$D$1358,0)),0)*N(C26))+IF(B27="",0,IFERROR(INDEX('_Развёртки'!$C$2:$C$1358,MATCH(B27&amp;"|"&amp;H123,'_Развёртки'!$D$2:$D$1358,0)),0)*N(C27))</f>
        <v>0</v>
      </c>
      <c r="K123" s="198">
        <f>IFERROR(VLOOKUP(H123,'Сырьё'!$C$6:$E$233,3,FALSE()),IFERROR(VLOOKUP(H123,'Полупродукты'!$C$6:$E$60,3,FALSE()),0))</f>
        <v>4.7655</v>
      </c>
      <c r="L123" s="199">
        <f t="shared" si="4"/>
        <v>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1"/>
      <c r="C124" s="1"/>
      <c r="D124" s="1"/>
      <c r="E124" s="1"/>
      <c r="F124" s="1"/>
      <c r="G124" s="194">
        <v>110.0</v>
      </c>
      <c r="H124" s="195" t="s">
        <v>437</v>
      </c>
      <c r="I124" s="196" t="str">
        <f>IFERROR(VLOOKUP(H124,'Сырьё'!$C$6:$D$233,2,FALSE()),IFERROR(VLOOKUP(H124,'Полупродукты'!$C$6:$D$60,2,FALSE()),"кг"))</f>
        <v>кг</v>
      </c>
      <c r="J124" s="197">
        <f t="array" ref="J124">IF(B8="",0,IFERROR(INDEX('_Развёртки'!$C$2:$C$1358,MATCH(B8&amp;"|"&amp;H124,'_Развёртки'!$D$2:$D$1358,0)),0)*N(C8))+IF(B9="",0,IFERROR(INDEX('_Развёртки'!$C$2:$C$1358,MATCH(B9&amp;"|"&amp;H124,'_Развёртки'!$D$2:$D$1358,0)),0)*N(C9))+IF(B10="",0,IFERROR(INDEX('_Развёртки'!$C$2:$C$1358,MATCH(B10&amp;"|"&amp;H124,'_Развёртки'!$D$2:$D$1358,0)),0)*N(C10))+IF(B11="",0,IFERROR(INDEX('_Развёртки'!$C$2:$C$1358,MATCH(B11&amp;"|"&amp;H124,'_Развёртки'!$D$2:$D$1358,0)),0)*N(C11))+IF(B12="",0,IFERROR(INDEX('_Развёртки'!$C$2:$C$1358,MATCH(B12&amp;"|"&amp;H124,'_Развёртки'!$D$2:$D$1358,0)),0)*N(C12))+IF(B13="",0,IFERROR(INDEX('_Развёртки'!$C$2:$C$1358,MATCH(B13&amp;"|"&amp;H124,'_Развёртки'!$D$2:$D$1358,0)),0)*N(C13))+IF(B14="",0,IFERROR(INDEX('_Развёртки'!$C$2:$C$1358,MATCH(B14&amp;"|"&amp;H124,'_Развёртки'!$D$2:$D$1358,0)),0)*N(C14))+IF(B15="",0,IFERROR(INDEX('_Развёртки'!$C$2:$C$1358,MATCH(B15&amp;"|"&amp;H124,'_Развёртки'!$D$2:$D$1358,0)),0)*N(C15))+IF(B16="",0,IFERROR(INDEX('_Развёртки'!$C$2:$C$1358,MATCH(B16&amp;"|"&amp;H124,'_Развёртки'!$D$2:$D$1358,0)),0)*N(C16))+IF(B17="",0,IFERROR(INDEX('_Развёртки'!$C$2:$C$1358,MATCH(B17&amp;"|"&amp;H124,'_Развёртки'!$D$2:$D$1358,0)),0)*N(C17))+IF(B18="",0,IFERROR(INDEX('_Развёртки'!$C$2:$C$1358,MATCH(B18&amp;"|"&amp;H124,'_Развёртки'!$D$2:$D$1358,0)),0)*N(C18))+IF(B19="",0,IFERROR(INDEX('_Развёртки'!$C$2:$C$1358,MATCH(B19&amp;"|"&amp;H124,'_Развёртки'!$D$2:$D$1358,0)),0)*N(C19))+IF(B20="",0,IFERROR(INDEX('_Развёртки'!$C$2:$C$1358,MATCH(B20&amp;"|"&amp;H124,'_Развёртки'!$D$2:$D$1358,0)),0)*N(C20))+IF(B21="",0,IFERROR(INDEX('_Развёртки'!$C$2:$C$1358,MATCH(B21&amp;"|"&amp;H124,'_Развёртки'!$D$2:$D$1358,0)),0)*N(C21))+IF(B22="",0,IFERROR(INDEX('_Развёртки'!$C$2:$C$1358,MATCH(B22&amp;"|"&amp;H124,'_Развёртки'!$D$2:$D$1358,0)),0)*N(C22))+IF(B23="",0,IFERROR(INDEX('_Развёртки'!$C$2:$C$1358,MATCH(B23&amp;"|"&amp;H124,'_Развёртки'!$D$2:$D$1358,0)),0)*N(C23))+IF(B24="",0,IFERROR(INDEX('_Развёртки'!$C$2:$C$1358,MATCH(B24&amp;"|"&amp;H124,'_Развёртки'!$D$2:$D$1358,0)),0)*N(C24))+IF(B25="",0,IFERROR(INDEX('_Развёртки'!$C$2:$C$1358,MATCH(B25&amp;"|"&amp;H124,'_Развёртки'!$D$2:$D$1358,0)),0)*N(C25))+IF(B26="",0,IFERROR(INDEX('_Развёртки'!$C$2:$C$1358,MATCH(B26&amp;"|"&amp;H124,'_Развёртки'!$D$2:$D$1358,0)),0)*N(C26))+IF(B27="",0,IFERROR(INDEX('_Развёртки'!$C$2:$C$1358,MATCH(B27&amp;"|"&amp;H124,'_Развёртки'!$D$2:$D$1358,0)),0)*N(C27))</f>
        <v>0</v>
      </c>
      <c r="K124" s="198">
        <f>IFERROR(VLOOKUP(H124,'Сырьё'!$C$6:$E$233,3,FALSE()),IFERROR(VLOOKUP(H124,'Полупродукты'!$C$6:$E$60,3,FALSE()),0))</f>
        <v>9.5985</v>
      </c>
      <c r="L124" s="199">
        <f t="shared" si="4"/>
        <v>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1"/>
      <c r="C125" s="1"/>
      <c r="D125" s="1"/>
      <c r="E125" s="1"/>
      <c r="F125" s="1"/>
      <c r="G125" s="194">
        <v>111.0</v>
      </c>
      <c r="H125" s="195" t="s">
        <v>438</v>
      </c>
      <c r="I125" s="196" t="str">
        <f>IFERROR(VLOOKUP(H125,'Сырьё'!$C$6:$D$233,2,FALSE()),IFERROR(VLOOKUP(H125,'Полупродукты'!$C$6:$D$60,2,FALSE()),"кг"))</f>
        <v>кг</v>
      </c>
      <c r="J125" s="197">
        <f t="array" ref="J125">IF(B8="",0,IFERROR(INDEX('_Развёртки'!$C$2:$C$1358,MATCH(B8&amp;"|"&amp;H125,'_Развёртки'!$D$2:$D$1358,0)),0)*N(C8))+IF(B9="",0,IFERROR(INDEX('_Развёртки'!$C$2:$C$1358,MATCH(B9&amp;"|"&amp;H125,'_Развёртки'!$D$2:$D$1358,0)),0)*N(C9))+IF(B10="",0,IFERROR(INDEX('_Развёртки'!$C$2:$C$1358,MATCH(B10&amp;"|"&amp;H125,'_Развёртки'!$D$2:$D$1358,0)),0)*N(C10))+IF(B11="",0,IFERROR(INDEX('_Развёртки'!$C$2:$C$1358,MATCH(B11&amp;"|"&amp;H125,'_Развёртки'!$D$2:$D$1358,0)),0)*N(C11))+IF(B12="",0,IFERROR(INDEX('_Развёртки'!$C$2:$C$1358,MATCH(B12&amp;"|"&amp;H125,'_Развёртки'!$D$2:$D$1358,0)),0)*N(C12))+IF(B13="",0,IFERROR(INDEX('_Развёртки'!$C$2:$C$1358,MATCH(B13&amp;"|"&amp;H125,'_Развёртки'!$D$2:$D$1358,0)),0)*N(C13))+IF(B14="",0,IFERROR(INDEX('_Развёртки'!$C$2:$C$1358,MATCH(B14&amp;"|"&amp;H125,'_Развёртки'!$D$2:$D$1358,0)),0)*N(C14))+IF(B15="",0,IFERROR(INDEX('_Развёртки'!$C$2:$C$1358,MATCH(B15&amp;"|"&amp;H125,'_Развёртки'!$D$2:$D$1358,0)),0)*N(C15))+IF(B16="",0,IFERROR(INDEX('_Развёртки'!$C$2:$C$1358,MATCH(B16&amp;"|"&amp;H125,'_Развёртки'!$D$2:$D$1358,0)),0)*N(C16))+IF(B17="",0,IFERROR(INDEX('_Развёртки'!$C$2:$C$1358,MATCH(B17&amp;"|"&amp;H125,'_Развёртки'!$D$2:$D$1358,0)),0)*N(C17))+IF(B18="",0,IFERROR(INDEX('_Развёртки'!$C$2:$C$1358,MATCH(B18&amp;"|"&amp;H125,'_Развёртки'!$D$2:$D$1358,0)),0)*N(C18))+IF(B19="",0,IFERROR(INDEX('_Развёртки'!$C$2:$C$1358,MATCH(B19&amp;"|"&amp;H125,'_Развёртки'!$D$2:$D$1358,0)),0)*N(C19))+IF(B20="",0,IFERROR(INDEX('_Развёртки'!$C$2:$C$1358,MATCH(B20&amp;"|"&amp;H125,'_Развёртки'!$D$2:$D$1358,0)),0)*N(C20))+IF(B21="",0,IFERROR(INDEX('_Развёртки'!$C$2:$C$1358,MATCH(B21&amp;"|"&amp;H125,'_Развёртки'!$D$2:$D$1358,0)),0)*N(C21))+IF(B22="",0,IFERROR(INDEX('_Развёртки'!$C$2:$C$1358,MATCH(B22&amp;"|"&amp;H125,'_Развёртки'!$D$2:$D$1358,0)),0)*N(C22))+IF(B23="",0,IFERROR(INDEX('_Развёртки'!$C$2:$C$1358,MATCH(B23&amp;"|"&amp;H125,'_Развёртки'!$D$2:$D$1358,0)),0)*N(C23))+IF(B24="",0,IFERROR(INDEX('_Развёртки'!$C$2:$C$1358,MATCH(B24&amp;"|"&amp;H125,'_Развёртки'!$D$2:$D$1358,0)),0)*N(C24))+IF(B25="",0,IFERROR(INDEX('_Развёртки'!$C$2:$C$1358,MATCH(B25&amp;"|"&amp;H125,'_Развёртки'!$D$2:$D$1358,0)),0)*N(C25))+IF(B26="",0,IFERROR(INDEX('_Развёртки'!$C$2:$C$1358,MATCH(B26&amp;"|"&amp;H125,'_Развёртки'!$D$2:$D$1358,0)),0)*N(C26))+IF(B27="",0,IFERROR(INDEX('_Развёртки'!$C$2:$C$1358,MATCH(B27&amp;"|"&amp;H125,'_Развёртки'!$D$2:$D$1358,0)),0)*N(C27))</f>
        <v>0</v>
      </c>
      <c r="K125" s="198">
        <f>IFERROR(VLOOKUP(H125,'Сырьё'!$C$6:$E$233,3,FALSE()),IFERROR(VLOOKUP(H125,'Полупродукты'!$C$6:$E$60,3,FALSE()),0))</f>
        <v>6.8353</v>
      </c>
      <c r="L125" s="199">
        <f t="shared" si="4"/>
        <v>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1"/>
      <c r="C126" s="1"/>
      <c r="D126" s="1"/>
      <c r="E126" s="1"/>
      <c r="F126" s="1"/>
      <c r="G126" s="194">
        <v>112.0</v>
      </c>
      <c r="H126" s="195" t="s">
        <v>439</v>
      </c>
      <c r="I126" s="196" t="str">
        <f>IFERROR(VLOOKUP(H126,'Сырьё'!$C$6:$D$233,2,FALSE()),IFERROR(VLOOKUP(H126,'Полупродукты'!$C$6:$D$60,2,FALSE()),"кг"))</f>
        <v>кг</v>
      </c>
      <c r="J126" s="197">
        <f t="array" ref="J126">IF(B8="",0,IFERROR(INDEX('_Развёртки'!$C$2:$C$1358,MATCH(B8&amp;"|"&amp;H126,'_Развёртки'!$D$2:$D$1358,0)),0)*N(C8))+IF(B9="",0,IFERROR(INDEX('_Развёртки'!$C$2:$C$1358,MATCH(B9&amp;"|"&amp;H126,'_Развёртки'!$D$2:$D$1358,0)),0)*N(C9))+IF(B10="",0,IFERROR(INDEX('_Развёртки'!$C$2:$C$1358,MATCH(B10&amp;"|"&amp;H126,'_Развёртки'!$D$2:$D$1358,0)),0)*N(C10))+IF(B11="",0,IFERROR(INDEX('_Развёртки'!$C$2:$C$1358,MATCH(B11&amp;"|"&amp;H126,'_Развёртки'!$D$2:$D$1358,0)),0)*N(C11))+IF(B12="",0,IFERROR(INDEX('_Развёртки'!$C$2:$C$1358,MATCH(B12&amp;"|"&amp;H126,'_Развёртки'!$D$2:$D$1358,0)),0)*N(C12))+IF(B13="",0,IFERROR(INDEX('_Развёртки'!$C$2:$C$1358,MATCH(B13&amp;"|"&amp;H126,'_Развёртки'!$D$2:$D$1358,0)),0)*N(C13))+IF(B14="",0,IFERROR(INDEX('_Развёртки'!$C$2:$C$1358,MATCH(B14&amp;"|"&amp;H126,'_Развёртки'!$D$2:$D$1358,0)),0)*N(C14))+IF(B15="",0,IFERROR(INDEX('_Развёртки'!$C$2:$C$1358,MATCH(B15&amp;"|"&amp;H126,'_Развёртки'!$D$2:$D$1358,0)),0)*N(C15))+IF(B16="",0,IFERROR(INDEX('_Развёртки'!$C$2:$C$1358,MATCH(B16&amp;"|"&amp;H126,'_Развёртки'!$D$2:$D$1358,0)),0)*N(C16))+IF(B17="",0,IFERROR(INDEX('_Развёртки'!$C$2:$C$1358,MATCH(B17&amp;"|"&amp;H126,'_Развёртки'!$D$2:$D$1358,0)),0)*N(C17))+IF(B18="",0,IFERROR(INDEX('_Развёртки'!$C$2:$C$1358,MATCH(B18&amp;"|"&amp;H126,'_Развёртки'!$D$2:$D$1358,0)),0)*N(C18))+IF(B19="",0,IFERROR(INDEX('_Развёртки'!$C$2:$C$1358,MATCH(B19&amp;"|"&amp;H126,'_Развёртки'!$D$2:$D$1358,0)),0)*N(C19))+IF(B20="",0,IFERROR(INDEX('_Развёртки'!$C$2:$C$1358,MATCH(B20&amp;"|"&amp;H126,'_Развёртки'!$D$2:$D$1358,0)),0)*N(C20))+IF(B21="",0,IFERROR(INDEX('_Развёртки'!$C$2:$C$1358,MATCH(B21&amp;"|"&amp;H126,'_Развёртки'!$D$2:$D$1358,0)),0)*N(C21))+IF(B22="",0,IFERROR(INDEX('_Развёртки'!$C$2:$C$1358,MATCH(B22&amp;"|"&amp;H126,'_Развёртки'!$D$2:$D$1358,0)),0)*N(C22))+IF(B23="",0,IFERROR(INDEX('_Развёртки'!$C$2:$C$1358,MATCH(B23&amp;"|"&amp;H126,'_Развёртки'!$D$2:$D$1358,0)),0)*N(C23))+IF(B24="",0,IFERROR(INDEX('_Развёртки'!$C$2:$C$1358,MATCH(B24&amp;"|"&amp;H126,'_Развёртки'!$D$2:$D$1358,0)),0)*N(C24))+IF(B25="",0,IFERROR(INDEX('_Развёртки'!$C$2:$C$1358,MATCH(B25&amp;"|"&amp;H126,'_Развёртки'!$D$2:$D$1358,0)),0)*N(C25))+IF(B26="",0,IFERROR(INDEX('_Развёртки'!$C$2:$C$1358,MATCH(B26&amp;"|"&amp;H126,'_Развёртки'!$D$2:$D$1358,0)),0)*N(C26))+IF(B27="",0,IFERROR(INDEX('_Развёртки'!$C$2:$C$1358,MATCH(B27&amp;"|"&amp;H126,'_Развёртки'!$D$2:$D$1358,0)),0)*N(C27))</f>
        <v>0</v>
      </c>
      <c r="K126" s="198">
        <f>IFERROR(VLOOKUP(H126,'Сырьё'!$C$6:$E$233,3,FALSE()),IFERROR(VLOOKUP(H126,'Полупродукты'!$C$6:$E$60,3,FALSE()),0))</f>
        <v>12.1824</v>
      </c>
      <c r="L126" s="199">
        <f t="shared" si="4"/>
        <v>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1"/>
      <c r="C127" s="1"/>
      <c r="D127" s="1"/>
      <c r="E127" s="1"/>
      <c r="F127" s="1"/>
      <c r="G127" s="194">
        <v>113.0</v>
      </c>
      <c r="H127" s="195" t="s">
        <v>440</v>
      </c>
      <c r="I127" s="196" t="str">
        <f>IFERROR(VLOOKUP(H127,'Сырьё'!$C$6:$D$233,2,FALSE()),IFERROR(VLOOKUP(H127,'Полупродукты'!$C$6:$D$60,2,FALSE()),"кг"))</f>
        <v>кг</v>
      </c>
      <c r="J127" s="197">
        <f t="array" ref="J127">IF(B8="",0,IFERROR(INDEX('_Развёртки'!$C$2:$C$1358,MATCH(B8&amp;"|"&amp;H127,'_Развёртки'!$D$2:$D$1358,0)),0)*N(C8))+IF(B9="",0,IFERROR(INDEX('_Развёртки'!$C$2:$C$1358,MATCH(B9&amp;"|"&amp;H127,'_Развёртки'!$D$2:$D$1358,0)),0)*N(C9))+IF(B10="",0,IFERROR(INDEX('_Развёртки'!$C$2:$C$1358,MATCH(B10&amp;"|"&amp;H127,'_Развёртки'!$D$2:$D$1358,0)),0)*N(C10))+IF(B11="",0,IFERROR(INDEX('_Развёртки'!$C$2:$C$1358,MATCH(B11&amp;"|"&amp;H127,'_Развёртки'!$D$2:$D$1358,0)),0)*N(C11))+IF(B12="",0,IFERROR(INDEX('_Развёртки'!$C$2:$C$1358,MATCH(B12&amp;"|"&amp;H127,'_Развёртки'!$D$2:$D$1358,0)),0)*N(C12))+IF(B13="",0,IFERROR(INDEX('_Развёртки'!$C$2:$C$1358,MATCH(B13&amp;"|"&amp;H127,'_Развёртки'!$D$2:$D$1358,0)),0)*N(C13))+IF(B14="",0,IFERROR(INDEX('_Развёртки'!$C$2:$C$1358,MATCH(B14&amp;"|"&amp;H127,'_Развёртки'!$D$2:$D$1358,0)),0)*N(C14))+IF(B15="",0,IFERROR(INDEX('_Развёртки'!$C$2:$C$1358,MATCH(B15&amp;"|"&amp;H127,'_Развёртки'!$D$2:$D$1358,0)),0)*N(C15))+IF(B16="",0,IFERROR(INDEX('_Развёртки'!$C$2:$C$1358,MATCH(B16&amp;"|"&amp;H127,'_Развёртки'!$D$2:$D$1358,0)),0)*N(C16))+IF(B17="",0,IFERROR(INDEX('_Развёртки'!$C$2:$C$1358,MATCH(B17&amp;"|"&amp;H127,'_Развёртки'!$D$2:$D$1358,0)),0)*N(C17))+IF(B18="",0,IFERROR(INDEX('_Развёртки'!$C$2:$C$1358,MATCH(B18&amp;"|"&amp;H127,'_Развёртки'!$D$2:$D$1358,0)),0)*N(C18))+IF(B19="",0,IFERROR(INDEX('_Развёртки'!$C$2:$C$1358,MATCH(B19&amp;"|"&amp;H127,'_Развёртки'!$D$2:$D$1358,0)),0)*N(C19))+IF(B20="",0,IFERROR(INDEX('_Развёртки'!$C$2:$C$1358,MATCH(B20&amp;"|"&amp;H127,'_Развёртки'!$D$2:$D$1358,0)),0)*N(C20))+IF(B21="",0,IFERROR(INDEX('_Развёртки'!$C$2:$C$1358,MATCH(B21&amp;"|"&amp;H127,'_Развёртки'!$D$2:$D$1358,0)),0)*N(C21))+IF(B22="",0,IFERROR(INDEX('_Развёртки'!$C$2:$C$1358,MATCH(B22&amp;"|"&amp;H127,'_Развёртки'!$D$2:$D$1358,0)),0)*N(C22))+IF(B23="",0,IFERROR(INDEX('_Развёртки'!$C$2:$C$1358,MATCH(B23&amp;"|"&amp;H127,'_Развёртки'!$D$2:$D$1358,0)),0)*N(C23))+IF(B24="",0,IFERROR(INDEX('_Развёртки'!$C$2:$C$1358,MATCH(B24&amp;"|"&amp;H127,'_Развёртки'!$D$2:$D$1358,0)),0)*N(C24))+IF(B25="",0,IFERROR(INDEX('_Развёртки'!$C$2:$C$1358,MATCH(B25&amp;"|"&amp;H127,'_Развёртки'!$D$2:$D$1358,0)),0)*N(C25))+IF(B26="",0,IFERROR(INDEX('_Развёртки'!$C$2:$C$1358,MATCH(B26&amp;"|"&amp;H127,'_Развёртки'!$D$2:$D$1358,0)),0)*N(C26))+IF(B27="",0,IFERROR(INDEX('_Развёртки'!$C$2:$C$1358,MATCH(B27&amp;"|"&amp;H127,'_Развёртки'!$D$2:$D$1358,0)),0)*N(C27))</f>
        <v>0</v>
      </c>
      <c r="K127" s="198">
        <f>IFERROR(VLOOKUP(H127,'Сырьё'!$C$6:$E$233,3,FALSE()),IFERROR(VLOOKUP(H127,'Полупродукты'!$C$6:$E$60,3,FALSE()),0))</f>
        <v>9.8086</v>
      </c>
      <c r="L127" s="199">
        <f t="shared" si="4"/>
        <v>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1"/>
      <c r="C128" s="1"/>
      <c r="D128" s="1"/>
      <c r="E128" s="1"/>
      <c r="F128" s="1"/>
      <c r="G128" s="194">
        <v>114.0</v>
      </c>
      <c r="H128" s="200" t="s">
        <v>441</v>
      </c>
      <c r="I128" s="196" t="str">
        <f>IFERROR(VLOOKUP(H128,'Сырьё'!$C$6:$D$233,2,FALSE()),IFERROR(VLOOKUP(H128,'Полупродукты'!$C$6:$D$60,2,FALSE()),"кг"))</f>
        <v>кг</v>
      </c>
      <c r="J128" s="197">
        <f t="array" ref="J128">IF(B8="",0,IFERROR(INDEX('_Развёртки'!$C$2:$C$1358,MATCH(B8&amp;"|"&amp;H128,'_Развёртки'!$D$2:$D$1358,0)),0)*N(C8))+IF(B9="",0,IFERROR(INDEX('_Развёртки'!$C$2:$C$1358,MATCH(B9&amp;"|"&amp;H128,'_Развёртки'!$D$2:$D$1358,0)),0)*N(C9))+IF(B10="",0,IFERROR(INDEX('_Развёртки'!$C$2:$C$1358,MATCH(B10&amp;"|"&amp;H128,'_Развёртки'!$D$2:$D$1358,0)),0)*N(C10))+IF(B11="",0,IFERROR(INDEX('_Развёртки'!$C$2:$C$1358,MATCH(B11&amp;"|"&amp;H128,'_Развёртки'!$D$2:$D$1358,0)),0)*N(C11))+IF(B12="",0,IFERROR(INDEX('_Развёртки'!$C$2:$C$1358,MATCH(B12&amp;"|"&amp;H128,'_Развёртки'!$D$2:$D$1358,0)),0)*N(C12))+IF(B13="",0,IFERROR(INDEX('_Развёртки'!$C$2:$C$1358,MATCH(B13&amp;"|"&amp;H128,'_Развёртки'!$D$2:$D$1358,0)),0)*N(C13))+IF(B14="",0,IFERROR(INDEX('_Развёртки'!$C$2:$C$1358,MATCH(B14&amp;"|"&amp;H128,'_Развёртки'!$D$2:$D$1358,0)),0)*N(C14))+IF(B15="",0,IFERROR(INDEX('_Развёртки'!$C$2:$C$1358,MATCH(B15&amp;"|"&amp;H128,'_Развёртки'!$D$2:$D$1358,0)),0)*N(C15))+IF(B16="",0,IFERROR(INDEX('_Развёртки'!$C$2:$C$1358,MATCH(B16&amp;"|"&amp;H128,'_Развёртки'!$D$2:$D$1358,0)),0)*N(C16))+IF(B17="",0,IFERROR(INDEX('_Развёртки'!$C$2:$C$1358,MATCH(B17&amp;"|"&amp;H128,'_Развёртки'!$D$2:$D$1358,0)),0)*N(C17))+IF(B18="",0,IFERROR(INDEX('_Развёртки'!$C$2:$C$1358,MATCH(B18&amp;"|"&amp;H128,'_Развёртки'!$D$2:$D$1358,0)),0)*N(C18))+IF(B19="",0,IFERROR(INDEX('_Развёртки'!$C$2:$C$1358,MATCH(B19&amp;"|"&amp;H128,'_Развёртки'!$D$2:$D$1358,0)),0)*N(C19))+IF(B20="",0,IFERROR(INDEX('_Развёртки'!$C$2:$C$1358,MATCH(B20&amp;"|"&amp;H128,'_Развёртки'!$D$2:$D$1358,0)),0)*N(C20))+IF(B21="",0,IFERROR(INDEX('_Развёртки'!$C$2:$C$1358,MATCH(B21&amp;"|"&amp;H128,'_Развёртки'!$D$2:$D$1358,0)),0)*N(C21))+IF(B22="",0,IFERROR(INDEX('_Развёртки'!$C$2:$C$1358,MATCH(B22&amp;"|"&amp;H128,'_Развёртки'!$D$2:$D$1358,0)),0)*N(C22))+IF(B23="",0,IFERROR(INDEX('_Развёртки'!$C$2:$C$1358,MATCH(B23&amp;"|"&amp;H128,'_Развёртки'!$D$2:$D$1358,0)),0)*N(C23))+IF(B24="",0,IFERROR(INDEX('_Развёртки'!$C$2:$C$1358,MATCH(B24&amp;"|"&amp;H128,'_Развёртки'!$D$2:$D$1358,0)),0)*N(C24))+IF(B25="",0,IFERROR(INDEX('_Развёртки'!$C$2:$C$1358,MATCH(B25&amp;"|"&amp;H128,'_Развёртки'!$D$2:$D$1358,0)),0)*N(C25))+IF(B26="",0,IFERROR(INDEX('_Развёртки'!$C$2:$C$1358,MATCH(B26&amp;"|"&amp;H128,'_Развёртки'!$D$2:$D$1358,0)),0)*N(C26))+IF(B27="",0,IFERROR(INDEX('_Развёртки'!$C$2:$C$1358,MATCH(B27&amp;"|"&amp;H128,'_Развёртки'!$D$2:$D$1358,0)),0)*N(C27))</f>
        <v>241.02</v>
      </c>
      <c r="K128" s="198">
        <f>IFERROR(VLOOKUP(H128,'Сырьё'!$C$6:$E$233,3,FALSE()),IFERROR(VLOOKUP(H128,'Полупродукты'!$C$6:$E$60,3,FALSE()),0))</f>
        <v>3.6225</v>
      </c>
      <c r="L128" s="199">
        <f t="shared" si="4"/>
        <v>873.09495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1"/>
      <c r="C129" s="1"/>
      <c r="D129" s="1"/>
      <c r="E129" s="1"/>
      <c r="F129" s="1"/>
      <c r="G129" s="194">
        <v>115.0</v>
      </c>
      <c r="H129" s="195" t="s">
        <v>442</v>
      </c>
      <c r="I129" s="196" t="str">
        <f>IFERROR(VLOOKUP(H129,'Сырьё'!$C$6:$D$233,2,FALSE()),IFERROR(VLOOKUP(H129,'Полупродукты'!$C$6:$D$60,2,FALSE()),"кг"))</f>
        <v>кг</v>
      </c>
      <c r="J129" s="197">
        <f t="array" ref="J129">IF(B8="",0,IFERROR(INDEX('_Развёртки'!$C$2:$C$1358,MATCH(B8&amp;"|"&amp;H129,'_Развёртки'!$D$2:$D$1358,0)),0)*N(C8))+IF(B9="",0,IFERROR(INDEX('_Развёртки'!$C$2:$C$1358,MATCH(B9&amp;"|"&amp;H129,'_Развёртки'!$D$2:$D$1358,0)),0)*N(C9))+IF(B10="",0,IFERROR(INDEX('_Развёртки'!$C$2:$C$1358,MATCH(B10&amp;"|"&amp;H129,'_Развёртки'!$D$2:$D$1358,0)),0)*N(C10))+IF(B11="",0,IFERROR(INDEX('_Развёртки'!$C$2:$C$1358,MATCH(B11&amp;"|"&amp;H129,'_Развёртки'!$D$2:$D$1358,0)),0)*N(C11))+IF(B12="",0,IFERROR(INDEX('_Развёртки'!$C$2:$C$1358,MATCH(B12&amp;"|"&amp;H129,'_Развёртки'!$D$2:$D$1358,0)),0)*N(C12))+IF(B13="",0,IFERROR(INDEX('_Развёртки'!$C$2:$C$1358,MATCH(B13&amp;"|"&amp;H129,'_Развёртки'!$D$2:$D$1358,0)),0)*N(C13))+IF(B14="",0,IFERROR(INDEX('_Развёртки'!$C$2:$C$1358,MATCH(B14&amp;"|"&amp;H129,'_Развёртки'!$D$2:$D$1358,0)),0)*N(C14))+IF(B15="",0,IFERROR(INDEX('_Развёртки'!$C$2:$C$1358,MATCH(B15&amp;"|"&amp;H129,'_Развёртки'!$D$2:$D$1358,0)),0)*N(C15))+IF(B16="",0,IFERROR(INDEX('_Развёртки'!$C$2:$C$1358,MATCH(B16&amp;"|"&amp;H129,'_Развёртки'!$D$2:$D$1358,0)),0)*N(C16))+IF(B17="",0,IFERROR(INDEX('_Развёртки'!$C$2:$C$1358,MATCH(B17&amp;"|"&amp;H129,'_Развёртки'!$D$2:$D$1358,0)),0)*N(C17))+IF(B18="",0,IFERROR(INDEX('_Развёртки'!$C$2:$C$1358,MATCH(B18&amp;"|"&amp;H129,'_Развёртки'!$D$2:$D$1358,0)),0)*N(C18))+IF(B19="",0,IFERROR(INDEX('_Развёртки'!$C$2:$C$1358,MATCH(B19&amp;"|"&amp;H129,'_Развёртки'!$D$2:$D$1358,0)),0)*N(C19))+IF(B20="",0,IFERROR(INDEX('_Развёртки'!$C$2:$C$1358,MATCH(B20&amp;"|"&amp;H129,'_Развёртки'!$D$2:$D$1358,0)),0)*N(C20))+IF(B21="",0,IFERROR(INDEX('_Развёртки'!$C$2:$C$1358,MATCH(B21&amp;"|"&amp;H129,'_Развёртки'!$D$2:$D$1358,0)),0)*N(C21))+IF(B22="",0,IFERROR(INDEX('_Развёртки'!$C$2:$C$1358,MATCH(B22&amp;"|"&amp;H129,'_Развёртки'!$D$2:$D$1358,0)),0)*N(C22))+IF(B23="",0,IFERROR(INDEX('_Развёртки'!$C$2:$C$1358,MATCH(B23&amp;"|"&amp;H129,'_Развёртки'!$D$2:$D$1358,0)),0)*N(C23))+IF(B24="",0,IFERROR(INDEX('_Развёртки'!$C$2:$C$1358,MATCH(B24&amp;"|"&amp;H129,'_Развёртки'!$D$2:$D$1358,0)),0)*N(C24))+IF(B25="",0,IFERROR(INDEX('_Развёртки'!$C$2:$C$1358,MATCH(B25&amp;"|"&amp;H129,'_Развёртки'!$D$2:$D$1358,0)),0)*N(C25))+IF(B26="",0,IFERROR(INDEX('_Развёртки'!$C$2:$C$1358,MATCH(B26&amp;"|"&amp;H129,'_Развёртки'!$D$2:$D$1358,0)),0)*N(C26))+IF(B27="",0,IFERROR(INDEX('_Развёртки'!$C$2:$C$1358,MATCH(B27&amp;"|"&amp;H129,'_Развёртки'!$D$2:$D$1358,0)),0)*N(C27))</f>
        <v>0</v>
      </c>
      <c r="K129" s="198">
        <f>IFERROR(VLOOKUP(H129,'Сырьё'!$C$6:$E$233,3,FALSE()),IFERROR(VLOOKUP(H129,'Полупродукты'!$C$6:$E$60,3,FALSE()),0))</f>
        <v>5.6683</v>
      </c>
      <c r="L129" s="199">
        <f t="shared" si="4"/>
        <v>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201" t="s">
        <v>598</v>
      </c>
      <c r="C130" s="1"/>
      <c r="D130" s="1"/>
      <c r="E130" s="1"/>
      <c r="F130" s="1"/>
      <c r="G130" s="194">
        <v>116.0</v>
      </c>
      <c r="H130" s="195" t="s">
        <v>443</v>
      </c>
      <c r="I130" s="196" t="str">
        <f>IFERROR(VLOOKUP(H130,'Сырьё'!$C$6:$D$233,2,FALSE()),IFERROR(VLOOKUP(H130,'Полупродукты'!$C$6:$D$60,2,FALSE()),"кг"))</f>
        <v>кг</v>
      </c>
      <c r="J130" s="197">
        <f t="array" ref="J130">IF(B8="",0,IFERROR(INDEX('_Развёртки'!$C$2:$C$1358,MATCH(B8&amp;"|"&amp;H130,'_Развёртки'!$D$2:$D$1358,0)),0)*N(C8))+IF(B9="",0,IFERROR(INDEX('_Развёртки'!$C$2:$C$1358,MATCH(B9&amp;"|"&amp;H130,'_Развёртки'!$D$2:$D$1358,0)),0)*N(C9))+IF(B10="",0,IFERROR(INDEX('_Развёртки'!$C$2:$C$1358,MATCH(B10&amp;"|"&amp;H130,'_Развёртки'!$D$2:$D$1358,0)),0)*N(C10))+IF(B11="",0,IFERROR(INDEX('_Развёртки'!$C$2:$C$1358,MATCH(B11&amp;"|"&amp;H130,'_Развёртки'!$D$2:$D$1358,0)),0)*N(C11))+IF(B12="",0,IFERROR(INDEX('_Развёртки'!$C$2:$C$1358,MATCH(B12&amp;"|"&amp;H130,'_Развёртки'!$D$2:$D$1358,0)),0)*N(C12))+IF(B13="",0,IFERROR(INDEX('_Развёртки'!$C$2:$C$1358,MATCH(B13&amp;"|"&amp;H130,'_Развёртки'!$D$2:$D$1358,0)),0)*N(C13))+IF(B14="",0,IFERROR(INDEX('_Развёртки'!$C$2:$C$1358,MATCH(B14&amp;"|"&amp;H130,'_Развёртки'!$D$2:$D$1358,0)),0)*N(C14))+IF(B15="",0,IFERROR(INDEX('_Развёртки'!$C$2:$C$1358,MATCH(B15&amp;"|"&amp;H130,'_Развёртки'!$D$2:$D$1358,0)),0)*N(C15))+IF(B16="",0,IFERROR(INDEX('_Развёртки'!$C$2:$C$1358,MATCH(B16&amp;"|"&amp;H130,'_Развёртки'!$D$2:$D$1358,0)),0)*N(C16))+IF(B17="",0,IFERROR(INDEX('_Развёртки'!$C$2:$C$1358,MATCH(B17&amp;"|"&amp;H130,'_Развёртки'!$D$2:$D$1358,0)),0)*N(C17))+IF(B18="",0,IFERROR(INDEX('_Развёртки'!$C$2:$C$1358,MATCH(B18&amp;"|"&amp;H130,'_Развёртки'!$D$2:$D$1358,0)),0)*N(C18))+IF(B19="",0,IFERROR(INDEX('_Развёртки'!$C$2:$C$1358,MATCH(B19&amp;"|"&amp;H130,'_Развёртки'!$D$2:$D$1358,0)),0)*N(C19))+IF(B20="",0,IFERROR(INDEX('_Развёртки'!$C$2:$C$1358,MATCH(B20&amp;"|"&amp;H130,'_Развёртки'!$D$2:$D$1358,0)),0)*N(C20))+IF(B21="",0,IFERROR(INDEX('_Развёртки'!$C$2:$C$1358,MATCH(B21&amp;"|"&amp;H130,'_Развёртки'!$D$2:$D$1358,0)),0)*N(C21))+IF(B22="",0,IFERROR(INDEX('_Развёртки'!$C$2:$C$1358,MATCH(B22&amp;"|"&amp;H130,'_Развёртки'!$D$2:$D$1358,0)),0)*N(C22))+IF(B23="",0,IFERROR(INDEX('_Развёртки'!$C$2:$C$1358,MATCH(B23&amp;"|"&amp;H130,'_Развёртки'!$D$2:$D$1358,0)),0)*N(C23))+IF(B24="",0,IFERROR(INDEX('_Развёртки'!$C$2:$C$1358,MATCH(B24&amp;"|"&amp;H130,'_Развёртки'!$D$2:$D$1358,0)),0)*N(C24))+IF(B25="",0,IFERROR(INDEX('_Развёртки'!$C$2:$C$1358,MATCH(B25&amp;"|"&amp;H130,'_Развёртки'!$D$2:$D$1358,0)),0)*N(C25))+IF(B26="",0,IFERROR(INDEX('_Развёртки'!$C$2:$C$1358,MATCH(B26&amp;"|"&amp;H130,'_Развёртки'!$D$2:$D$1358,0)),0)*N(C26))+IF(B27="",0,IFERROR(INDEX('_Развёртки'!$C$2:$C$1358,MATCH(B27&amp;"|"&amp;H130,'_Развёртки'!$D$2:$D$1358,0)),0)*N(C27))</f>
        <v>0</v>
      </c>
      <c r="K130" s="198">
        <f>IFERROR(VLOOKUP(H130,'Сырьё'!$C$6:$E$233,3,FALSE()),IFERROR(VLOOKUP(H130,'Полупродукты'!$C$6:$E$60,3,FALSE()),0))</f>
        <v>3.4782</v>
      </c>
      <c r="L130" s="199">
        <f t="shared" si="4"/>
        <v>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1"/>
      <c r="C131" s="1"/>
      <c r="D131" s="1"/>
      <c r="E131" s="1"/>
      <c r="F131" s="1"/>
      <c r="G131" s="194">
        <v>117.0</v>
      </c>
      <c r="H131" s="195" t="s">
        <v>444</v>
      </c>
      <c r="I131" s="196" t="str">
        <f>IFERROR(VLOOKUP(H131,'Сырьё'!$C$6:$D$233,2,FALSE()),IFERROR(VLOOKUP(H131,'Полупродукты'!$C$6:$D$60,2,FALSE()),"кг"))</f>
        <v>кг</v>
      </c>
      <c r="J131" s="197">
        <f t="array" ref="J131">IF(B8="",0,IFERROR(INDEX('_Развёртки'!$C$2:$C$1358,MATCH(B8&amp;"|"&amp;H131,'_Развёртки'!$D$2:$D$1358,0)),0)*N(C8))+IF(B9="",0,IFERROR(INDEX('_Развёртки'!$C$2:$C$1358,MATCH(B9&amp;"|"&amp;H131,'_Развёртки'!$D$2:$D$1358,0)),0)*N(C9))+IF(B10="",0,IFERROR(INDEX('_Развёртки'!$C$2:$C$1358,MATCH(B10&amp;"|"&amp;H131,'_Развёртки'!$D$2:$D$1358,0)),0)*N(C10))+IF(B11="",0,IFERROR(INDEX('_Развёртки'!$C$2:$C$1358,MATCH(B11&amp;"|"&amp;H131,'_Развёртки'!$D$2:$D$1358,0)),0)*N(C11))+IF(B12="",0,IFERROR(INDEX('_Развёртки'!$C$2:$C$1358,MATCH(B12&amp;"|"&amp;H131,'_Развёртки'!$D$2:$D$1358,0)),0)*N(C12))+IF(B13="",0,IFERROR(INDEX('_Развёртки'!$C$2:$C$1358,MATCH(B13&amp;"|"&amp;H131,'_Развёртки'!$D$2:$D$1358,0)),0)*N(C13))+IF(B14="",0,IFERROR(INDEX('_Развёртки'!$C$2:$C$1358,MATCH(B14&amp;"|"&amp;H131,'_Развёртки'!$D$2:$D$1358,0)),0)*N(C14))+IF(B15="",0,IFERROR(INDEX('_Развёртки'!$C$2:$C$1358,MATCH(B15&amp;"|"&amp;H131,'_Развёртки'!$D$2:$D$1358,0)),0)*N(C15))+IF(B16="",0,IFERROR(INDEX('_Развёртки'!$C$2:$C$1358,MATCH(B16&amp;"|"&amp;H131,'_Развёртки'!$D$2:$D$1358,0)),0)*N(C16))+IF(B17="",0,IFERROR(INDEX('_Развёртки'!$C$2:$C$1358,MATCH(B17&amp;"|"&amp;H131,'_Развёртки'!$D$2:$D$1358,0)),0)*N(C17))+IF(B18="",0,IFERROR(INDEX('_Развёртки'!$C$2:$C$1358,MATCH(B18&amp;"|"&amp;H131,'_Развёртки'!$D$2:$D$1358,0)),0)*N(C18))+IF(B19="",0,IFERROR(INDEX('_Развёртки'!$C$2:$C$1358,MATCH(B19&amp;"|"&amp;H131,'_Развёртки'!$D$2:$D$1358,0)),0)*N(C19))+IF(B20="",0,IFERROR(INDEX('_Развёртки'!$C$2:$C$1358,MATCH(B20&amp;"|"&amp;H131,'_Развёртки'!$D$2:$D$1358,0)),0)*N(C20))+IF(B21="",0,IFERROR(INDEX('_Развёртки'!$C$2:$C$1358,MATCH(B21&amp;"|"&amp;H131,'_Развёртки'!$D$2:$D$1358,0)),0)*N(C21))+IF(B22="",0,IFERROR(INDEX('_Развёртки'!$C$2:$C$1358,MATCH(B22&amp;"|"&amp;H131,'_Развёртки'!$D$2:$D$1358,0)),0)*N(C22))+IF(B23="",0,IFERROR(INDEX('_Развёртки'!$C$2:$C$1358,MATCH(B23&amp;"|"&amp;H131,'_Развёртки'!$D$2:$D$1358,0)),0)*N(C23))+IF(B24="",0,IFERROR(INDEX('_Развёртки'!$C$2:$C$1358,MATCH(B24&amp;"|"&amp;H131,'_Развёртки'!$D$2:$D$1358,0)),0)*N(C24))+IF(B25="",0,IFERROR(INDEX('_Развёртки'!$C$2:$C$1358,MATCH(B25&amp;"|"&amp;H131,'_Развёртки'!$D$2:$D$1358,0)),0)*N(C25))+IF(B26="",0,IFERROR(INDEX('_Развёртки'!$C$2:$C$1358,MATCH(B26&amp;"|"&amp;H131,'_Развёртки'!$D$2:$D$1358,0)),0)*N(C26))+IF(B27="",0,IFERROR(INDEX('_Развёртки'!$C$2:$C$1358,MATCH(B27&amp;"|"&amp;H131,'_Развёртки'!$D$2:$D$1358,0)),0)*N(C27))</f>
        <v>0</v>
      </c>
      <c r="K131" s="198">
        <f>IFERROR(VLOOKUP(H131,'Сырьё'!$C$6:$E$233,3,FALSE()),IFERROR(VLOOKUP(H131,'Полупродукты'!$C$6:$E$60,3,FALSE()),0))</f>
        <v>3.4717</v>
      </c>
      <c r="L131" s="199">
        <f t="shared" si="4"/>
        <v>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1"/>
      <c r="C132" s="1"/>
      <c r="D132" s="1"/>
      <c r="E132" s="1"/>
      <c r="F132" s="1"/>
      <c r="G132" s="194">
        <v>118.0</v>
      </c>
      <c r="H132" s="195" t="s">
        <v>445</v>
      </c>
      <c r="I132" s="196" t="str">
        <f>IFERROR(VLOOKUP(H132,'Сырьё'!$C$6:$D$233,2,FALSE()),IFERROR(VLOOKUP(H132,'Полупродукты'!$C$6:$D$60,2,FALSE()),"кг"))</f>
        <v>кг</v>
      </c>
      <c r="J132" s="197">
        <f t="array" ref="J132">IF(B8="",0,IFERROR(INDEX('_Развёртки'!$C$2:$C$1358,MATCH(B8&amp;"|"&amp;H132,'_Развёртки'!$D$2:$D$1358,0)),0)*N(C8))+IF(B9="",0,IFERROR(INDEX('_Развёртки'!$C$2:$C$1358,MATCH(B9&amp;"|"&amp;H132,'_Развёртки'!$D$2:$D$1358,0)),0)*N(C9))+IF(B10="",0,IFERROR(INDEX('_Развёртки'!$C$2:$C$1358,MATCH(B10&amp;"|"&amp;H132,'_Развёртки'!$D$2:$D$1358,0)),0)*N(C10))+IF(B11="",0,IFERROR(INDEX('_Развёртки'!$C$2:$C$1358,MATCH(B11&amp;"|"&amp;H132,'_Развёртки'!$D$2:$D$1358,0)),0)*N(C11))+IF(B12="",0,IFERROR(INDEX('_Развёртки'!$C$2:$C$1358,MATCH(B12&amp;"|"&amp;H132,'_Развёртки'!$D$2:$D$1358,0)),0)*N(C12))+IF(B13="",0,IFERROR(INDEX('_Развёртки'!$C$2:$C$1358,MATCH(B13&amp;"|"&amp;H132,'_Развёртки'!$D$2:$D$1358,0)),0)*N(C13))+IF(B14="",0,IFERROR(INDEX('_Развёртки'!$C$2:$C$1358,MATCH(B14&amp;"|"&amp;H132,'_Развёртки'!$D$2:$D$1358,0)),0)*N(C14))+IF(B15="",0,IFERROR(INDEX('_Развёртки'!$C$2:$C$1358,MATCH(B15&amp;"|"&amp;H132,'_Развёртки'!$D$2:$D$1358,0)),0)*N(C15))+IF(B16="",0,IFERROR(INDEX('_Развёртки'!$C$2:$C$1358,MATCH(B16&amp;"|"&amp;H132,'_Развёртки'!$D$2:$D$1358,0)),0)*N(C16))+IF(B17="",0,IFERROR(INDEX('_Развёртки'!$C$2:$C$1358,MATCH(B17&amp;"|"&amp;H132,'_Развёртки'!$D$2:$D$1358,0)),0)*N(C17))+IF(B18="",0,IFERROR(INDEX('_Развёртки'!$C$2:$C$1358,MATCH(B18&amp;"|"&amp;H132,'_Развёртки'!$D$2:$D$1358,0)),0)*N(C18))+IF(B19="",0,IFERROR(INDEX('_Развёртки'!$C$2:$C$1358,MATCH(B19&amp;"|"&amp;H132,'_Развёртки'!$D$2:$D$1358,0)),0)*N(C19))+IF(B20="",0,IFERROR(INDEX('_Развёртки'!$C$2:$C$1358,MATCH(B20&amp;"|"&amp;H132,'_Развёртки'!$D$2:$D$1358,0)),0)*N(C20))+IF(B21="",0,IFERROR(INDEX('_Развёртки'!$C$2:$C$1358,MATCH(B21&amp;"|"&amp;H132,'_Развёртки'!$D$2:$D$1358,0)),0)*N(C21))+IF(B22="",0,IFERROR(INDEX('_Развёртки'!$C$2:$C$1358,MATCH(B22&amp;"|"&amp;H132,'_Развёртки'!$D$2:$D$1358,0)),0)*N(C22))+IF(B23="",0,IFERROR(INDEX('_Развёртки'!$C$2:$C$1358,MATCH(B23&amp;"|"&amp;H132,'_Развёртки'!$D$2:$D$1358,0)),0)*N(C23))+IF(B24="",0,IFERROR(INDEX('_Развёртки'!$C$2:$C$1358,MATCH(B24&amp;"|"&amp;H132,'_Развёртки'!$D$2:$D$1358,0)),0)*N(C24))+IF(B25="",0,IFERROR(INDEX('_Развёртки'!$C$2:$C$1358,MATCH(B25&amp;"|"&amp;H132,'_Развёртки'!$D$2:$D$1358,0)),0)*N(C25))+IF(B26="",0,IFERROR(INDEX('_Развёртки'!$C$2:$C$1358,MATCH(B26&amp;"|"&amp;H132,'_Развёртки'!$D$2:$D$1358,0)),0)*N(C26))+IF(B27="",0,IFERROR(INDEX('_Развёртки'!$C$2:$C$1358,MATCH(B27&amp;"|"&amp;H132,'_Развёртки'!$D$2:$D$1358,0)),0)*N(C27))</f>
        <v>0</v>
      </c>
      <c r="K132" s="198">
        <f>IFERROR(VLOOKUP(H132,'Сырьё'!$C$6:$E$233,3,FALSE()),IFERROR(VLOOKUP(H132,'Полупродукты'!$C$6:$E$60,3,FALSE()),0))</f>
        <v>0</v>
      </c>
      <c r="L132" s="199">
        <f t="shared" si="4"/>
        <v>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/>
      <c r="B133" s="1"/>
      <c r="C133" s="1"/>
      <c r="D133" s="1"/>
      <c r="E133" s="1"/>
      <c r="F133" s="1"/>
      <c r="G133" s="194">
        <v>119.0</v>
      </c>
      <c r="H133" s="195" t="s">
        <v>446</v>
      </c>
      <c r="I133" s="196" t="str">
        <f>IFERROR(VLOOKUP(H133,'Сырьё'!$C$6:$D$233,2,FALSE()),IFERROR(VLOOKUP(H133,'Полупродукты'!$C$6:$D$60,2,FALSE()),"кг"))</f>
        <v>кг</v>
      </c>
      <c r="J133" s="197">
        <f t="array" ref="J133">IF(B8="",0,IFERROR(INDEX('_Развёртки'!$C$2:$C$1358,MATCH(B8&amp;"|"&amp;H133,'_Развёртки'!$D$2:$D$1358,0)),0)*N(C8))+IF(B9="",0,IFERROR(INDEX('_Развёртки'!$C$2:$C$1358,MATCH(B9&amp;"|"&amp;H133,'_Развёртки'!$D$2:$D$1358,0)),0)*N(C9))+IF(B10="",0,IFERROR(INDEX('_Развёртки'!$C$2:$C$1358,MATCH(B10&amp;"|"&amp;H133,'_Развёртки'!$D$2:$D$1358,0)),0)*N(C10))+IF(B11="",0,IFERROR(INDEX('_Развёртки'!$C$2:$C$1358,MATCH(B11&amp;"|"&amp;H133,'_Развёртки'!$D$2:$D$1358,0)),0)*N(C11))+IF(B12="",0,IFERROR(INDEX('_Развёртки'!$C$2:$C$1358,MATCH(B12&amp;"|"&amp;H133,'_Развёртки'!$D$2:$D$1358,0)),0)*N(C12))+IF(B13="",0,IFERROR(INDEX('_Развёртки'!$C$2:$C$1358,MATCH(B13&amp;"|"&amp;H133,'_Развёртки'!$D$2:$D$1358,0)),0)*N(C13))+IF(B14="",0,IFERROR(INDEX('_Развёртки'!$C$2:$C$1358,MATCH(B14&amp;"|"&amp;H133,'_Развёртки'!$D$2:$D$1358,0)),0)*N(C14))+IF(B15="",0,IFERROR(INDEX('_Развёртки'!$C$2:$C$1358,MATCH(B15&amp;"|"&amp;H133,'_Развёртки'!$D$2:$D$1358,0)),0)*N(C15))+IF(B16="",0,IFERROR(INDEX('_Развёртки'!$C$2:$C$1358,MATCH(B16&amp;"|"&amp;H133,'_Развёртки'!$D$2:$D$1358,0)),0)*N(C16))+IF(B17="",0,IFERROR(INDEX('_Развёртки'!$C$2:$C$1358,MATCH(B17&amp;"|"&amp;H133,'_Развёртки'!$D$2:$D$1358,0)),0)*N(C17))+IF(B18="",0,IFERROR(INDEX('_Развёртки'!$C$2:$C$1358,MATCH(B18&amp;"|"&amp;H133,'_Развёртки'!$D$2:$D$1358,0)),0)*N(C18))+IF(B19="",0,IFERROR(INDEX('_Развёртки'!$C$2:$C$1358,MATCH(B19&amp;"|"&amp;H133,'_Развёртки'!$D$2:$D$1358,0)),0)*N(C19))+IF(B20="",0,IFERROR(INDEX('_Развёртки'!$C$2:$C$1358,MATCH(B20&amp;"|"&amp;H133,'_Развёртки'!$D$2:$D$1358,0)),0)*N(C20))+IF(B21="",0,IFERROR(INDEX('_Развёртки'!$C$2:$C$1358,MATCH(B21&amp;"|"&amp;H133,'_Развёртки'!$D$2:$D$1358,0)),0)*N(C21))+IF(B22="",0,IFERROR(INDEX('_Развёртки'!$C$2:$C$1358,MATCH(B22&amp;"|"&amp;H133,'_Развёртки'!$D$2:$D$1358,0)),0)*N(C22))+IF(B23="",0,IFERROR(INDEX('_Развёртки'!$C$2:$C$1358,MATCH(B23&amp;"|"&amp;H133,'_Развёртки'!$D$2:$D$1358,0)),0)*N(C23))+IF(B24="",0,IFERROR(INDEX('_Развёртки'!$C$2:$C$1358,MATCH(B24&amp;"|"&amp;H133,'_Развёртки'!$D$2:$D$1358,0)),0)*N(C24))+IF(B25="",0,IFERROR(INDEX('_Развёртки'!$C$2:$C$1358,MATCH(B25&amp;"|"&amp;H133,'_Развёртки'!$D$2:$D$1358,0)),0)*N(C25))+IF(B26="",0,IFERROR(INDEX('_Развёртки'!$C$2:$C$1358,MATCH(B26&amp;"|"&amp;H133,'_Развёртки'!$D$2:$D$1358,0)),0)*N(C26))+IF(B27="",0,IFERROR(INDEX('_Развёртки'!$C$2:$C$1358,MATCH(B27&amp;"|"&amp;H133,'_Развёртки'!$D$2:$D$1358,0)),0)*N(C27))</f>
        <v>0</v>
      </c>
      <c r="K133" s="198">
        <f>IFERROR(VLOOKUP(H133,'Сырьё'!$C$6:$E$233,3,FALSE()),IFERROR(VLOOKUP(H133,'Полупродукты'!$C$6:$E$60,3,FALSE()),0))</f>
        <v>0</v>
      </c>
      <c r="L133" s="199">
        <f t="shared" si="4"/>
        <v>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1"/>
      <c r="C134" s="1"/>
      <c r="D134" s="1"/>
      <c r="E134" s="1"/>
      <c r="F134" s="1"/>
      <c r="G134" s="202"/>
      <c r="H134" s="203" t="s">
        <v>599</v>
      </c>
      <c r="I134" s="202"/>
      <c r="J134" s="204">
        <f>SUM(J78:J133)</f>
        <v>1828.25</v>
      </c>
      <c r="K134" s="202"/>
      <c r="L134" s="205">
        <f>SUM(L78:L133)</f>
        <v>5095.69428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206"/>
      <c r="H136" s="207" t="s">
        <v>600</v>
      </c>
      <c r="I136" s="206"/>
      <c r="J136" s="208">
        <f>J11+J75+J134</f>
        <v>10431.7214</v>
      </c>
      <c r="K136" s="206"/>
      <c r="L136" s="209">
        <f>L11+L75+L134</f>
        <v>29227.91327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46" t="s">
        <v>601</v>
      </c>
      <c r="C138" s="3"/>
      <c r="D138" s="3"/>
      <c r="E138" s="3"/>
      <c r="F138" s="3"/>
      <c r="G138" s="3"/>
      <c r="H138" s="3"/>
      <c r="I138" s="3"/>
      <c r="J138" s="3"/>
      <c r="K138" s="3"/>
      <c r="L138" s="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67"/>
      <c r="L139" s="6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</row>
  </sheetData>
  <mergeCells count="8">
    <mergeCell ref="B2:H3"/>
    <mergeCell ref="B4:H4"/>
    <mergeCell ref="B6:E6"/>
    <mergeCell ref="G6:L6"/>
    <mergeCell ref="G8:L8"/>
    <mergeCell ref="G13:L13"/>
    <mergeCell ref="G77:L77"/>
    <mergeCell ref="B138:L140"/>
  </mergeCells>
  <conditionalFormatting sqref="G8:L86">
    <cfRule type="expression" dxfId="9" priority="1">
      <formula>$J8=0</formula>
    </cfRule>
  </conditionalFormatting>
  <conditionalFormatting sqref="J8:J86">
    <cfRule type="expression" dxfId="10" priority="2">
      <formula>$J8&gt;0</formula>
    </cfRule>
  </conditionalFormatting>
  <conditionalFormatting sqref="G8:L127">
    <cfRule type="expression" dxfId="9" priority="3">
      <formula>$J8=0</formula>
    </cfRule>
  </conditionalFormatting>
  <conditionalFormatting sqref="G8:L127">
    <cfRule type="expression" dxfId="9" priority="4">
      <formula>$J8=0</formula>
    </cfRule>
  </conditionalFormatting>
  <conditionalFormatting sqref="J8:J127">
    <cfRule type="expression" dxfId="11" priority="5">
      <formula>$J8&gt;0</formula>
    </cfRule>
  </conditionalFormatting>
  <conditionalFormatting sqref="J8:J127">
    <cfRule type="expression" dxfId="11" priority="6">
      <formula>$J8&gt;0</formula>
    </cfRule>
  </conditionalFormatting>
  <conditionalFormatting sqref="G8:L136">
    <cfRule type="expression" dxfId="9" priority="7">
      <formula>$J8=0</formula>
    </cfRule>
  </conditionalFormatting>
  <conditionalFormatting sqref="J8:J135">
    <cfRule type="expression" dxfId="11" priority="8">
      <formula>$J8&gt;0</formula>
    </cfRule>
  </conditionalFormatting>
  <dataValidations>
    <dataValidation type="list" allowBlank="1" sqref="B8:B27">
      <formula1>'Продукты'!$D$6:$D$191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0B0B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16.0"/>
    <col customWidth="1" min="4" max="4" width="55.0"/>
    <col customWidth="1" min="5" max="5" width="16.0"/>
    <col customWidth="1" min="6" max="6" width="14.0"/>
    <col customWidth="1" min="7" max="7" width="8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1"/>
      <c r="B2" s="210" t="s">
        <v>602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11" t="s">
        <v>603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86" t="s">
        <v>369</v>
      </c>
      <c r="C5" s="86" t="s">
        <v>604</v>
      </c>
      <c r="D5" s="86" t="s">
        <v>375</v>
      </c>
      <c r="E5" s="86" t="s">
        <v>371</v>
      </c>
      <c r="F5" s="86" t="s">
        <v>373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88">
        <v>1.0</v>
      </c>
      <c r="C6" s="88" t="s">
        <v>605</v>
      </c>
      <c r="D6" s="89" t="s">
        <v>606</v>
      </c>
      <c r="E6" s="88" t="s">
        <v>607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96">
        <v>2.0</v>
      </c>
      <c r="C7" s="96" t="s">
        <v>608</v>
      </c>
      <c r="D7" s="97" t="s">
        <v>454</v>
      </c>
      <c r="E7" s="96" t="s">
        <v>607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88">
        <v>3.0</v>
      </c>
      <c r="C8" s="88" t="s">
        <v>608</v>
      </c>
      <c r="D8" s="89" t="s">
        <v>609</v>
      </c>
      <c r="E8" s="88" t="s">
        <v>607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96">
        <v>4.0</v>
      </c>
      <c r="C9" s="96" t="s">
        <v>608</v>
      </c>
      <c r="D9" s="97" t="s">
        <v>610</v>
      </c>
      <c r="E9" s="96" t="s">
        <v>607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88">
        <v>5.0</v>
      </c>
      <c r="C10" s="88" t="s">
        <v>608</v>
      </c>
      <c r="D10" s="89" t="s">
        <v>611</v>
      </c>
      <c r="E10" s="88" t="s">
        <v>607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1"/>
      <c r="B11" s="96">
        <v>6.0</v>
      </c>
      <c r="C11" s="96" t="s">
        <v>612</v>
      </c>
      <c r="D11" s="97" t="s">
        <v>613</v>
      </c>
      <c r="E11" s="96" t="s">
        <v>607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88">
        <v>7.0</v>
      </c>
      <c r="C12" s="88" t="s">
        <v>614</v>
      </c>
      <c r="D12" s="89" t="s">
        <v>615</v>
      </c>
      <c r="E12" s="88" t="s">
        <v>607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96">
        <v>8.0</v>
      </c>
      <c r="C13" s="96" t="s">
        <v>608</v>
      </c>
      <c r="D13" s="97" t="s">
        <v>616</v>
      </c>
      <c r="E13" s="96" t="s">
        <v>607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88">
        <v>9.0</v>
      </c>
      <c r="C14" s="88" t="s">
        <v>608</v>
      </c>
      <c r="D14" s="89" t="s">
        <v>617</v>
      </c>
      <c r="E14" s="88" t="s">
        <v>607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1"/>
      <c r="B15" s="96">
        <v>10.0</v>
      </c>
      <c r="C15" s="96" t="s">
        <v>612</v>
      </c>
      <c r="D15" s="97" t="s">
        <v>617</v>
      </c>
      <c r="E15" s="96" t="s">
        <v>607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88">
        <v>11.0</v>
      </c>
      <c r="C16" s="88" t="s">
        <v>614</v>
      </c>
      <c r="D16" s="89" t="s">
        <v>618</v>
      </c>
      <c r="E16" s="88" t="s">
        <v>607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96">
        <v>12.0</v>
      </c>
      <c r="C17" s="96" t="s">
        <v>605</v>
      </c>
      <c r="D17" s="97" t="s">
        <v>619</v>
      </c>
      <c r="E17" s="96" t="s">
        <v>607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1"/>
      <c r="B18" s="88">
        <v>13.0</v>
      </c>
      <c r="C18" s="88" t="s">
        <v>612</v>
      </c>
      <c r="D18" s="89" t="s">
        <v>619</v>
      </c>
      <c r="E18" s="88" t="s">
        <v>607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96">
        <v>14.0</v>
      </c>
      <c r="C19" s="96" t="s">
        <v>605</v>
      </c>
      <c r="D19" s="97" t="s">
        <v>620</v>
      </c>
      <c r="E19" s="96" t="s">
        <v>607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1"/>
      <c r="B20" s="88">
        <v>15.0</v>
      </c>
      <c r="C20" s="88" t="s">
        <v>612</v>
      </c>
      <c r="D20" s="89" t="s">
        <v>621</v>
      </c>
      <c r="E20" s="88" t="s">
        <v>607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3.25" customHeight="1">
      <c r="A21" s="1"/>
      <c r="B21" s="96">
        <v>16.0</v>
      </c>
      <c r="C21" s="96" t="s">
        <v>612</v>
      </c>
      <c r="D21" s="97" t="s">
        <v>622</v>
      </c>
      <c r="E21" s="96" t="s">
        <v>607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88">
        <v>17.0</v>
      </c>
      <c r="C22" s="88" t="s">
        <v>608</v>
      </c>
      <c r="D22" s="89" t="s">
        <v>623</v>
      </c>
      <c r="E22" s="88" t="s">
        <v>607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96">
        <v>18.0</v>
      </c>
      <c r="C23" s="96" t="s">
        <v>614</v>
      </c>
      <c r="D23" s="97" t="s">
        <v>502</v>
      </c>
      <c r="E23" s="96" t="s">
        <v>607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88">
        <v>19.0</v>
      </c>
      <c r="C24" s="88" t="s">
        <v>605</v>
      </c>
      <c r="D24" s="89" t="s">
        <v>624</v>
      </c>
      <c r="E24" s="88" t="s">
        <v>607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3.25" customHeight="1">
      <c r="A25" s="1"/>
      <c r="B25" s="96">
        <v>20.0</v>
      </c>
      <c r="C25" s="96" t="s">
        <v>612</v>
      </c>
      <c r="D25" s="97" t="s">
        <v>624</v>
      </c>
      <c r="E25" s="96" t="s">
        <v>607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88">
        <v>21.0</v>
      </c>
      <c r="C26" s="88" t="s">
        <v>605</v>
      </c>
      <c r="D26" s="89" t="s">
        <v>384</v>
      </c>
      <c r="E26" s="88" t="s">
        <v>607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96">
        <v>22.0</v>
      </c>
      <c r="C27" s="96" t="s">
        <v>605</v>
      </c>
      <c r="D27" s="97" t="s">
        <v>625</v>
      </c>
      <c r="E27" s="96" t="s">
        <v>607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3.25" customHeight="1">
      <c r="A28" s="1"/>
      <c r="B28" s="88">
        <v>23.0</v>
      </c>
      <c r="C28" s="88" t="s">
        <v>612</v>
      </c>
      <c r="D28" s="89" t="s">
        <v>626</v>
      </c>
      <c r="E28" s="88" t="s">
        <v>607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6">
        <v>24.0</v>
      </c>
      <c r="C29" s="96" t="s">
        <v>605</v>
      </c>
      <c r="D29" s="97" t="s">
        <v>627</v>
      </c>
      <c r="E29" s="96" t="s">
        <v>607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3.25" customHeight="1">
      <c r="A30" s="1"/>
      <c r="B30" s="88">
        <v>25.0</v>
      </c>
      <c r="C30" s="88" t="s">
        <v>612</v>
      </c>
      <c r="D30" s="89" t="s">
        <v>628</v>
      </c>
      <c r="E30" s="88" t="s">
        <v>607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96">
        <v>26.0</v>
      </c>
      <c r="C31" s="96" t="s">
        <v>605</v>
      </c>
      <c r="D31" s="97" t="s">
        <v>629</v>
      </c>
      <c r="E31" s="96" t="s">
        <v>607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8">
        <v>27.0</v>
      </c>
      <c r="C32" s="88" t="s">
        <v>605</v>
      </c>
      <c r="D32" s="89" t="s">
        <v>534</v>
      </c>
      <c r="E32" s="88" t="s">
        <v>607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96">
        <v>28.0</v>
      </c>
      <c r="C33" s="96" t="s">
        <v>605</v>
      </c>
      <c r="D33" s="97" t="s">
        <v>538</v>
      </c>
      <c r="E33" s="96" t="s">
        <v>607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3.25" customHeight="1">
      <c r="A34" s="1"/>
      <c r="B34" s="88">
        <v>29.0</v>
      </c>
      <c r="C34" s="88" t="s">
        <v>612</v>
      </c>
      <c r="D34" s="89" t="s">
        <v>538</v>
      </c>
      <c r="E34" s="88" t="s">
        <v>607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96">
        <v>30.0</v>
      </c>
      <c r="C35" s="96" t="s">
        <v>605</v>
      </c>
      <c r="D35" s="97" t="s">
        <v>630</v>
      </c>
      <c r="E35" s="96" t="s">
        <v>607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88">
        <v>31.0</v>
      </c>
      <c r="C36" s="88" t="s">
        <v>605</v>
      </c>
      <c r="D36" s="89" t="s">
        <v>631</v>
      </c>
      <c r="E36" s="88" t="s">
        <v>607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96">
        <v>32.0</v>
      </c>
      <c r="C37" s="96" t="s">
        <v>608</v>
      </c>
      <c r="D37" s="97" t="s">
        <v>632</v>
      </c>
      <c r="E37" s="96" t="s">
        <v>607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88">
        <v>33.0</v>
      </c>
      <c r="C38" s="88" t="s">
        <v>614</v>
      </c>
      <c r="D38" s="89" t="s">
        <v>633</v>
      </c>
      <c r="E38" s="88" t="s">
        <v>607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3.25" customHeight="1">
      <c r="A39" s="1"/>
      <c r="B39" s="96">
        <v>34.0</v>
      </c>
      <c r="C39" s="96" t="s">
        <v>612</v>
      </c>
      <c r="D39" s="97" t="s">
        <v>634</v>
      </c>
      <c r="E39" s="96" t="s">
        <v>607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3.25" customHeight="1">
      <c r="A40" s="1"/>
      <c r="B40" s="88">
        <v>35.0</v>
      </c>
      <c r="C40" s="88" t="s">
        <v>612</v>
      </c>
      <c r="D40" s="89" t="s">
        <v>635</v>
      </c>
      <c r="E40" s="88" t="s">
        <v>607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96">
        <v>36.0</v>
      </c>
      <c r="C41" s="96" t="s">
        <v>636</v>
      </c>
      <c r="D41" s="97" t="s">
        <v>637</v>
      </c>
      <c r="E41" s="96" t="s">
        <v>607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88">
        <v>37.0</v>
      </c>
      <c r="C42" s="88" t="s">
        <v>608</v>
      </c>
      <c r="D42" s="89" t="s">
        <v>638</v>
      </c>
      <c r="E42" s="88" t="s">
        <v>607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96">
        <v>38.0</v>
      </c>
      <c r="C43" s="96" t="s">
        <v>608</v>
      </c>
      <c r="D43" s="97" t="s">
        <v>639</v>
      </c>
      <c r="E43" s="96" t="s">
        <v>607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88">
        <v>39.0</v>
      </c>
      <c r="C44" s="88" t="s">
        <v>608</v>
      </c>
      <c r="D44" s="89" t="s">
        <v>640</v>
      </c>
      <c r="E44" s="88" t="s">
        <v>607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96">
        <v>40.0</v>
      </c>
      <c r="C45" s="96" t="s">
        <v>605</v>
      </c>
      <c r="D45" s="97" t="s">
        <v>641</v>
      </c>
      <c r="E45" s="96" t="s">
        <v>607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88">
        <v>41.0</v>
      </c>
      <c r="C46" s="88" t="s">
        <v>605</v>
      </c>
      <c r="D46" s="89" t="s">
        <v>642</v>
      </c>
      <c r="E46" s="88" t="s">
        <v>607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96">
        <v>42.0</v>
      </c>
      <c r="C47" s="96" t="s">
        <v>605</v>
      </c>
      <c r="D47" s="97" t="s">
        <v>643</v>
      </c>
      <c r="E47" s="96" t="s">
        <v>607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88">
        <v>43.0</v>
      </c>
      <c r="C48" s="88" t="s">
        <v>605</v>
      </c>
      <c r="D48" s="89" t="s">
        <v>644</v>
      </c>
      <c r="E48" s="88" t="s">
        <v>607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96">
        <v>44.0</v>
      </c>
      <c r="C49" s="96" t="s">
        <v>605</v>
      </c>
      <c r="D49" s="97" t="s">
        <v>645</v>
      </c>
      <c r="E49" s="96" t="s">
        <v>607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88">
        <v>45.0</v>
      </c>
      <c r="C50" s="88" t="s">
        <v>605</v>
      </c>
      <c r="D50" s="89" t="s">
        <v>646</v>
      </c>
      <c r="E50" s="88" t="s">
        <v>607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96">
        <v>46.0</v>
      </c>
      <c r="C51" s="96" t="s">
        <v>605</v>
      </c>
      <c r="D51" s="97" t="s">
        <v>647</v>
      </c>
      <c r="E51" s="96" t="s">
        <v>607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88">
        <v>47.0</v>
      </c>
      <c r="C52" s="88" t="s">
        <v>636</v>
      </c>
      <c r="D52" s="89" t="s">
        <v>517</v>
      </c>
      <c r="E52" s="88" t="s">
        <v>607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96">
        <v>48.0</v>
      </c>
      <c r="C53" s="96" t="s">
        <v>636</v>
      </c>
      <c r="D53" s="97" t="s">
        <v>648</v>
      </c>
      <c r="E53" s="96" t="s">
        <v>607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88">
        <v>49.0</v>
      </c>
      <c r="C54" s="88" t="s">
        <v>608</v>
      </c>
      <c r="D54" s="89" t="s">
        <v>649</v>
      </c>
      <c r="E54" s="88" t="s">
        <v>607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96">
        <v>50.0</v>
      </c>
      <c r="C55" s="96" t="s">
        <v>608</v>
      </c>
      <c r="D55" s="97" t="s">
        <v>521</v>
      </c>
      <c r="E55" s="96" t="s">
        <v>607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88">
        <v>51.0</v>
      </c>
      <c r="C56" s="88" t="s">
        <v>608</v>
      </c>
      <c r="D56" s="89" t="s">
        <v>650</v>
      </c>
      <c r="E56" s="88" t="s">
        <v>607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96">
        <v>52.0</v>
      </c>
      <c r="C57" s="96" t="s">
        <v>608</v>
      </c>
      <c r="D57" s="97" t="s">
        <v>651</v>
      </c>
      <c r="E57" s="96" t="s">
        <v>607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88">
        <v>53.0</v>
      </c>
      <c r="C58" s="88" t="s">
        <v>608</v>
      </c>
      <c r="D58" s="89" t="s">
        <v>652</v>
      </c>
      <c r="E58" s="88" t="s">
        <v>607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96">
        <v>54.0</v>
      </c>
      <c r="C59" s="96" t="s">
        <v>608</v>
      </c>
      <c r="D59" s="97" t="s">
        <v>653</v>
      </c>
      <c r="E59" s="96" t="s">
        <v>607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88">
        <v>55.0</v>
      </c>
      <c r="C60" s="88" t="s">
        <v>608</v>
      </c>
      <c r="D60" s="89" t="s">
        <v>654</v>
      </c>
      <c r="E60" s="88" t="s">
        <v>607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96">
        <v>56.0</v>
      </c>
      <c r="C61" s="96" t="s">
        <v>608</v>
      </c>
      <c r="D61" s="97" t="s">
        <v>655</v>
      </c>
      <c r="E61" s="96" t="s">
        <v>607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88">
        <v>57.0</v>
      </c>
      <c r="C62" s="88" t="s">
        <v>656</v>
      </c>
      <c r="D62" s="89" t="s">
        <v>657</v>
      </c>
      <c r="E62" s="88" t="s">
        <v>607</v>
      </c>
      <c r="F62" s="212" t="s">
        <v>658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96">
        <v>58.0</v>
      </c>
      <c r="C63" s="96" t="s">
        <v>656</v>
      </c>
      <c r="D63" s="97" t="s">
        <v>659</v>
      </c>
      <c r="E63" s="96" t="s">
        <v>607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88">
        <v>59.0</v>
      </c>
      <c r="C64" s="88" t="s">
        <v>608</v>
      </c>
      <c r="D64" s="89" t="s">
        <v>660</v>
      </c>
      <c r="E64" s="88" t="s">
        <v>607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96">
        <v>60.0</v>
      </c>
      <c r="C65" s="96" t="s">
        <v>608</v>
      </c>
      <c r="D65" s="97" t="s">
        <v>523</v>
      </c>
      <c r="E65" s="96" t="s">
        <v>607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88">
        <v>61.0</v>
      </c>
      <c r="C66" s="88" t="s">
        <v>608</v>
      </c>
      <c r="D66" s="89" t="s">
        <v>661</v>
      </c>
      <c r="E66" s="88" t="s">
        <v>607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96">
        <v>62.0</v>
      </c>
      <c r="C67" s="96" t="s">
        <v>608</v>
      </c>
      <c r="D67" s="97" t="s">
        <v>662</v>
      </c>
      <c r="E67" s="96" t="s">
        <v>607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3.25" customHeight="1">
      <c r="A68" s="1"/>
      <c r="B68" s="88">
        <v>63.0</v>
      </c>
      <c r="C68" s="88" t="s">
        <v>612</v>
      </c>
      <c r="D68" s="89" t="s">
        <v>662</v>
      </c>
      <c r="E68" s="88" t="s">
        <v>607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96">
        <v>64.0</v>
      </c>
      <c r="C69" s="96" t="s">
        <v>608</v>
      </c>
      <c r="D69" s="97" t="s">
        <v>663</v>
      </c>
      <c r="E69" s="96" t="s">
        <v>607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88">
        <v>65.0</v>
      </c>
      <c r="C70" s="88" t="s">
        <v>608</v>
      </c>
      <c r="D70" s="89" t="s">
        <v>664</v>
      </c>
      <c r="E70" s="88" t="s">
        <v>607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96">
        <v>66.0</v>
      </c>
      <c r="C71" s="96" t="s">
        <v>608</v>
      </c>
      <c r="D71" s="97" t="s">
        <v>665</v>
      </c>
      <c r="E71" s="96" t="s">
        <v>607</v>
      </c>
      <c r="F71" s="212" t="s">
        <v>666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88">
        <v>67.0</v>
      </c>
      <c r="C72" s="88" t="s">
        <v>608</v>
      </c>
      <c r="D72" s="89" t="s">
        <v>667</v>
      </c>
      <c r="E72" s="88" t="s">
        <v>607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96">
        <v>68.0</v>
      </c>
      <c r="C73" s="96" t="s">
        <v>605</v>
      </c>
      <c r="D73" s="97" t="s">
        <v>529</v>
      </c>
      <c r="E73" s="96" t="s">
        <v>607</v>
      </c>
      <c r="F73" s="212" t="s">
        <v>668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88">
        <v>69.0</v>
      </c>
      <c r="C74" s="88" t="s">
        <v>605</v>
      </c>
      <c r="D74" s="89" t="s">
        <v>536</v>
      </c>
      <c r="E74" s="88" t="s">
        <v>607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96">
        <v>70.0</v>
      </c>
      <c r="C75" s="96" t="s">
        <v>605</v>
      </c>
      <c r="D75" s="97" t="s">
        <v>669</v>
      </c>
      <c r="E75" s="96" t="s">
        <v>607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88">
        <v>71.0</v>
      </c>
      <c r="C76" s="88" t="s">
        <v>614</v>
      </c>
      <c r="D76" s="89" t="s">
        <v>382</v>
      </c>
      <c r="E76" s="88" t="s">
        <v>607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96">
        <v>72.0</v>
      </c>
      <c r="C77" s="96" t="s">
        <v>608</v>
      </c>
      <c r="D77" s="97" t="s">
        <v>670</v>
      </c>
      <c r="E77" s="96" t="s">
        <v>607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88">
        <v>73.0</v>
      </c>
      <c r="C78" s="88" t="s">
        <v>608</v>
      </c>
      <c r="D78" s="89" t="s">
        <v>671</v>
      </c>
      <c r="E78" s="88" t="s">
        <v>607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96">
        <v>74.0</v>
      </c>
      <c r="C79" s="96" t="s">
        <v>608</v>
      </c>
      <c r="D79" s="97" t="s">
        <v>672</v>
      </c>
      <c r="E79" s="96" t="s">
        <v>607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88">
        <v>75.0</v>
      </c>
      <c r="C80" s="88" t="s">
        <v>608</v>
      </c>
      <c r="D80" s="89" t="s">
        <v>673</v>
      </c>
      <c r="E80" s="88" t="s">
        <v>607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96">
        <v>76.0</v>
      </c>
      <c r="C81" s="96" t="s">
        <v>608</v>
      </c>
      <c r="D81" s="97" t="s">
        <v>674</v>
      </c>
      <c r="E81" s="96" t="s">
        <v>607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88">
        <v>77.0</v>
      </c>
      <c r="C82" s="88" t="s">
        <v>608</v>
      </c>
      <c r="D82" s="89" t="s">
        <v>675</v>
      </c>
      <c r="E82" s="88" t="s">
        <v>607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96">
        <v>78.0</v>
      </c>
      <c r="C83" s="96" t="s">
        <v>608</v>
      </c>
      <c r="D83" s="97" t="s">
        <v>383</v>
      </c>
      <c r="E83" s="96" t="s">
        <v>607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88">
        <v>79.0</v>
      </c>
      <c r="C84" s="88" t="s">
        <v>614</v>
      </c>
      <c r="D84" s="89" t="s">
        <v>676</v>
      </c>
      <c r="E84" s="88" t="s">
        <v>607</v>
      </c>
      <c r="F84" s="212" t="s">
        <v>677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96">
        <v>80.0</v>
      </c>
      <c r="C85" s="96" t="s">
        <v>608</v>
      </c>
      <c r="D85" s="97" t="s">
        <v>678</v>
      </c>
      <c r="E85" s="96" t="s">
        <v>607</v>
      </c>
      <c r="F85" s="212" t="s">
        <v>679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88">
        <v>81.0</v>
      </c>
      <c r="C86" s="88" t="s">
        <v>608</v>
      </c>
      <c r="D86" s="89" t="s">
        <v>680</v>
      </c>
      <c r="E86" s="88" t="s">
        <v>607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96">
        <v>82.0</v>
      </c>
      <c r="C87" s="96" t="s">
        <v>608</v>
      </c>
      <c r="D87" s="97" t="s">
        <v>519</v>
      </c>
      <c r="E87" s="96" t="s">
        <v>607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88">
        <v>83.0</v>
      </c>
      <c r="C88" s="88" t="s">
        <v>614</v>
      </c>
      <c r="D88" s="89" t="s">
        <v>681</v>
      </c>
      <c r="E88" s="88" t="s">
        <v>607</v>
      </c>
      <c r="F88" s="212" t="s">
        <v>682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96">
        <v>84.0</v>
      </c>
      <c r="C89" s="96" t="s">
        <v>614</v>
      </c>
      <c r="D89" s="97" t="s">
        <v>381</v>
      </c>
      <c r="E89" s="96" t="s">
        <v>607</v>
      </c>
      <c r="F89" s="212" t="s">
        <v>683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88">
        <v>85.0</v>
      </c>
      <c r="C90" s="88" t="s">
        <v>608</v>
      </c>
      <c r="D90" s="89" t="s">
        <v>684</v>
      </c>
      <c r="E90" s="88" t="s">
        <v>607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96">
        <v>86.0</v>
      </c>
      <c r="C91" s="96" t="s">
        <v>608</v>
      </c>
      <c r="D91" s="97" t="s">
        <v>685</v>
      </c>
      <c r="E91" s="96" t="s">
        <v>607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88">
        <v>87.0</v>
      </c>
      <c r="C92" s="88" t="s">
        <v>608</v>
      </c>
      <c r="D92" s="89" t="s">
        <v>526</v>
      </c>
      <c r="E92" s="88" t="s">
        <v>607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96">
        <v>88.0</v>
      </c>
      <c r="C93" s="96" t="s">
        <v>608</v>
      </c>
      <c r="D93" s="97" t="s">
        <v>686</v>
      </c>
      <c r="E93" s="96" t="s">
        <v>607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88">
        <v>89.0</v>
      </c>
      <c r="C94" s="88" t="s">
        <v>608</v>
      </c>
      <c r="D94" s="89" t="s">
        <v>687</v>
      </c>
      <c r="E94" s="88" t="s">
        <v>607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3.25" customHeight="1">
      <c r="A95" s="1"/>
      <c r="B95" s="96">
        <v>90.0</v>
      </c>
      <c r="C95" s="96" t="s">
        <v>612</v>
      </c>
      <c r="D95" s="97" t="s">
        <v>688</v>
      </c>
      <c r="E95" s="96" t="s">
        <v>607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88">
        <v>91.0</v>
      </c>
      <c r="C96" s="88" t="s">
        <v>689</v>
      </c>
      <c r="D96" s="89" t="s">
        <v>690</v>
      </c>
      <c r="E96" s="88" t="s">
        <v>607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96">
        <v>92.0</v>
      </c>
      <c r="C97" s="96" t="s">
        <v>691</v>
      </c>
      <c r="D97" s="97" t="s">
        <v>692</v>
      </c>
      <c r="E97" s="96" t="s">
        <v>607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88">
        <v>93.0</v>
      </c>
      <c r="C98" s="88" t="s">
        <v>608</v>
      </c>
      <c r="D98" s="89" t="s">
        <v>531</v>
      </c>
      <c r="E98" s="88" t="s">
        <v>607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96">
        <v>94.0</v>
      </c>
      <c r="C99" s="96" t="s">
        <v>608</v>
      </c>
      <c r="D99" s="97" t="s">
        <v>693</v>
      </c>
      <c r="E99" s="96" t="s">
        <v>607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88">
        <v>95.0</v>
      </c>
      <c r="C100" s="88" t="s">
        <v>608</v>
      </c>
      <c r="D100" s="89" t="s">
        <v>694</v>
      </c>
      <c r="E100" s="88" t="s">
        <v>607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96">
        <v>96.0</v>
      </c>
      <c r="C101" s="96" t="s">
        <v>608</v>
      </c>
      <c r="D101" s="97" t="s">
        <v>695</v>
      </c>
      <c r="E101" s="96" t="s">
        <v>607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88">
        <v>97.0</v>
      </c>
      <c r="C102" s="88" t="s">
        <v>608</v>
      </c>
      <c r="D102" s="89" t="s">
        <v>696</v>
      </c>
      <c r="E102" s="88" t="s">
        <v>607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96">
        <v>98.0</v>
      </c>
      <c r="C103" s="96" t="s">
        <v>608</v>
      </c>
      <c r="D103" s="97" t="s">
        <v>697</v>
      </c>
      <c r="E103" s="96" t="s">
        <v>607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88">
        <v>99.0</v>
      </c>
      <c r="C104" s="88" t="s">
        <v>691</v>
      </c>
      <c r="D104" s="89" t="s">
        <v>698</v>
      </c>
      <c r="E104" s="88" t="s">
        <v>607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96">
        <v>100.0</v>
      </c>
      <c r="C105" s="96" t="s">
        <v>608</v>
      </c>
      <c r="D105" s="97" t="s">
        <v>699</v>
      </c>
      <c r="E105" s="96" t="s">
        <v>607</v>
      </c>
      <c r="F105" s="212" t="s">
        <v>700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88">
        <v>101.0</v>
      </c>
      <c r="C106" s="88" t="s">
        <v>691</v>
      </c>
      <c r="D106" s="89" t="s">
        <v>701</v>
      </c>
      <c r="E106" s="88" t="s">
        <v>607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3.25" customHeight="1">
      <c r="A107" s="1"/>
      <c r="B107" s="96">
        <v>102.0</v>
      </c>
      <c r="C107" s="96" t="s">
        <v>612</v>
      </c>
      <c r="D107" s="97" t="s">
        <v>702</v>
      </c>
      <c r="E107" s="96" t="s">
        <v>607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3.25" customHeight="1">
      <c r="A108" s="1"/>
      <c r="B108" s="88">
        <v>103.0</v>
      </c>
      <c r="C108" s="88" t="s">
        <v>612</v>
      </c>
      <c r="D108" s="89" t="s">
        <v>703</v>
      </c>
      <c r="E108" s="88" t="s">
        <v>607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96">
        <v>104.0</v>
      </c>
      <c r="C109" s="96" t="s">
        <v>614</v>
      </c>
      <c r="D109" s="97" t="s">
        <v>704</v>
      </c>
      <c r="E109" s="96" t="s">
        <v>607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88">
        <v>105.0</v>
      </c>
      <c r="C110" s="88" t="s">
        <v>608</v>
      </c>
      <c r="D110" s="89" t="s">
        <v>705</v>
      </c>
      <c r="E110" s="88" t="s">
        <v>607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96">
        <v>106.0</v>
      </c>
      <c r="C111" s="96" t="s">
        <v>608</v>
      </c>
      <c r="D111" s="97" t="s">
        <v>706</v>
      </c>
      <c r="E111" s="96" t="s">
        <v>607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88">
        <v>107.0</v>
      </c>
      <c r="C112" s="88" t="s">
        <v>608</v>
      </c>
      <c r="D112" s="89" t="s">
        <v>707</v>
      </c>
      <c r="E112" s="88" t="s">
        <v>607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96">
        <v>108.0</v>
      </c>
      <c r="C113" s="96" t="s">
        <v>608</v>
      </c>
      <c r="D113" s="97" t="s">
        <v>708</v>
      </c>
      <c r="E113" s="96" t="s">
        <v>607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88">
        <v>109.0</v>
      </c>
      <c r="C114" s="88" t="s">
        <v>608</v>
      </c>
      <c r="D114" s="89" t="s">
        <v>709</v>
      </c>
      <c r="E114" s="88" t="s">
        <v>607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96">
        <v>110.0</v>
      </c>
      <c r="C115" s="96" t="s">
        <v>608</v>
      </c>
      <c r="D115" s="97" t="s">
        <v>710</v>
      </c>
      <c r="E115" s="96" t="s">
        <v>607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88">
        <v>111.0</v>
      </c>
      <c r="C116" s="88" t="s">
        <v>689</v>
      </c>
      <c r="D116" s="89" t="s">
        <v>711</v>
      </c>
      <c r="E116" s="88" t="s">
        <v>607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96">
        <v>112.0</v>
      </c>
      <c r="C117" s="96" t="s">
        <v>656</v>
      </c>
      <c r="D117" s="97" t="s">
        <v>712</v>
      </c>
      <c r="E117" s="96" t="s">
        <v>607</v>
      </c>
      <c r="F117" s="212" t="s">
        <v>713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88">
        <v>113.0</v>
      </c>
      <c r="C118" s="88" t="s">
        <v>689</v>
      </c>
      <c r="D118" s="89" t="s">
        <v>714</v>
      </c>
      <c r="E118" s="88" t="s">
        <v>607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96">
        <v>114.0</v>
      </c>
      <c r="C119" s="96" t="s">
        <v>608</v>
      </c>
      <c r="D119" s="97" t="s">
        <v>715</v>
      </c>
      <c r="E119" s="96" t="s">
        <v>607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88">
        <v>115.0</v>
      </c>
      <c r="C120" s="88" t="s">
        <v>608</v>
      </c>
      <c r="D120" s="89" t="s">
        <v>716</v>
      </c>
      <c r="E120" s="88" t="s">
        <v>607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96">
        <v>116.0</v>
      </c>
      <c r="C121" s="96" t="s">
        <v>608</v>
      </c>
      <c r="D121" s="97" t="s">
        <v>717</v>
      </c>
      <c r="E121" s="96" t="s">
        <v>718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88">
        <v>117.0</v>
      </c>
      <c r="C122" s="88" t="s">
        <v>608</v>
      </c>
      <c r="D122" s="89" t="s">
        <v>719</v>
      </c>
      <c r="E122" s="88" t="s">
        <v>718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96">
        <v>118.0</v>
      </c>
      <c r="C123" s="96" t="s">
        <v>689</v>
      </c>
      <c r="D123" s="97" t="s">
        <v>720</v>
      </c>
      <c r="E123" s="96" t="s">
        <v>718</v>
      </c>
      <c r="F123" s="212" t="s">
        <v>721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88">
        <v>119.0</v>
      </c>
      <c r="C124" s="88" t="s">
        <v>608</v>
      </c>
      <c r="D124" s="89" t="s">
        <v>720</v>
      </c>
      <c r="E124" s="88" t="s">
        <v>718</v>
      </c>
      <c r="F124" s="212" t="s">
        <v>721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96">
        <v>120.0</v>
      </c>
      <c r="C125" s="96" t="s">
        <v>608</v>
      </c>
      <c r="D125" s="97" t="s">
        <v>722</v>
      </c>
      <c r="E125" s="96" t="s">
        <v>718</v>
      </c>
      <c r="F125" s="212" t="s">
        <v>723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88">
        <v>121.0</v>
      </c>
      <c r="C126" s="88" t="s">
        <v>608</v>
      </c>
      <c r="D126" s="89" t="s">
        <v>724</v>
      </c>
      <c r="E126" s="88" t="s">
        <v>718</v>
      </c>
      <c r="F126" s="212" t="s">
        <v>725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96">
        <v>122.0</v>
      </c>
      <c r="C127" s="96" t="s">
        <v>608</v>
      </c>
      <c r="D127" s="97" t="s">
        <v>726</v>
      </c>
      <c r="E127" s="96" t="s">
        <v>718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88">
        <v>123.0</v>
      </c>
      <c r="C128" s="88" t="s">
        <v>608</v>
      </c>
      <c r="D128" s="89" t="s">
        <v>727</v>
      </c>
      <c r="E128" s="88" t="s">
        <v>718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96">
        <v>124.0</v>
      </c>
      <c r="C129" s="96" t="s">
        <v>689</v>
      </c>
      <c r="D129" s="97" t="s">
        <v>728</v>
      </c>
      <c r="E129" s="96" t="s">
        <v>718</v>
      </c>
      <c r="F129" s="212" t="s">
        <v>729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88">
        <v>125.0</v>
      </c>
      <c r="C130" s="88" t="s">
        <v>636</v>
      </c>
      <c r="D130" s="89" t="s">
        <v>728</v>
      </c>
      <c r="E130" s="88" t="s">
        <v>718</v>
      </c>
      <c r="F130" s="212" t="s">
        <v>729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96">
        <v>126.0</v>
      </c>
      <c r="C131" s="96" t="s">
        <v>730</v>
      </c>
      <c r="D131" s="97" t="s">
        <v>728</v>
      </c>
      <c r="E131" s="96" t="s">
        <v>718</v>
      </c>
      <c r="F131" s="212" t="s">
        <v>729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88">
        <v>127.0</v>
      </c>
      <c r="C132" s="88" t="s">
        <v>636</v>
      </c>
      <c r="D132" s="89" t="s">
        <v>731</v>
      </c>
      <c r="E132" s="88" t="s">
        <v>718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/>
      <c r="B133" s="96">
        <v>128.0</v>
      </c>
      <c r="C133" s="96" t="s">
        <v>689</v>
      </c>
      <c r="D133" s="97" t="s">
        <v>732</v>
      </c>
      <c r="E133" s="96" t="s">
        <v>718</v>
      </c>
      <c r="F133" s="212" t="s">
        <v>733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88">
        <v>129.0</v>
      </c>
      <c r="C134" s="88" t="s">
        <v>636</v>
      </c>
      <c r="D134" s="89" t="s">
        <v>732</v>
      </c>
      <c r="E134" s="88" t="s">
        <v>718</v>
      </c>
      <c r="F134" s="212" t="s">
        <v>733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96">
        <v>130.0</v>
      </c>
      <c r="C135" s="96" t="s">
        <v>730</v>
      </c>
      <c r="D135" s="97" t="s">
        <v>732</v>
      </c>
      <c r="E135" s="96" t="s">
        <v>718</v>
      </c>
      <c r="F135" s="212" t="s">
        <v>733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88">
        <v>131.0</v>
      </c>
      <c r="C136" s="88" t="s">
        <v>636</v>
      </c>
      <c r="D136" s="89" t="s">
        <v>734</v>
      </c>
      <c r="E136" s="88" t="s">
        <v>718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96">
        <v>132.0</v>
      </c>
      <c r="C137" s="96" t="s">
        <v>689</v>
      </c>
      <c r="D137" s="97" t="s">
        <v>385</v>
      </c>
      <c r="E137" s="96" t="s">
        <v>718</v>
      </c>
      <c r="F137" s="212" t="s">
        <v>735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88">
        <v>133.0</v>
      </c>
      <c r="C138" s="88" t="s">
        <v>730</v>
      </c>
      <c r="D138" s="89" t="s">
        <v>385</v>
      </c>
      <c r="E138" s="88" t="s">
        <v>718</v>
      </c>
      <c r="F138" s="212" t="s">
        <v>735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96">
        <v>134.0</v>
      </c>
      <c r="C139" s="96" t="s">
        <v>636</v>
      </c>
      <c r="D139" s="97" t="s">
        <v>736</v>
      </c>
      <c r="E139" s="96" t="s">
        <v>718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88">
        <v>135.0</v>
      </c>
      <c r="C140" s="88" t="s">
        <v>689</v>
      </c>
      <c r="D140" s="89" t="s">
        <v>737</v>
      </c>
      <c r="E140" s="88" t="s">
        <v>718</v>
      </c>
      <c r="F140" s="212" t="s">
        <v>738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96">
        <v>136.0</v>
      </c>
      <c r="C141" s="96" t="s">
        <v>730</v>
      </c>
      <c r="D141" s="97" t="s">
        <v>737</v>
      </c>
      <c r="E141" s="96" t="s">
        <v>718</v>
      </c>
      <c r="F141" s="212" t="s">
        <v>738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88">
        <v>137.0</v>
      </c>
      <c r="C142" s="88" t="s">
        <v>636</v>
      </c>
      <c r="D142" s="89" t="s">
        <v>739</v>
      </c>
      <c r="E142" s="88" t="s">
        <v>718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96">
        <v>138.0</v>
      </c>
      <c r="C143" s="96" t="s">
        <v>689</v>
      </c>
      <c r="D143" s="97" t="s">
        <v>740</v>
      </c>
      <c r="E143" s="96" t="s">
        <v>718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3.25" customHeight="1">
      <c r="A144" s="1"/>
      <c r="B144" s="88">
        <v>139.0</v>
      </c>
      <c r="C144" s="88" t="s">
        <v>612</v>
      </c>
      <c r="D144" s="89" t="s">
        <v>740</v>
      </c>
      <c r="E144" s="88" t="s">
        <v>718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96">
        <v>140.0</v>
      </c>
      <c r="C145" s="96" t="s">
        <v>689</v>
      </c>
      <c r="D145" s="97" t="s">
        <v>741</v>
      </c>
      <c r="E145" s="96" t="s">
        <v>718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3.25" customHeight="1">
      <c r="A146" s="1"/>
      <c r="B146" s="88">
        <v>141.0</v>
      </c>
      <c r="C146" s="88" t="s">
        <v>612</v>
      </c>
      <c r="D146" s="89" t="s">
        <v>741</v>
      </c>
      <c r="E146" s="88" t="s">
        <v>718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96">
        <v>142.0</v>
      </c>
      <c r="C147" s="96" t="s">
        <v>689</v>
      </c>
      <c r="D147" s="97" t="s">
        <v>742</v>
      </c>
      <c r="E147" s="96" t="s">
        <v>718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3.25" customHeight="1">
      <c r="A148" s="1"/>
      <c r="B148" s="88">
        <v>143.0</v>
      </c>
      <c r="C148" s="88" t="s">
        <v>612</v>
      </c>
      <c r="D148" s="89" t="s">
        <v>742</v>
      </c>
      <c r="E148" s="88" t="s">
        <v>718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/>
      <c r="B149" s="96">
        <v>144.0</v>
      </c>
      <c r="C149" s="96" t="s">
        <v>689</v>
      </c>
      <c r="D149" s="97" t="s">
        <v>743</v>
      </c>
      <c r="E149" s="96" t="s">
        <v>718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3.25" customHeight="1">
      <c r="A150" s="1"/>
      <c r="B150" s="88">
        <v>145.0</v>
      </c>
      <c r="C150" s="88" t="s">
        <v>612</v>
      </c>
      <c r="D150" s="89" t="s">
        <v>743</v>
      </c>
      <c r="E150" s="88" t="s">
        <v>718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96">
        <v>146.0</v>
      </c>
      <c r="C151" s="96" t="s">
        <v>689</v>
      </c>
      <c r="D151" s="97" t="s">
        <v>744</v>
      </c>
      <c r="E151" s="96" t="s">
        <v>718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3.25" customHeight="1">
      <c r="A152" s="1"/>
      <c r="B152" s="88">
        <v>147.0</v>
      </c>
      <c r="C152" s="88" t="s">
        <v>612</v>
      </c>
      <c r="D152" s="89" t="s">
        <v>744</v>
      </c>
      <c r="E152" s="88" t="s">
        <v>718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/>
      <c r="B153" s="96">
        <v>148.0</v>
      </c>
      <c r="C153" s="96" t="s">
        <v>689</v>
      </c>
      <c r="D153" s="97" t="s">
        <v>745</v>
      </c>
      <c r="E153" s="96" t="s">
        <v>718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3.25" customHeight="1">
      <c r="A154" s="1"/>
      <c r="B154" s="88">
        <v>149.0</v>
      </c>
      <c r="C154" s="88" t="s">
        <v>612</v>
      </c>
      <c r="D154" s="89" t="s">
        <v>745</v>
      </c>
      <c r="E154" s="88" t="s">
        <v>718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96">
        <v>150.0</v>
      </c>
      <c r="C155" s="96" t="s">
        <v>689</v>
      </c>
      <c r="D155" s="97" t="s">
        <v>746</v>
      </c>
      <c r="E155" s="96" t="s">
        <v>718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3.25" customHeight="1">
      <c r="A156" s="1"/>
      <c r="B156" s="88">
        <v>151.0</v>
      </c>
      <c r="C156" s="88" t="s">
        <v>612</v>
      </c>
      <c r="D156" s="89" t="s">
        <v>746</v>
      </c>
      <c r="E156" s="88" t="s">
        <v>718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96">
        <v>152.0</v>
      </c>
      <c r="C157" s="96" t="s">
        <v>689</v>
      </c>
      <c r="D157" s="97" t="s">
        <v>747</v>
      </c>
      <c r="E157" s="96" t="s">
        <v>718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3.25" customHeight="1">
      <c r="A158" s="1"/>
      <c r="B158" s="88">
        <v>153.0</v>
      </c>
      <c r="C158" s="88" t="s">
        <v>612</v>
      </c>
      <c r="D158" s="89" t="s">
        <v>747</v>
      </c>
      <c r="E158" s="88" t="s">
        <v>718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96">
        <v>154.0</v>
      </c>
      <c r="C159" s="96" t="s">
        <v>689</v>
      </c>
      <c r="D159" s="97" t="s">
        <v>748</v>
      </c>
      <c r="E159" s="96" t="s">
        <v>718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3.25" customHeight="1">
      <c r="A160" s="1"/>
      <c r="B160" s="88">
        <v>155.0</v>
      </c>
      <c r="C160" s="88" t="s">
        <v>612</v>
      </c>
      <c r="D160" s="89" t="s">
        <v>748</v>
      </c>
      <c r="E160" s="88" t="s">
        <v>718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/>
      <c r="B161" s="96">
        <v>156.0</v>
      </c>
      <c r="C161" s="96" t="s">
        <v>689</v>
      </c>
      <c r="D161" s="97" t="s">
        <v>749</v>
      </c>
      <c r="E161" s="96" t="s">
        <v>718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3.25" customHeight="1">
      <c r="A162" s="1"/>
      <c r="B162" s="88">
        <v>157.0</v>
      </c>
      <c r="C162" s="88" t="s">
        <v>612</v>
      </c>
      <c r="D162" s="89" t="s">
        <v>749</v>
      </c>
      <c r="E162" s="88" t="s">
        <v>718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96">
        <v>158.0</v>
      </c>
      <c r="C163" s="96" t="s">
        <v>608</v>
      </c>
      <c r="D163" s="97" t="s">
        <v>750</v>
      </c>
      <c r="E163" s="96" t="s">
        <v>718</v>
      </c>
      <c r="F163" s="212" t="s">
        <v>751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3.25" customHeight="1">
      <c r="A164" s="1"/>
      <c r="B164" s="88">
        <v>159.0</v>
      </c>
      <c r="C164" s="88" t="s">
        <v>612</v>
      </c>
      <c r="D164" s="89" t="s">
        <v>752</v>
      </c>
      <c r="E164" s="88" t="s">
        <v>718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96">
        <v>160.0</v>
      </c>
      <c r="C165" s="96" t="s">
        <v>608</v>
      </c>
      <c r="D165" s="97" t="s">
        <v>753</v>
      </c>
      <c r="E165" s="96" t="s">
        <v>718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88">
        <v>161.0</v>
      </c>
      <c r="C166" s="88" t="s">
        <v>608</v>
      </c>
      <c r="D166" s="89" t="s">
        <v>379</v>
      </c>
      <c r="E166" s="88" t="s">
        <v>718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96">
        <v>162.0</v>
      </c>
      <c r="C167" s="96" t="s">
        <v>608</v>
      </c>
      <c r="D167" s="97" t="s">
        <v>754</v>
      </c>
      <c r="E167" s="96" t="s">
        <v>718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88">
        <v>163.0</v>
      </c>
      <c r="C168" s="88" t="s">
        <v>605</v>
      </c>
      <c r="D168" s="89" t="s">
        <v>754</v>
      </c>
      <c r="E168" s="88" t="s">
        <v>718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96">
        <v>164.0</v>
      </c>
      <c r="C169" s="96" t="s">
        <v>608</v>
      </c>
      <c r="D169" s="97" t="s">
        <v>525</v>
      </c>
      <c r="E169" s="96" t="s">
        <v>718</v>
      </c>
      <c r="F169" s="212" t="s">
        <v>755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88">
        <v>165.0</v>
      </c>
      <c r="C170" s="88" t="s">
        <v>691</v>
      </c>
      <c r="D170" s="89" t="s">
        <v>756</v>
      </c>
      <c r="E170" s="88" t="s">
        <v>718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96">
        <v>166.0</v>
      </c>
      <c r="C171" s="96" t="s">
        <v>689</v>
      </c>
      <c r="D171" s="97" t="s">
        <v>757</v>
      </c>
      <c r="E171" s="96" t="s">
        <v>718</v>
      </c>
      <c r="F171" s="212" t="s">
        <v>758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88">
        <v>167.0</v>
      </c>
      <c r="C172" s="88" t="s">
        <v>689</v>
      </c>
      <c r="D172" s="89" t="s">
        <v>759</v>
      </c>
      <c r="E172" s="88" t="s">
        <v>718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96">
        <v>168.0</v>
      </c>
      <c r="C173" s="96" t="s">
        <v>608</v>
      </c>
      <c r="D173" s="97" t="s">
        <v>759</v>
      </c>
      <c r="E173" s="96" t="s">
        <v>718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88">
        <v>169.0</v>
      </c>
      <c r="C174" s="88" t="s">
        <v>689</v>
      </c>
      <c r="D174" s="89" t="s">
        <v>760</v>
      </c>
      <c r="E174" s="88" t="s">
        <v>718</v>
      </c>
      <c r="F174" s="212" t="s">
        <v>761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96">
        <v>170.0</v>
      </c>
      <c r="C175" s="96" t="s">
        <v>605</v>
      </c>
      <c r="D175" s="97" t="s">
        <v>762</v>
      </c>
      <c r="E175" s="96" t="s">
        <v>718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88">
        <v>171.0</v>
      </c>
      <c r="C176" s="88" t="s">
        <v>608</v>
      </c>
      <c r="D176" s="89" t="s">
        <v>763</v>
      </c>
      <c r="E176" s="88" t="s">
        <v>718</v>
      </c>
      <c r="F176" s="212" t="s">
        <v>764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96">
        <v>172.0</v>
      </c>
      <c r="C177" s="96" t="s">
        <v>608</v>
      </c>
      <c r="D177" s="97" t="s">
        <v>765</v>
      </c>
      <c r="E177" s="96" t="s">
        <v>718</v>
      </c>
      <c r="F177" s="212" t="s">
        <v>766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/>
      <c r="B178" s="88">
        <v>173.0</v>
      </c>
      <c r="C178" s="88" t="s">
        <v>689</v>
      </c>
      <c r="D178" s="89" t="s">
        <v>767</v>
      </c>
      <c r="E178" s="88" t="s">
        <v>718</v>
      </c>
      <c r="F178" s="212" t="s">
        <v>768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96">
        <v>174.0</v>
      </c>
      <c r="C179" s="96" t="s">
        <v>608</v>
      </c>
      <c r="D179" s="97" t="s">
        <v>769</v>
      </c>
      <c r="E179" s="96" t="s">
        <v>718</v>
      </c>
      <c r="F179" s="212" t="s">
        <v>770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88">
        <v>175.0</v>
      </c>
      <c r="C180" s="88" t="s">
        <v>689</v>
      </c>
      <c r="D180" s="89" t="s">
        <v>771</v>
      </c>
      <c r="E180" s="88" t="s">
        <v>718</v>
      </c>
      <c r="F180" s="212" t="s">
        <v>772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96">
        <v>176.0</v>
      </c>
      <c r="C181" s="96" t="s">
        <v>608</v>
      </c>
      <c r="D181" s="97" t="s">
        <v>773</v>
      </c>
      <c r="E181" s="96" t="s">
        <v>718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1"/>
      <c r="B182" s="88">
        <v>177.0</v>
      </c>
      <c r="C182" s="88" t="s">
        <v>689</v>
      </c>
      <c r="D182" s="89" t="s">
        <v>774</v>
      </c>
      <c r="E182" s="88" t="s">
        <v>718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1"/>
      <c r="B183" s="96">
        <v>178.0</v>
      </c>
      <c r="C183" s="96" t="s">
        <v>608</v>
      </c>
      <c r="D183" s="97" t="s">
        <v>775</v>
      </c>
      <c r="E183" s="96" t="s">
        <v>718</v>
      </c>
      <c r="F183" s="212" t="s">
        <v>776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88">
        <v>179.0</v>
      </c>
      <c r="C184" s="88" t="s">
        <v>689</v>
      </c>
      <c r="D184" s="89" t="s">
        <v>777</v>
      </c>
      <c r="E184" s="88" t="s">
        <v>718</v>
      </c>
      <c r="F184" s="212" t="s">
        <v>778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96">
        <v>180.0</v>
      </c>
      <c r="C185" s="96" t="s">
        <v>608</v>
      </c>
      <c r="D185" s="97" t="s">
        <v>777</v>
      </c>
      <c r="E185" s="96" t="s">
        <v>718</v>
      </c>
      <c r="F185" s="212" t="s">
        <v>778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88">
        <v>181.0</v>
      </c>
      <c r="C186" s="88" t="s">
        <v>691</v>
      </c>
      <c r="D186" s="89" t="s">
        <v>779</v>
      </c>
      <c r="E186" s="88" t="s">
        <v>718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96">
        <v>182.0</v>
      </c>
      <c r="C187" s="96" t="s">
        <v>614</v>
      </c>
      <c r="D187" s="97" t="s">
        <v>780</v>
      </c>
      <c r="E187" s="96" t="s">
        <v>718</v>
      </c>
      <c r="F187" s="212" t="s">
        <v>781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88">
        <v>183.0</v>
      </c>
      <c r="C188" s="88" t="s">
        <v>608</v>
      </c>
      <c r="D188" s="89" t="s">
        <v>782</v>
      </c>
      <c r="E188" s="88" t="s">
        <v>718</v>
      </c>
      <c r="F188" s="212" t="s">
        <v>783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96">
        <v>184.0</v>
      </c>
      <c r="C189" s="96" t="s">
        <v>608</v>
      </c>
      <c r="D189" s="97" t="s">
        <v>784</v>
      </c>
      <c r="E189" s="96" t="s">
        <v>718</v>
      </c>
      <c r="F189" s="212" t="s">
        <v>785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/>
      <c r="B190" s="88">
        <v>185.0</v>
      </c>
      <c r="C190" s="88" t="s">
        <v>689</v>
      </c>
      <c r="D190" s="89" t="s">
        <v>786</v>
      </c>
      <c r="E190" s="88" t="s">
        <v>718</v>
      </c>
      <c r="F190" s="212" t="s">
        <v>787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/>
      <c r="B191" s="96">
        <v>186.0</v>
      </c>
      <c r="C191" s="96" t="s">
        <v>656</v>
      </c>
      <c r="D191" s="97" t="s">
        <v>589</v>
      </c>
      <c r="E191" s="96" t="s">
        <v>788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>
        <v>187.0</v>
      </c>
      <c r="C192" s="1" t="s">
        <v>608</v>
      </c>
      <c r="D192" s="1" t="s">
        <v>789</v>
      </c>
      <c r="E192" s="1" t="s">
        <v>607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>
        <v>188.0</v>
      </c>
      <c r="C193" s="1" t="s">
        <v>608</v>
      </c>
      <c r="D193" s="1" t="s">
        <v>790</v>
      </c>
      <c r="E193" s="1" t="s">
        <v>607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>
        <v>189.0</v>
      </c>
      <c r="C194" s="1" t="s">
        <v>608</v>
      </c>
      <c r="D194" s="1" t="s">
        <v>791</v>
      </c>
      <c r="E194" s="1" t="s">
        <v>607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>
        <v>190.0</v>
      </c>
      <c r="C195" s="1" t="s">
        <v>608</v>
      </c>
      <c r="D195" s="1" t="s">
        <v>792</v>
      </c>
      <c r="E195" s="1" t="s">
        <v>607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>
        <v>191.0</v>
      </c>
      <c r="C196" s="1" t="s">
        <v>608</v>
      </c>
      <c r="D196" s="1" t="s">
        <v>793</v>
      </c>
      <c r="E196" s="1" t="s">
        <v>607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>
        <v>192.0</v>
      </c>
      <c r="C197" s="1" t="s">
        <v>608</v>
      </c>
      <c r="D197" s="1" t="s">
        <v>794</v>
      </c>
      <c r="E197" s="1" t="s">
        <v>607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>
        <v>193.0</v>
      </c>
      <c r="C198" s="1" t="s">
        <v>608</v>
      </c>
      <c r="D198" s="1" t="s">
        <v>795</v>
      </c>
      <c r="E198" s="1" t="s">
        <v>607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>
        <v>194.0</v>
      </c>
      <c r="C199" s="1" t="s">
        <v>608</v>
      </c>
      <c r="D199" s="1" t="s">
        <v>796</v>
      </c>
      <c r="E199" s="1" t="s">
        <v>607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>
        <v>195.0</v>
      </c>
      <c r="C200" s="1" t="s">
        <v>608</v>
      </c>
      <c r="D200" s="1" t="s">
        <v>797</v>
      </c>
      <c r="E200" s="1" t="s">
        <v>607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>
        <v>196.0</v>
      </c>
      <c r="C201" s="1" t="s">
        <v>608</v>
      </c>
      <c r="D201" s="1" t="s">
        <v>798</v>
      </c>
      <c r="E201" s="1" t="s">
        <v>607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>
        <v>197.0</v>
      </c>
      <c r="C202" s="1" t="s">
        <v>608</v>
      </c>
      <c r="D202" s="1" t="s">
        <v>799</v>
      </c>
      <c r="E202" s="1" t="s">
        <v>607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>
        <v>198.0</v>
      </c>
      <c r="C203" s="1" t="s">
        <v>608</v>
      </c>
      <c r="D203" s="1" t="s">
        <v>800</v>
      </c>
      <c r="E203" s="1" t="s">
        <v>607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>
        <v>199.0</v>
      </c>
      <c r="C204" s="1" t="s">
        <v>608</v>
      </c>
      <c r="D204" s="1" t="s">
        <v>801</v>
      </c>
      <c r="E204" s="1" t="s">
        <v>607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>
        <v>200.0</v>
      </c>
      <c r="C205" s="1" t="s">
        <v>608</v>
      </c>
      <c r="D205" s="1" t="s">
        <v>802</v>
      </c>
      <c r="E205" s="1" t="s">
        <v>607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>
        <v>201.0</v>
      </c>
      <c r="C206" s="1" t="s">
        <v>608</v>
      </c>
      <c r="D206" s="1" t="s">
        <v>803</v>
      </c>
      <c r="E206" s="1" t="s">
        <v>607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>
        <v>202.0</v>
      </c>
      <c r="C207" s="1" t="s">
        <v>608</v>
      </c>
      <c r="D207" s="1" t="s">
        <v>804</v>
      </c>
      <c r="E207" s="1" t="s">
        <v>607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>
        <v>203.0</v>
      </c>
      <c r="C208" s="1" t="s">
        <v>608</v>
      </c>
      <c r="D208" s="1" t="s">
        <v>406</v>
      </c>
      <c r="E208" s="1" t="s">
        <v>607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>
        <v>204.0</v>
      </c>
      <c r="C209" s="1" t="s">
        <v>608</v>
      </c>
      <c r="D209" s="1" t="s">
        <v>805</v>
      </c>
      <c r="E209" s="1" t="s">
        <v>607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>
        <v>205.0</v>
      </c>
      <c r="C210" s="1" t="s">
        <v>608</v>
      </c>
      <c r="D210" s="1" t="s">
        <v>806</v>
      </c>
      <c r="E210" s="1" t="s">
        <v>607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>
        <v>206.0</v>
      </c>
      <c r="C211" s="1" t="s">
        <v>608</v>
      </c>
      <c r="D211" s="1" t="s">
        <v>807</v>
      </c>
      <c r="E211" s="1" t="s">
        <v>607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>
        <v>207.0</v>
      </c>
      <c r="C212" s="1" t="s">
        <v>608</v>
      </c>
      <c r="D212" s="1" t="s">
        <v>808</v>
      </c>
      <c r="E212" s="1" t="s">
        <v>607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>
        <v>208.0</v>
      </c>
      <c r="C213" s="1" t="s">
        <v>608</v>
      </c>
      <c r="D213" s="1" t="s">
        <v>809</v>
      </c>
      <c r="E213" s="1" t="s">
        <v>607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>
        <v>209.0</v>
      </c>
      <c r="C214" s="1" t="s">
        <v>608</v>
      </c>
      <c r="D214" s="1" t="s">
        <v>810</v>
      </c>
      <c r="E214" s="1" t="s">
        <v>607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>
        <v>210.0</v>
      </c>
      <c r="C215" s="1" t="s">
        <v>614</v>
      </c>
      <c r="D215" s="1" t="s">
        <v>811</v>
      </c>
      <c r="E215" s="1" t="s">
        <v>607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>
        <v>211.0</v>
      </c>
      <c r="C216" s="1" t="s">
        <v>614</v>
      </c>
      <c r="D216" s="1" t="s">
        <v>812</v>
      </c>
      <c r="E216" s="1" t="s">
        <v>607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>
        <v>212.0</v>
      </c>
      <c r="C217" s="1" t="s">
        <v>614</v>
      </c>
      <c r="D217" s="1" t="s">
        <v>813</v>
      </c>
      <c r="E217" s="1" t="s">
        <v>607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>
        <v>213.0</v>
      </c>
      <c r="C218" s="1" t="s">
        <v>814</v>
      </c>
      <c r="D218" s="1" t="s">
        <v>815</v>
      </c>
      <c r="E218" s="1" t="s">
        <v>607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>
        <v>214.0</v>
      </c>
      <c r="C219" s="1" t="s">
        <v>814</v>
      </c>
      <c r="D219" s="1" t="s">
        <v>816</v>
      </c>
      <c r="E219" s="1" t="s">
        <v>607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>
        <v>215.0</v>
      </c>
      <c r="C220" s="1" t="s">
        <v>814</v>
      </c>
      <c r="D220" s="1" t="s">
        <v>817</v>
      </c>
      <c r="E220" s="1" t="s">
        <v>607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>
        <v>216.0</v>
      </c>
      <c r="C221" s="1" t="s">
        <v>814</v>
      </c>
      <c r="D221" s="1" t="s">
        <v>818</v>
      </c>
      <c r="E221" s="1" t="s">
        <v>607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>
        <v>217.0</v>
      </c>
      <c r="C222" s="1" t="s">
        <v>814</v>
      </c>
      <c r="D222" s="1" t="s">
        <v>819</v>
      </c>
      <c r="E222" s="1" t="s">
        <v>607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>
        <v>218.0</v>
      </c>
      <c r="C223" s="1" t="s">
        <v>814</v>
      </c>
      <c r="D223" s="1" t="s">
        <v>820</v>
      </c>
      <c r="E223" s="1" t="s">
        <v>607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>
        <v>219.0</v>
      </c>
      <c r="C224" s="1" t="s">
        <v>814</v>
      </c>
      <c r="D224" s="1" t="s">
        <v>821</v>
      </c>
      <c r="E224" s="1" t="s">
        <v>607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21"/>
      <c r="B425" s="21"/>
      <c r="C425" s="21"/>
      <c r="D425" s="21"/>
      <c r="E425" s="21"/>
      <c r="F425" s="21"/>
      <c r="G425" s="21"/>
    </row>
    <row r="426" ht="15.75" customHeight="1">
      <c r="A426" s="21"/>
      <c r="B426" s="21"/>
      <c r="C426" s="21"/>
      <c r="D426" s="21"/>
      <c r="E426" s="21"/>
      <c r="F426" s="21"/>
      <c r="G426" s="21"/>
    </row>
    <row r="427" ht="15.75" customHeight="1">
      <c r="A427" s="21"/>
      <c r="B427" s="21"/>
      <c r="C427" s="21"/>
      <c r="D427" s="21"/>
      <c r="E427" s="21"/>
      <c r="F427" s="21"/>
      <c r="G427" s="21"/>
    </row>
    <row r="428" ht="15.75" customHeight="1">
      <c r="A428" s="21"/>
      <c r="B428" s="21"/>
      <c r="C428" s="21"/>
      <c r="D428" s="21"/>
      <c r="E428" s="21"/>
      <c r="F428" s="21"/>
      <c r="G428" s="21"/>
    </row>
    <row r="429" ht="15.75" customHeight="1">
      <c r="A429" s="21"/>
      <c r="B429" s="21"/>
      <c r="C429" s="21"/>
      <c r="D429" s="21"/>
      <c r="E429" s="21"/>
      <c r="F429" s="21"/>
      <c r="G429" s="21"/>
    </row>
    <row r="430" ht="15.75" customHeight="1">
      <c r="A430" s="21"/>
      <c r="B430" s="21"/>
      <c r="C430" s="21"/>
      <c r="D430" s="21"/>
      <c r="E430" s="21"/>
      <c r="F430" s="21"/>
      <c r="G430" s="21"/>
    </row>
    <row r="431" ht="15.75" customHeight="1">
      <c r="A431" s="21"/>
      <c r="B431" s="21"/>
      <c r="C431" s="21"/>
      <c r="D431" s="21"/>
      <c r="E431" s="21"/>
      <c r="F431" s="21"/>
      <c r="G431" s="21"/>
    </row>
    <row r="432" ht="15.75" customHeight="1">
      <c r="A432" s="21"/>
      <c r="B432" s="21"/>
      <c r="C432" s="21"/>
      <c r="D432" s="21"/>
      <c r="E432" s="21"/>
      <c r="F432" s="21"/>
      <c r="G432" s="21"/>
    </row>
    <row r="433" ht="15.75" customHeight="1">
      <c r="A433" s="21"/>
      <c r="B433" s="21"/>
      <c r="C433" s="21"/>
      <c r="D433" s="21"/>
      <c r="E433" s="21"/>
      <c r="F433" s="21"/>
      <c r="G433" s="21"/>
    </row>
    <row r="434" ht="15.75" customHeight="1">
      <c r="A434" s="21"/>
      <c r="B434" s="21"/>
      <c r="C434" s="21"/>
      <c r="D434" s="21"/>
      <c r="E434" s="21"/>
      <c r="F434" s="21"/>
      <c r="G434" s="21"/>
    </row>
    <row r="435" ht="15.75" customHeight="1">
      <c r="A435" s="21"/>
      <c r="B435" s="21"/>
      <c r="C435" s="21"/>
      <c r="D435" s="21"/>
      <c r="E435" s="21"/>
      <c r="F435" s="21"/>
      <c r="G435" s="21"/>
    </row>
    <row r="436" ht="15.75" customHeight="1">
      <c r="A436" s="21"/>
      <c r="B436" s="21"/>
      <c r="C436" s="21"/>
      <c r="D436" s="21"/>
      <c r="E436" s="21"/>
      <c r="F436" s="21"/>
      <c r="G436" s="21"/>
    </row>
    <row r="437" ht="15.75" customHeight="1">
      <c r="A437" s="21"/>
      <c r="B437" s="21"/>
      <c r="C437" s="21"/>
      <c r="D437" s="21"/>
      <c r="E437" s="21"/>
      <c r="F437" s="21"/>
      <c r="G437" s="21"/>
    </row>
    <row r="438" ht="15.75" customHeight="1">
      <c r="A438" s="21"/>
      <c r="B438" s="21"/>
      <c r="C438" s="21"/>
      <c r="D438" s="21"/>
      <c r="E438" s="21"/>
      <c r="F438" s="21"/>
      <c r="G438" s="21"/>
    </row>
    <row r="439" ht="15.75" customHeight="1">
      <c r="A439" s="21"/>
      <c r="B439" s="21"/>
      <c r="C439" s="21"/>
      <c r="D439" s="21"/>
      <c r="E439" s="21"/>
      <c r="F439" s="21"/>
      <c r="G439" s="21"/>
    </row>
    <row r="440" ht="15.75" customHeight="1">
      <c r="A440" s="21"/>
      <c r="B440" s="21"/>
      <c r="C440" s="21"/>
      <c r="D440" s="21"/>
      <c r="E440" s="21"/>
      <c r="F440" s="21"/>
      <c r="G440" s="21"/>
    </row>
    <row r="441" ht="15.75" customHeight="1">
      <c r="A441" s="21"/>
      <c r="B441" s="21"/>
      <c r="C441" s="21"/>
      <c r="D441" s="21"/>
      <c r="E441" s="21"/>
      <c r="F441" s="21"/>
      <c r="G441" s="21"/>
    </row>
    <row r="442" ht="15.75" customHeight="1">
      <c r="A442" s="21"/>
      <c r="B442" s="21"/>
      <c r="C442" s="21"/>
      <c r="D442" s="21"/>
      <c r="E442" s="21"/>
      <c r="F442" s="21"/>
      <c r="G442" s="21"/>
    </row>
    <row r="443" ht="15.75" customHeight="1">
      <c r="A443" s="21"/>
      <c r="B443" s="21"/>
      <c r="C443" s="21"/>
      <c r="D443" s="21"/>
      <c r="E443" s="21"/>
      <c r="F443" s="21"/>
      <c r="G443" s="21"/>
    </row>
    <row r="444" ht="15.75" customHeight="1">
      <c r="A444" s="21"/>
      <c r="B444" s="21"/>
      <c r="C444" s="21"/>
      <c r="D444" s="21"/>
      <c r="E444" s="21"/>
      <c r="F444" s="21"/>
      <c r="G444" s="21"/>
    </row>
    <row r="445" ht="15.75" customHeight="1">
      <c r="A445" s="21"/>
      <c r="B445" s="21"/>
      <c r="C445" s="21"/>
      <c r="D445" s="21"/>
      <c r="E445" s="21"/>
      <c r="F445" s="21"/>
      <c r="G445" s="21"/>
    </row>
    <row r="446" ht="15.75" customHeight="1">
      <c r="A446" s="21"/>
      <c r="B446" s="21"/>
      <c r="C446" s="21"/>
      <c r="D446" s="21"/>
      <c r="E446" s="21"/>
      <c r="F446" s="21"/>
      <c r="G446" s="21"/>
    </row>
    <row r="447" ht="15.75" customHeight="1">
      <c r="A447" s="21"/>
      <c r="B447" s="21"/>
      <c r="C447" s="21"/>
      <c r="D447" s="21"/>
      <c r="E447" s="21"/>
      <c r="F447" s="21"/>
      <c r="G447" s="21"/>
    </row>
    <row r="448" ht="15.75" customHeight="1">
      <c r="A448" s="21"/>
      <c r="B448" s="21"/>
      <c r="C448" s="21"/>
      <c r="D448" s="21"/>
      <c r="E448" s="21"/>
      <c r="F448" s="21"/>
      <c r="G448" s="21"/>
    </row>
    <row r="449" ht="15.75" customHeight="1">
      <c r="A449" s="21"/>
      <c r="B449" s="21"/>
      <c r="C449" s="21"/>
      <c r="D449" s="21"/>
      <c r="E449" s="21"/>
      <c r="F449" s="21"/>
      <c r="G449" s="21"/>
    </row>
    <row r="450" ht="15.75" customHeight="1">
      <c r="A450" s="21"/>
      <c r="B450" s="21"/>
      <c r="C450" s="21"/>
      <c r="D450" s="21"/>
      <c r="E450" s="21"/>
      <c r="F450" s="21"/>
      <c r="G450" s="21"/>
    </row>
    <row r="451" ht="15.75" customHeight="1">
      <c r="A451" s="21"/>
      <c r="B451" s="21"/>
      <c r="C451" s="21"/>
      <c r="D451" s="21"/>
      <c r="E451" s="21"/>
      <c r="F451" s="21"/>
      <c r="G451" s="21"/>
    </row>
    <row r="452" ht="15.75" customHeight="1">
      <c r="A452" s="21"/>
      <c r="B452" s="21"/>
      <c r="C452" s="21"/>
      <c r="D452" s="21"/>
      <c r="E452" s="21"/>
      <c r="F452" s="21"/>
      <c r="G452" s="21"/>
    </row>
    <row r="453" ht="15.75" customHeight="1">
      <c r="A453" s="21"/>
      <c r="B453" s="21"/>
      <c r="C453" s="21"/>
      <c r="D453" s="21"/>
      <c r="E453" s="21"/>
      <c r="F453" s="21"/>
      <c r="G453" s="21"/>
    </row>
    <row r="454" ht="15.75" customHeight="1">
      <c r="A454" s="21"/>
      <c r="B454" s="21"/>
      <c r="C454" s="21"/>
      <c r="D454" s="21"/>
      <c r="E454" s="21"/>
      <c r="F454" s="21"/>
      <c r="G454" s="21"/>
    </row>
    <row r="455" ht="15.75" customHeight="1">
      <c r="A455" s="21"/>
      <c r="B455" s="21"/>
      <c r="C455" s="21"/>
      <c r="D455" s="21"/>
      <c r="E455" s="21"/>
      <c r="F455" s="21"/>
      <c r="G455" s="21"/>
    </row>
    <row r="456" ht="15.75" customHeight="1">
      <c r="A456" s="21"/>
      <c r="B456" s="21"/>
      <c r="C456" s="21"/>
      <c r="D456" s="21"/>
      <c r="E456" s="21"/>
      <c r="F456" s="21"/>
      <c r="G456" s="21"/>
    </row>
    <row r="457" ht="15.75" customHeight="1">
      <c r="A457" s="21"/>
      <c r="B457" s="21"/>
      <c r="C457" s="21"/>
      <c r="D457" s="21"/>
      <c r="E457" s="21"/>
      <c r="F457" s="21"/>
      <c r="G457" s="21"/>
    </row>
    <row r="458" ht="15.75" customHeight="1">
      <c r="A458" s="21"/>
      <c r="B458" s="21"/>
      <c r="C458" s="21"/>
      <c r="D458" s="21"/>
      <c r="E458" s="21"/>
      <c r="F458" s="21"/>
      <c r="G458" s="21"/>
    </row>
    <row r="459" ht="15.75" customHeight="1">
      <c r="A459" s="21"/>
      <c r="B459" s="21"/>
      <c r="C459" s="21"/>
      <c r="D459" s="21"/>
      <c r="E459" s="21"/>
      <c r="F459" s="21"/>
      <c r="G459" s="21"/>
    </row>
    <row r="460" ht="15.75" customHeight="1">
      <c r="A460" s="21"/>
      <c r="B460" s="21"/>
      <c r="C460" s="21"/>
      <c r="D460" s="21"/>
      <c r="E460" s="21"/>
      <c r="F460" s="21"/>
      <c r="G460" s="21"/>
    </row>
    <row r="461" ht="15.75" customHeight="1">
      <c r="A461" s="21"/>
      <c r="B461" s="21"/>
      <c r="C461" s="21"/>
      <c r="D461" s="21"/>
      <c r="E461" s="21"/>
      <c r="F461" s="21"/>
      <c r="G461" s="21"/>
    </row>
    <row r="462" ht="15.75" customHeight="1">
      <c r="A462" s="21"/>
      <c r="B462" s="21"/>
      <c r="C462" s="21"/>
      <c r="D462" s="21"/>
      <c r="E462" s="21"/>
      <c r="F462" s="21"/>
      <c r="G462" s="21"/>
    </row>
    <row r="463" ht="15.75" customHeight="1">
      <c r="A463" s="21"/>
      <c r="B463" s="21"/>
      <c r="C463" s="21"/>
      <c r="D463" s="21"/>
      <c r="E463" s="21"/>
      <c r="F463" s="21"/>
      <c r="G463" s="21"/>
    </row>
    <row r="464" ht="15.75" customHeight="1">
      <c r="A464" s="21"/>
      <c r="B464" s="21"/>
      <c r="C464" s="21"/>
      <c r="D464" s="21"/>
      <c r="E464" s="21"/>
      <c r="F464" s="21"/>
      <c r="G464" s="21"/>
    </row>
    <row r="465" ht="15.75" customHeight="1">
      <c r="A465" s="21"/>
      <c r="B465" s="21"/>
      <c r="C465" s="21"/>
      <c r="D465" s="21"/>
      <c r="E465" s="21"/>
      <c r="F465" s="21"/>
      <c r="G465" s="21"/>
    </row>
    <row r="466" ht="15.75" customHeight="1">
      <c r="A466" s="21"/>
      <c r="B466" s="21"/>
      <c r="C466" s="21"/>
      <c r="D466" s="21"/>
      <c r="E466" s="21"/>
      <c r="F466" s="21"/>
      <c r="G466" s="21"/>
    </row>
    <row r="467" ht="15.75" customHeight="1">
      <c r="A467" s="21"/>
      <c r="B467" s="21"/>
      <c r="C467" s="21"/>
      <c r="D467" s="21"/>
      <c r="E467" s="21"/>
      <c r="F467" s="21"/>
      <c r="G467" s="21"/>
    </row>
    <row r="468" ht="15.75" customHeight="1">
      <c r="A468" s="21"/>
      <c r="B468" s="21"/>
      <c r="C468" s="21"/>
      <c r="D468" s="21"/>
      <c r="E468" s="21"/>
      <c r="F468" s="21"/>
      <c r="G468" s="21"/>
    </row>
    <row r="469" ht="15.75" customHeight="1">
      <c r="A469" s="21"/>
      <c r="B469" s="21"/>
      <c r="C469" s="21"/>
      <c r="D469" s="21"/>
      <c r="E469" s="21"/>
      <c r="F469" s="21"/>
      <c r="G469" s="21"/>
    </row>
    <row r="470" ht="15.75" customHeight="1">
      <c r="A470" s="21"/>
      <c r="B470" s="21"/>
      <c r="C470" s="21"/>
      <c r="D470" s="21"/>
      <c r="E470" s="21"/>
      <c r="F470" s="21"/>
      <c r="G470" s="21"/>
    </row>
    <row r="471" ht="15.75" customHeight="1">
      <c r="A471" s="21"/>
      <c r="B471" s="21"/>
      <c r="C471" s="21"/>
      <c r="D471" s="21"/>
      <c r="E471" s="21"/>
      <c r="F471" s="21"/>
      <c r="G471" s="21"/>
    </row>
    <row r="472" ht="15.75" customHeight="1">
      <c r="A472" s="21"/>
      <c r="B472" s="21"/>
      <c r="C472" s="21"/>
      <c r="D472" s="21"/>
      <c r="E472" s="21"/>
      <c r="F472" s="21"/>
      <c r="G472" s="21"/>
    </row>
    <row r="473" ht="15.75" customHeight="1">
      <c r="A473" s="21"/>
      <c r="B473" s="21"/>
      <c r="C473" s="21"/>
      <c r="D473" s="21"/>
      <c r="E473" s="21"/>
      <c r="F473" s="21"/>
      <c r="G473" s="21"/>
    </row>
    <row r="474" ht="15.75" customHeight="1">
      <c r="A474" s="21"/>
      <c r="B474" s="21"/>
      <c r="C474" s="21"/>
      <c r="D474" s="21"/>
      <c r="E474" s="21"/>
      <c r="F474" s="21"/>
      <c r="G474" s="21"/>
    </row>
    <row r="475" ht="15.75" customHeight="1">
      <c r="A475" s="21"/>
      <c r="B475" s="21"/>
      <c r="C475" s="21"/>
      <c r="D475" s="21"/>
      <c r="E475" s="21"/>
      <c r="F475" s="21"/>
      <c r="G475" s="21"/>
    </row>
    <row r="476" ht="15.75" customHeight="1">
      <c r="A476" s="21"/>
      <c r="B476" s="21"/>
      <c r="C476" s="21"/>
      <c r="D476" s="21"/>
      <c r="E476" s="21"/>
      <c r="F476" s="21"/>
      <c r="G476" s="21"/>
    </row>
    <row r="477" ht="15.75" customHeight="1">
      <c r="A477" s="21"/>
      <c r="B477" s="21"/>
      <c r="C477" s="21"/>
      <c r="D477" s="21"/>
      <c r="E477" s="21"/>
      <c r="F477" s="21"/>
      <c r="G477" s="21"/>
    </row>
    <row r="478" ht="15.75" customHeight="1">
      <c r="A478" s="21"/>
      <c r="B478" s="21"/>
      <c r="C478" s="21"/>
      <c r="D478" s="21"/>
      <c r="E478" s="21"/>
      <c r="F478" s="21"/>
      <c r="G478" s="21"/>
    </row>
    <row r="479" ht="15.75" customHeight="1">
      <c r="A479" s="21"/>
      <c r="B479" s="21"/>
      <c r="C479" s="21"/>
      <c r="D479" s="21"/>
      <c r="E479" s="21"/>
      <c r="F479" s="21"/>
      <c r="G479" s="21"/>
    </row>
    <row r="480" ht="15.75" customHeight="1">
      <c r="A480" s="21"/>
      <c r="B480" s="21"/>
      <c r="C480" s="21"/>
      <c r="D480" s="21"/>
      <c r="E480" s="21"/>
      <c r="F480" s="21"/>
      <c r="G480" s="21"/>
    </row>
    <row r="481" ht="15.75" customHeight="1">
      <c r="A481" s="21"/>
      <c r="B481" s="21"/>
      <c r="C481" s="21"/>
      <c r="D481" s="21"/>
      <c r="E481" s="21"/>
      <c r="F481" s="21"/>
      <c r="G481" s="21"/>
    </row>
    <row r="482" ht="15.75" customHeight="1">
      <c r="A482" s="21"/>
      <c r="B482" s="21"/>
      <c r="C482" s="21"/>
      <c r="D482" s="21"/>
      <c r="E482" s="21"/>
      <c r="F482" s="21"/>
      <c r="G482" s="21"/>
    </row>
    <row r="483" ht="15.75" customHeight="1">
      <c r="A483" s="21"/>
      <c r="B483" s="21"/>
      <c r="C483" s="21"/>
      <c r="D483" s="21"/>
      <c r="E483" s="21"/>
      <c r="F483" s="21"/>
      <c r="G483" s="21"/>
    </row>
    <row r="484" ht="15.75" customHeight="1">
      <c r="A484" s="21"/>
      <c r="B484" s="21"/>
      <c r="C484" s="21"/>
      <c r="D484" s="21"/>
      <c r="E484" s="21"/>
      <c r="F484" s="21"/>
      <c r="G484" s="21"/>
    </row>
    <row r="485" ht="15.75" customHeight="1">
      <c r="A485" s="21"/>
      <c r="B485" s="21"/>
      <c r="C485" s="21"/>
      <c r="D485" s="21"/>
      <c r="E485" s="21"/>
      <c r="F485" s="21"/>
      <c r="G485" s="21"/>
    </row>
    <row r="486" ht="15.75" customHeight="1">
      <c r="A486" s="21"/>
      <c r="B486" s="21"/>
      <c r="C486" s="21"/>
      <c r="D486" s="21"/>
      <c r="E486" s="21"/>
      <c r="F486" s="21"/>
      <c r="G486" s="21"/>
    </row>
    <row r="487" ht="15.75" customHeight="1">
      <c r="A487" s="21"/>
      <c r="B487" s="21"/>
      <c r="C487" s="21"/>
      <c r="D487" s="21"/>
      <c r="E487" s="21"/>
      <c r="F487" s="21"/>
      <c r="G487" s="21"/>
    </row>
    <row r="488" ht="15.75" customHeight="1">
      <c r="A488" s="21"/>
      <c r="B488" s="21"/>
      <c r="C488" s="21"/>
      <c r="D488" s="21"/>
      <c r="E488" s="21"/>
      <c r="F488" s="21"/>
      <c r="G488" s="21"/>
    </row>
    <row r="489" ht="15.75" customHeight="1">
      <c r="A489" s="21"/>
      <c r="B489" s="21"/>
      <c r="C489" s="21"/>
      <c r="D489" s="21"/>
      <c r="E489" s="21"/>
      <c r="F489" s="21"/>
      <c r="G489" s="21"/>
    </row>
    <row r="490" ht="15.75" customHeight="1">
      <c r="A490" s="21"/>
      <c r="B490" s="21"/>
      <c r="C490" s="21"/>
      <c r="D490" s="21"/>
      <c r="E490" s="21"/>
      <c r="F490" s="21"/>
      <c r="G490" s="21"/>
    </row>
    <row r="491" ht="15.75" customHeight="1">
      <c r="A491" s="21"/>
      <c r="B491" s="21"/>
      <c r="C491" s="21"/>
      <c r="D491" s="21"/>
      <c r="E491" s="21"/>
      <c r="F491" s="21"/>
      <c r="G491" s="21"/>
    </row>
    <row r="492" ht="15.75" customHeight="1">
      <c r="A492" s="21"/>
      <c r="B492" s="21"/>
      <c r="C492" s="21"/>
      <c r="D492" s="21"/>
      <c r="E492" s="21"/>
      <c r="F492" s="21"/>
      <c r="G492" s="21"/>
    </row>
    <row r="493" ht="15.75" customHeight="1">
      <c r="A493" s="21"/>
      <c r="B493" s="21"/>
      <c r="C493" s="21"/>
      <c r="D493" s="21"/>
      <c r="E493" s="21"/>
      <c r="F493" s="21"/>
      <c r="G493" s="21"/>
    </row>
    <row r="494" ht="15.75" customHeight="1">
      <c r="A494" s="21"/>
      <c r="B494" s="21"/>
      <c r="C494" s="21"/>
      <c r="D494" s="21"/>
      <c r="E494" s="21"/>
      <c r="F494" s="21"/>
      <c r="G494" s="21"/>
    </row>
    <row r="495" ht="15.75" customHeight="1">
      <c r="A495" s="21"/>
      <c r="B495" s="21"/>
      <c r="C495" s="21"/>
      <c r="D495" s="21"/>
      <c r="E495" s="21"/>
      <c r="F495" s="21"/>
      <c r="G495" s="21"/>
    </row>
    <row r="496" ht="15.75" customHeight="1">
      <c r="A496" s="21"/>
      <c r="B496" s="21"/>
      <c r="C496" s="21"/>
      <c r="D496" s="21"/>
      <c r="E496" s="21"/>
      <c r="F496" s="21"/>
      <c r="G496" s="21"/>
    </row>
    <row r="497" ht="15.75" customHeight="1">
      <c r="A497" s="21"/>
      <c r="B497" s="21"/>
      <c r="C497" s="21"/>
      <c r="D497" s="21"/>
      <c r="E497" s="21"/>
      <c r="F497" s="21"/>
      <c r="G497" s="21"/>
    </row>
    <row r="498" ht="15.75" customHeight="1">
      <c r="A498" s="21"/>
      <c r="B498" s="21"/>
      <c r="C498" s="21"/>
      <c r="D498" s="21"/>
      <c r="E498" s="21"/>
      <c r="F498" s="21"/>
      <c r="G498" s="21"/>
    </row>
    <row r="499" ht="15.75" customHeight="1">
      <c r="A499" s="21"/>
      <c r="B499" s="21"/>
      <c r="C499" s="21"/>
      <c r="D499" s="21"/>
      <c r="E499" s="21"/>
      <c r="F499" s="21"/>
      <c r="G499" s="21"/>
    </row>
    <row r="500" ht="15.75" customHeight="1">
      <c r="A500" s="21"/>
      <c r="B500" s="21"/>
      <c r="C500" s="21"/>
      <c r="D500" s="21"/>
      <c r="E500" s="21"/>
      <c r="F500" s="21"/>
      <c r="G500" s="21"/>
    </row>
    <row r="501" ht="15.75" customHeight="1">
      <c r="A501" s="21"/>
      <c r="B501" s="21"/>
      <c r="C501" s="21"/>
      <c r="D501" s="21"/>
      <c r="E501" s="21"/>
      <c r="F501" s="21"/>
      <c r="G501" s="21"/>
    </row>
    <row r="502" ht="15.75" customHeight="1">
      <c r="A502" s="21"/>
      <c r="B502" s="21"/>
      <c r="C502" s="21"/>
      <c r="D502" s="21"/>
      <c r="E502" s="21"/>
      <c r="F502" s="21"/>
      <c r="G502" s="21"/>
    </row>
    <row r="503" ht="15.75" customHeight="1">
      <c r="A503" s="21"/>
      <c r="B503" s="21"/>
      <c r="C503" s="21"/>
      <c r="D503" s="21"/>
      <c r="E503" s="21"/>
      <c r="F503" s="21"/>
      <c r="G503" s="21"/>
    </row>
    <row r="504" ht="15.75" customHeight="1">
      <c r="A504" s="21"/>
      <c r="B504" s="21"/>
      <c r="C504" s="21"/>
      <c r="D504" s="21"/>
      <c r="E504" s="21"/>
      <c r="F504" s="21"/>
      <c r="G504" s="21"/>
    </row>
    <row r="505" ht="15.75" customHeight="1">
      <c r="A505" s="21"/>
      <c r="B505" s="21"/>
      <c r="C505" s="21"/>
      <c r="D505" s="21"/>
      <c r="E505" s="21"/>
      <c r="F505" s="21"/>
      <c r="G505" s="21"/>
    </row>
    <row r="506" ht="15.75" customHeight="1">
      <c r="A506" s="21"/>
      <c r="B506" s="21"/>
      <c r="C506" s="21"/>
      <c r="D506" s="21"/>
      <c r="E506" s="21"/>
      <c r="F506" s="21"/>
      <c r="G506" s="21"/>
    </row>
    <row r="507" ht="15.75" customHeight="1">
      <c r="A507" s="21"/>
      <c r="B507" s="21"/>
      <c r="C507" s="21"/>
      <c r="D507" s="21"/>
      <c r="E507" s="21"/>
      <c r="F507" s="21"/>
      <c r="G507" s="21"/>
    </row>
    <row r="508" ht="15.75" customHeight="1">
      <c r="A508" s="21"/>
      <c r="B508" s="21"/>
      <c r="C508" s="21"/>
      <c r="D508" s="21"/>
      <c r="E508" s="21"/>
      <c r="F508" s="21"/>
      <c r="G508" s="21"/>
    </row>
    <row r="509" ht="15.75" customHeight="1">
      <c r="A509" s="21"/>
      <c r="B509" s="21"/>
      <c r="C509" s="21"/>
      <c r="D509" s="21"/>
      <c r="E509" s="21"/>
      <c r="F509" s="21"/>
      <c r="G509" s="21"/>
    </row>
    <row r="510" ht="15.75" customHeight="1">
      <c r="A510" s="21"/>
      <c r="B510" s="21"/>
      <c r="C510" s="21"/>
      <c r="D510" s="21"/>
      <c r="E510" s="21"/>
      <c r="F510" s="21"/>
      <c r="G510" s="21"/>
    </row>
    <row r="511" ht="15.75" customHeight="1">
      <c r="A511" s="21"/>
      <c r="B511" s="21"/>
      <c r="C511" s="21"/>
      <c r="D511" s="21"/>
      <c r="E511" s="21"/>
      <c r="F511" s="21"/>
      <c r="G511" s="21"/>
    </row>
    <row r="512" ht="15.75" customHeight="1">
      <c r="A512" s="21"/>
      <c r="B512" s="21"/>
      <c r="C512" s="21"/>
      <c r="D512" s="21"/>
      <c r="E512" s="21"/>
      <c r="F512" s="21"/>
      <c r="G512" s="21"/>
    </row>
    <row r="513" ht="15.75" customHeight="1">
      <c r="A513" s="21"/>
      <c r="B513" s="21"/>
      <c r="C513" s="21"/>
      <c r="D513" s="21"/>
      <c r="E513" s="21"/>
      <c r="F513" s="21"/>
      <c r="G513" s="21"/>
    </row>
    <row r="514" ht="15.75" customHeight="1">
      <c r="A514" s="21"/>
      <c r="B514" s="21"/>
      <c r="C514" s="21"/>
      <c r="D514" s="21"/>
      <c r="E514" s="21"/>
      <c r="F514" s="21"/>
      <c r="G514" s="21"/>
    </row>
    <row r="515" ht="15.75" customHeight="1">
      <c r="A515" s="21"/>
      <c r="B515" s="21"/>
      <c r="C515" s="21"/>
      <c r="D515" s="21"/>
      <c r="E515" s="21"/>
      <c r="F515" s="21"/>
      <c r="G515" s="21"/>
    </row>
    <row r="516" ht="15.75" customHeight="1">
      <c r="A516" s="21"/>
      <c r="B516" s="21"/>
      <c r="C516" s="21"/>
      <c r="D516" s="21"/>
      <c r="E516" s="21"/>
      <c r="F516" s="21"/>
      <c r="G516" s="21"/>
    </row>
    <row r="517" ht="15.75" customHeight="1">
      <c r="A517" s="21"/>
      <c r="B517" s="21"/>
      <c r="C517" s="21"/>
      <c r="D517" s="21"/>
      <c r="E517" s="21"/>
      <c r="F517" s="21"/>
      <c r="G517" s="21"/>
    </row>
    <row r="518" ht="15.75" customHeight="1">
      <c r="A518" s="21"/>
      <c r="B518" s="21"/>
      <c r="C518" s="21"/>
      <c r="D518" s="21"/>
      <c r="E518" s="21"/>
      <c r="F518" s="21"/>
      <c r="G518" s="21"/>
    </row>
    <row r="519" ht="15.75" customHeight="1">
      <c r="A519" s="21"/>
      <c r="B519" s="21"/>
      <c r="C519" s="21"/>
      <c r="D519" s="21"/>
      <c r="E519" s="21"/>
      <c r="F519" s="21"/>
      <c r="G519" s="21"/>
    </row>
    <row r="520" ht="15.75" customHeight="1">
      <c r="A520" s="21"/>
      <c r="B520" s="21"/>
      <c r="C520" s="21"/>
      <c r="D520" s="21"/>
      <c r="E520" s="21"/>
      <c r="F520" s="21"/>
      <c r="G520" s="21"/>
    </row>
    <row r="521" ht="15.75" customHeight="1">
      <c r="A521" s="21"/>
      <c r="B521" s="21"/>
      <c r="C521" s="21"/>
      <c r="D521" s="21"/>
      <c r="E521" s="21"/>
      <c r="F521" s="21"/>
      <c r="G521" s="21"/>
    </row>
    <row r="522" ht="15.75" customHeight="1">
      <c r="A522" s="21"/>
      <c r="B522" s="21"/>
      <c r="C522" s="21"/>
      <c r="D522" s="21"/>
      <c r="E522" s="21"/>
      <c r="F522" s="21"/>
      <c r="G522" s="21"/>
    </row>
    <row r="523" ht="15.75" customHeight="1">
      <c r="A523" s="21"/>
      <c r="B523" s="21"/>
      <c r="C523" s="21"/>
      <c r="D523" s="21"/>
      <c r="E523" s="21"/>
      <c r="F523" s="21"/>
      <c r="G523" s="21"/>
    </row>
    <row r="524" ht="15.75" customHeight="1">
      <c r="A524" s="21"/>
      <c r="B524" s="21"/>
      <c r="C524" s="21"/>
      <c r="D524" s="21"/>
      <c r="E524" s="21"/>
      <c r="F524" s="21"/>
      <c r="G524" s="21"/>
    </row>
    <row r="525" ht="15.75" customHeight="1">
      <c r="A525" s="21"/>
      <c r="B525" s="21"/>
      <c r="C525" s="21"/>
      <c r="D525" s="21"/>
      <c r="E525" s="21"/>
      <c r="F525" s="21"/>
      <c r="G525" s="21"/>
    </row>
    <row r="526" ht="15.75" customHeight="1">
      <c r="A526" s="21"/>
      <c r="B526" s="21"/>
      <c r="C526" s="21"/>
      <c r="D526" s="21"/>
      <c r="E526" s="21"/>
      <c r="F526" s="21"/>
      <c r="G526" s="21"/>
    </row>
    <row r="527" ht="15.75" customHeight="1">
      <c r="A527" s="21"/>
      <c r="B527" s="21"/>
      <c r="C527" s="21"/>
      <c r="D527" s="21"/>
      <c r="E527" s="21"/>
      <c r="F527" s="21"/>
      <c r="G527" s="21"/>
    </row>
    <row r="528" ht="15.75" customHeight="1">
      <c r="A528" s="21"/>
      <c r="B528" s="21"/>
      <c r="C528" s="21"/>
      <c r="D528" s="21"/>
      <c r="E528" s="21"/>
      <c r="F528" s="21"/>
      <c r="G528" s="21"/>
    </row>
    <row r="529" ht="15.75" customHeight="1">
      <c r="A529" s="21"/>
      <c r="B529" s="21"/>
      <c r="C529" s="21"/>
      <c r="D529" s="21"/>
      <c r="E529" s="21"/>
      <c r="F529" s="21"/>
      <c r="G529" s="21"/>
    </row>
    <row r="530" ht="15.75" customHeight="1">
      <c r="A530" s="21"/>
      <c r="B530" s="21"/>
      <c r="C530" s="21"/>
      <c r="D530" s="21"/>
      <c r="E530" s="21"/>
      <c r="F530" s="21"/>
      <c r="G530" s="21"/>
    </row>
    <row r="531" ht="15.75" customHeight="1">
      <c r="A531" s="21"/>
      <c r="B531" s="21"/>
      <c r="C531" s="21"/>
      <c r="D531" s="21"/>
      <c r="E531" s="21"/>
      <c r="F531" s="21"/>
      <c r="G531" s="21"/>
    </row>
    <row r="532" ht="15.75" customHeight="1">
      <c r="A532" s="21"/>
      <c r="B532" s="21"/>
      <c r="C532" s="21"/>
      <c r="D532" s="21"/>
      <c r="E532" s="21"/>
      <c r="F532" s="21"/>
      <c r="G532" s="21"/>
    </row>
    <row r="533" ht="15.75" customHeight="1">
      <c r="A533" s="21"/>
      <c r="B533" s="21"/>
      <c r="C533" s="21"/>
      <c r="D533" s="21"/>
      <c r="E533" s="21"/>
      <c r="F533" s="21"/>
      <c r="G533" s="21"/>
    </row>
    <row r="534" ht="15.75" customHeight="1">
      <c r="A534" s="21"/>
      <c r="B534" s="21"/>
      <c r="C534" s="21"/>
      <c r="D534" s="21"/>
      <c r="E534" s="21"/>
      <c r="F534" s="21"/>
      <c r="G534" s="21"/>
    </row>
    <row r="535" ht="15.75" customHeight="1">
      <c r="A535" s="21"/>
      <c r="B535" s="21"/>
      <c r="C535" s="21"/>
      <c r="D535" s="21"/>
      <c r="E535" s="21"/>
      <c r="F535" s="21"/>
      <c r="G535" s="21"/>
    </row>
    <row r="536" ht="15.75" customHeight="1">
      <c r="A536" s="21"/>
      <c r="B536" s="21"/>
      <c r="C536" s="21"/>
      <c r="D536" s="21"/>
      <c r="E536" s="21"/>
      <c r="F536" s="21"/>
      <c r="G536" s="21"/>
    </row>
    <row r="537" ht="15.75" customHeight="1">
      <c r="A537" s="21"/>
      <c r="B537" s="21"/>
      <c r="C537" s="21"/>
      <c r="D537" s="21"/>
      <c r="E537" s="21"/>
      <c r="F537" s="21"/>
      <c r="G537" s="21"/>
    </row>
    <row r="538" ht="15.75" customHeight="1">
      <c r="A538" s="21"/>
      <c r="B538" s="21"/>
      <c r="C538" s="21"/>
      <c r="D538" s="21"/>
      <c r="E538" s="21"/>
      <c r="F538" s="21"/>
      <c r="G538" s="21"/>
    </row>
    <row r="539" ht="15.75" customHeight="1">
      <c r="A539" s="21"/>
      <c r="B539" s="21"/>
      <c r="C539" s="21"/>
      <c r="D539" s="21"/>
      <c r="E539" s="21"/>
      <c r="F539" s="21"/>
      <c r="G539" s="21"/>
    </row>
    <row r="540" ht="15.75" customHeight="1">
      <c r="A540" s="21"/>
      <c r="B540" s="21"/>
      <c r="C540" s="21"/>
      <c r="D540" s="21"/>
      <c r="E540" s="21"/>
      <c r="F540" s="21"/>
      <c r="G540" s="21"/>
    </row>
    <row r="541" ht="15.75" customHeight="1">
      <c r="A541" s="21"/>
      <c r="B541" s="21"/>
      <c r="C541" s="21"/>
      <c r="D541" s="21"/>
      <c r="E541" s="21"/>
      <c r="F541" s="21"/>
      <c r="G541" s="21"/>
    </row>
    <row r="542" ht="15.75" customHeight="1">
      <c r="A542" s="21"/>
      <c r="B542" s="21"/>
      <c r="C542" s="21"/>
      <c r="D542" s="21"/>
      <c r="E542" s="21"/>
      <c r="F542" s="21"/>
      <c r="G542" s="21"/>
    </row>
    <row r="543" ht="15.75" customHeight="1">
      <c r="A543" s="21"/>
      <c r="B543" s="21"/>
      <c r="C543" s="21"/>
      <c r="D543" s="21"/>
      <c r="E543" s="21"/>
      <c r="F543" s="21"/>
      <c r="G543" s="21"/>
    </row>
    <row r="544" ht="15.75" customHeight="1">
      <c r="A544" s="21"/>
      <c r="B544" s="21"/>
      <c r="C544" s="21"/>
      <c r="D544" s="21"/>
      <c r="E544" s="21"/>
      <c r="F544" s="21"/>
      <c r="G544" s="21"/>
    </row>
    <row r="545" ht="15.75" customHeight="1">
      <c r="A545" s="21"/>
      <c r="B545" s="21"/>
      <c r="C545" s="21"/>
      <c r="D545" s="21"/>
      <c r="E545" s="21"/>
      <c r="F545" s="21"/>
      <c r="G545" s="21"/>
    </row>
    <row r="546" ht="15.75" customHeight="1">
      <c r="A546" s="21"/>
      <c r="B546" s="21"/>
      <c r="C546" s="21"/>
      <c r="D546" s="21"/>
      <c r="E546" s="21"/>
      <c r="F546" s="21"/>
      <c r="G546" s="21"/>
    </row>
    <row r="547" ht="15.75" customHeight="1">
      <c r="A547" s="21"/>
      <c r="B547" s="21"/>
      <c r="C547" s="21"/>
      <c r="D547" s="21"/>
      <c r="E547" s="21"/>
      <c r="F547" s="21"/>
      <c r="G547" s="21"/>
    </row>
    <row r="548" ht="15.75" customHeight="1">
      <c r="A548" s="21"/>
      <c r="B548" s="21"/>
      <c r="C548" s="21"/>
      <c r="D548" s="21"/>
      <c r="E548" s="21"/>
      <c r="F548" s="21"/>
      <c r="G548" s="21"/>
    </row>
    <row r="549" ht="15.75" customHeight="1">
      <c r="A549" s="21"/>
      <c r="B549" s="21"/>
      <c r="C549" s="21"/>
      <c r="D549" s="21"/>
      <c r="E549" s="21"/>
      <c r="F549" s="21"/>
      <c r="G549" s="21"/>
    </row>
    <row r="550" ht="15.75" customHeight="1">
      <c r="A550" s="21"/>
      <c r="B550" s="21"/>
      <c r="C550" s="21"/>
      <c r="D550" s="21"/>
      <c r="E550" s="21"/>
      <c r="F550" s="21"/>
      <c r="G550" s="21"/>
    </row>
    <row r="551" ht="15.75" customHeight="1">
      <c r="A551" s="21"/>
      <c r="B551" s="21"/>
      <c r="C551" s="21"/>
      <c r="D551" s="21"/>
      <c r="E551" s="21"/>
      <c r="F551" s="21"/>
      <c r="G551" s="21"/>
    </row>
    <row r="552" ht="15.75" customHeight="1">
      <c r="A552" s="21"/>
      <c r="B552" s="21"/>
      <c r="C552" s="21"/>
      <c r="D552" s="21"/>
      <c r="E552" s="21"/>
      <c r="F552" s="21"/>
      <c r="G552" s="21"/>
    </row>
    <row r="553" ht="15.75" customHeight="1">
      <c r="A553" s="21"/>
      <c r="B553" s="21"/>
      <c r="C553" s="21"/>
      <c r="D553" s="21"/>
      <c r="E553" s="21"/>
      <c r="F553" s="21"/>
      <c r="G553" s="21"/>
    </row>
    <row r="554" ht="15.75" customHeight="1">
      <c r="A554" s="21"/>
      <c r="B554" s="21"/>
      <c r="C554" s="21"/>
      <c r="D554" s="21"/>
      <c r="E554" s="21"/>
      <c r="F554" s="21"/>
      <c r="G554" s="21"/>
    </row>
    <row r="555" ht="15.75" customHeight="1">
      <c r="A555" s="21"/>
      <c r="B555" s="21"/>
      <c r="C555" s="21"/>
      <c r="D555" s="21"/>
      <c r="E555" s="21"/>
      <c r="F555" s="21"/>
      <c r="G555" s="21"/>
    </row>
    <row r="556" ht="15.75" customHeight="1">
      <c r="A556" s="21"/>
      <c r="B556" s="21"/>
      <c r="C556" s="21"/>
      <c r="D556" s="21"/>
      <c r="E556" s="21"/>
      <c r="F556" s="21"/>
      <c r="G556" s="21"/>
    </row>
    <row r="557" ht="15.75" customHeight="1">
      <c r="A557" s="21"/>
      <c r="B557" s="21"/>
      <c r="C557" s="21"/>
      <c r="D557" s="21"/>
      <c r="E557" s="21"/>
      <c r="F557" s="21"/>
      <c r="G557" s="21"/>
    </row>
    <row r="558" ht="15.75" customHeight="1">
      <c r="A558" s="21"/>
      <c r="B558" s="21"/>
      <c r="C558" s="21"/>
      <c r="D558" s="21"/>
      <c r="E558" s="21"/>
      <c r="F558" s="21"/>
      <c r="G558" s="21"/>
    </row>
    <row r="559" ht="15.75" customHeight="1">
      <c r="A559" s="21"/>
      <c r="B559" s="21"/>
      <c r="C559" s="21"/>
      <c r="D559" s="21"/>
      <c r="E559" s="21"/>
      <c r="F559" s="21"/>
      <c r="G559" s="21"/>
    </row>
    <row r="560" ht="15.75" customHeight="1">
      <c r="A560" s="21"/>
      <c r="B560" s="21"/>
      <c r="C560" s="21"/>
      <c r="D560" s="21"/>
      <c r="E560" s="21"/>
      <c r="F560" s="21"/>
      <c r="G560" s="21"/>
    </row>
    <row r="561" ht="15.75" customHeight="1">
      <c r="A561" s="21"/>
      <c r="B561" s="21"/>
      <c r="C561" s="21"/>
      <c r="D561" s="21"/>
      <c r="E561" s="21"/>
      <c r="F561" s="21"/>
      <c r="G561" s="21"/>
    </row>
    <row r="562" ht="15.75" customHeight="1">
      <c r="A562" s="21"/>
      <c r="B562" s="21"/>
      <c r="C562" s="21"/>
      <c r="D562" s="21"/>
      <c r="E562" s="21"/>
      <c r="F562" s="21"/>
      <c r="G562" s="21"/>
    </row>
    <row r="563" ht="15.75" customHeight="1">
      <c r="A563" s="21"/>
      <c r="B563" s="21"/>
      <c r="C563" s="21"/>
      <c r="D563" s="21"/>
      <c r="E563" s="21"/>
      <c r="F563" s="21"/>
      <c r="G563" s="21"/>
    </row>
    <row r="564" ht="15.75" customHeight="1">
      <c r="A564" s="21"/>
      <c r="B564" s="21"/>
      <c r="C564" s="21"/>
      <c r="D564" s="21"/>
      <c r="E564" s="21"/>
      <c r="F564" s="21"/>
      <c r="G564" s="21"/>
    </row>
    <row r="565" ht="15.75" customHeight="1">
      <c r="A565" s="21"/>
      <c r="B565" s="21"/>
      <c r="C565" s="21"/>
      <c r="D565" s="21"/>
      <c r="E565" s="21"/>
      <c r="F565" s="21"/>
      <c r="G565" s="21"/>
    </row>
    <row r="566" ht="15.75" customHeight="1">
      <c r="A566" s="21"/>
      <c r="B566" s="21"/>
      <c r="C566" s="21"/>
      <c r="D566" s="21"/>
      <c r="E566" s="21"/>
      <c r="F566" s="21"/>
      <c r="G566" s="21"/>
    </row>
    <row r="567" ht="15.75" customHeight="1">
      <c r="A567" s="21"/>
      <c r="B567" s="21"/>
      <c r="C567" s="21"/>
      <c r="D567" s="21"/>
      <c r="E567" s="21"/>
      <c r="F567" s="21"/>
      <c r="G567" s="21"/>
    </row>
    <row r="568" ht="15.75" customHeight="1">
      <c r="A568" s="21"/>
      <c r="B568" s="21"/>
      <c r="C568" s="21"/>
      <c r="D568" s="21"/>
      <c r="E568" s="21"/>
      <c r="F568" s="21"/>
      <c r="G568" s="21"/>
    </row>
    <row r="569" ht="15.75" customHeight="1">
      <c r="A569" s="21"/>
      <c r="B569" s="21"/>
      <c r="C569" s="21"/>
      <c r="D569" s="21"/>
      <c r="E569" s="21"/>
      <c r="F569" s="21"/>
      <c r="G569" s="21"/>
    </row>
    <row r="570" ht="15.75" customHeight="1">
      <c r="A570" s="21"/>
      <c r="B570" s="21"/>
      <c r="C570" s="21"/>
      <c r="D570" s="21"/>
      <c r="E570" s="21"/>
      <c r="F570" s="21"/>
      <c r="G570" s="21"/>
    </row>
    <row r="571" ht="15.75" customHeight="1">
      <c r="A571" s="21"/>
      <c r="B571" s="21"/>
      <c r="C571" s="21"/>
      <c r="D571" s="21"/>
      <c r="E571" s="21"/>
      <c r="F571" s="21"/>
      <c r="G571" s="21"/>
    </row>
    <row r="572" ht="15.75" customHeight="1">
      <c r="A572" s="21"/>
      <c r="B572" s="21"/>
      <c r="C572" s="21"/>
      <c r="D572" s="21"/>
      <c r="E572" s="21"/>
      <c r="F572" s="21"/>
      <c r="G572" s="21"/>
    </row>
    <row r="573" ht="15.75" customHeight="1">
      <c r="A573" s="21"/>
      <c r="B573" s="21"/>
      <c r="C573" s="21"/>
      <c r="D573" s="21"/>
      <c r="E573" s="21"/>
      <c r="F573" s="21"/>
      <c r="G573" s="21"/>
    </row>
    <row r="574" ht="15.75" customHeight="1">
      <c r="A574" s="21"/>
      <c r="B574" s="21"/>
      <c r="C574" s="21"/>
      <c r="D574" s="21"/>
      <c r="E574" s="21"/>
      <c r="F574" s="21"/>
      <c r="G574" s="21"/>
    </row>
    <row r="575" ht="15.75" customHeight="1">
      <c r="A575" s="21"/>
      <c r="B575" s="21"/>
      <c r="C575" s="21"/>
      <c r="D575" s="21"/>
      <c r="E575" s="21"/>
      <c r="F575" s="21"/>
      <c r="G575" s="21"/>
    </row>
    <row r="576" ht="15.75" customHeight="1">
      <c r="A576" s="21"/>
      <c r="B576" s="21"/>
      <c r="C576" s="21"/>
      <c r="D576" s="21"/>
      <c r="E576" s="21"/>
      <c r="F576" s="21"/>
      <c r="G576" s="21"/>
    </row>
    <row r="577" ht="15.75" customHeight="1">
      <c r="A577" s="21"/>
      <c r="B577" s="21"/>
      <c r="C577" s="21"/>
      <c r="D577" s="21"/>
      <c r="E577" s="21"/>
      <c r="F577" s="21"/>
      <c r="G577" s="21"/>
    </row>
    <row r="578" ht="15.75" customHeight="1">
      <c r="A578" s="21"/>
      <c r="B578" s="21"/>
      <c r="C578" s="21"/>
      <c r="D578" s="21"/>
      <c r="E578" s="21"/>
      <c r="F578" s="21"/>
      <c r="G578" s="21"/>
    </row>
    <row r="579" ht="15.75" customHeight="1">
      <c r="A579" s="21"/>
      <c r="B579" s="21"/>
      <c r="C579" s="21"/>
      <c r="D579" s="21"/>
      <c r="E579" s="21"/>
      <c r="F579" s="21"/>
      <c r="G579" s="21"/>
    </row>
    <row r="580" ht="15.75" customHeight="1">
      <c r="A580" s="21"/>
      <c r="B580" s="21"/>
      <c r="C580" s="21"/>
      <c r="D580" s="21"/>
      <c r="E580" s="21"/>
      <c r="F580" s="21"/>
      <c r="G580" s="21"/>
    </row>
    <row r="581" ht="15.75" customHeight="1">
      <c r="A581" s="21"/>
      <c r="B581" s="21"/>
      <c r="C581" s="21"/>
      <c r="D581" s="21"/>
      <c r="E581" s="21"/>
      <c r="F581" s="21"/>
      <c r="G581" s="21"/>
    </row>
    <row r="582" ht="15.75" customHeight="1">
      <c r="A582" s="21"/>
      <c r="B582" s="21"/>
      <c r="C582" s="21"/>
      <c r="D582" s="21"/>
      <c r="E582" s="21"/>
      <c r="F582" s="21"/>
      <c r="G582" s="21"/>
    </row>
    <row r="583" ht="15.75" customHeight="1">
      <c r="A583" s="21"/>
      <c r="B583" s="21"/>
      <c r="C583" s="21"/>
      <c r="D583" s="21"/>
      <c r="E583" s="21"/>
      <c r="F583" s="21"/>
      <c r="G583" s="21"/>
    </row>
    <row r="584" ht="15.75" customHeight="1">
      <c r="A584" s="21"/>
      <c r="B584" s="21"/>
      <c r="C584" s="21"/>
      <c r="D584" s="21"/>
      <c r="E584" s="21"/>
      <c r="F584" s="21"/>
      <c r="G584" s="21"/>
    </row>
    <row r="585" ht="15.75" customHeight="1">
      <c r="A585" s="21"/>
      <c r="B585" s="21"/>
      <c r="C585" s="21"/>
      <c r="D585" s="21"/>
      <c r="E585" s="21"/>
      <c r="F585" s="21"/>
      <c r="G585" s="21"/>
    </row>
    <row r="586" ht="15.75" customHeight="1">
      <c r="A586" s="21"/>
      <c r="B586" s="21"/>
      <c r="C586" s="21"/>
      <c r="D586" s="21"/>
      <c r="E586" s="21"/>
      <c r="F586" s="21"/>
      <c r="G586" s="21"/>
    </row>
    <row r="587" ht="15.75" customHeight="1">
      <c r="A587" s="21"/>
      <c r="B587" s="21"/>
      <c r="C587" s="21"/>
      <c r="D587" s="21"/>
      <c r="E587" s="21"/>
      <c r="F587" s="21"/>
      <c r="G587" s="21"/>
    </row>
    <row r="588" ht="15.75" customHeight="1">
      <c r="A588" s="21"/>
      <c r="B588" s="21"/>
      <c r="C588" s="21"/>
      <c r="D588" s="21"/>
      <c r="E588" s="21"/>
      <c r="F588" s="21"/>
      <c r="G588" s="21"/>
    </row>
    <row r="589" ht="15.75" customHeight="1">
      <c r="A589" s="21"/>
      <c r="B589" s="21"/>
      <c r="C589" s="21"/>
      <c r="D589" s="21"/>
      <c r="E589" s="21"/>
      <c r="F589" s="21"/>
      <c r="G589" s="21"/>
    </row>
    <row r="590" ht="15.75" customHeight="1">
      <c r="A590" s="21"/>
      <c r="B590" s="21"/>
      <c r="C590" s="21"/>
      <c r="D590" s="21"/>
      <c r="E590" s="21"/>
      <c r="F590" s="21"/>
      <c r="G590" s="21"/>
    </row>
    <row r="591" ht="15.75" customHeight="1">
      <c r="A591" s="21"/>
      <c r="B591" s="21"/>
      <c r="C591" s="21"/>
      <c r="D591" s="21"/>
      <c r="E591" s="21"/>
      <c r="F591" s="21"/>
      <c r="G591" s="21"/>
    </row>
    <row r="592" ht="15.75" customHeight="1">
      <c r="A592" s="21"/>
      <c r="B592" s="21"/>
      <c r="C592" s="21"/>
      <c r="D592" s="21"/>
      <c r="E592" s="21"/>
      <c r="F592" s="21"/>
      <c r="G592" s="21"/>
    </row>
    <row r="593" ht="15.75" customHeight="1">
      <c r="A593" s="21"/>
      <c r="B593" s="21"/>
      <c r="C593" s="21"/>
      <c r="D593" s="21"/>
      <c r="E593" s="21"/>
      <c r="F593" s="21"/>
      <c r="G593" s="21"/>
    </row>
    <row r="594" ht="15.75" customHeight="1">
      <c r="A594" s="21"/>
      <c r="B594" s="21"/>
      <c r="C594" s="21"/>
      <c r="D594" s="21"/>
      <c r="E594" s="21"/>
      <c r="F594" s="21"/>
      <c r="G594" s="21"/>
    </row>
    <row r="595" ht="15.75" customHeight="1">
      <c r="A595" s="21"/>
      <c r="B595" s="21"/>
      <c r="C595" s="21"/>
      <c r="D595" s="21"/>
      <c r="E595" s="21"/>
      <c r="F595" s="21"/>
      <c r="G595" s="21"/>
    </row>
    <row r="596" ht="15.75" customHeight="1">
      <c r="A596" s="21"/>
      <c r="B596" s="21"/>
      <c r="C596" s="21"/>
      <c r="D596" s="21"/>
      <c r="E596" s="21"/>
      <c r="F596" s="21"/>
      <c r="G596" s="21"/>
    </row>
    <row r="597" ht="15.75" customHeight="1">
      <c r="A597" s="21"/>
      <c r="B597" s="21"/>
      <c r="C597" s="21"/>
      <c r="D597" s="21"/>
      <c r="E597" s="21"/>
      <c r="F597" s="21"/>
      <c r="G597" s="21"/>
    </row>
    <row r="598" ht="15.75" customHeight="1">
      <c r="A598" s="21"/>
      <c r="B598" s="21"/>
      <c r="C598" s="21"/>
      <c r="D598" s="21"/>
      <c r="E598" s="21"/>
      <c r="F598" s="21"/>
      <c r="G598" s="21"/>
    </row>
    <row r="599" ht="15.75" customHeight="1">
      <c r="A599" s="21"/>
      <c r="B599" s="21"/>
      <c r="C599" s="21"/>
      <c r="D599" s="21"/>
      <c r="E599" s="21"/>
      <c r="F599" s="21"/>
      <c r="G599" s="21"/>
    </row>
    <row r="600" ht="15.75" customHeight="1">
      <c r="A600" s="21"/>
      <c r="B600" s="21"/>
      <c r="C600" s="21"/>
      <c r="D600" s="21"/>
      <c r="E600" s="21"/>
      <c r="F600" s="21"/>
      <c r="G600" s="21"/>
    </row>
    <row r="601" ht="15.75" customHeight="1">
      <c r="A601" s="21"/>
      <c r="B601" s="21"/>
      <c r="C601" s="21"/>
      <c r="D601" s="21"/>
      <c r="E601" s="21"/>
      <c r="F601" s="21"/>
      <c r="G601" s="21"/>
    </row>
    <row r="602" ht="15.75" customHeight="1">
      <c r="A602" s="21"/>
      <c r="B602" s="21"/>
      <c r="C602" s="21"/>
      <c r="D602" s="21"/>
      <c r="E602" s="21"/>
      <c r="F602" s="21"/>
      <c r="G602" s="21"/>
    </row>
    <row r="603" ht="15.75" customHeight="1">
      <c r="A603" s="21"/>
      <c r="B603" s="21"/>
      <c r="C603" s="21"/>
      <c r="D603" s="21"/>
      <c r="E603" s="21"/>
      <c r="F603" s="21"/>
      <c r="G603" s="21"/>
    </row>
    <row r="604" ht="15.75" customHeight="1">
      <c r="A604" s="21"/>
      <c r="B604" s="21"/>
      <c r="C604" s="21"/>
      <c r="D604" s="21"/>
      <c r="E604" s="21"/>
      <c r="F604" s="21"/>
      <c r="G604" s="21"/>
    </row>
    <row r="605" ht="15.75" customHeight="1">
      <c r="A605" s="21"/>
      <c r="B605" s="21"/>
      <c r="C605" s="21"/>
      <c r="D605" s="21"/>
      <c r="E605" s="21"/>
      <c r="F605" s="21"/>
      <c r="G605" s="21"/>
    </row>
    <row r="606" ht="15.75" customHeight="1">
      <c r="A606" s="21"/>
      <c r="B606" s="21"/>
      <c r="C606" s="21"/>
      <c r="D606" s="21"/>
      <c r="E606" s="21"/>
      <c r="F606" s="21"/>
      <c r="G606" s="21"/>
    </row>
    <row r="607" ht="15.75" customHeight="1">
      <c r="A607" s="21"/>
      <c r="B607" s="21"/>
      <c r="C607" s="21"/>
      <c r="D607" s="21"/>
      <c r="E607" s="21"/>
      <c r="F607" s="21"/>
      <c r="G607" s="21"/>
    </row>
    <row r="608" ht="15.75" customHeight="1">
      <c r="A608" s="21"/>
      <c r="B608" s="21"/>
      <c r="C608" s="21"/>
      <c r="D608" s="21"/>
      <c r="E608" s="21"/>
      <c r="F608" s="21"/>
      <c r="G608" s="21"/>
    </row>
    <row r="609" ht="15.75" customHeight="1">
      <c r="A609" s="21"/>
      <c r="B609" s="21"/>
      <c r="C609" s="21"/>
      <c r="D609" s="21"/>
      <c r="E609" s="21"/>
      <c r="F609" s="21"/>
      <c r="G609" s="21"/>
    </row>
    <row r="610" ht="15.75" customHeight="1">
      <c r="A610" s="21"/>
      <c r="B610" s="21"/>
      <c r="C610" s="21"/>
      <c r="D610" s="21"/>
      <c r="E610" s="21"/>
      <c r="F610" s="21"/>
      <c r="G610" s="21"/>
    </row>
    <row r="611" ht="15.75" customHeight="1">
      <c r="A611" s="21"/>
      <c r="B611" s="21"/>
      <c r="C611" s="21"/>
      <c r="D611" s="21"/>
      <c r="E611" s="21"/>
      <c r="F611" s="21"/>
      <c r="G611" s="21"/>
    </row>
    <row r="612" ht="15.75" customHeight="1">
      <c r="A612" s="21"/>
      <c r="B612" s="21"/>
      <c r="C612" s="21"/>
      <c r="D612" s="21"/>
      <c r="E612" s="21"/>
      <c r="F612" s="21"/>
      <c r="G612" s="21"/>
    </row>
    <row r="613" ht="15.75" customHeight="1">
      <c r="A613" s="21"/>
      <c r="B613" s="21"/>
      <c r="C613" s="21"/>
      <c r="D613" s="21"/>
      <c r="E613" s="21"/>
      <c r="F613" s="21"/>
      <c r="G613" s="21"/>
    </row>
    <row r="614" ht="15.75" customHeight="1">
      <c r="A614" s="21"/>
      <c r="B614" s="21"/>
      <c r="C614" s="21"/>
      <c r="D614" s="21"/>
      <c r="E614" s="21"/>
      <c r="F614" s="21"/>
      <c r="G614" s="21"/>
    </row>
    <row r="615" ht="15.75" customHeight="1">
      <c r="A615" s="21"/>
      <c r="B615" s="21"/>
      <c r="C615" s="21"/>
      <c r="D615" s="21"/>
      <c r="E615" s="21"/>
      <c r="F615" s="21"/>
      <c r="G615" s="21"/>
    </row>
    <row r="616" ht="15.75" customHeight="1">
      <c r="A616" s="21"/>
      <c r="B616" s="21"/>
      <c r="C616" s="21"/>
      <c r="D616" s="21"/>
      <c r="E616" s="21"/>
      <c r="F616" s="21"/>
      <c r="G616" s="21"/>
    </row>
    <row r="617" ht="15.75" customHeight="1">
      <c r="A617" s="21"/>
      <c r="B617" s="21"/>
      <c r="C617" s="21"/>
      <c r="D617" s="21"/>
      <c r="E617" s="21"/>
      <c r="F617" s="21"/>
      <c r="G617" s="21"/>
    </row>
    <row r="618" ht="15.75" customHeight="1">
      <c r="A618" s="21"/>
      <c r="B618" s="21"/>
      <c r="C618" s="21"/>
      <c r="D618" s="21"/>
      <c r="E618" s="21"/>
      <c r="F618" s="21"/>
      <c r="G618" s="21"/>
    </row>
    <row r="619" ht="15.75" customHeight="1">
      <c r="A619" s="21"/>
      <c r="B619" s="21"/>
      <c r="C619" s="21"/>
      <c r="D619" s="21"/>
      <c r="E619" s="21"/>
      <c r="F619" s="21"/>
      <c r="G619" s="21"/>
    </row>
    <row r="620" ht="15.75" customHeight="1">
      <c r="A620" s="21"/>
      <c r="B620" s="21"/>
      <c r="C620" s="21"/>
      <c r="D620" s="21"/>
      <c r="E620" s="21"/>
      <c r="F620" s="21"/>
      <c r="G620" s="21"/>
    </row>
    <row r="621" ht="15.75" customHeight="1">
      <c r="A621" s="21"/>
      <c r="B621" s="21"/>
      <c r="C621" s="21"/>
      <c r="D621" s="21"/>
      <c r="E621" s="21"/>
      <c r="F621" s="21"/>
      <c r="G621" s="21"/>
    </row>
    <row r="622" ht="15.75" customHeight="1">
      <c r="A622" s="21"/>
      <c r="B622" s="21"/>
      <c r="C622" s="21"/>
      <c r="D622" s="21"/>
      <c r="E622" s="21"/>
      <c r="F622" s="21"/>
      <c r="G622" s="21"/>
    </row>
    <row r="623" ht="15.75" customHeight="1">
      <c r="A623" s="21"/>
      <c r="B623" s="21"/>
      <c r="C623" s="21"/>
      <c r="D623" s="21"/>
      <c r="E623" s="21"/>
      <c r="F623" s="21"/>
      <c r="G623" s="21"/>
    </row>
    <row r="624" ht="15.75" customHeight="1">
      <c r="A624" s="21"/>
      <c r="B624" s="21"/>
      <c r="C624" s="21"/>
      <c r="D624" s="21"/>
      <c r="E624" s="21"/>
      <c r="F624" s="21"/>
      <c r="G624" s="21"/>
    </row>
    <row r="625" ht="15.75" customHeight="1">
      <c r="A625" s="21"/>
      <c r="B625" s="21"/>
      <c r="C625" s="21"/>
      <c r="D625" s="21"/>
      <c r="E625" s="21"/>
      <c r="F625" s="21"/>
      <c r="G625" s="21"/>
    </row>
    <row r="626" ht="15.75" customHeight="1">
      <c r="A626" s="21"/>
      <c r="B626" s="21"/>
      <c r="C626" s="21"/>
      <c r="D626" s="21"/>
      <c r="E626" s="21"/>
      <c r="F626" s="21"/>
      <c r="G626" s="21"/>
    </row>
    <row r="627" ht="15.75" customHeight="1">
      <c r="A627" s="21"/>
      <c r="B627" s="21"/>
      <c r="C627" s="21"/>
      <c r="D627" s="21"/>
      <c r="E627" s="21"/>
      <c r="F627" s="21"/>
      <c r="G627" s="21"/>
    </row>
    <row r="628" ht="15.75" customHeight="1">
      <c r="A628" s="21"/>
      <c r="B628" s="21"/>
      <c r="C628" s="21"/>
      <c r="D628" s="21"/>
      <c r="E628" s="21"/>
      <c r="F628" s="21"/>
      <c r="G628" s="21"/>
    </row>
    <row r="629" ht="15.75" customHeight="1">
      <c r="A629" s="21"/>
      <c r="B629" s="21"/>
      <c r="C629" s="21"/>
      <c r="D629" s="21"/>
      <c r="E629" s="21"/>
      <c r="F629" s="21"/>
      <c r="G629" s="21"/>
    </row>
    <row r="630" ht="15.75" customHeight="1">
      <c r="A630" s="21"/>
      <c r="B630" s="21"/>
      <c r="C630" s="21"/>
      <c r="D630" s="21"/>
      <c r="E630" s="21"/>
      <c r="F630" s="21"/>
      <c r="G630" s="21"/>
    </row>
    <row r="631" ht="15.75" customHeight="1">
      <c r="A631" s="21"/>
      <c r="B631" s="21"/>
      <c r="C631" s="21"/>
      <c r="D631" s="21"/>
      <c r="E631" s="21"/>
      <c r="F631" s="21"/>
      <c r="G631" s="21"/>
    </row>
    <row r="632" ht="15.75" customHeight="1">
      <c r="A632" s="21"/>
      <c r="B632" s="21"/>
      <c r="C632" s="21"/>
      <c r="D632" s="21"/>
      <c r="E632" s="21"/>
      <c r="F632" s="21"/>
      <c r="G632" s="21"/>
    </row>
    <row r="633" ht="15.75" customHeight="1">
      <c r="A633" s="21"/>
      <c r="B633" s="21"/>
      <c r="C633" s="21"/>
      <c r="D633" s="21"/>
      <c r="E633" s="21"/>
      <c r="F633" s="21"/>
      <c r="G633" s="21"/>
    </row>
    <row r="634" ht="15.75" customHeight="1">
      <c r="A634" s="21"/>
      <c r="B634" s="21"/>
      <c r="C634" s="21"/>
      <c r="D634" s="21"/>
      <c r="E634" s="21"/>
      <c r="F634" s="21"/>
      <c r="G634" s="21"/>
    </row>
    <row r="635" ht="15.75" customHeight="1">
      <c r="A635" s="21"/>
      <c r="B635" s="21"/>
      <c r="C635" s="21"/>
      <c r="D635" s="21"/>
      <c r="E635" s="21"/>
      <c r="F635" s="21"/>
      <c r="G635" s="21"/>
    </row>
    <row r="636" ht="15.75" customHeight="1">
      <c r="A636" s="21"/>
      <c r="B636" s="21"/>
      <c r="C636" s="21"/>
      <c r="D636" s="21"/>
      <c r="E636" s="21"/>
      <c r="F636" s="21"/>
      <c r="G636" s="21"/>
    </row>
    <row r="637" ht="15.75" customHeight="1">
      <c r="A637" s="21"/>
      <c r="B637" s="21"/>
      <c r="C637" s="21"/>
      <c r="D637" s="21"/>
      <c r="E637" s="21"/>
      <c r="F637" s="21"/>
      <c r="G637" s="21"/>
    </row>
    <row r="638" ht="15.75" customHeight="1">
      <c r="A638" s="21"/>
      <c r="B638" s="21"/>
      <c r="C638" s="21"/>
      <c r="D638" s="21"/>
      <c r="E638" s="21"/>
      <c r="F638" s="21"/>
      <c r="G638" s="21"/>
    </row>
    <row r="639" ht="15.75" customHeight="1">
      <c r="A639" s="21"/>
      <c r="B639" s="21"/>
      <c r="C639" s="21"/>
      <c r="D639" s="21"/>
      <c r="E639" s="21"/>
      <c r="F639" s="21"/>
      <c r="G639" s="21"/>
    </row>
    <row r="640" ht="15.75" customHeight="1">
      <c r="A640" s="21"/>
      <c r="B640" s="21"/>
      <c r="C640" s="21"/>
      <c r="D640" s="21"/>
      <c r="E640" s="21"/>
      <c r="F640" s="21"/>
      <c r="G640" s="21"/>
    </row>
    <row r="641" ht="15.75" customHeight="1">
      <c r="A641" s="21"/>
      <c r="B641" s="21"/>
      <c r="C641" s="21"/>
      <c r="D641" s="21"/>
      <c r="E641" s="21"/>
      <c r="F641" s="21"/>
      <c r="G641" s="21"/>
    </row>
    <row r="642" ht="15.75" customHeight="1">
      <c r="A642" s="21"/>
      <c r="B642" s="21"/>
      <c r="C642" s="21"/>
      <c r="D642" s="21"/>
      <c r="E642" s="21"/>
      <c r="F642" s="21"/>
      <c r="G642" s="21"/>
    </row>
    <row r="643" ht="15.75" customHeight="1">
      <c r="A643" s="21"/>
      <c r="B643" s="21"/>
      <c r="C643" s="21"/>
      <c r="D643" s="21"/>
      <c r="E643" s="21"/>
      <c r="F643" s="21"/>
      <c r="G643" s="21"/>
    </row>
    <row r="644" ht="15.75" customHeight="1">
      <c r="A644" s="21"/>
      <c r="B644" s="21"/>
      <c r="C644" s="21"/>
      <c r="D644" s="21"/>
      <c r="E644" s="21"/>
      <c r="F644" s="21"/>
      <c r="G644" s="21"/>
    </row>
    <row r="645" ht="15.75" customHeight="1">
      <c r="A645" s="21"/>
      <c r="B645" s="21"/>
      <c r="C645" s="21"/>
      <c r="D645" s="21"/>
      <c r="E645" s="21"/>
      <c r="F645" s="21"/>
      <c r="G645" s="21"/>
    </row>
    <row r="646" ht="15.75" customHeight="1">
      <c r="A646" s="21"/>
      <c r="B646" s="21"/>
      <c r="C646" s="21"/>
      <c r="D646" s="21"/>
      <c r="E646" s="21"/>
      <c r="F646" s="21"/>
      <c r="G646" s="21"/>
    </row>
    <row r="647" ht="15.75" customHeight="1">
      <c r="A647" s="21"/>
      <c r="B647" s="21"/>
      <c r="C647" s="21"/>
      <c r="D647" s="21"/>
      <c r="E647" s="21"/>
      <c r="F647" s="21"/>
      <c r="G647" s="21"/>
    </row>
    <row r="648" ht="15.75" customHeight="1">
      <c r="A648" s="21"/>
      <c r="B648" s="21"/>
      <c r="C648" s="21"/>
      <c r="D648" s="21"/>
      <c r="E648" s="21"/>
      <c r="F648" s="21"/>
      <c r="G648" s="21"/>
    </row>
    <row r="649" ht="15.75" customHeight="1">
      <c r="A649" s="21"/>
      <c r="B649" s="21"/>
      <c r="C649" s="21"/>
      <c r="D649" s="21"/>
      <c r="E649" s="21"/>
      <c r="F649" s="21"/>
      <c r="G649" s="21"/>
    </row>
    <row r="650" ht="15.75" customHeight="1">
      <c r="A650" s="21"/>
      <c r="B650" s="21"/>
      <c r="C650" s="21"/>
      <c r="D650" s="21"/>
      <c r="E650" s="21"/>
      <c r="F650" s="21"/>
      <c r="G650" s="21"/>
    </row>
    <row r="651" ht="15.75" customHeight="1">
      <c r="A651" s="21"/>
      <c r="B651" s="21"/>
      <c r="C651" s="21"/>
      <c r="D651" s="21"/>
      <c r="E651" s="21"/>
      <c r="F651" s="21"/>
      <c r="G651" s="21"/>
    </row>
    <row r="652" ht="15.75" customHeight="1">
      <c r="A652" s="21"/>
      <c r="B652" s="21"/>
      <c r="C652" s="21"/>
      <c r="D652" s="21"/>
      <c r="E652" s="21"/>
      <c r="F652" s="21"/>
      <c r="G652" s="21"/>
    </row>
    <row r="653" ht="15.75" customHeight="1">
      <c r="A653" s="21"/>
      <c r="B653" s="21"/>
      <c r="C653" s="21"/>
      <c r="D653" s="21"/>
      <c r="E653" s="21"/>
      <c r="F653" s="21"/>
      <c r="G653" s="21"/>
    </row>
    <row r="654" ht="15.75" customHeight="1">
      <c r="A654" s="21"/>
      <c r="B654" s="21"/>
      <c r="C654" s="21"/>
      <c r="D654" s="21"/>
      <c r="E654" s="21"/>
      <c r="F654" s="21"/>
      <c r="G654" s="21"/>
    </row>
    <row r="655" ht="15.75" customHeight="1">
      <c r="A655" s="21"/>
      <c r="B655" s="21"/>
      <c r="C655" s="21"/>
      <c r="D655" s="21"/>
      <c r="E655" s="21"/>
      <c r="F655" s="21"/>
      <c r="G655" s="21"/>
    </row>
    <row r="656" ht="15.75" customHeight="1">
      <c r="A656" s="21"/>
      <c r="B656" s="21"/>
      <c r="C656" s="21"/>
      <c r="D656" s="21"/>
      <c r="E656" s="21"/>
      <c r="F656" s="21"/>
      <c r="G656" s="21"/>
    </row>
    <row r="657" ht="15.75" customHeight="1">
      <c r="A657" s="21"/>
      <c r="B657" s="21"/>
      <c r="C657" s="21"/>
      <c r="D657" s="21"/>
      <c r="E657" s="21"/>
      <c r="F657" s="21"/>
      <c r="G657" s="21"/>
    </row>
    <row r="658" ht="15.75" customHeight="1">
      <c r="A658" s="21"/>
      <c r="B658" s="21"/>
      <c r="C658" s="21"/>
      <c r="D658" s="21"/>
      <c r="E658" s="21"/>
      <c r="F658" s="21"/>
      <c r="G658" s="21"/>
    </row>
    <row r="659" ht="15.75" customHeight="1">
      <c r="A659" s="21"/>
      <c r="B659" s="21"/>
      <c r="C659" s="21"/>
      <c r="D659" s="21"/>
      <c r="E659" s="21"/>
      <c r="F659" s="21"/>
      <c r="G659" s="21"/>
    </row>
    <row r="660" ht="15.75" customHeight="1">
      <c r="A660" s="21"/>
      <c r="B660" s="21"/>
      <c r="C660" s="21"/>
      <c r="D660" s="21"/>
      <c r="E660" s="21"/>
      <c r="F660" s="21"/>
      <c r="G660" s="21"/>
    </row>
    <row r="661" ht="15.75" customHeight="1">
      <c r="A661" s="21"/>
      <c r="B661" s="21"/>
      <c r="C661" s="21"/>
      <c r="D661" s="21"/>
      <c r="E661" s="21"/>
      <c r="F661" s="21"/>
      <c r="G661" s="21"/>
    </row>
    <row r="662" ht="15.75" customHeight="1">
      <c r="A662" s="21"/>
      <c r="B662" s="21"/>
      <c r="C662" s="21"/>
      <c r="D662" s="21"/>
      <c r="E662" s="21"/>
      <c r="F662" s="21"/>
      <c r="G662" s="21"/>
    </row>
    <row r="663" ht="15.75" customHeight="1">
      <c r="A663" s="21"/>
      <c r="B663" s="21"/>
      <c r="C663" s="21"/>
      <c r="D663" s="21"/>
      <c r="E663" s="21"/>
      <c r="F663" s="21"/>
      <c r="G663" s="21"/>
    </row>
    <row r="664" ht="15.75" customHeight="1">
      <c r="A664" s="21"/>
      <c r="B664" s="21"/>
      <c r="C664" s="21"/>
      <c r="D664" s="21"/>
      <c r="E664" s="21"/>
      <c r="F664" s="21"/>
      <c r="G664" s="21"/>
    </row>
    <row r="665" ht="15.75" customHeight="1">
      <c r="A665" s="21"/>
      <c r="B665" s="21"/>
      <c r="C665" s="21"/>
      <c r="D665" s="21"/>
      <c r="E665" s="21"/>
      <c r="F665" s="21"/>
      <c r="G665" s="21"/>
    </row>
    <row r="666" ht="15.75" customHeight="1">
      <c r="A666" s="21"/>
      <c r="B666" s="21"/>
      <c r="C666" s="21"/>
      <c r="D666" s="21"/>
      <c r="E666" s="21"/>
      <c r="F666" s="21"/>
      <c r="G666" s="21"/>
    </row>
    <row r="667" ht="15.75" customHeight="1">
      <c r="A667" s="21"/>
      <c r="B667" s="21"/>
      <c r="C667" s="21"/>
      <c r="D667" s="21"/>
      <c r="E667" s="21"/>
      <c r="F667" s="21"/>
      <c r="G667" s="21"/>
    </row>
    <row r="668" ht="15.75" customHeight="1">
      <c r="A668" s="21"/>
      <c r="B668" s="21"/>
      <c r="C668" s="21"/>
      <c r="D668" s="21"/>
      <c r="E668" s="21"/>
      <c r="F668" s="21"/>
      <c r="G668" s="21"/>
    </row>
    <row r="669" ht="15.75" customHeight="1">
      <c r="A669" s="21"/>
      <c r="B669" s="21"/>
      <c r="C669" s="21"/>
      <c r="D669" s="21"/>
      <c r="E669" s="21"/>
      <c r="F669" s="21"/>
      <c r="G669" s="21"/>
    </row>
    <row r="670" ht="15.75" customHeight="1">
      <c r="A670" s="21"/>
      <c r="B670" s="21"/>
      <c r="C670" s="21"/>
      <c r="D670" s="21"/>
      <c r="E670" s="21"/>
      <c r="F670" s="21"/>
      <c r="G670" s="21"/>
    </row>
    <row r="671" ht="15.75" customHeight="1">
      <c r="A671" s="21"/>
      <c r="B671" s="21"/>
      <c r="C671" s="21"/>
      <c r="D671" s="21"/>
      <c r="E671" s="21"/>
      <c r="F671" s="21"/>
      <c r="G671" s="21"/>
    </row>
    <row r="672" ht="15.75" customHeight="1">
      <c r="A672" s="21"/>
      <c r="B672" s="21"/>
      <c r="C672" s="21"/>
      <c r="D672" s="21"/>
      <c r="E672" s="21"/>
      <c r="F672" s="21"/>
      <c r="G672" s="21"/>
    </row>
    <row r="673" ht="15.75" customHeight="1">
      <c r="A673" s="21"/>
      <c r="B673" s="21"/>
      <c r="C673" s="21"/>
      <c r="D673" s="21"/>
      <c r="E673" s="21"/>
      <c r="F673" s="21"/>
      <c r="G673" s="21"/>
    </row>
    <row r="674" ht="15.75" customHeight="1">
      <c r="A674" s="21"/>
      <c r="B674" s="21"/>
      <c r="C674" s="21"/>
      <c r="D674" s="21"/>
      <c r="E674" s="21"/>
      <c r="F674" s="21"/>
      <c r="G674" s="21"/>
    </row>
    <row r="675" ht="15.75" customHeight="1">
      <c r="A675" s="21"/>
      <c r="B675" s="21"/>
      <c r="C675" s="21"/>
      <c r="D675" s="21"/>
      <c r="E675" s="21"/>
      <c r="F675" s="21"/>
      <c r="G675" s="21"/>
    </row>
    <row r="676" ht="15.75" customHeight="1">
      <c r="A676" s="21"/>
      <c r="B676" s="21"/>
      <c r="C676" s="21"/>
      <c r="D676" s="21"/>
      <c r="E676" s="21"/>
      <c r="F676" s="21"/>
      <c r="G676" s="21"/>
    </row>
    <row r="677" ht="15.75" customHeight="1">
      <c r="A677" s="21"/>
      <c r="B677" s="21"/>
      <c r="C677" s="21"/>
      <c r="D677" s="21"/>
      <c r="E677" s="21"/>
      <c r="F677" s="21"/>
      <c r="G677" s="21"/>
    </row>
    <row r="678" ht="15.75" customHeight="1">
      <c r="A678" s="21"/>
      <c r="B678" s="21"/>
      <c r="C678" s="21"/>
      <c r="D678" s="21"/>
      <c r="E678" s="21"/>
      <c r="F678" s="21"/>
      <c r="G678" s="21"/>
    </row>
    <row r="679" ht="15.75" customHeight="1">
      <c r="A679" s="21"/>
      <c r="B679" s="21"/>
      <c r="C679" s="21"/>
      <c r="D679" s="21"/>
      <c r="E679" s="21"/>
      <c r="F679" s="21"/>
      <c r="G679" s="21"/>
    </row>
    <row r="680" ht="15.75" customHeight="1">
      <c r="A680" s="21"/>
      <c r="B680" s="21"/>
      <c r="C680" s="21"/>
      <c r="D680" s="21"/>
      <c r="E680" s="21"/>
      <c r="F680" s="21"/>
      <c r="G680" s="21"/>
    </row>
    <row r="681" ht="15.75" customHeight="1">
      <c r="A681" s="21"/>
      <c r="B681" s="21"/>
      <c r="C681" s="21"/>
      <c r="D681" s="21"/>
      <c r="E681" s="21"/>
      <c r="F681" s="21"/>
      <c r="G681" s="21"/>
    </row>
    <row r="682" ht="15.75" customHeight="1">
      <c r="A682" s="21"/>
      <c r="B682" s="21"/>
      <c r="C682" s="21"/>
      <c r="D682" s="21"/>
      <c r="E682" s="21"/>
      <c r="F682" s="21"/>
      <c r="G682" s="21"/>
    </row>
    <row r="683" ht="15.75" customHeight="1">
      <c r="A683" s="21"/>
      <c r="B683" s="21"/>
      <c r="C683" s="21"/>
      <c r="D683" s="21"/>
      <c r="E683" s="21"/>
      <c r="F683" s="21"/>
      <c r="G683" s="21"/>
    </row>
    <row r="684" ht="15.75" customHeight="1">
      <c r="A684" s="21"/>
      <c r="B684" s="21"/>
      <c r="C684" s="21"/>
      <c r="D684" s="21"/>
      <c r="E684" s="21"/>
      <c r="F684" s="21"/>
      <c r="G684" s="21"/>
    </row>
    <row r="685" ht="15.75" customHeight="1">
      <c r="A685" s="21"/>
      <c r="B685" s="21"/>
      <c r="C685" s="21"/>
      <c r="D685" s="21"/>
      <c r="E685" s="21"/>
      <c r="F685" s="21"/>
      <c r="G685" s="21"/>
    </row>
    <row r="686" ht="15.75" customHeight="1">
      <c r="A686" s="21"/>
      <c r="B686" s="21"/>
      <c r="C686" s="21"/>
      <c r="D686" s="21"/>
      <c r="E686" s="21"/>
      <c r="F686" s="21"/>
      <c r="G686" s="21"/>
    </row>
    <row r="687" ht="15.75" customHeight="1">
      <c r="A687" s="21"/>
      <c r="B687" s="21"/>
      <c r="C687" s="21"/>
      <c r="D687" s="21"/>
      <c r="E687" s="21"/>
      <c r="F687" s="21"/>
      <c r="G687" s="21"/>
    </row>
    <row r="688" ht="15.75" customHeight="1">
      <c r="A688" s="21"/>
      <c r="B688" s="21"/>
      <c r="C688" s="21"/>
      <c r="D688" s="21"/>
      <c r="E688" s="21"/>
      <c r="F688" s="21"/>
      <c r="G688" s="21"/>
    </row>
    <row r="689" ht="15.75" customHeight="1">
      <c r="A689" s="21"/>
      <c r="B689" s="21"/>
      <c r="C689" s="21"/>
      <c r="D689" s="21"/>
      <c r="E689" s="21"/>
      <c r="F689" s="21"/>
      <c r="G689" s="21"/>
    </row>
    <row r="690" ht="15.75" customHeight="1">
      <c r="A690" s="21"/>
      <c r="B690" s="21"/>
      <c r="C690" s="21"/>
      <c r="D690" s="21"/>
      <c r="E690" s="21"/>
      <c r="F690" s="21"/>
      <c r="G690" s="21"/>
    </row>
    <row r="691" ht="15.75" customHeight="1">
      <c r="A691" s="21"/>
      <c r="B691" s="21"/>
      <c r="C691" s="21"/>
      <c r="D691" s="21"/>
      <c r="E691" s="21"/>
      <c r="F691" s="21"/>
      <c r="G691" s="21"/>
    </row>
    <row r="692" ht="15.75" customHeight="1">
      <c r="A692" s="21"/>
      <c r="B692" s="21"/>
      <c r="C692" s="21"/>
      <c r="D692" s="21"/>
      <c r="E692" s="21"/>
      <c r="F692" s="21"/>
      <c r="G692" s="21"/>
    </row>
    <row r="693" ht="15.75" customHeight="1">
      <c r="A693" s="21"/>
      <c r="B693" s="21"/>
      <c r="C693" s="21"/>
      <c r="D693" s="21"/>
      <c r="E693" s="21"/>
      <c r="F693" s="21"/>
      <c r="G693" s="21"/>
    </row>
    <row r="694" ht="15.75" customHeight="1">
      <c r="A694" s="21"/>
      <c r="B694" s="21"/>
      <c r="C694" s="21"/>
      <c r="D694" s="21"/>
      <c r="E694" s="21"/>
      <c r="F694" s="21"/>
      <c r="G694" s="21"/>
    </row>
    <row r="695" ht="15.75" customHeight="1">
      <c r="A695" s="21"/>
      <c r="B695" s="21"/>
      <c r="C695" s="21"/>
      <c r="D695" s="21"/>
      <c r="E695" s="21"/>
      <c r="F695" s="21"/>
      <c r="G695" s="21"/>
    </row>
    <row r="696" ht="15.75" customHeight="1">
      <c r="A696" s="21"/>
      <c r="B696" s="21"/>
      <c r="C696" s="21"/>
      <c r="D696" s="21"/>
      <c r="E696" s="21"/>
      <c r="F696" s="21"/>
      <c r="G696" s="21"/>
    </row>
    <row r="697" ht="15.75" customHeight="1">
      <c r="A697" s="21"/>
      <c r="B697" s="21"/>
      <c r="C697" s="21"/>
      <c r="D697" s="21"/>
      <c r="E697" s="21"/>
      <c r="F697" s="21"/>
      <c r="G697" s="21"/>
    </row>
    <row r="698" ht="15.75" customHeight="1">
      <c r="A698" s="21"/>
      <c r="B698" s="21"/>
      <c r="C698" s="21"/>
      <c r="D698" s="21"/>
      <c r="E698" s="21"/>
      <c r="F698" s="21"/>
      <c r="G698" s="21"/>
    </row>
    <row r="699" ht="15.75" customHeight="1">
      <c r="A699" s="21"/>
      <c r="B699" s="21"/>
      <c r="C699" s="21"/>
      <c r="D699" s="21"/>
      <c r="E699" s="21"/>
      <c r="F699" s="21"/>
      <c r="G699" s="21"/>
    </row>
    <row r="700" ht="15.75" customHeight="1">
      <c r="A700" s="21"/>
      <c r="B700" s="21"/>
      <c r="C700" s="21"/>
      <c r="D700" s="21"/>
      <c r="E700" s="21"/>
      <c r="F700" s="21"/>
      <c r="G700" s="21"/>
    </row>
    <row r="701" ht="15.75" customHeight="1">
      <c r="A701" s="21"/>
      <c r="B701" s="21"/>
      <c r="C701" s="21"/>
      <c r="D701" s="21"/>
      <c r="E701" s="21"/>
      <c r="F701" s="21"/>
      <c r="G701" s="21"/>
    </row>
    <row r="702" ht="15.75" customHeight="1">
      <c r="A702" s="21"/>
      <c r="B702" s="21"/>
      <c r="C702" s="21"/>
      <c r="D702" s="21"/>
      <c r="E702" s="21"/>
      <c r="F702" s="21"/>
      <c r="G702" s="21"/>
    </row>
    <row r="703" ht="15.75" customHeight="1">
      <c r="A703" s="21"/>
      <c r="B703" s="21"/>
      <c r="C703" s="21"/>
      <c r="D703" s="21"/>
      <c r="E703" s="21"/>
      <c r="F703" s="21"/>
      <c r="G703" s="21"/>
    </row>
    <row r="704" ht="15.75" customHeight="1">
      <c r="A704" s="21"/>
      <c r="B704" s="21"/>
      <c r="C704" s="21"/>
      <c r="D704" s="21"/>
      <c r="E704" s="21"/>
      <c r="F704" s="21"/>
      <c r="G704" s="21"/>
    </row>
    <row r="705" ht="15.75" customHeight="1">
      <c r="A705" s="21"/>
      <c r="B705" s="21"/>
      <c r="C705" s="21"/>
      <c r="D705" s="21"/>
      <c r="E705" s="21"/>
      <c r="F705" s="21"/>
      <c r="G705" s="21"/>
    </row>
    <row r="706" ht="15.75" customHeight="1">
      <c r="A706" s="21"/>
      <c r="B706" s="21"/>
      <c r="C706" s="21"/>
      <c r="D706" s="21"/>
      <c r="E706" s="21"/>
      <c r="F706" s="21"/>
      <c r="G706" s="21"/>
    </row>
    <row r="707" ht="15.75" customHeight="1">
      <c r="A707" s="21"/>
      <c r="B707" s="21"/>
      <c r="C707" s="21"/>
      <c r="D707" s="21"/>
      <c r="E707" s="21"/>
      <c r="F707" s="21"/>
      <c r="G707" s="21"/>
    </row>
    <row r="708" ht="15.75" customHeight="1">
      <c r="A708" s="21"/>
      <c r="B708" s="21"/>
      <c r="C708" s="21"/>
      <c r="D708" s="21"/>
      <c r="E708" s="21"/>
      <c r="F708" s="21"/>
      <c r="G708" s="21"/>
    </row>
    <row r="709" ht="15.75" customHeight="1">
      <c r="A709" s="21"/>
      <c r="B709" s="21"/>
      <c r="C709" s="21"/>
      <c r="D709" s="21"/>
      <c r="E709" s="21"/>
      <c r="F709" s="21"/>
      <c r="G709" s="21"/>
    </row>
    <row r="710" ht="15.75" customHeight="1">
      <c r="A710" s="21"/>
      <c r="B710" s="21"/>
      <c r="C710" s="21"/>
      <c r="D710" s="21"/>
      <c r="E710" s="21"/>
      <c r="F710" s="21"/>
      <c r="G710" s="21"/>
    </row>
    <row r="711" ht="15.75" customHeight="1">
      <c r="A711" s="21"/>
      <c r="B711" s="21"/>
      <c r="C711" s="21"/>
      <c r="D711" s="21"/>
      <c r="E711" s="21"/>
      <c r="F711" s="21"/>
      <c r="G711" s="21"/>
    </row>
    <row r="712" ht="15.75" customHeight="1">
      <c r="A712" s="21"/>
      <c r="B712" s="21"/>
      <c r="C712" s="21"/>
      <c r="D712" s="21"/>
      <c r="E712" s="21"/>
      <c r="F712" s="21"/>
      <c r="G712" s="21"/>
    </row>
    <row r="713" ht="15.75" customHeight="1">
      <c r="A713" s="21"/>
      <c r="B713" s="21"/>
      <c r="C713" s="21"/>
      <c r="D713" s="21"/>
      <c r="E713" s="21"/>
      <c r="F713" s="21"/>
      <c r="G713" s="21"/>
    </row>
    <row r="714" ht="15.75" customHeight="1">
      <c r="A714" s="21"/>
      <c r="B714" s="21"/>
      <c r="C714" s="21"/>
      <c r="D714" s="21"/>
      <c r="E714" s="21"/>
      <c r="F714" s="21"/>
      <c r="G714" s="21"/>
    </row>
    <row r="715" ht="15.75" customHeight="1">
      <c r="A715" s="21"/>
      <c r="B715" s="21"/>
      <c r="C715" s="21"/>
      <c r="D715" s="21"/>
      <c r="E715" s="21"/>
      <c r="F715" s="21"/>
      <c r="G715" s="21"/>
    </row>
    <row r="716" ht="15.75" customHeight="1">
      <c r="A716" s="21"/>
      <c r="B716" s="21"/>
      <c r="C716" s="21"/>
      <c r="D716" s="21"/>
      <c r="E716" s="21"/>
      <c r="F716" s="21"/>
      <c r="G716" s="21"/>
    </row>
    <row r="717" ht="15.75" customHeight="1">
      <c r="A717" s="21"/>
      <c r="B717" s="21"/>
      <c r="C717" s="21"/>
      <c r="D717" s="21"/>
      <c r="E717" s="21"/>
      <c r="F717" s="21"/>
      <c r="G717" s="21"/>
    </row>
    <row r="718" ht="15.75" customHeight="1">
      <c r="A718" s="21"/>
      <c r="B718" s="21"/>
      <c r="C718" s="21"/>
      <c r="D718" s="21"/>
      <c r="E718" s="21"/>
      <c r="F718" s="21"/>
      <c r="G718" s="21"/>
    </row>
    <row r="719" ht="15.75" customHeight="1">
      <c r="A719" s="21"/>
      <c r="B719" s="21"/>
      <c r="C719" s="21"/>
      <c r="D719" s="21"/>
      <c r="E719" s="21"/>
      <c r="F719" s="21"/>
      <c r="G719" s="21"/>
    </row>
    <row r="720" ht="15.75" customHeight="1">
      <c r="A720" s="21"/>
      <c r="B720" s="21"/>
      <c r="C720" s="21"/>
      <c r="D720" s="21"/>
      <c r="E720" s="21"/>
      <c r="F720" s="21"/>
      <c r="G720" s="21"/>
    </row>
    <row r="721" ht="15.75" customHeight="1">
      <c r="A721" s="21"/>
      <c r="B721" s="21"/>
      <c r="C721" s="21"/>
      <c r="D721" s="21"/>
      <c r="E721" s="21"/>
      <c r="F721" s="21"/>
      <c r="G721" s="21"/>
    </row>
    <row r="722" ht="15.75" customHeight="1">
      <c r="A722" s="21"/>
      <c r="B722" s="21"/>
      <c r="C722" s="21"/>
      <c r="D722" s="21"/>
      <c r="E722" s="21"/>
      <c r="F722" s="21"/>
      <c r="G722" s="21"/>
    </row>
    <row r="723" ht="15.75" customHeight="1">
      <c r="A723" s="21"/>
      <c r="B723" s="21"/>
      <c r="C723" s="21"/>
      <c r="D723" s="21"/>
      <c r="E723" s="21"/>
      <c r="F723" s="21"/>
      <c r="G723" s="21"/>
    </row>
    <row r="724" ht="15.75" customHeight="1">
      <c r="A724" s="21"/>
      <c r="B724" s="21"/>
      <c r="C724" s="21"/>
      <c r="D724" s="21"/>
      <c r="E724" s="21"/>
      <c r="F724" s="21"/>
      <c r="G724" s="21"/>
    </row>
    <row r="725" ht="15.75" customHeight="1">
      <c r="A725" s="21"/>
      <c r="B725" s="21"/>
      <c r="C725" s="21"/>
      <c r="D725" s="21"/>
      <c r="E725" s="21"/>
      <c r="F725" s="21"/>
      <c r="G725" s="21"/>
    </row>
    <row r="726" ht="15.75" customHeight="1">
      <c r="A726" s="21"/>
      <c r="B726" s="21"/>
      <c r="C726" s="21"/>
      <c r="D726" s="21"/>
      <c r="E726" s="21"/>
      <c r="F726" s="21"/>
      <c r="G726" s="21"/>
    </row>
    <row r="727" ht="15.75" customHeight="1">
      <c r="A727" s="21"/>
      <c r="B727" s="21"/>
      <c r="C727" s="21"/>
      <c r="D727" s="21"/>
      <c r="E727" s="21"/>
      <c r="F727" s="21"/>
      <c r="G727" s="21"/>
    </row>
    <row r="728" ht="15.75" customHeight="1">
      <c r="A728" s="21"/>
      <c r="B728" s="21"/>
      <c r="C728" s="21"/>
      <c r="D728" s="21"/>
      <c r="E728" s="21"/>
      <c r="F728" s="21"/>
      <c r="G728" s="21"/>
    </row>
    <row r="729" ht="15.75" customHeight="1">
      <c r="A729" s="21"/>
      <c r="B729" s="21"/>
      <c r="C729" s="21"/>
      <c r="D729" s="21"/>
      <c r="E729" s="21"/>
      <c r="F729" s="21"/>
      <c r="G729" s="21"/>
    </row>
    <row r="730" ht="15.75" customHeight="1">
      <c r="A730" s="21"/>
      <c r="B730" s="21"/>
      <c r="C730" s="21"/>
      <c r="D730" s="21"/>
      <c r="E730" s="21"/>
      <c r="F730" s="21"/>
      <c r="G730" s="21"/>
    </row>
    <row r="731" ht="15.75" customHeight="1">
      <c r="A731" s="21"/>
      <c r="B731" s="21"/>
      <c r="C731" s="21"/>
      <c r="D731" s="21"/>
      <c r="E731" s="21"/>
      <c r="F731" s="21"/>
      <c r="G731" s="21"/>
    </row>
    <row r="732" ht="15.75" customHeight="1">
      <c r="A732" s="21"/>
      <c r="B732" s="21"/>
      <c r="C732" s="21"/>
      <c r="D732" s="21"/>
      <c r="E732" s="21"/>
      <c r="F732" s="21"/>
      <c r="G732" s="21"/>
    </row>
    <row r="733" ht="15.75" customHeight="1">
      <c r="A733" s="21"/>
      <c r="B733" s="21"/>
      <c r="C733" s="21"/>
      <c r="D733" s="21"/>
      <c r="E733" s="21"/>
      <c r="F733" s="21"/>
      <c r="G733" s="21"/>
    </row>
    <row r="734" ht="15.75" customHeight="1">
      <c r="A734" s="21"/>
      <c r="B734" s="21"/>
      <c r="C734" s="21"/>
      <c r="D734" s="21"/>
      <c r="E734" s="21"/>
      <c r="F734" s="21"/>
      <c r="G734" s="21"/>
    </row>
    <row r="735" ht="15.75" customHeight="1">
      <c r="A735" s="21"/>
      <c r="B735" s="21"/>
      <c r="C735" s="21"/>
      <c r="D735" s="21"/>
      <c r="E735" s="21"/>
      <c r="F735" s="21"/>
      <c r="G735" s="21"/>
    </row>
    <row r="736" ht="15.75" customHeight="1">
      <c r="A736" s="21"/>
      <c r="B736" s="21"/>
      <c r="C736" s="21"/>
      <c r="D736" s="21"/>
      <c r="E736" s="21"/>
      <c r="F736" s="21"/>
      <c r="G736" s="21"/>
    </row>
    <row r="737" ht="15.75" customHeight="1">
      <c r="A737" s="21"/>
      <c r="B737" s="21"/>
      <c r="C737" s="21"/>
      <c r="D737" s="21"/>
      <c r="E737" s="21"/>
      <c r="F737" s="21"/>
      <c r="G737" s="21"/>
    </row>
    <row r="738" ht="15.75" customHeight="1">
      <c r="A738" s="21"/>
      <c r="B738" s="21"/>
      <c r="C738" s="21"/>
      <c r="D738" s="21"/>
      <c r="E738" s="21"/>
      <c r="F738" s="21"/>
      <c r="G738" s="21"/>
    </row>
    <row r="739" ht="15.75" customHeight="1">
      <c r="A739" s="21"/>
      <c r="B739" s="21"/>
      <c r="C739" s="21"/>
      <c r="D739" s="21"/>
      <c r="E739" s="21"/>
      <c r="F739" s="21"/>
      <c r="G739" s="21"/>
    </row>
    <row r="740" ht="15.75" customHeight="1">
      <c r="A740" s="21"/>
      <c r="B740" s="21"/>
      <c r="C740" s="21"/>
      <c r="D740" s="21"/>
      <c r="E740" s="21"/>
      <c r="F740" s="21"/>
      <c r="G740" s="21"/>
    </row>
    <row r="741" ht="15.75" customHeight="1">
      <c r="A741" s="21"/>
      <c r="B741" s="21"/>
      <c r="C741" s="21"/>
      <c r="D741" s="21"/>
      <c r="E741" s="21"/>
      <c r="F741" s="21"/>
      <c r="G741" s="21"/>
    </row>
    <row r="742" ht="15.75" customHeight="1">
      <c r="A742" s="21"/>
      <c r="B742" s="21"/>
      <c r="C742" s="21"/>
      <c r="D742" s="21"/>
      <c r="E742" s="21"/>
      <c r="F742" s="21"/>
      <c r="G742" s="21"/>
    </row>
    <row r="743" ht="15.75" customHeight="1">
      <c r="A743" s="21"/>
      <c r="B743" s="21"/>
      <c r="C743" s="21"/>
      <c r="D743" s="21"/>
      <c r="E743" s="21"/>
      <c r="F743" s="21"/>
      <c r="G743" s="21"/>
    </row>
    <row r="744" ht="15.75" customHeight="1">
      <c r="A744" s="21"/>
      <c r="B744" s="21"/>
      <c r="C744" s="21"/>
      <c r="D744" s="21"/>
      <c r="E744" s="21"/>
      <c r="F744" s="21"/>
      <c r="G744" s="21"/>
    </row>
    <row r="745" ht="15.75" customHeight="1">
      <c r="A745" s="21"/>
      <c r="B745" s="21"/>
      <c r="C745" s="21"/>
      <c r="D745" s="21"/>
      <c r="E745" s="21"/>
      <c r="F745" s="21"/>
      <c r="G745" s="21"/>
    </row>
    <row r="746" ht="15.75" customHeight="1">
      <c r="A746" s="21"/>
      <c r="B746" s="21"/>
      <c r="C746" s="21"/>
      <c r="D746" s="21"/>
      <c r="E746" s="21"/>
      <c r="F746" s="21"/>
      <c r="G746" s="21"/>
    </row>
    <row r="747" ht="15.75" customHeight="1">
      <c r="A747" s="21"/>
      <c r="B747" s="21"/>
      <c r="C747" s="21"/>
      <c r="D747" s="21"/>
      <c r="E747" s="21"/>
      <c r="F747" s="21"/>
      <c r="G747" s="21"/>
    </row>
    <row r="748" ht="15.75" customHeight="1">
      <c r="A748" s="21"/>
      <c r="B748" s="21"/>
      <c r="C748" s="21"/>
      <c r="D748" s="21"/>
      <c r="E748" s="21"/>
      <c r="F748" s="21"/>
      <c r="G748" s="21"/>
    </row>
    <row r="749" ht="15.75" customHeight="1">
      <c r="A749" s="21"/>
      <c r="B749" s="21"/>
      <c r="C749" s="21"/>
      <c r="D749" s="21"/>
      <c r="E749" s="21"/>
      <c r="F749" s="21"/>
      <c r="G749" s="21"/>
    </row>
    <row r="750" ht="15.75" customHeight="1">
      <c r="A750" s="21"/>
      <c r="B750" s="21"/>
      <c r="C750" s="21"/>
      <c r="D750" s="21"/>
      <c r="E750" s="21"/>
      <c r="F750" s="21"/>
      <c r="G750" s="21"/>
    </row>
    <row r="751" ht="15.75" customHeight="1">
      <c r="A751" s="21"/>
      <c r="B751" s="21"/>
      <c r="C751" s="21"/>
      <c r="D751" s="21"/>
      <c r="E751" s="21"/>
      <c r="F751" s="21"/>
      <c r="G751" s="21"/>
    </row>
    <row r="752" ht="15.75" customHeight="1">
      <c r="A752" s="21"/>
      <c r="B752" s="21"/>
      <c r="C752" s="21"/>
      <c r="D752" s="21"/>
      <c r="E752" s="21"/>
      <c r="F752" s="21"/>
      <c r="G752" s="21"/>
    </row>
    <row r="753" ht="15.75" customHeight="1">
      <c r="A753" s="21"/>
      <c r="B753" s="21"/>
      <c r="C753" s="21"/>
      <c r="D753" s="21"/>
      <c r="E753" s="21"/>
      <c r="F753" s="21"/>
      <c r="G753" s="21"/>
    </row>
    <row r="754" ht="15.75" customHeight="1">
      <c r="A754" s="21"/>
      <c r="B754" s="21"/>
      <c r="C754" s="21"/>
      <c r="D754" s="21"/>
      <c r="E754" s="21"/>
      <c r="F754" s="21"/>
      <c r="G754" s="21"/>
    </row>
    <row r="755" ht="15.75" customHeight="1">
      <c r="A755" s="21"/>
      <c r="B755" s="21"/>
      <c r="C755" s="21"/>
      <c r="D755" s="21"/>
      <c r="E755" s="21"/>
      <c r="F755" s="21"/>
      <c r="G755" s="21"/>
    </row>
    <row r="756" ht="15.75" customHeight="1">
      <c r="A756" s="21"/>
      <c r="B756" s="21"/>
      <c r="C756" s="21"/>
      <c r="D756" s="21"/>
      <c r="E756" s="21"/>
      <c r="F756" s="21"/>
      <c r="G756" s="21"/>
    </row>
    <row r="757" ht="15.75" customHeight="1">
      <c r="A757" s="21"/>
      <c r="B757" s="21"/>
      <c r="C757" s="21"/>
      <c r="D757" s="21"/>
      <c r="E757" s="21"/>
      <c r="F757" s="21"/>
      <c r="G757" s="21"/>
    </row>
    <row r="758" ht="15.75" customHeight="1">
      <c r="A758" s="21"/>
      <c r="B758" s="21"/>
      <c r="C758" s="21"/>
      <c r="D758" s="21"/>
      <c r="E758" s="21"/>
      <c r="F758" s="21"/>
      <c r="G758" s="21"/>
    </row>
    <row r="759" ht="15.75" customHeight="1">
      <c r="A759" s="21"/>
      <c r="B759" s="21"/>
      <c r="C759" s="21"/>
      <c r="D759" s="21"/>
      <c r="E759" s="21"/>
      <c r="F759" s="21"/>
      <c r="G759" s="21"/>
    </row>
    <row r="760" ht="15.75" customHeight="1">
      <c r="A760" s="21"/>
      <c r="B760" s="21"/>
      <c r="C760" s="21"/>
      <c r="D760" s="21"/>
      <c r="E760" s="21"/>
      <c r="F760" s="21"/>
      <c r="G760" s="21"/>
    </row>
    <row r="761" ht="15.75" customHeight="1">
      <c r="A761" s="21"/>
      <c r="B761" s="21"/>
      <c r="C761" s="21"/>
      <c r="D761" s="21"/>
      <c r="E761" s="21"/>
      <c r="F761" s="21"/>
      <c r="G761" s="21"/>
    </row>
    <row r="762" ht="15.75" customHeight="1">
      <c r="A762" s="21"/>
      <c r="B762" s="21"/>
      <c r="C762" s="21"/>
      <c r="D762" s="21"/>
      <c r="E762" s="21"/>
      <c r="F762" s="21"/>
      <c r="G762" s="21"/>
    </row>
    <row r="763" ht="15.75" customHeight="1">
      <c r="A763" s="21"/>
      <c r="B763" s="21"/>
      <c r="C763" s="21"/>
      <c r="D763" s="21"/>
      <c r="E763" s="21"/>
      <c r="F763" s="21"/>
      <c r="G763" s="21"/>
    </row>
    <row r="764" ht="15.75" customHeight="1">
      <c r="A764" s="21"/>
      <c r="B764" s="21"/>
      <c r="C764" s="21"/>
      <c r="D764" s="21"/>
      <c r="E764" s="21"/>
      <c r="F764" s="21"/>
      <c r="G764" s="21"/>
    </row>
    <row r="765" ht="15.75" customHeight="1">
      <c r="A765" s="21"/>
      <c r="B765" s="21"/>
      <c r="C765" s="21"/>
      <c r="D765" s="21"/>
      <c r="E765" s="21"/>
      <c r="F765" s="21"/>
      <c r="G765" s="21"/>
    </row>
    <row r="766" ht="15.75" customHeight="1">
      <c r="A766" s="21"/>
      <c r="B766" s="21"/>
      <c r="C766" s="21"/>
      <c r="D766" s="21"/>
      <c r="E766" s="21"/>
      <c r="F766" s="21"/>
      <c r="G766" s="21"/>
    </row>
    <row r="767" ht="15.75" customHeight="1">
      <c r="A767" s="21"/>
      <c r="B767" s="21"/>
      <c r="C767" s="21"/>
      <c r="D767" s="21"/>
      <c r="E767" s="21"/>
      <c r="F767" s="21"/>
      <c r="G767" s="21"/>
    </row>
    <row r="768" ht="15.75" customHeight="1">
      <c r="A768" s="21"/>
      <c r="B768" s="21"/>
      <c r="C768" s="21"/>
      <c r="D768" s="21"/>
      <c r="E768" s="21"/>
      <c r="F768" s="21"/>
      <c r="G768" s="21"/>
    </row>
    <row r="769" ht="15.75" customHeight="1">
      <c r="A769" s="21"/>
      <c r="B769" s="21"/>
      <c r="C769" s="21"/>
      <c r="D769" s="21"/>
      <c r="E769" s="21"/>
      <c r="F769" s="21"/>
      <c r="G769" s="21"/>
    </row>
    <row r="770" ht="15.75" customHeight="1">
      <c r="A770" s="21"/>
      <c r="B770" s="21"/>
      <c r="C770" s="21"/>
      <c r="D770" s="21"/>
      <c r="E770" s="21"/>
      <c r="F770" s="21"/>
      <c r="G770" s="21"/>
    </row>
    <row r="771" ht="15.75" customHeight="1">
      <c r="A771" s="21"/>
      <c r="B771" s="21"/>
      <c r="C771" s="21"/>
      <c r="D771" s="21"/>
      <c r="E771" s="21"/>
      <c r="F771" s="21"/>
      <c r="G771" s="21"/>
    </row>
    <row r="772" ht="15.75" customHeight="1">
      <c r="A772" s="21"/>
      <c r="B772" s="21"/>
      <c r="C772" s="21"/>
      <c r="D772" s="21"/>
      <c r="E772" s="21"/>
      <c r="F772" s="21"/>
      <c r="G772" s="21"/>
    </row>
    <row r="773" ht="15.75" customHeight="1">
      <c r="A773" s="21"/>
      <c r="B773" s="21"/>
      <c r="C773" s="21"/>
      <c r="D773" s="21"/>
      <c r="E773" s="21"/>
      <c r="F773" s="21"/>
      <c r="G773" s="21"/>
    </row>
    <row r="774" ht="15.75" customHeight="1">
      <c r="A774" s="21"/>
      <c r="B774" s="21"/>
      <c r="C774" s="21"/>
      <c r="D774" s="21"/>
      <c r="E774" s="21"/>
      <c r="F774" s="21"/>
      <c r="G774" s="21"/>
    </row>
    <row r="775" ht="15.75" customHeight="1">
      <c r="A775" s="21"/>
      <c r="B775" s="21"/>
      <c r="C775" s="21"/>
      <c r="D775" s="21"/>
      <c r="E775" s="21"/>
      <c r="F775" s="21"/>
      <c r="G775" s="21"/>
    </row>
    <row r="776" ht="15.75" customHeight="1">
      <c r="A776" s="21"/>
      <c r="B776" s="21"/>
      <c r="C776" s="21"/>
      <c r="D776" s="21"/>
      <c r="E776" s="21"/>
      <c r="F776" s="21"/>
      <c r="G776" s="21"/>
    </row>
    <row r="777" ht="15.75" customHeight="1">
      <c r="A777" s="21"/>
      <c r="B777" s="21"/>
      <c r="C777" s="21"/>
      <c r="D777" s="21"/>
      <c r="E777" s="21"/>
      <c r="F777" s="21"/>
      <c r="G777" s="21"/>
    </row>
    <row r="778" ht="15.75" customHeight="1">
      <c r="A778" s="21"/>
      <c r="B778" s="21"/>
      <c r="C778" s="21"/>
      <c r="D778" s="21"/>
      <c r="E778" s="21"/>
      <c r="F778" s="21"/>
      <c r="G778" s="21"/>
    </row>
    <row r="779" ht="15.75" customHeight="1">
      <c r="A779" s="21"/>
      <c r="B779" s="21"/>
      <c r="C779" s="21"/>
      <c r="D779" s="21"/>
      <c r="E779" s="21"/>
      <c r="F779" s="21"/>
      <c r="G779" s="21"/>
    </row>
    <row r="780" ht="15.75" customHeight="1">
      <c r="A780" s="21"/>
      <c r="B780" s="21"/>
      <c r="C780" s="21"/>
      <c r="D780" s="21"/>
      <c r="E780" s="21"/>
      <c r="F780" s="21"/>
      <c r="G780" s="21"/>
    </row>
    <row r="781" ht="15.75" customHeight="1">
      <c r="A781" s="21"/>
      <c r="B781" s="21"/>
      <c r="C781" s="21"/>
      <c r="D781" s="21"/>
      <c r="E781" s="21"/>
      <c r="F781" s="21"/>
      <c r="G781" s="21"/>
    </row>
    <row r="782" ht="15.75" customHeight="1">
      <c r="A782" s="21"/>
      <c r="B782" s="21"/>
      <c r="C782" s="21"/>
      <c r="D782" s="21"/>
      <c r="E782" s="21"/>
      <c r="F782" s="21"/>
      <c r="G782" s="21"/>
    </row>
    <row r="783" ht="15.75" customHeight="1">
      <c r="A783" s="21"/>
      <c r="B783" s="21"/>
      <c r="C783" s="21"/>
      <c r="D783" s="21"/>
      <c r="E783" s="21"/>
      <c r="F783" s="21"/>
      <c r="G783" s="21"/>
    </row>
    <row r="784" ht="15.75" customHeight="1">
      <c r="A784" s="21"/>
      <c r="B784" s="21"/>
      <c r="C784" s="21"/>
      <c r="D784" s="21"/>
      <c r="E784" s="21"/>
      <c r="F784" s="21"/>
      <c r="G784" s="21"/>
    </row>
    <row r="785" ht="15.75" customHeight="1">
      <c r="A785" s="21"/>
      <c r="B785" s="21"/>
      <c r="C785" s="21"/>
      <c r="D785" s="21"/>
      <c r="E785" s="21"/>
      <c r="F785" s="21"/>
      <c r="G785" s="21"/>
    </row>
    <row r="786" ht="15.75" customHeight="1">
      <c r="A786" s="21"/>
      <c r="B786" s="21"/>
      <c r="C786" s="21"/>
      <c r="D786" s="21"/>
      <c r="E786" s="21"/>
      <c r="F786" s="21"/>
      <c r="G786" s="21"/>
    </row>
    <row r="787" ht="15.75" customHeight="1">
      <c r="A787" s="21"/>
      <c r="B787" s="21"/>
      <c r="C787" s="21"/>
      <c r="D787" s="21"/>
      <c r="E787" s="21"/>
      <c r="F787" s="21"/>
      <c r="G787" s="21"/>
    </row>
    <row r="788" ht="15.75" customHeight="1">
      <c r="A788" s="21"/>
      <c r="B788" s="21"/>
      <c r="C788" s="21"/>
      <c r="D788" s="21"/>
      <c r="E788" s="21"/>
      <c r="F788" s="21"/>
      <c r="G788" s="21"/>
    </row>
    <row r="789" ht="15.75" customHeight="1">
      <c r="A789" s="21"/>
      <c r="B789" s="21"/>
      <c r="C789" s="21"/>
      <c r="D789" s="21"/>
      <c r="E789" s="21"/>
      <c r="F789" s="21"/>
      <c r="G789" s="21"/>
    </row>
    <row r="790" ht="15.75" customHeight="1">
      <c r="A790" s="21"/>
      <c r="B790" s="21"/>
      <c r="C790" s="21"/>
      <c r="D790" s="21"/>
      <c r="E790" s="21"/>
      <c r="F790" s="21"/>
      <c r="G790" s="21"/>
    </row>
    <row r="791" ht="15.75" customHeight="1">
      <c r="A791" s="21"/>
      <c r="B791" s="21"/>
      <c r="C791" s="21"/>
      <c r="D791" s="21"/>
      <c r="E791" s="21"/>
      <c r="F791" s="21"/>
      <c r="G791" s="21"/>
    </row>
    <row r="792" ht="15.75" customHeight="1">
      <c r="A792" s="21"/>
      <c r="B792" s="21"/>
      <c r="C792" s="21"/>
      <c r="D792" s="21"/>
      <c r="E792" s="21"/>
      <c r="F792" s="21"/>
      <c r="G792" s="21"/>
    </row>
    <row r="793" ht="15.75" customHeight="1">
      <c r="A793" s="21"/>
      <c r="B793" s="21"/>
      <c r="C793" s="21"/>
      <c r="D793" s="21"/>
      <c r="E793" s="21"/>
      <c r="F793" s="21"/>
      <c r="G793" s="21"/>
    </row>
    <row r="794" ht="15.75" customHeight="1">
      <c r="A794" s="21"/>
      <c r="B794" s="21"/>
      <c r="C794" s="21"/>
      <c r="D794" s="21"/>
      <c r="E794" s="21"/>
      <c r="F794" s="21"/>
      <c r="G794" s="21"/>
    </row>
    <row r="795" ht="15.75" customHeight="1">
      <c r="A795" s="21"/>
      <c r="B795" s="21"/>
      <c r="C795" s="21"/>
      <c r="D795" s="21"/>
      <c r="E795" s="21"/>
      <c r="F795" s="21"/>
      <c r="G795" s="21"/>
    </row>
    <row r="796" ht="15.75" customHeight="1">
      <c r="A796" s="21"/>
      <c r="B796" s="21"/>
      <c r="C796" s="21"/>
      <c r="D796" s="21"/>
      <c r="E796" s="21"/>
      <c r="F796" s="21"/>
      <c r="G796" s="21"/>
    </row>
    <row r="797" ht="15.75" customHeight="1">
      <c r="A797" s="21"/>
      <c r="B797" s="21"/>
      <c r="C797" s="21"/>
      <c r="D797" s="21"/>
      <c r="E797" s="21"/>
      <c r="F797" s="21"/>
      <c r="G797" s="21"/>
    </row>
    <row r="798" ht="15.75" customHeight="1">
      <c r="A798" s="21"/>
      <c r="B798" s="21"/>
      <c r="C798" s="21"/>
      <c r="D798" s="21"/>
      <c r="E798" s="21"/>
      <c r="F798" s="21"/>
      <c r="G798" s="21"/>
    </row>
    <row r="799" ht="15.75" customHeight="1">
      <c r="A799" s="21"/>
      <c r="B799" s="21"/>
      <c r="C799" s="21"/>
      <c r="D799" s="21"/>
      <c r="E799" s="21"/>
      <c r="F799" s="21"/>
      <c r="G799" s="21"/>
    </row>
    <row r="800" ht="15.75" customHeight="1">
      <c r="A800" s="21"/>
      <c r="B800" s="21"/>
      <c r="C800" s="21"/>
      <c r="D800" s="21"/>
      <c r="E800" s="21"/>
      <c r="F800" s="21"/>
      <c r="G800" s="21"/>
    </row>
    <row r="801" ht="15.75" customHeight="1">
      <c r="A801" s="21"/>
      <c r="B801" s="21"/>
      <c r="C801" s="21"/>
      <c r="D801" s="21"/>
      <c r="E801" s="21"/>
      <c r="F801" s="21"/>
      <c r="G801" s="21"/>
    </row>
    <row r="802" ht="15.75" customHeight="1">
      <c r="A802" s="21"/>
      <c r="B802" s="21"/>
      <c r="C802" s="21"/>
      <c r="D802" s="21"/>
      <c r="E802" s="21"/>
      <c r="F802" s="21"/>
      <c r="G802" s="21"/>
    </row>
    <row r="803" ht="15.75" customHeight="1">
      <c r="A803" s="21"/>
      <c r="B803" s="21"/>
      <c r="C803" s="21"/>
      <c r="D803" s="21"/>
      <c r="E803" s="21"/>
      <c r="F803" s="21"/>
      <c r="G803" s="21"/>
    </row>
    <row r="804" ht="15.75" customHeight="1">
      <c r="A804" s="21"/>
      <c r="B804" s="21"/>
      <c r="C804" s="21"/>
      <c r="D804" s="21"/>
      <c r="E804" s="21"/>
      <c r="F804" s="21"/>
      <c r="G804" s="21"/>
    </row>
    <row r="805" ht="15.75" customHeight="1">
      <c r="A805" s="21"/>
      <c r="B805" s="21"/>
      <c r="C805" s="21"/>
      <c r="D805" s="21"/>
      <c r="E805" s="21"/>
      <c r="F805" s="21"/>
      <c r="G805" s="21"/>
    </row>
    <row r="806" ht="15.75" customHeight="1">
      <c r="A806" s="21"/>
      <c r="B806" s="21"/>
      <c r="C806" s="21"/>
      <c r="D806" s="21"/>
      <c r="E806" s="21"/>
      <c r="F806" s="21"/>
      <c r="G806" s="21"/>
    </row>
    <row r="807" ht="15.75" customHeight="1">
      <c r="A807" s="21"/>
      <c r="B807" s="21"/>
      <c r="C807" s="21"/>
      <c r="D807" s="21"/>
      <c r="E807" s="21"/>
      <c r="F807" s="21"/>
      <c r="G807" s="21"/>
    </row>
    <row r="808" ht="15.75" customHeight="1">
      <c r="A808" s="21"/>
      <c r="B808" s="21"/>
      <c r="C808" s="21"/>
      <c r="D808" s="21"/>
      <c r="E808" s="21"/>
      <c r="F808" s="21"/>
      <c r="G808" s="21"/>
    </row>
    <row r="809" ht="15.75" customHeight="1">
      <c r="A809" s="21"/>
      <c r="B809" s="21"/>
      <c r="C809" s="21"/>
      <c r="D809" s="21"/>
      <c r="E809" s="21"/>
      <c r="F809" s="21"/>
      <c r="G809" s="21"/>
    </row>
    <row r="810" ht="15.75" customHeight="1">
      <c r="A810" s="21"/>
      <c r="B810" s="21"/>
      <c r="C810" s="21"/>
      <c r="D810" s="21"/>
      <c r="E810" s="21"/>
      <c r="F810" s="21"/>
      <c r="G810" s="21"/>
    </row>
    <row r="811" ht="15.75" customHeight="1">
      <c r="A811" s="21"/>
      <c r="B811" s="21"/>
      <c r="C811" s="21"/>
      <c r="D811" s="21"/>
      <c r="E811" s="21"/>
      <c r="F811" s="21"/>
      <c r="G811" s="21"/>
    </row>
    <row r="812" ht="15.75" customHeight="1">
      <c r="A812" s="21"/>
      <c r="B812" s="21"/>
      <c r="C812" s="21"/>
      <c r="D812" s="21"/>
      <c r="E812" s="21"/>
      <c r="F812" s="21"/>
      <c r="G812" s="21"/>
    </row>
    <row r="813" ht="15.75" customHeight="1">
      <c r="A813" s="21"/>
      <c r="B813" s="21"/>
      <c r="C813" s="21"/>
      <c r="D813" s="21"/>
      <c r="E813" s="21"/>
      <c r="F813" s="21"/>
      <c r="G813" s="21"/>
    </row>
    <row r="814" ht="15.75" customHeight="1">
      <c r="A814" s="21"/>
      <c r="B814" s="21"/>
      <c r="C814" s="21"/>
      <c r="D814" s="21"/>
      <c r="E814" s="21"/>
      <c r="F814" s="21"/>
      <c r="G814" s="21"/>
    </row>
    <row r="815" ht="15.75" customHeight="1">
      <c r="A815" s="21"/>
      <c r="B815" s="21"/>
      <c r="C815" s="21"/>
      <c r="D815" s="21"/>
      <c r="E815" s="21"/>
      <c r="F815" s="21"/>
      <c r="G815" s="21"/>
    </row>
    <row r="816" ht="15.75" customHeight="1">
      <c r="A816" s="21"/>
      <c r="B816" s="21"/>
      <c r="C816" s="21"/>
      <c r="D816" s="21"/>
      <c r="E816" s="21"/>
      <c r="F816" s="21"/>
      <c r="G816" s="21"/>
    </row>
    <row r="817" ht="15.75" customHeight="1">
      <c r="A817" s="21"/>
      <c r="B817" s="21"/>
      <c r="C817" s="21"/>
      <c r="D817" s="21"/>
      <c r="E817" s="21"/>
      <c r="F817" s="21"/>
      <c r="G817" s="21"/>
    </row>
    <row r="818" ht="15.75" customHeight="1">
      <c r="A818" s="21"/>
      <c r="B818" s="21"/>
      <c r="C818" s="21"/>
      <c r="D818" s="21"/>
      <c r="E818" s="21"/>
      <c r="F818" s="21"/>
      <c r="G818" s="21"/>
    </row>
    <row r="819" ht="15.75" customHeight="1">
      <c r="A819" s="21"/>
      <c r="B819" s="21"/>
      <c r="C819" s="21"/>
      <c r="D819" s="21"/>
      <c r="E819" s="21"/>
      <c r="F819" s="21"/>
      <c r="G819" s="21"/>
    </row>
    <row r="820" ht="15.75" customHeight="1">
      <c r="A820" s="21"/>
      <c r="B820" s="21"/>
      <c r="C820" s="21"/>
      <c r="D820" s="21"/>
      <c r="E820" s="21"/>
      <c r="F820" s="21"/>
      <c r="G820" s="21"/>
    </row>
    <row r="821" ht="15.75" customHeight="1">
      <c r="A821" s="21"/>
      <c r="B821" s="21"/>
      <c r="C821" s="21"/>
      <c r="D821" s="21"/>
      <c r="E821" s="21"/>
      <c r="F821" s="21"/>
      <c r="G821" s="21"/>
    </row>
    <row r="822" ht="15.75" customHeight="1">
      <c r="A822" s="21"/>
      <c r="B822" s="21"/>
      <c r="C822" s="21"/>
      <c r="D822" s="21"/>
      <c r="E822" s="21"/>
      <c r="F822" s="21"/>
      <c r="G822" s="21"/>
    </row>
    <row r="823" ht="15.75" customHeight="1">
      <c r="A823" s="21"/>
      <c r="B823" s="21"/>
      <c r="C823" s="21"/>
      <c r="D823" s="21"/>
      <c r="E823" s="21"/>
      <c r="F823" s="21"/>
      <c r="G823" s="21"/>
    </row>
    <row r="824" ht="15.75" customHeight="1">
      <c r="A824" s="21"/>
      <c r="B824" s="21"/>
      <c r="C824" s="21"/>
      <c r="D824" s="21"/>
      <c r="E824" s="21"/>
      <c r="F824" s="21"/>
      <c r="G824" s="21"/>
    </row>
    <row r="825" ht="15.75" customHeight="1">
      <c r="A825" s="21"/>
      <c r="B825" s="21"/>
      <c r="C825" s="21"/>
      <c r="D825" s="21"/>
      <c r="E825" s="21"/>
      <c r="F825" s="21"/>
      <c r="G825" s="21"/>
    </row>
    <row r="826" ht="15.75" customHeight="1">
      <c r="A826" s="21"/>
      <c r="B826" s="21"/>
      <c r="C826" s="21"/>
      <c r="D826" s="21"/>
      <c r="E826" s="21"/>
      <c r="F826" s="21"/>
      <c r="G826" s="21"/>
    </row>
    <row r="827" ht="15.75" customHeight="1">
      <c r="A827" s="21"/>
      <c r="B827" s="21"/>
      <c r="C827" s="21"/>
      <c r="D827" s="21"/>
      <c r="E827" s="21"/>
      <c r="F827" s="21"/>
      <c r="G827" s="21"/>
    </row>
    <row r="828" ht="15.75" customHeight="1">
      <c r="A828" s="21"/>
      <c r="B828" s="21"/>
      <c r="C828" s="21"/>
      <c r="D828" s="21"/>
      <c r="E828" s="21"/>
      <c r="F828" s="21"/>
      <c r="G828" s="21"/>
    </row>
    <row r="829" ht="15.75" customHeight="1">
      <c r="A829" s="21"/>
      <c r="B829" s="21"/>
      <c r="C829" s="21"/>
      <c r="D829" s="21"/>
      <c r="E829" s="21"/>
      <c r="F829" s="21"/>
      <c r="G829" s="21"/>
    </row>
    <row r="830" ht="15.75" customHeight="1">
      <c r="A830" s="21"/>
      <c r="B830" s="21"/>
      <c r="C830" s="21"/>
      <c r="D830" s="21"/>
      <c r="E830" s="21"/>
      <c r="F830" s="21"/>
      <c r="G830" s="21"/>
    </row>
    <row r="831" ht="15.75" customHeight="1">
      <c r="A831" s="21"/>
      <c r="B831" s="21"/>
      <c r="C831" s="21"/>
      <c r="D831" s="21"/>
      <c r="E831" s="21"/>
      <c r="F831" s="21"/>
      <c r="G831" s="21"/>
    </row>
    <row r="832" ht="15.75" customHeight="1">
      <c r="A832" s="21"/>
      <c r="B832" s="21"/>
      <c r="C832" s="21"/>
      <c r="D832" s="21"/>
      <c r="E832" s="21"/>
      <c r="F832" s="21"/>
      <c r="G832" s="21"/>
    </row>
    <row r="833" ht="15.75" customHeight="1">
      <c r="A833" s="21"/>
      <c r="B833" s="21"/>
      <c r="C833" s="21"/>
      <c r="D833" s="21"/>
      <c r="E833" s="21"/>
      <c r="F833" s="21"/>
      <c r="G833" s="21"/>
    </row>
    <row r="834" ht="15.75" customHeight="1">
      <c r="A834" s="21"/>
      <c r="B834" s="21"/>
      <c r="C834" s="21"/>
      <c r="D834" s="21"/>
      <c r="E834" s="21"/>
      <c r="F834" s="21"/>
      <c r="G834" s="21"/>
    </row>
    <row r="835" ht="15.75" customHeight="1">
      <c r="A835" s="21"/>
      <c r="B835" s="21"/>
      <c r="C835" s="21"/>
      <c r="D835" s="21"/>
      <c r="E835" s="21"/>
      <c r="F835" s="21"/>
      <c r="G835" s="21"/>
    </row>
    <row r="836" ht="15.75" customHeight="1">
      <c r="A836" s="21"/>
      <c r="B836" s="21"/>
      <c r="C836" s="21"/>
      <c r="D836" s="21"/>
      <c r="E836" s="21"/>
      <c r="F836" s="21"/>
      <c r="G836" s="21"/>
    </row>
    <row r="837" ht="15.75" customHeight="1">
      <c r="A837" s="21"/>
      <c r="B837" s="21"/>
      <c r="C837" s="21"/>
      <c r="D837" s="21"/>
      <c r="E837" s="21"/>
      <c r="F837" s="21"/>
      <c r="G837" s="21"/>
    </row>
    <row r="838" ht="15.75" customHeight="1">
      <c r="A838" s="21"/>
      <c r="B838" s="21"/>
      <c r="C838" s="21"/>
      <c r="D838" s="21"/>
      <c r="E838" s="21"/>
      <c r="F838" s="21"/>
      <c r="G838" s="21"/>
    </row>
    <row r="839" ht="15.75" customHeight="1">
      <c r="A839" s="21"/>
      <c r="B839" s="21"/>
      <c r="C839" s="21"/>
      <c r="D839" s="21"/>
      <c r="E839" s="21"/>
      <c r="F839" s="21"/>
      <c r="G839" s="21"/>
    </row>
    <row r="840" ht="15.75" customHeight="1">
      <c r="A840" s="21"/>
      <c r="B840" s="21"/>
      <c r="C840" s="21"/>
      <c r="D840" s="21"/>
      <c r="E840" s="21"/>
      <c r="F840" s="21"/>
      <c r="G840" s="21"/>
    </row>
    <row r="841" ht="15.75" customHeight="1">
      <c r="A841" s="21"/>
      <c r="B841" s="21"/>
      <c r="C841" s="21"/>
      <c r="D841" s="21"/>
      <c r="E841" s="21"/>
      <c r="F841" s="21"/>
      <c r="G841" s="21"/>
    </row>
    <row r="842" ht="15.75" customHeight="1">
      <c r="A842" s="21"/>
      <c r="B842" s="21"/>
      <c r="C842" s="21"/>
      <c r="D842" s="21"/>
      <c r="E842" s="21"/>
      <c r="F842" s="21"/>
      <c r="G842" s="21"/>
    </row>
    <row r="843" ht="15.75" customHeight="1">
      <c r="A843" s="21"/>
      <c r="B843" s="21"/>
      <c r="C843" s="21"/>
      <c r="D843" s="21"/>
      <c r="E843" s="21"/>
      <c r="F843" s="21"/>
      <c r="G843" s="21"/>
    </row>
    <row r="844" ht="15.75" customHeight="1">
      <c r="A844" s="21"/>
      <c r="B844" s="21"/>
      <c r="C844" s="21"/>
      <c r="D844" s="21"/>
      <c r="E844" s="21"/>
      <c r="F844" s="21"/>
      <c r="G844" s="21"/>
    </row>
    <row r="845" ht="15.75" customHeight="1">
      <c r="A845" s="21"/>
      <c r="B845" s="21"/>
      <c r="C845" s="21"/>
      <c r="D845" s="21"/>
      <c r="E845" s="21"/>
      <c r="F845" s="21"/>
      <c r="G845" s="21"/>
    </row>
    <row r="846" ht="15.75" customHeight="1">
      <c r="A846" s="21"/>
      <c r="B846" s="21"/>
      <c r="C846" s="21"/>
      <c r="D846" s="21"/>
      <c r="E846" s="21"/>
      <c r="F846" s="21"/>
      <c r="G846" s="21"/>
    </row>
    <row r="847" ht="15.75" customHeight="1">
      <c r="A847" s="21"/>
      <c r="B847" s="21"/>
      <c r="C847" s="21"/>
      <c r="D847" s="21"/>
      <c r="E847" s="21"/>
      <c r="F847" s="21"/>
      <c r="G847" s="21"/>
    </row>
    <row r="848" ht="15.75" customHeight="1">
      <c r="A848" s="21"/>
      <c r="B848" s="21"/>
      <c r="C848" s="21"/>
      <c r="D848" s="21"/>
      <c r="E848" s="21"/>
      <c r="F848" s="21"/>
      <c r="G848" s="21"/>
    </row>
    <row r="849" ht="15.75" customHeight="1">
      <c r="A849" s="21"/>
      <c r="B849" s="21"/>
      <c r="C849" s="21"/>
      <c r="D849" s="21"/>
      <c r="E849" s="21"/>
      <c r="F849" s="21"/>
      <c r="G849" s="21"/>
    </row>
    <row r="850" ht="15.75" customHeight="1">
      <c r="A850" s="21"/>
      <c r="B850" s="21"/>
      <c r="C850" s="21"/>
      <c r="D850" s="21"/>
      <c r="E850" s="21"/>
      <c r="F850" s="21"/>
      <c r="G850" s="21"/>
    </row>
    <row r="851" ht="15.75" customHeight="1">
      <c r="A851" s="21"/>
      <c r="B851" s="21"/>
      <c r="C851" s="21"/>
      <c r="D851" s="21"/>
      <c r="E851" s="21"/>
      <c r="F851" s="21"/>
      <c r="G851" s="21"/>
    </row>
    <row r="852" ht="15.75" customHeight="1">
      <c r="A852" s="21"/>
      <c r="B852" s="21"/>
      <c r="C852" s="21"/>
      <c r="D852" s="21"/>
      <c r="E852" s="21"/>
      <c r="F852" s="21"/>
      <c r="G852" s="21"/>
    </row>
    <row r="853" ht="15.75" customHeight="1">
      <c r="A853" s="21"/>
      <c r="B853" s="21"/>
      <c r="C853" s="21"/>
      <c r="D853" s="21"/>
      <c r="E853" s="21"/>
      <c r="F853" s="21"/>
      <c r="G853" s="21"/>
    </row>
    <row r="854" ht="15.75" customHeight="1">
      <c r="A854" s="21"/>
      <c r="B854" s="21"/>
      <c r="C854" s="21"/>
      <c r="D854" s="21"/>
      <c r="E854" s="21"/>
      <c r="F854" s="21"/>
      <c r="G854" s="21"/>
    </row>
    <row r="855" ht="15.75" customHeight="1">
      <c r="A855" s="21"/>
      <c r="B855" s="21"/>
      <c r="C855" s="21"/>
      <c r="D855" s="21"/>
      <c r="E855" s="21"/>
      <c r="F855" s="21"/>
      <c r="G855" s="21"/>
    </row>
    <row r="856" ht="15.75" customHeight="1">
      <c r="A856" s="21"/>
      <c r="B856" s="21"/>
      <c r="C856" s="21"/>
      <c r="D856" s="21"/>
      <c r="E856" s="21"/>
      <c r="F856" s="21"/>
      <c r="G856" s="21"/>
    </row>
    <row r="857" ht="15.75" customHeight="1">
      <c r="A857" s="21"/>
      <c r="B857" s="21"/>
      <c r="C857" s="21"/>
      <c r="D857" s="21"/>
      <c r="E857" s="21"/>
      <c r="F857" s="21"/>
      <c r="G857" s="21"/>
    </row>
    <row r="858" ht="15.75" customHeight="1">
      <c r="A858" s="21"/>
      <c r="B858" s="21"/>
      <c r="C858" s="21"/>
      <c r="D858" s="21"/>
      <c r="E858" s="21"/>
      <c r="F858" s="21"/>
      <c r="G858" s="21"/>
    </row>
    <row r="859" ht="15.75" customHeight="1">
      <c r="A859" s="21"/>
      <c r="B859" s="21"/>
      <c r="C859" s="21"/>
      <c r="D859" s="21"/>
      <c r="E859" s="21"/>
      <c r="F859" s="21"/>
      <c r="G859" s="21"/>
    </row>
    <row r="860" ht="15.75" customHeight="1">
      <c r="A860" s="21"/>
      <c r="B860" s="21"/>
      <c r="C860" s="21"/>
      <c r="D860" s="21"/>
      <c r="E860" s="21"/>
      <c r="F860" s="21"/>
      <c r="G860" s="21"/>
    </row>
    <row r="861" ht="15.75" customHeight="1">
      <c r="A861" s="21"/>
      <c r="B861" s="21"/>
      <c r="C861" s="21"/>
      <c r="D861" s="21"/>
      <c r="E861" s="21"/>
      <c r="F861" s="21"/>
      <c r="G861" s="21"/>
    </row>
    <row r="862" ht="15.75" customHeight="1">
      <c r="A862" s="21"/>
      <c r="B862" s="21"/>
      <c r="C862" s="21"/>
      <c r="D862" s="21"/>
      <c r="E862" s="21"/>
      <c r="F862" s="21"/>
      <c r="G862" s="21"/>
    </row>
    <row r="863" ht="15.75" customHeight="1">
      <c r="A863" s="21"/>
      <c r="B863" s="21"/>
      <c r="C863" s="21"/>
      <c r="D863" s="21"/>
      <c r="E863" s="21"/>
      <c r="F863" s="21"/>
      <c r="G863" s="21"/>
    </row>
    <row r="864" ht="15.75" customHeight="1">
      <c r="A864" s="21"/>
      <c r="B864" s="21"/>
      <c r="C864" s="21"/>
      <c r="D864" s="21"/>
      <c r="E864" s="21"/>
      <c r="F864" s="21"/>
      <c r="G864" s="21"/>
    </row>
    <row r="865" ht="15.75" customHeight="1">
      <c r="A865" s="21"/>
      <c r="B865" s="21"/>
      <c r="C865" s="21"/>
      <c r="D865" s="21"/>
      <c r="E865" s="21"/>
      <c r="F865" s="21"/>
      <c r="G865" s="21"/>
    </row>
    <row r="866" ht="15.75" customHeight="1">
      <c r="A866" s="21"/>
      <c r="B866" s="21"/>
      <c r="C866" s="21"/>
      <c r="D866" s="21"/>
      <c r="E866" s="21"/>
      <c r="F866" s="21"/>
      <c r="G866" s="21"/>
    </row>
    <row r="867" ht="15.75" customHeight="1">
      <c r="A867" s="21"/>
      <c r="B867" s="21"/>
      <c r="C867" s="21"/>
      <c r="D867" s="21"/>
      <c r="E867" s="21"/>
      <c r="F867" s="21"/>
      <c r="G867" s="21"/>
    </row>
    <row r="868" ht="15.75" customHeight="1">
      <c r="A868" s="21"/>
      <c r="B868" s="21"/>
      <c r="C868" s="21"/>
      <c r="D868" s="21"/>
      <c r="E868" s="21"/>
      <c r="F868" s="21"/>
      <c r="G868" s="21"/>
    </row>
    <row r="869" ht="15.75" customHeight="1">
      <c r="A869" s="21"/>
      <c r="B869" s="21"/>
      <c r="C869" s="21"/>
      <c r="D869" s="21"/>
      <c r="E869" s="21"/>
      <c r="F869" s="21"/>
      <c r="G869" s="21"/>
    </row>
    <row r="870" ht="15.75" customHeight="1">
      <c r="A870" s="21"/>
      <c r="B870" s="21"/>
      <c r="C870" s="21"/>
      <c r="D870" s="21"/>
      <c r="E870" s="21"/>
      <c r="F870" s="21"/>
      <c r="G870" s="21"/>
    </row>
    <row r="871" ht="15.75" customHeight="1">
      <c r="A871" s="21"/>
      <c r="B871" s="21"/>
      <c r="C871" s="21"/>
      <c r="D871" s="21"/>
      <c r="E871" s="21"/>
      <c r="F871" s="21"/>
      <c r="G871" s="21"/>
    </row>
    <row r="872" ht="15.75" customHeight="1">
      <c r="A872" s="21"/>
      <c r="B872" s="21"/>
      <c r="C872" s="21"/>
      <c r="D872" s="21"/>
      <c r="E872" s="21"/>
      <c r="F872" s="21"/>
      <c r="G872" s="21"/>
    </row>
    <row r="873" ht="15.75" customHeight="1">
      <c r="A873" s="21"/>
      <c r="B873" s="21"/>
      <c r="C873" s="21"/>
      <c r="D873" s="21"/>
      <c r="E873" s="21"/>
      <c r="F873" s="21"/>
      <c r="G873" s="21"/>
    </row>
    <row r="874" ht="15.75" customHeight="1">
      <c r="A874" s="21"/>
      <c r="B874" s="21"/>
      <c r="C874" s="21"/>
      <c r="D874" s="21"/>
      <c r="E874" s="21"/>
      <c r="F874" s="21"/>
      <c r="G874" s="21"/>
    </row>
    <row r="875" ht="15.75" customHeight="1">
      <c r="A875" s="21"/>
      <c r="B875" s="21"/>
      <c r="C875" s="21"/>
      <c r="D875" s="21"/>
      <c r="E875" s="21"/>
      <c r="F875" s="21"/>
      <c r="G875" s="21"/>
    </row>
    <row r="876" ht="15.75" customHeight="1">
      <c r="A876" s="21"/>
      <c r="B876" s="21"/>
      <c r="C876" s="21"/>
      <c r="D876" s="21"/>
      <c r="E876" s="21"/>
      <c r="F876" s="21"/>
      <c r="G876" s="21"/>
    </row>
    <row r="877" ht="15.75" customHeight="1">
      <c r="A877" s="21"/>
      <c r="B877" s="21"/>
      <c r="C877" s="21"/>
      <c r="D877" s="21"/>
      <c r="E877" s="21"/>
      <c r="F877" s="21"/>
      <c r="G877" s="21"/>
    </row>
    <row r="878" ht="15.75" customHeight="1">
      <c r="A878" s="21"/>
      <c r="B878" s="21"/>
      <c r="C878" s="21"/>
      <c r="D878" s="21"/>
      <c r="E878" s="21"/>
      <c r="F878" s="21"/>
      <c r="G878" s="21"/>
    </row>
    <row r="879" ht="15.75" customHeight="1">
      <c r="A879" s="21"/>
      <c r="B879" s="21"/>
      <c r="C879" s="21"/>
      <c r="D879" s="21"/>
      <c r="E879" s="21"/>
      <c r="F879" s="21"/>
      <c r="G879" s="21"/>
    </row>
    <row r="880" ht="15.75" customHeight="1">
      <c r="A880" s="21"/>
      <c r="B880" s="21"/>
      <c r="C880" s="21"/>
      <c r="D880" s="21"/>
      <c r="E880" s="21"/>
      <c r="F880" s="21"/>
      <c r="G880" s="21"/>
    </row>
    <row r="881" ht="15.75" customHeight="1">
      <c r="A881" s="21"/>
      <c r="B881" s="21"/>
      <c r="C881" s="21"/>
      <c r="D881" s="21"/>
      <c r="E881" s="21"/>
      <c r="F881" s="21"/>
      <c r="G881" s="21"/>
    </row>
    <row r="882" ht="15.75" customHeight="1">
      <c r="A882" s="21"/>
      <c r="B882" s="21"/>
      <c r="C882" s="21"/>
      <c r="D882" s="21"/>
      <c r="E882" s="21"/>
      <c r="F882" s="21"/>
      <c r="G882" s="21"/>
    </row>
    <row r="883" ht="15.75" customHeight="1">
      <c r="A883" s="21"/>
      <c r="B883" s="21"/>
      <c r="C883" s="21"/>
      <c r="D883" s="21"/>
      <c r="E883" s="21"/>
      <c r="F883" s="21"/>
      <c r="G883" s="21"/>
    </row>
    <row r="884" ht="15.75" customHeight="1">
      <c r="A884" s="21"/>
      <c r="B884" s="21"/>
      <c r="C884" s="21"/>
      <c r="D884" s="21"/>
      <c r="E884" s="21"/>
      <c r="F884" s="21"/>
      <c r="G884" s="21"/>
    </row>
    <row r="885" ht="15.75" customHeight="1">
      <c r="A885" s="21"/>
      <c r="B885" s="21"/>
      <c r="C885" s="21"/>
      <c r="D885" s="21"/>
      <c r="E885" s="21"/>
      <c r="F885" s="21"/>
      <c r="G885" s="21"/>
    </row>
    <row r="886" ht="15.75" customHeight="1">
      <c r="A886" s="21"/>
      <c r="B886" s="21"/>
      <c r="C886" s="21"/>
      <c r="D886" s="21"/>
      <c r="E886" s="21"/>
      <c r="F886" s="21"/>
      <c r="G886" s="21"/>
    </row>
    <row r="887" ht="15.75" customHeight="1">
      <c r="A887" s="21"/>
      <c r="B887" s="21"/>
      <c r="C887" s="21"/>
      <c r="D887" s="21"/>
      <c r="E887" s="21"/>
      <c r="F887" s="21"/>
      <c r="G887" s="21"/>
    </row>
    <row r="888" ht="15.75" customHeight="1">
      <c r="A888" s="21"/>
      <c r="B888" s="21"/>
      <c r="C888" s="21"/>
      <c r="D888" s="21"/>
      <c r="E888" s="21"/>
      <c r="F888" s="21"/>
      <c r="G888" s="21"/>
    </row>
    <row r="889" ht="15.75" customHeight="1">
      <c r="A889" s="21"/>
      <c r="B889" s="21"/>
      <c r="C889" s="21"/>
      <c r="D889" s="21"/>
      <c r="E889" s="21"/>
      <c r="F889" s="21"/>
      <c r="G889" s="21"/>
    </row>
    <row r="890" ht="15.75" customHeight="1">
      <c r="A890" s="21"/>
      <c r="B890" s="21"/>
      <c r="C890" s="21"/>
      <c r="D890" s="21"/>
      <c r="E890" s="21"/>
      <c r="F890" s="21"/>
      <c r="G890" s="21"/>
    </row>
    <row r="891" ht="15.75" customHeight="1">
      <c r="A891" s="21"/>
      <c r="B891" s="21"/>
      <c r="C891" s="21"/>
      <c r="D891" s="21"/>
      <c r="E891" s="21"/>
      <c r="F891" s="21"/>
      <c r="G891" s="21"/>
    </row>
    <row r="892" ht="15.75" customHeight="1">
      <c r="A892" s="21"/>
      <c r="B892" s="21"/>
      <c r="C892" s="21"/>
      <c r="D892" s="21"/>
      <c r="E892" s="21"/>
      <c r="F892" s="21"/>
      <c r="G892" s="21"/>
    </row>
    <row r="893" ht="15.75" customHeight="1">
      <c r="A893" s="21"/>
      <c r="B893" s="21"/>
      <c r="C893" s="21"/>
      <c r="D893" s="21"/>
      <c r="E893" s="21"/>
      <c r="F893" s="21"/>
      <c r="G893" s="21"/>
    </row>
    <row r="894" ht="15.75" customHeight="1">
      <c r="A894" s="21"/>
      <c r="B894" s="21"/>
      <c r="C894" s="21"/>
      <c r="D894" s="21"/>
      <c r="E894" s="21"/>
      <c r="F894" s="21"/>
      <c r="G894" s="21"/>
    </row>
    <row r="895" ht="15.75" customHeight="1">
      <c r="A895" s="21"/>
      <c r="B895" s="21"/>
      <c r="C895" s="21"/>
      <c r="D895" s="21"/>
      <c r="E895" s="21"/>
      <c r="F895" s="21"/>
      <c r="G895" s="21"/>
    </row>
    <row r="896" ht="15.75" customHeight="1">
      <c r="A896" s="21"/>
      <c r="B896" s="21"/>
      <c r="C896" s="21"/>
      <c r="D896" s="21"/>
      <c r="E896" s="21"/>
      <c r="F896" s="21"/>
      <c r="G896" s="21"/>
    </row>
    <row r="897" ht="15.75" customHeight="1">
      <c r="A897" s="21"/>
      <c r="B897" s="21"/>
      <c r="C897" s="21"/>
      <c r="D897" s="21"/>
      <c r="E897" s="21"/>
      <c r="F897" s="21"/>
      <c r="G897" s="21"/>
    </row>
    <row r="898" ht="15.75" customHeight="1">
      <c r="A898" s="21"/>
      <c r="B898" s="21"/>
      <c r="C898" s="21"/>
      <c r="D898" s="21"/>
      <c r="E898" s="21"/>
      <c r="F898" s="21"/>
      <c r="G898" s="21"/>
    </row>
    <row r="899" ht="15.75" customHeight="1">
      <c r="A899" s="21"/>
      <c r="B899" s="21"/>
      <c r="C899" s="21"/>
      <c r="D899" s="21"/>
      <c r="E899" s="21"/>
      <c r="F899" s="21"/>
      <c r="G899" s="21"/>
    </row>
    <row r="900" ht="15.75" customHeight="1">
      <c r="A900" s="21"/>
      <c r="B900" s="21"/>
      <c r="C900" s="21"/>
      <c r="D900" s="21"/>
      <c r="E900" s="21"/>
      <c r="F900" s="21"/>
      <c r="G900" s="21"/>
    </row>
    <row r="901" ht="15.75" customHeight="1">
      <c r="A901" s="21"/>
      <c r="B901" s="21"/>
      <c r="C901" s="21"/>
      <c r="D901" s="21"/>
      <c r="E901" s="21"/>
      <c r="F901" s="21"/>
      <c r="G901" s="21"/>
    </row>
    <row r="902" ht="15.75" customHeight="1">
      <c r="A902" s="21"/>
      <c r="B902" s="21"/>
      <c r="C902" s="21"/>
      <c r="D902" s="21"/>
      <c r="E902" s="21"/>
      <c r="F902" s="21"/>
      <c r="G902" s="21"/>
    </row>
    <row r="903" ht="15.75" customHeight="1">
      <c r="A903" s="21"/>
      <c r="B903" s="21"/>
      <c r="C903" s="21"/>
      <c r="D903" s="21"/>
      <c r="E903" s="21"/>
      <c r="F903" s="21"/>
      <c r="G903" s="21"/>
    </row>
    <row r="904" ht="15.75" customHeight="1">
      <c r="A904" s="21"/>
      <c r="B904" s="21"/>
      <c r="C904" s="21"/>
      <c r="D904" s="21"/>
      <c r="E904" s="21"/>
      <c r="F904" s="21"/>
      <c r="G904" s="21"/>
    </row>
    <row r="905" ht="15.75" customHeight="1">
      <c r="A905" s="21"/>
      <c r="B905" s="21"/>
      <c r="C905" s="21"/>
      <c r="D905" s="21"/>
      <c r="E905" s="21"/>
      <c r="F905" s="21"/>
      <c r="G905" s="21"/>
    </row>
    <row r="906" ht="15.75" customHeight="1">
      <c r="A906" s="21"/>
      <c r="B906" s="21"/>
      <c r="C906" s="21"/>
      <c r="D906" s="21"/>
      <c r="E906" s="21"/>
      <c r="F906" s="21"/>
      <c r="G906" s="21"/>
    </row>
    <row r="907" ht="15.75" customHeight="1">
      <c r="A907" s="21"/>
      <c r="B907" s="21"/>
      <c r="C907" s="21"/>
      <c r="D907" s="21"/>
      <c r="E907" s="21"/>
      <c r="F907" s="21"/>
      <c r="G907" s="21"/>
    </row>
    <row r="908" ht="15.75" customHeight="1">
      <c r="A908" s="21"/>
      <c r="B908" s="21"/>
      <c r="C908" s="21"/>
      <c r="D908" s="21"/>
      <c r="E908" s="21"/>
      <c r="F908" s="21"/>
      <c r="G908" s="21"/>
    </row>
    <row r="909" ht="15.75" customHeight="1">
      <c r="A909" s="21"/>
      <c r="B909" s="21"/>
      <c r="C909" s="21"/>
      <c r="D909" s="21"/>
      <c r="E909" s="21"/>
      <c r="F909" s="21"/>
      <c r="G909" s="21"/>
    </row>
    <row r="910" ht="15.75" customHeight="1">
      <c r="A910" s="21"/>
      <c r="B910" s="21"/>
      <c r="C910" s="21"/>
      <c r="D910" s="21"/>
      <c r="E910" s="21"/>
      <c r="F910" s="21"/>
      <c r="G910" s="21"/>
    </row>
    <row r="911" ht="15.75" customHeight="1">
      <c r="A911" s="21"/>
      <c r="B911" s="21"/>
      <c r="C911" s="21"/>
      <c r="D911" s="21"/>
      <c r="E911" s="21"/>
      <c r="F911" s="21"/>
      <c r="G911" s="21"/>
    </row>
    <row r="912" ht="15.75" customHeight="1">
      <c r="A912" s="21"/>
      <c r="B912" s="21"/>
      <c r="C912" s="21"/>
      <c r="D912" s="21"/>
      <c r="E912" s="21"/>
      <c r="F912" s="21"/>
      <c r="G912" s="21"/>
    </row>
    <row r="913" ht="15.75" customHeight="1">
      <c r="A913" s="21"/>
      <c r="B913" s="21"/>
      <c r="C913" s="21"/>
      <c r="D913" s="21"/>
      <c r="E913" s="21"/>
      <c r="F913" s="21"/>
      <c r="G913" s="21"/>
    </row>
    <row r="914" ht="15.75" customHeight="1">
      <c r="A914" s="21"/>
      <c r="B914" s="21"/>
      <c r="C914" s="21"/>
      <c r="D914" s="21"/>
      <c r="E914" s="21"/>
      <c r="F914" s="21"/>
      <c r="G914" s="21"/>
    </row>
    <row r="915" ht="15.75" customHeight="1">
      <c r="A915" s="21"/>
      <c r="B915" s="21"/>
      <c r="C915" s="21"/>
      <c r="D915" s="21"/>
      <c r="E915" s="21"/>
      <c r="F915" s="21"/>
      <c r="G915" s="21"/>
    </row>
    <row r="916" ht="15.75" customHeight="1">
      <c r="A916" s="21"/>
      <c r="B916" s="21"/>
      <c r="C916" s="21"/>
      <c r="D916" s="21"/>
      <c r="E916" s="21"/>
      <c r="F916" s="21"/>
      <c r="G916" s="21"/>
    </row>
    <row r="917" ht="15.75" customHeight="1">
      <c r="A917" s="21"/>
      <c r="B917" s="21"/>
      <c r="C917" s="21"/>
      <c r="D917" s="21"/>
      <c r="E917" s="21"/>
      <c r="F917" s="21"/>
      <c r="G917" s="21"/>
    </row>
    <row r="918" ht="15.75" customHeight="1">
      <c r="A918" s="21"/>
      <c r="B918" s="21"/>
      <c r="C918" s="21"/>
      <c r="D918" s="21"/>
      <c r="E918" s="21"/>
      <c r="F918" s="21"/>
      <c r="G918" s="21"/>
    </row>
    <row r="919" ht="15.75" customHeight="1">
      <c r="A919" s="21"/>
      <c r="B919" s="21"/>
      <c r="C919" s="21"/>
      <c r="D919" s="21"/>
      <c r="E919" s="21"/>
      <c r="F919" s="21"/>
      <c r="G919" s="21"/>
    </row>
    <row r="920" ht="15.75" customHeight="1">
      <c r="A920" s="21"/>
      <c r="B920" s="21"/>
      <c r="C920" s="21"/>
      <c r="D920" s="21"/>
      <c r="E920" s="21"/>
      <c r="F920" s="21"/>
      <c r="G920" s="21"/>
    </row>
    <row r="921" ht="15.75" customHeight="1">
      <c r="A921" s="21"/>
      <c r="B921" s="21"/>
      <c r="C921" s="21"/>
      <c r="D921" s="21"/>
      <c r="E921" s="21"/>
      <c r="F921" s="21"/>
      <c r="G921" s="21"/>
    </row>
    <row r="922" ht="15.75" customHeight="1">
      <c r="A922" s="21"/>
      <c r="B922" s="21"/>
      <c r="C922" s="21"/>
      <c r="D922" s="21"/>
      <c r="E922" s="21"/>
      <c r="F922" s="21"/>
      <c r="G922" s="21"/>
    </row>
    <row r="923" ht="15.75" customHeight="1">
      <c r="A923" s="21"/>
      <c r="B923" s="21"/>
      <c r="C923" s="21"/>
      <c r="D923" s="21"/>
      <c r="E923" s="21"/>
      <c r="F923" s="21"/>
      <c r="G923" s="21"/>
    </row>
    <row r="924" ht="15.75" customHeight="1">
      <c r="A924" s="21"/>
      <c r="B924" s="21"/>
      <c r="C924" s="21"/>
      <c r="D924" s="21"/>
      <c r="E924" s="21"/>
      <c r="F924" s="21"/>
      <c r="G924" s="21"/>
    </row>
    <row r="925" ht="15.75" customHeight="1">
      <c r="A925" s="21"/>
      <c r="B925" s="21"/>
      <c r="C925" s="21"/>
      <c r="D925" s="21"/>
      <c r="E925" s="21"/>
      <c r="F925" s="21"/>
      <c r="G925" s="21"/>
    </row>
    <row r="926" ht="15.75" customHeight="1">
      <c r="A926" s="21"/>
      <c r="B926" s="21"/>
      <c r="C926" s="21"/>
      <c r="D926" s="21"/>
      <c r="E926" s="21"/>
      <c r="F926" s="21"/>
      <c r="G926" s="21"/>
    </row>
    <row r="927" ht="15.75" customHeight="1">
      <c r="A927" s="21"/>
      <c r="B927" s="21"/>
      <c r="C927" s="21"/>
      <c r="D927" s="21"/>
      <c r="E927" s="21"/>
      <c r="F927" s="21"/>
      <c r="G927" s="21"/>
    </row>
    <row r="928" ht="15.75" customHeight="1">
      <c r="A928" s="21"/>
      <c r="B928" s="21"/>
      <c r="C928" s="21"/>
      <c r="D928" s="21"/>
      <c r="E928" s="21"/>
      <c r="F928" s="21"/>
      <c r="G928" s="21"/>
    </row>
    <row r="929" ht="15.75" customHeight="1">
      <c r="A929" s="21"/>
      <c r="B929" s="21"/>
      <c r="C929" s="21"/>
      <c r="D929" s="21"/>
      <c r="E929" s="21"/>
      <c r="F929" s="21"/>
      <c r="G929" s="21"/>
    </row>
    <row r="930" ht="15.75" customHeight="1">
      <c r="A930" s="21"/>
      <c r="B930" s="21"/>
      <c r="C930" s="21"/>
      <c r="D930" s="21"/>
      <c r="E930" s="21"/>
      <c r="F930" s="21"/>
      <c r="G930" s="21"/>
    </row>
    <row r="931" ht="15.75" customHeight="1">
      <c r="A931" s="21"/>
      <c r="B931" s="21"/>
      <c r="C931" s="21"/>
      <c r="D931" s="21"/>
      <c r="E931" s="21"/>
      <c r="F931" s="21"/>
      <c r="G931" s="21"/>
    </row>
    <row r="932" ht="15.75" customHeight="1">
      <c r="A932" s="21"/>
      <c r="B932" s="21"/>
      <c r="C932" s="21"/>
      <c r="D932" s="21"/>
      <c r="E932" s="21"/>
      <c r="F932" s="21"/>
      <c r="G932" s="21"/>
    </row>
    <row r="933" ht="15.75" customHeight="1">
      <c r="A933" s="21"/>
      <c r="B933" s="21"/>
      <c r="C933" s="21"/>
      <c r="D933" s="21"/>
      <c r="E933" s="21"/>
      <c r="F933" s="21"/>
      <c r="G933" s="21"/>
    </row>
    <row r="934" ht="15.75" customHeight="1">
      <c r="A934" s="21"/>
      <c r="B934" s="21"/>
      <c r="C934" s="21"/>
      <c r="D934" s="21"/>
      <c r="E934" s="21"/>
      <c r="F934" s="21"/>
      <c r="G934" s="21"/>
    </row>
    <row r="935" ht="15.75" customHeight="1">
      <c r="A935" s="21"/>
      <c r="B935" s="21"/>
      <c r="C935" s="21"/>
      <c r="D935" s="21"/>
      <c r="E935" s="21"/>
      <c r="F935" s="21"/>
      <c r="G935" s="21"/>
    </row>
    <row r="936" ht="15.75" customHeight="1">
      <c r="A936" s="21"/>
      <c r="B936" s="21"/>
      <c r="C936" s="21"/>
      <c r="D936" s="21"/>
      <c r="E936" s="21"/>
      <c r="F936" s="21"/>
      <c r="G936" s="21"/>
    </row>
    <row r="937" ht="15.75" customHeight="1">
      <c r="A937" s="21"/>
      <c r="B937" s="21"/>
      <c r="C937" s="21"/>
      <c r="D937" s="21"/>
      <c r="E937" s="21"/>
      <c r="F937" s="21"/>
      <c r="G937" s="21"/>
    </row>
    <row r="938" ht="15.75" customHeight="1">
      <c r="A938" s="21"/>
      <c r="B938" s="21"/>
      <c r="C938" s="21"/>
      <c r="D938" s="21"/>
      <c r="E938" s="21"/>
      <c r="F938" s="21"/>
      <c r="G938" s="21"/>
    </row>
    <row r="939" ht="15.75" customHeight="1">
      <c r="A939" s="21"/>
      <c r="B939" s="21"/>
      <c r="C939" s="21"/>
      <c r="D939" s="21"/>
      <c r="E939" s="21"/>
      <c r="F939" s="21"/>
      <c r="G939" s="21"/>
    </row>
    <row r="940" ht="15.75" customHeight="1">
      <c r="A940" s="21"/>
      <c r="B940" s="21"/>
      <c r="C940" s="21"/>
      <c r="D940" s="21"/>
      <c r="E940" s="21"/>
      <c r="F940" s="21"/>
      <c r="G940" s="21"/>
    </row>
    <row r="941" ht="15.75" customHeight="1">
      <c r="A941" s="21"/>
      <c r="B941" s="21"/>
      <c r="C941" s="21"/>
      <c r="D941" s="21"/>
      <c r="E941" s="21"/>
      <c r="F941" s="21"/>
      <c r="G941" s="21"/>
    </row>
    <row r="942" ht="15.75" customHeight="1">
      <c r="A942" s="21"/>
      <c r="B942" s="21"/>
      <c r="C942" s="21"/>
      <c r="D942" s="21"/>
      <c r="E942" s="21"/>
      <c r="F942" s="21"/>
      <c r="G942" s="21"/>
    </row>
    <row r="943" ht="15.75" customHeight="1">
      <c r="A943" s="21"/>
      <c r="B943" s="21"/>
      <c r="C943" s="21"/>
      <c r="D943" s="21"/>
      <c r="E943" s="21"/>
      <c r="F943" s="21"/>
      <c r="G943" s="21"/>
    </row>
    <row r="944" ht="15.75" customHeight="1">
      <c r="A944" s="21"/>
      <c r="B944" s="21"/>
      <c r="C944" s="21"/>
      <c r="D944" s="21"/>
      <c r="E944" s="21"/>
      <c r="F944" s="21"/>
      <c r="G944" s="21"/>
    </row>
    <row r="945" ht="15.75" customHeight="1">
      <c r="A945" s="21"/>
      <c r="B945" s="21"/>
      <c r="C945" s="21"/>
      <c r="D945" s="21"/>
      <c r="E945" s="21"/>
      <c r="F945" s="21"/>
      <c r="G945" s="21"/>
    </row>
    <row r="946" ht="15.75" customHeight="1">
      <c r="A946" s="21"/>
      <c r="B946" s="21"/>
      <c r="C946" s="21"/>
      <c r="D946" s="21"/>
      <c r="E946" s="21"/>
      <c r="F946" s="21"/>
      <c r="G946" s="21"/>
    </row>
    <row r="947" ht="15.75" customHeight="1">
      <c r="A947" s="21"/>
      <c r="B947" s="21"/>
      <c r="C947" s="21"/>
      <c r="D947" s="21"/>
      <c r="E947" s="21"/>
      <c r="F947" s="21"/>
      <c r="G947" s="21"/>
    </row>
    <row r="948" ht="15.75" customHeight="1">
      <c r="A948" s="21"/>
      <c r="B948" s="21"/>
      <c r="C948" s="21"/>
      <c r="D948" s="21"/>
      <c r="E948" s="21"/>
      <c r="F948" s="21"/>
      <c r="G948" s="21"/>
    </row>
    <row r="949" ht="15.75" customHeight="1">
      <c r="A949" s="21"/>
      <c r="B949" s="21"/>
      <c r="C949" s="21"/>
      <c r="D949" s="21"/>
      <c r="E949" s="21"/>
      <c r="F949" s="21"/>
      <c r="G949" s="21"/>
    </row>
    <row r="950" ht="15.75" customHeight="1">
      <c r="A950" s="21"/>
      <c r="B950" s="21"/>
      <c r="C950" s="21"/>
      <c r="D950" s="21"/>
      <c r="E950" s="21"/>
      <c r="F950" s="21"/>
      <c r="G950" s="21"/>
    </row>
    <row r="951" ht="15.75" customHeight="1">
      <c r="A951" s="21"/>
      <c r="B951" s="21"/>
      <c r="C951" s="21"/>
      <c r="D951" s="21"/>
      <c r="E951" s="21"/>
      <c r="F951" s="21"/>
      <c r="G951" s="21"/>
    </row>
    <row r="952" ht="15.75" customHeight="1">
      <c r="A952" s="21"/>
      <c r="B952" s="21"/>
      <c r="C952" s="21"/>
      <c r="D952" s="21"/>
      <c r="E952" s="21"/>
      <c r="F952" s="21"/>
      <c r="G952" s="21"/>
    </row>
    <row r="953" ht="15.75" customHeight="1">
      <c r="A953" s="21"/>
      <c r="B953" s="21"/>
      <c r="C953" s="21"/>
      <c r="D953" s="21"/>
      <c r="E953" s="21"/>
      <c r="F953" s="21"/>
      <c r="G953" s="21"/>
    </row>
    <row r="954" ht="15.75" customHeight="1">
      <c r="A954" s="21"/>
      <c r="B954" s="21"/>
      <c r="C954" s="21"/>
      <c r="D954" s="21"/>
      <c r="E954" s="21"/>
      <c r="F954" s="21"/>
      <c r="G954" s="21"/>
    </row>
    <row r="955" ht="15.75" customHeight="1">
      <c r="A955" s="21"/>
      <c r="B955" s="21"/>
      <c r="C955" s="21"/>
      <c r="D955" s="21"/>
      <c r="E955" s="21"/>
      <c r="F955" s="21"/>
      <c r="G955" s="21"/>
    </row>
    <row r="956" ht="15.75" customHeight="1">
      <c r="A956" s="21"/>
      <c r="B956" s="21"/>
      <c r="C956" s="21"/>
      <c r="D956" s="21"/>
      <c r="E956" s="21"/>
      <c r="F956" s="21"/>
      <c r="G956" s="21"/>
    </row>
    <row r="957" ht="15.75" customHeight="1">
      <c r="A957" s="21"/>
      <c r="B957" s="21"/>
      <c r="C957" s="21"/>
      <c r="D957" s="21"/>
      <c r="E957" s="21"/>
      <c r="F957" s="21"/>
      <c r="G957" s="21"/>
    </row>
    <row r="958" ht="15.75" customHeight="1">
      <c r="A958" s="21"/>
      <c r="B958" s="21"/>
      <c r="C958" s="21"/>
      <c r="D958" s="21"/>
      <c r="E958" s="21"/>
      <c r="F958" s="21"/>
      <c r="G958" s="21"/>
    </row>
    <row r="959" ht="15.75" customHeight="1">
      <c r="A959" s="21"/>
      <c r="B959" s="21"/>
      <c r="C959" s="21"/>
      <c r="D959" s="21"/>
      <c r="E959" s="21"/>
      <c r="F959" s="21"/>
      <c r="G959" s="21"/>
    </row>
    <row r="960" ht="15.75" customHeight="1">
      <c r="A960" s="21"/>
      <c r="B960" s="21"/>
      <c r="C960" s="21"/>
      <c r="D960" s="21"/>
      <c r="E960" s="21"/>
      <c r="F960" s="21"/>
      <c r="G960" s="21"/>
    </row>
    <row r="961" ht="15.75" customHeight="1">
      <c r="A961" s="21"/>
      <c r="B961" s="21"/>
      <c r="C961" s="21"/>
      <c r="D961" s="21"/>
      <c r="E961" s="21"/>
      <c r="F961" s="21"/>
      <c r="G961" s="21"/>
    </row>
    <row r="962" ht="15.75" customHeight="1">
      <c r="A962" s="21"/>
      <c r="B962" s="21"/>
      <c r="C962" s="21"/>
      <c r="D962" s="21"/>
      <c r="E962" s="21"/>
      <c r="F962" s="21"/>
      <c r="G962" s="21"/>
    </row>
    <row r="963" ht="15.75" customHeight="1">
      <c r="A963" s="21"/>
      <c r="B963" s="21"/>
      <c r="C963" s="21"/>
      <c r="D963" s="21"/>
      <c r="E963" s="21"/>
      <c r="F963" s="21"/>
      <c r="G963" s="21"/>
    </row>
    <row r="964" ht="15.75" customHeight="1">
      <c r="A964" s="21"/>
      <c r="B964" s="21"/>
      <c r="C964" s="21"/>
      <c r="D964" s="21"/>
      <c r="E964" s="21"/>
      <c r="F964" s="21"/>
      <c r="G964" s="21"/>
    </row>
    <row r="965" ht="15.75" customHeight="1">
      <c r="A965" s="21"/>
      <c r="B965" s="21"/>
      <c r="C965" s="21"/>
      <c r="D965" s="21"/>
      <c r="E965" s="21"/>
      <c r="F965" s="21"/>
      <c r="G965" s="21"/>
    </row>
    <row r="966" ht="15.75" customHeight="1">
      <c r="A966" s="21"/>
      <c r="B966" s="21"/>
      <c r="C966" s="21"/>
      <c r="D966" s="21"/>
      <c r="E966" s="21"/>
      <c r="F966" s="21"/>
      <c r="G966" s="21"/>
    </row>
    <row r="967" ht="15.75" customHeight="1">
      <c r="A967" s="21"/>
      <c r="B967" s="21"/>
      <c r="C967" s="21"/>
      <c r="D967" s="21"/>
      <c r="E967" s="21"/>
      <c r="F967" s="21"/>
      <c r="G967" s="21"/>
    </row>
    <row r="968" ht="15.75" customHeight="1">
      <c r="A968" s="21"/>
      <c r="B968" s="21"/>
      <c r="C968" s="21"/>
      <c r="D968" s="21"/>
      <c r="E968" s="21"/>
      <c r="F968" s="21"/>
      <c r="G968" s="21"/>
    </row>
    <row r="969" ht="15.75" customHeight="1">
      <c r="A969" s="21"/>
      <c r="B969" s="21"/>
      <c r="C969" s="21"/>
      <c r="D969" s="21"/>
      <c r="E969" s="21"/>
      <c r="F969" s="21"/>
      <c r="G969" s="21"/>
    </row>
    <row r="970" ht="15.75" customHeight="1">
      <c r="A970" s="21"/>
      <c r="B970" s="21"/>
      <c r="C970" s="21"/>
      <c r="D970" s="21"/>
      <c r="E970" s="21"/>
      <c r="F970" s="21"/>
      <c r="G970" s="21"/>
    </row>
    <row r="971" ht="15.75" customHeight="1">
      <c r="A971" s="21"/>
      <c r="B971" s="21"/>
      <c r="C971" s="21"/>
      <c r="D971" s="21"/>
      <c r="E971" s="21"/>
      <c r="F971" s="21"/>
      <c r="G971" s="21"/>
    </row>
    <row r="972" ht="15.75" customHeight="1">
      <c r="A972" s="21"/>
      <c r="B972" s="21"/>
      <c r="C972" s="21"/>
      <c r="D972" s="21"/>
      <c r="E972" s="21"/>
      <c r="F972" s="21"/>
      <c r="G972" s="21"/>
    </row>
    <row r="973" ht="15.75" customHeight="1">
      <c r="A973" s="21"/>
      <c r="B973" s="21"/>
      <c r="C973" s="21"/>
      <c r="D973" s="21"/>
      <c r="E973" s="21"/>
      <c r="F973" s="21"/>
      <c r="G973" s="21"/>
    </row>
    <row r="974" ht="15.75" customHeight="1">
      <c r="A974" s="21"/>
      <c r="B974" s="21"/>
      <c r="C974" s="21"/>
      <c r="D974" s="21"/>
      <c r="E974" s="21"/>
      <c r="F974" s="21"/>
      <c r="G974" s="21"/>
    </row>
    <row r="975" ht="15.75" customHeight="1">
      <c r="A975" s="21"/>
      <c r="B975" s="21"/>
      <c r="C975" s="21"/>
      <c r="D975" s="21"/>
      <c r="E975" s="21"/>
      <c r="F975" s="21"/>
      <c r="G975" s="21"/>
    </row>
    <row r="976" ht="15.75" customHeight="1">
      <c r="A976" s="21"/>
      <c r="B976" s="21"/>
      <c r="C976" s="21"/>
      <c r="D976" s="21"/>
      <c r="E976" s="21"/>
      <c r="F976" s="21"/>
      <c r="G976" s="21"/>
    </row>
    <row r="977" ht="15.75" customHeight="1">
      <c r="A977" s="21"/>
      <c r="B977" s="21"/>
      <c r="C977" s="21"/>
      <c r="D977" s="21"/>
      <c r="E977" s="21"/>
      <c r="F977" s="21"/>
      <c r="G977" s="21"/>
    </row>
    <row r="978" ht="15.75" customHeight="1">
      <c r="A978" s="21"/>
      <c r="B978" s="21"/>
      <c r="C978" s="21"/>
      <c r="D978" s="21"/>
      <c r="E978" s="21"/>
      <c r="F978" s="21"/>
      <c r="G978" s="21"/>
    </row>
    <row r="979" ht="15.75" customHeight="1">
      <c r="A979" s="21"/>
      <c r="B979" s="21"/>
      <c r="C979" s="21"/>
      <c r="D979" s="21"/>
      <c r="E979" s="21"/>
      <c r="F979" s="21"/>
      <c r="G979" s="21"/>
    </row>
    <row r="980" ht="15.75" customHeight="1">
      <c r="A980" s="21"/>
      <c r="B980" s="21"/>
      <c r="C980" s="21"/>
      <c r="D980" s="21"/>
      <c r="E980" s="21"/>
      <c r="F980" s="21"/>
      <c r="G980" s="21"/>
    </row>
    <row r="981" ht="15.75" customHeight="1">
      <c r="A981" s="21"/>
      <c r="B981" s="21"/>
      <c r="C981" s="21"/>
      <c r="D981" s="21"/>
      <c r="E981" s="21"/>
      <c r="F981" s="21"/>
      <c r="G981" s="21"/>
    </row>
    <row r="982" ht="15.75" customHeight="1">
      <c r="A982" s="21"/>
      <c r="B982" s="21"/>
      <c r="C982" s="21"/>
      <c r="D982" s="21"/>
      <c r="E982" s="21"/>
      <c r="F982" s="21"/>
      <c r="G982" s="21"/>
    </row>
    <row r="983" ht="15.75" customHeight="1">
      <c r="A983" s="21"/>
      <c r="B983" s="21"/>
      <c r="C983" s="21"/>
      <c r="D983" s="21"/>
      <c r="E983" s="21"/>
      <c r="F983" s="21"/>
      <c r="G983" s="21"/>
    </row>
    <row r="984" ht="15.75" customHeight="1">
      <c r="A984" s="21"/>
      <c r="B984" s="21"/>
      <c r="C984" s="21"/>
      <c r="D984" s="21"/>
      <c r="E984" s="21"/>
      <c r="F984" s="21"/>
      <c r="G984" s="21"/>
    </row>
    <row r="985" ht="15.75" customHeight="1">
      <c r="A985" s="21"/>
      <c r="B985" s="21"/>
      <c r="C985" s="21"/>
      <c r="D985" s="21"/>
      <c r="E985" s="21"/>
      <c r="F985" s="21"/>
      <c r="G985" s="21"/>
    </row>
    <row r="986" ht="15.75" customHeight="1">
      <c r="A986" s="21"/>
      <c r="B986" s="21"/>
      <c r="C986" s="21"/>
      <c r="D986" s="21"/>
      <c r="E986" s="21"/>
      <c r="F986" s="21"/>
      <c r="G986" s="21"/>
    </row>
    <row r="987" ht="15.75" customHeight="1">
      <c r="A987" s="21"/>
      <c r="B987" s="21"/>
      <c r="C987" s="21"/>
      <c r="D987" s="21"/>
      <c r="E987" s="21"/>
      <c r="F987" s="21"/>
      <c r="G987" s="21"/>
    </row>
    <row r="988" ht="15.75" customHeight="1">
      <c r="A988" s="21"/>
      <c r="B988" s="21"/>
      <c r="C988" s="21"/>
      <c r="D988" s="21"/>
      <c r="E988" s="21"/>
      <c r="F988" s="21"/>
      <c r="G988" s="21"/>
    </row>
    <row r="989" ht="15.75" customHeight="1">
      <c r="A989" s="21"/>
      <c r="B989" s="21"/>
      <c r="C989" s="21"/>
      <c r="D989" s="21"/>
      <c r="E989" s="21"/>
      <c r="F989" s="21"/>
      <c r="G989" s="21"/>
    </row>
    <row r="990" ht="15.75" customHeight="1">
      <c r="A990" s="21"/>
      <c r="B990" s="21"/>
      <c r="C990" s="21"/>
      <c r="D990" s="21"/>
      <c r="E990" s="21"/>
      <c r="F990" s="21"/>
      <c r="G990" s="21"/>
    </row>
    <row r="991" ht="15.75" customHeight="1">
      <c r="A991" s="21"/>
      <c r="B991" s="21"/>
      <c r="C991" s="21"/>
      <c r="D991" s="21"/>
      <c r="E991" s="21"/>
      <c r="F991" s="21"/>
      <c r="G991" s="21"/>
    </row>
    <row r="992" ht="15.75" customHeight="1">
      <c r="A992" s="21"/>
      <c r="B992" s="21"/>
      <c r="C992" s="21"/>
      <c r="D992" s="21"/>
      <c r="E992" s="21"/>
      <c r="F992" s="21"/>
      <c r="G992" s="21"/>
    </row>
    <row r="993" ht="15.75" customHeight="1">
      <c r="A993" s="21"/>
      <c r="B993" s="21"/>
      <c r="C993" s="21"/>
      <c r="D993" s="21"/>
      <c r="E993" s="21"/>
      <c r="F993" s="21"/>
      <c r="G993" s="21"/>
    </row>
    <row r="994" ht="15.75" customHeight="1">
      <c r="A994" s="21"/>
      <c r="B994" s="21"/>
      <c r="C994" s="21"/>
      <c r="D994" s="21"/>
      <c r="E994" s="21"/>
      <c r="F994" s="21"/>
      <c r="G994" s="21"/>
    </row>
    <row r="995" ht="15.75" customHeight="1">
      <c r="A995" s="21"/>
      <c r="B995" s="21"/>
      <c r="C995" s="21"/>
      <c r="D995" s="21"/>
      <c r="E995" s="21"/>
      <c r="F995" s="21"/>
      <c r="G995" s="21"/>
    </row>
    <row r="996" ht="15.75" customHeight="1">
      <c r="A996" s="21"/>
      <c r="B996" s="21"/>
      <c r="C996" s="21"/>
      <c r="D996" s="21"/>
      <c r="E996" s="21"/>
      <c r="F996" s="21"/>
      <c r="G996" s="21"/>
    </row>
    <row r="997" ht="15.75" customHeight="1">
      <c r="A997" s="21"/>
      <c r="B997" s="21"/>
      <c r="C997" s="21"/>
      <c r="D997" s="21"/>
      <c r="E997" s="21"/>
      <c r="F997" s="21"/>
      <c r="G997" s="21"/>
    </row>
    <row r="998" ht="15.75" customHeight="1">
      <c r="A998" s="21"/>
      <c r="B998" s="21"/>
      <c r="C998" s="21"/>
      <c r="D998" s="21"/>
      <c r="E998" s="21"/>
      <c r="F998" s="21"/>
      <c r="G998" s="21"/>
    </row>
    <row r="999" ht="15.75" customHeight="1">
      <c r="A999" s="21"/>
      <c r="B999" s="21"/>
      <c r="C999" s="21"/>
      <c r="D999" s="21"/>
      <c r="E999" s="21"/>
      <c r="F999" s="21"/>
      <c r="G999" s="21"/>
    </row>
    <row r="1000" ht="15.75" customHeight="1">
      <c r="A1000" s="21"/>
      <c r="B1000" s="21"/>
      <c r="C1000" s="21"/>
      <c r="D1000" s="21"/>
      <c r="E1000" s="21"/>
      <c r="F1000" s="21"/>
      <c r="G1000" s="21"/>
    </row>
  </sheetData>
  <mergeCells count="2">
    <mergeCell ref="B2:G2"/>
    <mergeCell ref="B3:G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7BB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55.0"/>
    <col customWidth="1" min="4" max="4" width="18.0"/>
    <col customWidth="1" min="5" max="5" width="22.0"/>
    <col customWidth="1" min="6" max="6" width="14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1"/>
      <c r="B2" s="210" t="s">
        <v>822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11" t="s">
        <v>823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86" t="s">
        <v>369</v>
      </c>
      <c r="C5" s="86" t="s">
        <v>718</v>
      </c>
      <c r="D5" s="86" t="s">
        <v>824</v>
      </c>
      <c r="E5" s="86" t="s">
        <v>825</v>
      </c>
      <c r="F5" s="86" t="s">
        <v>373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88">
        <v>1.0</v>
      </c>
      <c r="C6" s="89" t="s">
        <v>717</v>
      </c>
      <c r="D6" s="88">
        <v>3.0</v>
      </c>
      <c r="E6" s="213">
        <f t="array" ref="E6">ROUND((IFERROR(INDEX('Рецептуры'!$G:$G,MATCH($C6&amp;"|"&amp;1,'Рецептуры'!$K:$K,0)),0))*(IFERROR(VLOOKUP(IFERROR(INDEX('Рецептуры'!$F:$F,MATCH($C6&amp;"|"&amp;1,'Рецептуры'!$K:$K,0)),""),'Полупродукты'!$C$6:$E$62,3,FALSE()),IFERROR(VLOOKUP(IFERROR(INDEX('Рецептуры'!$F:$F,MATCH($C6&amp;"|"&amp;1,'Рецептуры'!$K:$K,0)),""),'Сырьё'!$C$6:$E$233,3,FALSE()),0)))+(IFERROR(INDEX('Рецептуры'!$G:$G,MATCH($C6&amp;"|"&amp;2,'Рецептуры'!$K:$K,0)),0))*(IFERROR(VLOOKUP(IFERROR(INDEX('Рецептуры'!$F:$F,MATCH($C6&amp;"|"&amp;2,'Рецептуры'!$K:$K,0)),""),'Полупродукты'!$C$6:$E$62,3,FALSE()),IFERROR(VLOOKUP(IFERROR(INDEX('Рецептуры'!$F:$F,MATCH($C6&amp;"|"&amp;2,'Рецептуры'!$K:$K,0)),""),'Сырьё'!$C$6:$E$233,3,FALSE()),0)))+(IFERROR(INDEX('Рецептуры'!$G:$G,MATCH($C6&amp;"|"&amp;3,'Рецептуры'!$K:$K,0)),0))*(IFERROR(VLOOKUP(IFERROR(INDEX('Рецептуры'!$F:$F,MATCH($C6&amp;"|"&amp;3,'Рецептуры'!$K:$K,0)),""),'Полупродукты'!$C$6:$E$62,3,FALSE()),IFERROR(VLOOKUP(IFERROR(INDEX('Рецептуры'!$F:$F,MATCH($C6&amp;"|"&amp;3,'Рецептуры'!$K:$K,0)),""),'Сырьё'!$C$6:$E$233,3,FALSE()),0)))+(IFERROR(INDEX('Рецептуры'!$G:$G,MATCH($C6&amp;"|"&amp;4,'Рецептуры'!$K:$K,0)),0))*(IFERROR(VLOOKUP(IFERROR(INDEX('Рецептуры'!$F:$F,MATCH($C6&amp;"|"&amp;4,'Рецептуры'!$K:$K,0)),""),'Полупродукты'!$C$6:$E$62,3,FALSE()),IFERROR(VLOOKUP(IFERROR(INDEX('Рецептуры'!$F:$F,MATCH($C6&amp;"|"&amp;4,'Рецептуры'!$K:$K,0)),""),'Сырьё'!$C$6:$E$233,3,FALSE()),0)))+(IFERROR(INDEX('Рецептуры'!$G:$G,MATCH($C6&amp;"|"&amp;5,'Рецептуры'!$K:$K,0)),0))*(IFERROR(VLOOKUP(IFERROR(INDEX('Рецептуры'!$F:$F,MATCH($C6&amp;"|"&amp;5,'Рецептуры'!$K:$K,0)),""),'Полупродукты'!$C$6:$E$62,3,FALSE()),IFERROR(VLOOKUP(IFERROR(INDEX('Рецептуры'!$F:$F,MATCH($C6&amp;"|"&amp;5,'Рецептуры'!$K:$K,0)),""),'Сырьё'!$C$6:$E$233,3,FALSE()),0)))+(IFERROR(INDEX('Рецептуры'!$G:$G,MATCH($C6&amp;"|"&amp;6,'Рецептуры'!$K:$K,0)),0))*(IFERROR(VLOOKUP(IFERROR(INDEX('Рецептуры'!$F:$F,MATCH($C6&amp;"|"&amp;6,'Рецептуры'!$K:$K,0)),""),'Полупродукты'!$C$6:$E$62,3,FALSE()),IFERROR(VLOOKUP(IFERROR(INDEX('Рецептуры'!$F:$F,MATCH($C6&amp;"|"&amp;6,'Рецептуры'!$K:$K,0)),""),'Сырьё'!$C$6:$E$233,3,FALSE()),0)))+(IFERROR(INDEX('Рецептуры'!$G:$G,MATCH($C6&amp;"|"&amp;7,'Рецептуры'!$K:$K,0)),0))*(IFERROR(VLOOKUP(IFERROR(INDEX('Рецептуры'!$F:$F,MATCH($C6&amp;"|"&amp;7,'Рецептуры'!$K:$K,0)),""),'Полупродукты'!$C$6:$E$62,3,FALSE()),IFERROR(VLOOKUP(IFERROR(INDEX('Рецептуры'!$F:$F,MATCH($C6&amp;"|"&amp;7,'Рецептуры'!$K:$K,0)),""),'Сырьё'!$C$6:$E$233,3,FALSE()),0)))+(IFERROR(INDEX('Рецептуры'!$G:$G,MATCH($C6&amp;"|"&amp;8,'Рецептуры'!$K:$K,0)),0))*(IFERROR(VLOOKUP(IFERROR(INDEX('Рецептуры'!$F:$F,MATCH($C6&amp;"|"&amp;8,'Рецептуры'!$K:$K,0)),""),'Полупродукты'!$C$6:$E$62,3,FALSE()),IFERROR(VLOOKUP(IFERROR(INDEX('Рецептуры'!$F:$F,MATCH($C6&amp;"|"&amp;8,'Рецептуры'!$K:$K,0)),""),'Сырьё'!$C$6:$E$233,3,FALSE()),0)))+(IFERROR(INDEX('Рецептуры'!$G:$G,MATCH($C6&amp;"|"&amp;9,'Рецептуры'!$K:$K,0)),0))*(IFERROR(VLOOKUP(IFERROR(INDEX('Рецептуры'!$F:$F,MATCH($C6&amp;"|"&amp;9,'Рецептуры'!$K:$K,0)),""),'Полупродукты'!$C$6:$E$62,3,FALSE()),IFERROR(VLOOKUP(IFERROR(INDEX('Рецептуры'!$F:$F,MATCH($C6&amp;"|"&amp;9,'Рецептуры'!$K:$K,0)),""),'Сырьё'!$C$6:$E$233,3,FALSE()),0)))+(IFERROR(INDEX('Рецептуры'!$G:$G,MATCH($C6&amp;"|"&amp;10,'Рецептуры'!$K:$K,0)),0))*(IFERROR(VLOOKUP(IFERROR(INDEX('Рецептуры'!$F:$F,MATCH($C6&amp;"|"&amp;10,'Рецептуры'!$K:$K,0)),""),'Полупродукты'!$C$6:$E$62,3,FALSE()),IFERROR(VLOOKUP(IFERROR(INDEX('Рецептуры'!$F:$F,MATCH($C6&amp;"|"&amp;10,'Рецептуры'!$K:$K,0)),""),'Сырьё'!$C$6:$E$233,3,FALSE()),0)))+(IFERROR(INDEX('Рецептуры'!$G:$G,MATCH($C6&amp;"|"&amp;11,'Рецептуры'!$K:$K,0)),0))*(IFERROR(VLOOKUP(IFERROR(INDEX('Рецептуры'!$F:$F,MATCH($C6&amp;"|"&amp;11,'Рецептуры'!$K:$K,0)),""),'Полупродукты'!$C$6:$E$62,3,FALSE()),IFERROR(VLOOKUP(IFERROR(INDEX('Рецептуры'!$F:$F,MATCH($C6&amp;"|"&amp;11,'Рецептуры'!$K:$K,0)),""),'Сырьё'!$C$6:$E$233,3,FALSE()),0)))+(IFERROR(INDEX('Рецептуры'!$G:$G,MATCH($C6&amp;"|"&amp;12,'Рецептуры'!$K:$K,0)),0))*(IFERROR(VLOOKUP(IFERROR(INDEX('Рецептуры'!$F:$F,MATCH($C6&amp;"|"&amp;12,'Рецептуры'!$K:$K,0)),""),'Полупродукты'!$C$6:$E$62,3,FALSE()),IFERROR(VLOOKUP(IFERROR(INDEX('Рецептуры'!$F:$F,MATCH($C6&amp;"|"&amp;12,'Рецептуры'!$K:$K,0)),""),'Сырьё'!$C$6:$E$233,3,FALSE()),0)))+(IFERROR(INDEX('Рецептуры'!$G:$G,MATCH($C6&amp;"|"&amp;13,'Рецептуры'!$K:$K,0)),0))*(IFERROR(VLOOKUP(IFERROR(INDEX('Рецептуры'!$F:$F,MATCH($C6&amp;"|"&amp;13,'Рецептуры'!$K:$K,0)),""),'Полупродукты'!$C$6:$E$62,3,FALSE()),IFERROR(VLOOKUP(IFERROR(INDEX('Рецептуры'!$F:$F,MATCH($C6&amp;"|"&amp;13,'Рецептуры'!$K:$K,0)),""),'Сырьё'!$C$6:$E$233,3,FALSE()),0)))+(IFERROR(INDEX('Рецептуры'!$G:$G,MATCH($C6&amp;"|"&amp;14,'Рецептуры'!$K:$K,0)),0))*(IFERROR(VLOOKUP(IFERROR(INDEX('Рецептуры'!$F:$F,MATCH($C6&amp;"|"&amp;14,'Рецептуры'!$K:$K,0)),""),'Полупродукты'!$C$6:$E$62,3,FALSE()),IFERROR(VLOOKUP(IFERROR(INDEX('Рецептуры'!$F:$F,MATCH($C6&amp;"|"&amp;14,'Рецептуры'!$K:$K,0)),""),'Сырьё'!$C$6:$E$233,3,FALSE()),0)))+(IFERROR(INDEX('Рецептуры'!$G:$G,MATCH($C6&amp;"|"&amp;15,'Рецептуры'!$K:$K,0)),0))*(IFERROR(VLOOKUP(IFERROR(INDEX('Рецептуры'!$F:$F,MATCH($C6&amp;"|"&amp;15,'Рецептуры'!$K:$K,0)),""),'Полупродукты'!$C$6:$E$62,3,FALSE()),IFERROR(VLOOKUP(IFERROR(INDEX('Рецептуры'!$F:$F,MATCH($C6&amp;"|"&amp;15,'Рецептуры'!$K:$K,0)),""),'Сырьё'!$C$6:$E$233,3,FALSE()),0))),4)</f>
        <v>0.3682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96">
        <v>2.0</v>
      </c>
      <c r="C7" s="97" t="s">
        <v>719</v>
      </c>
      <c r="D7" s="96">
        <v>4.0</v>
      </c>
      <c r="E7" s="214">
        <f t="array" ref="E7">ROUND((IFERROR(INDEX('Рецептуры'!$G:$G,MATCH($C7&amp;"|"&amp;1,'Рецептуры'!$K:$K,0)),0))*(IFERROR(VLOOKUP(IFERROR(INDEX('Рецептуры'!$F:$F,MATCH($C7&amp;"|"&amp;1,'Рецептуры'!$K:$K,0)),""),'Полупродукты'!$C$6:$E$62,3,FALSE()),IFERROR(VLOOKUP(IFERROR(INDEX('Рецептуры'!$F:$F,MATCH($C7&amp;"|"&amp;1,'Рецептуры'!$K:$K,0)),""),'Сырьё'!$C$6:$E$233,3,FALSE()),0)))+(IFERROR(INDEX('Рецептуры'!$G:$G,MATCH($C7&amp;"|"&amp;2,'Рецептуры'!$K:$K,0)),0))*(IFERROR(VLOOKUP(IFERROR(INDEX('Рецептуры'!$F:$F,MATCH($C7&amp;"|"&amp;2,'Рецептуры'!$K:$K,0)),""),'Полупродукты'!$C$6:$E$62,3,FALSE()),IFERROR(VLOOKUP(IFERROR(INDEX('Рецептуры'!$F:$F,MATCH($C7&amp;"|"&amp;2,'Рецептуры'!$K:$K,0)),""),'Сырьё'!$C$6:$E$233,3,FALSE()),0)))+(IFERROR(INDEX('Рецептуры'!$G:$G,MATCH($C7&amp;"|"&amp;3,'Рецептуры'!$K:$K,0)),0))*(IFERROR(VLOOKUP(IFERROR(INDEX('Рецептуры'!$F:$F,MATCH($C7&amp;"|"&amp;3,'Рецептуры'!$K:$K,0)),""),'Полупродукты'!$C$6:$E$62,3,FALSE()),IFERROR(VLOOKUP(IFERROR(INDEX('Рецептуры'!$F:$F,MATCH($C7&amp;"|"&amp;3,'Рецептуры'!$K:$K,0)),""),'Сырьё'!$C$6:$E$233,3,FALSE()),0)))+(IFERROR(INDEX('Рецептуры'!$G:$G,MATCH($C7&amp;"|"&amp;4,'Рецептуры'!$K:$K,0)),0))*(IFERROR(VLOOKUP(IFERROR(INDEX('Рецептуры'!$F:$F,MATCH($C7&amp;"|"&amp;4,'Рецептуры'!$K:$K,0)),""),'Полупродукты'!$C$6:$E$62,3,FALSE()),IFERROR(VLOOKUP(IFERROR(INDEX('Рецептуры'!$F:$F,MATCH($C7&amp;"|"&amp;4,'Рецептуры'!$K:$K,0)),""),'Сырьё'!$C$6:$E$233,3,FALSE()),0)))+(IFERROR(INDEX('Рецептуры'!$G:$G,MATCH($C7&amp;"|"&amp;5,'Рецептуры'!$K:$K,0)),0))*(IFERROR(VLOOKUP(IFERROR(INDEX('Рецептуры'!$F:$F,MATCH($C7&amp;"|"&amp;5,'Рецептуры'!$K:$K,0)),""),'Полупродукты'!$C$6:$E$62,3,FALSE()),IFERROR(VLOOKUP(IFERROR(INDEX('Рецептуры'!$F:$F,MATCH($C7&amp;"|"&amp;5,'Рецептуры'!$K:$K,0)),""),'Сырьё'!$C$6:$E$233,3,FALSE()),0)))+(IFERROR(INDEX('Рецептуры'!$G:$G,MATCH($C7&amp;"|"&amp;6,'Рецептуры'!$K:$K,0)),0))*(IFERROR(VLOOKUP(IFERROR(INDEX('Рецептуры'!$F:$F,MATCH($C7&amp;"|"&amp;6,'Рецептуры'!$K:$K,0)),""),'Полупродукты'!$C$6:$E$62,3,FALSE()),IFERROR(VLOOKUP(IFERROR(INDEX('Рецептуры'!$F:$F,MATCH($C7&amp;"|"&amp;6,'Рецептуры'!$K:$K,0)),""),'Сырьё'!$C$6:$E$233,3,FALSE()),0)))+(IFERROR(INDEX('Рецептуры'!$G:$G,MATCH($C7&amp;"|"&amp;7,'Рецептуры'!$K:$K,0)),0))*(IFERROR(VLOOKUP(IFERROR(INDEX('Рецептуры'!$F:$F,MATCH($C7&amp;"|"&amp;7,'Рецептуры'!$K:$K,0)),""),'Полупродукты'!$C$6:$E$62,3,FALSE()),IFERROR(VLOOKUP(IFERROR(INDEX('Рецептуры'!$F:$F,MATCH($C7&amp;"|"&amp;7,'Рецептуры'!$K:$K,0)),""),'Сырьё'!$C$6:$E$233,3,FALSE()),0)))+(IFERROR(INDEX('Рецептуры'!$G:$G,MATCH($C7&amp;"|"&amp;8,'Рецептуры'!$K:$K,0)),0))*(IFERROR(VLOOKUP(IFERROR(INDEX('Рецептуры'!$F:$F,MATCH($C7&amp;"|"&amp;8,'Рецептуры'!$K:$K,0)),""),'Полупродукты'!$C$6:$E$62,3,FALSE()),IFERROR(VLOOKUP(IFERROR(INDEX('Рецептуры'!$F:$F,MATCH($C7&amp;"|"&amp;8,'Рецептуры'!$K:$K,0)),""),'Сырьё'!$C$6:$E$233,3,FALSE()),0)))+(IFERROR(INDEX('Рецептуры'!$G:$G,MATCH($C7&amp;"|"&amp;9,'Рецептуры'!$K:$K,0)),0))*(IFERROR(VLOOKUP(IFERROR(INDEX('Рецептуры'!$F:$F,MATCH($C7&amp;"|"&amp;9,'Рецептуры'!$K:$K,0)),""),'Полупродукты'!$C$6:$E$62,3,FALSE()),IFERROR(VLOOKUP(IFERROR(INDEX('Рецептуры'!$F:$F,MATCH($C7&amp;"|"&amp;9,'Рецептуры'!$K:$K,0)),""),'Сырьё'!$C$6:$E$233,3,FALSE()),0)))+(IFERROR(INDEX('Рецептуры'!$G:$G,MATCH($C7&amp;"|"&amp;10,'Рецептуры'!$K:$K,0)),0))*(IFERROR(VLOOKUP(IFERROR(INDEX('Рецептуры'!$F:$F,MATCH($C7&amp;"|"&amp;10,'Рецептуры'!$K:$K,0)),""),'Полупродукты'!$C$6:$E$62,3,FALSE()),IFERROR(VLOOKUP(IFERROR(INDEX('Рецептуры'!$F:$F,MATCH($C7&amp;"|"&amp;10,'Рецептуры'!$K:$K,0)),""),'Сырьё'!$C$6:$E$233,3,FALSE()),0)))+(IFERROR(INDEX('Рецептуры'!$G:$G,MATCH($C7&amp;"|"&amp;11,'Рецептуры'!$K:$K,0)),0))*(IFERROR(VLOOKUP(IFERROR(INDEX('Рецептуры'!$F:$F,MATCH($C7&amp;"|"&amp;11,'Рецептуры'!$K:$K,0)),""),'Полупродукты'!$C$6:$E$62,3,FALSE()),IFERROR(VLOOKUP(IFERROR(INDEX('Рецептуры'!$F:$F,MATCH($C7&amp;"|"&amp;11,'Рецептуры'!$K:$K,0)),""),'Сырьё'!$C$6:$E$233,3,FALSE()),0)))+(IFERROR(INDEX('Рецептуры'!$G:$G,MATCH($C7&amp;"|"&amp;12,'Рецептуры'!$K:$K,0)),0))*(IFERROR(VLOOKUP(IFERROR(INDEX('Рецептуры'!$F:$F,MATCH($C7&amp;"|"&amp;12,'Рецептуры'!$K:$K,0)),""),'Полупродукты'!$C$6:$E$62,3,FALSE()),IFERROR(VLOOKUP(IFERROR(INDEX('Рецептуры'!$F:$F,MATCH($C7&amp;"|"&amp;12,'Рецептуры'!$K:$K,0)),""),'Сырьё'!$C$6:$E$233,3,FALSE()),0)))+(IFERROR(INDEX('Рецептуры'!$G:$G,MATCH($C7&amp;"|"&amp;13,'Рецептуры'!$K:$K,0)),0))*(IFERROR(VLOOKUP(IFERROR(INDEX('Рецептуры'!$F:$F,MATCH($C7&amp;"|"&amp;13,'Рецептуры'!$K:$K,0)),""),'Полупродукты'!$C$6:$E$62,3,FALSE()),IFERROR(VLOOKUP(IFERROR(INDEX('Рецептуры'!$F:$F,MATCH($C7&amp;"|"&amp;13,'Рецептуры'!$K:$K,0)),""),'Сырьё'!$C$6:$E$233,3,FALSE()),0)))+(IFERROR(INDEX('Рецептуры'!$G:$G,MATCH($C7&amp;"|"&amp;14,'Рецептуры'!$K:$K,0)),0))*(IFERROR(VLOOKUP(IFERROR(INDEX('Рецептуры'!$F:$F,MATCH($C7&amp;"|"&amp;14,'Рецептуры'!$K:$K,0)),""),'Полупродукты'!$C$6:$E$62,3,FALSE()),IFERROR(VLOOKUP(IFERROR(INDEX('Рецептуры'!$F:$F,MATCH($C7&amp;"|"&amp;14,'Рецептуры'!$K:$K,0)),""),'Сырьё'!$C$6:$E$233,3,FALSE()),0)))+(IFERROR(INDEX('Рецептуры'!$G:$G,MATCH($C7&amp;"|"&amp;15,'Рецептуры'!$K:$K,0)),0))*(IFERROR(VLOOKUP(IFERROR(INDEX('Рецептуры'!$F:$F,MATCH($C7&amp;"|"&amp;15,'Рецептуры'!$K:$K,0)),""),'Полупродукты'!$C$6:$E$62,3,FALSE()),IFERROR(VLOOKUP(IFERROR(INDEX('Рецептуры'!$F:$F,MATCH($C7&amp;"|"&amp;15,'Рецептуры'!$K:$K,0)),""),'Сырьё'!$C$6:$E$233,3,FALSE()),0))),4)</f>
        <v>0.8266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88">
        <v>3.0</v>
      </c>
      <c r="C8" s="89" t="s">
        <v>720</v>
      </c>
      <c r="D8" s="88">
        <v>2.0</v>
      </c>
      <c r="E8" s="213">
        <f t="array" ref="E8">ROUND((IFERROR(INDEX('Рецептуры'!$G:$G,MATCH($C8&amp;"|"&amp;1,'Рецептуры'!$K:$K,0)),0))*(IFERROR(VLOOKUP(IFERROR(INDEX('Рецептуры'!$F:$F,MATCH($C8&amp;"|"&amp;1,'Рецептуры'!$K:$K,0)),""),'Полупродукты'!$C$6:$E$62,3,FALSE()),IFERROR(VLOOKUP(IFERROR(INDEX('Рецептуры'!$F:$F,MATCH($C8&amp;"|"&amp;1,'Рецептуры'!$K:$K,0)),""),'Сырьё'!$C$6:$E$233,3,FALSE()),0)))+(IFERROR(INDEX('Рецептуры'!$G:$G,MATCH($C8&amp;"|"&amp;2,'Рецептуры'!$K:$K,0)),0))*(IFERROR(VLOOKUP(IFERROR(INDEX('Рецептуры'!$F:$F,MATCH($C8&amp;"|"&amp;2,'Рецептуры'!$K:$K,0)),""),'Полупродукты'!$C$6:$E$62,3,FALSE()),IFERROR(VLOOKUP(IFERROR(INDEX('Рецептуры'!$F:$F,MATCH($C8&amp;"|"&amp;2,'Рецептуры'!$K:$K,0)),""),'Сырьё'!$C$6:$E$233,3,FALSE()),0)))+(IFERROR(INDEX('Рецептуры'!$G:$G,MATCH($C8&amp;"|"&amp;3,'Рецептуры'!$K:$K,0)),0))*(IFERROR(VLOOKUP(IFERROR(INDEX('Рецептуры'!$F:$F,MATCH($C8&amp;"|"&amp;3,'Рецептуры'!$K:$K,0)),""),'Полупродукты'!$C$6:$E$62,3,FALSE()),IFERROR(VLOOKUP(IFERROR(INDEX('Рецептуры'!$F:$F,MATCH($C8&amp;"|"&amp;3,'Рецептуры'!$K:$K,0)),""),'Сырьё'!$C$6:$E$233,3,FALSE()),0)))+(IFERROR(INDEX('Рецептуры'!$G:$G,MATCH($C8&amp;"|"&amp;4,'Рецептуры'!$K:$K,0)),0))*(IFERROR(VLOOKUP(IFERROR(INDEX('Рецептуры'!$F:$F,MATCH($C8&amp;"|"&amp;4,'Рецептуры'!$K:$K,0)),""),'Полупродукты'!$C$6:$E$62,3,FALSE()),IFERROR(VLOOKUP(IFERROR(INDEX('Рецептуры'!$F:$F,MATCH($C8&amp;"|"&amp;4,'Рецептуры'!$K:$K,0)),""),'Сырьё'!$C$6:$E$233,3,FALSE()),0)))+(IFERROR(INDEX('Рецептуры'!$G:$G,MATCH($C8&amp;"|"&amp;5,'Рецептуры'!$K:$K,0)),0))*(IFERROR(VLOOKUP(IFERROR(INDEX('Рецептуры'!$F:$F,MATCH($C8&amp;"|"&amp;5,'Рецептуры'!$K:$K,0)),""),'Полупродукты'!$C$6:$E$62,3,FALSE()),IFERROR(VLOOKUP(IFERROR(INDEX('Рецептуры'!$F:$F,MATCH($C8&amp;"|"&amp;5,'Рецептуры'!$K:$K,0)),""),'Сырьё'!$C$6:$E$233,3,FALSE()),0)))+(IFERROR(INDEX('Рецептуры'!$G:$G,MATCH($C8&amp;"|"&amp;6,'Рецептуры'!$K:$K,0)),0))*(IFERROR(VLOOKUP(IFERROR(INDEX('Рецептуры'!$F:$F,MATCH($C8&amp;"|"&amp;6,'Рецептуры'!$K:$K,0)),""),'Полупродукты'!$C$6:$E$62,3,FALSE()),IFERROR(VLOOKUP(IFERROR(INDEX('Рецептуры'!$F:$F,MATCH($C8&amp;"|"&amp;6,'Рецептуры'!$K:$K,0)),""),'Сырьё'!$C$6:$E$233,3,FALSE()),0)))+(IFERROR(INDEX('Рецептуры'!$G:$G,MATCH($C8&amp;"|"&amp;7,'Рецептуры'!$K:$K,0)),0))*(IFERROR(VLOOKUP(IFERROR(INDEX('Рецептуры'!$F:$F,MATCH($C8&amp;"|"&amp;7,'Рецептуры'!$K:$K,0)),""),'Полупродукты'!$C$6:$E$62,3,FALSE()),IFERROR(VLOOKUP(IFERROR(INDEX('Рецептуры'!$F:$F,MATCH($C8&amp;"|"&amp;7,'Рецептуры'!$K:$K,0)),""),'Сырьё'!$C$6:$E$233,3,FALSE()),0)))+(IFERROR(INDEX('Рецептуры'!$G:$G,MATCH($C8&amp;"|"&amp;8,'Рецептуры'!$K:$K,0)),0))*(IFERROR(VLOOKUP(IFERROR(INDEX('Рецептуры'!$F:$F,MATCH($C8&amp;"|"&amp;8,'Рецептуры'!$K:$K,0)),""),'Полупродукты'!$C$6:$E$62,3,FALSE()),IFERROR(VLOOKUP(IFERROR(INDEX('Рецептуры'!$F:$F,MATCH($C8&amp;"|"&amp;8,'Рецептуры'!$K:$K,0)),""),'Сырьё'!$C$6:$E$233,3,FALSE()),0)))+(IFERROR(INDEX('Рецептуры'!$G:$G,MATCH($C8&amp;"|"&amp;9,'Рецептуры'!$K:$K,0)),0))*(IFERROR(VLOOKUP(IFERROR(INDEX('Рецептуры'!$F:$F,MATCH($C8&amp;"|"&amp;9,'Рецептуры'!$K:$K,0)),""),'Полупродукты'!$C$6:$E$62,3,FALSE()),IFERROR(VLOOKUP(IFERROR(INDEX('Рецептуры'!$F:$F,MATCH($C8&amp;"|"&amp;9,'Рецептуры'!$K:$K,0)),""),'Сырьё'!$C$6:$E$233,3,FALSE()),0)))+(IFERROR(INDEX('Рецептуры'!$G:$G,MATCH($C8&amp;"|"&amp;10,'Рецептуры'!$K:$K,0)),0))*(IFERROR(VLOOKUP(IFERROR(INDEX('Рецептуры'!$F:$F,MATCH($C8&amp;"|"&amp;10,'Рецептуры'!$K:$K,0)),""),'Полупродукты'!$C$6:$E$62,3,FALSE()),IFERROR(VLOOKUP(IFERROR(INDEX('Рецептуры'!$F:$F,MATCH($C8&amp;"|"&amp;10,'Рецептуры'!$K:$K,0)),""),'Сырьё'!$C$6:$E$233,3,FALSE()),0)))+(IFERROR(INDEX('Рецептуры'!$G:$G,MATCH($C8&amp;"|"&amp;11,'Рецептуры'!$K:$K,0)),0))*(IFERROR(VLOOKUP(IFERROR(INDEX('Рецептуры'!$F:$F,MATCH($C8&amp;"|"&amp;11,'Рецептуры'!$K:$K,0)),""),'Полупродукты'!$C$6:$E$62,3,FALSE()),IFERROR(VLOOKUP(IFERROR(INDEX('Рецептуры'!$F:$F,MATCH($C8&amp;"|"&amp;11,'Рецептуры'!$K:$K,0)),""),'Сырьё'!$C$6:$E$233,3,FALSE()),0)))+(IFERROR(INDEX('Рецептуры'!$G:$G,MATCH($C8&amp;"|"&amp;12,'Рецептуры'!$K:$K,0)),0))*(IFERROR(VLOOKUP(IFERROR(INDEX('Рецептуры'!$F:$F,MATCH($C8&amp;"|"&amp;12,'Рецептуры'!$K:$K,0)),""),'Полупродукты'!$C$6:$E$62,3,FALSE()),IFERROR(VLOOKUP(IFERROR(INDEX('Рецептуры'!$F:$F,MATCH($C8&amp;"|"&amp;12,'Рецептуры'!$K:$K,0)),""),'Сырьё'!$C$6:$E$233,3,FALSE()),0)))+(IFERROR(INDEX('Рецептуры'!$G:$G,MATCH($C8&amp;"|"&amp;13,'Рецептуры'!$K:$K,0)),0))*(IFERROR(VLOOKUP(IFERROR(INDEX('Рецептуры'!$F:$F,MATCH($C8&amp;"|"&amp;13,'Рецептуры'!$K:$K,0)),""),'Полупродукты'!$C$6:$E$62,3,FALSE()),IFERROR(VLOOKUP(IFERROR(INDEX('Рецептуры'!$F:$F,MATCH($C8&amp;"|"&amp;13,'Рецептуры'!$K:$K,0)),""),'Сырьё'!$C$6:$E$233,3,FALSE()),0)))+(IFERROR(INDEX('Рецептуры'!$G:$G,MATCH($C8&amp;"|"&amp;14,'Рецептуры'!$K:$K,0)),0))*(IFERROR(VLOOKUP(IFERROR(INDEX('Рецептуры'!$F:$F,MATCH($C8&amp;"|"&amp;14,'Рецептуры'!$K:$K,0)),""),'Полупродукты'!$C$6:$E$62,3,FALSE()),IFERROR(VLOOKUP(IFERROR(INDEX('Рецептуры'!$F:$F,MATCH($C8&amp;"|"&amp;14,'Рецептуры'!$K:$K,0)),""),'Сырьё'!$C$6:$E$233,3,FALSE()),0)))+(IFERROR(INDEX('Рецептуры'!$G:$G,MATCH($C8&amp;"|"&amp;15,'Рецептуры'!$K:$K,0)),0))*(IFERROR(VLOOKUP(IFERROR(INDEX('Рецептуры'!$F:$F,MATCH($C8&amp;"|"&amp;15,'Рецептуры'!$K:$K,0)),""),'Полупродукты'!$C$6:$E$62,3,FALSE()),IFERROR(VLOOKUP(IFERROR(INDEX('Рецептуры'!$F:$F,MATCH($C8&amp;"|"&amp;15,'Рецептуры'!$K:$K,0)),""),'Сырьё'!$C$6:$E$233,3,FALSE()),0))),4)</f>
        <v>1.6283</v>
      </c>
      <c r="F8" s="212" t="s">
        <v>721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96">
        <v>4.0</v>
      </c>
      <c r="C9" s="97" t="s">
        <v>722</v>
      </c>
      <c r="D9" s="96">
        <v>4.0</v>
      </c>
      <c r="E9" s="214">
        <f t="array" ref="E9">ROUND((IFERROR(INDEX('Рецептуры'!$G:$G,MATCH($C9&amp;"|"&amp;1,'Рецептуры'!$K:$K,0)),0))*(IFERROR(VLOOKUP(IFERROR(INDEX('Рецептуры'!$F:$F,MATCH($C9&amp;"|"&amp;1,'Рецептуры'!$K:$K,0)),""),'Полупродукты'!$C$6:$E$62,3,FALSE()),IFERROR(VLOOKUP(IFERROR(INDEX('Рецептуры'!$F:$F,MATCH($C9&amp;"|"&amp;1,'Рецептуры'!$K:$K,0)),""),'Сырьё'!$C$6:$E$233,3,FALSE()),0)))+(IFERROR(INDEX('Рецептуры'!$G:$G,MATCH($C9&amp;"|"&amp;2,'Рецептуры'!$K:$K,0)),0))*(IFERROR(VLOOKUP(IFERROR(INDEX('Рецептуры'!$F:$F,MATCH($C9&amp;"|"&amp;2,'Рецептуры'!$K:$K,0)),""),'Полупродукты'!$C$6:$E$62,3,FALSE()),IFERROR(VLOOKUP(IFERROR(INDEX('Рецептуры'!$F:$F,MATCH($C9&amp;"|"&amp;2,'Рецептуры'!$K:$K,0)),""),'Сырьё'!$C$6:$E$233,3,FALSE()),0)))+(IFERROR(INDEX('Рецептуры'!$G:$G,MATCH($C9&amp;"|"&amp;3,'Рецептуры'!$K:$K,0)),0))*(IFERROR(VLOOKUP(IFERROR(INDEX('Рецептуры'!$F:$F,MATCH($C9&amp;"|"&amp;3,'Рецептуры'!$K:$K,0)),""),'Полупродукты'!$C$6:$E$62,3,FALSE()),IFERROR(VLOOKUP(IFERROR(INDEX('Рецептуры'!$F:$F,MATCH($C9&amp;"|"&amp;3,'Рецептуры'!$K:$K,0)),""),'Сырьё'!$C$6:$E$233,3,FALSE()),0)))+(IFERROR(INDEX('Рецептуры'!$G:$G,MATCH($C9&amp;"|"&amp;4,'Рецептуры'!$K:$K,0)),0))*(IFERROR(VLOOKUP(IFERROR(INDEX('Рецептуры'!$F:$F,MATCH($C9&amp;"|"&amp;4,'Рецептуры'!$K:$K,0)),""),'Полупродукты'!$C$6:$E$62,3,FALSE()),IFERROR(VLOOKUP(IFERROR(INDEX('Рецептуры'!$F:$F,MATCH($C9&amp;"|"&amp;4,'Рецептуры'!$K:$K,0)),""),'Сырьё'!$C$6:$E$233,3,FALSE()),0)))+(IFERROR(INDEX('Рецептуры'!$G:$G,MATCH($C9&amp;"|"&amp;5,'Рецептуры'!$K:$K,0)),0))*(IFERROR(VLOOKUP(IFERROR(INDEX('Рецептуры'!$F:$F,MATCH($C9&amp;"|"&amp;5,'Рецептуры'!$K:$K,0)),""),'Полупродукты'!$C$6:$E$62,3,FALSE()),IFERROR(VLOOKUP(IFERROR(INDEX('Рецептуры'!$F:$F,MATCH($C9&amp;"|"&amp;5,'Рецептуры'!$K:$K,0)),""),'Сырьё'!$C$6:$E$233,3,FALSE()),0)))+(IFERROR(INDEX('Рецептуры'!$G:$G,MATCH($C9&amp;"|"&amp;6,'Рецептуры'!$K:$K,0)),0))*(IFERROR(VLOOKUP(IFERROR(INDEX('Рецептуры'!$F:$F,MATCH($C9&amp;"|"&amp;6,'Рецептуры'!$K:$K,0)),""),'Полупродукты'!$C$6:$E$62,3,FALSE()),IFERROR(VLOOKUP(IFERROR(INDEX('Рецептуры'!$F:$F,MATCH($C9&amp;"|"&amp;6,'Рецептуры'!$K:$K,0)),""),'Сырьё'!$C$6:$E$233,3,FALSE()),0)))+(IFERROR(INDEX('Рецептуры'!$G:$G,MATCH($C9&amp;"|"&amp;7,'Рецептуры'!$K:$K,0)),0))*(IFERROR(VLOOKUP(IFERROR(INDEX('Рецептуры'!$F:$F,MATCH($C9&amp;"|"&amp;7,'Рецептуры'!$K:$K,0)),""),'Полупродукты'!$C$6:$E$62,3,FALSE()),IFERROR(VLOOKUP(IFERROR(INDEX('Рецептуры'!$F:$F,MATCH($C9&amp;"|"&amp;7,'Рецептуры'!$K:$K,0)),""),'Сырьё'!$C$6:$E$233,3,FALSE()),0)))+(IFERROR(INDEX('Рецептуры'!$G:$G,MATCH($C9&amp;"|"&amp;8,'Рецептуры'!$K:$K,0)),0))*(IFERROR(VLOOKUP(IFERROR(INDEX('Рецептуры'!$F:$F,MATCH($C9&amp;"|"&amp;8,'Рецептуры'!$K:$K,0)),""),'Полупродукты'!$C$6:$E$62,3,FALSE()),IFERROR(VLOOKUP(IFERROR(INDEX('Рецептуры'!$F:$F,MATCH($C9&amp;"|"&amp;8,'Рецептуры'!$K:$K,0)),""),'Сырьё'!$C$6:$E$233,3,FALSE()),0)))+(IFERROR(INDEX('Рецептуры'!$G:$G,MATCH($C9&amp;"|"&amp;9,'Рецептуры'!$K:$K,0)),0))*(IFERROR(VLOOKUP(IFERROR(INDEX('Рецептуры'!$F:$F,MATCH($C9&amp;"|"&amp;9,'Рецептуры'!$K:$K,0)),""),'Полупродукты'!$C$6:$E$62,3,FALSE()),IFERROR(VLOOKUP(IFERROR(INDEX('Рецептуры'!$F:$F,MATCH($C9&amp;"|"&amp;9,'Рецептуры'!$K:$K,0)),""),'Сырьё'!$C$6:$E$233,3,FALSE()),0)))+(IFERROR(INDEX('Рецептуры'!$G:$G,MATCH($C9&amp;"|"&amp;10,'Рецептуры'!$K:$K,0)),0))*(IFERROR(VLOOKUP(IFERROR(INDEX('Рецептуры'!$F:$F,MATCH($C9&amp;"|"&amp;10,'Рецептуры'!$K:$K,0)),""),'Полупродукты'!$C$6:$E$62,3,FALSE()),IFERROR(VLOOKUP(IFERROR(INDEX('Рецептуры'!$F:$F,MATCH($C9&amp;"|"&amp;10,'Рецептуры'!$K:$K,0)),""),'Сырьё'!$C$6:$E$233,3,FALSE()),0)))+(IFERROR(INDEX('Рецептуры'!$G:$G,MATCH($C9&amp;"|"&amp;11,'Рецептуры'!$K:$K,0)),0))*(IFERROR(VLOOKUP(IFERROR(INDEX('Рецептуры'!$F:$F,MATCH($C9&amp;"|"&amp;11,'Рецептуры'!$K:$K,0)),""),'Полупродукты'!$C$6:$E$62,3,FALSE()),IFERROR(VLOOKUP(IFERROR(INDEX('Рецептуры'!$F:$F,MATCH($C9&amp;"|"&amp;11,'Рецептуры'!$K:$K,0)),""),'Сырьё'!$C$6:$E$233,3,FALSE()),0)))+(IFERROR(INDEX('Рецептуры'!$G:$G,MATCH($C9&amp;"|"&amp;12,'Рецептуры'!$K:$K,0)),0))*(IFERROR(VLOOKUP(IFERROR(INDEX('Рецептуры'!$F:$F,MATCH($C9&amp;"|"&amp;12,'Рецептуры'!$K:$K,0)),""),'Полупродукты'!$C$6:$E$62,3,FALSE()),IFERROR(VLOOKUP(IFERROR(INDEX('Рецептуры'!$F:$F,MATCH($C9&amp;"|"&amp;12,'Рецептуры'!$K:$K,0)),""),'Сырьё'!$C$6:$E$233,3,FALSE()),0)))+(IFERROR(INDEX('Рецептуры'!$G:$G,MATCH($C9&amp;"|"&amp;13,'Рецептуры'!$K:$K,0)),0))*(IFERROR(VLOOKUP(IFERROR(INDEX('Рецептуры'!$F:$F,MATCH($C9&amp;"|"&amp;13,'Рецептуры'!$K:$K,0)),""),'Полупродукты'!$C$6:$E$62,3,FALSE()),IFERROR(VLOOKUP(IFERROR(INDEX('Рецептуры'!$F:$F,MATCH($C9&amp;"|"&amp;13,'Рецептуры'!$K:$K,0)),""),'Сырьё'!$C$6:$E$233,3,FALSE()),0)))+(IFERROR(INDEX('Рецептуры'!$G:$G,MATCH($C9&amp;"|"&amp;14,'Рецептуры'!$K:$K,0)),0))*(IFERROR(VLOOKUP(IFERROR(INDEX('Рецептуры'!$F:$F,MATCH($C9&amp;"|"&amp;14,'Рецептуры'!$K:$K,0)),""),'Полупродукты'!$C$6:$E$62,3,FALSE()),IFERROR(VLOOKUP(IFERROR(INDEX('Рецептуры'!$F:$F,MATCH($C9&amp;"|"&amp;14,'Рецептуры'!$K:$K,0)),""),'Сырьё'!$C$6:$E$233,3,FALSE()),0)))+(IFERROR(INDEX('Рецептуры'!$G:$G,MATCH($C9&amp;"|"&amp;15,'Рецептуры'!$K:$K,0)),0))*(IFERROR(VLOOKUP(IFERROR(INDEX('Рецептуры'!$F:$F,MATCH($C9&amp;"|"&amp;15,'Рецептуры'!$K:$K,0)),""),'Полупродукты'!$C$6:$E$62,3,FALSE()),IFERROR(VLOOKUP(IFERROR(INDEX('Рецептуры'!$F:$F,MATCH($C9&amp;"|"&amp;15,'Рецептуры'!$K:$K,0)),""),'Сырьё'!$C$6:$E$233,3,FALSE()),0))),4)</f>
        <v>2.7708</v>
      </c>
      <c r="F9" s="212" t="s">
        <v>723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88">
        <v>5.0</v>
      </c>
      <c r="C10" s="89" t="s">
        <v>724</v>
      </c>
      <c r="D10" s="88">
        <v>3.0</v>
      </c>
      <c r="E10" s="213">
        <f t="array" ref="E10">ROUND((IFERROR(INDEX('Рецептуры'!$G:$G,MATCH($C10&amp;"|"&amp;1,'Рецептуры'!$K:$K,0)),0))*(IFERROR(VLOOKUP(IFERROR(INDEX('Рецептуры'!$F:$F,MATCH($C10&amp;"|"&amp;1,'Рецептуры'!$K:$K,0)),""),'Полупродукты'!$C$6:$E$62,3,FALSE()),IFERROR(VLOOKUP(IFERROR(INDEX('Рецептуры'!$F:$F,MATCH($C10&amp;"|"&amp;1,'Рецептуры'!$K:$K,0)),""),'Сырьё'!$C$6:$E$233,3,FALSE()),0)))+(IFERROR(INDEX('Рецептуры'!$G:$G,MATCH($C10&amp;"|"&amp;2,'Рецептуры'!$K:$K,0)),0))*(IFERROR(VLOOKUP(IFERROR(INDEX('Рецептуры'!$F:$F,MATCH($C10&amp;"|"&amp;2,'Рецептуры'!$K:$K,0)),""),'Полупродукты'!$C$6:$E$62,3,FALSE()),IFERROR(VLOOKUP(IFERROR(INDEX('Рецептуры'!$F:$F,MATCH($C10&amp;"|"&amp;2,'Рецептуры'!$K:$K,0)),""),'Сырьё'!$C$6:$E$233,3,FALSE()),0)))+(IFERROR(INDEX('Рецептуры'!$G:$G,MATCH($C10&amp;"|"&amp;3,'Рецептуры'!$K:$K,0)),0))*(IFERROR(VLOOKUP(IFERROR(INDEX('Рецептуры'!$F:$F,MATCH($C10&amp;"|"&amp;3,'Рецептуры'!$K:$K,0)),""),'Полупродукты'!$C$6:$E$62,3,FALSE()),IFERROR(VLOOKUP(IFERROR(INDEX('Рецептуры'!$F:$F,MATCH($C10&amp;"|"&amp;3,'Рецептуры'!$K:$K,0)),""),'Сырьё'!$C$6:$E$233,3,FALSE()),0)))+(IFERROR(INDEX('Рецептуры'!$G:$G,MATCH($C10&amp;"|"&amp;4,'Рецептуры'!$K:$K,0)),0))*(IFERROR(VLOOKUP(IFERROR(INDEX('Рецептуры'!$F:$F,MATCH($C10&amp;"|"&amp;4,'Рецептуры'!$K:$K,0)),""),'Полупродукты'!$C$6:$E$62,3,FALSE()),IFERROR(VLOOKUP(IFERROR(INDEX('Рецептуры'!$F:$F,MATCH($C10&amp;"|"&amp;4,'Рецептуры'!$K:$K,0)),""),'Сырьё'!$C$6:$E$233,3,FALSE()),0)))+(IFERROR(INDEX('Рецептуры'!$G:$G,MATCH($C10&amp;"|"&amp;5,'Рецептуры'!$K:$K,0)),0))*(IFERROR(VLOOKUP(IFERROR(INDEX('Рецептуры'!$F:$F,MATCH($C10&amp;"|"&amp;5,'Рецептуры'!$K:$K,0)),""),'Полупродукты'!$C$6:$E$62,3,FALSE()),IFERROR(VLOOKUP(IFERROR(INDEX('Рецептуры'!$F:$F,MATCH($C10&amp;"|"&amp;5,'Рецептуры'!$K:$K,0)),""),'Сырьё'!$C$6:$E$233,3,FALSE()),0)))+(IFERROR(INDEX('Рецептуры'!$G:$G,MATCH($C10&amp;"|"&amp;6,'Рецептуры'!$K:$K,0)),0))*(IFERROR(VLOOKUP(IFERROR(INDEX('Рецептуры'!$F:$F,MATCH($C10&amp;"|"&amp;6,'Рецептуры'!$K:$K,0)),""),'Полупродукты'!$C$6:$E$62,3,FALSE()),IFERROR(VLOOKUP(IFERROR(INDEX('Рецептуры'!$F:$F,MATCH($C10&amp;"|"&amp;6,'Рецептуры'!$K:$K,0)),""),'Сырьё'!$C$6:$E$233,3,FALSE()),0)))+(IFERROR(INDEX('Рецептуры'!$G:$G,MATCH($C10&amp;"|"&amp;7,'Рецептуры'!$K:$K,0)),0))*(IFERROR(VLOOKUP(IFERROR(INDEX('Рецептуры'!$F:$F,MATCH($C10&amp;"|"&amp;7,'Рецептуры'!$K:$K,0)),""),'Полупродукты'!$C$6:$E$62,3,FALSE()),IFERROR(VLOOKUP(IFERROR(INDEX('Рецептуры'!$F:$F,MATCH($C10&amp;"|"&amp;7,'Рецептуры'!$K:$K,0)),""),'Сырьё'!$C$6:$E$233,3,FALSE()),0)))+(IFERROR(INDEX('Рецептуры'!$G:$G,MATCH($C10&amp;"|"&amp;8,'Рецептуры'!$K:$K,0)),0))*(IFERROR(VLOOKUP(IFERROR(INDEX('Рецептуры'!$F:$F,MATCH($C10&amp;"|"&amp;8,'Рецептуры'!$K:$K,0)),""),'Полупродукты'!$C$6:$E$62,3,FALSE()),IFERROR(VLOOKUP(IFERROR(INDEX('Рецептуры'!$F:$F,MATCH($C10&amp;"|"&amp;8,'Рецептуры'!$K:$K,0)),""),'Сырьё'!$C$6:$E$233,3,FALSE()),0)))+(IFERROR(INDEX('Рецептуры'!$G:$G,MATCH($C10&amp;"|"&amp;9,'Рецептуры'!$K:$K,0)),0))*(IFERROR(VLOOKUP(IFERROR(INDEX('Рецептуры'!$F:$F,MATCH($C10&amp;"|"&amp;9,'Рецептуры'!$K:$K,0)),""),'Полупродукты'!$C$6:$E$62,3,FALSE()),IFERROR(VLOOKUP(IFERROR(INDEX('Рецептуры'!$F:$F,MATCH($C10&amp;"|"&amp;9,'Рецептуры'!$K:$K,0)),""),'Сырьё'!$C$6:$E$233,3,FALSE()),0)))+(IFERROR(INDEX('Рецептуры'!$G:$G,MATCH($C10&amp;"|"&amp;10,'Рецептуры'!$K:$K,0)),0))*(IFERROR(VLOOKUP(IFERROR(INDEX('Рецептуры'!$F:$F,MATCH($C10&amp;"|"&amp;10,'Рецептуры'!$K:$K,0)),""),'Полупродукты'!$C$6:$E$62,3,FALSE()),IFERROR(VLOOKUP(IFERROR(INDEX('Рецептуры'!$F:$F,MATCH($C10&amp;"|"&amp;10,'Рецептуры'!$K:$K,0)),""),'Сырьё'!$C$6:$E$233,3,FALSE()),0)))+(IFERROR(INDEX('Рецептуры'!$G:$G,MATCH($C10&amp;"|"&amp;11,'Рецептуры'!$K:$K,0)),0))*(IFERROR(VLOOKUP(IFERROR(INDEX('Рецептуры'!$F:$F,MATCH($C10&amp;"|"&amp;11,'Рецептуры'!$K:$K,0)),""),'Полупродукты'!$C$6:$E$62,3,FALSE()),IFERROR(VLOOKUP(IFERROR(INDEX('Рецептуры'!$F:$F,MATCH($C10&amp;"|"&amp;11,'Рецептуры'!$K:$K,0)),""),'Сырьё'!$C$6:$E$233,3,FALSE()),0)))+(IFERROR(INDEX('Рецептуры'!$G:$G,MATCH($C10&amp;"|"&amp;12,'Рецептуры'!$K:$K,0)),0))*(IFERROR(VLOOKUP(IFERROR(INDEX('Рецептуры'!$F:$F,MATCH($C10&amp;"|"&amp;12,'Рецептуры'!$K:$K,0)),""),'Полупродукты'!$C$6:$E$62,3,FALSE()),IFERROR(VLOOKUP(IFERROR(INDEX('Рецептуры'!$F:$F,MATCH($C10&amp;"|"&amp;12,'Рецептуры'!$K:$K,0)),""),'Сырьё'!$C$6:$E$233,3,FALSE()),0)))+(IFERROR(INDEX('Рецептуры'!$G:$G,MATCH($C10&amp;"|"&amp;13,'Рецептуры'!$K:$K,0)),0))*(IFERROR(VLOOKUP(IFERROR(INDEX('Рецептуры'!$F:$F,MATCH($C10&amp;"|"&amp;13,'Рецептуры'!$K:$K,0)),""),'Полупродукты'!$C$6:$E$62,3,FALSE()),IFERROR(VLOOKUP(IFERROR(INDEX('Рецептуры'!$F:$F,MATCH($C10&amp;"|"&amp;13,'Рецептуры'!$K:$K,0)),""),'Сырьё'!$C$6:$E$233,3,FALSE()),0)))+(IFERROR(INDEX('Рецептуры'!$G:$G,MATCH($C10&amp;"|"&amp;14,'Рецептуры'!$K:$K,0)),0))*(IFERROR(VLOOKUP(IFERROR(INDEX('Рецептуры'!$F:$F,MATCH($C10&amp;"|"&amp;14,'Рецептуры'!$K:$K,0)),""),'Полупродукты'!$C$6:$E$62,3,FALSE()),IFERROR(VLOOKUP(IFERROR(INDEX('Рецептуры'!$F:$F,MATCH($C10&amp;"|"&amp;14,'Рецептуры'!$K:$K,0)),""),'Сырьё'!$C$6:$E$233,3,FALSE()),0)))+(IFERROR(INDEX('Рецептуры'!$G:$G,MATCH($C10&amp;"|"&amp;15,'Рецептуры'!$K:$K,0)),0))*(IFERROR(VLOOKUP(IFERROR(INDEX('Рецептуры'!$F:$F,MATCH($C10&amp;"|"&amp;15,'Рецептуры'!$K:$K,0)),""),'Полупродукты'!$C$6:$E$62,3,FALSE()),IFERROR(VLOOKUP(IFERROR(INDEX('Рецептуры'!$F:$F,MATCH($C10&amp;"|"&amp;15,'Рецептуры'!$K:$K,0)),""),'Сырьё'!$C$6:$E$233,3,FALSE()),0))),4)</f>
        <v>3.5141</v>
      </c>
      <c r="F10" s="212" t="s">
        <v>725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96">
        <v>6.0</v>
      </c>
      <c r="C11" s="97" t="s">
        <v>726</v>
      </c>
      <c r="D11" s="96">
        <v>2.0</v>
      </c>
      <c r="E11" s="214">
        <f t="array" ref="E11">ROUND((IFERROR(INDEX('Рецептуры'!$G:$G,MATCH($C11&amp;"|"&amp;1,'Рецептуры'!$K:$K,0)),0))*(IFERROR(VLOOKUP(IFERROR(INDEX('Рецептуры'!$F:$F,MATCH($C11&amp;"|"&amp;1,'Рецептуры'!$K:$K,0)),""),'Полупродукты'!$C$6:$E$62,3,FALSE()),IFERROR(VLOOKUP(IFERROR(INDEX('Рецептуры'!$F:$F,MATCH($C11&amp;"|"&amp;1,'Рецептуры'!$K:$K,0)),""),'Сырьё'!$C$6:$E$233,3,FALSE()),0)))+(IFERROR(INDEX('Рецептуры'!$G:$G,MATCH($C11&amp;"|"&amp;2,'Рецептуры'!$K:$K,0)),0))*(IFERROR(VLOOKUP(IFERROR(INDEX('Рецептуры'!$F:$F,MATCH($C11&amp;"|"&amp;2,'Рецептуры'!$K:$K,0)),""),'Полупродукты'!$C$6:$E$62,3,FALSE()),IFERROR(VLOOKUP(IFERROR(INDEX('Рецептуры'!$F:$F,MATCH($C11&amp;"|"&amp;2,'Рецептуры'!$K:$K,0)),""),'Сырьё'!$C$6:$E$233,3,FALSE()),0)))+(IFERROR(INDEX('Рецептуры'!$G:$G,MATCH($C11&amp;"|"&amp;3,'Рецептуры'!$K:$K,0)),0))*(IFERROR(VLOOKUP(IFERROR(INDEX('Рецептуры'!$F:$F,MATCH($C11&amp;"|"&amp;3,'Рецептуры'!$K:$K,0)),""),'Полупродукты'!$C$6:$E$62,3,FALSE()),IFERROR(VLOOKUP(IFERROR(INDEX('Рецептуры'!$F:$F,MATCH($C11&amp;"|"&amp;3,'Рецептуры'!$K:$K,0)),""),'Сырьё'!$C$6:$E$233,3,FALSE()),0)))+(IFERROR(INDEX('Рецептуры'!$G:$G,MATCH($C11&amp;"|"&amp;4,'Рецептуры'!$K:$K,0)),0))*(IFERROR(VLOOKUP(IFERROR(INDEX('Рецептуры'!$F:$F,MATCH($C11&amp;"|"&amp;4,'Рецептуры'!$K:$K,0)),""),'Полупродукты'!$C$6:$E$62,3,FALSE()),IFERROR(VLOOKUP(IFERROR(INDEX('Рецептуры'!$F:$F,MATCH($C11&amp;"|"&amp;4,'Рецептуры'!$K:$K,0)),""),'Сырьё'!$C$6:$E$233,3,FALSE()),0)))+(IFERROR(INDEX('Рецептуры'!$G:$G,MATCH($C11&amp;"|"&amp;5,'Рецептуры'!$K:$K,0)),0))*(IFERROR(VLOOKUP(IFERROR(INDEX('Рецептуры'!$F:$F,MATCH($C11&amp;"|"&amp;5,'Рецептуры'!$K:$K,0)),""),'Полупродукты'!$C$6:$E$62,3,FALSE()),IFERROR(VLOOKUP(IFERROR(INDEX('Рецептуры'!$F:$F,MATCH($C11&amp;"|"&amp;5,'Рецептуры'!$K:$K,0)),""),'Сырьё'!$C$6:$E$233,3,FALSE()),0)))+(IFERROR(INDEX('Рецептуры'!$G:$G,MATCH($C11&amp;"|"&amp;6,'Рецептуры'!$K:$K,0)),0))*(IFERROR(VLOOKUP(IFERROR(INDEX('Рецептуры'!$F:$F,MATCH($C11&amp;"|"&amp;6,'Рецептуры'!$K:$K,0)),""),'Полупродукты'!$C$6:$E$62,3,FALSE()),IFERROR(VLOOKUP(IFERROR(INDEX('Рецептуры'!$F:$F,MATCH($C11&amp;"|"&amp;6,'Рецептуры'!$K:$K,0)),""),'Сырьё'!$C$6:$E$233,3,FALSE()),0)))+(IFERROR(INDEX('Рецептуры'!$G:$G,MATCH($C11&amp;"|"&amp;7,'Рецептуры'!$K:$K,0)),0))*(IFERROR(VLOOKUP(IFERROR(INDEX('Рецептуры'!$F:$F,MATCH($C11&amp;"|"&amp;7,'Рецептуры'!$K:$K,0)),""),'Полупродукты'!$C$6:$E$62,3,FALSE()),IFERROR(VLOOKUP(IFERROR(INDEX('Рецептуры'!$F:$F,MATCH($C11&amp;"|"&amp;7,'Рецептуры'!$K:$K,0)),""),'Сырьё'!$C$6:$E$233,3,FALSE()),0)))+(IFERROR(INDEX('Рецептуры'!$G:$G,MATCH($C11&amp;"|"&amp;8,'Рецептуры'!$K:$K,0)),0))*(IFERROR(VLOOKUP(IFERROR(INDEX('Рецептуры'!$F:$F,MATCH($C11&amp;"|"&amp;8,'Рецептуры'!$K:$K,0)),""),'Полупродукты'!$C$6:$E$62,3,FALSE()),IFERROR(VLOOKUP(IFERROR(INDEX('Рецептуры'!$F:$F,MATCH($C11&amp;"|"&amp;8,'Рецептуры'!$K:$K,0)),""),'Сырьё'!$C$6:$E$233,3,FALSE()),0)))+(IFERROR(INDEX('Рецептуры'!$G:$G,MATCH($C11&amp;"|"&amp;9,'Рецептуры'!$K:$K,0)),0))*(IFERROR(VLOOKUP(IFERROR(INDEX('Рецептуры'!$F:$F,MATCH($C11&amp;"|"&amp;9,'Рецептуры'!$K:$K,0)),""),'Полупродукты'!$C$6:$E$62,3,FALSE()),IFERROR(VLOOKUP(IFERROR(INDEX('Рецептуры'!$F:$F,MATCH($C11&amp;"|"&amp;9,'Рецептуры'!$K:$K,0)),""),'Сырьё'!$C$6:$E$233,3,FALSE()),0)))+(IFERROR(INDEX('Рецептуры'!$G:$G,MATCH($C11&amp;"|"&amp;10,'Рецептуры'!$K:$K,0)),0))*(IFERROR(VLOOKUP(IFERROR(INDEX('Рецептуры'!$F:$F,MATCH($C11&amp;"|"&amp;10,'Рецептуры'!$K:$K,0)),""),'Полупродукты'!$C$6:$E$62,3,FALSE()),IFERROR(VLOOKUP(IFERROR(INDEX('Рецептуры'!$F:$F,MATCH($C11&amp;"|"&amp;10,'Рецептуры'!$K:$K,0)),""),'Сырьё'!$C$6:$E$233,3,FALSE()),0)))+(IFERROR(INDEX('Рецептуры'!$G:$G,MATCH($C11&amp;"|"&amp;11,'Рецептуры'!$K:$K,0)),0))*(IFERROR(VLOOKUP(IFERROR(INDEX('Рецептуры'!$F:$F,MATCH($C11&amp;"|"&amp;11,'Рецептуры'!$K:$K,0)),""),'Полупродукты'!$C$6:$E$62,3,FALSE()),IFERROR(VLOOKUP(IFERROR(INDEX('Рецептуры'!$F:$F,MATCH($C11&amp;"|"&amp;11,'Рецептуры'!$K:$K,0)),""),'Сырьё'!$C$6:$E$233,3,FALSE()),0)))+(IFERROR(INDEX('Рецептуры'!$G:$G,MATCH($C11&amp;"|"&amp;12,'Рецептуры'!$K:$K,0)),0))*(IFERROR(VLOOKUP(IFERROR(INDEX('Рецептуры'!$F:$F,MATCH($C11&amp;"|"&amp;12,'Рецептуры'!$K:$K,0)),""),'Полупродукты'!$C$6:$E$62,3,FALSE()),IFERROR(VLOOKUP(IFERROR(INDEX('Рецептуры'!$F:$F,MATCH($C11&amp;"|"&amp;12,'Рецептуры'!$K:$K,0)),""),'Сырьё'!$C$6:$E$233,3,FALSE()),0)))+(IFERROR(INDEX('Рецептуры'!$G:$G,MATCH($C11&amp;"|"&amp;13,'Рецептуры'!$K:$K,0)),0))*(IFERROR(VLOOKUP(IFERROR(INDEX('Рецептуры'!$F:$F,MATCH($C11&amp;"|"&amp;13,'Рецептуры'!$K:$K,0)),""),'Полупродукты'!$C$6:$E$62,3,FALSE()),IFERROR(VLOOKUP(IFERROR(INDEX('Рецептуры'!$F:$F,MATCH($C11&amp;"|"&amp;13,'Рецептуры'!$K:$K,0)),""),'Сырьё'!$C$6:$E$233,3,FALSE()),0)))+(IFERROR(INDEX('Рецептуры'!$G:$G,MATCH($C11&amp;"|"&amp;14,'Рецептуры'!$K:$K,0)),0))*(IFERROR(VLOOKUP(IFERROR(INDEX('Рецептуры'!$F:$F,MATCH($C11&amp;"|"&amp;14,'Рецептуры'!$K:$K,0)),""),'Полупродукты'!$C$6:$E$62,3,FALSE()),IFERROR(VLOOKUP(IFERROR(INDEX('Рецептуры'!$F:$F,MATCH($C11&amp;"|"&amp;14,'Рецептуры'!$K:$K,0)),""),'Сырьё'!$C$6:$E$233,3,FALSE()),0)))+(IFERROR(INDEX('Рецептуры'!$G:$G,MATCH($C11&amp;"|"&amp;15,'Рецептуры'!$K:$K,0)),0))*(IFERROR(VLOOKUP(IFERROR(INDEX('Рецептуры'!$F:$F,MATCH($C11&amp;"|"&amp;15,'Рецептуры'!$K:$K,0)),""),'Полупродукты'!$C$6:$E$62,3,FALSE()),IFERROR(VLOOKUP(IFERROR(INDEX('Рецептуры'!$F:$F,MATCH($C11&amp;"|"&amp;15,'Рецептуры'!$K:$K,0)),""),'Сырьё'!$C$6:$E$233,3,FALSE()),0))),4)</f>
        <v>2.2584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88">
        <v>7.0</v>
      </c>
      <c r="C12" s="89" t="s">
        <v>727</v>
      </c>
      <c r="D12" s="88">
        <v>2.0</v>
      </c>
      <c r="E12" s="213">
        <f t="array" ref="E12">ROUND((IFERROR(INDEX('Рецептуры'!$G:$G,MATCH($C12&amp;"|"&amp;1,'Рецептуры'!$K:$K,0)),0))*(IFERROR(VLOOKUP(IFERROR(INDEX('Рецептуры'!$F:$F,MATCH($C12&amp;"|"&amp;1,'Рецептуры'!$K:$K,0)),""),'Полупродукты'!$C$6:$E$62,3,FALSE()),IFERROR(VLOOKUP(IFERROR(INDEX('Рецептуры'!$F:$F,MATCH($C12&amp;"|"&amp;1,'Рецептуры'!$K:$K,0)),""),'Сырьё'!$C$6:$E$233,3,FALSE()),0)))+(IFERROR(INDEX('Рецептуры'!$G:$G,MATCH($C12&amp;"|"&amp;2,'Рецептуры'!$K:$K,0)),0))*(IFERROR(VLOOKUP(IFERROR(INDEX('Рецептуры'!$F:$F,MATCH($C12&amp;"|"&amp;2,'Рецептуры'!$K:$K,0)),""),'Полупродукты'!$C$6:$E$62,3,FALSE()),IFERROR(VLOOKUP(IFERROR(INDEX('Рецептуры'!$F:$F,MATCH($C12&amp;"|"&amp;2,'Рецептуры'!$K:$K,0)),""),'Сырьё'!$C$6:$E$233,3,FALSE()),0)))+(IFERROR(INDEX('Рецептуры'!$G:$G,MATCH($C12&amp;"|"&amp;3,'Рецептуры'!$K:$K,0)),0))*(IFERROR(VLOOKUP(IFERROR(INDEX('Рецептуры'!$F:$F,MATCH($C12&amp;"|"&amp;3,'Рецептуры'!$K:$K,0)),""),'Полупродукты'!$C$6:$E$62,3,FALSE()),IFERROR(VLOOKUP(IFERROR(INDEX('Рецептуры'!$F:$F,MATCH($C12&amp;"|"&amp;3,'Рецептуры'!$K:$K,0)),""),'Сырьё'!$C$6:$E$233,3,FALSE()),0)))+(IFERROR(INDEX('Рецептуры'!$G:$G,MATCH($C12&amp;"|"&amp;4,'Рецептуры'!$K:$K,0)),0))*(IFERROR(VLOOKUP(IFERROR(INDEX('Рецептуры'!$F:$F,MATCH($C12&amp;"|"&amp;4,'Рецептуры'!$K:$K,0)),""),'Полупродукты'!$C$6:$E$62,3,FALSE()),IFERROR(VLOOKUP(IFERROR(INDEX('Рецептуры'!$F:$F,MATCH($C12&amp;"|"&amp;4,'Рецептуры'!$K:$K,0)),""),'Сырьё'!$C$6:$E$233,3,FALSE()),0)))+(IFERROR(INDEX('Рецептуры'!$G:$G,MATCH($C12&amp;"|"&amp;5,'Рецептуры'!$K:$K,0)),0))*(IFERROR(VLOOKUP(IFERROR(INDEX('Рецептуры'!$F:$F,MATCH($C12&amp;"|"&amp;5,'Рецептуры'!$K:$K,0)),""),'Полупродукты'!$C$6:$E$62,3,FALSE()),IFERROR(VLOOKUP(IFERROR(INDEX('Рецептуры'!$F:$F,MATCH($C12&amp;"|"&amp;5,'Рецептуры'!$K:$K,0)),""),'Сырьё'!$C$6:$E$233,3,FALSE()),0)))+(IFERROR(INDEX('Рецептуры'!$G:$G,MATCH($C12&amp;"|"&amp;6,'Рецептуры'!$K:$K,0)),0))*(IFERROR(VLOOKUP(IFERROR(INDEX('Рецептуры'!$F:$F,MATCH($C12&amp;"|"&amp;6,'Рецептуры'!$K:$K,0)),""),'Полупродукты'!$C$6:$E$62,3,FALSE()),IFERROR(VLOOKUP(IFERROR(INDEX('Рецептуры'!$F:$F,MATCH($C12&amp;"|"&amp;6,'Рецептуры'!$K:$K,0)),""),'Сырьё'!$C$6:$E$233,3,FALSE()),0)))+(IFERROR(INDEX('Рецептуры'!$G:$G,MATCH($C12&amp;"|"&amp;7,'Рецептуры'!$K:$K,0)),0))*(IFERROR(VLOOKUP(IFERROR(INDEX('Рецептуры'!$F:$F,MATCH($C12&amp;"|"&amp;7,'Рецептуры'!$K:$K,0)),""),'Полупродукты'!$C$6:$E$62,3,FALSE()),IFERROR(VLOOKUP(IFERROR(INDEX('Рецептуры'!$F:$F,MATCH($C12&amp;"|"&amp;7,'Рецептуры'!$K:$K,0)),""),'Сырьё'!$C$6:$E$233,3,FALSE()),0)))+(IFERROR(INDEX('Рецептуры'!$G:$G,MATCH($C12&amp;"|"&amp;8,'Рецептуры'!$K:$K,0)),0))*(IFERROR(VLOOKUP(IFERROR(INDEX('Рецептуры'!$F:$F,MATCH($C12&amp;"|"&amp;8,'Рецептуры'!$K:$K,0)),""),'Полупродукты'!$C$6:$E$62,3,FALSE()),IFERROR(VLOOKUP(IFERROR(INDEX('Рецептуры'!$F:$F,MATCH($C12&amp;"|"&amp;8,'Рецептуры'!$K:$K,0)),""),'Сырьё'!$C$6:$E$233,3,FALSE()),0)))+(IFERROR(INDEX('Рецептуры'!$G:$G,MATCH($C12&amp;"|"&amp;9,'Рецептуры'!$K:$K,0)),0))*(IFERROR(VLOOKUP(IFERROR(INDEX('Рецептуры'!$F:$F,MATCH($C12&amp;"|"&amp;9,'Рецептуры'!$K:$K,0)),""),'Полупродукты'!$C$6:$E$62,3,FALSE()),IFERROR(VLOOKUP(IFERROR(INDEX('Рецептуры'!$F:$F,MATCH($C12&amp;"|"&amp;9,'Рецептуры'!$K:$K,0)),""),'Сырьё'!$C$6:$E$233,3,FALSE()),0)))+(IFERROR(INDEX('Рецептуры'!$G:$G,MATCH($C12&amp;"|"&amp;10,'Рецептуры'!$K:$K,0)),0))*(IFERROR(VLOOKUP(IFERROR(INDEX('Рецептуры'!$F:$F,MATCH($C12&amp;"|"&amp;10,'Рецептуры'!$K:$K,0)),""),'Полупродукты'!$C$6:$E$62,3,FALSE()),IFERROR(VLOOKUP(IFERROR(INDEX('Рецептуры'!$F:$F,MATCH($C12&amp;"|"&amp;10,'Рецептуры'!$K:$K,0)),""),'Сырьё'!$C$6:$E$233,3,FALSE()),0)))+(IFERROR(INDEX('Рецептуры'!$G:$G,MATCH($C12&amp;"|"&amp;11,'Рецептуры'!$K:$K,0)),0))*(IFERROR(VLOOKUP(IFERROR(INDEX('Рецептуры'!$F:$F,MATCH($C12&amp;"|"&amp;11,'Рецептуры'!$K:$K,0)),""),'Полупродукты'!$C$6:$E$62,3,FALSE()),IFERROR(VLOOKUP(IFERROR(INDEX('Рецептуры'!$F:$F,MATCH($C12&amp;"|"&amp;11,'Рецептуры'!$K:$K,0)),""),'Сырьё'!$C$6:$E$233,3,FALSE()),0)))+(IFERROR(INDEX('Рецептуры'!$G:$G,MATCH($C12&amp;"|"&amp;12,'Рецептуры'!$K:$K,0)),0))*(IFERROR(VLOOKUP(IFERROR(INDEX('Рецептуры'!$F:$F,MATCH($C12&amp;"|"&amp;12,'Рецептуры'!$K:$K,0)),""),'Полупродукты'!$C$6:$E$62,3,FALSE()),IFERROR(VLOOKUP(IFERROR(INDEX('Рецептуры'!$F:$F,MATCH($C12&amp;"|"&amp;12,'Рецептуры'!$K:$K,0)),""),'Сырьё'!$C$6:$E$233,3,FALSE()),0)))+(IFERROR(INDEX('Рецептуры'!$G:$G,MATCH($C12&amp;"|"&amp;13,'Рецептуры'!$K:$K,0)),0))*(IFERROR(VLOOKUP(IFERROR(INDEX('Рецептуры'!$F:$F,MATCH($C12&amp;"|"&amp;13,'Рецептуры'!$K:$K,0)),""),'Полупродукты'!$C$6:$E$62,3,FALSE()),IFERROR(VLOOKUP(IFERROR(INDEX('Рецептуры'!$F:$F,MATCH($C12&amp;"|"&amp;13,'Рецептуры'!$K:$K,0)),""),'Сырьё'!$C$6:$E$233,3,FALSE()),0)))+(IFERROR(INDEX('Рецептуры'!$G:$G,MATCH($C12&amp;"|"&amp;14,'Рецептуры'!$K:$K,0)),0))*(IFERROR(VLOOKUP(IFERROR(INDEX('Рецептуры'!$F:$F,MATCH($C12&amp;"|"&amp;14,'Рецептуры'!$K:$K,0)),""),'Полупродукты'!$C$6:$E$62,3,FALSE()),IFERROR(VLOOKUP(IFERROR(INDEX('Рецептуры'!$F:$F,MATCH($C12&amp;"|"&amp;14,'Рецептуры'!$K:$K,0)),""),'Сырьё'!$C$6:$E$233,3,FALSE()),0)))+(IFERROR(INDEX('Рецептуры'!$G:$G,MATCH($C12&amp;"|"&amp;15,'Рецептуры'!$K:$K,0)),0))*(IFERROR(VLOOKUP(IFERROR(INDEX('Рецептуры'!$F:$F,MATCH($C12&amp;"|"&amp;15,'Рецептуры'!$K:$K,0)),""),'Полупродукты'!$C$6:$E$62,3,FALSE()),IFERROR(VLOOKUP(IFERROR(INDEX('Рецептуры'!$F:$F,MATCH($C12&amp;"|"&amp;15,'Рецептуры'!$K:$K,0)),""),'Сырьё'!$C$6:$E$233,3,FALSE()),0))),4)</f>
        <v>2.4741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96">
        <v>8.0</v>
      </c>
      <c r="C13" s="97" t="s">
        <v>728</v>
      </c>
      <c r="D13" s="96">
        <v>2.0</v>
      </c>
      <c r="E13" s="214">
        <f t="array" ref="E13">ROUND((IFERROR(INDEX('Рецептуры'!$G:$G,MATCH($C13&amp;"|"&amp;1,'Рецептуры'!$K:$K,0)),0))*(IFERROR(VLOOKUP(IFERROR(INDEX('Рецептуры'!$F:$F,MATCH($C13&amp;"|"&amp;1,'Рецептуры'!$K:$K,0)),""),'Полупродукты'!$C$6:$E$62,3,FALSE()),IFERROR(VLOOKUP(IFERROR(INDEX('Рецептуры'!$F:$F,MATCH($C13&amp;"|"&amp;1,'Рецептуры'!$K:$K,0)),""),'Сырьё'!$C$6:$E$233,3,FALSE()),0)))+(IFERROR(INDEX('Рецептуры'!$G:$G,MATCH($C13&amp;"|"&amp;2,'Рецептуры'!$K:$K,0)),0))*(IFERROR(VLOOKUP(IFERROR(INDEX('Рецептуры'!$F:$F,MATCH($C13&amp;"|"&amp;2,'Рецептуры'!$K:$K,0)),""),'Полупродукты'!$C$6:$E$62,3,FALSE()),IFERROR(VLOOKUP(IFERROR(INDEX('Рецептуры'!$F:$F,MATCH($C13&amp;"|"&amp;2,'Рецептуры'!$K:$K,0)),""),'Сырьё'!$C$6:$E$233,3,FALSE()),0)))+(IFERROR(INDEX('Рецептуры'!$G:$G,MATCH($C13&amp;"|"&amp;3,'Рецептуры'!$K:$K,0)),0))*(IFERROR(VLOOKUP(IFERROR(INDEX('Рецептуры'!$F:$F,MATCH($C13&amp;"|"&amp;3,'Рецептуры'!$K:$K,0)),""),'Полупродукты'!$C$6:$E$62,3,FALSE()),IFERROR(VLOOKUP(IFERROR(INDEX('Рецептуры'!$F:$F,MATCH($C13&amp;"|"&amp;3,'Рецептуры'!$K:$K,0)),""),'Сырьё'!$C$6:$E$233,3,FALSE()),0)))+(IFERROR(INDEX('Рецептуры'!$G:$G,MATCH($C13&amp;"|"&amp;4,'Рецептуры'!$K:$K,0)),0))*(IFERROR(VLOOKUP(IFERROR(INDEX('Рецептуры'!$F:$F,MATCH($C13&amp;"|"&amp;4,'Рецептуры'!$K:$K,0)),""),'Полупродукты'!$C$6:$E$62,3,FALSE()),IFERROR(VLOOKUP(IFERROR(INDEX('Рецептуры'!$F:$F,MATCH($C13&amp;"|"&amp;4,'Рецептуры'!$K:$K,0)),""),'Сырьё'!$C$6:$E$233,3,FALSE()),0)))+(IFERROR(INDEX('Рецептуры'!$G:$G,MATCH($C13&amp;"|"&amp;5,'Рецептуры'!$K:$K,0)),0))*(IFERROR(VLOOKUP(IFERROR(INDEX('Рецептуры'!$F:$F,MATCH($C13&amp;"|"&amp;5,'Рецептуры'!$K:$K,0)),""),'Полупродукты'!$C$6:$E$62,3,FALSE()),IFERROR(VLOOKUP(IFERROR(INDEX('Рецептуры'!$F:$F,MATCH($C13&amp;"|"&amp;5,'Рецептуры'!$K:$K,0)),""),'Сырьё'!$C$6:$E$233,3,FALSE()),0)))+(IFERROR(INDEX('Рецептуры'!$G:$G,MATCH($C13&amp;"|"&amp;6,'Рецептуры'!$K:$K,0)),0))*(IFERROR(VLOOKUP(IFERROR(INDEX('Рецептуры'!$F:$F,MATCH($C13&amp;"|"&amp;6,'Рецептуры'!$K:$K,0)),""),'Полупродукты'!$C$6:$E$62,3,FALSE()),IFERROR(VLOOKUP(IFERROR(INDEX('Рецептуры'!$F:$F,MATCH($C13&amp;"|"&amp;6,'Рецептуры'!$K:$K,0)),""),'Сырьё'!$C$6:$E$233,3,FALSE()),0)))+(IFERROR(INDEX('Рецептуры'!$G:$G,MATCH($C13&amp;"|"&amp;7,'Рецептуры'!$K:$K,0)),0))*(IFERROR(VLOOKUP(IFERROR(INDEX('Рецептуры'!$F:$F,MATCH($C13&amp;"|"&amp;7,'Рецептуры'!$K:$K,0)),""),'Полупродукты'!$C$6:$E$62,3,FALSE()),IFERROR(VLOOKUP(IFERROR(INDEX('Рецептуры'!$F:$F,MATCH($C13&amp;"|"&amp;7,'Рецептуры'!$K:$K,0)),""),'Сырьё'!$C$6:$E$233,3,FALSE()),0)))+(IFERROR(INDEX('Рецептуры'!$G:$G,MATCH($C13&amp;"|"&amp;8,'Рецептуры'!$K:$K,0)),0))*(IFERROR(VLOOKUP(IFERROR(INDEX('Рецептуры'!$F:$F,MATCH($C13&amp;"|"&amp;8,'Рецептуры'!$K:$K,0)),""),'Полупродукты'!$C$6:$E$62,3,FALSE()),IFERROR(VLOOKUP(IFERROR(INDEX('Рецептуры'!$F:$F,MATCH($C13&amp;"|"&amp;8,'Рецептуры'!$K:$K,0)),""),'Сырьё'!$C$6:$E$233,3,FALSE()),0)))+(IFERROR(INDEX('Рецептуры'!$G:$G,MATCH($C13&amp;"|"&amp;9,'Рецептуры'!$K:$K,0)),0))*(IFERROR(VLOOKUP(IFERROR(INDEX('Рецептуры'!$F:$F,MATCH($C13&amp;"|"&amp;9,'Рецептуры'!$K:$K,0)),""),'Полупродукты'!$C$6:$E$62,3,FALSE()),IFERROR(VLOOKUP(IFERROR(INDEX('Рецептуры'!$F:$F,MATCH($C13&amp;"|"&amp;9,'Рецептуры'!$K:$K,0)),""),'Сырьё'!$C$6:$E$233,3,FALSE()),0)))+(IFERROR(INDEX('Рецептуры'!$G:$G,MATCH($C13&amp;"|"&amp;10,'Рецептуры'!$K:$K,0)),0))*(IFERROR(VLOOKUP(IFERROR(INDEX('Рецептуры'!$F:$F,MATCH($C13&amp;"|"&amp;10,'Рецептуры'!$K:$K,0)),""),'Полупродукты'!$C$6:$E$62,3,FALSE()),IFERROR(VLOOKUP(IFERROR(INDEX('Рецептуры'!$F:$F,MATCH($C13&amp;"|"&amp;10,'Рецептуры'!$K:$K,0)),""),'Сырьё'!$C$6:$E$233,3,FALSE()),0)))+(IFERROR(INDEX('Рецептуры'!$G:$G,MATCH($C13&amp;"|"&amp;11,'Рецептуры'!$K:$K,0)),0))*(IFERROR(VLOOKUP(IFERROR(INDEX('Рецептуры'!$F:$F,MATCH($C13&amp;"|"&amp;11,'Рецептуры'!$K:$K,0)),""),'Полупродукты'!$C$6:$E$62,3,FALSE()),IFERROR(VLOOKUP(IFERROR(INDEX('Рецептуры'!$F:$F,MATCH($C13&amp;"|"&amp;11,'Рецептуры'!$K:$K,0)),""),'Сырьё'!$C$6:$E$233,3,FALSE()),0)))+(IFERROR(INDEX('Рецептуры'!$G:$G,MATCH($C13&amp;"|"&amp;12,'Рецептуры'!$K:$K,0)),0))*(IFERROR(VLOOKUP(IFERROR(INDEX('Рецептуры'!$F:$F,MATCH($C13&amp;"|"&amp;12,'Рецептуры'!$K:$K,0)),""),'Полупродукты'!$C$6:$E$62,3,FALSE()),IFERROR(VLOOKUP(IFERROR(INDEX('Рецептуры'!$F:$F,MATCH($C13&amp;"|"&amp;12,'Рецептуры'!$K:$K,0)),""),'Сырьё'!$C$6:$E$233,3,FALSE()),0)))+(IFERROR(INDEX('Рецептуры'!$G:$G,MATCH($C13&amp;"|"&amp;13,'Рецептуры'!$K:$K,0)),0))*(IFERROR(VLOOKUP(IFERROR(INDEX('Рецептуры'!$F:$F,MATCH($C13&amp;"|"&amp;13,'Рецептуры'!$K:$K,0)),""),'Полупродукты'!$C$6:$E$62,3,FALSE()),IFERROR(VLOOKUP(IFERROR(INDEX('Рецептуры'!$F:$F,MATCH($C13&amp;"|"&amp;13,'Рецептуры'!$K:$K,0)),""),'Сырьё'!$C$6:$E$233,3,FALSE()),0)))+(IFERROR(INDEX('Рецептуры'!$G:$G,MATCH($C13&amp;"|"&amp;14,'Рецептуры'!$K:$K,0)),0))*(IFERROR(VLOOKUP(IFERROR(INDEX('Рецептуры'!$F:$F,MATCH($C13&amp;"|"&amp;14,'Рецептуры'!$K:$K,0)),""),'Полупродукты'!$C$6:$E$62,3,FALSE()),IFERROR(VLOOKUP(IFERROR(INDEX('Рецептуры'!$F:$F,MATCH($C13&amp;"|"&amp;14,'Рецептуры'!$K:$K,0)),""),'Сырьё'!$C$6:$E$233,3,FALSE()),0)))+(IFERROR(INDEX('Рецептуры'!$G:$G,MATCH($C13&amp;"|"&amp;15,'Рецептуры'!$K:$K,0)),0))*(IFERROR(VLOOKUP(IFERROR(INDEX('Рецептуры'!$F:$F,MATCH($C13&amp;"|"&amp;15,'Рецептуры'!$K:$K,0)),""),'Полупродукты'!$C$6:$E$62,3,FALSE()),IFERROR(VLOOKUP(IFERROR(INDEX('Рецептуры'!$F:$F,MATCH($C13&amp;"|"&amp;15,'Рецептуры'!$K:$K,0)),""),'Сырьё'!$C$6:$E$233,3,FALSE()),0))),4)</f>
        <v>3.3618</v>
      </c>
      <c r="F13" s="212" t="s">
        <v>729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88">
        <v>9.0</v>
      </c>
      <c r="C14" s="89" t="s">
        <v>731</v>
      </c>
      <c r="D14" s="88">
        <v>2.0</v>
      </c>
      <c r="E14" s="213">
        <f t="array" ref="E14">ROUND((IFERROR(INDEX('Рецептуры'!$G:$G,MATCH($C14&amp;"|"&amp;1,'Рецептуры'!$K:$K,0)),0))*(IFERROR(VLOOKUP(IFERROR(INDEX('Рецептуры'!$F:$F,MATCH($C14&amp;"|"&amp;1,'Рецептуры'!$K:$K,0)),""),'Полупродукты'!$C$6:$E$62,3,FALSE()),IFERROR(VLOOKUP(IFERROR(INDEX('Рецептуры'!$F:$F,MATCH($C14&amp;"|"&amp;1,'Рецептуры'!$K:$K,0)),""),'Сырьё'!$C$6:$E$233,3,FALSE()),0)))+(IFERROR(INDEX('Рецептуры'!$G:$G,MATCH($C14&amp;"|"&amp;2,'Рецептуры'!$K:$K,0)),0))*(IFERROR(VLOOKUP(IFERROR(INDEX('Рецептуры'!$F:$F,MATCH($C14&amp;"|"&amp;2,'Рецептуры'!$K:$K,0)),""),'Полупродукты'!$C$6:$E$62,3,FALSE()),IFERROR(VLOOKUP(IFERROR(INDEX('Рецептуры'!$F:$F,MATCH($C14&amp;"|"&amp;2,'Рецептуры'!$K:$K,0)),""),'Сырьё'!$C$6:$E$233,3,FALSE()),0)))+(IFERROR(INDEX('Рецептуры'!$G:$G,MATCH($C14&amp;"|"&amp;3,'Рецептуры'!$K:$K,0)),0))*(IFERROR(VLOOKUP(IFERROR(INDEX('Рецептуры'!$F:$F,MATCH($C14&amp;"|"&amp;3,'Рецептуры'!$K:$K,0)),""),'Полупродукты'!$C$6:$E$62,3,FALSE()),IFERROR(VLOOKUP(IFERROR(INDEX('Рецептуры'!$F:$F,MATCH($C14&amp;"|"&amp;3,'Рецептуры'!$K:$K,0)),""),'Сырьё'!$C$6:$E$233,3,FALSE()),0)))+(IFERROR(INDEX('Рецептуры'!$G:$G,MATCH($C14&amp;"|"&amp;4,'Рецептуры'!$K:$K,0)),0))*(IFERROR(VLOOKUP(IFERROR(INDEX('Рецептуры'!$F:$F,MATCH($C14&amp;"|"&amp;4,'Рецептуры'!$K:$K,0)),""),'Полупродукты'!$C$6:$E$62,3,FALSE()),IFERROR(VLOOKUP(IFERROR(INDEX('Рецептуры'!$F:$F,MATCH($C14&amp;"|"&amp;4,'Рецептуры'!$K:$K,0)),""),'Сырьё'!$C$6:$E$233,3,FALSE()),0)))+(IFERROR(INDEX('Рецептуры'!$G:$G,MATCH($C14&amp;"|"&amp;5,'Рецептуры'!$K:$K,0)),0))*(IFERROR(VLOOKUP(IFERROR(INDEX('Рецептуры'!$F:$F,MATCH($C14&amp;"|"&amp;5,'Рецептуры'!$K:$K,0)),""),'Полупродукты'!$C$6:$E$62,3,FALSE()),IFERROR(VLOOKUP(IFERROR(INDEX('Рецептуры'!$F:$F,MATCH($C14&amp;"|"&amp;5,'Рецептуры'!$K:$K,0)),""),'Сырьё'!$C$6:$E$233,3,FALSE()),0)))+(IFERROR(INDEX('Рецептуры'!$G:$G,MATCH($C14&amp;"|"&amp;6,'Рецептуры'!$K:$K,0)),0))*(IFERROR(VLOOKUP(IFERROR(INDEX('Рецептуры'!$F:$F,MATCH($C14&amp;"|"&amp;6,'Рецептуры'!$K:$K,0)),""),'Полупродукты'!$C$6:$E$62,3,FALSE()),IFERROR(VLOOKUP(IFERROR(INDEX('Рецептуры'!$F:$F,MATCH($C14&amp;"|"&amp;6,'Рецептуры'!$K:$K,0)),""),'Сырьё'!$C$6:$E$233,3,FALSE()),0)))+(IFERROR(INDEX('Рецептуры'!$G:$G,MATCH($C14&amp;"|"&amp;7,'Рецептуры'!$K:$K,0)),0))*(IFERROR(VLOOKUP(IFERROR(INDEX('Рецептуры'!$F:$F,MATCH($C14&amp;"|"&amp;7,'Рецептуры'!$K:$K,0)),""),'Полупродукты'!$C$6:$E$62,3,FALSE()),IFERROR(VLOOKUP(IFERROR(INDEX('Рецептуры'!$F:$F,MATCH($C14&amp;"|"&amp;7,'Рецептуры'!$K:$K,0)),""),'Сырьё'!$C$6:$E$233,3,FALSE()),0)))+(IFERROR(INDEX('Рецептуры'!$G:$G,MATCH($C14&amp;"|"&amp;8,'Рецептуры'!$K:$K,0)),0))*(IFERROR(VLOOKUP(IFERROR(INDEX('Рецептуры'!$F:$F,MATCH($C14&amp;"|"&amp;8,'Рецептуры'!$K:$K,0)),""),'Полупродукты'!$C$6:$E$62,3,FALSE()),IFERROR(VLOOKUP(IFERROR(INDEX('Рецептуры'!$F:$F,MATCH($C14&amp;"|"&amp;8,'Рецептуры'!$K:$K,0)),""),'Сырьё'!$C$6:$E$233,3,FALSE()),0)))+(IFERROR(INDEX('Рецептуры'!$G:$G,MATCH($C14&amp;"|"&amp;9,'Рецептуры'!$K:$K,0)),0))*(IFERROR(VLOOKUP(IFERROR(INDEX('Рецептуры'!$F:$F,MATCH($C14&amp;"|"&amp;9,'Рецептуры'!$K:$K,0)),""),'Полупродукты'!$C$6:$E$62,3,FALSE()),IFERROR(VLOOKUP(IFERROR(INDEX('Рецептуры'!$F:$F,MATCH($C14&amp;"|"&amp;9,'Рецептуры'!$K:$K,0)),""),'Сырьё'!$C$6:$E$233,3,FALSE()),0)))+(IFERROR(INDEX('Рецептуры'!$G:$G,MATCH($C14&amp;"|"&amp;10,'Рецептуры'!$K:$K,0)),0))*(IFERROR(VLOOKUP(IFERROR(INDEX('Рецептуры'!$F:$F,MATCH($C14&amp;"|"&amp;10,'Рецептуры'!$K:$K,0)),""),'Полупродукты'!$C$6:$E$62,3,FALSE()),IFERROR(VLOOKUP(IFERROR(INDEX('Рецептуры'!$F:$F,MATCH($C14&amp;"|"&amp;10,'Рецептуры'!$K:$K,0)),""),'Сырьё'!$C$6:$E$233,3,FALSE()),0)))+(IFERROR(INDEX('Рецептуры'!$G:$G,MATCH($C14&amp;"|"&amp;11,'Рецептуры'!$K:$K,0)),0))*(IFERROR(VLOOKUP(IFERROR(INDEX('Рецептуры'!$F:$F,MATCH($C14&amp;"|"&amp;11,'Рецептуры'!$K:$K,0)),""),'Полупродукты'!$C$6:$E$62,3,FALSE()),IFERROR(VLOOKUP(IFERROR(INDEX('Рецептуры'!$F:$F,MATCH($C14&amp;"|"&amp;11,'Рецептуры'!$K:$K,0)),""),'Сырьё'!$C$6:$E$233,3,FALSE()),0)))+(IFERROR(INDEX('Рецептуры'!$G:$G,MATCH($C14&amp;"|"&amp;12,'Рецептуры'!$K:$K,0)),0))*(IFERROR(VLOOKUP(IFERROR(INDEX('Рецептуры'!$F:$F,MATCH($C14&amp;"|"&amp;12,'Рецептуры'!$K:$K,0)),""),'Полупродукты'!$C$6:$E$62,3,FALSE()),IFERROR(VLOOKUP(IFERROR(INDEX('Рецептуры'!$F:$F,MATCH($C14&amp;"|"&amp;12,'Рецептуры'!$K:$K,0)),""),'Сырьё'!$C$6:$E$233,3,FALSE()),0)))+(IFERROR(INDEX('Рецептуры'!$G:$G,MATCH($C14&amp;"|"&amp;13,'Рецептуры'!$K:$K,0)),0))*(IFERROR(VLOOKUP(IFERROR(INDEX('Рецептуры'!$F:$F,MATCH($C14&amp;"|"&amp;13,'Рецептуры'!$K:$K,0)),""),'Полупродукты'!$C$6:$E$62,3,FALSE()),IFERROR(VLOOKUP(IFERROR(INDEX('Рецептуры'!$F:$F,MATCH($C14&amp;"|"&amp;13,'Рецептуры'!$K:$K,0)),""),'Сырьё'!$C$6:$E$233,3,FALSE()),0)))+(IFERROR(INDEX('Рецептуры'!$G:$G,MATCH($C14&amp;"|"&amp;14,'Рецептуры'!$K:$K,0)),0))*(IFERROR(VLOOKUP(IFERROR(INDEX('Рецептуры'!$F:$F,MATCH($C14&amp;"|"&amp;14,'Рецептуры'!$K:$K,0)),""),'Полупродукты'!$C$6:$E$62,3,FALSE()),IFERROR(VLOOKUP(IFERROR(INDEX('Рецептуры'!$F:$F,MATCH($C14&amp;"|"&amp;14,'Рецептуры'!$K:$K,0)),""),'Сырьё'!$C$6:$E$233,3,FALSE()),0)))+(IFERROR(INDEX('Рецептуры'!$G:$G,MATCH($C14&amp;"|"&amp;15,'Рецептуры'!$K:$K,0)),0))*(IFERROR(VLOOKUP(IFERROR(INDEX('Рецептуры'!$F:$F,MATCH($C14&amp;"|"&amp;15,'Рецептуры'!$K:$K,0)),""),'Полупродукты'!$C$6:$E$62,3,FALSE()),IFERROR(VLOOKUP(IFERROR(INDEX('Рецептуры'!$F:$F,MATCH($C14&amp;"|"&amp;15,'Рецептуры'!$K:$K,0)),""),'Сырьё'!$C$6:$E$233,3,FALSE()),0))),4)</f>
        <v>3.5039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96">
        <v>10.0</v>
      </c>
      <c r="C15" s="97" t="s">
        <v>732</v>
      </c>
      <c r="D15" s="96">
        <v>2.0</v>
      </c>
      <c r="E15" s="214">
        <f t="array" ref="E15">ROUND((IFERROR(INDEX('Рецептуры'!$G:$G,MATCH($C15&amp;"|"&amp;1,'Рецептуры'!$K:$K,0)),0))*(IFERROR(VLOOKUP(IFERROR(INDEX('Рецептуры'!$F:$F,MATCH($C15&amp;"|"&amp;1,'Рецептуры'!$K:$K,0)),""),'Полупродукты'!$C$6:$E$62,3,FALSE()),IFERROR(VLOOKUP(IFERROR(INDEX('Рецептуры'!$F:$F,MATCH($C15&amp;"|"&amp;1,'Рецептуры'!$K:$K,0)),""),'Сырьё'!$C$6:$E$233,3,FALSE()),0)))+(IFERROR(INDEX('Рецептуры'!$G:$G,MATCH($C15&amp;"|"&amp;2,'Рецептуры'!$K:$K,0)),0))*(IFERROR(VLOOKUP(IFERROR(INDEX('Рецептуры'!$F:$F,MATCH($C15&amp;"|"&amp;2,'Рецептуры'!$K:$K,0)),""),'Полупродукты'!$C$6:$E$62,3,FALSE()),IFERROR(VLOOKUP(IFERROR(INDEX('Рецептуры'!$F:$F,MATCH($C15&amp;"|"&amp;2,'Рецептуры'!$K:$K,0)),""),'Сырьё'!$C$6:$E$233,3,FALSE()),0)))+(IFERROR(INDEX('Рецептуры'!$G:$G,MATCH($C15&amp;"|"&amp;3,'Рецептуры'!$K:$K,0)),0))*(IFERROR(VLOOKUP(IFERROR(INDEX('Рецептуры'!$F:$F,MATCH($C15&amp;"|"&amp;3,'Рецептуры'!$K:$K,0)),""),'Полупродукты'!$C$6:$E$62,3,FALSE()),IFERROR(VLOOKUP(IFERROR(INDEX('Рецептуры'!$F:$F,MATCH($C15&amp;"|"&amp;3,'Рецептуры'!$K:$K,0)),""),'Сырьё'!$C$6:$E$233,3,FALSE()),0)))+(IFERROR(INDEX('Рецептуры'!$G:$G,MATCH($C15&amp;"|"&amp;4,'Рецептуры'!$K:$K,0)),0))*(IFERROR(VLOOKUP(IFERROR(INDEX('Рецептуры'!$F:$F,MATCH($C15&amp;"|"&amp;4,'Рецептуры'!$K:$K,0)),""),'Полупродукты'!$C$6:$E$62,3,FALSE()),IFERROR(VLOOKUP(IFERROR(INDEX('Рецептуры'!$F:$F,MATCH($C15&amp;"|"&amp;4,'Рецептуры'!$K:$K,0)),""),'Сырьё'!$C$6:$E$233,3,FALSE()),0)))+(IFERROR(INDEX('Рецептуры'!$G:$G,MATCH($C15&amp;"|"&amp;5,'Рецептуры'!$K:$K,0)),0))*(IFERROR(VLOOKUP(IFERROR(INDEX('Рецептуры'!$F:$F,MATCH($C15&amp;"|"&amp;5,'Рецептуры'!$K:$K,0)),""),'Полупродукты'!$C$6:$E$62,3,FALSE()),IFERROR(VLOOKUP(IFERROR(INDEX('Рецептуры'!$F:$F,MATCH($C15&amp;"|"&amp;5,'Рецептуры'!$K:$K,0)),""),'Сырьё'!$C$6:$E$233,3,FALSE()),0)))+(IFERROR(INDEX('Рецептуры'!$G:$G,MATCH($C15&amp;"|"&amp;6,'Рецептуры'!$K:$K,0)),0))*(IFERROR(VLOOKUP(IFERROR(INDEX('Рецептуры'!$F:$F,MATCH($C15&amp;"|"&amp;6,'Рецептуры'!$K:$K,0)),""),'Полупродукты'!$C$6:$E$62,3,FALSE()),IFERROR(VLOOKUP(IFERROR(INDEX('Рецептуры'!$F:$F,MATCH($C15&amp;"|"&amp;6,'Рецептуры'!$K:$K,0)),""),'Сырьё'!$C$6:$E$233,3,FALSE()),0)))+(IFERROR(INDEX('Рецептуры'!$G:$G,MATCH($C15&amp;"|"&amp;7,'Рецептуры'!$K:$K,0)),0))*(IFERROR(VLOOKUP(IFERROR(INDEX('Рецептуры'!$F:$F,MATCH($C15&amp;"|"&amp;7,'Рецептуры'!$K:$K,0)),""),'Полупродукты'!$C$6:$E$62,3,FALSE()),IFERROR(VLOOKUP(IFERROR(INDEX('Рецептуры'!$F:$F,MATCH($C15&amp;"|"&amp;7,'Рецептуры'!$K:$K,0)),""),'Сырьё'!$C$6:$E$233,3,FALSE()),0)))+(IFERROR(INDEX('Рецептуры'!$G:$G,MATCH($C15&amp;"|"&amp;8,'Рецептуры'!$K:$K,0)),0))*(IFERROR(VLOOKUP(IFERROR(INDEX('Рецептуры'!$F:$F,MATCH($C15&amp;"|"&amp;8,'Рецептуры'!$K:$K,0)),""),'Полупродукты'!$C$6:$E$62,3,FALSE()),IFERROR(VLOOKUP(IFERROR(INDEX('Рецептуры'!$F:$F,MATCH($C15&amp;"|"&amp;8,'Рецептуры'!$K:$K,0)),""),'Сырьё'!$C$6:$E$233,3,FALSE()),0)))+(IFERROR(INDEX('Рецептуры'!$G:$G,MATCH($C15&amp;"|"&amp;9,'Рецептуры'!$K:$K,0)),0))*(IFERROR(VLOOKUP(IFERROR(INDEX('Рецептуры'!$F:$F,MATCH($C15&amp;"|"&amp;9,'Рецептуры'!$K:$K,0)),""),'Полупродукты'!$C$6:$E$62,3,FALSE()),IFERROR(VLOOKUP(IFERROR(INDEX('Рецептуры'!$F:$F,MATCH($C15&amp;"|"&amp;9,'Рецептуры'!$K:$K,0)),""),'Сырьё'!$C$6:$E$233,3,FALSE()),0)))+(IFERROR(INDEX('Рецептуры'!$G:$G,MATCH($C15&amp;"|"&amp;10,'Рецептуры'!$K:$K,0)),0))*(IFERROR(VLOOKUP(IFERROR(INDEX('Рецептуры'!$F:$F,MATCH($C15&amp;"|"&amp;10,'Рецептуры'!$K:$K,0)),""),'Полупродукты'!$C$6:$E$62,3,FALSE()),IFERROR(VLOOKUP(IFERROR(INDEX('Рецептуры'!$F:$F,MATCH($C15&amp;"|"&amp;10,'Рецептуры'!$K:$K,0)),""),'Сырьё'!$C$6:$E$233,3,FALSE()),0)))+(IFERROR(INDEX('Рецептуры'!$G:$G,MATCH($C15&amp;"|"&amp;11,'Рецептуры'!$K:$K,0)),0))*(IFERROR(VLOOKUP(IFERROR(INDEX('Рецептуры'!$F:$F,MATCH($C15&amp;"|"&amp;11,'Рецептуры'!$K:$K,0)),""),'Полупродукты'!$C$6:$E$62,3,FALSE()),IFERROR(VLOOKUP(IFERROR(INDEX('Рецептуры'!$F:$F,MATCH($C15&amp;"|"&amp;11,'Рецептуры'!$K:$K,0)),""),'Сырьё'!$C$6:$E$233,3,FALSE()),0)))+(IFERROR(INDEX('Рецептуры'!$G:$G,MATCH($C15&amp;"|"&amp;12,'Рецептуры'!$K:$K,0)),0))*(IFERROR(VLOOKUP(IFERROR(INDEX('Рецептуры'!$F:$F,MATCH($C15&amp;"|"&amp;12,'Рецептуры'!$K:$K,0)),""),'Полупродукты'!$C$6:$E$62,3,FALSE()),IFERROR(VLOOKUP(IFERROR(INDEX('Рецептуры'!$F:$F,MATCH($C15&amp;"|"&amp;12,'Рецептуры'!$K:$K,0)),""),'Сырьё'!$C$6:$E$233,3,FALSE()),0)))+(IFERROR(INDEX('Рецептуры'!$G:$G,MATCH($C15&amp;"|"&amp;13,'Рецептуры'!$K:$K,0)),0))*(IFERROR(VLOOKUP(IFERROR(INDEX('Рецептуры'!$F:$F,MATCH($C15&amp;"|"&amp;13,'Рецептуры'!$K:$K,0)),""),'Полупродукты'!$C$6:$E$62,3,FALSE()),IFERROR(VLOOKUP(IFERROR(INDEX('Рецептуры'!$F:$F,MATCH($C15&amp;"|"&amp;13,'Рецептуры'!$K:$K,0)),""),'Сырьё'!$C$6:$E$233,3,FALSE()),0)))+(IFERROR(INDEX('Рецептуры'!$G:$G,MATCH($C15&amp;"|"&amp;14,'Рецептуры'!$K:$K,0)),0))*(IFERROR(VLOOKUP(IFERROR(INDEX('Рецептуры'!$F:$F,MATCH($C15&amp;"|"&amp;14,'Рецептуры'!$K:$K,0)),""),'Полупродукты'!$C$6:$E$62,3,FALSE()),IFERROR(VLOOKUP(IFERROR(INDEX('Рецептуры'!$F:$F,MATCH($C15&amp;"|"&amp;14,'Рецептуры'!$K:$K,0)),""),'Сырьё'!$C$6:$E$233,3,FALSE()),0)))+(IFERROR(INDEX('Рецептуры'!$G:$G,MATCH($C15&amp;"|"&amp;15,'Рецептуры'!$K:$K,0)),0))*(IFERROR(VLOOKUP(IFERROR(INDEX('Рецептуры'!$F:$F,MATCH($C15&amp;"|"&amp;15,'Рецептуры'!$K:$K,0)),""),'Полупродукты'!$C$6:$E$62,3,FALSE()),IFERROR(VLOOKUP(IFERROR(INDEX('Рецептуры'!$F:$F,MATCH($C15&amp;"|"&amp;15,'Рецептуры'!$K:$K,0)),""),'Сырьё'!$C$6:$E$233,3,FALSE()),0))),4)</f>
        <v>4.0722</v>
      </c>
      <c r="F15" s="212" t="s">
        <v>733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88">
        <v>11.0</v>
      </c>
      <c r="C16" s="89" t="s">
        <v>734</v>
      </c>
      <c r="D16" s="88">
        <v>4.0</v>
      </c>
      <c r="E16" s="213">
        <f t="array" ref="E16">ROUND((IFERROR(INDEX('Рецептуры'!$G:$G,MATCH($C16&amp;"|"&amp;1,'Рецептуры'!$K:$K,0)),0))*(IFERROR(VLOOKUP(IFERROR(INDEX('Рецептуры'!$F:$F,MATCH($C16&amp;"|"&amp;1,'Рецептуры'!$K:$K,0)),""),'Полупродукты'!$C$6:$E$62,3,FALSE()),IFERROR(VLOOKUP(IFERROR(INDEX('Рецептуры'!$F:$F,MATCH($C16&amp;"|"&amp;1,'Рецептуры'!$K:$K,0)),""),'Сырьё'!$C$6:$E$233,3,FALSE()),0)))+(IFERROR(INDEX('Рецептуры'!$G:$G,MATCH($C16&amp;"|"&amp;2,'Рецептуры'!$K:$K,0)),0))*(IFERROR(VLOOKUP(IFERROR(INDEX('Рецептуры'!$F:$F,MATCH($C16&amp;"|"&amp;2,'Рецептуры'!$K:$K,0)),""),'Полупродукты'!$C$6:$E$62,3,FALSE()),IFERROR(VLOOKUP(IFERROR(INDEX('Рецептуры'!$F:$F,MATCH($C16&amp;"|"&amp;2,'Рецептуры'!$K:$K,0)),""),'Сырьё'!$C$6:$E$233,3,FALSE()),0)))+(IFERROR(INDEX('Рецептуры'!$G:$G,MATCH($C16&amp;"|"&amp;3,'Рецептуры'!$K:$K,0)),0))*(IFERROR(VLOOKUP(IFERROR(INDEX('Рецептуры'!$F:$F,MATCH($C16&amp;"|"&amp;3,'Рецептуры'!$K:$K,0)),""),'Полупродукты'!$C$6:$E$62,3,FALSE()),IFERROR(VLOOKUP(IFERROR(INDEX('Рецептуры'!$F:$F,MATCH($C16&amp;"|"&amp;3,'Рецептуры'!$K:$K,0)),""),'Сырьё'!$C$6:$E$233,3,FALSE()),0)))+(IFERROR(INDEX('Рецептуры'!$G:$G,MATCH($C16&amp;"|"&amp;4,'Рецептуры'!$K:$K,0)),0))*(IFERROR(VLOOKUP(IFERROR(INDEX('Рецептуры'!$F:$F,MATCH($C16&amp;"|"&amp;4,'Рецептуры'!$K:$K,0)),""),'Полупродукты'!$C$6:$E$62,3,FALSE()),IFERROR(VLOOKUP(IFERROR(INDEX('Рецептуры'!$F:$F,MATCH($C16&amp;"|"&amp;4,'Рецептуры'!$K:$K,0)),""),'Сырьё'!$C$6:$E$233,3,FALSE()),0)))+(IFERROR(INDEX('Рецептуры'!$G:$G,MATCH($C16&amp;"|"&amp;5,'Рецептуры'!$K:$K,0)),0))*(IFERROR(VLOOKUP(IFERROR(INDEX('Рецептуры'!$F:$F,MATCH($C16&amp;"|"&amp;5,'Рецептуры'!$K:$K,0)),""),'Полупродукты'!$C$6:$E$62,3,FALSE()),IFERROR(VLOOKUP(IFERROR(INDEX('Рецептуры'!$F:$F,MATCH($C16&amp;"|"&amp;5,'Рецептуры'!$K:$K,0)),""),'Сырьё'!$C$6:$E$233,3,FALSE()),0)))+(IFERROR(INDEX('Рецептуры'!$G:$G,MATCH($C16&amp;"|"&amp;6,'Рецептуры'!$K:$K,0)),0))*(IFERROR(VLOOKUP(IFERROR(INDEX('Рецептуры'!$F:$F,MATCH($C16&amp;"|"&amp;6,'Рецептуры'!$K:$K,0)),""),'Полупродукты'!$C$6:$E$62,3,FALSE()),IFERROR(VLOOKUP(IFERROR(INDEX('Рецептуры'!$F:$F,MATCH($C16&amp;"|"&amp;6,'Рецептуры'!$K:$K,0)),""),'Сырьё'!$C$6:$E$233,3,FALSE()),0)))+(IFERROR(INDEX('Рецептуры'!$G:$G,MATCH($C16&amp;"|"&amp;7,'Рецептуры'!$K:$K,0)),0))*(IFERROR(VLOOKUP(IFERROR(INDEX('Рецептуры'!$F:$F,MATCH($C16&amp;"|"&amp;7,'Рецептуры'!$K:$K,0)),""),'Полупродукты'!$C$6:$E$62,3,FALSE()),IFERROR(VLOOKUP(IFERROR(INDEX('Рецептуры'!$F:$F,MATCH($C16&amp;"|"&amp;7,'Рецептуры'!$K:$K,0)),""),'Сырьё'!$C$6:$E$233,3,FALSE()),0)))+(IFERROR(INDEX('Рецептуры'!$G:$G,MATCH($C16&amp;"|"&amp;8,'Рецептуры'!$K:$K,0)),0))*(IFERROR(VLOOKUP(IFERROR(INDEX('Рецептуры'!$F:$F,MATCH($C16&amp;"|"&amp;8,'Рецептуры'!$K:$K,0)),""),'Полупродукты'!$C$6:$E$62,3,FALSE()),IFERROR(VLOOKUP(IFERROR(INDEX('Рецептуры'!$F:$F,MATCH($C16&amp;"|"&amp;8,'Рецептуры'!$K:$K,0)),""),'Сырьё'!$C$6:$E$233,3,FALSE()),0)))+(IFERROR(INDEX('Рецептуры'!$G:$G,MATCH($C16&amp;"|"&amp;9,'Рецептуры'!$K:$K,0)),0))*(IFERROR(VLOOKUP(IFERROR(INDEX('Рецептуры'!$F:$F,MATCH($C16&amp;"|"&amp;9,'Рецептуры'!$K:$K,0)),""),'Полупродукты'!$C$6:$E$62,3,FALSE()),IFERROR(VLOOKUP(IFERROR(INDEX('Рецептуры'!$F:$F,MATCH($C16&amp;"|"&amp;9,'Рецептуры'!$K:$K,0)),""),'Сырьё'!$C$6:$E$233,3,FALSE()),0)))+(IFERROR(INDEX('Рецептуры'!$G:$G,MATCH($C16&amp;"|"&amp;10,'Рецептуры'!$K:$K,0)),0))*(IFERROR(VLOOKUP(IFERROR(INDEX('Рецептуры'!$F:$F,MATCH($C16&amp;"|"&amp;10,'Рецептуры'!$K:$K,0)),""),'Полупродукты'!$C$6:$E$62,3,FALSE()),IFERROR(VLOOKUP(IFERROR(INDEX('Рецептуры'!$F:$F,MATCH($C16&amp;"|"&amp;10,'Рецептуры'!$K:$K,0)),""),'Сырьё'!$C$6:$E$233,3,FALSE()),0)))+(IFERROR(INDEX('Рецептуры'!$G:$G,MATCH($C16&amp;"|"&amp;11,'Рецептуры'!$K:$K,0)),0))*(IFERROR(VLOOKUP(IFERROR(INDEX('Рецептуры'!$F:$F,MATCH($C16&amp;"|"&amp;11,'Рецептуры'!$K:$K,0)),""),'Полупродукты'!$C$6:$E$62,3,FALSE()),IFERROR(VLOOKUP(IFERROR(INDEX('Рецептуры'!$F:$F,MATCH($C16&amp;"|"&amp;11,'Рецептуры'!$K:$K,0)),""),'Сырьё'!$C$6:$E$233,3,FALSE()),0)))+(IFERROR(INDEX('Рецептуры'!$G:$G,MATCH($C16&amp;"|"&amp;12,'Рецептуры'!$K:$K,0)),0))*(IFERROR(VLOOKUP(IFERROR(INDEX('Рецептуры'!$F:$F,MATCH($C16&amp;"|"&amp;12,'Рецептуры'!$K:$K,0)),""),'Полупродукты'!$C$6:$E$62,3,FALSE()),IFERROR(VLOOKUP(IFERROR(INDEX('Рецептуры'!$F:$F,MATCH($C16&amp;"|"&amp;12,'Рецептуры'!$K:$K,0)),""),'Сырьё'!$C$6:$E$233,3,FALSE()),0)))+(IFERROR(INDEX('Рецептуры'!$G:$G,MATCH($C16&amp;"|"&amp;13,'Рецептуры'!$K:$K,0)),0))*(IFERROR(VLOOKUP(IFERROR(INDEX('Рецептуры'!$F:$F,MATCH($C16&amp;"|"&amp;13,'Рецептуры'!$K:$K,0)),""),'Полупродукты'!$C$6:$E$62,3,FALSE()),IFERROR(VLOOKUP(IFERROR(INDEX('Рецептуры'!$F:$F,MATCH($C16&amp;"|"&amp;13,'Рецептуры'!$K:$K,0)),""),'Сырьё'!$C$6:$E$233,3,FALSE()),0)))+(IFERROR(INDEX('Рецептуры'!$G:$G,MATCH($C16&amp;"|"&amp;14,'Рецептуры'!$K:$K,0)),0))*(IFERROR(VLOOKUP(IFERROR(INDEX('Рецептуры'!$F:$F,MATCH($C16&amp;"|"&amp;14,'Рецептуры'!$K:$K,0)),""),'Полупродукты'!$C$6:$E$62,3,FALSE()),IFERROR(VLOOKUP(IFERROR(INDEX('Рецептуры'!$F:$F,MATCH($C16&amp;"|"&amp;14,'Рецептуры'!$K:$K,0)),""),'Сырьё'!$C$6:$E$233,3,FALSE()),0)))+(IFERROR(INDEX('Рецептуры'!$G:$G,MATCH($C16&amp;"|"&amp;15,'Рецептуры'!$K:$K,0)),0))*(IFERROR(VLOOKUP(IFERROR(INDEX('Рецептуры'!$F:$F,MATCH($C16&amp;"|"&amp;15,'Рецептуры'!$K:$K,0)),""),'Полупродукты'!$C$6:$E$62,3,FALSE()),IFERROR(VLOOKUP(IFERROR(INDEX('Рецептуры'!$F:$F,MATCH($C16&amp;"|"&amp;15,'Рецептуры'!$K:$K,0)),""),'Сырьё'!$C$6:$E$233,3,FALSE()),0))),4)</f>
        <v>4.1239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96">
        <v>12.0</v>
      </c>
      <c r="C17" s="97" t="s">
        <v>385</v>
      </c>
      <c r="D17" s="96">
        <v>4.0</v>
      </c>
      <c r="E17" s="214">
        <f t="array" ref="E17">ROUND((IFERROR(INDEX('Рецептуры'!$G:$G,MATCH($C17&amp;"|"&amp;1,'Рецептуры'!$K:$K,0)),0))*(IFERROR(VLOOKUP(IFERROR(INDEX('Рецептуры'!$F:$F,MATCH($C17&amp;"|"&amp;1,'Рецептуры'!$K:$K,0)),""),'Полупродукты'!$C$6:$E$62,3,FALSE()),IFERROR(VLOOKUP(IFERROR(INDEX('Рецептуры'!$F:$F,MATCH($C17&amp;"|"&amp;1,'Рецептуры'!$K:$K,0)),""),'Сырьё'!$C$6:$E$233,3,FALSE()),0)))+(IFERROR(INDEX('Рецептуры'!$G:$G,MATCH($C17&amp;"|"&amp;2,'Рецептуры'!$K:$K,0)),0))*(IFERROR(VLOOKUP(IFERROR(INDEX('Рецептуры'!$F:$F,MATCH($C17&amp;"|"&amp;2,'Рецептуры'!$K:$K,0)),""),'Полупродукты'!$C$6:$E$62,3,FALSE()),IFERROR(VLOOKUP(IFERROR(INDEX('Рецептуры'!$F:$F,MATCH($C17&amp;"|"&amp;2,'Рецептуры'!$K:$K,0)),""),'Сырьё'!$C$6:$E$233,3,FALSE()),0)))+(IFERROR(INDEX('Рецептуры'!$G:$G,MATCH($C17&amp;"|"&amp;3,'Рецептуры'!$K:$K,0)),0))*(IFERROR(VLOOKUP(IFERROR(INDEX('Рецептуры'!$F:$F,MATCH($C17&amp;"|"&amp;3,'Рецептуры'!$K:$K,0)),""),'Полупродукты'!$C$6:$E$62,3,FALSE()),IFERROR(VLOOKUP(IFERROR(INDEX('Рецептуры'!$F:$F,MATCH($C17&amp;"|"&amp;3,'Рецептуры'!$K:$K,0)),""),'Сырьё'!$C$6:$E$233,3,FALSE()),0)))+(IFERROR(INDEX('Рецептуры'!$G:$G,MATCH($C17&amp;"|"&amp;4,'Рецептуры'!$K:$K,0)),0))*(IFERROR(VLOOKUP(IFERROR(INDEX('Рецептуры'!$F:$F,MATCH($C17&amp;"|"&amp;4,'Рецептуры'!$K:$K,0)),""),'Полупродукты'!$C$6:$E$62,3,FALSE()),IFERROR(VLOOKUP(IFERROR(INDEX('Рецептуры'!$F:$F,MATCH($C17&amp;"|"&amp;4,'Рецептуры'!$K:$K,0)),""),'Сырьё'!$C$6:$E$233,3,FALSE()),0)))+(IFERROR(INDEX('Рецептуры'!$G:$G,MATCH($C17&amp;"|"&amp;5,'Рецептуры'!$K:$K,0)),0))*(IFERROR(VLOOKUP(IFERROR(INDEX('Рецептуры'!$F:$F,MATCH($C17&amp;"|"&amp;5,'Рецептуры'!$K:$K,0)),""),'Полупродукты'!$C$6:$E$62,3,FALSE()),IFERROR(VLOOKUP(IFERROR(INDEX('Рецептуры'!$F:$F,MATCH($C17&amp;"|"&amp;5,'Рецептуры'!$K:$K,0)),""),'Сырьё'!$C$6:$E$233,3,FALSE()),0)))+(IFERROR(INDEX('Рецептуры'!$G:$G,MATCH($C17&amp;"|"&amp;6,'Рецептуры'!$K:$K,0)),0))*(IFERROR(VLOOKUP(IFERROR(INDEX('Рецептуры'!$F:$F,MATCH($C17&amp;"|"&amp;6,'Рецептуры'!$K:$K,0)),""),'Полупродукты'!$C$6:$E$62,3,FALSE()),IFERROR(VLOOKUP(IFERROR(INDEX('Рецептуры'!$F:$F,MATCH($C17&amp;"|"&amp;6,'Рецептуры'!$K:$K,0)),""),'Сырьё'!$C$6:$E$233,3,FALSE()),0)))+(IFERROR(INDEX('Рецептуры'!$G:$G,MATCH($C17&amp;"|"&amp;7,'Рецептуры'!$K:$K,0)),0))*(IFERROR(VLOOKUP(IFERROR(INDEX('Рецептуры'!$F:$F,MATCH($C17&amp;"|"&amp;7,'Рецептуры'!$K:$K,0)),""),'Полупродукты'!$C$6:$E$62,3,FALSE()),IFERROR(VLOOKUP(IFERROR(INDEX('Рецептуры'!$F:$F,MATCH($C17&amp;"|"&amp;7,'Рецептуры'!$K:$K,0)),""),'Сырьё'!$C$6:$E$233,3,FALSE()),0)))+(IFERROR(INDEX('Рецептуры'!$G:$G,MATCH($C17&amp;"|"&amp;8,'Рецептуры'!$K:$K,0)),0))*(IFERROR(VLOOKUP(IFERROR(INDEX('Рецептуры'!$F:$F,MATCH($C17&amp;"|"&amp;8,'Рецептуры'!$K:$K,0)),""),'Полупродукты'!$C$6:$E$62,3,FALSE()),IFERROR(VLOOKUP(IFERROR(INDEX('Рецептуры'!$F:$F,MATCH($C17&amp;"|"&amp;8,'Рецептуры'!$K:$K,0)),""),'Сырьё'!$C$6:$E$233,3,FALSE()),0)))+(IFERROR(INDEX('Рецептуры'!$G:$G,MATCH($C17&amp;"|"&amp;9,'Рецептуры'!$K:$K,0)),0))*(IFERROR(VLOOKUP(IFERROR(INDEX('Рецептуры'!$F:$F,MATCH($C17&amp;"|"&amp;9,'Рецептуры'!$K:$K,0)),""),'Полупродукты'!$C$6:$E$62,3,FALSE()),IFERROR(VLOOKUP(IFERROR(INDEX('Рецептуры'!$F:$F,MATCH($C17&amp;"|"&amp;9,'Рецептуры'!$K:$K,0)),""),'Сырьё'!$C$6:$E$233,3,FALSE()),0)))+(IFERROR(INDEX('Рецептуры'!$G:$G,MATCH($C17&amp;"|"&amp;10,'Рецептуры'!$K:$K,0)),0))*(IFERROR(VLOOKUP(IFERROR(INDEX('Рецептуры'!$F:$F,MATCH($C17&amp;"|"&amp;10,'Рецептуры'!$K:$K,0)),""),'Полупродукты'!$C$6:$E$62,3,FALSE()),IFERROR(VLOOKUP(IFERROR(INDEX('Рецептуры'!$F:$F,MATCH($C17&amp;"|"&amp;10,'Рецептуры'!$K:$K,0)),""),'Сырьё'!$C$6:$E$233,3,FALSE()),0)))+(IFERROR(INDEX('Рецептуры'!$G:$G,MATCH($C17&amp;"|"&amp;11,'Рецептуры'!$K:$K,0)),0))*(IFERROR(VLOOKUP(IFERROR(INDEX('Рецептуры'!$F:$F,MATCH($C17&amp;"|"&amp;11,'Рецептуры'!$K:$K,0)),""),'Полупродукты'!$C$6:$E$62,3,FALSE()),IFERROR(VLOOKUP(IFERROR(INDEX('Рецептуры'!$F:$F,MATCH($C17&amp;"|"&amp;11,'Рецептуры'!$K:$K,0)),""),'Сырьё'!$C$6:$E$233,3,FALSE()),0)))+(IFERROR(INDEX('Рецептуры'!$G:$G,MATCH($C17&amp;"|"&amp;12,'Рецептуры'!$K:$K,0)),0))*(IFERROR(VLOOKUP(IFERROR(INDEX('Рецептуры'!$F:$F,MATCH($C17&amp;"|"&amp;12,'Рецептуры'!$K:$K,0)),""),'Полупродукты'!$C$6:$E$62,3,FALSE()),IFERROR(VLOOKUP(IFERROR(INDEX('Рецептуры'!$F:$F,MATCH($C17&amp;"|"&amp;12,'Рецептуры'!$K:$K,0)),""),'Сырьё'!$C$6:$E$233,3,FALSE()),0)))+(IFERROR(INDEX('Рецептуры'!$G:$G,MATCH($C17&amp;"|"&amp;13,'Рецептуры'!$K:$K,0)),0))*(IFERROR(VLOOKUP(IFERROR(INDEX('Рецептуры'!$F:$F,MATCH($C17&amp;"|"&amp;13,'Рецептуры'!$K:$K,0)),""),'Полупродукты'!$C$6:$E$62,3,FALSE()),IFERROR(VLOOKUP(IFERROR(INDEX('Рецептуры'!$F:$F,MATCH($C17&amp;"|"&amp;13,'Рецептуры'!$K:$K,0)),""),'Сырьё'!$C$6:$E$233,3,FALSE()),0)))+(IFERROR(INDEX('Рецептуры'!$G:$G,MATCH($C17&amp;"|"&amp;14,'Рецептуры'!$K:$K,0)),0))*(IFERROR(VLOOKUP(IFERROR(INDEX('Рецептуры'!$F:$F,MATCH($C17&amp;"|"&amp;14,'Рецептуры'!$K:$K,0)),""),'Полупродукты'!$C$6:$E$62,3,FALSE()),IFERROR(VLOOKUP(IFERROR(INDEX('Рецептуры'!$F:$F,MATCH($C17&amp;"|"&amp;14,'Рецептуры'!$K:$K,0)),""),'Сырьё'!$C$6:$E$233,3,FALSE()),0)))+(IFERROR(INDEX('Рецептуры'!$G:$G,MATCH($C17&amp;"|"&amp;15,'Рецептуры'!$K:$K,0)),0))*(IFERROR(VLOOKUP(IFERROR(INDEX('Рецептуры'!$F:$F,MATCH($C17&amp;"|"&amp;15,'Рецептуры'!$K:$K,0)),""),'Полупродукты'!$C$6:$E$62,3,FALSE()),IFERROR(VLOOKUP(IFERROR(INDEX('Рецептуры'!$F:$F,MATCH($C17&amp;"|"&amp;15,'Рецептуры'!$K:$K,0)),""),'Сырьё'!$C$6:$E$233,3,FALSE()),0))),4)</f>
        <v>3.1829</v>
      </c>
      <c r="F17" s="212" t="s">
        <v>735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88">
        <v>13.0</v>
      </c>
      <c r="C18" s="89" t="s">
        <v>736</v>
      </c>
      <c r="D18" s="88">
        <v>3.0</v>
      </c>
      <c r="E18" s="213">
        <f t="array" ref="E18">ROUND((IFERROR(INDEX('Рецептуры'!$G:$G,MATCH($C18&amp;"|"&amp;1,'Рецептуры'!$K:$K,0)),0))*(IFERROR(VLOOKUP(IFERROR(INDEX('Рецептуры'!$F:$F,MATCH($C18&amp;"|"&amp;1,'Рецептуры'!$K:$K,0)),""),'Полупродукты'!$C$6:$E$62,3,FALSE()),IFERROR(VLOOKUP(IFERROR(INDEX('Рецептуры'!$F:$F,MATCH($C18&amp;"|"&amp;1,'Рецептуры'!$K:$K,0)),""),'Сырьё'!$C$6:$E$233,3,FALSE()),0)))+(IFERROR(INDEX('Рецептуры'!$G:$G,MATCH($C18&amp;"|"&amp;2,'Рецептуры'!$K:$K,0)),0))*(IFERROR(VLOOKUP(IFERROR(INDEX('Рецептуры'!$F:$F,MATCH($C18&amp;"|"&amp;2,'Рецептуры'!$K:$K,0)),""),'Полупродукты'!$C$6:$E$62,3,FALSE()),IFERROR(VLOOKUP(IFERROR(INDEX('Рецептуры'!$F:$F,MATCH($C18&amp;"|"&amp;2,'Рецептуры'!$K:$K,0)),""),'Сырьё'!$C$6:$E$233,3,FALSE()),0)))+(IFERROR(INDEX('Рецептуры'!$G:$G,MATCH($C18&amp;"|"&amp;3,'Рецептуры'!$K:$K,0)),0))*(IFERROR(VLOOKUP(IFERROR(INDEX('Рецептуры'!$F:$F,MATCH($C18&amp;"|"&amp;3,'Рецептуры'!$K:$K,0)),""),'Полупродукты'!$C$6:$E$62,3,FALSE()),IFERROR(VLOOKUP(IFERROR(INDEX('Рецептуры'!$F:$F,MATCH($C18&amp;"|"&amp;3,'Рецептуры'!$K:$K,0)),""),'Сырьё'!$C$6:$E$233,3,FALSE()),0)))+(IFERROR(INDEX('Рецептуры'!$G:$G,MATCH($C18&amp;"|"&amp;4,'Рецептуры'!$K:$K,0)),0))*(IFERROR(VLOOKUP(IFERROR(INDEX('Рецептуры'!$F:$F,MATCH($C18&amp;"|"&amp;4,'Рецептуры'!$K:$K,0)),""),'Полупродукты'!$C$6:$E$62,3,FALSE()),IFERROR(VLOOKUP(IFERROR(INDEX('Рецептуры'!$F:$F,MATCH($C18&amp;"|"&amp;4,'Рецептуры'!$K:$K,0)),""),'Сырьё'!$C$6:$E$233,3,FALSE()),0)))+(IFERROR(INDEX('Рецептуры'!$G:$G,MATCH($C18&amp;"|"&amp;5,'Рецептуры'!$K:$K,0)),0))*(IFERROR(VLOOKUP(IFERROR(INDEX('Рецептуры'!$F:$F,MATCH($C18&amp;"|"&amp;5,'Рецептуры'!$K:$K,0)),""),'Полупродукты'!$C$6:$E$62,3,FALSE()),IFERROR(VLOOKUP(IFERROR(INDEX('Рецептуры'!$F:$F,MATCH($C18&amp;"|"&amp;5,'Рецептуры'!$K:$K,0)),""),'Сырьё'!$C$6:$E$233,3,FALSE()),0)))+(IFERROR(INDEX('Рецептуры'!$G:$G,MATCH($C18&amp;"|"&amp;6,'Рецептуры'!$K:$K,0)),0))*(IFERROR(VLOOKUP(IFERROR(INDEX('Рецептуры'!$F:$F,MATCH($C18&amp;"|"&amp;6,'Рецептуры'!$K:$K,0)),""),'Полупродукты'!$C$6:$E$62,3,FALSE()),IFERROR(VLOOKUP(IFERROR(INDEX('Рецептуры'!$F:$F,MATCH($C18&amp;"|"&amp;6,'Рецептуры'!$K:$K,0)),""),'Сырьё'!$C$6:$E$233,3,FALSE()),0)))+(IFERROR(INDEX('Рецептуры'!$G:$G,MATCH($C18&amp;"|"&amp;7,'Рецептуры'!$K:$K,0)),0))*(IFERROR(VLOOKUP(IFERROR(INDEX('Рецептуры'!$F:$F,MATCH($C18&amp;"|"&amp;7,'Рецептуры'!$K:$K,0)),""),'Полупродукты'!$C$6:$E$62,3,FALSE()),IFERROR(VLOOKUP(IFERROR(INDEX('Рецептуры'!$F:$F,MATCH($C18&amp;"|"&amp;7,'Рецептуры'!$K:$K,0)),""),'Сырьё'!$C$6:$E$233,3,FALSE()),0)))+(IFERROR(INDEX('Рецептуры'!$G:$G,MATCH($C18&amp;"|"&amp;8,'Рецептуры'!$K:$K,0)),0))*(IFERROR(VLOOKUP(IFERROR(INDEX('Рецептуры'!$F:$F,MATCH($C18&amp;"|"&amp;8,'Рецептуры'!$K:$K,0)),""),'Полупродукты'!$C$6:$E$62,3,FALSE()),IFERROR(VLOOKUP(IFERROR(INDEX('Рецептуры'!$F:$F,MATCH($C18&amp;"|"&amp;8,'Рецептуры'!$K:$K,0)),""),'Сырьё'!$C$6:$E$233,3,FALSE()),0)))+(IFERROR(INDEX('Рецептуры'!$G:$G,MATCH($C18&amp;"|"&amp;9,'Рецептуры'!$K:$K,0)),0))*(IFERROR(VLOOKUP(IFERROR(INDEX('Рецептуры'!$F:$F,MATCH($C18&amp;"|"&amp;9,'Рецептуры'!$K:$K,0)),""),'Полупродукты'!$C$6:$E$62,3,FALSE()),IFERROR(VLOOKUP(IFERROR(INDEX('Рецептуры'!$F:$F,MATCH($C18&amp;"|"&amp;9,'Рецептуры'!$K:$K,0)),""),'Сырьё'!$C$6:$E$233,3,FALSE()),0)))+(IFERROR(INDEX('Рецептуры'!$G:$G,MATCH($C18&amp;"|"&amp;10,'Рецептуры'!$K:$K,0)),0))*(IFERROR(VLOOKUP(IFERROR(INDEX('Рецептуры'!$F:$F,MATCH($C18&amp;"|"&amp;10,'Рецептуры'!$K:$K,0)),""),'Полупродукты'!$C$6:$E$62,3,FALSE()),IFERROR(VLOOKUP(IFERROR(INDEX('Рецептуры'!$F:$F,MATCH($C18&amp;"|"&amp;10,'Рецептуры'!$K:$K,0)),""),'Сырьё'!$C$6:$E$233,3,FALSE()),0)))+(IFERROR(INDEX('Рецептуры'!$G:$G,MATCH($C18&amp;"|"&amp;11,'Рецептуры'!$K:$K,0)),0))*(IFERROR(VLOOKUP(IFERROR(INDEX('Рецептуры'!$F:$F,MATCH($C18&amp;"|"&amp;11,'Рецептуры'!$K:$K,0)),""),'Полупродукты'!$C$6:$E$62,3,FALSE()),IFERROR(VLOOKUP(IFERROR(INDEX('Рецептуры'!$F:$F,MATCH($C18&amp;"|"&amp;11,'Рецептуры'!$K:$K,0)),""),'Сырьё'!$C$6:$E$233,3,FALSE()),0)))+(IFERROR(INDEX('Рецептуры'!$G:$G,MATCH($C18&amp;"|"&amp;12,'Рецептуры'!$K:$K,0)),0))*(IFERROR(VLOOKUP(IFERROR(INDEX('Рецептуры'!$F:$F,MATCH($C18&amp;"|"&amp;12,'Рецептуры'!$K:$K,0)),""),'Полупродукты'!$C$6:$E$62,3,FALSE()),IFERROR(VLOOKUP(IFERROR(INDEX('Рецептуры'!$F:$F,MATCH($C18&amp;"|"&amp;12,'Рецептуры'!$K:$K,0)),""),'Сырьё'!$C$6:$E$233,3,FALSE()),0)))+(IFERROR(INDEX('Рецептуры'!$G:$G,MATCH($C18&amp;"|"&amp;13,'Рецептуры'!$K:$K,0)),0))*(IFERROR(VLOOKUP(IFERROR(INDEX('Рецептуры'!$F:$F,MATCH($C18&amp;"|"&amp;13,'Рецептуры'!$K:$K,0)),""),'Полупродукты'!$C$6:$E$62,3,FALSE()),IFERROR(VLOOKUP(IFERROR(INDEX('Рецептуры'!$F:$F,MATCH($C18&amp;"|"&amp;13,'Рецептуры'!$K:$K,0)),""),'Сырьё'!$C$6:$E$233,3,FALSE()),0)))+(IFERROR(INDEX('Рецептуры'!$G:$G,MATCH($C18&amp;"|"&amp;14,'Рецептуры'!$K:$K,0)),0))*(IFERROR(VLOOKUP(IFERROR(INDEX('Рецептуры'!$F:$F,MATCH($C18&amp;"|"&amp;14,'Рецептуры'!$K:$K,0)),""),'Полупродукты'!$C$6:$E$62,3,FALSE()),IFERROR(VLOOKUP(IFERROR(INDEX('Рецептуры'!$F:$F,MATCH($C18&amp;"|"&amp;14,'Рецептуры'!$K:$K,0)),""),'Сырьё'!$C$6:$E$233,3,FALSE()),0)))+(IFERROR(INDEX('Рецептуры'!$G:$G,MATCH($C18&amp;"|"&amp;15,'Рецептуры'!$K:$K,0)),0))*(IFERROR(VLOOKUP(IFERROR(INDEX('Рецептуры'!$F:$F,MATCH($C18&amp;"|"&amp;15,'Рецептуры'!$K:$K,0)),""),'Полупродукты'!$C$6:$E$62,3,FALSE()),IFERROR(VLOOKUP(IFERROR(INDEX('Рецептуры'!$F:$F,MATCH($C18&amp;"|"&amp;15,'Рецептуры'!$K:$K,0)),""),'Сырьё'!$C$6:$E$233,3,FALSE()),0))),4)</f>
        <v>3.0796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96">
        <v>14.0</v>
      </c>
      <c r="C19" s="97" t="s">
        <v>737</v>
      </c>
      <c r="D19" s="96">
        <v>4.0</v>
      </c>
      <c r="E19" s="214">
        <f t="array" ref="E19">ROUND((IFERROR(INDEX('Рецептуры'!$G:$G,MATCH($C19&amp;"|"&amp;1,'Рецептуры'!$K:$K,0)),0))*(IFERROR(VLOOKUP(IFERROR(INDEX('Рецептуры'!$F:$F,MATCH($C19&amp;"|"&amp;1,'Рецептуры'!$K:$K,0)),""),'Полупродукты'!$C$6:$E$62,3,FALSE()),IFERROR(VLOOKUP(IFERROR(INDEX('Рецептуры'!$F:$F,MATCH($C19&amp;"|"&amp;1,'Рецептуры'!$K:$K,0)),""),'Сырьё'!$C$6:$E$233,3,FALSE()),0)))+(IFERROR(INDEX('Рецептуры'!$G:$G,MATCH($C19&amp;"|"&amp;2,'Рецептуры'!$K:$K,0)),0))*(IFERROR(VLOOKUP(IFERROR(INDEX('Рецептуры'!$F:$F,MATCH($C19&amp;"|"&amp;2,'Рецептуры'!$K:$K,0)),""),'Полупродукты'!$C$6:$E$62,3,FALSE()),IFERROR(VLOOKUP(IFERROR(INDEX('Рецептуры'!$F:$F,MATCH($C19&amp;"|"&amp;2,'Рецептуры'!$K:$K,0)),""),'Сырьё'!$C$6:$E$233,3,FALSE()),0)))+(IFERROR(INDEX('Рецептуры'!$G:$G,MATCH($C19&amp;"|"&amp;3,'Рецептуры'!$K:$K,0)),0))*(IFERROR(VLOOKUP(IFERROR(INDEX('Рецептуры'!$F:$F,MATCH($C19&amp;"|"&amp;3,'Рецептуры'!$K:$K,0)),""),'Полупродукты'!$C$6:$E$62,3,FALSE()),IFERROR(VLOOKUP(IFERROR(INDEX('Рецептуры'!$F:$F,MATCH($C19&amp;"|"&amp;3,'Рецептуры'!$K:$K,0)),""),'Сырьё'!$C$6:$E$233,3,FALSE()),0)))+(IFERROR(INDEX('Рецептуры'!$G:$G,MATCH($C19&amp;"|"&amp;4,'Рецептуры'!$K:$K,0)),0))*(IFERROR(VLOOKUP(IFERROR(INDEX('Рецептуры'!$F:$F,MATCH($C19&amp;"|"&amp;4,'Рецептуры'!$K:$K,0)),""),'Полупродукты'!$C$6:$E$62,3,FALSE()),IFERROR(VLOOKUP(IFERROR(INDEX('Рецептуры'!$F:$F,MATCH($C19&amp;"|"&amp;4,'Рецептуры'!$K:$K,0)),""),'Сырьё'!$C$6:$E$233,3,FALSE()),0)))+(IFERROR(INDEX('Рецептуры'!$G:$G,MATCH($C19&amp;"|"&amp;5,'Рецептуры'!$K:$K,0)),0))*(IFERROR(VLOOKUP(IFERROR(INDEX('Рецептуры'!$F:$F,MATCH($C19&amp;"|"&amp;5,'Рецептуры'!$K:$K,0)),""),'Полупродукты'!$C$6:$E$62,3,FALSE()),IFERROR(VLOOKUP(IFERROR(INDEX('Рецептуры'!$F:$F,MATCH($C19&amp;"|"&amp;5,'Рецептуры'!$K:$K,0)),""),'Сырьё'!$C$6:$E$233,3,FALSE()),0)))+(IFERROR(INDEX('Рецептуры'!$G:$G,MATCH($C19&amp;"|"&amp;6,'Рецептуры'!$K:$K,0)),0))*(IFERROR(VLOOKUP(IFERROR(INDEX('Рецептуры'!$F:$F,MATCH($C19&amp;"|"&amp;6,'Рецептуры'!$K:$K,0)),""),'Полупродукты'!$C$6:$E$62,3,FALSE()),IFERROR(VLOOKUP(IFERROR(INDEX('Рецептуры'!$F:$F,MATCH($C19&amp;"|"&amp;6,'Рецептуры'!$K:$K,0)),""),'Сырьё'!$C$6:$E$233,3,FALSE()),0)))+(IFERROR(INDEX('Рецептуры'!$G:$G,MATCH($C19&amp;"|"&amp;7,'Рецептуры'!$K:$K,0)),0))*(IFERROR(VLOOKUP(IFERROR(INDEX('Рецептуры'!$F:$F,MATCH($C19&amp;"|"&amp;7,'Рецептуры'!$K:$K,0)),""),'Полупродукты'!$C$6:$E$62,3,FALSE()),IFERROR(VLOOKUP(IFERROR(INDEX('Рецептуры'!$F:$F,MATCH($C19&amp;"|"&amp;7,'Рецептуры'!$K:$K,0)),""),'Сырьё'!$C$6:$E$233,3,FALSE()),0)))+(IFERROR(INDEX('Рецептуры'!$G:$G,MATCH($C19&amp;"|"&amp;8,'Рецептуры'!$K:$K,0)),0))*(IFERROR(VLOOKUP(IFERROR(INDEX('Рецептуры'!$F:$F,MATCH($C19&amp;"|"&amp;8,'Рецептуры'!$K:$K,0)),""),'Полупродукты'!$C$6:$E$62,3,FALSE()),IFERROR(VLOOKUP(IFERROR(INDEX('Рецептуры'!$F:$F,MATCH($C19&amp;"|"&amp;8,'Рецептуры'!$K:$K,0)),""),'Сырьё'!$C$6:$E$233,3,FALSE()),0)))+(IFERROR(INDEX('Рецептуры'!$G:$G,MATCH($C19&amp;"|"&amp;9,'Рецептуры'!$K:$K,0)),0))*(IFERROR(VLOOKUP(IFERROR(INDEX('Рецептуры'!$F:$F,MATCH($C19&amp;"|"&amp;9,'Рецептуры'!$K:$K,0)),""),'Полупродукты'!$C$6:$E$62,3,FALSE()),IFERROR(VLOOKUP(IFERROR(INDEX('Рецептуры'!$F:$F,MATCH($C19&amp;"|"&amp;9,'Рецептуры'!$K:$K,0)),""),'Сырьё'!$C$6:$E$233,3,FALSE()),0)))+(IFERROR(INDEX('Рецептуры'!$G:$G,MATCH($C19&amp;"|"&amp;10,'Рецептуры'!$K:$K,0)),0))*(IFERROR(VLOOKUP(IFERROR(INDEX('Рецептуры'!$F:$F,MATCH($C19&amp;"|"&amp;10,'Рецептуры'!$K:$K,0)),""),'Полупродукты'!$C$6:$E$62,3,FALSE()),IFERROR(VLOOKUP(IFERROR(INDEX('Рецептуры'!$F:$F,MATCH($C19&amp;"|"&amp;10,'Рецептуры'!$K:$K,0)),""),'Сырьё'!$C$6:$E$233,3,FALSE()),0)))+(IFERROR(INDEX('Рецептуры'!$G:$G,MATCH($C19&amp;"|"&amp;11,'Рецептуры'!$K:$K,0)),0))*(IFERROR(VLOOKUP(IFERROR(INDEX('Рецептуры'!$F:$F,MATCH($C19&amp;"|"&amp;11,'Рецептуры'!$K:$K,0)),""),'Полупродукты'!$C$6:$E$62,3,FALSE()),IFERROR(VLOOKUP(IFERROR(INDEX('Рецептуры'!$F:$F,MATCH($C19&amp;"|"&amp;11,'Рецептуры'!$K:$K,0)),""),'Сырьё'!$C$6:$E$233,3,FALSE()),0)))+(IFERROR(INDEX('Рецептуры'!$G:$G,MATCH($C19&amp;"|"&amp;12,'Рецептуры'!$K:$K,0)),0))*(IFERROR(VLOOKUP(IFERROR(INDEX('Рецептуры'!$F:$F,MATCH($C19&amp;"|"&amp;12,'Рецептуры'!$K:$K,0)),""),'Полупродукты'!$C$6:$E$62,3,FALSE()),IFERROR(VLOOKUP(IFERROR(INDEX('Рецептуры'!$F:$F,MATCH($C19&amp;"|"&amp;12,'Рецептуры'!$K:$K,0)),""),'Сырьё'!$C$6:$E$233,3,FALSE()),0)))+(IFERROR(INDEX('Рецептуры'!$G:$G,MATCH($C19&amp;"|"&amp;13,'Рецептуры'!$K:$K,0)),0))*(IFERROR(VLOOKUP(IFERROR(INDEX('Рецептуры'!$F:$F,MATCH($C19&amp;"|"&amp;13,'Рецептуры'!$K:$K,0)),""),'Полупродукты'!$C$6:$E$62,3,FALSE()),IFERROR(VLOOKUP(IFERROR(INDEX('Рецептуры'!$F:$F,MATCH($C19&amp;"|"&amp;13,'Рецептуры'!$K:$K,0)),""),'Сырьё'!$C$6:$E$233,3,FALSE()),0)))+(IFERROR(INDEX('Рецептуры'!$G:$G,MATCH($C19&amp;"|"&amp;14,'Рецептуры'!$K:$K,0)),0))*(IFERROR(VLOOKUP(IFERROR(INDEX('Рецептуры'!$F:$F,MATCH($C19&amp;"|"&amp;14,'Рецептуры'!$K:$K,0)),""),'Полупродукты'!$C$6:$E$62,3,FALSE()),IFERROR(VLOOKUP(IFERROR(INDEX('Рецептуры'!$F:$F,MATCH($C19&amp;"|"&amp;14,'Рецептуры'!$K:$K,0)),""),'Сырьё'!$C$6:$E$233,3,FALSE()),0)))+(IFERROR(INDEX('Рецептуры'!$G:$G,MATCH($C19&amp;"|"&amp;15,'Рецептуры'!$K:$K,0)),0))*(IFERROR(VLOOKUP(IFERROR(INDEX('Рецептуры'!$F:$F,MATCH($C19&amp;"|"&amp;15,'Рецептуры'!$K:$K,0)),""),'Полупродукты'!$C$6:$E$62,3,FALSE()),IFERROR(VLOOKUP(IFERROR(INDEX('Рецептуры'!$F:$F,MATCH($C19&amp;"|"&amp;15,'Рецептуры'!$K:$K,0)),""),'Сырьё'!$C$6:$E$233,3,FALSE()),0))),4)</f>
        <v>2.1477</v>
      </c>
      <c r="F19" s="212" t="s">
        <v>738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88">
        <v>15.0</v>
      </c>
      <c r="C20" s="89" t="s">
        <v>739</v>
      </c>
      <c r="D20" s="88">
        <v>1.0</v>
      </c>
      <c r="E20" s="213">
        <f t="array" ref="E20">ROUND((IFERROR(INDEX('Рецептуры'!$G:$G,MATCH($C20&amp;"|"&amp;1,'Рецептуры'!$K:$K,0)),0))*(IFERROR(VLOOKUP(IFERROR(INDEX('Рецептуры'!$F:$F,MATCH($C20&amp;"|"&amp;1,'Рецептуры'!$K:$K,0)),""),'Полупродукты'!$C$6:$E$62,3,FALSE()),IFERROR(VLOOKUP(IFERROR(INDEX('Рецептуры'!$F:$F,MATCH($C20&amp;"|"&amp;1,'Рецептуры'!$K:$K,0)),""),'Сырьё'!$C$6:$E$233,3,FALSE()),0)))+(IFERROR(INDEX('Рецептуры'!$G:$G,MATCH($C20&amp;"|"&amp;2,'Рецептуры'!$K:$K,0)),0))*(IFERROR(VLOOKUP(IFERROR(INDEX('Рецептуры'!$F:$F,MATCH($C20&amp;"|"&amp;2,'Рецептуры'!$K:$K,0)),""),'Полупродукты'!$C$6:$E$62,3,FALSE()),IFERROR(VLOOKUP(IFERROR(INDEX('Рецептуры'!$F:$F,MATCH($C20&amp;"|"&amp;2,'Рецептуры'!$K:$K,0)),""),'Сырьё'!$C$6:$E$233,3,FALSE()),0)))+(IFERROR(INDEX('Рецептуры'!$G:$G,MATCH($C20&amp;"|"&amp;3,'Рецептуры'!$K:$K,0)),0))*(IFERROR(VLOOKUP(IFERROR(INDEX('Рецептуры'!$F:$F,MATCH($C20&amp;"|"&amp;3,'Рецептуры'!$K:$K,0)),""),'Полупродукты'!$C$6:$E$62,3,FALSE()),IFERROR(VLOOKUP(IFERROR(INDEX('Рецептуры'!$F:$F,MATCH($C20&amp;"|"&amp;3,'Рецептуры'!$K:$K,0)),""),'Сырьё'!$C$6:$E$233,3,FALSE()),0)))+(IFERROR(INDEX('Рецептуры'!$G:$G,MATCH($C20&amp;"|"&amp;4,'Рецептуры'!$K:$K,0)),0))*(IFERROR(VLOOKUP(IFERROR(INDEX('Рецептуры'!$F:$F,MATCH($C20&amp;"|"&amp;4,'Рецептуры'!$K:$K,0)),""),'Полупродукты'!$C$6:$E$62,3,FALSE()),IFERROR(VLOOKUP(IFERROR(INDEX('Рецептуры'!$F:$F,MATCH($C20&amp;"|"&amp;4,'Рецептуры'!$K:$K,0)),""),'Сырьё'!$C$6:$E$233,3,FALSE()),0)))+(IFERROR(INDEX('Рецептуры'!$G:$G,MATCH($C20&amp;"|"&amp;5,'Рецептуры'!$K:$K,0)),0))*(IFERROR(VLOOKUP(IFERROR(INDEX('Рецептуры'!$F:$F,MATCH($C20&amp;"|"&amp;5,'Рецептуры'!$K:$K,0)),""),'Полупродукты'!$C$6:$E$62,3,FALSE()),IFERROR(VLOOKUP(IFERROR(INDEX('Рецептуры'!$F:$F,MATCH($C20&amp;"|"&amp;5,'Рецептуры'!$K:$K,0)),""),'Сырьё'!$C$6:$E$233,3,FALSE()),0)))+(IFERROR(INDEX('Рецептуры'!$G:$G,MATCH($C20&amp;"|"&amp;6,'Рецептуры'!$K:$K,0)),0))*(IFERROR(VLOOKUP(IFERROR(INDEX('Рецептуры'!$F:$F,MATCH($C20&amp;"|"&amp;6,'Рецептуры'!$K:$K,0)),""),'Полупродукты'!$C$6:$E$62,3,FALSE()),IFERROR(VLOOKUP(IFERROR(INDEX('Рецептуры'!$F:$F,MATCH($C20&amp;"|"&amp;6,'Рецептуры'!$K:$K,0)),""),'Сырьё'!$C$6:$E$233,3,FALSE()),0)))+(IFERROR(INDEX('Рецептуры'!$G:$G,MATCH($C20&amp;"|"&amp;7,'Рецептуры'!$K:$K,0)),0))*(IFERROR(VLOOKUP(IFERROR(INDEX('Рецептуры'!$F:$F,MATCH($C20&amp;"|"&amp;7,'Рецептуры'!$K:$K,0)),""),'Полупродукты'!$C$6:$E$62,3,FALSE()),IFERROR(VLOOKUP(IFERROR(INDEX('Рецептуры'!$F:$F,MATCH($C20&amp;"|"&amp;7,'Рецептуры'!$K:$K,0)),""),'Сырьё'!$C$6:$E$233,3,FALSE()),0)))+(IFERROR(INDEX('Рецептуры'!$G:$G,MATCH($C20&amp;"|"&amp;8,'Рецептуры'!$K:$K,0)),0))*(IFERROR(VLOOKUP(IFERROR(INDEX('Рецептуры'!$F:$F,MATCH($C20&amp;"|"&amp;8,'Рецептуры'!$K:$K,0)),""),'Полупродукты'!$C$6:$E$62,3,FALSE()),IFERROR(VLOOKUP(IFERROR(INDEX('Рецептуры'!$F:$F,MATCH($C20&amp;"|"&amp;8,'Рецептуры'!$K:$K,0)),""),'Сырьё'!$C$6:$E$233,3,FALSE()),0)))+(IFERROR(INDEX('Рецептуры'!$G:$G,MATCH($C20&amp;"|"&amp;9,'Рецептуры'!$K:$K,0)),0))*(IFERROR(VLOOKUP(IFERROR(INDEX('Рецептуры'!$F:$F,MATCH($C20&amp;"|"&amp;9,'Рецептуры'!$K:$K,0)),""),'Полупродукты'!$C$6:$E$62,3,FALSE()),IFERROR(VLOOKUP(IFERROR(INDEX('Рецептуры'!$F:$F,MATCH($C20&amp;"|"&amp;9,'Рецептуры'!$K:$K,0)),""),'Сырьё'!$C$6:$E$233,3,FALSE()),0)))+(IFERROR(INDEX('Рецептуры'!$G:$G,MATCH($C20&amp;"|"&amp;10,'Рецептуры'!$K:$K,0)),0))*(IFERROR(VLOOKUP(IFERROR(INDEX('Рецептуры'!$F:$F,MATCH($C20&amp;"|"&amp;10,'Рецептуры'!$K:$K,0)),""),'Полупродукты'!$C$6:$E$62,3,FALSE()),IFERROR(VLOOKUP(IFERROR(INDEX('Рецептуры'!$F:$F,MATCH($C20&amp;"|"&amp;10,'Рецептуры'!$K:$K,0)),""),'Сырьё'!$C$6:$E$233,3,FALSE()),0)))+(IFERROR(INDEX('Рецептуры'!$G:$G,MATCH($C20&amp;"|"&amp;11,'Рецептуры'!$K:$K,0)),0))*(IFERROR(VLOOKUP(IFERROR(INDEX('Рецептуры'!$F:$F,MATCH($C20&amp;"|"&amp;11,'Рецептуры'!$K:$K,0)),""),'Полупродукты'!$C$6:$E$62,3,FALSE()),IFERROR(VLOOKUP(IFERROR(INDEX('Рецептуры'!$F:$F,MATCH($C20&amp;"|"&amp;11,'Рецептуры'!$K:$K,0)),""),'Сырьё'!$C$6:$E$233,3,FALSE()),0)))+(IFERROR(INDEX('Рецептуры'!$G:$G,MATCH($C20&amp;"|"&amp;12,'Рецептуры'!$K:$K,0)),0))*(IFERROR(VLOOKUP(IFERROR(INDEX('Рецептуры'!$F:$F,MATCH($C20&amp;"|"&amp;12,'Рецептуры'!$K:$K,0)),""),'Полупродукты'!$C$6:$E$62,3,FALSE()),IFERROR(VLOOKUP(IFERROR(INDEX('Рецептуры'!$F:$F,MATCH($C20&amp;"|"&amp;12,'Рецептуры'!$K:$K,0)),""),'Сырьё'!$C$6:$E$233,3,FALSE()),0)))+(IFERROR(INDEX('Рецептуры'!$G:$G,MATCH($C20&amp;"|"&amp;13,'Рецептуры'!$K:$K,0)),0))*(IFERROR(VLOOKUP(IFERROR(INDEX('Рецептуры'!$F:$F,MATCH($C20&amp;"|"&amp;13,'Рецептуры'!$K:$K,0)),""),'Полупродукты'!$C$6:$E$62,3,FALSE()),IFERROR(VLOOKUP(IFERROR(INDEX('Рецептуры'!$F:$F,MATCH($C20&amp;"|"&amp;13,'Рецептуры'!$K:$K,0)),""),'Сырьё'!$C$6:$E$233,3,FALSE()),0)))+(IFERROR(INDEX('Рецептуры'!$G:$G,MATCH($C20&amp;"|"&amp;14,'Рецептуры'!$K:$K,0)),0))*(IFERROR(VLOOKUP(IFERROR(INDEX('Рецептуры'!$F:$F,MATCH($C20&amp;"|"&amp;14,'Рецептуры'!$K:$K,0)),""),'Полупродукты'!$C$6:$E$62,3,FALSE()),IFERROR(VLOOKUP(IFERROR(INDEX('Рецептуры'!$F:$F,MATCH($C20&amp;"|"&amp;14,'Рецептуры'!$K:$K,0)),""),'Сырьё'!$C$6:$E$233,3,FALSE()),0)))+(IFERROR(INDEX('Рецептуры'!$G:$G,MATCH($C20&amp;"|"&amp;15,'Рецептуры'!$K:$K,0)),0))*(IFERROR(VLOOKUP(IFERROR(INDEX('Рецептуры'!$F:$F,MATCH($C20&amp;"|"&amp;15,'Рецептуры'!$K:$K,0)),""),'Полупродукты'!$C$6:$E$62,3,FALSE()),IFERROR(VLOOKUP(IFERROR(INDEX('Рецептуры'!$F:$F,MATCH($C20&amp;"|"&amp;15,'Рецептуры'!$K:$K,0)),""),'Сырьё'!$C$6:$E$233,3,FALSE()),0))),4)</f>
        <v>2.2268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96">
        <v>16.0</v>
      </c>
      <c r="C21" s="97" t="s">
        <v>740</v>
      </c>
      <c r="D21" s="96">
        <v>6.0</v>
      </c>
      <c r="E21" s="214">
        <f t="array" ref="E21">ROUND((IFERROR(INDEX('Рецептуры'!$G:$G,MATCH($C21&amp;"|"&amp;1,'Рецептуры'!$K:$K,0)),0))*(IFERROR(VLOOKUP(IFERROR(INDEX('Рецептуры'!$F:$F,MATCH($C21&amp;"|"&amp;1,'Рецептуры'!$K:$K,0)),""),'Полупродукты'!$C$6:$E$62,3,FALSE()),IFERROR(VLOOKUP(IFERROR(INDEX('Рецептуры'!$F:$F,MATCH($C21&amp;"|"&amp;1,'Рецептуры'!$K:$K,0)),""),'Сырьё'!$C$6:$E$233,3,FALSE()),0)))+(IFERROR(INDEX('Рецептуры'!$G:$G,MATCH($C21&amp;"|"&amp;2,'Рецептуры'!$K:$K,0)),0))*(IFERROR(VLOOKUP(IFERROR(INDEX('Рецептуры'!$F:$F,MATCH($C21&amp;"|"&amp;2,'Рецептуры'!$K:$K,0)),""),'Полупродукты'!$C$6:$E$62,3,FALSE()),IFERROR(VLOOKUP(IFERROR(INDEX('Рецептуры'!$F:$F,MATCH($C21&amp;"|"&amp;2,'Рецептуры'!$K:$K,0)),""),'Сырьё'!$C$6:$E$233,3,FALSE()),0)))+(IFERROR(INDEX('Рецептуры'!$G:$G,MATCH($C21&amp;"|"&amp;3,'Рецептуры'!$K:$K,0)),0))*(IFERROR(VLOOKUP(IFERROR(INDEX('Рецептуры'!$F:$F,MATCH($C21&amp;"|"&amp;3,'Рецептуры'!$K:$K,0)),""),'Полупродукты'!$C$6:$E$62,3,FALSE()),IFERROR(VLOOKUP(IFERROR(INDEX('Рецептуры'!$F:$F,MATCH($C21&amp;"|"&amp;3,'Рецептуры'!$K:$K,0)),""),'Сырьё'!$C$6:$E$233,3,FALSE()),0)))+(IFERROR(INDEX('Рецептуры'!$G:$G,MATCH($C21&amp;"|"&amp;4,'Рецептуры'!$K:$K,0)),0))*(IFERROR(VLOOKUP(IFERROR(INDEX('Рецептуры'!$F:$F,MATCH($C21&amp;"|"&amp;4,'Рецептуры'!$K:$K,0)),""),'Полупродукты'!$C$6:$E$62,3,FALSE()),IFERROR(VLOOKUP(IFERROR(INDEX('Рецептуры'!$F:$F,MATCH($C21&amp;"|"&amp;4,'Рецептуры'!$K:$K,0)),""),'Сырьё'!$C$6:$E$233,3,FALSE()),0)))+(IFERROR(INDEX('Рецептуры'!$G:$G,MATCH($C21&amp;"|"&amp;5,'Рецептуры'!$K:$K,0)),0))*(IFERROR(VLOOKUP(IFERROR(INDEX('Рецептуры'!$F:$F,MATCH($C21&amp;"|"&amp;5,'Рецептуры'!$K:$K,0)),""),'Полупродукты'!$C$6:$E$62,3,FALSE()),IFERROR(VLOOKUP(IFERROR(INDEX('Рецептуры'!$F:$F,MATCH($C21&amp;"|"&amp;5,'Рецептуры'!$K:$K,0)),""),'Сырьё'!$C$6:$E$233,3,FALSE()),0)))+(IFERROR(INDEX('Рецептуры'!$G:$G,MATCH($C21&amp;"|"&amp;6,'Рецептуры'!$K:$K,0)),0))*(IFERROR(VLOOKUP(IFERROR(INDEX('Рецептуры'!$F:$F,MATCH($C21&amp;"|"&amp;6,'Рецептуры'!$K:$K,0)),""),'Полупродукты'!$C$6:$E$62,3,FALSE()),IFERROR(VLOOKUP(IFERROR(INDEX('Рецептуры'!$F:$F,MATCH($C21&amp;"|"&amp;6,'Рецептуры'!$K:$K,0)),""),'Сырьё'!$C$6:$E$233,3,FALSE()),0)))+(IFERROR(INDEX('Рецептуры'!$G:$G,MATCH($C21&amp;"|"&amp;7,'Рецептуры'!$K:$K,0)),0))*(IFERROR(VLOOKUP(IFERROR(INDEX('Рецептуры'!$F:$F,MATCH($C21&amp;"|"&amp;7,'Рецептуры'!$K:$K,0)),""),'Полупродукты'!$C$6:$E$62,3,FALSE()),IFERROR(VLOOKUP(IFERROR(INDEX('Рецептуры'!$F:$F,MATCH($C21&amp;"|"&amp;7,'Рецептуры'!$K:$K,0)),""),'Сырьё'!$C$6:$E$233,3,FALSE()),0)))+(IFERROR(INDEX('Рецептуры'!$G:$G,MATCH($C21&amp;"|"&amp;8,'Рецептуры'!$K:$K,0)),0))*(IFERROR(VLOOKUP(IFERROR(INDEX('Рецептуры'!$F:$F,MATCH($C21&amp;"|"&amp;8,'Рецептуры'!$K:$K,0)),""),'Полупродукты'!$C$6:$E$62,3,FALSE()),IFERROR(VLOOKUP(IFERROR(INDEX('Рецептуры'!$F:$F,MATCH($C21&amp;"|"&amp;8,'Рецептуры'!$K:$K,0)),""),'Сырьё'!$C$6:$E$233,3,FALSE()),0)))+(IFERROR(INDEX('Рецептуры'!$G:$G,MATCH($C21&amp;"|"&amp;9,'Рецептуры'!$K:$K,0)),0))*(IFERROR(VLOOKUP(IFERROR(INDEX('Рецептуры'!$F:$F,MATCH($C21&amp;"|"&amp;9,'Рецептуры'!$K:$K,0)),""),'Полупродукты'!$C$6:$E$62,3,FALSE()),IFERROR(VLOOKUP(IFERROR(INDEX('Рецептуры'!$F:$F,MATCH($C21&amp;"|"&amp;9,'Рецептуры'!$K:$K,0)),""),'Сырьё'!$C$6:$E$233,3,FALSE()),0)))+(IFERROR(INDEX('Рецептуры'!$G:$G,MATCH($C21&amp;"|"&amp;10,'Рецептуры'!$K:$K,0)),0))*(IFERROR(VLOOKUP(IFERROR(INDEX('Рецептуры'!$F:$F,MATCH($C21&amp;"|"&amp;10,'Рецептуры'!$K:$K,0)),""),'Полупродукты'!$C$6:$E$62,3,FALSE()),IFERROR(VLOOKUP(IFERROR(INDEX('Рецептуры'!$F:$F,MATCH($C21&amp;"|"&amp;10,'Рецептуры'!$K:$K,0)),""),'Сырьё'!$C$6:$E$233,3,FALSE()),0)))+(IFERROR(INDEX('Рецептуры'!$G:$G,MATCH($C21&amp;"|"&amp;11,'Рецептуры'!$K:$K,0)),0))*(IFERROR(VLOOKUP(IFERROR(INDEX('Рецептуры'!$F:$F,MATCH($C21&amp;"|"&amp;11,'Рецептуры'!$K:$K,0)),""),'Полупродукты'!$C$6:$E$62,3,FALSE()),IFERROR(VLOOKUP(IFERROR(INDEX('Рецептуры'!$F:$F,MATCH($C21&amp;"|"&amp;11,'Рецептуры'!$K:$K,0)),""),'Сырьё'!$C$6:$E$233,3,FALSE()),0)))+(IFERROR(INDEX('Рецептуры'!$G:$G,MATCH($C21&amp;"|"&amp;12,'Рецептуры'!$K:$K,0)),0))*(IFERROR(VLOOKUP(IFERROR(INDEX('Рецептуры'!$F:$F,MATCH($C21&amp;"|"&amp;12,'Рецептуры'!$K:$K,0)),""),'Полупродукты'!$C$6:$E$62,3,FALSE()),IFERROR(VLOOKUP(IFERROR(INDEX('Рецептуры'!$F:$F,MATCH($C21&amp;"|"&amp;12,'Рецептуры'!$K:$K,0)),""),'Сырьё'!$C$6:$E$233,3,FALSE()),0)))+(IFERROR(INDEX('Рецептуры'!$G:$G,MATCH($C21&amp;"|"&amp;13,'Рецептуры'!$K:$K,0)),0))*(IFERROR(VLOOKUP(IFERROR(INDEX('Рецептуры'!$F:$F,MATCH($C21&amp;"|"&amp;13,'Рецептуры'!$K:$K,0)),""),'Полупродукты'!$C$6:$E$62,3,FALSE()),IFERROR(VLOOKUP(IFERROR(INDEX('Рецептуры'!$F:$F,MATCH($C21&amp;"|"&amp;13,'Рецептуры'!$K:$K,0)),""),'Сырьё'!$C$6:$E$233,3,FALSE()),0)))+(IFERROR(INDEX('Рецептуры'!$G:$G,MATCH($C21&amp;"|"&amp;14,'Рецептуры'!$K:$K,0)),0))*(IFERROR(VLOOKUP(IFERROR(INDEX('Рецептуры'!$F:$F,MATCH($C21&amp;"|"&amp;14,'Рецептуры'!$K:$K,0)),""),'Полупродукты'!$C$6:$E$62,3,FALSE()),IFERROR(VLOOKUP(IFERROR(INDEX('Рецептуры'!$F:$F,MATCH($C21&amp;"|"&amp;14,'Рецептуры'!$K:$K,0)),""),'Сырьё'!$C$6:$E$233,3,FALSE()),0)))+(IFERROR(INDEX('Рецептуры'!$G:$G,MATCH($C21&amp;"|"&amp;15,'Рецептуры'!$K:$K,0)),0))*(IFERROR(VLOOKUP(IFERROR(INDEX('Рецептуры'!$F:$F,MATCH($C21&amp;"|"&amp;15,'Рецептуры'!$K:$K,0)),""),'Полупродукты'!$C$6:$E$62,3,FALSE()),IFERROR(VLOOKUP(IFERROR(INDEX('Рецептуры'!$F:$F,MATCH($C21&amp;"|"&amp;15,'Рецептуры'!$K:$K,0)),""),'Сырьё'!$C$6:$E$233,3,FALSE()),0))),4)</f>
        <v>6.6777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88">
        <v>17.0</v>
      </c>
      <c r="C22" s="89" t="s">
        <v>741</v>
      </c>
      <c r="D22" s="88">
        <v>2.0</v>
      </c>
      <c r="E22" s="213">
        <f t="array" ref="E22">ROUND((IFERROR(INDEX('Рецептуры'!$G:$G,MATCH($C22&amp;"|"&amp;1,'Рецептуры'!$K:$K,0)),0))*(IFERROR(VLOOKUP(IFERROR(INDEX('Рецептуры'!$F:$F,MATCH($C22&amp;"|"&amp;1,'Рецептуры'!$K:$K,0)),""),'Полупродукты'!$C$6:$E$62,3,FALSE()),IFERROR(VLOOKUP(IFERROR(INDEX('Рецептуры'!$F:$F,MATCH($C22&amp;"|"&amp;1,'Рецептуры'!$K:$K,0)),""),'Сырьё'!$C$6:$E$233,3,FALSE()),0)))+(IFERROR(INDEX('Рецептуры'!$G:$G,MATCH($C22&amp;"|"&amp;2,'Рецептуры'!$K:$K,0)),0))*(IFERROR(VLOOKUP(IFERROR(INDEX('Рецептуры'!$F:$F,MATCH($C22&amp;"|"&amp;2,'Рецептуры'!$K:$K,0)),""),'Полупродукты'!$C$6:$E$62,3,FALSE()),IFERROR(VLOOKUP(IFERROR(INDEX('Рецептуры'!$F:$F,MATCH($C22&amp;"|"&amp;2,'Рецептуры'!$K:$K,0)),""),'Сырьё'!$C$6:$E$233,3,FALSE()),0)))+(IFERROR(INDEX('Рецептуры'!$G:$G,MATCH($C22&amp;"|"&amp;3,'Рецептуры'!$K:$K,0)),0))*(IFERROR(VLOOKUP(IFERROR(INDEX('Рецептуры'!$F:$F,MATCH($C22&amp;"|"&amp;3,'Рецептуры'!$K:$K,0)),""),'Полупродукты'!$C$6:$E$62,3,FALSE()),IFERROR(VLOOKUP(IFERROR(INDEX('Рецептуры'!$F:$F,MATCH($C22&amp;"|"&amp;3,'Рецептуры'!$K:$K,0)),""),'Сырьё'!$C$6:$E$233,3,FALSE()),0)))+(IFERROR(INDEX('Рецептуры'!$G:$G,MATCH($C22&amp;"|"&amp;4,'Рецептуры'!$K:$K,0)),0))*(IFERROR(VLOOKUP(IFERROR(INDEX('Рецептуры'!$F:$F,MATCH($C22&amp;"|"&amp;4,'Рецептуры'!$K:$K,0)),""),'Полупродукты'!$C$6:$E$62,3,FALSE()),IFERROR(VLOOKUP(IFERROR(INDEX('Рецептуры'!$F:$F,MATCH($C22&amp;"|"&amp;4,'Рецептуры'!$K:$K,0)),""),'Сырьё'!$C$6:$E$233,3,FALSE()),0)))+(IFERROR(INDEX('Рецептуры'!$G:$G,MATCH($C22&amp;"|"&amp;5,'Рецептуры'!$K:$K,0)),0))*(IFERROR(VLOOKUP(IFERROR(INDEX('Рецептуры'!$F:$F,MATCH($C22&amp;"|"&amp;5,'Рецептуры'!$K:$K,0)),""),'Полупродукты'!$C$6:$E$62,3,FALSE()),IFERROR(VLOOKUP(IFERROR(INDEX('Рецептуры'!$F:$F,MATCH($C22&amp;"|"&amp;5,'Рецептуры'!$K:$K,0)),""),'Сырьё'!$C$6:$E$233,3,FALSE()),0)))+(IFERROR(INDEX('Рецептуры'!$G:$G,MATCH($C22&amp;"|"&amp;6,'Рецептуры'!$K:$K,0)),0))*(IFERROR(VLOOKUP(IFERROR(INDEX('Рецептуры'!$F:$F,MATCH($C22&amp;"|"&amp;6,'Рецептуры'!$K:$K,0)),""),'Полупродукты'!$C$6:$E$62,3,FALSE()),IFERROR(VLOOKUP(IFERROR(INDEX('Рецептуры'!$F:$F,MATCH($C22&amp;"|"&amp;6,'Рецептуры'!$K:$K,0)),""),'Сырьё'!$C$6:$E$233,3,FALSE()),0)))+(IFERROR(INDEX('Рецептуры'!$G:$G,MATCH($C22&amp;"|"&amp;7,'Рецептуры'!$K:$K,0)),0))*(IFERROR(VLOOKUP(IFERROR(INDEX('Рецептуры'!$F:$F,MATCH($C22&amp;"|"&amp;7,'Рецептуры'!$K:$K,0)),""),'Полупродукты'!$C$6:$E$62,3,FALSE()),IFERROR(VLOOKUP(IFERROR(INDEX('Рецептуры'!$F:$F,MATCH($C22&amp;"|"&amp;7,'Рецептуры'!$K:$K,0)),""),'Сырьё'!$C$6:$E$233,3,FALSE()),0)))+(IFERROR(INDEX('Рецептуры'!$G:$G,MATCH($C22&amp;"|"&amp;8,'Рецептуры'!$K:$K,0)),0))*(IFERROR(VLOOKUP(IFERROR(INDEX('Рецептуры'!$F:$F,MATCH($C22&amp;"|"&amp;8,'Рецептуры'!$K:$K,0)),""),'Полупродукты'!$C$6:$E$62,3,FALSE()),IFERROR(VLOOKUP(IFERROR(INDEX('Рецептуры'!$F:$F,MATCH($C22&amp;"|"&amp;8,'Рецептуры'!$K:$K,0)),""),'Сырьё'!$C$6:$E$233,3,FALSE()),0)))+(IFERROR(INDEX('Рецептуры'!$G:$G,MATCH($C22&amp;"|"&amp;9,'Рецептуры'!$K:$K,0)),0))*(IFERROR(VLOOKUP(IFERROR(INDEX('Рецептуры'!$F:$F,MATCH($C22&amp;"|"&amp;9,'Рецептуры'!$K:$K,0)),""),'Полупродукты'!$C$6:$E$62,3,FALSE()),IFERROR(VLOOKUP(IFERROR(INDEX('Рецептуры'!$F:$F,MATCH($C22&amp;"|"&amp;9,'Рецептуры'!$K:$K,0)),""),'Сырьё'!$C$6:$E$233,3,FALSE()),0)))+(IFERROR(INDEX('Рецептуры'!$G:$G,MATCH($C22&amp;"|"&amp;10,'Рецептуры'!$K:$K,0)),0))*(IFERROR(VLOOKUP(IFERROR(INDEX('Рецептуры'!$F:$F,MATCH($C22&amp;"|"&amp;10,'Рецептуры'!$K:$K,0)),""),'Полупродукты'!$C$6:$E$62,3,FALSE()),IFERROR(VLOOKUP(IFERROR(INDEX('Рецептуры'!$F:$F,MATCH($C22&amp;"|"&amp;10,'Рецептуры'!$K:$K,0)),""),'Сырьё'!$C$6:$E$233,3,FALSE()),0)))+(IFERROR(INDEX('Рецептуры'!$G:$G,MATCH($C22&amp;"|"&amp;11,'Рецептуры'!$K:$K,0)),0))*(IFERROR(VLOOKUP(IFERROR(INDEX('Рецептуры'!$F:$F,MATCH($C22&amp;"|"&amp;11,'Рецептуры'!$K:$K,0)),""),'Полупродукты'!$C$6:$E$62,3,FALSE()),IFERROR(VLOOKUP(IFERROR(INDEX('Рецептуры'!$F:$F,MATCH($C22&amp;"|"&amp;11,'Рецептуры'!$K:$K,0)),""),'Сырьё'!$C$6:$E$233,3,FALSE()),0)))+(IFERROR(INDEX('Рецептуры'!$G:$G,MATCH($C22&amp;"|"&amp;12,'Рецептуры'!$K:$K,0)),0))*(IFERROR(VLOOKUP(IFERROR(INDEX('Рецептуры'!$F:$F,MATCH($C22&amp;"|"&amp;12,'Рецептуры'!$K:$K,0)),""),'Полупродукты'!$C$6:$E$62,3,FALSE()),IFERROR(VLOOKUP(IFERROR(INDEX('Рецептуры'!$F:$F,MATCH($C22&amp;"|"&amp;12,'Рецептуры'!$K:$K,0)),""),'Сырьё'!$C$6:$E$233,3,FALSE()),0)))+(IFERROR(INDEX('Рецептуры'!$G:$G,MATCH($C22&amp;"|"&amp;13,'Рецептуры'!$K:$K,0)),0))*(IFERROR(VLOOKUP(IFERROR(INDEX('Рецептуры'!$F:$F,MATCH($C22&amp;"|"&amp;13,'Рецептуры'!$K:$K,0)),""),'Полупродукты'!$C$6:$E$62,3,FALSE()),IFERROR(VLOOKUP(IFERROR(INDEX('Рецептуры'!$F:$F,MATCH($C22&amp;"|"&amp;13,'Рецептуры'!$K:$K,0)),""),'Сырьё'!$C$6:$E$233,3,FALSE()),0)))+(IFERROR(INDEX('Рецептуры'!$G:$G,MATCH($C22&amp;"|"&amp;14,'Рецептуры'!$K:$K,0)),0))*(IFERROR(VLOOKUP(IFERROR(INDEX('Рецептуры'!$F:$F,MATCH($C22&amp;"|"&amp;14,'Рецептуры'!$K:$K,0)),""),'Полупродукты'!$C$6:$E$62,3,FALSE()),IFERROR(VLOOKUP(IFERROR(INDEX('Рецептуры'!$F:$F,MATCH($C22&amp;"|"&amp;14,'Рецептуры'!$K:$K,0)),""),'Сырьё'!$C$6:$E$233,3,FALSE()),0)))+(IFERROR(INDEX('Рецептуры'!$G:$G,MATCH($C22&amp;"|"&amp;15,'Рецептуры'!$K:$K,0)),0))*(IFERROR(VLOOKUP(IFERROR(INDEX('Рецептуры'!$F:$F,MATCH($C22&amp;"|"&amp;15,'Рецептуры'!$K:$K,0)),""),'Полупродукты'!$C$6:$E$62,3,FALSE()),IFERROR(VLOOKUP(IFERROR(INDEX('Рецептуры'!$F:$F,MATCH($C22&amp;"|"&amp;15,'Рецептуры'!$K:$K,0)),""),'Сырьё'!$C$6:$E$233,3,FALSE()),0))),4)</f>
        <v>6.277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96">
        <v>18.0</v>
      </c>
      <c r="C23" s="97" t="s">
        <v>742</v>
      </c>
      <c r="D23" s="96">
        <v>5.0</v>
      </c>
      <c r="E23" s="214">
        <f t="array" ref="E23">ROUND((IFERROR(INDEX('Рецептуры'!$G:$G,MATCH($C23&amp;"|"&amp;1,'Рецептуры'!$K:$K,0)),0))*(IFERROR(VLOOKUP(IFERROR(INDEX('Рецептуры'!$F:$F,MATCH($C23&amp;"|"&amp;1,'Рецептуры'!$K:$K,0)),""),'Полупродукты'!$C$6:$E$62,3,FALSE()),IFERROR(VLOOKUP(IFERROR(INDEX('Рецептуры'!$F:$F,MATCH($C23&amp;"|"&amp;1,'Рецептуры'!$K:$K,0)),""),'Сырьё'!$C$6:$E$233,3,FALSE()),0)))+(IFERROR(INDEX('Рецептуры'!$G:$G,MATCH($C23&amp;"|"&amp;2,'Рецептуры'!$K:$K,0)),0))*(IFERROR(VLOOKUP(IFERROR(INDEX('Рецептуры'!$F:$F,MATCH($C23&amp;"|"&amp;2,'Рецептуры'!$K:$K,0)),""),'Полупродукты'!$C$6:$E$62,3,FALSE()),IFERROR(VLOOKUP(IFERROR(INDEX('Рецептуры'!$F:$F,MATCH($C23&amp;"|"&amp;2,'Рецептуры'!$K:$K,0)),""),'Сырьё'!$C$6:$E$233,3,FALSE()),0)))+(IFERROR(INDEX('Рецептуры'!$G:$G,MATCH($C23&amp;"|"&amp;3,'Рецептуры'!$K:$K,0)),0))*(IFERROR(VLOOKUP(IFERROR(INDEX('Рецептуры'!$F:$F,MATCH($C23&amp;"|"&amp;3,'Рецептуры'!$K:$K,0)),""),'Полупродукты'!$C$6:$E$62,3,FALSE()),IFERROR(VLOOKUP(IFERROR(INDEX('Рецептуры'!$F:$F,MATCH($C23&amp;"|"&amp;3,'Рецептуры'!$K:$K,0)),""),'Сырьё'!$C$6:$E$233,3,FALSE()),0)))+(IFERROR(INDEX('Рецептуры'!$G:$G,MATCH($C23&amp;"|"&amp;4,'Рецептуры'!$K:$K,0)),0))*(IFERROR(VLOOKUP(IFERROR(INDEX('Рецептуры'!$F:$F,MATCH($C23&amp;"|"&amp;4,'Рецептуры'!$K:$K,0)),""),'Полупродукты'!$C$6:$E$62,3,FALSE()),IFERROR(VLOOKUP(IFERROR(INDEX('Рецептуры'!$F:$F,MATCH($C23&amp;"|"&amp;4,'Рецептуры'!$K:$K,0)),""),'Сырьё'!$C$6:$E$233,3,FALSE()),0)))+(IFERROR(INDEX('Рецептуры'!$G:$G,MATCH($C23&amp;"|"&amp;5,'Рецептуры'!$K:$K,0)),0))*(IFERROR(VLOOKUP(IFERROR(INDEX('Рецептуры'!$F:$F,MATCH($C23&amp;"|"&amp;5,'Рецептуры'!$K:$K,0)),""),'Полупродукты'!$C$6:$E$62,3,FALSE()),IFERROR(VLOOKUP(IFERROR(INDEX('Рецептуры'!$F:$F,MATCH($C23&amp;"|"&amp;5,'Рецептуры'!$K:$K,0)),""),'Сырьё'!$C$6:$E$233,3,FALSE()),0)))+(IFERROR(INDEX('Рецептуры'!$G:$G,MATCH($C23&amp;"|"&amp;6,'Рецептуры'!$K:$K,0)),0))*(IFERROR(VLOOKUP(IFERROR(INDEX('Рецептуры'!$F:$F,MATCH($C23&amp;"|"&amp;6,'Рецептуры'!$K:$K,0)),""),'Полупродукты'!$C$6:$E$62,3,FALSE()),IFERROR(VLOOKUP(IFERROR(INDEX('Рецептуры'!$F:$F,MATCH($C23&amp;"|"&amp;6,'Рецептуры'!$K:$K,0)),""),'Сырьё'!$C$6:$E$233,3,FALSE()),0)))+(IFERROR(INDEX('Рецептуры'!$G:$G,MATCH($C23&amp;"|"&amp;7,'Рецептуры'!$K:$K,0)),0))*(IFERROR(VLOOKUP(IFERROR(INDEX('Рецептуры'!$F:$F,MATCH($C23&amp;"|"&amp;7,'Рецептуры'!$K:$K,0)),""),'Полупродукты'!$C$6:$E$62,3,FALSE()),IFERROR(VLOOKUP(IFERROR(INDEX('Рецептуры'!$F:$F,MATCH($C23&amp;"|"&amp;7,'Рецептуры'!$K:$K,0)),""),'Сырьё'!$C$6:$E$233,3,FALSE()),0)))+(IFERROR(INDEX('Рецептуры'!$G:$G,MATCH($C23&amp;"|"&amp;8,'Рецептуры'!$K:$K,0)),0))*(IFERROR(VLOOKUP(IFERROR(INDEX('Рецептуры'!$F:$F,MATCH($C23&amp;"|"&amp;8,'Рецептуры'!$K:$K,0)),""),'Полупродукты'!$C$6:$E$62,3,FALSE()),IFERROR(VLOOKUP(IFERROR(INDEX('Рецептуры'!$F:$F,MATCH($C23&amp;"|"&amp;8,'Рецептуры'!$K:$K,0)),""),'Сырьё'!$C$6:$E$233,3,FALSE()),0)))+(IFERROR(INDEX('Рецептуры'!$G:$G,MATCH($C23&amp;"|"&amp;9,'Рецептуры'!$K:$K,0)),0))*(IFERROR(VLOOKUP(IFERROR(INDEX('Рецептуры'!$F:$F,MATCH($C23&amp;"|"&amp;9,'Рецептуры'!$K:$K,0)),""),'Полупродукты'!$C$6:$E$62,3,FALSE()),IFERROR(VLOOKUP(IFERROR(INDEX('Рецептуры'!$F:$F,MATCH($C23&amp;"|"&amp;9,'Рецептуры'!$K:$K,0)),""),'Сырьё'!$C$6:$E$233,3,FALSE()),0)))+(IFERROR(INDEX('Рецептуры'!$G:$G,MATCH($C23&amp;"|"&amp;10,'Рецептуры'!$K:$K,0)),0))*(IFERROR(VLOOKUP(IFERROR(INDEX('Рецептуры'!$F:$F,MATCH($C23&amp;"|"&amp;10,'Рецептуры'!$K:$K,0)),""),'Полупродукты'!$C$6:$E$62,3,FALSE()),IFERROR(VLOOKUP(IFERROR(INDEX('Рецептуры'!$F:$F,MATCH($C23&amp;"|"&amp;10,'Рецептуры'!$K:$K,0)),""),'Сырьё'!$C$6:$E$233,3,FALSE()),0)))+(IFERROR(INDEX('Рецептуры'!$G:$G,MATCH($C23&amp;"|"&amp;11,'Рецептуры'!$K:$K,0)),0))*(IFERROR(VLOOKUP(IFERROR(INDEX('Рецептуры'!$F:$F,MATCH($C23&amp;"|"&amp;11,'Рецептуры'!$K:$K,0)),""),'Полупродукты'!$C$6:$E$62,3,FALSE()),IFERROR(VLOOKUP(IFERROR(INDEX('Рецептуры'!$F:$F,MATCH($C23&amp;"|"&amp;11,'Рецептуры'!$K:$K,0)),""),'Сырьё'!$C$6:$E$233,3,FALSE()),0)))+(IFERROR(INDEX('Рецептуры'!$G:$G,MATCH($C23&amp;"|"&amp;12,'Рецептуры'!$K:$K,0)),0))*(IFERROR(VLOOKUP(IFERROR(INDEX('Рецептуры'!$F:$F,MATCH($C23&amp;"|"&amp;12,'Рецептуры'!$K:$K,0)),""),'Полупродукты'!$C$6:$E$62,3,FALSE()),IFERROR(VLOOKUP(IFERROR(INDEX('Рецептуры'!$F:$F,MATCH($C23&amp;"|"&amp;12,'Рецептуры'!$K:$K,0)),""),'Сырьё'!$C$6:$E$233,3,FALSE()),0)))+(IFERROR(INDEX('Рецептуры'!$G:$G,MATCH($C23&amp;"|"&amp;13,'Рецептуры'!$K:$K,0)),0))*(IFERROR(VLOOKUP(IFERROR(INDEX('Рецептуры'!$F:$F,MATCH($C23&amp;"|"&amp;13,'Рецептуры'!$K:$K,0)),""),'Полупродукты'!$C$6:$E$62,3,FALSE()),IFERROR(VLOOKUP(IFERROR(INDEX('Рецептуры'!$F:$F,MATCH($C23&amp;"|"&amp;13,'Рецептуры'!$K:$K,0)),""),'Сырьё'!$C$6:$E$233,3,FALSE()),0)))+(IFERROR(INDEX('Рецептуры'!$G:$G,MATCH($C23&amp;"|"&amp;14,'Рецептуры'!$K:$K,0)),0))*(IFERROR(VLOOKUP(IFERROR(INDEX('Рецептуры'!$F:$F,MATCH($C23&amp;"|"&amp;14,'Рецептуры'!$K:$K,0)),""),'Полупродукты'!$C$6:$E$62,3,FALSE()),IFERROR(VLOOKUP(IFERROR(INDEX('Рецептуры'!$F:$F,MATCH($C23&amp;"|"&amp;14,'Рецептуры'!$K:$K,0)),""),'Сырьё'!$C$6:$E$233,3,FALSE()),0)))+(IFERROR(INDEX('Рецептуры'!$G:$G,MATCH($C23&amp;"|"&amp;15,'Рецептуры'!$K:$K,0)),0))*(IFERROR(VLOOKUP(IFERROR(INDEX('Рецептуры'!$F:$F,MATCH($C23&amp;"|"&amp;15,'Рецептуры'!$K:$K,0)),""),'Полупродукты'!$C$6:$E$62,3,FALSE()),IFERROR(VLOOKUP(IFERROR(INDEX('Рецептуры'!$F:$F,MATCH($C23&amp;"|"&amp;15,'Рецептуры'!$K:$K,0)),""),'Сырьё'!$C$6:$E$233,3,FALSE()),0))),4)</f>
        <v>1.7578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88">
        <v>19.0</v>
      </c>
      <c r="C24" s="89" t="s">
        <v>743</v>
      </c>
      <c r="D24" s="88">
        <v>2.0</v>
      </c>
      <c r="E24" s="213">
        <f t="array" ref="E24">ROUND((IFERROR(INDEX('Рецептуры'!$G:$G,MATCH($C24&amp;"|"&amp;1,'Рецептуры'!$K:$K,0)),0))*(IFERROR(VLOOKUP(IFERROR(INDEX('Рецептуры'!$F:$F,MATCH($C24&amp;"|"&amp;1,'Рецептуры'!$K:$K,0)),""),'Полупродукты'!$C$6:$E$62,3,FALSE()),IFERROR(VLOOKUP(IFERROR(INDEX('Рецептуры'!$F:$F,MATCH($C24&amp;"|"&amp;1,'Рецептуры'!$K:$K,0)),""),'Сырьё'!$C$6:$E$233,3,FALSE()),0)))+(IFERROR(INDEX('Рецептуры'!$G:$G,MATCH($C24&amp;"|"&amp;2,'Рецептуры'!$K:$K,0)),0))*(IFERROR(VLOOKUP(IFERROR(INDEX('Рецептуры'!$F:$F,MATCH($C24&amp;"|"&amp;2,'Рецептуры'!$K:$K,0)),""),'Полупродукты'!$C$6:$E$62,3,FALSE()),IFERROR(VLOOKUP(IFERROR(INDEX('Рецептуры'!$F:$F,MATCH($C24&amp;"|"&amp;2,'Рецептуры'!$K:$K,0)),""),'Сырьё'!$C$6:$E$233,3,FALSE()),0)))+(IFERROR(INDEX('Рецептуры'!$G:$G,MATCH($C24&amp;"|"&amp;3,'Рецептуры'!$K:$K,0)),0))*(IFERROR(VLOOKUP(IFERROR(INDEX('Рецептуры'!$F:$F,MATCH($C24&amp;"|"&amp;3,'Рецептуры'!$K:$K,0)),""),'Полупродукты'!$C$6:$E$62,3,FALSE()),IFERROR(VLOOKUP(IFERROR(INDEX('Рецептуры'!$F:$F,MATCH($C24&amp;"|"&amp;3,'Рецептуры'!$K:$K,0)),""),'Сырьё'!$C$6:$E$233,3,FALSE()),0)))+(IFERROR(INDEX('Рецептуры'!$G:$G,MATCH($C24&amp;"|"&amp;4,'Рецептуры'!$K:$K,0)),0))*(IFERROR(VLOOKUP(IFERROR(INDEX('Рецептуры'!$F:$F,MATCH($C24&amp;"|"&amp;4,'Рецептуры'!$K:$K,0)),""),'Полупродукты'!$C$6:$E$62,3,FALSE()),IFERROR(VLOOKUP(IFERROR(INDEX('Рецептуры'!$F:$F,MATCH($C24&amp;"|"&amp;4,'Рецептуры'!$K:$K,0)),""),'Сырьё'!$C$6:$E$233,3,FALSE()),0)))+(IFERROR(INDEX('Рецептуры'!$G:$G,MATCH($C24&amp;"|"&amp;5,'Рецептуры'!$K:$K,0)),0))*(IFERROR(VLOOKUP(IFERROR(INDEX('Рецептуры'!$F:$F,MATCH($C24&amp;"|"&amp;5,'Рецептуры'!$K:$K,0)),""),'Полупродукты'!$C$6:$E$62,3,FALSE()),IFERROR(VLOOKUP(IFERROR(INDEX('Рецептуры'!$F:$F,MATCH($C24&amp;"|"&amp;5,'Рецептуры'!$K:$K,0)),""),'Сырьё'!$C$6:$E$233,3,FALSE()),0)))+(IFERROR(INDEX('Рецептуры'!$G:$G,MATCH($C24&amp;"|"&amp;6,'Рецептуры'!$K:$K,0)),0))*(IFERROR(VLOOKUP(IFERROR(INDEX('Рецептуры'!$F:$F,MATCH($C24&amp;"|"&amp;6,'Рецептуры'!$K:$K,0)),""),'Полупродукты'!$C$6:$E$62,3,FALSE()),IFERROR(VLOOKUP(IFERROR(INDEX('Рецептуры'!$F:$F,MATCH($C24&amp;"|"&amp;6,'Рецептуры'!$K:$K,0)),""),'Сырьё'!$C$6:$E$233,3,FALSE()),0)))+(IFERROR(INDEX('Рецептуры'!$G:$G,MATCH($C24&amp;"|"&amp;7,'Рецептуры'!$K:$K,0)),0))*(IFERROR(VLOOKUP(IFERROR(INDEX('Рецептуры'!$F:$F,MATCH($C24&amp;"|"&amp;7,'Рецептуры'!$K:$K,0)),""),'Полупродукты'!$C$6:$E$62,3,FALSE()),IFERROR(VLOOKUP(IFERROR(INDEX('Рецептуры'!$F:$F,MATCH($C24&amp;"|"&amp;7,'Рецептуры'!$K:$K,0)),""),'Сырьё'!$C$6:$E$233,3,FALSE()),0)))+(IFERROR(INDEX('Рецептуры'!$G:$G,MATCH($C24&amp;"|"&amp;8,'Рецептуры'!$K:$K,0)),0))*(IFERROR(VLOOKUP(IFERROR(INDEX('Рецептуры'!$F:$F,MATCH($C24&amp;"|"&amp;8,'Рецептуры'!$K:$K,0)),""),'Полупродукты'!$C$6:$E$62,3,FALSE()),IFERROR(VLOOKUP(IFERROR(INDEX('Рецептуры'!$F:$F,MATCH($C24&amp;"|"&amp;8,'Рецептуры'!$K:$K,0)),""),'Сырьё'!$C$6:$E$233,3,FALSE()),0)))+(IFERROR(INDEX('Рецептуры'!$G:$G,MATCH($C24&amp;"|"&amp;9,'Рецептуры'!$K:$K,0)),0))*(IFERROR(VLOOKUP(IFERROR(INDEX('Рецептуры'!$F:$F,MATCH($C24&amp;"|"&amp;9,'Рецептуры'!$K:$K,0)),""),'Полупродукты'!$C$6:$E$62,3,FALSE()),IFERROR(VLOOKUP(IFERROR(INDEX('Рецептуры'!$F:$F,MATCH($C24&amp;"|"&amp;9,'Рецептуры'!$K:$K,0)),""),'Сырьё'!$C$6:$E$233,3,FALSE()),0)))+(IFERROR(INDEX('Рецептуры'!$G:$G,MATCH($C24&amp;"|"&amp;10,'Рецептуры'!$K:$K,0)),0))*(IFERROR(VLOOKUP(IFERROR(INDEX('Рецептуры'!$F:$F,MATCH($C24&amp;"|"&amp;10,'Рецептуры'!$K:$K,0)),""),'Полупродукты'!$C$6:$E$62,3,FALSE()),IFERROR(VLOOKUP(IFERROR(INDEX('Рецептуры'!$F:$F,MATCH($C24&amp;"|"&amp;10,'Рецептуры'!$K:$K,0)),""),'Сырьё'!$C$6:$E$233,3,FALSE()),0)))+(IFERROR(INDEX('Рецептуры'!$G:$G,MATCH($C24&amp;"|"&amp;11,'Рецептуры'!$K:$K,0)),0))*(IFERROR(VLOOKUP(IFERROR(INDEX('Рецептуры'!$F:$F,MATCH($C24&amp;"|"&amp;11,'Рецептуры'!$K:$K,0)),""),'Полупродукты'!$C$6:$E$62,3,FALSE()),IFERROR(VLOOKUP(IFERROR(INDEX('Рецептуры'!$F:$F,MATCH($C24&amp;"|"&amp;11,'Рецептуры'!$K:$K,0)),""),'Сырьё'!$C$6:$E$233,3,FALSE()),0)))+(IFERROR(INDEX('Рецептуры'!$G:$G,MATCH($C24&amp;"|"&amp;12,'Рецептуры'!$K:$K,0)),0))*(IFERROR(VLOOKUP(IFERROR(INDEX('Рецептуры'!$F:$F,MATCH($C24&amp;"|"&amp;12,'Рецептуры'!$K:$K,0)),""),'Полупродукты'!$C$6:$E$62,3,FALSE()),IFERROR(VLOOKUP(IFERROR(INDEX('Рецептуры'!$F:$F,MATCH($C24&amp;"|"&amp;12,'Рецептуры'!$K:$K,0)),""),'Сырьё'!$C$6:$E$233,3,FALSE()),0)))+(IFERROR(INDEX('Рецептуры'!$G:$G,MATCH($C24&amp;"|"&amp;13,'Рецептуры'!$K:$K,0)),0))*(IFERROR(VLOOKUP(IFERROR(INDEX('Рецептуры'!$F:$F,MATCH($C24&amp;"|"&amp;13,'Рецептуры'!$K:$K,0)),""),'Полупродукты'!$C$6:$E$62,3,FALSE()),IFERROR(VLOOKUP(IFERROR(INDEX('Рецептуры'!$F:$F,MATCH($C24&amp;"|"&amp;13,'Рецептуры'!$K:$K,0)),""),'Сырьё'!$C$6:$E$233,3,FALSE()),0)))+(IFERROR(INDEX('Рецептуры'!$G:$G,MATCH($C24&amp;"|"&amp;14,'Рецептуры'!$K:$K,0)),0))*(IFERROR(VLOOKUP(IFERROR(INDEX('Рецептуры'!$F:$F,MATCH($C24&amp;"|"&amp;14,'Рецептуры'!$K:$K,0)),""),'Полупродукты'!$C$6:$E$62,3,FALSE()),IFERROR(VLOOKUP(IFERROR(INDEX('Рецептуры'!$F:$F,MATCH($C24&amp;"|"&amp;14,'Рецептуры'!$K:$K,0)),""),'Сырьё'!$C$6:$E$233,3,FALSE()),0)))+(IFERROR(INDEX('Рецептуры'!$G:$G,MATCH($C24&amp;"|"&amp;15,'Рецептуры'!$K:$K,0)),0))*(IFERROR(VLOOKUP(IFERROR(INDEX('Рецептуры'!$F:$F,MATCH($C24&amp;"|"&amp;15,'Рецептуры'!$K:$K,0)),""),'Полупродукты'!$C$6:$E$62,3,FALSE()),IFERROR(VLOOKUP(IFERROR(INDEX('Рецептуры'!$F:$F,MATCH($C24&amp;"|"&amp;15,'Рецептуры'!$K:$K,0)),""),'Сырьё'!$C$6:$E$233,3,FALSE()),0))),4)</f>
        <v>1.8491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96">
        <v>20.0</v>
      </c>
      <c r="C25" s="97" t="s">
        <v>744</v>
      </c>
      <c r="D25" s="96">
        <v>6.0</v>
      </c>
      <c r="E25" s="214">
        <f t="array" ref="E25">ROUND((IFERROR(INDEX('Рецептуры'!$G:$G,MATCH($C25&amp;"|"&amp;1,'Рецептуры'!$K:$K,0)),0))*(IFERROR(VLOOKUP(IFERROR(INDEX('Рецептуры'!$F:$F,MATCH($C25&amp;"|"&amp;1,'Рецептуры'!$K:$K,0)),""),'Полупродукты'!$C$6:$E$62,3,FALSE()),IFERROR(VLOOKUP(IFERROR(INDEX('Рецептуры'!$F:$F,MATCH($C25&amp;"|"&amp;1,'Рецептуры'!$K:$K,0)),""),'Сырьё'!$C$6:$E$233,3,FALSE()),0)))+(IFERROR(INDEX('Рецептуры'!$G:$G,MATCH($C25&amp;"|"&amp;2,'Рецептуры'!$K:$K,0)),0))*(IFERROR(VLOOKUP(IFERROR(INDEX('Рецептуры'!$F:$F,MATCH($C25&amp;"|"&amp;2,'Рецептуры'!$K:$K,0)),""),'Полупродукты'!$C$6:$E$62,3,FALSE()),IFERROR(VLOOKUP(IFERROR(INDEX('Рецептуры'!$F:$F,MATCH($C25&amp;"|"&amp;2,'Рецептуры'!$K:$K,0)),""),'Сырьё'!$C$6:$E$233,3,FALSE()),0)))+(IFERROR(INDEX('Рецептуры'!$G:$G,MATCH($C25&amp;"|"&amp;3,'Рецептуры'!$K:$K,0)),0))*(IFERROR(VLOOKUP(IFERROR(INDEX('Рецептуры'!$F:$F,MATCH($C25&amp;"|"&amp;3,'Рецептуры'!$K:$K,0)),""),'Полупродукты'!$C$6:$E$62,3,FALSE()),IFERROR(VLOOKUP(IFERROR(INDEX('Рецептуры'!$F:$F,MATCH($C25&amp;"|"&amp;3,'Рецептуры'!$K:$K,0)),""),'Сырьё'!$C$6:$E$233,3,FALSE()),0)))+(IFERROR(INDEX('Рецептуры'!$G:$G,MATCH($C25&amp;"|"&amp;4,'Рецептуры'!$K:$K,0)),0))*(IFERROR(VLOOKUP(IFERROR(INDEX('Рецептуры'!$F:$F,MATCH($C25&amp;"|"&amp;4,'Рецептуры'!$K:$K,0)),""),'Полупродукты'!$C$6:$E$62,3,FALSE()),IFERROR(VLOOKUP(IFERROR(INDEX('Рецептуры'!$F:$F,MATCH($C25&amp;"|"&amp;4,'Рецептуры'!$K:$K,0)),""),'Сырьё'!$C$6:$E$233,3,FALSE()),0)))+(IFERROR(INDEX('Рецептуры'!$G:$G,MATCH($C25&amp;"|"&amp;5,'Рецептуры'!$K:$K,0)),0))*(IFERROR(VLOOKUP(IFERROR(INDEX('Рецептуры'!$F:$F,MATCH($C25&amp;"|"&amp;5,'Рецептуры'!$K:$K,0)),""),'Полупродукты'!$C$6:$E$62,3,FALSE()),IFERROR(VLOOKUP(IFERROR(INDEX('Рецептуры'!$F:$F,MATCH($C25&amp;"|"&amp;5,'Рецептуры'!$K:$K,0)),""),'Сырьё'!$C$6:$E$233,3,FALSE()),0)))+(IFERROR(INDEX('Рецептуры'!$G:$G,MATCH($C25&amp;"|"&amp;6,'Рецептуры'!$K:$K,0)),0))*(IFERROR(VLOOKUP(IFERROR(INDEX('Рецептуры'!$F:$F,MATCH($C25&amp;"|"&amp;6,'Рецептуры'!$K:$K,0)),""),'Полупродукты'!$C$6:$E$62,3,FALSE()),IFERROR(VLOOKUP(IFERROR(INDEX('Рецептуры'!$F:$F,MATCH($C25&amp;"|"&amp;6,'Рецептуры'!$K:$K,0)),""),'Сырьё'!$C$6:$E$233,3,FALSE()),0)))+(IFERROR(INDEX('Рецептуры'!$G:$G,MATCH($C25&amp;"|"&amp;7,'Рецептуры'!$K:$K,0)),0))*(IFERROR(VLOOKUP(IFERROR(INDEX('Рецептуры'!$F:$F,MATCH($C25&amp;"|"&amp;7,'Рецептуры'!$K:$K,0)),""),'Полупродукты'!$C$6:$E$62,3,FALSE()),IFERROR(VLOOKUP(IFERROR(INDEX('Рецептуры'!$F:$F,MATCH($C25&amp;"|"&amp;7,'Рецептуры'!$K:$K,0)),""),'Сырьё'!$C$6:$E$233,3,FALSE()),0)))+(IFERROR(INDEX('Рецептуры'!$G:$G,MATCH($C25&amp;"|"&amp;8,'Рецептуры'!$K:$K,0)),0))*(IFERROR(VLOOKUP(IFERROR(INDEX('Рецептуры'!$F:$F,MATCH($C25&amp;"|"&amp;8,'Рецептуры'!$K:$K,0)),""),'Полупродукты'!$C$6:$E$62,3,FALSE()),IFERROR(VLOOKUP(IFERROR(INDEX('Рецептуры'!$F:$F,MATCH($C25&amp;"|"&amp;8,'Рецептуры'!$K:$K,0)),""),'Сырьё'!$C$6:$E$233,3,FALSE()),0)))+(IFERROR(INDEX('Рецептуры'!$G:$G,MATCH($C25&amp;"|"&amp;9,'Рецептуры'!$K:$K,0)),0))*(IFERROR(VLOOKUP(IFERROR(INDEX('Рецептуры'!$F:$F,MATCH($C25&amp;"|"&amp;9,'Рецептуры'!$K:$K,0)),""),'Полупродукты'!$C$6:$E$62,3,FALSE()),IFERROR(VLOOKUP(IFERROR(INDEX('Рецептуры'!$F:$F,MATCH($C25&amp;"|"&amp;9,'Рецептуры'!$K:$K,0)),""),'Сырьё'!$C$6:$E$233,3,FALSE()),0)))+(IFERROR(INDEX('Рецептуры'!$G:$G,MATCH($C25&amp;"|"&amp;10,'Рецептуры'!$K:$K,0)),0))*(IFERROR(VLOOKUP(IFERROR(INDEX('Рецептуры'!$F:$F,MATCH($C25&amp;"|"&amp;10,'Рецептуры'!$K:$K,0)),""),'Полупродукты'!$C$6:$E$62,3,FALSE()),IFERROR(VLOOKUP(IFERROR(INDEX('Рецептуры'!$F:$F,MATCH($C25&amp;"|"&amp;10,'Рецептуры'!$K:$K,0)),""),'Сырьё'!$C$6:$E$233,3,FALSE()),0)))+(IFERROR(INDEX('Рецептуры'!$G:$G,MATCH($C25&amp;"|"&amp;11,'Рецептуры'!$K:$K,0)),0))*(IFERROR(VLOOKUP(IFERROR(INDEX('Рецептуры'!$F:$F,MATCH($C25&amp;"|"&amp;11,'Рецептуры'!$K:$K,0)),""),'Полупродукты'!$C$6:$E$62,3,FALSE()),IFERROR(VLOOKUP(IFERROR(INDEX('Рецептуры'!$F:$F,MATCH($C25&amp;"|"&amp;11,'Рецептуры'!$K:$K,0)),""),'Сырьё'!$C$6:$E$233,3,FALSE()),0)))+(IFERROR(INDEX('Рецептуры'!$G:$G,MATCH($C25&amp;"|"&amp;12,'Рецептуры'!$K:$K,0)),0))*(IFERROR(VLOOKUP(IFERROR(INDEX('Рецептуры'!$F:$F,MATCH($C25&amp;"|"&amp;12,'Рецептуры'!$K:$K,0)),""),'Полупродукты'!$C$6:$E$62,3,FALSE()),IFERROR(VLOOKUP(IFERROR(INDEX('Рецептуры'!$F:$F,MATCH($C25&amp;"|"&amp;12,'Рецептуры'!$K:$K,0)),""),'Сырьё'!$C$6:$E$233,3,FALSE()),0)))+(IFERROR(INDEX('Рецептуры'!$G:$G,MATCH($C25&amp;"|"&amp;13,'Рецептуры'!$K:$K,0)),0))*(IFERROR(VLOOKUP(IFERROR(INDEX('Рецептуры'!$F:$F,MATCH($C25&amp;"|"&amp;13,'Рецептуры'!$K:$K,0)),""),'Полупродукты'!$C$6:$E$62,3,FALSE()),IFERROR(VLOOKUP(IFERROR(INDEX('Рецептуры'!$F:$F,MATCH($C25&amp;"|"&amp;13,'Рецептуры'!$K:$K,0)),""),'Сырьё'!$C$6:$E$233,3,FALSE()),0)))+(IFERROR(INDEX('Рецептуры'!$G:$G,MATCH($C25&amp;"|"&amp;14,'Рецептуры'!$K:$K,0)),0))*(IFERROR(VLOOKUP(IFERROR(INDEX('Рецептуры'!$F:$F,MATCH($C25&amp;"|"&amp;14,'Рецептуры'!$K:$K,0)),""),'Полупродукты'!$C$6:$E$62,3,FALSE()),IFERROR(VLOOKUP(IFERROR(INDEX('Рецептуры'!$F:$F,MATCH($C25&amp;"|"&amp;14,'Рецептуры'!$K:$K,0)),""),'Сырьё'!$C$6:$E$233,3,FALSE()),0)))+(IFERROR(INDEX('Рецептуры'!$G:$G,MATCH($C25&amp;"|"&amp;15,'Рецептуры'!$K:$K,0)),0))*(IFERROR(VLOOKUP(IFERROR(INDEX('Рецептуры'!$F:$F,MATCH($C25&amp;"|"&amp;15,'Рецептуры'!$K:$K,0)),""),'Полупродукты'!$C$6:$E$62,3,FALSE()),IFERROR(VLOOKUP(IFERROR(INDEX('Рецептуры'!$F:$F,MATCH($C25&amp;"|"&amp;15,'Рецептуры'!$K:$K,0)),""),'Сырьё'!$C$6:$E$233,3,FALSE()),0))),4)</f>
        <v>1.9481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88">
        <v>21.0</v>
      </c>
      <c r="C26" s="89" t="s">
        <v>745</v>
      </c>
      <c r="D26" s="88">
        <v>4.0</v>
      </c>
      <c r="E26" s="213">
        <f t="array" ref="E26">ROUND((IFERROR(INDEX('Рецептуры'!$G:$G,MATCH($C26&amp;"|"&amp;1,'Рецептуры'!$K:$K,0)),0))*(IFERROR(VLOOKUP(IFERROR(INDEX('Рецептуры'!$F:$F,MATCH($C26&amp;"|"&amp;1,'Рецептуры'!$K:$K,0)),""),'Полупродукты'!$C$6:$E$62,3,FALSE()),IFERROR(VLOOKUP(IFERROR(INDEX('Рецептуры'!$F:$F,MATCH($C26&amp;"|"&amp;1,'Рецептуры'!$K:$K,0)),""),'Сырьё'!$C$6:$E$233,3,FALSE()),0)))+(IFERROR(INDEX('Рецептуры'!$G:$G,MATCH($C26&amp;"|"&amp;2,'Рецептуры'!$K:$K,0)),0))*(IFERROR(VLOOKUP(IFERROR(INDEX('Рецептуры'!$F:$F,MATCH($C26&amp;"|"&amp;2,'Рецептуры'!$K:$K,0)),""),'Полупродукты'!$C$6:$E$62,3,FALSE()),IFERROR(VLOOKUP(IFERROR(INDEX('Рецептуры'!$F:$F,MATCH($C26&amp;"|"&amp;2,'Рецептуры'!$K:$K,0)),""),'Сырьё'!$C$6:$E$233,3,FALSE()),0)))+(IFERROR(INDEX('Рецептуры'!$G:$G,MATCH($C26&amp;"|"&amp;3,'Рецептуры'!$K:$K,0)),0))*(IFERROR(VLOOKUP(IFERROR(INDEX('Рецептуры'!$F:$F,MATCH($C26&amp;"|"&amp;3,'Рецептуры'!$K:$K,0)),""),'Полупродукты'!$C$6:$E$62,3,FALSE()),IFERROR(VLOOKUP(IFERROR(INDEX('Рецептуры'!$F:$F,MATCH($C26&amp;"|"&amp;3,'Рецептуры'!$K:$K,0)),""),'Сырьё'!$C$6:$E$233,3,FALSE()),0)))+(IFERROR(INDEX('Рецептуры'!$G:$G,MATCH($C26&amp;"|"&amp;4,'Рецептуры'!$K:$K,0)),0))*(IFERROR(VLOOKUP(IFERROR(INDEX('Рецептуры'!$F:$F,MATCH($C26&amp;"|"&amp;4,'Рецептуры'!$K:$K,0)),""),'Полупродукты'!$C$6:$E$62,3,FALSE()),IFERROR(VLOOKUP(IFERROR(INDEX('Рецептуры'!$F:$F,MATCH($C26&amp;"|"&amp;4,'Рецептуры'!$K:$K,0)),""),'Сырьё'!$C$6:$E$233,3,FALSE()),0)))+(IFERROR(INDEX('Рецептуры'!$G:$G,MATCH($C26&amp;"|"&amp;5,'Рецептуры'!$K:$K,0)),0))*(IFERROR(VLOOKUP(IFERROR(INDEX('Рецептуры'!$F:$F,MATCH($C26&amp;"|"&amp;5,'Рецептуры'!$K:$K,0)),""),'Полупродукты'!$C$6:$E$62,3,FALSE()),IFERROR(VLOOKUP(IFERROR(INDEX('Рецептуры'!$F:$F,MATCH($C26&amp;"|"&amp;5,'Рецептуры'!$K:$K,0)),""),'Сырьё'!$C$6:$E$233,3,FALSE()),0)))+(IFERROR(INDEX('Рецептуры'!$G:$G,MATCH($C26&amp;"|"&amp;6,'Рецептуры'!$K:$K,0)),0))*(IFERROR(VLOOKUP(IFERROR(INDEX('Рецептуры'!$F:$F,MATCH($C26&amp;"|"&amp;6,'Рецептуры'!$K:$K,0)),""),'Полупродукты'!$C$6:$E$62,3,FALSE()),IFERROR(VLOOKUP(IFERROR(INDEX('Рецептуры'!$F:$F,MATCH($C26&amp;"|"&amp;6,'Рецептуры'!$K:$K,0)),""),'Сырьё'!$C$6:$E$233,3,FALSE()),0)))+(IFERROR(INDEX('Рецептуры'!$G:$G,MATCH($C26&amp;"|"&amp;7,'Рецептуры'!$K:$K,0)),0))*(IFERROR(VLOOKUP(IFERROR(INDEX('Рецептуры'!$F:$F,MATCH($C26&amp;"|"&amp;7,'Рецептуры'!$K:$K,0)),""),'Полупродукты'!$C$6:$E$62,3,FALSE()),IFERROR(VLOOKUP(IFERROR(INDEX('Рецептуры'!$F:$F,MATCH($C26&amp;"|"&amp;7,'Рецептуры'!$K:$K,0)),""),'Сырьё'!$C$6:$E$233,3,FALSE()),0)))+(IFERROR(INDEX('Рецептуры'!$G:$G,MATCH($C26&amp;"|"&amp;8,'Рецептуры'!$K:$K,0)),0))*(IFERROR(VLOOKUP(IFERROR(INDEX('Рецептуры'!$F:$F,MATCH($C26&amp;"|"&amp;8,'Рецептуры'!$K:$K,0)),""),'Полупродукты'!$C$6:$E$62,3,FALSE()),IFERROR(VLOOKUP(IFERROR(INDEX('Рецептуры'!$F:$F,MATCH($C26&amp;"|"&amp;8,'Рецептуры'!$K:$K,0)),""),'Сырьё'!$C$6:$E$233,3,FALSE()),0)))+(IFERROR(INDEX('Рецептуры'!$G:$G,MATCH($C26&amp;"|"&amp;9,'Рецептуры'!$K:$K,0)),0))*(IFERROR(VLOOKUP(IFERROR(INDEX('Рецептуры'!$F:$F,MATCH($C26&amp;"|"&amp;9,'Рецептуры'!$K:$K,0)),""),'Полупродукты'!$C$6:$E$62,3,FALSE()),IFERROR(VLOOKUP(IFERROR(INDEX('Рецептуры'!$F:$F,MATCH($C26&amp;"|"&amp;9,'Рецептуры'!$K:$K,0)),""),'Сырьё'!$C$6:$E$233,3,FALSE()),0)))+(IFERROR(INDEX('Рецептуры'!$G:$G,MATCH($C26&amp;"|"&amp;10,'Рецептуры'!$K:$K,0)),0))*(IFERROR(VLOOKUP(IFERROR(INDEX('Рецептуры'!$F:$F,MATCH($C26&amp;"|"&amp;10,'Рецептуры'!$K:$K,0)),""),'Полупродукты'!$C$6:$E$62,3,FALSE()),IFERROR(VLOOKUP(IFERROR(INDEX('Рецептуры'!$F:$F,MATCH($C26&amp;"|"&amp;10,'Рецептуры'!$K:$K,0)),""),'Сырьё'!$C$6:$E$233,3,FALSE()),0)))+(IFERROR(INDEX('Рецептуры'!$G:$G,MATCH($C26&amp;"|"&amp;11,'Рецептуры'!$K:$K,0)),0))*(IFERROR(VLOOKUP(IFERROR(INDEX('Рецептуры'!$F:$F,MATCH($C26&amp;"|"&amp;11,'Рецептуры'!$K:$K,0)),""),'Полупродукты'!$C$6:$E$62,3,FALSE()),IFERROR(VLOOKUP(IFERROR(INDEX('Рецептуры'!$F:$F,MATCH($C26&amp;"|"&amp;11,'Рецептуры'!$K:$K,0)),""),'Сырьё'!$C$6:$E$233,3,FALSE()),0)))+(IFERROR(INDEX('Рецептуры'!$G:$G,MATCH($C26&amp;"|"&amp;12,'Рецептуры'!$K:$K,0)),0))*(IFERROR(VLOOKUP(IFERROR(INDEX('Рецептуры'!$F:$F,MATCH($C26&amp;"|"&amp;12,'Рецептуры'!$K:$K,0)),""),'Полупродукты'!$C$6:$E$62,3,FALSE()),IFERROR(VLOOKUP(IFERROR(INDEX('Рецептуры'!$F:$F,MATCH($C26&amp;"|"&amp;12,'Рецептуры'!$K:$K,0)),""),'Сырьё'!$C$6:$E$233,3,FALSE()),0)))+(IFERROR(INDEX('Рецептуры'!$G:$G,MATCH($C26&amp;"|"&amp;13,'Рецептуры'!$K:$K,0)),0))*(IFERROR(VLOOKUP(IFERROR(INDEX('Рецептуры'!$F:$F,MATCH($C26&amp;"|"&amp;13,'Рецептуры'!$K:$K,0)),""),'Полупродукты'!$C$6:$E$62,3,FALSE()),IFERROR(VLOOKUP(IFERROR(INDEX('Рецептуры'!$F:$F,MATCH($C26&amp;"|"&amp;13,'Рецептуры'!$K:$K,0)),""),'Сырьё'!$C$6:$E$233,3,FALSE()),0)))+(IFERROR(INDEX('Рецептуры'!$G:$G,MATCH($C26&amp;"|"&amp;14,'Рецептуры'!$K:$K,0)),0))*(IFERROR(VLOOKUP(IFERROR(INDEX('Рецептуры'!$F:$F,MATCH($C26&amp;"|"&amp;14,'Рецептуры'!$K:$K,0)),""),'Полупродукты'!$C$6:$E$62,3,FALSE()),IFERROR(VLOOKUP(IFERROR(INDEX('Рецептуры'!$F:$F,MATCH($C26&amp;"|"&amp;14,'Рецептуры'!$K:$K,0)),""),'Сырьё'!$C$6:$E$233,3,FALSE()),0)))+(IFERROR(INDEX('Рецептуры'!$G:$G,MATCH($C26&amp;"|"&amp;15,'Рецептуры'!$K:$K,0)),0))*(IFERROR(VLOOKUP(IFERROR(INDEX('Рецептуры'!$F:$F,MATCH($C26&amp;"|"&amp;15,'Рецептуры'!$K:$K,0)),""),'Полупродукты'!$C$6:$E$62,3,FALSE()),IFERROR(VLOOKUP(IFERROR(INDEX('Рецептуры'!$F:$F,MATCH($C26&amp;"|"&amp;15,'Рецептуры'!$K:$K,0)),""),'Сырьё'!$C$6:$E$233,3,FALSE()),0))),4)</f>
        <v>1.9941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96">
        <v>22.0</v>
      </c>
      <c r="C27" s="97" t="s">
        <v>746</v>
      </c>
      <c r="D27" s="96">
        <v>7.0</v>
      </c>
      <c r="E27" s="214">
        <f t="array" ref="E27">ROUND((IFERROR(INDEX('Рецептуры'!$G:$G,MATCH($C27&amp;"|"&amp;1,'Рецептуры'!$K:$K,0)),0))*(IFERROR(VLOOKUP(IFERROR(INDEX('Рецептуры'!$F:$F,MATCH($C27&amp;"|"&amp;1,'Рецептуры'!$K:$K,0)),""),'Полупродукты'!$C$6:$E$62,3,FALSE()),IFERROR(VLOOKUP(IFERROR(INDEX('Рецептуры'!$F:$F,MATCH($C27&amp;"|"&amp;1,'Рецептуры'!$K:$K,0)),""),'Сырьё'!$C$6:$E$233,3,FALSE()),0)))+(IFERROR(INDEX('Рецептуры'!$G:$G,MATCH($C27&amp;"|"&amp;2,'Рецептуры'!$K:$K,0)),0))*(IFERROR(VLOOKUP(IFERROR(INDEX('Рецептуры'!$F:$F,MATCH($C27&amp;"|"&amp;2,'Рецептуры'!$K:$K,0)),""),'Полупродукты'!$C$6:$E$62,3,FALSE()),IFERROR(VLOOKUP(IFERROR(INDEX('Рецептуры'!$F:$F,MATCH($C27&amp;"|"&amp;2,'Рецептуры'!$K:$K,0)),""),'Сырьё'!$C$6:$E$233,3,FALSE()),0)))+(IFERROR(INDEX('Рецептуры'!$G:$G,MATCH($C27&amp;"|"&amp;3,'Рецептуры'!$K:$K,0)),0))*(IFERROR(VLOOKUP(IFERROR(INDEX('Рецептуры'!$F:$F,MATCH($C27&amp;"|"&amp;3,'Рецептуры'!$K:$K,0)),""),'Полупродукты'!$C$6:$E$62,3,FALSE()),IFERROR(VLOOKUP(IFERROR(INDEX('Рецептуры'!$F:$F,MATCH($C27&amp;"|"&amp;3,'Рецептуры'!$K:$K,0)),""),'Сырьё'!$C$6:$E$233,3,FALSE()),0)))+(IFERROR(INDEX('Рецептуры'!$G:$G,MATCH($C27&amp;"|"&amp;4,'Рецептуры'!$K:$K,0)),0))*(IFERROR(VLOOKUP(IFERROR(INDEX('Рецептуры'!$F:$F,MATCH($C27&amp;"|"&amp;4,'Рецептуры'!$K:$K,0)),""),'Полупродукты'!$C$6:$E$62,3,FALSE()),IFERROR(VLOOKUP(IFERROR(INDEX('Рецептуры'!$F:$F,MATCH($C27&amp;"|"&amp;4,'Рецептуры'!$K:$K,0)),""),'Сырьё'!$C$6:$E$233,3,FALSE()),0)))+(IFERROR(INDEX('Рецептуры'!$G:$G,MATCH($C27&amp;"|"&amp;5,'Рецептуры'!$K:$K,0)),0))*(IFERROR(VLOOKUP(IFERROR(INDEX('Рецептуры'!$F:$F,MATCH($C27&amp;"|"&amp;5,'Рецептуры'!$K:$K,0)),""),'Полупродукты'!$C$6:$E$62,3,FALSE()),IFERROR(VLOOKUP(IFERROR(INDEX('Рецептуры'!$F:$F,MATCH($C27&amp;"|"&amp;5,'Рецептуры'!$K:$K,0)),""),'Сырьё'!$C$6:$E$233,3,FALSE()),0)))+(IFERROR(INDEX('Рецептуры'!$G:$G,MATCH($C27&amp;"|"&amp;6,'Рецептуры'!$K:$K,0)),0))*(IFERROR(VLOOKUP(IFERROR(INDEX('Рецептуры'!$F:$F,MATCH($C27&amp;"|"&amp;6,'Рецептуры'!$K:$K,0)),""),'Полупродукты'!$C$6:$E$62,3,FALSE()),IFERROR(VLOOKUP(IFERROR(INDEX('Рецептуры'!$F:$F,MATCH($C27&amp;"|"&amp;6,'Рецептуры'!$K:$K,0)),""),'Сырьё'!$C$6:$E$233,3,FALSE()),0)))+(IFERROR(INDEX('Рецептуры'!$G:$G,MATCH($C27&amp;"|"&amp;7,'Рецептуры'!$K:$K,0)),0))*(IFERROR(VLOOKUP(IFERROR(INDEX('Рецептуры'!$F:$F,MATCH($C27&amp;"|"&amp;7,'Рецептуры'!$K:$K,0)),""),'Полупродукты'!$C$6:$E$62,3,FALSE()),IFERROR(VLOOKUP(IFERROR(INDEX('Рецептуры'!$F:$F,MATCH($C27&amp;"|"&amp;7,'Рецептуры'!$K:$K,0)),""),'Сырьё'!$C$6:$E$233,3,FALSE()),0)))+(IFERROR(INDEX('Рецептуры'!$G:$G,MATCH($C27&amp;"|"&amp;8,'Рецептуры'!$K:$K,0)),0))*(IFERROR(VLOOKUP(IFERROR(INDEX('Рецептуры'!$F:$F,MATCH($C27&amp;"|"&amp;8,'Рецептуры'!$K:$K,0)),""),'Полупродукты'!$C$6:$E$62,3,FALSE()),IFERROR(VLOOKUP(IFERROR(INDEX('Рецептуры'!$F:$F,MATCH($C27&amp;"|"&amp;8,'Рецептуры'!$K:$K,0)),""),'Сырьё'!$C$6:$E$233,3,FALSE()),0)))+(IFERROR(INDEX('Рецептуры'!$G:$G,MATCH($C27&amp;"|"&amp;9,'Рецептуры'!$K:$K,0)),0))*(IFERROR(VLOOKUP(IFERROR(INDEX('Рецептуры'!$F:$F,MATCH($C27&amp;"|"&amp;9,'Рецептуры'!$K:$K,0)),""),'Полупродукты'!$C$6:$E$62,3,FALSE()),IFERROR(VLOOKUP(IFERROR(INDEX('Рецептуры'!$F:$F,MATCH($C27&amp;"|"&amp;9,'Рецептуры'!$K:$K,0)),""),'Сырьё'!$C$6:$E$233,3,FALSE()),0)))+(IFERROR(INDEX('Рецептуры'!$G:$G,MATCH($C27&amp;"|"&amp;10,'Рецептуры'!$K:$K,0)),0))*(IFERROR(VLOOKUP(IFERROR(INDEX('Рецептуры'!$F:$F,MATCH($C27&amp;"|"&amp;10,'Рецептуры'!$K:$K,0)),""),'Полупродукты'!$C$6:$E$62,3,FALSE()),IFERROR(VLOOKUP(IFERROR(INDEX('Рецептуры'!$F:$F,MATCH($C27&amp;"|"&amp;10,'Рецептуры'!$K:$K,0)),""),'Сырьё'!$C$6:$E$233,3,FALSE()),0)))+(IFERROR(INDEX('Рецептуры'!$G:$G,MATCH($C27&amp;"|"&amp;11,'Рецептуры'!$K:$K,0)),0))*(IFERROR(VLOOKUP(IFERROR(INDEX('Рецептуры'!$F:$F,MATCH($C27&amp;"|"&amp;11,'Рецептуры'!$K:$K,0)),""),'Полупродукты'!$C$6:$E$62,3,FALSE()),IFERROR(VLOOKUP(IFERROR(INDEX('Рецептуры'!$F:$F,MATCH($C27&amp;"|"&amp;11,'Рецептуры'!$K:$K,0)),""),'Сырьё'!$C$6:$E$233,3,FALSE()),0)))+(IFERROR(INDEX('Рецептуры'!$G:$G,MATCH($C27&amp;"|"&amp;12,'Рецептуры'!$K:$K,0)),0))*(IFERROR(VLOOKUP(IFERROR(INDEX('Рецептуры'!$F:$F,MATCH($C27&amp;"|"&amp;12,'Рецептуры'!$K:$K,0)),""),'Полупродукты'!$C$6:$E$62,3,FALSE()),IFERROR(VLOOKUP(IFERROR(INDEX('Рецептуры'!$F:$F,MATCH($C27&amp;"|"&amp;12,'Рецептуры'!$K:$K,0)),""),'Сырьё'!$C$6:$E$233,3,FALSE()),0)))+(IFERROR(INDEX('Рецептуры'!$G:$G,MATCH($C27&amp;"|"&amp;13,'Рецептуры'!$K:$K,0)),0))*(IFERROR(VLOOKUP(IFERROR(INDEX('Рецептуры'!$F:$F,MATCH($C27&amp;"|"&amp;13,'Рецептуры'!$K:$K,0)),""),'Полупродукты'!$C$6:$E$62,3,FALSE()),IFERROR(VLOOKUP(IFERROR(INDEX('Рецептуры'!$F:$F,MATCH($C27&amp;"|"&amp;13,'Рецептуры'!$K:$K,0)),""),'Сырьё'!$C$6:$E$233,3,FALSE()),0)))+(IFERROR(INDEX('Рецептуры'!$G:$G,MATCH($C27&amp;"|"&amp;14,'Рецептуры'!$K:$K,0)),0))*(IFERROR(VLOOKUP(IFERROR(INDEX('Рецептуры'!$F:$F,MATCH($C27&amp;"|"&amp;14,'Рецептуры'!$K:$K,0)),""),'Полупродукты'!$C$6:$E$62,3,FALSE()),IFERROR(VLOOKUP(IFERROR(INDEX('Рецептуры'!$F:$F,MATCH($C27&amp;"|"&amp;14,'Рецептуры'!$K:$K,0)),""),'Сырьё'!$C$6:$E$233,3,FALSE()),0)))+(IFERROR(INDEX('Рецептуры'!$G:$G,MATCH($C27&amp;"|"&amp;15,'Рецептуры'!$K:$K,0)),0))*(IFERROR(VLOOKUP(IFERROR(INDEX('Рецептуры'!$F:$F,MATCH($C27&amp;"|"&amp;15,'Рецептуры'!$K:$K,0)),""),'Полупродукты'!$C$6:$E$62,3,FALSE()),IFERROR(VLOOKUP(IFERROR(INDEX('Рецептуры'!$F:$F,MATCH($C27&amp;"|"&amp;15,'Рецептуры'!$K:$K,0)),""),'Сырьё'!$C$6:$E$233,3,FALSE()),0))),4)</f>
        <v>2.2661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88">
        <v>23.0</v>
      </c>
      <c r="C28" s="89" t="s">
        <v>747</v>
      </c>
      <c r="D28" s="88">
        <v>4.0</v>
      </c>
      <c r="E28" s="213">
        <f t="array" ref="E28">ROUND((IFERROR(INDEX('Рецептуры'!$G:$G,MATCH($C28&amp;"|"&amp;1,'Рецептуры'!$K:$K,0)),0))*(IFERROR(VLOOKUP(IFERROR(INDEX('Рецептуры'!$F:$F,MATCH($C28&amp;"|"&amp;1,'Рецептуры'!$K:$K,0)),""),'Полупродукты'!$C$6:$E$62,3,FALSE()),IFERROR(VLOOKUP(IFERROR(INDEX('Рецептуры'!$F:$F,MATCH($C28&amp;"|"&amp;1,'Рецептуры'!$K:$K,0)),""),'Сырьё'!$C$6:$E$233,3,FALSE()),0)))+(IFERROR(INDEX('Рецептуры'!$G:$G,MATCH($C28&amp;"|"&amp;2,'Рецептуры'!$K:$K,0)),0))*(IFERROR(VLOOKUP(IFERROR(INDEX('Рецептуры'!$F:$F,MATCH($C28&amp;"|"&amp;2,'Рецептуры'!$K:$K,0)),""),'Полупродукты'!$C$6:$E$62,3,FALSE()),IFERROR(VLOOKUP(IFERROR(INDEX('Рецептуры'!$F:$F,MATCH($C28&amp;"|"&amp;2,'Рецептуры'!$K:$K,0)),""),'Сырьё'!$C$6:$E$233,3,FALSE()),0)))+(IFERROR(INDEX('Рецептуры'!$G:$G,MATCH($C28&amp;"|"&amp;3,'Рецептуры'!$K:$K,0)),0))*(IFERROR(VLOOKUP(IFERROR(INDEX('Рецептуры'!$F:$F,MATCH($C28&amp;"|"&amp;3,'Рецептуры'!$K:$K,0)),""),'Полупродукты'!$C$6:$E$62,3,FALSE()),IFERROR(VLOOKUP(IFERROR(INDEX('Рецептуры'!$F:$F,MATCH($C28&amp;"|"&amp;3,'Рецептуры'!$K:$K,0)),""),'Сырьё'!$C$6:$E$233,3,FALSE()),0)))+(IFERROR(INDEX('Рецептуры'!$G:$G,MATCH($C28&amp;"|"&amp;4,'Рецептуры'!$K:$K,0)),0))*(IFERROR(VLOOKUP(IFERROR(INDEX('Рецептуры'!$F:$F,MATCH($C28&amp;"|"&amp;4,'Рецептуры'!$K:$K,0)),""),'Полупродукты'!$C$6:$E$62,3,FALSE()),IFERROR(VLOOKUP(IFERROR(INDEX('Рецептуры'!$F:$F,MATCH($C28&amp;"|"&amp;4,'Рецептуры'!$K:$K,0)),""),'Сырьё'!$C$6:$E$233,3,FALSE()),0)))+(IFERROR(INDEX('Рецептуры'!$G:$G,MATCH($C28&amp;"|"&amp;5,'Рецептуры'!$K:$K,0)),0))*(IFERROR(VLOOKUP(IFERROR(INDEX('Рецептуры'!$F:$F,MATCH($C28&amp;"|"&amp;5,'Рецептуры'!$K:$K,0)),""),'Полупродукты'!$C$6:$E$62,3,FALSE()),IFERROR(VLOOKUP(IFERROR(INDEX('Рецептуры'!$F:$F,MATCH($C28&amp;"|"&amp;5,'Рецептуры'!$K:$K,0)),""),'Сырьё'!$C$6:$E$233,3,FALSE()),0)))+(IFERROR(INDEX('Рецептуры'!$G:$G,MATCH($C28&amp;"|"&amp;6,'Рецептуры'!$K:$K,0)),0))*(IFERROR(VLOOKUP(IFERROR(INDEX('Рецептуры'!$F:$F,MATCH($C28&amp;"|"&amp;6,'Рецептуры'!$K:$K,0)),""),'Полупродукты'!$C$6:$E$62,3,FALSE()),IFERROR(VLOOKUP(IFERROR(INDEX('Рецептуры'!$F:$F,MATCH($C28&amp;"|"&amp;6,'Рецептуры'!$K:$K,0)),""),'Сырьё'!$C$6:$E$233,3,FALSE()),0)))+(IFERROR(INDEX('Рецептуры'!$G:$G,MATCH($C28&amp;"|"&amp;7,'Рецептуры'!$K:$K,0)),0))*(IFERROR(VLOOKUP(IFERROR(INDEX('Рецептуры'!$F:$F,MATCH($C28&amp;"|"&amp;7,'Рецептуры'!$K:$K,0)),""),'Полупродукты'!$C$6:$E$62,3,FALSE()),IFERROR(VLOOKUP(IFERROR(INDEX('Рецептуры'!$F:$F,MATCH($C28&amp;"|"&amp;7,'Рецептуры'!$K:$K,0)),""),'Сырьё'!$C$6:$E$233,3,FALSE()),0)))+(IFERROR(INDEX('Рецептуры'!$G:$G,MATCH($C28&amp;"|"&amp;8,'Рецептуры'!$K:$K,0)),0))*(IFERROR(VLOOKUP(IFERROR(INDEX('Рецептуры'!$F:$F,MATCH($C28&amp;"|"&amp;8,'Рецептуры'!$K:$K,0)),""),'Полупродукты'!$C$6:$E$62,3,FALSE()),IFERROR(VLOOKUP(IFERROR(INDEX('Рецептуры'!$F:$F,MATCH($C28&amp;"|"&amp;8,'Рецептуры'!$K:$K,0)),""),'Сырьё'!$C$6:$E$233,3,FALSE()),0)))+(IFERROR(INDEX('Рецептуры'!$G:$G,MATCH($C28&amp;"|"&amp;9,'Рецептуры'!$K:$K,0)),0))*(IFERROR(VLOOKUP(IFERROR(INDEX('Рецептуры'!$F:$F,MATCH($C28&amp;"|"&amp;9,'Рецептуры'!$K:$K,0)),""),'Полупродукты'!$C$6:$E$62,3,FALSE()),IFERROR(VLOOKUP(IFERROR(INDEX('Рецептуры'!$F:$F,MATCH($C28&amp;"|"&amp;9,'Рецептуры'!$K:$K,0)),""),'Сырьё'!$C$6:$E$233,3,FALSE()),0)))+(IFERROR(INDEX('Рецептуры'!$G:$G,MATCH($C28&amp;"|"&amp;10,'Рецептуры'!$K:$K,0)),0))*(IFERROR(VLOOKUP(IFERROR(INDEX('Рецептуры'!$F:$F,MATCH($C28&amp;"|"&amp;10,'Рецептуры'!$K:$K,0)),""),'Полупродукты'!$C$6:$E$62,3,FALSE()),IFERROR(VLOOKUP(IFERROR(INDEX('Рецептуры'!$F:$F,MATCH($C28&amp;"|"&amp;10,'Рецептуры'!$K:$K,0)),""),'Сырьё'!$C$6:$E$233,3,FALSE()),0)))+(IFERROR(INDEX('Рецептуры'!$G:$G,MATCH($C28&amp;"|"&amp;11,'Рецептуры'!$K:$K,0)),0))*(IFERROR(VLOOKUP(IFERROR(INDEX('Рецептуры'!$F:$F,MATCH($C28&amp;"|"&amp;11,'Рецептуры'!$K:$K,0)),""),'Полупродукты'!$C$6:$E$62,3,FALSE()),IFERROR(VLOOKUP(IFERROR(INDEX('Рецептуры'!$F:$F,MATCH($C28&amp;"|"&amp;11,'Рецептуры'!$K:$K,0)),""),'Сырьё'!$C$6:$E$233,3,FALSE()),0)))+(IFERROR(INDEX('Рецептуры'!$G:$G,MATCH($C28&amp;"|"&amp;12,'Рецептуры'!$K:$K,0)),0))*(IFERROR(VLOOKUP(IFERROR(INDEX('Рецептуры'!$F:$F,MATCH($C28&amp;"|"&amp;12,'Рецептуры'!$K:$K,0)),""),'Полупродукты'!$C$6:$E$62,3,FALSE()),IFERROR(VLOOKUP(IFERROR(INDEX('Рецептуры'!$F:$F,MATCH($C28&amp;"|"&amp;12,'Рецептуры'!$K:$K,0)),""),'Сырьё'!$C$6:$E$233,3,FALSE()),0)))+(IFERROR(INDEX('Рецептуры'!$G:$G,MATCH($C28&amp;"|"&amp;13,'Рецептуры'!$K:$K,0)),0))*(IFERROR(VLOOKUP(IFERROR(INDEX('Рецептуры'!$F:$F,MATCH($C28&amp;"|"&amp;13,'Рецептуры'!$K:$K,0)),""),'Полупродукты'!$C$6:$E$62,3,FALSE()),IFERROR(VLOOKUP(IFERROR(INDEX('Рецептуры'!$F:$F,MATCH($C28&amp;"|"&amp;13,'Рецептуры'!$K:$K,0)),""),'Сырьё'!$C$6:$E$233,3,FALSE()),0)))+(IFERROR(INDEX('Рецептуры'!$G:$G,MATCH($C28&amp;"|"&amp;14,'Рецептуры'!$K:$K,0)),0))*(IFERROR(VLOOKUP(IFERROR(INDEX('Рецептуры'!$F:$F,MATCH($C28&amp;"|"&amp;14,'Рецептуры'!$K:$K,0)),""),'Полупродукты'!$C$6:$E$62,3,FALSE()),IFERROR(VLOOKUP(IFERROR(INDEX('Рецептуры'!$F:$F,MATCH($C28&amp;"|"&amp;14,'Рецептуры'!$K:$K,0)),""),'Сырьё'!$C$6:$E$233,3,FALSE()),0)))+(IFERROR(INDEX('Рецептуры'!$G:$G,MATCH($C28&amp;"|"&amp;15,'Рецептуры'!$K:$K,0)),0))*(IFERROR(VLOOKUP(IFERROR(INDEX('Рецептуры'!$F:$F,MATCH($C28&amp;"|"&amp;15,'Рецептуры'!$K:$K,0)),""),'Полупродукты'!$C$6:$E$62,3,FALSE()),IFERROR(VLOOKUP(IFERROR(INDEX('Рецептуры'!$F:$F,MATCH($C28&amp;"|"&amp;15,'Рецептуры'!$K:$K,0)),""),'Сырьё'!$C$6:$E$233,3,FALSE()),0))),4)</f>
        <v>2.2485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6">
        <v>24.0</v>
      </c>
      <c r="C29" s="97" t="s">
        <v>748</v>
      </c>
      <c r="D29" s="96">
        <v>5.0</v>
      </c>
      <c r="E29" s="214">
        <f t="array" ref="E29">ROUND((IFERROR(INDEX('Рецептуры'!$G:$G,MATCH($C29&amp;"|"&amp;1,'Рецептуры'!$K:$K,0)),0))*(IFERROR(VLOOKUP(IFERROR(INDEX('Рецептуры'!$F:$F,MATCH($C29&amp;"|"&amp;1,'Рецептуры'!$K:$K,0)),""),'Полупродукты'!$C$6:$E$62,3,FALSE()),IFERROR(VLOOKUP(IFERROR(INDEX('Рецептуры'!$F:$F,MATCH($C29&amp;"|"&amp;1,'Рецептуры'!$K:$K,0)),""),'Сырьё'!$C$6:$E$233,3,FALSE()),0)))+(IFERROR(INDEX('Рецептуры'!$G:$G,MATCH($C29&amp;"|"&amp;2,'Рецептуры'!$K:$K,0)),0))*(IFERROR(VLOOKUP(IFERROR(INDEX('Рецептуры'!$F:$F,MATCH($C29&amp;"|"&amp;2,'Рецептуры'!$K:$K,0)),""),'Полупродукты'!$C$6:$E$62,3,FALSE()),IFERROR(VLOOKUP(IFERROR(INDEX('Рецептуры'!$F:$F,MATCH($C29&amp;"|"&amp;2,'Рецептуры'!$K:$K,0)),""),'Сырьё'!$C$6:$E$233,3,FALSE()),0)))+(IFERROR(INDEX('Рецептуры'!$G:$G,MATCH($C29&amp;"|"&amp;3,'Рецептуры'!$K:$K,0)),0))*(IFERROR(VLOOKUP(IFERROR(INDEX('Рецептуры'!$F:$F,MATCH($C29&amp;"|"&amp;3,'Рецептуры'!$K:$K,0)),""),'Полупродукты'!$C$6:$E$62,3,FALSE()),IFERROR(VLOOKUP(IFERROR(INDEX('Рецептуры'!$F:$F,MATCH($C29&amp;"|"&amp;3,'Рецептуры'!$K:$K,0)),""),'Сырьё'!$C$6:$E$233,3,FALSE()),0)))+(IFERROR(INDEX('Рецептуры'!$G:$G,MATCH($C29&amp;"|"&amp;4,'Рецептуры'!$K:$K,0)),0))*(IFERROR(VLOOKUP(IFERROR(INDEX('Рецептуры'!$F:$F,MATCH($C29&amp;"|"&amp;4,'Рецептуры'!$K:$K,0)),""),'Полупродукты'!$C$6:$E$62,3,FALSE()),IFERROR(VLOOKUP(IFERROR(INDEX('Рецептуры'!$F:$F,MATCH($C29&amp;"|"&amp;4,'Рецептуры'!$K:$K,0)),""),'Сырьё'!$C$6:$E$233,3,FALSE()),0)))+(IFERROR(INDEX('Рецептуры'!$G:$G,MATCH($C29&amp;"|"&amp;5,'Рецептуры'!$K:$K,0)),0))*(IFERROR(VLOOKUP(IFERROR(INDEX('Рецептуры'!$F:$F,MATCH($C29&amp;"|"&amp;5,'Рецептуры'!$K:$K,0)),""),'Полупродукты'!$C$6:$E$62,3,FALSE()),IFERROR(VLOOKUP(IFERROR(INDEX('Рецептуры'!$F:$F,MATCH($C29&amp;"|"&amp;5,'Рецептуры'!$K:$K,0)),""),'Сырьё'!$C$6:$E$233,3,FALSE()),0)))+(IFERROR(INDEX('Рецептуры'!$G:$G,MATCH($C29&amp;"|"&amp;6,'Рецептуры'!$K:$K,0)),0))*(IFERROR(VLOOKUP(IFERROR(INDEX('Рецептуры'!$F:$F,MATCH($C29&amp;"|"&amp;6,'Рецептуры'!$K:$K,0)),""),'Полупродукты'!$C$6:$E$62,3,FALSE()),IFERROR(VLOOKUP(IFERROR(INDEX('Рецептуры'!$F:$F,MATCH($C29&amp;"|"&amp;6,'Рецептуры'!$K:$K,0)),""),'Сырьё'!$C$6:$E$233,3,FALSE()),0)))+(IFERROR(INDEX('Рецептуры'!$G:$G,MATCH($C29&amp;"|"&amp;7,'Рецептуры'!$K:$K,0)),0))*(IFERROR(VLOOKUP(IFERROR(INDEX('Рецептуры'!$F:$F,MATCH($C29&amp;"|"&amp;7,'Рецептуры'!$K:$K,0)),""),'Полупродукты'!$C$6:$E$62,3,FALSE()),IFERROR(VLOOKUP(IFERROR(INDEX('Рецептуры'!$F:$F,MATCH($C29&amp;"|"&amp;7,'Рецептуры'!$K:$K,0)),""),'Сырьё'!$C$6:$E$233,3,FALSE()),0)))+(IFERROR(INDEX('Рецептуры'!$G:$G,MATCH($C29&amp;"|"&amp;8,'Рецептуры'!$K:$K,0)),0))*(IFERROR(VLOOKUP(IFERROR(INDEX('Рецептуры'!$F:$F,MATCH($C29&amp;"|"&amp;8,'Рецептуры'!$K:$K,0)),""),'Полупродукты'!$C$6:$E$62,3,FALSE()),IFERROR(VLOOKUP(IFERROR(INDEX('Рецептуры'!$F:$F,MATCH($C29&amp;"|"&amp;8,'Рецептуры'!$K:$K,0)),""),'Сырьё'!$C$6:$E$233,3,FALSE()),0)))+(IFERROR(INDEX('Рецептуры'!$G:$G,MATCH($C29&amp;"|"&amp;9,'Рецептуры'!$K:$K,0)),0))*(IFERROR(VLOOKUP(IFERROR(INDEX('Рецептуры'!$F:$F,MATCH($C29&amp;"|"&amp;9,'Рецептуры'!$K:$K,0)),""),'Полупродукты'!$C$6:$E$62,3,FALSE()),IFERROR(VLOOKUP(IFERROR(INDEX('Рецептуры'!$F:$F,MATCH($C29&amp;"|"&amp;9,'Рецептуры'!$K:$K,0)),""),'Сырьё'!$C$6:$E$233,3,FALSE()),0)))+(IFERROR(INDEX('Рецептуры'!$G:$G,MATCH($C29&amp;"|"&amp;10,'Рецептуры'!$K:$K,0)),0))*(IFERROR(VLOOKUP(IFERROR(INDEX('Рецептуры'!$F:$F,MATCH($C29&amp;"|"&amp;10,'Рецептуры'!$K:$K,0)),""),'Полупродукты'!$C$6:$E$62,3,FALSE()),IFERROR(VLOOKUP(IFERROR(INDEX('Рецептуры'!$F:$F,MATCH($C29&amp;"|"&amp;10,'Рецептуры'!$K:$K,0)),""),'Сырьё'!$C$6:$E$233,3,FALSE()),0)))+(IFERROR(INDEX('Рецептуры'!$G:$G,MATCH($C29&amp;"|"&amp;11,'Рецептуры'!$K:$K,0)),0))*(IFERROR(VLOOKUP(IFERROR(INDEX('Рецептуры'!$F:$F,MATCH($C29&amp;"|"&amp;11,'Рецептуры'!$K:$K,0)),""),'Полупродукты'!$C$6:$E$62,3,FALSE()),IFERROR(VLOOKUP(IFERROR(INDEX('Рецептуры'!$F:$F,MATCH($C29&amp;"|"&amp;11,'Рецептуры'!$K:$K,0)),""),'Сырьё'!$C$6:$E$233,3,FALSE()),0)))+(IFERROR(INDEX('Рецептуры'!$G:$G,MATCH($C29&amp;"|"&amp;12,'Рецептуры'!$K:$K,0)),0))*(IFERROR(VLOOKUP(IFERROR(INDEX('Рецептуры'!$F:$F,MATCH($C29&amp;"|"&amp;12,'Рецептуры'!$K:$K,0)),""),'Полупродукты'!$C$6:$E$62,3,FALSE()),IFERROR(VLOOKUP(IFERROR(INDEX('Рецептуры'!$F:$F,MATCH($C29&amp;"|"&amp;12,'Рецептуры'!$K:$K,0)),""),'Сырьё'!$C$6:$E$233,3,FALSE()),0)))+(IFERROR(INDEX('Рецептуры'!$G:$G,MATCH($C29&amp;"|"&amp;13,'Рецептуры'!$K:$K,0)),0))*(IFERROR(VLOOKUP(IFERROR(INDEX('Рецептуры'!$F:$F,MATCH($C29&amp;"|"&amp;13,'Рецептуры'!$K:$K,0)),""),'Полупродукты'!$C$6:$E$62,3,FALSE()),IFERROR(VLOOKUP(IFERROR(INDEX('Рецептуры'!$F:$F,MATCH($C29&amp;"|"&amp;13,'Рецептуры'!$K:$K,0)),""),'Сырьё'!$C$6:$E$233,3,FALSE()),0)))+(IFERROR(INDEX('Рецептуры'!$G:$G,MATCH($C29&amp;"|"&amp;14,'Рецептуры'!$K:$K,0)),0))*(IFERROR(VLOOKUP(IFERROR(INDEX('Рецептуры'!$F:$F,MATCH($C29&amp;"|"&amp;14,'Рецептуры'!$K:$K,0)),""),'Полупродукты'!$C$6:$E$62,3,FALSE()),IFERROR(VLOOKUP(IFERROR(INDEX('Рецептуры'!$F:$F,MATCH($C29&amp;"|"&amp;14,'Рецептуры'!$K:$K,0)),""),'Сырьё'!$C$6:$E$233,3,FALSE()),0)))+(IFERROR(INDEX('Рецептуры'!$G:$G,MATCH($C29&amp;"|"&amp;15,'Рецептуры'!$K:$K,0)),0))*(IFERROR(VLOOKUP(IFERROR(INDEX('Рецептуры'!$F:$F,MATCH($C29&amp;"|"&amp;15,'Рецептуры'!$K:$K,0)),""),'Полупродукты'!$C$6:$E$62,3,FALSE()),IFERROR(VLOOKUP(IFERROR(INDEX('Рецептуры'!$F:$F,MATCH($C29&amp;"|"&amp;15,'Рецептуры'!$K:$K,0)),""),'Сырьё'!$C$6:$E$233,3,FALSE()),0))),4)</f>
        <v>1.8436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88">
        <v>25.0</v>
      </c>
      <c r="C30" s="89" t="s">
        <v>749</v>
      </c>
      <c r="D30" s="88">
        <v>2.0</v>
      </c>
      <c r="E30" s="213">
        <f t="array" ref="E30">ROUND((IFERROR(INDEX('Рецептуры'!$G:$G,MATCH($C30&amp;"|"&amp;1,'Рецептуры'!$K:$K,0)),0))*(IFERROR(VLOOKUP(IFERROR(INDEX('Рецептуры'!$F:$F,MATCH($C30&amp;"|"&amp;1,'Рецептуры'!$K:$K,0)),""),'Полупродукты'!$C$6:$E$62,3,FALSE()),IFERROR(VLOOKUP(IFERROR(INDEX('Рецептуры'!$F:$F,MATCH($C30&amp;"|"&amp;1,'Рецептуры'!$K:$K,0)),""),'Сырьё'!$C$6:$E$233,3,FALSE()),0)))+(IFERROR(INDEX('Рецептуры'!$G:$G,MATCH($C30&amp;"|"&amp;2,'Рецептуры'!$K:$K,0)),0))*(IFERROR(VLOOKUP(IFERROR(INDEX('Рецептуры'!$F:$F,MATCH($C30&amp;"|"&amp;2,'Рецептуры'!$K:$K,0)),""),'Полупродукты'!$C$6:$E$62,3,FALSE()),IFERROR(VLOOKUP(IFERROR(INDEX('Рецептуры'!$F:$F,MATCH($C30&amp;"|"&amp;2,'Рецептуры'!$K:$K,0)),""),'Сырьё'!$C$6:$E$233,3,FALSE()),0)))+(IFERROR(INDEX('Рецептуры'!$G:$G,MATCH($C30&amp;"|"&amp;3,'Рецептуры'!$K:$K,0)),0))*(IFERROR(VLOOKUP(IFERROR(INDEX('Рецептуры'!$F:$F,MATCH($C30&amp;"|"&amp;3,'Рецептуры'!$K:$K,0)),""),'Полупродукты'!$C$6:$E$62,3,FALSE()),IFERROR(VLOOKUP(IFERROR(INDEX('Рецептуры'!$F:$F,MATCH($C30&amp;"|"&amp;3,'Рецептуры'!$K:$K,0)),""),'Сырьё'!$C$6:$E$233,3,FALSE()),0)))+(IFERROR(INDEX('Рецептуры'!$G:$G,MATCH($C30&amp;"|"&amp;4,'Рецептуры'!$K:$K,0)),0))*(IFERROR(VLOOKUP(IFERROR(INDEX('Рецептуры'!$F:$F,MATCH($C30&amp;"|"&amp;4,'Рецептуры'!$K:$K,0)),""),'Полупродукты'!$C$6:$E$62,3,FALSE()),IFERROR(VLOOKUP(IFERROR(INDEX('Рецептуры'!$F:$F,MATCH($C30&amp;"|"&amp;4,'Рецептуры'!$K:$K,0)),""),'Сырьё'!$C$6:$E$233,3,FALSE()),0)))+(IFERROR(INDEX('Рецептуры'!$G:$G,MATCH($C30&amp;"|"&amp;5,'Рецептуры'!$K:$K,0)),0))*(IFERROR(VLOOKUP(IFERROR(INDEX('Рецептуры'!$F:$F,MATCH($C30&amp;"|"&amp;5,'Рецептуры'!$K:$K,0)),""),'Полупродукты'!$C$6:$E$62,3,FALSE()),IFERROR(VLOOKUP(IFERROR(INDEX('Рецептуры'!$F:$F,MATCH($C30&amp;"|"&amp;5,'Рецептуры'!$K:$K,0)),""),'Сырьё'!$C$6:$E$233,3,FALSE()),0)))+(IFERROR(INDEX('Рецептуры'!$G:$G,MATCH($C30&amp;"|"&amp;6,'Рецептуры'!$K:$K,0)),0))*(IFERROR(VLOOKUP(IFERROR(INDEX('Рецептуры'!$F:$F,MATCH($C30&amp;"|"&amp;6,'Рецептуры'!$K:$K,0)),""),'Полупродукты'!$C$6:$E$62,3,FALSE()),IFERROR(VLOOKUP(IFERROR(INDEX('Рецептуры'!$F:$F,MATCH($C30&amp;"|"&amp;6,'Рецептуры'!$K:$K,0)),""),'Сырьё'!$C$6:$E$233,3,FALSE()),0)))+(IFERROR(INDEX('Рецептуры'!$G:$G,MATCH($C30&amp;"|"&amp;7,'Рецептуры'!$K:$K,0)),0))*(IFERROR(VLOOKUP(IFERROR(INDEX('Рецептуры'!$F:$F,MATCH($C30&amp;"|"&amp;7,'Рецептуры'!$K:$K,0)),""),'Полупродукты'!$C$6:$E$62,3,FALSE()),IFERROR(VLOOKUP(IFERROR(INDEX('Рецептуры'!$F:$F,MATCH($C30&amp;"|"&amp;7,'Рецептуры'!$K:$K,0)),""),'Сырьё'!$C$6:$E$233,3,FALSE()),0)))+(IFERROR(INDEX('Рецептуры'!$G:$G,MATCH($C30&amp;"|"&amp;8,'Рецептуры'!$K:$K,0)),0))*(IFERROR(VLOOKUP(IFERROR(INDEX('Рецептуры'!$F:$F,MATCH($C30&amp;"|"&amp;8,'Рецептуры'!$K:$K,0)),""),'Полупродукты'!$C$6:$E$62,3,FALSE()),IFERROR(VLOOKUP(IFERROR(INDEX('Рецептуры'!$F:$F,MATCH($C30&amp;"|"&amp;8,'Рецептуры'!$K:$K,0)),""),'Сырьё'!$C$6:$E$233,3,FALSE()),0)))+(IFERROR(INDEX('Рецептуры'!$G:$G,MATCH($C30&amp;"|"&amp;9,'Рецептуры'!$K:$K,0)),0))*(IFERROR(VLOOKUP(IFERROR(INDEX('Рецептуры'!$F:$F,MATCH($C30&amp;"|"&amp;9,'Рецептуры'!$K:$K,0)),""),'Полупродукты'!$C$6:$E$62,3,FALSE()),IFERROR(VLOOKUP(IFERROR(INDEX('Рецептуры'!$F:$F,MATCH($C30&amp;"|"&amp;9,'Рецептуры'!$K:$K,0)),""),'Сырьё'!$C$6:$E$233,3,FALSE()),0)))+(IFERROR(INDEX('Рецептуры'!$G:$G,MATCH($C30&amp;"|"&amp;10,'Рецептуры'!$K:$K,0)),0))*(IFERROR(VLOOKUP(IFERROR(INDEX('Рецептуры'!$F:$F,MATCH($C30&amp;"|"&amp;10,'Рецептуры'!$K:$K,0)),""),'Полупродукты'!$C$6:$E$62,3,FALSE()),IFERROR(VLOOKUP(IFERROR(INDEX('Рецептуры'!$F:$F,MATCH($C30&amp;"|"&amp;10,'Рецептуры'!$K:$K,0)),""),'Сырьё'!$C$6:$E$233,3,FALSE()),0)))+(IFERROR(INDEX('Рецептуры'!$G:$G,MATCH($C30&amp;"|"&amp;11,'Рецептуры'!$K:$K,0)),0))*(IFERROR(VLOOKUP(IFERROR(INDEX('Рецептуры'!$F:$F,MATCH($C30&amp;"|"&amp;11,'Рецептуры'!$K:$K,0)),""),'Полупродукты'!$C$6:$E$62,3,FALSE()),IFERROR(VLOOKUP(IFERROR(INDEX('Рецептуры'!$F:$F,MATCH($C30&amp;"|"&amp;11,'Рецептуры'!$K:$K,0)),""),'Сырьё'!$C$6:$E$233,3,FALSE()),0)))+(IFERROR(INDEX('Рецептуры'!$G:$G,MATCH($C30&amp;"|"&amp;12,'Рецептуры'!$K:$K,0)),0))*(IFERROR(VLOOKUP(IFERROR(INDEX('Рецептуры'!$F:$F,MATCH($C30&amp;"|"&amp;12,'Рецептуры'!$K:$K,0)),""),'Полупродукты'!$C$6:$E$62,3,FALSE()),IFERROR(VLOOKUP(IFERROR(INDEX('Рецептуры'!$F:$F,MATCH($C30&amp;"|"&amp;12,'Рецептуры'!$K:$K,0)),""),'Сырьё'!$C$6:$E$233,3,FALSE()),0)))+(IFERROR(INDEX('Рецептуры'!$G:$G,MATCH($C30&amp;"|"&amp;13,'Рецептуры'!$K:$K,0)),0))*(IFERROR(VLOOKUP(IFERROR(INDEX('Рецептуры'!$F:$F,MATCH($C30&amp;"|"&amp;13,'Рецептуры'!$K:$K,0)),""),'Полупродукты'!$C$6:$E$62,3,FALSE()),IFERROR(VLOOKUP(IFERROR(INDEX('Рецептуры'!$F:$F,MATCH($C30&amp;"|"&amp;13,'Рецептуры'!$K:$K,0)),""),'Сырьё'!$C$6:$E$233,3,FALSE()),0)))+(IFERROR(INDEX('Рецептуры'!$G:$G,MATCH($C30&amp;"|"&amp;14,'Рецептуры'!$K:$K,0)),0))*(IFERROR(VLOOKUP(IFERROR(INDEX('Рецептуры'!$F:$F,MATCH($C30&amp;"|"&amp;14,'Рецептуры'!$K:$K,0)),""),'Полупродукты'!$C$6:$E$62,3,FALSE()),IFERROR(VLOOKUP(IFERROR(INDEX('Рецептуры'!$F:$F,MATCH($C30&amp;"|"&amp;14,'Рецептуры'!$K:$K,0)),""),'Сырьё'!$C$6:$E$233,3,FALSE()),0)))+(IFERROR(INDEX('Рецептуры'!$G:$G,MATCH($C30&amp;"|"&amp;15,'Рецептуры'!$K:$K,0)),0))*(IFERROR(VLOOKUP(IFERROR(INDEX('Рецептуры'!$F:$F,MATCH($C30&amp;"|"&amp;15,'Рецептуры'!$K:$K,0)),""),'Полупродукты'!$C$6:$E$62,3,FALSE()),IFERROR(VLOOKUP(IFERROR(INDEX('Рецептуры'!$F:$F,MATCH($C30&amp;"|"&amp;15,'Рецептуры'!$K:$K,0)),""),'Сырьё'!$C$6:$E$233,3,FALSE()),0))),4)</f>
        <v>2.009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96">
        <v>26.0</v>
      </c>
      <c r="C31" s="97" t="s">
        <v>752</v>
      </c>
      <c r="D31" s="96">
        <v>5.0</v>
      </c>
      <c r="E31" s="214">
        <f t="array" ref="E31">ROUND((IFERROR(INDEX('Рецептуры'!$G:$G,MATCH($C31&amp;"|"&amp;1,'Рецептуры'!$K:$K,0)),0))*(IFERROR(VLOOKUP(IFERROR(INDEX('Рецептуры'!$F:$F,MATCH($C31&amp;"|"&amp;1,'Рецептуры'!$K:$K,0)),""),'Полупродукты'!$C$6:$E$62,3,FALSE()),IFERROR(VLOOKUP(IFERROR(INDEX('Рецептуры'!$F:$F,MATCH($C31&amp;"|"&amp;1,'Рецептуры'!$K:$K,0)),""),'Сырьё'!$C$6:$E$233,3,FALSE()),0)))+(IFERROR(INDEX('Рецептуры'!$G:$G,MATCH($C31&amp;"|"&amp;2,'Рецептуры'!$K:$K,0)),0))*(IFERROR(VLOOKUP(IFERROR(INDEX('Рецептуры'!$F:$F,MATCH($C31&amp;"|"&amp;2,'Рецептуры'!$K:$K,0)),""),'Полупродукты'!$C$6:$E$62,3,FALSE()),IFERROR(VLOOKUP(IFERROR(INDEX('Рецептуры'!$F:$F,MATCH($C31&amp;"|"&amp;2,'Рецептуры'!$K:$K,0)),""),'Сырьё'!$C$6:$E$233,3,FALSE()),0)))+(IFERROR(INDEX('Рецептуры'!$G:$G,MATCH($C31&amp;"|"&amp;3,'Рецептуры'!$K:$K,0)),0))*(IFERROR(VLOOKUP(IFERROR(INDEX('Рецептуры'!$F:$F,MATCH($C31&amp;"|"&amp;3,'Рецептуры'!$K:$K,0)),""),'Полупродукты'!$C$6:$E$62,3,FALSE()),IFERROR(VLOOKUP(IFERROR(INDEX('Рецептуры'!$F:$F,MATCH($C31&amp;"|"&amp;3,'Рецептуры'!$K:$K,0)),""),'Сырьё'!$C$6:$E$233,3,FALSE()),0)))+(IFERROR(INDEX('Рецептуры'!$G:$G,MATCH($C31&amp;"|"&amp;4,'Рецептуры'!$K:$K,0)),0))*(IFERROR(VLOOKUP(IFERROR(INDEX('Рецептуры'!$F:$F,MATCH($C31&amp;"|"&amp;4,'Рецептуры'!$K:$K,0)),""),'Полупродукты'!$C$6:$E$62,3,FALSE()),IFERROR(VLOOKUP(IFERROR(INDEX('Рецептуры'!$F:$F,MATCH($C31&amp;"|"&amp;4,'Рецептуры'!$K:$K,0)),""),'Сырьё'!$C$6:$E$233,3,FALSE()),0)))+(IFERROR(INDEX('Рецептуры'!$G:$G,MATCH($C31&amp;"|"&amp;5,'Рецептуры'!$K:$K,0)),0))*(IFERROR(VLOOKUP(IFERROR(INDEX('Рецептуры'!$F:$F,MATCH($C31&amp;"|"&amp;5,'Рецептуры'!$K:$K,0)),""),'Полупродукты'!$C$6:$E$62,3,FALSE()),IFERROR(VLOOKUP(IFERROR(INDEX('Рецептуры'!$F:$F,MATCH($C31&amp;"|"&amp;5,'Рецептуры'!$K:$K,0)),""),'Сырьё'!$C$6:$E$233,3,FALSE()),0)))+(IFERROR(INDEX('Рецептуры'!$G:$G,MATCH($C31&amp;"|"&amp;6,'Рецептуры'!$K:$K,0)),0))*(IFERROR(VLOOKUP(IFERROR(INDEX('Рецептуры'!$F:$F,MATCH($C31&amp;"|"&amp;6,'Рецептуры'!$K:$K,0)),""),'Полупродукты'!$C$6:$E$62,3,FALSE()),IFERROR(VLOOKUP(IFERROR(INDEX('Рецептуры'!$F:$F,MATCH($C31&amp;"|"&amp;6,'Рецептуры'!$K:$K,0)),""),'Сырьё'!$C$6:$E$233,3,FALSE()),0)))+(IFERROR(INDEX('Рецептуры'!$G:$G,MATCH($C31&amp;"|"&amp;7,'Рецептуры'!$K:$K,0)),0))*(IFERROR(VLOOKUP(IFERROR(INDEX('Рецептуры'!$F:$F,MATCH($C31&amp;"|"&amp;7,'Рецептуры'!$K:$K,0)),""),'Полупродукты'!$C$6:$E$62,3,FALSE()),IFERROR(VLOOKUP(IFERROR(INDEX('Рецептуры'!$F:$F,MATCH($C31&amp;"|"&amp;7,'Рецептуры'!$K:$K,0)),""),'Сырьё'!$C$6:$E$233,3,FALSE()),0)))+(IFERROR(INDEX('Рецептуры'!$G:$G,MATCH($C31&amp;"|"&amp;8,'Рецептуры'!$K:$K,0)),0))*(IFERROR(VLOOKUP(IFERROR(INDEX('Рецептуры'!$F:$F,MATCH($C31&amp;"|"&amp;8,'Рецептуры'!$K:$K,0)),""),'Полупродукты'!$C$6:$E$62,3,FALSE()),IFERROR(VLOOKUP(IFERROR(INDEX('Рецептуры'!$F:$F,MATCH($C31&amp;"|"&amp;8,'Рецептуры'!$K:$K,0)),""),'Сырьё'!$C$6:$E$233,3,FALSE()),0)))+(IFERROR(INDEX('Рецептуры'!$G:$G,MATCH($C31&amp;"|"&amp;9,'Рецептуры'!$K:$K,0)),0))*(IFERROR(VLOOKUP(IFERROR(INDEX('Рецептуры'!$F:$F,MATCH($C31&amp;"|"&amp;9,'Рецептуры'!$K:$K,0)),""),'Полупродукты'!$C$6:$E$62,3,FALSE()),IFERROR(VLOOKUP(IFERROR(INDEX('Рецептуры'!$F:$F,MATCH($C31&amp;"|"&amp;9,'Рецептуры'!$K:$K,0)),""),'Сырьё'!$C$6:$E$233,3,FALSE()),0)))+(IFERROR(INDEX('Рецептуры'!$G:$G,MATCH($C31&amp;"|"&amp;10,'Рецептуры'!$K:$K,0)),0))*(IFERROR(VLOOKUP(IFERROR(INDEX('Рецептуры'!$F:$F,MATCH($C31&amp;"|"&amp;10,'Рецептуры'!$K:$K,0)),""),'Полупродукты'!$C$6:$E$62,3,FALSE()),IFERROR(VLOOKUP(IFERROR(INDEX('Рецептуры'!$F:$F,MATCH($C31&amp;"|"&amp;10,'Рецептуры'!$K:$K,0)),""),'Сырьё'!$C$6:$E$233,3,FALSE()),0)))+(IFERROR(INDEX('Рецептуры'!$G:$G,MATCH($C31&amp;"|"&amp;11,'Рецептуры'!$K:$K,0)),0))*(IFERROR(VLOOKUP(IFERROR(INDEX('Рецептуры'!$F:$F,MATCH($C31&amp;"|"&amp;11,'Рецептуры'!$K:$K,0)),""),'Полупродукты'!$C$6:$E$62,3,FALSE()),IFERROR(VLOOKUP(IFERROR(INDEX('Рецептуры'!$F:$F,MATCH($C31&amp;"|"&amp;11,'Рецептуры'!$K:$K,0)),""),'Сырьё'!$C$6:$E$233,3,FALSE()),0)))+(IFERROR(INDEX('Рецептуры'!$G:$G,MATCH($C31&amp;"|"&amp;12,'Рецептуры'!$K:$K,0)),0))*(IFERROR(VLOOKUP(IFERROR(INDEX('Рецептуры'!$F:$F,MATCH($C31&amp;"|"&amp;12,'Рецептуры'!$K:$K,0)),""),'Полупродукты'!$C$6:$E$62,3,FALSE()),IFERROR(VLOOKUP(IFERROR(INDEX('Рецептуры'!$F:$F,MATCH($C31&amp;"|"&amp;12,'Рецептуры'!$K:$K,0)),""),'Сырьё'!$C$6:$E$233,3,FALSE()),0)))+(IFERROR(INDEX('Рецептуры'!$G:$G,MATCH($C31&amp;"|"&amp;13,'Рецептуры'!$K:$K,0)),0))*(IFERROR(VLOOKUP(IFERROR(INDEX('Рецептуры'!$F:$F,MATCH($C31&amp;"|"&amp;13,'Рецептуры'!$K:$K,0)),""),'Полупродукты'!$C$6:$E$62,3,FALSE()),IFERROR(VLOOKUP(IFERROR(INDEX('Рецептуры'!$F:$F,MATCH($C31&amp;"|"&amp;13,'Рецептуры'!$K:$K,0)),""),'Сырьё'!$C$6:$E$233,3,FALSE()),0)))+(IFERROR(INDEX('Рецептуры'!$G:$G,MATCH($C31&amp;"|"&amp;14,'Рецептуры'!$K:$K,0)),0))*(IFERROR(VLOOKUP(IFERROR(INDEX('Рецептуры'!$F:$F,MATCH($C31&amp;"|"&amp;14,'Рецептуры'!$K:$K,0)),""),'Полупродукты'!$C$6:$E$62,3,FALSE()),IFERROR(VLOOKUP(IFERROR(INDEX('Рецептуры'!$F:$F,MATCH($C31&amp;"|"&amp;14,'Рецептуры'!$K:$K,0)),""),'Сырьё'!$C$6:$E$233,3,FALSE()),0)))+(IFERROR(INDEX('Рецептуры'!$G:$G,MATCH($C31&amp;"|"&amp;15,'Рецептуры'!$K:$K,0)),0))*(IFERROR(VLOOKUP(IFERROR(INDEX('Рецептуры'!$F:$F,MATCH($C31&amp;"|"&amp;15,'Рецептуры'!$K:$K,0)),""),'Полупродукты'!$C$6:$E$62,3,FALSE()),IFERROR(VLOOKUP(IFERROR(INDEX('Рецептуры'!$F:$F,MATCH($C31&amp;"|"&amp;15,'Рецептуры'!$K:$K,0)),""),'Сырьё'!$C$6:$E$233,3,FALSE()),0))),4)</f>
        <v>3.7143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8">
        <v>27.0</v>
      </c>
      <c r="C32" s="89" t="s">
        <v>750</v>
      </c>
      <c r="D32" s="88">
        <v>3.0</v>
      </c>
      <c r="E32" s="213">
        <f t="array" ref="E32">ROUND((IFERROR(INDEX('Рецептуры'!$G:$G,MATCH($C32&amp;"|"&amp;1,'Рецептуры'!$K:$K,0)),0))*(IFERROR(VLOOKUP(IFERROR(INDEX('Рецептуры'!$F:$F,MATCH($C32&amp;"|"&amp;1,'Рецептуры'!$K:$K,0)),""),'Полупродукты'!$C$6:$E$62,3,FALSE()),IFERROR(VLOOKUP(IFERROR(INDEX('Рецептуры'!$F:$F,MATCH($C32&amp;"|"&amp;1,'Рецептуры'!$K:$K,0)),""),'Сырьё'!$C$6:$E$233,3,FALSE()),0)))+(IFERROR(INDEX('Рецептуры'!$G:$G,MATCH($C32&amp;"|"&amp;2,'Рецептуры'!$K:$K,0)),0))*(IFERROR(VLOOKUP(IFERROR(INDEX('Рецептуры'!$F:$F,MATCH($C32&amp;"|"&amp;2,'Рецептуры'!$K:$K,0)),""),'Полупродукты'!$C$6:$E$62,3,FALSE()),IFERROR(VLOOKUP(IFERROR(INDEX('Рецептуры'!$F:$F,MATCH($C32&amp;"|"&amp;2,'Рецептуры'!$K:$K,0)),""),'Сырьё'!$C$6:$E$233,3,FALSE()),0)))+(IFERROR(INDEX('Рецептуры'!$G:$G,MATCH($C32&amp;"|"&amp;3,'Рецептуры'!$K:$K,0)),0))*(IFERROR(VLOOKUP(IFERROR(INDEX('Рецептуры'!$F:$F,MATCH($C32&amp;"|"&amp;3,'Рецептуры'!$K:$K,0)),""),'Полупродукты'!$C$6:$E$62,3,FALSE()),IFERROR(VLOOKUP(IFERROR(INDEX('Рецептуры'!$F:$F,MATCH($C32&amp;"|"&amp;3,'Рецептуры'!$K:$K,0)),""),'Сырьё'!$C$6:$E$233,3,FALSE()),0)))+(IFERROR(INDEX('Рецептуры'!$G:$G,MATCH($C32&amp;"|"&amp;4,'Рецептуры'!$K:$K,0)),0))*(IFERROR(VLOOKUP(IFERROR(INDEX('Рецептуры'!$F:$F,MATCH($C32&amp;"|"&amp;4,'Рецептуры'!$K:$K,0)),""),'Полупродукты'!$C$6:$E$62,3,FALSE()),IFERROR(VLOOKUP(IFERROR(INDEX('Рецептуры'!$F:$F,MATCH($C32&amp;"|"&amp;4,'Рецептуры'!$K:$K,0)),""),'Сырьё'!$C$6:$E$233,3,FALSE()),0)))+(IFERROR(INDEX('Рецептуры'!$G:$G,MATCH($C32&amp;"|"&amp;5,'Рецептуры'!$K:$K,0)),0))*(IFERROR(VLOOKUP(IFERROR(INDEX('Рецептуры'!$F:$F,MATCH($C32&amp;"|"&amp;5,'Рецептуры'!$K:$K,0)),""),'Полупродукты'!$C$6:$E$62,3,FALSE()),IFERROR(VLOOKUP(IFERROR(INDEX('Рецептуры'!$F:$F,MATCH($C32&amp;"|"&amp;5,'Рецептуры'!$K:$K,0)),""),'Сырьё'!$C$6:$E$233,3,FALSE()),0)))+(IFERROR(INDEX('Рецептуры'!$G:$G,MATCH($C32&amp;"|"&amp;6,'Рецептуры'!$K:$K,0)),0))*(IFERROR(VLOOKUP(IFERROR(INDEX('Рецептуры'!$F:$F,MATCH($C32&amp;"|"&amp;6,'Рецептуры'!$K:$K,0)),""),'Полупродукты'!$C$6:$E$62,3,FALSE()),IFERROR(VLOOKUP(IFERROR(INDEX('Рецептуры'!$F:$F,MATCH($C32&amp;"|"&amp;6,'Рецептуры'!$K:$K,0)),""),'Сырьё'!$C$6:$E$233,3,FALSE()),0)))+(IFERROR(INDEX('Рецептуры'!$G:$G,MATCH($C32&amp;"|"&amp;7,'Рецептуры'!$K:$K,0)),0))*(IFERROR(VLOOKUP(IFERROR(INDEX('Рецептуры'!$F:$F,MATCH($C32&amp;"|"&amp;7,'Рецептуры'!$K:$K,0)),""),'Полупродукты'!$C$6:$E$62,3,FALSE()),IFERROR(VLOOKUP(IFERROR(INDEX('Рецептуры'!$F:$F,MATCH($C32&amp;"|"&amp;7,'Рецептуры'!$K:$K,0)),""),'Сырьё'!$C$6:$E$233,3,FALSE()),0)))+(IFERROR(INDEX('Рецептуры'!$G:$G,MATCH($C32&amp;"|"&amp;8,'Рецептуры'!$K:$K,0)),0))*(IFERROR(VLOOKUP(IFERROR(INDEX('Рецептуры'!$F:$F,MATCH($C32&amp;"|"&amp;8,'Рецептуры'!$K:$K,0)),""),'Полупродукты'!$C$6:$E$62,3,FALSE()),IFERROR(VLOOKUP(IFERROR(INDEX('Рецептуры'!$F:$F,MATCH($C32&amp;"|"&amp;8,'Рецептуры'!$K:$K,0)),""),'Сырьё'!$C$6:$E$233,3,FALSE()),0)))+(IFERROR(INDEX('Рецептуры'!$G:$G,MATCH($C32&amp;"|"&amp;9,'Рецептуры'!$K:$K,0)),0))*(IFERROR(VLOOKUP(IFERROR(INDEX('Рецептуры'!$F:$F,MATCH($C32&amp;"|"&amp;9,'Рецептуры'!$K:$K,0)),""),'Полупродукты'!$C$6:$E$62,3,FALSE()),IFERROR(VLOOKUP(IFERROR(INDEX('Рецептуры'!$F:$F,MATCH($C32&amp;"|"&amp;9,'Рецептуры'!$K:$K,0)),""),'Сырьё'!$C$6:$E$233,3,FALSE()),0)))+(IFERROR(INDEX('Рецептуры'!$G:$G,MATCH($C32&amp;"|"&amp;10,'Рецептуры'!$K:$K,0)),0))*(IFERROR(VLOOKUP(IFERROR(INDEX('Рецептуры'!$F:$F,MATCH($C32&amp;"|"&amp;10,'Рецептуры'!$K:$K,0)),""),'Полупродукты'!$C$6:$E$62,3,FALSE()),IFERROR(VLOOKUP(IFERROR(INDEX('Рецептуры'!$F:$F,MATCH($C32&amp;"|"&amp;10,'Рецептуры'!$K:$K,0)),""),'Сырьё'!$C$6:$E$233,3,FALSE()),0)))+(IFERROR(INDEX('Рецептуры'!$G:$G,MATCH($C32&amp;"|"&amp;11,'Рецептуры'!$K:$K,0)),0))*(IFERROR(VLOOKUP(IFERROR(INDEX('Рецептуры'!$F:$F,MATCH($C32&amp;"|"&amp;11,'Рецептуры'!$K:$K,0)),""),'Полупродукты'!$C$6:$E$62,3,FALSE()),IFERROR(VLOOKUP(IFERROR(INDEX('Рецептуры'!$F:$F,MATCH($C32&amp;"|"&amp;11,'Рецептуры'!$K:$K,0)),""),'Сырьё'!$C$6:$E$233,3,FALSE()),0)))+(IFERROR(INDEX('Рецептуры'!$G:$G,MATCH($C32&amp;"|"&amp;12,'Рецептуры'!$K:$K,0)),0))*(IFERROR(VLOOKUP(IFERROR(INDEX('Рецептуры'!$F:$F,MATCH($C32&amp;"|"&amp;12,'Рецептуры'!$K:$K,0)),""),'Полупродукты'!$C$6:$E$62,3,FALSE()),IFERROR(VLOOKUP(IFERROR(INDEX('Рецептуры'!$F:$F,MATCH($C32&amp;"|"&amp;12,'Рецептуры'!$K:$K,0)),""),'Сырьё'!$C$6:$E$233,3,FALSE()),0)))+(IFERROR(INDEX('Рецептуры'!$G:$G,MATCH($C32&amp;"|"&amp;13,'Рецептуры'!$K:$K,0)),0))*(IFERROR(VLOOKUP(IFERROR(INDEX('Рецептуры'!$F:$F,MATCH($C32&amp;"|"&amp;13,'Рецептуры'!$K:$K,0)),""),'Полупродукты'!$C$6:$E$62,3,FALSE()),IFERROR(VLOOKUP(IFERROR(INDEX('Рецептуры'!$F:$F,MATCH($C32&amp;"|"&amp;13,'Рецептуры'!$K:$K,0)),""),'Сырьё'!$C$6:$E$233,3,FALSE()),0)))+(IFERROR(INDEX('Рецептуры'!$G:$G,MATCH($C32&amp;"|"&amp;14,'Рецептуры'!$K:$K,0)),0))*(IFERROR(VLOOKUP(IFERROR(INDEX('Рецептуры'!$F:$F,MATCH($C32&amp;"|"&amp;14,'Рецептуры'!$K:$K,0)),""),'Полупродукты'!$C$6:$E$62,3,FALSE()),IFERROR(VLOOKUP(IFERROR(INDEX('Рецептуры'!$F:$F,MATCH($C32&amp;"|"&amp;14,'Рецептуры'!$K:$K,0)),""),'Сырьё'!$C$6:$E$233,3,FALSE()),0)))+(IFERROR(INDEX('Рецептуры'!$G:$G,MATCH($C32&amp;"|"&amp;15,'Рецептуры'!$K:$K,0)),0))*(IFERROR(VLOOKUP(IFERROR(INDEX('Рецептуры'!$F:$F,MATCH($C32&amp;"|"&amp;15,'Рецептуры'!$K:$K,0)),""),'Полупродукты'!$C$6:$E$62,3,FALSE()),IFERROR(VLOOKUP(IFERROR(INDEX('Рецептуры'!$F:$F,MATCH($C32&amp;"|"&amp;15,'Рецептуры'!$K:$K,0)),""),'Сырьё'!$C$6:$E$233,3,FALSE()),0))),4)</f>
        <v>2.5009</v>
      </c>
      <c r="F32" s="212" t="s">
        <v>751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96">
        <v>28.0</v>
      </c>
      <c r="C33" s="97" t="s">
        <v>753</v>
      </c>
      <c r="D33" s="96">
        <v>4.0</v>
      </c>
      <c r="E33" s="214">
        <f t="array" ref="E33">ROUND((IFERROR(INDEX('Рецептуры'!$G:$G,MATCH($C33&amp;"|"&amp;1,'Рецептуры'!$K:$K,0)),0))*(IFERROR(VLOOKUP(IFERROR(INDEX('Рецептуры'!$F:$F,MATCH($C33&amp;"|"&amp;1,'Рецептуры'!$K:$K,0)),""),'Полупродукты'!$C$6:$E$62,3,FALSE()),IFERROR(VLOOKUP(IFERROR(INDEX('Рецептуры'!$F:$F,MATCH($C33&amp;"|"&amp;1,'Рецептуры'!$K:$K,0)),""),'Сырьё'!$C$6:$E$233,3,FALSE()),0)))+(IFERROR(INDEX('Рецептуры'!$G:$G,MATCH($C33&amp;"|"&amp;2,'Рецептуры'!$K:$K,0)),0))*(IFERROR(VLOOKUP(IFERROR(INDEX('Рецептуры'!$F:$F,MATCH($C33&amp;"|"&amp;2,'Рецептуры'!$K:$K,0)),""),'Полупродукты'!$C$6:$E$62,3,FALSE()),IFERROR(VLOOKUP(IFERROR(INDEX('Рецептуры'!$F:$F,MATCH($C33&amp;"|"&amp;2,'Рецептуры'!$K:$K,0)),""),'Сырьё'!$C$6:$E$233,3,FALSE()),0)))+(IFERROR(INDEX('Рецептуры'!$G:$G,MATCH($C33&amp;"|"&amp;3,'Рецептуры'!$K:$K,0)),0))*(IFERROR(VLOOKUP(IFERROR(INDEX('Рецептуры'!$F:$F,MATCH($C33&amp;"|"&amp;3,'Рецептуры'!$K:$K,0)),""),'Полупродукты'!$C$6:$E$62,3,FALSE()),IFERROR(VLOOKUP(IFERROR(INDEX('Рецептуры'!$F:$F,MATCH($C33&amp;"|"&amp;3,'Рецептуры'!$K:$K,0)),""),'Сырьё'!$C$6:$E$233,3,FALSE()),0)))+(IFERROR(INDEX('Рецептуры'!$G:$G,MATCH($C33&amp;"|"&amp;4,'Рецептуры'!$K:$K,0)),0))*(IFERROR(VLOOKUP(IFERROR(INDEX('Рецептуры'!$F:$F,MATCH($C33&amp;"|"&amp;4,'Рецептуры'!$K:$K,0)),""),'Полупродукты'!$C$6:$E$62,3,FALSE()),IFERROR(VLOOKUP(IFERROR(INDEX('Рецептуры'!$F:$F,MATCH($C33&amp;"|"&amp;4,'Рецептуры'!$K:$K,0)),""),'Сырьё'!$C$6:$E$233,3,FALSE()),0)))+(IFERROR(INDEX('Рецептуры'!$G:$G,MATCH($C33&amp;"|"&amp;5,'Рецептуры'!$K:$K,0)),0))*(IFERROR(VLOOKUP(IFERROR(INDEX('Рецептуры'!$F:$F,MATCH($C33&amp;"|"&amp;5,'Рецептуры'!$K:$K,0)),""),'Полупродукты'!$C$6:$E$62,3,FALSE()),IFERROR(VLOOKUP(IFERROR(INDEX('Рецептуры'!$F:$F,MATCH($C33&amp;"|"&amp;5,'Рецептуры'!$K:$K,0)),""),'Сырьё'!$C$6:$E$233,3,FALSE()),0)))+(IFERROR(INDEX('Рецептуры'!$G:$G,MATCH($C33&amp;"|"&amp;6,'Рецептуры'!$K:$K,0)),0))*(IFERROR(VLOOKUP(IFERROR(INDEX('Рецептуры'!$F:$F,MATCH($C33&amp;"|"&amp;6,'Рецептуры'!$K:$K,0)),""),'Полупродукты'!$C$6:$E$62,3,FALSE()),IFERROR(VLOOKUP(IFERROR(INDEX('Рецептуры'!$F:$F,MATCH($C33&amp;"|"&amp;6,'Рецептуры'!$K:$K,0)),""),'Сырьё'!$C$6:$E$233,3,FALSE()),0)))+(IFERROR(INDEX('Рецептуры'!$G:$G,MATCH($C33&amp;"|"&amp;7,'Рецептуры'!$K:$K,0)),0))*(IFERROR(VLOOKUP(IFERROR(INDEX('Рецептуры'!$F:$F,MATCH($C33&amp;"|"&amp;7,'Рецептуры'!$K:$K,0)),""),'Полупродукты'!$C$6:$E$62,3,FALSE()),IFERROR(VLOOKUP(IFERROR(INDEX('Рецептуры'!$F:$F,MATCH($C33&amp;"|"&amp;7,'Рецептуры'!$K:$K,0)),""),'Сырьё'!$C$6:$E$233,3,FALSE()),0)))+(IFERROR(INDEX('Рецептуры'!$G:$G,MATCH($C33&amp;"|"&amp;8,'Рецептуры'!$K:$K,0)),0))*(IFERROR(VLOOKUP(IFERROR(INDEX('Рецептуры'!$F:$F,MATCH($C33&amp;"|"&amp;8,'Рецептуры'!$K:$K,0)),""),'Полупродукты'!$C$6:$E$62,3,FALSE()),IFERROR(VLOOKUP(IFERROR(INDEX('Рецептуры'!$F:$F,MATCH($C33&amp;"|"&amp;8,'Рецептуры'!$K:$K,0)),""),'Сырьё'!$C$6:$E$233,3,FALSE()),0)))+(IFERROR(INDEX('Рецептуры'!$G:$G,MATCH($C33&amp;"|"&amp;9,'Рецептуры'!$K:$K,0)),0))*(IFERROR(VLOOKUP(IFERROR(INDEX('Рецептуры'!$F:$F,MATCH($C33&amp;"|"&amp;9,'Рецептуры'!$K:$K,0)),""),'Полупродукты'!$C$6:$E$62,3,FALSE()),IFERROR(VLOOKUP(IFERROR(INDEX('Рецептуры'!$F:$F,MATCH($C33&amp;"|"&amp;9,'Рецептуры'!$K:$K,0)),""),'Сырьё'!$C$6:$E$233,3,FALSE()),0)))+(IFERROR(INDEX('Рецептуры'!$G:$G,MATCH($C33&amp;"|"&amp;10,'Рецептуры'!$K:$K,0)),0))*(IFERROR(VLOOKUP(IFERROR(INDEX('Рецептуры'!$F:$F,MATCH($C33&amp;"|"&amp;10,'Рецептуры'!$K:$K,0)),""),'Полупродукты'!$C$6:$E$62,3,FALSE()),IFERROR(VLOOKUP(IFERROR(INDEX('Рецептуры'!$F:$F,MATCH($C33&amp;"|"&amp;10,'Рецептуры'!$K:$K,0)),""),'Сырьё'!$C$6:$E$233,3,FALSE()),0)))+(IFERROR(INDEX('Рецептуры'!$G:$G,MATCH($C33&amp;"|"&amp;11,'Рецептуры'!$K:$K,0)),0))*(IFERROR(VLOOKUP(IFERROR(INDEX('Рецептуры'!$F:$F,MATCH($C33&amp;"|"&amp;11,'Рецептуры'!$K:$K,0)),""),'Полупродукты'!$C$6:$E$62,3,FALSE()),IFERROR(VLOOKUP(IFERROR(INDEX('Рецептуры'!$F:$F,MATCH($C33&amp;"|"&amp;11,'Рецептуры'!$K:$K,0)),""),'Сырьё'!$C$6:$E$233,3,FALSE()),0)))+(IFERROR(INDEX('Рецептуры'!$G:$G,MATCH($C33&amp;"|"&amp;12,'Рецептуры'!$K:$K,0)),0))*(IFERROR(VLOOKUP(IFERROR(INDEX('Рецептуры'!$F:$F,MATCH($C33&amp;"|"&amp;12,'Рецептуры'!$K:$K,0)),""),'Полупродукты'!$C$6:$E$62,3,FALSE()),IFERROR(VLOOKUP(IFERROR(INDEX('Рецептуры'!$F:$F,MATCH($C33&amp;"|"&amp;12,'Рецептуры'!$K:$K,0)),""),'Сырьё'!$C$6:$E$233,3,FALSE()),0)))+(IFERROR(INDEX('Рецептуры'!$G:$G,MATCH($C33&amp;"|"&amp;13,'Рецептуры'!$K:$K,0)),0))*(IFERROR(VLOOKUP(IFERROR(INDEX('Рецептуры'!$F:$F,MATCH($C33&amp;"|"&amp;13,'Рецептуры'!$K:$K,0)),""),'Полупродукты'!$C$6:$E$62,3,FALSE()),IFERROR(VLOOKUP(IFERROR(INDEX('Рецептуры'!$F:$F,MATCH($C33&amp;"|"&amp;13,'Рецептуры'!$K:$K,0)),""),'Сырьё'!$C$6:$E$233,3,FALSE()),0)))+(IFERROR(INDEX('Рецептуры'!$G:$G,MATCH($C33&amp;"|"&amp;14,'Рецептуры'!$K:$K,0)),0))*(IFERROR(VLOOKUP(IFERROR(INDEX('Рецептуры'!$F:$F,MATCH($C33&amp;"|"&amp;14,'Рецептуры'!$K:$K,0)),""),'Полупродукты'!$C$6:$E$62,3,FALSE()),IFERROR(VLOOKUP(IFERROR(INDEX('Рецептуры'!$F:$F,MATCH($C33&amp;"|"&amp;14,'Рецептуры'!$K:$K,0)),""),'Сырьё'!$C$6:$E$233,3,FALSE()),0)))+(IFERROR(INDEX('Рецептуры'!$G:$G,MATCH($C33&amp;"|"&amp;15,'Рецептуры'!$K:$K,0)),0))*(IFERROR(VLOOKUP(IFERROR(INDEX('Рецептуры'!$F:$F,MATCH($C33&amp;"|"&amp;15,'Рецептуры'!$K:$K,0)),""),'Полупродукты'!$C$6:$E$62,3,FALSE()),IFERROR(VLOOKUP(IFERROR(INDEX('Рецептуры'!$F:$F,MATCH($C33&amp;"|"&amp;15,'Рецептуры'!$K:$K,0)),""),'Сырьё'!$C$6:$E$233,3,FALSE()),0))),4)</f>
        <v>1.9557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88">
        <v>29.0</v>
      </c>
      <c r="C34" s="89" t="s">
        <v>379</v>
      </c>
      <c r="D34" s="88">
        <v>4.0</v>
      </c>
      <c r="E34" s="213">
        <f t="array" ref="E34">ROUND((IFERROR(INDEX('Рецептуры'!$G:$G,MATCH($C34&amp;"|"&amp;1,'Рецептуры'!$K:$K,0)),0))*(IFERROR(VLOOKUP(IFERROR(INDEX('Рецептуры'!$F:$F,MATCH($C34&amp;"|"&amp;1,'Рецептуры'!$K:$K,0)),""),'Полупродукты'!$C$6:$E$62,3,FALSE()),IFERROR(VLOOKUP(IFERROR(INDEX('Рецептуры'!$F:$F,MATCH($C34&amp;"|"&amp;1,'Рецептуры'!$K:$K,0)),""),'Сырьё'!$C$6:$E$233,3,FALSE()),0)))+(IFERROR(INDEX('Рецептуры'!$G:$G,MATCH($C34&amp;"|"&amp;2,'Рецептуры'!$K:$K,0)),0))*(IFERROR(VLOOKUP(IFERROR(INDEX('Рецептуры'!$F:$F,MATCH($C34&amp;"|"&amp;2,'Рецептуры'!$K:$K,0)),""),'Полупродукты'!$C$6:$E$62,3,FALSE()),IFERROR(VLOOKUP(IFERROR(INDEX('Рецептуры'!$F:$F,MATCH($C34&amp;"|"&amp;2,'Рецептуры'!$K:$K,0)),""),'Сырьё'!$C$6:$E$233,3,FALSE()),0)))+(IFERROR(INDEX('Рецептуры'!$G:$G,MATCH($C34&amp;"|"&amp;3,'Рецептуры'!$K:$K,0)),0))*(IFERROR(VLOOKUP(IFERROR(INDEX('Рецептуры'!$F:$F,MATCH($C34&amp;"|"&amp;3,'Рецептуры'!$K:$K,0)),""),'Полупродукты'!$C$6:$E$62,3,FALSE()),IFERROR(VLOOKUP(IFERROR(INDEX('Рецептуры'!$F:$F,MATCH($C34&amp;"|"&amp;3,'Рецептуры'!$K:$K,0)),""),'Сырьё'!$C$6:$E$233,3,FALSE()),0)))+(IFERROR(INDEX('Рецептуры'!$G:$G,MATCH($C34&amp;"|"&amp;4,'Рецептуры'!$K:$K,0)),0))*(IFERROR(VLOOKUP(IFERROR(INDEX('Рецептуры'!$F:$F,MATCH($C34&amp;"|"&amp;4,'Рецептуры'!$K:$K,0)),""),'Полупродукты'!$C$6:$E$62,3,FALSE()),IFERROR(VLOOKUP(IFERROR(INDEX('Рецептуры'!$F:$F,MATCH($C34&amp;"|"&amp;4,'Рецептуры'!$K:$K,0)),""),'Сырьё'!$C$6:$E$233,3,FALSE()),0)))+(IFERROR(INDEX('Рецептуры'!$G:$G,MATCH($C34&amp;"|"&amp;5,'Рецептуры'!$K:$K,0)),0))*(IFERROR(VLOOKUP(IFERROR(INDEX('Рецептуры'!$F:$F,MATCH($C34&amp;"|"&amp;5,'Рецептуры'!$K:$K,0)),""),'Полупродукты'!$C$6:$E$62,3,FALSE()),IFERROR(VLOOKUP(IFERROR(INDEX('Рецептуры'!$F:$F,MATCH($C34&amp;"|"&amp;5,'Рецептуры'!$K:$K,0)),""),'Сырьё'!$C$6:$E$233,3,FALSE()),0)))+(IFERROR(INDEX('Рецептуры'!$G:$G,MATCH($C34&amp;"|"&amp;6,'Рецептуры'!$K:$K,0)),0))*(IFERROR(VLOOKUP(IFERROR(INDEX('Рецептуры'!$F:$F,MATCH($C34&amp;"|"&amp;6,'Рецептуры'!$K:$K,0)),""),'Полупродукты'!$C$6:$E$62,3,FALSE()),IFERROR(VLOOKUP(IFERROR(INDEX('Рецептуры'!$F:$F,MATCH($C34&amp;"|"&amp;6,'Рецептуры'!$K:$K,0)),""),'Сырьё'!$C$6:$E$233,3,FALSE()),0)))+(IFERROR(INDEX('Рецептуры'!$G:$G,MATCH($C34&amp;"|"&amp;7,'Рецептуры'!$K:$K,0)),0))*(IFERROR(VLOOKUP(IFERROR(INDEX('Рецептуры'!$F:$F,MATCH($C34&amp;"|"&amp;7,'Рецептуры'!$K:$K,0)),""),'Полупродукты'!$C$6:$E$62,3,FALSE()),IFERROR(VLOOKUP(IFERROR(INDEX('Рецептуры'!$F:$F,MATCH($C34&amp;"|"&amp;7,'Рецептуры'!$K:$K,0)),""),'Сырьё'!$C$6:$E$233,3,FALSE()),0)))+(IFERROR(INDEX('Рецептуры'!$G:$G,MATCH($C34&amp;"|"&amp;8,'Рецептуры'!$K:$K,0)),0))*(IFERROR(VLOOKUP(IFERROR(INDEX('Рецептуры'!$F:$F,MATCH($C34&amp;"|"&amp;8,'Рецептуры'!$K:$K,0)),""),'Полупродукты'!$C$6:$E$62,3,FALSE()),IFERROR(VLOOKUP(IFERROR(INDEX('Рецептуры'!$F:$F,MATCH($C34&amp;"|"&amp;8,'Рецептуры'!$K:$K,0)),""),'Сырьё'!$C$6:$E$233,3,FALSE()),0)))+(IFERROR(INDEX('Рецептуры'!$G:$G,MATCH($C34&amp;"|"&amp;9,'Рецептуры'!$K:$K,0)),0))*(IFERROR(VLOOKUP(IFERROR(INDEX('Рецептуры'!$F:$F,MATCH($C34&amp;"|"&amp;9,'Рецептуры'!$K:$K,0)),""),'Полупродукты'!$C$6:$E$62,3,FALSE()),IFERROR(VLOOKUP(IFERROR(INDEX('Рецептуры'!$F:$F,MATCH($C34&amp;"|"&amp;9,'Рецептуры'!$K:$K,0)),""),'Сырьё'!$C$6:$E$233,3,FALSE()),0)))+(IFERROR(INDEX('Рецептуры'!$G:$G,MATCH($C34&amp;"|"&amp;10,'Рецептуры'!$K:$K,0)),0))*(IFERROR(VLOOKUP(IFERROR(INDEX('Рецептуры'!$F:$F,MATCH($C34&amp;"|"&amp;10,'Рецептуры'!$K:$K,0)),""),'Полупродукты'!$C$6:$E$62,3,FALSE()),IFERROR(VLOOKUP(IFERROR(INDEX('Рецептуры'!$F:$F,MATCH($C34&amp;"|"&amp;10,'Рецептуры'!$K:$K,0)),""),'Сырьё'!$C$6:$E$233,3,FALSE()),0)))+(IFERROR(INDEX('Рецептуры'!$G:$G,MATCH($C34&amp;"|"&amp;11,'Рецептуры'!$K:$K,0)),0))*(IFERROR(VLOOKUP(IFERROR(INDEX('Рецептуры'!$F:$F,MATCH($C34&amp;"|"&amp;11,'Рецептуры'!$K:$K,0)),""),'Полупродукты'!$C$6:$E$62,3,FALSE()),IFERROR(VLOOKUP(IFERROR(INDEX('Рецептуры'!$F:$F,MATCH($C34&amp;"|"&amp;11,'Рецептуры'!$K:$K,0)),""),'Сырьё'!$C$6:$E$233,3,FALSE()),0)))+(IFERROR(INDEX('Рецептуры'!$G:$G,MATCH($C34&amp;"|"&amp;12,'Рецептуры'!$K:$K,0)),0))*(IFERROR(VLOOKUP(IFERROR(INDEX('Рецептуры'!$F:$F,MATCH($C34&amp;"|"&amp;12,'Рецептуры'!$K:$K,0)),""),'Полупродукты'!$C$6:$E$62,3,FALSE()),IFERROR(VLOOKUP(IFERROR(INDEX('Рецептуры'!$F:$F,MATCH($C34&amp;"|"&amp;12,'Рецептуры'!$K:$K,0)),""),'Сырьё'!$C$6:$E$233,3,FALSE()),0)))+(IFERROR(INDEX('Рецептуры'!$G:$G,MATCH($C34&amp;"|"&amp;13,'Рецептуры'!$K:$K,0)),0))*(IFERROR(VLOOKUP(IFERROR(INDEX('Рецептуры'!$F:$F,MATCH($C34&amp;"|"&amp;13,'Рецептуры'!$K:$K,0)),""),'Полупродукты'!$C$6:$E$62,3,FALSE()),IFERROR(VLOOKUP(IFERROR(INDEX('Рецептуры'!$F:$F,MATCH($C34&amp;"|"&amp;13,'Рецептуры'!$K:$K,0)),""),'Сырьё'!$C$6:$E$233,3,FALSE()),0)))+(IFERROR(INDEX('Рецептуры'!$G:$G,MATCH($C34&amp;"|"&amp;14,'Рецептуры'!$K:$K,0)),0))*(IFERROR(VLOOKUP(IFERROR(INDEX('Рецептуры'!$F:$F,MATCH($C34&amp;"|"&amp;14,'Рецептуры'!$K:$K,0)),""),'Полупродукты'!$C$6:$E$62,3,FALSE()),IFERROR(VLOOKUP(IFERROR(INDEX('Рецептуры'!$F:$F,MATCH($C34&amp;"|"&amp;14,'Рецептуры'!$K:$K,0)),""),'Сырьё'!$C$6:$E$233,3,FALSE()),0)))+(IFERROR(INDEX('Рецептуры'!$G:$G,MATCH($C34&amp;"|"&amp;15,'Рецептуры'!$K:$K,0)),0))*(IFERROR(VLOOKUP(IFERROR(INDEX('Рецептуры'!$F:$F,MATCH($C34&amp;"|"&amp;15,'Рецептуры'!$K:$K,0)),""),'Полупродукты'!$C$6:$E$62,3,FALSE()),IFERROR(VLOOKUP(IFERROR(INDEX('Рецептуры'!$F:$F,MATCH($C34&amp;"|"&amp;15,'Рецептуры'!$K:$K,0)),""),'Сырьё'!$C$6:$E$233,3,FALSE()),0))),4)</f>
        <v>4.0503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96">
        <v>30.0</v>
      </c>
      <c r="C35" s="97" t="s">
        <v>754</v>
      </c>
      <c r="D35" s="96">
        <v>5.0</v>
      </c>
      <c r="E35" s="214">
        <f t="array" ref="E35">ROUND((IFERROR(INDEX('Рецептуры'!$G:$G,MATCH($C35&amp;"|"&amp;1,'Рецептуры'!$K:$K,0)),0))*(IFERROR(VLOOKUP(IFERROR(INDEX('Рецептуры'!$F:$F,MATCH($C35&amp;"|"&amp;1,'Рецептуры'!$K:$K,0)),""),'Полупродукты'!$C$6:$E$62,3,FALSE()),IFERROR(VLOOKUP(IFERROR(INDEX('Рецептуры'!$F:$F,MATCH($C35&amp;"|"&amp;1,'Рецептуры'!$K:$K,0)),""),'Сырьё'!$C$6:$E$233,3,FALSE()),0)))+(IFERROR(INDEX('Рецептуры'!$G:$G,MATCH($C35&amp;"|"&amp;2,'Рецептуры'!$K:$K,0)),0))*(IFERROR(VLOOKUP(IFERROR(INDEX('Рецептуры'!$F:$F,MATCH($C35&amp;"|"&amp;2,'Рецептуры'!$K:$K,0)),""),'Полупродукты'!$C$6:$E$62,3,FALSE()),IFERROR(VLOOKUP(IFERROR(INDEX('Рецептуры'!$F:$F,MATCH($C35&amp;"|"&amp;2,'Рецептуры'!$K:$K,0)),""),'Сырьё'!$C$6:$E$233,3,FALSE()),0)))+(IFERROR(INDEX('Рецептуры'!$G:$G,MATCH($C35&amp;"|"&amp;3,'Рецептуры'!$K:$K,0)),0))*(IFERROR(VLOOKUP(IFERROR(INDEX('Рецептуры'!$F:$F,MATCH($C35&amp;"|"&amp;3,'Рецептуры'!$K:$K,0)),""),'Полупродукты'!$C$6:$E$62,3,FALSE()),IFERROR(VLOOKUP(IFERROR(INDEX('Рецептуры'!$F:$F,MATCH($C35&amp;"|"&amp;3,'Рецептуры'!$K:$K,0)),""),'Сырьё'!$C$6:$E$233,3,FALSE()),0)))+(IFERROR(INDEX('Рецептуры'!$G:$G,MATCH($C35&amp;"|"&amp;4,'Рецептуры'!$K:$K,0)),0))*(IFERROR(VLOOKUP(IFERROR(INDEX('Рецептуры'!$F:$F,MATCH($C35&amp;"|"&amp;4,'Рецептуры'!$K:$K,0)),""),'Полупродукты'!$C$6:$E$62,3,FALSE()),IFERROR(VLOOKUP(IFERROR(INDEX('Рецептуры'!$F:$F,MATCH($C35&amp;"|"&amp;4,'Рецептуры'!$K:$K,0)),""),'Сырьё'!$C$6:$E$233,3,FALSE()),0)))+(IFERROR(INDEX('Рецептуры'!$G:$G,MATCH($C35&amp;"|"&amp;5,'Рецептуры'!$K:$K,0)),0))*(IFERROR(VLOOKUP(IFERROR(INDEX('Рецептуры'!$F:$F,MATCH($C35&amp;"|"&amp;5,'Рецептуры'!$K:$K,0)),""),'Полупродукты'!$C$6:$E$62,3,FALSE()),IFERROR(VLOOKUP(IFERROR(INDEX('Рецептуры'!$F:$F,MATCH($C35&amp;"|"&amp;5,'Рецептуры'!$K:$K,0)),""),'Сырьё'!$C$6:$E$233,3,FALSE()),0)))+(IFERROR(INDEX('Рецептуры'!$G:$G,MATCH($C35&amp;"|"&amp;6,'Рецептуры'!$K:$K,0)),0))*(IFERROR(VLOOKUP(IFERROR(INDEX('Рецептуры'!$F:$F,MATCH($C35&amp;"|"&amp;6,'Рецептуры'!$K:$K,0)),""),'Полупродукты'!$C$6:$E$62,3,FALSE()),IFERROR(VLOOKUP(IFERROR(INDEX('Рецептуры'!$F:$F,MATCH($C35&amp;"|"&amp;6,'Рецептуры'!$K:$K,0)),""),'Сырьё'!$C$6:$E$233,3,FALSE()),0)))+(IFERROR(INDEX('Рецептуры'!$G:$G,MATCH($C35&amp;"|"&amp;7,'Рецептуры'!$K:$K,0)),0))*(IFERROR(VLOOKUP(IFERROR(INDEX('Рецептуры'!$F:$F,MATCH($C35&amp;"|"&amp;7,'Рецептуры'!$K:$K,0)),""),'Полупродукты'!$C$6:$E$62,3,FALSE()),IFERROR(VLOOKUP(IFERROR(INDEX('Рецептуры'!$F:$F,MATCH($C35&amp;"|"&amp;7,'Рецептуры'!$K:$K,0)),""),'Сырьё'!$C$6:$E$233,3,FALSE()),0)))+(IFERROR(INDEX('Рецептуры'!$G:$G,MATCH($C35&amp;"|"&amp;8,'Рецептуры'!$K:$K,0)),0))*(IFERROR(VLOOKUP(IFERROR(INDEX('Рецептуры'!$F:$F,MATCH($C35&amp;"|"&amp;8,'Рецептуры'!$K:$K,0)),""),'Полупродукты'!$C$6:$E$62,3,FALSE()),IFERROR(VLOOKUP(IFERROR(INDEX('Рецептуры'!$F:$F,MATCH($C35&amp;"|"&amp;8,'Рецептуры'!$K:$K,0)),""),'Сырьё'!$C$6:$E$233,3,FALSE()),0)))+(IFERROR(INDEX('Рецептуры'!$G:$G,MATCH($C35&amp;"|"&amp;9,'Рецептуры'!$K:$K,0)),0))*(IFERROR(VLOOKUP(IFERROR(INDEX('Рецептуры'!$F:$F,MATCH($C35&amp;"|"&amp;9,'Рецептуры'!$K:$K,0)),""),'Полупродукты'!$C$6:$E$62,3,FALSE()),IFERROR(VLOOKUP(IFERROR(INDEX('Рецептуры'!$F:$F,MATCH($C35&amp;"|"&amp;9,'Рецептуры'!$K:$K,0)),""),'Сырьё'!$C$6:$E$233,3,FALSE()),0)))+(IFERROR(INDEX('Рецептуры'!$G:$G,MATCH($C35&amp;"|"&amp;10,'Рецептуры'!$K:$K,0)),0))*(IFERROR(VLOOKUP(IFERROR(INDEX('Рецептуры'!$F:$F,MATCH($C35&amp;"|"&amp;10,'Рецептуры'!$K:$K,0)),""),'Полупродукты'!$C$6:$E$62,3,FALSE()),IFERROR(VLOOKUP(IFERROR(INDEX('Рецептуры'!$F:$F,MATCH($C35&amp;"|"&amp;10,'Рецептуры'!$K:$K,0)),""),'Сырьё'!$C$6:$E$233,3,FALSE()),0)))+(IFERROR(INDEX('Рецептуры'!$G:$G,MATCH($C35&amp;"|"&amp;11,'Рецептуры'!$K:$K,0)),0))*(IFERROR(VLOOKUP(IFERROR(INDEX('Рецептуры'!$F:$F,MATCH($C35&amp;"|"&amp;11,'Рецептуры'!$K:$K,0)),""),'Полупродукты'!$C$6:$E$62,3,FALSE()),IFERROR(VLOOKUP(IFERROR(INDEX('Рецептуры'!$F:$F,MATCH($C35&amp;"|"&amp;11,'Рецептуры'!$K:$K,0)),""),'Сырьё'!$C$6:$E$233,3,FALSE()),0)))+(IFERROR(INDEX('Рецептуры'!$G:$G,MATCH($C35&amp;"|"&amp;12,'Рецептуры'!$K:$K,0)),0))*(IFERROR(VLOOKUP(IFERROR(INDEX('Рецептуры'!$F:$F,MATCH($C35&amp;"|"&amp;12,'Рецептуры'!$K:$K,0)),""),'Полупродукты'!$C$6:$E$62,3,FALSE()),IFERROR(VLOOKUP(IFERROR(INDEX('Рецептуры'!$F:$F,MATCH($C35&amp;"|"&amp;12,'Рецептуры'!$K:$K,0)),""),'Сырьё'!$C$6:$E$233,3,FALSE()),0)))+(IFERROR(INDEX('Рецептуры'!$G:$G,MATCH($C35&amp;"|"&amp;13,'Рецептуры'!$K:$K,0)),0))*(IFERROR(VLOOKUP(IFERROR(INDEX('Рецептуры'!$F:$F,MATCH($C35&amp;"|"&amp;13,'Рецептуры'!$K:$K,0)),""),'Полупродукты'!$C$6:$E$62,3,FALSE()),IFERROR(VLOOKUP(IFERROR(INDEX('Рецептуры'!$F:$F,MATCH($C35&amp;"|"&amp;13,'Рецептуры'!$K:$K,0)),""),'Сырьё'!$C$6:$E$233,3,FALSE()),0)))+(IFERROR(INDEX('Рецептуры'!$G:$G,MATCH($C35&amp;"|"&amp;14,'Рецептуры'!$K:$K,0)),0))*(IFERROR(VLOOKUP(IFERROR(INDEX('Рецептуры'!$F:$F,MATCH($C35&amp;"|"&amp;14,'Рецептуры'!$K:$K,0)),""),'Полупродукты'!$C$6:$E$62,3,FALSE()),IFERROR(VLOOKUP(IFERROR(INDEX('Рецептуры'!$F:$F,MATCH($C35&amp;"|"&amp;14,'Рецептуры'!$K:$K,0)),""),'Сырьё'!$C$6:$E$233,3,FALSE()),0)))+(IFERROR(INDEX('Рецептуры'!$G:$G,MATCH($C35&amp;"|"&amp;15,'Рецептуры'!$K:$K,0)),0))*(IFERROR(VLOOKUP(IFERROR(INDEX('Рецептуры'!$F:$F,MATCH($C35&amp;"|"&amp;15,'Рецептуры'!$K:$K,0)),""),'Полупродукты'!$C$6:$E$62,3,FALSE()),IFERROR(VLOOKUP(IFERROR(INDEX('Рецептуры'!$F:$F,MATCH($C35&amp;"|"&amp;15,'Рецептуры'!$K:$K,0)),""),'Сырьё'!$C$6:$E$233,3,FALSE()),0))),4)</f>
        <v>6.2561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88">
        <v>31.0</v>
      </c>
      <c r="C36" s="89" t="s">
        <v>525</v>
      </c>
      <c r="D36" s="88">
        <v>9.0</v>
      </c>
      <c r="E36" s="213">
        <f t="array" ref="E36">ROUND((IFERROR(INDEX('Рецептуры'!$G:$G,MATCH($C36&amp;"|"&amp;1,'Рецептуры'!$K:$K,0)),0))*(IFERROR(VLOOKUP(IFERROR(INDEX('Рецептуры'!$F:$F,MATCH($C36&amp;"|"&amp;1,'Рецептуры'!$K:$K,0)),""),'Полупродукты'!$C$6:$E$62,3,FALSE()),IFERROR(VLOOKUP(IFERROR(INDEX('Рецептуры'!$F:$F,MATCH($C36&amp;"|"&amp;1,'Рецептуры'!$K:$K,0)),""),'Сырьё'!$C$6:$E$233,3,FALSE()),0)))+(IFERROR(INDEX('Рецептуры'!$G:$G,MATCH($C36&amp;"|"&amp;2,'Рецептуры'!$K:$K,0)),0))*(IFERROR(VLOOKUP(IFERROR(INDEX('Рецептуры'!$F:$F,MATCH($C36&amp;"|"&amp;2,'Рецептуры'!$K:$K,0)),""),'Полупродукты'!$C$6:$E$62,3,FALSE()),IFERROR(VLOOKUP(IFERROR(INDEX('Рецептуры'!$F:$F,MATCH($C36&amp;"|"&amp;2,'Рецептуры'!$K:$K,0)),""),'Сырьё'!$C$6:$E$233,3,FALSE()),0)))+(IFERROR(INDEX('Рецептуры'!$G:$G,MATCH($C36&amp;"|"&amp;3,'Рецептуры'!$K:$K,0)),0))*(IFERROR(VLOOKUP(IFERROR(INDEX('Рецептуры'!$F:$F,MATCH($C36&amp;"|"&amp;3,'Рецептуры'!$K:$K,0)),""),'Полупродукты'!$C$6:$E$62,3,FALSE()),IFERROR(VLOOKUP(IFERROR(INDEX('Рецептуры'!$F:$F,MATCH($C36&amp;"|"&amp;3,'Рецептуры'!$K:$K,0)),""),'Сырьё'!$C$6:$E$233,3,FALSE()),0)))+(IFERROR(INDEX('Рецептуры'!$G:$G,MATCH($C36&amp;"|"&amp;4,'Рецептуры'!$K:$K,0)),0))*(IFERROR(VLOOKUP(IFERROR(INDEX('Рецептуры'!$F:$F,MATCH($C36&amp;"|"&amp;4,'Рецептуры'!$K:$K,0)),""),'Полупродукты'!$C$6:$E$62,3,FALSE()),IFERROR(VLOOKUP(IFERROR(INDEX('Рецептуры'!$F:$F,MATCH($C36&amp;"|"&amp;4,'Рецептуры'!$K:$K,0)),""),'Сырьё'!$C$6:$E$233,3,FALSE()),0)))+(IFERROR(INDEX('Рецептуры'!$G:$G,MATCH($C36&amp;"|"&amp;5,'Рецептуры'!$K:$K,0)),0))*(IFERROR(VLOOKUP(IFERROR(INDEX('Рецептуры'!$F:$F,MATCH($C36&amp;"|"&amp;5,'Рецептуры'!$K:$K,0)),""),'Полупродукты'!$C$6:$E$62,3,FALSE()),IFERROR(VLOOKUP(IFERROR(INDEX('Рецептуры'!$F:$F,MATCH($C36&amp;"|"&amp;5,'Рецептуры'!$K:$K,0)),""),'Сырьё'!$C$6:$E$233,3,FALSE()),0)))+(IFERROR(INDEX('Рецептуры'!$G:$G,MATCH($C36&amp;"|"&amp;6,'Рецептуры'!$K:$K,0)),0))*(IFERROR(VLOOKUP(IFERROR(INDEX('Рецептуры'!$F:$F,MATCH($C36&amp;"|"&amp;6,'Рецептуры'!$K:$K,0)),""),'Полупродукты'!$C$6:$E$62,3,FALSE()),IFERROR(VLOOKUP(IFERROR(INDEX('Рецептуры'!$F:$F,MATCH($C36&amp;"|"&amp;6,'Рецептуры'!$K:$K,0)),""),'Сырьё'!$C$6:$E$233,3,FALSE()),0)))+(IFERROR(INDEX('Рецептуры'!$G:$G,MATCH($C36&amp;"|"&amp;7,'Рецептуры'!$K:$K,0)),0))*(IFERROR(VLOOKUP(IFERROR(INDEX('Рецептуры'!$F:$F,MATCH($C36&amp;"|"&amp;7,'Рецептуры'!$K:$K,0)),""),'Полупродукты'!$C$6:$E$62,3,FALSE()),IFERROR(VLOOKUP(IFERROR(INDEX('Рецептуры'!$F:$F,MATCH($C36&amp;"|"&amp;7,'Рецептуры'!$K:$K,0)),""),'Сырьё'!$C$6:$E$233,3,FALSE()),0)))+(IFERROR(INDEX('Рецептуры'!$G:$G,MATCH($C36&amp;"|"&amp;8,'Рецептуры'!$K:$K,0)),0))*(IFERROR(VLOOKUP(IFERROR(INDEX('Рецептуры'!$F:$F,MATCH($C36&amp;"|"&amp;8,'Рецептуры'!$K:$K,0)),""),'Полупродукты'!$C$6:$E$62,3,FALSE()),IFERROR(VLOOKUP(IFERROR(INDEX('Рецептуры'!$F:$F,MATCH($C36&amp;"|"&amp;8,'Рецептуры'!$K:$K,0)),""),'Сырьё'!$C$6:$E$233,3,FALSE()),0)))+(IFERROR(INDEX('Рецептуры'!$G:$G,MATCH($C36&amp;"|"&amp;9,'Рецептуры'!$K:$K,0)),0))*(IFERROR(VLOOKUP(IFERROR(INDEX('Рецептуры'!$F:$F,MATCH($C36&amp;"|"&amp;9,'Рецептуры'!$K:$K,0)),""),'Полупродукты'!$C$6:$E$62,3,FALSE()),IFERROR(VLOOKUP(IFERROR(INDEX('Рецептуры'!$F:$F,MATCH($C36&amp;"|"&amp;9,'Рецептуры'!$K:$K,0)),""),'Сырьё'!$C$6:$E$233,3,FALSE()),0)))+(IFERROR(INDEX('Рецептуры'!$G:$G,MATCH($C36&amp;"|"&amp;10,'Рецептуры'!$K:$K,0)),0))*(IFERROR(VLOOKUP(IFERROR(INDEX('Рецептуры'!$F:$F,MATCH($C36&amp;"|"&amp;10,'Рецептуры'!$K:$K,0)),""),'Полупродукты'!$C$6:$E$62,3,FALSE()),IFERROR(VLOOKUP(IFERROR(INDEX('Рецептуры'!$F:$F,MATCH($C36&amp;"|"&amp;10,'Рецептуры'!$K:$K,0)),""),'Сырьё'!$C$6:$E$233,3,FALSE()),0)))+(IFERROR(INDEX('Рецептуры'!$G:$G,MATCH($C36&amp;"|"&amp;11,'Рецептуры'!$K:$K,0)),0))*(IFERROR(VLOOKUP(IFERROR(INDEX('Рецептуры'!$F:$F,MATCH($C36&amp;"|"&amp;11,'Рецептуры'!$K:$K,0)),""),'Полупродукты'!$C$6:$E$62,3,FALSE()),IFERROR(VLOOKUP(IFERROR(INDEX('Рецептуры'!$F:$F,MATCH($C36&amp;"|"&amp;11,'Рецептуры'!$K:$K,0)),""),'Сырьё'!$C$6:$E$233,3,FALSE()),0)))+(IFERROR(INDEX('Рецептуры'!$G:$G,MATCH($C36&amp;"|"&amp;12,'Рецептуры'!$K:$K,0)),0))*(IFERROR(VLOOKUP(IFERROR(INDEX('Рецептуры'!$F:$F,MATCH($C36&amp;"|"&amp;12,'Рецептуры'!$K:$K,0)),""),'Полупродукты'!$C$6:$E$62,3,FALSE()),IFERROR(VLOOKUP(IFERROR(INDEX('Рецептуры'!$F:$F,MATCH($C36&amp;"|"&amp;12,'Рецептуры'!$K:$K,0)),""),'Сырьё'!$C$6:$E$233,3,FALSE()),0)))+(IFERROR(INDEX('Рецептуры'!$G:$G,MATCH($C36&amp;"|"&amp;13,'Рецептуры'!$K:$K,0)),0))*(IFERROR(VLOOKUP(IFERROR(INDEX('Рецептуры'!$F:$F,MATCH($C36&amp;"|"&amp;13,'Рецептуры'!$K:$K,0)),""),'Полупродукты'!$C$6:$E$62,3,FALSE()),IFERROR(VLOOKUP(IFERROR(INDEX('Рецептуры'!$F:$F,MATCH($C36&amp;"|"&amp;13,'Рецептуры'!$K:$K,0)),""),'Сырьё'!$C$6:$E$233,3,FALSE()),0)))+(IFERROR(INDEX('Рецептуры'!$G:$G,MATCH($C36&amp;"|"&amp;14,'Рецептуры'!$K:$K,0)),0))*(IFERROR(VLOOKUP(IFERROR(INDEX('Рецептуры'!$F:$F,MATCH($C36&amp;"|"&amp;14,'Рецептуры'!$K:$K,0)),""),'Полупродукты'!$C$6:$E$62,3,FALSE()),IFERROR(VLOOKUP(IFERROR(INDEX('Рецептуры'!$F:$F,MATCH($C36&amp;"|"&amp;14,'Рецептуры'!$K:$K,0)),""),'Сырьё'!$C$6:$E$233,3,FALSE()),0)))+(IFERROR(INDEX('Рецептуры'!$G:$G,MATCH($C36&amp;"|"&amp;15,'Рецептуры'!$K:$K,0)),0))*(IFERROR(VLOOKUP(IFERROR(INDEX('Рецептуры'!$F:$F,MATCH($C36&amp;"|"&amp;15,'Рецептуры'!$K:$K,0)),""),'Полупродукты'!$C$6:$E$62,3,FALSE()),IFERROR(VLOOKUP(IFERROR(INDEX('Рецептуры'!$F:$F,MATCH($C36&amp;"|"&amp;15,'Рецептуры'!$K:$K,0)),""),'Сырьё'!$C$6:$E$233,3,FALSE()),0))),4)</f>
        <v>2.2972</v>
      </c>
      <c r="F36" s="212" t="s">
        <v>755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96">
        <v>32.0</v>
      </c>
      <c r="C37" s="97" t="s">
        <v>756</v>
      </c>
      <c r="D37" s="96">
        <v>3.0</v>
      </c>
      <c r="E37" s="214">
        <f t="array" ref="E37">ROUND((IFERROR(INDEX('Рецептуры'!$G:$G,MATCH($C37&amp;"|"&amp;1,'Рецептуры'!$K:$K,0)),0))*(IFERROR(VLOOKUP(IFERROR(INDEX('Рецептуры'!$F:$F,MATCH($C37&amp;"|"&amp;1,'Рецептуры'!$K:$K,0)),""),'Полупродукты'!$C$6:$E$62,3,FALSE()),IFERROR(VLOOKUP(IFERROR(INDEX('Рецептуры'!$F:$F,MATCH($C37&amp;"|"&amp;1,'Рецептуры'!$K:$K,0)),""),'Сырьё'!$C$6:$E$233,3,FALSE()),0)))+(IFERROR(INDEX('Рецептуры'!$G:$G,MATCH($C37&amp;"|"&amp;2,'Рецептуры'!$K:$K,0)),0))*(IFERROR(VLOOKUP(IFERROR(INDEX('Рецептуры'!$F:$F,MATCH($C37&amp;"|"&amp;2,'Рецептуры'!$K:$K,0)),""),'Полупродукты'!$C$6:$E$62,3,FALSE()),IFERROR(VLOOKUP(IFERROR(INDEX('Рецептуры'!$F:$F,MATCH($C37&amp;"|"&amp;2,'Рецептуры'!$K:$K,0)),""),'Сырьё'!$C$6:$E$233,3,FALSE()),0)))+(IFERROR(INDEX('Рецептуры'!$G:$G,MATCH($C37&amp;"|"&amp;3,'Рецептуры'!$K:$K,0)),0))*(IFERROR(VLOOKUP(IFERROR(INDEX('Рецептуры'!$F:$F,MATCH($C37&amp;"|"&amp;3,'Рецептуры'!$K:$K,0)),""),'Полупродукты'!$C$6:$E$62,3,FALSE()),IFERROR(VLOOKUP(IFERROR(INDEX('Рецептуры'!$F:$F,MATCH($C37&amp;"|"&amp;3,'Рецептуры'!$K:$K,0)),""),'Сырьё'!$C$6:$E$233,3,FALSE()),0)))+(IFERROR(INDEX('Рецептуры'!$G:$G,MATCH($C37&amp;"|"&amp;4,'Рецептуры'!$K:$K,0)),0))*(IFERROR(VLOOKUP(IFERROR(INDEX('Рецептуры'!$F:$F,MATCH($C37&amp;"|"&amp;4,'Рецептуры'!$K:$K,0)),""),'Полупродукты'!$C$6:$E$62,3,FALSE()),IFERROR(VLOOKUP(IFERROR(INDEX('Рецептуры'!$F:$F,MATCH($C37&amp;"|"&amp;4,'Рецептуры'!$K:$K,0)),""),'Сырьё'!$C$6:$E$233,3,FALSE()),0)))+(IFERROR(INDEX('Рецептуры'!$G:$G,MATCH($C37&amp;"|"&amp;5,'Рецептуры'!$K:$K,0)),0))*(IFERROR(VLOOKUP(IFERROR(INDEX('Рецептуры'!$F:$F,MATCH($C37&amp;"|"&amp;5,'Рецептуры'!$K:$K,0)),""),'Полупродукты'!$C$6:$E$62,3,FALSE()),IFERROR(VLOOKUP(IFERROR(INDEX('Рецептуры'!$F:$F,MATCH($C37&amp;"|"&amp;5,'Рецептуры'!$K:$K,0)),""),'Сырьё'!$C$6:$E$233,3,FALSE()),0)))+(IFERROR(INDEX('Рецептуры'!$G:$G,MATCH($C37&amp;"|"&amp;6,'Рецептуры'!$K:$K,0)),0))*(IFERROR(VLOOKUP(IFERROR(INDEX('Рецептуры'!$F:$F,MATCH($C37&amp;"|"&amp;6,'Рецептуры'!$K:$K,0)),""),'Полупродукты'!$C$6:$E$62,3,FALSE()),IFERROR(VLOOKUP(IFERROR(INDEX('Рецептуры'!$F:$F,MATCH($C37&amp;"|"&amp;6,'Рецептуры'!$K:$K,0)),""),'Сырьё'!$C$6:$E$233,3,FALSE()),0)))+(IFERROR(INDEX('Рецептуры'!$G:$G,MATCH($C37&amp;"|"&amp;7,'Рецептуры'!$K:$K,0)),0))*(IFERROR(VLOOKUP(IFERROR(INDEX('Рецептуры'!$F:$F,MATCH($C37&amp;"|"&amp;7,'Рецептуры'!$K:$K,0)),""),'Полупродукты'!$C$6:$E$62,3,FALSE()),IFERROR(VLOOKUP(IFERROR(INDEX('Рецептуры'!$F:$F,MATCH($C37&amp;"|"&amp;7,'Рецептуры'!$K:$K,0)),""),'Сырьё'!$C$6:$E$233,3,FALSE()),0)))+(IFERROR(INDEX('Рецептуры'!$G:$G,MATCH($C37&amp;"|"&amp;8,'Рецептуры'!$K:$K,0)),0))*(IFERROR(VLOOKUP(IFERROR(INDEX('Рецептуры'!$F:$F,MATCH($C37&amp;"|"&amp;8,'Рецептуры'!$K:$K,0)),""),'Полупродукты'!$C$6:$E$62,3,FALSE()),IFERROR(VLOOKUP(IFERROR(INDEX('Рецептуры'!$F:$F,MATCH($C37&amp;"|"&amp;8,'Рецептуры'!$K:$K,0)),""),'Сырьё'!$C$6:$E$233,3,FALSE()),0)))+(IFERROR(INDEX('Рецептуры'!$G:$G,MATCH($C37&amp;"|"&amp;9,'Рецептуры'!$K:$K,0)),0))*(IFERROR(VLOOKUP(IFERROR(INDEX('Рецептуры'!$F:$F,MATCH($C37&amp;"|"&amp;9,'Рецептуры'!$K:$K,0)),""),'Полупродукты'!$C$6:$E$62,3,FALSE()),IFERROR(VLOOKUP(IFERROR(INDEX('Рецептуры'!$F:$F,MATCH($C37&amp;"|"&amp;9,'Рецептуры'!$K:$K,0)),""),'Сырьё'!$C$6:$E$233,3,FALSE()),0)))+(IFERROR(INDEX('Рецептуры'!$G:$G,MATCH($C37&amp;"|"&amp;10,'Рецептуры'!$K:$K,0)),0))*(IFERROR(VLOOKUP(IFERROR(INDEX('Рецептуры'!$F:$F,MATCH($C37&amp;"|"&amp;10,'Рецептуры'!$K:$K,0)),""),'Полупродукты'!$C$6:$E$62,3,FALSE()),IFERROR(VLOOKUP(IFERROR(INDEX('Рецептуры'!$F:$F,MATCH($C37&amp;"|"&amp;10,'Рецептуры'!$K:$K,0)),""),'Сырьё'!$C$6:$E$233,3,FALSE()),0)))+(IFERROR(INDEX('Рецептуры'!$G:$G,MATCH($C37&amp;"|"&amp;11,'Рецептуры'!$K:$K,0)),0))*(IFERROR(VLOOKUP(IFERROR(INDEX('Рецептуры'!$F:$F,MATCH($C37&amp;"|"&amp;11,'Рецептуры'!$K:$K,0)),""),'Полупродукты'!$C$6:$E$62,3,FALSE()),IFERROR(VLOOKUP(IFERROR(INDEX('Рецептуры'!$F:$F,MATCH($C37&amp;"|"&amp;11,'Рецептуры'!$K:$K,0)),""),'Сырьё'!$C$6:$E$233,3,FALSE()),0)))+(IFERROR(INDEX('Рецептуры'!$G:$G,MATCH($C37&amp;"|"&amp;12,'Рецептуры'!$K:$K,0)),0))*(IFERROR(VLOOKUP(IFERROR(INDEX('Рецептуры'!$F:$F,MATCH($C37&amp;"|"&amp;12,'Рецептуры'!$K:$K,0)),""),'Полупродукты'!$C$6:$E$62,3,FALSE()),IFERROR(VLOOKUP(IFERROR(INDEX('Рецептуры'!$F:$F,MATCH($C37&amp;"|"&amp;12,'Рецептуры'!$K:$K,0)),""),'Сырьё'!$C$6:$E$233,3,FALSE()),0)))+(IFERROR(INDEX('Рецептуры'!$G:$G,MATCH($C37&amp;"|"&amp;13,'Рецептуры'!$K:$K,0)),0))*(IFERROR(VLOOKUP(IFERROR(INDEX('Рецептуры'!$F:$F,MATCH($C37&amp;"|"&amp;13,'Рецептуры'!$K:$K,0)),""),'Полупродукты'!$C$6:$E$62,3,FALSE()),IFERROR(VLOOKUP(IFERROR(INDEX('Рецептуры'!$F:$F,MATCH($C37&amp;"|"&amp;13,'Рецептуры'!$K:$K,0)),""),'Сырьё'!$C$6:$E$233,3,FALSE()),0)))+(IFERROR(INDEX('Рецептуры'!$G:$G,MATCH($C37&amp;"|"&amp;14,'Рецептуры'!$K:$K,0)),0))*(IFERROR(VLOOKUP(IFERROR(INDEX('Рецептуры'!$F:$F,MATCH($C37&amp;"|"&amp;14,'Рецептуры'!$K:$K,0)),""),'Полупродукты'!$C$6:$E$62,3,FALSE()),IFERROR(VLOOKUP(IFERROR(INDEX('Рецептуры'!$F:$F,MATCH($C37&amp;"|"&amp;14,'Рецептуры'!$K:$K,0)),""),'Сырьё'!$C$6:$E$233,3,FALSE()),0)))+(IFERROR(INDEX('Рецептуры'!$G:$G,MATCH($C37&amp;"|"&amp;15,'Рецептуры'!$K:$K,0)),0))*(IFERROR(VLOOKUP(IFERROR(INDEX('Рецептуры'!$F:$F,MATCH($C37&amp;"|"&amp;15,'Рецептуры'!$K:$K,0)),""),'Полупродукты'!$C$6:$E$62,3,FALSE()),IFERROR(VLOOKUP(IFERROR(INDEX('Рецептуры'!$F:$F,MATCH($C37&amp;"|"&amp;15,'Рецептуры'!$K:$K,0)),""),'Сырьё'!$C$6:$E$233,3,FALSE()),0))),4)</f>
        <v>2.6211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88">
        <v>33.0</v>
      </c>
      <c r="C38" s="89" t="s">
        <v>757</v>
      </c>
      <c r="D38" s="88">
        <v>4.0</v>
      </c>
      <c r="E38" s="213">
        <f t="array" ref="E38">ROUND((IFERROR(INDEX('Рецептуры'!$G:$G,MATCH($C38&amp;"|"&amp;1,'Рецептуры'!$K:$K,0)),0))*(IFERROR(VLOOKUP(IFERROR(INDEX('Рецептуры'!$F:$F,MATCH($C38&amp;"|"&amp;1,'Рецептуры'!$K:$K,0)),""),'Полупродукты'!$C$6:$E$62,3,FALSE()),IFERROR(VLOOKUP(IFERROR(INDEX('Рецептуры'!$F:$F,MATCH($C38&amp;"|"&amp;1,'Рецептуры'!$K:$K,0)),""),'Сырьё'!$C$6:$E$233,3,FALSE()),0)))+(IFERROR(INDEX('Рецептуры'!$G:$G,MATCH($C38&amp;"|"&amp;2,'Рецептуры'!$K:$K,0)),0))*(IFERROR(VLOOKUP(IFERROR(INDEX('Рецептуры'!$F:$F,MATCH($C38&amp;"|"&amp;2,'Рецептуры'!$K:$K,0)),""),'Полупродукты'!$C$6:$E$62,3,FALSE()),IFERROR(VLOOKUP(IFERROR(INDEX('Рецептуры'!$F:$F,MATCH($C38&amp;"|"&amp;2,'Рецептуры'!$K:$K,0)),""),'Сырьё'!$C$6:$E$233,3,FALSE()),0)))+(IFERROR(INDEX('Рецептуры'!$G:$G,MATCH($C38&amp;"|"&amp;3,'Рецептуры'!$K:$K,0)),0))*(IFERROR(VLOOKUP(IFERROR(INDEX('Рецептуры'!$F:$F,MATCH($C38&amp;"|"&amp;3,'Рецептуры'!$K:$K,0)),""),'Полупродукты'!$C$6:$E$62,3,FALSE()),IFERROR(VLOOKUP(IFERROR(INDEX('Рецептуры'!$F:$F,MATCH($C38&amp;"|"&amp;3,'Рецептуры'!$K:$K,0)),""),'Сырьё'!$C$6:$E$233,3,FALSE()),0)))+(IFERROR(INDEX('Рецептуры'!$G:$G,MATCH($C38&amp;"|"&amp;4,'Рецептуры'!$K:$K,0)),0))*(IFERROR(VLOOKUP(IFERROR(INDEX('Рецептуры'!$F:$F,MATCH($C38&amp;"|"&amp;4,'Рецептуры'!$K:$K,0)),""),'Полупродукты'!$C$6:$E$62,3,FALSE()),IFERROR(VLOOKUP(IFERROR(INDEX('Рецептуры'!$F:$F,MATCH($C38&amp;"|"&amp;4,'Рецептуры'!$K:$K,0)),""),'Сырьё'!$C$6:$E$233,3,FALSE()),0)))+(IFERROR(INDEX('Рецептуры'!$G:$G,MATCH($C38&amp;"|"&amp;5,'Рецептуры'!$K:$K,0)),0))*(IFERROR(VLOOKUP(IFERROR(INDEX('Рецептуры'!$F:$F,MATCH($C38&amp;"|"&amp;5,'Рецептуры'!$K:$K,0)),""),'Полупродукты'!$C$6:$E$62,3,FALSE()),IFERROR(VLOOKUP(IFERROR(INDEX('Рецептуры'!$F:$F,MATCH($C38&amp;"|"&amp;5,'Рецептуры'!$K:$K,0)),""),'Сырьё'!$C$6:$E$233,3,FALSE()),0)))+(IFERROR(INDEX('Рецептуры'!$G:$G,MATCH($C38&amp;"|"&amp;6,'Рецептуры'!$K:$K,0)),0))*(IFERROR(VLOOKUP(IFERROR(INDEX('Рецептуры'!$F:$F,MATCH($C38&amp;"|"&amp;6,'Рецептуры'!$K:$K,0)),""),'Полупродукты'!$C$6:$E$62,3,FALSE()),IFERROR(VLOOKUP(IFERROR(INDEX('Рецептуры'!$F:$F,MATCH($C38&amp;"|"&amp;6,'Рецептуры'!$K:$K,0)),""),'Сырьё'!$C$6:$E$233,3,FALSE()),0)))+(IFERROR(INDEX('Рецептуры'!$G:$G,MATCH($C38&amp;"|"&amp;7,'Рецептуры'!$K:$K,0)),0))*(IFERROR(VLOOKUP(IFERROR(INDEX('Рецептуры'!$F:$F,MATCH($C38&amp;"|"&amp;7,'Рецептуры'!$K:$K,0)),""),'Полупродукты'!$C$6:$E$62,3,FALSE()),IFERROR(VLOOKUP(IFERROR(INDEX('Рецептуры'!$F:$F,MATCH($C38&amp;"|"&amp;7,'Рецептуры'!$K:$K,0)),""),'Сырьё'!$C$6:$E$233,3,FALSE()),0)))+(IFERROR(INDEX('Рецептуры'!$G:$G,MATCH($C38&amp;"|"&amp;8,'Рецептуры'!$K:$K,0)),0))*(IFERROR(VLOOKUP(IFERROR(INDEX('Рецептуры'!$F:$F,MATCH($C38&amp;"|"&amp;8,'Рецептуры'!$K:$K,0)),""),'Полупродукты'!$C$6:$E$62,3,FALSE()),IFERROR(VLOOKUP(IFERROR(INDEX('Рецептуры'!$F:$F,MATCH($C38&amp;"|"&amp;8,'Рецептуры'!$K:$K,0)),""),'Сырьё'!$C$6:$E$233,3,FALSE()),0)))+(IFERROR(INDEX('Рецептуры'!$G:$G,MATCH($C38&amp;"|"&amp;9,'Рецептуры'!$K:$K,0)),0))*(IFERROR(VLOOKUP(IFERROR(INDEX('Рецептуры'!$F:$F,MATCH($C38&amp;"|"&amp;9,'Рецептуры'!$K:$K,0)),""),'Полупродукты'!$C$6:$E$62,3,FALSE()),IFERROR(VLOOKUP(IFERROR(INDEX('Рецептуры'!$F:$F,MATCH($C38&amp;"|"&amp;9,'Рецептуры'!$K:$K,0)),""),'Сырьё'!$C$6:$E$233,3,FALSE()),0)))+(IFERROR(INDEX('Рецептуры'!$G:$G,MATCH($C38&amp;"|"&amp;10,'Рецептуры'!$K:$K,0)),0))*(IFERROR(VLOOKUP(IFERROR(INDEX('Рецептуры'!$F:$F,MATCH($C38&amp;"|"&amp;10,'Рецептуры'!$K:$K,0)),""),'Полупродукты'!$C$6:$E$62,3,FALSE()),IFERROR(VLOOKUP(IFERROR(INDEX('Рецептуры'!$F:$F,MATCH($C38&amp;"|"&amp;10,'Рецептуры'!$K:$K,0)),""),'Сырьё'!$C$6:$E$233,3,FALSE()),0)))+(IFERROR(INDEX('Рецептуры'!$G:$G,MATCH($C38&amp;"|"&amp;11,'Рецептуры'!$K:$K,0)),0))*(IFERROR(VLOOKUP(IFERROR(INDEX('Рецептуры'!$F:$F,MATCH($C38&amp;"|"&amp;11,'Рецептуры'!$K:$K,0)),""),'Полупродукты'!$C$6:$E$62,3,FALSE()),IFERROR(VLOOKUP(IFERROR(INDEX('Рецептуры'!$F:$F,MATCH($C38&amp;"|"&amp;11,'Рецептуры'!$K:$K,0)),""),'Сырьё'!$C$6:$E$233,3,FALSE()),0)))+(IFERROR(INDEX('Рецептуры'!$G:$G,MATCH($C38&amp;"|"&amp;12,'Рецептуры'!$K:$K,0)),0))*(IFERROR(VLOOKUP(IFERROR(INDEX('Рецептуры'!$F:$F,MATCH($C38&amp;"|"&amp;12,'Рецептуры'!$K:$K,0)),""),'Полупродукты'!$C$6:$E$62,3,FALSE()),IFERROR(VLOOKUP(IFERROR(INDEX('Рецептуры'!$F:$F,MATCH($C38&amp;"|"&amp;12,'Рецептуры'!$K:$K,0)),""),'Сырьё'!$C$6:$E$233,3,FALSE()),0)))+(IFERROR(INDEX('Рецептуры'!$G:$G,MATCH($C38&amp;"|"&amp;13,'Рецептуры'!$K:$K,0)),0))*(IFERROR(VLOOKUP(IFERROR(INDEX('Рецептуры'!$F:$F,MATCH($C38&amp;"|"&amp;13,'Рецептуры'!$K:$K,0)),""),'Полупродукты'!$C$6:$E$62,3,FALSE()),IFERROR(VLOOKUP(IFERROR(INDEX('Рецептуры'!$F:$F,MATCH($C38&amp;"|"&amp;13,'Рецептуры'!$K:$K,0)),""),'Сырьё'!$C$6:$E$233,3,FALSE()),0)))+(IFERROR(INDEX('Рецептуры'!$G:$G,MATCH($C38&amp;"|"&amp;14,'Рецептуры'!$K:$K,0)),0))*(IFERROR(VLOOKUP(IFERROR(INDEX('Рецептуры'!$F:$F,MATCH($C38&amp;"|"&amp;14,'Рецептуры'!$K:$K,0)),""),'Полупродукты'!$C$6:$E$62,3,FALSE()),IFERROR(VLOOKUP(IFERROR(INDEX('Рецептуры'!$F:$F,MATCH($C38&amp;"|"&amp;14,'Рецептуры'!$K:$K,0)),""),'Сырьё'!$C$6:$E$233,3,FALSE()),0)))+(IFERROR(INDEX('Рецептуры'!$G:$G,MATCH($C38&amp;"|"&amp;15,'Рецептуры'!$K:$K,0)),0))*(IFERROR(VLOOKUP(IFERROR(INDEX('Рецептуры'!$F:$F,MATCH($C38&amp;"|"&amp;15,'Рецептуры'!$K:$K,0)),""),'Полупродукты'!$C$6:$E$62,3,FALSE()),IFERROR(VLOOKUP(IFERROR(INDEX('Рецептуры'!$F:$F,MATCH($C38&amp;"|"&amp;15,'Рецептуры'!$K:$K,0)),""),'Сырьё'!$C$6:$E$233,3,FALSE()),0))),4)</f>
        <v>2.6704</v>
      </c>
      <c r="F38" s="212" t="s">
        <v>758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96">
        <v>34.0</v>
      </c>
      <c r="C39" s="97" t="s">
        <v>759</v>
      </c>
      <c r="D39" s="96">
        <v>2.0</v>
      </c>
      <c r="E39" s="214">
        <f t="array" ref="E39">ROUND((IFERROR(INDEX('Рецептуры'!$G:$G,MATCH($C39&amp;"|"&amp;1,'Рецептуры'!$K:$K,0)),0))*(IFERROR(VLOOKUP(IFERROR(INDEX('Рецептуры'!$F:$F,MATCH($C39&amp;"|"&amp;1,'Рецептуры'!$K:$K,0)),""),'Полупродукты'!$C$6:$E$62,3,FALSE()),IFERROR(VLOOKUP(IFERROR(INDEX('Рецептуры'!$F:$F,MATCH($C39&amp;"|"&amp;1,'Рецептуры'!$K:$K,0)),""),'Сырьё'!$C$6:$E$233,3,FALSE()),0)))+(IFERROR(INDEX('Рецептуры'!$G:$G,MATCH($C39&amp;"|"&amp;2,'Рецептуры'!$K:$K,0)),0))*(IFERROR(VLOOKUP(IFERROR(INDEX('Рецептуры'!$F:$F,MATCH($C39&amp;"|"&amp;2,'Рецептуры'!$K:$K,0)),""),'Полупродукты'!$C$6:$E$62,3,FALSE()),IFERROR(VLOOKUP(IFERROR(INDEX('Рецептуры'!$F:$F,MATCH($C39&amp;"|"&amp;2,'Рецептуры'!$K:$K,0)),""),'Сырьё'!$C$6:$E$233,3,FALSE()),0)))+(IFERROR(INDEX('Рецептуры'!$G:$G,MATCH($C39&amp;"|"&amp;3,'Рецептуры'!$K:$K,0)),0))*(IFERROR(VLOOKUP(IFERROR(INDEX('Рецептуры'!$F:$F,MATCH($C39&amp;"|"&amp;3,'Рецептуры'!$K:$K,0)),""),'Полупродукты'!$C$6:$E$62,3,FALSE()),IFERROR(VLOOKUP(IFERROR(INDEX('Рецептуры'!$F:$F,MATCH($C39&amp;"|"&amp;3,'Рецептуры'!$K:$K,0)),""),'Сырьё'!$C$6:$E$233,3,FALSE()),0)))+(IFERROR(INDEX('Рецептуры'!$G:$G,MATCH($C39&amp;"|"&amp;4,'Рецептуры'!$K:$K,0)),0))*(IFERROR(VLOOKUP(IFERROR(INDEX('Рецептуры'!$F:$F,MATCH($C39&amp;"|"&amp;4,'Рецептуры'!$K:$K,0)),""),'Полупродукты'!$C$6:$E$62,3,FALSE()),IFERROR(VLOOKUP(IFERROR(INDEX('Рецептуры'!$F:$F,MATCH($C39&amp;"|"&amp;4,'Рецептуры'!$K:$K,0)),""),'Сырьё'!$C$6:$E$233,3,FALSE()),0)))+(IFERROR(INDEX('Рецептуры'!$G:$G,MATCH($C39&amp;"|"&amp;5,'Рецептуры'!$K:$K,0)),0))*(IFERROR(VLOOKUP(IFERROR(INDEX('Рецептуры'!$F:$F,MATCH($C39&amp;"|"&amp;5,'Рецептуры'!$K:$K,0)),""),'Полупродукты'!$C$6:$E$62,3,FALSE()),IFERROR(VLOOKUP(IFERROR(INDEX('Рецептуры'!$F:$F,MATCH($C39&amp;"|"&amp;5,'Рецептуры'!$K:$K,0)),""),'Сырьё'!$C$6:$E$233,3,FALSE()),0)))+(IFERROR(INDEX('Рецептуры'!$G:$G,MATCH($C39&amp;"|"&amp;6,'Рецептуры'!$K:$K,0)),0))*(IFERROR(VLOOKUP(IFERROR(INDEX('Рецептуры'!$F:$F,MATCH($C39&amp;"|"&amp;6,'Рецептуры'!$K:$K,0)),""),'Полупродукты'!$C$6:$E$62,3,FALSE()),IFERROR(VLOOKUP(IFERROR(INDEX('Рецептуры'!$F:$F,MATCH($C39&amp;"|"&amp;6,'Рецептуры'!$K:$K,0)),""),'Сырьё'!$C$6:$E$233,3,FALSE()),0)))+(IFERROR(INDEX('Рецептуры'!$G:$G,MATCH($C39&amp;"|"&amp;7,'Рецептуры'!$K:$K,0)),0))*(IFERROR(VLOOKUP(IFERROR(INDEX('Рецептуры'!$F:$F,MATCH($C39&amp;"|"&amp;7,'Рецептуры'!$K:$K,0)),""),'Полупродукты'!$C$6:$E$62,3,FALSE()),IFERROR(VLOOKUP(IFERROR(INDEX('Рецептуры'!$F:$F,MATCH($C39&amp;"|"&amp;7,'Рецептуры'!$K:$K,0)),""),'Сырьё'!$C$6:$E$233,3,FALSE()),0)))+(IFERROR(INDEX('Рецептуры'!$G:$G,MATCH($C39&amp;"|"&amp;8,'Рецептуры'!$K:$K,0)),0))*(IFERROR(VLOOKUP(IFERROR(INDEX('Рецептуры'!$F:$F,MATCH($C39&amp;"|"&amp;8,'Рецептуры'!$K:$K,0)),""),'Полупродукты'!$C$6:$E$62,3,FALSE()),IFERROR(VLOOKUP(IFERROR(INDEX('Рецептуры'!$F:$F,MATCH($C39&amp;"|"&amp;8,'Рецептуры'!$K:$K,0)),""),'Сырьё'!$C$6:$E$233,3,FALSE()),0)))+(IFERROR(INDEX('Рецептуры'!$G:$G,MATCH($C39&amp;"|"&amp;9,'Рецептуры'!$K:$K,0)),0))*(IFERROR(VLOOKUP(IFERROR(INDEX('Рецептуры'!$F:$F,MATCH($C39&amp;"|"&amp;9,'Рецептуры'!$K:$K,0)),""),'Полупродукты'!$C$6:$E$62,3,FALSE()),IFERROR(VLOOKUP(IFERROR(INDEX('Рецептуры'!$F:$F,MATCH($C39&amp;"|"&amp;9,'Рецептуры'!$K:$K,0)),""),'Сырьё'!$C$6:$E$233,3,FALSE()),0)))+(IFERROR(INDEX('Рецептуры'!$G:$G,MATCH($C39&amp;"|"&amp;10,'Рецептуры'!$K:$K,0)),0))*(IFERROR(VLOOKUP(IFERROR(INDEX('Рецептуры'!$F:$F,MATCH($C39&amp;"|"&amp;10,'Рецептуры'!$K:$K,0)),""),'Полупродукты'!$C$6:$E$62,3,FALSE()),IFERROR(VLOOKUP(IFERROR(INDEX('Рецептуры'!$F:$F,MATCH($C39&amp;"|"&amp;10,'Рецептуры'!$K:$K,0)),""),'Сырьё'!$C$6:$E$233,3,FALSE()),0)))+(IFERROR(INDEX('Рецептуры'!$G:$G,MATCH($C39&amp;"|"&amp;11,'Рецептуры'!$K:$K,0)),0))*(IFERROR(VLOOKUP(IFERROR(INDEX('Рецептуры'!$F:$F,MATCH($C39&amp;"|"&amp;11,'Рецептуры'!$K:$K,0)),""),'Полупродукты'!$C$6:$E$62,3,FALSE()),IFERROR(VLOOKUP(IFERROR(INDEX('Рецептуры'!$F:$F,MATCH($C39&amp;"|"&amp;11,'Рецептуры'!$K:$K,0)),""),'Сырьё'!$C$6:$E$233,3,FALSE()),0)))+(IFERROR(INDEX('Рецептуры'!$G:$G,MATCH($C39&amp;"|"&amp;12,'Рецептуры'!$K:$K,0)),0))*(IFERROR(VLOOKUP(IFERROR(INDEX('Рецептуры'!$F:$F,MATCH($C39&amp;"|"&amp;12,'Рецептуры'!$K:$K,0)),""),'Полупродукты'!$C$6:$E$62,3,FALSE()),IFERROR(VLOOKUP(IFERROR(INDEX('Рецептуры'!$F:$F,MATCH($C39&amp;"|"&amp;12,'Рецептуры'!$K:$K,0)),""),'Сырьё'!$C$6:$E$233,3,FALSE()),0)))+(IFERROR(INDEX('Рецептуры'!$G:$G,MATCH($C39&amp;"|"&amp;13,'Рецептуры'!$K:$K,0)),0))*(IFERROR(VLOOKUP(IFERROR(INDEX('Рецептуры'!$F:$F,MATCH($C39&amp;"|"&amp;13,'Рецептуры'!$K:$K,0)),""),'Полупродукты'!$C$6:$E$62,3,FALSE()),IFERROR(VLOOKUP(IFERROR(INDEX('Рецептуры'!$F:$F,MATCH($C39&amp;"|"&amp;13,'Рецептуры'!$K:$K,0)),""),'Сырьё'!$C$6:$E$233,3,FALSE()),0)))+(IFERROR(INDEX('Рецептуры'!$G:$G,MATCH($C39&amp;"|"&amp;14,'Рецептуры'!$K:$K,0)),0))*(IFERROR(VLOOKUP(IFERROR(INDEX('Рецептуры'!$F:$F,MATCH($C39&amp;"|"&amp;14,'Рецептуры'!$K:$K,0)),""),'Полупродукты'!$C$6:$E$62,3,FALSE()),IFERROR(VLOOKUP(IFERROR(INDEX('Рецептуры'!$F:$F,MATCH($C39&amp;"|"&amp;14,'Рецептуры'!$K:$K,0)),""),'Сырьё'!$C$6:$E$233,3,FALSE()),0)))+(IFERROR(INDEX('Рецептуры'!$G:$G,MATCH($C39&amp;"|"&amp;15,'Рецептуры'!$K:$K,0)),0))*(IFERROR(VLOOKUP(IFERROR(INDEX('Рецептуры'!$F:$F,MATCH($C39&amp;"|"&amp;15,'Рецептуры'!$K:$K,0)),""),'Полупродукты'!$C$6:$E$62,3,FALSE()),IFERROR(VLOOKUP(IFERROR(INDEX('Рецептуры'!$F:$F,MATCH($C39&amp;"|"&amp;15,'Рецептуры'!$K:$K,0)),""),'Сырьё'!$C$6:$E$233,3,FALSE()),0))),4)</f>
        <v>2.8565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88">
        <v>35.0</v>
      </c>
      <c r="C40" s="89" t="s">
        <v>760</v>
      </c>
      <c r="D40" s="88">
        <v>6.0</v>
      </c>
      <c r="E40" s="213">
        <f t="array" ref="E40">ROUND((IFERROR(INDEX('Рецептуры'!$G:$G,MATCH($C40&amp;"|"&amp;1,'Рецептуры'!$K:$K,0)),0))*(IFERROR(VLOOKUP(IFERROR(INDEX('Рецептуры'!$F:$F,MATCH($C40&amp;"|"&amp;1,'Рецептуры'!$K:$K,0)),""),'Полупродукты'!$C$6:$E$62,3,FALSE()),IFERROR(VLOOKUP(IFERROR(INDEX('Рецептуры'!$F:$F,MATCH($C40&amp;"|"&amp;1,'Рецептуры'!$K:$K,0)),""),'Сырьё'!$C$6:$E$233,3,FALSE()),0)))+(IFERROR(INDEX('Рецептуры'!$G:$G,MATCH($C40&amp;"|"&amp;2,'Рецептуры'!$K:$K,0)),0))*(IFERROR(VLOOKUP(IFERROR(INDEX('Рецептуры'!$F:$F,MATCH($C40&amp;"|"&amp;2,'Рецептуры'!$K:$K,0)),""),'Полупродукты'!$C$6:$E$62,3,FALSE()),IFERROR(VLOOKUP(IFERROR(INDEX('Рецептуры'!$F:$F,MATCH($C40&amp;"|"&amp;2,'Рецептуры'!$K:$K,0)),""),'Сырьё'!$C$6:$E$233,3,FALSE()),0)))+(IFERROR(INDEX('Рецептуры'!$G:$G,MATCH($C40&amp;"|"&amp;3,'Рецептуры'!$K:$K,0)),0))*(IFERROR(VLOOKUP(IFERROR(INDEX('Рецептуры'!$F:$F,MATCH($C40&amp;"|"&amp;3,'Рецептуры'!$K:$K,0)),""),'Полупродукты'!$C$6:$E$62,3,FALSE()),IFERROR(VLOOKUP(IFERROR(INDEX('Рецептуры'!$F:$F,MATCH($C40&amp;"|"&amp;3,'Рецептуры'!$K:$K,0)),""),'Сырьё'!$C$6:$E$233,3,FALSE()),0)))+(IFERROR(INDEX('Рецептуры'!$G:$G,MATCH($C40&amp;"|"&amp;4,'Рецептуры'!$K:$K,0)),0))*(IFERROR(VLOOKUP(IFERROR(INDEX('Рецептуры'!$F:$F,MATCH($C40&amp;"|"&amp;4,'Рецептуры'!$K:$K,0)),""),'Полупродукты'!$C$6:$E$62,3,FALSE()),IFERROR(VLOOKUP(IFERROR(INDEX('Рецептуры'!$F:$F,MATCH($C40&amp;"|"&amp;4,'Рецептуры'!$K:$K,0)),""),'Сырьё'!$C$6:$E$233,3,FALSE()),0)))+(IFERROR(INDEX('Рецептуры'!$G:$G,MATCH($C40&amp;"|"&amp;5,'Рецептуры'!$K:$K,0)),0))*(IFERROR(VLOOKUP(IFERROR(INDEX('Рецептуры'!$F:$F,MATCH($C40&amp;"|"&amp;5,'Рецептуры'!$K:$K,0)),""),'Полупродукты'!$C$6:$E$62,3,FALSE()),IFERROR(VLOOKUP(IFERROR(INDEX('Рецептуры'!$F:$F,MATCH($C40&amp;"|"&amp;5,'Рецептуры'!$K:$K,0)),""),'Сырьё'!$C$6:$E$233,3,FALSE()),0)))+(IFERROR(INDEX('Рецептуры'!$G:$G,MATCH($C40&amp;"|"&amp;6,'Рецептуры'!$K:$K,0)),0))*(IFERROR(VLOOKUP(IFERROR(INDEX('Рецептуры'!$F:$F,MATCH($C40&amp;"|"&amp;6,'Рецептуры'!$K:$K,0)),""),'Полупродукты'!$C$6:$E$62,3,FALSE()),IFERROR(VLOOKUP(IFERROR(INDEX('Рецептуры'!$F:$F,MATCH($C40&amp;"|"&amp;6,'Рецептуры'!$K:$K,0)),""),'Сырьё'!$C$6:$E$233,3,FALSE()),0)))+(IFERROR(INDEX('Рецептуры'!$G:$G,MATCH($C40&amp;"|"&amp;7,'Рецептуры'!$K:$K,0)),0))*(IFERROR(VLOOKUP(IFERROR(INDEX('Рецептуры'!$F:$F,MATCH($C40&amp;"|"&amp;7,'Рецептуры'!$K:$K,0)),""),'Полупродукты'!$C$6:$E$62,3,FALSE()),IFERROR(VLOOKUP(IFERROR(INDEX('Рецептуры'!$F:$F,MATCH($C40&amp;"|"&amp;7,'Рецептуры'!$K:$K,0)),""),'Сырьё'!$C$6:$E$233,3,FALSE()),0)))+(IFERROR(INDEX('Рецептуры'!$G:$G,MATCH($C40&amp;"|"&amp;8,'Рецептуры'!$K:$K,0)),0))*(IFERROR(VLOOKUP(IFERROR(INDEX('Рецептуры'!$F:$F,MATCH($C40&amp;"|"&amp;8,'Рецептуры'!$K:$K,0)),""),'Полупродукты'!$C$6:$E$62,3,FALSE()),IFERROR(VLOOKUP(IFERROR(INDEX('Рецептуры'!$F:$F,MATCH($C40&amp;"|"&amp;8,'Рецептуры'!$K:$K,0)),""),'Сырьё'!$C$6:$E$233,3,FALSE()),0)))+(IFERROR(INDEX('Рецептуры'!$G:$G,MATCH($C40&amp;"|"&amp;9,'Рецептуры'!$K:$K,0)),0))*(IFERROR(VLOOKUP(IFERROR(INDEX('Рецептуры'!$F:$F,MATCH($C40&amp;"|"&amp;9,'Рецептуры'!$K:$K,0)),""),'Полупродукты'!$C$6:$E$62,3,FALSE()),IFERROR(VLOOKUP(IFERROR(INDEX('Рецептуры'!$F:$F,MATCH($C40&amp;"|"&amp;9,'Рецептуры'!$K:$K,0)),""),'Сырьё'!$C$6:$E$233,3,FALSE()),0)))+(IFERROR(INDEX('Рецептуры'!$G:$G,MATCH($C40&amp;"|"&amp;10,'Рецептуры'!$K:$K,0)),0))*(IFERROR(VLOOKUP(IFERROR(INDEX('Рецептуры'!$F:$F,MATCH($C40&amp;"|"&amp;10,'Рецептуры'!$K:$K,0)),""),'Полупродукты'!$C$6:$E$62,3,FALSE()),IFERROR(VLOOKUP(IFERROR(INDEX('Рецептуры'!$F:$F,MATCH($C40&amp;"|"&amp;10,'Рецептуры'!$K:$K,0)),""),'Сырьё'!$C$6:$E$233,3,FALSE()),0)))+(IFERROR(INDEX('Рецептуры'!$G:$G,MATCH($C40&amp;"|"&amp;11,'Рецептуры'!$K:$K,0)),0))*(IFERROR(VLOOKUP(IFERROR(INDEX('Рецептуры'!$F:$F,MATCH($C40&amp;"|"&amp;11,'Рецептуры'!$K:$K,0)),""),'Полупродукты'!$C$6:$E$62,3,FALSE()),IFERROR(VLOOKUP(IFERROR(INDEX('Рецептуры'!$F:$F,MATCH($C40&amp;"|"&amp;11,'Рецептуры'!$K:$K,0)),""),'Сырьё'!$C$6:$E$233,3,FALSE()),0)))+(IFERROR(INDEX('Рецептуры'!$G:$G,MATCH($C40&amp;"|"&amp;12,'Рецептуры'!$K:$K,0)),0))*(IFERROR(VLOOKUP(IFERROR(INDEX('Рецептуры'!$F:$F,MATCH($C40&amp;"|"&amp;12,'Рецептуры'!$K:$K,0)),""),'Полупродукты'!$C$6:$E$62,3,FALSE()),IFERROR(VLOOKUP(IFERROR(INDEX('Рецептуры'!$F:$F,MATCH($C40&amp;"|"&amp;12,'Рецептуры'!$K:$K,0)),""),'Сырьё'!$C$6:$E$233,3,FALSE()),0)))+(IFERROR(INDEX('Рецептуры'!$G:$G,MATCH($C40&amp;"|"&amp;13,'Рецептуры'!$K:$K,0)),0))*(IFERROR(VLOOKUP(IFERROR(INDEX('Рецептуры'!$F:$F,MATCH($C40&amp;"|"&amp;13,'Рецептуры'!$K:$K,0)),""),'Полупродукты'!$C$6:$E$62,3,FALSE()),IFERROR(VLOOKUP(IFERROR(INDEX('Рецептуры'!$F:$F,MATCH($C40&amp;"|"&amp;13,'Рецептуры'!$K:$K,0)),""),'Сырьё'!$C$6:$E$233,3,FALSE()),0)))+(IFERROR(INDEX('Рецептуры'!$G:$G,MATCH($C40&amp;"|"&amp;14,'Рецептуры'!$K:$K,0)),0))*(IFERROR(VLOOKUP(IFERROR(INDEX('Рецептуры'!$F:$F,MATCH($C40&amp;"|"&amp;14,'Рецептуры'!$K:$K,0)),""),'Полупродукты'!$C$6:$E$62,3,FALSE()),IFERROR(VLOOKUP(IFERROR(INDEX('Рецептуры'!$F:$F,MATCH($C40&amp;"|"&amp;14,'Рецептуры'!$K:$K,0)),""),'Сырьё'!$C$6:$E$233,3,FALSE()),0)))+(IFERROR(INDEX('Рецептуры'!$G:$G,MATCH($C40&amp;"|"&amp;15,'Рецептуры'!$K:$K,0)),0))*(IFERROR(VLOOKUP(IFERROR(INDEX('Рецептуры'!$F:$F,MATCH($C40&amp;"|"&amp;15,'Рецептуры'!$K:$K,0)),""),'Полупродукты'!$C$6:$E$62,3,FALSE()),IFERROR(VLOOKUP(IFERROR(INDEX('Рецептуры'!$F:$F,MATCH($C40&amp;"|"&amp;15,'Рецептуры'!$K:$K,0)),""),'Сырьё'!$C$6:$E$233,3,FALSE()),0))),4)</f>
        <v>3.5512</v>
      </c>
      <c r="F40" s="212" t="s">
        <v>761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96">
        <v>36.0</v>
      </c>
      <c r="C41" s="97" t="s">
        <v>769</v>
      </c>
      <c r="D41" s="96">
        <v>7.0</v>
      </c>
      <c r="E41" s="214">
        <f t="array" ref="E41">ROUND((IFERROR(INDEX('Рецептуры'!$G:$G,MATCH($C41&amp;"|"&amp;1,'Рецептуры'!$K:$K,0)),0))*(IFERROR(VLOOKUP(IFERROR(INDEX('Рецептуры'!$F:$F,MATCH($C41&amp;"|"&amp;1,'Рецептуры'!$K:$K,0)),""),'Полупродукты'!$C$6:$E$62,3,FALSE()),IFERROR(VLOOKUP(IFERROR(INDEX('Рецептуры'!$F:$F,MATCH($C41&amp;"|"&amp;1,'Рецептуры'!$K:$K,0)),""),'Сырьё'!$C$6:$E$233,3,FALSE()),0)))+(IFERROR(INDEX('Рецептуры'!$G:$G,MATCH($C41&amp;"|"&amp;2,'Рецептуры'!$K:$K,0)),0))*(IFERROR(VLOOKUP(IFERROR(INDEX('Рецептуры'!$F:$F,MATCH($C41&amp;"|"&amp;2,'Рецептуры'!$K:$K,0)),""),'Полупродукты'!$C$6:$E$62,3,FALSE()),IFERROR(VLOOKUP(IFERROR(INDEX('Рецептуры'!$F:$F,MATCH($C41&amp;"|"&amp;2,'Рецептуры'!$K:$K,0)),""),'Сырьё'!$C$6:$E$233,3,FALSE()),0)))+(IFERROR(INDEX('Рецептуры'!$G:$G,MATCH($C41&amp;"|"&amp;3,'Рецептуры'!$K:$K,0)),0))*(IFERROR(VLOOKUP(IFERROR(INDEX('Рецептуры'!$F:$F,MATCH($C41&amp;"|"&amp;3,'Рецептуры'!$K:$K,0)),""),'Полупродукты'!$C$6:$E$62,3,FALSE()),IFERROR(VLOOKUP(IFERROR(INDEX('Рецептуры'!$F:$F,MATCH($C41&amp;"|"&amp;3,'Рецептуры'!$K:$K,0)),""),'Сырьё'!$C$6:$E$233,3,FALSE()),0)))+(IFERROR(INDEX('Рецептуры'!$G:$G,MATCH($C41&amp;"|"&amp;4,'Рецептуры'!$K:$K,0)),0))*(IFERROR(VLOOKUP(IFERROR(INDEX('Рецептуры'!$F:$F,MATCH($C41&amp;"|"&amp;4,'Рецептуры'!$K:$K,0)),""),'Полупродукты'!$C$6:$E$62,3,FALSE()),IFERROR(VLOOKUP(IFERROR(INDEX('Рецептуры'!$F:$F,MATCH($C41&amp;"|"&amp;4,'Рецептуры'!$K:$K,0)),""),'Сырьё'!$C$6:$E$233,3,FALSE()),0)))+(IFERROR(INDEX('Рецептуры'!$G:$G,MATCH($C41&amp;"|"&amp;5,'Рецептуры'!$K:$K,0)),0))*(IFERROR(VLOOKUP(IFERROR(INDEX('Рецептуры'!$F:$F,MATCH($C41&amp;"|"&amp;5,'Рецептуры'!$K:$K,0)),""),'Полупродукты'!$C$6:$E$62,3,FALSE()),IFERROR(VLOOKUP(IFERROR(INDEX('Рецептуры'!$F:$F,MATCH($C41&amp;"|"&amp;5,'Рецептуры'!$K:$K,0)),""),'Сырьё'!$C$6:$E$233,3,FALSE()),0)))+(IFERROR(INDEX('Рецептуры'!$G:$G,MATCH($C41&amp;"|"&amp;6,'Рецептуры'!$K:$K,0)),0))*(IFERROR(VLOOKUP(IFERROR(INDEX('Рецептуры'!$F:$F,MATCH($C41&amp;"|"&amp;6,'Рецептуры'!$K:$K,0)),""),'Полупродукты'!$C$6:$E$62,3,FALSE()),IFERROR(VLOOKUP(IFERROR(INDEX('Рецептуры'!$F:$F,MATCH($C41&amp;"|"&amp;6,'Рецептуры'!$K:$K,0)),""),'Сырьё'!$C$6:$E$233,3,FALSE()),0)))+(IFERROR(INDEX('Рецептуры'!$G:$G,MATCH($C41&amp;"|"&amp;7,'Рецептуры'!$K:$K,0)),0))*(IFERROR(VLOOKUP(IFERROR(INDEX('Рецептуры'!$F:$F,MATCH($C41&amp;"|"&amp;7,'Рецептуры'!$K:$K,0)),""),'Полупродукты'!$C$6:$E$62,3,FALSE()),IFERROR(VLOOKUP(IFERROR(INDEX('Рецептуры'!$F:$F,MATCH($C41&amp;"|"&amp;7,'Рецептуры'!$K:$K,0)),""),'Сырьё'!$C$6:$E$233,3,FALSE()),0)))+(IFERROR(INDEX('Рецептуры'!$G:$G,MATCH($C41&amp;"|"&amp;8,'Рецептуры'!$K:$K,0)),0))*(IFERROR(VLOOKUP(IFERROR(INDEX('Рецептуры'!$F:$F,MATCH($C41&amp;"|"&amp;8,'Рецептуры'!$K:$K,0)),""),'Полупродукты'!$C$6:$E$62,3,FALSE()),IFERROR(VLOOKUP(IFERROR(INDEX('Рецептуры'!$F:$F,MATCH($C41&amp;"|"&amp;8,'Рецептуры'!$K:$K,0)),""),'Сырьё'!$C$6:$E$233,3,FALSE()),0)))+(IFERROR(INDEX('Рецептуры'!$G:$G,MATCH($C41&amp;"|"&amp;9,'Рецептуры'!$K:$K,0)),0))*(IFERROR(VLOOKUP(IFERROR(INDEX('Рецептуры'!$F:$F,MATCH($C41&amp;"|"&amp;9,'Рецептуры'!$K:$K,0)),""),'Полупродукты'!$C$6:$E$62,3,FALSE()),IFERROR(VLOOKUP(IFERROR(INDEX('Рецептуры'!$F:$F,MATCH($C41&amp;"|"&amp;9,'Рецептуры'!$K:$K,0)),""),'Сырьё'!$C$6:$E$233,3,FALSE()),0)))+(IFERROR(INDEX('Рецептуры'!$G:$G,MATCH($C41&amp;"|"&amp;10,'Рецептуры'!$K:$K,0)),0))*(IFERROR(VLOOKUP(IFERROR(INDEX('Рецептуры'!$F:$F,MATCH($C41&amp;"|"&amp;10,'Рецептуры'!$K:$K,0)),""),'Полупродукты'!$C$6:$E$62,3,FALSE()),IFERROR(VLOOKUP(IFERROR(INDEX('Рецептуры'!$F:$F,MATCH($C41&amp;"|"&amp;10,'Рецептуры'!$K:$K,0)),""),'Сырьё'!$C$6:$E$233,3,FALSE()),0)))+(IFERROR(INDEX('Рецептуры'!$G:$G,MATCH($C41&amp;"|"&amp;11,'Рецептуры'!$K:$K,0)),0))*(IFERROR(VLOOKUP(IFERROR(INDEX('Рецептуры'!$F:$F,MATCH($C41&amp;"|"&amp;11,'Рецептуры'!$K:$K,0)),""),'Полупродукты'!$C$6:$E$62,3,FALSE()),IFERROR(VLOOKUP(IFERROR(INDEX('Рецептуры'!$F:$F,MATCH($C41&amp;"|"&amp;11,'Рецептуры'!$K:$K,0)),""),'Сырьё'!$C$6:$E$233,3,FALSE()),0)))+(IFERROR(INDEX('Рецептуры'!$G:$G,MATCH($C41&amp;"|"&amp;12,'Рецептуры'!$K:$K,0)),0))*(IFERROR(VLOOKUP(IFERROR(INDEX('Рецептуры'!$F:$F,MATCH($C41&amp;"|"&amp;12,'Рецептуры'!$K:$K,0)),""),'Полупродукты'!$C$6:$E$62,3,FALSE()),IFERROR(VLOOKUP(IFERROR(INDEX('Рецептуры'!$F:$F,MATCH($C41&amp;"|"&amp;12,'Рецептуры'!$K:$K,0)),""),'Сырьё'!$C$6:$E$233,3,FALSE()),0)))+(IFERROR(INDEX('Рецептуры'!$G:$G,MATCH($C41&amp;"|"&amp;13,'Рецептуры'!$K:$K,0)),0))*(IFERROR(VLOOKUP(IFERROR(INDEX('Рецептуры'!$F:$F,MATCH($C41&amp;"|"&amp;13,'Рецептуры'!$K:$K,0)),""),'Полупродукты'!$C$6:$E$62,3,FALSE()),IFERROR(VLOOKUP(IFERROR(INDEX('Рецептуры'!$F:$F,MATCH($C41&amp;"|"&amp;13,'Рецептуры'!$K:$K,0)),""),'Сырьё'!$C$6:$E$233,3,FALSE()),0)))+(IFERROR(INDEX('Рецептуры'!$G:$G,MATCH($C41&amp;"|"&amp;14,'Рецептуры'!$K:$K,0)),0))*(IFERROR(VLOOKUP(IFERROR(INDEX('Рецептуры'!$F:$F,MATCH($C41&amp;"|"&amp;14,'Рецептуры'!$K:$K,0)),""),'Полупродукты'!$C$6:$E$62,3,FALSE()),IFERROR(VLOOKUP(IFERROR(INDEX('Рецептуры'!$F:$F,MATCH($C41&amp;"|"&amp;14,'Рецептуры'!$K:$K,0)),""),'Сырьё'!$C$6:$E$233,3,FALSE()),0)))+(IFERROR(INDEX('Рецептуры'!$G:$G,MATCH($C41&amp;"|"&amp;15,'Рецептуры'!$K:$K,0)),0))*(IFERROR(VLOOKUP(IFERROR(INDEX('Рецептуры'!$F:$F,MATCH($C41&amp;"|"&amp;15,'Рецептуры'!$K:$K,0)),""),'Полупродукты'!$C$6:$E$62,3,FALSE()),IFERROR(VLOOKUP(IFERROR(INDEX('Рецептуры'!$F:$F,MATCH($C41&amp;"|"&amp;15,'Рецептуры'!$K:$K,0)),""),'Сырьё'!$C$6:$E$233,3,FALSE()),0))),4)</f>
        <v>4.6583</v>
      </c>
      <c r="F41" s="212" t="s">
        <v>770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88">
        <v>37.0</v>
      </c>
      <c r="C42" s="89" t="s">
        <v>771</v>
      </c>
      <c r="D42" s="88">
        <v>5.0</v>
      </c>
      <c r="E42" s="213">
        <f t="array" ref="E42">ROUND((IFERROR(INDEX('Рецептуры'!$G:$G,MATCH($C42&amp;"|"&amp;1,'Рецептуры'!$K:$K,0)),0))*(IFERROR(VLOOKUP(IFERROR(INDEX('Рецептуры'!$F:$F,MATCH($C42&amp;"|"&amp;1,'Рецептуры'!$K:$K,0)),""),'Полупродукты'!$C$6:$E$62,3,FALSE()),IFERROR(VLOOKUP(IFERROR(INDEX('Рецептуры'!$F:$F,MATCH($C42&amp;"|"&amp;1,'Рецептуры'!$K:$K,0)),""),'Сырьё'!$C$6:$E$233,3,FALSE()),0)))+(IFERROR(INDEX('Рецептуры'!$G:$G,MATCH($C42&amp;"|"&amp;2,'Рецептуры'!$K:$K,0)),0))*(IFERROR(VLOOKUP(IFERROR(INDEX('Рецептуры'!$F:$F,MATCH($C42&amp;"|"&amp;2,'Рецептуры'!$K:$K,0)),""),'Полупродукты'!$C$6:$E$62,3,FALSE()),IFERROR(VLOOKUP(IFERROR(INDEX('Рецептуры'!$F:$F,MATCH($C42&amp;"|"&amp;2,'Рецептуры'!$K:$K,0)),""),'Сырьё'!$C$6:$E$233,3,FALSE()),0)))+(IFERROR(INDEX('Рецептуры'!$G:$G,MATCH($C42&amp;"|"&amp;3,'Рецептуры'!$K:$K,0)),0))*(IFERROR(VLOOKUP(IFERROR(INDEX('Рецептуры'!$F:$F,MATCH($C42&amp;"|"&amp;3,'Рецептуры'!$K:$K,0)),""),'Полупродукты'!$C$6:$E$62,3,FALSE()),IFERROR(VLOOKUP(IFERROR(INDEX('Рецептуры'!$F:$F,MATCH($C42&amp;"|"&amp;3,'Рецептуры'!$K:$K,0)),""),'Сырьё'!$C$6:$E$233,3,FALSE()),0)))+(IFERROR(INDEX('Рецептуры'!$G:$G,MATCH($C42&amp;"|"&amp;4,'Рецептуры'!$K:$K,0)),0))*(IFERROR(VLOOKUP(IFERROR(INDEX('Рецептуры'!$F:$F,MATCH($C42&amp;"|"&amp;4,'Рецептуры'!$K:$K,0)),""),'Полупродукты'!$C$6:$E$62,3,FALSE()),IFERROR(VLOOKUP(IFERROR(INDEX('Рецептуры'!$F:$F,MATCH($C42&amp;"|"&amp;4,'Рецептуры'!$K:$K,0)),""),'Сырьё'!$C$6:$E$233,3,FALSE()),0)))+(IFERROR(INDEX('Рецептуры'!$G:$G,MATCH($C42&amp;"|"&amp;5,'Рецептуры'!$K:$K,0)),0))*(IFERROR(VLOOKUP(IFERROR(INDEX('Рецептуры'!$F:$F,MATCH($C42&amp;"|"&amp;5,'Рецептуры'!$K:$K,0)),""),'Полупродукты'!$C$6:$E$62,3,FALSE()),IFERROR(VLOOKUP(IFERROR(INDEX('Рецептуры'!$F:$F,MATCH($C42&amp;"|"&amp;5,'Рецептуры'!$K:$K,0)),""),'Сырьё'!$C$6:$E$233,3,FALSE()),0)))+(IFERROR(INDEX('Рецептуры'!$G:$G,MATCH($C42&amp;"|"&amp;6,'Рецептуры'!$K:$K,0)),0))*(IFERROR(VLOOKUP(IFERROR(INDEX('Рецептуры'!$F:$F,MATCH($C42&amp;"|"&amp;6,'Рецептуры'!$K:$K,0)),""),'Полупродукты'!$C$6:$E$62,3,FALSE()),IFERROR(VLOOKUP(IFERROR(INDEX('Рецептуры'!$F:$F,MATCH($C42&amp;"|"&amp;6,'Рецептуры'!$K:$K,0)),""),'Сырьё'!$C$6:$E$233,3,FALSE()),0)))+(IFERROR(INDEX('Рецептуры'!$G:$G,MATCH($C42&amp;"|"&amp;7,'Рецептуры'!$K:$K,0)),0))*(IFERROR(VLOOKUP(IFERROR(INDEX('Рецептуры'!$F:$F,MATCH($C42&amp;"|"&amp;7,'Рецептуры'!$K:$K,0)),""),'Полупродукты'!$C$6:$E$62,3,FALSE()),IFERROR(VLOOKUP(IFERROR(INDEX('Рецептуры'!$F:$F,MATCH($C42&amp;"|"&amp;7,'Рецептуры'!$K:$K,0)),""),'Сырьё'!$C$6:$E$233,3,FALSE()),0)))+(IFERROR(INDEX('Рецептуры'!$G:$G,MATCH($C42&amp;"|"&amp;8,'Рецептуры'!$K:$K,0)),0))*(IFERROR(VLOOKUP(IFERROR(INDEX('Рецептуры'!$F:$F,MATCH($C42&amp;"|"&amp;8,'Рецептуры'!$K:$K,0)),""),'Полупродукты'!$C$6:$E$62,3,FALSE()),IFERROR(VLOOKUP(IFERROR(INDEX('Рецептуры'!$F:$F,MATCH($C42&amp;"|"&amp;8,'Рецептуры'!$K:$K,0)),""),'Сырьё'!$C$6:$E$233,3,FALSE()),0)))+(IFERROR(INDEX('Рецептуры'!$G:$G,MATCH($C42&amp;"|"&amp;9,'Рецептуры'!$K:$K,0)),0))*(IFERROR(VLOOKUP(IFERROR(INDEX('Рецептуры'!$F:$F,MATCH($C42&amp;"|"&amp;9,'Рецептуры'!$K:$K,0)),""),'Полупродукты'!$C$6:$E$62,3,FALSE()),IFERROR(VLOOKUP(IFERROR(INDEX('Рецептуры'!$F:$F,MATCH($C42&amp;"|"&amp;9,'Рецептуры'!$K:$K,0)),""),'Сырьё'!$C$6:$E$233,3,FALSE()),0)))+(IFERROR(INDEX('Рецептуры'!$G:$G,MATCH($C42&amp;"|"&amp;10,'Рецептуры'!$K:$K,0)),0))*(IFERROR(VLOOKUP(IFERROR(INDEX('Рецептуры'!$F:$F,MATCH($C42&amp;"|"&amp;10,'Рецептуры'!$K:$K,0)),""),'Полупродукты'!$C$6:$E$62,3,FALSE()),IFERROR(VLOOKUP(IFERROR(INDEX('Рецептуры'!$F:$F,MATCH($C42&amp;"|"&amp;10,'Рецептуры'!$K:$K,0)),""),'Сырьё'!$C$6:$E$233,3,FALSE()),0)))+(IFERROR(INDEX('Рецептуры'!$G:$G,MATCH($C42&amp;"|"&amp;11,'Рецептуры'!$K:$K,0)),0))*(IFERROR(VLOOKUP(IFERROR(INDEX('Рецептуры'!$F:$F,MATCH($C42&amp;"|"&amp;11,'Рецептуры'!$K:$K,0)),""),'Полупродукты'!$C$6:$E$62,3,FALSE()),IFERROR(VLOOKUP(IFERROR(INDEX('Рецептуры'!$F:$F,MATCH($C42&amp;"|"&amp;11,'Рецептуры'!$K:$K,0)),""),'Сырьё'!$C$6:$E$233,3,FALSE()),0)))+(IFERROR(INDEX('Рецептуры'!$G:$G,MATCH($C42&amp;"|"&amp;12,'Рецептуры'!$K:$K,0)),0))*(IFERROR(VLOOKUP(IFERROR(INDEX('Рецептуры'!$F:$F,MATCH($C42&amp;"|"&amp;12,'Рецептуры'!$K:$K,0)),""),'Полупродукты'!$C$6:$E$62,3,FALSE()),IFERROR(VLOOKUP(IFERROR(INDEX('Рецептуры'!$F:$F,MATCH($C42&amp;"|"&amp;12,'Рецептуры'!$K:$K,0)),""),'Сырьё'!$C$6:$E$233,3,FALSE()),0)))+(IFERROR(INDEX('Рецептуры'!$G:$G,MATCH($C42&amp;"|"&amp;13,'Рецептуры'!$K:$K,0)),0))*(IFERROR(VLOOKUP(IFERROR(INDEX('Рецептуры'!$F:$F,MATCH($C42&amp;"|"&amp;13,'Рецептуры'!$K:$K,0)),""),'Полупродукты'!$C$6:$E$62,3,FALSE()),IFERROR(VLOOKUP(IFERROR(INDEX('Рецептуры'!$F:$F,MATCH($C42&amp;"|"&amp;13,'Рецептуры'!$K:$K,0)),""),'Сырьё'!$C$6:$E$233,3,FALSE()),0)))+(IFERROR(INDEX('Рецептуры'!$G:$G,MATCH($C42&amp;"|"&amp;14,'Рецептуры'!$K:$K,0)),0))*(IFERROR(VLOOKUP(IFERROR(INDEX('Рецептуры'!$F:$F,MATCH($C42&amp;"|"&amp;14,'Рецептуры'!$K:$K,0)),""),'Полупродукты'!$C$6:$E$62,3,FALSE()),IFERROR(VLOOKUP(IFERROR(INDEX('Рецептуры'!$F:$F,MATCH($C42&amp;"|"&amp;14,'Рецептуры'!$K:$K,0)),""),'Сырьё'!$C$6:$E$233,3,FALSE()),0)))+(IFERROR(INDEX('Рецептуры'!$G:$G,MATCH($C42&amp;"|"&amp;15,'Рецептуры'!$K:$K,0)),0))*(IFERROR(VLOOKUP(IFERROR(INDEX('Рецептуры'!$F:$F,MATCH($C42&amp;"|"&amp;15,'Рецептуры'!$K:$K,0)),""),'Полупродукты'!$C$6:$E$62,3,FALSE()),IFERROR(VLOOKUP(IFERROR(INDEX('Рецептуры'!$F:$F,MATCH($C42&amp;"|"&amp;15,'Рецептуры'!$K:$K,0)),""),'Сырьё'!$C$6:$E$233,3,FALSE()),0))),4)</f>
        <v>3.2939</v>
      </c>
      <c r="F42" s="212" t="s">
        <v>772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96">
        <v>38.0</v>
      </c>
      <c r="C43" s="97" t="s">
        <v>773</v>
      </c>
      <c r="D43" s="96">
        <v>6.0</v>
      </c>
      <c r="E43" s="214">
        <f t="array" ref="E43">ROUND((IFERROR(INDEX('Рецептуры'!$G:$G,MATCH($C43&amp;"|"&amp;1,'Рецептуры'!$K:$K,0)),0))*(IFERROR(VLOOKUP(IFERROR(INDEX('Рецептуры'!$F:$F,MATCH($C43&amp;"|"&amp;1,'Рецептуры'!$K:$K,0)),""),'Полупродукты'!$C$6:$E$62,3,FALSE()),IFERROR(VLOOKUP(IFERROR(INDEX('Рецептуры'!$F:$F,MATCH($C43&amp;"|"&amp;1,'Рецептуры'!$K:$K,0)),""),'Сырьё'!$C$6:$E$233,3,FALSE()),0)))+(IFERROR(INDEX('Рецептуры'!$G:$G,MATCH($C43&amp;"|"&amp;2,'Рецептуры'!$K:$K,0)),0))*(IFERROR(VLOOKUP(IFERROR(INDEX('Рецептуры'!$F:$F,MATCH($C43&amp;"|"&amp;2,'Рецептуры'!$K:$K,0)),""),'Полупродукты'!$C$6:$E$62,3,FALSE()),IFERROR(VLOOKUP(IFERROR(INDEX('Рецептуры'!$F:$F,MATCH($C43&amp;"|"&amp;2,'Рецептуры'!$K:$K,0)),""),'Сырьё'!$C$6:$E$233,3,FALSE()),0)))+(IFERROR(INDEX('Рецептуры'!$G:$G,MATCH($C43&amp;"|"&amp;3,'Рецептуры'!$K:$K,0)),0))*(IFERROR(VLOOKUP(IFERROR(INDEX('Рецептуры'!$F:$F,MATCH($C43&amp;"|"&amp;3,'Рецептуры'!$K:$K,0)),""),'Полупродукты'!$C$6:$E$62,3,FALSE()),IFERROR(VLOOKUP(IFERROR(INDEX('Рецептуры'!$F:$F,MATCH($C43&amp;"|"&amp;3,'Рецептуры'!$K:$K,0)),""),'Сырьё'!$C$6:$E$233,3,FALSE()),0)))+(IFERROR(INDEX('Рецептуры'!$G:$G,MATCH($C43&amp;"|"&amp;4,'Рецептуры'!$K:$K,0)),0))*(IFERROR(VLOOKUP(IFERROR(INDEX('Рецептуры'!$F:$F,MATCH($C43&amp;"|"&amp;4,'Рецептуры'!$K:$K,0)),""),'Полупродукты'!$C$6:$E$62,3,FALSE()),IFERROR(VLOOKUP(IFERROR(INDEX('Рецептуры'!$F:$F,MATCH($C43&amp;"|"&amp;4,'Рецептуры'!$K:$K,0)),""),'Сырьё'!$C$6:$E$233,3,FALSE()),0)))+(IFERROR(INDEX('Рецептуры'!$G:$G,MATCH($C43&amp;"|"&amp;5,'Рецептуры'!$K:$K,0)),0))*(IFERROR(VLOOKUP(IFERROR(INDEX('Рецептуры'!$F:$F,MATCH($C43&amp;"|"&amp;5,'Рецептуры'!$K:$K,0)),""),'Полупродукты'!$C$6:$E$62,3,FALSE()),IFERROR(VLOOKUP(IFERROR(INDEX('Рецептуры'!$F:$F,MATCH($C43&amp;"|"&amp;5,'Рецептуры'!$K:$K,0)),""),'Сырьё'!$C$6:$E$233,3,FALSE()),0)))+(IFERROR(INDEX('Рецептуры'!$G:$G,MATCH($C43&amp;"|"&amp;6,'Рецептуры'!$K:$K,0)),0))*(IFERROR(VLOOKUP(IFERROR(INDEX('Рецептуры'!$F:$F,MATCH($C43&amp;"|"&amp;6,'Рецептуры'!$K:$K,0)),""),'Полупродукты'!$C$6:$E$62,3,FALSE()),IFERROR(VLOOKUP(IFERROR(INDEX('Рецептуры'!$F:$F,MATCH($C43&amp;"|"&amp;6,'Рецептуры'!$K:$K,0)),""),'Сырьё'!$C$6:$E$233,3,FALSE()),0)))+(IFERROR(INDEX('Рецептуры'!$G:$G,MATCH($C43&amp;"|"&amp;7,'Рецептуры'!$K:$K,0)),0))*(IFERROR(VLOOKUP(IFERROR(INDEX('Рецептуры'!$F:$F,MATCH($C43&amp;"|"&amp;7,'Рецептуры'!$K:$K,0)),""),'Полупродукты'!$C$6:$E$62,3,FALSE()),IFERROR(VLOOKUP(IFERROR(INDEX('Рецептуры'!$F:$F,MATCH($C43&amp;"|"&amp;7,'Рецептуры'!$K:$K,0)),""),'Сырьё'!$C$6:$E$233,3,FALSE()),0)))+(IFERROR(INDEX('Рецептуры'!$G:$G,MATCH($C43&amp;"|"&amp;8,'Рецептуры'!$K:$K,0)),0))*(IFERROR(VLOOKUP(IFERROR(INDEX('Рецептуры'!$F:$F,MATCH($C43&amp;"|"&amp;8,'Рецептуры'!$K:$K,0)),""),'Полупродукты'!$C$6:$E$62,3,FALSE()),IFERROR(VLOOKUP(IFERROR(INDEX('Рецептуры'!$F:$F,MATCH($C43&amp;"|"&amp;8,'Рецептуры'!$K:$K,0)),""),'Сырьё'!$C$6:$E$233,3,FALSE()),0)))+(IFERROR(INDEX('Рецептуры'!$G:$G,MATCH($C43&amp;"|"&amp;9,'Рецептуры'!$K:$K,0)),0))*(IFERROR(VLOOKUP(IFERROR(INDEX('Рецептуры'!$F:$F,MATCH($C43&amp;"|"&amp;9,'Рецептуры'!$K:$K,0)),""),'Полупродукты'!$C$6:$E$62,3,FALSE()),IFERROR(VLOOKUP(IFERROR(INDEX('Рецептуры'!$F:$F,MATCH($C43&amp;"|"&amp;9,'Рецептуры'!$K:$K,0)),""),'Сырьё'!$C$6:$E$233,3,FALSE()),0)))+(IFERROR(INDEX('Рецептуры'!$G:$G,MATCH($C43&amp;"|"&amp;10,'Рецептуры'!$K:$K,0)),0))*(IFERROR(VLOOKUP(IFERROR(INDEX('Рецептуры'!$F:$F,MATCH($C43&amp;"|"&amp;10,'Рецептуры'!$K:$K,0)),""),'Полупродукты'!$C$6:$E$62,3,FALSE()),IFERROR(VLOOKUP(IFERROR(INDEX('Рецептуры'!$F:$F,MATCH($C43&amp;"|"&amp;10,'Рецептуры'!$K:$K,0)),""),'Сырьё'!$C$6:$E$233,3,FALSE()),0)))+(IFERROR(INDEX('Рецептуры'!$G:$G,MATCH($C43&amp;"|"&amp;11,'Рецептуры'!$K:$K,0)),0))*(IFERROR(VLOOKUP(IFERROR(INDEX('Рецептуры'!$F:$F,MATCH($C43&amp;"|"&amp;11,'Рецептуры'!$K:$K,0)),""),'Полупродукты'!$C$6:$E$62,3,FALSE()),IFERROR(VLOOKUP(IFERROR(INDEX('Рецептуры'!$F:$F,MATCH($C43&amp;"|"&amp;11,'Рецептуры'!$K:$K,0)),""),'Сырьё'!$C$6:$E$233,3,FALSE()),0)))+(IFERROR(INDEX('Рецептуры'!$G:$G,MATCH($C43&amp;"|"&amp;12,'Рецептуры'!$K:$K,0)),0))*(IFERROR(VLOOKUP(IFERROR(INDEX('Рецептуры'!$F:$F,MATCH($C43&amp;"|"&amp;12,'Рецептуры'!$K:$K,0)),""),'Полупродукты'!$C$6:$E$62,3,FALSE()),IFERROR(VLOOKUP(IFERROR(INDEX('Рецептуры'!$F:$F,MATCH($C43&amp;"|"&amp;12,'Рецептуры'!$K:$K,0)),""),'Сырьё'!$C$6:$E$233,3,FALSE()),0)))+(IFERROR(INDEX('Рецептуры'!$G:$G,MATCH($C43&amp;"|"&amp;13,'Рецептуры'!$K:$K,0)),0))*(IFERROR(VLOOKUP(IFERROR(INDEX('Рецептуры'!$F:$F,MATCH($C43&amp;"|"&amp;13,'Рецептуры'!$K:$K,0)),""),'Полупродукты'!$C$6:$E$62,3,FALSE()),IFERROR(VLOOKUP(IFERROR(INDEX('Рецептуры'!$F:$F,MATCH($C43&amp;"|"&amp;13,'Рецептуры'!$K:$K,0)),""),'Сырьё'!$C$6:$E$233,3,FALSE()),0)))+(IFERROR(INDEX('Рецептуры'!$G:$G,MATCH($C43&amp;"|"&amp;14,'Рецептуры'!$K:$K,0)),0))*(IFERROR(VLOOKUP(IFERROR(INDEX('Рецептуры'!$F:$F,MATCH($C43&amp;"|"&amp;14,'Рецептуры'!$K:$K,0)),""),'Полупродукты'!$C$6:$E$62,3,FALSE()),IFERROR(VLOOKUP(IFERROR(INDEX('Рецептуры'!$F:$F,MATCH($C43&amp;"|"&amp;14,'Рецептуры'!$K:$K,0)),""),'Сырьё'!$C$6:$E$233,3,FALSE()),0)))+(IFERROR(INDEX('Рецептуры'!$G:$G,MATCH($C43&amp;"|"&amp;15,'Рецептуры'!$K:$K,0)),0))*(IFERROR(VLOOKUP(IFERROR(INDEX('Рецептуры'!$F:$F,MATCH($C43&amp;"|"&amp;15,'Рецептуры'!$K:$K,0)),""),'Полупродукты'!$C$6:$E$62,3,FALSE()),IFERROR(VLOOKUP(IFERROR(INDEX('Рецептуры'!$F:$F,MATCH($C43&amp;"|"&amp;15,'Рецептуры'!$K:$K,0)),""),'Сырьё'!$C$6:$E$233,3,FALSE()),0))),4)</f>
        <v>4.4478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88">
        <v>39.0</v>
      </c>
      <c r="C44" s="89" t="s">
        <v>774</v>
      </c>
      <c r="D44" s="88">
        <v>6.0</v>
      </c>
      <c r="E44" s="213">
        <f t="array" ref="E44">ROUND((IFERROR(INDEX('Рецептуры'!$G:$G,MATCH($C44&amp;"|"&amp;1,'Рецептуры'!$K:$K,0)),0))*(IFERROR(VLOOKUP(IFERROR(INDEX('Рецептуры'!$F:$F,MATCH($C44&amp;"|"&amp;1,'Рецептуры'!$K:$K,0)),""),'Полупродукты'!$C$6:$E$62,3,FALSE()),IFERROR(VLOOKUP(IFERROR(INDEX('Рецептуры'!$F:$F,MATCH($C44&amp;"|"&amp;1,'Рецептуры'!$K:$K,0)),""),'Сырьё'!$C$6:$E$233,3,FALSE()),0)))+(IFERROR(INDEX('Рецептуры'!$G:$G,MATCH($C44&amp;"|"&amp;2,'Рецептуры'!$K:$K,0)),0))*(IFERROR(VLOOKUP(IFERROR(INDEX('Рецептуры'!$F:$F,MATCH($C44&amp;"|"&amp;2,'Рецептуры'!$K:$K,0)),""),'Полупродукты'!$C$6:$E$62,3,FALSE()),IFERROR(VLOOKUP(IFERROR(INDEX('Рецептуры'!$F:$F,MATCH($C44&amp;"|"&amp;2,'Рецептуры'!$K:$K,0)),""),'Сырьё'!$C$6:$E$233,3,FALSE()),0)))+(IFERROR(INDEX('Рецептуры'!$G:$G,MATCH($C44&amp;"|"&amp;3,'Рецептуры'!$K:$K,0)),0))*(IFERROR(VLOOKUP(IFERROR(INDEX('Рецептуры'!$F:$F,MATCH($C44&amp;"|"&amp;3,'Рецептуры'!$K:$K,0)),""),'Полупродукты'!$C$6:$E$62,3,FALSE()),IFERROR(VLOOKUP(IFERROR(INDEX('Рецептуры'!$F:$F,MATCH($C44&amp;"|"&amp;3,'Рецептуры'!$K:$K,0)),""),'Сырьё'!$C$6:$E$233,3,FALSE()),0)))+(IFERROR(INDEX('Рецептуры'!$G:$G,MATCH($C44&amp;"|"&amp;4,'Рецептуры'!$K:$K,0)),0))*(IFERROR(VLOOKUP(IFERROR(INDEX('Рецептуры'!$F:$F,MATCH($C44&amp;"|"&amp;4,'Рецептуры'!$K:$K,0)),""),'Полупродукты'!$C$6:$E$62,3,FALSE()),IFERROR(VLOOKUP(IFERROR(INDEX('Рецептуры'!$F:$F,MATCH($C44&amp;"|"&amp;4,'Рецептуры'!$K:$K,0)),""),'Сырьё'!$C$6:$E$233,3,FALSE()),0)))+(IFERROR(INDEX('Рецептуры'!$G:$G,MATCH($C44&amp;"|"&amp;5,'Рецептуры'!$K:$K,0)),0))*(IFERROR(VLOOKUP(IFERROR(INDEX('Рецептуры'!$F:$F,MATCH($C44&amp;"|"&amp;5,'Рецептуры'!$K:$K,0)),""),'Полупродукты'!$C$6:$E$62,3,FALSE()),IFERROR(VLOOKUP(IFERROR(INDEX('Рецептуры'!$F:$F,MATCH($C44&amp;"|"&amp;5,'Рецептуры'!$K:$K,0)),""),'Сырьё'!$C$6:$E$233,3,FALSE()),0)))+(IFERROR(INDEX('Рецептуры'!$G:$G,MATCH($C44&amp;"|"&amp;6,'Рецептуры'!$K:$K,0)),0))*(IFERROR(VLOOKUP(IFERROR(INDEX('Рецептуры'!$F:$F,MATCH($C44&amp;"|"&amp;6,'Рецептуры'!$K:$K,0)),""),'Полупродукты'!$C$6:$E$62,3,FALSE()),IFERROR(VLOOKUP(IFERROR(INDEX('Рецептуры'!$F:$F,MATCH($C44&amp;"|"&amp;6,'Рецептуры'!$K:$K,0)),""),'Сырьё'!$C$6:$E$233,3,FALSE()),0)))+(IFERROR(INDEX('Рецептуры'!$G:$G,MATCH($C44&amp;"|"&amp;7,'Рецептуры'!$K:$K,0)),0))*(IFERROR(VLOOKUP(IFERROR(INDEX('Рецептуры'!$F:$F,MATCH($C44&amp;"|"&amp;7,'Рецептуры'!$K:$K,0)),""),'Полупродукты'!$C$6:$E$62,3,FALSE()),IFERROR(VLOOKUP(IFERROR(INDEX('Рецептуры'!$F:$F,MATCH($C44&amp;"|"&amp;7,'Рецептуры'!$K:$K,0)),""),'Сырьё'!$C$6:$E$233,3,FALSE()),0)))+(IFERROR(INDEX('Рецептуры'!$G:$G,MATCH($C44&amp;"|"&amp;8,'Рецептуры'!$K:$K,0)),0))*(IFERROR(VLOOKUP(IFERROR(INDEX('Рецептуры'!$F:$F,MATCH($C44&amp;"|"&amp;8,'Рецептуры'!$K:$K,0)),""),'Полупродукты'!$C$6:$E$62,3,FALSE()),IFERROR(VLOOKUP(IFERROR(INDEX('Рецептуры'!$F:$F,MATCH($C44&amp;"|"&amp;8,'Рецептуры'!$K:$K,0)),""),'Сырьё'!$C$6:$E$233,3,FALSE()),0)))+(IFERROR(INDEX('Рецептуры'!$G:$G,MATCH($C44&amp;"|"&amp;9,'Рецептуры'!$K:$K,0)),0))*(IFERROR(VLOOKUP(IFERROR(INDEX('Рецептуры'!$F:$F,MATCH($C44&amp;"|"&amp;9,'Рецептуры'!$K:$K,0)),""),'Полупродукты'!$C$6:$E$62,3,FALSE()),IFERROR(VLOOKUP(IFERROR(INDEX('Рецептуры'!$F:$F,MATCH($C44&amp;"|"&amp;9,'Рецептуры'!$K:$K,0)),""),'Сырьё'!$C$6:$E$233,3,FALSE()),0)))+(IFERROR(INDEX('Рецептуры'!$G:$G,MATCH($C44&amp;"|"&amp;10,'Рецептуры'!$K:$K,0)),0))*(IFERROR(VLOOKUP(IFERROR(INDEX('Рецептуры'!$F:$F,MATCH($C44&amp;"|"&amp;10,'Рецептуры'!$K:$K,0)),""),'Полупродукты'!$C$6:$E$62,3,FALSE()),IFERROR(VLOOKUP(IFERROR(INDEX('Рецептуры'!$F:$F,MATCH($C44&amp;"|"&amp;10,'Рецептуры'!$K:$K,0)),""),'Сырьё'!$C$6:$E$233,3,FALSE()),0)))+(IFERROR(INDEX('Рецептуры'!$G:$G,MATCH($C44&amp;"|"&amp;11,'Рецептуры'!$K:$K,0)),0))*(IFERROR(VLOOKUP(IFERROR(INDEX('Рецептуры'!$F:$F,MATCH($C44&amp;"|"&amp;11,'Рецептуры'!$K:$K,0)),""),'Полупродукты'!$C$6:$E$62,3,FALSE()),IFERROR(VLOOKUP(IFERROR(INDEX('Рецептуры'!$F:$F,MATCH($C44&amp;"|"&amp;11,'Рецептуры'!$K:$K,0)),""),'Сырьё'!$C$6:$E$233,3,FALSE()),0)))+(IFERROR(INDEX('Рецептуры'!$G:$G,MATCH($C44&amp;"|"&amp;12,'Рецептуры'!$K:$K,0)),0))*(IFERROR(VLOOKUP(IFERROR(INDEX('Рецептуры'!$F:$F,MATCH($C44&amp;"|"&amp;12,'Рецептуры'!$K:$K,0)),""),'Полупродукты'!$C$6:$E$62,3,FALSE()),IFERROR(VLOOKUP(IFERROR(INDEX('Рецептуры'!$F:$F,MATCH($C44&amp;"|"&amp;12,'Рецептуры'!$K:$K,0)),""),'Сырьё'!$C$6:$E$233,3,FALSE()),0)))+(IFERROR(INDEX('Рецептуры'!$G:$G,MATCH($C44&amp;"|"&amp;13,'Рецептуры'!$K:$K,0)),0))*(IFERROR(VLOOKUP(IFERROR(INDEX('Рецептуры'!$F:$F,MATCH($C44&amp;"|"&amp;13,'Рецептуры'!$K:$K,0)),""),'Полупродукты'!$C$6:$E$62,3,FALSE()),IFERROR(VLOOKUP(IFERROR(INDEX('Рецептуры'!$F:$F,MATCH($C44&amp;"|"&amp;13,'Рецептуры'!$K:$K,0)),""),'Сырьё'!$C$6:$E$233,3,FALSE()),0)))+(IFERROR(INDEX('Рецептуры'!$G:$G,MATCH($C44&amp;"|"&amp;14,'Рецептуры'!$K:$K,0)),0))*(IFERROR(VLOOKUP(IFERROR(INDEX('Рецептуры'!$F:$F,MATCH($C44&amp;"|"&amp;14,'Рецептуры'!$K:$K,0)),""),'Полупродукты'!$C$6:$E$62,3,FALSE()),IFERROR(VLOOKUP(IFERROR(INDEX('Рецептуры'!$F:$F,MATCH($C44&amp;"|"&amp;14,'Рецептуры'!$K:$K,0)),""),'Сырьё'!$C$6:$E$233,3,FALSE()),0)))+(IFERROR(INDEX('Рецептуры'!$G:$G,MATCH($C44&amp;"|"&amp;15,'Рецептуры'!$K:$K,0)),0))*(IFERROR(VLOOKUP(IFERROR(INDEX('Рецептуры'!$F:$F,MATCH($C44&amp;"|"&amp;15,'Рецептуры'!$K:$K,0)),""),'Полупродукты'!$C$6:$E$62,3,FALSE()),IFERROR(VLOOKUP(IFERROR(INDEX('Рецептуры'!$F:$F,MATCH($C44&amp;"|"&amp;15,'Рецептуры'!$K:$K,0)),""),'Сырьё'!$C$6:$E$233,3,FALSE()),0))),4)</f>
        <v>4.8329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96">
        <v>40.0</v>
      </c>
      <c r="C45" s="97" t="s">
        <v>775</v>
      </c>
      <c r="D45" s="96">
        <v>6.0</v>
      </c>
      <c r="E45" s="214">
        <f t="array" ref="E45">ROUND((IFERROR(INDEX('Рецептуры'!$G:$G,MATCH($C45&amp;"|"&amp;1,'Рецептуры'!$K:$K,0)),0))*(IFERROR(VLOOKUP(IFERROR(INDEX('Рецептуры'!$F:$F,MATCH($C45&amp;"|"&amp;1,'Рецептуры'!$K:$K,0)),""),'Полупродукты'!$C$6:$E$62,3,FALSE()),IFERROR(VLOOKUP(IFERROR(INDEX('Рецептуры'!$F:$F,MATCH($C45&amp;"|"&amp;1,'Рецептуры'!$K:$K,0)),""),'Сырьё'!$C$6:$E$233,3,FALSE()),0)))+(IFERROR(INDEX('Рецептуры'!$G:$G,MATCH($C45&amp;"|"&amp;2,'Рецептуры'!$K:$K,0)),0))*(IFERROR(VLOOKUP(IFERROR(INDEX('Рецептуры'!$F:$F,MATCH($C45&amp;"|"&amp;2,'Рецептуры'!$K:$K,0)),""),'Полупродукты'!$C$6:$E$62,3,FALSE()),IFERROR(VLOOKUP(IFERROR(INDEX('Рецептуры'!$F:$F,MATCH($C45&amp;"|"&amp;2,'Рецептуры'!$K:$K,0)),""),'Сырьё'!$C$6:$E$233,3,FALSE()),0)))+(IFERROR(INDEX('Рецептуры'!$G:$G,MATCH($C45&amp;"|"&amp;3,'Рецептуры'!$K:$K,0)),0))*(IFERROR(VLOOKUP(IFERROR(INDEX('Рецептуры'!$F:$F,MATCH($C45&amp;"|"&amp;3,'Рецептуры'!$K:$K,0)),""),'Полупродукты'!$C$6:$E$62,3,FALSE()),IFERROR(VLOOKUP(IFERROR(INDEX('Рецептуры'!$F:$F,MATCH($C45&amp;"|"&amp;3,'Рецептуры'!$K:$K,0)),""),'Сырьё'!$C$6:$E$233,3,FALSE()),0)))+(IFERROR(INDEX('Рецептуры'!$G:$G,MATCH($C45&amp;"|"&amp;4,'Рецептуры'!$K:$K,0)),0))*(IFERROR(VLOOKUP(IFERROR(INDEX('Рецептуры'!$F:$F,MATCH($C45&amp;"|"&amp;4,'Рецептуры'!$K:$K,0)),""),'Полупродукты'!$C$6:$E$62,3,FALSE()),IFERROR(VLOOKUP(IFERROR(INDEX('Рецептуры'!$F:$F,MATCH($C45&amp;"|"&amp;4,'Рецептуры'!$K:$K,0)),""),'Сырьё'!$C$6:$E$233,3,FALSE()),0)))+(IFERROR(INDEX('Рецептуры'!$G:$G,MATCH($C45&amp;"|"&amp;5,'Рецептуры'!$K:$K,0)),0))*(IFERROR(VLOOKUP(IFERROR(INDEX('Рецептуры'!$F:$F,MATCH($C45&amp;"|"&amp;5,'Рецептуры'!$K:$K,0)),""),'Полупродукты'!$C$6:$E$62,3,FALSE()),IFERROR(VLOOKUP(IFERROR(INDEX('Рецептуры'!$F:$F,MATCH($C45&amp;"|"&amp;5,'Рецептуры'!$K:$K,0)),""),'Сырьё'!$C$6:$E$233,3,FALSE()),0)))+(IFERROR(INDEX('Рецептуры'!$G:$G,MATCH($C45&amp;"|"&amp;6,'Рецептуры'!$K:$K,0)),0))*(IFERROR(VLOOKUP(IFERROR(INDEX('Рецептуры'!$F:$F,MATCH($C45&amp;"|"&amp;6,'Рецептуры'!$K:$K,0)),""),'Полупродукты'!$C$6:$E$62,3,FALSE()),IFERROR(VLOOKUP(IFERROR(INDEX('Рецептуры'!$F:$F,MATCH($C45&amp;"|"&amp;6,'Рецептуры'!$K:$K,0)),""),'Сырьё'!$C$6:$E$233,3,FALSE()),0)))+(IFERROR(INDEX('Рецептуры'!$G:$G,MATCH($C45&amp;"|"&amp;7,'Рецептуры'!$K:$K,0)),0))*(IFERROR(VLOOKUP(IFERROR(INDEX('Рецептуры'!$F:$F,MATCH($C45&amp;"|"&amp;7,'Рецептуры'!$K:$K,0)),""),'Полупродукты'!$C$6:$E$62,3,FALSE()),IFERROR(VLOOKUP(IFERROR(INDEX('Рецептуры'!$F:$F,MATCH($C45&amp;"|"&amp;7,'Рецептуры'!$K:$K,0)),""),'Сырьё'!$C$6:$E$233,3,FALSE()),0)))+(IFERROR(INDEX('Рецептуры'!$G:$G,MATCH($C45&amp;"|"&amp;8,'Рецептуры'!$K:$K,0)),0))*(IFERROR(VLOOKUP(IFERROR(INDEX('Рецептуры'!$F:$F,MATCH($C45&amp;"|"&amp;8,'Рецептуры'!$K:$K,0)),""),'Полупродукты'!$C$6:$E$62,3,FALSE()),IFERROR(VLOOKUP(IFERROR(INDEX('Рецептуры'!$F:$F,MATCH($C45&amp;"|"&amp;8,'Рецептуры'!$K:$K,0)),""),'Сырьё'!$C$6:$E$233,3,FALSE()),0)))+(IFERROR(INDEX('Рецептуры'!$G:$G,MATCH($C45&amp;"|"&amp;9,'Рецептуры'!$K:$K,0)),0))*(IFERROR(VLOOKUP(IFERROR(INDEX('Рецептуры'!$F:$F,MATCH($C45&amp;"|"&amp;9,'Рецептуры'!$K:$K,0)),""),'Полупродукты'!$C$6:$E$62,3,FALSE()),IFERROR(VLOOKUP(IFERROR(INDEX('Рецептуры'!$F:$F,MATCH($C45&amp;"|"&amp;9,'Рецептуры'!$K:$K,0)),""),'Сырьё'!$C$6:$E$233,3,FALSE()),0)))+(IFERROR(INDEX('Рецептуры'!$G:$G,MATCH($C45&amp;"|"&amp;10,'Рецептуры'!$K:$K,0)),0))*(IFERROR(VLOOKUP(IFERROR(INDEX('Рецептуры'!$F:$F,MATCH($C45&amp;"|"&amp;10,'Рецептуры'!$K:$K,0)),""),'Полупродукты'!$C$6:$E$62,3,FALSE()),IFERROR(VLOOKUP(IFERROR(INDEX('Рецептуры'!$F:$F,MATCH($C45&amp;"|"&amp;10,'Рецептуры'!$K:$K,0)),""),'Сырьё'!$C$6:$E$233,3,FALSE()),0)))+(IFERROR(INDEX('Рецептуры'!$G:$G,MATCH($C45&amp;"|"&amp;11,'Рецептуры'!$K:$K,0)),0))*(IFERROR(VLOOKUP(IFERROR(INDEX('Рецептуры'!$F:$F,MATCH($C45&amp;"|"&amp;11,'Рецептуры'!$K:$K,0)),""),'Полупродукты'!$C$6:$E$62,3,FALSE()),IFERROR(VLOOKUP(IFERROR(INDEX('Рецептуры'!$F:$F,MATCH($C45&amp;"|"&amp;11,'Рецептуры'!$K:$K,0)),""),'Сырьё'!$C$6:$E$233,3,FALSE()),0)))+(IFERROR(INDEX('Рецептуры'!$G:$G,MATCH($C45&amp;"|"&amp;12,'Рецептуры'!$K:$K,0)),0))*(IFERROR(VLOOKUP(IFERROR(INDEX('Рецептуры'!$F:$F,MATCH($C45&amp;"|"&amp;12,'Рецептуры'!$K:$K,0)),""),'Полупродукты'!$C$6:$E$62,3,FALSE()),IFERROR(VLOOKUP(IFERROR(INDEX('Рецептуры'!$F:$F,MATCH($C45&amp;"|"&amp;12,'Рецептуры'!$K:$K,0)),""),'Сырьё'!$C$6:$E$233,3,FALSE()),0)))+(IFERROR(INDEX('Рецептуры'!$G:$G,MATCH($C45&amp;"|"&amp;13,'Рецептуры'!$K:$K,0)),0))*(IFERROR(VLOOKUP(IFERROR(INDEX('Рецептуры'!$F:$F,MATCH($C45&amp;"|"&amp;13,'Рецептуры'!$K:$K,0)),""),'Полупродукты'!$C$6:$E$62,3,FALSE()),IFERROR(VLOOKUP(IFERROR(INDEX('Рецептуры'!$F:$F,MATCH($C45&amp;"|"&amp;13,'Рецептуры'!$K:$K,0)),""),'Сырьё'!$C$6:$E$233,3,FALSE()),0)))+(IFERROR(INDEX('Рецептуры'!$G:$G,MATCH($C45&amp;"|"&amp;14,'Рецептуры'!$K:$K,0)),0))*(IFERROR(VLOOKUP(IFERROR(INDEX('Рецептуры'!$F:$F,MATCH($C45&amp;"|"&amp;14,'Рецептуры'!$K:$K,0)),""),'Полупродукты'!$C$6:$E$62,3,FALSE()),IFERROR(VLOOKUP(IFERROR(INDEX('Рецептуры'!$F:$F,MATCH($C45&amp;"|"&amp;14,'Рецептуры'!$K:$K,0)),""),'Сырьё'!$C$6:$E$233,3,FALSE()),0)))+(IFERROR(INDEX('Рецептуры'!$G:$G,MATCH($C45&amp;"|"&amp;15,'Рецептуры'!$K:$K,0)),0))*(IFERROR(VLOOKUP(IFERROR(INDEX('Рецептуры'!$F:$F,MATCH($C45&amp;"|"&amp;15,'Рецептуры'!$K:$K,0)),""),'Полупродукты'!$C$6:$E$62,3,FALSE()),IFERROR(VLOOKUP(IFERROR(INDEX('Рецептуры'!$F:$F,MATCH($C45&amp;"|"&amp;15,'Рецептуры'!$K:$K,0)),""),'Сырьё'!$C$6:$E$233,3,FALSE()),0))),4)</f>
        <v>12.6647</v>
      </c>
      <c r="F45" s="212" t="s">
        <v>776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88">
        <v>41.0</v>
      </c>
      <c r="C46" s="89" t="s">
        <v>779</v>
      </c>
      <c r="D46" s="88">
        <v>4.0</v>
      </c>
      <c r="E46" s="213">
        <f t="array" ref="E46">ROUND((IFERROR(INDEX('Рецептуры'!$G:$G,MATCH($C46&amp;"|"&amp;1,'Рецептуры'!$K:$K,0)),0))*(IFERROR(VLOOKUP(IFERROR(INDEX('Рецептуры'!$F:$F,MATCH($C46&amp;"|"&amp;1,'Рецептуры'!$K:$K,0)),""),'Полупродукты'!$C$6:$E$62,3,FALSE()),IFERROR(VLOOKUP(IFERROR(INDEX('Рецептуры'!$F:$F,MATCH($C46&amp;"|"&amp;1,'Рецептуры'!$K:$K,0)),""),'Сырьё'!$C$6:$E$233,3,FALSE()),0)))+(IFERROR(INDEX('Рецептуры'!$G:$G,MATCH($C46&amp;"|"&amp;2,'Рецептуры'!$K:$K,0)),0))*(IFERROR(VLOOKUP(IFERROR(INDEX('Рецептуры'!$F:$F,MATCH($C46&amp;"|"&amp;2,'Рецептуры'!$K:$K,0)),""),'Полупродукты'!$C$6:$E$62,3,FALSE()),IFERROR(VLOOKUP(IFERROR(INDEX('Рецептуры'!$F:$F,MATCH($C46&amp;"|"&amp;2,'Рецептуры'!$K:$K,0)),""),'Сырьё'!$C$6:$E$233,3,FALSE()),0)))+(IFERROR(INDEX('Рецептуры'!$G:$G,MATCH($C46&amp;"|"&amp;3,'Рецептуры'!$K:$K,0)),0))*(IFERROR(VLOOKUP(IFERROR(INDEX('Рецептуры'!$F:$F,MATCH($C46&amp;"|"&amp;3,'Рецептуры'!$K:$K,0)),""),'Полупродукты'!$C$6:$E$62,3,FALSE()),IFERROR(VLOOKUP(IFERROR(INDEX('Рецептуры'!$F:$F,MATCH($C46&amp;"|"&amp;3,'Рецептуры'!$K:$K,0)),""),'Сырьё'!$C$6:$E$233,3,FALSE()),0)))+(IFERROR(INDEX('Рецептуры'!$G:$G,MATCH($C46&amp;"|"&amp;4,'Рецептуры'!$K:$K,0)),0))*(IFERROR(VLOOKUP(IFERROR(INDEX('Рецептуры'!$F:$F,MATCH($C46&amp;"|"&amp;4,'Рецептуры'!$K:$K,0)),""),'Полупродукты'!$C$6:$E$62,3,FALSE()),IFERROR(VLOOKUP(IFERROR(INDEX('Рецептуры'!$F:$F,MATCH($C46&amp;"|"&amp;4,'Рецептуры'!$K:$K,0)),""),'Сырьё'!$C$6:$E$233,3,FALSE()),0)))+(IFERROR(INDEX('Рецептуры'!$G:$G,MATCH($C46&amp;"|"&amp;5,'Рецептуры'!$K:$K,0)),0))*(IFERROR(VLOOKUP(IFERROR(INDEX('Рецептуры'!$F:$F,MATCH($C46&amp;"|"&amp;5,'Рецептуры'!$K:$K,0)),""),'Полупродукты'!$C$6:$E$62,3,FALSE()),IFERROR(VLOOKUP(IFERROR(INDEX('Рецептуры'!$F:$F,MATCH($C46&amp;"|"&amp;5,'Рецептуры'!$K:$K,0)),""),'Сырьё'!$C$6:$E$233,3,FALSE()),0)))+(IFERROR(INDEX('Рецептуры'!$G:$G,MATCH($C46&amp;"|"&amp;6,'Рецептуры'!$K:$K,0)),0))*(IFERROR(VLOOKUP(IFERROR(INDEX('Рецептуры'!$F:$F,MATCH($C46&amp;"|"&amp;6,'Рецептуры'!$K:$K,0)),""),'Полупродукты'!$C$6:$E$62,3,FALSE()),IFERROR(VLOOKUP(IFERROR(INDEX('Рецептуры'!$F:$F,MATCH($C46&amp;"|"&amp;6,'Рецептуры'!$K:$K,0)),""),'Сырьё'!$C$6:$E$233,3,FALSE()),0)))+(IFERROR(INDEX('Рецептуры'!$G:$G,MATCH($C46&amp;"|"&amp;7,'Рецептуры'!$K:$K,0)),0))*(IFERROR(VLOOKUP(IFERROR(INDEX('Рецептуры'!$F:$F,MATCH($C46&amp;"|"&amp;7,'Рецептуры'!$K:$K,0)),""),'Полупродукты'!$C$6:$E$62,3,FALSE()),IFERROR(VLOOKUP(IFERROR(INDEX('Рецептуры'!$F:$F,MATCH($C46&amp;"|"&amp;7,'Рецептуры'!$K:$K,0)),""),'Сырьё'!$C$6:$E$233,3,FALSE()),0)))+(IFERROR(INDEX('Рецептуры'!$G:$G,MATCH($C46&amp;"|"&amp;8,'Рецептуры'!$K:$K,0)),0))*(IFERROR(VLOOKUP(IFERROR(INDEX('Рецептуры'!$F:$F,MATCH($C46&amp;"|"&amp;8,'Рецептуры'!$K:$K,0)),""),'Полупродукты'!$C$6:$E$62,3,FALSE()),IFERROR(VLOOKUP(IFERROR(INDEX('Рецептуры'!$F:$F,MATCH($C46&amp;"|"&amp;8,'Рецептуры'!$K:$K,0)),""),'Сырьё'!$C$6:$E$233,3,FALSE()),0)))+(IFERROR(INDEX('Рецептуры'!$G:$G,MATCH($C46&amp;"|"&amp;9,'Рецептуры'!$K:$K,0)),0))*(IFERROR(VLOOKUP(IFERROR(INDEX('Рецептуры'!$F:$F,MATCH($C46&amp;"|"&amp;9,'Рецептуры'!$K:$K,0)),""),'Полупродукты'!$C$6:$E$62,3,FALSE()),IFERROR(VLOOKUP(IFERROR(INDEX('Рецептуры'!$F:$F,MATCH($C46&amp;"|"&amp;9,'Рецептуры'!$K:$K,0)),""),'Сырьё'!$C$6:$E$233,3,FALSE()),0)))+(IFERROR(INDEX('Рецептуры'!$G:$G,MATCH($C46&amp;"|"&amp;10,'Рецептуры'!$K:$K,0)),0))*(IFERROR(VLOOKUP(IFERROR(INDEX('Рецептуры'!$F:$F,MATCH($C46&amp;"|"&amp;10,'Рецептуры'!$K:$K,0)),""),'Полупродукты'!$C$6:$E$62,3,FALSE()),IFERROR(VLOOKUP(IFERROR(INDEX('Рецептуры'!$F:$F,MATCH($C46&amp;"|"&amp;10,'Рецептуры'!$K:$K,0)),""),'Сырьё'!$C$6:$E$233,3,FALSE()),0)))+(IFERROR(INDEX('Рецептуры'!$G:$G,MATCH($C46&amp;"|"&amp;11,'Рецептуры'!$K:$K,0)),0))*(IFERROR(VLOOKUP(IFERROR(INDEX('Рецептуры'!$F:$F,MATCH($C46&amp;"|"&amp;11,'Рецептуры'!$K:$K,0)),""),'Полупродукты'!$C$6:$E$62,3,FALSE()),IFERROR(VLOOKUP(IFERROR(INDEX('Рецептуры'!$F:$F,MATCH($C46&amp;"|"&amp;11,'Рецептуры'!$K:$K,0)),""),'Сырьё'!$C$6:$E$233,3,FALSE()),0)))+(IFERROR(INDEX('Рецептуры'!$G:$G,MATCH($C46&amp;"|"&amp;12,'Рецептуры'!$K:$K,0)),0))*(IFERROR(VLOOKUP(IFERROR(INDEX('Рецептуры'!$F:$F,MATCH($C46&amp;"|"&amp;12,'Рецептуры'!$K:$K,0)),""),'Полупродукты'!$C$6:$E$62,3,FALSE()),IFERROR(VLOOKUP(IFERROR(INDEX('Рецептуры'!$F:$F,MATCH($C46&amp;"|"&amp;12,'Рецептуры'!$K:$K,0)),""),'Сырьё'!$C$6:$E$233,3,FALSE()),0)))+(IFERROR(INDEX('Рецептуры'!$G:$G,MATCH($C46&amp;"|"&amp;13,'Рецептуры'!$K:$K,0)),0))*(IFERROR(VLOOKUP(IFERROR(INDEX('Рецептуры'!$F:$F,MATCH($C46&amp;"|"&amp;13,'Рецептуры'!$K:$K,0)),""),'Полупродукты'!$C$6:$E$62,3,FALSE()),IFERROR(VLOOKUP(IFERROR(INDEX('Рецептуры'!$F:$F,MATCH($C46&amp;"|"&amp;13,'Рецептуры'!$K:$K,0)),""),'Сырьё'!$C$6:$E$233,3,FALSE()),0)))+(IFERROR(INDEX('Рецептуры'!$G:$G,MATCH($C46&amp;"|"&amp;14,'Рецептуры'!$K:$K,0)),0))*(IFERROR(VLOOKUP(IFERROR(INDEX('Рецептуры'!$F:$F,MATCH($C46&amp;"|"&amp;14,'Рецептуры'!$K:$K,0)),""),'Полупродукты'!$C$6:$E$62,3,FALSE()),IFERROR(VLOOKUP(IFERROR(INDEX('Рецептуры'!$F:$F,MATCH($C46&amp;"|"&amp;14,'Рецептуры'!$K:$K,0)),""),'Сырьё'!$C$6:$E$233,3,FALSE()),0)))+(IFERROR(INDEX('Рецептуры'!$G:$G,MATCH($C46&amp;"|"&amp;15,'Рецептуры'!$K:$K,0)),0))*(IFERROR(VLOOKUP(IFERROR(INDEX('Рецептуры'!$F:$F,MATCH($C46&amp;"|"&amp;15,'Рецептуры'!$K:$K,0)),""),'Полупродукты'!$C$6:$E$62,3,FALSE()),IFERROR(VLOOKUP(IFERROR(INDEX('Рецептуры'!$F:$F,MATCH($C46&amp;"|"&amp;15,'Рецептуры'!$K:$K,0)),""),'Сырьё'!$C$6:$E$233,3,FALSE()),0))),4)</f>
        <v>3.3977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96">
        <v>42.0</v>
      </c>
      <c r="C47" s="97" t="s">
        <v>780</v>
      </c>
      <c r="D47" s="96">
        <v>6.0</v>
      </c>
      <c r="E47" s="214">
        <f t="array" ref="E47">ROUND((IFERROR(INDEX('Рецептуры'!$G:$G,MATCH($C47&amp;"|"&amp;1,'Рецептуры'!$K:$K,0)),0))*(IFERROR(VLOOKUP(IFERROR(INDEX('Рецептуры'!$F:$F,MATCH($C47&amp;"|"&amp;1,'Рецептуры'!$K:$K,0)),""),'Полупродукты'!$C$6:$E$62,3,FALSE()),IFERROR(VLOOKUP(IFERROR(INDEX('Рецептуры'!$F:$F,MATCH($C47&amp;"|"&amp;1,'Рецептуры'!$K:$K,0)),""),'Сырьё'!$C$6:$E$233,3,FALSE()),0)))+(IFERROR(INDEX('Рецептуры'!$G:$G,MATCH($C47&amp;"|"&amp;2,'Рецептуры'!$K:$K,0)),0))*(IFERROR(VLOOKUP(IFERROR(INDEX('Рецептуры'!$F:$F,MATCH($C47&amp;"|"&amp;2,'Рецептуры'!$K:$K,0)),""),'Полупродукты'!$C$6:$E$62,3,FALSE()),IFERROR(VLOOKUP(IFERROR(INDEX('Рецептуры'!$F:$F,MATCH($C47&amp;"|"&amp;2,'Рецептуры'!$K:$K,0)),""),'Сырьё'!$C$6:$E$233,3,FALSE()),0)))+(IFERROR(INDEX('Рецептуры'!$G:$G,MATCH($C47&amp;"|"&amp;3,'Рецептуры'!$K:$K,0)),0))*(IFERROR(VLOOKUP(IFERROR(INDEX('Рецептуры'!$F:$F,MATCH($C47&amp;"|"&amp;3,'Рецептуры'!$K:$K,0)),""),'Полупродукты'!$C$6:$E$62,3,FALSE()),IFERROR(VLOOKUP(IFERROR(INDEX('Рецептуры'!$F:$F,MATCH($C47&amp;"|"&amp;3,'Рецептуры'!$K:$K,0)),""),'Сырьё'!$C$6:$E$233,3,FALSE()),0)))+(IFERROR(INDEX('Рецептуры'!$G:$G,MATCH($C47&amp;"|"&amp;4,'Рецептуры'!$K:$K,0)),0))*(IFERROR(VLOOKUP(IFERROR(INDEX('Рецептуры'!$F:$F,MATCH($C47&amp;"|"&amp;4,'Рецептуры'!$K:$K,0)),""),'Полупродукты'!$C$6:$E$62,3,FALSE()),IFERROR(VLOOKUP(IFERROR(INDEX('Рецептуры'!$F:$F,MATCH($C47&amp;"|"&amp;4,'Рецептуры'!$K:$K,0)),""),'Сырьё'!$C$6:$E$233,3,FALSE()),0)))+(IFERROR(INDEX('Рецептуры'!$G:$G,MATCH($C47&amp;"|"&amp;5,'Рецептуры'!$K:$K,0)),0))*(IFERROR(VLOOKUP(IFERROR(INDEX('Рецептуры'!$F:$F,MATCH($C47&amp;"|"&amp;5,'Рецептуры'!$K:$K,0)),""),'Полупродукты'!$C$6:$E$62,3,FALSE()),IFERROR(VLOOKUP(IFERROR(INDEX('Рецептуры'!$F:$F,MATCH($C47&amp;"|"&amp;5,'Рецептуры'!$K:$K,0)),""),'Сырьё'!$C$6:$E$233,3,FALSE()),0)))+(IFERROR(INDEX('Рецептуры'!$G:$G,MATCH($C47&amp;"|"&amp;6,'Рецептуры'!$K:$K,0)),0))*(IFERROR(VLOOKUP(IFERROR(INDEX('Рецептуры'!$F:$F,MATCH($C47&amp;"|"&amp;6,'Рецептуры'!$K:$K,0)),""),'Полупродукты'!$C$6:$E$62,3,FALSE()),IFERROR(VLOOKUP(IFERROR(INDEX('Рецептуры'!$F:$F,MATCH($C47&amp;"|"&amp;6,'Рецептуры'!$K:$K,0)),""),'Сырьё'!$C$6:$E$233,3,FALSE()),0)))+(IFERROR(INDEX('Рецептуры'!$G:$G,MATCH($C47&amp;"|"&amp;7,'Рецептуры'!$K:$K,0)),0))*(IFERROR(VLOOKUP(IFERROR(INDEX('Рецептуры'!$F:$F,MATCH($C47&amp;"|"&amp;7,'Рецептуры'!$K:$K,0)),""),'Полупродукты'!$C$6:$E$62,3,FALSE()),IFERROR(VLOOKUP(IFERROR(INDEX('Рецептуры'!$F:$F,MATCH($C47&amp;"|"&amp;7,'Рецептуры'!$K:$K,0)),""),'Сырьё'!$C$6:$E$233,3,FALSE()),0)))+(IFERROR(INDEX('Рецептуры'!$G:$G,MATCH($C47&amp;"|"&amp;8,'Рецептуры'!$K:$K,0)),0))*(IFERROR(VLOOKUP(IFERROR(INDEX('Рецептуры'!$F:$F,MATCH($C47&amp;"|"&amp;8,'Рецептуры'!$K:$K,0)),""),'Полупродукты'!$C$6:$E$62,3,FALSE()),IFERROR(VLOOKUP(IFERROR(INDEX('Рецептуры'!$F:$F,MATCH($C47&amp;"|"&amp;8,'Рецептуры'!$K:$K,0)),""),'Сырьё'!$C$6:$E$233,3,FALSE()),0)))+(IFERROR(INDEX('Рецептуры'!$G:$G,MATCH($C47&amp;"|"&amp;9,'Рецептуры'!$K:$K,0)),0))*(IFERROR(VLOOKUP(IFERROR(INDEX('Рецептуры'!$F:$F,MATCH($C47&amp;"|"&amp;9,'Рецептуры'!$K:$K,0)),""),'Полупродукты'!$C$6:$E$62,3,FALSE()),IFERROR(VLOOKUP(IFERROR(INDEX('Рецептуры'!$F:$F,MATCH($C47&amp;"|"&amp;9,'Рецептуры'!$K:$K,0)),""),'Сырьё'!$C$6:$E$233,3,FALSE()),0)))+(IFERROR(INDEX('Рецептуры'!$G:$G,MATCH($C47&amp;"|"&amp;10,'Рецептуры'!$K:$K,0)),0))*(IFERROR(VLOOKUP(IFERROR(INDEX('Рецептуры'!$F:$F,MATCH($C47&amp;"|"&amp;10,'Рецептуры'!$K:$K,0)),""),'Полупродукты'!$C$6:$E$62,3,FALSE()),IFERROR(VLOOKUP(IFERROR(INDEX('Рецептуры'!$F:$F,MATCH($C47&amp;"|"&amp;10,'Рецептуры'!$K:$K,0)),""),'Сырьё'!$C$6:$E$233,3,FALSE()),0)))+(IFERROR(INDEX('Рецептуры'!$G:$G,MATCH($C47&amp;"|"&amp;11,'Рецептуры'!$K:$K,0)),0))*(IFERROR(VLOOKUP(IFERROR(INDEX('Рецептуры'!$F:$F,MATCH($C47&amp;"|"&amp;11,'Рецептуры'!$K:$K,0)),""),'Полупродукты'!$C$6:$E$62,3,FALSE()),IFERROR(VLOOKUP(IFERROR(INDEX('Рецептуры'!$F:$F,MATCH($C47&amp;"|"&amp;11,'Рецептуры'!$K:$K,0)),""),'Сырьё'!$C$6:$E$233,3,FALSE()),0)))+(IFERROR(INDEX('Рецептуры'!$G:$G,MATCH($C47&amp;"|"&amp;12,'Рецептуры'!$K:$K,0)),0))*(IFERROR(VLOOKUP(IFERROR(INDEX('Рецептуры'!$F:$F,MATCH($C47&amp;"|"&amp;12,'Рецептуры'!$K:$K,0)),""),'Полупродукты'!$C$6:$E$62,3,FALSE()),IFERROR(VLOOKUP(IFERROR(INDEX('Рецептуры'!$F:$F,MATCH($C47&amp;"|"&amp;12,'Рецептуры'!$K:$K,0)),""),'Сырьё'!$C$6:$E$233,3,FALSE()),0)))+(IFERROR(INDEX('Рецептуры'!$G:$G,MATCH($C47&amp;"|"&amp;13,'Рецептуры'!$K:$K,0)),0))*(IFERROR(VLOOKUP(IFERROR(INDEX('Рецептуры'!$F:$F,MATCH($C47&amp;"|"&amp;13,'Рецептуры'!$K:$K,0)),""),'Полупродукты'!$C$6:$E$62,3,FALSE()),IFERROR(VLOOKUP(IFERROR(INDEX('Рецептуры'!$F:$F,MATCH($C47&amp;"|"&amp;13,'Рецептуры'!$K:$K,0)),""),'Сырьё'!$C$6:$E$233,3,FALSE()),0)))+(IFERROR(INDEX('Рецептуры'!$G:$G,MATCH($C47&amp;"|"&amp;14,'Рецептуры'!$K:$K,0)),0))*(IFERROR(VLOOKUP(IFERROR(INDEX('Рецептуры'!$F:$F,MATCH($C47&amp;"|"&amp;14,'Рецептуры'!$K:$K,0)),""),'Полупродукты'!$C$6:$E$62,3,FALSE()),IFERROR(VLOOKUP(IFERROR(INDEX('Рецептуры'!$F:$F,MATCH($C47&amp;"|"&amp;14,'Рецептуры'!$K:$K,0)),""),'Сырьё'!$C$6:$E$233,3,FALSE()),0)))+(IFERROR(INDEX('Рецептуры'!$G:$G,MATCH($C47&amp;"|"&amp;15,'Рецептуры'!$K:$K,0)),0))*(IFERROR(VLOOKUP(IFERROR(INDEX('Рецептуры'!$F:$F,MATCH($C47&amp;"|"&amp;15,'Рецептуры'!$K:$K,0)),""),'Полупродукты'!$C$6:$E$62,3,FALSE()),IFERROR(VLOOKUP(IFERROR(INDEX('Рецептуры'!$F:$F,MATCH($C47&amp;"|"&amp;15,'Рецептуры'!$K:$K,0)),""),'Сырьё'!$C$6:$E$233,3,FALSE()),0))),4)</f>
        <v>2.7631</v>
      </c>
      <c r="F47" s="212" t="s">
        <v>781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88">
        <v>43.0</v>
      </c>
      <c r="C48" s="89" t="s">
        <v>782</v>
      </c>
      <c r="D48" s="88">
        <v>5.0</v>
      </c>
      <c r="E48" s="213">
        <f t="array" ref="E48">ROUND((IFERROR(INDEX('Рецептуры'!$G:$G,MATCH($C48&amp;"|"&amp;1,'Рецептуры'!$K:$K,0)),0))*(IFERROR(VLOOKUP(IFERROR(INDEX('Рецептуры'!$F:$F,MATCH($C48&amp;"|"&amp;1,'Рецептуры'!$K:$K,0)),""),'Полупродукты'!$C$6:$E$62,3,FALSE()),IFERROR(VLOOKUP(IFERROR(INDEX('Рецептуры'!$F:$F,MATCH($C48&amp;"|"&amp;1,'Рецептуры'!$K:$K,0)),""),'Сырьё'!$C$6:$E$233,3,FALSE()),0)))+(IFERROR(INDEX('Рецептуры'!$G:$G,MATCH($C48&amp;"|"&amp;2,'Рецептуры'!$K:$K,0)),0))*(IFERROR(VLOOKUP(IFERROR(INDEX('Рецептуры'!$F:$F,MATCH($C48&amp;"|"&amp;2,'Рецептуры'!$K:$K,0)),""),'Полупродукты'!$C$6:$E$62,3,FALSE()),IFERROR(VLOOKUP(IFERROR(INDEX('Рецептуры'!$F:$F,MATCH($C48&amp;"|"&amp;2,'Рецептуры'!$K:$K,0)),""),'Сырьё'!$C$6:$E$233,3,FALSE()),0)))+(IFERROR(INDEX('Рецептуры'!$G:$G,MATCH($C48&amp;"|"&amp;3,'Рецептуры'!$K:$K,0)),0))*(IFERROR(VLOOKUP(IFERROR(INDEX('Рецептуры'!$F:$F,MATCH($C48&amp;"|"&amp;3,'Рецептуры'!$K:$K,0)),""),'Полупродукты'!$C$6:$E$62,3,FALSE()),IFERROR(VLOOKUP(IFERROR(INDEX('Рецептуры'!$F:$F,MATCH($C48&amp;"|"&amp;3,'Рецептуры'!$K:$K,0)),""),'Сырьё'!$C$6:$E$233,3,FALSE()),0)))+(IFERROR(INDEX('Рецептуры'!$G:$G,MATCH($C48&amp;"|"&amp;4,'Рецептуры'!$K:$K,0)),0))*(IFERROR(VLOOKUP(IFERROR(INDEX('Рецептуры'!$F:$F,MATCH($C48&amp;"|"&amp;4,'Рецептуры'!$K:$K,0)),""),'Полупродукты'!$C$6:$E$62,3,FALSE()),IFERROR(VLOOKUP(IFERROR(INDEX('Рецептуры'!$F:$F,MATCH($C48&amp;"|"&amp;4,'Рецептуры'!$K:$K,0)),""),'Сырьё'!$C$6:$E$233,3,FALSE()),0)))+(IFERROR(INDEX('Рецептуры'!$G:$G,MATCH($C48&amp;"|"&amp;5,'Рецептуры'!$K:$K,0)),0))*(IFERROR(VLOOKUP(IFERROR(INDEX('Рецептуры'!$F:$F,MATCH($C48&amp;"|"&amp;5,'Рецептуры'!$K:$K,0)),""),'Полупродукты'!$C$6:$E$62,3,FALSE()),IFERROR(VLOOKUP(IFERROR(INDEX('Рецептуры'!$F:$F,MATCH($C48&amp;"|"&amp;5,'Рецептуры'!$K:$K,0)),""),'Сырьё'!$C$6:$E$233,3,FALSE()),0)))+(IFERROR(INDEX('Рецептуры'!$G:$G,MATCH($C48&amp;"|"&amp;6,'Рецептуры'!$K:$K,0)),0))*(IFERROR(VLOOKUP(IFERROR(INDEX('Рецептуры'!$F:$F,MATCH($C48&amp;"|"&amp;6,'Рецептуры'!$K:$K,0)),""),'Полупродукты'!$C$6:$E$62,3,FALSE()),IFERROR(VLOOKUP(IFERROR(INDEX('Рецептуры'!$F:$F,MATCH($C48&amp;"|"&amp;6,'Рецептуры'!$K:$K,0)),""),'Сырьё'!$C$6:$E$233,3,FALSE()),0)))+(IFERROR(INDEX('Рецептуры'!$G:$G,MATCH($C48&amp;"|"&amp;7,'Рецептуры'!$K:$K,0)),0))*(IFERROR(VLOOKUP(IFERROR(INDEX('Рецептуры'!$F:$F,MATCH($C48&amp;"|"&amp;7,'Рецептуры'!$K:$K,0)),""),'Полупродукты'!$C$6:$E$62,3,FALSE()),IFERROR(VLOOKUP(IFERROR(INDEX('Рецептуры'!$F:$F,MATCH($C48&amp;"|"&amp;7,'Рецептуры'!$K:$K,0)),""),'Сырьё'!$C$6:$E$233,3,FALSE()),0)))+(IFERROR(INDEX('Рецептуры'!$G:$G,MATCH($C48&amp;"|"&amp;8,'Рецептуры'!$K:$K,0)),0))*(IFERROR(VLOOKUP(IFERROR(INDEX('Рецептуры'!$F:$F,MATCH($C48&amp;"|"&amp;8,'Рецептуры'!$K:$K,0)),""),'Полупродукты'!$C$6:$E$62,3,FALSE()),IFERROR(VLOOKUP(IFERROR(INDEX('Рецептуры'!$F:$F,MATCH($C48&amp;"|"&amp;8,'Рецептуры'!$K:$K,0)),""),'Сырьё'!$C$6:$E$233,3,FALSE()),0)))+(IFERROR(INDEX('Рецептуры'!$G:$G,MATCH($C48&amp;"|"&amp;9,'Рецептуры'!$K:$K,0)),0))*(IFERROR(VLOOKUP(IFERROR(INDEX('Рецептуры'!$F:$F,MATCH($C48&amp;"|"&amp;9,'Рецептуры'!$K:$K,0)),""),'Полупродукты'!$C$6:$E$62,3,FALSE()),IFERROR(VLOOKUP(IFERROR(INDEX('Рецептуры'!$F:$F,MATCH($C48&amp;"|"&amp;9,'Рецептуры'!$K:$K,0)),""),'Сырьё'!$C$6:$E$233,3,FALSE()),0)))+(IFERROR(INDEX('Рецептуры'!$G:$G,MATCH($C48&amp;"|"&amp;10,'Рецептуры'!$K:$K,0)),0))*(IFERROR(VLOOKUP(IFERROR(INDEX('Рецептуры'!$F:$F,MATCH($C48&amp;"|"&amp;10,'Рецептуры'!$K:$K,0)),""),'Полупродукты'!$C$6:$E$62,3,FALSE()),IFERROR(VLOOKUP(IFERROR(INDEX('Рецептуры'!$F:$F,MATCH($C48&amp;"|"&amp;10,'Рецептуры'!$K:$K,0)),""),'Сырьё'!$C$6:$E$233,3,FALSE()),0)))+(IFERROR(INDEX('Рецептуры'!$G:$G,MATCH($C48&amp;"|"&amp;11,'Рецептуры'!$K:$K,0)),0))*(IFERROR(VLOOKUP(IFERROR(INDEX('Рецептуры'!$F:$F,MATCH($C48&amp;"|"&amp;11,'Рецептуры'!$K:$K,0)),""),'Полупродукты'!$C$6:$E$62,3,FALSE()),IFERROR(VLOOKUP(IFERROR(INDEX('Рецептуры'!$F:$F,MATCH($C48&amp;"|"&amp;11,'Рецептуры'!$K:$K,0)),""),'Сырьё'!$C$6:$E$233,3,FALSE()),0)))+(IFERROR(INDEX('Рецептуры'!$G:$G,MATCH($C48&amp;"|"&amp;12,'Рецептуры'!$K:$K,0)),0))*(IFERROR(VLOOKUP(IFERROR(INDEX('Рецептуры'!$F:$F,MATCH($C48&amp;"|"&amp;12,'Рецептуры'!$K:$K,0)),""),'Полупродукты'!$C$6:$E$62,3,FALSE()),IFERROR(VLOOKUP(IFERROR(INDEX('Рецептуры'!$F:$F,MATCH($C48&amp;"|"&amp;12,'Рецептуры'!$K:$K,0)),""),'Сырьё'!$C$6:$E$233,3,FALSE()),0)))+(IFERROR(INDEX('Рецептуры'!$G:$G,MATCH($C48&amp;"|"&amp;13,'Рецептуры'!$K:$K,0)),0))*(IFERROR(VLOOKUP(IFERROR(INDEX('Рецептуры'!$F:$F,MATCH($C48&amp;"|"&amp;13,'Рецептуры'!$K:$K,0)),""),'Полупродукты'!$C$6:$E$62,3,FALSE()),IFERROR(VLOOKUP(IFERROR(INDEX('Рецептуры'!$F:$F,MATCH($C48&amp;"|"&amp;13,'Рецептуры'!$K:$K,0)),""),'Сырьё'!$C$6:$E$233,3,FALSE()),0)))+(IFERROR(INDEX('Рецептуры'!$G:$G,MATCH($C48&amp;"|"&amp;14,'Рецептуры'!$K:$K,0)),0))*(IFERROR(VLOOKUP(IFERROR(INDEX('Рецептуры'!$F:$F,MATCH($C48&amp;"|"&amp;14,'Рецептуры'!$K:$K,0)),""),'Полупродукты'!$C$6:$E$62,3,FALSE()),IFERROR(VLOOKUP(IFERROR(INDEX('Рецептуры'!$F:$F,MATCH($C48&amp;"|"&amp;14,'Рецептуры'!$K:$K,0)),""),'Сырьё'!$C$6:$E$233,3,FALSE()),0)))+(IFERROR(INDEX('Рецептуры'!$G:$G,MATCH($C48&amp;"|"&amp;15,'Рецептуры'!$K:$K,0)),0))*(IFERROR(VLOOKUP(IFERROR(INDEX('Рецептуры'!$F:$F,MATCH($C48&amp;"|"&amp;15,'Рецептуры'!$K:$K,0)),""),'Полупродукты'!$C$6:$E$62,3,FALSE()),IFERROR(VLOOKUP(IFERROR(INDEX('Рецептуры'!$F:$F,MATCH($C48&amp;"|"&amp;15,'Рецептуры'!$K:$K,0)),""),'Сырьё'!$C$6:$E$233,3,FALSE()),0))),4)</f>
        <v>2.653</v>
      </c>
      <c r="F48" s="212" t="s">
        <v>783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96">
        <v>44.0</v>
      </c>
      <c r="C49" s="97" t="s">
        <v>784</v>
      </c>
      <c r="D49" s="96">
        <v>5.0</v>
      </c>
      <c r="E49" s="214">
        <f t="array" ref="E49">ROUND((IFERROR(INDEX('Рецептуры'!$G:$G,MATCH($C49&amp;"|"&amp;1,'Рецептуры'!$K:$K,0)),0))*(IFERROR(VLOOKUP(IFERROR(INDEX('Рецептуры'!$F:$F,MATCH($C49&amp;"|"&amp;1,'Рецептуры'!$K:$K,0)),""),'Полупродукты'!$C$6:$E$62,3,FALSE()),IFERROR(VLOOKUP(IFERROR(INDEX('Рецептуры'!$F:$F,MATCH($C49&amp;"|"&amp;1,'Рецептуры'!$K:$K,0)),""),'Сырьё'!$C$6:$E$233,3,FALSE()),0)))+(IFERROR(INDEX('Рецептуры'!$G:$G,MATCH($C49&amp;"|"&amp;2,'Рецептуры'!$K:$K,0)),0))*(IFERROR(VLOOKUP(IFERROR(INDEX('Рецептуры'!$F:$F,MATCH($C49&amp;"|"&amp;2,'Рецептуры'!$K:$K,0)),""),'Полупродукты'!$C$6:$E$62,3,FALSE()),IFERROR(VLOOKUP(IFERROR(INDEX('Рецептуры'!$F:$F,MATCH($C49&amp;"|"&amp;2,'Рецептуры'!$K:$K,0)),""),'Сырьё'!$C$6:$E$233,3,FALSE()),0)))+(IFERROR(INDEX('Рецептуры'!$G:$G,MATCH($C49&amp;"|"&amp;3,'Рецептуры'!$K:$K,0)),0))*(IFERROR(VLOOKUP(IFERROR(INDEX('Рецептуры'!$F:$F,MATCH($C49&amp;"|"&amp;3,'Рецептуры'!$K:$K,0)),""),'Полупродукты'!$C$6:$E$62,3,FALSE()),IFERROR(VLOOKUP(IFERROR(INDEX('Рецептуры'!$F:$F,MATCH($C49&amp;"|"&amp;3,'Рецептуры'!$K:$K,0)),""),'Сырьё'!$C$6:$E$233,3,FALSE()),0)))+(IFERROR(INDEX('Рецептуры'!$G:$G,MATCH($C49&amp;"|"&amp;4,'Рецептуры'!$K:$K,0)),0))*(IFERROR(VLOOKUP(IFERROR(INDEX('Рецептуры'!$F:$F,MATCH($C49&amp;"|"&amp;4,'Рецептуры'!$K:$K,0)),""),'Полупродукты'!$C$6:$E$62,3,FALSE()),IFERROR(VLOOKUP(IFERROR(INDEX('Рецептуры'!$F:$F,MATCH($C49&amp;"|"&amp;4,'Рецептуры'!$K:$K,0)),""),'Сырьё'!$C$6:$E$233,3,FALSE()),0)))+(IFERROR(INDEX('Рецептуры'!$G:$G,MATCH($C49&amp;"|"&amp;5,'Рецептуры'!$K:$K,0)),0))*(IFERROR(VLOOKUP(IFERROR(INDEX('Рецептуры'!$F:$F,MATCH($C49&amp;"|"&amp;5,'Рецептуры'!$K:$K,0)),""),'Полупродукты'!$C$6:$E$62,3,FALSE()),IFERROR(VLOOKUP(IFERROR(INDEX('Рецептуры'!$F:$F,MATCH($C49&amp;"|"&amp;5,'Рецептуры'!$K:$K,0)),""),'Сырьё'!$C$6:$E$233,3,FALSE()),0)))+(IFERROR(INDEX('Рецептуры'!$G:$G,MATCH($C49&amp;"|"&amp;6,'Рецептуры'!$K:$K,0)),0))*(IFERROR(VLOOKUP(IFERROR(INDEX('Рецептуры'!$F:$F,MATCH($C49&amp;"|"&amp;6,'Рецептуры'!$K:$K,0)),""),'Полупродукты'!$C$6:$E$62,3,FALSE()),IFERROR(VLOOKUP(IFERROR(INDEX('Рецептуры'!$F:$F,MATCH($C49&amp;"|"&amp;6,'Рецептуры'!$K:$K,0)),""),'Сырьё'!$C$6:$E$233,3,FALSE()),0)))+(IFERROR(INDEX('Рецептуры'!$G:$G,MATCH($C49&amp;"|"&amp;7,'Рецептуры'!$K:$K,0)),0))*(IFERROR(VLOOKUP(IFERROR(INDEX('Рецептуры'!$F:$F,MATCH($C49&amp;"|"&amp;7,'Рецептуры'!$K:$K,0)),""),'Полупродукты'!$C$6:$E$62,3,FALSE()),IFERROR(VLOOKUP(IFERROR(INDEX('Рецептуры'!$F:$F,MATCH($C49&amp;"|"&amp;7,'Рецептуры'!$K:$K,0)),""),'Сырьё'!$C$6:$E$233,3,FALSE()),0)))+(IFERROR(INDEX('Рецептуры'!$G:$G,MATCH($C49&amp;"|"&amp;8,'Рецептуры'!$K:$K,0)),0))*(IFERROR(VLOOKUP(IFERROR(INDEX('Рецептуры'!$F:$F,MATCH($C49&amp;"|"&amp;8,'Рецептуры'!$K:$K,0)),""),'Полупродукты'!$C$6:$E$62,3,FALSE()),IFERROR(VLOOKUP(IFERROR(INDEX('Рецептуры'!$F:$F,MATCH($C49&amp;"|"&amp;8,'Рецептуры'!$K:$K,0)),""),'Сырьё'!$C$6:$E$233,3,FALSE()),0)))+(IFERROR(INDEX('Рецептуры'!$G:$G,MATCH($C49&amp;"|"&amp;9,'Рецептуры'!$K:$K,0)),0))*(IFERROR(VLOOKUP(IFERROR(INDEX('Рецептуры'!$F:$F,MATCH($C49&amp;"|"&amp;9,'Рецептуры'!$K:$K,0)),""),'Полупродукты'!$C$6:$E$62,3,FALSE()),IFERROR(VLOOKUP(IFERROR(INDEX('Рецептуры'!$F:$F,MATCH($C49&amp;"|"&amp;9,'Рецептуры'!$K:$K,0)),""),'Сырьё'!$C$6:$E$233,3,FALSE()),0)))+(IFERROR(INDEX('Рецептуры'!$G:$G,MATCH($C49&amp;"|"&amp;10,'Рецептуры'!$K:$K,0)),0))*(IFERROR(VLOOKUP(IFERROR(INDEX('Рецептуры'!$F:$F,MATCH($C49&amp;"|"&amp;10,'Рецептуры'!$K:$K,0)),""),'Полупродукты'!$C$6:$E$62,3,FALSE()),IFERROR(VLOOKUP(IFERROR(INDEX('Рецептуры'!$F:$F,MATCH($C49&amp;"|"&amp;10,'Рецептуры'!$K:$K,0)),""),'Сырьё'!$C$6:$E$233,3,FALSE()),0)))+(IFERROR(INDEX('Рецептуры'!$G:$G,MATCH($C49&amp;"|"&amp;11,'Рецептуры'!$K:$K,0)),0))*(IFERROR(VLOOKUP(IFERROR(INDEX('Рецептуры'!$F:$F,MATCH($C49&amp;"|"&amp;11,'Рецептуры'!$K:$K,0)),""),'Полупродукты'!$C$6:$E$62,3,FALSE()),IFERROR(VLOOKUP(IFERROR(INDEX('Рецептуры'!$F:$F,MATCH($C49&amp;"|"&amp;11,'Рецептуры'!$K:$K,0)),""),'Сырьё'!$C$6:$E$233,3,FALSE()),0)))+(IFERROR(INDEX('Рецептуры'!$G:$G,MATCH($C49&amp;"|"&amp;12,'Рецептуры'!$K:$K,0)),0))*(IFERROR(VLOOKUP(IFERROR(INDEX('Рецептуры'!$F:$F,MATCH($C49&amp;"|"&amp;12,'Рецептуры'!$K:$K,0)),""),'Полупродукты'!$C$6:$E$62,3,FALSE()),IFERROR(VLOOKUP(IFERROR(INDEX('Рецептуры'!$F:$F,MATCH($C49&amp;"|"&amp;12,'Рецептуры'!$K:$K,0)),""),'Сырьё'!$C$6:$E$233,3,FALSE()),0)))+(IFERROR(INDEX('Рецептуры'!$G:$G,MATCH($C49&amp;"|"&amp;13,'Рецептуры'!$K:$K,0)),0))*(IFERROR(VLOOKUP(IFERROR(INDEX('Рецептуры'!$F:$F,MATCH($C49&amp;"|"&amp;13,'Рецептуры'!$K:$K,0)),""),'Полупродукты'!$C$6:$E$62,3,FALSE()),IFERROR(VLOOKUP(IFERROR(INDEX('Рецептуры'!$F:$F,MATCH($C49&amp;"|"&amp;13,'Рецептуры'!$K:$K,0)),""),'Сырьё'!$C$6:$E$233,3,FALSE()),0)))+(IFERROR(INDEX('Рецептуры'!$G:$G,MATCH($C49&amp;"|"&amp;14,'Рецептуры'!$K:$K,0)),0))*(IFERROR(VLOOKUP(IFERROR(INDEX('Рецептуры'!$F:$F,MATCH($C49&amp;"|"&amp;14,'Рецептуры'!$K:$K,0)),""),'Полупродукты'!$C$6:$E$62,3,FALSE()),IFERROR(VLOOKUP(IFERROR(INDEX('Рецептуры'!$F:$F,MATCH($C49&amp;"|"&amp;14,'Рецептуры'!$K:$K,0)),""),'Сырьё'!$C$6:$E$233,3,FALSE()),0)))+(IFERROR(INDEX('Рецептуры'!$G:$G,MATCH($C49&amp;"|"&amp;15,'Рецептуры'!$K:$K,0)),0))*(IFERROR(VLOOKUP(IFERROR(INDEX('Рецептуры'!$F:$F,MATCH($C49&amp;"|"&amp;15,'Рецептуры'!$K:$K,0)),""),'Полупродукты'!$C$6:$E$62,3,FALSE()),IFERROR(VLOOKUP(IFERROR(INDEX('Рецептуры'!$F:$F,MATCH($C49&amp;"|"&amp;15,'Рецептуры'!$K:$K,0)),""),'Сырьё'!$C$6:$E$233,3,FALSE()),0))),4)</f>
        <v>1.8256</v>
      </c>
      <c r="F49" s="212" t="s">
        <v>785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88">
        <v>45.0</v>
      </c>
      <c r="C50" s="89" t="s">
        <v>786</v>
      </c>
      <c r="D50" s="88">
        <v>7.0</v>
      </c>
      <c r="E50" s="213">
        <f t="array" ref="E50">ROUND((IFERROR(INDEX('Рецептуры'!$G:$G,MATCH($C50&amp;"|"&amp;1,'Рецептуры'!$K:$K,0)),0))*(IFERROR(VLOOKUP(IFERROR(INDEX('Рецептуры'!$F:$F,MATCH($C50&amp;"|"&amp;1,'Рецептуры'!$K:$K,0)),""),'Полупродукты'!$C$6:$E$62,3,FALSE()),IFERROR(VLOOKUP(IFERROR(INDEX('Рецептуры'!$F:$F,MATCH($C50&amp;"|"&amp;1,'Рецептуры'!$K:$K,0)),""),'Сырьё'!$C$6:$E$233,3,FALSE()),0)))+(IFERROR(INDEX('Рецептуры'!$G:$G,MATCH($C50&amp;"|"&amp;2,'Рецептуры'!$K:$K,0)),0))*(IFERROR(VLOOKUP(IFERROR(INDEX('Рецептуры'!$F:$F,MATCH($C50&amp;"|"&amp;2,'Рецептуры'!$K:$K,0)),""),'Полупродукты'!$C$6:$E$62,3,FALSE()),IFERROR(VLOOKUP(IFERROR(INDEX('Рецептуры'!$F:$F,MATCH($C50&amp;"|"&amp;2,'Рецептуры'!$K:$K,0)),""),'Сырьё'!$C$6:$E$233,3,FALSE()),0)))+(IFERROR(INDEX('Рецептуры'!$G:$G,MATCH($C50&amp;"|"&amp;3,'Рецептуры'!$K:$K,0)),0))*(IFERROR(VLOOKUP(IFERROR(INDEX('Рецептуры'!$F:$F,MATCH($C50&amp;"|"&amp;3,'Рецептуры'!$K:$K,0)),""),'Полупродукты'!$C$6:$E$62,3,FALSE()),IFERROR(VLOOKUP(IFERROR(INDEX('Рецептуры'!$F:$F,MATCH($C50&amp;"|"&amp;3,'Рецептуры'!$K:$K,0)),""),'Сырьё'!$C$6:$E$233,3,FALSE()),0)))+(IFERROR(INDEX('Рецептуры'!$G:$G,MATCH($C50&amp;"|"&amp;4,'Рецептуры'!$K:$K,0)),0))*(IFERROR(VLOOKUP(IFERROR(INDEX('Рецептуры'!$F:$F,MATCH($C50&amp;"|"&amp;4,'Рецептуры'!$K:$K,0)),""),'Полупродукты'!$C$6:$E$62,3,FALSE()),IFERROR(VLOOKUP(IFERROR(INDEX('Рецептуры'!$F:$F,MATCH($C50&amp;"|"&amp;4,'Рецептуры'!$K:$K,0)),""),'Сырьё'!$C$6:$E$233,3,FALSE()),0)))+(IFERROR(INDEX('Рецептуры'!$G:$G,MATCH($C50&amp;"|"&amp;5,'Рецептуры'!$K:$K,0)),0))*(IFERROR(VLOOKUP(IFERROR(INDEX('Рецептуры'!$F:$F,MATCH($C50&amp;"|"&amp;5,'Рецептуры'!$K:$K,0)),""),'Полупродукты'!$C$6:$E$62,3,FALSE()),IFERROR(VLOOKUP(IFERROR(INDEX('Рецептуры'!$F:$F,MATCH($C50&amp;"|"&amp;5,'Рецептуры'!$K:$K,0)),""),'Сырьё'!$C$6:$E$233,3,FALSE()),0)))+(IFERROR(INDEX('Рецептуры'!$G:$G,MATCH($C50&amp;"|"&amp;6,'Рецептуры'!$K:$K,0)),0))*(IFERROR(VLOOKUP(IFERROR(INDEX('Рецептуры'!$F:$F,MATCH($C50&amp;"|"&amp;6,'Рецептуры'!$K:$K,0)),""),'Полупродукты'!$C$6:$E$62,3,FALSE()),IFERROR(VLOOKUP(IFERROR(INDEX('Рецептуры'!$F:$F,MATCH($C50&amp;"|"&amp;6,'Рецептуры'!$K:$K,0)),""),'Сырьё'!$C$6:$E$233,3,FALSE()),0)))+(IFERROR(INDEX('Рецептуры'!$G:$G,MATCH($C50&amp;"|"&amp;7,'Рецептуры'!$K:$K,0)),0))*(IFERROR(VLOOKUP(IFERROR(INDEX('Рецептуры'!$F:$F,MATCH($C50&amp;"|"&amp;7,'Рецептуры'!$K:$K,0)),""),'Полупродукты'!$C$6:$E$62,3,FALSE()),IFERROR(VLOOKUP(IFERROR(INDEX('Рецептуры'!$F:$F,MATCH($C50&amp;"|"&amp;7,'Рецептуры'!$K:$K,0)),""),'Сырьё'!$C$6:$E$233,3,FALSE()),0)))+(IFERROR(INDEX('Рецептуры'!$G:$G,MATCH($C50&amp;"|"&amp;8,'Рецептуры'!$K:$K,0)),0))*(IFERROR(VLOOKUP(IFERROR(INDEX('Рецептуры'!$F:$F,MATCH($C50&amp;"|"&amp;8,'Рецептуры'!$K:$K,0)),""),'Полупродукты'!$C$6:$E$62,3,FALSE()),IFERROR(VLOOKUP(IFERROR(INDEX('Рецептуры'!$F:$F,MATCH($C50&amp;"|"&amp;8,'Рецептуры'!$K:$K,0)),""),'Сырьё'!$C$6:$E$233,3,FALSE()),0)))+(IFERROR(INDEX('Рецептуры'!$G:$G,MATCH($C50&amp;"|"&amp;9,'Рецептуры'!$K:$K,0)),0))*(IFERROR(VLOOKUP(IFERROR(INDEX('Рецептуры'!$F:$F,MATCH($C50&amp;"|"&amp;9,'Рецептуры'!$K:$K,0)),""),'Полупродукты'!$C$6:$E$62,3,FALSE()),IFERROR(VLOOKUP(IFERROR(INDEX('Рецептуры'!$F:$F,MATCH($C50&amp;"|"&amp;9,'Рецептуры'!$K:$K,0)),""),'Сырьё'!$C$6:$E$233,3,FALSE()),0)))+(IFERROR(INDEX('Рецептуры'!$G:$G,MATCH($C50&amp;"|"&amp;10,'Рецептуры'!$K:$K,0)),0))*(IFERROR(VLOOKUP(IFERROR(INDEX('Рецептуры'!$F:$F,MATCH($C50&amp;"|"&amp;10,'Рецептуры'!$K:$K,0)),""),'Полупродукты'!$C$6:$E$62,3,FALSE()),IFERROR(VLOOKUP(IFERROR(INDEX('Рецептуры'!$F:$F,MATCH($C50&amp;"|"&amp;10,'Рецептуры'!$K:$K,0)),""),'Сырьё'!$C$6:$E$233,3,FALSE()),0)))+(IFERROR(INDEX('Рецептуры'!$G:$G,MATCH($C50&amp;"|"&amp;11,'Рецептуры'!$K:$K,0)),0))*(IFERROR(VLOOKUP(IFERROR(INDEX('Рецептуры'!$F:$F,MATCH($C50&amp;"|"&amp;11,'Рецептуры'!$K:$K,0)),""),'Полупродукты'!$C$6:$E$62,3,FALSE()),IFERROR(VLOOKUP(IFERROR(INDEX('Рецептуры'!$F:$F,MATCH($C50&amp;"|"&amp;11,'Рецептуры'!$K:$K,0)),""),'Сырьё'!$C$6:$E$233,3,FALSE()),0)))+(IFERROR(INDEX('Рецептуры'!$G:$G,MATCH($C50&amp;"|"&amp;12,'Рецептуры'!$K:$K,0)),0))*(IFERROR(VLOOKUP(IFERROR(INDEX('Рецептуры'!$F:$F,MATCH($C50&amp;"|"&amp;12,'Рецептуры'!$K:$K,0)),""),'Полупродукты'!$C$6:$E$62,3,FALSE()),IFERROR(VLOOKUP(IFERROR(INDEX('Рецептуры'!$F:$F,MATCH($C50&amp;"|"&amp;12,'Рецептуры'!$K:$K,0)),""),'Сырьё'!$C$6:$E$233,3,FALSE()),0)))+(IFERROR(INDEX('Рецептуры'!$G:$G,MATCH($C50&amp;"|"&amp;13,'Рецептуры'!$K:$K,0)),0))*(IFERROR(VLOOKUP(IFERROR(INDEX('Рецептуры'!$F:$F,MATCH($C50&amp;"|"&amp;13,'Рецептуры'!$K:$K,0)),""),'Полупродукты'!$C$6:$E$62,3,FALSE()),IFERROR(VLOOKUP(IFERROR(INDEX('Рецептуры'!$F:$F,MATCH($C50&amp;"|"&amp;13,'Рецептуры'!$K:$K,0)),""),'Сырьё'!$C$6:$E$233,3,FALSE()),0)))+(IFERROR(INDEX('Рецептуры'!$G:$G,MATCH($C50&amp;"|"&amp;14,'Рецептуры'!$K:$K,0)),0))*(IFERROR(VLOOKUP(IFERROR(INDEX('Рецептуры'!$F:$F,MATCH($C50&amp;"|"&amp;14,'Рецептуры'!$K:$K,0)),""),'Полупродукты'!$C$6:$E$62,3,FALSE()),IFERROR(VLOOKUP(IFERROR(INDEX('Рецептуры'!$F:$F,MATCH($C50&amp;"|"&amp;14,'Рецептуры'!$K:$K,0)),""),'Сырьё'!$C$6:$E$233,3,FALSE()),0)))+(IFERROR(INDEX('Рецептуры'!$G:$G,MATCH($C50&amp;"|"&amp;15,'Рецептуры'!$K:$K,0)),0))*(IFERROR(VLOOKUP(IFERROR(INDEX('Рецептуры'!$F:$F,MATCH($C50&amp;"|"&amp;15,'Рецептуры'!$K:$K,0)),""),'Полупродукты'!$C$6:$E$62,3,FALSE()),IFERROR(VLOOKUP(IFERROR(INDEX('Рецептуры'!$F:$F,MATCH($C50&amp;"|"&amp;15,'Рецептуры'!$K:$K,0)),""),'Сырьё'!$C$6:$E$233,3,FALSE()),0))),4)</f>
        <v>2.2268</v>
      </c>
      <c r="F50" s="212" t="s">
        <v>787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96">
        <v>46.0</v>
      </c>
      <c r="C51" s="97" t="s">
        <v>762</v>
      </c>
      <c r="D51" s="96">
        <v>7.0</v>
      </c>
      <c r="E51" s="214">
        <f t="array" ref="E51">ROUND((IFERROR(INDEX('Рецептуры'!$G:$G,MATCH($C51&amp;"|"&amp;1,'Рецептуры'!$K:$K,0)),0))*(IFERROR(VLOOKUP(IFERROR(INDEX('Рецептуры'!$F:$F,MATCH($C51&amp;"|"&amp;1,'Рецептуры'!$K:$K,0)),""),'Полупродукты'!$C$6:$E$62,3,FALSE()),IFERROR(VLOOKUP(IFERROR(INDEX('Рецептуры'!$F:$F,MATCH($C51&amp;"|"&amp;1,'Рецептуры'!$K:$K,0)),""),'Сырьё'!$C$6:$E$233,3,FALSE()),0)))+(IFERROR(INDEX('Рецептуры'!$G:$G,MATCH($C51&amp;"|"&amp;2,'Рецептуры'!$K:$K,0)),0))*(IFERROR(VLOOKUP(IFERROR(INDEX('Рецептуры'!$F:$F,MATCH($C51&amp;"|"&amp;2,'Рецептуры'!$K:$K,0)),""),'Полупродукты'!$C$6:$E$62,3,FALSE()),IFERROR(VLOOKUP(IFERROR(INDEX('Рецептуры'!$F:$F,MATCH($C51&amp;"|"&amp;2,'Рецептуры'!$K:$K,0)),""),'Сырьё'!$C$6:$E$233,3,FALSE()),0)))+(IFERROR(INDEX('Рецептуры'!$G:$G,MATCH($C51&amp;"|"&amp;3,'Рецептуры'!$K:$K,0)),0))*(IFERROR(VLOOKUP(IFERROR(INDEX('Рецептуры'!$F:$F,MATCH($C51&amp;"|"&amp;3,'Рецептуры'!$K:$K,0)),""),'Полупродукты'!$C$6:$E$62,3,FALSE()),IFERROR(VLOOKUP(IFERROR(INDEX('Рецептуры'!$F:$F,MATCH($C51&amp;"|"&amp;3,'Рецептуры'!$K:$K,0)),""),'Сырьё'!$C$6:$E$233,3,FALSE()),0)))+(IFERROR(INDEX('Рецептуры'!$G:$G,MATCH($C51&amp;"|"&amp;4,'Рецептуры'!$K:$K,0)),0))*(IFERROR(VLOOKUP(IFERROR(INDEX('Рецептуры'!$F:$F,MATCH($C51&amp;"|"&amp;4,'Рецептуры'!$K:$K,0)),""),'Полупродукты'!$C$6:$E$62,3,FALSE()),IFERROR(VLOOKUP(IFERROR(INDEX('Рецептуры'!$F:$F,MATCH($C51&amp;"|"&amp;4,'Рецептуры'!$K:$K,0)),""),'Сырьё'!$C$6:$E$233,3,FALSE()),0)))+(IFERROR(INDEX('Рецептуры'!$G:$G,MATCH($C51&amp;"|"&amp;5,'Рецептуры'!$K:$K,0)),0))*(IFERROR(VLOOKUP(IFERROR(INDEX('Рецептуры'!$F:$F,MATCH($C51&amp;"|"&amp;5,'Рецептуры'!$K:$K,0)),""),'Полупродукты'!$C$6:$E$62,3,FALSE()),IFERROR(VLOOKUP(IFERROR(INDEX('Рецептуры'!$F:$F,MATCH($C51&amp;"|"&amp;5,'Рецептуры'!$K:$K,0)),""),'Сырьё'!$C$6:$E$233,3,FALSE()),0)))+(IFERROR(INDEX('Рецептуры'!$G:$G,MATCH($C51&amp;"|"&amp;6,'Рецептуры'!$K:$K,0)),0))*(IFERROR(VLOOKUP(IFERROR(INDEX('Рецептуры'!$F:$F,MATCH($C51&amp;"|"&amp;6,'Рецептуры'!$K:$K,0)),""),'Полупродукты'!$C$6:$E$62,3,FALSE()),IFERROR(VLOOKUP(IFERROR(INDEX('Рецептуры'!$F:$F,MATCH($C51&amp;"|"&amp;6,'Рецептуры'!$K:$K,0)),""),'Сырьё'!$C$6:$E$233,3,FALSE()),0)))+(IFERROR(INDEX('Рецептуры'!$G:$G,MATCH($C51&amp;"|"&amp;7,'Рецептуры'!$K:$K,0)),0))*(IFERROR(VLOOKUP(IFERROR(INDEX('Рецептуры'!$F:$F,MATCH($C51&amp;"|"&amp;7,'Рецептуры'!$K:$K,0)),""),'Полупродукты'!$C$6:$E$62,3,FALSE()),IFERROR(VLOOKUP(IFERROR(INDEX('Рецептуры'!$F:$F,MATCH($C51&amp;"|"&amp;7,'Рецептуры'!$K:$K,0)),""),'Сырьё'!$C$6:$E$233,3,FALSE()),0)))+(IFERROR(INDEX('Рецептуры'!$G:$G,MATCH($C51&amp;"|"&amp;8,'Рецептуры'!$K:$K,0)),0))*(IFERROR(VLOOKUP(IFERROR(INDEX('Рецептуры'!$F:$F,MATCH($C51&amp;"|"&amp;8,'Рецептуры'!$K:$K,0)),""),'Полупродукты'!$C$6:$E$62,3,FALSE()),IFERROR(VLOOKUP(IFERROR(INDEX('Рецептуры'!$F:$F,MATCH($C51&amp;"|"&amp;8,'Рецептуры'!$K:$K,0)),""),'Сырьё'!$C$6:$E$233,3,FALSE()),0)))+(IFERROR(INDEX('Рецептуры'!$G:$G,MATCH($C51&amp;"|"&amp;9,'Рецептуры'!$K:$K,0)),0))*(IFERROR(VLOOKUP(IFERROR(INDEX('Рецептуры'!$F:$F,MATCH($C51&amp;"|"&amp;9,'Рецептуры'!$K:$K,0)),""),'Полупродукты'!$C$6:$E$62,3,FALSE()),IFERROR(VLOOKUP(IFERROR(INDEX('Рецептуры'!$F:$F,MATCH($C51&amp;"|"&amp;9,'Рецептуры'!$K:$K,0)),""),'Сырьё'!$C$6:$E$233,3,FALSE()),0)))+(IFERROR(INDEX('Рецептуры'!$G:$G,MATCH($C51&amp;"|"&amp;10,'Рецептуры'!$K:$K,0)),0))*(IFERROR(VLOOKUP(IFERROR(INDEX('Рецептуры'!$F:$F,MATCH($C51&amp;"|"&amp;10,'Рецептуры'!$K:$K,0)),""),'Полупродукты'!$C$6:$E$62,3,FALSE()),IFERROR(VLOOKUP(IFERROR(INDEX('Рецептуры'!$F:$F,MATCH($C51&amp;"|"&amp;10,'Рецептуры'!$K:$K,0)),""),'Сырьё'!$C$6:$E$233,3,FALSE()),0)))+(IFERROR(INDEX('Рецептуры'!$G:$G,MATCH($C51&amp;"|"&amp;11,'Рецептуры'!$K:$K,0)),0))*(IFERROR(VLOOKUP(IFERROR(INDEX('Рецептуры'!$F:$F,MATCH($C51&amp;"|"&amp;11,'Рецептуры'!$K:$K,0)),""),'Полупродукты'!$C$6:$E$62,3,FALSE()),IFERROR(VLOOKUP(IFERROR(INDEX('Рецептуры'!$F:$F,MATCH($C51&amp;"|"&amp;11,'Рецептуры'!$K:$K,0)),""),'Сырьё'!$C$6:$E$233,3,FALSE()),0)))+(IFERROR(INDEX('Рецептуры'!$G:$G,MATCH($C51&amp;"|"&amp;12,'Рецептуры'!$K:$K,0)),0))*(IFERROR(VLOOKUP(IFERROR(INDEX('Рецептуры'!$F:$F,MATCH($C51&amp;"|"&amp;12,'Рецептуры'!$K:$K,0)),""),'Полупродукты'!$C$6:$E$62,3,FALSE()),IFERROR(VLOOKUP(IFERROR(INDEX('Рецептуры'!$F:$F,MATCH($C51&amp;"|"&amp;12,'Рецептуры'!$K:$K,0)),""),'Сырьё'!$C$6:$E$233,3,FALSE()),0)))+(IFERROR(INDEX('Рецептуры'!$G:$G,MATCH($C51&amp;"|"&amp;13,'Рецептуры'!$K:$K,0)),0))*(IFERROR(VLOOKUP(IFERROR(INDEX('Рецептуры'!$F:$F,MATCH($C51&amp;"|"&amp;13,'Рецептуры'!$K:$K,0)),""),'Полупродукты'!$C$6:$E$62,3,FALSE()),IFERROR(VLOOKUP(IFERROR(INDEX('Рецептуры'!$F:$F,MATCH($C51&amp;"|"&amp;13,'Рецептуры'!$K:$K,0)),""),'Сырьё'!$C$6:$E$233,3,FALSE()),0)))+(IFERROR(INDEX('Рецептуры'!$G:$G,MATCH($C51&amp;"|"&amp;14,'Рецептуры'!$K:$K,0)),0))*(IFERROR(VLOOKUP(IFERROR(INDEX('Рецептуры'!$F:$F,MATCH($C51&amp;"|"&amp;14,'Рецептуры'!$K:$K,0)),""),'Полупродукты'!$C$6:$E$62,3,FALSE()),IFERROR(VLOOKUP(IFERROR(INDEX('Рецептуры'!$F:$F,MATCH($C51&amp;"|"&amp;14,'Рецептуры'!$K:$K,0)),""),'Сырьё'!$C$6:$E$233,3,FALSE()),0)))+(IFERROR(INDEX('Рецептуры'!$G:$G,MATCH($C51&amp;"|"&amp;15,'Рецептуры'!$K:$K,0)),0))*(IFERROR(VLOOKUP(IFERROR(INDEX('Рецептуры'!$F:$F,MATCH($C51&amp;"|"&amp;15,'Рецептуры'!$K:$K,0)),""),'Полупродукты'!$C$6:$E$62,3,FALSE()),IFERROR(VLOOKUP(IFERROR(INDEX('Рецептуры'!$F:$F,MATCH($C51&amp;"|"&amp;15,'Рецептуры'!$K:$K,0)),""),'Сырьё'!$C$6:$E$233,3,FALSE()),0))),4)</f>
        <v>2.2861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88">
        <v>47.0</v>
      </c>
      <c r="C52" s="89" t="s">
        <v>763</v>
      </c>
      <c r="D52" s="88">
        <v>7.0</v>
      </c>
      <c r="E52" s="213">
        <f t="array" ref="E52">ROUND((IFERROR(INDEX('Рецептуры'!$G:$G,MATCH($C52&amp;"|"&amp;1,'Рецептуры'!$K:$K,0)),0))*(IFERROR(VLOOKUP(IFERROR(INDEX('Рецептуры'!$F:$F,MATCH($C52&amp;"|"&amp;1,'Рецептуры'!$K:$K,0)),""),'Полупродукты'!$C$6:$E$62,3,FALSE()),IFERROR(VLOOKUP(IFERROR(INDEX('Рецептуры'!$F:$F,MATCH($C52&amp;"|"&amp;1,'Рецептуры'!$K:$K,0)),""),'Сырьё'!$C$6:$E$233,3,FALSE()),0)))+(IFERROR(INDEX('Рецептуры'!$G:$G,MATCH($C52&amp;"|"&amp;2,'Рецептуры'!$K:$K,0)),0))*(IFERROR(VLOOKUP(IFERROR(INDEX('Рецептуры'!$F:$F,MATCH($C52&amp;"|"&amp;2,'Рецептуры'!$K:$K,0)),""),'Полупродукты'!$C$6:$E$62,3,FALSE()),IFERROR(VLOOKUP(IFERROR(INDEX('Рецептуры'!$F:$F,MATCH($C52&amp;"|"&amp;2,'Рецептуры'!$K:$K,0)),""),'Сырьё'!$C$6:$E$233,3,FALSE()),0)))+(IFERROR(INDEX('Рецептуры'!$G:$G,MATCH($C52&amp;"|"&amp;3,'Рецептуры'!$K:$K,0)),0))*(IFERROR(VLOOKUP(IFERROR(INDEX('Рецептуры'!$F:$F,MATCH($C52&amp;"|"&amp;3,'Рецептуры'!$K:$K,0)),""),'Полупродукты'!$C$6:$E$62,3,FALSE()),IFERROR(VLOOKUP(IFERROR(INDEX('Рецептуры'!$F:$F,MATCH($C52&amp;"|"&amp;3,'Рецептуры'!$K:$K,0)),""),'Сырьё'!$C$6:$E$233,3,FALSE()),0)))+(IFERROR(INDEX('Рецептуры'!$G:$G,MATCH($C52&amp;"|"&amp;4,'Рецептуры'!$K:$K,0)),0))*(IFERROR(VLOOKUP(IFERROR(INDEX('Рецептуры'!$F:$F,MATCH($C52&amp;"|"&amp;4,'Рецептуры'!$K:$K,0)),""),'Полупродукты'!$C$6:$E$62,3,FALSE()),IFERROR(VLOOKUP(IFERROR(INDEX('Рецептуры'!$F:$F,MATCH($C52&amp;"|"&amp;4,'Рецептуры'!$K:$K,0)),""),'Сырьё'!$C$6:$E$233,3,FALSE()),0)))+(IFERROR(INDEX('Рецептуры'!$G:$G,MATCH($C52&amp;"|"&amp;5,'Рецептуры'!$K:$K,0)),0))*(IFERROR(VLOOKUP(IFERROR(INDEX('Рецептуры'!$F:$F,MATCH($C52&amp;"|"&amp;5,'Рецептуры'!$K:$K,0)),""),'Полупродукты'!$C$6:$E$62,3,FALSE()),IFERROR(VLOOKUP(IFERROR(INDEX('Рецептуры'!$F:$F,MATCH($C52&amp;"|"&amp;5,'Рецептуры'!$K:$K,0)),""),'Сырьё'!$C$6:$E$233,3,FALSE()),0)))+(IFERROR(INDEX('Рецептуры'!$G:$G,MATCH($C52&amp;"|"&amp;6,'Рецептуры'!$K:$K,0)),0))*(IFERROR(VLOOKUP(IFERROR(INDEX('Рецептуры'!$F:$F,MATCH($C52&amp;"|"&amp;6,'Рецептуры'!$K:$K,0)),""),'Полупродукты'!$C$6:$E$62,3,FALSE()),IFERROR(VLOOKUP(IFERROR(INDEX('Рецептуры'!$F:$F,MATCH($C52&amp;"|"&amp;6,'Рецептуры'!$K:$K,0)),""),'Сырьё'!$C$6:$E$233,3,FALSE()),0)))+(IFERROR(INDEX('Рецептуры'!$G:$G,MATCH($C52&amp;"|"&amp;7,'Рецептуры'!$K:$K,0)),0))*(IFERROR(VLOOKUP(IFERROR(INDEX('Рецептуры'!$F:$F,MATCH($C52&amp;"|"&amp;7,'Рецептуры'!$K:$K,0)),""),'Полупродукты'!$C$6:$E$62,3,FALSE()),IFERROR(VLOOKUP(IFERROR(INDEX('Рецептуры'!$F:$F,MATCH($C52&amp;"|"&amp;7,'Рецептуры'!$K:$K,0)),""),'Сырьё'!$C$6:$E$233,3,FALSE()),0)))+(IFERROR(INDEX('Рецептуры'!$G:$G,MATCH($C52&amp;"|"&amp;8,'Рецептуры'!$K:$K,0)),0))*(IFERROR(VLOOKUP(IFERROR(INDEX('Рецептуры'!$F:$F,MATCH($C52&amp;"|"&amp;8,'Рецептуры'!$K:$K,0)),""),'Полупродукты'!$C$6:$E$62,3,FALSE()),IFERROR(VLOOKUP(IFERROR(INDEX('Рецептуры'!$F:$F,MATCH($C52&amp;"|"&amp;8,'Рецептуры'!$K:$K,0)),""),'Сырьё'!$C$6:$E$233,3,FALSE()),0)))+(IFERROR(INDEX('Рецептуры'!$G:$G,MATCH($C52&amp;"|"&amp;9,'Рецептуры'!$K:$K,0)),0))*(IFERROR(VLOOKUP(IFERROR(INDEX('Рецептуры'!$F:$F,MATCH($C52&amp;"|"&amp;9,'Рецептуры'!$K:$K,0)),""),'Полупродукты'!$C$6:$E$62,3,FALSE()),IFERROR(VLOOKUP(IFERROR(INDEX('Рецептуры'!$F:$F,MATCH($C52&amp;"|"&amp;9,'Рецептуры'!$K:$K,0)),""),'Сырьё'!$C$6:$E$233,3,FALSE()),0)))+(IFERROR(INDEX('Рецептуры'!$G:$G,MATCH($C52&amp;"|"&amp;10,'Рецептуры'!$K:$K,0)),0))*(IFERROR(VLOOKUP(IFERROR(INDEX('Рецептуры'!$F:$F,MATCH($C52&amp;"|"&amp;10,'Рецептуры'!$K:$K,0)),""),'Полупродукты'!$C$6:$E$62,3,FALSE()),IFERROR(VLOOKUP(IFERROR(INDEX('Рецептуры'!$F:$F,MATCH($C52&amp;"|"&amp;10,'Рецептуры'!$K:$K,0)),""),'Сырьё'!$C$6:$E$233,3,FALSE()),0)))+(IFERROR(INDEX('Рецептуры'!$G:$G,MATCH($C52&amp;"|"&amp;11,'Рецептуры'!$K:$K,0)),0))*(IFERROR(VLOOKUP(IFERROR(INDEX('Рецептуры'!$F:$F,MATCH($C52&amp;"|"&amp;11,'Рецептуры'!$K:$K,0)),""),'Полупродукты'!$C$6:$E$62,3,FALSE()),IFERROR(VLOOKUP(IFERROR(INDEX('Рецептуры'!$F:$F,MATCH($C52&amp;"|"&amp;11,'Рецептуры'!$K:$K,0)),""),'Сырьё'!$C$6:$E$233,3,FALSE()),0)))+(IFERROR(INDEX('Рецептуры'!$G:$G,MATCH($C52&amp;"|"&amp;12,'Рецептуры'!$K:$K,0)),0))*(IFERROR(VLOOKUP(IFERROR(INDEX('Рецептуры'!$F:$F,MATCH($C52&amp;"|"&amp;12,'Рецептуры'!$K:$K,0)),""),'Полупродукты'!$C$6:$E$62,3,FALSE()),IFERROR(VLOOKUP(IFERROR(INDEX('Рецептуры'!$F:$F,MATCH($C52&amp;"|"&amp;12,'Рецептуры'!$K:$K,0)),""),'Сырьё'!$C$6:$E$233,3,FALSE()),0)))+(IFERROR(INDEX('Рецептуры'!$G:$G,MATCH($C52&amp;"|"&amp;13,'Рецептуры'!$K:$K,0)),0))*(IFERROR(VLOOKUP(IFERROR(INDEX('Рецептуры'!$F:$F,MATCH($C52&amp;"|"&amp;13,'Рецептуры'!$K:$K,0)),""),'Полупродукты'!$C$6:$E$62,3,FALSE()),IFERROR(VLOOKUP(IFERROR(INDEX('Рецептуры'!$F:$F,MATCH($C52&amp;"|"&amp;13,'Рецептуры'!$K:$K,0)),""),'Сырьё'!$C$6:$E$233,3,FALSE()),0)))+(IFERROR(INDEX('Рецептуры'!$G:$G,MATCH($C52&amp;"|"&amp;14,'Рецептуры'!$K:$K,0)),0))*(IFERROR(VLOOKUP(IFERROR(INDEX('Рецептуры'!$F:$F,MATCH($C52&amp;"|"&amp;14,'Рецептуры'!$K:$K,0)),""),'Полупродукты'!$C$6:$E$62,3,FALSE()),IFERROR(VLOOKUP(IFERROR(INDEX('Рецептуры'!$F:$F,MATCH($C52&amp;"|"&amp;14,'Рецептуры'!$K:$K,0)),""),'Сырьё'!$C$6:$E$233,3,FALSE()),0)))+(IFERROR(INDEX('Рецептуры'!$G:$G,MATCH($C52&amp;"|"&amp;15,'Рецептуры'!$K:$K,0)),0))*(IFERROR(VLOOKUP(IFERROR(INDEX('Рецептуры'!$F:$F,MATCH($C52&amp;"|"&amp;15,'Рецептуры'!$K:$K,0)),""),'Полупродукты'!$C$6:$E$62,3,FALSE()),IFERROR(VLOOKUP(IFERROR(INDEX('Рецептуры'!$F:$F,MATCH($C52&amp;"|"&amp;15,'Рецептуры'!$K:$K,0)),""),'Сырьё'!$C$6:$E$233,3,FALSE()),0))),4)</f>
        <v>3.3345</v>
      </c>
      <c r="F52" s="212" t="s">
        <v>764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96">
        <v>48.0</v>
      </c>
      <c r="C53" s="97" t="s">
        <v>765</v>
      </c>
      <c r="D53" s="96">
        <v>5.0</v>
      </c>
      <c r="E53" s="214">
        <f t="array" ref="E53">ROUND((IFERROR(INDEX('Рецептуры'!$G:$G,MATCH($C53&amp;"|"&amp;1,'Рецептуры'!$K:$K,0)),0))*(IFERROR(VLOOKUP(IFERROR(INDEX('Рецептуры'!$F:$F,MATCH($C53&amp;"|"&amp;1,'Рецептуры'!$K:$K,0)),""),'Полупродукты'!$C$6:$E$62,3,FALSE()),IFERROR(VLOOKUP(IFERROR(INDEX('Рецептуры'!$F:$F,MATCH($C53&amp;"|"&amp;1,'Рецептуры'!$K:$K,0)),""),'Сырьё'!$C$6:$E$233,3,FALSE()),0)))+(IFERROR(INDEX('Рецептуры'!$G:$G,MATCH($C53&amp;"|"&amp;2,'Рецептуры'!$K:$K,0)),0))*(IFERROR(VLOOKUP(IFERROR(INDEX('Рецептуры'!$F:$F,MATCH($C53&amp;"|"&amp;2,'Рецептуры'!$K:$K,0)),""),'Полупродукты'!$C$6:$E$62,3,FALSE()),IFERROR(VLOOKUP(IFERROR(INDEX('Рецептуры'!$F:$F,MATCH($C53&amp;"|"&amp;2,'Рецептуры'!$K:$K,0)),""),'Сырьё'!$C$6:$E$233,3,FALSE()),0)))+(IFERROR(INDEX('Рецептуры'!$G:$G,MATCH($C53&amp;"|"&amp;3,'Рецептуры'!$K:$K,0)),0))*(IFERROR(VLOOKUP(IFERROR(INDEX('Рецептуры'!$F:$F,MATCH($C53&amp;"|"&amp;3,'Рецептуры'!$K:$K,0)),""),'Полупродукты'!$C$6:$E$62,3,FALSE()),IFERROR(VLOOKUP(IFERROR(INDEX('Рецептуры'!$F:$F,MATCH($C53&amp;"|"&amp;3,'Рецептуры'!$K:$K,0)),""),'Сырьё'!$C$6:$E$233,3,FALSE()),0)))+(IFERROR(INDEX('Рецептуры'!$G:$G,MATCH($C53&amp;"|"&amp;4,'Рецептуры'!$K:$K,0)),0))*(IFERROR(VLOOKUP(IFERROR(INDEX('Рецептуры'!$F:$F,MATCH($C53&amp;"|"&amp;4,'Рецептуры'!$K:$K,0)),""),'Полупродукты'!$C$6:$E$62,3,FALSE()),IFERROR(VLOOKUP(IFERROR(INDEX('Рецептуры'!$F:$F,MATCH($C53&amp;"|"&amp;4,'Рецептуры'!$K:$K,0)),""),'Сырьё'!$C$6:$E$233,3,FALSE()),0)))+(IFERROR(INDEX('Рецептуры'!$G:$G,MATCH($C53&amp;"|"&amp;5,'Рецептуры'!$K:$K,0)),0))*(IFERROR(VLOOKUP(IFERROR(INDEX('Рецептуры'!$F:$F,MATCH($C53&amp;"|"&amp;5,'Рецептуры'!$K:$K,0)),""),'Полупродукты'!$C$6:$E$62,3,FALSE()),IFERROR(VLOOKUP(IFERROR(INDEX('Рецептуры'!$F:$F,MATCH($C53&amp;"|"&amp;5,'Рецептуры'!$K:$K,0)),""),'Сырьё'!$C$6:$E$233,3,FALSE()),0)))+(IFERROR(INDEX('Рецептуры'!$G:$G,MATCH($C53&amp;"|"&amp;6,'Рецептуры'!$K:$K,0)),0))*(IFERROR(VLOOKUP(IFERROR(INDEX('Рецептуры'!$F:$F,MATCH($C53&amp;"|"&amp;6,'Рецептуры'!$K:$K,0)),""),'Полупродукты'!$C$6:$E$62,3,FALSE()),IFERROR(VLOOKUP(IFERROR(INDEX('Рецептуры'!$F:$F,MATCH($C53&amp;"|"&amp;6,'Рецептуры'!$K:$K,0)),""),'Сырьё'!$C$6:$E$233,3,FALSE()),0)))+(IFERROR(INDEX('Рецептуры'!$G:$G,MATCH($C53&amp;"|"&amp;7,'Рецептуры'!$K:$K,0)),0))*(IFERROR(VLOOKUP(IFERROR(INDEX('Рецептуры'!$F:$F,MATCH($C53&amp;"|"&amp;7,'Рецептуры'!$K:$K,0)),""),'Полупродукты'!$C$6:$E$62,3,FALSE()),IFERROR(VLOOKUP(IFERROR(INDEX('Рецептуры'!$F:$F,MATCH($C53&amp;"|"&amp;7,'Рецептуры'!$K:$K,0)),""),'Сырьё'!$C$6:$E$233,3,FALSE()),0)))+(IFERROR(INDEX('Рецептуры'!$G:$G,MATCH($C53&amp;"|"&amp;8,'Рецептуры'!$K:$K,0)),0))*(IFERROR(VLOOKUP(IFERROR(INDEX('Рецептуры'!$F:$F,MATCH($C53&amp;"|"&amp;8,'Рецептуры'!$K:$K,0)),""),'Полупродукты'!$C$6:$E$62,3,FALSE()),IFERROR(VLOOKUP(IFERROR(INDEX('Рецептуры'!$F:$F,MATCH($C53&amp;"|"&amp;8,'Рецептуры'!$K:$K,0)),""),'Сырьё'!$C$6:$E$233,3,FALSE()),0)))+(IFERROR(INDEX('Рецептуры'!$G:$G,MATCH($C53&amp;"|"&amp;9,'Рецептуры'!$K:$K,0)),0))*(IFERROR(VLOOKUP(IFERROR(INDEX('Рецептуры'!$F:$F,MATCH($C53&amp;"|"&amp;9,'Рецептуры'!$K:$K,0)),""),'Полупродукты'!$C$6:$E$62,3,FALSE()),IFERROR(VLOOKUP(IFERROR(INDEX('Рецептуры'!$F:$F,MATCH($C53&amp;"|"&amp;9,'Рецептуры'!$K:$K,0)),""),'Сырьё'!$C$6:$E$233,3,FALSE()),0)))+(IFERROR(INDEX('Рецептуры'!$G:$G,MATCH($C53&amp;"|"&amp;10,'Рецептуры'!$K:$K,0)),0))*(IFERROR(VLOOKUP(IFERROR(INDEX('Рецептуры'!$F:$F,MATCH($C53&amp;"|"&amp;10,'Рецептуры'!$K:$K,0)),""),'Полупродукты'!$C$6:$E$62,3,FALSE()),IFERROR(VLOOKUP(IFERROR(INDEX('Рецептуры'!$F:$F,MATCH($C53&amp;"|"&amp;10,'Рецептуры'!$K:$K,0)),""),'Сырьё'!$C$6:$E$233,3,FALSE()),0)))+(IFERROR(INDEX('Рецептуры'!$G:$G,MATCH($C53&amp;"|"&amp;11,'Рецептуры'!$K:$K,0)),0))*(IFERROR(VLOOKUP(IFERROR(INDEX('Рецептуры'!$F:$F,MATCH($C53&amp;"|"&amp;11,'Рецептуры'!$K:$K,0)),""),'Полупродукты'!$C$6:$E$62,3,FALSE()),IFERROR(VLOOKUP(IFERROR(INDEX('Рецептуры'!$F:$F,MATCH($C53&amp;"|"&amp;11,'Рецептуры'!$K:$K,0)),""),'Сырьё'!$C$6:$E$233,3,FALSE()),0)))+(IFERROR(INDEX('Рецептуры'!$G:$G,MATCH($C53&amp;"|"&amp;12,'Рецептуры'!$K:$K,0)),0))*(IFERROR(VLOOKUP(IFERROR(INDEX('Рецептуры'!$F:$F,MATCH($C53&amp;"|"&amp;12,'Рецептуры'!$K:$K,0)),""),'Полупродукты'!$C$6:$E$62,3,FALSE()),IFERROR(VLOOKUP(IFERROR(INDEX('Рецептуры'!$F:$F,MATCH($C53&amp;"|"&amp;12,'Рецептуры'!$K:$K,0)),""),'Сырьё'!$C$6:$E$233,3,FALSE()),0)))+(IFERROR(INDEX('Рецептуры'!$G:$G,MATCH($C53&amp;"|"&amp;13,'Рецептуры'!$K:$K,0)),0))*(IFERROR(VLOOKUP(IFERROR(INDEX('Рецептуры'!$F:$F,MATCH($C53&amp;"|"&amp;13,'Рецептуры'!$K:$K,0)),""),'Полупродукты'!$C$6:$E$62,3,FALSE()),IFERROR(VLOOKUP(IFERROR(INDEX('Рецептуры'!$F:$F,MATCH($C53&amp;"|"&amp;13,'Рецептуры'!$K:$K,0)),""),'Сырьё'!$C$6:$E$233,3,FALSE()),0)))+(IFERROR(INDEX('Рецептуры'!$G:$G,MATCH($C53&amp;"|"&amp;14,'Рецептуры'!$K:$K,0)),0))*(IFERROR(VLOOKUP(IFERROR(INDEX('Рецептуры'!$F:$F,MATCH($C53&amp;"|"&amp;14,'Рецептуры'!$K:$K,0)),""),'Полупродукты'!$C$6:$E$62,3,FALSE()),IFERROR(VLOOKUP(IFERROR(INDEX('Рецептуры'!$F:$F,MATCH($C53&amp;"|"&amp;14,'Рецептуры'!$K:$K,0)),""),'Сырьё'!$C$6:$E$233,3,FALSE()),0)))+(IFERROR(INDEX('Рецептуры'!$G:$G,MATCH($C53&amp;"|"&amp;15,'Рецептуры'!$K:$K,0)),0))*(IFERROR(VLOOKUP(IFERROR(INDEX('Рецептуры'!$F:$F,MATCH($C53&amp;"|"&amp;15,'Рецептуры'!$K:$K,0)),""),'Полупродукты'!$C$6:$E$62,3,FALSE()),IFERROR(VLOOKUP(IFERROR(INDEX('Рецептуры'!$F:$F,MATCH($C53&amp;"|"&amp;15,'Рецептуры'!$K:$K,0)),""),'Сырьё'!$C$6:$E$233,3,FALSE()),0))),4)</f>
        <v>3.6637</v>
      </c>
      <c r="F53" s="212" t="s">
        <v>766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88">
        <v>49.0</v>
      </c>
      <c r="C54" s="89" t="s">
        <v>767</v>
      </c>
      <c r="D54" s="88">
        <v>6.0</v>
      </c>
      <c r="E54" s="213">
        <f t="array" ref="E54">ROUND((IFERROR(INDEX('Рецептуры'!$G:$G,MATCH($C54&amp;"|"&amp;1,'Рецептуры'!$K:$K,0)),0))*(IFERROR(VLOOKUP(IFERROR(INDEX('Рецептуры'!$F:$F,MATCH($C54&amp;"|"&amp;1,'Рецептуры'!$K:$K,0)),""),'Полупродукты'!$C$6:$E$62,3,FALSE()),IFERROR(VLOOKUP(IFERROR(INDEX('Рецептуры'!$F:$F,MATCH($C54&amp;"|"&amp;1,'Рецептуры'!$K:$K,0)),""),'Сырьё'!$C$6:$E$233,3,FALSE()),0)))+(IFERROR(INDEX('Рецептуры'!$G:$G,MATCH($C54&amp;"|"&amp;2,'Рецептуры'!$K:$K,0)),0))*(IFERROR(VLOOKUP(IFERROR(INDEX('Рецептуры'!$F:$F,MATCH($C54&amp;"|"&amp;2,'Рецептуры'!$K:$K,0)),""),'Полупродукты'!$C$6:$E$62,3,FALSE()),IFERROR(VLOOKUP(IFERROR(INDEX('Рецептуры'!$F:$F,MATCH($C54&amp;"|"&amp;2,'Рецептуры'!$K:$K,0)),""),'Сырьё'!$C$6:$E$233,3,FALSE()),0)))+(IFERROR(INDEX('Рецептуры'!$G:$G,MATCH($C54&amp;"|"&amp;3,'Рецептуры'!$K:$K,0)),0))*(IFERROR(VLOOKUP(IFERROR(INDEX('Рецептуры'!$F:$F,MATCH($C54&amp;"|"&amp;3,'Рецептуры'!$K:$K,0)),""),'Полупродукты'!$C$6:$E$62,3,FALSE()),IFERROR(VLOOKUP(IFERROR(INDEX('Рецептуры'!$F:$F,MATCH($C54&amp;"|"&amp;3,'Рецептуры'!$K:$K,0)),""),'Сырьё'!$C$6:$E$233,3,FALSE()),0)))+(IFERROR(INDEX('Рецептуры'!$G:$G,MATCH($C54&amp;"|"&amp;4,'Рецептуры'!$K:$K,0)),0))*(IFERROR(VLOOKUP(IFERROR(INDEX('Рецептуры'!$F:$F,MATCH($C54&amp;"|"&amp;4,'Рецептуры'!$K:$K,0)),""),'Полупродукты'!$C$6:$E$62,3,FALSE()),IFERROR(VLOOKUP(IFERROR(INDEX('Рецептуры'!$F:$F,MATCH($C54&amp;"|"&amp;4,'Рецептуры'!$K:$K,0)),""),'Сырьё'!$C$6:$E$233,3,FALSE()),0)))+(IFERROR(INDEX('Рецептуры'!$G:$G,MATCH($C54&amp;"|"&amp;5,'Рецептуры'!$K:$K,0)),0))*(IFERROR(VLOOKUP(IFERROR(INDEX('Рецептуры'!$F:$F,MATCH($C54&amp;"|"&amp;5,'Рецептуры'!$K:$K,0)),""),'Полупродукты'!$C$6:$E$62,3,FALSE()),IFERROR(VLOOKUP(IFERROR(INDEX('Рецептуры'!$F:$F,MATCH($C54&amp;"|"&amp;5,'Рецептуры'!$K:$K,0)),""),'Сырьё'!$C$6:$E$233,3,FALSE()),0)))+(IFERROR(INDEX('Рецептуры'!$G:$G,MATCH($C54&amp;"|"&amp;6,'Рецептуры'!$K:$K,0)),0))*(IFERROR(VLOOKUP(IFERROR(INDEX('Рецептуры'!$F:$F,MATCH($C54&amp;"|"&amp;6,'Рецептуры'!$K:$K,0)),""),'Полупродукты'!$C$6:$E$62,3,FALSE()),IFERROR(VLOOKUP(IFERROR(INDEX('Рецептуры'!$F:$F,MATCH($C54&amp;"|"&amp;6,'Рецептуры'!$K:$K,0)),""),'Сырьё'!$C$6:$E$233,3,FALSE()),0)))+(IFERROR(INDEX('Рецептуры'!$G:$G,MATCH($C54&amp;"|"&amp;7,'Рецептуры'!$K:$K,0)),0))*(IFERROR(VLOOKUP(IFERROR(INDEX('Рецептуры'!$F:$F,MATCH($C54&amp;"|"&amp;7,'Рецептуры'!$K:$K,0)),""),'Полупродукты'!$C$6:$E$62,3,FALSE()),IFERROR(VLOOKUP(IFERROR(INDEX('Рецептуры'!$F:$F,MATCH($C54&amp;"|"&amp;7,'Рецептуры'!$K:$K,0)),""),'Сырьё'!$C$6:$E$233,3,FALSE()),0)))+(IFERROR(INDEX('Рецептуры'!$G:$G,MATCH($C54&amp;"|"&amp;8,'Рецептуры'!$K:$K,0)),0))*(IFERROR(VLOOKUP(IFERROR(INDEX('Рецептуры'!$F:$F,MATCH($C54&amp;"|"&amp;8,'Рецептуры'!$K:$K,0)),""),'Полупродукты'!$C$6:$E$62,3,FALSE()),IFERROR(VLOOKUP(IFERROR(INDEX('Рецептуры'!$F:$F,MATCH($C54&amp;"|"&amp;8,'Рецептуры'!$K:$K,0)),""),'Сырьё'!$C$6:$E$233,3,FALSE()),0)))+(IFERROR(INDEX('Рецептуры'!$G:$G,MATCH($C54&amp;"|"&amp;9,'Рецептуры'!$K:$K,0)),0))*(IFERROR(VLOOKUP(IFERROR(INDEX('Рецептуры'!$F:$F,MATCH($C54&amp;"|"&amp;9,'Рецептуры'!$K:$K,0)),""),'Полупродукты'!$C$6:$E$62,3,FALSE()),IFERROR(VLOOKUP(IFERROR(INDEX('Рецептуры'!$F:$F,MATCH($C54&amp;"|"&amp;9,'Рецептуры'!$K:$K,0)),""),'Сырьё'!$C$6:$E$233,3,FALSE()),0)))+(IFERROR(INDEX('Рецептуры'!$G:$G,MATCH($C54&amp;"|"&amp;10,'Рецептуры'!$K:$K,0)),0))*(IFERROR(VLOOKUP(IFERROR(INDEX('Рецептуры'!$F:$F,MATCH($C54&amp;"|"&amp;10,'Рецептуры'!$K:$K,0)),""),'Полупродукты'!$C$6:$E$62,3,FALSE()),IFERROR(VLOOKUP(IFERROR(INDEX('Рецептуры'!$F:$F,MATCH($C54&amp;"|"&amp;10,'Рецептуры'!$K:$K,0)),""),'Сырьё'!$C$6:$E$233,3,FALSE()),0)))+(IFERROR(INDEX('Рецептуры'!$G:$G,MATCH($C54&amp;"|"&amp;11,'Рецептуры'!$K:$K,0)),0))*(IFERROR(VLOOKUP(IFERROR(INDEX('Рецептуры'!$F:$F,MATCH($C54&amp;"|"&amp;11,'Рецептуры'!$K:$K,0)),""),'Полупродукты'!$C$6:$E$62,3,FALSE()),IFERROR(VLOOKUP(IFERROR(INDEX('Рецептуры'!$F:$F,MATCH($C54&amp;"|"&amp;11,'Рецептуры'!$K:$K,0)),""),'Сырьё'!$C$6:$E$233,3,FALSE()),0)))+(IFERROR(INDEX('Рецептуры'!$G:$G,MATCH($C54&amp;"|"&amp;12,'Рецептуры'!$K:$K,0)),0))*(IFERROR(VLOOKUP(IFERROR(INDEX('Рецептуры'!$F:$F,MATCH($C54&amp;"|"&amp;12,'Рецептуры'!$K:$K,0)),""),'Полупродукты'!$C$6:$E$62,3,FALSE()),IFERROR(VLOOKUP(IFERROR(INDEX('Рецептуры'!$F:$F,MATCH($C54&amp;"|"&amp;12,'Рецептуры'!$K:$K,0)),""),'Сырьё'!$C$6:$E$233,3,FALSE()),0)))+(IFERROR(INDEX('Рецептуры'!$G:$G,MATCH($C54&amp;"|"&amp;13,'Рецептуры'!$K:$K,0)),0))*(IFERROR(VLOOKUP(IFERROR(INDEX('Рецептуры'!$F:$F,MATCH($C54&amp;"|"&amp;13,'Рецептуры'!$K:$K,0)),""),'Полупродукты'!$C$6:$E$62,3,FALSE()),IFERROR(VLOOKUP(IFERROR(INDEX('Рецептуры'!$F:$F,MATCH($C54&amp;"|"&amp;13,'Рецептуры'!$K:$K,0)),""),'Сырьё'!$C$6:$E$233,3,FALSE()),0)))+(IFERROR(INDEX('Рецептуры'!$G:$G,MATCH($C54&amp;"|"&amp;14,'Рецептуры'!$K:$K,0)),0))*(IFERROR(VLOOKUP(IFERROR(INDEX('Рецептуры'!$F:$F,MATCH($C54&amp;"|"&amp;14,'Рецептуры'!$K:$K,0)),""),'Полупродукты'!$C$6:$E$62,3,FALSE()),IFERROR(VLOOKUP(IFERROR(INDEX('Рецептуры'!$F:$F,MATCH($C54&amp;"|"&amp;14,'Рецептуры'!$K:$K,0)),""),'Сырьё'!$C$6:$E$233,3,FALSE()),0)))+(IFERROR(INDEX('Рецептуры'!$G:$G,MATCH($C54&amp;"|"&amp;15,'Рецептуры'!$K:$K,0)),0))*(IFERROR(VLOOKUP(IFERROR(INDEX('Рецептуры'!$F:$F,MATCH($C54&amp;"|"&amp;15,'Рецептуры'!$K:$K,0)),""),'Полупродукты'!$C$6:$E$62,3,FALSE()),IFERROR(VLOOKUP(IFERROR(INDEX('Рецептуры'!$F:$F,MATCH($C54&amp;"|"&amp;15,'Рецептуры'!$K:$K,0)),""),'Сырьё'!$C$6:$E$233,3,FALSE()),0))),4)</f>
        <v>4.273</v>
      </c>
      <c r="F54" s="212" t="s">
        <v>768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96">
        <v>50.0</v>
      </c>
      <c r="C55" s="97" t="s">
        <v>777</v>
      </c>
      <c r="D55" s="96">
        <v>6.0</v>
      </c>
      <c r="E55" s="214">
        <f t="array" ref="E55">ROUND((IFERROR(INDEX('Рецептуры'!$G:$G,MATCH($C55&amp;"|"&amp;1,'Рецептуры'!$K:$K,0)),0))*(IFERROR(VLOOKUP(IFERROR(INDEX('Рецептуры'!$F:$F,MATCH($C55&amp;"|"&amp;1,'Рецептуры'!$K:$K,0)),""),'Полупродукты'!$C$6:$E$62,3,FALSE()),IFERROR(VLOOKUP(IFERROR(INDEX('Рецептуры'!$F:$F,MATCH($C55&amp;"|"&amp;1,'Рецептуры'!$K:$K,0)),""),'Сырьё'!$C$6:$E$233,3,FALSE()),0)))+(IFERROR(INDEX('Рецептуры'!$G:$G,MATCH($C55&amp;"|"&amp;2,'Рецептуры'!$K:$K,0)),0))*(IFERROR(VLOOKUP(IFERROR(INDEX('Рецептуры'!$F:$F,MATCH($C55&amp;"|"&amp;2,'Рецептуры'!$K:$K,0)),""),'Полупродукты'!$C$6:$E$62,3,FALSE()),IFERROR(VLOOKUP(IFERROR(INDEX('Рецептуры'!$F:$F,MATCH($C55&amp;"|"&amp;2,'Рецептуры'!$K:$K,0)),""),'Сырьё'!$C$6:$E$233,3,FALSE()),0)))+(IFERROR(INDEX('Рецептуры'!$G:$G,MATCH($C55&amp;"|"&amp;3,'Рецептуры'!$K:$K,0)),0))*(IFERROR(VLOOKUP(IFERROR(INDEX('Рецептуры'!$F:$F,MATCH($C55&amp;"|"&amp;3,'Рецептуры'!$K:$K,0)),""),'Полупродукты'!$C$6:$E$62,3,FALSE()),IFERROR(VLOOKUP(IFERROR(INDEX('Рецептуры'!$F:$F,MATCH($C55&amp;"|"&amp;3,'Рецептуры'!$K:$K,0)),""),'Сырьё'!$C$6:$E$233,3,FALSE()),0)))+(IFERROR(INDEX('Рецептуры'!$G:$G,MATCH($C55&amp;"|"&amp;4,'Рецептуры'!$K:$K,0)),0))*(IFERROR(VLOOKUP(IFERROR(INDEX('Рецептуры'!$F:$F,MATCH($C55&amp;"|"&amp;4,'Рецептуры'!$K:$K,0)),""),'Полупродукты'!$C$6:$E$62,3,FALSE()),IFERROR(VLOOKUP(IFERROR(INDEX('Рецептуры'!$F:$F,MATCH($C55&amp;"|"&amp;4,'Рецептуры'!$K:$K,0)),""),'Сырьё'!$C$6:$E$233,3,FALSE()),0)))+(IFERROR(INDEX('Рецептуры'!$G:$G,MATCH($C55&amp;"|"&amp;5,'Рецептуры'!$K:$K,0)),0))*(IFERROR(VLOOKUP(IFERROR(INDEX('Рецептуры'!$F:$F,MATCH($C55&amp;"|"&amp;5,'Рецептуры'!$K:$K,0)),""),'Полупродукты'!$C$6:$E$62,3,FALSE()),IFERROR(VLOOKUP(IFERROR(INDEX('Рецептуры'!$F:$F,MATCH($C55&amp;"|"&amp;5,'Рецептуры'!$K:$K,0)),""),'Сырьё'!$C$6:$E$233,3,FALSE()),0)))+(IFERROR(INDEX('Рецептуры'!$G:$G,MATCH($C55&amp;"|"&amp;6,'Рецептуры'!$K:$K,0)),0))*(IFERROR(VLOOKUP(IFERROR(INDEX('Рецептуры'!$F:$F,MATCH($C55&amp;"|"&amp;6,'Рецептуры'!$K:$K,0)),""),'Полупродукты'!$C$6:$E$62,3,FALSE()),IFERROR(VLOOKUP(IFERROR(INDEX('Рецептуры'!$F:$F,MATCH($C55&amp;"|"&amp;6,'Рецептуры'!$K:$K,0)),""),'Сырьё'!$C$6:$E$233,3,FALSE()),0)))+(IFERROR(INDEX('Рецептуры'!$G:$G,MATCH($C55&amp;"|"&amp;7,'Рецептуры'!$K:$K,0)),0))*(IFERROR(VLOOKUP(IFERROR(INDEX('Рецептуры'!$F:$F,MATCH($C55&amp;"|"&amp;7,'Рецептуры'!$K:$K,0)),""),'Полупродукты'!$C$6:$E$62,3,FALSE()),IFERROR(VLOOKUP(IFERROR(INDEX('Рецептуры'!$F:$F,MATCH($C55&amp;"|"&amp;7,'Рецептуры'!$K:$K,0)),""),'Сырьё'!$C$6:$E$233,3,FALSE()),0)))+(IFERROR(INDEX('Рецептуры'!$G:$G,MATCH($C55&amp;"|"&amp;8,'Рецептуры'!$K:$K,0)),0))*(IFERROR(VLOOKUP(IFERROR(INDEX('Рецептуры'!$F:$F,MATCH($C55&amp;"|"&amp;8,'Рецептуры'!$K:$K,0)),""),'Полупродукты'!$C$6:$E$62,3,FALSE()),IFERROR(VLOOKUP(IFERROR(INDEX('Рецептуры'!$F:$F,MATCH($C55&amp;"|"&amp;8,'Рецептуры'!$K:$K,0)),""),'Сырьё'!$C$6:$E$233,3,FALSE()),0)))+(IFERROR(INDEX('Рецептуры'!$G:$G,MATCH($C55&amp;"|"&amp;9,'Рецептуры'!$K:$K,0)),0))*(IFERROR(VLOOKUP(IFERROR(INDEX('Рецептуры'!$F:$F,MATCH($C55&amp;"|"&amp;9,'Рецептуры'!$K:$K,0)),""),'Полупродукты'!$C$6:$E$62,3,FALSE()),IFERROR(VLOOKUP(IFERROR(INDEX('Рецептуры'!$F:$F,MATCH($C55&amp;"|"&amp;9,'Рецептуры'!$K:$K,0)),""),'Сырьё'!$C$6:$E$233,3,FALSE()),0)))+(IFERROR(INDEX('Рецептуры'!$G:$G,MATCH($C55&amp;"|"&amp;10,'Рецептуры'!$K:$K,0)),0))*(IFERROR(VLOOKUP(IFERROR(INDEX('Рецептуры'!$F:$F,MATCH($C55&amp;"|"&amp;10,'Рецептуры'!$K:$K,0)),""),'Полупродукты'!$C$6:$E$62,3,FALSE()),IFERROR(VLOOKUP(IFERROR(INDEX('Рецептуры'!$F:$F,MATCH($C55&amp;"|"&amp;10,'Рецептуры'!$K:$K,0)),""),'Сырьё'!$C$6:$E$233,3,FALSE()),0)))+(IFERROR(INDEX('Рецептуры'!$G:$G,MATCH($C55&amp;"|"&amp;11,'Рецептуры'!$K:$K,0)),0))*(IFERROR(VLOOKUP(IFERROR(INDEX('Рецептуры'!$F:$F,MATCH($C55&amp;"|"&amp;11,'Рецептуры'!$K:$K,0)),""),'Полупродукты'!$C$6:$E$62,3,FALSE()),IFERROR(VLOOKUP(IFERROR(INDEX('Рецептуры'!$F:$F,MATCH($C55&amp;"|"&amp;11,'Рецептуры'!$K:$K,0)),""),'Сырьё'!$C$6:$E$233,3,FALSE()),0)))+(IFERROR(INDEX('Рецептуры'!$G:$G,MATCH($C55&amp;"|"&amp;12,'Рецептуры'!$K:$K,0)),0))*(IFERROR(VLOOKUP(IFERROR(INDEX('Рецептуры'!$F:$F,MATCH($C55&amp;"|"&amp;12,'Рецептуры'!$K:$K,0)),""),'Полупродукты'!$C$6:$E$62,3,FALSE()),IFERROR(VLOOKUP(IFERROR(INDEX('Рецептуры'!$F:$F,MATCH($C55&amp;"|"&amp;12,'Рецептуры'!$K:$K,0)),""),'Сырьё'!$C$6:$E$233,3,FALSE()),0)))+(IFERROR(INDEX('Рецептуры'!$G:$G,MATCH($C55&amp;"|"&amp;13,'Рецептуры'!$K:$K,0)),0))*(IFERROR(VLOOKUP(IFERROR(INDEX('Рецептуры'!$F:$F,MATCH($C55&amp;"|"&amp;13,'Рецептуры'!$K:$K,0)),""),'Полупродукты'!$C$6:$E$62,3,FALSE()),IFERROR(VLOOKUP(IFERROR(INDEX('Рецептуры'!$F:$F,MATCH($C55&amp;"|"&amp;13,'Рецептуры'!$K:$K,0)),""),'Сырьё'!$C$6:$E$233,3,FALSE()),0)))+(IFERROR(INDEX('Рецептуры'!$G:$G,MATCH($C55&amp;"|"&amp;14,'Рецептуры'!$K:$K,0)),0))*(IFERROR(VLOOKUP(IFERROR(INDEX('Рецептуры'!$F:$F,MATCH($C55&amp;"|"&amp;14,'Рецептуры'!$K:$K,0)),""),'Полупродукты'!$C$6:$E$62,3,FALSE()),IFERROR(VLOOKUP(IFERROR(INDEX('Рецептуры'!$F:$F,MATCH($C55&amp;"|"&amp;14,'Рецептуры'!$K:$K,0)),""),'Сырьё'!$C$6:$E$233,3,FALSE()),0)))+(IFERROR(INDEX('Рецептуры'!$G:$G,MATCH($C55&amp;"|"&amp;15,'Рецептуры'!$K:$K,0)),0))*(IFERROR(VLOOKUP(IFERROR(INDEX('Рецептуры'!$F:$F,MATCH($C55&amp;"|"&amp;15,'Рецептуры'!$K:$K,0)),""),'Полупродукты'!$C$6:$E$62,3,FALSE()),IFERROR(VLOOKUP(IFERROR(INDEX('Рецептуры'!$F:$F,MATCH($C55&amp;"|"&amp;15,'Рецептуры'!$K:$K,0)),""),'Сырьё'!$C$6:$E$233,3,FALSE()),0))),4)</f>
        <v>3.3154</v>
      </c>
      <c r="F55" s="212" t="s">
        <v>778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>
        <v>51.0</v>
      </c>
      <c r="C56" s="1" t="s">
        <v>826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>
        <v>52.0</v>
      </c>
      <c r="C57" s="1" t="s">
        <v>707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>
        <v>53.0</v>
      </c>
      <c r="C58" s="1" t="s">
        <v>827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>
        <v>54.0</v>
      </c>
      <c r="C59" s="1" t="s">
        <v>657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>
        <v>55.0</v>
      </c>
      <c r="C60" s="1" t="s">
        <v>659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>
        <v>56.0</v>
      </c>
      <c r="C61" s="1" t="s">
        <v>610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>
        <v>57.0</v>
      </c>
      <c r="C62" s="1" t="s">
        <v>655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1"/>
      <c r="B263" s="21"/>
      <c r="C263" s="21"/>
      <c r="D263" s="21"/>
      <c r="E263" s="21"/>
      <c r="F263" s="21"/>
    </row>
    <row r="264" ht="15.75" customHeight="1">
      <c r="A264" s="21"/>
      <c r="B264" s="21"/>
      <c r="C264" s="21"/>
      <c r="D264" s="21"/>
      <c r="E264" s="21"/>
      <c r="F264" s="21"/>
    </row>
    <row r="265" ht="15.75" customHeight="1">
      <c r="A265" s="21"/>
      <c r="B265" s="21"/>
      <c r="C265" s="21"/>
      <c r="D265" s="21"/>
      <c r="E265" s="21"/>
      <c r="F265" s="21"/>
    </row>
    <row r="266" ht="15.75" customHeight="1">
      <c r="A266" s="21"/>
      <c r="B266" s="21"/>
      <c r="C266" s="21"/>
      <c r="D266" s="21"/>
      <c r="E266" s="21"/>
      <c r="F266" s="21"/>
    </row>
    <row r="267" ht="15.75" customHeight="1">
      <c r="A267" s="21"/>
      <c r="B267" s="21"/>
      <c r="C267" s="21"/>
      <c r="D267" s="21"/>
      <c r="E267" s="21"/>
      <c r="F267" s="21"/>
    </row>
    <row r="268" ht="15.75" customHeight="1">
      <c r="A268" s="21"/>
      <c r="B268" s="21"/>
      <c r="C268" s="21"/>
      <c r="D268" s="21"/>
      <c r="E268" s="21"/>
      <c r="F268" s="21"/>
    </row>
    <row r="269" ht="15.75" customHeight="1">
      <c r="A269" s="21"/>
      <c r="B269" s="21"/>
      <c r="C269" s="21"/>
      <c r="D269" s="21"/>
      <c r="E269" s="21"/>
      <c r="F269" s="21"/>
    </row>
    <row r="270" ht="15.75" customHeight="1">
      <c r="A270" s="21"/>
      <c r="B270" s="21"/>
      <c r="C270" s="21"/>
      <c r="D270" s="21"/>
      <c r="E270" s="21"/>
      <c r="F270" s="21"/>
    </row>
    <row r="271" ht="15.75" customHeight="1">
      <c r="A271" s="21"/>
      <c r="B271" s="21"/>
      <c r="C271" s="21"/>
      <c r="D271" s="21"/>
      <c r="E271" s="21"/>
      <c r="F271" s="21"/>
    </row>
    <row r="272" ht="15.75" customHeight="1">
      <c r="A272" s="21"/>
      <c r="B272" s="21"/>
      <c r="C272" s="21"/>
      <c r="D272" s="21"/>
      <c r="E272" s="21"/>
      <c r="F272" s="21"/>
    </row>
    <row r="273" ht="15.75" customHeight="1">
      <c r="A273" s="21"/>
      <c r="B273" s="21"/>
      <c r="C273" s="21"/>
      <c r="D273" s="21"/>
      <c r="E273" s="21"/>
      <c r="F273" s="21"/>
    </row>
    <row r="274" ht="15.75" customHeight="1">
      <c r="A274" s="21"/>
      <c r="B274" s="21"/>
      <c r="C274" s="21"/>
      <c r="D274" s="21"/>
      <c r="E274" s="21"/>
      <c r="F274" s="21"/>
    </row>
    <row r="275" ht="15.75" customHeight="1">
      <c r="A275" s="21"/>
      <c r="B275" s="21"/>
      <c r="C275" s="21"/>
      <c r="D275" s="21"/>
      <c r="E275" s="21"/>
      <c r="F275" s="21"/>
    </row>
    <row r="276" ht="15.75" customHeight="1">
      <c r="A276" s="21"/>
      <c r="B276" s="21"/>
      <c r="C276" s="21"/>
      <c r="D276" s="21"/>
      <c r="E276" s="21"/>
      <c r="F276" s="21"/>
    </row>
    <row r="277" ht="15.75" customHeight="1">
      <c r="A277" s="21"/>
      <c r="B277" s="21"/>
      <c r="C277" s="21"/>
      <c r="D277" s="21"/>
      <c r="E277" s="21"/>
      <c r="F277" s="21"/>
    </row>
    <row r="278" ht="15.75" customHeight="1">
      <c r="A278" s="21"/>
      <c r="B278" s="21"/>
      <c r="C278" s="21"/>
      <c r="D278" s="21"/>
      <c r="E278" s="21"/>
      <c r="F278" s="21"/>
    </row>
    <row r="279" ht="15.75" customHeight="1">
      <c r="A279" s="21"/>
      <c r="B279" s="21"/>
      <c r="C279" s="21"/>
      <c r="D279" s="21"/>
      <c r="E279" s="21"/>
      <c r="F279" s="21"/>
    </row>
    <row r="280" ht="15.75" customHeight="1">
      <c r="A280" s="21"/>
      <c r="B280" s="21"/>
      <c r="C280" s="21"/>
      <c r="D280" s="21"/>
      <c r="E280" s="21"/>
      <c r="F280" s="21"/>
    </row>
    <row r="281" ht="15.75" customHeight="1">
      <c r="A281" s="21"/>
      <c r="B281" s="21"/>
      <c r="C281" s="21"/>
      <c r="D281" s="21"/>
      <c r="E281" s="21"/>
      <c r="F281" s="21"/>
    </row>
    <row r="282" ht="15.75" customHeight="1">
      <c r="A282" s="21"/>
      <c r="B282" s="21"/>
      <c r="C282" s="21"/>
      <c r="D282" s="21"/>
      <c r="E282" s="21"/>
      <c r="F282" s="21"/>
    </row>
    <row r="283" ht="15.75" customHeight="1">
      <c r="A283" s="21"/>
      <c r="B283" s="21"/>
      <c r="C283" s="21"/>
      <c r="D283" s="21"/>
      <c r="E283" s="21"/>
      <c r="F283" s="21"/>
    </row>
    <row r="284" ht="15.75" customHeight="1">
      <c r="A284" s="21"/>
      <c r="B284" s="21"/>
      <c r="C284" s="21"/>
      <c r="D284" s="21"/>
      <c r="E284" s="21"/>
      <c r="F284" s="21"/>
    </row>
    <row r="285" ht="15.75" customHeight="1">
      <c r="A285" s="21"/>
      <c r="B285" s="21"/>
      <c r="C285" s="21"/>
      <c r="D285" s="21"/>
      <c r="E285" s="21"/>
      <c r="F285" s="21"/>
    </row>
    <row r="286" ht="15.75" customHeight="1">
      <c r="A286" s="21"/>
      <c r="B286" s="21"/>
      <c r="C286" s="21"/>
      <c r="D286" s="21"/>
      <c r="E286" s="21"/>
      <c r="F286" s="21"/>
    </row>
    <row r="287" ht="15.75" customHeight="1">
      <c r="A287" s="21"/>
      <c r="B287" s="21"/>
      <c r="C287" s="21"/>
      <c r="D287" s="21"/>
      <c r="E287" s="21"/>
      <c r="F287" s="21"/>
    </row>
    <row r="288" ht="15.75" customHeight="1">
      <c r="A288" s="21"/>
      <c r="B288" s="21"/>
      <c r="C288" s="21"/>
      <c r="D288" s="21"/>
      <c r="E288" s="21"/>
      <c r="F288" s="21"/>
    </row>
    <row r="289" ht="15.75" customHeight="1">
      <c r="A289" s="21"/>
      <c r="B289" s="21"/>
      <c r="C289" s="21"/>
      <c r="D289" s="21"/>
      <c r="E289" s="21"/>
      <c r="F289" s="21"/>
    </row>
    <row r="290" ht="15.75" customHeight="1">
      <c r="A290" s="21"/>
      <c r="B290" s="21"/>
      <c r="C290" s="21"/>
      <c r="D290" s="21"/>
      <c r="E290" s="21"/>
      <c r="F290" s="21"/>
    </row>
    <row r="291" ht="15.75" customHeight="1">
      <c r="A291" s="21"/>
      <c r="B291" s="21"/>
      <c r="C291" s="21"/>
      <c r="D291" s="21"/>
      <c r="E291" s="21"/>
      <c r="F291" s="21"/>
    </row>
    <row r="292" ht="15.75" customHeight="1">
      <c r="A292" s="21"/>
      <c r="B292" s="21"/>
      <c r="C292" s="21"/>
      <c r="D292" s="21"/>
      <c r="E292" s="21"/>
      <c r="F292" s="21"/>
    </row>
    <row r="293" ht="15.75" customHeight="1">
      <c r="A293" s="21"/>
      <c r="B293" s="21"/>
      <c r="C293" s="21"/>
      <c r="D293" s="21"/>
      <c r="E293" s="21"/>
      <c r="F293" s="21"/>
    </row>
    <row r="294" ht="15.75" customHeight="1">
      <c r="A294" s="21"/>
      <c r="B294" s="21"/>
      <c r="C294" s="21"/>
      <c r="D294" s="21"/>
      <c r="E294" s="21"/>
      <c r="F294" s="21"/>
    </row>
    <row r="295" ht="15.75" customHeight="1">
      <c r="A295" s="21"/>
      <c r="B295" s="21"/>
      <c r="C295" s="21"/>
      <c r="D295" s="21"/>
      <c r="E295" s="21"/>
      <c r="F295" s="21"/>
    </row>
    <row r="296" ht="15.75" customHeight="1">
      <c r="A296" s="21"/>
      <c r="B296" s="21"/>
      <c r="C296" s="21"/>
      <c r="D296" s="21"/>
      <c r="E296" s="21"/>
      <c r="F296" s="21"/>
    </row>
    <row r="297" ht="15.75" customHeight="1">
      <c r="A297" s="21"/>
      <c r="B297" s="21"/>
      <c r="C297" s="21"/>
      <c r="D297" s="21"/>
      <c r="E297" s="21"/>
      <c r="F297" s="21"/>
    </row>
    <row r="298" ht="15.75" customHeight="1">
      <c r="A298" s="21"/>
      <c r="B298" s="21"/>
      <c r="C298" s="21"/>
      <c r="D298" s="21"/>
      <c r="E298" s="21"/>
      <c r="F298" s="21"/>
    </row>
    <row r="299" ht="15.75" customHeight="1">
      <c r="A299" s="21"/>
      <c r="B299" s="21"/>
      <c r="C299" s="21"/>
      <c r="D299" s="21"/>
      <c r="E299" s="21"/>
      <c r="F299" s="21"/>
    </row>
    <row r="300" ht="15.75" customHeight="1">
      <c r="A300" s="21"/>
      <c r="B300" s="21"/>
      <c r="C300" s="21"/>
      <c r="D300" s="21"/>
      <c r="E300" s="21"/>
      <c r="F300" s="21"/>
    </row>
    <row r="301" ht="15.75" customHeight="1">
      <c r="A301" s="21"/>
      <c r="B301" s="21"/>
      <c r="C301" s="21"/>
      <c r="D301" s="21"/>
      <c r="E301" s="21"/>
      <c r="F301" s="21"/>
    </row>
    <row r="302" ht="15.75" customHeight="1">
      <c r="A302" s="21"/>
      <c r="B302" s="21"/>
      <c r="C302" s="21"/>
      <c r="D302" s="21"/>
      <c r="E302" s="21"/>
      <c r="F302" s="21"/>
    </row>
    <row r="303" ht="15.75" customHeight="1">
      <c r="A303" s="21"/>
      <c r="B303" s="21"/>
      <c r="C303" s="21"/>
      <c r="D303" s="21"/>
      <c r="E303" s="21"/>
      <c r="F303" s="21"/>
    </row>
    <row r="304" ht="15.75" customHeight="1">
      <c r="A304" s="21"/>
      <c r="B304" s="21"/>
      <c r="C304" s="21"/>
      <c r="D304" s="21"/>
      <c r="E304" s="21"/>
      <c r="F304" s="21"/>
    </row>
    <row r="305" ht="15.75" customHeight="1">
      <c r="A305" s="21"/>
      <c r="B305" s="21"/>
      <c r="C305" s="21"/>
      <c r="D305" s="21"/>
      <c r="E305" s="21"/>
      <c r="F305" s="21"/>
    </row>
    <row r="306" ht="15.75" customHeight="1">
      <c r="A306" s="21"/>
      <c r="B306" s="21"/>
      <c r="C306" s="21"/>
      <c r="D306" s="21"/>
      <c r="E306" s="21"/>
      <c r="F306" s="21"/>
    </row>
    <row r="307" ht="15.75" customHeight="1">
      <c r="A307" s="21"/>
      <c r="B307" s="21"/>
      <c r="C307" s="21"/>
      <c r="D307" s="21"/>
      <c r="E307" s="21"/>
      <c r="F307" s="21"/>
    </row>
    <row r="308" ht="15.75" customHeight="1">
      <c r="A308" s="21"/>
      <c r="B308" s="21"/>
      <c r="C308" s="21"/>
      <c r="D308" s="21"/>
      <c r="E308" s="21"/>
      <c r="F308" s="21"/>
    </row>
    <row r="309" ht="15.75" customHeight="1">
      <c r="A309" s="21"/>
      <c r="B309" s="21"/>
      <c r="C309" s="21"/>
      <c r="D309" s="21"/>
      <c r="E309" s="21"/>
      <c r="F309" s="21"/>
    </row>
    <row r="310" ht="15.75" customHeight="1">
      <c r="A310" s="21"/>
      <c r="B310" s="21"/>
      <c r="C310" s="21"/>
      <c r="D310" s="21"/>
      <c r="E310" s="21"/>
      <c r="F310" s="21"/>
    </row>
    <row r="311" ht="15.75" customHeight="1">
      <c r="A311" s="21"/>
      <c r="B311" s="21"/>
      <c r="C311" s="21"/>
      <c r="D311" s="21"/>
      <c r="E311" s="21"/>
      <c r="F311" s="21"/>
    </row>
    <row r="312" ht="15.75" customHeight="1">
      <c r="A312" s="21"/>
      <c r="B312" s="21"/>
      <c r="C312" s="21"/>
      <c r="D312" s="21"/>
      <c r="E312" s="21"/>
      <c r="F312" s="21"/>
    </row>
    <row r="313" ht="15.75" customHeight="1">
      <c r="A313" s="21"/>
      <c r="B313" s="21"/>
      <c r="C313" s="21"/>
      <c r="D313" s="21"/>
      <c r="E313" s="21"/>
      <c r="F313" s="21"/>
    </row>
    <row r="314" ht="15.75" customHeight="1">
      <c r="A314" s="21"/>
      <c r="B314" s="21"/>
      <c r="C314" s="21"/>
      <c r="D314" s="21"/>
      <c r="E314" s="21"/>
      <c r="F314" s="21"/>
    </row>
    <row r="315" ht="15.75" customHeight="1">
      <c r="A315" s="21"/>
      <c r="B315" s="21"/>
      <c r="C315" s="21"/>
      <c r="D315" s="21"/>
      <c r="E315" s="21"/>
      <c r="F315" s="21"/>
    </row>
    <row r="316" ht="15.75" customHeight="1">
      <c r="A316" s="21"/>
      <c r="B316" s="21"/>
      <c r="C316" s="21"/>
      <c r="D316" s="21"/>
      <c r="E316" s="21"/>
      <c r="F316" s="21"/>
    </row>
    <row r="317" ht="15.75" customHeight="1">
      <c r="A317" s="21"/>
      <c r="B317" s="21"/>
      <c r="C317" s="21"/>
      <c r="D317" s="21"/>
      <c r="E317" s="21"/>
      <c r="F317" s="21"/>
    </row>
    <row r="318" ht="15.75" customHeight="1">
      <c r="A318" s="21"/>
      <c r="B318" s="21"/>
      <c r="C318" s="21"/>
      <c r="D318" s="21"/>
      <c r="E318" s="21"/>
      <c r="F318" s="21"/>
    </row>
    <row r="319" ht="15.75" customHeight="1">
      <c r="A319" s="21"/>
      <c r="B319" s="21"/>
      <c r="C319" s="21"/>
      <c r="D319" s="21"/>
      <c r="E319" s="21"/>
      <c r="F319" s="21"/>
    </row>
    <row r="320" ht="15.75" customHeight="1">
      <c r="A320" s="21"/>
      <c r="B320" s="21"/>
      <c r="C320" s="21"/>
      <c r="D320" s="21"/>
      <c r="E320" s="21"/>
      <c r="F320" s="21"/>
    </row>
    <row r="321" ht="15.75" customHeight="1">
      <c r="A321" s="21"/>
      <c r="B321" s="21"/>
      <c r="C321" s="21"/>
      <c r="D321" s="21"/>
      <c r="E321" s="21"/>
      <c r="F321" s="21"/>
    </row>
    <row r="322" ht="15.75" customHeight="1">
      <c r="A322" s="21"/>
      <c r="B322" s="21"/>
      <c r="C322" s="21"/>
      <c r="D322" s="21"/>
      <c r="E322" s="21"/>
      <c r="F322" s="21"/>
    </row>
    <row r="323" ht="15.75" customHeight="1">
      <c r="A323" s="21"/>
      <c r="B323" s="21"/>
      <c r="C323" s="21"/>
      <c r="D323" s="21"/>
      <c r="E323" s="21"/>
      <c r="F323" s="21"/>
    </row>
    <row r="324" ht="15.75" customHeight="1">
      <c r="A324" s="21"/>
      <c r="B324" s="21"/>
      <c r="C324" s="21"/>
      <c r="D324" s="21"/>
      <c r="E324" s="21"/>
      <c r="F324" s="21"/>
    </row>
    <row r="325" ht="15.75" customHeight="1">
      <c r="A325" s="21"/>
      <c r="B325" s="21"/>
      <c r="C325" s="21"/>
      <c r="D325" s="21"/>
      <c r="E325" s="21"/>
      <c r="F325" s="21"/>
    </row>
    <row r="326" ht="15.75" customHeight="1">
      <c r="A326" s="21"/>
      <c r="B326" s="21"/>
      <c r="C326" s="21"/>
      <c r="D326" s="21"/>
      <c r="E326" s="21"/>
      <c r="F326" s="21"/>
    </row>
    <row r="327" ht="15.75" customHeight="1">
      <c r="A327" s="21"/>
      <c r="B327" s="21"/>
      <c r="C327" s="21"/>
      <c r="D327" s="21"/>
      <c r="E327" s="21"/>
      <c r="F327" s="21"/>
    </row>
    <row r="328" ht="15.75" customHeight="1">
      <c r="A328" s="21"/>
      <c r="B328" s="21"/>
      <c r="C328" s="21"/>
      <c r="D328" s="21"/>
      <c r="E328" s="21"/>
      <c r="F328" s="21"/>
    </row>
    <row r="329" ht="15.75" customHeight="1">
      <c r="A329" s="21"/>
      <c r="B329" s="21"/>
      <c r="C329" s="21"/>
      <c r="D329" s="21"/>
      <c r="E329" s="21"/>
      <c r="F329" s="21"/>
    </row>
    <row r="330" ht="15.75" customHeight="1">
      <c r="A330" s="21"/>
      <c r="B330" s="21"/>
      <c r="C330" s="21"/>
      <c r="D330" s="21"/>
      <c r="E330" s="21"/>
      <c r="F330" s="21"/>
    </row>
    <row r="331" ht="15.75" customHeight="1">
      <c r="A331" s="21"/>
      <c r="B331" s="21"/>
      <c r="C331" s="21"/>
      <c r="D331" s="21"/>
      <c r="E331" s="21"/>
      <c r="F331" s="21"/>
    </row>
    <row r="332" ht="15.75" customHeight="1">
      <c r="A332" s="21"/>
      <c r="B332" s="21"/>
      <c r="C332" s="21"/>
      <c r="D332" s="21"/>
      <c r="E332" s="21"/>
      <c r="F332" s="21"/>
    </row>
    <row r="333" ht="15.75" customHeight="1">
      <c r="A333" s="21"/>
      <c r="B333" s="21"/>
      <c r="C333" s="21"/>
      <c r="D333" s="21"/>
      <c r="E333" s="21"/>
      <c r="F333" s="21"/>
    </row>
    <row r="334" ht="15.75" customHeight="1">
      <c r="A334" s="21"/>
      <c r="B334" s="21"/>
      <c r="C334" s="21"/>
      <c r="D334" s="21"/>
      <c r="E334" s="21"/>
      <c r="F334" s="21"/>
    </row>
    <row r="335" ht="15.75" customHeight="1">
      <c r="A335" s="21"/>
      <c r="B335" s="21"/>
      <c r="C335" s="21"/>
      <c r="D335" s="21"/>
      <c r="E335" s="21"/>
      <c r="F335" s="21"/>
    </row>
    <row r="336" ht="15.75" customHeight="1">
      <c r="A336" s="21"/>
      <c r="B336" s="21"/>
      <c r="C336" s="21"/>
      <c r="D336" s="21"/>
      <c r="E336" s="21"/>
      <c r="F336" s="21"/>
    </row>
    <row r="337" ht="15.75" customHeight="1">
      <c r="A337" s="21"/>
      <c r="B337" s="21"/>
      <c r="C337" s="21"/>
      <c r="D337" s="21"/>
      <c r="E337" s="21"/>
      <c r="F337" s="21"/>
    </row>
    <row r="338" ht="15.75" customHeight="1">
      <c r="A338" s="21"/>
      <c r="B338" s="21"/>
      <c r="C338" s="21"/>
      <c r="D338" s="21"/>
      <c r="E338" s="21"/>
      <c r="F338" s="21"/>
    </row>
    <row r="339" ht="15.75" customHeight="1">
      <c r="A339" s="21"/>
      <c r="B339" s="21"/>
      <c r="C339" s="21"/>
      <c r="D339" s="21"/>
      <c r="E339" s="21"/>
      <c r="F339" s="21"/>
    </row>
    <row r="340" ht="15.75" customHeight="1">
      <c r="A340" s="21"/>
      <c r="B340" s="21"/>
      <c r="C340" s="21"/>
      <c r="D340" s="21"/>
      <c r="E340" s="21"/>
      <c r="F340" s="21"/>
    </row>
    <row r="341" ht="15.75" customHeight="1">
      <c r="A341" s="21"/>
      <c r="B341" s="21"/>
      <c r="C341" s="21"/>
      <c r="D341" s="21"/>
      <c r="E341" s="21"/>
      <c r="F341" s="21"/>
    </row>
    <row r="342" ht="15.75" customHeight="1">
      <c r="A342" s="21"/>
      <c r="B342" s="21"/>
      <c r="C342" s="21"/>
      <c r="D342" s="21"/>
      <c r="E342" s="21"/>
      <c r="F342" s="21"/>
    </row>
    <row r="343" ht="15.75" customHeight="1">
      <c r="A343" s="21"/>
      <c r="B343" s="21"/>
      <c r="C343" s="21"/>
      <c r="D343" s="21"/>
      <c r="E343" s="21"/>
      <c r="F343" s="21"/>
    </row>
    <row r="344" ht="15.75" customHeight="1">
      <c r="A344" s="21"/>
      <c r="B344" s="21"/>
      <c r="C344" s="21"/>
      <c r="D344" s="21"/>
      <c r="E344" s="21"/>
      <c r="F344" s="21"/>
    </row>
    <row r="345" ht="15.75" customHeight="1">
      <c r="A345" s="21"/>
      <c r="B345" s="21"/>
      <c r="C345" s="21"/>
      <c r="D345" s="21"/>
      <c r="E345" s="21"/>
      <c r="F345" s="21"/>
    </row>
    <row r="346" ht="15.75" customHeight="1">
      <c r="A346" s="21"/>
      <c r="B346" s="21"/>
      <c r="C346" s="21"/>
      <c r="D346" s="21"/>
      <c r="E346" s="21"/>
      <c r="F346" s="21"/>
    </row>
    <row r="347" ht="15.75" customHeight="1">
      <c r="A347" s="21"/>
      <c r="B347" s="21"/>
      <c r="C347" s="21"/>
      <c r="D347" s="21"/>
      <c r="E347" s="21"/>
      <c r="F347" s="21"/>
    </row>
    <row r="348" ht="15.75" customHeight="1">
      <c r="A348" s="21"/>
      <c r="B348" s="21"/>
      <c r="C348" s="21"/>
      <c r="D348" s="21"/>
      <c r="E348" s="21"/>
      <c r="F348" s="21"/>
    </row>
    <row r="349" ht="15.75" customHeight="1">
      <c r="A349" s="21"/>
      <c r="B349" s="21"/>
      <c r="C349" s="21"/>
      <c r="D349" s="21"/>
      <c r="E349" s="21"/>
      <c r="F349" s="21"/>
    </row>
    <row r="350" ht="15.75" customHeight="1">
      <c r="A350" s="21"/>
      <c r="B350" s="21"/>
      <c r="C350" s="21"/>
      <c r="D350" s="21"/>
      <c r="E350" s="21"/>
      <c r="F350" s="21"/>
    </row>
    <row r="351" ht="15.75" customHeight="1">
      <c r="A351" s="21"/>
      <c r="B351" s="21"/>
      <c r="C351" s="21"/>
      <c r="D351" s="21"/>
      <c r="E351" s="21"/>
      <c r="F351" s="21"/>
    </row>
    <row r="352" ht="15.75" customHeight="1">
      <c r="A352" s="21"/>
      <c r="B352" s="21"/>
      <c r="C352" s="21"/>
      <c r="D352" s="21"/>
      <c r="E352" s="21"/>
      <c r="F352" s="21"/>
    </row>
    <row r="353" ht="15.75" customHeight="1">
      <c r="A353" s="21"/>
      <c r="B353" s="21"/>
      <c r="C353" s="21"/>
      <c r="D353" s="21"/>
      <c r="E353" s="21"/>
      <c r="F353" s="21"/>
    </row>
    <row r="354" ht="15.75" customHeight="1">
      <c r="A354" s="21"/>
      <c r="B354" s="21"/>
      <c r="C354" s="21"/>
      <c r="D354" s="21"/>
      <c r="E354" s="21"/>
      <c r="F354" s="21"/>
    </row>
    <row r="355" ht="15.75" customHeight="1">
      <c r="A355" s="21"/>
      <c r="B355" s="21"/>
      <c r="C355" s="21"/>
      <c r="D355" s="21"/>
      <c r="E355" s="21"/>
      <c r="F355" s="21"/>
    </row>
    <row r="356" ht="15.75" customHeight="1">
      <c r="A356" s="21"/>
      <c r="B356" s="21"/>
      <c r="C356" s="21"/>
      <c r="D356" s="21"/>
      <c r="E356" s="21"/>
      <c r="F356" s="21"/>
    </row>
    <row r="357" ht="15.75" customHeight="1">
      <c r="A357" s="21"/>
      <c r="B357" s="21"/>
      <c r="C357" s="21"/>
      <c r="D357" s="21"/>
      <c r="E357" s="21"/>
      <c r="F357" s="21"/>
    </row>
    <row r="358" ht="15.75" customHeight="1">
      <c r="A358" s="21"/>
      <c r="B358" s="21"/>
      <c r="C358" s="21"/>
      <c r="D358" s="21"/>
      <c r="E358" s="21"/>
      <c r="F358" s="21"/>
    </row>
    <row r="359" ht="15.75" customHeight="1">
      <c r="A359" s="21"/>
      <c r="B359" s="21"/>
      <c r="C359" s="21"/>
      <c r="D359" s="21"/>
      <c r="E359" s="21"/>
      <c r="F359" s="21"/>
    </row>
    <row r="360" ht="15.75" customHeight="1">
      <c r="A360" s="21"/>
      <c r="B360" s="21"/>
      <c r="C360" s="21"/>
      <c r="D360" s="21"/>
      <c r="E360" s="21"/>
      <c r="F360" s="21"/>
    </row>
    <row r="361" ht="15.75" customHeight="1">
      <c r="A361" s="21"/>
      <c r="B361" s="21"/>
      <c r="C361" s="21"/>
      <c r="D361" s="21"/>
      <c r="E361" s="21"/>
      <c r="F361" s="21"/>
    </row>
    <row r="362" ht="15.75" customHeight="1">
      <c r="A362" s="21"/>
      <c r="B362" s="21"/>
      <c r="C362" s="21"/>
      <c r="D362" s="21"/>
      <c r="E362" s="21"/>
      <c r="F362" s="21"/>
    </row>
    <row r="363" ht="15.75" customHeight="1">
      <c r="A363" s="21"/>
      <c r="B363" s="21"/>
      <c r="C363" s="21"/>
      <c r="D363" s="21"/>
      <c r="E363" s="21"/>
      <c r="F363" s="21"/>
    </row>
    <row r="364" ht="15.75" customHeight="1">
      <c r="A364" s="21"/>
      <c r="B364" s="21"/>
      <c r="C364" s="21"/>
      <c r="D364" s="21"/>
      <c r="E364" s="21"/>
      <c r="F364" s="21"/>
    </row>
    <row r="365" ht="15.75" customHeight="1">
      <c r="A365" s="21"/>
      <c r="B365" s="21"/>
      <c r="C365" s="21"/>
      <c r="D365" s="21"/>
      <c r="E365" s="21"/>
      <c r="F365" s="21"/>
    </row>
    <row r="366" ht="15.75" customHeight="1">
      <c r="A366" s="21"/>
      <c r="B366" s="21"/>
      <c r="C366" s="21"/>
      <c r="D366" s="21"/>
      <c r="E366" s="21"/>
      <c r="F366" s="21"/>
    </row>
    <row r="367" ht="15.75" customHeight="1">
      <c r="A367" s="21"/>
      <c r="B367" s="21"/>
      <c r="C367" s="21"/>
      <c r="D367" s="21"/>
      <c r="E367" s="21"/>
      <c r="F367" s="21"/>
    </row>
    <row r="368" ht="15.75" customHeight="1">
      <c r="A368" s="21"/>
      <c r="B368" s="21"/>
      <c r="C368" s="21"/>
      <c r="D368" s="21"/>
      <c r="E368" s="21"/>
      <c r="F368" s="21"/>
    </row>
    <row r="369" ht="15.75" customHeight="1">
      <c r="A369" s="21"/>
      <c r="B369" s="21"/>
      <c r="C369" s="21"/>
      <c r="D369" s="21"/>
      <c r="E369" s="21"/>
      <c r="F369" s="21"/>
    </row>
    <row r="370" ht="15.75" customHeight="1">
      <c r="A370" s="21"/>
      <c r="B370" s="21"/>
      <c r="C370" s="21"/>
      <c r="D370" s="21"/>
      <c r="E370" s="21"/>
      <c r="F370" s="21"/>
    </row>
    <row r="371" ht="15.75" customHeight="1">
      <c r="A371" s="21"/>
      <c r="B371" s="21"/>
      <c r="C371" s="21"/>
      <c r="D371" s="21"/>
      <c r="E371" s="21"/>
      <c r="F371" s="21"/>
    </row>
    <row r="372" ht="15.75" customHeight="1">
      <c r="A372" s="21"/>
      <c r="B372" s="21"/>
      <c r="C372" s="21"/>
      <c r="D372" s="21"/>
      <c r="E372" s="21"/>
      <c r="F372" s="21"/>
    </row>
    <row r="373" ht="15.75" customHeight="1">
      <c r="A373" s="21"/>
      <c r="B373" s="21"/>
      <c r="C373" s="21"/>
      <c r="D373" s="21"/>
      <c r="E373" s="21"/>
      <c r="F373" s="21"/>
    </row>
    <row r="374" ht="15.75" customHeight="1">
      <c r="A374" s="21"/>
      <c r="B374" s="21"/>
      <c r="C374" s="21"/>
      <c r="D374" s="21"/>
      <c r="E374" s="21"/>
      <c r="F374" s="21"/>
    </row>
    <row r="375" ht="15.75" customHeight="1">
      <c r="A375" s="21"/>
      <c r="B375" s="21"/>
      <c r="C375" s="21"/>
      <c r="D375" s="21"/>
      <c r="E375" s="21"/>
      <c r="F375" s="21"/>
    </row>
    <row r="376" ht="15.75" customHeight="1">
      <c r="A376" s="21"/>
      <c r="B376" s="21"/>
      <c r="C376" s="21"/>
      <c r="D376" s="21"/>
      <c r="E376" s="21"/>
      <c r="F376" s="21"/>
    </row>
    <row r="377" ht="15.75" customHeight="1">
      <c r="A377" s="21"/>
      <c r="B377" s="21"/>
      <c r="C377" s="21"/>
      <c r="D377" s="21"/>
      <c r="E377" s="21"/>
      <c r="F377" s="21"/>
    </row>
    <row r="378" ht="15.75" customHeight="1">
      <c r="A378" s="21"/>
      <c r="B378" s="21"/>
      <c r="C378" s="21"/>
      <c r="D378" s="21"/>
      <c r="E378" s="21"/>
      <c r="F378" s="21"/>
    </row>
    <row r="379" ht="15.75" customHeight="1">
      <c r="A379" s="21"/>
      <c r="B379" s="21"/>
      <c r="C379" s="21"/>
      <c r="D379" s="21"/>
      <c r="E379" s="21"/>
      <c r="F379" s="21"/>
    </row>
    <row r="380" ht="15.75" customHeight="1">
      <c r="A380" s="21"/>
      <c r="B380" s="21"/>
      <c r="C380" s="21"/>
      <c r="D380" s="21"/>
      <c r="E380" s="21"/>
      <c r="F380" s="21"/>
    </row>
    <row r="381" ht="15.75" customHeight="1">
      <c r="A381" s="21"/>
      <c r="B381" s="21"/>
      <c r="C381" s="21"/>
      <c r="D381" s="21"/>
      <c r="E381" s="21"/>
      <c r="F381" s="21"/>
    </row>
    <row r="382" ht="15.75" customHeight="1">
      <c r="A382" s="21"/>
      <c r="B382" s="21"/>
      <c r="C382" s="21"/>
      <c r="D382" s="21"/>
      <c r="E382" s="21"/>
      <c r="F382" s="21"/>
    </row>
    <row r="383" ht="15.75" customHeight="1">
      <c r="A383" s="21"/>
      <c r="B383" s="21"/>
      <c r="C383" s="21"/>
      <c r="D383" s="21"/>
      <c r="E383" s="21"/>
      <c r="F383" s="21"/>
    </row>
    <row r="384" ht="15.75" customHeight="1">
      <c r="A384" s="21"/>
      <c r="B384" s="21"/>
      <c r="C384" s="21"/>
      <c r="D384" s="21"/>
      <c r="E384" s="21"/>
      <c r="F384" s="21"/>
    </row>
    <row r="385" ht="15.75" customHeight="1">
      <c r="A385" s="21"/>
      <c r="B385" s="21"/>
      <c r="C385" s="21"/>
      <c r="D385" s="21"/>
      <c r="E385" s="21"/>
      <c r="F385" s="21"/>
    </row>
    <row r="386" ht="15.75" customHeight="1">
      <c r="A386" s="21"/>
      <c r="B386" s="21"/>
      <c r="C386" s="21"/>
      <c r="D386" s="21"/>
      <c r="E386" s="21"/>
      <c r="F386" s="21"/>
    </row>
    <row r="387" ht="15.75" customHeight="1">
      <c r="A387" s="21"/>
      <c r="B387" s="21"/>
      <c r="C387" s="21"/>
      <c r="D387" s="21"/>
      <c r="E387" s="21"/>
      <c r="F387" s="21"/>
    </row>
    <row r="388" ht="15.75" customHeight="1">
      <c r="A388" s="21"/>
      <c r="B388" s="21"/>
      <c r="C388" s="21"/>
      <c r="D388" s="21"/>
      <c r="E388" s="21"/>
      <c r="F388" s="21"/>
    </row>
    <row r="389" ht="15.75" customHeight="1">
      <c r="A389" s="21"/>
      <c r="B389" s="21"/>
      <c r="C389" s="21"/>
      <c r="D389" s="21"/>
      <c r="E389" s="21"/>
      <c r="F389" s="21"/>
    </row>
    <row r="390" ht="15.75" customHeight="1">
      <c r="A390" s="21"/>
      <c r="B390" s="21"/>
      <c r="C390" s="21"/>
      <c r="D390" s="21"/>
      <c r="E390" s="21"/>
      <c r="F390" s="21"/>
    </row>
    <row r="391" ht="15.75" customHeight="1">
      <c r="A391" s="21"/>
      <c r="B391" s="21"/>
      <c r="C391" s="21"/>
      <c r="D391" s="21"/>
      <c r="E391" s="21"/>
      <c r="F391" s="21"/>
    </row>
    <row r="392" ht="15.75" customHeight="1">
      <c r="A392" s="21"/>
      <c r="B392" s="21"/>
      <c r="C392" s="21"/>
      <c r="D392" s="21"/>
      <c r="E392" s="21"/>
      <c r="F392" s="21"/>
    </row>
    <row r="393" ht="15.75" customHeight="1">
      <c r="A393" s="21"/>
      <c r="B393" s="21"/>
      <c r="C393" s="21"/>
      <c r="D393" s="21"/>
      <c r="E393" s="21"/>
      <c r="F393" s="21"/>
    </row>
    <row r="394" ht="15.75" customHeight="1">
      <c r="A394" s="21"/>
      <c r="B394" s="21"/>
      <c r="C394" s="21"/>
      <c r="D394" s="21"/>
      <c r="E394" s="21"/>
      <c r="F394" s="21"/>
    </row>
    <row r="395" ht="15.75" customHeight="1">
      <c r="A395" s="21"/>
      <c r="B395" s="21"/>
      <c r="C395" s="21"/>
      <c r="D395" s="21"/>
      <c r="E395" s="21"/>
      <c r="F395" s="21"/>
    </row>
    <row r="396" ht="15.75" customHeight="1">
      <c r="A396" s="21"/>
      <c r="B396" s="21"/>
      <c r="C396" s="21"/>
      <c r="D396" s="21"/>
      <c r="E396" s="21"/>
      <c r="F396" s="21"/>
    </row>
    <row r="397" ht="15.75" customHeight="1">
      <c r="A397" s="21"/>
      <c r="B397" s="21"/>
      <c r="C397" s="21"/>
      <c r="D397" s="21"/>
      <c r="E397" s="21"/>
      <c r="F397" s="21"/>
    </row>
    <row r="398" ht="15.75" customHeight="1">
      <c r="A398" s="21"/>
      <c r="B398" s="21"/>
      <c r="C398" s="21"/>
      <c r="D398" s="21"/>
      <c r="E398" s="21"/>
      <c r="F398" s="21"/>
    </row>
    <row r="399" ht="15.75" customHeight="1">
      <c r="A399" s="21"/>
      <c r="B399" s="21"/>
      <c r="C399" s="21"/>
      <c r="D399" s="21"/>
      <c r="E399" s="21"/>
      <c r="F399" s="21"/>
    </row>
    <row r="400" ht="15.75" customHeight="1">
      <c r="A400" s="21"/>
      <c r="B400" s="21"/>
      <c r="C400" s="21"/>
      <c r="D400" s="21"/>
      <c r="E400" s="21"/>
      <c r="F400" s="21"/>
    </row>
    <row r="401" ht="15.75" customHeight="1">
      <c r="A401" s="21"/>
      <c r="B401" s="21"/>
      <c r="C401" s="21"/>
      <c r="D401" s="21"/>
      <c r="E401" s="21"/>
      <c r="F401" s="21"/>
    </row>
    <row r="402" ht="15.75" customHeight="1">
      <c r="A402" s="21"/>
      <c r="B402" s="21"/>
      <c r="C402" s="21"/>
      <c r="D402" s="21"/>
      <c r="E402" s="21"/>
      <c r="F402" s="21"/>
    </row>
    <row r="403" ht="15.75" customHeight="1">
      <c r="A403" s="21"/>
      <c r="B403" s="21"/>
      <c r="C403" s="21"/>
      <c r="D403" s="21"/>
      <c r="E403" s="21"/>
      <c r="F403" s="21"/>
    </row>
    <row r="404" ht="15.75" customHeight="1">
      <c r="A404" s="21"/>
      <c r="B404" s="21"/>
      <c r="C404" s="21"/>
      <c r="D404" s="21"/>
      <c r="E404" s="21"/>
      <c r="F404" s="21"/>
    </row>
    <row r="405" ht="15.75" customHeight="1">
      <c r="A405" s="21"/>
      <c r="B405" s="21"/>
      <c r="C405" s="21"/>
      <c r="D405" s="21"/>
      <c r="E405" s="21"/>
      <c r="F405" s="21"/>
    </row>
    <row r="406" ht="15.75" customHeight="1">
      <c r="A406" s="21"/>
      <c r="B406" s="21"/>
      <c r="C406" s="21"/>
      <c r="D406" s="21"/>
      <c r="E406" s="21"/>
      <c r="F406" s="21"/>
    </row>
    <row r="407" ht="15.75" customHeight="1">
      <c r="A407" s="21"/>
      <c r="B407" s="21"/>
      <c r="C407" s="21"/>
      <c r="D407" s="21"/>
      <c r="E407" s="21"/>
      <c r="F407" s="21"/>
    </row>
    <row r="408" ht="15.75" customHeight="1">
      <c r="A408" s="21"/>
      <c r="B408" s="21"/>
      <c r="C408" s="21"/>
      <c r="D408" s="21"/>
      <c r="E408" s="21"/>
      <c r="F408" s="21"/>
    </row>
    <row r="409" ht="15.75" customHeight="1">
      <c r="A409" s="21"/>
      <c r="B409" s="21"/>
      <c r="C409" s="21"/>
      <c r="D409" s="21"/>
      <c r="E409" s="21"/>
      <c r="F409" s="21"/>
    </row>
    <row r="410" ht="15.75" customHeight="1">
      <c r="A410" s="21"/>
      <c r="B410" s="21"/>
      <c r="C410" s="21"/>
      <c r="D410" s="21"/>
      <c r="E410" s="21"/>
      <c r="F410" s="21"/>
    </row>
    <row r="411" ht="15.75" customHeight="1">
      <c r="A411" s="21"/>
      <c r="B411" s="21"/>
      <c r="C411" s="21"/>
      <c r="D411" s="21"/>
      <c r="E411" s="21"/>
      <c r="F411" s="21"/>
    </row>
    <row r="412" ht="15.75" customHeight="1">
      <c r="A412" s="21"/>
      <c r="B412" s="21"/>
      <c r="C412" s="21"/>
      <c r="D412" s="21"/>
      <c r="E412" s="21"/>
      <c r="F412" s="21"/>
    </row>
    <row r="413" ht="15.75" customHeight="1">
      <c r="A413" s="21"/>
      <c r="B413" s="21"/>
      <c r="C413" s="21"/>
      <c r="D413" s="21"/>
      <c r="E413" s="21"/>
      <c r="F413" s="21"/>
    </row>
    <row r="414" ht="15.75" customHeight="1">
      <c r="A414" s="21"/>
      <c r="B414" s="21"/>
      <c r="C414" s="21"/>
      <c r="D414" s="21"/>
      <c r="E414" s="21"/>
      <c r="F414" s="21"/>
    </row>
    <row r="415" ht="15.75" customHeight="1">
      <c r="A415" s="21"/>
      <c r="B415" s="21"/>
      <c r="C415" s="21"/>
      <c r="D415" s="21"/>
      <c r="E415" s="21"/>
      <c r="F415" s="21"/>
    </row>
    <row r="416" ht="15.75" customHeight="1">
      <c r="A416" s="21"/>
      <c r="B416" s="21"/>
      <c r="C416" s="21"/>
      <c r="D416" s="21"/>
      <c r="E416" s="21"/>
      <c r="F416" s="21"/>
    </row>
    <row r="417" ht="15.75" customHeight="1">
      <c r="A417" s="21"/>
      <c r="B417" s="21"/>
      <c r="C417" s="21"/>
      <c r="D417" s="21"/>
      <c r="E417" s="21"/>
      <c r="F417" s="21"/>
    </row>
    <row r="418" ht="15.75" customHeight="1">
      <c r="A418" s="21"/>
      <c r="B418" s="21"/>
      <c r="C418" s="21"/>
      <c r="D418" s="21"/>
      <c r="E418" s="21"/>
      <c r="F418" s="21"/>
    </row>
    <row r="419" ht="15.75" customHeight="1">
      <c r="A419" s="21"/>
      <c r="B419" s="21"/>
      <c r="C419" s="21"/>
      <c r="D419" s="21"/>
      <c r="E419" s="21"/>
      <c r="F419" s="21"/>
    </row>
    <row r="420" ht="15.75" customHeight="1">
      <c r="A420" s="21"/>
      <c r="B420" s="21"/>
      <c r="C420" s="21"/>
      <c r="D420" s="21"/>
      <c r="E420" s="21"/>
      <c r="F420" s="21"/>
    </row>
    <row r="421" ht="15.75" customHeight="1">
      <c r="A421" s="21"/>
      <c r="B421" s="21"/>
      <c r="C421" s="21"/>
      <c r="D421" s="21"/>
      <c r="E421" s="21"/>
      <c r="F421" s="21"/>
    </row>
    <row r="422" ht="15.75" customHeight="1">
      <c r="A422" s="21"/>
      <c r="B422" s="21"/>
      <c r="C422" s="21"/>
      <c r="D422" s="21"/>
      <c r="E422" s="21"/>
      <c r="F422" s="21"/>
    </row>
    <row r="423" ht="15.75" customHeight="1">
      <c r="A423" s="21"/>
      <c r="B423" s="21"/>
      <c r="C423" s="21"/>
      <c r="D423" s="21"/>
      <c r="E423" s="21"/>
      <c r="F423" s="21"/>
    </row>
    <row r="424" ht="15.75" customHeight="1">
      <c r="A424" s="21"/>
      <c r="B424" s="21"/>
      <c r="C424" s="21"/>
      <c r="D424" s="21"/>
      <c r="E424" s="21"/>
      <c r="F424" s="21"/>
    </row>
    <row r="425" ht="15.75" customHeight="1">
      <c r="A425" s="21"/>
      <c r="B425" s="21"/>
      <c r="C425" s="21"/>
      <c r="D425" s="21"/>
      <c r="E425" s="21"/>
      <c r="F425" s="21"/>
    </row>
    <row r="426" ht="15.75" customHeight="1">
      <c r="A426" s="21"/>
      <c r="B426" s="21"/>
      <c r="C426" s="21"/>
      <c r="D426" s="21"/>
      <c r="E426" s="21"/>
      <c r="F426" s="21"/>
    </row>
    <row r="427" ht="15.75" customHeight="1">
      <c r="A427" s="21"/>
      <c r="B427" s="21"/>
      <c r="C427" s="21"/>
      <c r="D427" s="21"/>
      <c r="E427" s="21"/>
      <c r="F427" s="21"/>
    </row>
    <row r="428" ht="15.75" customHeight="1">
      <c r="A428" s="21"/>
      <c r="B428" s="21"/>
      <c r="C428" s="21"/>
      <c r="D428" s="21"/>
      <c r="E428" s="21"/>
      <c r="F428" s="21"/>
    </row>
    <row r="429" ht="15.75" customHeight="1">
      <c r="A429" s="21"/>
      <c r="B429" s="21"/>
      <c r="C429" s="21"/>
      <c r="D429" s="21"/>
      <c r="E429" s="21"/>
      <c r="F429" s="21"/>
    </row>
    <row r="430" ht="15.75" customHeight="1">
      <c r="A430" s="21"/>
      <c r="B430" s="21"/>
      <c r="C430" s="21"/>
      <c r="D430" s="21"/>
      <c r="E430" s="21"/>
      <c r="F430" s="21"/>
    </row>
    <row r="431" ht="15.75" customHeight="1">
      <c r="A431" s="21"/>
      <c r="B431" s="21"/>
      <c r="C431" s="21"/>
      <c r="D431" s="21"/>
      <c r="E431" s="21"/>
      <c r="F431" s="21"/>
    </row>
    <row r="432" ht="15.75" customHeight="1">
      <c r="A432" s="21"/>
      <c r="B432" s="21"/>
      <c r="C432" s="21"/>
      <c r="D432" s="21"/>
      <c r="E432" s="21"/>
      <c r="F432" s="21"/>
    </row>
    <row r="433" ht="15.75" customHeight="1">
      <c r="A433" s="21"/>
      <c r="B433" s="21"/>
      <c r="C433" s="21"/>
      <c r="D433" s="21"/>
      <c r="E433" s="21"/>
      <c r="F433" s="21"/>
    </row>
    <row r="434" ht="15.75" customHeight="1">
      <c r="A434" s="21"/>
      <c r="B434" s="21"/>
      <c r="C434" s="21"/>
      <c r="D434" s="21"/>
      <c r="E434" s="21"/>
      <c r="F434" s="21"/>
    </row>
    <row r="435" ht="15.75" customHeight="1">
      <c r="A435" s="21"/>
      <c r="B435" s="21"/>
      <c r="C435" s="21"/>
      <c r="D435" s="21"/>
      <c r="E435" s="21"/>
      <c r="F435" s="21"/>
    </row>
    <row r="436" ht="15.75" customHeight="1">
      <c r="A436" s="21"/>
      <c r="B436" s="21"/>
      <c r="C436" s="21"/>
      <c r="D436" s="21"/>
      <c r="E436" s="21"/>
      <c r="F436" s="21"/>
    </row>
    <row r="437" ht="15.75" customHeight="1">
      <c r="A437" s="21"/>
      <c r="B437" s="21"/>
      <c r="C437" s="21"/>
      <c r="D437" s="21"/>
      <c r="E437" s="21"/>
      <c r="F437" s="21"/>
    </row>
    <row r="438" ht="15.75" customHeight="1">
      <c r="A438" s="21"/>
      <c r="B438" s="21"/>
      <c r="C438" s="21"/>
      <c r="D438" s="21"/>
      <c r="E438" s="21"/>
      <c r="F438" s="21"/>
    </row>
    <row r="439" ht="15.75" customHeight="1">
      <c r="A439" s="21"/>
      <c r="B439" s="21"/>
      <c r="C439" s="21"/>
      <c r="D439" s="21"/>
      <c r="E439" s="21"/>
      <c r="F439" s="21"/>
    </row>
    <row r="440" ht="15.75" customHeight="1">
      <c r="A440" s="21"/>
      <c r="B440" s="21"/>
      <c r="C440" s="21"/>
      <c r="D440" s="21"/>
      <c r="E440" s="21"/>
      <c r="F440" s="21"/>
    </row>
    <row r="441" ht="15.75" customHeight="1">
      <c r="A441" s="21"/>
      <c r="B441" s="21"/>
      <c r="C441" s="21"/>
      <c r="D441" s="21"/>
      <c r="E441" s="21"/>
      <c r="F441" s="21"/>
    </row>
    <row r="442" ht="15.75" customHeight="1">
      <c r="A442" s="21"/>
      <c r="B442" s="21"/>
      <c r="C442" s="21"/>
      <c r="D442" s="21"/>
      <c r="E442" s="21"/>
      <c r="F442" s="21"/>
    </row>
    <row r="443" ht="15.75" customHeight="1">
      <c r="A443" s="21"/>
      <c r="B443" s="21"/>
      <c r="C443" s="21"/>
      <c r="D443" s="21"/>
      <c r="E443" s="21"/>
      <c r="F443" s="21"/>
    </row>
    <row r="444" ht="15.75" customHeight="1">
      <c r="A444" s="21"/>
      <c r="B444" s="21"/>
      <c r="C444" s="21"/>
      <c r="D444" s="21"/>
      <c r="E444" s="21"/>
      <c r="F444" s="21"/>
    </row>
    <row r="445" ht="15.75" customHeight="1">
      <c r="A445" s="21"/>
      <c r="B445" s="21"/>
      <c r="C445" s="21"/>
      <c r="D445" s="21"/>
      <c r="E445" s="21"/>
      <c r="F445" s="21"/>
    </row>
    <row r="446" ht="15.75" customHeight="1">
      <c r="A446" s="21"/>
      <c r="B446" s="21"/>
      <c r="C446" s="21"/>
      <c r="D446" s="21"/>
      <c r="E446" s="21"/>
      <c r="F446" s="21"/>
    </row>
    <row r="447" ht="15.75" customHeight="1">
      <c r="A447" s="21"/>
      <c r="B447" s="21"/>
      <c r="C447" s="21"/>
      <c r="D447" s="21"/>
      <c r="E447" s="21"/>
      <c r="F447" s="21"/>
    </row>
    <row r="448" ht="15.75" customHeight="1">
      <c r="A448" s="21"/>
      <c r="B448" s="21"/>
      <c r="C448" s="21"/>
      <c r="D448" s="21"/>
      <c r="E448" s="21"/>
      <c r="F448" s="21"/>
    </row>
    <row r="449" ht="15.75" customHeight="1">
      <c r="A449" s="21"/>
      <c r="B449" s="21"/>
      <c r="C449" s="21"/>
      <c r="D449" s="21"/>
      <c r="E449" s="21"/>
      <c r="F449" s="21"/>
    </row>
    <row r="450" ht="15.75" customHeight="1">
      <c r="A450" s="21"/>
      <c r="B450" s="21"/>
      <c r="C450" s="21"/>
      <c r="D450" s="21"/>
      <c r="E450" s="21"/>
      <c r="F450" s="21"/>
    </row>
    <row r="451" ht="15.75" customHeight="1">
      <c r="A451" s="21"/>
      <c r="B451" s="21"/>
      <c r="C451" s="21"/>
      <c r="D451" s="21"/>
      <c r="E451" s="21"/>
      <c r="F451" s="21"/>
    </row>
    <row r="452" ht="15.75" customHeight="1">
      <c r="A452" s="21"/>
      <c r="B452" s="21"/>
      <c r="C452" s="21"/>
      <c r="D452" s="21"/>
      <c r="E452" s="21"/>
      <c r="F452" s="21"/>
    </row>
    <row r="453" ht="15.75" customHeight="1">
      <c r="A453" s="21"/>
      <c r="B453" s="21"/>
      <c r="C453" s="21"/>
      <c r="D453" s="21"/>
      <c r="E453" s="21"/>
      <c r="F453" s="21"/>
    </row>
    <row r="454" ht="15.75" customHeight="1">
      <c r="A454" s="21"/>
      <c r="B454" s="21"/>
      <c r="C454" s="21"/>
      <c r="D454" s="21"/>
      <c r="E454" s="21"/>
      <c r="F454" s="21"/>
    </row>
    <row r="455" ht="15.75" customHeight="1">
      <c r="A455" s="21"/>
      <c r="B455" s="21"/>
      <c r="C455" s="21"/>
      <c r="D455" s="21"/>
      <c r="E455" s="21"/>
      <c r="F455" s="21"/>
    </row>
    <row r="456" ht="15.75" customHeight="1">
      <c r="A456" s="21"/>
      <c r="B456" s="21"/>
      <c r="C456" s="21"/>
      <c r="D456" s="21"/>
      <c r="E456" s="21"/>
      <c r="F456" s="21"/>
    </row>
    <row r="457" ht="15.75" customHeight="1">
      <c r="A457" s="21"/>
      <c r="B457" s="21"/>
      <c r="C457" s="21"/>
      <c r="D457" s="21"/>
      <c r="E457" s="21"/>
      <c r="F457" s="21"/>
    </row>
    <row r="458" ht="15.75" customHeight="1">
      <c r="A458" s="21"/>
      <c r="B458" s="21"/>
      <c r="C458" s="21"/>
      <c r="D458" s="21"/>
      <c r="E458" s="21"/>
      <c r="F458" s="21"/>
    </row>
    <row r="459" ht="15.75" customHeight="1">
      <c r="A459" s="21"/>
      <c r="B459" s="21"/>
      <c r="C459" s="21"/>
      <c r="D459" s="21"/>
      <c r="E459" s="21"/>
      <c r="F459" s="21"/>
    </row>
    <row r="460" ht="15.75" customHeight="1">
      <c r="A460" s="21"/>
      <c r="B460" s="21"/>
      <c r="C460" s="21"/>
      <c r="D460" s="21"/>
      <c r="E460" s="21"/>
      <c r="F460" s="21"/>
    </row>
    <row r="461" ht="15.75" customHeight="1">
      <c r="A461" s="21"/>
      <c r="B461" s="21"/>
      <c r="C461" s="21"/>
      <c r="D461" s="21"/>
      <c r="E461" s="21"/>
      <c r="F461" s="21"/>
    </row>
    <row r="462" ht="15.75" customHeight="1">
      <c r="A462" s="21"/>
      <c r="B462" s="21"/>
      <c r="C462" s="21"/>
      <c r="D462" s="21"/>
      <c r="E462" s="21"/>
      <c r="F462" s="21"/>
    </row>
    <row r="463" ht="15.75" customHeight="1">
      <c r="A463" s="21"/>
      <c r="B463" s="21"/>
      <c r="C463" s="21"/>
      <c r="D463" s="21"/>
      <c r="E463" s="21"/>
      <c r="F463" s="21"/>
    </row>
    <row r="464" ht="15.75" customHeight="1">
      <c r="A464" s="21"/>
      <c r="B464" s="21"/>
      <c r="C464" s="21"/>
      <c r="D464" s="21"/>
      <c r="E464" s="21"/>
      <c r="F464" s="21"/>
    </row>
    <row r="465" ht="15.75" customHeight="1">
      <c r="A465" s="21"/>
      <c r="B465" s="21"/>
      <c r="C465" s="21"/>
      <c r="D465" s="21"/>
      <c r="E465" s="21"/>
      <c r="F465" s="21"/>
    </row>
    <row r="466" ht="15.75" customHeight="1">
      <c r="A466" s="21"/>
      <c r="B466" s="21"/>
      <c r="C466" s="21"/>
      <c r="D466" s="21"/>
      <c r="E466" s="21"/>
      <c r="F466" s="21"/>
    </row>
    <row r="467" ht="15.75" customHeight="1">
      <c r="A467" s="21"/>
      <c r="B467" s="21"/>
      <c r="C467" s="21"/>
      <c r="D467" s="21"/>
      <c r="E467" s="21"/>
      <c r="F467" s="21"/>
    </row>
    <row r="468" ht="15.75" customHeight="1">
      <c r="A468" s="21"/>
      <c r="B468" s="21"/>
      <c r="C468" s="21"/>
      <c r="D468" s="21"/>
      <c r="E468" s="21"/>
      <c r="F468" s="21"/>
    </row>
    <row r="469" ht="15.75" customHeight="1">
      <c r="A469" s="21"/>
      <c r="B469" s="21"/>
      <c r="C469" s="21"/>
      <c r="D469" s="21"/>
      <c r="E469" s="21"/>
      <c r="F469" s="21"/>
    </row>
    <row r="470" ht="15.75" customHeight="1">
      <c r="A470" s="21"/>
      <c r="B470" s="21"/>
      <c r="C470" s="21"/>
      <c r="D470" s="21"/>
      <c r="E470" s="21"/>
      <c r="F470" s="21"/>
    </row>
    <row r="471" ht="15.75" customHeight="1">
      <c r="A471" s="21"/>
      <c r="B471" s="21"/>
      <c r="C471" s="21"/>
      <c r="D471" s="21"/>
      <c r="E471" s="21"/>
      <c r="F471" s="21"/>
    </row>
    <row r="472" ht="15.75" customHeight="1">
      <c r="A472" s="21"/>
      <c r="B472" s="21"/>
      <c r="C472" s="21"/>
      <c r="D472" s="21"/>
      <c r="E472" s="21"/>
      <c r="F472" s="21"/>
    </row>
    <row r="473" ht="15.75" customHeight="1">
      <c r="A473" s="21"/>
      <c r="B473" s="21"/>
      <c r="C473" s="21"/>
      <c r="D473" s="21"/>
      <c r="E473" s="21"/>
      <c r="F473" s="21"/>
    </row>
    <row r="474" ht="15.75" customHeight="1">
      <c r="A474" s="21"/>
      <c r="B474" s="21"/>
      <c r="C474" s="21"/>
      <c r="D474" s="21"/>
      <c r="E474" s="21"/>
      <c r="F474" s="21"/>
    </row>
    <row r="475" ht="15.75" customHeight="1">
      <c r="A475" s="21"/>
      <c r="B475" s="21"/>
      <c r="C475" s="21"/>
      <c r="D475" s="21"/>
      <c r="E475" s="21"/>
      <c r="F475" s="21"/>
    </row>
    <row r="476" ht="15.75" customHeight="1">
      <c r="A476" s="21"/>
      <c r="B476" s="21"/>
      <c r="C476" s="21"/>
      <c r="D476" s="21"/>
      <c r="E476" s="21"/>
      <c r="F476" s="21"/>
    </row>
    <row r="477" ht="15.75" customHeight="1">
      <c r="A477" s="21"/>
      <c r="B477" s="21"/>
      <c r="C477" s="21"/>
      <c r="D477" s="21"/>
      <c r="E477" s="21"/>
      <c r="F477" s="21"/>
    </row>
    <row r="478" ht="15.75" customHeight="1">
      <c r="A478" s="21"/>
      <c r="B478" s="21"/>
      <c r="C478" s="21"/>
      <c r="D478" s="21"/>
      <c r="E478" s="21"/>
      <c r="F478" s="21"/>
    </row>
    <row r="479" ht="15.75" customHeight="1">
      <c r="A479" s="21"/>
      <c r="B479" s="21"/>
      <c r="C479" s="21"/>
      <c r="D479" s="21"/>
      <c r="E479" s="21"/>
      <c r="F479" s="21"/>
    </row>
    <row r="480" ht="15.75" customHeight="1">
      <c r="A480" s="21"/>
      <c r="B480" s="21"/>
      <c r="C480" s="21"/>
      <c r="D480" s="21"/>
      <c r="E480" s="21"/>
      <c r="F480" s="21"/>
    </row>
    <row r="481" ht="15.75" customHeight="1">
      <c r="A481" s="21"/>
      <c r="B481" s="21"/>
      <c r="C481" s="21"/>
      <c r="D481" s="21"/>
      <c r="E481" s="21"/>
      <c r="F481" s="21"/>
    </row>
    <row r="482" ht="15.75" customHeight="1">
      <c r="A482" s="21"/>
      <c r="B482" s="21"/>
      <c r="C482" s="21"/>
      <c r="D482" s="21"/>
      <c r="E482" s="21"/>
      <c r="F482" s="21"/>
    </row>
    <row r="483" ht="15.75" customHeight="1">
      <c r="A483" s="21"/>
      <c r="B483" s="21"/>
      <c r="C483" s="21"/>
      <c r="D483" s="21"/>
      <c r="E483" s="21"/>
      <c r="F483" s="21"/>
    </row>
    <row r="484" ht="15.75" customHeight="1">
      <c r="A484" s="21"/>
      <c r="B484" s="21"/>
      <c r="C484" s="21"/>
      <c r="D484" s="21"/>
      <c r="E484" s="21"/>
      <c r="F484" s="21"/>
    </row>
    <row r="485" ht="15.75" customHeight="1">
      <c r="A485" s="21"/>
      <c r="B485" s="21"/>
      <c r="C485" s="21"/>
      <c r="D485" s="21"/>
      <c r="E485" s="21"/>
      <c r="F485" s="21"/>
    </row>
    <row r="486" ht="15.75" customHeight="1">
      <c r="A486" s="21"/>
      <c r="B486" s="21"/>
      <c r="C486" s="21"/>
      <c r="D486" s="21"/>
      <c r="E486" s="21"/>
      <c r="F486" s="21"/>
    </row>
    <row r="487" ht="15.75" customHeight="1">
      <c r="A487" s="21"/>
      <c r="B487" s="21"/>
      <c r="C487" s="21"/>
      <c r="D487" s="21"/>
      <c r="E487" s="21"/>
      <c r="F487" s="21"/>
    </row>
    <row r="488" ht="15.75" customHeight="1">
      <c r="A488" s="21"/>
      <c r="B488" s="21"/>
      <c r="C488" s="21"/>
      <c r="D488" s="21"/>
      <c r="E488" s="21"/>
      <c r="F488" s="21"/>
    </row>
    <row r="489" ht="15.75" customHeight="1">
      <c r="A489" s="21"/>
      <c r="B489" s="21"/>
      <c r="C489" s="21"/>
      <c r="D489" s="21"/>
      <c r="E489" s="21"/>
      <c r="F489" s="21"/>
    </row>
    <row r="490" ht="15.75" customHeight="1">
      <c r="A490" s="21"/>
      <c r="B490" s="21"/>
      <c r="C490" s="21"/>
      <c r="D490" s="21"/>
      <c r="E490" s="21"/>
      <c r="F490" s="21"/>
    </row>
    <row r="491" ht="15.75" customHeight="1">
      <c r="A491" s="21"/>
      <c r="B491" s="21"/>
      <c r="C491" s="21"/>
      <c r="D491" s="21"/>
      <c r="E491" s="21"/>
      <c r="F491" s="21"/>
    </row>
    <row r="492" ht="15.75" customHeight="1">
      <c r="A492" s="21"/>
      <c r="B492" s="21"/>
      <c r="C492" s="21"/>
      <c r="D492" s="21"/>
      <c r="E492" s="21"/>
      <c r="F492" s="21"/>
    </row>
    <row r="493" ht="15.75" customHeight="1">
      <c r="A493" s="21"/>
      <c r="B493" s="21"/>
      <c r="C493" s="21"/>
      <c r="D493" s="21"/>
      <c r="E493" s="21"/>
      <c r="F493" s="21"/>
    </row>
    <row r="494" ht="15.75" customHeight="1">
      <c r="A494" s="21"/>
      <c r="B494" s="21"/>
      <c r="C494" s="21"/>
      <c r="D494" s="21"/>
      <c r="E494" s="21"/>
      <c r="F494" s="21"/>
    </row>
    <row r="495" ht="15.75" customHeight="1">
      <c r="A495" s="21"/>
      <c r="B495" s="21"/>
      <c r="C495" s="21"/>
      <c r="D495" s="21"/>
      <c r="E495" s="21"/>
      <c r="F495" s="21"/>
    </row>
    <row r="496" ht="15.75" customHeight="1">
      <c r="A496" s="21"/>
      <c r="B496" s="21"/>
      <c r="C496" s="21"/>
      <c r="D496" s="21"/>
      <c r="E496" s="21"/>
      <c r="F496" s="21"/>
    </row>
    <row r="497" ht="15.75" customHeight="1">
      <c r="A497" s="21"/>
      <c r="B497" s="21"/>
      <c r="C497" s="21"/>
      <c r="D497" s="21"/>
      <c r="E497" s="21"/>
      <c r="F497" s="21"/>
    </row>
    <row r="498" ht="15.75" customHeight="1">
      <c r="A498" s="21"/>
      <c r="B498" s="21"/>
      <c r="C498" s="21"/>
      <c r="D498" s="21"/>
      <c r="E498" s="21"/>
      <c r="F498" s="21"/>
    </row>
    <row r="499" ht="15.75" customHeight="1">
      <c r="A499" s="21"/>
      <c r="B499" s="21"/>
      <c r="C499" s="21"/>
      <c r="D499" s="21"/>
      <c r="E499" s="21"/>
      <c r="F499" s="21"/>
    </row>
    <row r="500" ht="15.75" customHeight="1">
      <c r="A500" s="21"/>
      <c r="B500" s="21"/>
      <c r="C500" s="21"/>
      <c r="D500" s="21"/>
      <c r="E500" s="21"/>
      <c r="F500" s="21"/>
    </row>
    <row r="501" ht="15.75" customHeight="1">
      <c r="A501" s="21"/>
      <c r="B501" s="21"/>
      <c r="C501" s="21"/>
      <c r="D501" s="21"/>
      <c r="E501" s="21"/>
      <c r="F501" s="21"/>
    </row>
    <row r="502" ht="15.75" customHeight="1">
      <c r="A502" s="21"/>
      <c r="B502" s="21"/>
      <c r="C502" s="21"/>
      <c r="D502" s="21"/>
      <c r="E502" s="21"/>
      <c r="F502" s="21"/>
    </row>
    <row r="503" ht="15.75" customHeight="1">
      <c r="A503" s="21"/>
      <c r="B503" s="21"/>
      <c r="C503" s="21"/>
      <c r="D503" s="21"/>
      <c r="E503" s="21"/>
      <c r="F503" s="21"/>
    </row>
    <row r="504" ht="15.75" customHeight="1">
      <c r="A504" s="21"/>
      <c r="B504" s="21"/>
      <c r="C504" s="21"/>
      <c r="D504" s="21"/>
      <c r="E504" s="21"/>
      <c r="F504" s="21"/>
    </row>
    <row r="505" ht="15.75" customHeight="1">
      <c r="A505" s="21"/>
      <c r="B505" s="21"/>
      <c r="C505" s="21"/>
      <c r="D505" s="21"/>
      <c r="E505" s="21"/>
      <c r="F505" s="21"/>
    </row>
    <row r="506" ht="15.75" customHeight="1">
      <c r="A506" s="21"/>
      <c r="B506" s="21"/>
      <c r="C506" s="21"/>
      <c r="D506" s="21"/>
      <c r="E506" s="21"/>
      <c r="F506" s="21"/>
    </row>
    <row r="507" ht="15.75" customHeight="1">
      <c r="A507" s="21"/>
      <c r="B507" s="21"/>
      <c r="C507" s="21"/>
      <c r="D507" s="21"/>
      <c r="E507" s="21"/>
      <c r="F507" s="21"/>
    </row>
    <row r="508" ht="15.75" customHeight="1">
      <c r="A508" s="21"/>
      <c r="B508" s="21"/>
      <c r="C508" s="21"/>
      <c r="D508" s="21"/>
      <c r="E508" s="21"/>
      <c r="F508" s="21"/>
    </row>
    <row r="509" ht="15.75" customHeight="1">
      <c r="A509" s="21"/>
      <c r="B509" s="21"/>
      <c r="C509" s="21"/>
      <c r="D509" s="21"/>
      <c r="E509" s="21"/>
      <c r="F509" s="21"/>
    </row>
    <row r="510" ht="15.75" customHeight="1">
      <c r="A510" s="21"/>
      <c r="B510" s="21"/>
      <c r="C510" s="21"/>
      <c r="D510" s="21"/>
      <c r="E510" s="21"/>
      <c r="F510" s="21"/>
    </row>
    <row r="511" ht="15.75" customHeight="1">
      <c r="A511" s="21"/>
      <c r="B511" s="21"/>
      <c r="C511" s="21"/>
      <c r="D511" s="21"/>
      <c r="E511" s="21"/>
      <c r="F511" s="21"/>
    </row>
    <row r="512" ht="15.75" customHeight="1">
      <c r="A512" s="21"/>
      <c r="B512" s="21"/>
      <c r="C512" s="21"/>
      <c r="D512" s="21"/>
      <c r="E512" s="21"/>
      <c r="F512" s="21"/>
    </row>
    <row r="513" ht="15.75" customHeight="1">
      <c r="A513" s="21"/>
      <c r="B513" s="21"/>
      <c r="C513" s="21"/>
      <c r="D513" s="21"/>
      <c r="E513" s="21"/>
      <c r="F513" s="21"/>
    </row>
    <row r="514" ht="15.75" customHeight="1">
      <c r="A514" s="21"/>
      <c r="B514" s="21"/>
      <c r="C514" s="21"/>
      <c r="D514" s="21"/>
      <c r="E514" s="21"/>
      <c r="F514" s="21"/>
    </row>
    <row r="515" ht="15.75" customHeight="1">
      <c r="A515" s="21"/>
      <c r="B515" s="21"/>
      <c r="C515" s="21"/>
      <c r="D515" s="21"/>
      <c r="E515" s="21"/>
      <c r="F515" s="21"/>
    </row>
    <row r="516" ht="15.75" customHeight="1">
      <c r="A516" s="21"/>
      <c r="B516" s="21"/>
      <c r="C516" s="21"/>
      <c r="D516" s="21"/>
      <c r="E516" s="21"/>
      <c r="F516" s="21"/>
    </row>
    <row r="517" ht="15.75" customHeight="1">
      <c r="A517" s="21"/>
      <c r="B517" s="21"/>
      <c r="C517" s="21"/>
      <c r="D517" s="21"/>
      <c r="E517" s="21"/>
      <c r="F517" s="21"/>
    </row>
    <row r="518" ht="15.75" customHeight="1">
      <c r="A518" s="21"/>
      <c r="B518" s="21"/>
      <c r="C518" s="21"/>
      <c r="D518" s="21"/>
      <c r="E518" s="21"/>
      <c r="F518" s="21"/>
    </row>
    <row r="519" ht="15.75" customHeight="1">
      <c r="A519" s="21"/>
      <c r="B519" s="21"/>
      <c r="C519" s="21"/>
      <c r="D519" s="21"/>
      <c r="E519" s="21"/>
      <c r="F519" s="21"/>
    </row>
    <row r="520" ht="15.75" customHeight="1">
      <c r="A520" s="21"/>
      <c r="B520" s="21"/>
      <c r="C520" s="21"/>
      <c r="D520" s="21"/>
      <c r="E520" s="21"/>
      <c r="F520" s="21"/>
    </row>
    <row r="521" ht="15.75" customHeight="1">
      <c r="A521" s="21"/>
      <c r="B521" s="21"/>
      <c r="C521" s="21"/>
      <c r="D521" s="21"/>
      <c r="E521" s="21"/>
      <c r="F521" s="21"/>
    </row>
    <row r="522" ht="15.75" customHeight="1">
      <c r="A522" s="21"/>
      <c r="B522" s="21"/>
      <c r="C522" s="21"/>
      <c r="D522" s="21"/>
      <c r="E522" s="21"/>
      <c r="F522" s="21"/>
    </row>
    <row r="523" ht="15.75" customHeight="1">
      <c r="A523" s="21"/>
      <c r="B523" s="21"/>
      <c r="C523" s="21"/>
      <c r="D523" s="21"/>
      <c r="E523" s="21"/>
      <c r="F523" s="21"/>
    </row>
    <row r="524" ht="15.75" customHeight="1">
      <c r="A524" s="21"/>
      <c r="B524" s="21"/>
      <c r="C524" s="21"/>
      <c r="D524" s="21"/>
      <c r="E524" s="21"/>
      <c r="F524" s="21"/>
    </row>
    <row r="525" ht="15.75" customHeight="1">
      <c r="A525" s="21"/>
      <c r="B525" s="21"/>
      <c r="C525" s="21"/>
      <c r="D525" s="21"/>
      <c r="E525" s="21"/>
      <c r="F525" s="21"/>
    </row>
    <row r="526" ht="15.75" customHeight="1">
      <c r="A526" s="21"/>
      <c r="B526" s="21"/>
      <c r="C526" s="21"/>
      <c r="D526" s="21"/>
      <c r="E526" s="21"/>
      <c r="F526" s="21"/>
    </row>
    <row r="527" ht="15.75" customHeight="1">
      <c r="A527" s="21"/>
      <c r="B527" s="21"/>
      <c r="C527" s="21"/>
      <c r="D527" s="21"/>
      <c r="E527" s="21"/>
      <c r="F527" s="21"/>
    </row>
    <row r="528" ht="15.75" customHeight="1">
      <c r="A528" s="21"/>
      <c r="B528" s="21"/>
      <c r="C528" s="21"/>
      <c r="D528" s="21"/>
      <c r="E528" s="21"/>
      <c r="F528" s="21"/>
    </row>
    <row r="529" ht="15.75" customHeight="1">
      <c r="A529" s="21"/>
      <c r="B529" s="21"/>
      <c r="C529" s="21"/>
      <c r="D529" s="21"/>
      <c r="E529" s="21"/>
      <c r="F529" s="21"/>
    </row>
    <row r="530" ht="15.75" customHeight="1">
      <c r="A530" s="21"/>
      <c r="B530" s="21"/>
      <c r="C530" s="21"/>
      <c r="D530" s="21"/>
      <c r="E530" s="21"/>
      <c r="F530" s="21"/>
    </row>
    <row r="531" ht="15.75" customHeight="1">
      <c r="A531" s="21"/>
      <c r="B531" s="21"/>
      <c r="C531" s="21"/>
      <c r="D531" s="21"/>
      <c r="E531" s="21"/>
      <c r="F531" s="21"/>
    </row>
    <row r="532" ht="15.75" customHeight="1">
      <c r="A532" s="21"/>
      <c r="B532" s="21"/>
      <c r="C532" s="21"/>
      <c r="D532" s="21"/>
      <c r="E532" s="21"/>
      <c r="F532" s="21"/>
    </row>
    <row r="533" ht="15.75" customHeight="1">
      <c r="A533" s="21"/>
      <c r="B533" s="21"/>
      <c r="C533" s="21"/>
      <c r="D533" s="21"/>
      <c r="E533" s="21"/>
      <c r="F533" s="21"/>
    </row>
    <row r="534" ht="15.75" customHeight="1">
      <c r="A534" s="21"/>
      <c r="B534" s="21"/>
      <c r="C534" s="21"/>
      <c r="D534" s="21"/>
      <c r="E534" s="21"/>
      <c r="F534" s="21"/>
    </row>
    <row r="535" ht="15.75" customHeight="1">
      <c r="A535" s="21"/>
      <c r="B535" s="21"/>
      <c r="C535" s="21"/>
      <c r="D535" s="21"/>
      <c r="E535" s="21"/>
      <c r="F535" s="21"/>
    </row>
    <row r="536" ht="15.75" customHeight="1">
      <c r="A536" s="21"/>
      <c r="B536" s="21"/>
      <c r="C536" s="21"/>
      <c r="D536" s="21"/>
      <c r="E536" s="21"/>
      <c r="F536" s="21"/>
    </row>
    <row r="537" ht="15.75" customHeight="1">
      <c r="A537" s="21"/>
      <c r="B537" s="21"/>
      <c r="C537" s="21"/>
      <c r="D537" s="21"/>
      <c r="E537" s="21"/>
      <c r="F537" s="21"/>
    </row>
    <row r="538" ht="15.75" customHeight="1">
      <c r="A538" s="21"/>
      <c r="B538" s="21"/>
      <c r="C538" s="21"/>
      <c r="D538" s="21"/>
      <c r="E538" s="21"/>
      <c r="F538" s="21"/>
    </row>
    <row r="539" ht="15.75" customHeight="1">
      <c r="A539" s="21"/>
      <c r="B539" s="21"/>
      <c r="C539" s="21"/>
      <c r="D539" s="21"/>
      <c r="E539" s="21"/>
      <c r="F539" s="21"/>
    </row>
    <row r="540" ht="15.75" customHeight="1">
      <c r="A540" s="21"/>
      <c r="B540" s="21"/>
      <c r="C540" s="21"/>
      <c r="D540" s="21"/>
      <c r="E540" s="21"/>
      <c r="F540" s="21"/>
    </row>
    <row r="541" ht="15.75" customHeight="1">
      <c r="A541" s="21"/>
      <c r="B541" s="21"/>
      <c r="C541" s="21"/>
      <c r="D541" s="21"/>
      <c r="E541" s="21"/>
      <c r="F541" s="21"/>
    </row>
    <row r="542" ht="15.75" customHeight="1">
      <c r="A542" s="21"/>
      <c r="B542" s="21"/>
      <c r="C542" s="21"/>
      <c r="D542" s="21"/>
      <c r="E542" s="21"/>
      <c r="F542" s="21"/>
    </row>
    <row r="543" ht="15.75" customHeight="1">
      <c r="A543" s="21"/>
      <c r="B543" s="21"/>
      <c r="C543" s="21"/>
      <c r="D543" s="21"/>
      <c r="E543" s="21"/>
      <c r="F543" s="21"/>
    </row>
    <row r="544" ht="15.75" customHeight="1">
      <c r="A544" s="21"/>
      <c r="B544" s="21"/>
      <c r="C544" s="21"/>
      <c r="D544" s="21"/>
      <c r="E544" s="21"/>
      <c r="F544" s="21"/>
    </row>
    <row r="545" ht="15.75" customHeight="1">
      <c r="A545" s="21"/>
      <c r="B545" s="21"/>
      <c r="C545" s="21"/>
      <c r="D545" s="21"/>
      <c r="E545" s="21"/>
      <c r="F545" s="21"/>
    </row>
    <row r="546" ht="15.75" customHeight="1">
      <c r="A546" s="21"/>
      <c r="B546" s="21"/>
      <c r="C546" s="21"/>
      <c r="D546" s="21"/>
      <c r="E546" s="21"/>
      <c r="F546" s="21"/>
    </row>
    <row r="547" ht="15.75" customHeight="1">
      <c r="A547" s="21"/>
      <c r="B547" s="21"/>
      <c r="C547" s="21"/>
      <c r="D547" s="21"/>
      <c r="E547" s="21"/>
      <c r="F547" s="21"/>
    </row>
    <row r="548" ht="15.75" customHeight="1">
      <c r="A548" s="21"/>
      <c r="B548" s="21"/>
      <c r="C548" s="21"/>
      <c r="D548" s="21"/>
      <c r="E548" s="21"/>
      <c r="F548" s="21"/>
    </row>
    <row r="549" ht="15.75" customHeight="1">
      <c r="A549" s="21"/>
      <c r="B549" s="21"/>
      <c r="C549" s="21"/>
      <c r="D549" s="21"/>
      <c r="E549" s="21"/>
      <c r="F549" s="21"/>
    </row>
    <row r="550" ht="15.75" customHeight="1">
      <c r="A550" s="21"/>
      <c r="B550" s="21"/>
      <c r="C550" s="21"/>
      <c r="D550" s="21"/>
      <c r="E550" s="21"/>
      <c r="F550" s="21"/>
    </row>
    <row r="551" ht="15.75" customHeight="1">
      <c r="A551" s="21"/>
      <c r="B551" s="21"/>
      <c r="C551" s="21"/>
      <c r="D551" s="21"/>
      <c r="E551" s="21"/>
      <c r="F551" s="21"/>
    </row>
    <row r="552" ht="15.75" customHeight="1">
      <c r="A552" s="21"/>
      <c r="B552" s="21"/>
      <c r="C552" s="21"/>
      <c r="D552" s="21"/>
      <c r="E552" s="21"/>
      <c r="F552" s="21"/>
    </row>
    <row r="553" ht="15.75" customHeight="1">
      <c r="A553" s="21"/>
      <c r="B553" s="21"/>
      <c r="C553" s="21"/>
      <c r="D553" s="21"/>
      <c r="E553" s="21"/>
      <c r="F553" s="21"/>
    </row>
    <row r="554" ht="15.75" customHeight="1">
      <c r="A554" s="21"/>
      <c r="B554" s="21"/>
      <c r="C554" s="21"/>
      <c r="D554" s="21"/>
      <c r="E554" s="21"/>
      <c r="F554" s="21"/>
    </row>
    <row r="555" ht="15.75" customHeight="1">
      <c r="A555" s="21"/>
      <c r="B555" s="21"/>
      <c r="C555" s="21"/>
      <c r="D555" s="21"/>
      <c r="E555" s="21"/>
      <c r="F555" s="21"/>
    </row>
    <row r="556" ht="15.75" customHeight="1">
      <c r="A556" s="21"/>
      <c r="B556" s="21"/>
      <c r="C556" s="21"/>
      <c r="D556" s="21"/>
      <c r="E556" s="21"/>
      <c r="F556" s="21"/>
    </row>
    <row r="557" ht="15.75" customHeight="1">
      <c r="A557" s="21"/>
      <c r="B557" s="21"/>
      <c r="C557" s="21"/>
      <c r="D557" s="21"/>
      <c r="E557" s="21"/>
      <c r="F557" s="21"/>
    </row>
    <row r="558" ht="15.75" customHeight="1">
      <c r="A558" s="21"/>
      <c r="B558" s="21"/>
      <c r="C558" s="21"/>
      <c r="D558" s="21"/>
      <c r="E558" s="21"/>
      <c r="F558" s="21"/>
    </row>
    <row r="559" ht="15.75" customHeight="1">
      <c r="A559" s="21"/>
      <c r="B559" s="21"/>
      <c r="C559" s="21"/>
      <c r="D559" s="21"/>
      <c r="E559" s="21"/>
      <c r="F559" s="21"/>
    </row>
    <row r="560" ht="15.75" customHeight="1">
      <c r="A560" s="21"/>
      <c r="B560" s="21"/>
      <c r="C560" s="21"/>
      <c r="D560" s="21"/>
      <c r="E560" s="21"/>
      <c r="F560" s="21"/>
    </row>
    <row r="561" ht="15.75" customHeight="1">
      <c r="A561" s="21"/>
      <c r="B561" s="21"/>
      <c r="C561" s="21"/>
      <c r="D561" s="21"/>
      <c r="E561" s="21"/>
      <c r="F561" s="21"/>
    </row>
    <row r="562" ht="15.75" customHeight="1">
      <c r="A562" s="21"/>
      <c r="B562" s="21"/>
      <c r="C562" s="21"/>
      <c r="D562" s="21"/>
      <c r="E562" s="21"/>
      <c r="F562" s="21"/>
    </row>
    <row r="563" ht="15.75" customHeight="1">
      <c r="A563" s="21"/>
      <c r="B563" s="21"/>
      <c r="C563" s="21"/>
      <c r="D563" s="21"/>
      <c r="E563" s="21"/>
      <c r="F563" s="21"/>
    </row>
    <row r="564" ht="15.75" customHeight="1">
      <c r="A564" s="21"/>
      <c r="B564" s="21"/>
      <c r="C564" s="21"/>
      <c r="D564" s="21"/>
      <c r="E564" s="21"/>
      <c r="F564" s="21"/>
    </row>
    <row r="565" ht="15.75" customHeight="1">
      <c r="A565" s="21"/>
      <c r="B565" s="21"/>
      <c r="C565" s="21"/>
      <c r="D565" s="21"/>
      <c r="E565" s="21"/>
      <c r="F565" s="21"/>
    </row>
    <row r="566" ht="15.75" customHeight="1">
      <c r="A566" s="21"/>
      <c r="B566" s="21"/>
      <c r="C566" s="21"/>
      <c r="D566" s="21"/>
      <c r="E566" s="21"/>
      <c r="F566" s="21"/>
    </row>
    <row r="567" ht="15.75" customHeight="1">
      <c r="A567" s="21"/>
      <c r="B567" s="21"/>
      <c r="C567" s="21"/>
      <c r="D567" s="21"/>
      <c r="E567" s="21"/>
      <c r="F567" s="21"/>
    </row>
    <row r="568" ht="15.75" customHeight="1">
      <c r="A568" s="21"/>
      <c r="B568" s="21"/>
      <c r="C568" s="21"/>
      <c r="D568" s="21"/>
      <c r="E568" s="21"/>
      <c r="F568" s="21"/>
    </row>
    <row r="569" ht="15.75" customHeight="1">
      <c r="A569" s="21"/>
      <c r="B569" s="21"/>
      <c r="C569" s="21"/>
      <c r="D569" s="21"/>
      <c r="E569" s="21"/>
      <c r="F569" s="21"/>
    </row>
    <row r="570" ht="15.75" customHeight="1">
      <c r="A570" s="21"/>
      <c r="B570" s="21"/>
      <c r="C570" s="21"/>
      <c r="D570" s="21"/>
      <c r="E570" s="21"/>
      <c r="F570" s="21"/>
    </row>
    <row r="571" ht="15.75" customHeight="1">
      <c r="A571" s="21"/>
      <c r="B571" s="21"/>
      <c r="C571" s="21"/>
      <c r="D571" s="21"/>
      <c r="E571" s="21"/>
      <c r="F571" s="21"/>
    </row>
    <row r="572" ht="15.75" customHeight="1">
      <c r="A572" s="21"/>
      <c r="B572" s="21"/>
      <c r="C572" s="21"/>
      <c r="D572" s="21"/>
      <c r="E572" s="21"/>
      <c r="F572" s="21"/>
    </row>
    <row r="573" ht="15.75" customHeight="1">
      <c r="A573" s="21"/>
      <c r="B573" s="21"/>
      <c r="C573" s="21"/>
      <c r="D573" s="21"/>
      <c r="E573" s="21"/>
      <c r="F573" s="21"/>
    </row>
    <row r="574" ht="15.75" customHeight="1">
      <c r="A574" s="21"/>
      <c r="B574" s="21"/>
      <c r="C574" s="21"/>
      <c r="D574" s="21"/>
      <c r="E574" s="21"/>
      <c r="F574" s="21"/>
    </row>
    <row r="575" ht="15.75" customHeight="1">
      <c r="A575" s="21"/>
      <c r="B575" s="21"/>
      <c r="C575" s="21"/>
      <c r="D575" s="21"/>
      <c r="E575" s="21"/>
      <c r="F575" s="21"/>
    </row>
    <row r="576" ht="15.75" customHeight="1">
      <c r="A576" s="21"/>
      <c r="B576" s="21"/>
      <c r="C576" s="21"/>
      <c r="D576" s="21"/>
      <c r="E576" s="21"/>
      <c r="F576" s="21"/>
    </row>
    <row r="577" ht="15.75" customHeight="1">
      <c r="A577" s="21"/>
      <c r="B577" s="21"/>
      <c r="C577" s="21"/>
      <c r="D577" s="21"/>
      <c r="E577" s="21"/>
      <c r="F577" s="21"/>
    </row>
    <row r="578" ht="15.75" customHeight="1">
      <c r="A578" s="21"/>
      <c r="B578" s="21"/>
      <c r="C578" s="21"/>
      <c r="D578" s="21"/>
      <c r="E578" s="21"/>
      <c r="F578" s="21"/>
    </row>
    <row r="579" ht="15.75" customHeight="1">
      <c r="A579" s="21"/>
      <c r="B579" s="21"/>
      <c r="C579" s="21"/>
      <c r="D579" s="21"/>
      <c r="E579" s="21"/>
      <c r="F579" s="21"/>
    </row>
    <row r="580" ht="15.75" customHeight="1">
      <c r="A580" s="21"/>
      <c r="B580" s="21"/>
      <c r="C580" s="21"/>
      <c r="D580" s="21"/>
      <c r="E580" s="21"/>
      <c r="F580" s="21"/>
    </row>
    <row r="581" ht="15.75" customHeight="1">
      <c r="A581" s="21"/>
      <c r="B581" s="21"/>
      <c r="C581" s="21"/>
      <c r="D581" s="21"/>
      <c r="E581" s="21"/>
      <c r="F581" s="21"/>
    </row>
    <row r="582" ht="15.75" customHeight="1">
      <c r="A582" s="21"/>
      <c r="B582" s="21"/>
      <c r="C582" s="21"/>
      <c r="D582" s="21"/>
      <c r="E582" s="21"/>
      <c r="F582" s="21"/>
    </row>
    <row r="583" ht="15.75" customHeight="1">
      <c r="A583" s="21"/>
      <c r="B583" s="21"/>
      <c r="C583" s="21"/>
      <c r="D583" s="21"/>
      <c r="E583" s="21"/>
      <c r="F583" s="21"/>
    </row>
    <row r="584" ht="15.75" customHeight="1">
      <c r="A584" s="21"/>
      <c r="B584" s="21"/>
      <c r="C584" s="21"/>
      <c r="D584" s="21"/>
      <c r="E584" s="21"/>
      <c r="F584" s="21"/>
    </row>
    <row r="585" ht="15.75" customHeight="1">
      <c r="A585" s="21"/>
      <c r="B585" s="21"/>
      <c r="C585" s="21"/>
      <c r="D585" s="21"/>
      <c r="E585" s="21"/>
      <c r="F585" s="21"/>
    </row>
    <row r="586" ht="15.75" customHeight="1">
      <c r="A586" s="21"/>
      <c r="B586" s="21"/>
      <c r="C586" s="21"/>
      <c r="D586" s="21"/>
      <c r="E586" s="21"/>
      <c r="F586" s="21"/>
    </row>
    <row r="587" ht="15.75" customHeight="1">
      <c r="A587" s="21"/>
      <c r="B587" s="21"/>
      <c r="C587" s="21"/>
      <c r="D587" s="21"/>
      <c r="E587" s="21"/>
      <c r="F587" s="21"/>
    </row>
    <row r="588" ht="15.75" customHeight="1">
      <c r="A588" s="21"/>
      <c r="B588" s="21"/>
      <c r="C588" s="21"/>
      <c r="D588" s="21"/>
      <c r="E588" s="21"/>
      <c r="F588" s="21"/>
    </row>
    <row r="589" ht="15.75" customHeight="1">
      <c r="A589" s="21"/>
      <c r="B589" s="21"/>
      <c r="C589" s="21"/>
      <c r="D589" s="21"/>
      <c r="E589" s="21"/>
      <c r="F589" s="21"/>
    </row>
    <row r="590" ht="15.75" customHeight="1">
      <c r="A590" s="21"/>
      <c r="B590" s="21"/>
      <c r="C590" s="21"/>
      <c r="D590" s="21"/>
      <c r="E590" s="21"/>
      <c r="F590" s="21"/>
    </row>
    <row r="591" ht="15.75" customHeight="1">
      <c r="A591" s="21"/>
      <c r="B591" s="21"/>
      <c r="C591" s="21"/>
      <c r="D591" s="21"/>
      <c r="E591" s="21"/>
      <c r="F591" s="21"/>
    </row>
    <row r="592" ht="15.75" customHeight="1">
      <c r="A592" s="21"/>
      <c r="B592" s="21"/>
      <c r="C592" s="21"/>
      <c r="D592" s="21"/>
      <c r="E592" s="21"/>
      <c r="F592" s="21"/>
    </row>
    <row r="593" ht="15.75" customHeight="1">
      <c r="A593" s="21"/>
      <c r="B593" s="21"/>
      <c r="C593" s="21"/>
      <c r="D593" s="21"/>
      <c r="E593" s="21"/>
      <c r="F593" s="21"/>
    </row>
    <row r="594" ht="15.75" customHeight="1">
      <c r="A594" s="21"/>
      <c r="B594" s="21"/>
      <c r="C594" s="21"/>
      <c r="D594" s="21"/>
      <c r="E594" s="21"/>
      <c r="F594" s="21"/>
    </row>
    <row r="595" ht="15.75" customHeight="1">
      <c r="A595" s="21"/>
      <c r="B595" s="21"/>
      <c r="C595" s="21"/>
      <c r="D595" s="21"/>
      <c r="E595" s="21"/>
      <c r="F595" s="21"/>
    </row>
    <row r="596" ht="15.75" customHeight="1">
      <c r="A596" s="21"/>
      <c r="B596" s="21"/>
      <c r="C596" s="21"/>
      <c r="D596" s="21"/>
      <c r="E596" s="21"/>
      <c r="F596" s="21"/>
    </row>
    <row r="597" ht="15.75" customHeight="1">
      <c r="A597" s="21"/>
      <c r="B597" s="21"/>
      <c r="C597" s="21"/>
      <c r="D597" s="21"/>
      <c r="E597" s="21"/>
      <c r="F597" s="21"/>
    </row>
    <row r="598" ht="15.75" customHeight="1">
      <c r="A598" s="21"/>
      <c r="B598" s="21"/>
      <c r="C598" s="21"/>
      <c r="D598" s="21"/>
      <c r="E598" s="21"/>
      <c r="F598" s="21"/>
    </row>
    <row r="599" ht="15.75" customHeight="1">
      <c r="A599" s="21"/>
      <c r="B599" s="21"/>
      <c r="C599" s="21"/>
      <c r="D599" s="21"/>
      <c r="E599" s="21"/>
      <c r="F599" s="21"/>
    </row>
    <row r="600" ht="15.75" customHeight="1">
      <c r="A600" s="21"/>
      <c r="B600" s="21"/>
      <c r="C600" s="21"/>
      <c r="D600" s="21"/>
      <c r="E600" s="21"/>
      <c r="F600" s="21"/>
    </row>
    <row r="601" ht="15.75" customHeight="1">
      <c r="A601" s="21"/>
      <c r="B601" s="21"/>
      <c r="C601" s="21"/>
      <c r="D601" s="21"/>
      <c r="E601" s="21"/>
      <c r="F601" s="21"/>
    </row>
    <row r="602" ht="15.75" customHeight="1">
      <c r="A602" s="21"/>
      <c r="B602" s="21"/>
      <c r="C602" s="21"/>
      <c r="D602" s="21"/>
      <c r="E602" s="21"/>
      <c r="F602" s="21"/>
    </row>
    <row r="603" ht="15.75" customHeight="1">
      <c r="A603" s="21"/>
      <c r="B603" s="21"/>
      <c r="C603" s="21"/>
      <c r="D603" s="21"/>
      <c r="E603" s="21"/>
      <c r="F603" s="21"/>
    </row>
    <row r="604" ht="15.75" customHeight="1">
      <c r="A604" s="21"/>
      <c r="B604" s="21"/>
      <c r="C604" s="21"/>
      <c r="D604" s="21"/>
      <c r="E604" s="21"/>
      <c r="F604" s="21"/>
    </row>
    <row r="605" ht="15.75" customHeight="1">
      <c r="A605" s="21"/>
      <c r="B605" s="21"/>
      <c r="C605" s="21"/>
      <c r="D605" s="21"/>
      <c r="E605" s="21"/>
      <c r="F605" s="21"/>
    </row>
    <row r="606" ht="15.75" customHeight="1">
      <c r="A606" s="21"/>
      <c r="B606" s="21"/>
      <c r="C606" s="21"/>
      <c r="D606" s="21"/>
      <c r="E606" s="21"/>
      <c r="F606" s="21"/>
    </row>
    <row r="607" ht="15.75" customHeight="1">
      <c r="A607" s="21"/>
      <c r="B607" s="21"/>
      <c r="C607" s="21"/>
      <c r="D607" s="21"/>
      <c r="E607" s="21"/>
      <c r="F607" s="21"/>
    </row>
    <row r="608" ht="15.75" customHeight="1">
      <c r="A608" s="21"/>
      <c r="B608" s="21"/>
      <c r="C608" s="21"/>
      <c r="D608" s="21"/>
      <c r="E608" s="21"/>
      <c r="F608" s="21"/>
    </row>
    <row r="609" ht="15.75" customHeight="1">
      <c r="A609" s="21"/>
      <c r="B609" s="21"/>
      <c r="C609" s="21"/>
      <c r="D609" s="21"/>
      <c r="E609" s="21"/>
      <c r="F609" s="21"/>
    </row>
    <row r="610" ht="15.75" customHeight="1">
      <c r="A610" s="21"/>
      <c r="B610" s="21"/>
      <c r="C610" s="21"/>
      <c r="D610" s="21"/>
      <c r="E610" s="21"/>
      <c r="F610" s="21"/>
    </row>
    <row r="611" ht="15.75" customHeight="1">
      <c r="A611" s="21"/>
      <c r="B611" s="21"/>
      <c r="C611" s="21"/>
      <c r="D611" s="21"/>
      <c r="E611" s="21"/>
      <c r="F611" s="21"/>
    </row>
    <row r="612" ht="15.75" customHeight="1">
      <c r="A612" s="21"/>
      <c r="B612" s="21"/>
      <c r="C612" s="21"/>
      <c r="D612" s="21"/>
      <c r="E612" s="21"/>
      <c r="F612" s="21"/>
    </row>
    <row r="613" ht="15.75" customHeight="1">
      <c r="A613" s="21"/>
      <c r="B613" s="21"/>
      <c r="C613" s="21"/>
      <c r="D613" s="21"/>
      <c r="E613" s="21"/>
      <c r="F613" s="21"/>
    </row>
    <row r="614" ht="15.75" customHeight="1">
      <c r="A614" s="21"/>
      <c r="B614" s="21"/>
      <c r="C614" s="21"/>
      <c r="D614" s="21"/>
      <c r="E614" s="21"/>
      <c r="F614" s="21"/>
    </row>
    <row r="615" ht="15.75" customHeight="1">
      <c r="A615" s="21"/>
      <c r="B615" s="21"/>
      <c r="C615" s="21"/>
      <c r="D615" s="21"/>
      <c r="E615" s="21"/>
      <c r="F615" s="21"/>
    </row>
    <row r="616" ht="15.75" customHeight="1">
      <c r="A616" s="21"/>
      <c r="B616" s="21"/>
      <c r="C616" s="21"/>
      <c r="D616" s="21"/>
      <c r="E616" s="21"/>
      <c r="F616" s="21"/>
    </row>
    <row r="617" ht="15.75" customHeight="1">
      <c r="A617" s="21"/>
      <c r="B617" s="21"/>
      <c r="C617" s="21"/>
      <c r="D617" s="21"/>
      <c r="E617" s="21"/>
      <c r="F617" s="21"/>
    </row>
    <row r="618" ht="15.75" customHeight="1">
      <c r="A618" s="21"/>
      <c r="B618" s="21"/>
      <c r="C618" s="21"/>
      <c r="D618" s="21"/>
      <c r="E618" s="21"/>
      <c r="F618" s="21"/>
    </row>
    <row r="619" ht="15.75" customHeight="1">
      <c r="A619" s="21"/>
      <c r="B619" s="21"/>
      <c r="C619" s="21"/>
      <c r="D619" s="21"/>
      <c r="E619" s="21"/>
      <c r="F619" s="21"/>
    </row>
    <row r="620" ht="15.75" customHeight="1">
      <c r="A620" s="21"/>
      <c r="B620" s="21"/>
      <c r="C620" s="21"/>
      <c r="D620" s="21"/>
      <c r="E620" s="21"/>
      <c r="F620" s="21"/>
    </row>
    <row r="621" ht="15.75" customHeight="1">
      <c r="A621" s="21"/>
      <c r="B621" s="21"/>
      <c r="C621" s="21"/>
      <c r="D621" s="21"/>
      <c r="E621" s="21"/>
      <c r="F621" s="21"/>
    </row>
    <row r="622" ht="15.75" customHeight="1">
      <c r="A622" s="21"/>
      <c r="B622" s="21"/>
      <c r="C622" s="21"/>
      <c r="D622" s="21"/>
      <c r="E622" s="21"/>
      <c r="F622" s="21"/>
    </row>
    <row r="623" ht="15.75" customHeight="1">
      <c r="A623" s="21"/>
      <c r="B623" s="21"/>
      <c r="C623" s="21"/>
      <c r="D623" s="21"/>
      <c r="E623" s="21"/>
      <c r="F623" s="21"/>
    </row>
    <row r="624" ht="15.75" customHeight="1">
      <c r="A624" s="21"/>
      <c r="B624" s="21"/>
      <c r="C624" s="21"/>
      <c r="D624" s="21"/>
      <c r="E624" s="21"/>
      <c r="F624" s="21"/>
    </row>
    <row r="625" ht="15.75" customHeight="1">
      <c r="A625" s="21"/>
      <c r="B625" s="21"/>
      <c r="C625" s="21"/>
      <c r="D625" s="21"/>
      <c r="E625" s="21"/>
      <c r="F625" s="21"/>
    </row>
    <row r="626" ht="15.75" customHeight="1">
      <c r="A626" s="21"/>
      <c r="B626" s="21"/>
      <c r="C626" s="21"/>
      <c r="D626" s="21"/>
      <c r="E626" s="21"/>
      <c r="F626" s="21"/>
    </row>
    <row r="627" ht="15.75" customHeight="1">
      <c r="A627" s="21"/>
      <c r="B627" s="21"/>
      <c r="C627" s="21"/>
      <c r="D627" s="21"/>
      <c r="E627" s="21"/>
      <c r="F627" s="21"/>
    </row>
    <row r="628" ht="15.75" customHeight="1">
      <c r="A628" s="21"/>
      <c r="B628" s="21"/>
      <c r="C628" s="21"/>
      <c r="D628" s="21"/>
      <c r="E628" s="21"/>
      <c r="F628" s="21"/>
    </row>
    <row r="629" ht="15.75" customHeight="1">
      <c r="A629" s="21"/>
      <c r="B629" s="21"/>
      <c r="C629" s="21"/>
      <c r="D629" s="21"/>
      <c r="E629" s="21"/>
      <c r="F629" s="21"/>
    </row>
    <row r="630" ht="15.75" customHeight="1">
      <c r="A630" s="21"/>
      <c r="B630" s="21"/>
      <c r="C630" s="21"/>
      <c r="D630" s="21"/>
      <c r="E630" s="21"/>
      <c r="F630" s="21"/>
    </row>
    <row r="631" ht="15.75" customHeight="1">
      <c r="A631" s="21"/>
      <c r="B631" s="21"/>
      <c r="C631" s="21"/>
      <c r="D631" s="21"/>
      <c r="E631" s="21"/>
      <c r="F631" s="21"/>
    </row>
    <row r="632" ht="15.75" customHeight="1">
      <c r="A632" s="21"/>
      <c r="B632" s="21"/>
      <c r="C632" s="21"/>
      <c r="D632" s="21"/>
      <c r="E632" s="21"/>
      <c r="F632" s="21"/>
    </row>
    <row r="633" ht="15.75" customHeight="1">
      <c r="A633" s="21"/>
      <c r="B633" s="21"/>
      <c r="C633" s="21"/>
      <c r="D633" s="21"/>
      <c r="E633" s="21"/>
      <c r="F633" s="21"/>
    </row>
    <row r="634" ht="15.75" customHeight="1">
      <c r="A634" s="21"/>
      <c r="B634" s="21"/>
      <c r="C634" s="21"/>
      <c r="D634" s="21"/>
      <c r="E634" s="21"/>
      <c r="F634" s="21"/>
    </row>
    <row r="635" ht="15.75" customHeight="1">
      <c r="A635" s="21"/>
      <c r="B635" s="21"/>
      <c r="C635" s="21"/>
      <c r="D635" s="21"/>
      <c r="E635" s="21"/>
      <c r="F635" s="21"/>
    </row>
    <row r="636" ht="15.75" customHeight="1">
      <c r="A636" s="21"/>
      <c r="B636" s="21"/>
      <c r="C636" s="21"/>
      <c r="D636" s="21"/>
      <c r="E636" s="21"/>
      <c r="F636" s="21"/>
    </row>
    <row r="637" ht="15.75" customHeight="1">
      <c r="A637" s="21"/>
      <c r="B637" s="21"/>
      <c r="C637" s="21"/>
      <c r="D637" s="21"/>
      <c r="E637" s="21"/>
      <c r="F637" s="21"/>
    </row>
    <row r="638" ht="15.75" customHeight="1">
      <c r="A638" s="21"/>
      <c r="B638" s="21"/>
      <c r="C638" s="21"/>
      <c r="D638" s="21"/>
      <c r="E638" s="21"/>
      <c r="F638" s="21"/>
    </row>
    <row r="639" ht="15.75" customHeight="1">
      <c r="A639" s="21"/>
      <c r="B639" s="21"/>
      <c r="C639" s="21"/>
      <c r="D639" s="21"/>
      <c r="E639" s="21"/>
      <c r="F639" s="21"/>
    </row>
    <row r="640" ht="15.75" customHeight="1">
      <c r="A640" s="21"/>
      <c r="B640" s="21"/>
      <c r="C640" s="21"/>
      <c r="D640" s="21"/>
      <c r="E640" s="21"/>
      <c r="F640" s="21"/>
    </row>
    <row r="641" ht="15.75" customHeight="1">
      <c r="A641" s="21"/>
      <c r="B641" s="21"/>
      <c r="C641" s="21"/>
      <c r="D641" s="21"/>
      <c r="E641" s="21"/>
      <c r="F641" s="21"/>
    </row>
    <row r="642" ht="15.75" customHeight="1">
      <c r="A642" s="21"/>
      <c r="B642" s="21"/>
      <c r="C642" s="21"/>
      <c r="D642" s="21"/>
      <c r="E642" s="21"/>
      <c r="F642" s="21"/>
    </row>
    <row r="643" ht="15.75" customHeight="1">
      <c r="A643" s="21"/>
      <c r="B643" s="21"/>
      <c r="C643" s="21"/>
      <c r="D643" s="21"/>
      <c r="E643" s="21"/>
      <c r="F643" s="21"/>
    </row>
    <row r="644" ht="15.75" customHeight="1">
      <c r="A644" s="21"/>
      <c r="B644" s="21"/>
      <c r="C644" s="21"/>
      <c r="D644" s="21"/>
      <c r="E644" s="21"/>
      <c r="F644" s="21"/>
    </row>
    <row r="645" ht="15.75" customHeight="1">
      <c r="A645" s="21"/>
      <c r="B645" s="21"/>
      <c r="C645" s="21"/>
      <c r="D645" s="21"/>
      <c r="E645" s="21"/>
      <c r="F645" s="21"/>
    </row>
    <row r="646" ht="15.75" customHeight="1">
      <c r="A646" s="21"/>
      <c r="B646" s="21"/>
      <c r="C646" s="21"/>
      <c r="D646" s="21"/>
      <c r="E646" s="21"/>
      <c r="F646" s="21"/>
    </row>
    <row r="647" ht="15.75" customHeight="1">
      <c r="A647" s="21"/>
      <c r="B647" s="21"/>
      <c r="C647" s="21"/>
      <c r="D647" s="21"/>
      <c r="E647" s="21"/>
      <c r="F647" s="21"/>
    </row>
    <row r="648" ht="15.75" customHeight="1">
      <c r="A648" s="21"/>
      <c r="B648" s="21"/>
      <c r="C648" s="21"/>
      <c r="D648" s="21"/>
      <c r="E648" s="21"/>
      <c r="F648" s="21"/>
    </row>
    <row r="649" ht="15.75" customHeight="1">
      <c r="A649" s="21"/>
      <c r="B649" s="21"/>
      <c r="C649" s="21"/>
      <c r="D649" s="21"/>
      <c r="E649" s="21"/>
      <c r="F649" s="21"/>
    </row>
    <row r="650" ht="15.75" customHeight="1">
      <c r="A650" s="21"/>
      <c r="B650" s="21"/>
      <c r="C650" s="21"/>
      <c r="D650" s="21"/>
      <c r="E650" s="21"/>
      <c r="F650" s="21"/>
    </row>
    <row r="651" ht="15.75" customHeight="1">
      <c r="A651" s="21"/>
      <c r="B651" s="21"/>
      <c r="C651" s="21"/>
      <c r="D651" s="21"/>
      <c r="E651" s="21"/>
      <c r="F651" s="21"/>
    </row>
    <row r="652" ht="15.75" customHeight="1">
      <c r="A652" s="21"/>
      <c r="B652" s="21"/>
      <c r="C652" s="21"/>
      <c r="D652" s="21"/>
      <c r="E652" s="21"/>
      <c r="F652" s="21"/>
    </row>
    <row r="653" ht="15.75" customHeight="1">
      <c r="A653" s="21"/>
      <c r="B653" s="21"/>
      <c r="C653" s="21"/>
      <c r="D653" s="21"/>
      <c r="E653" s="21"/>
      <c r="F653" s="21"/>
    </row>
    <row r="654" ht="15.75" customHeight="1">
      <c r="A654" s="21"/>
      <c r="B654" s="21"/>
      <c r="C654" s="21"/>
      <c r="D654" s="21"/>
      <c r="E654" s="21"/>
      <c r="F654" s="21"/>
    </row>
    <row r="655" ht="15.75" customHeight="1">
      <c r="A655" s="21"/>
      <c r="B655" s="21"/>
      <c r="C655" s="21"/>
      <c r="D655" s="21"/>
      <c r="E655" s="21"/>
      <c r="F655" s="21"/>
    </row>
    <row r="656" ht="15.75" customHeight="1">
      <c r="A656" s="21"/>
      <c r="B656" s="21"/>
      <c r="C656" s="21"/>
      <c r="D656" s="21"/>
      <c r="E656" s="21"/>
      <c r="F656" s="21"/>
    </row>
    <row r="657" ht="15.75" customHeight="1">
      <c r="A657" s="21"/>
      <c r="B657" s="21"/>
      <c r="C657" s="21"/>
      <c r="D657" s="21"/>
      <c r="E657" s="21"/>
      <c r="F657" s="21"/>
    </row>
    <row r="658" ht="15.75" customHeight="1">
      <c r="A658" s="21"/>
      <c r="B658" s="21"/>
      <c r="C658" s="21"/>
      <c r="D658" s="21"/>
      <c r="E658" s="21"/>
      <c r="F658" s="21"/>
    </row>
    <row r="659" ht="15.75" customHeight="1">
      <c r="A659" s="21"/>
      <c r="B659" s="21"/>
      <c r="C659" s="21"/>
      <c r="D659" s="21"/>
      <c r="E659" s="21"/>
      <c r="F659" s="21"/>
    </row>
    <row r="660" ht="15.75" customHeight="1">
      <c r="A660" s="21"/>
      <c r="B660" s="21"/>
      <c r="C660" s="21"/>
      <c r="D660" s="21"/>
      <c r="E660" s="21"/>
      <c r="F660" s="21"/>
    </row>
    <row r="661" ht="15.75" customHeight="1">
      <c r="A661" s="21"/>
      <c r="B661" s="21"/>
      <c r="C661" s="21"/>
      <c r="D661" s="21"/>
      <c r="E661" s="21"/>
      <c r="F661" s="2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mergeCells count="2">
    <mergeCell ref="B2:F2"/>
    <mergeCell ref="B3:F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8.71"/>
    <col customWidth="1" min="2" max="2" width="14.0"/>
    <col customWidth="1" min="3" max="7" width="12.0"/>
    <col customWidth="1" min="8" max="8" width="14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15" t="s">
        <v>828</v>
      </c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5"/>
      <c r="C3" s="6"/>
      <c r="D3" s="6"/>
      <c r="E3" s="6"/>
      <c r="F3" s="6"/>
      <c r="G3" s="6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1"/>
      <c r="B4" s="141" t="s">
        <v>829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34" t="s">
        <v>830</v>
      </c>
      <c r="C6" s="34" t="s">
        <v>831</v>
      </c>
      <c r="D6" s="34" t="s">
        <v>832</v>
      </c>
      <c r="E6" s="34" t="s">
        <v>833</v>
      </c>
      <c r="F6" s="34" t="s">
        <v>834</v>
      </c>
      <c r="G6" s="34" t="s">
        <v>835</v>
      </c>
      <c r="H6" s="34" t="s">
        <v>836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16">
        <v>46170.70833333334</v>
      </c>
      <c r="C7" s="217">
        <v>83.6892</v>
      </c>
      <c r="D7" s="217">
        <v>71.3715</v>
      </c>
      <c r="E7" s="217">
        <v>10.4487</v>
      </c>
      <c r="F7" s="218">
        <v>1.172585695971081</v>
      </c>
      <c r="G7" s="218">
        <v>8.00953228631313</v>
      </c>
      <c r="H7" s="45" t="s">
        <v>837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19">
        <v>46171.70833333333</v>
      </c>
      <c r="C8" s="220">
        <v>50.8804</v>
      </c>
      <c r="D8" s="220">
        <v>50.8804</v>
      </c>
      <c r="E8" s="220">
        <v>50.8804</v>
      </c>
      <c r="F8" s="221" t="str">
        <f>IF(D8&gt;0,C8/D8,0)</f>
        <v>#ERROR!</v>
      </c>
      <c r="G8" s="221" t="str">
        <f>IF(E8&gt;0,C8/E8,0)</f>
        <v>#ERROR!</v>
      </c>
      <c r="H8" s="222" t="s">
        <v>837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223">
        <v>46174.70833333333</v>
      </c>
      <c r="C9" s="224">
        <v>51.4324</v>
      </c>
      <c r="D9" s="224">
        <v>51.4324</v>
      </c>
      <c r="E9" s="224">
        <v>51.4324</v>
      </c>
      <c r="F9" s="225" t="str">
        <f>IF(D10&gt;0,C10/D10,0)</f>
        <v>#ERROR!</v>
      </c>
      <c r="G9" s="225" t="str">
        <f>IF(E10&gt;0,C10/E10,0)</f>
        <v>#ERROR!</v>
      </c>
      <c r="H9" s="226" t="s">
        <v>837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223">
        <v>46175.70833333333</v>
      </c>
      <c r="C10" s="224">
        <v>51.9745</v>
      </c>
      <c r="D10" s="224">
        <v>51.9745</v>
      </c>
      <c r="E10" s="224">
        <v>51.9745</v>
      </c>
      <c r="F10" s="225" t="str">
        <f>IF(D11&gt;0,C11/D11,0)</f>
        <v>#ERROR!</v>
      </c>
      <c r="G10" s="225" t="str">
        <f>IF(E11&gt;0,C11/E11,0)</f>
        <v>#ERROR!</v>
      </c>
      <c r="H10" s="226" t="s">
        <v>837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223">
        <v>46176.70833333333</v>
      </c>
      <c r="C11" s="224">
        <v>85.1243</v>
      </c>
      <c r="D11" s="224">
        <v>73.3436</v>
      </c>
      <c r="E11" s="224">
        <v>10.8262</v>
      </c>
      <c r="F11" s="225" t="str">
        <f>IF(D11&gt;0,C11/D11,0)</f>
        <v>#ERROR!</v>
      </c>
      <c r="G11" s="225" t="str">
        <f>IF(E11&gt;0,C11/E11,0)</f>
        <v>#ERROR!</v>
      </c>
      <c r="H11" s="226" t="s">
        <v>837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</row>
  </sheetData>
  <mergeCells count="2">
    <mergeCell ref="B2:H3"/>
    <mergeCell ref="B4:H4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0613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55.0"/>
    <col customWidth="1" min="4" max="4" width="8.0"/>
    <col customWidth="1" min="5" max="5" width="14.0"/>
    <col customWidth="1" min="6" max="6" width="18.0"/>
    <col customWidth="1" min="7" max="7" width="28.0"/>
    <col customWidth="1" min="8" max="8" width="14.0"/>
    <col customWidth="1" min="9" max="9" width="12.0"/>
    <col customWidth="1" min="10" max="10" width="10.0"/>
    <col customWidth="1" min="11" max="12" width="14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1"/>
      <c r="B2" s="210" t="s">
        <v>838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11" t="s">
        <v>839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27" t="s">
        <v>840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86" t="s">
        <v>369</v>
      </c>
      <c r="C5" s="86" t="s">
        <v>841</v>
      </c>
      <c r="D5" s="86" t="s">
        <v>474</v>
      </c>
      <c r="E5" s="86" t="s">
        <v>825</v>
      </c>
      <c r="F5" s="86" t="s">
        <v>842</v>
      </c>
      <c r="G5" s="86" t="s">
        <v>372</v>
      </c>
      <c r="H5" s="86" t="s">
        <v>373</v>
      </c>
      <c r="I5" s="86" t="s">
        <v>371</v>
      </c>
      <c r="J5" s="86" t="s">
        <v>843</v>
      </c>
      <c r="K5" s="86" t="s">
        <v>844</v>
      </c>
      <c r="L5" s="86" t="s">
        <v>845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88">
        <v>1.0</v>
      </c>
      <c r="C6" s="89" t="s">
        <v>528</v>
      </c>
      <c r="D6" s="88" t="s">
        <v>846</v>
      </c>
      <c r="E6" s="228">
        <f t="shared" ref="E6:E231" si="1">IF(AND(K6&lt;&gt;"",K6&gt;0,L6&lt;&gt;"",L6&gt;0),ROUND(K6*L6,4),0)</f>
        <v>0</v>
      </c>
      <c r="F6" s="229"/>
      <c r="G6" s="89"/>
      <c r="H6" s="1"/>
      <c r="I6" s="1"/>
      <c r="J6" s="230"/>
      <c r="K6" s="231"/>
      <c r="L6" s="232" t="str">
        <f>IF(J6="","",IF(J6="EUR",1,IF(J6="RUB",IFERROR(1/LOOKUP(IF(F6="",MAX('Курсы ЦБ'!$B$7:$B$1000),F6),'Курсы ЦБ'!$B$7:$B$1000,'Курсы ЦБ'!$C$7:$C$1000),0),IF(J6="USD",IFERROR(1/LOOKUP(IF(F6="",MAX('Курсы ЦБ'!$B$7:$B$1000),F6),'Курсы ЦБ'!$B$7:$B$1000,'Курсы ЦБ'!$F$7:$F$1000),0),IF(J6="CNY",IFERROR(1/LOOKUP(IF(F6="",MAX('Курсы ЦБ'!$B$7:$B$1000),F6),'Курсы ЦБ'!$B$7:$B$1000,'Курсы ЦБ'!$G$7:$G$1000),0),0)))))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96">
        <v>2.0</v>
      </c>
      <c r="C7" s="97" t="s">
        <v>530</v>
      </c>
      <c r="D7" s="96" t="s">
        <v>846</v>
      </c>
      <c r="E7" s="233">
        <f t="shared" si="1"/>
        <v>0</v>
      </c>
      <c r="F7" s="234"/>
      <c r="G7" s="97"/>
      <c r="H7" s="1"/>
      <c r="I7" s="1"/>
      <c r="J7" s="230"/>
      <c r="K7" s="231"/>
      <c r="L7" s="232" t="str">
        <f>IF(J7="","",IF(J7="EUR",1,IF(J7="RUB",IFERROR(1/LOOKUP(IF(F7="",MAX('Курсы ЦБ'!$B$7:$B$1000),F7),'Курсы ЦБ'!$B$7:$B$1000,'Курсы ЦБ'!$C$7:$C$1000),0),IF(J7="USD",IFERROR(1/LOOKUP(IF(F7="",MAX('Курсы ЦБ'!$B$7:$B$1000),F7),'Курсы ЦБ'!$B$7:$B$1000,'Курсы ЦБ'!$F$7:$F$1000),0),IF(J7="CNY",IFERROR(1/LOOKUP(IF(F7="",MAX('Курсы ЦБ'!$B$7:$B$1000),F7),'Курсы ЦБ'!$B$7:$B$1000,'Курсы ЦБ'!$G$7:$G$1000),0),0)))))</f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88">
        <v>3.0</v>
      </c>
      <c r="C8" s="89" t="s">
        <v>847</v>
      </c>
      <c r="D8" s="88" t="s">
        <v>846</v>
      </c>
      <c r="E8" s="228">
        <f t="shared" si="1"/>
        <v>0</v>
      </c>
      <c r="F8" s="229"/>
      <c r="G8" s="89"/>
      <c r="H8" s="1"/>
      <c r="I8" s="1"/>
      <c r="J8" s="230"/>
      <c r="K8" s="231"/>
      <c r="L8" s="232" t="str">
        <f>IF(J8="","",IF(J8="EUR",1,IF(J8="RUB",IFERROR(1/LOOKUP(IF(F8="",MAX('Курсы ЦБ'!$B$7:$B$1000),F8),'Курсы ЦБ'!$B$7:$B$1000,'Курсы ЦБ'!$C$7:$C$1000),0),IF(J8="USD",IFERROR(1/LOOKUP(IF(F8="",MAX('Курсы ЦБ'!$B$7:$B$1000),F8),'Курсы ЦБ'!$B$7:$B$1000,'Курсы ЦБ'!$F$7:$F$1000),0),IF(J8="CNY",IFERROR(1/LOOKUP(IF(F8="",MAX('Курсы ЦБ'!$B$7:$B$1000),F8),'Курсы ЦБ'!$B$7:$B$1000,'Курсы ЦБ'!$G$7:$G$1000),0),0)))))</f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96">
        <v>4.0</v>
      </c>
      <c r="C9" s="97" t="s">
        <v>848</v>
      </c>
      <c r="D9" s="96" t="s">
        <v>846</v>
      </c>
      <c r="E9" s="233">
        <f t="shared" si="1"/>
        <v>10.5958</v>
      </c>
      <c r="F9" s="234"/>
      <c r="G9" s="97"/>
      <c r="H9" s="1"/>
      <c r="I9" s="1"/>
      <c r="J9" s="230" t="s">
        <v>849</v>
      </c>
      <c r="K9" s="231">
        <v>10.5958</v>
      </c>
      <c r="L9" s="232">
        <f>IF(J9="","",IF(J9="EUR",1,IF(J9="RUB",IFERROR(1/LOOKUP(IF(F9="",MAX('Курсы ЦБ'!$B$7:$B$1000),F9),'Курсы ЦБ'!$B$7:$B$1000,'Курсы ЦБ'!$C$7:$C$1000),0),IF(J9="USD",IFERROR(1/LOOKUP(IF(F9="",MAX('Курсы ЦБ'!$B$7:$B$1000),F9),'Курсы ЦБ'!$B$7:$B$1000,'Курсы ЦБ'!$F$7:$F$1000),0),IF(J9="CNY",IFERROR(1/LOOKUP(IF(F9="",MAX('Курсы ЦБ'!$B$7:$B$1000),F9),'Курсы ЦБ'!$B$7:$B$1000,'Курсы ЦБ'!$G$7:$G$1000),0),0)))))</f>
        <v>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88">
        <v>5.0</v>
      </c>
      <c r="C10" s="89" t="s">
        <v>850</v>
      </c>
      <c r="D10" s="88" t="s">
        <v>846</v>
      </c>
      <c r="E10" s="228">
        <f t="shared" si="1"/>
        <v>34.9741</v>
      </c>
      <c r="F10" s="229"/>
      <c r="G10" s="89"/>
      <c r="H10" s="1"/>
      <c r="I10" s="1"/>
      <c r="J10" s="230" t="s">
        <v>849</v>
      </c>
      <c r="K10" s="231">
        <v>34.9741</v>
      </c>
      <c r="L10" s="232">
        <f>IF(J10="","",IF(J10="EUR",1,IF(J10="RUB",IFERROR(1/LOOKUP(IF(F10="",MAX('Курсы ЦБ'!$B$7:$B$1000),F10),'Курсы ЦБ'!$B$7:$B$1000,'Курсы ЦБ'!$C$7:$C$1000),0),IF(J10="USD",IFERROR(1/LOOKUP(IF(F10="",MAX('Курсы ЦБ'!$B$7:$B$1000),F10),'Курсы ЦБ'!$B$7:$B$1000,'Курсы ЦБ'!$F$7:$F$1000),0),IF(J10="CNY",IFERROR(1/LOOKUP(IF(F10="",MAX('Курсы ЦБ'!$B$7:$B$1000),F10),'Курсы ЦБ'!$B$7:$B$1000,'Курсы ЦБ'!$G$7:$G$1000),0),0)))))</f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96">
        <v>6.0</v>
      </c>
      <c r="C11" s="97" t="s">
        <v>851</v>
      </c>
      <c r="D11" s="96" t="s">
        <v>846</v>
      </c>
      <c r="E11" s="233">
        <f t="shared" si="1"/>
        <v>25.2109</v>
      </c>
      <c r="F11" s="234"/>
      <c r="G11" s="97"/>
      <c r="H11" s="1"/>
      <c r="I11" s="1"/>
      <c r="J11" s="230" t="s">
        <v>849</v>
      </c>
      <c r="K11" s="231">
        <v>25.2109</v>
      </c>
      <c r="L11" s="232">
        <f>IF(J11="","",IF(J11="EUR",1,IF(J11="RUB",IFERROR(1/LOOKUP(IF(F11="",MAX('Курсы ЦБ'!$B$7:$B$1000),F11),'Курсы ЦБ'!$B$7:$B$1000,'Курсы ЦБ'!$C$7:$C$1000),0),IF(J11="USD",IFERROR(1/LOOKUP(IF(F11="",MAX('Курсы ЦБ'!$B$7:$B$1000),F11),'Курсы ЦБ'!$B$7:$B$1000,'Курсы ЦБ'!$F$7:$F$1000),0),IF(J11="CNY",IFERROR(1/LOOKUP(IF(F11="",MAX('Курсы ЦБ'!$B$7:$B$1000),F11),'Курсы ЦБ'!$B$7:$B$1000,'Курсы ЦБ'!$G$7:$G$1000),0),0)))))</f>
        <v>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88">
        <v>7.0</v>
      </c>
      <c r="C12" s="89" t="s">
        <v>852</v>
      </c>
      <c r="D12" s="88" t="s">
        <v>846</v>
      </c>
      <c r="E12" s="228">
        <f t="shared" si="1"/>
        <v>25.2109</v>
      </c>
      <c r="F12" s="229"/>
      <c r="G12" s="89"/>
      <c r="H12" s="1"/>
      <c r="I12" s="1"/>
      <c r="J12" s="230" t="s">
        <v>849</v>
      </c>
      <c r="K12" s="231">
        <v>25.2109</v>
      </c>
      <c r="L12" s="232">
        <f>IF(J12="","",IF(J12="EUR",1,IF(J12="RUB",IFERROR(1/LOOKUP(IF(F12="",MAX('Курсы ЦБ'!$B$7:$B$1000),F12),'Курсы ЦБ'!$B$7:$B$1000,'Курсы ЦБ'!$C$7:$C$1000),0),IF(J12="USD",IFERROR(1/LOOKUP(IF(F12="",MAX('Курсы ЦБ'!$B$7:$B$1000),F12),'Курсы ЦБ'!$B$7:$B$1000,'Курсы ЦБ'!$F$7:$F$1000),0),IF(J12="CNY",IFERROR(1/LOOKUP(IF(F12="",MAX('Курсы ЦБ'!$B$7:$B$1000),F12),'Курсы ЦБ'!$B$7:$B$1000,'Курсы ЦБ'!$G$7:$G$1000),0),0)))))</f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96">
        <v>8.0</v>
      </c>
      <c r="C13" s="97" t="s">
        <v>532</v>
      </c>
      <c r="D13" s="96" t="s">
        <v>846</v>
      </c>
      <c r="E13" s="233">
        <f t="shared" si="1"/>
        <v>2.337</v>
      </c>
      <c r="F13" s="234"/>
      <c r="G13" s="97"/>
      <c r="H13" s="1"/>
      <c r="I13" s="1"/>
      <c r="J13" s="230" t="s">
        <v>849</v>
      </c>
      <c r="K13" s="231">
        <v>2.337</v>
      </c>
      <c r="L13" s="232">
        <f>IF(J13="","",IF(J13="EUR",1,IF(J13="RUB",IFERROR(1/LOOKUP(IF(F13="",MAX('Курсы ЦБ'!$B$7:$B$1000),F13),'Курсы ЦБ'!$B$7:$B$1000,'Курсы ЦБ'!$C$7:$C$1000),0),IF(J13="USD",IFERROR(1/LOOKUP(IF(F13="",MAX('Курсы ЦБ'!$B$7:$B$1000),F13),'Курсы ЦБ'!$B$7:$B$1000,'Курсы ЦБ'!$F$7:$F$1000),0),IF(J13="CNY",IFERROR(1/LOOKUP(IF(F13="",MAX('Курсы ЦБ'!$B$7:$B$1000),F13),'Курсы ЦБ'!$B$7:$B$1000,'Курсы ЦБ'!$G$7:$G$1000),0),0)))))</f>
        <v>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88">
        <v>9.0</v>
      </c>
      <c r="C14" s="89" t="s">
        <v>533</v>
      </c>
      <c r="D14" s="88" t="s">
        <v>846</v>
      </c>
      <c r="E14" s="228">
        <f t="shared" si="1"/>
        <v>6.305</v>
      </c>
      <c r="F14" s="229"/>
      <c r="G14" s="89"/>
      <c r="H14" s="1"/>
      <c r="I14" s="1"/>
      <c r="J14" s="230" t="s">
        <v>849</v>
      </c>
      <c r="K14" s="231">
        <v>6.305</v>
      </c>
      <c r="L14" s="232">
        <f>IF(J14="","",IF(J14="EUR",1,IF(J14="RUB",IFERROR(1/LOOKUP(IF(F14="",MAX('Курсы ЦБ'!$B$7:$B$1000),F14),'Курсы ЦБ'!$B$7:$B$1000,'Курсы ЦБ'!$C$7:$C$1000),0),IF(J14="USD",IFERROR(1/LOOKUP(IF(F14="",MAX('Курсы ЦБ'!$B$7:$B$1000),F14),'Курсы ЦБ'!$B$7:$B$1000,'Курсы ЦБ'!$F$7:$F$1000),0),IF(J14="CNY",IFERROR(1/LOOKUP(IF(F14="",MAX('Курсы ЦБ'!$B$7:$B$1000),F14),'Курсы ЦБ'!$B$7:$B$1000,'Курсы ЦБ'!$G$7:$G$1000),0),0)))))</f>
        <v>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96">
        <v>10.0</v>
      </c>
      <c r="C15" s="97" t="s">
        <v>853</v>
      </c>
      <c r="D15" s="96" t="s">
        <v>846</v>
      </c>
      <c r="E15" s="233">
        <f t="shared" si="1"/>
        <v>18.8444</v>
      </c>
      <c r="F15" s="234"/>
      <c r="G15" s="97"/>
      <c r="H15" s="1"/>
      <c r="I15" s="1"/>
      <c r="J15" s="230" t="s">
        <v>849</v>
      </c>
      <c r="K15" s="231">
        <v>18.8444</v>
      </c>
      <c r="L15" s="232">
        <f>IF(J15="","",IF(J15="EUR",1,IF(J15="RUB",IFERROR(1/LOOKUP(IF(F15="",MAX('Курсы ЦБ'!$B$7:$B$1000),F15),'Курсы ЦБ'!$B$7:$B$1000,'Курсы ЦБ'!$C$7:$C$1000),0),IF(J15="USD",IFERROR(1/LOOKUP(IF(F15="",MAX('Курсы ЦБ'!$B$7:$B$1000),F15),'Курсы ЦБ'!$B$7:$B$1000,'Курсы ЦБ'!$F$7:$F$1000),0),IF(J15="CNY",IFERROR(1/LOOKUP(IF(F15="",MAX('Курсы ЦБ'!$B$7:$B$1000),F15),'Курсы ЦБ'!$B$7:$B$1000,'Курсы ЦБ'!$G$7:$G$1000),0),0)))))</f>
        <v>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88">
        <v>11.0</v>
      </c>
      <c r="C16" s="89" t="s">
        <v>854</v>
      </c>
      <c r="D16" s="88" t="s">
        <v>846</v>
      </c>
      <c r="E16" s="228">
        <f t="shared" si="1"/>
        <v>3.7941</v>
      </c>
      <c r="F16" s="229"/>
      <c r="G16" s="89"/>
      <c r="H16" s="1"/>
      <c r="I16" s="1"/>
      <c r="J16" s="230" t="s">
        <v>849</v>
      </c>
      <c r="K16" s="231">
        <v>3.7941</v>
      </c>
      <c r="L16" s="232">
        <f>IF(J16="","",IF(J16="EUR",1,IF(J16="RUB",IFERROR(1/LOOKUP(IF(F16="",MAX('Курсы ЦБ'!$B$7:$B$1000),F16),'Курсы ЦБ'!$B$7:$B$1000,'Курсы ЦБ'!$C$7:$C$1000),0),IF(J16="USD",IFERROR(1/LOOKUP(IF(F16="",MAX('Курсы ЦБ'!$B$7:$B$1000),F16),'Курсы ЦБ'!$B$7:$B$1000,'Курсы ЦБ'!$F$7:$F$1000),0),IF(J16="CNY",IFERROR(1/LOOKUP(IF(F16="",MAX('Курсы ЦБ'!$B$7:$B$1000),F16),'Курсы ЦБ'!$B$7:$B$1000,'Курсы ЦБ'!$G$7:$G$1000),0),0)))))</f>
        <v>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35">
        <v>12.0</v>
      </c>
      <c r="C17" s="236" t="s">
        <v>390</v>
      </c>
      <c r="D17" s="235" t="s">
        <v>846</v>
      </c>
      <c r="E17" s="237">
        <f t="shared" si="1"/>
        <v>3.5368</v>
      </c>
      <c r="F17" s="238"/>
      <c r="G17" s="236"/>
      <c r="H17" s="239"/>
      <c r="I17" s="239" t="s">
        <v>855</v>
      </c>
      <c r="J17" s="230" t="s">
        <v>849</v>
      </c>
      <c r="K17" s="231">
        <v>3.5368</v>
      </c>
      <c r="L17" s="232">
        <f>IF(J17="","",IF(J17="EUR",1,IF(J17="RUB",IFERROR(1/LOOKUP(IF(F17="",MAX('Курсы ЦБ'!$B$7:$B$1000),F17),'Курсы ЦБ'!$B$7:$B$1000,'Курсы ЦБ'!$C$7:$C$1000),0),IF(J17="USD",IFERROR(1/LOOKUP(IF(F17="",MAX('Курсы ЦБ'!$B$7:$B$1000),F17),'Курсы ЦБ'!$B$7:$B$1000,'Курсы ЦБ'!$F$7:$F$1000),0),IF(J17="CNY",IFERROR(1/LOOKUP(IF(F17="",MAX('Курсы ЦБ'!$B$7:$B$1000),F17),'Курсы ЦБ'!$B$7:$B$1000,'Курсы ЦБ'!$G$7:$G$1000),0),0)))))</f>
        <v>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235">
        <v>13.0</v>
      </c>
      <c r="C18" s="236" t="s">
        <v>392</v>
      </c>
      <c r="D18" s="235" t="s">
        <v>846</v>
      </c>
      <c r="E18" s="237">
        <f t="shared" si="1"/>
        <v>2.0535</v>
      </c>
      <c r="F18" s="238"/>
      <c r="G18" s="236"/>
      <c r="H18" s="239"/>
      <c r="I18" s="239" t="s">
        <v>855</v>
      </c>
      <c r="J18" s="230" t="s">
        <v>849</v>
      </c>
      <c r="K18" s="231">
        <v>2.0535</v>
      </c>
      <c r="L18" s="232">
        <f>IF(J18="","",IF(J18="EUR",1,IF(J18="RUB",IFERROR(1/LOOKUP(IF(F18="",MAX('Курсы ЦБ'!$B$7:$B$1000),F18),'Курсы ЦБ'!$B$7:$B$1000,'Курсы ЦБ'!$C$7:$C$1000),0),IF(J18="USD",IFERROR(1/LOOKUP(IF(F18="",MAX('Курсы ЦБ'!$B$7:$B$1000),F18),'Курсы ЦБ'!$B$7:$B$1000,'Курсы ЦБ'!$F$7:$F$1000),0),IF(J18="CNY",IFERROR(1/LOOKUP(IF(F18="",MAX('Курсы ЦБ'!$B$7:$B$1000),F18),'Курсы ЦБ'!$B$7:$B$1000,'Курсы ЦБ'!$G$7:$G$1000),0),0)))))</f>
        <v>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35">
        <v>14.0</v>
      </c>
      <c r="C19" s="236" t="s">
        <v>393</v>
      </c>
      <c r="D19" s="235" t="s">
        <v>846</v>
      </c>
      <c r="E19" s="237">
        <f t="shared" si="1"/>
        <v>3.4798</v>
      </c>
      <c r="F19" s="238"/>
      <c r="G19" s="236"/>
      <c r="H19" s="239"/>
      <c r="I19" s="239" t="s">
        <v>855</v>
      </c>
      <c r="J19" s="230" t="s">
        <v>849</v>
      </c>
      <c r="K19" s="231">
        <v>3.4798</v>
      </c>
      <c r="L19" s="232">
        <f>IF(J19="","",IF(J19="EUR",1,IF(J19="RUB",IFERROR(1/LOOKUP(IF(F19="",MAX('Курсы ЦБ'!$B$7:$B$1000),F19),'Курсы ЦБ'!$B$7:$B$1000,'Курсы ЦБ'!$C$7:$C$1000),0),IF(J19="USD",IFERROR(1/LOOKUP(IF(F19="",MAX('Курсы ЦБ'!$B$7:$B$1000),F19),'Курсы ЦБ'!$B$7:$B$1000,'Курсы ЦБ'!$F$7:$F$1000),0),IF(J19="CNY",IFERROR(1/LOOKUP(IF(F19="",MAX('Курсы ЦБ'!$B$7:$B$1000),F19),'Курсы ЦБ'!$B$7:$B$1000,'Курсы ЦБ'!$G$7:$G$1000),0),0)))))</f>
        <v>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235">
        <v>15.0</v>
      </c>
      <c r="C20" s="236" t="s">
        <v>394</v>
      </c>
      <c r="D20" s="235" t="s">
        <v>846</v>
      </c>
      <c r="E20" s="237">
        <f t="shared" si="1"/>
        <v>3.6988</v>
      </c>
      <c r="F20" s="238"/>
      <c r="G20" s="236"/>
      <c r="H20" s="239"/>
      <c r="I20" s="239" t="s">
        <v>855</v>
      </c>
      <c r="J20" s="230" t="s">
        <v>849</v>
      </c>
      <c r="K20" s="231">
        <v>3.6988</v>
      </c>
      <c r="L20" s="232">
        <f>IF(J20="","",IF(J20="EUR",1,IF(J20="RUB",IFERROR(1/LOOKUP(IF(F20="",MAX('Курсы ЦБ'!$B$7:$B$1000),F20),'Курсы ЦБ'!$B$7:$B$1000,'Курсы ЦБ'!$C$7:$C$1000),0),IF(J20="USD",IFERROR(1/LOOKUP(IF(F20="",MAX('Курсы ЦБ'!$B$7:$B$1000),F20),'Курсы ЦБ'!$B$7:$B$1000,'Курсы ЦБ'!$F$7:$F$1000),0),IF(J20="CNY",IFERROR(1/LOOKUP(IF(F20="",MAX('Курсы ЦБ'!$B$7:$B$1000),F20),'Курсы ЦБ'!$B$7:$B$1000,'Курсы ЦБ'!$G$7:$G$1000),0),0)))))</f>
        <v>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235">
        <v>16.0</v>
      </c>
      <c r="C21" s="236" t="s">
        <v>395</v>
      </c>
      <c r="D21" s="235" t="s">
        <v>846</v>
      </c>
      <c r="E21" s="237">
        <f t="shared" si="1"/>
        <v>3.4656</v>
      </c>
      <c r="F21" s="238"/>
      <c r="G21" s="236"/>
      <c r="H21" s="239"/>
      <c r="I21" s="239" t="s">
        <v>855</v>
      </c>
      <c r="J21" s="230" t="s">
        <v>849</v>
      </c>
      <c r="K21" s="231">
        <v>3.4656</v>
      </c>
      <c r="L21" s="232">
        <f>IF(J21="","",IF(J21="EUR",1,IF(J21="RUB",IFERROR(1/LOOKUP(IF(F21="",MAX('Курсы ЦБ'!$B$7:$B$1000),F21),'Курсы ЦБ'!$B$7:$B$1000,'Курсы ЦБ'!$C$7:$C$1000),0),IF(J21="USD",IFERROR(1/LOOKUP(IF(F21="",MAX('Курсы ЦБ'!$B$7:$B$1000),F21),'Курсы ЦБ'!$B$7:$B$1000,'Курсы ЦБ'!$F$7:$F$1000),0),IF(J21="CNY",IFERROR(1/LOOKUP(IF(F21="",MAX('Курсы ЦБ'!$B$7:$B$1000),F21),'Курсы ЦБ'!$B$7:$B$1000,'Курсы ЦБ'!$G$7:$G$1000),0),0)))))</f>
        <v>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235">
        <v>17.0</v>
      </c>
      <c r="C22" s="236" t="s">
        <v>396</v>
      </c>
      <c r="D22" s="235" t="s">
        <v>846</v>
      </c>
      <c r="E22" s="237">
        <f t="shared" si="1"/>
        <v>0</v>
      </c>
      <c r="F22" s="238"/>
      <c r="G22" s="236"/>
      <c r="H22" s="239"/>
      <c r="I22" s="239" t="s">
        <v>855</v>
      </c>
      <c r="J22" s="230" t="s">
        <v>849</v>
      </c>
      <c r="K22" s="231"/>
      <c r="L22" s="232">
        <f>IF(J22="","",IF(J22="EUR",1,IF(J22="RUB",IFERROR(1/LOOKUP(IF(F22="",MAX('Курсы ЦБ'!$B$7:$B$1000),F22),'Курсы ЦБ'!$B$7:$B$1000,'Курсы ЦБ'!$C$7:$C$1000),0),IF(J22="USD",IFERROR(1/LOOKUP(IF(F22="",MAX('Курсы ЦБ'!$B$7:$B$1000),F22),'Курсы ЦБ'!$B$7:$B$1000,'Курсы ЦБ'!$F$7:$F$1000),0),IF(J22="CNY",IFERROR(1/LOOKUP(IF(F22="",MAX('Курсы ЦБ'!$B$7:$B$1000),F22),'Курсы ЦБ'!$B$7:$B$1000,'Курсы ЦБ'!$G$7:$G$1000),0),0)))))</f>
        <v>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96">
        <v>18.0</v>
      </c>
      <c r="C23" s="97" t="s">
        <v>856</v>
      </c>
      <c r="D23" s="96" t="s">
        <v>846</v>
      </c>
      <c r="E23" s="233">
        <f t="shared" si="1"/>
        <v>1.5704</v>
      </c>
      <c r="F23" s="234"/>
      <c r="G23" s="97"/>
      <c r="H23" s="1"/>
      <c r="I23" s="1"/>
      <c r="J23" s="230" t="s">
        <v>849</v>
      </c>
      <c r="K23" s="231">
        <v>1.5704</v>
      </c>
      <c r="L23" s="232">
        <f>IF(J23="","",IF(J23="EUR",1,IF(J23="RUB",IFERROR(1/LOOKUP(IF(F23="",MAX('Курсы ЦБ'!$B$7:$B$1000),F23),'Курсы ЦБ'!$B$7:$B$1000,'Курсы ЦБ'!$C$7:$C$1000),0),IF(J23="USD",IFERROR(1/LOOKUP(IF(F23="",MAX('Курсы ЦБ'!$B$7:$B$1000),F23),'Курсы ЦБ'!$B$7:$B$1000,'Курсы ЦБ'!$F$7:$F$1000),0),IF(J23="CNY",IFERROR(1/LOOKUP(IF(F23="",MAX('Курсы ЦБ'!$B$7:$B$1000),F23),'Курсы ЦБ'!$B$7:$B$1000,'Курсы ЦБ'!$G$7:$G$1000),0),0)))))</f>
        <v>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88">
        <v>19.0</v>
      </c>
      <c r="C24" s="89" t="s">
        <v>535</v>
      </c>
      <c r="D24" s="88" t="s">
        <v>846</v>
      </c>
      <c r="E24" s="228">
        <f t="shared" si="1"/>
        <v>1.3268</v>
      </c>
      <c r="F24" s="229"/>
      <c r="G24" s="89"/>
      <c r="H24" s="1"/>
      <c r="I24" s="1"/>
      <c r="J24" s="230" t="s">
        <v>849</v>
      </c>
      <c r="K24" s="231">
        <v>1.3268</v>
      </c>
      <c r="L24" s="232">
        <f>IF(J24="","",IF(J24="EUR",1,IF(J24="RUB",IFERROR(1/LOOKUP(IF(F24="",MAX('Курсы ЦБ'!$B$7:$B$1000),F24),'Курсы ЦБ'!$B$7:$B$1000,'Курсы ЦБ'!$C$7:$C$1000),0),IF(J24="USD",IFERROR(1/LOOKUP(IF(F24="",MAX('Курсы ЦБ'!$B$7:$B$1000),F24),'Курсы ЦБ'!$B$7:$B$1000,'Курсы ЦБ'!$F$7:$F$1000),0),IF(J24="CNY",IFERROR(1/LOOKUP(IF(F24="",MAX('Курсы ЦБ'!$B$7:$B$1000),F24),'Курсы ЦБ'!$B$7:$B$1000,'Курсы ЦБ'!$G$7:$G$1000),0),0)))))</f>
        <v>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96">
        <v>20.0</v>
      </c>
      <c r="C25" s="97" t="s">
        <v>857</v>
      </c>
      <c r="D25" s="96" t="s">
        <v>846</v>
      </c>
      <c r="E25" s="233">
        <f t="shared" si="1"/>
        <v>9.6617</v>
      </c>
      <c r="F25" s="234"/>
      <c r="G25" s="97"/>
      <c r="H25" s="1"/>
      <c r="I25" s="1"/>
      <c r="J25" s="230" t="s">
        <v>849</v>
      </c>
      <c r="K25" s="231">
        <v>9.6617</v>
      </c>
      <c r="L25" s="232">
        <f>IF(J25="","",IF(J25="EUR",1,IF(J25="RUB",IFERROR(1/LOOKUP(IF(F25="",MAX('Курсы ЦБ'!$B$7:$B$1000),F25),'Курсы ЦБ'!$B$7:$B$1000,'Курсы ЦБ'!$C$7:$C$1000),0),IF(J25="USD",IFERROR(1/LOOKUP(IF(F25="",MAX('Курсы ЦБ'!$B$7:$B$1000),F25),'Курсы ЦБ'!$B$7:$B$1000,'Курсы ЦБ'!$F$7:$F$1000),0),IF(J25="CNY",IFERROR(1/LOOKUP(IF(F25="",MAX('Курсы ЦБ'!$B$7:$B$1000),F25),'Курсы ЦБ'!$B$7:$B$1000,'Курсы ЦБ'!$G$7:$G$1000),0),0)))))</f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88">
        <v>21.0</v>
      </c>
      <c r="C26" s="89" t="s">
        <v>539</v>
      </c>
      <c r="D26" s="88" t="s">
        <v>846</v>
      </c>
      <c r="E26" s="228">
        <f t="shared" si="1"/>
        <v>3.2337</v>
      </c>
      <c r="F26" s="229"/>
      <c r="G26" s="89"/>
      <c r="H26" s="1"/>
      <c r="I26" s="1"/>
      <c r="J26" s="230" t="s">
        <v>849</v>
      </c>
      <c r="K26" s="231">
        <v>3.2337</v>
      </c>
      <c r="L26" s="232">
        <f>IF(J26="","",IF(J26="EUR",1,IF(J26="RUB",IFERROR(1/LOOKUP(IF(F26="",MAX('Курсы ЦБ'!$B$7:$B$1000),F26),'Курсы ЦБ'!$B$7:$B$1000,'Курсы ЦБ'!$C$7:$C$1000),0),IF(J26="USD",IFERROR(1/LOOKUP(IF(F26="",MAX('Курсы ЦБ'!$B$7:$B$1000),F26),'Курсы ЦБ'!$B$7:$B$1000,'Курсы ЦБ'!$F$7:$F$1000),0),IF(J26="CNY",IFERROR(1/LOOKUP(IF(F26="",MAX('Курсы ЦБ'!$B$7:$B$1000),F26),'Курсы ЦБ'!$B$7:$B$1000,'Курсы ЦБ'!$G$7:$G$1000),0),0)))))</f>
        <v>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96">
        <v>22.0</v>
      </c>
      <c r="C27" s="97" t="s">
        <v>537</v>
      </c>
      <c r="D27" s="96" t="s">
        <v>846</v>
      </c>
      <c r="E27" s="233">
        <f t="shared" si="1"/>
        <v>8.8284</v>
      </c>
      <c r="F27" s="234"/>
      <c r="G27" s="97"/>
      <c r="H27" s="1"/>
      <c r="I27" s="1"/>
      <c r="J27" s="230" t="s">
        <v>849</v>
      </c>
      <c r="K27" s="231">
        <v>8.8284</v>
      </c>
      <c r="L27" s="232">
        <f>IF(J27="","",IF(J27="EUR",1,IF(J27="RUB",IFERROR(1/LOOKUP(IF(F27="",MAX('Курсы ЦБ'!$B$7:$B$1000),F27),'Курсы ЦБ'!$B$7:$B$1000,'Курсы ЦБ'!$C$7:$C$1000),0),IF(J27="USD",IFERROR(1/LOOKUP(IF(F27="",MAX('Курсы ЦБ'!$B$7:$B$1000),F27),'Курсы ЦБ'!$B$7:$B$1000,'Курсы ЦБ'!$F$7:$F$1000),0),IF(J27="CNY",IFERROR(1/LOOKUP(IF(F27="",MAX('Курсы ЦБ'!$B$7:$B$1000),F27),'Курсы ЦБ'!$B$7:$B$1000,'Курсы ЦБ'!$G$7:$G$1000),0),0)))))</f>
        <v>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88">
        <v>23.0</v>
      </c>
      <c r="C28" s="89" t="s">
        <v>541</v>
      </c>
      <c r="D28" s="88" t="s">
        <v>846</v>
      </c>
      <c r="E28" s="228">
        <f t="shared" si="1"/>
        <v>78.7704</v>
      </c>
      <c r="F28" s="229"/>
      <c r="G28" s="89"/>
      <c r="H28" s="1"/>
      <c r="I28" s="1"/>
      <c r="J28" s="230" t="s">
        <v>849</v>
      </c>
      <c r="K28" s="231">
        <v>78.7704</v>
      </c>
      <c r="L28" s="232">
        <f>IF(J28="","",IF(J28="EUR",1,IF(J28="RUB",IFERROR(1/LOOKUP(IF(F28="",MAX('Курсы ЦБ'!$B$7:$B$1000),F28),'Курсы ЦБ'!$B$7:$B$1000,'Курсы ЦБ'!$C$7:$C$1000),0),IF(J28="USD",IFERROR(1/LOOKUP(IF(F28="",MAX('Курсы ЦБ'!$B$7:$B$1000),F28),'Курсы ЦБ'!$B$7:$B$1000,'Курсы ЦБ'!$F$7:$F$1000),0),IF(J28="CNY",IFERROR(1/LOOKUP(IF(F28="",MAX('Курсы ЦБ'!$B$7:$B$1000),F28),'Курсы ЦБ'!$B$7:$B$1000,'Курсы ЦБ'!$G$7:$G$1000),0),0)))))</f>
        <v>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6">
        <v>24.0</v>
      </c>
      <c r="C29" s="97" t="s">
        <v>542</v>
      </c>
      <c r="D29" s="96" t="s">
        <v>846</v>
      </c>
      <c r="E29" s="233">
        <f t="shared" si="1"/>
        <v>16.0534</v>
      </c>
      <c r="F29" s="234"/>
      <c r="G29" s="97"/>
      <c r="H29" s="1"/>
      <c r="I29" s="1"/>
      <c r="J29" s="230" t="s">
        <v>849</v>
      </c>
      <c r="K29" s="231">
        <v>16.0534</v>
      </c>
      <c r="L29" s="232">
        <f>IF(J29="","",IF(J29="EUR",1,IF(J29="RUB",IFERROR(1/LOOKUP(IF(F29="",MAX('Курсы ЦБ'!$B$7:$B$1000),F29),'Курсы ЦБ'!$B$7:$B$1000,'Курсы ЦБ'!$C$7:$C$1000),0),IF(J29="USD",IFERROR(1/LOOKUP(IF(F29="",MAX('Курсы ЦБ'!$B$7:$B$1000),F29),'Курсы ЦБ'!$B$7:$B$1000,'Курсы ЦБ'!$F$7:$F$1000),0),IF(J29="CNY",IFERROR(1/LOOKUP(IF(F29="",MAX('Курсы ЦБ'!$B$7:$B$1000),F29),'Курсы ЦБ'!$B$7:$B$1000,'Курсы ЦБ'!$G$7:$G$1000),0),0)))))</f>
        <v>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88">
        <v>25.0</v>
      </c>
      <c r="C30" s="89" t="s">
        <v>543</v>
      </c>
      <c r="D30" s="88" t="s">
        <v>846</v>
      </c>
      <c r="E30" s="228">
        <f t="shared" si="1"/>
        <v>80.7112</v>
      </c>
      <c r="F30" s="229"/>
      <c r="G30" s="89"/>
      <c r="H30" s="1"/>
      <c r="I30" s="1"/>
      <c r="J30" s="230" t="s">
        <v>849</v>
      </c>
      <c r="K30" s="231">
        <v>80.7112</v>
      </c>
      <c r="L30" s="232">
        <f>IF(J30="","",IF(J30="EUR",1,IF(J30="RUB",IFERROR(1/LOOKUP(IF(F30="",MAX('Курсы ЦБ'!$B$7:$B$1000),F30),'Курсы ЦБ'!$B$7:$B$1000,'Курсы ЦБ'!$C$7:$C$1000),0),IF(J30="USD",IFERROR(1/LOOKUP(IF(F30="",MAX('Курсы ЦБ'!$B$7:$B$1000),F30),'Курсы ЦБ'!$B$7:$B$1000,'Курсы ЦБ'!$F$7:$F$1000),0),IF(J30="CNY",IFERROR(1/LOOKUP(IF(F30="",MAX('Курсы ЦБ'!$B$7:$B$1000),F30),'Курсы ЦБ'!$B$7:$B$1000,'Курсы ЦБ'!$G$7:$G$1000),0),0)))))</f>
        <v>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96">
        <v>26.0</v>
      </c>
      <c r="C31" s="97" t="s">
        <v>858</v>
      </c>
      <c r="D31" s="96" t="s">
        <v>846</v>
      </c>
      <c r="E31" s="233">
        <f t="shared" si="1"/>
        <v>37.3084</v>
      </c>
      <c r="F31" s="234"/>
      <c r="G31" s="97"/>
      <c r="H31" s="1"/>
      <c r="I31" s="1"/>
      <c r="J31" s="230" t="s">
        <v>849</v>
      </c>
      <c r="K31" s="231">
        <v>37.3084</v>
      </c>
      <c r="L31" s="232">
        <f>IF(J31="","",IF(J31="EUR",1,IF(J31="RUB",IFERROR(1/LOOKUP(IF(F31="",MAX('Курсы ЦБ'!$B$7:$B$1000),F31),'Курсы ЦБ'!$B$7:$B$1000,'Курсы ЦБ'!$C$7:$C$1000),0),IF(J31="USD",IFERROR(1/LOOKUP(IF(F31="",MAX('Курсы ЦБ'!$B$7:$B$1000),F31),'Курсы ЦБ'!$B$7:$B$1000,'Курсы ЦБ'!$F$7:$F$1000),0),IF(J31="CNY",IFERROR(1/LOOKUP(IF(F31="",MAX('Курсы ЦБ'!$B$7:$B$1000),F31),'Курсы ЦБ'!$B$7:$B$1000,'Курсы ЦБ'!$G$7:$G$1000),0),0)))))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8">
        <v>27.0</v>
      </c>
      <c r="C32" s="89" t="s">
        <v>859</v>
      </c>
      <c r="D32" s="88" t="s">
        <v>846</v>
      </c>
      <c r="E32" s="228">
        <f t="shared" si="1"/>
        <v>58.3531</v>
      </c>
      <c r="F32" s="229"/>
      <c r="G32" s="89"/>
      <c r="H32" s="1"/>
      <c r="I32" s="1"/>
      <c r="J32" s="230" t="s">
        <v>849</v>
      </c>
      <c r="K32" s="231">
        <v>58.3531</v>
      </c>
      <c r="L32" s="232">
        <f>IF(J32="","",IF(J32="EUR",1,IF(J32="RUB",IFERROR(1/LOOKUP(IF(F32="",MAX('Курсы ЦБ'!$B$7:$B$1000),F32),'Курсы ЦБ'!$B$7:$B$1000,'Курсы ЦБ'!$C$7:$C$1000),0),IF(J32="USD",IFERROR(1/LOOKUP(IF(F32="",MAX('Курсы ЦБ'!$B$7:$B$1000),F32),'Курсы ЦБ'!$B$7:$B$1000,'Курсы ЦБ'!$F$7:$F$1000),0),IF(J32="CNY",IFERROR(1/LOOKUP(IF(F32="",MAX('Курсы ЦБ'!$B$7:$B$1000),F32),'Курсы ЦБ'!$B$7:$B$1000,'Курсы ЦБ'!$G$7:$G$1000),0),0)))))</f>
        <v>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96">
        <v>28.0</v>
      </c>
      <c r="C33" s="97" t="s">
        <v>544</v>
      </c>
      <c r="D33" s="96" t="s">
        <v>846</v>
      </c>
      <c r="E33" s="233">
        <f t="shared" si="1"/>
        <v>6.879</v>
      </c>
      <c r="F33" s="234"/>
      <c r="G33" s="97"/>
      <c r="H33" s="1"/>
      <c r="I33" s="1"/>
      <c r="J33" s="230" t="s">
        <v>849</v>
      </c>
      <c r="K33" s="231">
        <v>6.879</v>
      </c>
      <c r="L33" s="232">
        <f>IF(J33="","",IF(J33="EUR",1,IF(J33="RUB",IFERROR(1/LOOKUP(IF(F33="",MAX('Курсы ЦБ'!$B$7:$B$1000),F33),'Курсы ЦБ'!$B$7:$B$1000,'Курсы ЦБ'!$C$7:$C$1000),0),IF(J33="USD",IFERROR(1/LOOKUP(IF(F33="",MAX('Курсы ЦБ'!$B$7:$B$1000),F33),'Курсы ЦБ'!$B$7:$B$1000,'Курсы ЦБ'!$F$7:$F$1000),0),IF(J33="CNY",IFERROR(1/LOOKUP(IF(F33="",MAX('Курсы ЦБ'!$B$7:$B$1000),F33),'Курсы ЦБ'!$B$7:$B$1000,'Курсы ЦБ'!$G$7:$G$1000),0),0)))))</f>
        <v>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88">
        <v>29.0</v>
      </c>
      <c r="C34" s="89" t="s">
        <v>540</v>
      </c>
      <c r="D34" s="88" t="s">
        <v>846</v>
      </c>
      <c r="E34" s="228">
        <f t="shared" si="1"/>
        <v>0</v>
      </c>
      <c r="F34" s="229"/>
      <c r="G34" s="89"/>
      <c r="H34" s="1"/>
      <c r="I34" s="1"/>
      <c r="J34" s="230"/>
      <c r="K34" s="231"/>
      <c r="L34" s="232" t="str">
        <f>IF(J34="","",IF(J34="EUR",1,IF(J34="RUB",IFERROR(1/LOOKUP(IF(F34="",MAX('Курсы ЦБ'!$B$7:$B$1000),F34),'Курсы ЦБ'!$B$7:$B$1000,'Курсы ЦБ'!$C$7:$C$1000),0),IF(J34="USD",IFERROR(1/LOOKUP(IF(F34="",MAX('Курсы ЦБ'!$B$7:$B$1000),F34),'Курсы ЦБ'!$B$7:$B$1000,'Курсы ЦБ'!$F$7:$F$1000),0),IF(J34="CNY",IFERROR(1/LOOKUP(IF(F34="",MAX('Курсы ЦБ'!$B$7:$B$1000),F34),'Курсы ЦБ'!$B$7:$B$1000,'Курсы ЦБ'!$G$7:$G$1000),0),0)))))</f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96">
        <v>30.0</v>
      </c>
      <c r="C35" s="97" t="s">
        <v>860</v>
      </c>
      <c r="D35" s="96" t="s">
        <v>846</v>
      </c>
      <c r="E35" s="233">
        <f t="shared" si="1"/>
        <v>0</v>
      </c>
      <c r="F35" s="234"/>
      <c r="G35" s="97"/>
      <c r="H35" s="1"/>
      <c r="I35" s="1"/>
      <c r="J35" s="230"/>
      <c r="K35" s="231"/>
      <c r="L35" s="232" t="str">
        <f>IF(J35="","",IF(J35="EUR",1,IF(J35="RUB",IFERROR(1/LOOKUP(IF(F35="",MAX('Курсы ЦБ'!$B$7:$B$1000),F35),'Курсы ЦБ'!$B$7:$B$1000,'Курсы ЦБ'!$C$7:$C$1000),0),IF(J35="USD",IFERROR(1/LOOKUP(IF(F35="",MAX('Курсы ЦБ'!$B$7:$B$1000),F35),'Курсы ЦБ'!$B$7:$B$1000,'Курсы ЦБ'!$F$7:$F$1000),0),IF(J35="CNY",IFERROR(1/LOOKUP(IF(F35="",MAX('Курсы ЦБ'!$B$7:$B$1000),F35),'Курсы ЦБ'!$B$7:$B$1000,'Курсы ЦБ'!$G$7:$G$1000),0),0)))))</f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88">
        <v>31.0</v>
      </c>
      <c r="C36" s="89" t="s">
        <v>861</v>
      </c>
      <c r="D36" s="88" t="s">
        <v>846</v>
      </c>
      <c r="E36" s="228">
        <f t="shared" si="1"/>
        <v>13.4927</v>
      </c>
      <c r="F36" s="229"/>
      <c r="G36" s="89"/>
      <c r="H36" s="1"/>
      <c r="I36" s="1"/>
      <c r="J36" s="230" t="s">
        <v>849</v>
      </c>
      <c r="K36" s="231">
        <v>13.4927</v>
      </c>
      <c r="L36" s="232">
        <f>IF(J36="","",IF(J36="EUR",1,IF(J36="RUB",IFERROR(1/LOOKUP(IF(F36="",MAX('Курсы ЦБ'!$B$7:$B$1000),F36),'Курсы ЦБ'!$B$7:$B$1000,'Курсы ЦБ'!$C$7:$C$1000),0),IF(J36="USD",IFERROR(1/LOOKUP(IF(F36="",MAX('Курсы ЦБ'!$B$7:$B$1000),F36),'Курсы ЦБ'!$B$7:$B$1000,'Курсы ЦБ'!$F$7:$F$1000),0),IF(J36="CNY",IFERROR(1/LOOKUP(IF(F36="",MAX('Курсы ЦБ'!$B$7:$B$1000),F36),'Курсы ЦБ'!$B$7:$B$1000,'Курсы ЦБ'!$G$7:$G$1000),0),0)))))</f>
        <v>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96">
        <v>32.0</v>
      </c>
      <c r="C37" s="97" t="s">
        <v>545</v>
      </c>
      <c r="D37" s="96" t="s">
        <v>846</v>
      </c>
      <c r="E37" s="233">
        <f t="shared" si="1"/>
        <v>11.43</v>
      </c>
      <c r="F37" s="234"/>
      <c r="G37" s="97"/>
      <c r="H37" s="1"/>
      <c r="I37" s="1"/>
      <c r="J37" s="230" t="s">
        <v>849</v>
      </c>
      <c r="K37" s="231">
        <v>11.43</v>
      </c>
      <c r="L37" s="232">
        <f>IF(J37="","",IF(J37="EUR",1,IF(J37="RUB",IFERROR(1/LOOKUP(IF(F37="",MAX('Курсы ЦБ'!$B$7:$B$1000),F37),'Курсы ЦБ'!$B$7:$B$1000,'Курсы ЦБ'!$C$7:$C$1000),0),IF(J37="USD",IFERROR(1/LOOKUP(IF(F37="",MAX('Курсы ЦБ'!$B$7:$B$1000),F37),'Курсы ЦБ'!$B$7:$B$1000,'Курсы ЦБ'!$F$7:$F$1000),0),IF(J37="CNY",IFERROR(1/LOOKUP(IF(F37="",MAX('Курсы ЦБ'!$B$7:$B$1000),F37),'Курсы ЦБ'!$B$7:$B$1000,'Курсы ЦБ'!$G$7:$G$1000),0),0)))))</f>
        <v>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88">
        <v>33.0</v>
      </c>
      <c r="C38" s="89" t="s">
        <v>546</v>
      </c>
      <c r="D38" s="88" t="s">
        <v>846</v>
      </c>
      <c r="E38" s="228">
        <f t="shared" si="1"/>
        <v>0</v>
      </c>
      <c r="F38" s="229"/>
      <c r="G38" s="89"/>
      <c r="H38" s="1"/>
      <c r="I38" s="1"/>
      <c r="J38" s="230"/>
      <c r="K38" s="231"/>
      <c r="L38" s="232" t="str">
        <f>IF(J38="","",IF(J38="EUR",1,IF(J38="RUB",IFERROR(1/LOOKUP(IF(F38="",MAX('Курсы ЦБ'!$B$7:$B$1000),F38),'Курсы ЦБ'!$B$7:$B$1000,'Курсы ЦБ'!$C$7:$C$1000),0),IF(J38="USD",IFERROR(1/LOOKUP(IF(F38="",MAX('Курсы ЦБ'!$B$7:$B$1000),F38),'Курсы ЦБ'!$B$7:$B$1000,'Курсы ЦБ'!$F$7:$F$1000),0),IF(J38="CNY",IFERROR(1/LOOKUP(IF(F38="",MAX('Курсы ЦБ'!$B$7:$B$1000),F38),'Курсы ЦБ'!$B$7:$B$1000,'Курсы ЦБ'!$G$7:$G$1000),0),0)))))</f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96">
        <v>34.0</v>
      </c>
      <c r="C39" s="97" t="s">
        <v>548</v>
      </c>
      <c r="D39" s="96" t="s">
        <v>846</v>
      </c>
      <c r="E39" s="233">
        <f t="shared" si="1"/>
        <v>0</v>
      </c>
      <c r="F39" s="234"/>
      <c r="G39" s="97"/>
      <c r="H39" s="1"/>
      <c r="I39" s="1"/>
      <c r="J39" s="230"/>
      <c r="K39" s="231"/>
      <c r="L39" s="232" t="str">
        <f>IF(J39="","",IF(J39="EUR",1,IF(J39="RUB",IFERROR(1/LOOKUP(IF(F39="",MAX('Курсы ЦБ'!$B$7:$B$1000),F39),'Курсы ЦБ'!$B$7:$B$1000,'Курсы ЦБ'!$C$7:$C$1000),0),IF(J39="USD",IFERROR(1/LOOKUP(IF(F39="",MAX('Курсы ЦБ'!$B$7:$B$1000),F39),'Курсы ЦБ'!$B$7:$B$1000,'Курсы ЦБ'!$F$7:$F$1000),0),IF(J39="CNY",IFERROR(1/LOOKUP(IF(F39="",MAX('Курсы ЦБ'!$B$7:$B$1000),F39),'Курсы ЦБ'!$B$7:$B$1000,'Курсы ЦБ'!$G$7:$G$1000),0),0)))))</f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88">
        <v>35.0</v>
      </c>
      <c r="C40" s="89" t="s">
        <v>862</v>
      </c>
      <c r="D40" s="88" t="s">
        <v>846</v>
      </c>
      <c r="E40" s="228">
        <f t="shared" si="1"/>
        <v>0</v>
      </c>
      <c r="F40" s="229"/>
      <c r="G40" s="89"/>
      <c r="H40" s="1"/>
      <c r="I40" s="1"/>
      <c r="J40" s="230"/>
      <c r="K40" s="231"/>
      <c r="L40" s="232" t="str">
        <f>IF(J40="","",IF(J40="EUR",1,IF(J40="RUB",IFERROR(1/LOOKUP(IF(F40="",MAX('Курсы ЦБ'!$B$7:$B$1000),F40),'Курсы ЦБ'!$B$7:$B$1000,'Курсы ЦБ'!$C$7:$C$1000),0),IF(J40="USD",IFERROR(1/LOOKUP(IF(F40="",MAX('Курсы ЦБ'!$B$7:$B$1000),F40),'Курсы ЦБ'!$B$7:$B$1000,'Курсы ЦБ'!$F$7:$F$1000),0),IF(J40="CNY",IFERROR(1/LOOKUP(IF(F40="",MAX('Курсы ЦБ'!$B$7:$B$1000),F40),'Курсы ЦБ'!$B$7:$B$1000,'Курсы ЦБ'!$G$7:$G$1000),0),0)))))</f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96">
        <v>36.0</v>
      </c>
      <c r="C41" s="97" t="s">
        <v>863</v>
      </c>
      <c r="D41" s="96" t="s">
        <v>846</v>
      </c>
      <c r="E41" s="233">
        <f t="shared" si="1"/>
        <v>6.0945</v>
      </c>
      <c r="F41" s="234"/>
      <c r="G41" s="97"/>
      <c r="H41" s="1"/>
      <c r="I41" s="1"/>
      <c r="J41" s="230" t="s">
        <v>849</v>
      </c>
      <c r="K41" s="231">
        <v>6.0945</v>
      </c>
      <c r="L41" s="232">
        <f>IF(J41="","",IF(J41="EUR",1,IF(J41="RUB",IFERROR(1/LOOKUP(IF(F41="",MAX('Курсы ЦБ'!$B$7:$B$1000),F41),'Курсы ЦБ'!$B$7:$B$1000,'Курсы ЦБ'!$C$7:$C$1000),0),IF(J41="USD",IFERROR(1/LOOKUP(IF(F41="",MAX('Курсы ЦБ'!$B$7:$B$1000),F41),'Курсы ЦБ'!$B$7:$B$1000,'Курсы ЦБ'!$F$7:$F$1000),0),IF(J41="CNY",IFERROR(1/LOOKUP(IF(F41="",MAX('Курсы ЦБ'!$B$7:$B$1000),F41),'Курсы ЦБ'!$B$7:$B$1000,'Курсы ЦБ'!$G$7:$G$1000),0),0)))))</f>
        <v>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88">
        <v>37.0</v>
      </c>
      <c r="C42" s="89" t="s">
        <v>549</v>
      </c>
      <c r="D42" s="88" t="s">
        <v>846</v>
      </c>
      <c r="E42" s="228">
        <f t="shared" si="1"/>
        <v>6.519</v>
      </c>
      <c r="F42" s="229"/>
      <c r="G42" s="89"/>
      <c r="H42" s="1"/>
      <c r="I42" s="1"/>
      <c r="J42" s="230" t="s">
        <v>849</v>
      </c>
      <c r="K42" s="231">
        <v>6.519</v>
      </c>
      <c r="L42" s="232">
        <f>IF(J42="","",IF(J42="EUR",1,IF(J42="RUB",IFERROR(1/LOOKUP(IF(F42="",MAX('Курсы ЦБ'!$B$7:$B$1000),F42),'Курсы ЦБ'!$B$7:$B$1000,'Курсы ЦБ'!$C$7:$C$1000),0),IF(J42="USD",IFERROR(1/LOOKUP(IF(F42="",MAX('Курсы ЦБ'!$B$7:$B$1000),F42),'Курсы ЦБ'!$B$7:$B$1000,'Курсы ЦБ'!$F$7:$F$1000),0),IF(J42="CNY",IFERROR(1/LOOKUP(IF(F42="",MAX('Курсы ЦБ'!$B$7:$B$1000),F42),'Курсы ЦБ'!$B$7:$B$1000,'Курсы ЦБ'!$G$7:$G$1000),0),0)))))</f>
        <v>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96">
        <v>38.0</v>
      </c>
      <c r="C43" s="97" t="s">
        <v>864</v>
      </c>
      <c r="D43" s="96" t="s">
        <v>846</v>
      </c>
      <c r="E43" s="233">
        <f t="shared" si="1"/>
        <v>6.0945</v>
      </c>
      <c r="F43" s="234"/>
      <c r="G43" s="97"/>
      <c r="H43" s="1"/>
      <c r="I43" s="1"/>
      <c r="J43" s="230" t="s">
        <v>849</v>
      </c>
      <c r="K43" s="231">
        <v>6.0945</v>
      </c>
      <c r="L43" s="232">
        <f>IF(J43="","",IF(J43="EUR",1,IF(J43="RUB",IFERROR(1/LOOKUP(IF(F43="",MAX('Курсы ЦБ'!$B$7:$B$1000),F43),'Курсы ЦБ'!$B$7:$B$1000,'Курсы ЦБ'!$C$7:$C$1000),0),IF(J43="USD",IFERROR(1/LOOKUP(IF(F43="",MAX('Курсы ЦБ'!$B$7:$B$1000),F43),'Курсы ЦБ'!$B$7:$B$1000,'Курсы ЦБ'!$F$7:$F$1000),0),IF(J43="CNY",IFERROR(1/LOOKUP(IF(F43="",MAX('Курсы ЦБ'!$B$7:$B$1000),F43),'Курсы ЦБ'!$B$7:$B$1000,'Курсы ЦБ'!$G$7:$G$1000),0),0)))))</f>
        <v>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88">
        <v>39.0</v>
      </c>
      <c r="C44" s="89" t="s">
        <v>550</v>
      </c>
      <c r="D44" s="88" t="s">
        <v>846</v>
      </c>
      <c r="E44" s="228">
        <f t="shared" si="1"/>
        <v>0</v>
      </c>
      <c r="F44" s="229"/>
      <c r="G44" s="89"/>
      <c r="H44" s="1"/>
      <c r="I44" s="1"/>
      <c r="J44" s="230"/>
      <c r="K44" s="231"/>
      <c r="L44" s="232" t="str">
        <f>IF(J44="","",IF(J44="EUR",1,IF(J44="RUB",IFERROR(1/LOOKUP(IF(F44="",MAX('Курсы ЦБ'!$B$7:$B$1000),F44),'Курсы ЦБ'!$B$7:$B$1000,'Курсы ЦБ'!$C$7:$C$1000),0),IF(J44="USD",IFERROR(1/LOOKUP(IF(F44="",MAX('Курсы ЦБ'!$B$7:$B$1000),F44),'Курсы ЦБ'!$B$7:$B$1000,'Курсы ЦБ'!$F$7:$F$1000),0),IF(J44="CNY",IFERROR(1/LOOKUP(IF(F44="",MAX('Курсы ЦБ'!$B$7:$B$1000),F44),'Курсы ЦБ'!$B$7:$B$1000,'Курсы ЦБ'!$G$7:$G$1000),0),0)))))</f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96">
        <v>40.0</v>
      </c>
      <c r="C45" s="97" t="s">
        <v>551</v>
      </c>
      <c r="D45" s="96" t="s">
        <v>846</v>
      </c>
      <c r="E45" s="233">
        <f t="shared" si="1"/>
        <v>3.7202</v>
      </c>
      <c r="F45" s="234"/>
      <c r="G45" s="97"/>
      <c r="H45" s="1"/>
      <c r="I45" s="1"/>
      <c r="J45" s="230" t="s">
        <v>849</v>
      </c>
      <c r="K45" s="231">
        <v>3.7202</v>
      </c>
      <c r="L45" s="232">
        <f>IF(J45="","",IF(J45="EUR",1,IF(J45="RUB",IFERROR(1/LOOKUP(IF(F45="",MAX('Курсы ЦБ'!$B$7:$B$1000),F45),'Курсы ЦБ'!$B$7:$B$1000,'Курсы ЦБ'!$C$7:$C$1000),0),IF(J45="USD",IFERROR(1/LOOKUP(IF(F45="",MAX('Курсы ЦБ'!$B$7:$B$1000),F45),'Курсы ЦБ'!$B$7:$B$1000,'Курсы ЦБ'!$F$7:$F$1000),0),IF(J45="CNY",IFERROR(1/LOOKUP(IF(F45="",MAX('Курсы ЦБ'!$B$7:$B$1000),F45),'Курсы ЦБ'!$B$7:$B$1000,'Курсы ЦБ'!$G$7:$G$1000),0),0)))))</f>
        <v>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88">
        <v>41.0</v>
      </c>
      <c r="C46" s="89" t="s">
        <v>552</v>
      </c>
      <c r="D46" s="88" t="s">
        <v>846</v>
      </c>
      <c r="E46" s="228">
        <f t="shared" si="1"/>
        <v>3.8883</v>
      </c>
      <c r="F46" s="229"/>
      <c r="G46" s="89"/>
      <c r="H46" s="1"/>
      <c r="I46" s="1"/>
      <c r="J46" s="230" t="s">
        <v>849</v>
      </c>
      <c r="K46" s="231">
        <v>3.8883</v>
      </c>
      <c r="L46" s="232">
        <f>IF(J46="","",IF(J46="EUR",1,IF(J46="RUB",IFERROR(1/LOOKUP(IF(F46="",MAX('Курсы ЦБ'!$B$7:$B$1000),F46),'Курсы ЦБ'!$B$7:$B$1000,'Курсы ЦБ'!$C$7:$C$1000),0),IF(J46="USD",IFERROR(1/LOOKUP(IF(F46="",MAX('Курсы ЦБ'!$B$7:$B$1000),F46),'Курсы ЦБ'!$B$7:$B$1000,'Курсы ЦБ'!$F$7:$F$1000),0),IF(J46="CNY",IFERROR(1/LOOKUP(IF(F46="",MAX('Курсы ЦБ'!$B$7:$B$1000),F46),'Курсы ЦБ'!$B$7:$B$1000,'Курсы ЦБ'!$G$7:$G$1000),0),0)))))</f>
        <v>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96">
        <v>42.0</v>
      </c>
      <c r="C47" s="97" t="s">
        <v>865</v>
      </c>
      <c r="D47" s="96" t="s">
        <v>846</v>
      </c>
      <c r="E47" s="233">
        <f t="shared" si="1"/>
        <v>8.3273</v>
      </c>
      <c r="F47" s="234"/>
      <c r="G47" s="97"/>
      <c r="H47" s="1"/>
      <c r="I47" s="1"/>
      <c r="J47" s="230" t="s">
        <v>849</v>
      </c>
      <c r="K47" s="231">
        <v>8.3273</v>
      </c>
      <c r="L47" s="232">
        <f>IF(J47="","",IF(J47="EUR",1,IF(J47="RUB",IFERROR(1/LOOKUP(IF(F47="",MAX('Курсы ЦБ'!$B$7:$B$1000),F47),'Курсы ЦБ'!$B$7:$B$1000,'Курсы ЦБ'!$C$7:$C$1000),0),IF(J47="USD",IFERROR(1/LOOKUP(IF(F47="",MAX('Курсы ЦБ'!$B$7:$B$1000),F47),'Курсы ЦБ'!$B$7:$B$1000,'Курсы ЦБ'!$F$7:$F$1000),0),IF(J47="CNY",IFERROR(1/LOOKUP(IF(F47="",MAX('Курсы ЦБ'!$B$7:$B$1000),F47),'Курсы ЦБ'!$B$7:$B$1000,'Курсы ЦБ'!$G$7:$G$1000),0),0)))))</f>
        <v>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88">
        <v>43.0</v>
      </c>
      <c r="C48" s="89" t="s">
        <v>553</v>
      </c>
      <c r="D48" s="88" t="s">
        <v>846</v>
      </c>
      <c r="E48" s="228">
        <f t="shared" si="1"/>
        <v>3.5357</v>
      </c>
      <c r="F48" s="229"/>
      <c r="G48" s="89"/>
      <c r="H48" s="1"/>
      <c r="I48" s="1"/>
      <c r="J48" s="230" t="s">
        <v>849</v>
      </c>
      <c r="K48" s="231">
        <v>3.5357</v>
      </c>
      <c r="L48" s="232">
        <f>IF(J48="","",IF(J48="EUR",1,IF(J48="RUB",IFERROR(1/LOOKUP(IF(F48="",MAX('Курсы ЦБ'!$B$7:$B$1000),F48),'Курсы ЦБ'!$B$7:$B$1000,'Курсы ЦБ'!$C$7:$C$1000),0),IF(J48="USD",IFERROR(1/LOOKUP(IF(F48="",MAX('Курсы ЦБ'!$B$7:$B$1000),F48),'Курсы ЦБ'!$B$7:$B$1000,'Курсы ЦБ'!$F$7:$F$1000),0),IF(J48="CNY",IFERROR(1/LOOKUP(IF(F48="",MAX('Курсы ЦБ'!$B$7:$B$1000),F48),'Курсы ЦБ'!$B$7:$B$1000,'Курсы ЦБ'!$G$7:$G$1000),0),0)))))</f>
        <v>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96">
        <v>44.0</v>
      </c>
      <c r="C49" s="97" t="s">
        <v>866</v>
      </c>
      <c r="D49" s="96" t="s">
        <v>846</v>
      </c>
      <c r="E49" s="233">
        <f t="shared" si="1"/>
        <v>2.8052</v>
      </c>
      <c r="F49" s="234"/>
      <c r="G49" s="97"/>
      <c r="H49" s="1"/>
      <c r="I49" s="1"/>
      <c r="J49" s="230" t="s">
        <v>849</v>
      </c>
      <c r="K49" s="231">
        <v>2.8052</v>
      </c>
      <c r="L49" s="232">
        <f>IF(J49="","",IF(J49="EUR",1,IF(J49="RUB",IFERROR(1/LOOKUP(IF(F49="",MAX('Курсы ЦБ'!$B$7:$B$1000),F49),'Курсы ЦБ'!$B$7:$B$1000,'Курсы ЦБ'!$C$7:$C$1000),0),IF(J49="USD",IFERROR(1/LOOKUP(IF(F49="",MAX('Курсы ЦБ'!$B$7:$B$1000),F49),'Курсы ЦБ'!$B$7:$B$1000,'Курсы ЦБ'!$F$7:$F$1000),0),IF(J49="CNY",IFERROR(1/LOOKUP(IF(F49="",MAX('Курсы ЦБ'!$B$7:$B$1000),F49),'Курсы ЦБ'!$B$7:$B$1000,'Курсы ЦБ'!$G$7:$G$1000),0),0)))))</f>
        <v>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88">
        <v>45.0</v>
      </c>
      <c r="C50" s="89" t="s">
        <v>554</v>
      </c>
      <c r="D50" s="88" t="s">
        <v>846</v>
      </c>
      <c r="E50" s="228">
        <f t="shared" si="1"/>
        <v>7.3406</v>
      </c>
      <c r="F50" s="229"/>
      <c r="G50" s="89"/>
      <c r="H50" s="1"/>
      <c r="I50" s="1"/>
      <c r="J50" s="230" t="s">
        <v>849</v>
      </c>
      <c r="K50" s="231">
        <v>7.3406</v>
      </c>
      <c r="L50" s="232">
        <f>IF(J50="","",IF(J50="EUR",1,IF(J50="RUB",IFERROR(1/LOOKUP(IF(F50="",MAX('Курсы ЦБ'!$B$7:$B$1000),F50),'Курсы ЦБ'!$B$7:$B$1000,'Курсы ЦБ'!$C$7:$C$1000),0),IF(J50="USD",IFERROR(1/LOOKUP(IF(F50="",MAX('Курсы ЦБ'!$B$7:$B$1000),F50),'Курсы ЦБ'!$B$7:$B$1000,'Курсы ЦБ'!$F$7:$F$1000),0),IF(J50="CNY",IFERROR(1/LOOKUP(IF(F50="",MAX('Курсы ЦБ'!$B$7:$B$1000),F50),'Курсы ЦБ'!$B$7:$B$1000,'Курсы ЦБ'!$G$7:$G$1000),0),0)))))</f>
        <v>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96">
        <v>46.0</v>
      </c>
      <c r="C51" s="97" t="s">
        <v>867</v>
      </c>
      <c r="D51" s="96" t="s">
        <v>846</v>
      </c>
      <c r="E51" s="233">
        <f t="shared" si="1"/>
        <v>8.3286</v>
      </c>
      <c r="F51" s="234"/>
      <c r="G51" s="97"/>
      <c r="H51" s="1"/>
      <c r="I51" s="1"/>
      <c r="J51" s="230" t="s">
        <v>849</v>
      </c>
      <c r="K51" s="231">
        <v>8.3286</v>
      </c>
      <c r="L51" s="232">
        <f>IF(J51="","",IF(J51="EUR",1,IF(J51="RUB",IFERROR(1/LOOKUP(IF(F51="",MAX('Курсы ЦБ'!$B$7:$B$1000),F51),'Курсы ЦБ'!$B$7:$B$1000,'Курсы ЦБ'!$C$7:$C$1000),0),IF(J51="USD",IFERROR(1/LOOKUP(IF(F51="",MAX('Курсы ЦБ'!$B$7:$B$1000),F51),'Курсы ЦБ'!$B$7:$B$1000,'Курсы ЦБ'!$F$7:$F$1000),0),IF(J51="CNY",IFERROR(1/LOOKUP(IF(F51="",MAX('Курсы ЦБ'!$B$7:$B$1000),F51),'Курсы ЦБ'!$B$7:$B$1000,'Курсы ЦБ'!$G$7:$G$1000),0),0)))))</f>
        <v>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88">
        <v>47.0</v>
      </c>
      <c r="C52" s="89" t="s">
        <v>555</v>
      </c>
      <c r="D52" s="88" t="s">
        <v>846</v>
      </c>
      <c r="E52" s="228">
        <f t="shared" si="1"/>
        <v>8.4</v>
      </c>
      <c r="F52" s="229"/>
      <c r="G52" s="89"/>
      <c r="H52" s="1"/>
      <c r="I52" s="1"/>
      <c r="J52" s="230" t="s">
        <v>849</v>
      </c>
      <c r="K52" s="231">
        <v>8.4</v>
      </c>
      <c r="L52" s="232">
        <f>IF(J52="","",IF(J52="EUR",1,IF(J52="RUB",IFERROR(1/LOOKUP(IF(F52="",MAX('Курсы ЦБ'!$B$7:$B$1000),F52),'Курсы ЦБ'!$B$7:$B$1000,'Курсы ЦБ'!$C$7:$C$1000),0),IF(J52="USD",IFERROR(1/LOOKUP(IF(F52="",MAX('Курсы ЦБ'!$B$7:$B$1000),F52),'Курсы ЦБ'!$B$7:$B$1000,'Курсы ЦБ'!$F$7:$F$1000),0),IF(J52="CNY",IFERROR(1/LOOKUP(IF(F52="",MAX('Курсы ЦБ'!$B$7:$B$1000),F52),'Курсы ЦБ'!$B$7:$B$1000,'Курсы ЦБ'!$G$7:$G$1000),0),0)))))</f>
        <v>1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96">
        <v>48.0</v>
      </c>
      <c r="C53" s="97" t="s">
        <v>868</v>
      </c>
      <c r="D53" s="96" t="s">
        <v>846</v>
      </c>
      <c r="E53" s="233">
        <f t="shared" si="1"/>
        <v>9.3731</v>
      </c>
      <c r="F53" s="234"/>
      <c r="G53" s="97"/>
      <c r="H53" s="1"/>
      <c r="I53" s="1"/>
      <c r="J53" s="230" t="s">
        <v>849</v>
      </c>
      <c r="K53" s="231">
        <v>9.3731</v>
      </c>
      <c r="L53" s="232">
        <f>IF(J53="","",IF(J53="EUR",1,IF(J53="RUB",IFERROR(1/LOOKUP(IF(F53="",MAX('Курсы ЦБ'!$B$7:$B$1000),F53),'Курсы ЦБ'!$B$7:$B$1000,'Курсы ЦБ'!$C$7:$C$1000),0),IF(J53="USD",IFERROR(1/LOOKUP(IF(F53="",MAX('Курсы ЦБ'!$B$7:$B$1000),F53),'Курсы ЦБ'!$B$7:$B$1000,'Курсы ЦБ'!$F$7:$F$1000),0),IF(J53="CNY",IFERROR(1/LOOKUP(IF(F53="",MAX('Курсы ЦБ'!$B$7:$B$1000),F53),'Курсы ЦБ'!$B$7:$B$1000,'Курсы ЦБ'!$G$7:$G$1000),0),0)))))</f>
        <v>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88">
        <v>49.0</v>
      </c>
      <c r="C54" s="89" t="s">
        <v>556</v>
      </c>
      <c r="D54" s="88" t="s">
        <v>846</v>
      </c>
      <c r="E54" s="228">
        <f t="shared" si="1"/>
        <v>5.6362</v>
      </c>
      <c r="F54" s="229"/>
      <c r="G54" s="89"/>
      <c r="H54" s="1"/>
      <c r="I54" s="1"/>
      <c r="J54" s="230" t="s">
        <v>849</v>
      </c>
      <c r="K54" s="231">
        <v>5.6362</v>
      </c>
      <c r="L54" s="232">
        <f>IF(J54="","",IF(J54="EUR",1,IF(J54="RUB",IFERROR(1/LOOKUP(IF(F54="",MAX('Курсы ЦБ'!$B$7:$B$1000),F54),'Курсы ЦБ'!$B$7:$B$1000,'Курсы ЦБ'!$C$7:$C$1000),0),IF(J54="USD",IFERROR(1/LOOKUP(IF(F54="",MAX('Курсы ЦБ'!$B$7:$B$1000),F54),'Курсы ЦБ'!$B$7:$B$1000,'Курсы ЦБ'!$F$7:$F$1000),0),IF(J54="CNY",IFERROR(1/LOOKUP(IF(F54="",MAX('Курсы ЦБ'!$B$7:$B$1000),F54),'Курсы ЦБ'!$B$7:$B$1000,'Курсы ЦБ'!$G$7:$G$1000),0),0)))))</f>
        <v>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96">
        <v>50.0</v>
      </c>
      <c r="C55" s="97" t="s">
        <v>557</v>
      </c>
      <c r="D55" s="96" t="s">
        <v>846</v>
      </c>
      <c r="E55" s="233">
        <f t="shared" si="1"/>
        <v>12.0149</v>
      </c>
      <c r="F55" s="234"/>
      <c r="G55" s="97"/>
      <c r="H55" s="1"/>
      <c r="I55" s="1"/>
      <c r="J55" s="230" t="s">
        <v>849</v>
      </c>
      <c r="K55" s="231">
        <v>12.0149</v>
      </c>
      <c r="L55" s="232">
        <f>IF(J55="","",IF(J55="EUR",1,IF(J55="RUB",IFERROR(1/LOOKUP(IF(F55="",MAX('Курсы ЦБ'!$B$7:$B$1000),F55),'Курсы ЦБ'!$B$7:$B$1000,'Курсы ЦБ'!$C$7:$C$1000),0),IF(J55="USD",IFERROR(1/LOOKUP(IF(F55="",MAX('Курсы ЦБ'!$B$7:$B$1000),F55),'Курсы ЦБ'!$B$7:$B$1000,'Курсы ЦБ'!$F$7:$F$1000),0),IF(J55="CNY",IFERROR(1/LOOKUP(IF(F55="",MAX('Курсы ЦБ'!$B$7:$B$1000),F55),'Курсы ЦБ'!$B$7:$B$1000,'Курсы ЦБ'!$G$7:$G$1000),0),0)))))</f>
        <v>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88">
        <v>51.0</v>
      </c>
      <c r="C56" s="89" t="s">
        <v>558</v>
      </c>
      <c r="D56" s="88" t="s">
        <v>846</v>
      </c>
      <c r="E56" s="228">
        <f t="shared" si="1"/>
        <v>2.53</v>
      </c>
      <c r="F56" s="229"/>
      <c r="G56" s="89"/>
      <c r="H56" s="1"/>
      <c r="I56" s="1"/>
      <c r="J56" s="230" t="s">
        <v>849</v>
      </c>
      <c r="K56" s="231">
        <v>2.53</v>
      </c>
      <c r="L56" s="232">
        <f>IF(J56="","",IF(J56="EUR",1,IF(J56="RUB",IFERROR(1/LOOKUP(IF(F56="",MAX('Курсы ЦБ'!$B$7:$B$1000),F56),'Курсы ЦБ'!$B$7:$B$1000,'Курсы ЦБ'!$C$7:$C$1000),0),IF(J56="USD",IFERROR(1/LOOKUP(IF(F56="",MAX('Курсы ЦБ'!$B$7:$B$1000),F56),'Курсы ЦБ'!$B$7:$B$1000,'Курсы ЦБ'!$F$7:$F$1000),0),IF(J56="CNY",IFERROR(1/LOOKUP(IF(F56="",MAX('Курсы ЦБ'!$B$7:$B$1000),F56),'Курсы ЦБ'!$B$7:$B$1000,'Курсы ЦБ'!$G$7:$G$1000),0),0)))))</f>
        <v>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96">
        <v>52.0</v>
      </c>
      <c r="C57" s="97" t="s">
        <v>560</v>
      </c>
      <c r="D57" s="96" t="s">
        <v>846</v>
      </c>
      <c r="E57" s="233">
        <f t="shared" si="1"/>
        <v>0</v>
      </c>
      <c r="F57" s="234"/>
      <c r="G57" s="97"/>
      <c r="H57" s="1"/>
      <c r="I57" s="1"/>
      <c r="J57" s="230"/>
      <c r="K57" s="231"/>
      <c r="L57" s="232" t="str">
        <f>IF(J57="","",IF(J57="EUR",1,IF(J57="RUB",IFERROR(1/LOOKUP(IF(F57="",MAX('Курсы ЦБ'!$B$7:$B$1000),F57),'Курсы ЦБ'!$B$7:$B$1000,'Курсы ЦБ'!$C$7:$C$1000),0),IF(J57="USD",IFERROR(1/LOOKUP(IF(F57="",MAX('Курсы ЦБ'!$B$7:$B$1000),F57),'Курсы ЦБ'!$B$7:$B$1000,'Курсы ЦБ'!$F$7:$F$1000),0),IF(J57="CNY",IFERROR(1/LOOKUP(IF(F57="",MAX('Курсы ЦБ'!$B$7:$B$1000),F57),'Курсы ЦБ'!$B$7:$B$1000,'Курсы ЦБ'!$G$7:$G$1000),0),0)))))</f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88">
        <v>53.0</v>
      </c>
      <c r="C58" s="89" t="s">
        <v>559</v>
      </c>
      <c r="D58" s="88" t="s">
        <v>846</v>
      </c>
      <c r="E58" s="228">
        <f t="shared" si="1"/>
        <v>0</v>
      </c>
      <c r="F58" s="229"/>
      <c r="G58" s="89"/>
      <c r="H58" s="1"/>
      <c r="I58" s="1"/>
      <c r="J58" s="230"/>
      <c r="K58" s="231"/>
      <c r="L58" s="232" t="str">
        <f>IF(J58="","",IF(J58="EUR",1,IF(J58="RUB",IFERROR(1/LOOKUP(IF(F58="",MAX('Курсы ЦБ'!$B$7:$B$1000),F58),'Курсы ЦБ'!$B$7:$B$1000,'Курсы ЦБ'!$C$7:$C$1000),0),IF(J58="USD",IFERROR(1/LOOKUP(IF(F58="",MAX('Курсы ЦБ'!$B$7:$B$1000),F58),'Курсы ЦБ'!$B$7:$B$1000,'Курсы ЦБ'!$F$7:$F$1000),0),IF(J58="CNY",IFERROR(1/LOOKUP(IF(F58="",MAX('Курсы ЦБ'!$B$7:$B$1000),F58),'Курсы ЦБ'!$B$7:$B$1000,'Курсы ЦБ'!$G$7:$G$1000),0),0)))))</f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96">
        <v>54.0</v>
      </c>
      <c r="C59" s="97" t="s">
        <v>561</v>
      </c>
      <c r="D59" s="96" t="s">
        <v>846</v>
      </c>
      <c r="E59" s="233">
        <f t="shared" si="1"/>
        <v>18.9593</v>
      </c>
      <c r="F59" s="234"/>
      <c r="G59" s="97"/>
      <c r="H59" s="1"/>
      <c r="I59" s="1"/>
      <c r="J59" s="230" t="s">
        <v>849</v>
      </c>
      <c r="K59" s="231">
        <v>18.9593</v>
      </c>
      <c r="L59" s="232">
        <f>IF(J59="","",IF(J59="EUR",1,IF(J59="RUB",IFERROR(1/LOOKUP(IF(F59="",MAX('Курсы ЦБ'!$B$7:$B$1000),F59),'Курсы ЦБ'!$B$7:$B$1000,'Курсы ЦБ'!$C$7:$C$1000),0),IF(J59="USD",IFERROR(1/LOOKUP(IF(F59="",MAX('Курсы ЦБ'!$B$7:$B$1000),F59),'Курсы ЦБ'!$B$7:$B$1000,'Курсы ЦБ'!$F$7:$F$1000),0),IF(J59="CNY",IFERROR(1/LOOKUP(IF(F59="",MAX('Курсы ЦБ'!$B$7:$B$1000),F59),'Курсы ЦБ'!$B$7:$B$1000,'Курсы ЦБ'!$G$7:$G$1000),0),0)))))</f>
        <v>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88">
        <v>55.0</v>
      </c>
      <c r="C60" s="89" t="s">
        <v>562</v>
      </c>
      <c r="D60" s="88" t="s">
        <v>846</v>
      </c>
      <c r="E60" s="228">
        <f t="shared" si="1"/>
        <v>19.1461</v>
      </c>
      <c r="F60" s="229"/>
      <c r="G60" s="89"/>
      <c r="H60" s="1"/>
      <c r="I60" s="1"/>
      <c r="J60" s="230" t="s">
        <v>849</v>
      </c>
      <c r="K60" s="231">
        <v>19.1461</v>
      </c>
      <c r="L60" s="232">
        <f>IF(J60="","",IF(J60="EUR",1,IF(J60="RUB",IFERROR(1/LOOKUP(IF(F60="",MAX('Курсы ЦБ'!$B$7:$B$1000),F60),'Курсы ЦБ'!$B$7:$B$1000,'Курсы ЦБ'!$C$7:$C$1000),0),IF(J60="USD",IFERROR(1/LOOKUP(IF(F60="",MAX('Курсы ЦБ'!$B$7:$B$1000),F60),'Курсы ЦБ'!$B$7:$B$1000,'Курсы ЦБ'!$F$7:$F$1000),0),IF(J60="CNY",IFERROR(1/LOOKUP(IF(F60="",MAX('Курсы ЦБ'!$B$7:$B$1000),F60),'Курсы ЦБ'!$B$7:$B$1000,'Курсы ЦБ'!$G$7:$G$1000),0),0)))))</f>
        <v>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96">
        <v>56.0</v>
      </c>
      <c r="C61" s="97" t="s">
        <v>563</v>
      </c>
      <c r="D61" s="96" t="s">
        <v>846</v>
      </c>
      <c r="E61" s="233">
        <f t="shared" si="1"/>
        <v>51.1495</v>
      </c>
      <c r="F61" s="234"/>
      <c r="G61" s="97"/>
      <c r="H61" s="1"/>
      <c r="I61" s="1"/>
      <c r="J61" s="230" t="s">
        <v>849</v>
      </c>
      <c r="K61" s="231">
        <v>51.1495</v>
      </c>
      <c r="L61" s="232">
        <f>IF(J61="","",IF(J61="EUR",1,IF(J61="RUB",IFERROR(1/LOOKUP(IF(F61="",MAX('Курсы ЦБ'!$B$7:$B$1000),F61),'Курсы ЦБ'!$B$7:$B$1000,'Курсы ЦБ'!$C$7:$C$1000),0),IF(J61="USD",IFERROR(1/LOOKUP(IF(F61="",MAX('Курсы ЦБ'!$B$7:$B$1000),F61),'Курсы ЦБ'!$B$7:$B$1000,'Курсы ЦБ'!$F$7:$F$1000),0),IF(J61="CNY",IFERROR(1/LOOKUP(IF(F61="",MAX('Курсы ЦБ'!$B$7:$B$1000),F61),'Курсы ЦБ'!$B$7:$B$1000,'Курсы ЦБ'!$G$7:$G$1000),0),0)))))</f>
        <v>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88">
        <v>57.0</v>
      </c>
      <c r="C62" s="89" t="s">
        <v>869</v>
      </c>
      <c r="D62" s="88" t="s">
        <v>846</v>
      </c>
      <c r="E62" s="228">
        <f t="shared" si="1"/>
        <v>36.5665</v>
      </c>
      <c r="F62" s="229"/>
      <c r="G62" s="89"/>
      <c r="H62" s="1"/>
      <c r="I62" s="1"/>
      <c r="J62" s="230" t="s">
        <v>849</v>
      </c>
      <c r="K62" s="231">
        <v>36.5665</v>
      </c>
      <c r="L62" s="232">
        <f>IF(J62="","",IF(J62="EUR",1,IF(J62="RUB",IFERROR(1/LOOKUP(IF(F62="",MAX('Курсы ЦБ'!$B$7:$B$1000),F62),'Курсы ЦБ'!$B$7:$B$1000,'Курсы ЦБ'!$C$7:$C$1000),0),IF(J62="USD",IFERROR(1/LOOKUP(IF(F62="",MAX('Курсы ЦБ'!$B$7:$B$1000),F62),'Курсы ЦБ'!$B$7:$B$1000,'Курсы ЦБ'!$F$7:$F$1000),0),IF(J62="CNY",IFERROR(1/LOOKUP(IF(F62="",MAX('Курсы ЦБ'!$B$7:$B$1000),F62),'Курсы ЦБ'!$B$7:$B$1000,'Курсы ЦБ'!$G$7:$G$1000),0),0)))))</f>
        <v>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96">
        <v>58.0</v>
      </c>
      <c r="C63" s="97" t="s">
        <v>564</v>
      </c>
      <c r="D63" s="96" t="s">
        <v>846</v>
      </c>
      <c r="E63" s="233">
        <f t="shared" si="1"/>
        <v>6.2082</v>
      </c>
      <c r="F63" s="234"/>
      <c r="G63" s="97"/>
      <c r="H63" s="1"/>
      <c r="I63" s="1"/>
      <c r="J63" s="230" t="s">
        <v>849</v>
      </c>
      <c r="K63" s="231">
        <v>6.2082</v>
      </c>
      <c r="L63" s="232">
        <f>IF(J63="","",IF(J63="EUR",1,IF(J63="RUB",IFERROR(1/LOOKUP(IF(F63="",MAX('Курсы ЦБ'!$B$7:$B$1000),F63),'Курсы ЦБ'!$B$7:$B$1000,'Курсы ЦБ'!$C$7:$C$1000),0),IF(J63="USD",IFERROR(1/LOOKUP(IF(F63="",MAX('Курсы ЦБ'!$B$7:$B$1000),F63),'Курсы ЦБ'!$B$7:$B$1000,'Курсы ЦБ'!$F$7:$F$1000),0),IF(J63="CNY",IFERROR(1/LOOKUP(IF(F63="",MAX('Курсы ЦБ'!$B$7:$B$1000),F63),'Курсы ЦБ'!$B$7:$B$1000,'Курсы ЦБ'!$G$7:$G$1000),0),0)))))</f>
        <v>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88">
        <v>59.0</v>
      </c>
      <c r="C64" s="89" t="s">
        <v>565</v>
      </c>
      <c r="D64" s="88" t="s">
        <v>846</v>
      </c>
      <c r="E64" s="228">
        <f t="shared" si="1"/>
        <v>0</v>
      </c>
      <c r="F64" s="229"/>
      <c r="G64" s="89"/>
      <c r="H64" s="1"/>
      <c r="I64" s="1"/>
      <c r="J64" s="230"/>
      <c r="K64" s="231"/>
      <c r="L64" s="232" t="str">
        <f>IF(J64="","",IF(J64="EUR",1,IF(J64="RUB",IFERROR(1/LOOKUP(IF(F64="",MAX('Курсы ЦБ'!$B$7:$B$1000),F64),'Курсы ЦБ'!$B$7:$B$1000,'Курсы ЦБ'!$C$7:$C$1000),0),IF(J64="USD",IFERROR(1/LOOKUP(IF(F64="",MAX('Курсы ЦБ'!$B$7:$B$1000),F64),'Курсы ЦБ'!$B$7:$B$1000,'Курсы ЦБ'!$F$7:$F$1000),0),IF(J64="CNY",IFERROR(1/LOOKUP(IF(F64="",MAX('Курсы ЦБ'!$B$7:$B$1000),F64),'Курсы ЦБ'!$B$7:$B$1000,'Курсы ЦБ'!$G$7:$G$1000),0),0)))))</f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96">
        <v>60.0</v>
      </c>
      <c r="C65" s="97" t="s">
        <v>566</v>
      </c>
      <c r="D65" s="96" t="s">
        <v>846</v>
      </c>
      <c r="E65" s="233">
        <f t="shared" si="1"/>
        <v>0</v>
      </c>
      <c r="F65" s="234"/>
      <c r="G65" s="97"/>
      <c r="H65" s="1"/>
      <c r="I65" s="1"/>
      <c r="J65" s="230"/>
      <c r="K65" s="231"/>
      <c r="L65" s="232" t="str">
        <f>IF(J65="","",IF(J65="EUR",1,IF(J65="RUB",IFERROR(1/LOOKUP(IF(F65="",MAX('Курсы ЦБ'!$B$7:$B$1000),F65),'Курсы ЦБ'!$B$7:$B$1000,'Курсы ЦБ'!$C$7:$C$1000),0),IF(J65="USD",IFERROR(1/LOOKUP(IF(F65="",MAX('Курсы ЦБ'!$B$7:$B$1000),F65),'Курсы ЦБ'!$B$7:$B$1000,'Курсы ЦБ'!$F$7:$F$1000),0),IF(J65="CNY",IFERROR(1/LOOKUP(IF(F65="",MAX('Курсы ЦБ'!$B$7:$B$1000),F65),'Курсы ЦБ'!$B$7:$B$1000,'Курсы ЦБ'!$G$7:$G$1000),0),0)))))</f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88">
        <v>61.0</v>
      </c>
      <c r="C66" s="89" t="s">
        <v>870</v>
      </c>
      <c r="D66" s="88" t="s">
        <v>846</v>
      </c>
      <c r="E66" s="228">
        <f t="shared" si="1"/>
        <v>9.1187</v>
      </c>
      <c r="F66" s="229"/>
      <c r="G66" s="89"/>
      <c r="H66" s="1"/>
      <c r="I66" s="1"/>
      <c r="J66" s="230" t="s">
        <v>849</v>
      </c>
      <c r="K66" s="231">
        <v>9.1187</v>
      </c>
      <c r="L66" s="232">
        <f>IF(J66="","",IF(J66="EUR",1,IF(J66="RUB",IFERROR(1/LOOKUP(IF(F66="",MAX('Курсы ЦБ'!$B$7:$B$1000),F66),'Курсы ЦБ'!$B$7:$B$1000,'Курсы ЦБ'!$C$7:$C$1000),0),IF(J66="USD",IFERROR(1/LOOKUP(IF(F66="",MAX('Курсы ЦБ'!$B$7:$B$1000),F66),'Курсы ЦБ'!$B$7:$B$1000,'Курсы ЦБ'!$F$7:$F$1000),0),IF(J66="CNY",IFERROR(1/LOOKUP(IF(F66="",MAX('Курсы ЦБ'!$B$7:$B$1000),F66),'Курсы ЦБ'!$B$7:$B$1000,'Курсы ЦБ'!$G$7:$G$1000),0),0)))))</f>
        <v>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96">
        <v>62.0</v>
      </c>
      <c r="C67" s="97" t="s">
        <v>871</v>
      </c>
      <c r="D67" s="96" t="s">
        <v>846</v>
      </c>
      <c r="E67" s="233">
        <f t="shared" si="1"/>
        <v>13.5478</v>
      </c>
      <c r="F67" s="234"/>
      <c r="G67" s="97"/>
      <c r="H67" s="1"/>
      <c r="I67" s="1"/>
      <c r="J67" s="230" t="s">
        <v>849</v>
      </c>
      <c r="K67" s="231">
        <v>13.5478</v>
      </c>
      <c r="L67" s="232">
        <f>IF(J67="","",IF(J67="EUR",1,IF(J67="RUB",IFERROR(1/LOOKUP(IF(F67="",MAX('Курсы ЦБ'!$B$7:$B$1000),F67),'Курсы ЦБ'!$B$7:$B$1000,'Курсы ЦБ'!$C$7:$C$1000),0),IF(J67="USD",IFERROR(1/LOOKUP(IF(F67="",MAX('Курсы ЦБ'!$B$7:$B$1000),F67),'Курсы ЦБ'!$B$7:$B$1000,'Курсы ЦБ'!$F$7:$F$1000),0),IF(J67="CNY",IFERROR(1/LOOKUP(IF(F67="",MAX('Курсы ЦБ'!$B$7:$B$1000),F67),'Курсы ЦБ'!$B$7:$B$1000,'Курсы ЦБ'!$G$7:$G$1000),0),0)))))</f>
        <v>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88">
        <v>63.0</v>
      </c>
      <c r="C68" s="89" t="s">
        <v>872</v>
      </c>
      <c r="D68" s="88" t="s">
        <v>846</v>
      </c>
      <c r="E68" s="228">
        <f t="shared" si="1"/>
        <v>16.8012</v>
      </c>
      <c r="F68" s="229"/>
      <c r="G68" s="89"/>
      <c r="H68" s="1"/>
      <c r="I68" s="1"/>
      <c r="J68" s="230" t="s">
        <v>849</v>
      </c>
      <c r="K68" s="231">
        <v>16.8012</v>
      </c>
      <c r="L68" s="232">
        <f>IF(J68="","",IF(J68="EUR",1,IF(J68="RUB",IFERROR(1/LOOKUP(IF(F68="",MAX('Курсы ЦБ'!$B$7:$B$1000),F68),'Курсы ЦБ'!$B$7:$B$1000,'Курсы ЦБ'!$C$7:$C$1000),0),IF(J68="USD",IFERROR(1/LOOKUP(IF(F68="",MAX('Курсы ЦБ'!$B$7:$B$1000),F68),'Курсы ЦБ'!$B$7:$B$1000,'Курсы ЦБ'!$F$7:$F$1000),0),IF(J68="CNY",IFERROR(1/LOOKUP(IF(F68="",MAX('Курсы ЦБ'!$B$7:$B$1000),F68),'Курсы ЦБ'!$B$7:$B$1000,'Курсы ЦБ'!$G$7:$G$1000),0),0)))))</f>
        <v>1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96">
        <v>64.0</v>
      </c>
      <c r="C69" s="97" t="s">
        <v>873</v>
      </c>
      <c r="D69" s="96" t="s">
        <v>846</v>
      </c>
      <c r="E69" s="233">
        <f t="shared" si="1"/>
        <v>6.499</v>
      </c>
      <c r="F69" s="234"/>
      <c r="G69" s="97"/>
      <c r="H69" s="1"/>
      <c r="I69" s="1"/>
      <c r="J69" s="230" t="s">
        <v>849</v>
      </c>
      <c r="K69" s="231">
        <v>6.499</v>
      </c>
      <c r="L69" s="232">
        <f>IF(J69="","",IF(J69="EUR",1,IF(J69="RUB",IFERROR(1/LOOKUP(IF(F69="",MAX('Курсы ЦБ'!$B$7:$B$1000),F69),'Курсы ЦБ'!$B$7:$B$1000,'Курсы ЦБ'!$C$7:$C$1000),0),IF(J69="USD",IFERROR(1/LOOKUP(IF(F69="",MAX('Курсы ЦБ'!$B$7:$B$1000),F69),'Курсы ЦБ'!$B$7:$B$1000,'Курсы ЦБ'!$F$7:$F$1000),0),IF(J69="CNY",IFERROR(1/LOOKUP(IF(F69="",MAX('Курсы ЦБ'!$B$7:$B$1000),F69),'Курсы ЦБ'!$B$7:$B$1000,'Курсы ЦБ'!$G$7:$G$1000),0),0)))))</f>
        <v>1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88">
        <v>65.0</v>
      </c>
      <c r="C70" s="89" t="s">
        <v>874</v>
      </c>
      <c r="D70" s="88" t="s">
        <v>846</v>
      </c>
      <c r="E70" s="228">
        <f t="shared" si="1"/>
        <v>9.6994</v>
      </c>
      <c r="F70" s="229"/>
      <c r="G70" s="89"/>
      <c r="H70" s="1"/>
      <c r="I70" s="1"/>
      <c r="J70" s="230" t="s">
        <v>849</v>
      </c>
      <c r="K70" s="231">
        <v>9.6994</v>
      </c>
      <c r="L70" s="232">
        <f>IF(J70="","",IF(J70="EUR",1,IF(J70="RUB",IFERROR(1/LOOKUP(IF(F70="",MAX('Курсы ЦБ'!$B$7:$B$1000),F70),'Курсы ЦБ'!$B$7:$B$1000,'Курсы ЦБ'!$C$7:$C$1000),0),IF(J70="USD",IFERROR(1/LOOKUP(IF(F70="",MAX('Курсы ЦБ'!$B$7:$B$1000),F70),'Курсы ЦБ'!$B$7:$B$1000,'Курсы ЦБ'!$F$7:$F$1000),0),IF(J70="CNY",IFERROR(1/LOOKUP(IF(F70="",MAX('Курсы ЦБ'!$B$7:$B$1000),F70),'Курсы ЦБ'!$B$7:$B$1000,'Курсы ЦБ'!$G$7:$G$1000),0),0)))))</f>
        <v>1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96">
        <v>66.0</v>
      </c>
      <c r="C71" s="97" t="s">
        <v>567</v>
      </c>
      <c r="D71" s="96" t="s">
        <v>846</v>
      </c>
      <c r="E71" s="233">
        <f t="shared" si="1"/>
        <v>0</v>
      </c>
      <c r="F71" s="234"/>
      <c r="G71" s="97"/>
      <c r="H71" s="1"/>
      <c r="I71" s="1"/>
      <c r="J71" s="230"/>
      <c r="K71" s="231"/>
      <c r="L71" s="232" t="str">
        <f>IF(J71="","",IF(J71="EUR",1,IF(J71="RUB",IFERROR(1/LOOKUP(IF(F71="",MAX('Курсы ЦБ'!$B$7:$B$1000),F71),'Курсы ЦБ'!$B$7:$B$1000,'Курсы ЦБ'!$C$7:$C$1000),0),IF(J71="USD",IFERROR(1/LOOKUP(IF(F71="",MAX('Курсы ЦБ'!$B$7:$B$1000),F71),'Курсы ЦБ'!$B$7:$B$1000,'Курсы ЦБ'!$F$7:$F$1000),0),IF(J71="CNY",IFERROR(1/LOOKUP(IF(F71="",MAX('Курсы ЦБ'!$B$7:$B$1000),F71),'Курсы ЦБ'!$B$7:$B$1000,'Курсы ЦБ'!$G$7:$G$1000),0),0)))))</f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3.25" customHeight="1">
      <c r="A72" s="1"/>
      <c r="B72" s="88">
        <v>67.0</v>
      </c>
      <c r="C72" s="89" t="s">
        <v>568</v>
      </c>
      <c r="D72" s="88" t="s">
        <v>846</v>
      </c>
      <c r="E72" s="228">
        <f t="shared" si="1"/>
        <v>5.1326</v>
      </c>
      <c r="F72" s="229"/>
      <c r="G72" s="89"/>
      <c r="H72" s="1"/>
      <c r="I72" s="1"/>
      <c r="J72" s="230" t="s">
        <v>849</v>
      </c>
      <c r="K72" s="231">
        <v>5.1326</v>
      </c>
      <c r="L72" s="232">
        <f>IF(J72="","",IF(J72="EUR",1,IF(J72="RUB",IFERROR(1/LOOKUP(IF(F72="",MAX('Курсы ЦБ'!$B$7:$B$1000),F72),'Курсы ЦБ'!$B$7:$B$1000,'Курсы ЦБ'!$C$7:$C$1000),0),IF(J72="USD",IFERROR(1/LOOKUP(IF(F72="",MAX('Курсы ЦБ'!$B$7:$B$1000),F72),'Курсы ЦБ'!$B$7:$B$1000,'Курсы ЦБ'!$F$7:$F$1000),0),IF(J72="CNY",IFERROR(1/LOOKUP(IF(F72="",MAX('Курсы ЦБ'!$B$7:$B$1000),F72),'Курсы ЦБ'!$B$7:$B$1000,'Курсы ЦБ'!$G$7:$G$1000),0),0)))))</f>
        <v>1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88">
        <v>68.0</v>
      </c>
      <c r="C73" s="89" t="s">
        <v>569</v>
      </c>
      <c r="D73" s="88" t="s">
        <v>846</v>
      </c>
      <c r="E73" s="228">
        <f t="shared" si="1"/>
        <v>3.2853</v>
      </c>
      <c r="F73" s="229"/>
      <c r="G73" s="89"/>
      <c r="H73" s="1"/>
      <c r="I73" s="1"/>
      <c r="J73" s="230" t="s">
        <v>849</v>
      </c>
      <c r="K73" s="231">
        <v>3.2853</v>
      </c>
      <c r="L73" s="232">
        <f>IF(J73="","",IF(J73="EUR",1,IF(J73="RUB",IFERROR(1/LOOKUP(IF(F73="",MAX('Курсы ЦБ'!$B$7:$B$1000),F73),'Курсы ЦБ'!$B$7:$B$1000,'Курсы ЦБ'!$C$7:$C$1000),0),IF(J73="USD",IFERROR(1/LOOKUP(IF(F73="",MAX('Курсы ЦБ'!$B$7:$B$1000),F73),'Курсы ЦБ'!$B$7:$B$1000,'Курсы ЦБ'!$F$7:$F$1000),0),IF(J73="CNY",IFERROR(1/LOOKUP(IF(F73="",MAX('Курсы ЦБ'!$B$7:$B$1000),F73),'Курсы ЦБ'!$B$7:$B$1000,'Курсы ЦБ'!$G$7:$G$1000),0),0)))))</f>
        <v>1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88">
        <v>69.0</v>
      </c>
      <c r="C74" s="89" t="s">
        <v>570</v>
      </c>
      <c r="D74" s="88" t="s">
        <v>846</v>
      </c>
      <c r="E74" s="228">
        <f t="shared" si="1"/>
        <v>3.3046</v>
      </c>
      <c r="F74" s="229"/>
      <c r="G74" s="89"/>
      <c r="H74" s="1"/>
      <c r="I74" s="1"/>
      <c r="J74" s="230" t="s">
        <v>849</v>
      </c>
      <c r="K74" s="231">
        <v>3.3046</v>
      </c>
      <c r="L74" s="232">
        <f>IF(J74="","",IF(J74="EUR",1,IF(J74="RUB",IFERROR(1/LOOKUP(IF(F74="",MAX('Курсы ЦБ'!$B$7:$B$1000),F74),'Курсы ЦБ'!$B$7:$B$1000,'Курсы ЦБ'!$C$7:$C$1000),0),IF(J74="USD",IFERROR(1/LOOKUP(IF(F74="",MAX('Курсы ЦБ'!$B$7:$B$1000),F74),'Курсы ЦБ'!$B$7:$B$1000,'Курсы ЦБ'!$F$7:$F$1000),0),IF(J74="CNY",IFERROR(1/LOOKUP(IF(F74="",MAX('Курсы ЦБ'!$B$7:$B$1000),F74),'Курсы ЦБ'!$B$7:$B$1000,'Курсы ЦБ'!$G$7:$G$1000),0),0)))))</f>
        <v>1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96">
        <v>70.0</v>
      </c>
      <c r="C75" s="97" t="s">
        <v>571</v>
      </c>
      <c r="D75" s="96" t="s">
        <v>846</v>
      </c>
      <c r="E75" s="233">
        <f t="shared" si="1"/>
        <v>14.556</v>
      </c>
      <c r="F75" s="234"/>
      <c r="G75" s="97"/>
      <c r="H75" s="1"/>
      <c r="I75" s="1"/>
      <c r="J75" s="230" t="s">
        <v>849</v>
      </c>
      <c r="K75" s="231">
        <v>14.556</v>
      </c>
      <c r="L75" s="232">
        <f>IF(J75="","",IF(J75="EUR",1,IF(J75="RUB",IFERROR(1/LOOKUP(IF(F75="",MAX('Курсы ЦБ'!$B$7:$B$1000),F75),'Курсы ЦБ'!$B$7:$B$1000,'Курсы ЦБ'!$C$7:$C$1000),0),IF(J75="USD",IFERROR(1/LOOKUP(IF(F75="",MAX('Курсы ЦБ'!$B$7:$B$1000),F75),'Курсы ЦБ'!$B$7:$B$1000,'Курсы ЦБ'!$F$7:$F$1000),0),IF(J75="CNY",IFERROR(1/LOOKUP(IF(F75="",MAX('Курсы ЦБ'!$B$7:$B$1000),F75),'Курсы ЦБ'!$B$7:$B$1000,'Курсы ЦБ'!$G$7:$G$1000),0),0)))))</f>
        <v>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88">
        <v>71.0</v>
      </c>
      <c r="C76" s="89" t="s">
        <v>875</v>
      </c>
      <c r="D76" s="88" t="s">
        <v>846</v>
      </c>
      <c r="E76" s="228">
        <f t="shared" si="1"/>
        <v>13.354</v>
      </c>
      <c r="F76" s="229"/>
      <c r="G76" s="89"/>
      <c r="H76" s="1"/>
      <c r="I76" s="1"/>
      <c r="J76" s="230" t="s">
        <v>849</v>
      </c>
      <c r="K76" s="231">
        <v>13.354</v>
      </c>
      <c r="L76" s="232">
        <f>IF(J76="","",IF(J76="EUR",1,IF(J76="RUB",IFERROR(1/LOOKUP(IF(F76="",MAX('Курсы ЦБ'!$B$7:$B$1000),F76),'Курсы ЦБ'!$B$7:$B$1000,'Курсы ЦБ'!$C$7:$C$1000),0),IF(J76="USD",IFERROR(1/LOOKUP(IF(F76="",MAX('Курсы ЦБ'!$B$7:$B$1000),F76),'Курсы ЦБ'!$B$7:$B$1000,'Курсы ЦБ'!$F$7:$F$1000),0),IF(J76="CNY",IFERROR(1/LOOKUP(IF(F76="",MAX('Курсы ЦБ'!$B$7:$B$1000),F76),'Курсы ЦБ'!$B$7:$B$1000,'Курсы ЦБ'!$G$7:$G$1000),0),0)))))</f>
        <v>1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96">
        <v>72.0</v>
      </c>
      <c r="C77" s="97" t="s">
        <v>876</v>
      </c>
      <c r="D77" s="96" t="s">
        <v>846</v>
      </c>
      <c r="E77" s="233">
        <f t="shared" si="1"/>
        <v>7.1003</v>
      </c>
      <c r="F77" s="234"/>
      <c r="G77" s="97"/>
      <c r="H77" s="1"/>
      <c r="I77" s="1"/>
      <c r="J77" s="230" t="s">
        <v>849</v>
      </c>
      <c r="K77" s="231">
        <v>7.1003</v>
      </c>
      <c r="L77" s="232">
        <f>IF(J77="","",IF(J77="EUR",1,IF(J77="RUB",IFERROR(1/LOOKUP(IF(F77="",MAX('Курсы ЦБ'!$B$7:$B$1000),F77),'Курсы ЦБ'!$B$7:$B$1000,'Курсы ЦБ'!$C$7:$C$1000),0),IF(J77="USD",IFERROR(1/LOOKUP(IF(F77="",MAX('Курсы ЦБ'!$B$7:$B$1000),F77),'Курсы ЦБ'!$B$7:$B$1000,'Курсы ЦБ'!$F$7:$F$1000),0),IF(J77="CNY",IFERROR(1/LOOKUP(IF(F77="",MAX('Курсы ЦБ'!$B$7:$B$1000),F77),'Курсы ЦБ'!$B$7:$B$1000,'Курсы ЦБ'!$G$7:$G$1000),0),0)))))</f>
        <v>1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235">
        <v>73.0</v>
      </c>
      <c r="C78" s="236" t="s">
        <v>402</v>
      </c>
      <c r="D78" s="235" t="s">
        <v>846</v>
      </c>
      <c r="E78" s="237">
        <f t="shared" si="1"/>
        <v>0</v>
      </c>
      <c r="F78" s="238"/>
      <c r="G78" s="236"/>
      <c r="H78" s="239"/>
      <c r="I78" s="239" t="s">
        <v>855</v>
      </c>
      <c r="J78" s="230"/>
      <c r="K78" s="231"/>
      <c r="L78" s="232" t="str">
        <f>IF(J78="","",IF(J78="EUR",1,IF(J78="RUB",IFERROR(1/LOOKUP(IF(F78="",MAX('Курсы ЦБ'!$B$7:$B$1000),F78),'Курсы ЦБ'!$B$7:$B$1000,'Курсы ЦБ'!$C$7:$C$1000),0),IF(J78="USD",IFERROR(1/LOOKUP(IF(F78="",MAX('Курсы ЦБ'!$B$7:$B$1000),F78),'Курсы ЦБ'!$B$7:$B$1000,'Курсы ЦБ'!$F$7:$F$1000),0),IF(J78="CNY",IFERROR(1/LOOKUP(IF(F78="",MAX('Курсы ЦБ'!$B$7:$B$1000),F78),'Курсы ЦБ'!$B$7:$B$1000,'Курсы ЦБ'!$G$7:$G$1000),0),0)))))</f>
        <v/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235">
        <v>74.0</v>
      </c>
      <c r="C79" s="236" t="s">
        <v>397</v>
      </c>
      <c r="D79" s="235" t="s">
        <v>846</v>
      </c>
      <c r="E79" s="237">
        <f t="shared" si="1"/>
        <v>3.2387</v>
      </c>
      <c r="F79" s="238"/>
      <c r="G79" s="236"/>
      <c r="H79" s="239"/>
      <c r="I79" s="239" t="s">
        <v>855</v>
      </c>
      <c r="J79" s="230" t="s">
        <v>849</v>
      </c>
      <c r="K79" s="231">
        <v>3.2387</v>
      </c>
      <c r="L79" s="232">
        <f>IF(J79="","",IF(J79="EUR",1,IF(J79="RUB",IFERROR(1/LOOKUP(IF(F79="",MAX('Курсы ЦБ'!$B$7:$B$1000),F79),'Курсы ЦБ'!$B$7:$B$1000,'Курсы ЦБ'!$C$7:$C$1000),0),IF(J79="USD",IFERROR(1/LOOKUP(IF(F79="",MAX('Курсы ЦБ'!$B$7:$B$1000),F79),'Курсы ЦБ'!$B$7:$B$1000,'Курсы ЦБ'!$F$7:$F$1000),0),IF(J79="CNY",IFERROR(1/LOOKUP(IF(F79="",MAX('Курсы ЦБ'!$B$7:$B$1000),F79),'Курсы ЦБ'!$B$7:$B$1000,'Курсы ЦБ'!$G$7:$G$1000),0),0)))))</f>
        <v>1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235">
        <v>75.0</v>
      </c>
      <c r="C80" s="236" t="s">
        <v>398</v>
      </c>
      <c r="D80" s="235" t="s">
        <v>846</v>
      </c>
      <c r="E80" s="237">
        <f t="shared" si="1"/>
        <v>2.2294</v>
      </c>
      <c r="F80" s="238"/>
      <c r="G80" s="236"/>
      <c r="H80" s="239"/>
      <c r="I80" s="239" t="s">
        <v>855</v>
      </c>
      <c r="J80" s="230" t="s">
        <v>849</v>
      </c>
      <c r="K80" s="231">
        <v>2.2294</v>
      </c>
      <c r="L80" s="232">
        <f>IF(J80="","",IF(J80="EUR",1,IF(J80="RUB",IFERROR(1/LOOKUP(IF(F80="",MAX('Курсы ЦБ'!$B$7:$B$1000),F80),'Курсы ЦБ'!$B$7:$B$1000,'Курсы ЦБ'!$C$7:$C$1000),0),IF(J80="USD",IFERROR(1/LOOKUP(IF(F80="",MAX('Курсы ЦБ'!$B$7:$B$1000),F80),'Курсы ЦБ'!$B$7:$B$1000,'Курсы ЦБ'!$F$7:$F$1000),0),IF(J80="CNY",IFERROR(1/LOOKUP(IF(F80="",MAX('Курсы ЦБ'!$B$7:$B$1000),F80),'Курсы ЦБ'!$B$7:$B$1000,'Курсы ЦБ'!$G$7:$G$1000),0),0)))))</f>
        <v>1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235">
        <v>76.0</v>
      </c>
      <c r="C81" s="236" t="s">
        <v>399</v>
      </c>
      <c r="D81" s="235" t="s">
        <v>846</v>
      </c>
      <c r="E81" s="237">
        <f t="shared" si="1"/>
        <v>1.7496</v>
      </c>
      <c r="F81" s="238"/>
      <c r="G81" s="236"/>
      <c r="H81" s="239"/>
      <c r="I81" s="239" t="s">
        <v>855</v>
      </c>
      <c r="J81" s="230" t="s">
        <v>849</v>
      </c>
      <c r="K81" s="231">
        <v>1.7496</v>
      </c>
      <c r="L81" s="232">
        <f>IF(J81="","",IF(J81="EUR",1,IF(J81="RUB",IFERROR(1/LOOKUP(IF(F81="",MAX('Курсы ЦБ'!$B$7:$B$1000),F81),'Курсы ЦБ'!$B$7:$B$1000,'Курсы ЦБ'!$C$7:$C$1000),0),IF(J81="USD",IFERROR(1/LOOKUP(IF(F81="",MAX('Курсы ЦБ'!$B$7:$B$1000),F81),'Курсы ЦБ'!$B$7:$B$1000,'Курсы ЦБ'!$F$7:$F$1000),0),IF(J81="CNY",IFERROR(1/LOOKUP(IF(F81="",MAX('Курсы ЦБ'!$B$7:$B$1000),F81),'Курсы ЦБ'!$B$7:$B$1000,'Курсы ЦБ'!$G$7:$G$1000),0),0)))))</f>
        <v>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235">
        <v>77.0</v>
      </c>
      <c r="C82" s="236" t="s">
        <v>400</v>
      </c>
      <c r="D82" s="235" t="s">
        <v>846</v>
      </c>
      <c r="E82" s="237">
        <f t="shared" si="1"/>
        <v>0</v>
      </c>
      <c r="F82" s="238"/>
      <c r="G82" s="236"/>
      <c r="H82" s="239"/>
      <c r="I82" s="239" t="s">
        <v>855</v>
      </c>
      <c r="J82" s="230"/>
      <c r="K82" s="231"/>
      <c r="L82" s="232" t="str">
        <f>IF(J82="","",IF(J82="EUR",1,IF(J82="RUB",IFERROR(1/LOOKUP(IF(F82="",MAX('Курсы ЦБ'!$B$7:$B$1000),F82),'Курсы ЦБ'!$B$7:$B$1000,'Курсы ЦБ'!$C$7:$C$1000),0),IF(J82="USD",IFERROR(1/LOOKUP(IF(F82="",MAX('Курсы ЦБ'!$B$7:$B$1000),F82),'Курсы ЦБ'!$B$7:$B$1000,'Курсы ЦБ'!$F$7:$F$1000),0),IF(J82="CNY",IFERROR(1/LOOKUP(IF(F82="",MAX('Курсы ЦБ'!$B$7:$B$1000),F82),'Курсы ЦБ'!$B$7:$B$1000,'Курсы ЦБ'!$G$7:$G$1000),0),0)))))</f>
        <v/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235">
        <v>78.0</v>
      </c>
      <c r="C83" s="236" t="s">
        <v>657</v>
      </c>
      <c r="D83" s="235" t="s">
        <v>846</v>
      </c>
      <c r="E83" s="237">
        <f t="shared" si="1"/>
        <v>2.7545</v>
      </c>
      <c r="F83" s="238"/>
      <c r="G83" s="236"/>
      <c r="H83" s="239"/>
      <c r="I83" s="239" t="s">
        <v>855</v>
      </c>
      <c r="J83" s="230" t="s">
        <v>849</v>
      </c>
      <c r="K83" s="231">
        <v>2.7545</v>
      </c>
      <c r="L83" s="232">
        <f>IF(J83="","",IF(J83="EUR",1,IF(J83="RUB",IFERROR(1/LOOKUP(IF(F83="",MAX('Курсы ЦБ'!$B$7:$B$1000),F83),'Курсы ЦБ'!$B$7:$B$1000,'Курсы ЦБ'!$C$7:$C$1000),0),IF(J83="USD",IFERROR(1/LOOKUP(IF(F83="",MAX('Курсы ЦБ'!$B$7:$B$1000),F83),'Курсы ЦБ'!$B$7:$B$1000,'Курсы ЦБ'!$F$7:$F$1000),0),IF(J83="CNY",IFERROR(1/LOOKUP(IF(F83="",MAX('Курсы ЦБ'!$B$7:$B$1000),F83),'Курсы ЦБ'!$B$7:$B$1000,'Курсы ЦБ'!$G$7:$G$1000),0),0)))))</f>
        <v>1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235">
        <v>79.0</v>
      </c>
      <c r="C84" s="236" t="s">
        <v>659</v>
      </c>
      <c r="D84" s="235" t="s">
        <v>846</v>
      </c>
      <c r="E84" s="237">
        <f t="shared" si="1"/>
        <v>2.3782</v>
      </c>
      <c r="F84" s="238"/>
      <c r="G84" s="236"/>
      <c r="H84" s="239"/>
      <c r="I84" s="239" t="s">
        <v>855</v>
      </c>
      <c r="J84" s="230" t="s">
        <v>849</v>
      </c>
      <c r="K84" s="231">
        <v>2.3782</v>
      </c>
      <c r="L84" s="232">
        <f>IF(J84="","",IF(J84="EUR",1,IF(J84="RUB",IFERROR(1/LOOKUP(IF(F84="",MAX('Курсы ЦБ'!$B$7:$B$1000),F84),'Курсы ЦБ'!$B$7:$B$1000,'Курсы ЦБ'!$C$7:$C$1000),0),IF(J84="USD",IFERROR(1/LOOKUP(IF(F84="",MAX('Курсы ЦБ'!$B$7:$B$1000),F84),'Курсы ЦБ'!$B$7:$B$1000,'Курсы ЦБ'!$F$7:$F$1000),0),IF(J84="CNY",IFERROR(1/LOOKUP(IF(F84="",MAX('Курсы ЦБ'!$B$7:$B$1000),F84),'Курсы ЦБ'!$B$7:$B$1000,'Курсы ЦБ'!$G$7:$G$1000),0),0)))))</f>
        <v>1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235">
        <v>80.0</v>
      </c>
      <c r="C85" s="236" t="s">
        <v>401</v>
      </c>
      <c r="D85" s="235" t="s">
        <v>846</v>
      </c>
      <c r="E85" s="237">
        <f t="shared" si="1"/>
        <v>3.3725</v>
      </c>
      <c r="F85" s="238"/>
      <c r="G85" s="236"/>
      <c r="H85" s="239"/>
      <c r="I85" s="239" t="s">
        <v>855</v>
      </c>
      <c r="J85" s="230" t="s">
        <v>849</v>
      </c>
      <c r="K85" s="231">
        <v>3.3725</v>
      </c>
      <c r="L85" s="232">
        <f>IF(J85="","",IF(J85="EUR",1,IF(J85="RUB",IFERROR(1/LOOKUP(IF(F85="",MAX('Курсы ЦБ'!$B$7:$B$1000),F85),'Курсы ЦБ'!$B$7:$B$1000,'Курсы ЦБ'!$C$7:$C$1000),0),IF(J85="USD",IFERROR(1/LOOKUP(IF(F85="",MAX('Курсы ЦБ'!$B$7:$B$1000),F85),'Курсы ЦБ'!$B$7:$B$1000,'Курсы ЦБ'!$F$7:$F$1000),0),IF(J85="CNY",IFERROR(1/LOOKUP(IF(F85="",MAX('Курсы ЦБ'!$B$7:$B$1000),F85),'Курсы ЦБ'!$B$7:$B$1000,'Курсы ЦБ'!$G$7:$G$1000),0),0)))))</f>
        <v>1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88">
        <v>81.0</v>
      </c>
      <c r="C86" s="89" t="s">
        <v>877</v>
      </c>
      <c r="D86" s="88" t="s">
        <v>846</v>
      </c>
      <c r="E86" s="228">
        <f t="shared" si="1"/>
        <v>0</v>
      </c>
      <c r="F86" s="229"/>
      <c r="G86" s="89"/>
      <c r="H86" s="1"/>
      <c r="I86" s="1"/>
      <c r="J86" s="230"/>
      <c r="K86" s="231"/>
      <c r="L86" s="232" t="str">
        <f>IF(J86="","",IF(J86="EUR",1,IF(J86="RUB",IFERROR(1/LOOKUP(IF(F86="",MAX('Курсы ЦБ'!$B$7:$B$1000),F86),'Курсы ЦБ'!$B$7:$B$1000,'Курсы ЦБ'!$C$7:$C$1000),0),IF(J86="USD",IFERROR(1/LOOKUP(IF(F86="",MAX('Курсы ЦБ'!$B$7:$B$1000),F86),'Курсы ЦБ'!$B$7:$B$1000,'Курсы ЦБ'!$F$7:$F$1000),0),IF(J86="CNY",IFERROR(1/LOOKUP(IF(F86="",MAX('Курсы ЦБ'!$B$7:$B$1000),F86),'Курсы ЦБ'!$B$7:$B$1000,'Курсы ЦБ'!$G$7:$G$1000),0),0)))))</f>
        <v/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96">
        <v>82.0</v>
      </c>
      <c r="C87" s="97" t="s">
        <v>878</v>
      </c>
      <c r="D87" s="96" t="s">
        <v>846</v>
      </c>
      <c r="E87" s="233">
        <f t="shared" si="1"/>
        <v>3.9309</v>
      </c>
      <c r="F87" s="234"/>
      <c r="G87" s="97"/>
      <c r="H87" s="1"/>
      <c r="I87" s="1"/>
      <c r="J87" s="230" t="s">
        <v>849</v>
      </c>
      <c r="K87" s="231">
        <v>3.9309</v>
      </c>
      <c r="L87" s="232">
        <f>IF(J87="","",IF(J87="EUR",1,IF(J87="RUB",IFERROR(1/LOOKUP(IF(F87="",MAX('Курсы ЦБ'!$B$7:$B$1000),F87),'Курсы ЦБ'!$B$7:$B$1000,'Курсы ЦБ'!$C$7:$C$1000),0),IF(J87="USD",IFERROR(1/LOOKUP(IF(F87="",MAX('Курсы ЦБ'!$B$7:$B$1000),F87),'Курсы ЦБ'!$B$7:$B$1000,'Курсы ЦБ'!$F$7:$F$1000),0),IF(J87="CNY",IFERROR(1/LOOKUP(IF(F87="",MAX('Курсы ЦБ'!$B$7:$B$1000),F87),'Курсы ЦБ'!$B$7:$B$1000,'Курсы ЦБ'!$G$7:$G$1000),0),0)))))</f>
        <v>1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88">
        <v>83.0</v>
      </c>
      <c r="C88" s="89" t="s">
        <v>879</v>
      </c>
      <c r="D88" s="88" t="s">
        <v>846</v>
      </c>
      <c r="E88" s="228">
        <f t="shared" si="1"/>
        <v>5.3047</v>
      </c>
      <c r="F88" s="229"/>
      <c r="G88" s="89"/>
      <c r="H88" s="1"/>
      <c r="I88" s="1"/>
      <c r="J88" s="230" t="s">
        <v>849</v>
      </c>
      <c r="K88" s="231">
        <v>5.3047</v>
      </c>
      <c r="L88" s="232">
        <f>IF(J88="","",IF(J88="EUR",1,IF(J88="RUB",IFERROR(1/LOOKUP(IF(F88="",MAX('Курсы ЦБ'!$B$7:$B$1000),F88),'Курсы ЦБ'!$B$7:$B$1000,'Курсы ЦБ'!$C$7:$C$1000),0),IF(J88="USD",IFERROR(1/LOOKUP(IF(F88="",MAX('Курсы ЦБ'!$B$7:$B$1000),F88),'Курсы ЦБ'!$B$7:$B$1000,'Курсы ЦБ'!$F$7:$F$1000),0),IF(J88="CNY",IFERROR(1/LOOKUP(IF(F88="",MAX('Курсы ЦБ'!$B$7:$B$1000),F88),'Курсы ЦБ'!$B$7:$B$1000,'Курсы ЦБ'!$G$7:$G$1000),0),0)))))</f>
        <v>1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96">
        <v>84.0</v>
      </c>
      <c r="C89" s="97" t="s">
        <v>572</v>
      </c>
      <c r="D89" s="96" t="s">
        <v>846</v>
      </c>
      <c r="E89" s="233">
        <f t="shared" si="1"/>
        <v>6.4085</v>
      </c>
      <c r="F89" s="234"/>
      <c r="G89" s="97"/>
      <c r="H89" s="1"/>
      <c r="I89" s="1"/>
      <c r="J89" s="230" t="s">
        <v>849</v>
      </c>
      <c r="K89" s="231">
        <v>6.4085</v>
      </c>
      <c r="L89" s="232">
        <f>IF(J89="","",IF(J89="EUR",1,IF(J89="RUB",IFERROR(1/LOOKUP(IF(F89="",MAX('Курсы ЦБ'!$B$7:$B$1000),F89),'Курсы ЦБ'!$B$7:$B$1000,'Курсы ЦБ'!$C$7:$C$1000),0),IF(J89="USD",IFERROR(1/LOOKUP(IF(F89="",MAX('Курсы ЦБ'!$B$7:$B$1000),F89),'Курсы ЦБ'!$B$7:$B$1000,'Курсы ЦБ'!$F$7:$F$1000),0),IF(J89="CNY",IFERROR(1/LOOKUP(IF(F89="",MAX('Курсы ЦБ'!$B$7:$B$1000),F89),'Курсы ЦБ'!$B$7:$B$1000,'Курсы ЦБ'!$G$7:$G$1000),0),0)))))</f>
        <v>1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88">
        <v>85.0</v>
      </c>
      <c r="C90" s="89" t="s">
        <v>880</v>
      </c>
      <c r="D90" s="88" t="s">
        <v>846</v>
      </c>
      <c r="E90" s="228">
        <f t="shared" si="1"/>
        <v>23.72</v>
      </c>
      <c r="F90" s="229"/>
      <c r="G90" s="89"/>
      <c r="H90" s="1"/>
      <c r="I90" s="1"/>
      <c r="J90" s="230" t="s">
        <v>849</v>
      </c>
      <c r="K90" s="231">
        <v>23.72</v>
      </c>
      <c r="L90" s="232">
        <f>IF(J90="","",IF(J90="EUR",1,IF(J90="RUB",IFERROR(1/LOOKUP(IF(F90="",MAX('Курсы ЦБ'!$B$7:$B$1000),F90),'Курсы ЦБ'!$B$7:$B$1000,'Курсы ЦБ'!$C$7:$C$1000),0),IF(J90="USD",IFERROR(1/LOOKUP(IF(F90="",MAX('Курсы ЦБ'!$B$7:$B$1000),F90),'Курсы ЦБ'!$B$7:$B$1000,'Курсы ЦБ'!$F$7:$F$1000),0),IF(J90="CNY",IFERROR(1/LOOKUP(IF(F90="",MAX('Курсы ЦБ'!$B$7:$B$1000),F90),'Курсы ЦБ'!$B$7:$B$1000,'Курсы ЦБ'!$G$7:$G$1000),0),0)))))</f>
        <v>1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96">
        <v>86.0</v>
      </c>
      <c r="C91" s="97" t="s">
        <v>881</v>
      </c>
      <c r="D91" s="96" t="s">
        <v>846</v>
      </c>
      <c r="E91" s="233">
        <f t="shared" si="1"/>
        <v>0</v>
      </c>
      <c r="F91" s="234"/>
      <c r="G91" s="97"/>
      <c r="H91" s="1"/>
      <c r="I91" s="1"/>
      <c r="J91" s="230"/>
      <c r="K91" s="231"/>
      <c r="L91" s="232" t="str">
        <f>IF(J91="","",IF(J91="EUR",1,IF(J91="RUB",IFERROR(1/LOOKUP(IF(F91="",MAX('Курсы ЦБ'!$B$7:$B$1000),F91),'Курсы ЦБ'!$B$7:$B$1000,'Курсы ЦБ'!$C$7:$C$1000),0),IF(J91="USD",IFERROR(1/LOOKUP(IF(F91="",MAX('Курсы ЦБ'!$B$7:$B$1000),F91),'Курсы ЦБ'!$B$7:$B$1000,'Курсы ЦБ'!$F$7:$F$1000),0),IF(J91="CNY",IFERROR(1/LOOKUP(IF(F91="",MAX('Курсы ЦБ'!$B$7:$B$1000),F91),'Курсы ЦБ'!$B$7:$B$1000,'Курсы ЦБ'!$G$7:$G$1000),0),0)))))</f>
        <v/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88">
        <v>87.0</v>
      </c>
      <c r="C92" s="89" t="s">
        <v>573</v>
      </c>
      <c r="D92" s="88" t="s">
        <v>846</v>
      </c>
      <c r="E92" s="228">
        <f t="shared" si="1"/>
        <v>4.7016</v>
      </c>
      <c r="F92" s="229"/>
      <c r="G92" s="89"/>
      <c r="H92" s="1"/>
      <c r="I92" s="1"/>
      <c r="J92" s="230" t="s">
        <v>849</v>
      </c>
      <c r="K92" s="231">
        <v>4.7016</v>
      </c>
      <c r="L92" s="232">
        <f>IF(J92="","",IF(J92="EUR",1,IF(J92="RUB",IFERROR(1/LOOKUP(IF(F92="",MAX('Курсы ЦБ'!$B$7:$B$1000),F92),'Курсы ЦБ'!$B$7:$B$1000,'Курсы ЦБ'!$C$7:$C$1000),0),IF(J92="USD",IFERROR(1/LOOKUP(IF(F92="",MAX('Курсы ЦБ'!$B$7:$B$1000),F92),'Курсы ЦБ'!$B$7:$B$1000,'Курсы ЦБ'!$F$7:$F$1000),0),IF(J92="CNY",IFERROR(1/LOOKUP(IF(F92="",MAX('Курсы ЦБ'!$B$7:$B$1000),F92),'Курсы ЦБ'!$B$7:$B$1000,'Курсы ЦБ'!$G$7:$G$1000),0),0)))))</f>
        <v>1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96">
        <v>88.0</v>
      </c>
      <c r="C93" s="97" t="s">
        <v>882</v>
      </c>
      <c r="D93" s="96" t="s">
        <v>846</v>
      </c>
      <c r="E93" s="233">
        <f t="shared" si="1"/>
        <v>0</v>
      </c>
      <c r="F93" s="234"/>
      <c r="G93" s="97"/>
      <c r="H93" s="1"/>
      <c r="I93" s="1"/>
      <c r="J93" s="230"/>
      <c r="K93" s="231"/>
      <c r="L93" s="232" t="str">
        <f>IF(J93="","",IF(J93="EUR",1,IF(J93="RUB",IFERROR(1/LOOKUP(IF(F93="",MAX('Курсы ЦБ'!$B$7:$B$1000),F93),'Курсы ЦБ'!$B$7:$B$1000,'Курсы ЦБ'!$C$7:$C$1000),0),IF(J93="USD",IFERROR(1/LOOKUP(IF(F93="",MAX('Курсы ЦБ'!$B$7:$B$1000),F93),'Курсы ЦБ'!$B$7:$B$1000,'Курсы ЦБ'!$F$7:$F$1000),0),IF(J93="CNY",IFERROR(1/LOOKUP(IF(F93="",MAX('Курсы ЦБ'!$B$7:$B$1000),F93),'Курсы ЦБ'!$B$7:$B$1000,'Курсы ЦБ'!$G$7:$G$1000),0),0)))))</f>
        <v/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88">
        <v>89.0</v>
      </c>
      <c r="C94" s="89" t="s">
        <v>574</v>
      </c>
      <c r="D94" s="88" t="s">
        <v>846</v>
      </c>
      <c r="E94" s="228">
        <f t="shared" si="1"/>
        <v>0</v>
      </c>
      <c r="F94" s="229"/>
      <c r="G94" s="89"/>
      <c r="H94" s="1"/>
      <c r="I94" s="1"/>
      <c r="J94" s="230"/>
      <c r="K94" s="231"/>
      <c r="L94" s="232" t="str">
        <f>IF(J94="","",IF(J94="EUR",1,IF(J94="RUB",IFERROR(1/LOOKUP(IF(F94="",MAX('Курсы ЦБ'!$B$7:$B$1000),F94),'Курсы ЦБ'!$B$7:$B$1000,'Курсы ЦБ'!$C$7:$C$1000),0),IF(J94="USD",IFERROR(1/LOOKUP(IF(F94="",MAX('Курсы ЦБ'!$B$7:$B$1000),F94),'Курсы ЦБ'!$B$7:$B$1000,'Курсы ЦБ'!$F$7:$F$1000),0),IF(J94="CNY",IFERROR(1/LOOKUP(IF(F94="",MAX('Курсы ЦБ'!$B$7:$B$1000),F94),'Курсы ЦБ'!$B$7:$B$1000,'Курсы ЦБ'!$G$7:$G$1000),0),0)))))</f>
        <v/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96">
        <v>90.0</v>
      </c>
      <c r="C95" s="97" t="s">
        <v>575</v>
      </c>
      <c r="D95" s="96" t="s">
        <v>846</v>
      </c>
      <c r="E95" s="233">
        <f t="shared" si="1"/>
        <v>16.0088</v>
      </c>
      <c r="F95" s="234"/>
      <c r="G95" s="97"/>
      <c r="H95" s="1"/>
      <c r="I95" s="1"/>
      <c r="J95" s="230" t="s">
        <v>849</v>
      </c>
      <c r="K95" s="231">
        <v>16.0088</v>
      </c>
      <c r="L95" s="232">
        <f>IF(J95="","",IF(J95="EUR",1,IF(J95="RUB",IFERROR(1/LOOKUP(IF(F95="",MAX('Курсы ЦБ'!$B$7:$B$1000),F95),'Курсы ЦБ'!$B$7:$B$1000,'Курсы ЦБ'!$C$7:$C$1000),0),IF(J95="USD",IFERROR(1/LOOKUP(IF(F95="",MAX('Курсы ЦБ'!$B$7:$B$1000),F95),'Курсы ЦБ'!$B$7:$B$1000,'Курсы ЦБ'!$F$7:$F$1000),0),IF(J95="CNY",IFERROR(1/LOOKUP(IF(F95="",MAX('Курсы ЦБ'!$B$7:$B$1000),F95),'Курсы ЦБ'!$B$7:$B$1000,'Курсы ЦБ'!$G$7:$G$1000),0),0)))))</f>
        <v>1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88">
        <v>91.0</v>
      </c>
      <c r="C96" s="89" t="s">
        <v>883</v>
      </c>
      <c r="D96" s="88" t="s">
        <v>846</v>
      </c>
      <c r="E96" s="228">
        <f t="shared" si="1"/>
        <v>25.7738</v>
      </c>
      <c r="F96" s="229"/>
      <c r="G96" s="89"/>
      <c r="H96" s="1"/>
      <c r="I96" s="1"/>
      <c r="J96" s="230" t="s">
        <v>849</v>
      </c>
      <c r="K96" s="231">
        <v>25.7738</v>
      </c>
      <c r="L96" s="232">
        <f>IF(J96="","",IF(J96="EUR",1,IF(J96="RUB",IFERROR(1/LOOKUP(IF(F96="",MAX('Курсы ЦБ'!$B$7:$B$1000),F96),'Курсы ЦБ'!$B$7:$B$1000,'Курсы ЦБ'!$C$7:$C$1000),0),IF(J96="USD",IFERROR(1/LOOKUP(IF(F96="",MAX('Курсы ЦБ'!$B$7:$B$1000),F96),'Курсы ЦБ'!$B$7:$B$1000,'Курсы ЦБ'!$F$7:$F$1000),0),IF(J96="CNY",IFERROR(1/LOOKUP(IF(F96="",MAX('Курсы ЦБ'!$B$7:$B$1000),F96),'Курсы ЦБ'!$B$7:$B$1000,'Курсы ЦБ'!$G$7:$G$1000),0),0)))))</f>
        <v>1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96">
        <v>92.0</v>
      </c>
      <c r="C97" s="97" t="s">
        <v>884</v>
      </c>
      <c r="D97" s="96" t="s">
        <v>846</v>
      </c>
      <c r="E97" s="233">
        <f t="shared" si="1"/>
        <v>35.0243</v>
      </c>
      <c r="F97" s="234"/>
      <c r="G97" s="97"/>
      <c r="H97" s="1"/>
      <c r="I97" s="1"/>
      <c r="J97" s="230" t="s">
        <v>849</v>
      </c>
      <c r="K97" s="231">
        <v>35.0243</v>
      </c>
      <c r="L97" s="232">
        <f>IF(J97="","",IF(J97="EUR",1,IF(J97="RUB",IFERROR(1/LOOKUP(IF(F97="",MAX('Курсы ЦБ'!$B$7:$B$1000),F97),'Курсы ЦБ'!$B$7:$B$1000,'Курсы ЦБ'!$C$7:$C$1000),0),IF(J97="USD",IFERROR(1/LOOKUP(IF(F97="",MAX('Курсы ЦБ'!$B$7:$B$1000),F97),'Курсы ЦБ'!$B$7:$B$1000,'Курсы ЦБ'!$F$7:$F$1000),0),IF(J97="CNY",IFERROR(1/LOOKUP(IF(F97="",MAX('Курсы ЦБ'!$B$7:$B$1000),F97),'Курсы ЦБ'!$B$7:$B$1000,'Курсы ЦБ'!$G$7:$G$1000),0),0)))))</f>
        <v>1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88">
        <v>93.0</v>
      </c>
      <c r="C98" s="89" t="s">
        <v>520</v>
      </c>
      <c r="D98" s="88" t="s">
        <v>846</v>
      </c>
      <c r="E98" s="228">
        <f t="shared" si="1"/>
        <v>30.1527</v>
      </c>
      <c r="F98" s="229"/>
      <c r="G98" s="89"/>
      <c r="H98" s="1"/>
      <c r="I98" s="1"/>
      <c r="J98" s="230" t="s">
        <v>849</v>
      </c>
      <c r="K98" s="231">
        <v>30.1527</v>
      </c>
      <c r="L98" s="232">
        <f>IF(J98="","",IF(J98="EUR",1,IF(J98="RUB",IFERROR(1/LOOKUP(IF(F98="",MAX('Курсы ЦБ'!$B$7:$B$1000),F98),'Курсы ЦБ'!$B$7:$B$1000,'Курсы ЦБ'!$C$7:$C$1000),0),IF(J98="USD",IFERROR(1/LOOKUP(IF(F98="",MAX('Курсы ЦБ'!$B$7:$B$1000),F98),'Курсы ЦБ'!$B$7:$B$1000,'Курсы ЦБ'!$F$7:$F$1000),0),IF(J98="CNY",IFERROR(1/LOOKUP(IF(F98="",MAX('Курсы ЦБ'!$B$7:$B$1000),F98),'Курсы ЦБ'!$B$7:$B$1000,'Курсы ЦБ'!$G$7:$G$1000),0),0)))))</f>
        <v>1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96">
        <v>94.0</v>
      </c>
      <c r="C99" s="97" t="s">
        <v>522</v>
      </c>
      <c r="D99" s="96" t="s">
        <v>846</v>
      </c>
      <c r="E99" s="233">
        <f t="shared" si="1"/>
        <v>3.7834</v>
      </c>
      <c r="F99" s="234"/>
      <c r="G99" s="97"/>
      <c r="H99" s="1"/>
      <c r="I99" s="1"/>
      <c r="J99" s="230" t="s">
        <v>849</v>
      </c>
      <c r="K99" s="231">
        <v>3.7834</v>
      </c>
      <c r="L99" s="232">
        <f>IF(J99="","",IF(J99="EUR",1,IF(J99="RUB",IFERROR(1/LOOKUP(IF(F99="",MAX('Курсы ЦБ'!$B$7:$B$1000),F99),'Курсы ЦБ'!$B$7:$B$1000,'Курсы ЦБ'!$C$7:$C$1000),0),IF(J99="USD",IFERROR(1/LOOKUP(IF(F99="",MAX('Курсы ЦБ'!$B$7:$B$1000),F99),'Курсы ЦБ'!$B$7:$B$1000,'Курсы ЦБ'!$F$7:$F$1000),0),IF(J99="CNY",IFERROR(1/LOOKUP(IF(F99="",MAX('Курсы ЦБ'!$B$7:$B$1000),F99),'Курсы ЦБ'!$B$7:$B$1000,'Курсы ЦБ'!$G$7:$G$1000),0),0)))))</f>
        <v>1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88">
        <v>95.0</v>
      </c>
      <c r="C100" s="89" t="s">
        <v>885</v>
      </c>
      <c r="D100" s="88" t="s">
        <v>846</v>
      </c>
      <c r="E100" s="228">
        <f t="shared" si="1"/>
        <v>0.6626</v>
      </c>
      <c r="F100" s="229"/>
      <c r="G100" s="89"/>
      <c r="H100" s="1"/>
      <c r="I100" s="1"/>
      <c r="J100" s="230" t="s">
        <v>849</v>
      </c>
      <c r="K100" s="231">
        <v>0.6626</v>
      </c>
      <c r="L100" s="232">
        <f>IF(J100="","",IF(J100="EUR",1,IF(J100="RUB",IFERROR(1/LOOKUP(IF(F100="",MAX('Курсы ЦБ'!$B$7:$B$1000),F100),'Курсы ЦБ'!$B$7:$B$1000,'Курсы ЦБ'!$C$7:$C$1000),0),IF(J100="USD",IFERROR(1/LOOKUP(IF(F100="",MAX('Курсы ЦБ'!$B$7:$B$1000),F100),'Курсы ЦБ'!$B$7:$B$1000,'Курсы ЦБ'!$F$7:$F$1000),0),IF(J100="CNY",IFERROR(1/LOOKUP(IF(F100="",MAX('Курсы ЦБ'!$B$7:$B$1000),F100),'Курсы ЦБ'!$B$7:$B$1000,'Курсы ЦБ'!$G$7:$G$1000),0),0)))))</f>
        <v>1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96">
        <v>96.0</v>
      </c>
      <c r="C101" s="97" t="s">
        <v>886</v>
      </c>
      <c r="D101" s="96" t="s">
        <v>846</v>
      </c>
      <c r="E101" s="233">
        <f t="shared" si="1"/>
        <v>1.2257</v>
      </c>
      <c r="F101" s="234"/>
      <c r="G101" s="97"/>
      <c r="H101" s="1"/>
      <c r="I101" s="1"/>
      <c r="J101" s="230" t="s">
        <v>849</v>
      </c>
      <c r="K101" s="231">
        <v>1.2257</v>
      </c>
      <c r="L101" s="232">
        <f>IF(J101="","",IF(J101="EUR",1,IF(J101="RUB",IFERROR(1/LOOKUP(IF(F101="",MAX('Курсы ЦБ'!$B$7:$B$1000),F101),'Курсы ЦБ'!$B$7:$B$1000,'Курсы ЦБ'!$C$7:$C$1000),0),IF(J101="USD",IFERROR(1/LOOKUP(IF(F101="",MAX('Курсы ЦБ'!$B$7:$B$1000),F101),'Курсы ЦБ'!$B$7:$B$1000,'Курсы ЦБ'!$F$7:$F$1000),0),IF(J101="CNY",IFERROR(1/LOOKUP(IF(F101="",MAX('Курсы ЦБ'!$B$7:$B$1000),F101),'Курсы ЦБ'!$B$7:$B$1000,'Курсы ЦБ'!$G$7:$G$1000),0),0)))))</f>
        <v>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88">
        <v>97.0</v>
      </c>
      <c r="C102" s="89" t="s">
        <v>887</v>
      </c>
      <c r="D102" s="88" t="s">
        <v>888</v>
      </c>
      <c r="E102" s="228">
        <f t="shared" si="1"/>
        <v>10.8542</v>
      </c>
      <c r="F102" s="229"/>
      <c r="G102" s="89"/>
      <c r="H102" s="1"/>
      <c r="I102" s="1"/>
      <c r="J102" s="230" t="s">
        <v>849</v>
      </c>
      <c r="K102" s="231">
        <v>10.8542</v>
      </c>
      <c r="L102" s="232">
        <f>IF(J102="","",IF(J102="EUR",1,IF(J102="RUB",IFERROR(1/LOOKUP(IF(F102="",MAX('Курсы ЦБ'!$B$7:$B$1000),F102),'Курсы ЦБ'!$B$7:$B$1000,'Курсы ЦБ'!$C$7:$C$1000),0),IF(J102="USD",IFERROR(1/LOOKUP(IF(F102="",MAX('Курсы ЦБ'!$B$7:$B$1000),F102),'Курсы ЦБ'!$B$7:$B$1000,'Курсы ЦБ'!$F$7:$F$1000),0),IF(J102="CNY",IFERROR(1/LOOKUP(IF(F102="",MAX('Курсы ЦБ'!$B$7:$B$1000),F102),'Курсы ЦБ'!$B$7:$B$1000,'Курсы ЦБ'!$G$7:$G$1000),0),0)))))</f>
        <v>1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96">
        <v>98.0</v>
      </c>
      <c r="C103" s="97" t="s">
        <v>889</v>
      </c>
      <c r="D103" s="96" t="s">
        <v>888</v>
      </c>
      <c r="E103" s="233">
        <f t="shared" si="1"/>
        <v>0.409</v>
      </c>
      <c r="F103" s="234"/>
      <c r="G103" s="97"/>
      <c r="H103" s="1"/>
      <c r="I103" s="1"/>
      <c r="J103" s="230" t="s">
        <v>849</v>
      </c>
      <c r="K103" s="231">
        <v>0.409</v>
      </c>
      <c r="L103" s="232">
        <f>IF(J103="","",IF(J103="EUR",1,IF(J103="RUB",IFERROR(1/LOOKUP(IF(F103="",MAX('Курсы ЦБ'!$B$7:$B$1000),F103),'Курсы ЦБ'!$B$7:$B$1000,'Курсы ЦБ'!$C$7:$C$1000),0),IF(J103="USD",IFERROR(1/LOOKUP(IF(F103="",MAX('Курсы ЦБ'!$B$7:$B$1000),F103),'Курсы ЦБ'!$B$7:$B$1000,'Курсы ЦБ'!$F$7:$F$1000),0),IF(J103="CNY",IFERROR(1/LOOKUP(IF(F103="",MAX('Курсы ЦБ'!$B$7:$B$1000),F103),'Курсы ЦБ'!$B$7:$B$1000,'Курсы ЦБ'!$G$7:$G$1000),0),0)))))</f>
        <v>1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88">
        <v>99.0</v>
      </c>
      <c r="C104" s="89" t="s">
        <v>576</v>
      </c>
      <c r="D104" s="88" t="s">
        <v>888</v>
      </c>
      <c r="E104" s="228">
        <f t="shared" si="1"/>
        <v>4.6836</v>
      </c>
      <c r="F104" s="229"/>
      <c r="G104" s="89"/>
      <c r="H104" s="1"/>
      <c r="I104" s="1"/>
      <c r="J104" s="230" t="s">
        <v>849</v>
      </c>
      <c r="K104" s="231">
        <v>4.6836</v>
      </c>
      <c r="L104" s="232">
        <f>IF(J104="","",IF(J104="EUR",1,IF(J104="RUB",IFERROR(1/LOOKUP(IF(F104="",MAX('Курсы ЦБ'!$B$7:$B$1000),F104),'Курсы ЦБ'!$B$7:$B$1000,'Курсы ЦБ'!$C$7:$C$1000),0),IF(J104="USD",IFERROR(1/LOOKUP(IF(F104="",MAX('Курсы ЦБ'!$B$7:$B$1000),F104),'Курсы ЦБ'!$B$7:$B$1000,'Курсы ЦБ'!$F$7:$F$1000),0),IF(J104="CNY",IFERROR(1/LOOKUP(IF(F104="",MAX('Курсы ЦБ'!$B$7:$B$1000),F104),'Курсы ЦБ'!$B$7:$B$1000,'Курсы ЦБ'!$G$7:$G$1000),0),0)))))</f>
        <v>1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96">
        <v>100.0</v>
      </c>
      <c r="C105" s="97" t="s">
        <v>890</v>
      </c>
      <c r="D105" s="96" t="s">
        <v>888</v>
      </c>
      <c r="E105" s="233">
        <f t="shared" si="1"/>
        <v>3.0315</v>
      </c>
      <c r="F105" s="234"/>
      <c r="G105" s="97"/>
      <c r="H105" s="1"/>
      <c r="I105" s="1"/>
      <c r="J105" s="230" t="s">
        <v>849</v>
      </c>
      <c r="K105" s="231">
        <v>3.0315</v>
      </c>
      <c r="L105" s="232">
        <f>IF(J105="","",IF(J105="EUR",1,IF(J105="RUB",IFERROR(1/LOOKUP(IF(F105="",MAX('Курсы ЦБ'!$B$7:$B$1000),F105),'Курсы ЦБ'!$B$7:$B$1000,'Курсы ЦБ'!$C$7:$C$1000),0),IF(J105="USD",IFERROR(1/LOOKUP(IF(F105="",MAX('Курсы ЦБ'!$B$7:$B$1000),F105),'Курсы ЦБ'!$B$7:$B$1000,'Курсы ЦБ'!$F$7:$F$1000),0),IF(J105="CNY",IFERROR(1/LOOKUP(IF(F105="",MAX('Курсы ЦБ'!$B$7:$B$1000),F105),'Курсы ЦБ'!$B$7:$B$1000,'Курсы ЦБ'!$G$7:$G$1000),0),0)))))</f>
        <v>1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88">
        <v>101.0</v>
      </c>
      <c r="C106" s="89" t="s">
        <v>577</v>
      </c>
      <c r="D106" s="88" t="s">
        <v>846</v>
      </c>
      <c r="E106" s="228">
        <f t="shared" si="1"/>
        <v>2.8015</v>
      </c>
      <c r="F106" s="229"/>
      <c r="G106" s="89"/>
      <c r="H106" s="1"/>
      <c r="I106" s="1"/>
      <c r="J106" s="230" t="s">
        <v>849</v>
      </c>
      <c r="K106" s="231">
        <v>2.8015</v>
      </c>
      <c r="L106" s="232">
        <f>IF(J106="","",IF(J106="EUR",1,IF(J106="RUB",IFERROR(1/LOOKUP(IF(F106="",MAX('Курсы ЦБ'!$B$7:$B$1000),F106),'Курсы ЦБ'!$B$7:$B$1000,'Курсы ЦБ'!$C$7:$C$1000),0),IF(J106="USD",IFERROR(1/LOOKUP(IF(F106="",MAX('Курсы ЦБ'!$B$7:$B$1000),F106),'Курсы ЦБ'!$B$7:$B$1000,'Курсы ЦБ'!$F$7:$F$1000),0),IF(J106="CNY",IFERROR(1/LOOKUP(IF(F106="",MAX('Курсы ЦБ'!$B$7:$B$1000),F106),'Курсы ЦБ'!$B$7:$B$1000,'Курсы ЦБ'!$G$7:$G$1000),0),0)))))</f>
        <v>1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96">
        <v>102.0</v>
      </c>
      <c r="C107" s="97" t="s">
        <v>891</v>
      </c>
      <c r="D107" s="96" t="s">
        <v>846</v>
      </c>
      <c r="E107" s="233">
        <f t="shared" si="1"/>
        <v>2.8035</v>
      </c>
      <c r="F107" s="234"/>
      <c r="G107" s="97"/>
      <c r="H107" s="1"/>
      <c r="I107" s="1"/>
      <c r="J107" s="230" t="s">
        <v>849</v>
      </c>
      <c r="K107" s="231">
        <v>2.8035</v>
      </c>
      <c r="L107" s="232">
        <f>IF(J107="","",IF(J107="EUR",1,IF(J107="RUB",IFERROR(1/LOOKUP(IF(F107="",MAX('Курсы ЦБ'!$B$7:$B$1000),F107),'Курсы ЦБ'!$B$7:$B$1000,'Курсы ЦБ'!$C$7:$C$1000),0),IF(J107="USD",IFERROR(1/LOOKUP(IF(F107="",MAX('Курсы ЦБ'!$B$7:$B$1000),F107),'Курсы ЦБ'!$B$7:$B$1000,'Курсы ЦБ'!$F$7:$F$1000),0),IF(J107="CNY",IFERROR(1/LOOKUP(IF(F107="",MAX('Курсы ЦБ'!$B$7:$B$1000),F107),'Курсы ЦБ'!$B$7:$B$1000,'Курсы ЦБ'!$G$7:$G$1000),0),0)))))</f>
        <v>1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88">
        <v>103.0</v>
      </c>
      <c r="C108" s="89" t="s">
        <v>578</v>
      </c>
      <c r="D108" s="88" t="s">
        <v>888</v>
      </c>
      <c r="E108" s="228">
        <f t="shared" si="1"/>
        <v>4.0017</v>
      </c>
      <c r="F108" s="229"/>
      <c r="G108" s="89"/>
      <c r="H108" s="1"/>
      <c r="I108" s="1"/>
      <c r="J108" s="230" t="s">
        <v>849</v>
      </c>
      <c r="K108" s="231">
        <v>4.0017</v>
      </c>
      <c r="L108" s="232">
        <f>IF(J108="","",IF(J108="EUR",1,IF(J108="RUB",IFERROR(1/LOOKUP(IF(F108="",MAX('Курсы ЦБ'!$B$7:$B$1000),F108),'Курсы ЦБ'!$B$7:$B$1000,'Курсы ЦБ'!$C$7:$C$1000),0),IF(J108="USD",IFERROR(1/LOOKUP(IF(F108="",MAX('Курсы ЦБ'!$B$7:$B$1000),F108),'Курсы ЦБ'!$B$7:$B$1000,'Курсы ЦБ'!$F$7:$F$1000),0),IF(J108="CNY",IFERROR(1/LOOKUP(IF(F108="",MAX('Курсы ЦБ'!$B$7:$B$1000),F108),'Курсы ЦБ'!$B$7:$B$1000,'Курсы ЦБ'!$G$7:$G$1000),0),0)))))</f>
        <v>1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96">
        <v>104.0</v>
      </c>
      <c r="C109" s="97" t="s">
        <v>892</v>
      </c>
      <c r="D109" s="96" t="s">
        <v>846</v>
      </c>
      <c r="E109" s="233">
        <f t="shared" si="1"/>
        <v>2.182</v>
      </c>
      <c r="F109" s="234"/>
      <c r="G109" s="97"/>
      <c r="H109" s="1"/>
      <c r="I109" s="1"/>
      <c r="J109" s="230" t="s">
        <v>849</v>
      </c>
      <c r="K109" s="231">
        <v>2.182</v>
      </c>
      <c r="L109" s="232">
        <f>IF(J109="","",IF(J109="EUR",1,IF(J109="RUB",IFERROR(1/LOOKUP(IF(F109="",MAX('Курсы ЦБ'!$B$7:$B$1000),F109),'Курсы ЦБ'!$B$7:$B$1000,'Курсы ЦБ'!$C$7:$C$1000),0),IF(J109="USD",IFERROR(1/LOOKUP(IF(F109="",MAX('Курсы ЦБ'!$B$7:$B$1000),F109),'Курсы ЦБ'!$B$7:$B$1000,'Курсы ЦБ'!$F$7:$F$1000),0),IF(J109="CNY",IFERROR(1/LOOKUP(IF(F109="",MAX('Курсы ЦБ'!$B$7:$B$1000),F109),'Курсы ЦБ'!$B$7:$B$1000,'Курсы ЦБ'!$G$7:$G$1000),0),0)))))</f>
        <v>1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88">
        <v>105.0</v>
      </c>
      <c r="C110" s="89" t="s">
        <v>579</v>
      </c>
      <c r="D110" s="88" t="s">
        <v>846</v>
      </c>
      <c r="E110" s="228">
        <f t="shared" si="1"/>
        <v>1.2831</v>
      </c>
      <c r="F110" s="229"/>
      <c r="G110" s="89"/>
      <c r="H110" s="1"/>
      <c r="I110" s="1"/>
      <c r="J110" s="230" t="s">
        <v>849</v>
      </c>
      <c r="K110" s="231">
        <v>1.2831</v>
      </c>
      <c r="L110" s="232">
        <f>IF(J110="","",IF(J110="EUR",1,IF(J110="RUB",IFERROR(1/LOOKUP(IF(F110="",MAX('Курсы ЦБ'!$B$7:$B$1000),F110),'Курсы ЦБ'!$B$7:$B$1000,'Курсы ЦБ'!$C$7:$C$1000),0),IF(J110="USD",IFERROR(1/LOOKUP(IF(F110="",MAX('Курсы ЦБ'!$B$7:$B$1000),F110),'Курсы ЦБ'!$B$7:$B$1000,'Курсы ЦБ'!$F$7:$F$1000),0),IF(J110="CNY",IFERROR(1/LOOKUP(IF(F110="",MAX('Курсы ЦБ'!$B$7:$B$1000),F110),'Курсы ЦБ'!$B$7:$B$1000,'Курсы ЦБ'!$G$7:$G$1000),0),0)))))</f>
        <v>1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96">
        <v>106.0</v>
      </c>
      <c r="C111" s="97" t="s">
        <v>893</v>
      </c>
      <c r="D111" s="96" t="s">
        <v>846</v>
      </c>
      <c r="E111" s="233">
        <f t="shared" si="1"/>
        <v>4.123</v>
      </c>
      <c r="F111" s="234"/>
      <c r="G111" s="97"/>
      <c r="H111" s="1"/>
      <c r="I111" s="1"/>
      <c r="J111" s="230" t="s">
        <v>849</v>
      </c>
      <c r="K111" s="231">
        <v>4.123</v>
      </c>
      <c r="L111" s="232">
        <f>IF(J111="","",IF(J111="EUR",1,IF(J111="RUB",IFERROR(1/LOOKUP(IF(F111="",MAX('Курсы ЦБ'!$B$7:$B$1000),F111),'Курсы ЦБ'!$B$7:$B$1000,'Курсы ЦБ'!$C$7:$C$1000),0),IF(J111="USD",IFERROR(1/LOOKUP(IF(F111="",MAX('Курсы ЦБ'!$B$7:$B$1000),F111),'Курсы ЦБ'!$B$7:$B$1000,'Курсы ЦБ'!$F$7:$F$1000),0),IF(J111="CNY",IFERROR(1/LOOKUP(IF(F111="",MAX('Курсы ЦБ'!$B$7:$B$1000),F111),'Курсы ЦБ'!$B$7:$B$1000,'Курсы ЦБ'!$G$7:$G$1000),0),0)))))</f>
        <v>1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88">
        <v>107.0</v>
      </c>
      <c r="C112" s="89" t="s">
        <v>580</v>
      </c>
      <c r="D112" s="88" t="s">
        <v>846</v>
      </c>
      <c r="E112" s="228">
        <f t="shared" si="1"/>
        <v>6.1299</v>
      </c>
      <c r="F112" s="229"/>
      <c r="G112" s="89"/>
      <c r="H112" s="1"/>
      <c r="I112" s="1"/>
      <c r="J112" s="230" t="s">
        <v>849</v>
      </c>
      <c r="K112" s="231">
        <v>6.1299</v>
      </c>
      <c r="L112" s="232">
        <f>IF(J112="","",IF(J112="EUR",1,IF(J112="RUB",IFERROR(1/LOOKUP(IF(F112="",MAX('Курсы ЦБ'!$B$7:$B$1000),F112),'Курсы ЦБ'!$B$7:$B$1000,'Курсы ЦБ'!$C$7:$C$1000),0),IF(J112="USD",IFERROR(1/LOOKUP(IF(F112="",MAX('Курсы ЦБ'!$B$7:$B$1000),F112),'Курсы ЦБ'!$B$7:$B$1000,'Курсы ЦБ'!$F$7:$F$1000),0),IF(J112="CNY",IFERROR(1/LOOKUP(IF(F112="",MAX('Курсы ЦБ'!$B$7:$B$1000),F112),'Курсы ЦБ'!$B$7:$B$1000,'Курсы ЦБ'!$G$7:$G$1000),0),0)))))</f>
        <v>1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96">
        <v>108.0</v>
      </c>
      <c r="C113" s="97" t="s">
        <v>894</v>
      </c>
      <c r="D113" s="96" t="s">
        <v>846</v>
      </c>
      <c r="E113" s="233">
        <f t="shared" si="1"/>
        <v>6.0638</v>
      </c>
      <c r="F113" s="234"/>
      <c r="G113" s="97"/>
      <c r="H113" s="1"/>
      <c r="I113" s="1"/>
      <c r="J113" s="230" t="s">
        <v>849</v>
      </c>
      <c r="K113" s="231">
        <v>6.0638</v>
      </c>
      <c r="L113" s="232">
        <f>IF(J113="","",IF(J113="EUR",1,IF(J113="RUB",IFERROR(1/LOOKUP(IF(F113="",MAX('Курсы ЦБ'!$B$7:$B$1000),F113),'Курсы ЦБ'!$B$7:$B$1000,'Курсы ЦБ'!$C$7:$C$1000),0),IF(J113="USD",IFERROR(1/LOOKUP(IF(F113="",MAX('Курсы ЦБ'!$B$7:$B$1000),F113),'Курсы ЦБ'!$B$7:$B$1000,'Курсы ЦБ'!$F$7:$F$1000),0),IF(J113="CNY",IFERROR(1/LOOKUP(IF(F113="",MAX('Курсы ЦБ'!$B$7:$B$1000),F113),'Курсы ЦБ'!$B$7:$B$1000,'Курсы ЦБ'!$G$7:$G$1000),0),0)))))</f>
        <v>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88">
        <v>109.0</v>
      </c>
      <c r="C114" s="89" t="s">
        <v>895</v>
      </c>
      <c r="D114" s="88" t="s">
        <v>846</v>
      </c>
      <c r="E114" s="228">
        <f t="shared" si="1"/>
        <v>116.8</v>
      </c>
      <c r="F114" s="229"/>
      <c r="G114" s="89"/>
      <c r="H114" s="1"/>
      <c r="I114" s="1"/>
      <c r="J114" s="230" t="s">
        <v>849</v>
      </c>
      <c r="K114" s="231">
        <v>116.8</v>
      </c>
      <c r="L114" s="232">
        <f>IF(J114="","",IF(J114="EUR",1,IF(J114="RUB",IFERROR(1/LOOKUP(IF(F114="",MAX('Курсы ЦБ'!$B$7:$B$1000),F114),'Курсы ЦБ'!$B$7:$B$1000,'Курсы ЦБ'!$C$7:$C$1000),0),IF(J114="USD",IFERROR(1/LOOKUP(IF(F114="",MAX('Курсы ЦБ'!$B$7:$B$1000),F114),'Курсы ЦБ'!$B$7:$B$1000,'Курсы ЦБ'!$F$7:$F$1000),0),IF(J114="CNY",IFERROR(1/LOOKUP(IF(F114="",MAX('Курсы ЦБ'!$B$7:$B$1000),F114),'Курсы ЦБ'!$B$7:$B$1000,'Курсы ЦБ'!$G$7:$G$1000),0),0)))))</f>
        <v>1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96">
        <v>110.0</v>
      </c>
      <c r="C115" s="97" t="s">
        <v>896</v>
      </c>
      <c r="D115" s="96" t="s">
        <v>846</v>
      </c>
      <c r="E115" s="233">
        <f t="shared" si="1"/>
        <v>0.228</v>
      </c>
      <c r="F115" s="234"/>
      <c r="G115" s="97"/>
      <c r="H115" s="1"/>
      <c r="I115" s="1"/>
      <c r="J115" s="230" t="s">
        <v>849</v>
      </c>
      <c r="K115" s="231">
        <v>0.228</v>
      </c>
      <c r="L115" s="232">
        <f>IF(J115="","",IF(J115="EUR",1,IF(J115="RUB",IFERROR(1/LOOKUP(IF(F115="",MAX('Курсы ЦБ'!$B$7:$B$1000),F115),'Курсы ЦБ'!$B$7:$B$1000,'Курсы ЦБ'!$C$7:$C$1000),0),IF(J115="USD",IFERROR(1/LOOKUP(IF(F115="",MAX('Курсы ЦБ'!$B$7:$B$1000),F115),'Курсы ЦБ'!$B$7:$B$1000,'Курсы ЦБ'!$F$7:$F$1000),0),IF(J115="CNY",IFERROR(1/LOOKUP(IF(F115="",MAX('Курсы ЦБ'!$B$7:$B$1000),F115),'Курсы ЦБ'!$B$7:$B$1000,'Курсы ЦБ'!$G$7:$G$1000),0),0)))))</f>
        <v>1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88">
        <v>111.0</v>
      </c>
      <c r="C116" s="89" t="s">
        <v>897</v>
      </c>
      <c r="D116" s="88" t="s">
        <v>888</v>
      </c>
      <c r="E116" s="228">
        <f t="shared" si="1"/>
        <v>3.7786</v>
      </c>
      <c r="F116" s="229"/>
      <c r="G116" s="89"/>
      <c r="H116" s="1"/>
      <c r="I116" s="1"/>
      <c r="J116" s="230" t="s">
        <v>849</v>
      </c>
      <c r="K116" s="231">
        <v>3.7786</v>
      </c>
      <c r="L116" s="232">
        <f>IF(J116="","",IF(J116="EUR",1,IF(J116="RUB",IFERROR(1/LOOKUP(IF(F116="",MAX('Курсы ЦБ'!$B$7:$B$1000),F116),'Курсы ЦБ'!$B$7:$B$1000,'Курсы ЦБ'!$C$7:$C$1000),0),IF(J116="USD",IFERROR(1/LOOKUP(IF(F116="",MAX('Курсы ЦБ'!$B$7:$B$1000),F116),'Курсы ЦБ'!$B$7:$B$1000,'Курсы ЦБ'!$F$7:$F$1000),0),IF(J116="CNY",IFERROR(1/LOOKUP(IF(F116="",MAX('Курсы ЦБ'!$B$7:$B$1000),F116),'Курсы ЦБ'!$B$7:$B$1000,'Курсы ЦБ'!$G$7:$G$1000),0),0)))))</f>
        <v>1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96">
        <v>112.0</v>
      </c>
      <c r="C117" s="97" t="s">
        <v>898</v>
      </c>
      <c r="D117" s="96" t="s">
        <v>888</v>
      </c>
      <c r="E117" s="233">
        <f t="shared" si="1"/>
        <v>4.9959</v>
      </c>
      <c r="F117" s="234"/>
      <c r="G117" s="97"/>
      <c r="H117" s="1"/>
      <c r="I117" s="1"/>
      <c r="J117" s="230" t="s">
        <v>849</v>
      </c>
      <c r="K117" s="231">
        <v>4.9959</v>
      </c>
      <c r="L117" s="232">
        <f>IF(J117="","",IF(J117="EUR",1,IF(J117="RUB",IFERROR(1/LOOKUP(IF(F117="",MAX('Курсы ЦБ'!$B$7:$B$1000),F117),'Курсы ЦБ'!$B$7:$B$1000,'Курсы ЦБ'!$C$7:$C$1000),0),IF(J117="USD",IFERROR(1/LOOKUP(IF(F117="",MAX('Курсы ЦБ'!$B$7:$B$1000),F117),'Курсы ЦБ'!$B$7:$B$1000,'Курсы ЦБ'!$F$7:$F$1000),0),IF(J117="CNY",IFERROR(1/LOOKUP(IF(F117="",MAX('Курсы ЦБ'!$B$7:$B$1000),F117),'Курсы ЦБ'!$B$7:$B$1000,'Курсы ЦБ'!$G$7:$G$1000),0),0)))))</f>
        <v>1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88">
        <v>113.0</v>
      </c>
      <c r="C118" s="89" t="s">
        <v>899</v>
      </c>
      <c r="D118" s="88" t="s">
        <v>846</v>
      </c>
      <c r="E118" s="228">
        <f t="shared" si="1"/>
        <v>5.3079</v>
      </c>
      <c r="F118" s="229"/>
      <c r="G118" s="89"/>
      <c r="H118" s="1"/>
      <c r="I118" s="1"/>
      <c r="J118" s="230" t="s">
        <v>849</v>
      </c>
      <c r="K118" s="231">
        <v>5.3079</v>
      </c>
      <c r="L118" s="232">
        <f>IF(J118="","",IF(J118="EUR",1,IF(J118="RUB",IFERROR(1/LOOKUP(IF(F118="",MAX('Курсы ЦБ'!$B$7:$B$1000),F118),'Курсы ЦБ'!$B$7:$B$1000,'Курсы ЦБ'!$C$7:$C$1000),0),IF(J118="USD",IFERROR(1/LOOKUP(IF(F118="",MAX('Курсы ЦБ'!$B$7:$B$1000),F118),'Курсы ЦБ'!$B$7:$B$1000,'Курсы ЦБ'!$F$7:$F$1000),0),IF(J118="CNY",IFERROR(1/LOOKUP(IF(F118="",MAX('Курсы ЦБ'!$B$7:$B$1000),F118),'Курсы ЦБ'!$B$7:$B$1000,'Курсы ЦБ'!$G$7:$G$1000),0),0)))))</f>
        <v>1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96">
        <v>114.0</v>
      </c>
      <c r="C119" s="97" t="s">
        <v>900</v>
      </c>
      <c r="D119" s="96" t="s">
        <v>846</v>
      </c>
      <c r="E119" s="233">
        <f t="shared" si="1"/>
        <v>4.644</v>
      </c>
      <c r="F119" s="234"/>
      <c r="G119" s="97"/>
      <c r="H119" s="1"/>
      <c r="I119" s="1"/>
      <c r="J119" s="230" t="s">
        <v>849</v>
      </c>
      <c r="K119" s="231">
        <v>4.644</v>
      </c>
      <c r="L119" s="232">
        <f>IF(J119="","",IF(J119="EUR",1,IF(J119="RUB",IFERROR(1/LOOKUP(IF(F119="",MAX('Курсы ЦБ'!$B$7:$B$1000),F119),'Курсы ЦБ'!$B$7:$B$1000,'Курсы ЦБ'!$C$7:$C$1000),0),IF(J119="USD",IFERROR(1/LOOKUP(IF(F119="",MAX('Курсы ЦБ'!$B$7:$B$1000),F119),'Курсы ЦБ'!$B$7:$B$1000,'Курсы ЦБ'!$F$7:$F$1000),0),IF(J119="CNY",IFERROR(1/LOOKUP(IF(F119="",MAX('Курсы ЦБ'!$B$7:$B$1000),F119),'Курсы ЦБ'!$B$7:$B$1000,'Курсы ЦБ'!$G$7:$G$1000),0),0)))))</f>
        <v>1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88">
        <v>115.0</v>
      </c>
      <c r="C120" s="89" t="s">
        <v>901</v>
      </c>
      <c r="D120" s="88" t="s">
        <v>846</v>
      </c>
      <c r="E120" s="228">
        <f t="shared" si="1"/>
        <v>4.1039</v>
      </c>
      <c r="F120" s="229"/>
      <c r="G120" s="89"/>
      <c r="H120" s="1"/>
      <c r="I120" s="1"/>
      <c r="J120" s="230" t="s">
        <v>849</v>
      </c>
      <c r="K120" s="231">
        <v>4.1039</v>
      </c>
      <c r="L120" s="232">
        <f>IF(J120="","",IF(J120="EUR",1,IF(J120="RUB",IFERROR(1/LOOKUP(IF(F120="",MAX('Курсы ЦБ'!$B$7:$B$1000),F120),'Курсы ЦБ'!$B$7:$B$1000,'Курсы ЦБ'!$C$7:$C$1000),0),IF(J120="USD",IFERROR(1/LOOKUP(IF(F120="",MAX('Курсы ЦБ'!$B$7:$B$1000),F120),'Курсы ЦБ'!$B$7:$B$1000,'Курсы ЦБ'!$F$7:$F$1000),0),IF(J120="CNY",IFERROR(1/LOOKUP(IF(F120="",MAX('Курсы ЦБ'!$B$7:$B$1000),F120),'Курсы ЦБ'!$B$7:$B$1000,'Курсы ЦБ'!$G$7:$G$1000),0),0)))))</f>
        <v>1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96">
        <v>116.0</v>
      </c>
      <c r="C121" s="97" t="s">
        <v>902</v>
      </c>
      <c r="D121" s="96" t="s">
        <v>846</v>
      </c>
      <c r="E121" s="233">
        <f t="shared" si="1"/>
        <v>0</v>
      </c>
      <c r="F121" s="234"/>
      <c r="G121" s="97"/>
      <c r="H121" s="1"/>
      <c r="I121" s="1"/>
      <c r="J121" s="230"/>
      <c r="K121" s="231"/>
      <c r="L121" s="232" t="str">
        <f>IF(J121="","",IF(J121="EUR",1,IF(J121="RUB",IFERROR(1/LOOKUP(IF(F121="",MAX('Курсы ЦБ'!$B$7:$B$1000),F121),'Курсы ЦБ'!$B$7:$B$1000,'Курсы ЦБ'!$C$7:$C$1000),0),IF(J121="USD",IFERROR(1/LOOKUP(IF(F121="",MAX('Курсы ЦБ'!$B$7:$B$1000),F121),'Курсы ЦБ'!$B$7:$B$1000,'Курсы ЦБ'!$F$7:$F$1000),0),IF(J121="CNY",IFERROR(1/LOOKUP(IF(F121="",MAX('Курсы ЦБ'!$B$7:$B$1000),F121),'Курсы ЦБ'!$B$7:$B$1000,'Курсы ЦБ'!$G$7:$G$1000),0),0)))))</f>
        <v/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88">
        <v>117.0</v>
      </c>
      <c r="C122" s="89" t="s">
        <v>903</v>
      </c>
      <c r="D122" s="88" t="s">
        <v>846</v>
      </c>
      <c r="E122" s="228">
        <f t="shared" si="1"/>
        <v>3.1738</v>
      </c>
      <c r="F122" s="229"/>
      <c r="G122" s="89"/>
      <c r="H122" s="1"/>
      <c r="I122" s="1"/>
      <c r="J122" s="230" t="s">
        <v>849</v>
      </c>
      <c r="K122" s="231">
        <v>3.1738</v>
      </c>
      <c r="L122" s="232">
        <f>IF(J122="","",IF(J122="EUR",1,IF(J122="RUB",IFERROR(1/LOOKUP(IF(F122="",MAX('Курсы ЦБ'!$B$7:$B$1000),F122),'Курсы ЦБ'!$B$7:$B$1000,'Курсы ЦБ'!$C$7:$C$1000),0),IF(J122="USD",IFERROR(1/LOOKUP(IF(F122="",MAX('Курсы ЦБ'!$B$7:$B$1000),F122),'Курсы ЦБ'!$B$7:$B$1000,'Курсы ЦБ'!$F$7:$F$1000),0),IF(J122="CNY",IFERROR(1/LOOKUP(IF(F122="",MAX('Курсы ЦБ'!$B$7:$B$1000),F122),'Курсы ЦБ'!$B$7:$B$1000,'Курсы ЦБ'!$G$7:$G$1000),0),0)))))</f>
        <v>1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96">
        <v>118.0</v>
      </c>
      <c r="C123" s="97" t="s">
        <v>904</v>
      </c>
      <c r="D123" s="96" t="s">
        <v>846</v>
      </c>
      <c r="E123" s="233">
        <f t="shared" si="1"/>
        <v>4.366</v>
      </c>
      <c r="F123" s="234"/>
      <c r="G123" s="97"/>
      <c r="H123" s="1"/>
      <c r="I123" s="1"/>
      <c r="J123" s="230" t="s">
        <v>849</v>
      </c>
      <c r="K123" s="231">
        <v>4.366</v>
      </c>
      <c r="L123" s="232">
        <f>IF(J123="","",IF(J123="EUR",1,IF(J123="RUB",IFERROR(1/LOOKUP(IF(F123="",MAX('Курсы ЦБ'!$B$7:$B$1000),F123),'Курсы ЦБ'!$B$7:$B$1000,'Курсы ЦБ'!$C$7:$C$1000),0),IF(J123="USD",IFERROR(1/LOOKUP(IF(F123="",MAX('Курсы ЦБ'!$B$7:$B$1000),F123),'Курсы ЦБ'!$B$7:$B$1000,'Курсы ЦБ'!$F$7:$F$1000),0),IF(J123="CNY",IFERROR(1/LOOKUP(IF(F123="",MAX('Курсы ЦБ'!$B$7:$B$1000),F123),'Курсы ЦБ'!$B$7:$B$1000,'Курсы ЦБ'!$G$7:$G$1000),0),0)))))</f>
        <v>1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88">
        <v>119.0</v>
      </c>
      <c r="C124" s="89" t="s">
        <v>813</v>
      </c>
      <c r="D124" s="88" t="s">
        <v>846</v>
      </c>
      <c r="E124" s="228">
        <f t="shared" si="1"/>
        <v>4.6985</v>
      </c>
      <c r="F124" s="229"/>
      <c r="G124" s="89"/>
      <c r="H124" s="1"/>
      <c r="I124" s="1"/>
      <c r="J124" s="230" t="s">
        <v>849</v>
      </c>
      <c r="K124" s="231">
        <v>4.6985</v>
      </c>
      <c r="L124" s="232">
        <f>IF(J124="","",IF(J124="EUR",1,IF(J124="RUB",IFERROR(1/LOOKUP(IF(F124="",MAX('Курсы ЦБ'!$B$7:$B$1000),F124),'Курсы ЦБ'!$B$7:$B$1000,'Курсы ЦБ'!$C$7:$C$1000),0),IF(J124="USD",IFERROR(1/LOOKUP(IF(F124="",MAX('Курсы ЦБ'!$B$7:$B$1000),F124),'Курсы ЦБ'!$B$7:$B$1000,'Курсы ЦБ'!$F$7:$F$1000),0),IF(J124="CNY",IFERROR(1/LOOKUP(IF(F124="",MAX('Курсы ЦБ'!$B$7:$B$1000),F124),'Курсы ЦБ'!$B$7:$B$1000,'Курсы ЦБ'!$G$7:$G$1000),0),0)))))</f>
        <v>1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96">
        <v>120.0</v>
      </c>
      <c r="C125" s="97" t="s">
        <v>905</v>
      </c>
      <c r="D125" s="96" t="s">
        <v>846</v>
      </c>
      <c r="E125" s="233">
        <f t="shared" si="1"/>
        <v>3.8616</v>
      </c>
      <c r="F125" s="234"/>
      <c r="G125" s="97"/>
      <c r="H125" s="1"/>
      <c r="I125" s="1"/>
      <c r="J125" s="230" t="s">
        <v>849</v>
      </c>
      <c r="K125" s="231">
        <v>3.8616</v>
      </c>
      <c r="L125" s="232">
        <f>IF(J125="","",IF(J125="EUR",1,IF(J125="RUB",IFERROR(1/LOOKUP(IF(F125="",MAX('Курсы ЦБ'!$B$7:$B$1000),F125),'Курсы ЦБ'!$B$7:$B$1000,'Курсы ЦБ'!$C$7:$C$1000),0),IF(J125="USD",IFERROR(1/LOOKUP(IF(F125="",MAX('Курсы ЦБ'!$B$7:$B$1000),F125),'Курсы ЦБ'!$B$7:$B$1000,'Курсы ЦБ'!$F$7:$F$1000),0),IF(J125="CNY",IFERROR(1/LOOKUP(IF(F125="",MAX('Курсы ЦБ'!$B$7:$B$1000),F125),'Курсы ЦБ'!$B$7:$B$1000,'Курсы ЦБ'!$G$7:$G$1000),0),0)))))</f>
        <v>1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235">
        <v>121.0</v>
      </c>
      <c r="C126" s="236" t="s">
        <v>676</v>
      </c>
      <c r="D126" s="235" t="s">
        <v>846</v>
      </c>
      <c r="E126" s="237">
        <f t="shared" si="1"/>
        <v>4.929</v>
      </c>
      <c r="F126" s="238"/>
      <c r="G126" s="236"/>
      <c r="H126" s="239"/>
      <c r="I126" s="239" t="s">
        <v>855</v>
      </c>
      <c r="J126" s="230" t="s">
        <v>849</v>
      </c>
      <c r="K126" s="231">
        <v>4.929</v>
      </c>
      <c r="L126" s="232">
        <f>IF(J126="","",IF(J126="EUR",1,IF(J126="RUB",IFERROR(1/LOOKUP(IF(F126="",MAX('Курсы ЦБ'!$B$7:$B$1000),F126),'Курсы ЦБ'!$B$7:$B$1000,'Курсы ЦБ'!$C$7:$C$1000),0),IF(J126="USD",IFERROR(1/LOOKUP(IF(F126="",MAX('Курсы ЦБ'!$B$7:$B$1000),F126),'Курсы ЦБ'!$B$7:$B$1000,'Курсы ЦБ'!$F$7:$F$1000),0),IF(J126="CNY",IFERROR(1/LOOKUP(IF(F126="",MAX('Курсы ЦБ'!$B$7:$B$1000),F126),'Курсы ЦБ'!$B$7:$B$1000,'Курсы ЦБ'!$G$7:$G$1000),0),0)))))</f>
        <v>1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96">
        <v>122.0</v>
      </c>
      <c r="C127" s="97" t="s">
        <v>906</v>
      </c>
      <c r="D127" s="96" t="s">
        <v>846</v>
      </c>
      <c r="E127" s="233">
        <f t="shared" si="1"/>
        <v>4.0142</v>
      </c>
      <c r="F127" s="234"/>
      <c r="G127" s="97"/>
      <c r="H127" s="1"/>
      <c r="I127" s="1"/>
      <c r="J127" s="230" t="s">
        <v>849</v>
      </c>
      <c r="K127" s="231">
        <v>4.0142</v>
      </c>
      <c r="L127" s="232">
        <f>IF(J127="","",IF(J127="EUR",1,IF(J127="RUB",IFERROR(1/LOOKUP(IF(F127="",MAX('Курсы ЦБ'!$B$7:$B$1000),F127),'Курсы ЦБ'!$B$7:$B$1000,'Курсы ЦБ'!$C$7:$C$1000),0),IF(J127="USD",IFERROR(1/LOOKUP(IF(F127="",MAX('Курсы ЦБ'!$B$7:$B$1000),F127),'Курсы ЦБ'!$B$7:$B$1000,'Курсы ЦБ'!$F$7:$F$1000),0),IF(J127="CNY",IFERROR(1/LOOKUP(IF(F127="",MAX('Курсы ЦБ'!$B$7:$B$1000),F127),'Курсы ЦБ'!$B$7:$B$1000,'Курсы ЦБ'!$G$7:$G$1000),0),0)))))</f>
        <v>1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88">
        <v>123.0</v>
      </c>
      <c r="C128" s="89" t="s">
        <v>907</v>
      </c>
      <c r="D128" s="88" t="s">
        <v>846</v>
      </c>
      <c r="E128" s="228">
        <f t="shared" si="1"/>
        <v>3.6072</v>
      </c>
      <c r="F128" s="229"/>
      <c r="G128" s="89"/>
      <c r="H128" s="1"/>
      <c r="I128" s="1"/>
      <c r="J128" s="230" t="s">
        <v>849</v>
      </c>
      <c r="K128" s="231">
        <v>3.6072</v>
      </c>
      <c r="L128" s="232">
        <f>IF(J128="","",IF(J128="EUR",1,IF(J128="RUB",IFERROR(1/LOOKUP(IF(F128="",MAX('Курсы ЦБ'!$B$7:$B$1000),F128),'Курсы ЦБ'!$B$7:$B$1000,'Курсы ЦБ'!$C$7:$C$1000),0),IF(J128="USD",IFERROR(1/LOOKUP(IF(F128="",MAX('Курсы ЦБ'!$B$7:$B$1000),F128),'Курсы ЦБ'!$B$7:$B$1000,'Курсы ЦБ'!$F$7:$F$1000),0),IF(J128="CNY",IFERROR(1/LOOKUP(IF(F128="",MAX('Курсы ЦБ'!$B$7:$B$1000),F128),'Курсы ЦБ'!$B$7:$B$1000,'Курсы ЦБ'!$G$7:$G$1000),0),0)))))</f>
        <v>1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96">
        <v>124.0</v>
      </c>
      <c r="C129" s="97" t="s">
        <v>908</v>
      </c>
      <c r="D129" s="96" t="s">
        <v>846</v>
      </c>
      <c r="E129" s="233">
        <f t="shared" si="1"/>
        <v>4.8709</v>
      </c>
      <c r="F129" s="234"/>
      <c r="G129" s="97"/>
      <c r="H129" s="1"/>
      <c r="I129" s="1"/>
      <c r="J129" s="230" t="s">
        <v>849</v>
      </c>
      <c r="K129" s="231">
        <v>4.8709</v>
      </c>
      <c r="L129" s="232">
        <f>IF(J129="","",IF(J129="EUR",1,IF(J129="RUB",IFERROR(1/LOOKUP(IF(F129="",MAX('Курсы ЦБ'!$B$7:$B$1000),F129),'Курсы ЦБ'!$B$7:$B$1000,'Курсы ЦБ'!$C$7:$C$1000),0),IF(J129="USD",IFERROR(1/LOOKUP(IF(F129="",MAX('Курсы ЦБ'!$B$7:$B$1000),F129),'Курсы ЦБ'!$B$7:$B$1000,'Курсы ЦБ'!$F$7:$F$1000),0),IF(J129="CNY",IFERROR(1/LOOKUP(IF(F129="",MAX('Курсы ЦБ'!$B$7:$B$1000),F129),'Курсы ЦБ'!$B$7:$B$1000,'Курсы ЦБ'!$G$7:$G$1000),0),0)))))</f>
        <v>1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88">
        <v>125.0</v>
      </c>
      <c r="C130" s="89" t="s">
        <v>909</v>
      </c>
      <c r="D130" s="88" t="s">
        <v>846</v>
      </c>
      <c r="E130" s="228">
        <f t="shared" si="1"/>
        <v>7.8334</v>
      </c>
      <c r="F130" s="229"/>
      <c r="G130" s="89"/>
      <c r="H130" s="1"/>
      <c r="I130" s="1"/>
      <c r="J130" s="230" t="s">
        <v>849</v>
      </c>
      <c r="K130" s="231">
        <v>7.8334</v>
      </c>
      <c r="L130" s="232">
        <f>IF(J130="","",IF(J130="EUR",1,IF(J130="RUB",IFERROR(1/LOOKUP(IF(F130="",MAX('Курсы ЦБ'!$B$7:$B$1000),F130),'Курсы ЦБ'!$B$7:$B$1000,'Курсы ЦБ'!$C$7:$C$1000),0),IF(J130="USD",IFERROR(1/LOOKUP(IF(F130="",MAX('Курсы ЦБ'!$B$7:$B$1000),F130),'Курсы ЦБ'!$B$7:$B$1000,'Курсы ЦБ'!$F$7:$F$1000),0),IF(J130="CNY",IFERROR(1/LOOKUP(IF(F130="",MAX('Курсы ЦБ'!$B$7:$B$1000),F130),'Курсы ЦБ'!$B$7:$B$1000,'Курсы ЦБ'!$G$7:$G$1000),0),0)))))</f>
        <v>1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96">
        <v>126.0</v>
      </c>
      <c r="C131" s="97" t="s">
        <v>910</v>
      </c>
      <c r="D131" s="96" t="s">
        <v>846</v>
      </c>
      <c r="E131" s="233">
        <f t="shared" si="1"/>
        <v>6.3226</v>
      </c>
      <c r="F131" s="234"/>
      <c r="G131" s="97"/>
      <c r="H131" s="1"/>
      <c r="I131" s="1"/>
      <c r="J131" s="230" t="s">
        <v>849</v>
      </c>
      <c r="K131" s="231">
        <v>6.3226</v>
      </c>
      <c r="L131" s="232">
        <f>IF(J131="","",IF(J131="EUR",1,IF(J131="RUB",IFERROR(1/LOOKUP(IF(F131="",MAX('Курсы ЦБ'!$B$7:$B$1000),F131),'Курсы ЦБ'!$B$7:$B$1000,'Курсы ЦБ'!$C$7:$C$1000),0),IF(J131="USD",IFERROR(1/LOOKUP(IF(F131="",MAX('Курсы ЦБ'!$B$7:$B$1000),F131),'Курсы ЦБ'!$B$7:$B$1000,'Курсы ЦБ'!$F$7:$F$1000),0),IF(J131="CNY",IFERROR(1/LOOKUP(IF(F131="",MAX('Курсы ЦБ'!$B$7:$B$1000),F131),'Курсы ЦБ'!$B$7:$B$1000,'Курсы ЦБ'!$G$7:$G$1000),0),0)))))</f>
        <v>1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88">
        <v>127.0</v>
      </c>
      <c r="C132" s="89" t="s">
        <v>911</v>
      </c>
      <c r="D132" s="88" t="s">
        <v>846</v>
      </c>
      <c r="E132" s="228">
        <f t="shared" si="1"/>
        <v>12.4222</v>
      </c>
      <c r="F132" s="229"/>
      <c r="G132" s="89"/>
      <c r="H132" s="1"/>
      <c r="I132" s="1"/>
      <c r="J132" s="230" t="s">
        <v>849</v>
      </c>
      <c r="K132" s="231">
        <v>12.4222</v>
      </c>
      <c r="L132" s="232">
        <f>IF(J132="","",IF(J132="EUR",1,IF(J132="RUB",IFERROR(1/LOOKUP(IF(F132="",MAX('Курсы ЦБ'!$B$7:$B$1000),F132),'Курсы ЦБ'!$B$7:$B$1000,'Курсы ЦБ'!$C$7:$C$1000),0),IF(J132="USD",IFERROR(1/LOOKUP(IF(F132="",MAX('Курсы ЦБ'!$B$7:$B$1000),F132),'Курсы ЦБ'!$B$7:$B$1000,'Курсы ЦБ'!$F$7:$F$1000),0),IF(J132="CNY",IFERROR(1/LOOKUP(IF(F132="",MAX('Курсы ЦБ'!$B$7:$B$1000),F132),'Курсы ЦБ'!$B$7:$B$1000,'Курсы ЦБ'!$G$7:$G$1000),0),0)))))</f>
        <v>1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/>
      <c r="B133" s="96">
        <v>128.0</v>
      </c>
      <c r="C133" s="97" t="s">
        <v>912</v>
      </c>
      <c r="D133" s="96" t="s">
        <v>846</v>
      </c>
      <c r="E133" s="233">
        <f t="shared" si="1"/>
        <v>8.9399</v>
      </c>
      <c r="F133" s="234"/>
      <c r="G133" s="97"/>
      <c r="H133" s="1"/>
      <c r="I133" s="1"/>
      <c r="J133" s="230" t="s">
        <v>849</v>
      </c>
      <c r="K133" s="231">
        <v>8.9399</v>
      </c>
      <c r="L133" s="232">
        <f>IF(J133="","",IF(J133="EUR",1,IF(J133="RUB",IFERROR(1/LOOKUP(IF(F133="",MAX('Курсы ЦБ'!$B$7:$B$1000),F133),'Курсы ЦБ'!$B$7:$B$1000,'Курсы ЦБ'!$C$7:$C$1000),0),IF(J133="USD",IFERROR(1/LOOKUP(IF(F133="",MAX('Курсы ЦБ'!$B$7:$B$1000),F133),'Курсы ЦБ'!$B$7:$B$1000,'Курсы ЦБ'!$F$7:$F$1000),0),IF(J133="CNY",IFERROR(1/LOOKUP(IF(F133="",MAX('Курсы ЦБ'!$B$7:$B$1000),F133),'Курсы ЦБ'!$B$7:$B$1000,'Курсы ЦБ'!$G$7:$G$1000),0),0)))))</f>
        <v>1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88">
        <v>129.0</v>
      </c>
      <c r="C134" s="89" t="s">
        <v>913</v>
      </c>
      <c r="D134" s="88" t="s">
        <v>846</v>
      </c>
      <c r="E134" s="228">
        <f t="shared" si="1"/>
        <v>3.3186</v>
      </c>
      <c r="F134" s="229"/>
      <c r="G134" s="89"/>
      <c r="H134" s="1"/>
      <c r="I134" s="1"/>
      <c r="J134" s="230" t="s">
        <v>849</v>
      </c>
      <c r="K134" s="231">
        <v>3.3186</v>
      </c>
      <c r="L134" s="232">
        <f>IF(J134="","",IF(J134="EUR",1,IF(J134="RUB",IFERROR(1/LOOKUP(IF(F134="",MAX('Курсы ЦБ'!$B$7:$B$1000),F134),'Курсы ЦБ'!$B$7:$B$1000,'Курсы ЦБ'!$C$7:$C$1000),0),IF(J134="USD",IFERROR(1/LOOKUP(IF(F134="",MAX('Курсы ЦБ'!$B$7:$B$1000),F134),'Курсы ЦБ'!$B$7:$B$1000,'Курсы ЦБ'!$F$7:$F$1000),0),IF(J134="CNY",IFERROR(1/LOOKUP(IF(F134="",MAX('Курсы ЦБ'!$B$7:$B$1000),F134),'Курсы ЦБ'!$B$7:$B$1000,'Курсы ЦБ'!$G$7:$G$1000),0),0)))))</f>
        <v>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96">
        <v>130.0</v>
      </c>
      <c r="C135" s="97" t="s">
        <v>789</v>
      </c>
      <c r="D135" s="96" t="s">
        <v>846</v>
      </c>
      <c r="E135" s="233">
        <f t="shared" si="1"/>
        <v>3.0988</v>
      </c>
      <c r="F135" s="234"/>
      <c r="G135" s="97"/>
      <c r="H135" s="1"/>
      <c r="I135" s="1"/>
      <c r="J135" s="230" t="s">
        <v>849</v>
      </c>
      <c r="K135" s="231">
        <v>3.0988</v>
      </c>
      <c r="L135" s="232">
        <f>IF(J135="","",IF(J135="EUR",1,IF(J135="RUB",IFERROR(1/LOOKUP(IF(F135="",MAX('Курсы ЦБ'!$B$7:$B$1000),F135),'Курсы ЦБ'!$B$7:$B$1000,'Курсы ЦБ'!$C$7:$C$1000),0),IF(J135="USD",IFERROR(1/LOOKUP(IF(F135="",MAX('Курсы ЦБ'!$B$7:$B$1000),F135),'Курсы ЦБ'!$B$7:$B$1000,'Курсы ЦБ'!$F$7:$F$1000),0),IF(J135="CNY",IFERROR(1/LOOKUP(IF(F135="",MAX('Курсы ЦБ'!$B$7:$B$1000),F135),'Курсы ЦБ'!$B$7:$B$1000,'Курсы ЦБ'!$G$7:$G$1000),0),0)))))</f>
        <v>1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88">
        <v>131.0</v>
      </c>
      <c r="C136" s="89" t="s">
        <v>914</v>
      </c>
      <c r="D136" s="88" t="s">
        <v>846</v>
      </c>
      <c r="E136" s="228">
        <f t="shared" si="1"/>
        <v>30.6855</v>
      </c>
      <c r="F136" s="229"/>
      <c r="G136" s="89"/>
      <c r="H136" s="1"/>
      <c r="I136" s="1"/>
      <c r="J136" s="230" t="s">
        <v>849</v>
      </c>
      <c r="K136" s="231">
        <v>30.6855</v>
      </c>
      <c r="L136" s="232">
        <f>IF(J136="","",IF(J136="EUR",1,IF(J136="RUB",IFERROR(1/LOOKUP(IF(F136="",MAX('Курсы ЦБ'!$B$7:$B$1000),F136),'Курсы ЦБ'!$B$7:$B$1000,'Курсы ЦБ'!$C$7:$C$1000),0),IF(J136="USD",IFERROR(1/LOOKUP(IF(F136="",MAX('Курсы ЦБ'!$B$7:$B$1000),F136),'Курсы ЦБ'!$B$7:$B$1000,'Курсы ЦБ'!$F$7:$F$1000),0),IF(J136="CNY",IFERROR(1/LOOKUP(IF(F136="",MAX('Курсы ЦБ'!$B$7:$B$1000),F136),'Курсы ЦБ'!$B$7:$B$1000,'Курсы ЦБ'!$G$7:$G$1000),0),0)))))</f>
        <v>1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96">
        <v>132.0</v>
      </c>
      <c r="C137" s="97" t="s">
        <v>804</v>
      </c>
      <c r="D137" s="96" t="s">
        <v>846</v>
      </c>
      <c r="E137" s="233">
        <f t="shared" si="1"/>
        <v>3.3868</v>
      </c>
      <c r="F137" s="234"/>
      <c r="G137" s="97"/>
      <c r="H137" s="1"/>
      <c r="I137" s="1"/>
      <c r="J137" s="230" t="s">
        <v>849</v>
      </c>
      <c r="K137" s="231">
        <v>3.3868</v>
      </c>
      <c r="L137" s="232">
        <f>IF(J137="","",IF(J137="EUR",1,IF(J137="RUB",IFERROR(1/LOOKUP(IF(F137="",MAX('Курсы ЦБ'!$B$7:$B$1000),F137),'Курсы ЦБ'!$B$7:$B$1000,'Курсы ЦБ'!$C$7:$C$1000),0),IF(J137="USD",IFERROR(1/LOOKUP(IF(F137="",MAX('Курсы ЦБ'!$B$7:$B$1000),F137),'Курсы ЦБ'!$B$7:$B$1000,'Курсы ЦБ'!$F$7:$F$1000),0),IF(J137="CNY",IFERROR(1/LOOKUP(IF(F137="",MAX('Курсы ЦБ'!$B$7:$B$1000),F137),'Курсы ЦБ'!$B$7:$B$1000,'Курсы ЦБ'!$G$7:$G$1000),0),0)))))</f>
        <v>1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235">
        <v>133.0</v>
      </c>
      <c r="C138" s="236" t="s">
        <v>681</v>
      </c>
      <c r="D138" s="235" t="s">
        <v>846</v>
      </c>
      <c r="E138" s="237">
        <f t="shared" si="1"/>
        <v>3.9937</v>
      </c>
      <c r="F138" s="238"/>
      <c r="G138" s="236"/>
      <c r="H138" s="239"/>
      <c r="I138" s="239" t="s">
        <v>855</v>
      </c>
      <c r="J138" s="230" t="s">
        <v>849</v>
      </c>
      <c r="K138" s="231">
        <v>3.9937</v>
      </c>
      <c r="L138" s="232">
        <f>IF(J138="","",IF(J138="EUR",1,IF(J138="RUB",IFERROR(1/LOOKUP(IF(F138="",MAX('Курсы ЦБ'!$B$7:$B$1000),F138),'Курсы ЦБ'!$B$7:$B$1000,'Курсы ЦБ'!$C$7:$C$1000),0),IF(J138="USD",IFERROR(1/LOOKUP(IF(F138="",MAX('Курсы ЦБ'!$B$7:$B$1000),F138),'Курсы ЦБ'!$B$7:$B$1000,'Курсы ЦБ'!$F$7:$F$1000),0),IF(J138="CNY",IFERROR(1/LOOKUP(IF(F138="",MAX('Курсы ЦБ'!$B$7:$B$1000),F138),'Курсы ЦБ'!$B$7:$B$1000,'Курсы ЦБ'!$G$7:$G$1000),0),0)))))</f>
        <v>1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96">
        <v>134.0</v>
      </c>
      <c r="C139" s="97" t="s">
        <v>915</v>
      </c>
      <c r="D139" s="96" t="s">
        <v>888</v>
      </c>
      <c r="E139" s="233">
        <f t="shared" si="1"/>
        <v>3.5044</v>
      </c>
      <c r="F139" s="234"/>
      <c r="G139" s="97"/>
      <c r="H139" s="1"/>
      <c r="I139" s="1"/>
      <c r="J139" s="230" t="s">
        <v>849</v>
      </c>
      <c r="K139" s="231">
        <v>3.5044</v>
      </c>
      <c r="L139" s="232">
        <f>IF(J139="","",IF(J139="EUR",1,IF(J139="RUB",IFERROR(1/LOOKUP(IF(F139="",MAX('Курсы ЦБ'!$B$7:$B$1000),F139),'Курсы ЦБ'!$B$7:$B$1000,'Курсы ЦБ'!$C$7:$C$1000),0),IF(J139="USD",IFERROR(1/LOOKUP(IF(F139="",MAX('Курсы ЦБ'!$B$7:$B$1000),F139),'Курсы ЦБ'!$B$7:$B$1000,'Курсы ЦБ'!$F$7:$F$1000),0),IF(J139="CNY",IFERROR(1/LOOKUP(IF(F139="",MAX('Курсы ЦБ'!$B$7:$B$1000),F139),'Курсы ЦБ'!$B$7:$B$1000,'Курсы ЦБ'!$G$7:$G$1000),0),0)))))</f>
        <v>1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88">
        <v>135.0</v>
      </c>
      <c r="C140" s="89" t="s">
        <v>812</v>
      </c>
      <c r="D140" s="88" t="s">
        <v>888</v>
      </c>
      <c r="E140" s="228">
        <f t="shared" si="1"/>
        <v>4.0906</v>
      </c>
      <c r="F140" s="229"/>
      <c r="G140" s="89"/>
      <c r="H140" s="1"/>
      <c r="I140" s="1"/>
      <c r="J140" s="230" t="s">
        <v>849</v>
      </c>
      <c r="K140" s="231">
        <v>4.0906</v>
      </c>
      <c r="L140" s="232">
        <f>IF(J140="","",IF(J140="EUR",1,IF(J140="RUB",IFERROR(1/LOOKUP(IF(F140="",MAX('Курсы ЦБ'!$B$7:$B$1000),F140),'Курсы ЦБ'!$B$7:$B$1000,'Курсы ЦБ'!$C$7:$C$1000),0),IF(J140="USD",IFERROR(1/LOOKUP(IF(F140="",MAX('Курсы ЦБ'!$B$7:$B$1000),F140),'Курсы ЦБ'!$B$7:$B$1000,'Курсы ЦБ'!$F$7:$F$1000),0),IF(J140="CNY",IFERROR(1/LOOKUP(IF(F140="",MAX('Курсы ЦБ'!$B$7:$B$1000),F140),'Курсы ЦБ'!$B$7:$B$1000,'Курсы ЦБ'!$G$7:$G$1000),0),0)))))</f>
        <v>1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96">
        <v>136.0</v>
      </c>
      <c r="C141" s="97" t="s">
        <v>916</v>
      </c>
      <c r="D141" s="96" t="s">
        <v>846</v>
      </c>
      <c r="E141" s="233">
        <f t="shared" si="1"/>
        <v>0</v>
      </c>
      <c r="F141" s="234"/>
      <c r="G141" s="97"/>
      <c r="H141" s="1"/>
      <c r="I141" s="1"/>
      <c r="J141" s="230"/>
      <c r="K141" s="231"/>
      <c r="L141" s="232" t="str">
        <f>IF(J141="","",IF(J141="EUR",1,IF(J141="RUB",IFERROR(1/LOOKUP(IF(F141="",MAX('Курсы ЦБ'!$B$7:$B$1000),F141),'Курсы ЦБ'!$B$7:$B$1000,'Курсы ЦБ'!$C$7:$C$1000),0),IF(J141="USD",IFERROR(1/LOOKUP(IF(F141="",MAX('Курсы ЦБ'!$B$7:$B$1000),F141),'Курсы ЦБ'!$B$7:$B$1000,'Курсы ЦБ'!$F$7:$F$1000),0),IF(J141="CNY",IFERROR(1/LOOKUP(IF(F141="",MAX('Курсы ЦБ'!$B$7:$B$1000),F141),'Курсы ЦБ'!$B$7:$B$1000,'Курсы ЦБ'!$G$7:$G$1000),0),0)))))</f>
        <v/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88">
        <v>137.0</v>
      </c>
      <c r="C142" s="89" t="s">
        <v>917</v>
      </c>
      <c r="D142" s="88" t="s">
        <v>846</v>
      </c>
      <c r="E142" s="228">
        <f t="shared" si="1"/>
        <v>0</v>
      </c>
      <c r="F142" s="229"/>
      <c r="G142" s="89"/>
      <c r="H142" s="1"/>
      <c r="I142" s="1"/>
      <c r="J142" s="230"/>
      <c r="K142" s="231"/>
      <c r="L142" s="232" t="str">
        <f>IF(J142="","",IF(J142="EUR",1,IF(J142="RUB",IFERROR(1/LOOKUP(IF(F142="",MAX('Курсы ЦБ'!$B$7:$B$1000),F142),'Курсы ЦБ'!$B$7:$B$1000,'Курсы ЦБ'!$C$7:$C$1000),0),IF(J142="USD",IFERROR(1/LOOKUP(IF(F142="",MAX('Курсы ЦБ'!$B$7:$B$1000),F142),'Курсы ЦБ'!$B$7:$B$1000,'Курсы ЦБ'!$F$7:$F$1000),0),IF(J142="CNY",IFERROR(1/LOOKUP(IF(F142="",MAX('Курсы ЦБ'!$B$7:$B$1000),F142),'Курсы ЦБ'!$B$7:$B$1000,'Курсы ЦБ'!$G$7:$G$1000),0),0)))))</f>
        <v/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96">
        <v>138.0</v>
      </c>
      <c r="C143" s="97" t="s">
        <v>918</v>
      </c>
      <c r="D143" s="96" t="s">
        <v>888</v>
      </c>
      <c r="E143" s="233">
        <f t="shared" si="1"/>
        <v>4.0156</v>
      </c>
      <c r="F143" s="234"/>
      <c r="G143" s="97"/>
      <c r="H143" s="1"/>
      <c r="I143" s="1"/>
      <c r="J143" s="230" t="s">
        <v>849</v>
      </c>
      <c r="K143" s="231">
        <v>4.0156</v>
      </c>
      <c r="L143" s="232">
        <f>IF(J143="","",IF(J143="EUR",1,IF(J143="RUB",IFERROR(1/LOOKUP(IF(F143="",MAX('Курсы ЦБ'!$B$7:$B$1000),F143),'Курсы ЦБ'!$B$7:$B$1000,'Курсы ЦБ'!$C$7:$C$1000),0),IF(J143="USD",IFERROR(1/LOOKUP(IF(F143="",MAX('Курсы ЦБ'!$B$7:$B$1000),F143),'Курсы ЦБ'!$B$7:$B$1000,'Курсы ЦБ'!$F$7:$F$1000),0),IF(J143="CNY",IFERROR(1/LOOKUP(IF(F143="",MAX('Курсы ЦБ'!$B$7:$B$1000),F143),'Курсы ЦБ'!$B$7:$B$1000,'Курсы ЦБ'!$G$7:$G$1000),0),0)))))</f>
        <v>1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88">
        <v>139.0</v>
      </c>
      <c r="C144" s="89" t="s">
        <v>919</v>
      </c>
      <c r="D144" s="88" t="s">
        <v>846</v>
      </c>
      <c r="E144" s="228">
        <f t="shared" si="1"/>
        <v>2.3267</v>
      </c>
      <c r="F144" s="229"/>
      <c r="G144" s="89"/>
      <c r="H144" s="1"/>
      <c r="I144" s="1"/>
      <c r="J144" s="230" t="s">
        <v>849</v>
      </c>
      <c r="K144" s="231">
        <v>2.3267</v>
      </c>
      <c r="L144" s="232">
        <f>IF(J144="","",IF(J144="EUR",1,IF(J144="RUB",IFERROR(1/LOOKUP(IF(F144="",MAX('Курсы ЦБ'!$B$7:$B$1000),F144),'Курсы ЦБ'!$B$7:$B$1000,'Курсы ЦБ'!$C$7:$C$1000),0),IF(J144="USD",IFERROR(1/LOOKUP(IF(F144="",MAX('Курсы ЦБ'!$B$7:$B$1000),F144),'Курсы ЦБ'!$B$7:$B$1000,'Курсы ЦБ'!$F$7:$F$1000),0),IF(J144="CNY",IFERROR(1/LOOKUP(IF(F144="",MAX('Курсы ЦБ'!$B$7:$B$1000),F144),'Курсы ЦБ'!$B$7:$B$1000,'Курсы ЦБ'!$G$7:$G$1000),0),0)))))</f>
        <v>1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235">
        <v>140.0</v>
      </c>
      <c r="C145" s="236" t="s">
        <v>405</v>
      </c>
      <c r="D145" s="235" t="s">
        <v>846</v>
      </c>
      <c r="E145" s="237">
        <f t="shared" si="1"/>
        <v>3.7118</v>
      </c>
      <c r="F145" s="238"/>
      <c r="G145" s="236"/>
      <c r="H145" s="239"/>
      <c r="I145" s="239" t="s">
        <v>855</v>
      </c>
      <c r="J145" s="230" t="s">
        <v>849</v>
      </c>
      <c r="K145" s="231">
        <v>3.7118</v>
      </c>
      <c r="L145" s="232">
        <f>IF(J145="","",IF(J145="EUR",1,IF(J145="RUB",IFERROR(1/LOOKUP(IF(F145="",MAX('Курсы ЦБ'!$B$7:$B$1000),F145),'Курсы ЦБ'!$B$7:$B$1000,'Курсы ЦБ'!$C$7:$C$1000),0),IF(J145="USD",IFERROR(1/LOOKUP(IF(F145="",MAX('Курсы ЦБ'!$B$7:$B$1000),F145),'Курсы ЦБ'!$B$7:$B$1000,'Курсы ЦБ'!$F$7:$F$1000),0),IF(J145="CNY",IFERROR(1/LOOKUP(IF(F145="",MAX('Курсы ЦБ'!$B$7:$B$1000),F145),'Курсы ЦБ'!$B$7:$B$1000,'Курсы ЦБ'!$G$7:$G$1000),0),0)))))</f>
        <v>1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235">
        <v>141.0</v>
      </c>
      <c r="C146" s="236" t="s">
        <v>406</v>
      </c>
      <c r="D146" s="235" t="s">
        <v>846</v>
      </c>
      <c r="E146" s="237">
        <f t="shared" si="1"/>
        <v>4.486</v>
      </c>
      <c r="F146" s="238"/>
      <c r="G146" s="236"/>
      <c r="H146" s="239"/>
      <c r="I146" s="239" t="s">
        <v>855</v>
      </c>
      <c r="J146" s="230" t="s">
        <v>849</v>
      </c>
      <c r="K146" s="231">
        <v>4.486</v>
      </c>
      <c r="L146" s="232">
        <f>IF(J146="","",IF(J146="EUR",1,IF(J146="RUB",IFERROR(1/LOOKUP(IF(F146="",MAX('Курсы ЦБ'!$B$7:$B$1000),F146),'Курсы ЦБ'!$B$7:$B$1000,'Курсы ЦБ'!$C$7:$C$1000),0),IF(J146="USD",IFERROR(1/LOOKUP(IF(F146="",MAX('Курсы ЦБ'!$B$7:$B$1000),F146),'Курсы ЦБ'!$B$7:$B$1000,'Курсы ЦБ'!$F$7:$F$1000),0),IF(J146="CNY",IFERROR(1/LOOKUP(IF(F146="",MAX('Курсы ЦБ'!$B$7:$B$1000),F146),'Курсы ЦБ'!$B$7:$B$1000,'Курсы ЦБ'!$G$7:$G$1000),0),0)))))</f>
        <v>1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235">
        <v>142.0</v>
      </c>
      <c r="C147" s="236" t="s">
        <v>412</v>
      </c>
      <c r="D147" s="235" t="s">
        <v>846</v>
      </c>
      <c r="E147" s="237">
        <f t="shared" si="1"/>
        <v>4.3775</v>
      </c>
      <c r="F147" s="238"/>
      <c r="G147" s="236"/>
      <c r="H147" s="239"/>
      <c r="I147" s="239" t="s">
        <v>855</v>
      </c>
      <c r="J147" s="230" t="s">
        <v>849</v>
      </c>
      <c r="K147" s="231">
        <v>4.3775</v>
      </c>
      <c r="L147" s="232">
        <f>IF(J147="","",IF(J147="EUR",1,IF(J147="RUB",IFERROR(1/LOOKUP(IF(F147="",MAX('Курсы ЦБ'!$B$7:$B$1000),F147),'Курсы ЦБ'!$B$7:$B$1000,'Курсы ЦБ'!$C$7:$C$1000),0),IF(J147="USD",IFERROR(1/LOOKUP(IF(F147="",MAX('Курсы ЦБ'!$B$7:$B$1000),F147),'Курсы ЦБ'!$B$7:$B$1000,'Курсы ЦБ'!$F$7:$F$1000),0),IF(J147="CNY",IFERROR(1/LOOKUP(IF(F147="",MAX('Курсы ЦБ'!$B$7:$B$1000),F147),'Курсы ЦБ'!$B$7:$B$1000,'Курсы ЦБ'!$G$7:$G$1000),0),0)))))</f>
        <v>1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235">
        <v>143.0</v>
      </c>
      <c r="C148" s="236" t="s">
        <v>413</v>
      </c>
      <c r="D148" s="235" t="s">
        <v>846</v>
      </c>
      <c r="E148" s="237">
        <f t="shared" si="1"/>
        <v>7.0583</v>
      </c>
      <c r="F148" s="238"/>
      <c r="G148" s="236"/>
      <c r="H148" s="239"/>
      <c r="I148" s="239" t="s">
        <v>855</v>
      </c>
      <c r="J148" s="230" t="s">
        <v>849</v>
      </c>
      <c r="K148" s="231">
        <v>7.0583</v>
      </c>
      <c r="L148" s="232">
        <f>IF(J148="","",IF(J148="EUR",1,IF(J148="RUB",IFERROR(1/LOOKUP(IF(F148="",MAX('Курсы ЦБ'!$B$7:$B$1000),F148),'Курсы ЦБ'!$B$7:$B$1000,'Курсы ЦБ'!$C$7:$C$1000),0),IF(J148="USD",IFERROR(1/LOOKUP(IF(F148="",MAX('Курсы ЦБ'!$B$7:$B$1000),F148),'Курсы ЦБ'!$B$7:$B$1000,'Курсы ЦБ'!$F$7:$F$1000),0),IF(J148="CNY",IFERROR(1/LOOKUP(IF(F148="",MAX('Курсы ЦБ'!$B$7:$B$1000),F148),'Курсы ЦБ'!$B$7:$B$1000,'Курсы ЦБ'!$G$7:$G$1000),0),0)))))</f>
        <v>1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/>
      <c r="B149" s="235">
        <v>144.0</v>
      </c>
      <c r="C149" s="236" t="s">
        <v>414</v>
      </c>
      <c r="D149" s="235" t="s">
        <v>846</v>
      </c>
      <c r="E149" s="237">
        <f t="shared" si="1"/>
        <v>6.3954</v>
      </c>
      <c r="F149" s="238"/>
      <c r="G149" s="236"/>
      <c r="H149" s="239"/>
      <c r="I149" s="239" t="s">
        <v>855</v>
      </c>
      <c r="J149" s="230" t="s">
        <v>849</v>
      </c>
      <c r="K149" s="231">
        <v>6.3954</v>
      </c>
      <c r="L149" s="232">
        <f>IF(J149="","",IF(J149="EUR",1,IF(J149="RUB",IFERROR(1/LOOKUP(IF(F149="",MAX('Курсы ЦБ'!$B$7:$B$1000),F149),'Курсы ЦБ'!$B$7:$B$1000,'Курсы ЦБ'!$C$7:$C$1000),0),IF(J149="USD",IFERROR(1/LOOKUP(IF(F149="",MAX('Курсы ЦБ'!$B$7:$B$1000),F149),'Курсы ЦБ'!$B$7:$B$1000,'Курсы ЦБ'!$F$7:$F$1000),0),IF(J149="CNY",IFERROR(1/LOOKUP(IF(F149="",MAX('Курсы ЦБ'!$B$7:$B$1000),F149),'Курсы ЦБ'!$B$7:$B$1000,'Курсы ЦБ'!$G$7:$G$1000),0),0)))))</f>
        <v>1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235">
        <v>145.0</v>
      </c>
      <c r="C150" s="236" t="s">
        <v>407</v>
      </c>
      <c r="D150" s="235" t="s">
        <v>846</v>
      </c>
      <c r="E150" s="237">
        <f t="shared" si="1"/>
        <v>2.1138</v>
      </c>
      <c r="F150" s="238"/>
      <c r="G150" s="236"/>
      <c r="H150" s="239"/>
      <c r="I150" s="239" t="s">
        <v>855</v>
      </c>
      <c r="J150" s="230" t="s">
        <v>849</v>
      </c>
      <c r="K150" s="231">
        <v>2.1138</v>
      </c>
      <c r="L150" s="232">
        <f>IF(J150="","",IF(J150="EUR",1,IF(J150="RUB",IFERROR(1/LOOKUP(IF(F150="",MAX('Курсы ЦБ'!$B$7:$B$1000),F150),'Курсы ЦБ'!$B$7:$B$1000,'Курсы ЦБ'!$C$7:$C$1000),0),IF(J150="USD",IFERROR(1/LOOKUP(IF(F150="",MAX('Курсы ЦБ'!$B$7:$B$1000),F150),'Курсы ЦБ'!$B$7:$B$1000,'Курсы ЦБ'!$F$7:$F$1000),0),IF(J150="CNY",IFERROR(1/LOOKUP(IF(F150="",MAX('Курсы ЦБ'!$B$7:$B$1000),F150),'Курсы ЦБ'!$B$7:$B$1000,'Курсы ЦБ'!$G$7:$G$1000),0),0)))))</f>
        <v>1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235">
        <v>146.0</v>
      </c>
      <c r="C151" s="236" t="s">
        <v>408</v>
      </c>
      <c r="D151" s="235" t="s">
        <v>846</v>
      </c>
      <c r="E151" s="237">
        <f t="shared" si="1"/>
        <v>4.6239</v>
      </c>
      <c r="F151" s="238"/>
      <c r="G151" s="236"/>
      <c r="H151" s="239"/>
      <c r="I151" s="239" t="s">
        <v>855</v>
      </c>
      <c r="J151" s="230" t="s">
        <v>849</v>
      </c>
      <c r="K151" s="231">
        <v>4.6239</v>
      </c>
      <c r="L151" s="232">
        <f>IF(J151="","",IF(J151="EUR",1,IF(J151="RUB",IFERROR(1/LOOKUP(IF(F151="",MAX('Курсы ЦБ'!$B$7:$B$1000),F151),'Курсы ЦБ'!$B$7:$B$1000,'Курсы ЦБ'!$C$7:$C$1000),0),IF(J151="USD",IFERROR(1/LOOKUP(IF(F151="",MAX('Курсы ЦБ'!$B$7:$B$1000),F151),'Курсы ЦБ'!$B$7:$B$1000,'Курсы ЦБ'!$F$7:$F$1000),0),IF(J151="CNY",IFERROR(1/LOOKUP(IF(F151="",MAX('Курсы ЦБ'!$B$7:$B$1000),F151),'Курсы ЦБ'!$B$7:$B$1000,'Курсы ЦБ'!$G$7:$G$1000),0),0)))))</f>
        <v>1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235">
        <v>147.0</v>
      </c>
      <c r="C152" s="236" t="s">
        <v>409</v>
      </c>
      <c r="D152" s="235" t="s">
        <v>888</v>
      </c>
      <c r="E152" s="237">
        <f t="shared" si="1"/>
        <v>3.6534</v>
      </c>
      <c r="F152" s="238"/>
      <c r="G152" s="236"/>
      <c r="H152" s="239"/>
      <c r="I152" s="239" t="s">
        <v>855</v>
      </c>
      <c r="J152" s="230" t="s">
        <v>849</v>
      </c>
      <c r="K152" s="231">
        <v>3.6534</v>
      </c>
      <c r="L152" s="232">
        <f>IF(J152="","",IF(J152="EUR",1,IF(J152="RUB",IFERROR(1/LOOKUP(IF(F152="",MAX('Курсы ЦБ'!$B$7:$B$1000),F152),'Курсы ЦБ'!$B$7:$B$1000,'Курсы ЦБ'!$C$7:$C$1000),0),IF(J152="USD",IFERROR(1/LOOKUP(IF(F152="",MAX('Курсы ЦБ'!$B$7:$B$1000),F152),'Курсы ЦБ'!$B$7:$B$1000,'Курсы ЦБ'!$F$7:$F$1000),0),IF(J152="CNY",IFERROR(1/LOOKUP(IF(F152="",MAX('Курсы ЦБ'!$B$7:$B$1000),F152),'Курсы ЦБ'!$B$7:$B$1000,'Курсы ЦБ'!$G$7:$G$1000),0),0)))))</f>
        <v>1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/>
      <c r="B153" s="235">
        <v>148.0</v>
      </c>
      <c r="C153" s="236" t="s">
        <v>410</v>
      </c>
      <c r="D153" s="235" t="s">
        <v>888</v>
      </c>
      <c r="E153" s="237">
        <f t="shared" si="1"/>
        <v>3.6604</v>
      </c>
      <c r="F153" s="238"/>
      <c r="G153" s="236"/>
      <c r="H153" s="239"/>
      <c r="I153" s="239" t="s">
        <v>855</v>
      </c>
      <c r="J153" s="230" t="s">
        <v>849</v>
      </c>
      <c r="K153" s="231">
        <v>3.6604</v>
      </c>
      <c r="L153" s="232">
        <f>IF(J153="","",IF(J153="EUR",1,IF(J153="RUB",IFERROR(1/LOOKUP(IF(F153="",MAX('Курсы ЦБ'!$B$7:$B$1000),F153),'Курсы ЦБ'!$B$7:$B$1000,'Курсы ЦБ'!$C$7:$C$1000),0),IF(J153="USD",IFERROR(1/LOOKUP(IF(F153="",MAX('Курсы ЦБ'!$B$7:$B$1000),F153),'Курсы ЦБ'!$B$7:$B$1000,'Курсы ЦБ'!$F$7:$F$1000),0),IF(J153="CNY",IFERROR(1/LOOKUP(IF(F153="",MAX('Курсы ЦБ'!$B$7:$B$1000),F153),'Курсы ЦБ'!$B$7:$B$1000,'Курсы ЦБ'!$G$7:$G$1000),0),0)))))</f>
        <v>1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1"/>
      <c r="B154" s="235">
        <v>149.0</v>
      </c>
      <c r="C154" s="236" t="s">
        <v>411</v>
      </c>
      <c r="D154" s="235" t="s">
        <v>846</v>
      </c>
      <c r="E154" s="237">
        <f t="shared" si="1"/>
        <v>7.1373</v>
      </c>
      <c r="F154" s="238"/>
      <c r="G154" s="236"/>
      <c r="H154" s="239"/>
      <c r="I154" s="239" t="s">
        <v>855</v>
      </c>
      <c r="J154" s="230" t="s">
        <v>849</v>
      </c>
      <c r="K154" s="231">
        <v>7.1373</v>
      </c>
      <c r="L154" s="232">
        <f>IF(J154="","",IF(J154="EUR",1,IF(J154="RUB",IFERROR(1/LOOKUP(IF(F154="",MAX('Курсы ЦБ'!$B$7:$B$1000),F154),'Курсы ЦБ'!$B$7:$B$1000,'Курсы ЦБ'!$C$7:$C$1000),0),IF(J154="USD",IFERROR(1/LOOKUP(IF(F154="",MAX('Курсы ЦБ'!$B$7:$B$1000),F154),'Курсы ЦБ'!$B$7:$B$1000,'Курсы ЦБ'!$F$7:$F$1000),0),IF(J154="CNY",IFERROR(1/LOOKUP(IF(F154="",MAX('Курсы ЦБ'!$B$7:$B$1000),F154),'Курсы ЦБ'!$B$7:$B$1000,'Курсы ЦБ'!$G$7:$G$1000),0),0)))))</f>
        <v>1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235">
        <v>150.0</v>
      </c>
      <c r="C155" s="236" t="s">
        <v>699</v>
      </c>
      <c r="D155" s="235" t="s">
        <v>888</v>
      </c>
      <c r="E155" s="237">
        <f t="shared" si="1"/>
        <v>3.6166</v>
      </c>
      <c r="F155" s="238"/>
      <c r="G155" s="236"/>
      <c r="H155" s="239"/>
      <c r="I155" s="239" t="s">
        <v>855</v>
      </c>
      <c r="J155" s="230" t="s">
        <v>849</v>
      </c>
      <c r="K155" s="231">
        <v>3.6166</v>
      </c>
      <c r="L155" s="232">
        <f>IF(J155="","",IF(J155="EUR",1,IF(J155="RUB",IFERROR(1/LOOKUP(IF(F155="",MAX('Курсы ЦБ'!$B$7:$B$1000),F155),'Курсы ЦБ'!$B$7:$B$1000,'Курсы ЦБ'!$C$7:$C$1000),0),IF(J155="USD",IFERROR(1/LOOKUP(IF(F155="",MAX('Курсы ЦБ'!$B$7:$B$1000),F155),'Курсы ЦБ'!$B$7:$B$1000,'Курсы ЦБ'!$F$7:$F$1000),0),IF(J155="CNY",IFERROR(1/LOOKUP(IF(F155="",MAX('Курсы ЦБ'!$B$7:$B$1000),F155),'Курсы ЦБ'!$B$7:$B$1000,'Курсы ЦБ'!$G$7:$G$1000),0),0)))))</f>
        <v>1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235">
        <v>151.0</v>
      </c>
      <c r="C156" s="236" t="s">
        <v>403</v>
      </c>
      <c r="D156" s="235" t="s">
        <v>846</v>
      </c>
      <c r="E156" s="237">
        <f t="shared" si="1"/>
        <v>0</v>
      </c>
      <c r="F156" s="238"/>
      <c r="G156" s="236"/>
      <c r="H156" s="239"/>
      <c r="I156" s="239" t="s">
        <v>855</v>
      </c>
      <c r="J156" s="230"/>
      <c r="K156" s="231"/>
      <c r="L156" s="232" t="str">
        <f>IF(J156="","",IF(J156="EUR",1,IF(J156="RUB",IFERROR(1/LOOKUP(IF(F156="",MAX('Курсы ЦБ'!$B$7:$B$1000),F156),'Курсы ЦБ'!$B$7:$B$1000,'Курсы ЦБ'!$C$7:$C$1000),0),IF(J156="USD",IFERROR(1/LOOKUP(IF(F156="",MAX('Курсы ЦБ'!$B$7:$B$1000),F156),'Курсы ЦБ'!$B$7:$B$1000,'Курсы ЦБ'!$F$7:$F$1000),0),IF(J156="CNY",IFERROR(1/LOOKUP(IF(F156="",MAX('Курсы ЦБ'!$B$7:$B$1000),F156),'Курсы ЦБ'!$B$7:$B$1000,'Курсы ЦБ'!$G$7:$G$1000),0),0)))))</f>
        <v/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235">
        <v>152.0</v>
      </c>
      <c r="C157" s="236" t="s">
        <v>404</v>
      </c>
      <c r="D157" s="235" t="s">
        <v>846</v>
      </c>
      <c r="E157" s="237">
        <f t="shared" si="1"/>
        <v>0</v>
      </c>
      <c r="F157" s="238"/>
      <c r="G157" s="236"/>
      <c r="H157" s="239"/>
      <c r="I157" s="239" t="s">
        <v>855</v>
      </c>
      <c r="J157" s="230"/>
      <c r="K157" s="231"/>
      <c r="L157" s="232" t="str">
        <f>IF(J157="","",IF(J157="EUR",1,IF(J157="RUB",IFERROR(1/LOOKUP(IF(F157="",MAX('Курсы ЦБ'!$B$7:$B$1000),F157),'Курсы ЦБ'!$B$7:$B$1000,'Курсы ЦБ'!$C$7:$C$1000),0),IF(J157="USD",IFERROR(1/LOOKUP(IF(F157="",MAX('Курсы ЦБ'!$B$7:$B$1000),F157),'Курсы ЦБ'!$B$7:$B$1000,'Курсы ЦБ'!$F$7:$F$1000),0),IF(J157="CNY",IFERROR(1/LOOKUP(IF(F157="",MAX('Курсы ЦБ'!$B$7:$B$1000),F157),'Курсы ЦБ'!$B$7:$B$1000,'Курсы ЦБ'!$G$7:$G$1000),0),0)))))</f>
        <v/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235">
        <v>153.0</v>
      </c>
      <c r="C158" s="236" t="s">
        <v>415</v>
      </c>
      <c r="D158" s="235" t="s">
        <v>846</v>
      </c>
      <c r="E158" s="237">
        <f t="shared" si="1"/>
        <v>3.799</v>
      </c>
      <c r="F158" s="238"/>
      <c r="G158" s="236"/>
      <c r="H158" s="239"/>
      <c r="I158" s="239" t="s">
        <v>855</v>
      </c>
      <c r="J158" s="230" t="s">
        <v>849</v>
      </c>
      <c r="K158" s="231">
        <v>3.799</v>
      </c>
      <c r="L158" s="232">
        <f>IF(J158="","",IF(J158="EUR",1,IF(J158="RUB",IFERROR(1/LOOKUP(IF(F158="",MAX('Курсы ЦБ'!$B$7:$B$1000),F158),'Курсы ЦБ'!$B$7:$B$1000,'Курсы ЦБ'!$C$7:$C$1000),0),IF(J158="USD",IFERROR(1/LOOKUP(IF(F158="",MAX('Курсы ЦБ'!$B$7:$B$1000),F158),'Курсы ЦБ'!$B$7:$B$1000,'Курсы ЦБ'!$F$7:$F$1000),0),IF(J158="CNY",IFERROR(1/LOOKUP(IF(F158="",MAX('Курсы ЦБ'!$B$7:$B$1000),F158),'Курсы ЦБ'!$B$7:$B$1000,'Курсы ЦБ'!$G$7:$G$1000),0),0)))))</f>
        <v>1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235">
        <v>154.0</v>
      </c>
      <c r="C159" s="236" t="s">
        <v>416</v>
      </c>
      <c r="D159" s="235" t="s">
        <v>846</v>
      </c>
      <c r="E159" s="237">
        <f t="shared" si="1"/>
        <v>4.2457</v>
      </c>
      <c r="F159" s="238"/>
      <c r="G159" s="236"/>
      <c r="H159" s="239"/>
      <c r="I159" s="239" t="s">
        <v>855</v>
      </c>
      <c r="J159" s="230" t="s">
        <v>849</v>
      </c>
      <c r="K159" s="231">
        <v>4.2457</v>
      </c>
      <c r="L159" s="232">
        <f>IF(J159="","",IF(J159="EUR",1,IF(J159="RUB",IFERROR(1/LOOKUP(IF(F159="",MAX('Курсы ЦБ'!$B$7:$B$1000),F159),'Курсы ЦБ'!$B$7:$B$1000,'Курсы ЦБ'!$C$7:$C$1000),0),IF(J159="USD",IFERROR(1/LOOKUP(IF(F159="",MAX('Курсы ЦБ'!$B$7:$B$1000),F159),'Курсы ЦБ'!$B$7:$B$1000,'Курсы ЦБ'!$F$7:$F$1000),0),IF(J159="CNY",IFERROR(1/LOOKUP(IF(F159="",MAX('Курсы ЦБ'!$B$7:$B$1000),F159),'Курсы ЦБ'!$B$7:$B$1000,'Курсы ЦБ'!$G$7:$G$1000),0),0)))))</f>
        <v>1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/>
      <c r="B160" s="235">
        <v>155.0</v>
      </c>
      <c r="C160" s="236" t="s">
        <v>417</v>
      </c>
      <c r="D160" s="235" t="s">
        <v>846</v>
      </c>
      <c r="E160" s="237">
        <f t="shared" si="1"/>
        <v>0</v>
      </c>
      <c r="F160" s="238"/>
      <c r="G160" s="236"/>
      <c r="H160" s="239"/>
      <c r="I160" s="239" t="s">
        <v>855</v>
      </c>
      <c r="J160" s="230"/>
      <c r="K160" s="231"/>
      <c r="L160" s="232" t="str">
        <f>IF(J160="","",IF(J160="EUR",1,IF(J160="RUB",IFERROR(1/LOOKUP(IF(F160="",MAX('Курсы ЦБ'!$B$7:$B$1000),F160),'Курсы ЦБ'!$B$7:$B$1000,'Курсы ЦБ'!$C$7:$C$1000),0),IF(J160="USD",IFERROR(1/LOOKUP(IF(F160="",MAX('Курсы ЦБ'!$B$7:$B$1000),F160),'Курсы ЦБ'!$B$7:$B$1000,'Курсы ЦБ'!$F$7:$F$1000),0),IF(J160="CNY",IFERROR(1/LOOKUP(IF(F160="",MAX('Курсы ЦБ'!$B$7:$B$1000),F160),'Курсы ЦБ'!$B$7:$B$1000,'Курсы ЦБ'!$G$7:$G$1000),0),0)))))</f>
        <v/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/>
      <c r="B161" s="235">
        <v>156.0</v>
      </c>
      <c r="C161" s="236" t="s">
        <v>418</v>
      </c>
      <c r="D161" s="235" t="s">
        <v>846</v>
      </c>
      <c r="E161" s="237">
        <f t="shared" si="1"/>
        <v>0</v>
      </c>
      <c r="F161" s="238"/>
      <c r="G161" s="236"/>
      <c r="H161" s="239"/>
      <c r="I161" s="239" t="s">
        <v>855</v>
      </c>
      <c r="J161" s="230"/>
      <c r="K161" s="231"/>
      <c r="L161" s="232" t="str">
        <f>IF(J161="","",IF(J161="EUR",1,IF(J161="RUB",IFERROR(1/LOOKUP(IF(F161="",MAX('Курсы ЦБ'!$B$7:$B$1000),F161),'Курсы ЦБ'!$B$7:$B$1000,'Курсы ЦБ'!$C$7:$C$1000),0),IF(J161="USD",IFERROR(1/LOOKUP(IF(F161="",MAX('Курсы ЦБ'!$B$7:$B$1000),F161),'Курсы ЦБ'!$B$7:$B$1000,'Курсы ЦБ'!$F$7:$F$1000),0),IF(J161="CNY",IFERROR(1/LOOKUP(IF(F161="",MAX('Курсы ЦБ'!$B$7:$B$1000),F161),'Курсы ЦБ'!$B$7:$B$1000,'Курсы ЦБ'!$G$7:$G$1000),0),0)))))</f>
        <v/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1"/>
      <c r="B162" s="88">
        <v>157.0</v>
      </c>
      <c r="C162" s="89" t="s">
        <v>920</v>
      </c>
      <c r="D162" s="88" t="s">
        <v>846</v>
      </c>
      <c r="E162" s="228">
        <f t="shared" si="1"/>
        <v>0.5581</v>
      </c>
      <c r="F162" s="229"/>
      <c r="G162" s="89"/>
      <c r="H162" s="1"/>
      <c r="I162" s="1"/>
      <c r="J162" s="230" t="s">
        <v>849</v>
      </c>
      <c r="K162" s="231">
        <v>0.5581</v>
      </c>
      <c r="L162" s="232">
        <f>IF(J162="","",IF(J162="EUR",1,IF(J162="RUB",IFERROR(1/LOOKUP(IF(F162="",MAX('Курсы ЦБ'!$B$7:$B$1000),F162),'Курсы ЦБ'!$B$7:$B$1000,'Курсы ЦБ'!$C$7:$C$1000),0),IF(J162="USD",IFERROR(1/LOOKUP(IF(F162="",MAX('Курсы ЦБ'!$B$7:$B$1000),F162),'Курсы ЦБ'!$B$7:$B$1000,'Курсы ЦБ'!$F$7:$F$1000),0),IF(J162="CNY",IFERROR(1/LOOKUP(IF(F162="",MAX('Курсы ЦБ'!$B$7:$B$1000),F162),'Курсы ЦБ'!$B$7:$B$1000,'Курсы ЦБ'!$G$7:$G$1000),0),0)))))</f>
        <v>1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96">
        <v>158.0</v>
      </c>
      <c r="C163" s="97" t="s">
        <v>921</v>
      </c>
      <c r="D163" s="96" t="s">
        <v>846</v>
      </c>
      <c r="E163" s="233">
        <f t="shared" si="1"/>
        <v>17.5732</v>
      </c>
      <c r="F163" s="234"/>
      <c r="G163" s="97"/>
      <c r="H163" s="1"/>
      <c r="I163" s="1"/>
      <c r="J163" s="230" t="s">
        <v>849</v>
      </c>
      <c r="K163" s="231">
        <v>17.5732</v>
      </c>
      <c r="L163" s="232">
        <f>IF(J163="","",IF(J163="EUR",1,IF(J163="RUB",IFERROR(1/LOOKUP(IF(F163="",MAX('Курсы ЦБ'!$B$7:$B$1000),F163),'Курсы ЦБ'!$B$7:$B$1000,'Курсы ЦБ'!$C$7:$C$1000),0),IF(J163="USD",IFERROR(1/LOOKUP(IF(F163="",MAX('Курсы ЦБ'!$B$7:$B$1000),F163),'Курсы ЦБ'!$B$7:$B$1000,'Курсы ЦБ'!$F$7:$F$1000),0),IF(J163="CNY",IFERROR(1/LOOKUP(IF(F163="",MAX('Курсы ЦБ'!$B$7:$B$1000),F163),'Курсы ЦБ'!$B$7:$B$1000,'Курсы ЦБ'!$G$7:$G$1000),0),0)))))</f>
        <v>1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88">
        <v>159.0</v>
      </c>
      <c r="C164" s="89" t="s">
        <v>922</v>
      </c>
      <c r="D164" s="88" t="s">
        <v>846</v>
      </c>
      <c r="E164" s="228">
        <f t="shared" si="1"/>
        <v>0.057</v>
      </c>
      <c r="F164" s="229"/>
      <c r="G164" s="89"/>
      <c r="H164" s="1"/>
      <c r="I164" s="1"/>
      <c r="J164" s="230" t="s">
        <v>849</v>
      </c>
      <c r="K164" s="231">
        <v>0.057</v>
      </c>
      <c r="L164" s="232">
        <f>IF(J164="","",IF(J164="EUR",1,IF(J164="RUB",IFERROR(1/LOOKUP(IF(F164="",MAX('Курсы ЦБ'!$B$7:$B$1000),F164),'Курсы ЦБ'!$B$7:$B$1000,'Курсы ЦБ'!$C$7:$C$1000),0),IF(J164="USD",IFERROR(1/LOOKUP(IF(F164="",MAX('Курсы ЦБ'!$B$7:$B$1000),F164),'Курсы ЦБ'!$B$7:$B$1000,'Курсы ЦБ'!$F$7:$F$1000),0),IF(J164="CNY",IFERROR(1/LOOKUP(IF(F164="",MAX('Курсы ЦБ'!$B$7:$B$1000),F164),'Курсы ЦБ'!$B$7:$B$1000,'Курсы ЦБ'!$G$7:$G$1000),0),0)))))</f>
        <v>1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96">
        <v>160.0</v>
      </c>
      <c r="C165" s="97" t="s">
        <v>581</v>
      </c>
      <c r="D165" s="96" t="s">
        <v>846</v>
      </c>
      <c r="E165" s="233">
        <f t="shared" si="1"/>
        <v>7.2777</v>
      </c>
      <c r="F165" s="234"/>
      <c r="G165" s="97"/>
      <c r="H165" s="1"/>
      <c r="I165" s="1"/>
      <c r="J165" s="230" t="s">
        <v>849</v>
      </c>
      <c r="K165" s="231">
        <v>7.2777</v>
      </c>
      <c r="L165" s="232">
        <f>IF(J165="","",IF(J165="EUR",1,IF(J165="RUB",IFERROR(1/LOOKUP(IF(F165="",MAX('Курсы ЦБ'!$B$7:$B$1000),F165),'Курсы ЦБ'!$B$7:$B$1000,'Курсы ЦБ'!$C$7:$C$1000),0),IF(J165="USD",IFERROR(1/LOOKUP(IF(F165="",MAX('Курсы ЦБ'!$B$7:$B$1000),F165),'Курсы ЦБ'!$B$7:$B$1000,'Курсы ЦБ'!$F$7:$F$1000),0),IF(J165="CNY",IFERROR(1/LOOKUP(IF(F165="",MAX('Курсы ЦБ'!$B$7:$B$1000),F165),'Курсы ЦБ'!$B$7:$B$1000,'Курсы ЦБ'!$G$7:$G$1000),0),0)))))</f>
        <v>1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88">
        <v>161.0</v>
      </c>
      <c r="C166" s="89" t="s">
        <v>582</v>
      </c>
      <c r="D166" s="88" t="s">
        <v>888</v>
      </c>
      <c r="E166" s="228">
        <f t="shared" si="1"/>
        <v>1.8685</v>
      </c>
      <c r="F166" s="229"/>
      <c r="G166" s="89"/>
      <c r="H166" s="1"/>
      <c r="I166" s="1"/>
      <c r="J166" s="230" t="s">
        <v>849</v>
      </c>
      <c r="K166" s="231">
        <v>1.8685</v>
      </c>
      <c r="L166" s="232">
        <f>IF(J166="","",IF(J166="EUR",1,IF(J166="RUB",IFERROR(1/LOOKUP(IF(F166="",MAX('Курсы ЦБ'!$B$7:$B$1000),F166),'Курсы ЦБ'!$B$7:$B$1000,'Курсы ЦБ'!$C$7:$C$1000),0),IF(J166="USD",IFERROR(1/LOOKUP(IF(F166="",MAX('Курсы ЦБ'!$B$7:$B$1000),F166),'Курсы ЦБ'!$B$7:$B$1000,'Курсы ЦБ'!$F$7:$F$1000),0),IF(J166="CNY",IFERROR(1/LOOKUP(IF(F166="",MAX('Курсы ЦБ'!$B$7:$B$1000),F166),'Курсы ЦБ'!$B$7:$B$1000,'Курсы ЦБ'!$G$7:$G$1000),0),0)))))</f>
        <v>1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96">
        <v>162.0</v>
      </c>
      <c r="C167" s="97" t="s">
        <v>923</v>
      </c>
      <c r="D167" s="96" t="s">
        <v>846</v>
      </c>
      <c r="E167" s="233">
        <f t="shared" si="1"/>
        <v>980.7574</v>
      </c>
      <c r="F167" s="234"/>
      <c r="G167" s="97"/>
      <c r="H167" s="1"/>
      <c r="I167" s="1"/>
      <c r="J167" s="230" t="s">
        <v>849</v>
      </c>
      <c r="K167" s="231">
        <v>980.7574</v>
      </c>
      <c r="L167" s="232">
        <f>IF(J167="","",IF(J167="EUR",1,IF(J167="RUB",IFERROR(1/LOOKUP(IF(F167="",MAX('Курсы ЦБ'!$B$7:$B$1000),F167),'Курсы ЦБ'!$B$7:$B$1000,'Курсы ЦБ'!$C$7:$C$1000),0),IF(J167="USD",IFERROR(1/LOOKUP(IF(F167="",MAX('Курсы ЦБ'!$B$7:$B$1000),F167),'Курсы ЦБ'!$B$7:$B$1000,'Курсы ЦБ'!$F$7:$F$1000),0),IF(J167="CNY",IFERROR(1/LOOKUP(IF(F167="",MAX('Курсы ЦБ'!$B$7:$B$1000),F167),'Курсы ЦБ'!$B$7:$B$1000,'Курсы ЦБ'!$G$7:$G$1000),0),0)))))</f>
        <v>1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88">
        <v>163.0</v>
      </c>
      <c r="C168" s="89" t="s">
        <v>924</v>
      </c>
      <c r="D168" s="88" t="s">
        <v>846</v>
      </c>
      <c r="E168" s="228">
        <f t="shared" si="1"/>
        <v>0.3294</v>
      </c>
      <c r="F168" s="229"/>
      <c r="G168" s="89"/>
      <c r="H168" s="1"/>
      <c r="I168" s="1"/>
      <c r="J168" s="230" t="s">
        <v>849</v>
      </c>
      <c r="K168" s="231">
        <v>0.3294</v>
      </c>
      <c r="L168" s="232">
        <f>IF(J168="","",IF(J168="EUR",1,IF(J168="RUB",IFERROR(1/LOOKUP(IF(F168="",MAX('Курсы ЦБ'!$B$7:$B$1000),F168),'Курсы ЦБ'!$B$7:$B$1000,'Курсы ЦБ'!$C$7:$C$1000),0),IF(J168="USD",IFERROR(1/LOOKUP(IF(F168="",MAX('Курсы ЦБ'!$B$7:$B$1000),F168),'Курсы ЦБ'!$B$7:$B$1000,'Курсы ЦБ'!$F$7:$F$1000),0),IF(J168="CNY",IFERROR(1/LOOKUP(IF(F168="",MAX('Курсы ЦБ'!$B$7:$B$1000),F168),'Курсы ЦБ'!$B$7:$B$1000,'Курсы ЦБ'!$G$7:$G$1000),0),0)))))</f>
        <v>1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96">
        <v>164.0</v>
      </c>
      <c r="C169" s="97" t="s">
        <v>925</v>
      </c>
      <c r="D169" s="96" t="s">
        <v>846</v>
      </c>
      <c r="E169" s="233">
        <f t="shared" si="1"/>
        <v>0.3062</v>
      </c>
      <c r="F169" s="234"/>
      <c r="G169" s="97"/>
      <c r="H169" s="1"/>
      <c r="I169" s="1"/>
      <c r="J169" s="230" t="s">
        <v>849</v>
      </c>
      <c r="K169" s="231">
        <v>0.3062</v>
      </c>
      <c r="L169" s="232">
        <f>IF(J169="","",IF(J169="EUR",1,IF(J169="RUB",IFERROR(1/LOOKUP(IF(F169="",MAX('Курсы ЦБ'!$B$7:$B$1000),F169),'Курсы ЦБ'!$B$7:$B$1000,'Курсы ЦБ'!$C$7:$C$1000),0),IF(J169="USD",IFERROR(1/LOOKUP(IF(F169="",MAX('Курсы ЦБ'!$B$7:$B$1000),F169),'Курсы ЦБ'!$B$7:$B$1000,'Курсы ЦБ'!$F$7:$F$1000),0),IF(J169="CNY",IFERROR(1/LOOKUP(IF(F169="",MAX('Курсы ЦБ'!$B$7:$B$1000),F169),'Курсы ЦБ'!$B$7:$B$1000,'Курсы ЦБ'!$G$7:$G$1000),0),0)))))</f>
        <v>1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88">
        <v>165.0</v>
      </c>
      <c r="C170" s="89" t="s">
        <v>583</v>
      </c>
      <c r="D170" s="88" t="s">
        <v>846</v>
      </c>
      <c r="E170" s="228">
        <f t="shared" si="1"/>
        <v>1.4708</v>
      </c>
      <c r="F170" s="229"/>
      <c r="G170" s="89"/>
      <c r="H170" s="1"/>
      <c r="I170" s="1"/>
      <c r="J170" s="230" t="s">
        <v>849</v>
      </c>
      <c r="K170" s="231">
        <v>1.4708</v>
      </c>
      <c r="L170" s="232">
        <f>IF(J170="","",IF(J170="EUR",1,IF(J170="RUB",IFERROR(1/LOOKUP(IF(F170="",MAX('Курсы ЦБ'!$B$7:$B$1000),F170),'Курсы ЦБ'!$B$7:$B$1000,'Курсы ЦБ'!$C$7:$C$1000),0),IF(J170="USD",IFERROR(1/LOOKUP(IF(F170="",MAX('Курсы ЦБ'!$B$7:$B$1000),F170),'Курсы ЦБ'!$B$7:$B$1000,'Курсы ЦБ'!$F$7:$F$1000),0),IF(J170="CNY",IFERROR(1/LOOKUP(IF(F170="",MAX('Курсы ЦБ'!$B$7:$B$1000),F170),'Курсы ЦБ'!$B$7:$B$1000,'Курсы ЦБ'!$G$7:$G$1000),0),0)))))</f>
        <v>1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96">
        <v>166.0</v>
      </c>
      <c r="C171" s="97" t="s">
        <v>584</v>
      </c>
      <c r="D171" s="96" t="s">
        <v>846</v>
      </c>
      <c r="E171" s="233">
        <f t="shared" si="1"/>
        <v>2.0494</v>
      </c>
      <c r="F171" s="234"/>
      <c r="G171" s="97"/>
      <c r="H171" s="1"/>
      <c r="I171" s="1"/>
      <c r="J171" s="230" t="s">
        <v>849</v>
      </c>
      <c r="K171" s="231">
        <v>2.0494</v>
      </c>
      <c r="L171" s="232">
        <f>IF(J171="","",IF(J171="EUR",1,IF(J171="RUB",IFERROR(1/LOOKUP(IF(F171="",MAX('Курсы ЦБ'!$B$7:$B$1000),F171),'Курсы ЦБ'!$B$7:$B$1000,'Курсы ЦБ'!$C$7:$C$1000),0),IF(J171="USD",IFERROR(1/LOOKUP(IF(F171="",MAX('Курсы ЦБ'!$B$7:$B$1000),F171),'Курсы ЦБ'!$B$7:$B$1000,'Курсы ЦБ'!$F$7:$F$1000),0),IF(J171="CNY",IFERROR(1/LOOKUP(IF(F171="",MAX('Курсы ЦБ'!$B$7:$B$1000),F171),'Курсы ЦБ'!$B$7:$B$1000,'Курсы ЦБ'!$G$7:$G$1000),0),0)))))</f>
        <v>1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88">
        <v>167.0</v>
      </c>
      <c r="C172" s="89" t="s">
        <v>585</v>
      </c>
      <c r="D172" s="88" t="s">
        <v>846</v>
      </c>
      <c r="E172" s="228">
        <f t="shared" si="1"/>
        <v>6.9052</v>
      </c>
      <c r="F172" s="229"/>
      <c r="G172" s="89"/>
      <c r="H172" s="1"/>
      <c r="I172" s="1"/>
      <c r="J172" s="230" t="s">
        <v>849</v>
      </c>
      <c r="K172" s="231">
        <v>6.9052</v>
      </c>
      <c r="L172" s="232">
        <f>IF(J172="","",IF(J172="EUR",1,IF(J172="RUB",IFERROR(1/LOOKUP(IF(F172="",MAX('Курсы ЦБ'!$B$7:$B$1000),F172),'Курсы ЦБ'!$B$7:$B$1000,'Курсы ЦБ'!$C$7:$C$1000),0),IF(J172="USD",IFERROR(1/LOOKUP(IF(F172="",MAX('Курсы ЦБ'!$B$7:$B$1000),F172),'Курсы ЦБ'!$B$7:$B$1000,'Курсы ЦБ'!$F$7:$F$1000),0),IF(J172="CNY",IFERROR(1/LOOKUP(IF(F172="",MAX('Курсы ЦБ'!$B$7:$B$1000),F172),'Курсы ЦБ'!$B$7:$B$1000,'Курсы ЦБ'!$G$7:$G$1000),0),0)))))</f>
        <v>1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96">
        <v>168.0</v>
      </c>
      <c r="C173" s="97" t="s">
        <v>926</v>
      </c>
      <c r="D173" s="96" t="s">
        <v>846</v>
      </c>
      <c r="E173" s="233">
        <f t="shared" si="1"/>
        <v>5.2721</v>
      </c>
      <c r="F173" s="234"/>
      <c r="G173" s="97"/>
      <c r="H173" s="1"/>
      <c r="I173" s="1"/>
      <c r="J173" s="230" t="s">
        <v>849</v>
      </c>
      <c r="K173" s="231">
        <v>5.2721</v>
      </c>
      <c r="L173" s="232">
        <f>IF(J173="","",IF(J173="EUR",1,IF(J173="RUB",IFERROR(1/LOOKUP(IF(F173="",MAX('Курсы ЦБ'!$B$7:$B$1000),F173),'Курсы ЦБ'!$B$7:$B$1000,'Курсы ЦБ'!$C$7:$C$1000),0),IF(J173="USD",IFERROR(1/LOOKUP(IF(F173="",MAX('Курсы ЦБ'!$B$7:$B$1000),F173),'Курсы ЦБ'!$B$7:$B$1000,'Курсы ЦБ'!$F$7:$F$1000),0),IF(J173="CNY",IFERROR(1/LOOKUP(IF(F173="",MAX('Курсы ЦБ'!$B$7:$B$1000),F173),'Курсы ЦБ'!$B$7:$B$1000,'Курсы ЦБ'!$G$7:$G$1000),0),0)))))</f>
        <v>1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88">
        <v>169.0</v>
      </c>
      <c r="C174" s="89" t="s">
        <v>927</v>
      </c>
      <c r="D174" s="88" t="s">
        <v>846</v>
      </c>
      <c r="E174" s="228">
        <f t="shared" si="1"/>
        <v>3.3135</v>
      </c>
      <c r="F174" s="229"/>
      <c r="G174" s="89"/>
      <c r="H174" s="1"/>
      <c r="I174" s="1"/>
      <c r="J174" s="230" t="s">
        <v>849</v>
      </c>
      <c r="K174" s="231">
        <v>3.3135</v>
      </c>
      <c r="L174" s="232">
        <f>IF(J174="","",IF(J174="EUR",1,IF(J174="RUB",IFERROR(1/LOOKUP(IF(F174="",MAX('Курсы ЦБ'!$B$7:$B$1000),F174),'Курсы ЦБ'!$B$7:$B$1000,'Курсы ЦБ'!$C$7:$C$1000),0),IF(J174="USD",IFERROR(1/LOOKUP(IF(F174="",MAX('Курсы ЦБ'!$B$7:$B$1000),F174),'Курсы ЦБ'!$B$7:$B$1000,'Курсы ЦБ'!$F$7:$F$1000),0),IF(J174="CNY",IFERROR(1/LOOKUP(IF(F174="",MAX('Курсы ЦБ'!$B$7:$B$1000),F174),'Курсы ЦБ'!$B$7:$B$1000,'Курсы ЦБ'!$G$7:$G$1000),0),0)))))</f>
        <v>1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235">
        <v>170.0</v>
      </c>
      <c r="C175" s="236" t="s">
        <v>419</v>
      </c>
      <c r="D175" s="235" t="s">
        <v>846</v>
      </c>
      <c r="E175" s="237">
        <f t="shared" si="1"/>
        <v>2.8226</v>
      </c>
      <c r="F175" s="238"/>
      <c r="G175" s="236"/>
      <c r="H175" s="239"/>
      <c r="I175" s="239" t="s">
        <v>855</v>
      </c>
      <c r="J175" s="230" t="s">
        <v>849</v>
      </c>
      <c r="K175" s="231">
        <v>2.8226</v>
      </c>
      <c r="L175" s="232">
        <f>IF(J175="","",IF(J175="EUR",1,IF(J175="RUB",IFERROR(1/LOOKUP(IF(F175="",MAX('Курсы ЦБ'!$B$7:$B$1000),F175),'Курсы ЦБ'!$B$7:$B$1000,'Курсы ЦБ'!$C$7:$C$1000),0),IF(J175="USD",IFERROR(1/LOOKUP(IF(F175="",MAX('Курсы ЦБ'!$B$7:$B$1000),F175),'Курсы ЦБ'!$B$7:$B$1000,'Курсы ЦБ'!$F$7:$F$1000),0),IF(J175="CNY",IFERROR(1/LOOKUP(IF(F175="",MAX('Курсы ЦБ'!$B$7:$B$1000),F175),'Курсы ЦБ'!$B$7:$B$1000,'Курсы ЦБ'!$G$7:$G$1000),0),0)))))</f>
        <v>1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235">
        <v>171.0</v>
      </c>
      <c r="C176" s="236" t="s">
        <v>422</v>
      </c>
      <c r="D176" s="235" t="s">
        <v>846</v>
      </c>
      <c r="E176" s="237">
        <f t="shared" si="1"/>
        <v>3.3223</v>
      </c>
      <c r="F176" s="238"/>
      <c r="G176" s="236"/>
      <c r="H176" s="239"/>
      <c r="I176" s="239" t="s">
        <v>855</v>
      </c>
      <c r="J176" s="230" t="s">
        <v>849</v>
      </c>
      <c r="K176" s="231">
        <v>3.3223</v>
      </c>
      <c r="L176" s="232">
        <f>IF(J176="","",IF(J176="EUR",1,IF(J176="RUB",IFERROR(1/LOOKUP(IF(F176="",MAX('Курсы ЦБ'!$B$7:$B$1000),F176),'Курсы ЦБ'!$B$7:$B$1000,'Курсы ЦБ'!$C$7:$C$1000),0),IF(J176="USD",IFERROR(1/LOOKUP(IF(F176="",MAX('Курсы ЦБ'!$B$7:$B$1000),F176),'Курсы ЦБ'!$B$7:$B$1000,'Курсы ЦБ'!$F$7:$F$1000),0),IF(J176="CNY",IFERROR(1/LOOKUP(IF(F176="",MAX('Курсы ЦБ'!$B$7:$B$1000),F176),'Курсы ЦБ'!$B$7:$B$1000,'Курсы ЦБ'!$G$7:$G$1000),0),0)))))</f>
        <v>1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235">
        <v>172.0</v>
      </c>
      <c r="C177" s="236" t="s">
        <v>420</v>
      </c>
      <c r="D177" s="235" t="s">
        <v>846</v>
      </c>
      <c r="E177" s="237">
        <f t="shared" si="1"/>
        <v>2.4576</v>
      </c>
      <c r="F177" s="238"/>
      <c r="G177" s="236"/>
      <c r="H177" s="239"/>
      <c r="I177" s="239" t="s">
        <v>855</v>
      </c>
      <c r="J177" s="230" t="s">
        <v>849</v>
      </c>
      <c r="K177" s="231">
        <v>2.4576</v>
      </c>
      <c r="L177" s="232">
        <f>IF(J177="","",IF(J177="EUR",1,IF(J177="RUB",IFERROR(1/LOOKUP(IF(F177="",MAX('Курсы ЦБ'!$B$7:$B$1000),F177),'Курсы ЦБ'!$B$7:$B$1000,'Курсы ЦБ'!$C$7:$C$1000),0),IF(J177="USD",IFERROR(1/LOOKUP(IF(F177="",MAX('Курсы ЦБ'!$B$7:$B$1000),F177),'Курсы ЦБ'!$B$7:$B$1000,'Курсы ЦБ'!$F$7:$F$1000),0),IF(J177="CNY",IFERROR(1/LOOKUP(IF(F177="",MAX('Курсы ЦБ'!$B$7:$B$1000),F177),'Курсы ЦБ'!$B$7:$B$1000,'Курсы ЦБ'!$G$7:$G$1000),0),0)))))</f>
        <v>1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/>
      <c r="B178" s="235">
        <v>173.0</v>
      </c>
      <c r="C178" s="236" t="s">
        <v>421</v>
      </c>
      <c r="D178" s="235" t="s">
        <v>846</v>
      </c>
      <c r="E178" s="237">
        <f t="shared" si="1"/>
        <v>2.9515</v>
      </c>
      <c r="F178" s="238"/>
      <c r="G178" s="236"/>
      <c r="H178" s="239"/>
      <c r="I178" s="239" t="s">
        <v>855</v>
      </c>
      <c r="J178" s="230" t="s">
        <v>849</v>
      </c>
      <c r="K178" s="231">
        <v>2.9515</v>
      </c>
      <c r="L178" s="232">
        <f>IF(J178="","",IF(J178="EUR",1,IF(J178="RUB",IFERROR(1/LOOKUP(IF(F178="",MAX('Курсы ЦБ'!$B$7:$B$1000),F178),'Курсы ЦБ'!$B$7:$B$1000,'Курсы ЦБ'!$C$7:$C$1000),0),IF(J178="USD",IFERROR(1/LOOKUP(IF(F178="",MAX('Курсы ЦБ'!$B$7:$B$1000),F178),'Курсы ЦБ'!$B$7:$B$1000,'Курсы ЦБ'!$F$7:$F$1000),0),IF(J178="CNY",IFERROR(1/LOOKUP(IF(F178="",MAX('Курсы ЦБ'!$B$7:$B$1000),F178),'Курсы ЦБ'!$B$7:$B$1000,'Курсы ЦБ'!$G$7:$G$1000),0),0)))))</f>
        <v>1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235">
        <v>174.0</v>
      </c>
      <c r="C179" s="236" t="s">
        <v>423</v>
      </c>
      <c r="D179" s="235" t="s">
        <v>846</v>
      </c>
      <c r="E179" s="237">
        <f t="shared" si="1"/>
        <v>2.961</v>
      </c>
      <c r="F179" s="238"/>
      <c r="G179" s="236"/>
      <c r="H179" s="239"/>
      <c r="I179" s="239" t="s">
        <v>855</v>
      </c>
      <c r="J179" s="230" t="s">
        <v>849</v>
      </c>
      <c r="K179" s="231">
        <v>2.961</v>
      </c>
      <c r="L179" s="232">
        <f>IF(J179="","",IF(J179="EUR",1,IF(J179="RUB",IFERROR(1/LOOKUP(IF(F179="",MAX('Курсы ЦБ'!$B$7:$B$1000),F179),'Курсы ЦБ'!$B$7:$B$1000,'Курсы ЦБ'!$C$7:$C$1000),0),IF(J179="USD",IFERROR(1/LOOKUP(IF(F179="",MAX('Курсы ЦБ'!$B$7:$B$1000),F179),'Курсы ЦБ'!$B$7:$B$1000,'Курсы ЦБ'!$F$7:$F$1000),0),IF(J179="CNY",IFERROR(1/LOOKUP(IF(F179="",MAX('Курсы ЦБ'!$B$7:$B$1000),F179),'Курсы ЦБ'!$B$7:$B$1000,'Курсы ЦБ'!$G$7:$G$1000),0),0)))))</f>
        <v>1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235">
        <v>175.0</v>
      </c>
      <c r="C180" s="236" t="s">
        <v>424</v>
      </c>
      <c r="D180" s="235" t="s">
        <v>846</v>
      </c>
      <c r="E180" s="237">
        <f t="shared" si="1"/>
        <v>2.9153</v>
      </c>
      <c r="F180" s="238"/>
      <c r="G180" s="236"/>
      <c r="H180" s="239"/>
      <c r="I180" s="239" t="s">
        <v>855</v>
      </c>
      <c r="J180" s="230" t="s">
        <v>849</v>
      </c>
      <c r="K180" s="231">
        <v>2.9153</v>
      </c>
      <c r="L180" s="232">
        <f>IF(J180="","",IF(J180="EUR",1,IF(J180="RUB",IFERROR(1/LOOKUP(IF(F180="",MAX('Курсы ЦБ'!$B$7:$B$1000),F180),'Курсы ЦБ'!$B$7:$B$1000,'Курсы ЦБ'!$C$7:$C$1000),0),IF(J180="USD",IFERROR(1/LOOKUP(IF(F180="",MAX('Курсы ЦБ'!$B$7:$B$1000),F180),'Курсы ЦБ'!$B$7:$B$1000,'Курсы ЦБ'!$F$7:$F$1000),0),IF(J180="CNY",IFERROR(1/LOOKUP(IF(F180="",MAX('Курсы ЦБ'!$B$7:$B$1000),F180),'Курсы ЦБ'!$B$7:$B$1000,'Курсы ЦБ'!$G$7:$G$1000),0),0)))))</f>
        <v>1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235">
        <v>176.0</v>
      </c>
      <c r="C181" s="236" t="s">
        <v>425</v>
      </c>
      <c r="D181" s="235" t="s">
        <v>846</v>
      </c>
      <c r="E181" s="237">
        <f t="shared" si="1"/>
        <v>2.1642</v>
      </c>
      <c r="F181" s="238"/>
      <c r="G181" s="236"/>
      <c r="H181" s="239"/>
      <c r="I181" s="239" t="s">
        <v>855</v>
      </c>
      <c r="J181" s="230" t="s">
        <v>849</v>
      </c>
      <c r="K181" s="231">
        <v>2.1642</v>
      </c>
      <c r="L181" s="232">
        <f>IF(J181="","",IF(J181="EUR",1,IF(J181="RUB",IFERROR(1/LOOKUP(IF(F181="",MAX('Курсы ЦБ'!$B$7:$B$1000),F181),'Курсы ЦБ'!$B$7:$B$1000,'Курсы ЦБ'!$C$7:$C$1000),0),IF(J181="USD",IFERROR(1/LOOKUP(IF(F181="",MAX('Курсы ЦБ'!$B$7:$B$1000),F181),'Курсы ЦБ'!$B$7:$B$1000,'Курсы ЦБ'!$F$7:$F$1000),0),IF(J181="CNY",IFERROR(1/LOOKUP(IF(F181="",MAX('Курсы ЦБ'!$B$7:$B$1000),F181),'Курсы ЦБ'!$B$7:$B$1000,'Курсы ЦБ'!$G$7:$G$1000),0),0)))))</f>
        <v>1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1"/>
      <c r="B182" s="235">
        <v>177.0</v>
      </c>
      <c r="C182" s="236" t="s">
        <v>426</v>
      </c>
      <c r="D182" s="235" t="s">
        <v>846</v>
      </c>
      <c r="E182" s="237">
        <f t="shared" si="1"/>
        <v>2.843</v>
      </c>
      <c r="F182" s="238"/>
      <c r="G182" s="236"/>
      <c r="H182" s="239"/>
      <c r="I182" s="239" t="s">
        <v>855</v>
      </c>
      <c r="J182" s="230" t="s">
        <v>849</v>
      </c>
      <c r="K182" s="231">
        <v>2.843</v>
      </c>
      <c r="L182" s="232">
        <f>IF(J182="","",IF(J182="EUR",1,IF(J182="RUB",IFERROR(1/LOOKUP(IF(F182="",MAX('Курсы ЦБ'!$B$7:$B$1000),F182),'Курсы ЦБ'!$B$7:$B$1000,'Курсы ЦБ'!$C$7:$C$1000),0),IF(J182="USD",IFERROR(1/LOOKUP(IF(F182="",MAX('Курсы ЦБ'!$B$7:$B$1000),F182),'Курсы ЦБ'!$B$7:$B$1000,'Курсы ЦБ'!$F$7:$F$1000),0),IF(J182="CNY",IFERROR(1/LOOKUP(IF(F182="",MAX('Курсы ЦБ'!$B$7:$B$1000),F182),'Курсы ЦБ'!$B$7:$B$1000,'Курсы ЦБ'!$G$7:$G$1000),0),0)))))</f>
        <v>1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1"/>
      <c r="B183" s="235">
        <v>178.0</v>
      </c>
      <c r="C183" s="236" t="s">
        <v>440</v>
      </c>
      <c r="D183" s="235" t="s">
        <v>846</v>
      </c>
      <c r="E183" s="237">
        <f t="shared" si="1"/>
        <v>9.8086</v>
      </c>
      <c r="F183" s="238"/>
      <c r="G183" s="236"/>
      <c r="H183" s="239"/>
      <c r="I183" s="239" t="s">
        <v>855</v>
      </c>
      <c r="J183" s="230" t="s">
        <v>849</v>
      </c>
      <c r="K183" s="231">
        <v>9.8086</v>
      </c>
      <c r="L183" s="232">
        <f>IF(J183="","",IF(J183="EUR",1,IF(J183="RUB",IFERROR(1/LOOKUP(IF(F183="",MAX('Курсы ЦБ'!$B$7:$B$1000),F183),'Курсы ЦБ'!$B$7:$B$1000,'Курсы ЦБ'!$C$7:$C$1000),0),IF(J183="USD",IFERROR(1/LOOKUP(IF(F183="",MAX('Курсы ЦБ'!$B$7:$B$1000),F183),'Курсы ЦБ'!$B$7:$B$1000,'Курсы ЦБ'!$F$7:$F$1000),0),IF(J183="CNY",IFERROR(1/LOOKUP(IF(F183="",MAX('Курсы ЦБ'!$B$7:$B$1000),F183),'Курсы ЦБ'!$B$7:$B$1000,'Курсы ЦБ'!$G$7:$G$1000),0),0)))))</f>
        <v>1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235">
        <v>179.0</v>
      </c>
      <c r="C184" s="236" t="s">
        <v>441</v>
      </c>
      <c r="D184" s="235" t="s">
        <v>846</v>
      </c>
      <c r="E184" s="237">
        <f t="shared" si="1"/>
        <v>3.6225</v>
      </c>
      <c r="F184" s="238"/>
      <c r="G184" s="236"/>
      <c r="H184" s="239"/>
      <c r="I184" s="239" t="s">
        <v>855</v>
      </c>
      <c r="J184" s="230" t="s">
        <v>849</v>
      </c>
      <c r="K184" s="231">
        <v>3.6225</v>
      </c>
      <c r="L184" s="232">
        <f>IF(J184="","",IF(J184="EUR",1,IF(J184="RUB",IFERROR(1/LOOKUP(IF(F184="",MAX('Курсы ЦБ'!$B$7:$B$1000),F184),'Курсы ЦБ'!$B$7:$B$1000,'Курсы ЦБ'!$C$7:$C$1000),0),IF(J184="USD",IFERROR(1/LOOKUP(IF(F184="",MAX('Курсы ЦБ'!$B$7:$B$1000),F184),'Курсы ЦБ'!$B$7:$B$1000,'Курсы ЦБ'!$F$7:$F$1000),0),IF(J184="CNY",IFERROR(1/LOOKUP(IF(F184="",MAX('Курсы ЦБ'!$B$7:$B$1000),F184),'Курсы ЦБ'!$B$7:$B$1000,'Курсы ЦБ'!$G$7:$G$1000),0),0)))))</f>
        <v>1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235">
        <v>180.0</v>
      </c>
      <c r="C185" s="236" t="s">
        <v>442</v>
      </c>
      <c r="D185" s="235" t="s">
        <v>846</v>
      </c>
      <c r="E185" s="237">
        <f t="shared" si="1"/>
        <v>5.6683</v>
      </c>
      <c r="F185" s="238"/>
      <c r="G185" s="236"/>
      <c r="H185" s="239"/>
      <c r="I185" s="239" t="s">
        <v>855</v>
      </c>
      <c r="J185" s="230" t="s">
        <v>849</v>
      </c>
      <c r="K185" s="231">
        <v>5.6683</v>
      </c>
      <c r="L185" s="232">
        <f>IF(J185="","",IF(J185="EUR",1,IF(J185="RUB",IFERROR(1/LOOKUP(IF(F185="",MAX('Курсы ЦБ'!$B$7:$B$1000),F185),'Курсы ЦБ'!$B$7:$B$1000,'Курсы ЦБ'!$C$7:$C$1000),0),IF(J185="USD",IFERROR(1/LOOKUP(IF(F185="",MAX('Курсы ЦБ'!$B$7:$B$1000),F185),'Курсы ЦБ'!$B$7:$B$1000,'Курсы ЦБ'!$F$7:$F$1000),0),IF(J185="CNY",IFERROR(1/LOOKUP(IF(F185="",MAX('Курсы ЦБ'!$B$7:$B$1000),F185),'Курсы ЦБ'!$B$7:$B$1000,'Курсы ЦБ'!$G$7:$G$1000),0),0)))))</f>
        <v>1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235">
        <v>181.0</v>
      </c>
      <c r="C186" s="236" t="s">
        <v>427</v>
      </c>
      <c r="D186" s="235" t="s">
        <v>846</v>
      </c>
      <c r="E186" s="237">
        <f t="shared" si="1"/>
        <v>5.1711</v>
      </c>
      <c r="F186" s="238"/>
      <c r="G186" s="236"/>
      <c r="H186" s="239"/>
      <c r="I186" s="239" t="s">
        <v>855</v>
      </c>
      <c r="J186" s="230" t="s">
        <v>849</v>
      </c>
      <c r="K186" s="231">
        <v>5.1711</v>
      </c>
      <c r="L186" s="232">
        <f>IF(J186="","",IF(J186="EUR",1,IF(J186="RUB",IFERROR(1/LOOKUP(IF(F186="",MAX('Курсы ЦБ'!$B$7:$B$1000),F186),'Курсы ЦБ'!$B$7:$B$1000,'Курсы ЦБ'!$C$7:$C$1000),0),IF(J186="USD",IFERROR(1/LOOKUP(IF(F186="",MAX('Курсы ЦБ'!$B$7:$B$1000),F186),'Курсы ЦБ'!$B$7:$B$1000,'Курсы ЦБ'!$F$7:$F$1000),0),IF(J186="CNY",IFERROR(1/LOOKUP(IF(F186="",MAX('Курсы ЦБ'!$B$7:$B$1000),F186),'Курсы ЦБ'!$B$7:$B$1000,'Курсы ЦБ'!$G$7:$G$1000),0),0)))))</f>
        <v>1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235">
        <v>182.0</v>
      </c>
      <c r="C187" s="236" t="s">
        <v>428</v>
      </c>
      <c r="D187" s="235" t="s">
        <v>846</v>
      </c>
      <c r="E187" s="237">
        <f t="shared" si="1"/>
        <v>6.7804</v>
      </c>
      <c r="F187" s="238"/>
      <c r="G187" s="236"/>
      <c r="H187" s="239"/>
      <c r="I187" s="239" t="s">
        <v>855</v>
      </c>
      <c r="J187" s="230" t="s">
        <v>849</v>
      </c>
      <c r="K187" s="231">
        <v>6.7804</v>
      </c>
      <c r="L187" s="232">
        <f>IF(J187="","",IF(J187="EUR",1,IF(J187="RUB",IFERROR(1/LOOKUP(IF(F187="",MAX('Курсы ЦБ'!$B$7:$B$1000),F187),'Курсы ЦБ'!$B$7:$B$1000,'Курсы ЦБ'!$C$7:$C$1000),0),IF(J187="USD",IFERROR(1/LOOKUP(IF(F187="",MAX('Курсы ЦБ'!$B$7:$B$1000),F187),'Курсы ЦБ'!$B$7:$B$1000,'Курсы ЦБ'!$F$7:$F$1000),0),IF(J187="CNY",IFERROR(1/LOOKUP(IF(F187="",MAX('Курсы ЦБ'!$B$7:$B$1000),F187),'Курсы ЦБ'!$B$7:$B$1000,'Курсы ЦБ'!$G$7:$G$1000),0),0)))))</f>
        <v>1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235">
        <v>183.0</v>
      </c>
      <c r="C188" s="236" t="s">
        <v>429</v>
      </c>
      <c r="D188" s="235" t="s">
        <v>846</v>
      </c>
      <c r="E188" s="237">
        <f t="shared" si="1"/>
        <v>3.6345</v>
      </c>
      <c r="F188" s="238"/>
      <c r="G188" s="236"/>
      <c r="H188" s="239"/>
      <c r="I188" s="239" t="s">
        <v>855</v>
      </c>
      <c r="J188" s="230" t="s">
        <v>849</v>
      </c>
      <c r="K188" s="231">
        <v>3.6345</v>
      </c>
      <c r="L188" s="232">
        <f>IF(J188="","",IF(J188="EUR",1,IF(J188="RUB",IFERROR(1/LOOKUP(IF(F188="",MAX('Курсы ЦБ'!$B$7:$B$1000),F188),'Курсы ЦБ'!$B$7:$B$1000,'Курсы ЦБ'!$C$7:$C$1000),0),IF(J188="USD",IFERROR(1/LOOKUP(IF(F188="",MAX('Курсы ЦБ'!$B$7:$B$1000),F188),'Курсы ЦБ'!$B$7:$B$1000,'Курсы ЦБ'!$F$7:$F$1000),0),IF(J188="CNY",IFERROR(1/LOOKUP(IF(F188="",MAX('Курсы ЦБ'!$B$7:$B$1000),F188),'Курсы ЦБ'!$B$7:$B$1000,'Курсы ЦБ'!$G$7:$G$1000),0),0)))))</f>
        <v>1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235">
        <v>184.0</v>
      </c>
      <c r="C189" s="236" t="s">
        <v>430</v>
      </c>
      <c r="D189" s="235" t="s">
        <v>846</v>
      </c>
      <c r="E189" s="237">
        <f t="shared" si="1"/>
        <v>3.8384</v>
      </c>
      <c r="F189" s="238"/>
      <c r="G189" s="236"/>
      <c r="H189" s="239"/>
      <c r="I189" s="239" t="s">
        <v>855</v>
      </c>
      <c r="J189" s="230" t="s">
        <v>849</v>
      </c>
      <c r="K189" s="231">
        <v>3.8384</v>
      </c>
      <c r="L189" s="232">
        <f>IF(J189="","",IF(J189="EUR",1,IF(J189="RUB",IFERROR(1/LOOKUP(IF(F189="",MAX('Курсы ЦБ'!$B$7:$B$1000),F189),'Курсы ЦБ'!$B$7:$B$1000,'Курсы ЦБ'!$C$7:$C$1000),0),IF(J189="USD",IFERROR(1/LOOKUP(IF(F189="",MAX('Курсы ЦБ'!$B$7:$B$1000),F189),'Курсы ЦБ'!$B$7:$B$1000,'Курсы ЦБ'!$F$7:$F$1000),0),IF(J189="CNY",IFERROR(1/LOOKUP(IF(F189="",MAX('Курсы ЦБ'!$B$7:$B$1000),F189),'Курсы ЦБ'!$B$7:$B$1000,'Курсы ЦБ'!$G$7:$G$1000),0),0)))))</f>
        <v>1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/>
      <c r="B190" s="235">
        <v>185.0</v>
      </c>
      <c r="C190" s="236" t="s">
        <v>431</v>
      </c>
      <c r="D190" s="235" t="s">
        <v>846</v>
      </c>
      <c r="E190" s="237">
        <f t="shared" si="1"/>
        <v>8.7213</v>
      </c>
      <c r="F190" s="238"/>
      <c r="G190" s="236"/>
      <c r="H190" s="239"/>
      <c r="I190" s="239" t="s">
        <v>855</v>
      </c>
      <c r="J190" s="230" t="s">
        <v>849</v>
      </c>
      <c r="K190" s="231">
        <v>8.7213</v>
      </c>
      <c r="L190" s="232">
        <f>IF(J190="","",IF(J190="EUR",1,IF(J190="RUB",IFERROR(1/LOOKUP(IF(F190="",MAX('Курсы ЦБ'!$B$7:$B$1000),F190),'Курсы ЦБ'!$B$7:$B$1000,'Курсы ЦБ'!$C$7:$C$1000),0),IF(J190="USD",IFERROR(1/LOOKUP(IF(F190="",MAX('Курсы ЦБ'!$B$7:$B$1000),F190),'Курсы ЦБ'!$B$7:$B$1000,'Курсы ЦБ'!$F$7:$F$1000),0),IF(J190="CNY",IFERROR(1/LOOKUP(IF(F190="",MAX('Курсы ЦБ'!$B$7:$B$1000),F190),'Курсы ЦБ'!$B$7:$B$1000,'Курсы ЦБ'!$G$7:$G$1000),0),0)))))</f>
        <v>1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/>
      <c r="B191" s="235">
        <v>186.0</v>
      </c>
      <c r="C191" s="236" t="s">
        <v>443</v>
      </c>
      <c r="D191" s="235" t="s">
        <v>846</v>
      </c>
      <c r="E191" s="237">
        <f t="shared" si="1"/>
        <v>3.4782</v>
      </c>
      <c r="F191" s="238"/>
      <c r="G191" s="236"/>
      <c r="H191" s="239"/>
      <c r="I191" s="239" t="s">
        <v>855</v>
      </c>
      <c r="J191" s="230" t="s">
        <v>849</v>
      </c>
      <c r="K191" s="231">
        <v>3.4782</v>
      </c>
      <c r="L191" s="232">
        <f>IF(J191="","",IF(J191="EUR",1,IF(J191="RUB",IFERROR(1/LOOKUP(IF(F191="",MAX('Курсы ЦБ'!$B$7:$B$1000),F191),'Курсы ЦБ'!$B$7:$B$1000,'Курсы ЦБ'!$C$7:$C$1000),0),IF(J191="USD",IFERROR(1/LOOKUP(IF(F191="",MAX('Курсы ЦБ'!$B$7:$B$1000),F191),'Курсы ЦБ'!$B$7:$B$1000,'Курсы ЦБ'!$F$7:$F$1000),0),IF(J191="CNY",IFERROR(1/LOOKUP(IF(F191="",MAX('Курсы ЦБ'!$B$7:$B$1000),F191),'Курсы ЦБ'!$B$7:$B$1000,'Курсы ЦБ'!$G$7:$G$1000),0),0)))))</f>
        <v>1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235">
        <v>187.0</v>
      </c>
      <c r="C192" s="236" t="s">
        <v>432</v>
      </c>
      <c r="D192" s="235" t="s">
        <v>888</v>
      </c>
      <c r="E192" s="237">
        <f t="shared" si="1"/>
        <v>3.7175</v>
      </c>
      <c r="F192" s="238"/>
      <c r="G192" s="236"/>
      <c r="H192" s="239"/>
      <c r="I192" s="239" t="s">
        <v>855</v>
      </c>
      <c r="J192" s="230" t="s">
        <v>849</v>
      </c>
      <c r="K192" s="231">
        <v>3.7175</v>
      </c>
      <c r="L192" s="232">
        <f>IF(J192="","",IF(J192="EUR",1,IF(J192="RUB",IFERROR(1/LOOKUP(IF(F192="",MAX('Курсы ЦБ'!$B$7:$B$1000),F192),'Курсы ЦБ'!$B$7:$B$1000,'Курсы ЦБ'!$C$7:$C$1000),0),IF(J192="USD",IFERROR(1/LOOKUP(IF(F192="",MAX('Курсы ЦБ'!$B$7:$B$1000),F192),'Курсы ЦБ'!$B$7:$B$1000,'Курсы ЦБ'!$F$7:$F$1000),0),IF(J192="CNY",IFERROR(1/LOOKUP(IF(F192="",MAX('Курсы ЦБ'!$B$7:$B$1000),F192),'Курсы ЦБ'!$B$7:$B$1000,'Курсы ЦБ'!$G$7:$G$1000),0),0)))))</f>
        <v>1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/>
      <c r="B193" s="235">
        <v>188.0</v>
      </c>
      <c r="C193" s="236" t="s">
        <v>433</v>
      </c>
      <c r="D193" s="235" t="s">
        <v>846</v>
      </c>
      <c r="E193" s="237">
        <f t="shared" si="1"/>
        <v>4.4172</v>
      </c>
      <c r="F193" s="238"/>
      <c r="G193" s="236"/>
      <c r="H193" s="239"/>
      <c r="I193" s="239" t="s">
        <v>855</v>
      </c>
      <c r="J193" s="230" t="s">
        <v>849</v>
      </c>
      <c r="K193" s="231">
        <v>4.4172</v>
      </c>
      <c r="L193" s="232">
        <f>IF(J193="","",IF(J193="EUR",1,IF(J193="RUB",IFERROR(1/LOOKUP(IF(F193="",MAX('Курсы ЦБ'!$B$7:$B$1000),F193),'Курсы ЦБ'!$B$7:$B$1000,'Курсы ЦБ'!$C$7:$C$1000),0),IF(J193="USD",IFERROR(1/LOOKUP(IF(F193="",MAX('Курсы ЦБ'!$B$7:$B$1000),F193),'Курсы ЦБ'!$B$7:$B$1000,'Курсы ЦБ'!$F$7:$F$1000),0),IF(J193="CNY",IFERROR(1/LOOKUP(IF(F193="",MAX('Курсы ЦБ'!$B$7:$B$1000),F193),'Курсы ЦБ'!$B$7:$B$1000,'Курсы ЦБ'!$G$7:$G$1000),0),0)))))</f>
        <v>1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/>
      <c r="B194" s="235">
        <v>189.0</v>
      </c>
      <c r="C194" s="236" t="s">
        <v>434</v>
      </c>
      <c r="D194" s="235" t="s">
        <v>846</v>
      </c>
      <c r="E194" s="237">
        <f t="shared" si="1"/>
        <v>5.6324</v>
      </c>
      <c r="F194" s="238"/>
      <c r="G194" s="236"/>
      <c r="H194" s="239"/>
      <c r="I194" s="239" t="s">
        <v>855</v>
      </c>
      <c r="J194" s="230" t="s">
        <v>849</v>
      </c>
      <c r="K194" s="231">
        <v>5.6324</v>
      </c>
      <c r="L194" s="232">
        <f>IF(J194="","",IF(J194="EUR",1,IF(J194="RUB",IFERROR(1/LOOKUP(IF(F194="",MAX('Курсы ЦБ'!$B$7:$B$1000),F194),'Курсы ЦБ'!$B$7:$B$1000,'Курсы ЦБ'!$C$7:$C$1000),0),IF(J194="USD",IFERROR(1/LOOKUP(IF(F194="",MAX('Курсы ЦБ'!$B$7:$B$1000),F194),'Курсы ЦБ'!$B$7:$B$1000,'Курсы ЦБ'!$F$7:$F$1000),0),IF(J194="CNY",IFERROR(1/LOOKUP(IF(F194="",MAX('Курсы ЦБ'!$B$7:$B$1000),F194),'Курсы ЦБ'!$B$7:$B$1000,'Курсы ЦБ'!$G$7:$G$1000),0),0)))))</f>
        <v>1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/>
      <c r="B195" s="235">
        <v>190.0</v>
      </c>
      <c r="C195" s="236" t="s">
        <v>435</v>
      </c>
      <c r="D195" s="235" t="s">
        <v>846</v>
      </c>
      <c r="E195" s="237">
        <f t="shared" si="1"/>
        <v>4.42</v>
      </c>
      <c r="F195" s="238"/>
      <c r="G195" s="236"/>
      <c r="H195" s="239"/>
      <c r="I195" s="239" t="s">
        <v>855</v>
      </c>
      <c r="J195" s="230" t="s">
        <v>849</v>
      </c>
      <c r="K195" s="231">
        <v>4.42</v>
      </c>
      <c r="L195" s="232">
        <f>IF(J195="","",IF(J195="EUR",1,IF(J195="RUB",IFERROR(1/LOOKUP(IF(F195="",MAX('Курсы ЦБ'!$B$7:$B$1000),F195),'Курсы ЦБ'!$B$7:$B$1000,'Курсы ЦБ'!$C$7:$C$1000),0),IF(J195="USD",IFERROR(1/LOOKUP(IF(F195="",MAX('Курсы ЦБ'!$B$7:$B$1000),F195),'Курсы ЦБ'!$B$7:$B$1000,'Курсы ЦБ'!$F$7:$F$1000),0),IF(J195="CNY",IFERROR(1/LOOKUP(IF(F195="",MAX('Курсы ЦБ'!$B$7:$B$1000),F195),'Курсы ЦБ'!$B$7:$B$1000,'Курсы ЦБ'!$G$7:$G$1000),0),0)))))</f>
        <v>1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/>
      <c r="B196" s="235">
        <v>191.0</v>
      </c>
      <c r="C196" s="236" t="s">
        <v>436</v>
      </c>
      <c r="D196" s="235" t="s">
        <v>846</v>
      </c>
      <c r="E196" s="237">
        <f t="shared" si="1"/>
        <v>4.7655</v>
      </c>
      <c r="F196" s="238"/>
      <c r="G196" s="236"/>
      <c r="H196" s="239"/>
      <c r="I196" s="239" t="s">
        <v>855</v>
      </c>
      <c r="J196" s="230" t="s">
        <v>849</v>
      </c>
      <c r="K196" s="231">
        <v>4.7655</v>
      </c>
      <c r="L196" s="232">
        <f>IF(J196="","",IF(J196="EUR",1,IF(J196="RUB",IFERROR(1/LOOKUP(IF(F196="",MAX('Курсы ЦБ'!$B$7:$B$1000),F196),'Курсы ЦБ'!$B$7:$B$1000,'Курсы ЦБ'!$C$7:$C$1000),0),IF(J196="USD",IFERROR(1/LOOKUP(IF(F196="",MAX('Курсы ЦБ'!$B$7:$B$1000),F196),'Курсы ЦБ'!$B$7:$B$1000,'Курсы ЦБ'!$F$7:$F$1000),0),IF(J196="CNY",IFERROR(1/LOOKUP(IF(F196="",MAX('Курсы ЦБ'!$B$7:$B$1000),F196),'Курсы ЦБ'!$B$7:$B$1000,'Курсы ЦБ'!$G$7:$G$1000),0),0)))))</f>
        <v>1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/>
      <c r="B197" s="235">
        <v>192.0</v>
      </c>
      <c r="C197" s="236" t="s">
        <v>437</v>
      </c>
      <c r="D197" s="235" t="s">
        <v>846</v>
      </c>
      <c r="E197" s="237">
        <f t="shared" si="1"/>
        <v>9.5985</v>
      </c>
      <c r="F197" s="238"/>
      <c r="G197" s="236"/>
      <c r="H197" s="239"/>
      <c r="I197" s="239" t="s">
        <v>855</v>
      </c>
      <c r="J197" s="230" t="s">
        <v>849</v>
      </c>
      <c r="K197" s="231">
        <v>9.5985</v>
      </c>
      <c r="L197" s="232">
        <f>IF(J197="","",IF(J197="EUR",1,IF(J197="RUB",IFERROR(1/LOOKUP(IF(F197="",MAX('Курсы ЦБ'!$B$7:$B$1000),F197),'Курсы ЦБ'!$B$7:$B$1000,'Курсы ЦБ'!$C$7:$C$1000),0),IF(J197="USD",IFERROR(1/LOOKUP(IF(F197="",MAX('Курсы ЦБ'!$B$7:$B$1000),F197),'Курсы ЦБ'!$B$7:$B$1000,'Курсы ЦБ'!$F$7:$F$1000),0),IF(J197="CNY",IFERROR(1/LOOKUP(IF(F197="",MAX('Курсы ЦБ'!$B$7:$B$1000),F197),'Курсы ЦБ'!$B$7:$B$1000,'Курсы ЦБ'!$G$7:$G$1000),0),0)))))</f>
        <v>1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/>
      <c r="B198" s="235">
        <v>193.0</v>
      </c>
      <c r="C198" s="236" t="s">
        <v>438</v>
      </c>
      <c r="D198" s="235" t="s">
        <v>846</v>
      </c>
      <c r="E198" s="237">
        <f t="shared" si="1"/>
        <v>6.8353</v>
      </c>
      <c r="F198" s="238"/>
      <c r="G198" s="236"/>
      <c r="H198" s="239"/>
      <c r="I198" s="239" t="s">
        <v>855</v>
      </c>
      <c r="J198" s="230" t="s">
        <v>849</v>
      </c>
      <c r="K198" s="231">
        <v>6.8353</v>
      </c>
      <c r="L198" s="232">
        <f>IF(J198="","",IF(J198="EUR",1,IF(J198="RUB",IFERROR(1/LOOKUP(IF(F198="",MAX('Курсы ЦБ'!$B$7:$B$1000),F198),'Курсы ЦБ'!$B$7:$B$1000,'Курсы ЦБ'!$C$7:$C$1000),0),IF(J198="USD",IFERROR(1/LOOKUP(IF(F198="",MAX('Курсы ЦБ'!$B$7:$B$1000),F198),'Курсы ЦБ'!$B$7:$B$1000,'Курсы ЦБ'!$F$7:$F$1000),0),IF(J198="CNY",IFERROR(1/LOOKUP(IF(F198="",MAX('Курсы ЦБ'!$B$7:$B$1000),F198),'Курсы ЦБ'!$B$7:$B$1000,'Курсы ЦБ'!$G$7:$G$1000),0),0)))))</f>
        <v>1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/>
      <c r="B199" s="235">
        <v>194.0</v>
      </c>
      <c r="C199" s="236" t="s">
        <v>439</v>
      </c>
      <c r="D199" s="235" t="s">
        <v>846</v>
      </c>
      <c r="E199" s="237">
        <f t="shared" si="1"/>
        <v>12.1824</v>
      </c>
      <c r="F199" s="238"/>
      <c r="G199" s="236"/>
      <c r="H199" s="239"/>
      <c r="I199" s="239" t="s">
        <v>855</v>
      </c>
      <c r="J199" s="230" t="s">
        <v>849</v>
      </c>
      <c r="K199" s="231">
        <v>12.1824</v>
      </c>
      <c r="L199" s="232">
        <f>IF(J199="","",IF(J199="EUR",1,IF(J199="RUB",IFERROR(1/LOOKUP(IF(F199="",MAX('Курсы ЦБ'!$B$7:$B$1000),F199),'Курсы ЦБ'!$B$7:$B$1000,'Курсы ЦБ'!$C$7:$C$1000),0),IF(J199="USD",IFERROR(1/LOOKUP(IF(F199="",MAX('Курсы ЦБ'!$B$7:$B$1000),F199),'Курсы ЦБ'!$B$7:$B$1000,'Курсы ЦБ'!$F$7:$F$1000),0),IF(J199="CNY",IFERROR(1/LOOKUP(IF(F199="",MAX('Курсы ЦБ'!$B$7:$B$1000),F199),'Курсы ЦБ'!$B$7:$B$1000,'Курсы ЦБ'!$G$7:$G$1000),0),0)))))</f>
        <v>1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/>
      <c r="B200" s="235">
        <v>195.0</v>
      </c>
      <c r="C200" s="236" t="s">
        <v>444</v>
      </c>
      <c r="D200" s="235" t="s">
        <v>846</v>
      </c>
      <c r="E200" s="237">
        <f t="shared" si="1"/>
        <v>3.4717</v>
      </c>
      <c r="F200" s="238"/>
      <c r="G200" s="236"/>
      <c r="H200" s="239"/>
      <c r="I200" s="239" t="s">
        <v>855</v>
      </c>
      <c r="J200" s="230" t="s">
        <v>849</v>
      </c>
      <c r="K200" s="231">
        <v>3.4717</v>
      </c>
      <c r="L200" s="232">
        <f>IF(J200="","",IF(J200="EUR",1,IF(J200="RUB",IFERROR(1/LOOKUP(IF(F200="",MAX('Курсы ЦБ'!$B$7:$B$1000),F200),'Курсы ЦБ'!$B$7:$B$1000,'Курсы ЦБ'!$C$7:$C$1000),0),IF(J200="USD",IFERROR(1/LOOKUP(IF(F200="",MAX('Курсы ЦБ'!$B$7:$B$1000),F200),'Курсы ЦБ'!$B$7:$B$1000,'Курсы ЦБ'!$F$7:$F$1000),0),IF(J200="CNY",IFERROR(1/LOOKUP(IF(F200="",MAX('Курсы ЦБ'!$B$7:$B$1000),F200),'Курсы ЦБ'!$B$7:$B$1000,'Курсы ЦБ'!$G$7:$G$1000),0),0)))))</f>
        <v>1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/>
      <c r="B201" s="96">
        <v>196.0</v>
      </c>
      <c r="C201" s="97" t="s">
        <v>928</v>
      </c>
      <c r="D201" s="96" t="s">
        <v>846</v>
      </c>
      <c r="E201" s="233">
        <f t="shared" si="1"/>
        <v>0.1589</v>
      </c>
      <c r="F201" s="234"/>
      <c r="G201" s="97"/>
      <c r="H201" s="1"/>
      <c r="I201" s="1"/>
      <c r="J201" s="230" t="s">
        <v>849</v>
      </c>
      <c r="K201" s="231">
        <v>0.1589</v>
      </c>
      <c r="L201" s="232">
        <f>IF(J201="","",IF(J201="EUR",1,IF(J201="RUB",IFERROR(1/LOOKUP(IF(F201="",MAX('Курсы ЦБ'!$B$7:$B$1000),F201),'Курсы ЦБ'!$B$7:$B$1000,'Курсы ЦБ'!$C$7:$C$1000),0),IF(J201="USD",IFERROR(1/LOOKUP(IF(F201="",MAX('Курсы ЦБ'!$B$7:$B$1000),F201),'Курсы ЦБ'!$B$7:$B$1000,'Курсы ЦБ'!$F$7:$F$1000),0),IF(J201="CNY",IFERROR(1/LOOKUP(IF(F201="",MAX('Курсы ЦБ'!$B$7:$B$1000),F201),'Курсы ЦБ'!$B$7:$B$1000,'Курсы ЦБ'!$G$7:$G$1000),0),0)))))</f>
        <v>1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88">
        <v>197.0</v>
      </c>
      <c r="C202" s="89" t="s">
        <v>929</v>
      </c>
      <c r="D202" s="88" t="s">
        <v>846</v>
      </c>
      <c r="E202" s="228">
        <f t="shared" si="1"/>
        <v>0.2785</v>
      </c>
      <c r="F202" s="229"/>
      <c r="G202" s="89"/>
      <c r="H202" s="1"/>
      <c r="I202" s="1"/>
      <c r="J202" s="230" t="s">
        <v>849</v>
      </c>
      <c r="K202" s="231">
        <v>0.2785</v>
      </c>
      <c r="L202" s="232">
        <f>IF(J202="","",IF(J202="EUR",1,IF(J202="RUB",IFERROR(1/LOOKUP(IF(F202="",MAX('Курсы ЦБ'!$B$7:$B$1000),F202),'Курсы ЦБ'!$B$7:$B$1000,'Курсы ЦБ'!$C$7:$C$1000),0),IF(J202="USD",IFERROR(1/LOOKUP(IF(F202="",MAX('Курсы ЦБ'!$B$7:$B$1000),F202),'Курсы ЦБ'!$B$7:$B$1000,'Курсы ЦБ'!$F$7:$F$1000),0),IF(J202="CNY",IFERROR(1/LOOKUP(IF(F202="",MAX('Курсы ЦБ'!$B$7:$B$1000),F202),'Курсы ЦБ'!$B$7:$B$1000,'Курсы ЦБ'!$G$7:$G$1000),0),0)))))</f>
        <v>1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96">
        <v>198.0</v>
      </c>
      <c r="C203" s="97" t="s">
        <v>586</v>
      </c>
      <c r="D203" s="96" t="s">
        <v>846</v>
      </c>
      <c r="E203" s="233">
        <f t="shared" si="1"/>
        <v>53.4751</v>
      </c>
      <c r="F203" s="234"/>
      <c r="G203" s="97"/>
      <c r="H203" s="1"/>
      <c r="I203" s="1"/>
      <c r="J203" s="230" t="s">
        <v>849</v>
      </c>
      <c r="K203" s="231">
        <v>53.4751</v>
      </c>
      <c r="L203" s="232">
        <f>IF(J203="","",IF(J203="EUR",1,IF(J203="RUB",IFERROR(1/LOOKUP(IF(F203="",MAX('Курсы ЦБ'!$B$7:$B$1000),F203),'Курсы ЦБ'!$B$7:$B$1000,'Курсы ЦБ'!$C$7:$C$1000),0),IF(J203="USD",IFERROR(1/LOOKUP(IF(F203="",MAX('Курсы ЦБ'!$B$7:$B$1000),F203),'Курсы ЦБ'!$B$7:$B$1000,'Курсы ЦБ'!$F$7:$F$1000),0),IF(J203="CNY",IFERROR(1/LOOKUP(IF(F203="",MAX('Курсы ЦБ'!$B$7:$B$1000),F203),'Курсы ЦБ'!$B$7:$B$1000,'Курсы ЦБ'!$G$7:$G$1000),0),0)))))</f>
        <v>1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88">
        <v>199.0</v>
      </c>
      <c r="C204" s="89" t="s">
        <v>930</v>
      </c>
      <c r="D204" s="88" t="s">
        <v>888</v>
      </c>
      <c r="E204" s="228">
        <f t="shared" si="1"/>
        <v>5.3303</v>
      </c>
      <c r="F204" s="229"/>
      <c r="G204" s="89"/>
      <c r="H204" s="1"/>
      <c r="I204" s="1"/>
      <c r="J204" s="230" t="s">
        <v>849</v>
      </c>
      <c r="K204" s="231">
        <v>5.3303</v>
      </c>
      <c r="L204" s="232">
        <f>IF(J204="","",IF(J204="EUR",1,IF(J204="RUB",IFERROR(1/LOOKUP(IF(F204="",MAX('Курсы ЦБ'!$B$7:$B$1000),F204),'Курсы ЦБ'!$B$7:$B$1000,'Курсы ЦБ'!$C$7:$C$1000),0),IF(J204="USD",IFERROR(1/LOOKUP(IF(F204="",MAX('Курсы ЦБ'!$B$7:$B$1000),F204),'Курсы ЦБ'!$B$7:$B$1000,'Курсы ЦБ'!$F$7:$F$1000),0),IF(J204="CNY",IFERROR(1/LOOKUP(IF(F204="",MAX('Курсы ЦБ'!$B$7:$B$1000),F204),'Курсы ЦБ'!$B$7:$B$1000,'Курсы ЦБ'!$G$7:$G$1000),0),0)))))</f>
        <v>1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/>
      <c r="B205" s="96">
        <v>200.0</v>
      </c>
      <c r="C205" s="97" t="s">
        <v>931</v>
      </c>
      <c r="D205" s="96" t="s">
        <v>846</v>
      </c>
      <c r="E205" s="233">
        <f t="shared" si="1"/>
        <v>0</v>
      </c>
      <c r="F205" s="234"/>
      <c r="G205" s="97"/>
      <c r="H205" s="1"/>
      <c r="I205" s="1"/>
      <c r="J205" s="230"/>
      <c r="K205" s="231"/>
      <c r="L205" s="232" t="str">
        <f>IF(J205="","",IF(J205="EUR",1,IF(J205="RUB",IFERROR(1/LOOKUP(IF(F205="",MAX('Курсы ЦБ'!$B$7:$B$1000),F205),'Курсы ЦБ'!$B$7:$B$1000,'Курсы ЦБ'!$C$7:$C$1000),0),IF(J205="USD",IFERROR(1/LOOKUP(IF(F205="",MAX('Курсы ЦБ'!$B$7:$B$1000),F205),'Курсы ЦБ'!$B$7:$B$1000,'Курсы ЦБ'!$F$7:$F$1000),0),IF(J205="CNY",IFERROR(1/LOOKUP(IF(F205="",MAX('Курсы ЦБ'!$B$7:$B$1000),F205),'Курсы ЦБ'!$B$7:$B$1000,'Курсы ЦБ'!$G$7:$G$1000),0),0)))))</f>
        <v/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1"/>
      <c r="B206" s="235">
        <v>201.0</v>
      </c>
      <c r="C206" s="236" t="s">
        <v>445</v>
      </c>
      <c r="D206" s="235" t="s">
        <v>846</v>
      </c>
      <c r="E206" s="237">
        <f t="shared" si="1"/>
        <v>0</v>
      </c>
      <c r="F206" s="238"/>
      <c r="G206" s="236"/>
      <c r="H206" s="239"/>
      <c r="I206" s="239" t="s">
        <v>855</v>
      </c>
      <c r="J206" s="230"/>
      <c r="K206" s="231"/>
      <c r="L206" s="232" t="str">
        <f>IF(J206="","",IF(J206="EUR",1,IF(J206="RUB",IFERROR(1/LOOKUP(IF(F206="",MAX('Курсы ЦБ'!$B$7:$B$1000),F206),'Курсы ЦБ'!$B$7:$B$1000,'Курсы ЦБ'!$C$7:$C$1000),0),IF(J206="USD",IFERROR(1/LOOKUP(IF(F206="",MAX('Курсы ЦБ'!$B$7:$B$1000),F206),'Курсы ЦБ'!$B$7:$B$1000,'Курсы ЦБ'!$F$7:$F$1000),0),IF(J206="CNY",IFERROR(1/LOOKUP(IF(F206="",MAX('Курсы ЦБ'!$B$7:$B$1000),F206),'Курсы ЦБ'!$B$7:$B$1000,'Курсы ЦБ'!$G$7:$G$1000),0),0)))))</f>
        <v/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1"/>
      <c r="B207" s="235">
        <v>202.0</v>
      </c>
      <c r="C207" s="236" t="s">
        <v>446</v>
      </c>
      <c r="D207" s="235" t="s">
        <v>846</v>
      </c>
      <c r="E207" s="237">
        <f t="shared" si="1"/>
        <v>0</v>
      </c>
      <c r="F207" s="238"/>
      <c r="G207" s="236"/>
      <c r="H207" s="239"/>
      <c r="I207" s="239" t="s">
        <v>855</v>
      </c>
      <c r="J207" s="230"/>
      <c r="K207" s="231"/>
      <c r="L207" s="232" t="str">
        <f>IF(J207="","",IF(J207="EUR",1,IF(J207="RUB",IFERROR(1/LOOKUP(IF(F207="",MAX('Курсы ЦБ'!$B$7:$B$1000),F207),'Курсы ЦБ'!$B$7:$B$1000,'Курсы ЦБ'!$C$7:$C$1000),0),IF(J207="USD",IFERROR(1/LOOKUP(IF(F207="",MAX('Курсы ЦБ'!$B$7:$B$1000),F207),'Курсы ЦБ'!$B$7:$B$1000,'Курсы ЦБ'!$F$7:$F$1000),0),IF(J207="CNY",IFERROR(1/LOOKUP(IF(F207="",MAX('Курсы ЦБ'!$B$7:$B$1000),F207),'Курсы ЦБ'!$B$7:$B$1000,'Курсы ЦБ'!$G$7:$G$1000),0),0)))))</f>
        <v/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1"/>
      <c r="B208" s="88">
        <v>203.0</v>
      </c>
      <c r="C208" s="89" t="s">
        <v>587</v>
      </c>
      <c r="D208" s="88" t="s">
        <v>846</v>
      </c>
      <c r="E208" s="228">
        <f t="shared" si="1"/>
        <v>0</v>
      </c>
      <c r="F208" s="229"/>
      <c r="G208" s="89"/>
      <c r="H208" s="1"/>
      <c r="I208" s="1"/>
      <c r="J208" s="230"/>
      <c r="K208" s="231"/>
      <c r="L208" s="232" t="str">
        <f>IF(J208="","",IF(J208="EUR",1,IF(J208="RUB",IFERROR(1/LOOKUP(IF(F208="",MAX('Курсы ЦБ'!$B$7:$B$1000),F208),'Курсы ЦБ'!$B$7:$B$1000,'Курсы ЦБ'!$C$7:$C$1000),0),IF(J208="USD",IFERROR(1/LOOKUP(IF(F208="",MAX('Курсы ЦБ'!$B$7:$B$1000),F208),'Курсы ЦБ'!$B$7:$B$1000,'Курсы ЦБ'!$F$7:$F$1000),0),IF(J208="CNY",IFERROR(1/LOOKUP(IF(F208="",MAX('Курсы ЦБ'!$B$7:$B$1000),F208),'Курсы ЦБ'!$B$7:$B$1000,'Курсы ЦБ'!$G$7:$G$1000),0),0)))))</f>
        <v/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1"/>
      <c r="B209" s="96">
        <v>204.0</v>
      </c>
      <c r="C209" s="97" t="s">
        <v>932</v>
      </c>
      <c r="D209" s="96" t="s">
        <v>888</v>
      </c>
      <c r="E209" s="233">
        <f t="shared" si="1"/>
        <v>3.285</v>
      </c>
      <c r="F209" s="234"/>
      <c r="G209" s="97"/>
      <c r="H209" s="1"/>
      <c r="I209" s="1"/>
      <c r="J209" s="230" t="s">
        <v>849</v>
      </c>
      <c r="K209" s="231">
        <v>3.285</v>
      </c>
      <c r="L209" s="232">
        <f>IF(J209="","",IF(J209="EUR",1,IF(J209="RUB",IFERROR(1/LOOKUP(IF(F209="",MAX('Курсы ЦБ'!$B$7:$B$1000),F209),'Курсы ЦБ'!$B$7:$B$1000,'Курсы ЦБ'!$C$7:$C$1000),0),IF(J209="USD",IFERROR(1/LOOKUP(IF(F209="",MAX('Курсы ЦБ'!$B$7:$B$1000),F209),'Курсы ЦБ'!$B$7:$B$1000,'Курсы ЦБ'!$F$7:$F$1000),0),IF(J209="CNY",IFERROR(1/LOOKUP(IF(F209="",MAX('Курсы ЦБ'!$B$7:$B$1000),F209),'Курсы ЦБ'!$B$7:$B$1000,'Курсы ЦБ'!$G$7:$G$1000),0),0)))))</f>
        <v>1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1"/>
      <c r="B210" s="88">
        <v>205.0</v>
      </c>
      <c r="C210" s="89" t="s">
        <v>933</v>
      </c>
      <c r="D210" s="88" t="s">
        <v>846</v>
      </c>
      <c r="E210" s="228">
        <f t="shared" si="1"/>
        <v>4.0233</v>
      </c>
      <c r="F210" s="229"/>
      <c r="G210" s="89"/>
      <c r="H210" s="1"/>
      <c r="I210" s="1"/>
      <c r="J210" s="230" t="s">
        <v>849</v>
      </c>
      <c r="K210" s="231">
        <v>4.0233</v>
      </c>
      <c r="L210" s="232">
        <f>IF(J210="","",IF(J210="EUR",1,IF(J210="RUB",IFERROR(1/LOOKUP(IF(F210="",MAX('Курсы ЦБ'!$B$7:$B$1000),F210),'Курсы ЦБ'!$B$7:$B$1000,'Курсы ЦБ'!$C$7:$C$1000),0),IF(J210="USD",IFERROR(1/LOOKUP(IF(F210="",MAX('Курсы ЦБ'!$B$7:$B$1000),F210),'Курсы ЦБ'!$B$7:$B$1000,'Курсы ЦБ'!$F$7:$F$1000),0),IF(J210="CNY",IFERROR(1/LOOKUP(IF(F210="",MAX('Курсы ЦБ'!$B$7:$B$1000),F210),'Курсы ЦБ'!$B$7:$B$1000,'Курсы ЦБ'!$G$7:$G$1000),0),0)))))</f>
        <v>1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1"/>
      <c r="B211" s="96">
        <v>206.0</v>
      </c>
      <c r="C211" s="97" t="s">
        <v>934</v>
      </c>
      <c r="D211" s="96" t="s">
        <v>846</v>
      </c>
      <c r="E211" s="233">
        <f t="shared" si="1"/>
        <v>3.2502</v>
      </c>
      <c r="F211" s="234"/>
      <c r="G211" s="97"/>
      <c r="H211" s="1"/>
      <c r="I211" s="1"/>
      <c r="J211" s="230" t="s">
        <v>849</v>
      </c>
      <c r="K211" s="231">
        <v>3.2502</v>
      </c>
      <c r="L211" s="232">
        <f>IF(J211="","",IF(J211="EUR",1,IF(J211="RUB",IFERROR(1/LOOKUP(IF(F211="",MAX('Курсы ЦБ'!$B$7:$B$1000),F211),'Курсы ЦБ'!$B$7:$B$1000,'Курсы ЦБ'!$C$7:$C$1000),0),IF(J211="USD",IFERROR(1/LOOKUP(IF(F211="",MAX('Курсы ЦБ'!$B$7:$B$1000),F211),'Курсы ЦБ'!$B$7:$B$1000,'Курсы ЦБ'!$F$7:$F$1000),0),IF(J211="CNY",IFERROR(1/LOOKUP(IF(F211="",MAX('Курсы ЦБ'!$B$7:$B$1000),F211),'Курсы ЦБ'!$B$7:$B$1000,'Курсы ЦБ'!$G$7:$G$1000),0),0)))))</f>
        <v>1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0" customHeight="1">
      <c r="A212" s="1"/>
      <c r="B212" s="88">
        <v>207.0</v>
      </c>
      <c r="C212" s="89" t="s">
        <v>588</v>
      </c>
      <c r="D212" s="88" t="s">
        <v>846</v>
      </c>
      <c r="E212" s="228">
        <f t="shared" si="1"/>
        <v>5.0212</v>
      </c>
      <c r="F212" s="229"/>
      <c r="G212" s="89"/>
      <c r="H212" s="1"/>
      <c r="I212" s="1"/>
      <c r="J212" s="230" t="s">
        <v>849</v>
      </c>
      <c r="K212" s="231">
        <v>5.0212</v>
      </c>
      <c r="L212" s="232">
        <f>IF(J212="","",IF(J212="EUR",1,IF(J212="RUB",IFERROR(1/LOOKUP(IF(F212="",MAX('Курсы ЦБ'!$B$7:$B$1000),F212),'Курсы ЦБ'!$B$7:$B$1000,'Курсы ЦБ'!$C$7:$C$1000),0),IF(J212="USD",IFERROR(1/LOOKUP(IF(F212="",MAX('Курсы ЦБ'!$B$7:$B$1000),F212),'Курсы ЦБ'!$B$7:$B$1000,'Курсы ЦБ'!$F$7:$F$1000),0),IF(J212="CNY",IFERROR(1/LOOKUP(IF(F212="",MAX('Курсы ЦБ'!$B$7:$B$1000),F212),'Курсы ЦБ'!$B$7:$B$1000,'Курсы ЦБ'!$G$7:$G$1000),0),0)))))</f>
        <v>1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/>
      <c r="B213" s="96">
        <v>208.0</v>
      </c>
      <c r="C213" s="97" t="s">
        <v>935</v>
      </c>
      <c r="D213" s="96" t="s">
        <v>846</v>
      </c>
      <c r="E213" s="233">
        <f t="shared" si="1"/>
        <v>5.5528</v>
      </c>
      <c r="F213" s="234"/>
      <c r="G213" s="97"/>
      <c r="H213" s="1"/>
      <c r="I213" s="1"/>
      <c r="J213" s="230" t="s">
        <v>849</v>
      </c>
      <c r="K213" s="231">
        <v>5.5528</v>
      </c>
      <c r="L213" s="232">
        <f>IF(J213="","",IF(J213="EUR",1,IF(J213="RUB",IFERROR(1/LOOKUP(IF(F213="",MAX('Курсы ЦБ'!$B$7:$B$1000),F213),'Курсы ЦБ'!$B$7:$B$1000,'Курсы ЦБ'!$C$7:$C$1000),0),IF(J213="USD",IFERROR(1/LOOKUP(IF(F213="",MAX('Курсы ЦБ'!$B$7:$B$1000),F213),'Курсы ЦБ'!$B$7:$B$1000,'Курсы ЦБ'!$F$7:$F$1000),0),IF(J213="CNY",IFERROR(1/LOOKUP(IF(F213="",MAX('Курсы ЦБ'!$B$7:$B$1000),F213),'Курсы ЦБ'!$B$7:$B$1000,'Курсы ЦБ'!$G$7:$G$1000),0),0)))))</f>
        <v>1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88">
        <v>209.0</v>
      </c>
      <c r="C214" s="89" t="s">
        <v>936</v>
      </c>
      <c r="D214" s="88" t="s">
        <v>846</v>
      </c>
      <c r="E214" s="228">
        <f t="shared" si="1"/>
        <v>3.1865</v>
      </c>
      <c r="F214" s="229"/>
      <c r="G214" s="89"/>
      <c r="H214" s="1"/>
      <c r="I214" s="1"/>
      <c r="J214" s="230" t="s">
        <v>849</v>
      </c>
      <c r="K214" s="231">
        <v>3.1865</v>
      </c>
      <c r="L214" s="232">
        <f>IF(J214="","",IF(J214="EUR",1,IF(J214="RUB",IFERROR(1/LOOKUP(IF(F214="",MAX('Курсы ЦБ'!$B$7:$B$1000),F214),'Курсы ЦБ'!$B$7:$B$1000,'Курсы ЦБ'!$C$7:$C$1000),0),IF(J214="USD",IFERROR(1/LOOKUP(IF(F214="",MAX('Курсы ЦБ'!$B$7:$B$1000),F214),'Курсы ЦБ'!$B$7:$B$1000,'Курсы ЦБ'!$F$7:$F$1000),0),IF(J214="CNY",IFERROR(1/LOOKUP(IF(F214="",MAX('Курсы ЦБ'!$B$7:$B$1000),F214),'Курсы ЦБ'!$B$7:$B$1000,'Курсы ЦБ'!$G$7:$G$1000),0),0)))))</f>
        <v>1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/>
      <c r="B215" s="96">
        <v>210.0</v>
      </c>
      <c r="C215" s="97" t="s">
        <v>937</v>
      </c>
      <c r="D215" s="96" t="s">
        <v>888</v>
      </c>
      <c r="E215" s="233">
        <f t="shared" si="1"/>
        <v>0.4877</v>
      </c>
      <c r="F215" s="234"/>
      <c r="G215" s="97"/>
      <c r="H215" s="1"/>
      <c r="I215" s="1"/>
      <c r="J215" s="230" t="s">
        <v>849</v>
      </c>
      <c r="K215" s="231">
        <v>0.4877</v>
      </c>
      <c r="L215" s="232">
        <f>IF(J215="","",IF(J215="EUR",1,IF(J215="RUB",IFERROR(1/LOOKUP(IF(F215="",MAX('Курсы ЦБ'!$B$7:$B$1000),F215),'Курсы ЦБ'!$B$7:$B$1000,'Курсы ЦБ'!$C$7:$C$1000),0),IF(J215="USD",IFERROR(1/LOOKUP(IF(F215="",MAX('Курсы ЦБ'!$B$7:$B$1000),F215),'Курсы ЦБ'!$B$7:$B$1000,'Курсы ЦБ'!$F$7:$F$1000),0),IF(J215="CNY",IFERROR(1/LOOKUP(IF(F215="",MAX('Курсы ЦБ'!$B$7:$B$1000),F215),'Курсы ЦБ'!$B$7:$B$1000,'Курсы ЦБ'!$G$7:$G$1000),0),0)))))</f>
        <v>1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/>
      <c r="B216" s="88">
        <v>211.0</v>
      </c>
      <c r="C216" s="89" t="s">
        <v>938</v>
      </c>
      <c r="D216" s="88" t="s">
        <v>846</v>
      </c>
      <c r="E216" s="228">
        <f t="shared" si="1"/>
        <v>3.2203</v>
      </c>
      <c r="F216" s="229"/>
      <c r="G216" s="89"/>
      <c r="H216" s="1"/>
      <c r="I216" s="1"/>
      <c r="J216" s="230" t="s">
        <v>849</v>
      </c>
      <c r="K216" s="231">
        <v>3.2203</v>
      </c>
      <c r="L216" s="232">
        <f>IF(J216="","",IF(J216="EUR",1,IF(J216="RUB",IFERROR(1/LOOKUP(IF(F216="",MAX('Курсы ЦБ'!$B$7:$B$1000),F216),'Курсы ЦБ'!$B$7:$B$1000,'Курсы ЦБ'!$C$7:$C$1000),0),IF(J216="USD",IFERROR(1/LOOKUP(IF(F216="",MAX('Курсы ЦБ'!$B$7:$B$1000),F216),'Курсы ЦБ'!$B$7:$B$1000,'Курсы ЦБ'!$F$7:$F$1000),0),IF(J216="CNY",IFERROR(1/LOOKUP(IF(F216="",MAX('Курсы ЦБ'!$B$7:$B$1000),F216),'Курсы ЦБ'!$B$7:$B$1000,'Курсы ЦБ'!$G$7:$G$1000),0),0)))))</f>
        <v>1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/>
      <c r="B217" s="96">
        <v>212.0</v>
      </c>
      <c r="C217" s="97" t="s">
        <v>939</v>
      </c>
      <c r="D217" s="96" t="s">
        <v>888</v>
      </c>
      <c r="E217" s="233">
        <f t="shared" si="1"/>
        <v>6.079</v>
      </c>
      <c r="F217" s="234"/>
      <c r="G217" s="97"/>
      <c r="H217" s="1"/>
      <c r="I217" s="1"/>
      <c r="J217" s="230" t="s">
        <v>849</v>
      </c>
      <c r="K217" s="231">
        <v>6.079</v>
      </c>
      <c r="L217" s="232">
        <f>IF(J217="","",IF(J217="EUR",1,IF(J217="RUB",IFERROR(1/LOOKUP(IF(F217="",MAX('Курсы ЦБ'!$B$7:$B$1000),F217),'Курсы ЦБ'!$B$7:$B$1000,'Курсы ЦБ'!$C$7:$C$1000),0),IF(J217="USD",IFERROR(1/LOOKUP(IF(F217="",MAX('Курсы ЦБ'!$B$7:$B$1000),F217),'Курсы ЦБ'!$B$7:$B$1000,'Курсы ЦБ'!$F$7:$F$1000),0),IF(J217="CNY",IFERROR(1/LOOKUP(IF(F217="",MAX('Курсы ЦБ'!$B$7:$B$1000),F217),'Курсы ЦБ'!$B$7:$B$1000,'Курсы ЦБ'!$G$7:$G$1000),0),0)))))</f>
        <v>1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/>
      <c r="B218" s="88">
        <v>213.0</v>
      </c>
      <c r="C218" s="89" t="s">
        <v>940</v>
      </c>
      <c r="D218" s="88" t="s">
        <v>846</v>
      </c>
      <c r="E218" s="228">
        <f t="shared" si="1"/>
        <v>0.0564</v>
      </c>
      <c r="F218" s="229"/>
      <c r="G218" s="89"/>
      <c r="H218" s="1"/>
      <c r="I218" s="1"/>
      <c r="J218" s="230" t="s">
        <v>849</v>
      </c>
      <c r="K218" s="231">
        <v>0.0564</v>
      </c>
      <c r="L218" s="232">
        <f>IF(J218="","",IF(J218="EUR",1,IF(J218="RUB",IFERROR(1/LOOKUP(IF(F218="",MAX('Курсы ЦБ'!$B$7:$B$1000),F218),'Курсы ЦБ'!$B$7:$B$1000,'Курсы ЦБ'!$C$7:$C$1000),0),IF(J218="USD",IFERROR(1/LOOKUP(IF(F218="",MAX('Курсы ЦБ'!$B$7:$B$1000),F218),'Курсы ЦБ'!$B$7:$B$1000,'Курсы ЦБ'!$F$7:$F$1000),0),IF(J218="CNY",IFERROR(1/LOOKUP(IF(F218="",MAX('Курсы ЦБ'!$B$7:$B$1000),F218),'Курсы ЦБ'!$B$7:$B$1000,'Курсы ЦБ'!$G$7:$G$1000),0),0)))))</f>
        <v>1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1"/>
      <c r="B219" s="96">
        <v>214.0</v>
      </c>
      <c r="C219" s="97" t="s">
        <v>941</v>
      </c>
      <c r="D219" s="96" t="s">
        <v>846</v>
      </c>
      <c r="E219" s="233">
        <f t="shared" si="1"/>
        <v>2.9737</v>
      </c>
      <c r="F219" s="234"/>
      <c r="G219" s="97"/>
      <c r="H219" s="1"/>
      <c r="I219" s="1"/>
      <c r="J219" s="230" t="s">
        <v>849</v>
      </c>
      <c r="K219" s="231">
        <v>2.9737</v>
      </c>
      <c r="L219" s="232">
        <f>IF(J219="","",IF(J219="EUR",1,IF(J219="RUB",IFERROR(1/LOOKUP(IF(F219="",MAX('Курсы ЦБ'!$B$7:$B$1000),F219),'Курсы ЦБ'!$B$7:$B$1000,'Курсы ЦБ'!$C$7:$C$1000),0),IF(J219="USD",IFERROR(1/LOOKUP(IF(F219="",MAX('Курсы ЦБ'!$B$7:$B$1000),F219),'Курсы ЦБ'!$B$7:$B$1000,'Курсы ЦБ'!$F$7:$F$1000),0),IF(J219="CNY",IFERROR(1/LOOKUP(IF(F219="",MAX('Курсы ЦБ'!$B$7:$B$1000),F219),'Курсы ЦБ'!$B$7:$B$1000,'Курсы ЦБ'!$G$7:$G$1000),0),0)))))</f>
        <v>1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1"/>
      <c r="B220" s="88">
        <v>215.0</v>
      </c>
      <c r="C220" s="89" t="s">
        <v>942</v>
      </c>
      <c r="D220" s="88" t="s">
        <v>846</v>
      </c>
      <c r="E220" s="228">
        <f t="shared" si="1"/>
        <v>5.8989</v>
      </c>
      <c r="F220" s="229"/>
      <c r="G220" s="89"/>
      <c r="H220" s="1"/>
      <c r="I220" s="1"/>
      <c r="J220" s="230" t="s">
        <v>849</v>
      </c>
      <c r="K220" s="231">
        <v>5.8989</v>
      </c>
      <c r="L220" s="232">
        <f>IF(J220="","",IF(J220="EUR",1,IF(J220="RUB",IFERROR(1/LOOKUP(IF(F220="",MAX('Курсы ЦБ'!$B$7:$B$1000),F220),'Курсы ЦБ'!$B$7:$B$1000,'Курсы ЦБ'!$C$7:$C$1000),0),IF(J220="USD",IFERROR(1/LOOKUP(IF(F220="",MAX('Курсы ЦБ'!$B$7:$B$1000),F220),'Курсы ЦБ'!$B$7:$B$1000,'Курсы ЦБ'!$F$7:$F$1000),0),IF(J220="CNY",IFERROR(1/LOOKUP(IF(F220="",MAX('Курсы ЦБ'!$B$7:$B$1000),F220),'Курсы ЦБ'!$B$7:$B$1000,'Курсы ЦБ'!$G$7:$G$1000),0),0)))))</f>
        <v>1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0" customHeight="1">
      <c r="A221" s="1"/>
      <c r="B221" s="96">
        <v>216.0</v>
      </c>
      <c r="C221" s="97" t="s">
        <v>943</v>
      </c>
      <c r="D221" s="96" t="s">
        <v>846</v>
      </c>
      <c r="E221" s="233">
        <f t="shared" si="1"/>
        <v>11.8308</v>
      </c>
      <c r="F221" s="234"/>
      <c r="G221" s="97"/>
      <c r="H221" s="1"/>
      <c r="I221" s="1"/>
      <c r="J221" s="230" t="s">
        <v>849</v>
      </c>
      <c r="K221" s="231">
        <v>11.8308</v>
      </c>
      <c r="L221" s="232">
        <f>IF(J221="","",IF(J221="EUR",1,IF(J221="RUB",IFERROR(1/LOOKUP(IF(F221="",MAX('Курсы ЦБ'!$B$7:$B$1000),F221),'Курсы ЦБ'!$B$7:$B$1000,'Курсы ЦБ'!$C$7:$C$1000),0),IF(J221="USD",IFERROR(1/LOOKUP(IF(F221="",MAX('Курсы ЦБ'!$B$7:$B$1000),F221),'Курсы ЦБ'!$B$7:$B$1000,'Курсы ЦБ'!$F$7:$F$1000),0),IF(J221="CNY",IFERROR(1/LOOKUP(IF(F221="",MAX('Курсы ЦБ'!$B$7:$B$1000),F221),'Курсы ЦБ'!$B$7:$B$1000,'Курсы ЦБ'!$G$7:$G$1000),0),0)))))</f>
        <v>1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0" customHeight="1">
      <c r="A222" s="1"/>
      <c r="B222" s="88">
        <v>217.0</v>
      </c>
      <c r="C222" s="89" t="s">
        <v>944</v>
      </c>
      <c r="D222" s="88" t="s">
        <v>846</v>
      </c>
      <c r="E222" s="228">
        <f t="shared" si="1"/>
        <v>4.4721</v>
      </c>
      <c r="F222" s="229"/>
      <c r="G222" s="89"/>
      <c r="H222" s="1"/>
      <c r="I222" s="1"/>
      <c r="J222" s="230" t="s">
        <v>849</v>
      </c>
      <c r="K222" s="231">
        <v>4.4721</v>
      </c>
      <c r="L222" s="232">
        <f>IF(J222="","",IF(J222="EUR",1,IF(J222="RUB",IFERROR(1/LOOKUP(IF(F222="",MAX('Курсы ЦБ'!$B$7:$B$1000),F222),'Курсы ЦБ'!$B$7:$B$1000,'Курсы ЦБ'!$C$7:$C$1000),0),IF(J222="USD",IFERROR(1/LOOKUP(IF(F222="",MAX('Курсы ЦБ'!$B$7:$B$1000),F222),'Курсы ЦБ'!$B$7:$B$1000,'Курсы ЦБ'!$F$7:$F$1000),0),IF(J222="CNY",IFERROR(1/LOOKUP(IF(F222="",MAX('Курсы ЦБ'!$B$7:$B$1000),F222),'Курсы ЦБ'!$B$7:$B$1000,'Курсы ЦБ'!$G$7:$G$1000),0),0)))))</f>
        <v>1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0" customHeight="1">
      <c r="A223" s="1"/>
      <c r="B223" s="96">
        <v>218.0</v>
      </c>
      <c r="C223" s="97" t="s">
        <v>590</v>
      </c>
      <c r="D223" s="96" t="s">
        <v>846</v>
      </c>
      <c r="E223" s="233">
        <f t="shared" si="1"/>
        <v>1.8153</v>
      </c>
      <c r="F223" s="234"/>
      <c r="G223" s="97"/>
      <c r="H223" s="1"/>
      <c r="I223" s="1"/>
      <c r="J223" s="230" t="s">
        <v>849</v>
      </c>
      <c r="K223" s="231">
        <v>1.8153</v>
      </c>
      <c r="L223" s="232">
        <f>IF(J223="","",IF(J223="EUR",1,IF(J223="RUB",IFERROR(1/LOOKUP(IF(F223="",MAX('Курсы ЦБ'!$B$7:$B$1000),F223),'Курсы ЦБ'!$B$7:$B$1000,'Курсы ЦБ'!$C$7:$C$1000),0),IF(J223="USD",IFERROR(1/LOOKUP(IF(F223="",MAX('Курсы ЦБ'!$B$7:$B$1000),F223),'Курсы ЦБ'!$B$7:$B$1000,'Курсы ЦБ'!$F$7:$F$1000),0),IF(J223="CNY",IFERROR(1/LOOKUP(IF(F223="",MAX('Курсы ЦБ'!$B$7:$B$1000),F223),'Курсы ЦБ'!$B$7:$B$1000,'Курсы ЦБ'!$G$7:$G$1000),0),0)))))</f>
        <v>1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1"/>
      <c r="B224" s="88">
        <v>219.0</v>
      </c>
      <c r="C224" s="89" t="s">
        <v>591</v>
      </c>
      <c r="D224" s="88" t="s">
        <v>846</v>
      </c>
      <c r="E224" s="228">
        <f t="shared" si="1"/>
        <v>1.9734</v>
      </c>
      <c r="F224" s="229"/>
      <c r="G224" s="89"/>
      <c r="H224" s="1"/>
      <c r="I224" s="1"/>
      <c r="J224" s="230" t="s">
        <v>849</v>
      </c>
      <c r="K224" s="231">
        <v>1.9734</v>
      </c>
      <c r="L224" s="232">
        <f>IF(J224="","",IF(J224="EUR",1,IF(J224="RUB",IFERROR(1/LOOKUP(IF(F224="",MAX('Курсы ЦБ'!$B$7:$B$1000),F224),'Курсы ЦБ'!$B$7:$B$1000,'Курсы ЦБ'!$C$7:$C$1000),0),IF(J224="USD",IFERROR(1/LOOKUP(IF(F224="",MAX('Курсы ЦБ'!$B$7:$B$1000),F224),'Курсы ЦБ'!$B$7:$B$1000,'Курсы ЦБ'!$F$7:$F$1000),0),IF(J224="CNY",IFERROR(1/LOOKUP(IF(F224="",MAX('Курсы ЦБ'!$B$7:$B$1000),F224),'Курсы ЦБ'!$B$7:$B$1000,'Курсы ЦБ'!$G$7:$G$1000),0),0)))))</f>
        <v>1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0" customHeight="1">
      <c r="A225" s="1"/>
      <c r="B225" s="96">
        <v>220.0</v>
      </c>
      <c r="C225" s="97" t="s">
        <v>945</v>
      </c>
      <c r="D225" s="96" t="s">
        <v>846</v>
      </c>
      <c r="E225" s="233">
        <f t="shared" si="1"/>
        <v>1.6782</v>
      </c>
      <c r="F225" s="234"/>
      <c r="G225" s="97"/>
      <c r="H225" s="1"/>
      <c r="I225" s="1"/>
      <c r="J225" s="230" t="s">
        <v>849</v>
      </c>
      <c r="K225" s="231">
        <v>1.6782</v>
      </c>
      <c r="L225" s="232">
        <f>IF(J225="","",IF(J225="EUR",1,IF(J225="RUB",IFERROR(1/LOOKUP(IF(F225="",MAX('Курсы ЦБ'!$B$7:$B$1000),F225),'Курсы ЦБ'!$B$7:$B$1000,'Курсы ЦБ'!$C$7:$C$1000),0),IF(J225="USD",IFERROR(1/LOOKUP(IF(F225="",MAX('Курсы ЦБ'!$B$7:$B$1000),F225),'Курсы ЦБ'!$B$7:$B$1000,'Курсы ЦБ'!$F$7:$F$1000),0),IF(J225="CNY",IFERROR(1/LOOKUP(IF(F225="",MAX('Курсы ЦБ'!$B$7:$B$1000),F225),'Курсы ЦБ'!$B$7:$B$1000,'Курсы ЦБ'!$G$7:$G$1000),0),0)))))</f>
        <v>1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1"/>
      <c r="B226" s="88">
        <v>221.0</v>
      </c>
      <c r="C226" s="89" t="s">
        <v>946</v>
      </c>
      <c r="D226" s="88" t="s">
        <v>846</v>
      </c>
      <c r="E226" s="228">
        <f t="shared" si="1"/>
        <v>184.7568</v>
      </c>
      <c r="F226" s="229"/>
      <c r="G226" s="89"/>
      <c r="H226" s="1"/>
      <c r="I226" s="1"/>
      <c r="J226" s="230" t="s">
        <v>849</v>
      </c>
      <c r="K226" s="231">
        <v>184.7568</v>
      </c>
      <c r="L226" s="232">
        <f>IF(J226="","",IF(J226="EUR",1,IF(J226="RUB",IFERROR(1/LOOKUP(IF(F226="",MAX('Курсы ЦБ'!$B$7:$B$1000),F226),'Курсы ЦБ'!$B$7:$B$1000,'Курсы ЦБ'!$C$7:$C$1000),0),IF(J226="USD",IFERROR(1/LOOKUP(IF(F226="",MAX('Курсы ЦБ'!$B$7:$B$1000),F226),'Курсы ЦБ'!$B$7:$B$1000,'Курсы ЦБ'!$F$7:$F$1000),0),IF(J226="CNY",IFERROR(1/LOOKUP(IF(F226="",MAX('Курсы ЦБ'!$B$7:$B$1000),F226),'Курсы ЦБ'!$B$7:$B$1000,'Курсы ЦБ'!$G$7:$G$1000),0),0)))))</f>
        <v>1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0" customHeight="1">
      <c r="A227" s="1"/>
      <c r="B227" s="96">
        <v>222.0</v>
      </c>
      <c r="C227" s="97" t="s">
        <v>592</v>
      </c>
      <c r="D227" s="96" t="s">
        <v>846</v>
      </c>
      <c r="E227" s="233">
        <f t="shared" si="1"/>
        <v>10.8101</v>
      </c>
      <c r="F227" s="234"/>
      <c r="G227" s="97"/>
      <c r="H227" s="1"/>
      <c r="I227" s="1"/>
      <c r="J227" s="230" t="s">
        <v>849</v>
      </c>
      <c r="K227" s="231">
        <v>10.8101</v>
      </c>
      <c r="L227" s="232">
        <f>IF(J227="","",IF(J227="EUR",1,IF(J227="RUB",IFERROR(1/LOOKUP(IF(F227="",MAX('Курсы ЦБ'!$B$7:$B$1000),F227),'Курсы ЦБ'!$B$7:$B$1000,'Курсы ЦБ'!$C$7:$C$1000),0),IF(J227="USD",IFERROR(1/LOOKUP(IF(F227="",MAX('Курсы ЦБ'!$B$7:$B$1000),F227),'Курсы ЦБ'!$B$7:$B$1000,'Курсы ЦБ'!$F$7:$F$1000),0),IF(J227="CNY",IFERROR(1/LOOKUP(IF(F227="",MAX('Курсы ЦБ'!$B$7:$B$1000),F227),'Курсы ЦБ'!$B$7:$B$1000,'Курсы ЦБ'!$G$7:$G$1000),0),0)))))</f>
        <v>1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0" customHeight="1">
      <c r="A228" s="1"/>
      <c r="B228" s="88">
        <v>223.0</v>
      </c>
      <c r="C228" s="89" t="s">
        <v>947</v>
      </c>
      <c r="D228" s="88" t="s">
        <v>846</v>
      </c>
      <c r="E228" s="228">
        <f t="shared" si="1"/>
        <v>0.1238</v>
      </c>
      <c r="F228" s="229"/>
      <c r="G228" s="89"/>
      <c r="H228" s="1"/>
      <c r="I228" s="1"/>
      <c r="J228" s="230" t="s">
        <v>849</v>
      </c>
      <c r="K228" s="231">
        <v>0.1238</v>
      </c>
      <c r="L228" s="232">
        <f>IF(J228="","",IF(J228="EUR",1,IF(J228="RUB",IFERROR(1/LOOKUP(IF(F228="",MAX('Курсы ЦБ'!$B$7:$B$1000),F228),'Курсы ЦБ'!$B$7:$B$1000,'Курсы ЦБ'!$C$7:$C$1000),0),IF(J228="USD",IFERROR(1/LOOKUP(IF(F228="",MAX('Курсы ЦБ'!$B$7:$B$1000),F228),'Курсы ЦБ'!$B$7:$B$1000,'Курсы ЦБ'!$F$7:$F$1000),0),IF(J228="CNY",IFERROR(1/LOOKUP(IF(F228="",MAX('Курсы ЦБ'!$B$7:$B$1000),F228),'Курсы ЦБ'!$B$7:$B$1000,'Курсы ЦБ'!$G$7:$G$1000),0),0)))))</f>
        <v>1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0" customHeight="1">
      <c r="A229" s="1"/>
      <c r="B229" s="96">
        <v>224.0</v>
      </c>
      <c r="C229" s="97" t="s">
        <v>593</v>
      </c>
      <c r="D229" s="96" t="s">
        <v>846</v>
      </c>
      <c r="E229" s="233">
        <f t="shared" si="1"/>
        <v>1.6575</v>
      </c>
      <c r="F229" s="234"/>
      <c r="G229" s="97"/>
      <c r="H229" s="1"/>
      <c r="I229" s="1"/>
      <c r="J229" s="230" t="s">
        <v>849</v>
      </c>
      <c r="K229" s="231">
        <v>1.6575</v>
      </c>
      <c r="L229" s="232">
        <f>IF(J229="","",IF(J229="EUR",1,IF(J229="RUB",IFERROR(1/LOOKUP(IF(F229="",MAX('Курсы ЦБ'!$B$7:$B$1000),F229),'Курсы ЦБ'!$B$7:$B$1000,'Курсы ЦБ'!$C$7:$C$1000),0),IF(J229="USD",IFERROR(1/LOOKUP(IF(F229="",MAX('Курсы ЦБ'!$B$7:$B$1000),F229),'Курсы ЦБ'!$B$7:$B$1000,'Курсы ЦБ'!$F$7:$F$1000),0),IF(J229="CNY",IFERROR(1/LOOKUP(IF(F229="",MAX('Курсы ЦБ'!$B$7:$B$1000),F229),'Курсы ЦБ'!$B$7:$B$1000,'Курсы ЦБ'!$G$7:$G$1000),0),0)))))</f>
        <v>1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0" customHeight="1">
      <c r="A230" s="1"/>
      <c r="B230" s="88">
        <v>225.0</v>
      </c>
      <c r="C230" s="89" t="s">
        <v>594</v>
      </c>
      <c r="D230" s="88" t="s">
        <v>846</v>
      </c>
      <c r="E230" s="228">
        <f t="shared" si="1"/>
        <v>1.7145</v>
      </c>
      <c r="F230" s="229"/>
      <c r="G230" s="89"/>
      <c r="H230" s="1"/>
      <c r="I230" s="1"/>
      <c r="J230" s="230" t="s">
        <v>849</v>
      </c>
      <c r="K230" s="231">
        <v>1.7145</v>
      </c>
      <c r="L230" s="232">
        <f>IF(J230="","",IF(J230="EUR",1,IF(J230="RUB",IFERROR(1/LOOKUP(IF(F230="",MAX('Курсы ЦБ'!$B$7:$B$1000),F230),'Курсы ЦБ'!$B$7:$B$1000,'Курсы ЦБ'!$C$7:$C$1000),0),IF(J230="USD",IFERROR(1/LOOKUP(IF(F230="",MAX('Курсы ЦБ'!$B$7:$B$1000),F230),'Курсы ЦБ'!$B$7:$B$1000,'Курсы ЦБ'!$F$7:$F$1000),0),IF(J230="CNY",IFERROR(1/LOOKUP(IF(F230="",MAX('Курсы ЦБ'!$B$7:$B$1000),F230),'Курсы ЦБ'!$B$7:$B$1000,'Курсы ЦБ'!$G$7:$G$1000),0),0)))))</f>
        <v>1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0" customHeight="1">
      <c r="A231" s="1"/>
      <c r="B231" s="96">
        <v>226.0</v>
      </c>
      <c r="C231" s="97" t="s">
        <v>948</v>
      </c>
      <c r="D231" s="96" t="s">
        <v>846</v>
      </c>
      <c r="E231" s="233">
        <f t="shared" si="1"/>
        <v>3.1475</v>
      </c>
      <c r="F231" s="234"/>
      <c r="G231" s="97"/>
      <c r="H231" s="1"/>
      <c r="I231" s="1"/>
      <c r="J231" s="230" t="s">
        <v>849</v>
      </c>
      <c r="K231" s="231">
        <v>3.1475</v>
      </c>
      <c r="L231" s="232">
        <f>IF(J231="","",IF(J231="EUR",1,IF(J231="RUB",IFERROR(1/LOOKUP(IF(F231="",MAX('Курсы ЦБ'!$B$7:$B$1000),F231),'Курсы ЦБ'!$B$7:$B$1000,'Курсы ЦБ'!$C$7:$C$1000),0),IF(J231="USD",IFERROR(1/LOOKUP(IF(F231="",MAX('Курсы ЦБ'!$B$7:$B$1000),F231),'Курсы ЦБ'!$B$7:$B$1000,'Курсы ЦБ'!$F$7:$F$1000),0),IF(J231="CNY",IFERROR(1/LOOKUP(IF(F231="",MAX('Курсы ЦБ'!$B$7:$B$1000),F231),'Курсы ЦБ'!$B$7:$B$1000,'Курсы ЦБ'!$G$7:$G$1000),0),0)))))</f>
        <v>1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>
        <v>227.0</v>
      </c>
      <c r="C232" s="1" t="s">
        <v>949</v>
      </c>
      <c r="D232" s="1" t="s">
        <v>846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>
        <v>228.0</v>
      </c>
      <c r="C233" s="1" t="s">
        <v>950</v>
      </c>
      <c r="D233" s="1" t="s">
        <v>846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</row>
  </sheetData>
  <mergeCells count="3">
    <mergeCell ref="B2:H2"/>
    <mergeCell ref="B3:H3"/>
    <mergeCell ref="B4:L4"/>
  </mergeCells>
  <conditionalFormatting sqref="C6:E231">
    <cfRule type="expression" dxfId="12" priority="1">
      <formula>AND($C6&lt;&gt;"",OR($K6="",$K6=0))</formula>
    </cfRule>
  </conditionalFormatting>
  <conditionalFormatting sqref="K6:K231">
    <cfRule type="expression" dxfId="12" priority="2">
      <formula>AND($C6&lt;&gt;"",OR($K6="",$K6=0))</formula>
    </cfRule>
  </conditionalFormatting>
  <conditionalFormatting sqref="K6:K231">
    <cfRule type="expression" dxfId="13" priority="3">
      <formula>AND($K6&gt;0,$J6&lt;&gt;"")</formula>
    </cfRule>
  </conditionalFormatting>
  <dataValidations>
    <dataValidation type="list" allowBlank="1" sqref="J6:J231">
      <formula1>"RUB,USD,EUR,CNY"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16.0"/>
    <col customWidth="1" min="4" max="4" width="50.0"/>
    <col customWidth="1" min="5" max="5" width="7.0"/>
    <col customWidth="1" min="6" max="6" width="50.0"/>
    <col customWidth="1" min="7" max="10" width="12.0"/>
    <col customWidth="1" min="11" max="11" width="35.0"/>
    <col customWidth="1" min="12" max="12" width="14.0"/>
    <col customWidth="1" hidden="1" min="13" max="13" width="13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1"/>
      <c r="B2" s="210" t="s">
        <v>951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86" t="s">
        <v>369</v>
      </c>
      <c r="C5" s="86" t="s">
        <v>604</v>
      </c>
      <c r="D5" s="86" t="s">
        <v>375</v>
      </c>
      <c r="E5" s="86" t="s">
        <v>952</v>
      </c>
      <c r="F5" s="86" t="s">
        <v>472</v>
      </c>
      <c r="G5" s="86" t="s">
        <v>953</v>
      </c>
      <c r="H5" s="86" t="s">
        <v>954</v>
      </c>
      <c r="I5" s="86" t="s">
        <v>955</v>
      </c>
      <c r="J5" s="86" t="s">
        <v>956</v>
      </c>
      <c r="K5" s="86" t="s">
        <v>957</v>
      </c>
      <c r="L5" s="86" t="s">
        <v>373</v>
      </c>
      <c r="M5" s="240" t="s">
        <v>958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88">
        <v>34.0</v>
      </c>
      <c r="C6" s="88" t="s">
        <v>614</v>
      </c>
      <c r="D6" s="89" t="s">
        <v>502</v>
      </c>
      <c r="E6" s="88">
        <v>1.0</v>
      </c>
      <c r="F6" s="89" t="s">
        <v>771</v>
      </c>
      <c r="G6" s="92">
        <v>0.63</v>
      </c>
      <c r="H6" s="92">
        <v>0.63</v>
      </c>
      <c r="I6" s="92">
        <v>0.0</v>
      </c>
      <c r="J6" s="91">
        <v>0.0</v>
      </c>
      <c r="K6" s="241" t="s">
        <v>959</v>
      </c>
      <c r="L6" s="1"/>
      <c r="M6" s="242" t="s">
        <v>960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88">
        <v>34.0</v>
      </c>
      <c r="C7" s="88" t="s">
        <v>614</v>
      </c>
      <c r="D7" s="89" t="s">
        <v>502</v>
      </c>
      <c r="E7" s="88">
        <v>2.0</v>
      </c>
      <c r="F7" s="89" t="s">
        <v>657</v>
      </c>
      <c r="G7" s="92">
        <v>0.15</v>
      </c>
      <c r="H7" s="92">
        <v>0.15</v>
      </c>
      <c r="I7" s="92">
        <v>0.0</v>
      </c>
      <c r="J7" s="91">
        <v>0.0</v>
      </c>
      <c r="K7" s="241" t="s">
        <v>961</v>
      </c>
      <c r="L7" s="1"/>
      <c r="M7" s="242" t="s">
        <v>962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88">
        <v>34.0</v>
      </c>
      <c r="C8" s="88" t="s">
        <v>614</v>
      </c>
      <c r="D8" s="89" t="s">
        <v>502</v>
      </c>
      <c r="E8" s="88">
        <v>3.0</v>
      </c>
      <c r="F8" s="89" t="s">
        <v>724</v>
      </c>
      <c r="G8" s="92">
        <v>0.015</v>
      </c>
      <c r="H8" s="92">
        <v>0.015</v>
      </c>
      <c r="I8" s="92">
        <v>0.0</v>
      </c>
      <c r="J8" s="91">
        <v>0.0</v>
      </c>
      <c r="K8" s="241" t="s">
        <v>963</v>
      </c>
      <c r="L8" s="1"/>
      <c r="M8" s="242" t="s">
        <v>964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88">
        <v>34.0</v>
      </c>
      <c r="C9" s="88" t="s">
        <v>614</v>
      </c>
      <c r="D9" s="89" t="s">
        <v>502</v>
      </c>
      <c r="E9" s="88">
        <v>4.0</v>
      </c>
      <c r="F9" s="89" t="s">
        <v>722</v>
      </c>
      <c r="G9" s="92">
        <v>0.18</v>
      </c>
      <c r="H9" s="92">
        <v>0.18</v>
      </c>
      <c r="I9" s="92">
        <v>0.0</v>
      </c>
      <c r="J9" s="91">
        <v>0.0</v>
      </c>
      <c r="K9" s="241" t="s">
        <v>965</v>
      </c>
      <c r="L9" s="1"/>
      <c r="M9" s="242" t="s">
        <v>966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88">
        <v>34.0</v>
      </c>
      <c r="C10" s="88" t="s">
        <v>614</v>
      </c>
      <c r="D10" s="89" t="s">
        <v>502</v>
      </c>
      <c r="E10" s="88">
        <v>5.0</v>
      </c>
      <c r="F10" s="89" t="s">
        <v>594</v>
      </c>
      <c r="G10" s="92">
        <v>0.025</v>
      </c>
      <c r="H10" s="92">
        <v>0.025</v>
      </c>
      <c r="I10" s="92">
        <v>0.0</v>
      </c>
      <c r="J10" s="91">
        <v>0.0</v>
      </c>
      <c r="K10" s="241" t="s">
        <v>967</v>
      </c>
      <c r="L10" s="1"/>
      <c r="M10" s="242" t="s">
        <v>968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88">
        <v>35.0</v>
      </c>
      <c r="C11" s="88" t="s">
        <v>614</v>
      </c>
      <c r="D11" s="89" t="s">
        <v>381</v>
      </c>
      <c r="E11" s="88">
        <v>1.0</v>
      </c>
      <c r="F11" s="89" t="s">
        <v>784</v>
      </c>
      <c r="G11" s="92">
        <v>0.57</v>
      </c>
      <c r="H11" s="92">
        <v>0.57</v>
      </c>
      <c r="I11" s="92">
        <v>0.0</v>
      </c>
      <c r="J11" s="91">
        <v>0.0</v>
      </c>
      <c r="K11" s="241" t="s">
        <v>969</v>
      </c>
      <c r="L11" s="1" t="s">
        <v>683</v>
      </c>
      <c r="M11" s="242" t="s">
        <v>970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88">
        <v>35.0</v>
      </c>
      <c r="C12" s="88" t="s">
        <v>614</v>
      </c>
      <c r="D12" s="89" t="s">
        <v>381</v>
      </c>
      <c r="E12" s="88">
        <v>2.0</v>
      </c>
      <c r="F12" s="89" t="s">
        <v>657</v>
      </c>
      <c r="G12" s="92">
        <v>0.15</v>
      </c>
      <c r="H12" s="92">
        <v>0.15</v>
      </c>
      <c r="I12" s="92">
        <v>0.0</v>
      </c>
      <c r="J12" s="91">
        <v>0.0</v>
      </c>
      <c r="K12" s="241" t="s">
        <v>971</v>
      </c>
      <c r="L12" s="1" t="s">
        <v>683</v>
      </c>
      <c r="M12" s="242" t="s">
        <v>972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88">
        <v>35.0</v>
      </c>
      <c r="C13" s="88" t="s">
        <v>614</v>
      </c>
      <c r="D13" s="89" t="s">
        <v>381</v>
      </c>
      <c r="E13" s="88">
        <v>3.0</v>
      </c>
      <c r="F13" s="89" t="s">
        <v>722</v>
      </c>
      <c r="G13" s="92">
        <v>0.23</v>
      </c>
      <c r="H13" s="92">
        <v>0.23</v>
      </c>
      <c r="I13" s="92">
        <v>0.0</v>
      </c>
      <c r="J13" s="91">
        <v>0.0</v>
      </c>
      <c r="K13" s="241" t="s">
        <v>973</v>
      </c>
      <c r="L13" s="1" t="s">
        <v>683</v>
      </c>
      <c r="M13" s="242" t="s">
        <v>974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88">
        <v>35.0</v>
      </c>
      <c r="C14" s="88" t="s">
        <v>614</v>
      </c>
      <c r="D14" s="89" t="s">
        <v>381</v>
      </c>
      <c r="E14" s="88">
        <v>4.0</v>
      </c>
      <c r="F14" s="89" t="s">
        <v>522</v>
      </c>
      <c r="G14" s="92">
        <v>0.0</v>
      </c>
      <c r="H14" s="92">
        <v>0.0</v>
      </c>
      <c r="I14" s="92">
        <v>0.049941</v>
      </c>
      <c r="J14" s="91">
        <v>0.0</v>
      </c>
      <c r="K14" s="241" t="s">
        <v>975</v>
      </c>
      <c r="L14" s="1" t="s">
        <v>683</v>
      </c>
      <c r="M14" s="242" t="s">
        <v>976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88">
        <v>36.0</v>
      </c>
      <c r="C15" s="88" t="s">
        <v>614</v>
      </c>
      <c r="D15" s="89" t="s">
        <v>382</v>
      </c>
      <c r="E15" s="88">
        <v>1.0</v>
      </c>
      <c r="F15" s="89" t="s">
        <v>763</v>
      </c>
      <c r="G15" s="92">
        <v>0.78</v>
      </c>
      <c r="H15" s="92">
        <v>0.78</v>
      </c>
      <c r="I15" s="92">
        <v>0.0</v>
      </c>
      <c r="J15" s="91">
        <v>0.0</v>
      </c>
      <c r="K15" s="241" t="s">
        <v>977</v>
      </c>
      <c r="L15" s="1"/>
      <c r="M15" s="242" t="s">
        <v>978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88">
        <v>36.0</v>
      </c>
      <c r="C16" s="88" t="s">
        <v>614</v>
      </c>
      <c r="D16" s="89" t="s">
        <v>382</v>
      </c>
      <c r="E16" s="88">
        <v>2.0</v>
      </c>
      <c r="F16" s="89" t="s">
        <v>657</v>
      </c>
      <c r="G16" s="92">
        <v>0.12</v>
      </c>
      <c r="H16" s="92">
        <v>0.12</v>
      </c>
      <c r="I16" s="92">
        <v>0.0</v>
      </c>
      <c r="J16" s="91">
        <v>0.0</v>
      </c>
      <c r="K16" s="241" t="s">
        <v>979</v>
      </c>
      <c r="L16" s="1"/>
      <c r="M16" s="242" t="s">
        <v>980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88">
        <v>36.0</v>
      </c>
      <c r="C17" s="88" t="s">
        <v>614</v>
      </c>
      <c r="D17" s="89" t="s">
        <v>382</v>
      </c>
      <c r="E17" s="88">
        <v>3.0</v>
      </c>
      <c r="F17" s="89" t="s">
        <v>722</v>
      </c>
      <c r="G17" s="92">
        <v>0.05</v>
      </c>
      <c r="H17" s="92">
        <v>0.05</v>
      </c>
      <c r="I17" s="92">
        <v>0.0</v>
      </c>
      <c r="J17" s="91">
        <v>0.0</v>
      </c>
      <c r="K17" s="241" t="s">
        <v>981</v>
      </c>
      <c r="L17" s="1"/>
      <c r="M17" s="242" t="s">
        <v>982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88">
        <v>39.0</v>
      </c>
      <c r="C18" s="88" t="s">
        <v>614</v>
      </c>
      <c r="D18" s="89" t="s">
        <v>618</v>
      </c>
      <c r="E18" s="88">
        <v>1.0</v>
      </c>
      <c r="F18" s="89" t="s">
        <v>765</v>
      </c>
      <c r="G18" s="92">
        <v>0.7</v>
      </c>
      <c r="H18" s="92">
        <v>0.7</v>
      </c>
      <c r="I18" s="92">
        <v>0.0</v>
      </c>
      <c r="J18" s="91">
        <v>0.0</v>
      </c>
      <c r="K18" s="241" t="s">
        <v>983</v>
      </c>
      <c r="L18" s="1"/>
      <c r="M18" s="242" t="s">
        <v>984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88">
        <v>39.0</v>
      </c>
      <c r="C19" s="88" t="s">
        <v>614</v>
      </c>
      <c r="D19" s="89" t="s">
        <v>618</v>
      </c>
      <c r="E19" s="88">
        <v>2.0</v>
      </c>
      <c r="F19" s="89" t="s">
        <v>657</v>
      </c>
      <c r="G19" s="92">
        <v>0.15</v>
      </c>
      <c r="H19" s="92">
        <v>0.15</v>
      </c>
      <c r="I19" s="92">
        <v>0.0</v>
      </c>
      <c r="J19" s="91">
        <v>0.0</v>
      </c>
      <c r="K19" s="241" t="s">
        <v>985</v>
      </c>
      <c r="L19" s="1"/>
      <c r="M19" s="242" t="s">
        <v>986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88">
        <v>39.0</v>
      </c>
      <c r="C20" s="88" t="s">
        <v>614</v>
      </c>
      <c r="D20" s="89" t="s">
        <v>618</v>
      </c>
      <c r="E20" s="88">
        <v>3.0</v>
      </c>
      <c r="F20" s="89" t="s">
        <v>722</v>
      </c>
      <c r="G20" s="92">
        <v>0.095</v>
      </c>
      <c r="H20" s="92">
        <v>0.095</v>
      </c>
      <c r="I20" s="92">
        <v>0.0</v>
      </c>
      <c r="J20" s="91">
        <v>0.0</v>
      </c>
      <c r="K20" s="241" t="s">
        <v>987</v>
      </c>
      <c r="L20" s="1"/>
      <c r="M20" s="242" t="s">
        <v>988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88">
        <v>39.0</v>
      </c>
      <c r="C21" s="88" t="s">
        <v>614</v>
      </c>
      <c r="D21" s="89" t="s">
        <v>618</v>
      </c>
      <c r="E21" s="88">
        <v>4.0</v>
      </c>
      <c r="F21" s="89" t="s">
        <v>573</v>
      </c>
      <c r="G21" s="92">
        <v>0.05</v>
      </c>
      <c r="H21" s="92">
        <v>0.05</v>
      </c>
      <c r="I21" s="92">
        <v>0.0</v>
      </c>
      <c r="J21" s="91">
        <v>0.0</v>
      </c>
      <c r="K21" s="241" t="s">
        <v>989</v>
      </c>
      <c r="L21" s="1"/>
      <c r="M21" s="242" t="s">
        <v>990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88">
        <v>39.0</v>
      </c>
      <c r="C22" s="88" t="s">
        <v>614</v>
      </c>
      <c r="D22" s="89" t="s">
        <v>618</v>
      </c>
      <c r="E22" s="88">
        <v>5.0</v>
      </c>
      <c r="F22" s="89" t="s">
        <v>571</v>
      </c>
      <c r="G22" s="92">
        <v>0.005</v>
      </c>
      <c r="H22" s="92">
        <v>0.005</v>
      </c>
      <c r="I22" s="92">
        <v>0.0</v>
      </c>
      <c r="J22" s="91">
        <v>0.0</v>
      </c>
      <c r="K22" s="241" t="s">
        <v>991</v>
      </c>
      <c r="L22" s="1"/>
      <c r="M22" s="242" t="s">
        <v>992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88">
        <v>40.0</v>
      </c>
      <c r="C23" s="88" t="s">
        <v>614</v>
      </c>
      <c r="D23" s="89" t="s">
        <v>633</v>
      </c>
      <c r="E23" s="88">
        <v>1.0</v>
      </c>
      <c r="F23" s="89" t="s">
        <v>784</v>
      </c>
      <c r="G23" s="92">
        <v>0.6</v>
      </c>
      <c r="H23" s="92">
        <v>0.6</v>
      </c>
      <c r="I23" s="92">
        <v>0.0</v>
      </c>
      <c r="J23" s="91">
        <v>0.0</v>
      </c>
      <c r="K23" s="241" t="s">
        <v>993</v>
      </c>
      <c r="L23" s="1"/>
      <c r="M23" s="242" t="s">
        <v>994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88">
        <v>40.0</v>
      </c>
      <c r="C24" s="88" t="s">
        <v>614</v>
      </c>
      <c r="D24" s="89" t="s">
        <v>633</v>
      </c>
      <c r="E24" s="88">
        <v>2.0</v>
      </c>
      <c r="F24" s="89" t="s">
        <v>657</v>
      </c>
      <c r="G24" s="92">
        <v>0.15</v>
      </c>
      <c r="H24" s="92">
        <v>0.15</v>
      </c>
      <c r="I24" s="92">
        <v>0.0</v>
      </c>
      <c r="J24" s="91">
        <v>0.0</v>
      </c>
      <c r="K24" s="241" t="s">
        <v>995</v>
      </c>
      <c r="L24" s="1"/>
      <c r="M24" s="242" t="s">
        <v>996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88">
        <v>40.0</v>
      </c>
      <c r="C25" s="88" t="s">
        <v>614</v>
      </c>
      <c r="D25" s="89" t="s">
        <v>633</v>
      </c>
      <c r="E25" s="88">
        <v>3.0</v>
      </c>
      <c r="F25" s="89" t="s">
        <v>571</v>
      </c>
      <c r="G25" s="92">
        <v>0.005</v>
      </c>
      <c r="H25" s="92">
        <v>0.005</v>
      </c>
      <c r="I25" s="92">
        <v>0.0</v>
      </c>
      <c r="J25" s="91">
        <v>0.0</v>
      </c>
      <c r="K25" s="241" t="s">
        <v>997</v>
      </c>
      <c r="L25" s="1"/>
      <c r="M25" s="242" t="s">
        <v>998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243">
        <v>40.0</v>
      </c>
      <c r="C26" s="243" t="s">
        <v>614</v>
      </c>
      <c r="D26" s="244" t="s">
        <v>633</v>
      </c>
      <c r="E26" s="243">
        <v>4.0</v>
      </c>
      <c r="F26" s="244" t="s">
        <v>579</v>
      </c>
      <c r="G26" s="245">
        <v>0.1</v>
      </c>
      <c r="H26" s="245">
        <v>0.1</v>
      </c>
      <c r="I26" s="245">
        <v>0.0</v>
      </c>
      <c r="J26" s="246">
        <v>0.0</v>
      </c>
      <c r="K26" s="247" t="s">
        <v>999</v>
      </c>
      <c r="L26" s="248"/>
      <c r="M26" s="242" t="s">
        <v>1000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88">
        <v>40.0</v>
      </c>
      <c r="C27" s="88" t="s">
        <v>614</v>
      </c>
      <c r="D27" s="89" t="s">
        <v>633</v>
      </c>
      <c r="E27" s="88">
        <v>5.0</v>
      </c>
      <c r="F27" s="89" t="s">
        <v>722</v>
      </c>
      <c r="G27" s="92">
        <v>0.095</v>
      </c>
      <c r="H27" s="92">
        <v>0.095</v>
      </c>
      <c r="I27" s="92">
        <v>0.0</v>
      </c>
      <c r="J27" s="91">
        <v>0.0</v>
      </c>
      <c r="K27" s="241" t="s">
        <v>1001</v>
      </c>
      <c r="L27" s="1"/>
      <c r="M27" s="242" t="s">
        <v>1002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88">
        <v>40.0</v>
      </c>
      <c r="C28" s="88" t="s">
        <v>614</v>
      </c>
      <c r="D28" s="89" t="s">
        <v>633</v>
      </c>
      <c r="E28" s="88">
        <v>6.0</v>
      </c>
      <c r="F28" s="89" t="s">
        <v>573</v>
      </c>
      <c r="G28" s="92">
        <v>0.05</v>
      </c>
      <c r="H28" s="92">
        <v>0.05</v>
      </c>
      <c r="I28" s="92">
        <v>0.0</v>
      </c>
      <c r="J28" s="91">
        <v>0.0</v>
      </c>
      <c r="K28" s="241" t="s">
        <v>1003</v>
      </c>
      <c r="L28" s="1"/>
      <c r="M28" s="242" t="s">
        <v>1004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88">
        <v>41.0</v>
      </c>
      <c r="C29" s="88" t="s">
        <v>614</v>
      </c>
      <c r="D29" s="89" t="s">
        <v>615</v>
      </c>
      <c r="E29" s="88">
        <v>1.0</v>
      </c>
      <c r="F29" s="89" t="s">
        <v>657</v>
      </c>
      <c r="G29" s="92">
        <v>0.15</v>
      </c>
      <c r="H29" s="92">
        <v>0.15</v>
      </c>
      <c r="I29" s="92">
        <v>0.0</v>
      </c>
      <c r="J29" s="91">
        <v>0.0</v>
      </c>
      <c r="K29" s="241" t="s">
        <v>1005</v>
      </c>
      <c r="L29" s="1"/>
      <c r="M29" s="242" t="s">
        <v>1006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88">
        <v>41.0</v>
      </c>
      <c r="C30" s="88" t="s">
        <v>614</v>
      </c>
      <c r="D30" s="89" t="s">
        <v>615</v>
      </c>
      <c r="E30" s="88">
        <v>2.0</v>
      </c>
      <c r="F30" s="89" t="s">
        <v>763</v>
      </c>
      <c r="G30" s="92">
        <v>0.7</v>
      </c>
      <c r="H30" s="92">
        <v>0.7</v>
      </c>
      <c r="I30" s="92">
        <v>0.0</v>
      </c>
      <c r="J30" s="91">
        <v>0.0</v>
      </c>
      <c r="K30" s="241" t="s">
        <v>1007</v>
      </c>
      <c r="L30" s="1"/>
      <c r="M30" s="242" t="s">
        <v>1008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88">
        <v>41.0</v>
      </c>
      <c r="C31" s="88" t="s">
        <v>614</v>
      </c>
      <c r="D31" s="89" t="s">
        <v>615</v>
      </c>
      <c r="E31" s="88">
        <v>3.0</v>
      </c>
      <c r="F31" s="89" t="s">
        <v>722</v>
      </c>
      <c r="G31" s="92">
        <v>0.095</v>
      </c>
      <c r="H31" s="92">
        <v>0.095</v>
      </c>
      <c r="I31" s="92">
        <v>0.0</v>
      </c>
      <c r="J31" s="91">
        <v>0.0</v>
      </c>
      <c r="K31" s="241" t="s">
        <v>1009</v>
      </c>
      <c r="L31" s="1"/>
      <c r="M31" s="242" t="s">
        <v>1010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43">
        <v>41.0</v>
      </c>
      <c r="C32" s="243" t="s">
        <v>614</v>
      </c>
      <c r="D32" s="244" t="s">
        <v>615</v>
      </c>
      <c r="E32" s="243">
        <v>4.0</v>
      </c>
      <c r="F32" s="244" t="s">
        <v>573</v>
      </c>
      <c r="G32" s="245">
        <v>0.05</v>
      </c>
      <c r="H32" s="245">
        <v>0.05</v>
      </c>
      <c r="I32" s="245">
        <v>0.0</v>
      </c>
      <c r="J32" s="246">
        <v>0.0</v>
      </c>
      <c r="K32" s="247" t="s">
        <v>1011</v>
      </c>
      <c r="L32" s="248"/>
      <c r="M32" s="242" t="s">
        <v>1012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88">
        <v>41.0</v>
      </c>
      <c r="C33" s="88" t="s">
        <v>614</v>
      </c>
      <c r="D33" s="89" t="s">
        <v>615</v>
      </c>
      <c r="E33" s="88">
        <v>5.0</v>
      </c>
      <c r="F33" s="89" t="s">
        <v>571</v>
      </c>
      <c r="G33" s="92">
        <v>0.005</v>
      </c>
      <c r="H33" s="92">
        <v>0.005</v>
      </c>
      <c r="I33" s="92">
        <v>0.0</v>
      </c>
      <c r="J33" s="91">
        <v>0.0</v>
      </c>
      <c r="K33" s="241" t="s">
        <v>1013</v>
      </c>
      <c r="L33" s="1"/>
      <c r="M33" s="242" t="s">
        <v>1014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88">
        <v>42.0</v>
      </c>
      <c r="C34" s="88" t="s">
        <v>614</v>
      </c>
      <c r="D34" s="89" t="s">
        <v>704</v>
      </c>
      <c r="E34" s="88">
        <v>1.0</v>
      </c>
      <c r="F34" s="89" t="s">
        <v>657</v>
      </c>
      <c r="G34" s="92">
        <v>0.95</v>
      </c>
      <c r="H34" s="92">
        <v>0.95</v>
      </c>
      <c r="I34" s="92">
        <v>0.0</v>
      </c>
      <c r="J34" s="91">
        <v>0.0</v>
      </c>
      <c r="K34" s="241" t="s">
        <v>1015</v>
      </c>
      <c r="L34" s="1"/>
      <c r="M34" s="242" t="s">
        <v>1016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88">
        <v>42.0</v>
      </c>
      <c r="C35" s="88" t="s">
        <v>614</v>
      </c>
      <c r="D35" s="89" t="s">
        <v>704</v>
      </c>
      <c r="E35" s="88">
        <v>2.0</v>
      </c>
      <c r="F35" s="89" t="s">
        <v>573</v>
      </c>
      <c r="G35" s="92">
        <v>0.05</v>
      </c>
      <c r="H35" s="92">
        <v>0.05</v>
      </c>
      <c r="I35" s="92">
        <v>0.0</v>
      </c>
      <c r="J35" s="91">
        <v>0.0</v>
      </c>
      <c r="K35" s="241" t="s">
        <v>1017</v>
      </c>
      <c r="L35" s="1"/>
      <c r="M35" s="242" t="s">
        <v>1018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88">
        <v>43.0</v>
      </c>
      <c r="C36" s="88" t="s">
        <v>636</v>
      </c>
      <c r="D36" s="89" t="s">
        <v>734</v>
      </c>
      <c r="E36" s="88">
        <v>1.0</v>
      </c>
      <c r="F36" s="89" t="s">
        <v>767</v>
      </c>
      <c r="G36" s="92">
        <v>0.932</v>
      </c>
      <c r="H36" s="92">
        <v>0.932</v>
      </c>
      <c r="I36" s="92">
        <v>0.0</v>
      </c>
      <c r="J36" s="91">
        <v>0.0</v>
      </c>
      <c r="K36" s="241" t="s">
        <v>1019</v>
      </c>
      <c r="L36" s="1"/>
      <c r="M36" s="242" t="s">
        <v>1020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88">
        <v>43.0</v>
      </c>
      <c r="C37" s="88" t="s">
        <v>636</v>
      </c>
      <c r="D37" s="89" t="s">
        <v>734</v>
      </c>
      <c r="E37" s="88">
        <v>2.0</v>
      </c>
      <c r="F37" s="89" t="s">
        <v>593</v>
      </c>
      <c r="G37" s="92">
        <v>0.047</v>
      </c>
      <c r="H37" s="92">
        <v>0.047</v>
      </c>
      <c r="I37" s="92">
        <v>0.0</v>
      </c>
      <c r="J37" s="91">
        <v>0.0</v>
      </c>
      <c r="K37" s="241" t="s">
        <v>1021</v>
      </c>
      <c r="L37" s="1"/>
      <c r="M37" s="242" t="s">
        <v>1022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88">
        <v>43.0</v>
      </c>
      <c r="C38" s="88" t="s">
        <v>636</v>
      </c>
      <c r="D38" s="89" t="s">
        <v>734</v>
      </c>
      <c r="E38" s="88">
        <v>3.0</v>
      </c>
      <c r="F38" s="89" t="s">
        <v>771</v>
      </c>
      <c r="G38" s="92">
        <v>0.012</v>
      </c>
      <c r="H38" s="92">
        <v>0.012</v>
      </c>
      <c r="I38" s="92">
        <v>0.0</v>
      </c>
      <c r="J38" s="91">
        <v>0.0</v>
      </c>
      <c r="K38" s="241" t="s">
        <v>1023</v>
      </c>
      <c r="L38" s="1"/>
      <c r="M38" s="242" t="s">
        <v>1024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88">
        <v>43.0</v>
      </c>
      <c r="C39" s="88" t="s">
        <v>636</v>
      </c>
      <c r="D39" s="89" t="s">
        <v>734</v>
      </c>
      <c r="E39" s="88">
        <v>4.0</v>
      </c>
      <c r="F39" s="89" t="s">
        <v>757</v>
      </c>
      <c r="G39" s="92">
        <v>0.009</v>
      </c>
      <c r="H39" s="92">
        <v>0.009</v>
      </c>
      <c r="I39" s="92">
        <v>0.0</v>
      </c>
      <c r="J39" s="91">
        <v>0.0</v>
      </c>
      <c r="K39" s="241" t="s">
        <v>1025</v>
      </c>
      <c r="L39" s="1"/>
      <c r="M39" s="242" t="s">
        <v>1026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88">
        <v>44.0</v>
      </c>
      <c r="C40" s="88" t="s">
        <v>636</v>
      </c>
      <c r="D40" s="89" t="s">
        <v>736</v>
      </c>
      <c r="E40" s="88">
        <v>1.0</v>
      </c>
      <c r="F40" s="89" t="s">
        <v>771</v>
      </c>
      <c r="G40" s="92">
        <v>0.77</v>
      </c>
      <c r="H40" s="92">
        <v>0.77</v>
      </c>
      <c r="I40" s="92">
        <v>0.0</v>
      </c>
      <c r="J40" s="91">
        <v>0.0</v>
      </c>
      <c r="K40" s="241" t="s">
        <v>1027</v>
      </c>
      <c r="L40" s="1"/>
      <c r="M40" s="242" t="s">
        <v>1028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88">
        <v>44.0</v>
      </c>
      <c r="C41" s="88" t="s">
        <v>636</v>
      </c>
      <c r="D41" s="89" t="s">
        <v>736</v>
      </c>
      <c r="E41" s="88">
        <v>2.0</v>
      </c>
      <c r="F41" s="89" t="s">
        <v>593</v>
      </c>
      <c r="G41" s="92">
        <v>0.07</v>
      </c>
      <c r="H41" s="92">
        <v>0.07</v>
      </c>
      <c r="I41" s="92">
        <v>0.0</v>
      </c>
      <c r="J41" s="91">
        <v>0.0</v>
      </c>
      <c r="K41" s="241" t="s">
        <v>1029</v>
      </c>
      <c r="L41" s="1"/>
      <c r="M41" s="242" t="s">
        <v>1030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88">
        <v>44.0</v>
      </c>
      <c r="C42" s="88" t="s">
        <v>636</v>
      </c>
      <c r="D42" s="89" t="s">
        <v>736</v>
      </c>
      <c r="E42" s="88">
        <v>3.0</v>
      </c>
      <c r="F42" s="89" t="s">
        <v>757</v>
      </c>
      <c r="G42" s="92">
        <v>0.16</v>
      </c>
      <c r="H42" s="92">
        <v>0.16</v>
      </c>
      <c r="I42" s="92">
        <v>0.0</v>
      </c>
      <c r="J42" s="91">
        <v>0.0</v>
      </c>
      <c r="K42" s="241" t="s">
        <v>1031</v>
      </c>
      <c r="L42" s="1"/>
      <c r="M42" s="242" t="s">
        <v>1032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88">
        <v>45.0</v>
      </c>
      <c r="C43" s="88" t="s">
        <v>636</v>
      </c>
      <c r="D43" s="89" t="s">
        <v>739</v>
      </c>
      <c r="E43" s="88">
        <v>1.0</v>
      </c>
      <c r="F43" s="89" t="s">
        <v>786</v>
      </c>
      <c r="G43" s="92">
        <v>1.0</v>
      </c>
      <c r="H43" s="92">
        <v>1.0</v>
      </c>
      <c r="I43" s="92">
        <v>0.0</v>
      </c>
      <c r="J43" s="91">
        <v>0.0</v>
      </c>
      <c r="K43" s="241" t="s">
        <v>1033</v>
      </c>
      <c r="L43" s="1"/>
      <c r="M43" s="242" t="s">
        <v>1034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88">
        <v>46.0</v>
      </c>
      <c r="C44" s="88" t="s">
        <v>636</v>
      </c>
      <c r="D44" s="89" t="s">
        <v>731</v>
      </c>
      <c r="E44" s="88">
        <v>1.0</v>
      </c>
      <c r="F44" s="89" t="s">
        <v>760</v>
      </c>
      <c r="G44" s="92">
        <v>0.975</v>
      </c>
      <c r="H44" s="92">
        <v>0.975</v>
      </c>
      <c r="I44" s="92">
        <v>0.0</v>
      </c>
      <c r="J44" s="91">
        <v>0.0</v>
      </c>
      <c r="K44" s="241" t="s">
        <v>1035</v>
      </c>
      <c r="L44" s="1"/>
      <c r="M44" s="242" t="s">
        <v>1036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88">
        <v>46.0</v>
      </c>
      <c r="C45" s="88" t="s">
        <v>636</v>
      </c>
      <c r="D45" s="89" t="s">
        <v>731</v>
      </c>
      <c r="E45" s="88">
        <v>2.0</v>
      </c>
      <c r="F45" s="89" t="s">
        <v>593</v>
      </c>
      <c r="G45" s="92">
        <v>0.025</v>
      </c>
      <c r="H45" s="92">
        <v>0.025</v>
      </c>
      <c r="I45" s="92">
        <v>0.0</v>
      </c>
      <c r="J45" s="91">
        <v>0.0</v>
      </c>
      <c r="K45" s="241" t="s">
        <v>1037</v>
      </c>
      <c r="L45" s="1"/>
      <c r="M45" s="242" t="s">
        <v>1038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88">
        <v>48.0</v>
      </c>
      <c r="C46" s="88" t="s">
        <v>636</v>
      </c>
      <c r="D46" s="89" t="s">
        <v>637</v>
      </c>
      <c r="E46" s="88">
        <v>1.0</v>
      </c>
      <c r="F46" s="89" t="s">
        <v>736</v>
      </c>
      <c r="G46" s="92">
        <v>0.65</v>
      </c>
      <c r="H46" s="92">
        <v>0.65</v>
      </c>
      <c r="I46" s="92">
        <v>0.0</v>
      </c>
      <c r="J46" s="91">
        <v>0.0</v>
      </c>
      <c r="K46" s="241" t="s">
        <v>1039</v>
      </c>
      <c r="L46" s="1"/>
      <c r="M46" s="242" t="s">
        <v>1040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88">
        <v>48.0</v>
      </c>
      <c r="C47" s="88" t="s">
        <v>636</v>
      </c>
      <c r="D47" s="89" t="s">
        <v>637</v>
      </c>
      <c r="E47" s="88">
        <v>2.0</v>
      </c>
      <c r="F47" s="89" t="s">
        <v>657</v>
      </c>
      <c r="G47" s="92">
        <v>0.15</v>
      </c>
      <c r="H47" s="92">
        <v>0.15</v>
      </c>
      <c r="I47" s="92">
        <v>0.0</v>
      </c>
      <c r="J47" s="91">
        <v>0.0</v>
      </c>
      <c r="K47" s="241" t="s">
        <v>1041</v>
      </c>
      <c r="L47" s="1"/>
      <c r="M47" s="242" t="s">
        <v>1042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88">
        <v>48.0</v>
      </c>
      <c r="C48" s="88" t="s">
        <v>636</v>
      </c>
      <c r="D48" s="89" t="s">
        <v>637</v>
      </c>
      <c r="E48" s="88">
        <v>3.0</v>
      </c>
      <c r="F48" s="89" t="s">
        <v>753</v>
      </c>
      <c r="G48" s="92">
        <v>0.05</v>
      </c>
      <c r="H48" s="92">
        <v>0.05</v>
      </c>
      <c r="I48" s="92">
        <v>0.0</v>
      </c>
      <c r="J48" s="91">
        <v>0.0</v>
      </c>
      <c r="K48" s="241" t="s">
        <v>1043</v>
      </c>
      <c r="L48" s="1"/>
      <c r="M48" s="242" t="s">
        <v>1044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88">
        <v>48.0</v>
      </c>
      <c r="C49" s="88" t="s">
        <v>636</v>
      </c>
      <c r="D49" s="89" t="s">
        <v>637</v>
      </c>
      <c r="E49" s="88">
        <v>4.0</v>
      </c>
      <c r="F49" s="89" t="s">
        <v>757</v>
      </c>
      <c r="G49" s="92">
        <v>0.15</v>
      </c>
      <c r="H49" s="92">
        <v>0.15</v>
      </c>
      <c r="I49" s="92">
        <v>0.0</v>
      </c>
      <c r="J49" s="91">
        <v>0.0</v>
      </c>
      <c r="K49" s="241" t="s">
        <v>1045</v>
      </c>
      <c r="L49" s="1"/>
      <c r="M49" s="242" t="s">
        <v>1046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88">
        <v>49.0</v>
      </c>
      <c r="C50" s="88" t="s">
        <v>636</v>
      </c>
      <c r="D50" s="89" t="s">
        <v>648</v>
      </c>
      <c r="E50" s="88">
        <v>1.0</v>
      </c>
      <c r="F50" s="89" t="s">
        <v>739</v>
      </c>
      <c r="G50" s="92">
        <v>0.63</v>
      </c>
      <c r="H50" s="92">
        <v>0.63</v>
      </c>
      <c r="I50" s="92">
        <v>0.0</v>
      </c>
      <c r="J50" s="91">
        <v>0.0</v>
      </c>
      <c r="K50" s="241" t="s">
        <v>1047</v>
      </c>
      <c r="L50" s="1"/>
      <c r="M50" s="242" t="s">
        <v>1048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3.25" customHeight="1">
      <c r="A51" s="1"/>
      <c r="B51" s="88">
        <v>49.0</v>
      </c>
      <c r="C51" s="88" t="s">
        <v>636</v>
      </c>
      <c r="D51" s="89" t="s">
        <v>648</v>
      </c>
      <c r="E51" s="88">
        <v>2.0</v>
      </c>
      <c r="F51" s="89" t="s">
        <v>657</v>
      </c>
      <c r="G51" s="92">
        <v>0.15</v>
      </c>
      <c r="H51" s="92">
        <v>0.15</v>
      </c>
      <c r="I51" s="92">
        <v>0.0</v>
      </c>
      <c r="J51" s="91">
        <v>0.0</v>
      </c>
      <c r="K51" s="241" t="s">
        <v>1049</v>
      </c>
      <c r="L51" s="1"/>
      <c r="M51" s="242" t="s">
        <v>1050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88">
        <v>49.0</v>
      </c>
      <c r="C52" s="88" t="s">
        <v>636</v>
      </c>
      <c r="D52" s="89" t="s">
        <v>648</v>
      </c>
      <c r="E52" s="88">
        <v>3.0</v>
      </c>
      <c r="F52" s="89" t="s">
        <v>757</v>
      </c>
      <c r="G52" s="92">
        <v>0.17</v>
      </c>
      <c r="H52" s="92">
        <v>0.17</v>
      </c>
      <c r="I52" s="92">
        <v>0.0</v>
      </c>
      <c r="J52" s="91">
        <v>0.0</v>
      </c>
      <c r="K52" s="241" t="s">
        <v>1051</v>
      </c>
      <c r="L52" s="1"/>
      <c r="M52" s="242" t="s">
        <v>1052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88">
        <v>49.0</v>
      </c>
      <c r="C53" s="88" t="s">
        <v>636</v>
      </c>
      <c r="D53" s="89" t="s">
        <v>648</v>
      </c>
      <c r="E53" s="88">
        <v>4.0</v>
      </c>
      <c r="F53" s="89" t="s">
        <v>753</v>
      </c>
      <c r="G53" s="92">
        <v>0.05</v>
      </c>
      <c r="H53" s="92">
        <v>0.05</v>
      </c>
      <c r="I53" s="92">
        <v>0.0</v>
      </c>
      <c r="J53" s="91">
        <v>0.0</v>
      </c>
      <c r="K53" s="241" t="s">
        <v>1053</v>
      </c>
      <c r="L53" s="1"/>
      <c r="M53" s="242" t="s">
        <v>1054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88">
        <v>51.0</v>
      </c>
      <c r="C54" s="88" t="s">
        <v>636</v>
      </c>
      <c r="D54" s="89" t="s">
        <v>517</v>
      </c>
      <c r="E54" s="88">
        <v>1.0</v>
      </c>
      <c r="F54" s="89" t="s">
        <v>734</v>
      </c>
      <c r="G54" s="92">
        <v>0.65</v>
      </c>
      <c r="H54" s="92">
        <v>0.65</v>
      </c>
      <c r="I54" s="92">
        <v>0.0</v>
      </c>
      <c r="J54" s="91">
        <v>0.0</v>
      </c>
      <c r="K54" s="241" t="s">
        <v>1055</v>
      </c>
      <c r="L54" s="1"/>
      <c r="M54" s="242" t="s">
        <v>1056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88">
        <v>51.0</v>
      </c>
      <c r="C55" s="88" t="s">
        <v>636</v>
      </c>
      <c r="D55" s="89" t="s">
        <v>517</v>
      </c>
      <c r="E55" s="88">
        <v>2.0</v>
      </c>
      <c r="F55" s="89" t="s">
        <v>657</v>
      </c>
      <c r="G55" s="92">
        <v>0.15</v>
      </c>
      <c r="H55" s="92">
        <v>0.15</v>
      </c>
      <c r="I55" s="92">
        <v>0.0</v>
      </c>
      <c r="J55" s="91">
        <v>0.0</v>
      </c>
      <c r="K55" s="241" t="s">
        <v>1057</v>
      </c>
      <c r="L55" s="1"/>
      <c r="M55" s="242" t="s">
        <v>1058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88">
        <v>51.0</v>
      </c>
      <c r="C56" s="88" t="s">
        <v>636</v>
      </c>
      <c r="D56" s="89" t="s">
        <v>517</v>
      </c>
      <c r="E56" s="88">
        <v>3.0</v>
      </c>
      <c r="F56" s="89" t="s">
        <v>757</v>
      </c>
      <c r="G56" s="92">
        <v>0.2</v>
      </c>
      <c r="H56" s="92">
        <v>0.2</v>
      </c>
      <c r="I56" s="92">
        <v>0.0</v>
      </c>
      <c r="J56" s="91">
        <v>0.0</v>
      </c>
      <c r="K56" s="241" t="s">
        <v>1059</v>
      </c>
      <c r="L56" s="1"/>
      <c r="M56" s="242" t="s">
        <v>1060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88">
        <v>51.0</v>
      </c>
      <c r="C57" s="88" t="s">
        <v>636</v>
      </c>
      <c r="D57" s="89" t="s">
        <v>517</v>
      </c>
      <c r="E57" s="88">
        <v>4.0</v>
      </c>
      <c r="F57" s="89" t="s">
        <v>753</v>
      </c>
      <c r="G57" s="92">
        <v>0.0</v>
      </c>
      <c r="H57" s="92">
        <v>0.0</v>
      </c>
      <c r="I57" s="92">
        <v>0.0</v>
      </c>
      <c r="J57" s="91">
        <v>0.0</v>
      </c>
      <c r="K57" s="241" t="s">
        <v>1061</v>
      </c>
      <c r="L57" s="1"/>
      <c r="M57" s="242" t="s">
        <v>1062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88">
        <v>52.0</v>
      </c>
      <c r="C58" s="88" t="s">
        <v>608</v>
      </c>
      <c r="D58" s="89" t="s">
        <v>654</v>
      </c>
      <c r="E58" s="88">
        <v>1.0</v>
      </c>
      <c r="F58" s="89" t="s">
        <v>775</v>
      </c>
      <c r="G58" s="92">
        <v>0.55</v>
      </c>
      <c r="H58" s="92">
        <v>0.55</v>
      </c>
      <c r="I58" s="92">
        <v>0.0</v>
      </c>
      <c r="J58" s="91">
        <v>0.0</v>
      </c>
      <c r="K58" s="241" t="s">
        <v>1063</v>
      </c>
      <c r="L58" s="1"/>
      <c r="M58" s="242" t="s">
        <v>1064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88">
        <v>52.0</v>
      </c>
      <c r="C59" s="88" t="s">
        <v>608</v>
      </c>
      <c r="D59" s="89" t="s">
        <v>654</v>
      </c>
      <c r="E59" s="88">
        <v>2.0</v>
      </c>
      <c r="F59" s="89" t="s">
        <v>659</v>
      </c>
      <c r="G59" s="92">
        <v>0.15</v>
      </c>
      <c r="H59" s="92">
        <v>0.15</v>
      </c>
      <c r="I59" s="92">
        <v>0.0</v>
      </c>
      <c r="J59" s="91">
        <v>0.0</v>
      </c>
      <c r="K59" s="241" t="s">
        <v>1065</v>
      </c>
      <c r="L59" s="1"/>
      <c r="M59" s="242" t="s">
        <v>1066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88">
        <v>52.0</v>
      </c>
      <c r="C60" s="88" t="s">
        <v>608</v>
      </c>
      <c r="D60" s="89" t="s">
        <v>654</v>
      </c>
      <c r="E60" s="88">
        <v>3.0</v>
      </c>
      <c r="F60" s="89" t="s">
        <v>757</v>
      </c>
      <c r="G60" s="92">
        <v>0.3</v>
      </c>
      <c r="H60" s="92">
        <v>0.3</v>
      </c>
      <c r="I60" s="92">
        <v>0.0</v>
      </c>
      <c r="J60" s="91">
        <v>0.0</v>
      </c>
      <c r="K60" s="241" t="s">
        <v>1067</v>
      </c>
      <c r="L60" s="1"/>
      <c r="M60" s="242" t="s">
        <v>1068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88">
        <v>53.0</v>
      </c>
      <c r="C61" s="88" t="s">
        <v>608</v>
      </c>
      <c r="D61" s="89" t="s">
        <v>651</v>
      </c>
      <c r="E61" s="88">
        <v>1.0</v>
      </c>
      <c r="F61" s="89" t="s">
        <v>775</v>
      </c>
      <c r="G61" s="92">
        <v>0.31</v>
      </c>
      <c r="H61" s="92">
        <v>0.31</v>
      </c>
      <c r="I61" s="92">
        <v>0.0</v>
      </c>
      <c r="J61" s="91">
        <v>0.0</v>
      </c>
      <c r="K61" s="241" t="s">
        <v>1069</v>
      </c>
      <c r="L61" s="1"/>
      <c r="M61" s="242" t="s">
        <v>1070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88">
        <v>53.0</v>
      </c>
      <c r="C62" s="88" t="s">
        <v>608</v>
      </c>
      <c r="D62" s="89" t="s">
        <v>651</v>
      </c>
      <c r="E62" s="88">
        <v>2.0</v>
      </c>
      <c r="F62" s="89" t="s">
        <v>431</v>
      </c>
      <c r="G62" s="92">
        <v>0.1</v>
      </c>
      <c r="H62" s="92">
        <v>0.1</v>
      </c>
      <c r="I62" s="92">
        <v>0.0</v>
      </c>
      <c r="J62" s="91">
        <v>0.0</v>
      </c>
      <c r="K62" s="241" t="s">
        <v>1071</v>
      </c>
      <c r="L62" s="1"/>
      <c r="M62" s="242" t="s">
        <v>1072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88">
        <v>53.0</v>
      </c>
      <c r="C63" s="88" t="s">
        <v>608</v>
      </c>
      <c r="D63" s="89" t="s">
        <v>651</v>
      </c>
      <c r="E63" s="88">
        <v>3.0</v>
      </c>
      <c r="F63" s="89" t="s">
        <v>659</v>
      </c>
      <c r="G63" s="92">
        <v>0.15</v>
      </c>
      <c r="H63" s="92">
        <v>0.15</v>
      </c>
      <c r="I63" s="92">
        <v>0.0</v>
      </c>
      <c r="J63" s="91">
        <v>0.0</v>
      </c>
      <c r="K63" s="241" t="s">
        <v>1073</v>
      </c>
      <c r="L63" s="1"/>
      <c r="M63" s="242" t="s">
        <v>1074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88">
        <v>53.0</v>
      </c>
      <c r="C64" s="88" t="s">
        <v>608</v>
      </c>
      <c r="D64" s="89" t="s">
        <v>651</v>
      </c>
      <c r="E64" s="88">
        <v>4.0</v>
      </c>
      <c r="F64" s="89" t="s">
        <v>757</v>
      </c>
      <c r="G64" s="92">
        <v>0.44</v>
      </c>
      <c r="H64" s="92">
        <v>0.44</v>
      </c>
      <c r="I64" s="92">
        <v>0.0</v>
      </c>
      <c r="J64" s="91">
        <v>0.0</v>
      </c>
      <c r="K64" s="241" t="s">
        <v>1075</v>
      </c>
      <c r="L64" s="1"/>
      <c r="M64" s="242" t="s">
        <v>1076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88">
        <v>54.0</v>
      </c>
      <c r="C65" s="88" t="s">
        <v>608</v>
      </c>
      <c r="D65" s="89" t="s">
        <v>521</v>
      </c>
      <c r="E65" s="88">
        <v>1.0</v>
      </c>
      <c r="F65" s="89" t="s">
        <v>773</v>
      </c>
      <c r="G65" s="92">
        <v>0.55</v>
      </c>
      <c r="H65" s="92">
        <v>0.55</v>
      </c>
      <c r="I65" s="92">
        <v>0.0</v>
      </c>
      <c r="J65" s="91">
        <v>0.0</v>
      </c>
      <c r="K65" s="241" t="s">
        <v>1077</v>
      </c>
      <c r="L65" s="1"/>
      <c r="M65" s="242" t="s">
        <v>1078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88">
        <v>54.0</v>
      </c>
      <c r="C66" s="88" t="s">
        <v>608</v>
      </c>
      <c r="D66" s="89" t="s">
        <v>521</v>
      </c>
      <c r="E66" s="88">
        <v>2.0</v>
      </c>
      <c r="F66" s="89" t="s">
        <v>659</v>
      </c>
      <c r="G66" s="92">
        <v>0.15</v>
      </c>
      <c r="H66" s="92">
        <v>0.15</v>
      </c>
      <c r="I66" s="92">
        <v>0.0</v>
      </c>
      <c r="J66" s="91">
        <v>0.0</v>
      </c>
      <c r="K66" s="241" t="s">
        <v>1079</v>
      </c>
      <c r="L66" s="1"/>
      <c r="M66" s="242" t="s">
        <v>1080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88">
        <v>54.0</v>
      </c>
      <c r="C67" s="88" t="s">
        <v>608</v>
      </c>
      <c r="D67" s="89" t="s">
        <v>521</v>
      </c>
      <c r="E67" s="88">
        <v>3.0</v>
      </c>
      <c r="F67" s="89" t="s">
        <v>722</v>
      </c>
      <c r="G67" s="92">
        <v>0.3</v>
      </c>
      <c r="H67" s="92">
        <v>0.3</v>
      </c>
      <c r="I67" s="92">
        <v>0.0</v>
      </c>
      <c r="J67" s="91">
        <v>0.0</v>
      </c>
      <c r="K67" s="241" t="s">
        <v>1081</v>
      </c>
      <c r="L67" s="1"/>
      <c r="M67" s="242" t="s">
        <v>1082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88">
        <v>57.0</v>
      </c>
      <c r="C68" s="88" t="s">
        <v>608</v>
      </c>
      <c r="D68" s="89" t="s">
        <v>523</v>
      </c>
      <c r="E68" s="88">
        <v>1.0</v>
      </c>
      <c r="F68" s="89" t="s">
        <v>777</v>
      </c>
      <c r="G68" s="92">
        <v>0.62</v>
      </c>
      <c r="H68" s="92">
        <v>0.62</v>
      </c>
      <c r="I68" s="92">
        <v>0.0</v>
      </c>
      <c r="J68" s="91">
        <v>0.0</v>
      </c>
      <c r="K68" s="241" t="s">
        <v>1083</v>
      </c>
      <c r="L68" s="1"/>
      <c r="M68" s="242" t="s">
        <v>1084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88">
        <v>57.0</v>
      </c>
      <c r="C69" s="88" t="s">
        <v>608</v>
      </c>
      <c r="D69" s="89" t="s">
        <v>523</v>
      </c>
      <c r="E69" s="88">
        <v>2.0</v>
      </c>
      <c r="F69" s="89" t="s">
        <v>659</v>
      </c>
      <c r="G69" s="92">
        <v>0.15</v>
      </c>
      <c r="H69" s="92">
        <v>0.15</v>
      </c>
      <c r="I69" s="92">
        <v>0.0</v>
      </c>
      <c r="J69" s="91">
        <v>0.0</v>
      </c>
      <c r="K69" s="241" t="s">
        <v>1085</v>
      </c>
      <c r="L69" s="1"/>
      <c r="M69" s="242" t="s">
        <v>1086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88">
        <v>57.0</v>
      </c>
      <c r="C70" s="88" t="s">
        <v>608</v>
      </c>
      <c r="D70" s="89" t="s">
        <v>523</v>
      </c>
      <c r="E70" s="88">
        <v>3.0</v>
      </c>
      <c r="F70" s="89" t="s">
        <v>724</v>
      </c>
      <c r="G70" s="92">
        <v>0.025</v>
      </c>
      <c r="H70" s="92">
        <v>0.025</v>
      </c>
      <c r="I70" s="92">
        <v>0.0</v>
      </c>
      <c r="J70" s="91">
        <v>0.0</v>
      </c>
      <c r="K70" s="241" t="s">
        <v>1087</v>
      </c>
      <c r="L70" s="1"/>
      <c r="M70" s="242" t="s">
        <v>1088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88">
        <v>57.0</v>
      </c>
      <c r="C71" s="88" t="s">
        <v>608</v>
      </c>
      <c r="D71" s="89" t="s">
        <v>523</v>
      </c>
      <c r="E71" s="88">
        <v>4.0</v>
      </c>
      <c r="F71" s="89" t="s">
        <v>722</v>
      </c>
      <c r="G71" s="92">
        <v>0.2005</v>
      </c>
      <c r="H71" s="92">
        <v>0.2005</v>
      </c>
      <c r="I71" s="92">
        <v>0.0</v>
      </c>
      <c r="J71" s="91">
        <v>0.0</v>
      </c>
      <c r="K71" s="241" t="s">
        <v>1089</v>
      </c>
      <c r="L71" s="1"/>
      <c r="M71" s="242" t="s">
        <v>1090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88">
        <v>60.0</v>
      </c>
      <c r="C72" s="88" t="s">
        <v>608</v>
      </c>
      <c r="D72" s="89" t="s">
        <v>653</v>
      </c>
      <c r="E72" s="88">
        <v>1.0</v>
      </c>
      <c r="F72" s="89" t="s">
        <v>765</v>
      </c>
      <c r="G72" s="92">
        <v>0.362</v>
      </c>
      <c r="H72" s="92">
        <v>0.362</v>
      </c>
      <c r="I72" s="92">
        <v>0.0</v>
      </c>
      <c r="J72" s="91">
        <v>0.0</v>
      </c>
      <c r="K72" s="241" t="s">
        <v>1091</v>
      </c>
      <c r="L72" s="1"/>
      <c r="M72" s="242" t="s">
        <v>1092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88">
        <v>60.0</v>
      </c>
      <c r="C73" s="88" t="s">
        <v>608</v>
      </c>
      <c r="D73" s="89" t="s">
        <v>653</v>
      </c>
      <c r="E73" s="88">
        <v>2.0</v>
      </c>
      <c r="F73" s="89" t="s">
        <v>441</v>
      </c>
      <c r="G73" s="92">
        <v>0.016</v>
      </c>
      <c r="H73" s="92">
        <v>0.016</v>
      </c>
      <c r="I73" s="92">
        <v>0.0</v>
      </c>
      <c r="J73" s="91">
        <v>0.0</v>
      </c>
      <c r="K73" s="241" t="s">
        <v>1093</v>
      </c>
      <c r="L73" s="1"/>
      <c r="M73" s="242" t="s">
        <v>1094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88">
        <v>60.0</v>
      </c>
      <c r="C74" s="88" t="s">
        <v>608</v>
      </c>
      <c r="D74" s="89" t="s">
        <v>653</v>
      </c>
      <c r="E74" s="88">
        <v>3.0</v>
      </c>
      <c r="F74" s="89" t="s">
        <v>431</v>
      </c>
      <c r="G74" s="92">
        <v>0.134</v>
      </c>
      <c r="H74" s="92">
        <v>0.134</v>
      </c>
      <c r="I74" s="92">
        <v>0.0</v>
      </c>
      <c r="J74" s="91">
        <v>0.0</v>
      </c>
      <c r="K74" s="241" t="s">
        <v>1095</v>
      </c>
      <c r="L74" s="1"/>
      <c r="M74" s="242" t="s">
        <v>1096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88">
        <v>60.0</v>
      </c>
      <c r="C75" s="88" t="s">
        <v>608</v>
      </c>
      <c r="D75" s="89" t="s">
        <v>653</v>
      </c>
      <c r="E75" s="88">
        <v>4.0</v>
      </c>
      <c r="F75" s="89" t="s">
        <v>659</v>
      </c>
      <c r="G75" s="92">
        <v>0.15</v>
      </c>
      <c r="H75" s="92">
        <v>0.15</v>
      </c>
      <c r="I75" s="92">
        <v>0.0</v>
      </c>
      <c r="J75" s="91">
        <v>0.0</v>
      </c>
      <c r="K75" s="241" t="s">
        <v>1097</v>
      </c>
      <c r="L75" s="1"/>
      <c r="M75" s="242" t="s">
        <v>1098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88">
        <v>60.0</v>
      </c>
      <c r="C76" s="88" t="s">
        <v>608</v>
      </c>
      <c r="D76" s="89" t="s">
        <v>653</v>
      </c>
      <c r="E76" s="88">
        <v>5.0</v>
      </c>
      <c r="F76" s="89" t="s">
        <v>722</v>
      </c>
      <c r="G76" s="92">
        <v>0.338</v>
      </c>
      <c r="H76" s="92">
        <v>0.338</v>
      </c>
      <c r="I76" s="92">
        <v>0.0</v>
      </c>
      <c r="J76" s="91">
        <v>0.0</v>
      </c>
      <c r="K76" s="241" t="s">
        <v>1099</v>
      </c>
      <c r="L76" s="1"/>
      <c r="M76" s="242" t="s">
        <v>1100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88">
        <v>62.0</v>
      </c>
      <c r="C77" s="88" t="s">
        <v>608</v>
      </c>
      <c r="D77" s="89" t="s">
        <v>616</v>
      </c>
      <c r="E77" s="88">
        <v>1.0</v>
      </c>
      <c r="F77" s="89" t="s">
        <v>763</v>
      </c>
      <c r="G77" s="92">
        <v>0.78</v>
      </c>
      <c r="H77" s="92">
        <v>0.78</v>
      </c>
      <c r="I77" s="92">
        <v>0.0</v>
      </c>
      <c r="J77" s="91">
        <v>0.0</v>
      </c>
      <c r="K77" s="241" t="s">
        <v>1101</v>
      </c>
      <c r="L77" s="1"/>
      <c r="M77" s="242" t="s">
        <v>1102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88">
        <v>62.0</v>
      </c>
      <c r="C78" s="88" t="s">
        <v>608</v>
      </c>
      <c r="D78" s="89" t="s">
        <v>616</v>
      </c>
      <c r="E78" s="88">
        <v>2.0</v>
      </c>
      <c r="F78" s="89" t="s">
        <v>659</v>
      </c>
      <c r="G78" s="92">
        <v>0.15</v>
      </c>
      <c r="H78" s="92">
        <v>0.15</v>
      </c>
      <c r="I78" s="92">
        <v>0.0</v>
      </c>
      <c r="J78" s="91">
        <v>0.0</v>
      </c>
      <c r="K78" s="241" t="s">
        <v>1103</v>
      </c>
      <c r="L78" s="1"/>
      <c r="M78" s="242" t="s">
        <v>1104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88">
        <v>62.0</v>
      </c>
      <c r="C79" s="88" t="s">
        <v>608</v>
      </c>
      <c r="D79" s="89" t="s">
        <v>616</v>
      </c>
      <c r="E79" s="88">
        <v>3.0</v>
      </c>
      <c r="F79" s="89" t="s">
        <v>722</v>
      </c>
      <c r="G79" s="92">
        <v>0.05</v>
      </c>
      <c r="H79" s="92">
        <v>0.05</v>
      </c>
      <c r="I79" s="92">
        <v>0.0</v>
      </c>
      <c r="J79" s="91">
        <v>0.0</v>
      </c>
      <c r="K79" s="241" t="s">
        <v>1105</v>
      </c>
      <c r="L79" s="1"/>
      <c r="M79" s="242" t="s">
        <v>1106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88">
        <v>62.0</v>
      </c>
      <c r="C80" s="88" t="s">
        <v>608</v>
      </c>
      <c r="D80" s="89" t="s">
        <v>616</v>
      </c>
      <c r="E80" s="88">
        <v>4.0</v>
      </c>
      <c r="F80" s="89" t="s">
        <v>571</v>
      </c>
      <c r="G80" s="92">
        <v>0.005</v>
      </c>
      <c r="H80" s="92">
        <v>0.005</v>
      </c>
      <c r="I80" s="92">
        <v>0.0</v>
      </c>
      <c r="J80" s="91">
        <v>0.0</v>
      </c>
      <c r="K80" s="241" t="s">
        <v>1107</v>
      </c>
      <c r="L80" s="1"/>
      <c r="M80" s="242" t="s">
        <v>1108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243">
        <v>62.0</v>
      </c>
      <c r="C81" s="243" t="s">
        <v>608</v>
      </c>
      <c r="D81" s="244" t="s">
        <v>616</v>
      </c>
      <c r="E81" s="243">
        <v>5.0</v>
      </c>
      <c r="F81" s="244" t="s">
        <v>579</v>
      </c>
      <c r="G81" s="245">
        <v>0.015</v>
      </c>
      <c r="H81" s="245">
        <v>0.015</v>
      </c>
      <c r="I81" s="245">
        <v>0.0</v>
      </c>
      <c r="J81" s="246">
        <v>0.0</v>
      </c>
      <c r="K81" s="247" t="s">
        <v>1109</v>
      </c>
      <c r="L81" s="248"/>
      <c r="M81" s="242" t="s">
        <v>1110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88">
        <v>63.0</v>
      </c>
      <c r="C82" s="88" t="s">
        <v>608</v>
      </c>
      <c r="D82" s="89" t="s">
        <v>660</v>
      </c>
      <c r="E82" s="88">
        <v>1.0</v>
      </c>
      <c r="F82" s="89" t="s">
        <v>431</v>
      </c>
      <c r="G82" s="92">
        <v>0.7</v>
      </c>
      <c r="H82" s="92">
        <v>0.7</v>
      </c>
      <c r="I82" s="92">
        <v>0.0</v>
      </c>
      <c r="J82" s="91">
        <v>0.0</v>
      </c>
      <c r="K82" s="241" t="s">
        <v>1111</v>
      </c>
      <c r="L82" s="1"/>
      <c r="M82" s="242" t="s">
        <v>1112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88">
        <v>63.0</v>
      </c>
      <c r="C83" s="88" t="s">
        <v>608</v>
      </c>
      <c r="D83" s="89" t="s">
        <v>660</v>
      </c>
      <c r="E83" s="88">
        <v>2.0</v>
      </c>
      <c r="F83" s="89" t="s">
        <v>659</v>
      </c>
      <c r="G83" s="92">
        <v>0.15</v>
      </c>
      <c r="H83" s="92">
        <v>0.15</v>
      </c>
      <c r="I83" s="92">
        <v>0.0</v>
      </c>
      <c r="J83" s="91">
        <v>0.0</v>
      </c>
      <c r="K83" s="241" t="s">
        <v>1113</v>
      </c>
      <c r="L83" s="1"/>
      <c r="M83" s="242" t="s">
        <v>1114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88">
        <v>63.0</v>
      </c>
      <c r="C84" s="88" t="s">
        <v>608</v>
      </c>
      <c r="D84" s="89" t="s">
        <v>660</v>
      </c>
      <c r="E84" s="88">
        <v>3.0</v>
      </c>
      <c r="F84" s="89" t="s">
        <v>757</v>
      </c>
      <c r="G84" s="92">
        <v>0.15</v>
      </c>
      <c r="H84" s="92">
        <v>0.15</v>
      </c>
      <c r="I84" s="92">
        <v>0.0</v>
      </c>
      <c r="J84" s="91">
        <v>0.0</v>
      </c>
      <c r="K84" s="241" t="s">
        <v>1115</v>
      </c>
      <c r="L84" s="1"/>
      <c r="M84" s="242" t="s">
        <v>1116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88">
        <v>64.0</v>
      </c>
      <c r="C85" s="88" t="s">
        <v>608</v>
      </c>
      <c r="D85" s="89" t="s">
        <v>652</v>
      </c>
      <c r="E85" s="88">
        <v>1.0</v>
      </c>
      <c r="F85" s="89" t="s">
        <v>765</v>
      </c>
      <c r="G85" s="92">
        <v>0.34</v>
      </c>
      <c r="H85" s="92">
        <v>0.34</v>
      </c>
      <c r="I85" s="92">
        <v>0.0</v>
      </c>
      <c r="J85" s="91">
        <v>0.0</v>
      </c>
      <c r="K85" s="241" t="s">
        <v>1117</v>
      </c>
      <c r="L85" s="1"/>
      <c r="M85" s="242" t="s">
        <v>1118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88">
        <v>64.0</v>
      </c>
      <c r="C86" s="88" t="s">
        <v>608</v>
      </c>
      <c r="D86" s="89" t="s">
        <v>652</v>
      </c>
      <c r="E86" s="88">
        <v>2.0</v>
      </c>
      <c r="F86" s="89" t="s">
        <v>441</v>
      </c>
      <c r="G86" s="92">
        <v>0.01</v>
      </c>
      <c r="H86" s="92">
        <v>0.01</v>
      </c>
      <c r="I86" s="92">
        <v>0.0</v>
      </c>
      <c r="J86" s="91">
        <v>0.0</v>
      </c>
      <c r="K86" s="241" t="s">
        <v>1119</v>
      </c>
      <c r="L86" s="1"/>
      <c r="M86" s="242" t="s">
        <v>1120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88">
        <v>64.0</v>
      </c>
      <c r="C87" s="88" t="s">
        <v>608</v>
      </c>
      <c r="D87" s="89" t="s">
        <v>652</v>
      </c>
      <c r="E87" s="88">
        <v>3.0</v>
      </c>
      <c r="F87" s="89" t="s">
        <v>431</v>
      </c>
      <c r="G87" s="92">
        <v>0.16</v>
      </c>
      <c r="H87" s="92">
        <v>0.16</v>
      </c>
      <c r="I87" s="92">
        <v>0.0</v>
      </c>
      <c r="J87" s="91">
        <v>0.0</v>
      </c>
      <c r="K87" s="241" t="s">
        <v>1121</v>
      </c>
      <c r="L87" s="1"/>
      <c r="M87" s="242" t="s">
        <v>1122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243">
        <v>64.0</v>
      </c>
      <c r="C88" s="243" t="s">
        <v>608</v>
      </c>
      <c r="D88" s="244" t="s">
        <v>652</v>
      </c>
      <c r="E88" s="243">
        <v>4.0</v>
      </c>
      <c r="F88" s="244" t="s">
        <v>657</v>
      </c>
      <c r="G88" s="245">
        <v>0.15</v>
      </c>
      <c r="H88" s="245">
        <v>0.15</v>
      </c>
      <c r="I88" s="245">
        <v>0.0</v>
      </c>
      <c r="J88" s="246">
        <v>0.0</v>
      </c>
      <c r="K88" s="247" t="s">
        <v>1123</v>
      </c>
      <c r="L88" s="248"/>
      <c r="M88" s="242" t="s">
        <v>1124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88">
        <v>64.0</v>
      </c>
      <c r="C89" s="88" t="s">
        <v>608</v>
      </c>
      <c r="D89" s="89" t="s">
        <v>652</v>
      </c>
      <c r="E89" s="88">
        <v>5.0</v>
      </c>
      <c r="F89" s="89" t="s">
        <v>722</v>
      </c>
      <c r="G89" s="92">
        <v>0.34</v>
      </c>
      <c r="H89" s="92">
        <v>0.34</v>
      </c>
      <c r="I89" s="92">
        <v>0.0</v>
      </c>
      <c r="J89" s="91">
        <v>0.0</v>
      </c>
      <c r="K89" s="241" t="s">
        <v>1125</v>
      </c>
      <c r="L89" s="1"/>
      <c r="M89" s="242" t="s">
        <v>1126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88">
        <v>67.0</v>
      </c>
      <c r="C90" s="88" t="s">
        <v>608</v>
      </c>
      <c r="D90" s="89" t="s">
        <v>531</v>
      </c>
      <c r="E90" s="88">
        <v>1.0</v>
      </c>
      <c r="F90" s="89" t="s">
        <v>750</v>
      </c>
      <c r="G90" s="92">
        <v>0.3</v>
      </c>
      <c r="H90" s="92">
        <v>0.3</v>
      </c>
      <c r="I90" s="92">
        <v>0.0</v>
      </c>
      <c r="J90" s="91">
        <v>0.0</v>
      </c>
      <c r="K90" s="241" t="s">
        <v>1127</v>
      </c>
      <c r="L90" s="1"/>
      <c r="M90" s="242" t="s">
        <v>1128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88">
        <v>67.0</v>
      </c>
      <c r="C91" s="88" t="s">
        <v>608</v>
      </c>
      <c r="D91" s="89" t="s">
        <v>531</v>
      </c>
      <c r="E91" s="88">
        <v>2.0</v>
      </c>
      <c r="F91" s="89" t="s">
        <v>722</v>
      </c>
      <c r="G91" s="92">
        <v>0.7</v>
      </c>
      <c r="H91" s="92">
        <v>0.7</v>
      </c>
      <c r="I91" s="92">
        <v>0.0</v>
      </c>
      <c r="J91" s="91">
        <v>0.0</v>
      </c>
      <c r="K91" s="241" t="s">
        <v>1129</v>
      </c>
      <c r="L91" s="1"/>
      <c r="M91" s="242" t="s">
        <v>1130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88">
        <v>68.0</v>
      </c>
      <c r="C92" s="88" t="s">
        <v>608</v>
      </c>
      <c r="D92" s="89" t="s">
        <v>623</v>
      </c>
      <c r="E92" s="88">
        <v>1.0</v>
      </c>
      <c r="F92" s="89" t="s">
        <v>429</v>
      </c>
      <c r="G92" s="92">
        <v>0.8</v>
      </c>
      <c r="H92" s="92">
        <v>0.8</v>
      </c>
      <c r="I92" s="92">
        <v>0.0</v>
      </c>
      <c r="J92" s="91">
        <v>0.0</v>
      </c>
      <c r="K92" s="241" t="s">
        <v>1131</v>
      </c>
      <c r="L92" s="1"/>
      <c r="M92" s="242" t="s">
        <v>1132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88">
        <v>68.0</v>
      </c>
      <c r="C93" s="88" t="s">
        <v>608</v>
      </c>
      <c r="D93" s="89" t="s">
        <v>623</v>
      </c>
      <c r="E93" s="88">
        <v>2.0</v>
      </c>
      <c r="F93" s="89" t="s">
        <v>659</v>
      </c>
      <c r="G93" s="92">
        <v>0.2</v>
      </c>
      <c r="H93" s="92">
        <v>0.2</v>
      </c>
      <c r="I93" s="92">
        <v>0.0</v>
      </c>
      <c r="J93" s="91">
        <v>0.0</v>
      </c>
      <c r="K93" s="241" t="s">
        <v>1133</v>
      </c>
      <c r="L93" s="1"/>
      <c r="M93" s="242" t="s">
        <v>1134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88">
        <v>69.0</v>
      </c>
      <c r="C94" s="88" t="s">
        <v>608</v>
      </c>
      <c r="D94" s="89" t="s">
        <v>611</v>
      </c>
      <c r="E94" s="88">
        <v>1.0</v>
      </c>
      <c r="F94" s="89" t="s">
        <v>769</v>
      </c>
      <c r="G94" s="92">
        <v>0.47</v>
      </c>
      <c r="H94" s="92">
        <v>0.47</v>
      </c>
      <c r="I94" s="92">
        <v>0.0</v>
      </c>
      <c r="J94" s="91">
        <v>0.0</v>
      </c>
      <c r="K94" s="241" t="s">
        <v>1135</v>
      </c>
      <c r="L94" s="1"/>
      <c r="M94" s="242" t="s">
        <v>1136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88">
        <v>69.0</v>
      </c>
      <c r="C95" s="88" t="s">
        <v>608</v>
      </c>
      <c r="D95" s="89" t="s">
        <v>611</v>
      </c>
      <c r="E95" s="88">
        <v>2.0</v>
      </c>
      <c r="F95" s="89" t="s">
        <v>659</v>
      </c>
      <c r="G95" s="92">
        <v>0.15</v>
      </c>
      <c r="H95" s="92">
        <v>0.15</v>
      </c>
      <c r="I95" s="92">
        <v>0.0</v>
      </c>
      <c r="J95" s="91">
        <v>0.0</v>
      </c>
      <c r="K95" s="241" t="s">
        <v>1137</v>
      </c>
      <c r="L95" s="1"/>
      <c r="M95" s="242" t="s">
        <v>1138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88">
        <v>69.0</v>
      </c>
      <c r="C96" s="88" t="s">
        <v>608</v>
      </c>
      <c r="D96" s="89" t="s">
        <v>611</v>
      </c>
      <c r="E96" s="88">
        <v>3.0</v>
      </c>
      <c r="F96" s="89" t="s">
        <v>724</v>
      </c>
      <c r="G96" s="92">
        <v>0.02</v>
      </c>
      <c r="H96" s="92">
        <v>0.02</v>
      </c>
      <c r="I96" s="92">
        <v>0.0</v>
      </c>
      <c r="J96" s="91">
        <v>0.0</v>
      </c>
      <c r="K96" s="241" t="s">
        <v>1139</v>
      </c>
      <c r="L96" s="1"/>
      <c r="M96" s="242" t="s">
        <v>1140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243">
        <v>69.0</v>
      </c>
      <c r="C97" s="243" t="s">
        <v>608</v>
      </c>
      <c r="D97" s="244" t="s">
        <v>611</v>
      </c>
      <c r="E97" s="243">
        <v>4.0</v>
      </c>
      <c r="F97" s="244" t="s">
        <v>722</v>
      </c>
      <c r="G97" s="245">
        <v>0.36</v>
      </c>
      <c r="H97" s="245">
        <v>0.36</v>
      </c>
      <c r="I97" s="245">
        <v>0.0</v>
      </c>
      <c r="J97" s="246">
        <v>0.0</v>
      </c>
      <c r="K97" s="247" t="s">
        <v>1141</v>
      </c>
      <c r="L97" s="248"/>
      <c r="M97" s="242" t="s">
        <v>1142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88">
        <v>70.0</v>
      </c>
      <c r="C98" s="88" t="s">
        <v>608</v>
      </c>
      <c r="D98" s="89" t="s">
        <v>693</v>
      </c>
      <c r="E98" s="88">
        <v>1.0</v>
      </c>
      <c r="F98" s="89" t="s">
        <v>750</v>
      </c>
      <c r="G98" s="92">
        <v>0.3</v>
      </c>
      <c r="H98" s="92">
        <v>0.3</v>
      </c>
      <c r="I98" s="92">
        <v>0.0</v>
      </c>
      <c r="J98" s="91">
        <v>0.0</v>
      </c>
      <c r="K98" s="241" t="s">
        <v>1143</v>
      </c>
      <c r="L98" s="1"/>
      <c r="M98" s="242" t="s">
        <v>1144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88">
        <v>70.0</v>
      </c>
      <c r="C99" s="88" t="s">
        <v>608</v>
      </c>
      <c r="D99" s="89" t="s">
        <v>693</v>
      </c>
      <c r="E99" s="88">
        <v>2.0</v>
      </c>
      <c r="F99" s="89" t="s">
        <v>759</v>
      </c>
      <c r="G99" s="92">
        <v>0.7</v>
      </c>
      <c r="H99" s="92">
        <v>0.7</v>
      </c>
      <c r="I99" s="92">
        <v>0.0</v>
      </c>
      <c r="J99" s="91">
        <v>0.0</v>
      </c>
      <c r="K99" s="241" t="s">
        <v>1145</v>
      </c>
      <c r="L99" s="1"/>
      <c r="M99" s="242" t="s">
        <v>1146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88">
        <v>72.0</v>
      </c>
      <c r="C100" s="88" t="s">
        <v>608</v>
      </c>
      <c r="D100" s="89" t="s">
        <v>663</v>
      </c>
      <c r="E100" s="88">
        <v>1.0</v>
      </c>
      <c r="F100" s="89" t="s">
        <v>379</v>
      </c>
      <c r="G100" s="92">
        <v>0.8</v>
      </c>
      <c r="H100" s="92">
        <v>0.8</v>
      </c>
      <c r="I100" s="92">
        <v>0.0</v>
      </c>
      <c r="J100" s="91">
        <v>0.0</v>
      </c>
      <c r="K100" s="241" t="s">
        <v>1147</v>
      </c>
      <c r="L100" s="1"/>
      <c r="M100" s="242" t="s">
        <v>1148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88">
        <v>72.0</v>
      </c>
      <c r="C101" s="88" t="s">
        <v>608</v>
      </c>
      <c r="D101" s="89" t="s">
        <v>663</v>
      </c>
      <c r="E101" s="88">
        <v>2.0</v>
      </c>
      <c r="F101" s="89" t="s">
        <v>657</v>
      </c>
      <c r="G101" s="92">
        <v>0.2</v>
      </c>
      <c r="H101" s="92">
        <v>0.2</v>
      </c>
      <c r="I101" s="92">
        <v>0.0</v>
      </c>
      <c r="J101" s="91">
        <v>0.0</v>
      </c>
      <c r="K101" s="241" t="s">
        <v>1149</v>
      </c>
      <c r="L101" s="1"/>
      <c r="M101" s="242" t="s">
        <v>1150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88">
        <v>74.0</v>
      </c>
      <c r="C102" s="88" t="s">
        <v>608</v>
      </c>
      <c r="D102" s="89" t="s">
        <v>379</v>
      </c>
      <c r="E102" s="88">
        <v>1.0</v>
      </c>
      <c r="F102" s="89" t="s">
        <v>584</v>
      </c>
      <c r="G102" s="92">
        <v>0.25</v>
      </c>
      <c r="H102" s="92">
        <v>0.25</v>
      </c>
      <c r="I102" s="92">
        <v>0.0</v>
      </c>
      <c r="J102" s="91">
        <v>0.0</v>
      </c>
      <c r="K102" s="241" t="s">
        <v>1151</v>
      </c>
      <c r="L102" s="1"/>
      <c r="M102" s="242" t="s">
        <v>1152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88">
        <v>74.0</v>
      </c>
      <c r="C103" s="88" t="s">
        <v>608</v>
      </c>
      <c r="D103" s="89" t="s">
        <v>379</v>
      </c>
      <c r="E103" s="88">
        <v>2.0</v>
      </c>
      <c r="F103" s="89" t="s">
        <v>594</v>
      </c>
      <c r="G103" s="92">
        <v>0.046</v>
      </c>
      <c r="H103" s="92">
        <v>0.046</v>
      </c>
      <c r="I103" s="92">
        <v>0.0</v>
      </c>
      <c r="J103" s="91">
        <v>0.0</v>
      </c>
      <c r="K103" s="241" t="s">
        <v>1153</v>
      </c>
      <c r="L103" s="1"/>
      <c r="M103" s="242" t="s">
        <v>1154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88">
        <v>74.0</v>
      </c>
      <c r="C104" s="88" t="s">
        <v>608</v>
      </c>
      <c r="D104" s="89" t="s">
        <v>379</v>
      </c>
      <c r="E104" s="88">
        <v>3.0</v>
      </c>
      <c r="F104" s="89" t="s">
        <v>585</v>
      </c>
      <c r="G104" s="92">
        <v>0.13</v>
      </c>
      <c r="H104" s="92">
        <v>0.13</v>
      </c>
      <c r="I104" s="92">
        <v>0.0</v>
      </c>
      <c r="J104" s="91">
        <v>0.0</v>
      </c>
      <c r="K104" s="241" t="s">
        <v>1155</v>
      </c>
      <c r="L104" s="1"/>
      <c r="M104" s="242" t="s">
        <v>1156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88">
        <v>74.0</v>
      </c>
      <c r="C105" s="88" t="s">
        <v>608</v>
      </c>
      <c r="D105" s="89" t="s">
        <v>379</v>
      </c>
      <c r="E105" s="88">
        <v>4.0</v>
      </c>
      <c r="F105" s="89" t="s">
        <v>575</v>
      </c>
      <c r="G105" s="92">
        <v>0.16</v>
      </c>
      <c r="H105" s="92">
        <v>0.16</v>
      </c>
      <c r="I105" s="92">
        <v>0.0</v>
      </c>
      <c r="J105" s="91">
        <v>0.0</v>
      </c>
      <c r="K105" s="241" t="s">
        <v>1157</v>
      </c>
      <c r="L105" s="1"/>
      <c r="M105" s="242" t="s">
        <v>1158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88">
        <v>75.0</v>
      </c>
      <c r="C106" s="88" t="s">
        <v>608</v>
      </c>
      <c r="D106" s="89" t="s">
        <v>632</v>
      </c>
      <c r="E106" s="88">
        <v>1.0</v>
      </c>
      <c r="F106" s="89" t="s">
        <v>784</v>
      </c>
      <c r="G106" s="92">
        <v>0.6</v>
      </c>
      <c r="H106" s="92">
        <v>0.6</v>
      </c>
      <c r="I106" s="92">
        <v>0.0</v>
      </c>
      <c r="J106" s="91">
        <v>0.0</v>
      </c>
      <c r="K106" s="241" t="s">
        <v>1159</v>
      </c>
      <c r="L106" s="1"/>
      <c r="M106" s="242" t="s">
        <v>1160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88">
        <v>75.0</v>
      </c>
      <c r="C107" s="88" t="s">
        <v>608</v>
      </c>
      <c r="D107" s="89" t="s">
        <v>632</v>
      </c>
      <c r="E107" s="88">
        <v>2.0</v>
      </c>
      <c r="F107" s="89" t="s">
        <v>659</v>
      </c>
      <c r="G107" s="92">
        <v>0.15</v>
      </c>
      <c r="H107" s="92">
        <v>0.15</v>
      </c>
      <c r="I107" s="92">
        <v>0.0</v>
      </c>
      <c r="J107" s="91">
        <v>0.0</v>
      </c>
      <c r="K107" s="241" t="s">
        <v>1161</v>
      </c>
      <c r="L107" s="1"/>
      <c r="M107" s="242" t="s">
        <v>1162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243">
        <v>75.0</v>
      </c>
      <c r="C108" s="243" t="s">
        <v>608</v>
      </c>
      <c r="D108" s="244" t="s">
        <v>632</v>
      </c>
      <c r="E108" s="243">
        <v>3.0</v>
      </c>
      <c r="F108" s="244" t="s">
        <v>571</v>
      </c>
      <c r="G108" s="245">
        <v>0.005</v>
      </c>
      <c r="H108" s="245">
        <v>0.005</v>
      </c>
      <c r="I108" s="245">
        <v>0.0</v>
      </c>
      <c r="J108" s="246">
        <v>0.0</v>
      </c>
      <c r="K108" s="247" t="s">
        <v>1163</v>
      </c>
      <c r="L108" s="248"/>
      <c r="M108" s="242" t="s">
        <v>1164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88">
        <v>75.0</v>
      </c>
      <c r="C109" s="88" t="s">
        <v>608</v>
      </c>
      <c r="D109" s="89" t="s">
        <v>632</v>
      </c>
      <c r="E109" s="88">
        <v>4.0</v>
      </c>
      <c r="F109" s="89" t="s">
        <v>579</v>
      </c>
      <c r="G109" s="92">
        <v>0.1</v>
      </c>
      <c r="H109" s="92">
        <v>0.1</v>
      </c>
      <c r="I109" s="92">
        <v>0.0</v>
      </c>
      <c r="J109" s="91">
        <v>0.0</v>
      </c>
      <c r="K109" s="241" t="s">
        <v>1165</v>
      </c>
      <c r="L109" s="1"/>
      <c r="M109" s="242" t="s">
        <v>1166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88">
        <v>75.0</v>
      </c>
      <c r="C110" s="88" t="s">
        <v>608</v>
      </c>
      <c r="D110" s="89" t="s">
        <v>632</v>
      </c>
      <c r="E110" s="88">
        <v>5.0</v>
      </c>
      <c r="F110" s="89" t="s">
        <v>722</v>
      </c>
      <c r="G110" s="92">
        <v>0.145</v>
      </c>
      <c r="H110" s="92">
        <v>0.145</v>
      </c>
      <c r="I110" s="92">
        <v>0.0</v>
      </c>
      <c r="J110" s="91">
        <v>0.0</v>
      </c>
      <c r="K110" s="241" t="s">
        <v>1167</v>
      </c>
      <c r="L110" s="1"/>
      <c r="M110" s="242" t="s">
        <v>1168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88">
        <v>85.0</v>
      </c>
      <c r="C111" s="88" t="s">
        <v>608</v>
      </c>
      <c r="D111" s="89" t="s">
        <v>454</v>
      </c>
      <c r="E111" s="88">
        <v>1.0</v>
      </c>
      <c r="F111" s="89" t="s">
        <v>441</v>
      </c>
      <c r="G111" s="92">
        <v>0.78</v>
      </c>
      <c r="H111" s="92">
        <v>0.78</v>
      </c>
      <c r="I111" s="92">
        <v>0.0</v>
      </c>
      <c r="J111" s="91">
        <v>0.0</v>
      </c>
      <c r="K111" s="241" t="s">
        <v>1169</v>
      </c>
      <c r="L111" s="1"/>
      <c r="M111" s="242" t="s">
        <v>1170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88">
        <v>85.0</v>
      </c>
      <c r="C112" s="88" t="s">
        <v>608</v>
      </c>
      <c r="D112" s="89" t="s">
        <v>454</v>
      </c>
      <c r="E112" s="88">
        <v>2.0</v>
      </c>
      <c r="F112" s="89" t="s">
        <v>659</v>
      </c>
      <c r="G112" s="92">
        <v>0.12</v>
      </c>
      <c r="H112" s="92">
        <v>0.12</v>
      </c>
      <c r="I112" s="92">
        <v>0.0</v>
      </c>
      <c r="J112" s="91">
        <v>0.0</v>
      </c>
      <c r="K112" s="241" t="s">
        <v>1171</v>
      </c>
      <c r="L112" s="1"/>
      <c r="M112" s="242" t="s">
        <v>1172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88">
        <v>85.0</v>
      </c>
      <c r="C113" s="88" t="s">
        <v>608</v>
      </c>
      <c r="D113" s="89" t="s">
        <v>454</v>
      </c>
      <c r="E113" s="88">
        <v>3.0</v>
      </c>
      <c r="F113" s="89" t="s">
        <v>722</v>
      </c>
      <c r="G113" s="92">
        <v>0.05</v>
      </c>
      <c r="H113" s="92">
        <v>0.05</v>
      </c>
      <c r="I113" s="92">
        <v>0.0</v>
      </c>
      <c r="J113" s="91">
        <v>0.0</v>
      </c>
      <c r="K113" s="241" t="s">
        <v>1173</v>
      </c>
      <c r="L113" s="1"/>
      <c r="M113" s="242" t="s">
        <v>1174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88">
        <v>85.0</v>
      </c>
      <c r="C114" s="88" t="s">
        <v>608</v>
      </c>
      <c r="D114" s="89" t="s">
        <v>454</v>
      </c>
      <c r="E114" s="88">
        <v>4.0</v>
      </c>
      <c r="F114" s="89" t="s">
        <v>571</v>
      </c>
      <c r="G114" s="92">
        <v>0.005</v>
      </c>
      <c r="H114" s="92">
        <v>0.005</v>
      </c>
      <c r="I114" s="92">
        <v>0.0</v>
      </c>
      <c r="J114" s="91">
        <v>0.0</v>
      </c>
      <c r="K114" s="241" t="s">
        <v>1175</v>
      </c>
      <c r="L114" s="1"/>
      <c r="M114" s="242" t="s">
        <v>1176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88">
        <v>85.0</v>
      </c>
      <c r="C115" s="88" t="s">
        <v>608</v>
      </c>
      <c r="D115" s="89" t="s">
        <v>454</v>
      </c>
      <c r="E115" s="88">
        <v>5.0</v>
      </c>
      <c r="F115" s="89" t="s">
        <v>594</v>
      </c>
      <c r="G115" s="92">
        <v>0.045</v>
      </c>
      <c r="H115" s="92">
        <v>0.045</v>
      </c>
      <c r="I115" s="92">
        <v>0.0</v>
      </c>
      <c r="J115" s="91">
        <v>0.0</v>
      </c>
      <c r="K115" s="241" t="s">
        <v>1177</v>
      </c>
      <c r="L115" s="1"/>
      <c r="M115" s="242" t="s">
        <v>1178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88">
        <v>86.0</v>
      </c>
      <c r="C116" s="88" t="s">
        <v>608</v>
      </c>
      <c r="D116" s="89" t="s">
        <v>650</v>
      </c>
      <c r="E116" s="88">
        <v>1.0</v>
      </c>
      <c r="F116" s="89" t="s">
        <v>579</v>
      </c>
      <c r="G116" s="92">
        <v>0.5</v>
      </c>
      <c r="H116" s="92">
        <v>0.5</v>
      </c>
      <c r="I116" s="92">
        <v>0.0</v>
      </c>
      <c r="J116" s="91">
        <v>0.0</v>
      </c>
      <c r="K116" s="241" t="s">
        <v>1179</v>
      </c>
      <c r="L116" s="1"/>
      <c r="M116" s="242" t="s">
        <v>1180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88">
        <v>86.0</v>
      </c>
      <c r="C117" s="88" t="s">
        <v>608</v>
      </c>
      <c r="D117" s="89" t="s">
        <v>650</v>
      </c>
      <c r="E117" s="88">
        <v>2.0</v>
      </c>
      <c r="F117" s="89" t="s">
        <v>594</v>
      </c>
      <c r="G117" s="92">
        <v>0.2</v>
      </c>
      <c r="H117" s="92">
        <v>0.2</v>
      </c>
      <c r="I117" s="92">
        <v>0.0</v>
      </c>
      <c r="J117" s="91">
        <v>0.0</v>
      </c>
      <c r="K117" s="241" t="s">
        <v>1181</v>
      </c>
      <c r="L117" s="1"/>
      <c r="M117" s="242" t="s">
        <v>1182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88">
        <v>86.0</v>
      </c>
      <c r="C118" s="88" t="s">
        <v>608</v>
      </c>
      <c r="D118" s="89" t="s">
        <v>650</v>
      </c>
      <c r="E118" s="88">
        <v>3.0</v>
      </c>
      <c r="F118" s="89" t="s">
        <v>533</v>
      </c>
      <c r="G118" s="92">
        <v>0.1</v>
      </c>
      <c r="H118" s="92">
        <v>0.1</v>
      </c>
      <c r="I118" s="92">
        <v>0.0</v>
      </c>
      <c r="J118" s="91">
        <v>0.0</v>
      </c>
      <c r="K118" s="241" t="s">
        <v>1183</v>
      </c>
      <c r="L118" s="1"/>
      <c r="M118" s="242" t="s">
        <v>1184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88">
        <v>86.0</v>
      </c>
      <c r="C119" s="88" t="s">
        <v>608</v>
      </c>
      <c r="D119" s="89" t="s">
        <v>650</v>
      </c>
      <c r="E119" s="88">
        <v>4.0</v>
      </c>
      <c r="F119" s="89" t="s">
        <v>546</v>
      </c>
      <c r="G119" s="92">
        <v>0.2</v>
      </c>
      <c r="H119" s="92">
        <v>0.2</v>
      </c>
      <c r="I119" s="92">
        <v>0.0</v>
      </c>
      <c r="J119" s="91">
        <v>0.0</v>
      </c>
      <c r="K119" s="241" t="s">
        <v>1185</v>
      </c>
      <c r="L119" s="1"/>
      <c r="M119" s="242" t="s">
        <v>1186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88">
        <v>88.0</v>
      </c>
      <c r="C120" s="88" t="s">
        <v>608</v>
      </c>
      <c r="D120" s="89" t="s">
        <v>695</v>
      </c>
      <c r="E120" s="88">
        <v>1.0</v>
      </c>
      <c r="F120" s="89" t="s">
        <v>569</v>
      </c>
      <c r="G120" s="92">
        <v>0.1</v>
      </c>
      <c r="H120" s="92">
        <v>0.1</v>
      </c>
      <c r="I120" s="92">
        <v>0.0</v>
      </c>
      <c r="J120" s="91">
        <v>0.0</v>
      </c>
      <c r="K120" s="241" t="s">
        <v>1187</v>
      </c>
      <c r="L120" s="1"/>
      <c r="M120" s="242" t="s">
        <v>1188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88">
        <v>88.0</v>
      </c>
      <c r="C121" s="88" t="s">
        <v>608</v>
      </c>
      <c r="D121" s="89" t="s">
        <v>695</v>
      </c>
      <c r="E121" s="88">
        <v>2.0</v>
      </c>
      <c r="F121" s="89" t="s">
        <v>720</v>
      </c>
      <c r="G121" s="92">
        <v>0.1</v>
      </c>
      <c r="H121" s="92">
        <v>0.1</v>
      </c>
      <c r="I121" s="92">
        <v>0.0</v>
      </c>
      <c r="J121" s="91">
        <v>0.0</v>
      </c>
      <c r="K121" s="241" t="s">
        <v>1189</v>
      </c>
      <c r="L121" s="1"/>
      <c r="M121" s="242" t="s">
        <v>1190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88">
        <v>88.0</v>
      </c>
      <c r="C122" s="88" t="s">
        <v>608</v>
      </c>
      <c r="D122" s="89" t="s">
        <v>695</v>
      </c>
      <c r="E122" s="88">
        <v>3.0</v>
      </c>
      <c r="F122" s="89" t="s">
        <v>579</v>
      </c>
      <c r="G122" s="92">
        <v>0.14</v>
      </c>
      <c r="H122" s="92">
        <v>0.14</v>
      </c>
      <c r="I122" s="92">
        <v>0.0</v>
      </c>
      <c r="J122" s="91">
        <v>0.0</v>
      </c>
      <c r="K122" s="241" t="s">
        <v>1191</v>
      </c>
      <c r="L122" s="1"/>
      <c r="M122" s="242" t="s">
        <v>1192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88">
        <v>88.0</v>
      </c>
      <c r="C123" s="88" t="s">
        <v>608</v>
      </c>
      <c r="D123" s="89" t="s">
        <v>695</v>
      </c>
      <c r="E123" s="88">
        <v>4.0</v>
      </c>
      <c r="F123" s="89" t="s">
        <v>593</v>
      </c>
      <c r="G123" s="92">
        <v>0.06</v>
      </c>
      <c r="H123" s="92">
        <v>0.06</v>
      </c>
      <c r="I123" s="92">
        <v>0.0</v>
      </c>
      <c r="J123" s="91">
        <v>0.0</v>
      </c>
      <c r="K123" s="241" t="s">
        <v>1193</v>
      </c>
      <c r="L123" s="1"/>
      <c r="M123" s="242" t="s">
        <v>1194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88">
        <v>88.0</v>
      </c>
      <c r="C124" s="88" t="s">
        <v>608</v>
      </c>
      <c r="D124" s="89" t="s">
        <v>695</v>
      </c>
      <c r="E124" s="88">
        <v>5.0</v>
      </c>
      <c r="F124" s="89" t="s">
        <v>722</v>
      </c>
      <c r="G124" s="92">
        <v>0.34</v>
      </c>
      <c r="H124" s="92">
        <v>0.34</v>
      </c>
      <c r="I124" s="92">
        <v>0.0</v>
      </c>
      <c r="J124" s="91">
        <v>0.0</v>
      </c>
      <c r="K124" s="241" t="s">
        <v>1195</v>
      </c>
      <c r="L124" s="1"/>
      <c r="M124" s="242" t="s">
        <v>1196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88">
        <v>88.0</v>
      </c>
      <c r="C125" s="88" t="s">
        <v>608</v>
      </c>
      <c r="D125" s="89" t="s">
        <v>695</v>
      </c>
      <c r="E125" s="88">
        <v>6.0</v>
      </c>
      <c r="F125" s="89" t="s">
        <v>726</v>
      </c>
      <c r="G125" s="92">
        <v>0.24</v>
      </c>
      <c r="H125" s="92">
        <v>0.24</v>
      </c>
      <c r="I125" s="92">
        <v>0.0</v>
      </c>
      <c r="J125" s="91">
        <v>0.0</v>
      </c>
      <c r="K125" s="241" t="s">
        <v>1197</v>
      </c>
      <c r="L125" s="1"/>
      <c r="M125" s="242" t="s">
        <v>1198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88">
        <v>88.0</v>
      </c>
      <c r="C126" s="88" t="s">
        <v>608</v>
      </c>
      <c r="D126" s="89" t="s">
        <v>695</v>
      </c>
      <c r="E126" s="88">
        <v>7.0</v>
      </c>
      <c r="F126" s="89" t="s">
        <v>571</v>
      </c>
      <c r="G126" s="92">
        <v>0.02</v>
      </c>
      <c r="H126" s="92">
        <v>0.02</v>
      </c>
      <c r="I126" s="92">
        <v>0.0</v>
      </c>
      <c r="J126" s="91">
        <v>0.0</v>
      </c>
      <c r="K126" s="241" t="s">
        <v>1199</v>
      </c>
      <c r="L126" s="1"/>
      <c r="M126" s="242" t="s">
        <v>1200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88">
        <v>90.0</v>
      </c>
      <c r="C127" s="88" t="s">
        <v>608</v>
      </c>
      <c r="D127" s="89" t="s">
        <v>705</v>
      </c>
      <c r="E127" s="88">
        <v>1.0</v>
      </c>
      <c r="F127" s="89" t="s">
        <v>584</v>
      </c>
      <c r="G127" s="92">
        <v>0.15</v>
      </c>
      <c r="H127" s="92">
        <v>0.15</v>
      </c>
      <c r="I127" s="92">
        <v>0.0</v>
      </c>
      <c r="J127" s="91">
        <v>0.0</v>
      </c>
      <c r="K127" s="241" t="s">
        <v>1201</v>
      </c>
      <c r="L127" s="1"/>
      <c r="M127" s="242" t="s">
        <v>1202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88">
        <v>90.0</v>
      </c>
      <c r="C128" s="88" t="s">
        <v>608</v>
      </c>
      <c r="D128" s="89" t="s">
        <v>705</v>
      </c>
      <c r="E128" s="88">
        <v>2.0</v>
      </c>
      <c r="F128" s="89" t="s">
        <v>593</v>
      </c>
      <c r="G128" s="92">
        <v>0.605</v>
      </c>
      <c r="H128" s="92">
        <v>0.605</v>
      </c>
      <c r="I128" s="92">
        <v>0.0</v>
      </c>
      <c r="J128" s="91">
        <v>0.0</v>
      </c>
      <c r="K128" s="241" t="s">
        <v>1203</v>
      </c>
      <c r="L128" s="1"/>
      <c r="M128" s="242" t="s">
        <v>1204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88">
        <v>90.0</v>
      </c>
      <c r="C129" s="88" t="s">
        <v>608</v>
      </c>
      <c r="D129" s="89" t="s">
        <v>705</v>
      </c>
      <c r="E129" s="88">
        <v>3.0</v>
      </c>
      <c r="F129" s="89" t="s">
        <v>572</v>
      </c>
      <c r="G129" s="92">
        <v>0.15</v>
      </c>
      <c r="H129" s="92">
        <v>0.15</v>
      </c>
      <c r="I129" s="92">
        <v>0.0</v>
      </c>
      <c r="J129" s="91">
        <v>0.0</v>
      </c>
      <c r="K129" s="241" t="s">
        <v>1205</v>
      </c>
      <c r="L129" s="1"/>
      <c r="M129" s="242" t="s">
        <v>1206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88">
        <v>90.0</v>
      </c>
      <c r="C130" s="88" t="s">
        <v>608</v>
      </c>
      <c r="D130" s="89" t="s">
        <v>705</v>
      </c>
      <c r="E130" s="88">
        <v>4.0</v>
      </c>
      <c r="F130" s="89" t="s">
        <v>580</v>
      </c>
      <c r="G130" s="92">
        <v>0.09</v>
      </c>
      <c r="H130" s="92">
        <v>0.09</v>
      </c>
      <c r="I130" s="92">
        <v>0.0</v>
      </c>
      <c r="J130" s="91">
        <v>0.0</v>
      </c>
      <c r="K130" s="241" t="s">
        <v>1207</v>
      </c>
      <c r="L130" s="1"/>
      <c r="M130" s="242" t="s">
        <v>1208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88">
        <v>90.0</v>
      </c>
      <c r="C131" s="88" t="s">
        <v>608</v>
      </c>
      <c r="D131" s="89" t="s">
        <v>705</v>
      </c>
      <c r="E131" s="88">
        <v>5.0</v>
      </c>
      <c r="F131" s="89" t="s">
        <v>576</v>
      </c>
      <c r="G131" s="92">
        <v>0.005</v>
      </c>
      <c r="H131" s="92">
        <v>0.005</v>
      </c>
      <c r="I131" s="92">
        <v>0.0</v>
      </c>
      <c r="J131" s="91">
        <v>0.0</v>
      </c>
      <c r="K131" s="241" t="s">
        <v>1209</v>
      </c>
      <c r="L131" s="1"/>
      <c r="M131" s="242" t="s">
        <v>1210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88">
        <v>91.0</v>
      </c>
      <c r="C132" s="88" t="s">
        <v>608</v>
      </c>
      <c r="D132" s="89" t="s">
        <v>694</v>
      </c>
      <c r="E132" s="88">
        <v>1.0</v>
      </c>
      <c r="F132" s="89" t="s">
        <v>569</v>
      </c>
      <c r="G132" s="92">
        <v>0.1</v>
      </c>
      <c r="H132" s="92">
        <v>0.1</v>
      </c>
      <c r="I132" s="92">
        <v>0.0</v>
      </c>
      <c r="J132" s="91">
        <v>0.0</v>
      </c>
      <c r="K132" s="241" t="s">
        <v>1211</v>
      </c>
      <c r="L132" s="1"/>
      <c r="M132" s="242" t="s">
        <v>1212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/>
      <c r="B133" s="88">
        <v>91.0</v>
      </c>
      <c r="C133" s="88" t="s">
        <v>608</v>
      </c>
      <c r="D133" s="89" t="s">
        <v>694</v>
      </c>
      <c r="E133" s="88">
        <v>2.0</v>
      </c>
      <c r="F133" s="89" t="s">
        <v>720</v>
      </c>
      <c r="G133" s="92">
        <v>0.1</v>
      </c>
      <c r="H133" s="92">
        <v>0.1</v>
      </c>
      <c r="I133" s="92">
        <v>0.0</v>
      </c>
      <c r="J133" s="91">
        <v>0.0</v>
      </c>
      <c r="K133" s="241" t="s">
        <v>1213</v>
      </c>
      <c r="L133" s="1"/>
      <c r="M133" s="242" t="s">
        <v>1214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88">
        <v>91.0</v>
      </c>
      <c r="C134" s="88" t="s">
        <v>608</v>
      </c>
      <c r="D134" s="89" t="s">
        <v>694</v>
      </c>
      <c r="E134" s="88">
        <v>3.0</v>
      </c>
      <c r="F134" s="89" t="s">
        <v>579</v>
      </c>
      <c r="G134" s="92">
        <v>0.14</v>
      </c>
      <c r="H134" s="92">
        <v>0.14</v>
      </c>
      <c r="I134" s="92">
        <v>0.0</v>
      </c>
      <c r="J134" s="91">
        <v>0.0</v>
      </c>
      <c r="K134" s="241" t="s">
        <v>1215</v>
      </c>
      <c r="L134" s="1"/>
      <c r="M134" s="242" t="s">
        <v>1216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88">
        <v>91.0</v>
      </c>
      <c r="C135" s="88" t="s">
        <v>608</v>
      </c>
      <c r="D135" s="89" t="s">
        <v>694</v>
      </c>
      <c r="E135" s="88">
        <v>4.0</v>
      </c>
      <c r="F135" s="89" t="s">
        <v>593</v>
      </c>
      <c r="G135" s="92">
        <v>0.06</v>
      </c>
      <c r="H135" s="92">
        <v>0.06</v>
      </c>
      <c r="I135" s="92">
        <v>0.0</v>
      </c>
      <c r="J135" s="91">
        <v>0.0</v>
      </c>
      <c r="K135" s="241" t="s">
        <v>1217</v>
      </c>
      <c r="L135" s="1"/>
      <c r="M135" s="242" t="s">
        <v>1218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88">
        <v>91.0</v>
      </c>
      <c r="C136" s="88" t="s">
        <v>608</v>
      </c>
      <c r="D136" s="89" t="s">
        <v>694</v>
      </c>
      <c r="E136" s="88">
        <v>5.0</v>
      </c>
      <c r="F136" s="89" t="s">
        <v>726</v>
      </c>
      <c r="G136" s="92">
        <v>0.24</v>
      </c>
      <c r="H136" s="92">
        <v>0.24</v>
      </c>
      <c r="I136" s="92">
        <v>0.0</v>
      </c>
      <c r="J136" s="91">
        <v>0.0</v>
      </c>
      <c r="K136" s="241" t="s">
        <v>1219</v>
      </c>
      <c r="L136" s="1"/>
      <c r="M136" s="242" t="s">
        <v>1220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88">
        <v>91.0</v>
      </c>
      <c r="C137" s="88" t="s">
        <v>608</v>
      </c>
      <c r="D137" s="89" t="s">
        <v>694</v>
      </c>
      <c r="E137" s="88">
        <v>6.0</v>
      </c>
      <c r="F137" s="89" t="s">
        <v>592</v>
      </c>
      <c r="G137" s="92">
        <v>0.01</v>
      </c>
      <c r="H137" s="92">
        <v>0.01</v>
      </c>
      <c r="I137" s="92">
        <v>0.0</v>
      </c>
      <c r="J137" s="91">
        <v>0.0</v>
      </c>
      <c r="K137" s="241" t="s">
        <v>1221</v>
      </c>
      <c r="L137" s="1"/>
      <c r="M137" s="242" t="s">
        <v>1222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88">
        <v>91.0</v>
      </c>
      <c r="C138" s="88" t="s">
        <v>608</v>
      </c>
      <c r="D138" s="89" t="s">
        <v>694</v>
      </c>
      <c r="E138" s="88">
        <v>7.0</v>
      </c>
      <c r="F138" s="89" t="s">
        <v>544</v>
      </c>
      <c r="G138" s="92">
        <v>0.01</v>
      </c>
      <c r="H138" s="92">
        <v>0.01</v>
      </c>
      <c r="I138" s="92">
        <v>0.0</v>
      </c>
      <c r="J138" s="91">
        <v>0.0</v>
      </c>
      <c r="K138" s="241" t="s">
        <v>1223</v>
      </c>
      <c r="L138" s="1"/>
      <c r="M138" s="242" t="s">
        <v>1224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88">
        <v>91.0</v>
      </c>
      <c r="C139" s="88" t="s">
        <v>608</v>
      </c>
      <c r="D139" s="89" t="s">
        <v>694</v>
      </c>
      <c r="E139" s="88">
        <v>8.0</v>
      </c>
      <c r="F139" s="89" t="s">
        <v>581</v>
      </c>
      <c r="G139" s="92">
        <v>0.12</v>
      </c>
      <c r="H139" s="92">
        <v>0.12</v>
      </c>
      <c r="I139" s="92">
        <v>0.0</v>
      </c>
      <c r="J139" s="91">
        <v>0.0</v>
      </c>
      <c r="K139" s="241" t="s">
        <v>1225</v>
      </c>
      <c r="L139" s="1"/>
      <c r="M139" s="242" t="s">
        <v>1226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88">
        <v>91.0</v>
      </c>
      <c r="C140" s="88" t="s">
        <v>608</v>
      </c>
      <c r="D140" s="89" t="s">
        <v>694</v>
      </c>
      <c r="E140" s="88">
        <v>9.0</v>
      </c>
      <c r="F140" s="89" t="s">
        <v>576</v>
      </c>
      <c r="G140" s="92">
        <v>0.01</v>
      </c>
      <c r="H140" s="92">
        <v>0.01</v>
      </c>
      <c r="I140" s="92">
        <v>0.0</v>
      </c>
      <c r="J140" s="91">
        <v>0.0</v>
      </c>
      <c r="K140" s="241" t="s">
        <v>1227</v>
      </c>
      <c r="L140" s="1"/>
      <c r="M140" s="242" t="s">
        <v>1228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88">
        <v>91.0</v>
      </c>
      <c r="C141" s="88" t="s">
        <v>608</v>
      </c>
      <c r="D141" s="89" t="s">
        <v>694</v>
      </c>
      <c r="E141" s="88">
        <v>10.0</v>
      </c>
      <c r="F141" s="89" t="s">
        <v>571</v>
      </c>
      <c r="G141" s="92">
        <v>0.02</v>
      </c>
      <c r="H141" s="92">
        <v>0.02</v>
      </c>
      <c r="I141" s="92">
        <v>0.0</v>
      </c>
      <c r="J141" s="91">
        <v>0.0</v>
      </c>
      <c r="K141" s="241" t="s">
        <v>1229</v>
      </c>
      <c r="L141" s="1"/>
      <c r="M141" s="242" t="s">
        <v>1230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88">
        <v>91.0</v>
      </c>
      <c r="C142" s="88" t="s">
        <v>608</v>
      </c>
      <c r="D142" s="89" t="s">
        <v>694</v>
      </c>
      <c r="E142" s="88">
        <v>11.0</v>
      </c>
      <c r="F142" s="89" t="s">
        <v>722</v>
      </c>
      <c r="G142" s="92">
        <v>0.19</v>
      </c>
      <c r="H142" s="92">
        <v>0.19</v>
      </c>
      <c r="I142" s="92">
        <v>0.0</v>
      </c>
      <c r="J142" s="91">
        <v>0.0</v>
      </c>
      <c r="K142" s="241" t="s">
        <v>1231</v>
      </c>
      <c r="L142" s="1"/>
      <c r="M142" s="242" t="s">
        <v>1232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88">
        <v>92.0</v>
      </c>
      <c r="C143" s="88" t="s">
        <v>608</v>
      </c>
      <c r="D143" s="89" t="s">
        <v>673</v>
      </c>
      <c r="E143" s="88">
        <v>1.0</v>
      </c>
      <c r="F143" s="89" t="s">
        <v>765</v>
      </c>
      <c r="G143" s="92">
        <v>0.6</v>
      </c>
      <c r="H143" s="92">
        <v>0.6</v>
      </c>
      <c r="I143" s="92">
        <v>0.0</v>
      </c>
      <c r="J143" s="91">
        <v>0.0</v>
      </c>
      <c r="K143" s="241" t="s">
        <v>1233</v>
      </c>
      <c r="L143" s="1"/>
      <c r="M143" s="242" t="s">
        <v>1234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88">
        <v>92.0</v>
      </c>
      <c r="C144" s="88" t="s">
        <v>608</v>
      </c>
      <c r="D144" s="89" t="s">
        <v>673</v>
      </c>
      <c r="E144" s="88">
        <v>2.0</v>
      </c>
      <c r="F144" s="89" t="s">
        <v>402</v>
      </c>
      <c r="G144" s="92">
        <v>0.4</v>
      </c>
      <c r="H144" s="92">
        <v>0.4</v>
      </c>
      <c r="I144" s="92">
        <v>0.0</v>
      </c>
      <c r="J144" s="91">
        <v>0.0</v>
      </c>
      <c r="K144" s="241" t="s">
        <v>1235</v>
      </c>
      <c r="L144" s="1"/>
      <c r="M144" s="242" t="s">
        <v>1236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88">
        <v>93.0</v>
      </c>
      <c r="C145" s="88" t="s">
        <v>608</v>
      </c>
      <c r="D145" s="89" t="s">
        <v>639</v>
      </c>
      <c r="E145" s="88">
        <v>1.0</v>
      </c>
      <c r="F145" s="89" t="s">
        <v>429</v>
      </c>
      <c r="G145" s="92">
        <v>0.55</v>
      </c>
      <c r="H145" s="92">
        <v>0.55</v>
      </c>
      <c r="I145" s="92">
        <v>0.0</v>
      </c>
      <c r="J145" s="91">
        <v>0.0</v>
      </c>
      <c r="K145" s="241" t="s">
        <v>1237</v>
      </c>
      <c r="L145" s="1"/>
      <c r="M145" s="242" t="s">
        <v>1238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88">
        <v>93.0</v>
      </c>
      <c r="C146" s="88" t="s">
        <v>608</v>
      </c>
      <c r="D146" s="89" t="s">
        <v>639</v>
      </c>
      <c r="E146" s="88">
        <v>2.0</v>
      </c>
      <c r="F146" s="89" t="s">
        <v>402</v>
      </c>
      <c r="G146" s="92">
        <v>0.45</v>
      </c>
      <c r="H146" s="92">
        <v>0.45</v>
      </c>
      <c r="I146" s="92">
        <v>0.0</v>
      </c>
      <c r="J146" s="91">
        <v>0.0</v>
      </c>
      <c r="K146" s="241" t="s">
        <v>1239</v>
      </c>
      <c r="L146" s="1"/>
      <c r="M146" s="242" t="s">
        <v>1240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88">
        <v>94.0</v>
      </c>
      <c r="C147" s="88" t="s">
        <v>608</v>
      </c>
      <c r="D147" s="89" t="s">
        <v>640</v>
      </c>
      <c r="E147" s="88">
        <v>1.0</v>
      </c>
      <c r="F147" s="89" t="s">
        <v>784</v>
      </c>
      <c r="G147" s="92">
        <v>0.5</v>
      </c>
      <c r="H147" s="92">
        <v>0.5</v>
      </c>
      <c r="I147" s="92">
        <v>0.0</v>
      </c>
      <c r="J147" s="91">
        <v>0.0</v>
      </c>
      <c r="K147" s="241" t="s">
        <v>1241</v>
      </c>
      <c r="L147" s="1"/>
      <c r="M147" s="242" t="s">
        <v>1242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88">
        <v>94.0</v>
      </c>
      <c r="C148" s="88" t="s">
        <v>608</v>
      </c>
      <c r="D148" s="89" t="s">
        <v>640</v>
      </c>
      <c r="E148" s="88">
        <v>2.0</v>
      </c>
      <c r="F148" s="89" t="s">
        <v>402</v>
      </c>
      <c r="G148" s="92">
        <v>0.5</v>
      </c>
      <c r="H148" s="92">
        <v>0.5</v>
      </c>
      <c r="I148" s="92">
        <v>0.0</v>
      </c>
      <c r="J148" s="91">
        <v>0.0</v>
      </c>
      <c r="K148" s="241" t="s">
        <v>1243</v>
      </c>
      <c r="L148" s="1"/>
      <c r="M148" s="242" t="s">
        <v>1244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/>
      <c r="B149" s="88">
        <v>95.0</v>
      </c>
      <c r="C149" s="88" t="s">
        <v>608</v>
      </c>
      <c r="D149" s="89" t="s">
        <v>638</v>
      </c>
      <c r="E149" s="88">
        <v>1.0</v>
      </c>
      <c r="F149" s="89" t="s">
        <v>763</v>
      </c>
      <c r="G149" s="92">
        <v>0.7</v>
      </c>
      <c r="H149" s="92">
        <v>0.7</v>
      </c>
      <c r="I149" s="92">
        <v>0.0</v>
      </c>
      <c r="J149" s="91">
        <v>0.0</v>
      </c>
      <c r="K149" s="241" t="s">
        <v>1245</v>
      </c>
      <c r="L149" s="1"/>
      <c r="M149" s="242" t="s">
        <v>1246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88">
        <v>95.0</v>
      </c>
      <c r="C150" s="88" t="s">
        <v>608</v>
      </c>
      <c r="D150" s="89" t="s">
        <v>638</v>
      </c>
      <c r="E150" s="88">
        <v>2.0</v>
      </c>
      <c r="F150" s="89" t="s">
        <v>402</v>
      </c>
      <c r="G150" s="92">
        <v>0.3</v>
      </c>
      <c r="H150" s="92">
        <v>0.3</v>
      </c>
      <c r="I150" s="92">
        <v>0.0</v>
      </c>
      <c r="J150" s="91">
        <v>0.0</v>
      </c>
      <c r="K150" s="241" t="s">
        <v>1247</v>
      </c>
      <c r="L150" s="1"/>
      <c r="M150" s="242" t="s">
        <v>1248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88">
        <v>97.0</v>
      </c>
      <c r="C151" s="88" t="s">
        <v>608</v>
      </c>
      <c r="D151" s="89" t="s">
        <v>667</v>
      </c>
      <c r="E151" s="88">
        <v>1.0</v>
      </c>
      <c r="F151" s="89" t="s">
        <v>782</v>
      </c>
      <c r="G151" s="92">
        <v>0.55</v>
      </c>
      <c r="H151" s="92">
        <v>0.55</v>
      </c>
      <c r="I151" s="92">
        <v>0.0</v>
      </c>
      <c r="J151" s="91">
        <v>0.0</v>
      </c>
      <c r="K151" s="241" t="s">
        <v>1249</v>
      </c>
      <c r="L151" s="1"/>
      <c r="M151" s="242" t="s">
        <v>1250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88">
        <v>97.0</v>
      </c>
      <c r="C152" s="88" t="s">
        <v>608</v>
      </c>
      <c r="D152" s="89" t="s">
        <v>667</v>
      </c>
      <c r="E152" s="88">
        <v>2.0</v>
      </c>
      <c r="F152" s="89" t="s">
        <v>588</v>
      </c>
      <c r="G152" s="92">
        <v>0.1</v>
      </c>
      <c r="H152" s="92">
        <v>0.1</v>
      </c>
      <c r="I152" s="92">
        <v>0.0</v>
      </c>
      <c r="J152" s="91">
        <v>0.0</v>
      </c>
      <c r="K152" s="241" t="s">
        <v>1251</v>
      </c>
      <c r="L152" s="1"/>
      <c r="M152" s="242" t="s">
        <v>1252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/>
      <c r="B153" s="88">
        <v>97.0</v>
      </c>
      <c r="C153" s="88" t="s">
        <v>608</v>
      </c>
      <c r="D153" s="89" t="s">
        <v>667</v>
      </c>
      <c r="E153" s="88">
        <v>3.0</v>
      </c>
      <c r="F153" s="89" t="s">
        <v>532</v>
      </c>
      <c r="G153" s="92">
        <v>0.005</v>
      </c>
      <c r="H153" s="92">
        <v>0.005</v>
      </c>
      <c r="I153" s="92">
        <v>0.0</v>
      </c>
      <c r="J153" s="91">
        <v>0.0</v>
      </c>
      <c r="K153" s="241" t="s">
        <v>1253</v>
      </c>
      <c r="L153" s="1"/>
      <c r="M153" s="242" t="s">
        <v>1254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1"/>
      <c r="B154" s="88">
        <v>97.0</v>
      </c>
      <c r="C154" s="88" t="s">
        <v>608</v>
      </c>
      <c r="D154" s="89" t="s">
        <v>667</v>
      </c>
      <c r="E154" s="88">
        <v>4.0</v>
      </c>
      <c r="F154" s="89" t="s">
        <v>719</v>
      </c>
      <c r="G154" s="92">
        <v>0.22</v>
      </c>
      <c r="H154" s="92">
        <v>0.22</v>
      </c>
      <c r="I154" s="92">
        <v>0.0</v>
      </c>
      <c r="J154" s="91">
        <v>0.0</v>
      </c>
      <c r="K154" s="241" t="s">
        <v>1255</v>
      </c>
      <c r="L154" s="1"/>
      <c r="M154" s="242" t="s">
        <v>1256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88">
        <v>97.0</v>
      </c>
      <c r="C155" s="88" t="s">
        <v>608</v>
      </c>
      <c r="D155" s="89" t="s">
        <v>667</v>
      </c>
      <c r="E155" s="88">
        <v>5.0</v>
      </c>
      <c r="F155" s="89" t="s">
        <v>722</v>
      </c>
      <c r="G155" s="92">
        <v>0.125</v>
      </c>
      <c r="H155" s="92">
        <v>0.125</v>
      </c>
      <c r="I155" s="92">
        <v>0.0</v>
      </c>
      <c r="J155" s="91">
        <v>0.0</v>
      </c>
      <c r="K155" s="241" t="s">
        <v>1257</v>
      </c>
      <c r="L155" s="1"/>
      <c r="M155" s="242" t="s">
        <v>1258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88">
        <v>99.0</v>
      </c>
      <c r="C156" s="88" t="s">
        <v>608</v>
      </c>
      <c r="D156" s="89" t="s">
        <v>649</v>
      </c>
      <c r="E156" s="88">
        <v>1.0</v>
      </c>
      <c r="F156" s="89" t="s">
        <v>594</v>
      </c>
      <c r="G156" s="92">
        <v>0.29</v>
      </c>
      <c r="H156" s="92">
        <v>0.29</v>
      </c>
      <c r="I156" s="92">
        <v>0.0</v>
      </c>
      <c r="J156" s="91">
        <v>0.0</v>
      </c>
      <c r="K156" s="241" t="s">
        <v>1259</v>
      </c>
      <c r="L156" s="1"/>
      <c r="M156" s="242" t="s">
        <v>1260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88">
        <v>99.0</v>
      </c>
      <c r="C157" s="88" t="s">
        <v>608</v>
      </c>
      <c r="D157" s="89" t="s">
        <v>649</v>
      </c>
      <c r="E157" s="88">
        <v>2.0</v>
      </c>
      <c r="F157" s="89" t="s">
        <v>579</v>
      </c>
      <c r="G157" s="92">
        <v>0.304</v>
      </c>
      <c r="H157" s="92">
        <v>0.304</v>
      </c>
      <c r="I157" s="92">
        <v>0.0</v>
      </c>
      <c r="J157" s="91">
        <v>0.0</v>
      </c>
      <c r="K157" s="241" t="s">
        <v>1261</v>
      </c>
      <c r="L157" s="1"/>
      <c r="M157" s="242" t="s">
        <v>1262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88">
        <v>99.0</v>
      </c>
      <c r="C158" s="88" t="s">
        <v>608</v>
      </c>
      <c r="D158" s="89" t="s">
        <v>649</v>
      </c>
      <c r="E158" s="88">
        <v>3.0</v>
      </c>
      <c r="F158" s="89" t="s">
        <v>593</v>
      </c>
      <c r="G158" s="92">
        <v>0.113</v>
      </c>
      <c r="H158" s="92">
        <v>0.113</v>
      </c>
      <c r="I158" s="92">
        <v>0.0</v>
      </c>
      <c r="J158" s="91">
        <v>0.0</v>
      </c>
      <c r="K158" s="241" t="s">
        <v>1263</v>
      </c>
      <c r="L158" s="1"/>
      <c r="M158" s="242" t="s">
        <v>1264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88">
        <v>99.0</v>
      </c>
      <c r="C159" s="88" t="s">
        <v>608</v>
      </c>
      <c r="D159" s="89" t="s">
        <v>649</v>
      </c>
      <c r="E159" s="88">
        <v>4.0</v>
      </c>
      <c r="F159" s="89" t="s">
        <v>588</v>
      </c>
      <c r="G159" s="92">
        <v>0.1</v>
      </c>
      <c r="H159" s="92">
        <v>0.1</v>
      </c>
      <c r="I159" s="92">
        <v>0.0</v>
      </c>
      <c r="J159" s="91">
        <v>0.0</v>
      </c>
      <c r="K159" s="241" t="s">
        <v>1265</v>
      </c>
      <c r="L159" s="1"/>
      <c r="M159" s="242" t="s">
        <v>1266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/>
      <c r="B160" s="88">
        <v>99.0</v>
      </c>
      <c r="C160" s="88" t="s">
        <v>608</v>
      </c>
      <c r="D160" s="89" t="s">
        <v>649</v>
      </c>
      <c r="E160" s="88">
        <v>5.0</v>
      </c>
      <c r="F160" s="89" t="s">
        <v>532</v>
      </c>
      <c r="G160" s="92">
        <v>0.008</v>
      </c>
      <c r="H160" s="92">
        <v>0.008</v>
      </c>
      <c r="I160" s="92">
        <v>0.0</v>
      </c>
      <c r="J160" s="91">
        <v>0.0</v>
      </c>
      <c r="K160" s="241" t="s">
        <v>1267</v>
      </c>
      <c r="L160" s="1"/>
      <c r="M160" s="242" t="s">
        <v>1268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/>
      <c r="B161" s="88">
        <v>99.0</v>
      </c>
      <c r="C161" s="88" t="s">
        <v>608</v>
      </c>
      <c r="D161" s="89" t="s">
        <v>649</v>
      </c>
      <c r="E161" s="88">
        <v>6.0</v>
      </c>
      <c r="F161" s="89" t="s">
        <v>585</v>
      </c>
      <c r="G161" s="92">
        <v>0.11</v>
      </c>
      <c r="H161" s="92">
        <v>0.11</v>
      </c>
      <c r="I161" s="92">
        <v>0.0</v>
      </c>
      <c r="J161" s="91">
        <v>0.0</v>
      </c>
      <c r="K161" s="241" t="s">
        <v>1269</v>
      </c>
      <c r="L161" s="1"/>
      <c r="M161" s="242" t="s">
        <v>1270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1"/>
      <c r="B162" s="88">
        <v>99.0</v>
      </c>
      <c r="C162" s="88" t="s">
        <v>608</v>
      </c>
      <c r="D162" s="89" t="s">
        <v>649</v>
      </c>
      <c r="E162" s="88">
        <v>7.0</v>
      </c>
      <c r="F162" s="89" t="s">
        <v>548</v>
      </c>
      <c r="G162" s="92">
        <v>0.075</v>
      </c>
      <c r="H162" s="92">
        <v>0.075</v>
      </c>
      <c r="I162" s="92">
        <v>0.0</v>
      </c>
      <c r="J162" s="91">
        <v>0.0</v>
      </c>
      <c r="K162" s="241" t="s">
        <v>1271</v>
      </c>
      <c r="L162" s="1"/>
      <c r="M162" s="242" t="s">
        <v>1272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88">
        <v>100.0</v>
      </c>
      <c r="C163" s="88" t="s">
        <v>608</v>
      </c>
      <c r="D163" s="89" t="s">
        <v>719</v>
      </c>
      <c r="E163" s="88">
        <v>1.0</v>
      </c>
      <c r="F163" s="89" t="s">
        <v>594</v>
      </c>
      <c r="G163" s="92">
        <v>0.15</v>
      </c>
      <c r="H163" s="92">
        <v>0.15</v>
      </c>
      <c r="I163" s="92">
        <v>0.0</v>
      </c>
      <c r="J163" s="91">
        <v>0.0</v>
      </c>
      <c r="K163" s="241" t="s">
        <v>1273</v>
      </c>
      <c r="L163" s="1"/>
      <c r="M163" s="242" t="s">
        <v>1274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88">
        <v>100.0</v>
      </c>
      <c r="C164" s="88" t="s">
        <v>608</v>
      </c>
      <c r="D164" s="89" t="s">
        <v>719</v>
      </c>
      <c r="E164" s="88">
        <v>2.0</v>
      </c>
      <c r="F164" s="89" t="s">
        <v>579</v>
      </c>
      <c r="G164" s="92">
        <v>0.25</v>
      </c>
      <c r="H164" s="92">
        <v>0.25</v>
      </c>
      <c r="I164" s="92">
        <v>0.0</v>
      </c>
      <c r="J164" s="91">
        <v>0.0</v>
      </c>
      <c r="K164" s="241" t="s">
        <v>1275</v>
      </c>
      <c r="L164" s="1"/>
      <c r="M164" s="242" t="s">
        <v>1276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88">
        <v>100.0</v>
      </c>
      <c r="C165" s="88" t="s">
        <v>608</v>
      </c>
      <c r="D165" s="89" t="s">
        <v>719</v>
      </c>
      <c r="E165" s="88">
        <v>3.0</v>
      </c>
      <c r="F165" s="89" t="s">
        <v>593</v>
      </c>
      <c r="G165" s="92">
        <v>0.15</v>
      </c>
      <c r="H165" s="92">
        <v>0.15</v>
      </c>
      <c r="I165" s="92">
        <v>0.0</v>
      </c>
      <c r="J165" s="91">
        <v>0.0</v>
      </c>
      <c r="K165" s="241" t="s">
        <v>1277</v>
      </c>
      <c r="L165" s="1"/>
      <c r="M165" s="242" t="s">
        <v>1278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88">
        <v>100.0</v>
      </c>
      <c r="C166" s="88" t="s">
        <v>608</v>
      </c>
      <c r="D166" s="89" t="s">
        <v>719</v>
      </c>
      <c r="E166" s="88">
        <v>4.0</v>
      </c>
      <c r="F166" s="89" t="s">
        <v>548</v>
      </c>
      <c r="G166" s="92">
        <v>0.45</v>
      </c>
      <c r="H166" s="92">
        <v>0.45</v>
      </c>
      <c r="I166" s="92">
        <v>0.0</v>
      </c>
      <c r="J166" s="91">
        <v>0.0</v>
      </c>
      <c r="K166" s="241" t="s">
        <v>1279</v>
      </c>
      <c r="L166" s="1"/>
      <c r="M166" s="242" t="s">
        <v>1280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88">
        <v>102.0</v>
      </c>
      <c r="C167" s="88" t="s">
        <v>608</v>
      </c>
      <c r="D167" s="89" t="s">
        <v>686</v>
      </c>
      <c r="E167" s="88">
        <v>1.0</v>
      </c>
      <c r="F167" s="89" t="s">
        <v>431</v>
      </c>
      <c r="G167" s="92">
        <v>0.55</v>
      </c>
      <c r="H167" s="92">
        <v>0.55</v>
      </c>
      <c r="I167" s="92">
        <v>0.0</v>
      </c>
      <c r="J167" s="91">
        <v>0.0</v>
      </c>
      <c r="K167" s="241" t="s">
        <v>1281</v>
      </c>
      <c r="L167" s="1"/>
      <c r="M167" s="242" t="s">
        <v>1282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88">
        <v>102.0</v>
      </c>
      <c r="C168" s="88" t="s">
        <v>608</v>
      </c>
      <c r="D168" s="89" t="s">
        <v>686</v>
      </c>
      <c r="E168" s="88">
        <v>2.0</v>
      </c>
      <c r="F168" s="89" t="s">
        <v>402</v>
      </c>
      <c r="G168" s="92">
        <v>0.3</v>
      </c>
      <c r="H168" s="92">
        <v>0.3</v>
      </c>
      <c r="I168" s="92">
        <v>0.0</v>
      </c>
      <c r="J168" s="91">
        <v>0.0</v>
      </c>
      <c r="K168" s="241" t="s">
        <v>1283</v>
      </c>
      <c r="L168" s="1"/>
      <c r="M168" s="242" t="s">
        <v>1284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88">
        <v>102.0</v>
      </c>
      <c r="C169" s="88" t="s">
        <v>608</v>
      </c>
      <c r="D169" s="89" t="s">
        <v>686</v>
      </c>
      <c r="E169" s="88">
        <v>3.0</v>
      </c>
      <c r="F169" s="89" t="s">
        <v>757</v>
      </c>
      <c r="G169" s="92">
        <v>0.15</v>
      </c>
      <c r="H169" s="92">
        <v>0.15</v>
      </c>
      <c r="I169" s="92">
        <v>0.0</v>
      </c>
      <c r="J169" s="91">
        <v>0.0</v>
      </c>
      <c r="K169" s="241" t="s">
        <v>1285</v>
      </c>
      <c r="L169" s="1"/>
      <c r="M169" s="242" t="s">
        <v>1286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88">
        <v>103.0</v>
      </c>
      <c r="C170" s="88" t="s">
        <v>608</v>
      </c>
      <c r="D170" s="89" t="s">
        <v>661</v>
      </c>
      <c r="E170" s="88">
        <v>1.0</v>
      </c>
      <c r="F170" s="89" t="s">
        <v>777</v>
      </c>
      <c r="G170" s="92">
        <v>0.45</v>
      </c>
      <c r="H170" s="92">
        <v>0.45</v>
      </c>
      <c r="I170" s="92">
        <v>0.0</v>
      </c>
      <c r="J170" s="91">
        <v>0.0</v>
      </c>
      <c r="K170" s="241" t="s">
        <v>1287</v>
      </c>
      <c r="L170" s="1"/>
      <c r="M170" s="242" t="s">
        <v>1288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88">
        <v>103.0</v>
      </c>
      <c r="C171" s="88" t="s">
        <v>608</v>
      </c>
      <c r="D171" s="89" t="s">
        <v>661</v>
      </c>
      <c r="E171" s="88">
        <v>2.0</v>
      </c>
      <c r="F171" s="89" t="s">
        <v>402</v>
      </c>
      <c r="G171" s="92">
        <v>0.3</v>
      </c>
      <c r="H171" s="92">
        <v>0.3</v>
      </c>
      <c r="I171" s="92">
        <v>0.0</v>
      </c>
      <c r="J171" s="91">
        <v>0.0</v>
      </c>
      <c r="K171" s="241" t="s">
        <v>1289</v>
      </c>
      <c r="L171" s="1"/>
      <c r="M171" s="242" t="s">
        <v>1290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88">
        <v>103.0</v>
      </c>
      <c r="C172" s="88" t="s">
        <v>608</v>
      </c>
      <c r="D172" s="89" t="s">
        <v>661</v>
      </c>
      <c r="E172" s="88">
        <v>3.0</v>
      </c>
      <c r="F172" s="89" t="s">
        <v>757</v>
      </c>
      <c r="G172" s="92">
        <v>0.15</v>
      </c>
      <c r="H172" s="92">
        <v>0.15</v>
      </c>
      <c r="I172" s="92">
        <v>0.0</v>
      </c>
      <c r="J172" s="91">
        <v>0.0</v>
      </c>
      <c r="K172" s="241" t="s">
        <v>1291</v>
      </c>
      <c r="L172" s="1"/>
      <c r="M172" s="242" t="s">
        <v>1292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88">
        <v>103.0</v>
      </c>
      <c r="C173" s="88" t="s">
        <v>608</v>
      </c>
      <c r="D173" s="89" t="s">
        <v>661</v>
      </c>
      <c r="E173" s="88">
        <v>4.0</v>
      </c>
      <c r="F173" s="89" t="s">
        <v>594</v>
      </c>
      <c r="G173" s="92">
        <v>0.1</v>
      </c>
      <c r="H173" s="92">
        <v>0.1</v>
      </c>
      <c r="I173" s="92">
        <v>0.0</v>
      </c>
      <c r="J173" s="91">
        <v>0.0</v>
      </c>
      <c r="K173" s="241" t="s">
        <v>1293</v>
      </c>
      <c r="L173" s="1"/>
      <c r="M173" s="242" t="s">
        <v>1294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88">
        <v>104.0</v>
      </c>
      <c r="C174" s="88" t="s">
        <v>608</v>
      </c>
      <c r="D174" s="89" t="s">
        <v>664</v>
      </c>
      <c r="E174" s="88">
        <v>1.0</v>
      </c>
      <c r="F174" s="89" t="s">
        <v>769</v>
      </c>
      <c r="G174" s="92">
        <v>0.5</v>
      </c>
      <c r="H174" s="92">
        <v>0.5</v>
      </c>
      <c r="I174" s="92">
        <v>0.0</v>
      </c>
      <c r="J174" s="91">
        <v>0.0</v>
      </c>
      <c r="K174" s="241" t="s">
        <v>1295</v>
      </c>
      <c r="L174" s="1"/>
      <c r="M174" s="242" t="s">
        <v>1296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88">
        <v>104.0</v>
      </c>
      <c r="C175" s="88" t="s">
        <v>608</v>
      </c>
      <c r="D175" s="89" t="s">
        <v>664</v>
      </c>
      <c r="E175" s="88">
        <v>2.0</v>
      </c>
      <c r="F175" s="89" t="s">
        <v>402</v>
      </c>
      <c r="G175" s="92">
        <v>0.3</v>
      </c>
      <c r="H175" s="92">
        <v>0.3</v>
      </c>
      <c r="I175" s="92">
        <v>0.0</v>
      </c>
      <c r="J175" s="91">
        <v>0.0</v>
      </c>
      <c r="K175" s="241" t="s">
        <v>1297</v>
      </c>
      <c r="L175" s="1"/>
      <c r="M175" s="242" t="s">
        <v>1298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88">
        <v>104.0</v>
      </c>
      <c r="C176" s="88" t="s">
        <v>608</v>
      </c>
      <c r="D176" s="89" t="s">
        <v>664</v>
      </c>
      <c r="E176" s="88">
        <v>3.0</v>
      </c>
      <c r="F176" s="89" t="s">
        <v>757</v>
      </c>
      <c r="G176" s="92">
        <v>0.05</v>
      </c>
      <c r="H176" s="92">
        <v>0.05</v>
      </c>
      <c r="I176" s="92">
        <v>0.0</v>
      </c>
      <c r="J176" s="91">
        <v>0.0</v>
      </c>
      <c r="K176" s="241" t="s">
        <v>1299</v>
      </c>
      <c r="L176" s="1"/>
      <c r="M176" s="242" t="s">
        <v>1300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88">
        <v>104.0</v>
      </c>
      <c r="C177" s="88" t="s">
        <v>608</v>
      </c>
      <c r="D177" s="89" t="s">
        <v>664</v>
      </c>
      <c r="E177" s="88">
        <v>4.0</v>
      </c>
      <c r="F177" s="89" t="s">
        <v>594</v>
      </c>
      <c r="G177" s="92">
        <v>0.1</v>
      </c>
      <c r="H177" s="92">
        <v>0.1</v>
      </c>
      <c r="I177" s="92">
        <v>0.0</v>
      </c>
      <c r="J177" s="91">
        <v>0.0</v>
      </c>
      <c r="K177" s="241" t="s">
        <v>1301</v>
      </c>
      <c r="L177" s="1"/>
      <c r="M177" s="242" t="s">
        <v>1302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/>
      <c r="B178" s="88">
        <v>104.0</v>
      </c>
      <c r="C178" s="88" t="s">
        <v>608</v>
      </c>
      <c r="D178" s="89" t="s">
        <v>664</v>
      </c>
      <c r="E178" s="88">
        <v>5.0</v>
      </c>
      <c r="F178" s="89" t="s">
        <v>765</v>
      </c>
      <c r="G178" s="92">
        <v>0.05</v>
      </c>
      <c r="H178" s="92">
        <v>0.05</v>
      </c>
      <c r="I178" s="92">
        <v>0.0</v>
      </c>
      <c r="J178" s="91">
        <v>0.0</v>
      </c>
      <c r="K178" s="241" t="s">
        <v>1303</v>
      </c>
      <c r="L178" s="1"/>
      <c r="M178" s="242" t="s">
        <v>1304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88">
        <v>105.0</v>
      </c>
      <c r="C179" s="88" t="s">
        <v>608</v>
      </c>
      <c r="D179" s="89" t="s">
        <v>525</v>
      </c>
      <c r="E179" s="88">
        <v>1.0</v>
      </c>
      <c r="F179" s="89" t="s">
        <v>782</v>
      </c>
      <c r="G179" s="92">
        <v>0.6</v>
      </c>
      <c r="H179" s="92">
        <v>0.6</v>
      </c>
      <c r="I179" s="92">
        <v>0.0</v>
      </c>
      <c r="J179" s="91">
        <v>0.0</v>
      </c>
      <c r="K179" s="241" t="s">
        <v>1305</v>
      </c>
      <c r="L179" s="1" t="s">
        <v>755</v>
      </c>
      <c r="M179" s="242" t="s">
        <v>1306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88">
        <v>105.0</v>
      </c>
      <c r="C180" s="88" t="s">
        <v>608</v>
      </c>
      <c r="D180" s="89" t="s">
        <v>525</v>
      </c>
      <c r="E180" s="88">
        <v>2.0</v>
      </c>
      <c r="F180" s="89" t="s">
        <v>720</v>
      </c>
      <c r="G180" s="92">
        <v>0.03</v>
      </c>
      <c r="H180" s="92">
        <v>0.03</v>
      </c>
      <c r="I180" s="92">
        <v>0.0</v>
      </c>
      <c r="J180" s="91">
        <v>0.0</v>
      </c>
      <c r="K180" s="241" t="s">
        <v>1307</v>
      </c>
      <c r="L180" s="1" t="s">
        <v>755</v>
      </c>
      <c r="M180" s="242" t="s">
        <v>1308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88">
        <v>105.0</v>
      </c>
      <c r="C181" s="88" t="s">
        <v>608</v>
      </c>
      <c r="D181" s="89" t="s">
        <v>525</v>
      </c>
      <c r="E181" s="88">
        <v>3.0</v>
      </c>
      <c r="F181" s="89" t="s">
        <v>569</v>
      </c>
      <c r="G181" s="92">
        <v>0.04</v>
      </c>
      <c r="H181" s="92">
        <v>0.04</v>
      </c>
      <c r="I181" s="92">
        <v>0.0</v>
      </c>
      <c r="J181" s="91">
        <v>0.0</v>
      </c>
      <c r="K181" s="241" t="s">
        <v>1309</v>
      </c>
      <c r="L181" s="1" t="s">
        <v>755</v>
      </c>
      <c r="M181" s="242" t="s">
        <v>1310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1"/>
      <c r="B182" s="88">
        <v>105.0</v>
      </c>
      <c r="C182" s="88" t="s">
        <v>608</v>
      </c>
      <c r="D182" s="89" t="s">
        <v>525</v>
      </c>
      <c r="E182" s="88">
        <v>4.0</v>
      </c>
      <c r="F182" s="89" t="s">
        <v>570</v>
      </c>
      <c r="G182" s="92">
        <v>0.06</v>
      </c>
      <c r="H182" s="92">
        <v>0.06</v>
      </c>
      <c r="I182" s="92">
        <v>0.0</v>
      </c>
      <c r="J182" s="91">
        <v>0.0</v>
      </c>
      <c r="K182" s="241" t="s">
        <v>1311</v>
      </c>
      <c r="L182" s="1" t="s">
        <v>755</v>
      </c>
      <c r="M182" s="242" t="s">
        <v>1312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1"/>
      <c r="B183" s="88">
        <v>105.0</v>
      </c>
      <c r="C183" s="88" t="s">
        <v>608</v>
      </c>
      <c r="D183" s="89" t="s">
        <v>525</v>
      </c>
      <c r="E183" s="88">
        <v>5.0</v>
      </c>
      <c r="F183" s="89" t="s">
        <v>532</v>
      </c>
      <c r="G183" s="92">
        <v>0.01</v>
      </c>
      <c r="H183" s="92">
        <v>0.01</v>
      </c>
      <c r="I183" s="92">
        <v>0.0</v>
      </c>
      <c r="J183" s="91">
        <v>0.0</v>
      </c>
      <c r="K183" s="241" t="s">
        <v>1313</v>
      </c>
      <c r="L183" s="1" t="s">
        <v>755</v>
      </c>
      <c r="M183" s="242" t="s">
        <v>1314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88">
        <v>105.0</v>
      </c>
      <c r="C184" s="88" t="s">
        <v>608</v>
      </c>
      <c r="D184" s="89" t="s">
        <v>525</v>
      </c>
      <c r="E184" s="88">
        <v>6.0</v>
      </c>
      <c r="F184" s="89" t="s">
        <v>571</v>
      </c>
      <c r="G184" s="92">
        <v>0.01</v>
      </c>
      <c r="H184" s="92">
        <v>0.01</v>
      </c>
      <c r="I184" s="92">
        <v>0.0</v>
      </c>
      <c r="J184" s="91">
        <v>0.0</v>
      </c>
      <c r="K184" s="241" t="s">
        <v>1315</v>
      </c>
      <c r="L184" s="1" t="s">
        <v>755</v>
      </c>
      <c r="M184" s="242" t="s">
        <v>1316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88">
        <v>105.0</v>
      </c>
      <c r="C185" s="88" t="s">
        <v>608</v>
      </c>
      <c r="D185" s="89" t="s">
        <v>525</v>
      </c>
      <c r="E185" s="88">
        <v>7.0</v>
      </c>
      <c r="F185" s="89" t="s">
        <v>717</v>
      </c>
      <c r="G185" s="92">
        <v>0.2</v>
      </c>
      <c r="H185" s="92">
        <v>0.2</v>
      </c>
      <c r="I185" s="92">
        <v>0.0</v>
      </c>
      <c r="J185" s="91">
        <v>0.0</v>
      </c>
      <c r="K185" s="241" t="s">
        <v>1317</v>
      </c>
      <c r="L185" s="1" t="s">
        <v>755</v>
      </c>
      <c r="M185" s="242" t="s">
        <v>1318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88">
        <v>105.0</v>
      </c>
      <c r="C186" s="88" t="s">
        <v>608</v>
      </c>
      <c r="D186" s="89" t="s">
        <v>525</v>
      </c>
      <c r="E186" s="88">
        <v>8.0</v>
      </c>
      <c r="F186" s="89" t="s">
        <v>594</v>
      </c>
      <c r="G186" s="92">
        <v>0.025</v>
      </c>
      <c r="H186" s="92">
        <v>0.025</v>
      </c>
      <c r="I186" s="92">
        <v>0.0</v>
      </c>
      <c r="J186" s="91">
        <v>0.0</v>
      </c>
      <c r="K186" s="241" t="s">
        <v>1319</v>
      </c>
      <c r="L186" s="1" t="s">
        <v>755</v>
      </c>
      <c r="M186" s="242" t="s">
        <v>1320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88">
        <v>105.0</v>
      </c>
      <c r="C187" s="88" t="s">
        <v>608</v>
      </c>
      <c r="D187" s="89" t="s">
        <v>525</v>
      </c>
      <c r="E187" s="88">
        <v>9.0</v>
      </c>
      <c r="F187" s="89" t="s">
        <v>593</v>
      </c>
      <c r="G187" s="92">
        <v>0.025</v>
      </c>
      <c r="H187" s="92">
        <v>0.025</v>
      </c>
      <c r="I187" s="92">
        <v>0.0</v>
      </c>
      <c r="J187" s="91">
        <v>0.0</v>
      </c>
      <c r="K187" s="241" t="s">
        <v>1321</v>
      </c>
      <c r="L187" s="1" t="s">
        <v>755</v>
      </c>
      <c r="M187" s="242" t="s">
        <v>1322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88">
        <v>105.0</v>
      </c>
      <c r="C188" s="88" t="s">
        <v>608</v>
      </c>
      <c r="D188" s="89" t="s">
        <v>525</v>
      </c>
      <c r="E188" s="88">
        <v>10.0</v>
      </c>
      <c r="F188" s="89" t="s">
        <v>522</v>
      </c>
      <c r="G188" s="92">
        <v>0.0</v>
      </c>
      <c r="H188" s="92">
        <v>0.0</v>
      </c>
      <c r="I188" s="92">
        <v>0.038517</v>
      </c>
      <c r="J188" s="91">
        <v>0.0</v>
      </c>
      <c r="K188" s="241" t="s">
        <v>1323</v>
      </c>
      <c r="L188" s="1" t="s">
        <v>755</v>
      </c>
      <c r="M188" s="242" t="s">
        <v>1324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88">
        <v>105.0</v>
      </c>
      <c r="C189" s="88" t="s">
        <v>608</v>
      </c>
      <c r="D189" s="89" t="s">
        <v>525</v>
      </c>
      <c r="E189" s="88">
        <v>11.0</v>
      </c>
      <c r="F189" s="89" t="s">
        <v>520</v>
      </c>
      <c r="G189" s="92">
        <v>0.0</v>
      </c>
      <c r="H189" s="92">
        <v>0.0</v>
      </c>
      <c r="I189" s="92">
        <v>1.82E-4</v>
      </c>
      <c r="J189" s="91">
        <v>0.0</v>
      </c>
      <c r="K189" s="241" t="s">
        <v>1325</v>
      </c>
      <c r="L189" s="1" t="s">
        <v>755</v>
      </c>
      <c r="M189" s="242" t="s">
        <v>1326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/>
      <c r="B190" s="88">
        <v>107.0</v>
      </c>
      <c r="C190" s="88" t="s">
        <v>608</v>
      </c>
      <c r="D190" s="89" t="s">
        <v>717</v>
      </c>
      <c r="E190" s="88">
        <v>1.0</v>
      </c>
      <c r="F190" s="89" t="s">
        <v>579</v>
      </c>
      <c r="G190" s="92">
        <v>0.212</v>
      </c>
      <c r="H190" s="92">
        <v>0.212</v>
      </c>
      <c r="I190" s="92">
        <v>0.0</v>
      </c>
      <c r="J190" s="91">
        <v>0.0</v>
      </c>
      <c r="K190" s="241" t="s">
        <v>1327</v>
      </c>
      <c r="L190" s="1"/>
      <c r="M190" s="242" t="s">
        <v>1328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/>
      <c r="B191" s="88">
        <v>107.0</v>
      </c>
      <c r="C191" s="88" t="s">
        <v>608</v>
      </c>
      <c r="D191" s="89" t="s">
        <v>717</v>
      </c>
      <c r="E191" s="88">
        <v>2.0</v>
      </c>
      <c r="F191" s="89" t="s">
        <v>593</v>
      </c>
      <c r="G191" s="92">
        <v>0.058</v>
      </c>
      <c r="H191" s="92">
        <v>0.058</v>
      </c>
      <c r="I191" s="92">
        <v>0.0</v>
      </c>
      <c r="J191" s="91">
        <v>0.0</v>
      </c>
      <c r="K191" s="241" t="s">
        <v>1329</v>
      </c>
      <c r="L191" s="1"/>
      <c r="M191" s="242" t="s">
        <v>1330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88">
        <v>107.0</v>
      </c>
      <c r="C192" s="88" t="s">
        <v>608</v>
      </c>
      <c r="D192" s="89" t="s">
        <v>717</v>
      </c>
      <c r="E192" s="88">
        <v>3.0</v>
      </c>
      <c r="F192" s="89" t="s">
        <v>403</v>
      </c>
      <c r="G192" s="92">
        <v>0.73</v>
      </c>
      <c r="H192" s="92">
        <v>0.73</v>
      </c>
      <c r="I192" s="92">
        <v>0.0</v>
      </c>
      <c r="J192" s="91">
        <v>0.0</v>
      </c>
      <c r="K192" s="241" t="s">
        <v>1331</v>
      </c>
      <c r="L192" s="1"/>
      <c r="M192" s="242" t="s">
        <v>1332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/>
      <c r="B193" s="88">
        <v>108.0</v>
      </c>
      <c r="C193" s="88" t="s">
        <v>608</v>
      </c>
      <c r="D193" s="89" t="s">
        <v>696</v>
      </c>
      <c r="E193" s="88">
        <v>1.0</v>
      </c>
      <c r="F193" s="89" t="s">
        <v>584</v>
      </c>
      <c r="G193" s="92">
        <v>0.1</v>
      </c>
      <c r="H193" s="92">
        <v>0.1</v>
      </c>
      <c r="I193" s="92">
        <v>0.0</v>
      </c>
      <c r="J193" s="91">
        <v>0.0</v>
      </c>
      <c r="K193" s="241" t="s">
        <v>1333</v>
      </c>
      <c r="L193" s="1"/>
      <c r="M193" s="242" t="s">
        <v>1334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/>
      <c r="B194" s="88">
        <v>108.0</v>
      </c>
      <c r="C194" s="88" t="s">
        <v>608</v>
      </c>
      <c r="D194" s="89" t="s">
        <v>696</v>
      </c>
      <c r="E194" s="88">
        <v>2.0</v>
      </c>
      <c r="F194" s="89" t="s">
        <v>593</v>
      </c>
      <c r="G194" s="92">
        <v>0.605</v>
      </c>
      <c r="H194" s="92">
        <v>0.605</v>
      </c>
      <c r="I194" s="92">
        <v>0.0</v>
      </c>
      <c r="J194" s="91">
        <v>0.0</v>
      </c>
      <c r="K194" s="241" t="s">
        <v>1335</v>
      </c>
      <c r="L194" s="1"/>
      <c r="M194" s="242" t="s">
        <v>1336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/>
      <c r="B195" s="88">
        <v>108.0</v>
      </c>
      <c r="C195" s="88" t="s">
        <v>608</v>
      </c>
      <c r="D195" s="89" t="s">
        <v>696</v>
      </c>
      <c r="E195" s="88">
        <v>3.0</v>
      </c>
      <c r="F195" s="89" t="s">
        <v>572</v>
      </c>
      <c r="G195" s="92">
        <v>0.15</v>
      </c>
      <c r="H195" s="92">
        <v>0.15</v>
      </c>
      <c r="I195" s="92">
        <v>0.0</v>
      </c>
      <c r="J195" s="91">
        <v>0.0</v>
      </c>
      <c r="K195" s="241" t="s">
        <v>1337</v>
      </c>
      <c r="L195" s="1"/>
      <c r="M195" s="242" t="s">
        <v>1338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/>
      <c r="B196" s="88">
        <v>108.0</v>
      </c>
      <c r="C196" s="88" t="s">
        <v>608</v>
      </c>
      <c r="D196" s="89" t="s">
        <v>696</v>
      </c>
      <c r="E196" s="88">
        <v>4.0</v>
      </c>
      <c r="F196" s="89" t="s">
        <v>580</v>
      </c>
      <c r="G196" s="92">
        <v>0.045</v>
      </c>
      <c r="H196" s="92">
        <v>0.045</v>
      </c>
      <c r="I196" s="92">
        <v>0.0</v>
      </c>
      <c r="J196" s="91">
        <v>0.0</v>
      </c>
      <c r="K196" s="241" t="s">
        <v>1339</v>
      </c>
      <c r="L196" s="1"/>
      <c r="M196" s="242" t="s">
        <v>1340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/>
      <c r="B197" s="88">
        <v>108.0</v>
      </c>
      <c r="C197" s="88" t="s">
        <v>608</v>
      </c>
      <c r="D197" s="89" t="s">
        <v>696</v>
      </c>
      <c r="E197" s="88">
        <v>5.0</v>
      </c>
      <c r="F197" s="89" t="s">
        <v>576</v>
      </c>
      <c r="G197" s="92">
        <v>0.005</v>
      </c>
      <c r="H197" s="92">
        <v>0.005</v>
      </c>
      <c r="I197" s="92">
        <v>0.0</v>
      </c>
      <c r="J197" s="91">
        <v>0.0</v>
      </c>
      <c r="K197" s="241" t="s">
        <v>1341</v>
      </c>
      <c r="L197" s="1"/>
      <c r="M197" s="242" t="s">
        <v>1342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/>
      <c r="B198" s="88">
        <v>108.0</v>
      </c>
      <c r="C198" s="88" t="s">
        <v>608</v>
      </c>
      <c r="D198" s="89" t="s">
        <v>696</v>
      </c>
      <c r="E198" s="88">
        <v>6.0</v>
      </c>
      <c r="F198" s="89" t="s">
        <v>539</v>
      </c>
      <c r="G198" s="92">
        <v>0.05</v>
      </c>
      <c r="H198" s="92">
        <v>0.05</v>
      </c>
      <c r="I198" s="92">
        <v>0.0</v>
      </c>
      <c r="J198" s="91">
        <v>0.0</v>
      </c>
      <c r="K198" s="241" t="s">
        <v>1343</v>
      </c>
      <c r="L198" s="1"/>
      <c r="M198" s="242" t="s">
        <v>1344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/>
      <c r="B199" s="88">
        <v>108.0</v>
      </c>
      <c r="C199" s="88" t="s">
        <v>608</v>
      </c>
      <c r="D199" s="89" t="s">
        <v>696</v>
      </c>
      <c r="E199" s="88">
        <v>7.0</v>
      </c>
      <c r="F199" s="89" t="s">
        <v>574</v>
      </c>
      <c r="G199" s="92">
        <v>0.045</v>
      </c>
      <c r="H199" s="92">
        <v>0.045</v>
      </c>
      <c r="I199" s="92">
        <v>0.0</v>
      </c>
      <c r="J199" s="91">
        <v>0.0</v>
      </c>
      <c r="K199" s="241" t="s">
        <v>1345</v>
      </c>
      <c r="L199" s="1"/>
      <c r="M199" s="242" t="s">
        <v>1346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/>
      <c r="B200" s="88">
        <v>109.0</v>
      </c>
      <c r="C200" s="88" t="s">
        <v>608</v>
      </c>
      <c r="D200" s="89" t="s">
        <v>715</v>
      </c>
      <c r="E200" s="88">
        <v>1.0</v>
      </c>
      <c r="F200" s="89" t="s">
        <v>594</v>
      </c>
      <c r="G200" s="92">
        <v>0.0625</v>
      </c>
      <c r="H200" s="92">
        <v>0.0625</v>
      </c>
      <c r="I200" s="92">
        <v>0.0</v>
      </c>
      <c r="J200" s="91">
        <v>0.0</v>
      </c>
      <c r="K200" s="241" t="s">
        <v>1347</v>
      </c>
      <c r="L200" s="1"/>
      <c r="M200" s="242" t="s">
        <v>1348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/>
      <c r="B201" s="88">
        <v>109.0</v>
      </c>
      <c r="C201" s="88" t="s">
        <v>608</v>
      </c>
      <c r="D201" s="89" t="s">
        <v>715</v>
      </c>
      <c r="E201" s="88">
        <v>2.0</v>
      </c>
      <c r="F201" s="89" t="s">
        <v>593</v>
      </c>
      <c r="G201" s="92">
        <v>0.1225</v>
      </c>
      <c r="H201" s="92">
        <v>0.1225</v>
      </c>
      <c r="I201" s="92">
        <v>0.0</v>
      </c>
      <c r="J201" s="91">
        <v>0.0</v>
      </c>
      <c r="K201" s="241" t="s">
        <v>1349</v>
      </c>
      <c r="L201" s="1"/>
      <c r="M201" s="242" t="s">
        <v>1350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88">
        <v>109.0</v>
      </c>
      <c r="C202" s="88" t="s">
        <v>608</v>
      </c>
      <c r="D202" s="89" t="s">
        <v>715</v>
      </c>
      <c r="E202" s="88">
        <v>3.0</v>
      </c>
      <c r="F202" s="89" t="s">
        <v>403</v>
      </c>
      <c r="G202" s="92">
        <v>0.19</v>
      </c>
      <c r="H202" s="92">
        <v>0.19</v>
      </c>
      <c r="I202" s="92">
        <v>0.0</v>
      </c>
      <c r="J202" s="91">
        <v>0.0</v>
      </c>
      <c r="K202" s="241" t="s">
        <v>1351</v>
      </c>
      <c r="L202" s="1"/>
      <c r="M202" s="242" t="s">
        <v>1352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88">
        <v>109.0</v>
      </c>
      <c r="C203" s="88" t="s">
        <v>608</v>
      </c>
      <c r="D203" s="89" t="s">
        <v>715</v>
      </c>
      <c r="E203" s="88">
        <v>4.0</v>
      </c>
      <c r="F203" s="89" t="s">
        <v>558</v>
      </c>
      <c r="G203" s="92">
        <v>0.625</v>
      </c>
      <c r="H203" s="92">
        <v>0.625</v>
      </c>
      <c r="I203" s="92">
        <v>0.0</v>
      </c>
      <c r="J203" s="91">
        <v>0.0</v>
      </c>
      <c r="K203" s="241" t="s">
        <v>1353</v>
      </c>
      <c r="L203" s="1"/>
      <c r="M203" s="242" t="s">
        <v>1354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88">
        <v>110.0</v>
      </c>
      <c r="C204" s="88" t="s">
        <v>608</v>
      </c>
      <c r="D204" s="89" t="s">
        <v>674</v>
      </c>
      <c r="E204" s="88">
        <v>1.0</v>
      </c>
      <c r="F204" s="89" t="s">
        <v>765</v>
      </c>
      <c r="G204" s="92">
        <v>0.74</v>
      </c>
      <c r="H204" s="92">
        <v>0.74</v>
      </c>
      <c r="I204" s="92">
        <v>0.0</v>
      </c>
      <c r="J204" s="91">
        <v>0.0</v>
      </c>
      <c r="K204" s="241" t="s">
        <v>1355</v>
      </c>
      <c r="L204" s="1"/>
      <c r="M204" s="242" t="s">
        <v>1356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/>
      <c r="B205" s="88">
        <v>110.0</v>
      </c>
      <c r="C205" s="88" t="s">
        <v>608</v>
      </c>
      <c r="D205" s="89" t="s">
        <v>674</v>
      </c>
      <c r="E205" s="88">
        <v>2.0</v>
      </c>
      <c r="F205" s="89" t="s">
        <v>657</v>
      </c>
      <c r="G205" s="92">
        <v>0.2</v>
      </c>
      <c r="H205" s="92">
        <v>0.2</v>
      </c>
      <c r="I205" s="92">
        <v>0.0</v>
      </c>
      <c r="J205" s="91">
        <v>0.0</v>
      </c>
      <c r="K205" s="241" t="s">
        <v>1357</v>
      </c>
      <c r="L205" s="1"/>
      <c r="M205" s="242" t="s">
        <v>1358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1"/>
      <c r="B206" s="88">
        <v>110.0</v>
      </c>
      <c r="C206" s="88" t="s">
        <v>608</v>
      </c>
      <c r="D206" s="89" t="s">
        <v>674</v>
      </c>
      <c r="E206" s="88">
        <v>3.0</v>
      </c>
      <c r="F206" s="89" t="s">
        <v>571</v>
      </c>
      <c r="G206" s="92">
        <v>0.005</v>
      </c>
      <c r="H206" s="92">
        <v>0.005</v>
      </c>
      <c r="I206" s="92">
        <v>0.0</v>
      </c>
      <c r="J206" s="91">
        <v>0.0</v>
      </c>
      <c r="K206" s="241" t="s">
        <v>1359</v>
      </c>
      <c r="L206" s="1"/>
      <c r="M206" s="242" t="s">
        <v>1360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1"/>
      <c r="B207" s="88">
        <v>110.0</v>
      </c>
      <c r="C207" s="88" t="s">
        <v>608</v>
      </c>
      <c r="D207" s="89" t="s">
        <v>674</v>
      </c>
      <c r="E207" s="88">
        <v>4.0</v>
      </c>
      <c r="F207" s="89" t="s">
        <v>579</v>
      </c>
      <c r="G207" s="92">
        <v>0.055</v>
      </c>
      <c r="H207" s="92">
        <v>0.055</v>
      </c>
      <c r="I207" s="92">
        <v>0.0</v>
      </c>
      <c r="J207" s="91">
        <v>0.0</v>
      </c>
      <c r="K207" s="241" t="s">
        <v>1361</v>
      </c>
      <c r="L207" s="1"/>
      <c r="M207" s="242" t="s">
        <v>1362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1"/>
      <c r="B208" s="88">
        <v>111.0</v>
      </c>
      <c r="C208" s="88" t="s">
        <v>608</v>
      </c>
      <c r="D208" s="89" t="s">
        <v>678</v>
      </c>
      <c r="E208" s="88">
        <v>1.0</v>
      </c>
      <c r="F208" s="89" t="s">
        <v>429</v>
      </c>
      <c r="G208" s="92">
        <v>0.8</v>
      </c>
      <c r="H208" s="92">
        <v>0.8</v>
      </c>
      <c r="I208" s="92">
        <v>0.0</v>
      </c>
      <c r="J208" s="91">
        <v>0.0</v>
      </c>
      <c r="K208" s="241" t="s">
        <v>1363</v>
      </c>
      <c r="L208" s="1" t="s">
        <v>679</v>
      </c>
      <c r="M208" s="242" t="s">
        <v>1364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1"/>
      <c r="B209" s="88">
        <v>111.0</v>
      </c>
      <c r="C209" s="88" t="s">
        <v>608</v>
      </c>
      <c r="D209" s="89" t="s">
        <v>678</v>
      </c>
      <c r="E209" s="88">
        <v>2.0</v>
      </c>
      <c r="F209" s="89" t="s">
        <v>657</v>
      </c>
      <c r="G209" s="92">
        <v>0.2</v>
      </c>
      <c r="H209" s="92">
        <v>0.2</v>
      </c>
      <c r="I209" s="92">
        <v>0.0</v>
      </c>
      <c r="J209" s="91">
        <v>0.0</v>
      </c>
      <c r="K209" s="241" t="s">
        <v>1365</v>
      </c>
      <c r="L209" s="1" t="s">
        <v>679</v>
      </c>
      <c r="M209" s="242" t="s">
        <v>1366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1"/>
      <c r="B210" s="88">
        <v>111.0</v>
      </c>
      <c r="C210" s="88" t="s">
        <v>608</v>
      </c>
      <c r="D210" s="89" t="s">
        <v>678</v>
      </c>
      <c r="E210" s="88">
        <v>3.0</v>
      </c>
      <c r="F210" s="89" t="s">
        <v>522</v>
      </c>
      <c r="G210" s="92">
        <v>0.0</v>
      </c>
      <c r="H210" s="92">
        <v>0.0</v>
      </c>
      <c r="I210" s="92">
        <v>0.051011</v>
      </c>
      <c r="J210" s="91">
        <v>0.0</v>
      </c>
      <c r="K210" s="241" t="s">
        <v>1367</v>
      </c>
      <c r="L210" s="1" t="s">
        <v>679</v>
      </c>
      <c r="M210" s="242" t="s">
        <v>1368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1"/>
      <c r="B211" s="88">
        <v>112.0</v>
      </c>
      <c r="C211" s="88" t="s">
        <v>608</v>
      </c>
      <c r="D211" s="89" t="s">
        <v>684</v>
      </c>
      <c r="E211" s="88">
        <v>1.0</v>
      </c>
      <c r="F211" s="89" t="s">
        <v>784</v>
      </c>
      <c r="G211" s="92">
        <v>0.6</v>
      </c>
      <c r="H211" s="92">
        <v>0.6</v>
      </c>
      <c r="I211" s="92">
        <v>0.0</v>
      </c>
      <c r="J211" s="91">
        <v>0.0</v>
      </c>
      <c r="K211" s="241" t="s">
        <v>1369</v>
      </c>
      <c r="L211" s="1"/>
      <c r="M211" s="242" t="s">
        <v>1370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0" customHeight="1">
      <c r="A212" s="1"/>
      <c r="B212" s="88">
        <v>112.0</v>
      </c>
      <c r="C212" s="88" t="s">
        <v>608</v>
      </c>
      <c r="D212" s="89" t="s">
        <v>684</v>
      </c>
      <c r="E212" s="88">
        <v>2.0</v>
      </c>
      <c r="F212" s="89" t="s">
        <v>657</v>
      </c>
      <c r="G212" s="92">
        <v>0.2</v>
      </c>
      <c r="H212" s="92">
        <v>0.2</v>
      </c>
      <c r="I212" s="92">
        <v>0.0</v>
      </c>
      <c r="J212" s="91">
        <v>0.0</v>
      </c>
      <c r="K212" s="241" t="s">
        <v>1371</v>
      </c>
      <c r="L212" s="1"/>
      <c r="M212" s="242" t="s">
        <v>1372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/>
      <c r="B213" s="88">
        <v>112.0</v>
      </c>
      <c r="C213" s="88" t="s">
        <v>608</v>
      </c>
      <c r="D213" s="89" t="s">
        <v>684</v>
      </c>
      <c r="E213" s="88">
        <v>3.0</v>
      </c>
      <c r="F213" s="89" t="s">
        <v>722</v>
      </c>
      <c r="G213" s="92">
        <v>0.145</v>
      </c>
      <c r="H213" s="92">
        <v>0.145</v>
      </c>
      <c r="I213" s="92">
        <v>0.0</v>
      </c>
      <c r="J213" s="91">
        <v>0.0</v>
      </c>
      <c r="K213" s="241" t="s">
        <v>1373</v>
      </c>
      <c r="L213" s="1"/>
      <c r="M213" s="242" t="s">
        <v>1374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88">
        <v>112.0</v>
      </c>
      <c r="C214" s="88" t="s">
        <v>608</v>
      </c>
      <c r="D214" s="89" t="s">
        <v>684</v>
      </c>
      <c r="E214" s="88">
        <v>4.0</v>
      </c>
      <c r="F214" s="89" t="s">
        <v>571</v>
      </c>
      <c r="G214" s="92">
        <v>0.005</v>
      </c>
      <c r="H214" s="92">
        <v>0.005</v>
      </c>
      <c r="I214" s="92">
        <v>0.0</v>
      </c>
      <c r="J214" s="91">
        <v>0.0</v>
      </c>
      <c r="K214" s="241" t="s">
        <v>1375</v>
      </c>
      <c r="L214" s="1"/>
      <c r="M214" s="242" t="s">
        <v>1376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/>
      <c r="B215" s="88">
        <v>112.0</v>
      </c>
      <c r="C215" s="88" t="s">
        <v>608</v>
      </c>
      <c r="D215" s="89" t="s">
        <v>684</v>
      </c>
      <c r="E215" s="88">
        <v>5.0</v>
      </c>
      <c r="F215" s="89" t="s">
        <v>579</v>
      </c>
      <c r="G215" s="92">
        <v>0.05</v>
      </c>
      <c r="H215" s="92">
        <v>0.05</v>
      </c>
      <c r="I215" s="92">
        <v>0.0</v>
      </c>
      <c r="J215" s="91">
        <v>0.0</v>
      </c>
      <c r="K215" s="241" t="s">
        <v>1377</v>
      </c>
      <c r="L215" s="1"/>
      <c r="M215" s="242" t="s">
        <v>1378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/>
      <c r="B216" s="88">
        <v>113.0</v>
      </c>
      <c r="C216" s="88" t="s">
        <v>608</v>
      </c>
      <c r="D216" s="89" t="s">
        <v>670</v>
      </c>
      <c r="E216" s="88">
        <v>1.0</v>
      </c>
      <c r="F216" s="89" t="s">
        <v>763</v>
      </c>
      <c r="G216" s="92">
        <v>0.78</v>
      </c>
      <c r="H216" s="92">
        <v>0.78</v>
      </c>
      <c r="I216" s="92">
        <v>0.0</v>
      </c>
      <c r="J216" s="91">
        <v>0.0</v>
      </c>
      <c r="K216" s="241" t="s">
        <v>1379</v>
      </c>
      <c r="L216" s="1"/>
      <c r="M216" s="242" t="s">
        <v>1380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/>
      <c r="B217" s="88">
        <v>113.0</v>
      </c>
      <c r="C217" s="88" t="s">
        <v>608</v>
      </c>
      <c r="D217" s="89" t="s">
        <v>670</v>
      </c>
      <c r="E217" s="88">
        <v>2.0</v>
      </c>
      <c r="F217" s="89" t="s">
        <v>657</v>
      </c>
      <c r="G217" s="92">
        <v>0.2</v>
      </c>
      <c r="H217" s="92">
        <v>0.2</v>
      </c>
      <c r="I217" s="92">
        <v>0.0</v>
      </c>
      <c r="J217" s="91">
        <v>0.0</v>
      </c>
      <c r="K217" s="241" t="s">
        <v>1381</v>
      </c>
      <c r="L217" s="1"/>
      <c r="M217" s="242" t="s">
        <v>1382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/>
      <c r="B218" s="88">
        <v>113.0</v>
      </c>
      <c r="C218" s="88" t="s">
        <v>608</v>
      </c>
      <c r="D218" s="89" t="s">
        <v>670</v>
      </c>
      <c r="E218" s="88">
        <v>3.0</v>
      </c>
      <c r="F218" s="89" t="s">
        <v>722</v>
      </c>
      <c r="G218" s="92">
        <v>0.015</v>
      </c>
      <c r="H218" s="92">
        <v>0.015</v>
      </c>
      <c r="I218" s="92">
        <v>0.0</v>
      </c>
      <c r="J218" s="91">
        <v>0.0</v>
      </c>
      <c r="K218" s="241" t="s">
        <v>1383</v>
      </c>
      <c r="L218" s="1"/>
      <c r="M218" s="242" t="s">
        <v>1384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1"/>
      <c r="B219" s="88">
        <v>113.0</v>
      </c>
      <c r="C219" s="88" t="s">
        <v>608</v>
      </c>
      <c r="D219" s="89" t="s">
        <v>670</v>
      </c>
      <c r="E219" s="88">
        <v>4.0</v>
      </c>
      <c r="F219" s="89" t="s">
        <v>571</v>
      </c>
      <c r="G219" s="92">
        <v>0.005</v>
      </c>
      <c r="H219" s="92">
        <v>0.005</v>
      </c>
      <c r="I219" s="92">
        <v>0.0</v>
      </c>
      <c r="J219" s="91">
        <v>0.0</v>
      </c>
      <c r="K219" s="241" t="s">
        <v>1385</v>
      </c>
      <c r="L219" s="1"/>
      <c r="M219" s="242" t="s">
        <v>1386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1"/>
      <c r="B220" s="88">
        <v>114.0</v>
      </c>
      <c r="C220" s="88" t="s">
        <v>608</v>
      </c>
      <c r="D220" s="89" t="s">
        <v>675</v>
      </c>
      <c r="E220" s="88">
        <v>1.0</v>
      </c>
      <c r="F220" s="89" t="s">
        <v>765</v>
      </c>
      <c r="G220" s="92">
        <v>0.74</v>
      </c>
      <c r="H220" s="92">
        <v>0.74</v>
      </c>
      <c r="I220" s="92">
        <v>0.0</v>
      </c>
      <c r="J220" s="91">
        <v>0.0</v>
      </c>
      <c r="K220" s="241" t="s">
        <v>1387</v>
      </c>
      <c r="L220" s="1"/>
      <c r="M220" s="242" t="s">
        <v>1388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0" customHeight="1">
      <c r="A221" s="1"/>
      <c r="B221" s="88">
        <v>114.0</v>
      </c>
      <c r="C221" s="88" t="s">
        <v>608</v>
      </c>
      <c r="D221" s="89" t="s">
        <v>675</v>
      </c>
      <c r="E221" s="88">
        <v>2.0</v>
      </c>
      <c r="F221" s="89" t="s">
        <v>659</v>
      </c>
      <c r="G221" s="92">
        <v>0.15</v>
      </c>
      <c r="H221" s="92">
        <v>0.15</v>
      </c>
      <c r="I221" s="92">
        <v>0.0</v>
      </c>
      <c r="J221" s="91">
        <v>0.0</v>
      </c>
      <c r="K221" s="241" t="s">
        <v>1389</v>
      </c>
      <c r="L221" s="1"/>
      <c r="M221" s="242" t="s">
        <v>1390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0" customHeight="1">
      <c r="A222" s="1"/>
      <c r="B222" s="88">
        <v>114.0</v>
      </c>
      <c r="C222" s="88" t="s">
        <v>608</v>
      </c>
      <c r="D222" s="89" t="s">
        <v>675</v>
      </c>
      <c r="E222" s="88">
        <v>3.0</v>
      </c>
      <c r="F222" s="89" t="s">
        <v>571</v>
      </c>
      <c r="G222" s="92">
        <v>0.005</v>
      </c>
      <c r="H222" s="92">
        <v>0.005</v>
      </c>
      <c r="I222" s="92">
        <v>0.0</v>
      </c>
      <c r="J222" s="91">
        <v>0.0</v>
      </c>
      <c r="K222" s="241" t="s">
        <v>1391</v>
      </c>
      <c r="L222" s="1"/>
      <c r="M222" s="242" t="s">
        <v>1392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0" customHeight="1">
      <c r="A223" s="1"/>
      <c r="B223" s="243">
        <v>114.0</v>
      </c>
      <c r="C223" s="243" t="s">
        <v>608</v>
      </c>
      <c r="D223" s="244" t="s">
        <v>675</v>
      </c>
      <c r="E223" s="243">
        <v>4.0</v>
      </c>
      <c r="F223" s="244" t="s">
        <v>579</v>
      </c>
      <c r="G223" s="245">
        <v>0.05</v>
      </c>
      <c r="H223" s="245">
        <v>0.05</v>
      </c>
      <c r="I223" s="245">
        <v>0.0</v>
      </c>
      <c r="J223" s="246">
        <v>0.0</v>
      </c>
      <c r="K223" s="247" t="s">
        <v>1393</v>
      </c>
      <c r="L223" s="248"/>
      <c r="M223" s="242" t="s">
        <v>1394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1"/>
      <c r="B224" s="88">
        <v>114.0</v>
      </c>
      <c r="C224" s="88" t="s">
        <v>608</v>
      </c>
      <c r="D224" s="89" t="s">
        <v>675</v>
      </c>
      <c r="E224" s="88">
        <v>5.0</v>
      </c>
      <c r="F224" s="89" t="s">
        <v>724</v>
      </c>
      <c r="G224" s="92">
        <v>0.02</v>
      </c>
      <c r="H224" s="92">
        <v>0.02</v>
      </c>
      <c r="I224" s="92">
        <v>0.0</v>
      </c>
      <c r="J224" s="91">
        <v>0.0</v>
      </c>
      <c r="K224" s="241" t="s">
        <v>1395</v>
      </c>
      <c r="L224" s="1"/>
      <c r="M224" s="242" t="s">
        <v>1396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0" customHeight="1">
      <c r="A225" s="1"/>
      <c r="B225" s="88">
        <v>114.0</v>
      </c>
      <c r="C225" s="88" t="s">
        <v>608</v>
      </c>
      <c r="D225" s="89" t="s">
        <v>675</v>
      </c>
      <c r="E225" s="88">
        <v>6.0</v>
      </c>
      <c r="F225" s="89" t="s">
        <v>594</v>
      </c>
      <c r="G225" s="92">
        <v>0.035</v>
      </c>
      <c r="H225" s="92">
        <v>0.035</v>
      </c>
      <c r="I225" s="92">
        <v>0.0</v>
      </c>
      <c r="J225" s="91">
        <v>0.0</v>
      </c>
      <c r="K225" s="241" t="s">
        <v>1397</v>
      </c>
      <c r="L225" s="1"/>
      <c r="M225" s="242" t="s">
        <v>1398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1"/>
      <c r="B226" s="88">
        <v>115.0</v>
      </c>
      <c r="C226" s="88" t="s">
        <v>608</v>
      </c>
      <c r="D226" s="89" t="s">
        <v>680</v>
      </c>
      <c r="E226" s="88">
        <v>1.0</v>
      </c>
      <c r="F226" s="89" t="s">
        <v>429</v>
      </c>
      <c r="G226" s="92">
        <v>0.8</v>
      </c>
      <c r="H226" s="92">
        <v>0.8</v>
      </c>
      <c r="I226" s="92">
        <v>0.0</v>
      </c>
      <c r="J226" s="91">
        <v>0.0</v>
      </c>
      <c r="K226" s="241" t="s">
        <v>1399</v>
      </c>
      <c r="L226" s="1"/>
      <c r="M226" s="242" t="s">
        <v>1400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0" customHeight="1">
      <c r="A227" s="1"/>
      <c r="B227" s="88">
        <v>115.0</v>
      </c>
      <c r="C227" s="88" t="s">
        <v>608</v>
      </c>
      <c r="D227" s="89" t="s">
        <v>680</v>
      </c>
      <c r="E227" s="88">
        <v>2.0</v>
      </c>
      <c r="F227" s="89" t="s">
        <v>659</v>
      </c>
      <c r="G227" s="92">
        <v>0.2</v>
      </c>
      <c r="H227" s="92">
        <v>0.2</v>
      </c>
      <c r="I227" s="92">
        <v>0.0</v>
      </c>
      <c r="J227" s="91">
        <v>0.0</v>
      </c>
      <c r="K227" s="241" t="s">
        <v>1401</v>
      </c>
      <c r="L227" s="1"/>
      <c r="M227" s="242" t="s">
        <v>1402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0" customHeight="1">
      <c r="A228" s="1"/>
      <c r="B228" s="88">
        <v>116.0</v>
      </c>
      <c r="C228" s="88" t="s">
        <v>608</v>
      </c>
      <c r="D228" s="89" t="s">
        <v>685</v>
      </c>
      <c r="E228" s="88">
        <v>1.0</v>
      </c>
      <c r="F228" s="89" t="s">
        <v>784</v>
      </c>
      <c r="G228" s="92">
        <v>0.6</v>
      </c>
      <c r="H228" s="92">
        <v>0.6</v>
      </c>
      <c r="I228" s="92">
        <v>0.0</v>
      </c>
      <c r="J228" s="91">
        <v>0.0</v>
      </c>
      <c r="K228" s="241" t="s">
        <v>1403</v>
      </c>
      <c r="L228" s="1"/>
      <c r="M228" s="242" t="s">
        <v>1404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0" customHeight="1">
      <c r="A229" s="1"/>
      <c r="B229" s="88">
        <v>116.0</v>
      </c>
      <c r="C229" s="88" t="s">
        <v>608</v>
      </c>
      <c r="D229" s="89" t="s">
        <v>685</v>
      </c>
      <c r="E229" s="88">
        <v>2.0</v>
      </c>
      <c r="F229" s="89" t="s">
        <v>659</v>
      </c>
      <c r="G229" s="92">
        <v>0.15</v>
      </c>
      <c r="H229" s="92">
        <v>0.15</v>
      </c>
      <c r="I229" s="92">
        <v>0.0</v>
      </c>
      <c r="J229" s="91">
        <v>0.0</v>
      </c>
      <c r="K229" s="241" t="s">
        <v>1405</v>
      </c>
      <c r="L229" s="1"/>
      <c r="M229" s="242" t="s">
        <v>1406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0" customHeight="1">
      <c r="A230" s="1"/>
      <c r="B230" s="88">
        <v>116.0</v>
      </c>
      <c r="C230" s="88" t="s">
        <v>608</v>
      </c>
      <c r="D230" s="89" t="s">
        <v>685</v>
      </c>
      <c r="E230" s="88">
        <v>3.0</v>
      </c>
      <c r="F230" s="89" t="s">
        <v>722</v>
      </c>
      <c r="G230" s="92">
        <v>0.145</v>
      </c>
      <c r="H230" s="92">
        <v>0.145</v>
      </c>
      <c r="I230" s="92">
        <v>0.0</v>
      </c>
      <c r="J230" s="91">
        <v>0.0</v>
      </c>
      <c r="K230" s="241" t="s">
        <v>1407</v>
      </c>
      <c r="L230" s="1"/>
      <c r="M230" s="242" t="s">
        <v>1408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0" customHeight="1">
      <c r="A231" s="1"/>
      <c r="B231" s="88">
        <v>116.0</v>
      </c>
      <c r="C231" s="88" t="s">
        <v>608</v>
      </c>
      <c r="D231" s="89" t="s">
        <v>685</v>
      </c>
      <c r="E231" s="88">
        <v>4.0</v>
      </c>
      <c r="F231" s="89" t="s">
        <v>571</v>
      </c>
      <c r="G231" s="92">
        <v>0.005</v>
      </c>
      <c r="H231" s="92">
        <v>0.005</v>
      </c>
      <c r="I231" s="92">
        <v>0.0</v>
      </c>
      <c r="J231" s="91">
        <v>0.0</v>
      </c>
      <c r="K231" s="241" t="s">
        <v>1409</v>
      </c>
      <c r="L231" s="1"/>
      <c r="M231" s="242" t="s">
        <v>1410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0" customHeight="1">
      <c r="A232" s="1"/>
      <c r="B232" s="88">
        <v>116.0</v>
      </c>
      <c r="C232" s="88" t="s">
        <v>608</v>
      </c>
      <c r="D232" s="89" t="s">
        <v>685</v>
      </c>
      <c r="E232" s="88">
        <v>5.0</v>
      </c>
      <c r="F232" s="89" t="s">
        <v>579</v>
      </c>
      <c r="G232" s="92">
        <v>0.1</v>
      </c>
      <c r="H232" s="92">
        <v>0.1</v>
      </c>
      <c r="I232" s="92">
        <v>0.0</v>
      </c>
      <c r="J232" s="91">
        <v>0.0</v>
      </c>
      <c r="K232" s="241" t="s">
        <v>1411</v>
      </c>
      <c r="L232" s="1"/>
      <c r="M232" s="242" t="s">
        <v>1412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0" customHeight="1">
      <c r="A233" s="1"/>
      <c r="B233" s="88">
        <v>117.0</v>
      </c>
      <c r="C233" s="88" t="s">
        <v>608</v>
      </c>
      <c r="D233" s="89" t="s">
        <v>671</v>
      </c>
      <c r="E233" s="88">
        <v>1.0</v>
      </c>
      <c r="F233" s="89" t="s">
        <v>763</v>
      </c>
      <c r="G233" s="92">
        <v>0.78</v>
      </c>
      <c r="H233" s="92">
        <v>0.78</v>
      </c>
      <c r="I233" s="92">
        <v>0.0</v>
      </c>
      <c r="J233" s="91">
        <v>0.0</v>
      </c>
      <c r="K233" s="241" t="s">
        <v>1413</v>
      </c>
      <c r="L233" s="1"/>
      <c r="M233" s="242" t="s">
        <v>1414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0" customHeight="1">
      <c r="A234" s="1"/>
      <c r="B234" s="88">
        <v>117.0</v>
      </c>
      <c r="C234" s="88" t="s">
        <v>608</v>
      </c>
      <c r="D234" s="89" t="s">
        <v>671</v>
      </c>
      <c r="E234" s="88">
        <v>2.0</v>
      </c>
      <c r="F234" s="89" t="s">
        <v>659</v>
      </c>
      <c r="G234" s="92">
        <v>0.15</v>
      </c>
      <c r="H234" s="92">
        <v>0.15</v>
      </c>
      <c r="I234" s="92">
        <v>0.0</v>
      </c>
      <c r="J234" s="91">
        <v>0.0</v>
      </c>
      <c r="K234" s="241" t="s">
        <v>1415</v>
      </c>
      <c r="L234" s="1"/>
      <c r="M234" s="242" t="s">
        <v>1416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0" customHeight="1">
      <c r="A235" s="1"/>
      <c r="B235" s="88">
        <v>117.0</v>
      </c>
      <c r="C235" s="88" t="s">
        <v>608</v>
      </c>
      <c r="D235" s="89" t="s">
        <v>671</v>
      </c>
      <c r="E235" s="88">
        <v>3.0</v>
      </c>
      <c r="F235" s="89" t="s">
        <v>722</v>
      </c>
      <c r="G235" s="92">
        <v>0.05</v>
      </c>
      <c r="H235" s="92">
        <v>0.05</v>
      </c>
      <c r="I235" s="92">
        <v>0.0</v>
      </c>
      <c r="J235" s="91">
        <v>0.0</v>
      </c>
      <c r="K235" s="241" t="s">
        <v>1417</v>
      </c>
      <c r="L235" s="1"/>
      <c r="M235" s="242" t="s">
        <v>1418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0" customHeight="1">
      <c r="A236" s="1"/>
      <c r="B236" s="88">
        <v>117.0</v>
      </c>
      <c r="C236" s="88" t="s">
        <v>608</v>
      </c>
      <c r="D236" s="89" t="s">
        <v>671</v>
      </c>
      <c r="E236" s="88">
        <v>4.0</v>
      </c>
      <c r="F236" s="89" t="s">
        <v>571</v>
      </c>
      <c r="G236" s="92">
        <v>0.005</v>
      </c>
      <c r="H236" s="92">
        <v>0.005</v>
      </c>
      <c r="I236" s="92">
        <v>0.0</v>
      </c>
      <c r="J236" s="91">
        <v>0.0</v>
      </c>
      <c r="K236" s="241" t="s">
        <v>1419</v>
      </c>
      <c r="L236" s="1"/>
      <c r="M236" s="242" t="s">
        <v>1420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0" customHeight="1">
      <c r="A237" s="1"/>
      <c r="B237" s="88">
        <v>117.0</v>
      </c>
      <c r="C237" s="88" t="s">
        <v>608</v>
      </c>
      <c r="D237" s="89" t="s">
        <v>671</v>
      </c>
      <c r="E237" s="88">
        <v>5.0</v>
      </c>
      <c r="F237" s="89" t="s">
        <v>579</v>
      </c>
      <c r="G237" s="92">
        <v>0.015</v>
      </c>
      <c r="H237" s="92">
        <v>0.015</v>
      </c>
      <c r="I237" s="92">
        <v>0.0</v>
      </c>
      <c r="J237" s="91">
        <v>0.0</v>
      </c>
      <c r="K237" s="241" t="s">
        <v>1421</v>
      </c>
      <c r="L237" s="1"/>
      <c r="M237" s="242" t="s">
        <v>1422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0" customHeight="1">
      <c r="A238" s="1"/>
      <c r="B238" s="88">
        <v>118.0</v>
      </c>
      <c r="C238" s="88" t="s">
        <v>608</v>
      </c>
      <c r="D238" s="89" t="s">
        <v>383</v>
      </c>
      <c r="E238" s="88">
        <v>1.0</v>
      </c>
      <c r="F238" s="89" t="s">
        <v>765</v>
      </c>
      <c r="G238" s="92">
        <v>0.74</v>
      </c>
      <c r="H238" s="92">
        <v>0.74</v>
      </c>
      <c r="I238" s="92">
        <v>0.0</v>
      </c>
      <c r="J238" s="91">
        <v>0.0</v>
      </c>
      <c r="K238" s="241" t="s">
        <v>1423</v>
      </c>
      <c r="L238" s="1"/>
      <c r="M238" s="242" t="s">
        <v>1424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0" customHeight="1">
      <c r="A239" s="1"/>
      <c r="B239" s="88">
        <v>118.0</v>
      </c>
      <c r="C239" s="88" t="s">
        <v>608</v>
      </c>
      <c r="D239" s="89" t="s">
        <v>383</v>
      </c>
      <c r="E239" s="88">
        <v>2.0</v>
      </c>
      <c r="F239" s="89" t="s">
        <v>657</v>
      </c>
      <c r="G239" s="92">
        <v>0.15</v>
      </c>
      <c r="H239" s="92">
        <v>0.15</v>
      </c>
      <c r="I239" s="92">
        <v>0.0</v>
      </c>
      <c r="J239" s="91">
        <v>0.0</v>
      </c>
      <c r="K239" s="241" t="s">
        <v>1425</v>
      </c>
      <c r="L239" s="1"/>
      <c r="M239" s="242" t="s">
        <v>1426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0" customHeight="1">
      <c r="A240" s="1"/>
      <c r="B240" s="88">
        <v>118.0</v>
      </c>
      <c r="C240" s="88" t="s">
        <v>608</v>
      </c>
      <c r="D240" s="89" t="s">
        <v>383</v>
      </c>
      <c r="E240" s="88">
        <v>3.0</v>
      </c>
      <c r="F240" s="89" t="s">
        <v>571</v>
      </c>
      <c r="G240" s="92">
        <v>0.005</v>
      </c>
      <c r="H240" s="92">
        <v>0.005</v>
      </c>
      <c r="I240" s="92">
        <v>0.0</v>
      </c>
      <c r="J240" s="91">
        <v>0.0</v>
      </c>
      <c r="K240" s="241" t="s">
        <v>1427</v>
      </c>
      <c r="L240" s="1"/>
      <c r="M240" s="242" t="s">
        <v>1428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0" customHeight="1">
      <c r="A241" s="1"/>
      <c r="B241" s="88">
        <v>118.0</v>
      </c>
      <c r="C241" s="88" t="s">
        <v>608</v>
      </c>
      <c r="D241" s="89" t="s">
        <v>383</v>
      </c>
      <c r="E241" s="88">
        <v>4.0</v>
      </c>
      <c r="F241" s="89" t="s">
        <v>579</v>
      </c>
      <c r="G241" s="92">
        <v>0.05</v>
      </c>
      <c r="H241" s="92">
        <v>0.05</v>
      </c>
      <c r="I241" s="92">
        <v>0.0</v>
      </c>
      <c r="J241" s="91">
        <v>0.0</v>
      </c>
      <c r="K241" s="241" t="s">
        <v>1429</v>
      </c>
      <c r="L241" s="1"/>
      <c r="M241" s="242" t="s">
        <v>1430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0" customHeight="1">
      <c r="A242" s="1"/>
      <c r="B242" s="88">
        <v>118.0</v>
      </c>
      <c r="C242" s="88" t="s">
        <v>608</v>
      </c>
      <c r="D242" s="89" t="s">
        <v>383</v>
      </c>
      <c r="E242" s="88">
        <v>5.0</v>
      </c>
      <c r="F242" s="89" t="s">
        <v>724</v>
      </c>
      <c r="G242" s="92">
        <v>0.02</v>
      </c>
      <c r="H242" s="92">
        <v>0.02</v>
      </c>
      <c r="I242" s="92">
        <v>0.0</v>
      </c>
      <c r="J242" s="91">
        <v>0.0</v>
      </c>
      <c r="K242" s="241" t="s">
        <v>1431</v>
      </c>
      <c r="L242" s="1"/>
      <c r="M242" s="242" t="s">
        <v>1432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0" customHeight="1">
      <c r="A243" s="1"/>
      <c r="B243" s="88">
        <v>119.0</v>
      </c>
      <c r="C243" s="88" t="s">
        <v>608</v>
      </c>
      <c r="D243" s="89" t="s">
        <v>519</v>
      </c>
      <c r="E243" s="88">
        <v>1.0</v>
      </c>
      <c r="F243" s="89" t="s">
        <v>429</v>
      </c>
      <c r="G243" s="92">
        <v>0.8</v>
      </c>
      <c r="H243" s="92">
        <v>0.8</v>
      </c>
      <c r="I243" s="92">
        <v>0.0</v>
      </c>
      <c r="J243" s="91">
        <v>0.0</v>
      </c>
      <c r="K243" s="241" t="s">
        <v>1433</v>
      </c>
      <c r="L243" s="1"/>
      <c r="M243" s="242" t="s">
        <v>1434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0" customHeight="1">
      <c r="A244" s="1"/>
      <c r="B244" s="88">
        <v>119.0</v>
      </c>
      <c r="C244" s="88" t="s">
        <v>608</v>
      </c>
      <c r="D244" s="89" t="s">
        <v>519</v>
      </c>
      <c r="E244" s="88">
        <v>2.0</v>
      </c>
      <c r="F244" s="89" t="s">
        <v>657</v>
      </c>
      <c r="G244" s="92">
        <v>0.2</v>
      </c>
      <c r="H244" s="92">
        <v>0.2</v>
      </c>
      <c r="I244" s="92">
        <v>0.0</v>
      </c>
      <c r="J244" s="91">
        <v>0.0</v>
      </c>
      <c r="K244" s="241" t="s">
        <v>1435</v>
      </c>
      <c r="L244" s="1"/>
      <c r="M244" s="242" t="s">
        <v>1436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0" customHeight="1">
      <c r="A245" s="1"/>
      <c r="B245" s="88">
        <v>120.0</v>
      </c>
      <c r="C245" s="88" t="s">
        <v>608</v>
      </c>
      <c r="D245" s="89" t="s">
        <v>526</v>
      </c>
      <c r="E245" s="88">
        <v>1.0</v>
      </c>
      <c r="F245" s="89" t="s">
        <v>784</v>
      </c>
      <c r="G245" s="92">
        <v>0.6</v>
      </c>
      <c r="H245" s="92">
        <v>0.6</v>
      </c>
      <c r="I245" s="92">
        <v>0.0</v>
      </c>
      <c r="J245" s="91">
        <v>0.0</v>
      </c>
      <c r="K245" s="241" t="s">
        <v>1437</v>
      </c>
      <c r="L245" s="1"/>
      <c r="M245" s="242" t="s">
        <v>1438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0" customHeight="1">
      <c r="A246" s="1"/>
      <c r="B246" s="88">
        <v>120.0</v>
      </c>
      <c r="C246" s="88" t="s">
        <v>608</v>
      </c>
      <c r="D246" s="89" t="s">
        <v>526</v>
      </c>
      <c r="E246" s="88">
        <v>2.0</v>
      </c>
      <c r="F246" s="89" t="s">
        <v>657</v>
      </c>
      <c r="G246" s="92">
        <v>0.15</v>
      </c>
      <c r="H246" s="92">
        <v>0.15</v>
      </c>
      <c r="I246" s="92">
        <v>0.0</v>
      </c>
      <c r="J246" s="91">
        <v>0.0</v>
      </c>
      <c r="K246" s="241" t="s">
        <v>1439</v>
      </c>
      <c r="L246" s="1"/>
      <c r="M246" s="242" t="s">
        <v>1440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0" customHeight="1">
      <c r="A247" s="1"/>
      <c r="B247" s="88">
        <v>120.0</v>
      </c>
      <c r="C247" s="88" t="s">
        <v>608</v>
      </c>
      <c r="D247" s="89" t="s">
        <v>526</v>
      </c>
      <c r="E247" s="88">
        <v>3.0</v>
      </c>
      <c r="F247" s="89" t="s">
        <v>722</v>
      </c>
      <c r="G247" s="92">
        <v>0.195</v>
      </c>
      <c r="H247" s="92">
        <v>0.195</v>
      </c>
      <c r="I247" s="92">
        <v>0.0</v>
      </c>
      <c r="J247" s="91">
        <v>0.0</v>
      </c>
      <c r="K247" s="241" t="s">
        <v>1441</v>
      </c>
      <c r="L247" s="1"/>
      <c r="M247" s="242" t="s">
        <v>1442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0" customHeight="1">
      <c r="A248" s="1"/>
      <c r="B248" s="88">
        <v>120.0</v>
      </c>
      <c r="C248" s="88" t="s">
        <v>608</v>
      </c>
      <c r="D248" s="89" t="s">
        <v>526</v>
      </c>
      <c r="E248" s="88">
        <v>4.0</v>
      </c>
      <c r="F248" s="89" t="s">
        <v>571</v>
      </c>
      <c r="G248" s="92">
        <v>0.005</v>
      </c>
      <c r="H248" s="92">
        <v>0.005</v>
      </c>
      <c r="I248" s="92">
        <v>0.0</v>
      </c>
      <c r="J248" s="91">
        <v>0.0</v>
      </c>
      <c r="K248" s="241" t="s">
        <v>1443</v>
      </c>
      <c r="L248" s="1"/>
      <c r="M248" s="242" t="s">
        <v>1444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0" customHeight="1">
      <c r="A249" s="1"/>
      <c r="B249" s="88">
        <v>120.0</v>
      </c>
      <c r="C249" s="88" t="s">
        <v>608</v>
      </c>
      <c r="D249" s="89" t="s">
        <v>526</v>
      </c>
      <c r="E249" s="88">
        <v>5.0</v>
      </c>
      <c r="F249" s="89" t="s">
        <v>579</v>
      </c>
      <c r="G249" s="92">
        <v>0.05</v>
      </c>
      <c r="H249" s="92">
        <v>0.05</v>
      </c>
      <c r="I249" s="92">
        <v>0.0</v>
      </c>
      <c r="J249" s="91">
        <v>0.0</v>
      </c>
      <c r="K249" s="241" t="s">
        <v>1445</v>
      </c>
      <c r="L249" s="1"/>
      <c r="M249" s="242" t="s">
        <v>1446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0" customHeight="1">
      <c r="A250" s="1"/>
      <c r="B250" s="88">
        <v>121.0</v>
      </c>
      <c r="C250" s="88" t="s">
        <v>608</v>
      </c>
      <c r="D250" s="89" t="s">
        <v>672</v>
      </c>
      <c r="E250" s="88">
        <v>1.0</v>
      </c>
      <c r="F250" s="89" t="s">
        <v>763</v>
      </c>
      <c r="G250" s="92">
        <v>0.78</v>
      </c>
      <c r="H250" s="92">
        <v>0.78</v>
      </c>
      <c r="I250" s="92">
        <v>0.0</v>
      </c>
      <c r="J250" s="91">
        <v>0.0</v>
      </c>
      <c r="K250" s="241" t="s">
        <v>1447</v>
      </c>
      <c r="L250" s="1"/>
      <c r="M250" s="242" t="s">
        <v>1448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0" customHeight="1">
      <c r="A251" s="1"/>
      <c r="B251" s="88">
        <v>121.0</v>
      </c>
      <c r="C251" s="88" t="s">
        <v>608</v>
      </c>
      <c r="D251" s="89" t="s">
        <v>672</v>
      </c>
      <c r="E251" s="88">
        <v>2.0</v>
      </c>
      <c r="F251" s="89" t="s">
        <v>657</v>
      </c>
      <c r="G251" s="92">
        <v>0.15</v>
      </c>
      <c r="H251" s="92">
        <v>0.15</v>
      </c>
      <c r="I251" s="92">
        <v>0.0</v>
      </c>
      <c r="J251" s="91">
        <v>0.0</v>
      </c>
      <c r="K251" s="241" t="s">
        <v>1449</v>
      </c>
      <c r="L251" s="1"/>
      <c r="M251" s="242" t="s">
        <v>1450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0" customHeight="1">
      <c r="A252" s="1"/>
      <c r="B252" s="88">
        <v>121.0</v>
      </c>
      <c r="C252" s="88" t="s">
        <v>608</v>
      </c>
      <c r="D252" s="89" t="s">
        <v>672</v>
      </c>
      <c r="E252" s="88">
        <v>3.0</v>
      </c>
      <c r="F252" s="89" t="s">
        <v>722</v>
      </c>
      <c r="G252" s="92">
        <v>0.05</v>
      </c>
      <c r="H252" s="92">
        <v>0.05</v>
      </c>
      <c r="I252" s="92">
        <v>0.0</v>
      </c>
      <c r="J252" s="91">
        <v>0.0</v>
      </c>
      <c r="K252" s="241" t="s">
        <v>1451</v>
      </c>
      <c r="L252" s="1"/>
      <c r="M252" s="242" t="s">
        <v>1452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0" customHeight="1">
      <c r="A253" s="1"/>
      <c r="B253" s="88">
        <v>121.0</v>
      </c>
      <c r="C253" s="88" t="s">
        <v>608</v>
      </c>
      <c r="D253" s="89" t="s">
        <v>672</v>
      </c>
      <c r="E253" s="88">
        <v>4.0</v>
      </c>
      <c r="F253" s="89" t="s">
        <v>571</v>
      </c>
      <c r="G253" s="92">
        <v>0.005</v>
      </c>
      <c r="H253" s="92">
        <v>0.005</v>
      </c>
      <c r="I253" s="92">
        <v>0.0</v>
      </c>
      <c r="J253" s="91">
        <v>0.0</v>
      </c>
      <c r="K253" s="241" t="s">
        <v>1453</v>
      </c>
      <c r="L253" s="1"/>
      <c r="M253" s="242" t="s">
        <v>1454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0" customHeight="1">
      <c r="A254" s="1"/>
      <c r="B254" s="88">
        <v>121.0</v>
      </c>
      <c r="C254" s="88" t="s">
        <v>608</v>
      </c>
      <c r="D254" s="89" t="s">
        <v>672</v>
      </c>
      <c r="E254" s="88">
        <v>5.0</v>
      </c>
      <c r="F254" s="89" t="s">
        <v>579</v>
      </c>
      <c r="G254" s="92">
        <v>0.015</v>
      </c>
      <c r="H254" s="92">
        <v>0.015</v>
      </c>
      <c r="I254" s="92">
        <v>0.0</v>
      </c>
      <c r="J254" s="91">
        <v>0.0</v>
      </c>
      <c r="K254" s="241" t="s">
        <v>1455</v>
      </c>
      <c r="L254" s="1"/>
      <c r="M254" s="242" t="s">
        <v>1456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0" customHeight="1">
      <c r="A255" s="1"/>
      <c r="B255" s="88">
        <v>122.0</v>
      </c>
      <c r="C255" s="88" t="s">
        <v>608</v>
      </c>
      <c r="D255" s="89" t="s">
        <v>727</v>
      </c>
      <c r="E255" s="88">
        <v>1.0</v>
      </c>
      <c r="F255" s="89" t="s">
        <v>594</v>
      </c>
      <c r="G255" s="92">
        <v>0.5</v>
      </c>
      <c r="H255" s="92">
        <v>0.5</v>
      </c>
      <c r="I255" s="92">
        <v>0.0</v>
      </c>
      <c r="J255" s="91">
        <v>0.0</v>
      </c>
      <c r="K255" s="241" t="s">
        <v>1457</v>
      </c>
      <c r="L255" s="1"/>
      <c r="M255" s="242" t="s">
        <v>1458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0" customHeight="1">
      <c r="A256" s="1"/>
      <c r="B256" s="88">
        <v>122.0</v>
      </c>
      <c r="C256" s="88" t="s">
        <v>608</v>
      </c>
      <c r="D256" s="89" t="s">
        <v>727</v>
      </c>
      <c r="E256" s="88">
        <v>2.0</v>
      </c>
      <c r="F256" s="89" t="s">
        <v>539</v>
      </c>
      <c r="G256" s="92">
        <v>0.5</v>
      </c>
      <c r="H256" s="92">
        <v>0.5</v>
      </c>
      <c r="I256" s="92">
        <v>0.0</v>
      </c>
      <c r="J256" s="91">
        <v>0.0</v>
      </c>
      <c r="K256" s="241" t="s">
        <v>1459</v>
      </c>
      <c r="L256" s="1"/>
      <c r="M256" s="242" t="s">
        <v>1460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0" customHeight="1">
      <c r="A257" s="1"/>
      <c r="B257" s="88">
        <v>123.0</v>
      </c>
      <c r="C257" s="88" t="s">
        <v>608</v>
      </c>
      <c r="D257" s="89" t="s">
        <v>706</v>
      </c>
      <c r="E257" s="88">
        <v>1.0</v>
      </c>
      <c r="F257" s="89" t="s">
        <v>396</v>
      </c>
      <c r="G257" s="92">
        <v>0.5</v>
      </c>
      <c r="H257" s="92">
        <v>0.5</v>
      </c>
      <c r="I257" s="92">
        <v>0.0</v>
      </c>
      <c r="J257" s="91">
        <v>0.0</v>
      </c>
      <c r="K257" s="241" t="s">
        <v>1461</v>
      </c>
      <c r="L257" s="1"/>
      <c r="M257" s="242" t="s">
        <v>1462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0" customHeight="1">
      <c r="A258" s="1"/>
      <c r="B258" s="88">
        <v>123.0</v>
      </c>
      <c r="C258" s="88" t="s">
        <v>608</v>
      </c>
      <c r="D258" s="89" t="s">
        <v>706</v>
      </c>
      <c r="E258" s="88">
        <v>2.0</v>
      </c>
      <c r="F258" s="89" t="s">
        <v>590</v>
      </c>
      <c r="G258" s="92">
        <v>0.17</v>
      </c>
      <c r="H258" s="92">
        <v>0.17</v>
      </c>
      <c r="I258" s="92">
        <v>0.0</v>
      </c>
      <c r="J258" s="91">
        <v>0.0</v>
      </c>
      <c r="K258" s="241" t="s">
        <v>1463</v>
      </c>
      <c r="L258" s="1"/>
      <c r="M258" s="242" t="s">
        <v>1464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0" customHeight="1">
      <c r="A259" s="1"/>
      <c r="B259" s="88">
        <v>123.0</v>
      </c>
      <c r="C259" s="88" t="s">
        <v>608</v>
      </c>
      <c r="D259" s="89" t="s">
        <v>706</v>
      </c>
      <c r="E259" s="88">
        <v>3.0</v>
      </c>
      <c r="F259" s="89" t="s">
        <v>530</v>
      </c>
      <c r="G259" s="92">
        <v>0.045</v>
      </c>
      <c r="H259" s="92">
        <v>0.045</v>
      </c>
      <c r="I259" s="92">
        <v>0.0</v>
      </c>
      <c r="J259" s="91">
        <v>0.0</v>
      </c>
      <c r="K259" s="241" t="s">
        <v>1465</v>
      </c>
      <c r="L259" s="1"/>
      <c r="M259" s="242" t="s">
        <v>1466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0" customHeight="1">
      <c r="A260" s="1"/>
      <c r="B260" s="88">
        <v>123.0</v>
      </c>
      <c r="C260" s="88" t="s">
        <v>608</v>
      </c>
      <c r="D260" s="89" t="s">
        <v>706</v>
      </c>
      <c r="E260" s="88">
        <v>4.0</v>
      </c>
      <c r="F260" s="89" t="s">
        <v>541</v>
      </c>
      <c r="G260" s="92">
        <v>0.005</v>
      </c>
      <c r="H260" s="92">
        <v>0.005</v>
      </c>
      <c r="I260" s="92">
        <v>0.0</v>
      </c>
      <c r="J260" s="91">
        <v>0.0</v>
      </c>
      <c r="K260" s="241" t="s">
        <v>1467</v>
      </c>
      <c r="L260" s="1"/>
      <c r="M260" s="242" t="s">
        <v>1468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0" customHeight="1">
      <c r="A261" s="1"/>
      <c r="B261" s="88">
        <v>123.0</v>
      </c>
      <c r="C261" s="88" t="s">
        <v>608</v>
      </c>
      <c r="D261" s="89" t="s">
        <v>706</v>
      </c>
      <c r="E261" s="88">
        <v>5.0</v>
      </c>
      <c r="F261" s="89" t="s">
        <v>553</v>
      </c>
      <c r="G261" s="92">
        <v>0.28</v>
      </c>
      <c r="H261" s="92">
        <v>0.28</v>
      </c>
      <c r="I261" s="92">
        <v>0.0</v>
      </c>
      <c r="J261" s="91">
        <v>0.0</v>
      </c>
      <c r="K261" s="241" t="s">
        <v>1469</v>
      </c>
      <c r="L261" s="1"/>
      <c r="M261" s="242" t="s">
        <v>1470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0" customHeight="1">
      <c r="A262" s="1"/>
      <c r="B262" s="88">
        <v>124.0</v>
      </c>
      <c r="C262" s="88" t="s">
        <v>608</v>
      </c>
      <c r="D262" s="89" t="s">
        <v>709</v>
      </c>
      <c r="E262" s="88">
        <v>1.0</v>
      </c>
      <c r="F262" s="89" t="s">
        <v>396</v>
      </c>
      <c r="G262" s="92">
        <v>0.5</v>
      </c>
      <c r="H262" s="92">
        <v>0.5</v>
      </c>
      <c r="I262" s="92">
        <v>0.0</v>
      </c>
      <c r="J262" s="91">
        <v>0.0</v>
      </c>
      <c r="K262" s="241" t="s">
        <v>1471</v>
      </c>
      <c r="L262" s="1"/>
      <c r="M262" s="242" t="s">
        <v>1472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0" customHeight="1">
      <c r="A263" s="1"/>
      <c r="B263" s="88">
        <v>124.0</v>
      </c>
      <c r="C263" s="88" t="s">
        <v>608</v>
      </c>
      <c r="D263" s="89" t="s">
        <v>709</v>
      </c>
      <c r="E263" s="88">
        <v>2.0</v>
      </c>
      <c r="F263" s="89" t="s">
        <v>590</v>
      </c>
      <c r="G263" s="92">
        <v>0.24</v>
      </c>
      <c r="H263" s="92">
        <v>0.24</v>
      </c>
      <c r="I263" s="92">
        <v>0.0</v>
      </c>
      <c r="J263" s="91">
        <v>0.0</v>
      </c>
      <c r="K263" s="241" t="s">
        <v>1473</v>
      </c>
      <c r="L263" s="1"/>
      <c r="M263" s="242" t="s">
        <v>1474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0" customHeight="1">
      <c r="A264" s="1"/>
      <c r="B264" s="88">
        <v>124.0</v>
      </c>
      <c r="C264" s="88" t="s">
        <v>608</v>
      </c>
      <c r="D264" s="89" t="s">
        <v>709</v>
      </c>
      <c r="E264" s="88">
        <v>3.0</v>
      </c>
      <c r="F264" s="89" t="s">
        <v>530</v>
      </c>
      <c r="G264" s="92">
        <v>0.02</v>
      </c>
      <c r="H264" s="92">
        <v>0.02</v>
      </c>
      <c r="I264" s="92">
        <v>0.0</v>
      </c>
      <c r="J264" s="91">
        <v>0.0</v>
      </c>
      <c r="K264" s="241" t="s">
        <v>1475</v>
      </c>
      <c r="L264" s="1"/>
      <c r="M264" s="242" t="s">
        <v>1476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0" customHeight="1">
      <c r="A265" s="1"/>
      <c r="B265" s="88">
        <v>124.0</v>
      </c>
      <c r="C265" s="88" t="s">
        <v>608</v>
      </c>
      <c r="D265" s="89" t="s">
        <v>709</v>
      </c>
      <c r="E265" s="88">
        <v>4.0</v>
      </c>
      <c r="F265" s="89" t="s">
        <v>556</v>
      </c>
      <c r="G265" s="92">
        <v>0.24</v>
      </c>
      <c r="H265" s="92">
        <v>0.24</v>
      </c>
      <c r="I265" s="92">
        <v>0.0</v>
      </c>
      <c r="J265" s="91">
        <v>0.0</v>
      </c>
      <c r="K265" s="241" t="s">
        <v>1477</v>
      </c>
      <c r="L265" s="1"/>
      <c r="M265" s="242" t="s">
        <v>1478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0" customHeight="1">
      <c r="A266" s="1"/>
      <c r="B266" s="88">
        <v>125.0</v>
      </c>
      <c r="C266" s="88" t="s">
        <v>608</v>
      </c>
      <c r="D266" s="89" t="s">
        <v>716</v>
      </c>
      <c r="E266" s="88">
        <v>1.0</v>
      </c>
      <c r="F266" s="89" t="s">
        <v>396</v>
      </c>
      <c r="G266" s="92">
        <v>0.5</v>
      </c>
      <c r="H266" s="92">
        <v>0.5</v>
      </c>
      <c r="I266" s="92">
        <v>0.0</v>
      </c>
      <c r="J266" s="91">
        <v>0.0</v>
      </c>
      <c r="K266" s="241" t="s">
        <v>1479</v>
      </c>
      <c r="L266" s="1"/>
      <c r="M266" s="242" t="s">
        <v>1480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0" customHeight="1">
      <c r="A267" s="1"/>
      <c r="B267" s="88">
        <v>125.0</v>
      </c>
      <c r="C267" s="88" t="s">
        <v>608</v>
      </c>
      <c r="D267" s="89" t="s">
        <v>716</v>
      </c>
      <c r="E267" s="88">
        <v>2.0</v>
      </c>
      <c r="F267" s="89" t="s">
        <v>590</v>
      </c>
      <c r="G267" s="92">
        <v>0.27</v>
      </c>
      <c r="H267" s="92">
        <v>0.27</v>
      </c>
      <c r="I267" s="92">
        <v>0.0</v>
      </c>
      <c r="J267" s="91">
        <v>0.0</v>
      </c>
      <c r="K267" s="241" t="s">
        <v>1481</v>
      </c>
      <c r="L267" s="1"/>
      <c r="M267" s="242" t="s">
        <v>1482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0" customHeight="1">
      <c r="A268" s="1"/>
      <c r="B268" s="88">
        <v>125.0</v>
      </c>
      <c r="C268" s="88" t="s">
        <v>608</v>
      </c>
      <c r="D268" s="89" t="s">
        <v>716</v>
      </c>
      <c r="E268" s="88">
        <v>3.0</v>
      </c>
      <c r="F268" s="89" t="s">
        <v>528</v>
      </c>
      <c r="G268" s="92">
        <v>0.024</v>
      </c>
      <c r="H268" s="92">
        <v>0.024</v>
      </c>
      <c r="I268" s="92">
        <v>0.0</v>
      </c>
      <c r="J268" s="91">
        <v>0.0</v>
      </c>
      <c r="K268" s="241" t="s">
        <v>1483</v>
      </c>
      <c r="L268" s="1"/>
      <c r="M268" s="242" t="s">
        <v>1484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0" customHeight="1">
      <c r="A269" s="1"/>
      <c r="B269" s="88">
        <v>125.0</v>
      </c>
      <c r="C269" s="88" t="s">
        <v>608</v>
      </c>
      <c r="D269" s="89" t="s">
        <v>716</v>
      </c>
      <c r="E269" s="88">
        <v>4.0</v>
      </c>
      <c r="F269" s="89" t="s">
        <v>543</v>
      </c>
      <c r="G269" s="92">
        <v>0.006</v>
      </c>
      <c r="H269" s="92">
        <v>0.006</v>
      </c>
      <c r="I269" s="92">
        <v>0.0</v>
      </c>
      <c r="J269" s="91">
        <v>0.0</v>
      </c>
      <c r="K269" s="241" t="s">
        <v>1485</v>
      </c>
      <c r="L269" s="1"/>
      <c r="M269" s="242" t="s">
        <v>1486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0" customHeight="1">
      <c r="A270" s="1"/>
      <c r="B270" s="88">
        <v>125.0</v>
      </c>
      <c r="C270" s="88" t="s">
        <v>608</v>
      </c>
      <c r="D270" s="89" t="s">
        <v>716</v>
      </c>
      <c r="E270" s="88">
        <v>5.0</v>
      </c>
      <c r="F270" s="89" t="s">
        <v>568</v>
      </c>
      <c r="G270" s="92">
        <v>0.2</v>
      </c>
      <c r="H270" s="92">
        <v>0.2</v>
      </c>
      <c r="I270" s="92">
        <v>0.0</v>
      </c>
      <c r="J270" s="91">
        <v>0.0</v>
      </c>
      <c r="K270" s="241" t="s">
        <v>1487</v>
      </c>
      <c r="L270" s="1"/>
      <c r="M270" s="242" t="s">
        <v>1488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0" customHeight="1">
      <c r="A271" s="1"/>
      <c r="B271" s="243">
        <v>126.0</v>
      </c>
      <c r="C271" s="243" t="s">
        <v>608</v>
      </c>
      <c r="D271" s="244" t="s">
        <v>708</v>
      </c>
      <c r="E271" s="243">
        <v>1.0</v>
      </c>
      <c r="F271" s="244" t="s">
        <v>396</v>
      </c>
      <c r="G271" s="245">
        <v>0.5</v>
      </c>
      <c r="H271" s="245">
        <v>0.5</v>
      </c>
      <c r="I271" s="245">
        <v>0.0</v>
      </c>
      <c r="J271" s="246">
        <v>0.0</v>
      </c>
      <c r="K271" s="247" t="s">
        <v>1489</v>
      </c>
      <c r="L271" s="248"/>
      <c r="M271" s="242" t="s">
        <v>1490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0" customHeight="1">
      <c r="A272" s="1"/>
      <c r="B272" s="88">
        <v>126.0</v>
      </c>
      <c r="C272" s="88" t="s">
        <v>608</v>
      </c>
      <c r="D272" s="89" t="s">
        <v>708</v>
      </c>
      <c r="E272" s="88">
        <v>2.0</v>
      </c>
      <c r="F272" s="89" t="s">
        <v>590</v>
      </c>
      <c r="G272" s="92">
        <v>0.19</v>
      </c>
      <c r="H272" s="92">
        <v>0.19</v>
      </c>
      <c r="I272" s="92">
        <v>0.0</v>
      </c>
      <c r="J272" s="91">
        <v>0.0</v>
      </c>
      <c r="K272" s="241" t="s">
        <v>1491</v>
      </c>
      <c r="L272" s="1"/>
      <c r="M272" s="242" t="s">
        <v>1492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0" customHeight="1">
      <c r="A273" s="1"/>
      <c r="B273" s="88">
        <v>126.0</v>
      </c>
      <c r="C273" s="88" t="s">
        <v>608</v>
      </c>
      <c r="D273" s="89" t="s">
        <v>708</v>
      </c>
      <c r="E273" s="88">
        <v>3.0</v>
      </c>
      <c r="F273" s="89" t="s">
        <v>528</v>
      </c>
      <c r="G273" s="92">
        <v>0.024</v>
      </c>
      <c r="H273" s="92">
        <v>0.024</v>
      </c>
      <c r="I273" s="92">
        <v>0.0</v>
      </c>
      <c r="J273" s="91">
        <v>0.0</v>
      </c>
      <c r="K273" s="241" t="s">
        <v>1493</v>
      </c>
      <c r="L273" s="1"/>
      <c r="M273" s="242" t="s">
        <v>1494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0" customHeight="1">
      <c r="A274" s="1"/>
      <c r="B274" s="88">
        <v>126.0</v>
      </c>
      <c r="C274" s="88" t="s">
        <v>608</v>
      </c>
      <c r="D274" s="89" t="s">
        <v>708</v>
      </c>
      <c r="E274" s="88">
        <v>4.0</v>
      </c>
      <c r="F274" s="89" t="s">
        <v>541</v>
      </c>
      <c r="G274" s="92">
        <v>0.006</v>
      </c>
      <c r="H274" s="92">
        <v>0.006</v>
      </c>
      <c r="I274" s="92">
        <v>0.0</v>
      </c>
      <c r="J274" s="91">
        <v>0.0</v>
      </c>
      <c r="K274" s="241" t="s">
        <v>1495</v>
      </c>
      <c r="L274" s="1"/>
      <c r="M274" s="242" t="s">
        <v>1496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0" customHeight="1">
      <c r="A275" s="1"/>
      <c r="B275" s="88">
        <v>126.0</v>
      </c>
      <c r="C275" s="88" t="s">
        <v>608</v>
      </c>
      <c r="D275" s="89" t="s">
        <v>708</v>
      </c>
      <c r="E275" s="88">
        <v>5.0</v>
      </c>
      <c r="F275" s="89" t="s">
        <v>554</v>
      </c>
      <c r="G275" s="92">
        <v>0.28</v>
      </c>
      <c r="H275" s="92">
        <v>0.28</v>
      </c>
      <c r="I275" s="92">
        <v>0.0</v>
      </c>
      <c r="J275" s="91">
        <v>0.0</v>
      </c>
      <c r="K275" s="241" t="s">
        <v>1497</v>
      </c>
      <c r="L275" s="1"/>
      <c r="M275" s="242" t="s">
        <v>1498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0" customHeight="1">
      <c r="A276" s="1"/>
      <c r="B276" s="88">
        <v>127.0</v>
      </c>
      <c r="C276" s="88" t="s">
        <v>605</v>
      </c>
      <c r="D276" s="89" t="s">
        <v>529</v>
      </c>
      <c r="E276" s="88">
        <v>1.0</v>
      </c>
      <c r="F276" s="89" t="s">
        <v>732</v>
      </c>
      <c r="G276" s="92">
        <v>0.63</v>
      </c>
      <c r="H276" s="92">
        <v>0.63</v>
      </c>
      <c r="I276" s="92">
        <v>0.0</v>
      </c>
      <c r="J276" s="91">
        <v>0.0</v>
      </c>
      <c r="K276" s="241" t="s">
        <v>1499</v>
      </c>
      <c r="L276" s="1" t="s">
        <v>668</v>
      </c>
      <c r="M276" s="242" t="s">
        <v>1500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0" customHeight="1">
      <c r="A277" s="1"/>
      <c r="B277" s="88">
        <v>127.0</v>
      </c>
      <c r="C277" s="88" t="s">
        <v>605</v>
      </c>
      <c r="D277" s="89" t="s">
        <v>529</v>
      </c>
      <c r="E277" s="88">
        <v>2.0</v>
      </c>
      <c r="F277" s="89" t="s">
        <v>593</v>
      </c>
      <c r="G277" s="92">
        <v>0.055</v>
      </c>
      <c r="H277" s="92">
        <v>0.055</v>
      </c>
      <c r="I277" s="92">
        <v>0.0</v>
      </c>
      <c r="J277" s="91">
        <v>0.0</v>
      </c>
      <c r="K277" s="241" t="s">
        <v>1501</v>
      </c>
      <c r="L277" s="1" t="s">
        <v>668</v>
      </c>
      <c r="M277" s="242" t="s">
        <v>1502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0" customHeight="1">
      <c r="A278" s="1"/>
      <c r="B278" s="243">
        <v>127.0</v>
      </c>
      <c r="C278" s="243" t="s">
        <v>605</v>
      </c>
      <c r="D278" s="244" t="s">
        <v>529</v>
      </c>
      <c r="E278" s="243">
        <v>3.0</v>
      </c>
      <c r="F278" s="244" t="s">
        <v>750</v>
      </c>
      <c r="G278" s="245">
        <v>0.3</v>
      </c>
      <c r="H278" s="245">
        <v>0.3</v>
      </c>
      <c r="I278" s="245">
        <v>0.0</v>
      </c>
      <c r="J278" s="246">
        <v>0.0</v>
      </c>
      <c r="K278" s="247" t="s">
        <v>1503</v>
      </c>
      <c r="L278" s="248" t="s">
        <v>668</v>
      </c>
      <c r="M278" s="242" t="s">
        <v>1504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0" customHeight="1">
      <c r="A279" s="1"/>
      <c r="B279" s="88">
        <v>127.0</v>
      </c>
      <c r="C279" s="88" t="s">
        <v>605</v>
      </c>
      <c r="D279" s="89" t="s">
        <v>529</v>
      </c>
      <c r="E279" s="88">
        <v>4.0</v>
      </c>
      <c r="F279" s="89" t="s">
        <v>757</v>
      </c>
      <c r="G279" s="92">
        <v>0.015</v>
      </c>
      <c r="H279" s="92">
        <v>0.015</v>
      </c>
      <c r="I279" s="92">
        <v>0.0</v>
      </c>
      <c r="J279" s="91">
        <v>0.0</v>
      </c>
      <c r="K279" s="241" t="s">
        <v>1505</v>
      </c>
      <c r="L279" s="1" t="s">
        <v>668</v>
      </c>
      <c r="M279" s="242" t="s">
        <v>1506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0" customHeight="1">
      <c r="A280" s="1"/>
      <c r="B280" s="88">
        <v>127.0</v>
      </c>
      <c r="C280" s="88" t="s">
        <v>605</v>
      </c>
      <c r="D280" s="89" t="s">
        <v>529</v>
      </c>
      <c r="E280" s="88">
        <v>5.0</v>
      </c>
      <c r="F280" s="89" t="s">
        <v>522</v>
      </c>
      <c r="G280" s="92">
        <v>0.0</v>
      </c>
      <c r="H280" s="92">
        <v>0.0</v>
      </c>
      <c r="I280" s="92">
        <v>0.096</v>
      </c>
      <c r="J280" s="91">
        <v>0.0</v>
      </c>
      <c r="K280" s="241" t="s">
        <v>1507</v>
      </c>
      <c r="L280" s="1" t="s">
        <v>668</v>
      </c>
      <c r="M280" s="242" t="s">
        <v>1508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0" customHeight="1">
      <c r="A281" s="1"/>
      <c r="B281" s="88">
        <v>131.0</v>
      </c>
      <c r="C281" s="88" t="s">
        <v>605</v>
      </c>
      <c r="D281" s="89" t="s">
        <v>536</v>
      </c>
      <c r="E281" s="88">
        <v>1.0</v>
      </c>
      <c r="F281" s="89" t="s">
        <v>782</v>
      </c>
      <c r="G281" s="92">
        <v>0.55</v>
      </c>
      <c r="H281" s="92">
        <v>0.55</v>
      </c>
      <c r="I281" s="92">
        <v>0.0</v>
      </c>
      <c r="J281" s="91">
        <v>0.0</v>
      </c>
      <c r="K281" s="241" t="s">
        <v>1509</v>
      </c>
      <c r="L281" s="1"/>
      <c r="M281" s="242" t="s">
        <v>1510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0" customHeight="1">
      <c r="A282" s="1"/>
      <c r="B282" s="88">
        <v>131.0</v>
      </c>
      <c r="C282" s="88" t="s">
        <v>605</v>
      </c>
      <c r="D282" s="89" t="s">
        <v>536</v>
      </c>
      <c r="E282" s="88">
        <v>2.0</v>
      </c>
      <c r="F282" s="89" t="s">
        <v>570</v>
      </c>
      <c r="G282" s="92">
        <v>0.28</v>
      </c>
      <c r="H282" s="92">
        <v>0.28</v>
      </c>
      <c r="I282" s="92">
        <v>0.0</v>
      </c>
      <c r="J282" s="91">
        <v>0.0</v>
      </c>
      <c r="K282" s="241" t="s">
        <v>1511</v>
      </c>
      <c r="L282" s="1"/>
      <c r="M282" s="242" t="s">
        <v>1512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0" customHeight="1">
      <c r="A283" s="1"/>
      <c r="B283" s="88">
        <v>131.0</v>
      </c>
      <c r="C283" s="88" t="s">
        <v>605</v>
      </c>
      <c r="D283" s="89" t="s">
        <v>536</v>
      </c>
      <c r="E283" s="88">
        <v>3.0</v>
      </c>
      <c r="F283" s="89" t="s">
        <v>532</v>
      </c>
      <c r="G283" s="92">
        <v>0.005</v>
      </c>
      <c r="H283" s="92">
        <v>0.005</v>
      </c>
      <c r="I283" s="92">
        <v>0.0</v>
      </c>
      <c r="J283" s="91">
        <v>0.0</v>
      </c>
      <c r="K283" s="241" t="s">
        <v>1513</v>
      </c>
      <c r="L283" s="1"/>
      <c r="M283" s="242" t="s">
        <v>1514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0" customHeight="1">
      <c r="A284" s="1"/>
      <c r="B284" s="88">
        <v>131.0</v>
      </c>
      <c r="C284" s="88" t="s">
        <v>605</v>
      </c>
      <c r="D284" s="89" t="s">
        <v>536</v>
      </c>
      <c r="E284" s="88">
        <v>4.0</v>
      </c>
      <c r="F284" s="89" t="s">
        <v>571</v>
      </c>
      <c r="G284" s="92">
        <v>0.02</v>
      </c>
      <c r="H284" s="92">
        <v>0.02</v>
      </c>
      <c r="I284" s="92">
        <v>0.0</v>
      </c>
      <c r="J284" s="91">
        <v>0.0</v>
      </c>
      <c r="K284" s="241" t="s">
        <v>1515</v>
      </c>
      <c r="L284" s="1"/>
      <c r="M284" s="242" t="s">
        <v>1516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0" customHeight="1">
      <c r="A285" s="1"/>
      <c r="B285" s="88">
        <v>131.0</v>
      </c>
      <c r="C285" s="88" t="s">
        <v>605</v>
      </c>
      <c r="D285" s="89" t="s">
        <v>536</v>
      </c>
      <c r="E285" s="88">
        <v>5.0</v>
      </c>
      <c r="F285" s="89" t="s">
        <v>594</v>
      </c>
      <c r="G285" s="92">
        <v>0.035</v>
      </c>
      <c r="H285" s="92">
        <v>0.035</v>
      </c>
      <c r="I285" s="92">
        <v>0.0</v>
      </c>
      <c r="J285" s="91">
        <v>0.0</v>
      </c>
      <c r="K285" s="241" t="s">
        <v>1517</v>
      </c>
      <c r="L285" s="1"/>
      <c r="M285" s="242" t="s">
        <v>1518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0" customHeight="1">
      <c r="A286" s="1"/>
      <c r="B286" s="88">
        <v>131.0</v>
      </c>
      <c r="C286" s="88" t="s">
        <v>605</v>
      </c>
      <c r="D286" s="89" t="s">
        <v>536</v>
      </c>
      <c r="E286" s="88">
        <v>6.0</v>
      </c>
      <c r="F286" s="89" t="s">
        <v>593</v>
      </c>
      <c r="G286" s="92">
        <v>0.02</v>
      </c>
      <c r="H286" s="92">
        <v>0.02</v>
      </c>
      <c r="I286" s="92">
        <v>0.0</v>
      </c>
      <c r="J286" s="91">
        <v>0.0</v>
      </c>
      <c r="K286" s="241" t="s">
        <v>1519</v>
      </c>
      <c r="L286" s="1"/>
      <c r="M286" s="242" t="s">
        <v>1520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0" customHeight="1">
      <c r="A287" s="1"/>
      <c r="B287" s="88">
        <v>131.0</v>
      </c>
      <c r="C287" s="88" t="s">
        <v>605</v>
      </c>
      <c r="D287" s="89" t="s">
        <v>536</v>
      </c>
      <c r="E287" s="88">
        <v>7.0</v>
      </c>
      <c r="F287" s="89" t="s">
        <v>584</v>
      </c>
      <c r="G287" s="92">
        <v>0.05</v>
      </c>
      <c r="H287" s="92">
        <v>0.05</v>
      </c>
      <c r="I287" s="92">
        <v>0.0</v>
      </c>
      <c r="J287" s="91">
        <v>0.0</v>
      </c>
      <c r="K287" s="241" t="s">
        <v>1521</v>
      </c>
      <c r="L287" s="1"/>
      <c r="M287" s="242" t="s">
        <v>1522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0" customHeight="1">
      <c r="A288" s="1"/>
      <c r="B288" s="88">
        <v>131.0</v>
      </c>
      <c r="C288" s="88" t="s">
        <v>605</v>
      </c>
      <c r="D288" s="89" t="s">
        <v>536</v>
      </c>
      <c r="E288" s="88">
        <v>8.0</v>
      </c>
      <c r="F288" s="89" t="s">
        <v>579</v>
      </c>
      <c r="G288" s="92">
        <v>0.04</v>
      </c>
      <c r="H288" s="92">
        <v>0.04</v>
      </c>
      <c r="I288" s="92">
        <v>0.0</v>
      </c>
      <c r="J288" s="91">
        <v>0.0</v>
      </c>
      <c r="K288" s="241" t="s">
        <v>1523</v>
      </c>
      <c r="L288" s="1"/>
      <c r="M288" s="242" t="s">
        <v>1524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0" customHeight="1">
      <c r="A289" s="1"/>
      <c r="B289" s="88">
        <v>132.0</v>
      </c>
      <c r="C289" s="88" t="s">
        <v>605</v>
      </c>
      <c r="D289" s="89" t="s">
        <v>631</v>
      </c>
      <c r="E289" s="88">
        <v>1.0</v>
      </c>
      <c r="F289" s="89" t="s">
        <v>443</v>
      </c>
      <c r="G289" s="92">
        <v>0.62</v>
      </c>
      <c r="H289" s="92">
        <v>0.62</v>
      </c>
      <c r="I289" s="92">
        <v>0.0</v>
      </c>
      <c r="J289" s="91">
        <v>0.0</v>
      </c>
      <c r="K289" s="241" t="s">
        <v>1525</v>
      </c>
      <c r="L289" s="1"/>
      <c r="M289" s="242" t="s">
        <v>1526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0" customHeight="1">
      <c r="A290" s="1"/>
      <c r="B290" s="88">
        <v>132.0</v>
      </c>
      <c r="C290" s="88" t="s">
        <v>605</v>
      </c>
      <c r="D290" s="89" t="s">
        <v>631</v>
      </c>
      <c r="E290" s="88">
        <v>2.0</v>
      </c>
      <c r="F290" s="89" t="s">
        <v>750</v>
      </c>
      <c r="G290" s="92">
        <v>0.3</v>
      </c>
      <c r="H290" s="92">
        <v>0.3</v>
      </c>
      <c r="I290" s="92">
        <v>0.0</v>
      </c>
      <c r="J290" s="91">
        <v>0.0</v>
      </c>
      <c r="K290" s="241" t="s">
        <v>1527</v>
      </c>
      <c r="L290" s="1"/>
      <c r="M290" s="242" t="s">
        <v>1528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0" customHeight="1">
      <c r="A291" s="1"/>
      <c r="B291" s="88">
        <v>132.0</v>
      </c>
      <c r="C291" s="88" t="s">
        <v>605</v>
      </c>
      <c r="D291" s="89" t="s">
        <v>631</v>
      </c>
      <c r="E291" s="88">
        <v>3.0</v>
      </c>
      <c r="F291" s="89" t="s">
        <v>722</v>
      </c>
      <c r="G291" s="92">
        <v>0.08</v>
      </c>
      <c r="H291" s="92">
        <v>0.08</v>
      </c>
      <c r="I291" s="92">
        <v>0.0</v>
      </c>
      <c r="J291" s="91">
        <v>0.0</v>
      </c>
      <c r="K291" s="241" t="s">
        <v>1529</v>
      </c>
      <c r="L291" s="1"/>
      <c r="M291" s="242" t="s">
        <v>1530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0" customHeight="1">
      <c r="A292" s="1"/>
      <c r="B292" s="88">
        <v>136.0</v>
      </c>
      <c r="C292" s="88" t="s">
        <v>605</v>
      </c>
      <c r="D292" s="89" t="s">
        <v>627</v>
      </c>
      <c r="E292" s="88">
        <v>1.0</v>
      </c>
      <c r="F292" s="89" t="s">
        <v>767</v>
      </c>
      <c r="G292" s="92">
        <v>0.34</v>
      </c>
      <c r="H292" s="92">
        <v>0.34</v>
      </c>
      <c r="I292" s="92">
        <v>0.0</v>
      </c>
      <c r="J292" s="91">
        <v>0.0</v>
      </c>
      <c r="K292" s="241" t="s">
        <v>1531</v>
      </c>
      <c r="L292" s="1"/>
      <c r="M292" s="242" t="s">
        <v>1532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0" customHeight="1">
      <c r="A293" s="1"/>
      <c r="B293" s="88">
        <v>136.0</v>
      </c>
      <c r="C293" s="88" t="s">
        <v>605</v>
      </c>
      <c r="D293" s="89" t="s">
        <v>627</v>
      </c>
      <c r="E293" s="88">
        <v>2.0</v>
      </c>
      <c r="F293" s="89" t="s">
        <v>431</v>
      </c>
      <c r="G293" s="92">
        <v>0.17</v>
      </c>
      <c r="H293" s="92">
        <v>0.17</v>
      </c>
      <c r="I293" s="92">
        <v>0.0</v>
      </c>
      <c r="J293" s="91">
        <v>0.0</v>
      </c>
      <c r="K293" s="241" t="s">
        <v>1533</v>
      </c>
      <c r="L293" s="1"/>
      <c r="M293" s="242" t="s">
        <v>1534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0" customHeight="1">
      <c r="A294" s="1"/>
      <c r="B294" s="88">
        <v>136.0</v>
      </c>
      <c r="C294" s="88" t="s">
        <v>605</v>
      </c>
      <c r="D294" s="89" t="s">
        <v>627</v>
      </c>
      <c r="E294" s="88">
        <v>3.0</v>
      </c>
      <c r="F294" s="89" t="s">
        <v>750</v>
      </c>
      <c r="G294" s="92">
        <v>0.3</v>
      </c>
      <c r="H294" s="92">
        <v>0.3</v>
      </c>
      <c r="I294" s="92">
        <v>0.0</v>
      </c>
      <c r="J294" s="91">
        <v>0.0</v>
      </c>
      <c r="K294" s="241" t="s">
        <v>1535</v>
      </c>
      <c r="L294" s="1"/>
      <c r="M294" s="242" t="s">
        <v>1536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0" customHeight="1">
      <c r="A295" s="1"/>
      <c r="B295" s="88">
        <v>136.0</v>
      </c>
      <c r="C295" s="88" t="s">
        <v>605</v>
      </c>
      <c r="D295" s="89" t="s">
        <v>627</v>
      </c>
      <c r="E295" s="88">
        <v>4.0</v>
      </c>
      <c r="F295" s="89" t="s">
        <v>722</v>
      </c>
      <c r="G295" s="92">
        <v>0.19</v>
      </c>
      <c r="H295" s="92">
        <v>0.19</v>
      </c>
      <c r="I295" s="92">
        <v>0.0</v>
      </c>
      <c r="J295" s="91">
        <v>0.0</v>
      </c>
      <c r="K295" s="241" t="s">
        <v>1537</v>
      </c>
      <c r="L295" s="1"/>
      <c r="M295" s="242" t="s">
        <v>1538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0" customHeight="1">
      <c r="A296" s="1"/>
      <c r="B296" s="88">
        <v>137.0</v>
      </c>
      <c r="C296" s="88" t="s">
        <v>605</v>
      </c>
      <c r="D296" s="89" t="s">
        <v>534</v>
      </c>
      <c r="E296" s="88">
        <v>1.0</v>
      </c>
      <c r="F296" s="89" t="s">
        <v>775</v>
      </c>
      <c r="G296" s="92">
        <v>0.55</v>
      </c>
      <c r="H296" s="92">
        <v>0.55</v>
      </c>
      <c r="I296" s="92">
        <v>0.0</v>
      </c>
      <c r="J296" s="91">
        <v>0.0</v>
      </c>
      <c r="K296" s="241" t="s">
        <v>1539</v>
      </c>
      <c r="L296" s="1"/>
      <c r="M296" s="242" t="s">
        <v>1540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0" customHeight="1">
      <c r="A297" s="1"/>
      <c r="B297" s="88">
        <v>137.0</v>
      </c>
      <c r="C297" s="88" t="s">
        <v>605</v>
      </c>
      <c r="D297" s="89" t="s">
        <v>534</v>
      </c>
      <c r="E297" s="88">
        <v>2.0</v>
      </c>
      <c r="F297" s="89" t="s">
        <v>750</v>
      </c>
      <c r="G297" s="92">
        <v>0.3</v>
      </c>
      <c r="H297" s="92">
        <v>0.3</v>
      </c>
      <c r="I297" s="92">
        <v>0.0</v>
      </c>
      <c r="J297" s="91">
        <v>0.0</v>
      </c>
      <c r="K297" s="241" t="s">
        <v>1541</v>
      </c>
      <c r="L297" s="1"/>
      <c r="M297" s="242" t="s">
        <v>1542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0" customHeight="1">
      <c r="A298" s="1"/>
      <c r="B298" s="88">
        <v>137.0</v>
      </c>
      <c r="C298" s="88" t="s">
        <v>605</v>
      </c>
      <c r="D298" s="89" t="s">
        <v>534</v>
      </c>
      <c r="E298" s="88">
        <v>3.0</v>
      </c>
      <c r="F298" s="89" t="s">
        <v>722</v>
      </c>
      <c r="G298" s="92">
        <v>0.15</v>
      </c>
      <c r="H298" s="92">
        <v>0.15</v>
      </c>
      <c r="I298" s="92">
        <v>0.0</v>
      </c>
      <c r="J298" s="91">
        <v>0.0</v>
      </c>
      <c r="K298" s="241" t="s">
        <v>1543</v>
      </c>
      <c r="L298" s="1"/>
      <c r="M298" s="242" t="s">
        <v>1544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0" customHeight="1">
      <c r="A299" s="1"/>
      <c r="B299" s="88">
        <v>138.0</v>
      </c>
      <c r="C299" s="88" t="s">
        <v>605</v>
      </c>
      <c r="D299" s="89" t="s">
        <v>625</v>
      </c>
      <c r="E299" s="88">
        <v>1.0</v>
      </c>
      <c r="F299" s="89" t="s">
        <v>775</v>
      </c>
      <c r="G299" s="92">
        <v>0.31</v>
      </c>
      <c r="H299" s="92">
        <v>0.31</v>
      </c>
      <c r="I299" s="92">
        <v>0.0</v>
      </c>
      <c r="J299" s="91">
        <v>0.0</v>
      </c>
      <c r="K299" s="241" t="s">
        <v>1545</v>
      </c>
      <c r="L299" s="1"/>
      <c r="M299" s="242" t="s">
        <v>1546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0" customHeight="1">
      <c r="A300" s="1"/>
      <c r="B300" s="88">
        <v>138.0</v>
      </c>
      <c r="C300" s="88" t="s">
        <v>605</v>
      </c>
      <c r="D300" s="89" t="s">
        <v>625</v>
      </c>
      <c r="E300" s="88">
        <v>2.0</v>
      </c>
      <c r="F300" s="89" t="s">
        <v>431</v>
      </c>
      <c r="G300" s="92">
        <v>0.1</v>
      </c>
      <c r="H300" s="92">
        <v>0.1</v>
      </c>
      <c r="I300" s="92">
        <v>0.0</v>
      </c>
      <c r="J300" s="91">
        <v>0.0</v>
      </c>
      <c r="K300" s="241" t="s">
        <v>1547</v>
      </c>
      <c r="L300" s="1"/>
      <c r="M300" s="242" t="s">
        <v>1548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0" customHeight="1">
      <c r="A301" s="1"/>
      <c r="B301" s="88">
        <v>138.0</v>
      </c>
      <c r="C301" s="88" t="s">
        <v>605</v>
      </c>
      <c r="D301" s="89" t="s">
        <v>625</v>
      </c>
      <c r="E301" s="88">
        <v>3.0</v>
      </c>
      <c r="F301" s="89" t="s">
        <v>750</v>
      </c>
      <c r="G301" s="92">
        <v>0.3</v>
      </c>
      <c r="H301" s="92">
        <v>0.3</v>
      </c>
      <c r="I301" s="92">
        <v>0.0</v>
      </c>
      <c r="J301" s="91">
        <v>0.0</v>
      </c>
      <c r="K301" s="241" t="s">
        <v>1549</v>
      </c>
      <c r="L301" s="1"/>
      <c r="M301" s="242" t="s">
        <v>1550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0" customHeight="1">
      <c r="A302" s="1"/>
      <c r="B302" s="88">
        <v>138.0</v>
      </c>
      <c r="C302" s="88" t="s">
        <v>605</v>
      </c>
      <c r="D302" s="89" t="s">
        <v>625</v>
      </c>
      <c r="E302" s="88">
        <v>4.0</v>
      </c>
      <c r="F302" s="89" t="s">
        <v>722</v>
      </c>
      <c r="G302" s="92">
        <v>0.29</v>
      </c>
      <c r="H302" s="92">
        <v>0.29</v>
      </c>
      <c r="I302" s="92">
        <v>0.0</v>
      </c>
      <c r="J302" s="91">
        <v>0.0</v>
      </c>
      <c r="K302" s="241" t="s">
        <v>1551</v>
      </c>
      <c r="L302" s="1"/>
      <c r="M302" s="242" t="s">
        <v>1552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0" customHeight="1">
      <c r="A303" s="1"/>
      <c r="B303" s="88">
        <v>139.0</v>
      </c>
      <c r="C303" s="88" t="s">
        <v>605</v>
      </c>
      <c r="D303" s="89" t="s">
        <v>754</v>
      </c>
      <c r="E303" s="88">
        <v>1.0</v>
      </c>
      <c r="F303" s="89" t="s">
        <v>562</v>
      </c>
      <c r="G303" s="92">
        <v>0.21</v>
      </c>
      <c r="H303" s="92">
        <v>0.21</v>
      </c>
      <c r="I303" s="92">
        <v>0.0</v>
      </c>
      <c r="J303" s="91">
        <v>0.0</v>
      </c>
      <c r="K303" s="241" t="s">
        <v>1553</v>
      </c>
      <c r="L303" s="1"/>
      <c r="M303" s="242" t="s">
        <v>1554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0" customHeight="1">
      <c r="A304" s="1"/>
      <c r="B304" s="88">
        <v>139.0</v>
      </c>
      <c r="C304" s="88" t="s">
        <v>605</v>
      </c>
      <c r="D304" s="89" t="s">
        <v>754</v>
      </c>
      <c r="E304" s="88">
        <v>2.0</v>
      </c>
      <c r="F304" s="89" t="s">
        <v>750</v>
      </c>
      <c r="G304" s="92">
        <v>0.3</v>
      </c>
      <c r="H304" s="92">
        <v>0.3</v>
      </c>
      <c r="I304" s="92">
        <v>0.0</v>
      </c>
      <c r="J304" s="91">
        <v>0.0</v>
      </c>
      <c r="K304" s="241" t="s">
        <v>1555</v>
      </c>
      <c r="L304" s="1"/>
      <c r="M304" s="242" t="s">
        <v>1556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0" customHeight="1">
      <c r="A305" s="1"/>
      <c r="B305" s="88">
        <v>139.0</v>
      </c>
      <c r="C305" s="88" t="s">
        <v>605</v>
      </c>
      <c r="D305" s="89" t="s">
        <v>754</v>
      </c>
      <c r="E305" s="88">
        <v>3.0</v>
      </c>
      <c r="F305" s="89" t="s">
        <v>722</v>
      </c>
      <c r="G305" s="92">
        <v>0.475</v>
      </c>
      <c r="H305" s="92">
        <v>0.475</v>
      </c>
      <c r="I305" s="92">
        <v>0.0</v>
      </c>
      <c r="J305" s="91">
        <v>0.0</v>
      </c>
      <c r="K305" s="241" t="s">
        <v>1557</v>
      </c>
      <c r="L305" s="1"/>
      <c r="M305" s="242" t="s">
        <v>1558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0" customHeight="1">
      <c r="A306" s="1"/>
      <c r="B306" s="88">
        <v>139.0</v>
      </c>
      <c r="C306" s="88" t="s">
        <v>605</v>
      </c>
      <c r="D306" s="89" t="s">
        <v>754</v>
      </c>
      <c r="E306" s="88">
        <v>4.0</v>
      </c>
      <c r="F306" s="89" t="s">
        <v>571</v>
      </c>
      <c r="G306" s="92">
        <v>0.01</v>
      </c>
      <c r="H306" s="92">
        <v>0.01</v>
      </c>
      <c r="I306" s="92">
        <v>0.0</v>
      </c>
      <c r="J306" s="91">
        <v>0.0</v>
      </c>
      <c r="K306" s="241" t="s">
        <v>1559</v>
      </c>
      <c r="L306" s="1"/>
      <c r="M306" s="242" t="s">
        <v>1560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0" customHeight="1">
      <c r="A307" s="1"/>
      <c r="B307" s="88">
        <v>139.0</v>
      </c>
      <c r="C307" s="88" t="s">
        <v>605</v>
      </c>
      <c r="D307" s="89" t="s">
        <v>754</v>
      </c>
      <c r="E307" s="88">
        <v>5.0</v>
      </c>
      <c r="F307" s="89" t="s">
        <v>576</v>
      </c>
      <c r="G307" s="92">
        <v>0.005</v>
      </c>
      <c r="H307" s="92">
        <v>0.005</v>
      </c>
      <c r="I307" s="92">
        <v>0.0</v>
      </c>
      <c r="J307" s="91">
        <v>0.0</v>
      </c>
      <c r="K307" s="241" t="s">
        <v>1561</v>
      </c>
      <c r="L307" s="1"/>
      <c r="M307" s="242" t="s">
        <v>1562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0" customHeight="1">
      <c r="A308" s="1"/>
      <c r="B308" s="88">
        <v>140.0</v>
      </c>
      <c r="C308" s="88" t="s">
        <v>605</v>
      </c>
      <c r="D308" s="89" t="s">
        <v>641</v>
      </c>
      <c r="E308" s="88">
        <v>1.0</v>
      </c>
      <c r="F308" s="89" t="s">
        <v>741</v>
      </c>
      <c r="G308" s="92">
        <v>0.7</v>
      </c>
      <c r="H308" s="92">
        <v>0.7</v>
      </c>
      <c r="I308" s="92">
        <v>0.0</v>
      </c>
      <c r="J308" s="91">
        <v>0.0</v>
      </c>
      <c r="K308" s="241" t="s">
        <v>1563</v>
      </c>
      <c r="L308" s="1"/>
      <c r="M308" s="242" t="s">
        <v>1564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0" customHeight="1">
      <c r="A309" s="1"/>
      <c r="B309" s="88">
        <v>140.0</v>
      </c>
      <c r="C309" s="88" t="s">
        <v>605</v>
      </c>
      <c r="D309" s="89" t="s">
        <v>641</v>
      </c>
      <c r="E309" s="88">
        <v>2.0</v>
      </c>
      <c r="F309" s="89" t="s">
        <v>750</v>
      </c>
      <c r="G309" s="92">
        <v>0.3</v>
      </c>
      <c r="H309" s="92">
        <v>0.3</v>
      </c>
      <c r="I309" s="92">
        <v>0.0</v>
      </c>
      <c r="J309" s="91">
        <v>0.0</v>
      </c>
      <c r="K309" s="241" t="s">
        <v>1565</v>
      </c>
      <c r="L309" s="1"/>
      <c r="M309" s="242" t="s">
        <v>1566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0" customHeight="1">
      <c r="A310" s="1"/>
      <c r="B310" s="88">
        <v>141.0</v>
      </c>
      <c r="C310" s="88" t="s">
        <v>605</v>
      </c>
      <c r="D310" s="89" t="s">
        <v>647</v>
      </c>
      <c r="E310" s="88">
        <v>1.0</v>
      </c>
      <c r="F310" s="89" t="s">
        <v>434</v>
      </c>
      <c r="G310" s="92">
        <v>0.7</v>
      </c>
      <c r="H310" s="92">
        <v>0.7</v>
      </c>
      <c r="I310" s="92">
        <v>0.0</v>
      </c>
      <c r="J310" s="91">
        <v>0.0</v>
      </c>
      <c r="K310" s="241" t="s">
        <v>1567</v>
      </c>
      <c r="L310" s="1"/>
      <c r="M310" s="242" t="s">
        <v>1568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0" customHeight="1">
      <c r="A311" s="1"/>
      <c r="B311" s="88">
        <v>141.0</v>
      </c>
      <c r="C311" s="88" t="s">
        <v>605</v>
      </c>
      <c r="D311" s="89" t="s">
        <v>647</v>
      </c>
      <c r="E311" s="88">
        <v>2.0</v>
      </c>
      <c r="F311" s="89" t="s">
        <v>750</v>
      </c>
      <c r="G311" s="92">
        <v>0.3</v>
      </c>
      <c r="H311" s="92">
        <v>0.3</v>
      </c>
      <c r="I311" s="92">
        <v>0.0</v>
      </c>
      <c r="J311" s="91">
        <v>0.0</v>
      </c>
      <c r="K311" s="241" t="s">
        <v>1569</v>
      </c>
      <c r="L311" s="1"/>
      <c r="M311" s="242" t="s">
        <v>1570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0" customHeight="1">
      <c r="A312" s="1"/>
      <c r="B312" s="88">
        <v>142.0</v>
      </c>
      <c r="C312" s="88" t="s">
        <v>605</v>
      </c>
      <c r="D312" s="89" t="s">
        <v>646</v>
      </c>
      <c r="E312" s="88">
        <v>1.0</v>
      </c>
      <c r="F312" s="89" t="s">
        <v>436</v>
      </c>
      <c r="G312" s="92">
        <v>0.7</v>
      </c>
      <c r="H312" s="92">
        <v>0.7</v>
      </c>
      <c r="I312" s="92">
        <v>0.0</v>
      </c>
      <c r="J312" s="91">
        <v>0.0</v>
      </c>
      <c r="K312" s="241" t="s">
        <v>1571</v>
      </c>
      <c r="L312" s="1"/>
      <c r="M312" s="242" t="s">
        <v>1572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0" customHeight="1">
      <c r="A313" s="1"/>
      <c r="B313" s="88">
        <v>142.0</v>
      </c>
      <c r="C313" s="88" t="s">
        <v>605</v>
      </c>
      <c r="D313" s="89" t="s">
        <v>646</v>
      </c>
      <c r="E313" s="88">
        <v>2.0</v>
      </c>
      <c r="F313" s="89" t="s">
        <v>750</v>
      </c>
      <c r="G313" s="92">
        <v>0.3</v>
      </c>
      <c r="H313" s="92">
        <v>0.3</v>
      </c>
      <c r="I313" s="92">
        <v>0.0</v>
      </c>
      <c r="J313" s="91">
        <v>0.0</v>
      </c>
      <c r="K313" s="241" t="s">
        <v>1573</v>
      </c>
      <c r="L313" s="1"/>
      <c r="M313" s="242" t="s">
        <v>1574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0" customHeight="1">
      <c r="A314" s="1"/>
      <c r="B314" s="88">
        <v>143.0</v>
      </c>
      <c r="C314" s="88" t="s">
        <v>605</v>
      </c>
      <c r="D314" s="89" t="s">
        <v>629</v>
      </c>
      <c r="E314" s="88">
        <v>1.0</v>
      </c>
      <c r="F314" s="89" t="s">
        <v>775</v>
      </c>
      <c r="G314" s="92">
        <v>0.7</v>
      </c>
      <c r="H314" s="92">
        <v>0.7</v>
      </c>
      <c r="I314" s="92">
        <v>0.0</v>
      </c>
      <c r="J314" s="91">
        <v>0.0</v>
      </c>
      <c r="K314" s="241" t="s">
        <v>1575</v>
      </c>
      <c r="L314" s="1"/>
      <c r="M314" s="242" t="s">
        <v>1576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0" customHeight="1">
      <c r="A315" s="1"/>
      <c r="B315" s="88">
        <v>143.0</v>
      </c>
      <c r="C315" s="88" t="s">
        <v>605</v>
      </c>
      <c r="D315" s="89" t="s">
        <v>629</v>
      </c>
      <c r="E315" s="88">
        <v>2.0</v>
      </c>
      <c r="F315" s="89" t="s">
        <v>750</v>
      </c>
      <c r="G315" s="92">
        <v>0.3</v>
      </c>
      <c r="H315" s="92">
        <v>0.3</v>
      </c>
      <c r="I315" s="92">
        <v>0.0</v>
      </c>
      <c r="J315" s="91">
        <v>0.0</v>
      </c>
      <c r="K315" s="241" t="s">
        <v>1577</v>
      </c>
      <c r="L315" s="1"/>
      <c r="M315" s="242" t="s">
        <v>1578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0" customHeight="1">
      <c r="A316" s="1"/>
      <c r="B316" s="88">
        <v>144.0</v>
      </c>
      <c r="C316" s="88" t="s">
        <v>605</v>
      </c>
      <c r="D316" s="89" t="s">
        <v>620</v>
      </c>
      <c r="E316" s="88">
        <v>1.0</v>
      </c>
      <c r="F316" s="89" t="s">
        <v>769</v>
      </c>
      <c r="G316" s="92">
        <v>0.65</v>
      </c>
      <c r="H316" s="92">
        <v>0.65</v>
      </c>
      <c r="I316" s="92">
        <v>0.0</v>
      </c>
      <c r="J316" s="91">
        <v>0.0</v>
      </c>
      <c r="K316" s="241" t="s">
        <v>1579</v>
      </c>
      <c r="L316" s="1"/>
      <c r="M316" s="242" t="s">
        <v>1580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0" customHeight="1">
      <c r="A317" s="1"/>
      <c r="B317" s="88">
        <v>144.0</v>
      </c>
      <c r="C317" s="88" t="s">
        <v>605</v>
      </c>
      <c r="D317" s="89" t="s">
        <v>620</v>
      </c>
      <c r="E317" s="88">
        <v>2.0</v>
      </c>
      <c r="F317" s="89" t="s">
        <v>570</v>
      </c>
      <c r="G317" s="92">
        <v>0.25</v>
      </c>
      <c r="H317" s="92">
        <v>0.25</v>
      </c>
      <c r="I317" s="92">
        <v>0.0</v>
      </c>
      <c r="J317" s="91">
        <v>0.0</v>
      </c>
      <c r="K317" s="241" t="s">
        <v>1581</v>
      </c>
      <c r="L317" s="1"/>
      <c r="M317" s="242" t="s">
        <v>1582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0" customHeight="1">
      <c r="A318" s="1"/>
      <c r="B318" s="88">
        <v>144.0</v>
      </c>
      <c r="C318" s="88" t="s">
        <v>605</v>
      </c>
      <c r="D318" s="89" t="s">
        <v>620</v>
      </c>
      <c r="E318" s="88">
        <v>3.0</v>
      </c>
      <c r="F318" s="89" t="s">
        <v>579</v>
      </c>
      <c r="G318" s="92">
        <v>0.08</v>
      </c>
      <c r="H318" s="92">
        <v>0.08</v>
      </c>
      <c r="I318" s="92">
        <v>0.0</v>
      </c>
      <c r="J318" s="91">
        <v>0.0</v>
      </c>
      <c r="K318" s="241" t="s">
        <v>1583</v>
      </c>
      <c r="L318" s="1"/>
      <c r="M318" s="242" t="s">
        <v>1584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0" customHeight="1">
      <c r="A319" s="1"/>
      <c r="B319" s="88">
        <v>144.0</v>
      </c>
      <c r="C319" s="88" t="s">
        <v>605</v>
      </c>
      <c r="D319" s="89" t="s">
        <v>620</v>
      </c>
      <c r="E319" s="88">
        <v>4.0</v>
      </c>
      <c r="F319" s="89" t="s">
        <v>593</v>
      </c>
      <c r="G319" s="92">
        <v>0.02</v>
      </c>
      <c r="H319" s="92">
        <v>0.02</v>
      </c>
      <c r="I319" s="92">
        <v>0.0</v>
      </c>
      <c r="J319" s="91">
        <v>0.0</v>
      </c>
      <c r="K319" s="241" t="s">
        <v>1585</v>
      </c>
      <c r="L319" s="1"/>
      <c r="M319" s="242" t="s">
        <v>1586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0" customHeight="1">
      <c r="A320" s="1"/>
      <c r="B320" s="88">
        <v>145.0</v>
      </c>
      <c r="C320" s="88" t="s">
        <v>605</v>
      </c>
      <c r="D320" s="89" t="s">
        <v>630</v>
      </c>
      <c r="E320" s="88">
        <v>1.0</v>
      </c>
      <c r="F320" s="89" t="s">
        <v>431</v>
      </c>
      <c r="G320" s="92">
        <v>0.65</v>
      </c>
      <c r="H320" s="92">
        <v>0.65</v>
      </c>
      <c r="I320" s="92">
        <v>0.0</v>
      </c>
      <c r="J320" s="91">
        <v>0.0</v>
      </c>
      <c r="K320" s="241" t="s">
        <v>1587</v>
      </c>
      <c r="L320" s="1"/>
      <c r="M320" s="242" t="s">
        <v>1588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0" customHeight="1">
      <c r="A321" s="1"/>
      <c r="B321" s="88">
        <v>145.0</v>
      </c>
      <c r="C321" s="88" t="s">
        <v>605</v>
      </c>
      <c r="D321" s="89" t="s">
        <v>630</v>
      </c>
      <c r="E321" s="88">
        <v>2.0</v>
      </c>
      <c r="F321" s="89" t="s">
        <v>570</v>
      </c>
      <c r="G321" s="92">
        <v>0.25</v>
      </c>
      <c r="H321" s="92">
        <v>0.25</v>
      </c>
      <c r="I321" s="92">
        <v>0.0</v>
      </c>
      <c r="J321" s="91">
        <v>0.0</v>
      </c>
      <c r="K321" s="241" t="s">
        <v>1589</v>
      </c>
      <c r="L321" s="1"/>
      <c r="M321" s="242" t="s">
        <v>1590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0" customHeight="1">
      <c r="A322" s="1"/>
      <c r="B322" s="88">
        <v>145.0</v>
      </c>
      <c r="C322" s="88" t="s">
        <v>605</v>
      </c>
      <c r="D322" s="89" t="s">
        <v>630</v>
      </c>
      <c r="E322" s="88">
        <v>3.0</v>
      </c>
      <c r="F322" s="89" t="s">
        <v>579</v>
      </c>
      <c r="G322" s="92">
        <v>0.08</v>
      </c>
      <c r="H322" s="92">
        <v>0.08</v>
      </c>
      <c r="I322" s="92">
        <v>0.0</v>
      </c>
      <c r="J322" s="91">
        <v>0.0</v>
      </c>
      <c r="K322" s="241" t="s">
        <v>1591</v>
      </c>
      <c r="L322" s="1"/>
      <c r="M322" s="242" t="s">
        <v>1592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0" customHeight="1">
      <c r="A323" s="1"/>
      <c r="B323" s="88">
        <v>145.0</v>
      </c>
      <c r="C323" s="88" t="s">
        <v>605</v>
      </c>
      <c r="D323" s="89" t="s">
        <v>630</v>
      </c>
      <c r="E323" s="88">
        <v>4.0</v>
      </c>
      <c r="F323" s="89" t="s">
        <v>593</v>
      </c>
      <c r="G323" s="92">
        <v>0.02</v>
      </c>
      <c r="H323" s="92">
        <v>0.02</v>
      </c>
      <c r="I323" s="92">
        <v>0.0</v>
      </c>
      <c r="J323" s="91">
        <v>0.0</v>
      </c>
      <c r="K323" s="241" t="s">
        <v>1593</v>
      </c>
      <c r="L323" s="1"/>
      <c r="M323" s="242" t="s">
        <v>1594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0" customHeight="1">
      <c r="A324" s="1"/>
      <c r="B324" s="88">
        <v>146.0</v>
      </c>
      <c r="C324" s="88" t="s">
        <v>605</v>
      </c>
      <c r="D324" s="89" t="s">
        <v>384</v>
      </c>
      <c r="E324" s="88">
        <v>1.0</v>
      </c>
      <c r="F324" s="89" t="s">
        <v>774</v>
      </c>
      <c r="G324" s="92">
        <v>0.65</v>
      </c>
      <c r="H324" s="92">
        <v>0.65</v>
      </c>
      <c r="I324" s="92">
        <v>0.0</v>
      </c>
      <c r="J324" s="91">
        <v>0.0</v>
      </c>
      <c r="K324" s="241" t="s">
        <v>1595</v>
      </c>
      <c r="L324" s="1"/>
      <c r="M324" s="242" t="s">
        <v>1596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0" customHeight="1">
      <c r="A325" s="1"/>
      <c r="B325" s="88">
        <v>146.0</v>
      </c>
      <c r="C325" s="88" t="s">
        <v>605</v>
      </c>
      <c r="D325" s="89" t="s">
        <v>384</v>
      </c>
      <c r="E325" s="88">
        <v>2.0</v>
      </c>
      <c r="F325" s="89" t="s">
        <v>570</v>
      </c>
      <c r="G325" s="92">
        <v>0.25</v>
      </c>
      <c r="H325" s="92">
        <v>0.25</v>
      </c>
      <c r="I325" s="92">
        <v>0.0</v>
      </c>
      <c r="J325" s="91">
        <v>0.0</v>
      </c>
      <c r="K325" s="241" t="s">
        <v>1597</v>
      </c>
      <c r="L325" s="1"/>
      <c r="M325" s="242" t="s">
        <v>1598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0" customHeight="1">
      <c r="A326" s="1"/>
      <c r="B326" s="88">
        <v>146.0</v>
      </c>
      <c r="C326" s="88" t="s">
        <v>605</v>
      </c>
      <c r="D326" s="89" t="s">
        <v>384</v>
      </c>
      <c r="E326" s="88">
        <v>3.0</v>
      </c>
      <c r="F326" s="89" t="s">
        <v>579</v>
      </c>
      <c r="G326" s="92">
        <v>0.08</v>
      </c>
      <c r="H326" s="92">
        <v>0.08</v>
      </c>
      <c r="I326" s="92">
        <v>0.0</v>
      </c>
      <c r="J326" s="91">
        <v>0.0</v>
      </c>
      <c r="K326" s="241" t="s">
        <v>1599</v>
      </c>
      <c r="L326" s="1"/>
      <c r="M326" s="242" t="s">
        <v>1600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0" customHeight="1">
      <c r="A327" s="1"/>
      <c r="B327" s="88">
        <v>147.0</v>
      </c>
      <c r="C327" s="88" t="s">
        <v>605</v>
      </c>
      <c r="D327" s="89" t="s">
        <v>642</v>
      </c>
      <c r="E327" s="88">
        <v>1.0</v>
      </c>
      <c r="F327" s="89" t="s">
        <v>740</v>
      </c>
      <c r="G327" s="92">
        <v>0.55</v>
      </c>
      <c r="H327" s="92">
        <v>0.55</v>
      </c>
      <c r="I327" s="92">
        <v>0.0</v>
      </c>
      <c r="J327" s="91">
        <v>0.0</v>
      </c>
      <c r="K327" s="241" t="s">
        <v>1601</v>
      </c>
      <c r="L327" s="1"/>
      <c r="M327" s="242" t="s">
        <v>1602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0" customHeight="1">
      <c r="A328" s="1"/>
      <c r="B328" s="88">
        <v>147.0</v>
      </c>
      <c r="C328" s="88" t="s">
        <v>605</v>
      </c>
      <c r="D328" s="89" t="s">
        <v>642</v>
      </c>
      <c r="E328" s="88">
        <v>2.0</v>
      </c>
      <c r="F328" s="89" t="s">
        <v>593</v>
      </c>
      <c r="G328" s="92">
        <v>0.0</v>
      </c>
      <c r="H328" s="92">
        <v>0.0</v>
      </c>
      <c r="I328" s="92">
        <v>0.0</v>
      </c>
      <c r="J328" s="91">
        <v>0.0</v>
      </c>
      <c r="K328" s="241" t="s">
        <v>1603</v>
      </c>
      <c r="L328" s="1"/>
      <c r="M328" s="242" t="s">
        <v>1604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0" customHeight="1">
      <c r="A329" s="1"/>
      <c r="B329" s="88">
        <v>147.0</v>
      </c>
      <c r="C329" s="88" t="s">
        <v>605</v>
      </c>
      <c r="D329" s="89" t="s">
        <v>642</v>
      </c>
      <c r="E329" s="88">
        <v>3.0</v>
      </c>
      <c r="F329" s="89" t="s">
        <v>570</v>
      </c>
      <c r="G329" s="92">
        <v>0.28</v>
      </c>
      <c r="H329" s="92">
        <v>0.28</v>
      </c>
      <c r="I329" s="92">
        <v>0.0</v>
      </c>
      <c r="J329" s="91">
        <v>0.0</v>
      </c>
      <c r="K329" s="241" t="s">
        <v>1605</v>
      </c>
      <c r="L329" s="1"/>
      <c r="M329" s="242" t="s">
        <v>1606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0" customHeight="1">
      <c r="A330" s="1"/>
      <c r="B330" s="88">
        <v>147.0</v>
      </c>
      <c r="C330" s="88" t="s">
        <v>605</v>
      </c>
      <c r="D330" s="89" t="s">
        <v>642</v>
      </c>
      <c r="E330" s="88">
        <v>4.0</v>
      </c>
      <c r="F330" s="89" t="s">
        <v>579</v>
      </c>
      <c r="G330" s="92">
        <v>0.0</v>
      </c>
      <c r="H330" s="92">
        <v>0.0</v>
      </c>
      <c r="I330" s="92">
        <v>0.0</v>
      </c>
      <c r="J330" s="91">
        <v>0.0</v>
      </c>
      <c r="K330" s="241" t="s">
        <v>1607</v>
      </c>
      <c r="L330" s="1"/>
      <c r="M330" s="242" t="s">
        <v>1608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0" customHeight="1">
      <c r="A331" s="1"/>
      <c r="B331" s="88">
        <v>147.0</v>
      </c>
      <c r="C331" s="88" t="s">
        <v>605</v>
      </c>
      <c r="D331" s="89" t="s">
        <v>642</v>
      </c>
      <c r="E331" s="88">
        <v>5.0</v>
      </c>
      <c r="F331" s="89" t="s">
        <v>594</v>
      </c>
      <c r="G331" s="92">
        <v>0.17</v>
      </c>
      <c r="H331" s="92">
        <v>0.17</v>
      </c>
      <c r="I331" s="92">
        <v>0.0</v>
      </c>
      <c r="J331" s="91">
        <v>0.0</v>
      </c>
      <c r="K331" s="241" t="s">
        <v>1609</v>
      </c>
      <c r="L331" s="1"/>
      <c r="M331" s="242" t="s">
        <v>1610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0" customHeight="1">
      <c r="A332" s="1"/>
      <c r="B332" s="88">
        <v>148.0</v>
      </c>
      <c r="C332" s="88" t="s">
        <v>605</v>
      </c>
      <c r="D332" s="89" t="s">
        <v>606</v>
      </c>
      <c r="E332" s="88">
        <v>1.0</v>
      </c>
      <c r="F332" s="89" t="s">
        <v>762</v>
      </c>
      <c r="G332" s="92">
        <v>0.75</v>
      </c>
      <c r="H332" s="92">
        <v>0.75</v>
      </c>
      <c r="I332" s="92">
        <v>0.0</v>
      </c>
      <c r="J332" s="91">
        <v>0.0</v>
      </c>
      <c r="K332" s="241" t="s">
        <v>1611</v>
      </c>
      <c r="L332" s="1"/>
      <c r="M332" s="242" t="s">
        <v>1612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0" customHeight="1">
      <c r="A333" s="1"/>
      <c r="B333" s="88">
        <v>148.0</v>
      </c>
      <c r="C333" s="88" t="s">
        <v>605</v>
      </c>
      <c r="D333" s="89" t="s">
        <v>606</v>
      </c>
      <c r="E333" s="88">
        <v>2.0</v>
      </c>
      <c r="F333" s="89" t="s">
        <v>587</v>
      </c>
      <c r="G333" s="92">
        <v>0.2</v>
      </c>
      <c r="H333" s="92">
        <v>0.2</v>
      </c>
      <c r="I333" s="92">
        <v>0.0</v>
      </c>
      <c r="J333" s="91">
        <v>0.0</v>
      </c>
      <c r="K333" s="241" t="s">
        <v>1613</v>
      </c>
      <c r="L333" s="1"/>
      <c r="M333" s="242" t="s">
        <v>1614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0" customHeight="1">
      <c r="A334" s="1"/>
      <c r="B334" s="88">
        <v>148.0</v>
      </c>
      <c r="C334" s="88" t="s">
        <v>605</v>
      </c>
      <c r="D334" s="89" t="s">
        <v>606</v>
      </c>
      <c r="E334" s="88">
        <v>3.0</v>
      </c>
      <c r="F334" s="89" t="s">
        <v>594</v>
      </c>
      <c r="G334" s="92">
        <v>0.05</v>
      </c>
      <c r="H334" s="92">
        <v>0.05</v>
      </c>
      <c r="I334" s="92">
        <v>0.0</v>
      </c>
      <c r="J334" s="91">
        <v>0.0</v>
      </c>
      <c r="K334" s="241" t="s">
        <v>1615</v>
      </c>
      <c r="L334" s="1"/>
      <c r="M334" s="242" t="s">
        <v>1616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0" customHeight="1">
      <c r="A335" s="1"/>
      <c r="B335" s="88">
        <v>149.0</v>
      </c>
      <c r="C335" s="88" t="s">
        <v>605</v>
      </c>
      <c r="D335" s="89" t="s">
        <v>762</v>
      </c>
      <c r="E335" s="88">
        <v>1.0</v>
      </c>
      <c r="F335" s="89" t="s">
        <v>587</v>
      </c>
      <c r="G335" s="92">
        <v>0.35</v>
      </c>
      <c r="H335" s="92">
        <v>0.35</v>
      </c>
      <c r="I335" s="92">
        <v>0.0</v>
      </c>
      <c r="J335" s="91">
        <v>0.0</v>
      </c>
      <c r="K335" s="241" t="s">
        <v>1617</v>
      </c>
      <c r="L335" s="1"/>
      <c r="M335" s="242" t="s">
        <v>1618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0" customHeight="1">
      <c r="A336" s="1"/>
      <c r="B336" s="243">
        <v>149.0</v>
      </c>
      <c r="C336" s="243" t="s">
        <v>605</v>
      </c>
      <c r="D336" s="244" t="s">
        <v>762</v>
      </c>
      <c r="E336" s="243">
        <v>2.0</v>
      </c>
      <c r="F336" s="244" t="s">
        <v>583</v>
      </c>
      <c r="G336" s="245">
        <v>0.272</v>
      </c>
      <c r="H336" s="245">
        <v>0.272</v>
      </c>
      <c r="I336" s="245">
        <v>0.0</v>
      </c>
      <c r="J336" s="246">
        <v>0.0</v>
      </c>
      <c r="K336" s="247" t="s">
        <v>1619</v>
      </c>
      <c r="L336" s="248"/>
      <c r="M336" s="242" t="s">
        <v>1620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0" customHeight="1">
      <c r="A337" s="1"/>
      <c r="B337" s="88">
        <v>149.0</v>
      </c>
      <c r="C337" s="88" t="s">
        <v>605</v>
      </c>
      <c r="D337" s="89" t="s">
        <v>762</v>
      </c>
      <c r="E337" s="88">
        <v>3.0</v>
      </c>
      <c r="F337" s="89" t="s">
        <v>584</v>
      </c>
      <c r="G337" s="92">
        <v>0.09</v>
      </c>
      <c r="H337" s="92">
        <v>0.09</v>
      </c>
      <c r="I337" s="92">
        <v>0.0</v>
      </c>
      <c r="J337" s="91">
        <v>0.0</v>
      </c>
      <c r="K337" s="241" t="s">
        <v>1621</v>
      </c>
      <c r="L337" s="1"/>
      <c r="M337" s="242" t="s">
        <v>1622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0" customHeight="1">
      <c r="A338" s="1"/>
      <c r="B338" s="88">
        <v>149.0</v>
      </c>
      <c r="C338" s="88" t="s">
        <v>605</v>
      </c>
      <c r="D338" s="89" t="s">
        <v>762</v>
      </c>
      <c r="E338" s="88">
        <v>4.0</v>
      </c>
      <c r="F338" s="89" t="s">
        <v>585</v>
      </c>
      <c r="G338" s="92">
        <v>0.018</v>
      </c>
      <c r="H338" s="92">
        <v>0.018</v>
      </c>
      <c r="I338" s="92">
        <v>0.0</v>
      </c>
      <c r="J338" s="91">
        <v>0.0</v>
      </c>
      <c r="K338" s="241" t="s">
        <v>1623</v>
      </c>
      <c r="L338" s="1"/>
      <c r="M338" s="242" t="s">
        <v>1624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0" customHeight="1">
      <c r="A339" s="1"/>
      <c r="B339" s="88">
        <v>149.0</v>
      </c>
      <c r="C339" s="88" t="s">
        <v>605</v>
      </c>
      <c r="D339" s="89" t="s">
        <v>762</v>
      </c>
      <c r="E339" s="88">
        <v>5.0</v>
      </c>
      <c r="F339" s="89" t="s">
        <v>537</v>
      </c>
      <c r="G339" s="92">
        <v>0.024</v>
      </c>
      <c r="H339" s="92">
        <v>0.024</v>
      </c>
      <c r="I339" s="92">
        <v>0.0</v>
      </c>
      <c r="J339" s="91">
        <v>0.0</v>
      </c>
      <c r="K339" s="241" t="s">
        <v>1625</v>
      </c>
      <c r="L339" s="1"/>
      <c r="M339" s="242" t="s">
        <v>1626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0" customHeight="1">
      <c r="A340" s="1"/>
      <c r="B340" s="88">
        <v>149.0</v>
      </c>
      <c r="C340" s="88" t="s">
        <v>605</v>
      </c>
      <c r="D340" s="89" t="s">
        <v>762</v>
      </c>
      <c r="E340" s="88">
        <v>6.0</v>
      </c>
      <c r="F340" s="89" t="s">
        <v>541</v>
      </c>
      <c r="G340" s="92">
        <v>0.006</v>
      </c>
      <c r="H340" s="92">
        <v>0.006</v>
      </c>
      <c r="I340" s="92">
        <v>0.0</v>
      </c>
      <c r="J340" s="91">
        <v>0.0</v>
      </c>
      <c r="K340" s="241" t="s">
        <v>1627</v>
      </c>
      <c r="L340" s="1"/>
      <c r="M340" s="242" t="s">
        <v>1628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0" customHeight="1">
      <c r="A341" s="1"/>
      <c r="B341" s="88">
        <v>149.0</v>
      </c>
      <c r="C341" s="88" t="s">
        <v>605</v>
      </c>
      <c r="D341" s="89" t="s">
        <v>762</v>
      </c>
      <c r="E341" s="88">
        <v>7.0</v>
      </c>
      <c r="F341" s="89" t="s">
        <v>551</v>
      </c>
      <c r="G341" s="92">
        <v>0.24</v>
      </c>
      <c r="H341" s="92">
        <v>0.24</v>
      </c>
      <c r="I341" s="92">
        <v>0.0</v>
      </c>
      <c r="J341" s="91">
        <v>0.0</v>
      </c>
      <c r="K341" s="241" t="s">
        <v>1629</v>
      </c>
      <c r="L341" s="1"/>
      <c r="M341" s="242" t="s">
        <v>1630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0" customHeight="1">
      <c r="A342" s="1"/>
      <c r="B342" s="88">
        <v>151.0</v>
      </c>
      <c r="C342" s="88" t="s">
        <v>730</v>
      </c>
      <c r="D342" s="89" t="s">
        <v>732</v>
      </c>
      <c r="E342" s="88">
        <v>1.0</v>
      </c>
      <c r="F342" s="89" t="s">
        <v>767</v>
      </c>
      <c r="G342" s="92">
        <v>0.9</v>
      </c>
      <c r="H342" s="92">
        <v>0.9</v>
      </c>
      <c r="I342" s="92">
        <v>0.0</v>
      </c>
      <c r="J342" s="91">
        <v>0.0</v>
      </c>
      <c r="K342" s="241" t="s">
        <v>1631</v>
      </c>
      <c r="L342" s="1" t="s">
        <v>733</v>
      </c>
      <c r="M342" s="242" t="s">
        <v>1632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0" customHeight="1">
      <c r="A343" s="1"/>
      <c r="B343" s="88">
        <v>151.0</v>
      </c>
      <c r="C343" s="88" t="s">
        <v>730</v>
      </c>
      <c r="D343" s="89" t="s">
        <v>732</v>
      </c>
      <c r="E343" s="88">
        <v>2.0</v>
      </c>
      <c r="F343" s="89" t="s">
        <v>593</v>
      </c>
      <c r="G343" s="92">
        <v>0.04</v>
      </c>
      <c r="H343" s="92">
        <v>0.04</v>
      </c>
      <c r="I343" s="92">
        <v>0.0</v>
      </c>
      <c r="J343" s="91">
        <v>0.0</v>
      </c>
      <c r="K343" s="241" t="s">
        <v>1633</v>
      </c>
      <c r="L343" s="1" t="s">
        <v>733</v>
      </c>
      <c r="M343" s="242" t="s">
        <v>1634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0" customHeight="1">
      <c r="A344" s="1"/>
      <c r="B344" s="88">
        <v>151.0</v>
      </c>
      <c r="C344" s="88" t="s">
        <v>730</v>
      </c>
      <c r="D344" s="89" t="s">
        <v>732</v>
      </c>
      <c r="E344" s="88">
        <v>3.0</v>
      </c>
      <c r="F344" s="89" t="s">
        <v>771</v>
      </c>
      <c r="G344" s="92">
        <v>0.0</v>
      </c>
      <c r="H344" s="92">
        <v>0.0</v>
      </c>
      <c r="I344" s="92">
        <v>0.0</v>
      </c>
      <c r="J344" s="91">
        <v>0.0</v>
      </c>
      <c r="K344" s="241" t="s">
        <v>1635</v>
      </c>
      <c r="L344" s="1" t="s">
        <v>733</v>
      </c>
      <c r="M344" s="242" t="s">
        <v>1636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0" customHeight="1">
      <c r="A345" s="1"/>
      <c r="B345" s="88">
        <v>151.0</v>
      </c>
      <c r="C345" s="88" t="s">
        <v>730</v>
      </c>
      <c r="D345" s="89" t="s">
        <v>732</v>
      </c>
      <c r="E345" s="88">
        <v>4.0</v>
      </c>
      <c r="F345" s="89" t="s">
        <v>757</v>
      </c>
      <c r="G345" s="92">
        <v>0.06</v>
      </c>
      <c r="H345" s="92">
        <v>0.06</v>
      </c>
      <c r="I345" s="92">
        <v>0.0</v>
      </c>
      <c r="J345" s="91">
        <v>0.0</v>
      </c>
      <c r="K345" s="241" t="s">
        <v>1637</v>
      </c>
      <c r="L345" s="1" t="s">
        <v>733</v>
      </c>
      <c r="M345" s="242" t="s">
        <v>1638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0" customHeight="1">
      <c r="A346" s="1"/>
      <c r="B346" s="88">
        <v>151.0</v>
      </c>
      <c r="C346" s="88" t="s">
        <v>730</v>
      </c>
      <c r="D346" s="89" t="s">
        <v>732</v>
      </c>
      <c r="E346" s="88">
        <v>5.0</v>
      </c>
      <c r="F346" s="89" t="s">
        <v>520</v>
      </c>
      <c r="G346" s="92">
        <v>0.0</v>
      </c>
      <c r="H346" s="92">
        <v>0.0</v>
      </c>
      <c r="I346" s="92">
        <v>0.005586</v>
      </c>
      <c r="J346" s="91">
        <v>0.0</v>
      </c>
      <c r="K346" s="241" t="s">
        <v>1639</v>
      </c>
      <c r="L346" s="1" t="s">
        <v>733</v>
      </c>
      <c r="M346" s="242" t="s">
        <v>1640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0" customHeight="1">
      <c r="A347" s="1"/>
      <c r="B347" s="88">
        <v>151.0</v>
      </c>
      <c r="C347" s="88" t="s">
        <v>730</v>
      </c>
      <c r="D347" s="89" t="s">
        <v>732</v>
      </c>
      <c r="E347" s="88">
        <v>6.0</v>
      </c>
      <c r="F347" s="89" t="s">
        <v>522</v>
      </c>
      <c r="G347" s="92">
        <v>0.0</v>
      </c>
      <c r="H347" s="92">
        <v>0.0</v>
      </c>
      <c r="I347" s="92">
        <v>0.003448</v>
      </c>
      <c r="J347" s="91">
        <v>0.0</v>
      </c>
      <c r="K347" s="241" t="s">
        <v>1641</v>
      </c>
      <c r="L347" s="1" t="s">
        <v>733</v>
      </c>
      <c r="M347" s="242" t="s">
        <v>1642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0" customHeight="1">
      <c r="A348" s="1"/>
      <c r="B348" s="88">
        <v>152.0</v>
      </c>
      <c r="C348" s="88" t="s">
        <v>730</v>
      </c>
      <c r="D348" s="89" t="s">
        <v>385</v>
      </c>
      <c r="E348" s="88">
        <v>1.0</v>
      </c>
      <c r="F348" s="89" t="s">
        <v>771</v>
      </c>
      <c r="G348" s="92">
        <v>0.9</v>
      </c>
      <c r="H348" s="92">
        <v>0.9</v>
      </c>
      <c r="I348" s="92">
        <v>0.0</v>
      </c>
      <c r="J348" s="91">
        <v>0.0</v>
      </c>
      <c r="K348" s="241" t="s">
        <v>1643</v>
      </c>
      <c r="L348" s="1" t="s">
        <v>735</v>
      </c>
      <c r="M348" s="242" t="s">
        <v>1644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0" customHeight="1">
      <c r="A349" s="1"/>
      <c r="B349" s="88">
        <v>152.0</v>
      </c>
      <c r="C349" s="88" t="s">
        <v>730</v>
      </c>
      <c r="D349" s="89" t="s">
        <v>385</v>
      </c>
      <c r="E349" s="88">
        <v>2.0</v>
      </c>
      <c r="F349" s="89" t="s">
        <v>593</v>
      </c>
      <c r="G349" s="92">
        <v>0.07</v>
      </c>
      <c r="H349" s="92">
        <v>0.07</v>
      </c>
      <c r="I349" s="92">
        <v>0.0</v>
      </c>
      <c r="J349" s="91">
        <v>0.0</v>
      </c>
      <c r="K349" s="241" t="s">
        <v>1645</v>
      </c>
      <c r="L349" s="1" t="s">
        <v>735</v>
      </c>
      <c r="M349" s="242" t="s">
        <v>1646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0" customHeight="1">
      <c r="A350" s="1"/>
      <c r="B350" s="88">
        <v>152.0</v>
      </c>
      <c r="C350" s="88" t="s">
        <v>730</v>
      </c>
      <c r="D350" s="89" t="s">
        <v>385</v>
      </c>
      <c r="E350" s="88">
        <v>3.0</v>
      </c>
      <c r="F350" s="89" t="s">
        <v>786</v>
      </c>
      <c r="G350" s="92">
        <v>0.01</v>
      </c>
      <c r="H350" s="92">
        <v>0.01</v>
      </c>
      <c r="I350" s="92">
        <v>0.0</v>
      </c>
      <c r="J350" s="91">
        <v>0.0</v>
      </c>
      <c r="K350" s="241" t="s">
        <v>1647</v>
      </c>
      <c r="L350" s="1" t="s">
        <v>735</v>
      </c>
      <c r="M350" s="242" t="s">
        <v>1648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0" customHeight="1">
      <c r="A351" s="1"/>
      <c r="B351" s="88">
        <v>152.0</v>
      </c>
      <c r="C351" s="88" t="s">
        <v>730</v>
      </c>
      <c r="D351" s="89" t="s">
        <v>385</v>
      </c>
      <c r="E351" s="88">
        <v>4.0</v>
      </c>
      <c r="F351" s="89" t="s">
        <v>757</v>
      </c>
      <c r="G351" s="92">
        <v>0.03</v>
      </c>
      <c r="H351" s="92">
        <v>0.03</v>
      </c>
      <c r="I351" s="92">
        <v>0.0</v>
      </c>
      <c r="J351" s="91">
        <v>0.0</v>
      </c>
      <c r="K351" s="241" t="s">
        <v>1649</v>
      </c>
      <c r="L351" s="1" t="s">
        <v>735</v>
      </c>
      <c r="M351" s="242" t="s">
        <v>1650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0" customHeight="1">
      <c r="A352" s="1"/>
      <c r="B352" s="88">
        <v>152.0</v>
      </c>
      <c r="C352" s="88" t="s">
        <v>730</v>
      </c>
      <c r="D352" s="89" t="s">
        <v>385</v>
      </c>
      <c r="E352" s="88">
        <v>5.0</v>
      </c>
      <c r="F352" s="89" t="s">
        <v>520</v>
      </c>
      <c r="G352" s="92">
        <v>0.0</v>
      </c>
      <c r="H352" s="92">
        <v>0.0</v>
      </c>
      <c r="I352" s="92">
        <v>0.005776</v>
      </c>
      <c r="J352" s="91">
        <v>0.0</v>
      </c>
      <c r="K352" s="241" t="s">
        <v>1651</v>
      </c>
      <c r="L352" s="1" t="s">
        <v>735</v>
      </c>
      <c r="M352" s="242" t="s">
        <v>1652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0" customHeight="1">
      <c r="A353" s="1"/>
      <c r="B353" s="88">
        <v>152.0</v>
      </c>
      <c r="C353" s="88" t="s">
        <v>730</v>
      </c>
      <c r="D353" s="89" t="s">
        <v>385</v>
      </c>
      <c r="E353" s="88">
        <v>6.0</v>
      </c>
      <c r="F353" s="89" t="s">
        <v>522</v>
      </c>
      <c r="G353" s="92">
        <v>0.0</v>
      </c>
      <c r="H353" s="92">
        <v>0.0</v>
      </c>
      <c r="I353" s="92">
        <v>0.001828</v>
      </c>
      <c r="J353" s="91">
        <v>0.0</v>
      </c>
      <c r="K353" s="241" t="s">
        <v>1653</v>
      </c>
      <c r="L353" s="1" t="s">
        <v>735</v>
      </c>
      <c r="M353" s="242" t="s">
        <v>1654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0" customHeight="1">
      <c r="A354" s="1"/>
      <c r="B354" s="88">
        <v>153.0</v>
      </c>
      <c r="C354" s="88" t="s">
        <v>730</v>
      </c>
      <c r="D354" s="89" t="s">
        <v>737</v>
      </c>
      <c r="E354" s="88">
        <v>1.0</v>
      </c>
      <c r="F354" s="89" t="s">
        <v>786</v>
      </c>
      <c r="G354" s="92">
        <v>0.875</v>
      </c>
      <c r="H354" s="92">
        <v>0.875</v>
      </c>
      <c r="I354" s="92">
        <v>0.0</v>
      </c>
      <c r="J354" s="91">
        <v>0.0</v>
      </c>
      <c r="K354" s="241" t="s">
        <v>1655</v>
      </c>
      <c r="L354" s="1" t="s">
        <v>738</v>
      </c>
      <c r="M354" s="242" t="s">
        <v>1656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0" customHeight="1">
      <c r="A355" s="1"/>
      <c r="B355" s="88">
        <v>153.0</v>
      </c>
      <c r="C355" s="88" t="s">
        <v>730</v>
      </c>
      <c r="D355" s="89" t="s">
        <v>737</v>
      </c>
      <c r="E355" s="88">
        <v>2.0</v>
      </c>
      <c r="F355" s="89" t="s">
        <v>594</v>
      </c>
      <c r="G355" s="92">
        <v>0.025</v>
      </c>
      <c r="H355" s="92">
        <v>0.025</v>
      </c>
      <c r="I355" s="92">
        <v>0.0</v>
      </c>
      <c r="J355" s="91">
        <v>0.0</v>
      </c>
      <c r="K355" s="241" t="s">
        <v>1657</v>
      </c>
      <c r="L355" s="1" t="s">
        <v>738</v>
      </c>
      <c r="M355" s="242" t="s">
        <v>1658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0" customHeight="1">
      <c r="A356" s="1"/>
      <c r="B356" s="88">
        <v>153.0</v>
      </c>
      <c r="C356" s="88" t="s">
        <v>730</v>
      </c>
      <c r="D356" s="89" t="s">
        <v>737</v>
      </c>
      <c r="E356" s="88">
        <v>3.0</v>
      </c>
      <c r="F356" s="89" t="s">
        <v>579</v>
      </c>
      <c r="G356" s="92">
        <v>0.025</v>
      </c>
      <c r="H356" s="92">
        <v>0.025</v>
      </c>
      <c r="I356" s="92">
        <v>0.0</v>
      </c>
      <c r="J356" s="91">
        <v>0.0</v>
      </c>
      <c r="K356" s="241" t="s">
        <v>1659</v>
      </c>
      <c r="L356" s="1" t="s">
        <v>738</v>
      </c>
      <c r="M356" s="242" t="s">
        <v>1660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0" customHeight="1">
      <c r="A357" s="1"/>
      <c r="B357" s="88">
        <v>153.0</v>
      </c>
      <c r="C357" s="88" t="s">
        <v>730</v>
      </c>
      <c r="D357" s="89" t="s">
        <v>737</v>
      </c>
      <c r="E357" s="88">
        <v>4.0</v>
      </c>
      <c r="F357" s="89" t="s">
        <v>593</v>
      </c>
      <c r="G357" s="92">
        <v>0.075</v>
      </c>
      <c r="H357" s="92">
        <v>0.075</v>
      </c>
      <c r="I357" s="92">
        <v>0.0</v>
      </c>
      <c r="J357" s="91">
        <v>0.0</v>
      </c>
      <c r="K357" s="241" t="s">
        <v>1661</v>
      </c>
      <c r="L357" s="1" t="s">
        <v>738</v>
      </c>
      <c r="M357" s="242" t="s">
        <v>1662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0" customHeight="1">
      <c r="A358" s="1"/>
      <c r="B358" s="88">
        <v>153.0</v>
      </c>
      <c r="C358" s="88" t="s">
        <v>730</v>
      </c>
      <c r="D358" s="89" t="s">
        <v>737</v>
      </c>
      <c r="E358" s="88">
        <v>5.0</v>
      </c>
      <c r="F358" s="89" t="s">
        <v>520</v>
      </c>
      <c r="G358" s="92">
        <v>0.0</v>
      </c>
      <c r="H358" s="92">
        <v>0.0</v>
      </c>
      <c r="I358" s="92">
        <v>6.9E-4</v>
      </c>
      <c r="J358" s="91">
        <v>0.0</v>
      </c>
      <c r="K358" s="241" t="s">
        <v>1663</v>
      </c>
      <c r="L358" s="1" t="s">
        <v>738</v>
      </c>
      <c r="M358" s="242" t="s">
        <v>1664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0" customHeight="1">
      <c r="A359" s="1"/>
      <c r="B359" s="88">
        <v>153.0</v>
      </c>
      <c r="C359" s="88" t="s">
        <v>730</v>
      </c>
      <c r="D359" s="89" t="s">
        <v>737</v>
      </c>
      <c r="E359" s="88">
        <v>6.0</v>
      </c>
      <c r="F359" s="89" t="s">
        <v>522</v>
      </c>
      <c r="G359" s="92">
        <v>0.0</v>
      </c>
      <c r="H359" s="92">
        <v>0.0</v>
      </c>
      <c r="I359" s="92">
        <v>0.055614</v>
      </c>
      <c r="J359" s="91">
        <v>0.0</v>
      </c>
      <c r="K359" s="241" t="s">
        <v>1665</v>
      </c>
      <c r="L359" s="1" t="s">
        <v>738</v>
      </c>
      <c r="M359" s="242" t="s">
        <v>1666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0" customHeight="1">
      <c r="A360" s="1"/>
      <c r="B360" s="88">
        <v>154.0</v>
      </c>
      <c r="C360" s="88" t="s">
        <v>730</v>
      </c>
      <c r="D360" s="89" t="s">
        <v>728</v>
      </c>
      <c r="E360" s="88">
        <v>1.0</v>
      </c>
      <c r="F360" s="89" t="s">
        <v>760</v>
      </c>
      <c r="G360" s="92">
        <v>0.9</v>
      </c>
      <c r="H360" s="92">
        <v>0.9</v>
      </c>
      <c r="I360" s="92">
        <v>0.0</v>
      </c>
      <c r="J360" s="91">
        <v>0.0</v>
      </c>
      <c r="K360" s="241" t="s">
        <v>1667</v>
      </c>
      <c r="L360" s="1" t="s">
        <v>729</v>
      </c>
      <c r="M360" s="242" t="s">
        <v>1668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0" customHeight="1">
      <c r="A361" s="1"/>
      <c r="B361" s="88">
        <v>154.0</v>
      </c>
      <c r="C361" s="88" t="s">
        <v>730</v>
      </c>
      <c r="D361" s="89" t="s">
        <v>728</v>
      </c>
      <c r="E361" s="88">
        <v>2.0</v>
      </c>
      <c r="F361" s="89" t="s">
        <v>593</v>
      </c>
      <c r="G361" s="92">
        <v>0.1</v>
      </c>
      <c r="H361" s="92">
        <v>0.1</v>
      </c>
      <c r="I361" s="92">
        <v>0.0</v>
      </c>
      <c r="J361" s="91">
        <v>0.0</v>
      </c>
      <c r="K361" s="241" t="s">
        <v>1669</v>
      </c>
      <c r="L361" s="1" t="s">
        <v>729</v>
      </c>
      <c r="M361" s="242" t="s">
        <v>1670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0" customHeight="1">
      <c r="A362" s="1"/>
      <c r="B362" s="88">
        <v>154.0</v>
      </c>
      <c r="C362" s="88" t="s">
        <v>730</v>
      </c>
      <c r="D362" s="89" t="s">
        <v>728</v>
      </c>
      <c r="E362" s="88">
        <v>3.0</v>
      </c>
      <c r="F362" s="89" t="s">
        <v>520</v>
      </c>
      <c r="G362" s="92">
        <v>0.0</v>
      </c>
      <c r="H362" s="92">
        <v>0.0</v>
      </c>
      <c r="I362" s="92">
        <v>0.007146</v>
      </c>
      <c r="J362" s="91">
        <v>0.0</v>
      </c>
      <c r="K362" s="241" t="s">
        <v>1671</v>
      </c>
      <c r="L362" s="1" t="s">
        <v>729</v>
      </c>
      <c r="M362" s="242" t="s">
        <v>1672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0" customHeight="1">
      <c r="A363" s="1"/>
      <c r="B363" s="88">
        <v>165.0</v>
      </c>
      <c r="C363" s="88" t="s">
        <v>612</v>
      </c>
      <c r="D363" s="89" t="s">
        <v>613</v>
      </c>
      <c r="E363" s="88">
        <v>1.0</v>
      </c>
      <c r="F363" s="89" t="s">
        <v>657</v>
      </c>
      <c r="G363" s="92">
        <v>0.15</v>
      </c>
      <c r="H363" s="92">
        <v>0.15</v>
      </c>
      <c r="I363" s="92">
        <v>0.0</v>
      </c>
      <c r="J363" s="91">
        <v>0.0</v>
      </c>
      <c r="K363" s="241" t="s">
        <v>1673</v>
      </c>
      <c r="L363" s="1"/>
      <c r="M363" s="242" t="s">
        <v>1674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0" customHeight="1">
      <c r="A364" s="1"/>
      <c r="B364" s="88">
        <v>165.0</v>
      </c>
      <c r="C364" s="88" t="s">
        <v>612</v>
      </c>
      <c r="D364" s="89" t="s">
        <v>613</v>
      </c>
      <c r="E364" s="88">
        <v>2.0</v>
      </c>
      <c r="F364" s="89" t="s">
        <v>763</v>
      </c>
      <c r="G364" s="92">
        <v>0.7</v>
      </c>
      <c r="H364" s="92">
        <v>0.7</v>
      </c>
      <c r="I364" s="92">
        <v>0.0</v>
      </c>
      <c r="J364" s="91">
        <v>0.0</v>
      </c>
      <c r="K364" s="241" t="s">
        <v>1675</v>
      </c>
      <c r="L364" s="1"/>
      <c r="M364" s="242" t="s">
        <v>1676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0" customHeight="1">
      <c r="A365" s="1"/>
      <c r="B365" s="88">
        <v>165.0</v>
      </c>
      <c r="C365" s="88" t="s">
        <v>612</v>
      </c>
      <c r="D365" s="89" t="s">
        <v>613</v>
      </c>
      <c r="E365" s="88">
        <v>3.0</v>
      </c>
      <c r="F365" s="89" t="s">
        <v>722</v>
      </c>
      <c r="G365" s="92">
        <v>0.095</v>
      </c>
      <c r="H365" s="92">
        <v>0.095</v>
      </c>
      <c r="I365" s="92">
        <v>0.0</v>
      </c>
      <c r="J365" s="91">
        <v>0.0</v>
      </c>
      <c r="K365" s="241" t="s">
        <v>1677</v>
      </c>
      <c r="L365" s="1"/>
      <c r="M365" s="242" t="s">
        <v>1678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0" customHeight="1">
      <c r="A366" s="1"/>
      <c r="B366" s="88">
        <v>165.0</v>
      </c>
      <c r="C366" s="88" t="s">
        <v>612</v>
      </c>
      <c r="D366" s="89" t="s">
        <v>613</v>
      </c>
      <c r="E366" s="88">
        <v>4.0</v>
      </c>
      <c r="F366" s="89" t="s">
        <v>573</v>
      </c>
      <c r="G366" s="92">
        <v>0.05</v>
      </c>
      <c r="H366" s="92">
        <v>0.05</v>
      </c>
      <c r="I366" s="92">
        <v>0.0</v>
      </c>
      <c r="J366" s="91">
        <v>0.0</v>
      </c>
      <c r="K366" s="241" t="s">
        <v>1679</v>
      </c>
      <c r="L366" s="1"/>
      <c r="M366" s="242" t="s">
        <v>1680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0" customHeight="1">
      <c r="A367" s="1"/>
      <c r="B367" s="88">
        <v>165.0</v>
      </c>
      <c r="C367" s="88" t="s">
        <v>612</v>
      </c>
      <c r="D367" s="89" t="s">
        <v>613</v>
      </c>
      <c r="E367" s="88">
        <v>5.0</v>
      </c>
      <c r="F367" s="89" t="s">
        <v>571</v>
      </c>
      <c r="G367" s="92">
        <v>0.005</v>
      </c>
      <c r="H367" s="92">
        <v>0.005</v>
      </c>
      <c r="I367" s="92">
        <v>0.0</v>
      </c>
      <c r="J367" s="91">
        <v>0.0</v>
      </c>
      <c r="K367" s="241" t="s">
        <v>1681</v>
      </c>
      <c r="L367" s="1"/>
      <c r="M367" s="242" t="s">
        <v>1682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0" customHeight="1">
      <c r="A368" s="1"/>
      <c r="B368" s="88">
        <v>166.0</v>
      </c>
      <c r="C368" s="88" t="s">
        <v>612</v>
      </c>
      <c r="D368" s="89" t="s">
        <v>752</v>
      </c>
      <c r="E368" s="88">
        <v>1.0</v>
      </c>
      <c r="F368" s="89" t="s">
        <v>533</v>
      </c>
      <c r="G368" s="92">
        <v>0.4</v>
      </c>
      <c r="H368" s="92">
        <v>0.4</v>
      </c>
      <c r="I368" s="92">
        <v>0.0</v>
      </c>
      <c r="J368" s="91">
        <v>0.0</v>
      </c>
      <c r="K368" s="241" t="s">
        <v>1683</v>
      </c>
      <c r="L368" s="1"/>
      <c r="M368" s="242" t="s">
        <v>1684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0" customHeight="1">
      <c r="A369" s="1"/>
      <c r="B369" s="88">
        <v>166.0</v>
      </c>
      <c r="C369" s="88" t="s">
        <v>612</v>
      </c>
      <c r="D369" s="89" t="s">
        <v>752</v>
      </c>
      <c r="E369" s="88">
        <v>2.0</v>
      </c>
      <c r="F369" s="89" t="s">
        <v>579</v>
      </c>
      <c r="G369" s="92">
        <v>0.3</v>
      </c>
      <c r="H369" s="92">
        <v>0.3</v>
      </c>
      <c r="I369" s="92">
        <v>0.0</v>
      </c>
      <c r="J369" s="91">
        <v>0.0</v>
      </c>
      <c r="K369" s="241" t="s">
        <v>1685</v>
      </c>
      <c r="L369" s="1"/>
      <c r="M369" s="242" t="s">
        <v>1686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0" customHeight="1">
      <c r="A370" s="1"/>
      <c r="B370" s="88">
        <v>166.0</v>
      </c>
      <c r="C370" s="88" t="s">
        <v>612</v>
      </c>
      <c r="D370" s="89" t="s">
        <v>752</v>
      </c>
      <c r="E370" s="88">
        <v>3.0</v>
      </c>
      <c r="F370" s="89" t="s">
        <v>594</v>
      </c>
      <c r="G370" s="92">
        <v>0.1</v>
      </c>
      <c r="H370" s="92">
        <v>0.1</v>
      </c>
      <c r="I370" s="92">
        <v>0.0</v>
      </c>
      <c r="J370" s="91">
        <v>0.0</v>
      </c>
      <c r="K370" s="241" t="s">
        <v>1687</v>
      </c>
      <c r="L370" s="1"/>
      <c r="M370" s="242" t="s">
        <v>1688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0" customHeight="1">
      <c r="A371" s="1"/>
      <c r="B371" s="88">
        <v>166.0</v>
      </c>
      <c r="C371" s="88" t="s">
        <v>612</v>
      </c>
      <c r="D371" s="89" t="s">
        <v>752</v>
      </c>
      <c r="E371" s="88">
        <v>4.0</v>
      </c>
      <c r="F371" s="89" t="s">
        <v>593</v>
      </c>
      <c r="G371" s="92">
        <v>0.1</v>
      </c>
      <c r="H371" s="92">
        <v>0.1</v>
      </c>
      <c r="I371" s="92">
        <v>0.0</v>
      </c>
      <c r="J371" s="91">
        <v>0.0</v>
      </c>
      <c r="K371" s="241" t="s">
        <v>1689</v>
      </c>
      <c r="L371" s="1"/>
      <c r="M371" s="242" t="s">
        <v>1690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0" customHeight="1">
      <c r="A372" s="1"/>
      <c r="B372" s="88">
        <v>166.0</v>
      </c>
      <c r="C372" s="88" t="s">
        <v>612</v>
      </c>
      <c r="D372" s="89" t="s">
        <v>752</v>
      </c>
      <c r="E372" s="88">
        <v>5.0</v>
      </c>
      <c r="F372" s="89" t="s">
        <v>573</v>
      </c>
      <c r="G372" s="92">
        <v>0.1</v>
      </c>
      <c r="H372" s="92">
        <v>0.1</v>
      </c>
      <c r="I372" s="92">
        <v>0.0</v>
      </c>
      <c r="J372" s="91">
        <v>0.0</v>
      </c>
      <c r="K372" s="241" t="s">
        <v>1691</v>
      </c>
      <c r="L372" s="1"/>
      <c r="M372" s="242" t="s">
        <v>1692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0" customHeight="1">
      <c r="A373" s="1"/>
      <c r="B373" s="88">
        <v>167.0</v>
      </c>
      <c r="C373" s="88" t="s">
        <v>612</v>
      </c>
      <c r="D373" s="89" t="s">
        <v>621</v>
      </c>
      <c r="E373" s="88">
        <v>1.0</v>
      </c>
      <c r="F373" s="89" t="s">
        <v>741</v>
      </c>
      <c r="G373" s="92">
        <v>0.7</v>
      </c>
      <c r="H373" s="92">
        <v>0.7</v>
      </c>
      <c r="I373" s="92">
        <v>0.0</v>
      </c>
      <c r="J373" s="91">
        <v>0.0</v>
      </c>
      <c r="K373" s="241" t="s">
        <v>1693</v>
      </c>
      <c r="L373" s="1"/>
      <c r="M373" s="242" t="s">
        <v>1694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0" customHeight="1">
      <c r="A374" s="1"/>
      <c r="B374" s="88">
        <v>167.0</v>
      </c>
      <c r="C374" s="88" t="s">
        <v>612</v>
      </c>
      <c r="D374" s="89" t="s">
        <v>621</v>
      </c>
      <c r="E374" s="88">
        <v>2.0</v>
      </c>
      <c r="F374" s="89" t="s">
        <v>657</v>
      </c>
      <c r="G374" s="92">
        <v>0.15</v>
      </c>
      <c r="H374" s="92">
        <v>0.15</v>
      </c>
      <c r="I374" s="92">
        <v>0.0</v>
      </c>
      <c r="J374" s="91">
        <v>0.0</v>
      </c>
      <c r="K374" s="241" t="s">
        <v>1695</v>
      </c>
      <c r="L374" s="1"/>
      <c r="M374" s="242" t="s">
        <v>1696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0" customHeight="1">
      <c r="A375" s="1"/>
      <c r="B375" s="88">
        <v>167.0</v>
      </c>
      <c r="C375" s="88" t="s">
        <v>612</v>
      </c>
      <c r="D375" s="89" t="s">
        <v>621</v>
      </c>
      <c r="E375" s="88">
        <v>3.0</v>
      </c>
      <c r="F375" s="89" t="s">
        <v>722</v>
      </c>
      <c r="G375" s="92">
        <v>0.1</v>
      </c>
      <c r="H375" s="92">
        <v>0.1</v>
      </c>
      <c r="I375" s="92">
        <v>0.0</v>
      </c>
      <c r="J375" s="91">
        <v>0.0</v>
      </c>
      <c r="K375" s="241" t="s">
        <v>1697</v>
      </c>
      <c r="L375" s="1"/>
      <c r="M375" s="242" t="s">
        <v>1698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0" customHeight="1">
      <c r="A376" s="1"/>
      <c r="B376" s="88">
        <v>167.0</v>
      </c>
      <c r="C376" s="88" t="s">
        <v>612</v>
      </c>
      <c r="D376" s="89" t="s">
        <v>621</v>
      </c>
      <c r="E376" s="88">
        <v>4.0</v>
      </c>
      <c r="F376" s="89" t="s">
        <v>573</v>
      </c>
      <c r="G376" s="92">
        <v>0.05</v>
      </c>
      <c r="H376" s="92">
        <v>0.05</v>
      </c>
      <c r="I376" s="92">
        <v>0.0</v>
      </c>
      <c r="J376" s="91">
        <v>0.0</v>
      </c>
      <c r="K376" s="241" t="s">
        <v>1699</v>
      </c>
      <c r="L376" s="1"/>
      <c r="M376" s="242" t="s">
        <v>1700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0" customHeight="1">
      <c r="A377" s="1"/>
      <c r="B377" s="88">
        <v>168.0</v>
      </c>
      <c r="C377" s="88" t="s">
        <v>612</v>
      </c>
      <c r="D377" s="89" t="s">
        <v>622</v>
      </c>
      <c r="E377" s="88">
        <v>1.0</v>
      </c>
      <c r="F377" s="89" t="s">
        <v>741</v>
      </c>
      <c r="G377" s="92">
        <v>0.7</v>
      </c>
      <c r="H377" s="92">
        <v>0.7</v>
      </c>
      <c r="I377" s="92">
        <v>0.0</v>
      </c>
      <c r="J377" s="91">
        <v>0.0</v>
      </c>
      <c r="K377" s="241" t="s">
        <v>1701</v>
      </c>
      <c r="L377" s="1"/>
      <c r="M377" s="242" t="s">
        <v>1702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0" customHeight="1">
      <c r="A378" s="1"/>
      <c r="B378" s="88">
        <v>168.0</v>
      </c>
      <c r="C378" s="88" t="s">
        <v>612</v>
      </c>
      <c r="D378" s="89" t="s">
        <v>622</v>
      </c>
      <c r="E378" s="88">
        <v>2.0</v>
      </c>
      <c r="F378" s="89" t="s">
        <v>752</v>
      </c>
      <c r="G378" s="92">
        <v>0.3</v>
      </c>
      <c r="H378" s="92">
        <v>0.3</v>
      </c>
      <c r="I378" s="92">
        <v>0.0</v>
      </c>
      <c r="J378" s="91">
        <v>0.0</v>
      </c>
      <c r="K378" s="241" t="s">
        <v>1703</v>
      </c>
      <c r="L378" s="1"/>
      <c r="M378" s="242" t="s">
        <v>1704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0" customHeight="1">
      <c r="A379" s="1"/>
      <c r="B379" s="88">
        <v>169.0</v>
      </c>
      <c r="C379" s="88" t="s">
        <v>612</v>
      </c>
      <c r="D379" s="89" t="s">
        <v>634</v>
      </c>
      <c r="E379" s="88">
        <v>1.0</v>
      </c>
      <c r="F379" s="89" t="s">
        <v>747</v>
      </c>
      <c r="G379" s="92">
        <v>0.7</v>
      </c>
      <c r="H379" s="92">
        <v>0.7</v>
      </c>
      <c r="I379" s="92">
        <v>0.0</v>
      </c>
      <c r="J379" s="91">
        <v>0.0</v>
      </c>
      <c r="K379" s="241" t="s">
        <v>1705</v>
      </c>
      <c r="L379" s="1"/>
      <c r="M379" s="242" t="s">
        <v>1706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0" customHeight="1">
      <c r="A380" s="1"/>
      <c r="B380" s="88">
        <v>169.0</v>
      </c>
      <c r="C380" s="88" t="s">
        <v>612</v>
      </c>
      <c r="D380" s="89" t="s">
        <v>634</v>
      </c>
      <c r="E380" s="88">
        <v>2.0</v>
      </c>
      <c r="F380" s="89" t="s">
        <v>657</v>
      </c>
      <c r="G380" s="92">
        <v>0.15</v>
      </c>
      <c r="H380" s="92">
        <v>0.15</v>
      </c>
      <c r="I380" s="92">
        <v>0.0</v>
      </c>
      <c r="J380" s="91">
        <v>0.0</v>
      </c>
      <c r="K380" s="241" t="s">
        <v>1707</v>
      </c>
      <c r="L380" s="1"/>
      <c r="M380" s="242" t="s">
        <v>1708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0" customHeight="1">
      <c r="A381" s="1"/>
      <c r="B381" s="88">
        <v>169.0</v>
      </c>
      <c r="C381" s="88" t="s">
        <v>612</v>
      </c>
      <c r="D381" s="89" t="s">
        <v>634</v>
      </c>
      <c r="E381" s="88">
        <v>3.0</v>
      </c>
      <c r="F381" s="89" t="s">
        <v>722</v>
      </c>
      <c r="G381" s="92">
        <v>0.095</v>
      </c>
      <c r="H381" s="92">
        <v>0.095</v>
      </c>
      <c r="I381" s="92">
        <v>0.0</v>
      </c>
      <c r="J381" s="91">
        <v>0.0</v>
      </c>
      <c r="K381" s="241" t="s">
        <v>1709</v>
      </c>
      <c r="L381" s="1"/>
      <c r="M381" s="242" t="s">
        <v>1710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0" customHeight="1">
      <c r="A382" s="1"/>
      <c r="B382" s="88">
        <v>169.0</v>
      </c>
      <c r="C382" s="88" t="s">
        <v>612</v>
      </c>
      <c r="D382" s="89" t="s">
        <v>634</v>
      </c>
      <c r="E382" s="88">
        <v>4.0</v>
      </c>
      <c r="F382" s="89" t="s">
        <v>573</v>
      </c>
      <c r="G382" s="92">
        <v>0.05</v>
      </c>
      <c r="H382" s="92">
        <v>0.05</v>
      </c>
      <c r="I382" s="92">
        <v>0.0</v>
      </c>
      <c r="J382" s="91">
        <v>0.0</v>
      </c>
      <c r="K382" s="241" t="s">
        <v>1711</v>
      </c>
      <c r="L382" s="1"/>
      <c r="M382" s="242" t="s">
        <v>1712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0" customHeight="1">
      <c r="A383" s="1"/>
      <c r="B383" s="243">
        <v>169.0</v>
      </c>
      <c r="C383" s="243" t="s">
        <v>612</v>
      </c>
      <c r="D383" s="244" t="s">
        <v>634</v>
      </c>
      <c r="E383" s="243">
        <v>5.0</v>
      </c>
      <c r="F383" s="244" t="s">
        <v>571</v>
      </c>
      <c r="G383" s="245">
        <v>0.005</v>
      </c>
      <c r="H383" s="245">
        <v>0.005</v>
      </c>
      <c r="I383" s="245">
        <v>0.0</v>
      </c>
      <c r="J383" s="246">
        <v>0.0</v>
      </c>
      <c r="K383" s="247" t="s">
        <v>1713</v>
      </c>
      <c r="L383" s="248"/>
      <c r="M383" s="242" t="s">
        <v>1714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0" customHeight="1">
      <c r="A384" s="1"/>
      <c r="B384" s="243">
        <v>170.0</v>
      </c>
      <c r="C384" s="243" t="s">
        <v>612</v>
      </c>
      <c r="D384" s="244" t="s">
        <v>662</v>
      </c>
      <c r="E384" s="243">
        <v>1.0</v>
      </c>
      <c r="F384" s="244" t="s">
        <v>579</v>
      </c>
      <c r="G384" s="245">
        <v>0.41</v>
      </c>
      <c r="H384" s="245">
        <v>0.41</v>
      </c>
      <c r="I384" s="245">
        <v>0.0</v>
      </c>
      <c r="J384" s="246">
        <v>0.0</v>
      </c>
      <c r="K384" s="247" t="s">
        <v>1715</v>
      </c>
      <c r="L384" s="248"/>
      <c r="M384" s="242" t="s">
        <v>1716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0" customHeight="1">
      <c r="A385" s="1"/>
      <c r="B385" s="88">
        <v>170.0</v>
      </c>
      <c r="C385" s="88" t="s">
        <v>612</v>
      </c>
      <c r="D385" s="89" t="s">
        <v>662</v>
      </c>
      <c r="E385" s="88">
        <v>2.0</v>
      </c>
      <c r="F385" s="89" t="s">
        <v>592</v>
      </c>
      <c r="G385" s="92">
        <v>0.24</v>
      </c>
      <c r="H385" s="92">
        <v>0.24</v>
      </c>
      <c r="I385" s="92">
        <v>0.0</v>
      </c>
      <c r="J385" s="91">
        <v>0.0</v>
      </c>
      <c r="K385" s="241" t="s">
        <v>1717</v>
      </c>
      <c r="L385" s="1"/>
      <c r="M385" s="242" t="s">
        <v>1718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0" customHeight="1">
      <c r="A386" s="1"/>
      <c r="B386" s="88">
        <v>170.0</v>
      </c>
      <c r="C386" s="88" t="s">
        <v>612</v>
      </c>
      <c r="D386" s="89" t="s">
        <v>662</v>
      </c>
      <c r="E386" s="88">
        <v>3.0</v>
      </c>
      <c r="F386" s="89" t="s">
        <v>585</v>
      </c>
      <c r="G386" s="92">
        <v>0.35</v>
      </c>
      <c r="H386" s="92">
        <v>0.35</v>
      </c>
      <c r="I386" s="92">
        <v>0.0</v>
      </c>
      <c r="J386" s="91">
        <v>0.0</v>
      </c>
      <c r="K386" s="241" t="s">
        <v>1719</v>
      </c>
      <c r="L386" s="1"/>
      <c r="M386" s="242" t="s">
        <v>1720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0" customHeight="1">
      <c r="A387" s="1"/>
      <c r="B387" s="88">
        <v>171.0</v>
      </c>
      <c r="C387" s="88" t="s">
        <v>612</v>
      </c>
      <c r="D387" s="89" t="s">
        <v>617</v>
      </c>
      <c r="E387" s="88">
        <v>1.0</v>
      </c>
      <c r="F387" s="89" t="s">
        <v>765</v>
      </c>
      <c r="G387" s="92">
        <v>0.7</v>
      </c>
      <c r="H387" s="92">
        <v>0.7</v>
      </c>
      <c r="I387" s="92">
        <v>0.0</v>
      </c>
      <c r="J387" s="91">
        <v>0.0</v>
      </c>
      <c r="K387" s="241" t="s">
        <v>1721</v>
      </c>
      <c r="L387" s="1"/>
      <c r="M387" s="242" t="s">
        <v>1722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0" customHeight="1">
      <c r="A388" s="1"/>
      <c r="B388" s="88">
        <v>171.0</v>
      </c>
      <c r="C388" s="88" t="s">
        <v>612</v>
      </c>
      <c r="D388" s="89" t="s">
        <v>617</v>
      </c>
      <c r="E388" s="88">
        <v>2.0</v>
      </c>
      <c r="F388" s="89" t="s">
        <v>657</v>
      </c>
      <c r="G388" s="92">
        <v>0.15</v>
      </c>
      <c r="H388" s="92">
        <v>0.15</v>
      </c>
      <c r="I388" s="92">
        <v>0.0</v>
      </c>
      <c r="J388" s="91">
        <v>0.0</v>
      </c>
      <c r="K388" s="241" t="s">
        <v>1723</v>
      </c>
      <c r="L388" s="1"/>
      <c r="M388" s="242" t="s">
        <v>1724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0" customHeight="1">
      <c r="A389" s="1"/>
      <c r="B389" s="88">
        <v>171.0</v>
      </c>
      <c r="C389" s="88" t="s">
        <v>612</v>
      </c>
      <c r="D389" s="89" t="s">
        <v>617</v>
      </c>
      <c r="E389" s="88">
        <v>3.0</v>
      </c>
      <c r="F389" s="89" t="s">
        <v>722</v>
      </c>
      <c r="G389" s="92">
        <v>0.095</v>
      </c>
      <c r="H389" s="92">
        <v>0.095</v>
      </c>
      <c r="I389" s="92">
        <v>0.0</v>
      </c>
      <c r="J389" s="91">
        <v>0.0</v>
      </c>
      <c r="K389" s="241" t="s">
        <v>1725</v>
      </c>
      <c r="L389" s="1"/>
      <c r="M389" s="242" t="s">
        <v>1726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0" customHeight="1">
      <c r="A390" s="1"/>
      <c r="B390" s="88">
        <v>171.0</v>
      </c>
      <c r="C390" s="88" t="s">
        <v>612</v>
      </c>
      <c r="D390" s="89" t="s">
        <v>617</v>
      </c>
      <c r="E390" s="88">
        <v>4.0</v>
      </c>
      <c r="F390" s="89" t="s">
        <v>573</v>
      </c>
      <c r="G390" s="92">
        <v>0.05</v>
      </c>
      <c r="H390" s="92">
        <v>0.05</v>
      </c>
      <c r="I390" s="92">
        <v>0.0</v>
      </c>
      <c r="J390" s="91">
        <v>0.0</v>
      </c>
      <c r="K390" s="241" t="s">
        <v>1727</v>
      </c>
      <c r="L390" s="1"/>
      <c r="M390" s="242" t="s">
        <v>1728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0" customHeight="1">
      <c r="A391" s="1"/>
      <c r="B391" s="88">
        <v>171.0</v>
      </c>
      <c r="C391" s="88" t="s">
        <v>612</v>
      </c>
      <c r="D391" s="89" t="s">
        <v>617</v>
      </c>
      <c r="E391" s="88">
        <v>5.0</v>
      </c>
      <c r="F391" s="89" t="s">
        <v>571</v>
      </c>
      <c r="G391" s="92">
        <v>0.005</v>
      </c>
      <c r="H391" s="92">
        <v>0.005</v>
      </c>
      <c r="I391" s="92">
        <v>0.0</v>
      </c>
      <c r="J391" s="91">
        <v>0.0</v>
      </c>
      <c r="K391" s="241" t="s">
        <v>1729</v>
      </c>
      <c r="L391" s="1"/>
      <c r="M391" s="242" t="s">
        <v>1730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0" customHeight="1">
      <c r="A392" s="1"/>
      <c r="B392" s="88">
        <v>172.0</v>
      </c>
      <c r="C392" s="88" t="s">
        <v>612</v>
      </c>
      <c r="D392" s="89" t="s">
        <v>688</v>
      </c>
      <c r="E392" s="88">
        <v>1.0</v>
      </c>
      <c r="F392" s="89" t="s">
        <v>579</v>
      </c>
      <c r="G392" s="92">
        <v>0.5</v>
      </c>
      <c r="H392" s="92">
        <v>0.5</v>
      </c>
      <c r="I392" s="92">
        <v>0.0</v>
      </c>
      <c r="J392" s="91">
        <v>0.0</v>
      </c>
      <c r="K392" s="241" t="s">
        <v>1731</v>
      </c>
      <c r="L392" s="1"/>
      <c r="M392" s="242" t="s">
        <v>1732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0" customHeight="1">
      <c r="A393" s="1"/>
      <c r="B393" s="88">
        <v>172.0</v>
      </c>
      <c r="C393" s="88" t="s">
        <v>612</v>
      </c>
      <c r="D393" s="89" t="s">
        <v>688</v>
      </c>
      <c r="E393" s="88">
        <v>2.0</v>
      </c>
      <c r="F393" s="89" t="s">
        <v>571</v>
      </c>
      <c r="G393" s="92">
        <v>0.5</v>
      </c>
      <c r="H393" s="92">
        <v>0.5</v>
      </c>
      <c r="I393" s="92">
        <v>0.0</v>
      </c>
      <c r="J393" s="91">
        <v>0.0</v>
      </c>
      <c r="K393" s="241" t="s">
        <v>1733</v>
      </c>
      <c r="L393" s="1"/>
      <c r="M393" s="242" t="s">
        <v>1734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0" customHeight="1">
      <c r="A394" s="1"/>
      <c r="B394" s="88">
        <v>173.0</v>
      </c>
      <c r="C394" s="88" t="s">
        <v>612</v>
      </c>
      <c r="D394" s="89" t="s">
        <v>635</v>
      </c>
      <c r="E394" s="88">
        <v>1.0</v>
      </c>
      <c r="F394" s="89" t="s">
        <v>749</v>
      </c>
      <c r="G394" s="92">
        <v>0.7</v>
      </c>
      <c r="H394" s="92">
        <v>0.7</v>
      </c>
      <c r="I394" s="92">
        <v>0.0</v>
      </c>
      <c r="J394" s="91">
        <v>0.0</v>
      </c>
      <c r="K394" s="241" t="s">
        <v>1735</v>
      </c>
      <c r="L394" s="1"/>
      <c r="M394" s="242" t="s">
        <v>1736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0" customHeight="1">
      <c r="A395" s="1"/>
      <c r="B395" s="88">
        <v>173.0</v>
      </c>
      <c r="C395" s="88" t="s">
        <v>612</v>
      </c>
      <c r="D395" s="89" t="s">
        <v>635</v>
      </c>
      <c r="E395" s="88">
        <v>2.0</v>
      </c>
      <c r="F395" s="89" t="s">
        <v>657</v>
      </c>
      <c r="G395" s="92">
        <v>0.15</v>
      </c>
      <c r="H395" s="92">
        <v>0.15</v>
      </c>
      <c r="I395" s="92">
        <v>0.0</v>
      </c>
      <c r="J395" s="91">
        <v>0.0</v>
      </c>
      <c r="K395" s="241" t="s">
        <v>1737</v>
      </c>
      <c r="L395" s="1"/>
      <c r="M395" s="242" t="s">
        <v>1738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0" customHeight="1">
      <c r="A396" s="1"/>
      <c r="B396" s="88">
        <v>173.0</v>
      </c>
      <c r="C396" s="88" t="s">
        <v>612</v>
      </c>
      <c r="D396" s="89" t="s">
        <v>635</v>
      </c>
      <c r="E396" s="88">
        <v>3.0</v>
      </c>
      <c r="F396" s="89" t="s">
        <v>722</v>
      </c>
      <c r="G396" s="92">
        <v>0.095</v>
      </c>
      <c r="H396" s="92">
        <v>0.095</v>
      </c>
      <c r="I396" s="92">
        <v>0.0</v>
      </c>
      <c r="J396" s="91">
        <v>0.0</v>
      </c>
      <c r="K396" s="241" t="s">
        <v>1739</v>
      </c>
      <c r="L396" s="1"/>
      <c r="M396" s="242" t="s">
        <v>1740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0" customHeight="1">
      <c r="A397" s="1"/>
      <c r="B397" s="88">
        <v>173.0</v>
      </c>
      <c r="C397" s="88" t="s">
        <v>612</v>
      </c>
      <c r="D397" s="89" t="s">
        <v>635</v>
      </c>
      <c r="E397" s="88">
        <v>4.0</v>
      </c>
      <c r="F397" s="89" t="s">
        <v>573</v>
      </c>
      <c r="G397" s="92">
        <v>0.05</v>
      </c>
      <c r="H397" s="92">
        <v>0.05</v>
      </c>
      <c r="I397" s="92">
        <v>0.0</v>
      </c>
      <c r="J397" s="91">
        <v>0.0</v>
      </c>
      <c r="K397" s="241" t="s">
        <v>1741</v>
      </c>
      <c r="L397" s="1"/>
      <c r="M397" s="242" t="s">
        <v>1742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0" customHeight="1">
      <c r="A398" s="1"/>
      <c r="B398" s="88">
        <v>173.0</v>
      </c>
      <c r="C398" s="88" t="s">
        <v>612</v>
      </c>
      <c r="D398" s="89" t="s">
        <v>635</v>
      </c>
      <c r="E398" s="88">
        <v>5.0</v>
      </c>
      <c r="F398" s="89" t="s">
        <v>571</v>
      </c>
      <c r="G398" s="92">
        <v>0.005</v>
      </c>
      <c r="H398" s="92">
        <v>0.005</v>
      </c>
      <c r="I398" s="92">
        <v>0.0</v>
      </c>
      <c r="J398" s="91">
        <v>0.0</v>
      </c>
      <c r="K398" s="241" t="s">
        <v>1743</v>
      </c>
      <c r="L398" s="1"/>
      <c r="M398" s="242" t="s">
        <v>1744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0" customHeight="1">
      <c r="A399" s="1"/>
      <c r="B399" s="88">
        <v>174.0</v>
      </c>
      <c r="C399" s="88" t="s">
        <v>612</v>
      </c>
      <c r="D399" s="89" t="s">
        <v>619</v>
      </c>
      <c r="E399" s="88">
        <v>1.0</v>
      </c>
      <c r="F399" s="89" t="s">
        <v>769</v>
      </c>
      <c r="G399" s="92">
        <v>0.7</v>
      </c>
      <c r="H399" s="92">
        <v>0.7</v>
      </c>
      <c r="I399" s="92">
        <v>0.0</v>
      </c>
      <c r="J399" s="91">
        <v>0.0</v>
      </c>
      <c r="K399" s="241" t="s">
        <v>1745</v>
      </c>
      <c r="L399" s="1"/>
      <c r="M399" s="242" t="s">
        <v>1746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0" customHeight="1">
      <c r="A400" s="1"/>
      <c r="B400" s="88">
        <v>174.0</v>
      </c>
      <c r="C400" s="88" t="s">
        <v>612</v>
      </c>
      <c r="D400" s="89" t="s">
        <v>619</v>
      </c>
      <c r="E400" s="88">
        <v>2.0</v>
      </c>
      <c r="F400" s="89" t="s">
        <v>657</v>
      </c>
      <c r="G400" s="92">
        <v>0.15</v>
      </c>
      <c r="H400" s="92">
        <v>0.15</v>
      </c>
      <c r="I400" s="92">
        <v>0.0</v>
      </c>
      <c r="J400" s="91">
        <v>0.0</v>
      </c>
      <c r="K400" s="241" t="s">
        <v>1747</v>
      </c>
      <c r="L400" s="1"/>
      <c r="M400" s="242" t="s">
        <v>1748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0" customHeight="1">
      <c r="A401" s="1"/>
      <c r="B401" s="88">
        <v>174.0</v>
      </c>
      <c r="C401" s="88" t="s">
        <v>612</v>
      </c>
      <c r="D401" s="89" t="s">
        <v>619</v>
      </c>
      <c r="E401" s="88">
        <v>3.0</v>
      </c>
      <c r="F401" s="89" t="s">
        <v>722</v>
      </c>
      <c r="G401" s="92">
        <v>0.1</v>
      </c>
      <c r="H401" s="92">
        <v>0.1</v>
      </c>
      <c r="I401" s="92">
        <v>0.0</v>
      </c>
      <c r="J401" s="91">
        <v>0.0</v>
      </c>
      <c r="K401" s="241" t="s">
        <v>1749</v>
      </c>
      <c r="L401" s="1"/>
      <c r="M401" s="242" t="s">
        <v>1750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0" customHeight="1">
      <c r="A402" s="1"/>
      <c r="B402" s="88">
        <v>174.0</v>
      </c>
      <c r="C402" s="88" t="s">
        <v>612</v>
      </c>
      <c r="D402" s="89" t="s">
        <v>619</v>
      </c>
      <c r="E402" s="88">
        <v>4.0</v>
      </c>
      <c r="F402" s="89" t="s">
        <v>573</v>
      </c>
      <c r="G402" s="92">
        <v>0.05</v>
      </c>
      <c r="H402" s="92">
        <v>0.05</v>
      </c>
      <c r="I402" s="92">
        <v>0.0</v>
      </c>
      <c r="J402" s="91">
        <v>0.0</v>
      </c>
      <c r="K402" s="241" t="s">
        <v>1751</v>
      </c>
      <c r="L402" s="1"/>
      <c r="M402" s="242" t="s">
        <v>1752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0" customHeight="1">
      <c r="A403" s="1"/>
      <c r="B403" s="88">
        <v>175.0</v>
      </c>
      <c r="C403" s="88" t="s">
        <v>612</v>
      </c>
      <c r="D403" s="89" t="s">
        <v>626</v>
      </c>
      <c r="E403" s="88">
        <v>1.0</v>
      </c>
      <c r="F403" s="89" t="s">
        <v>743</v>
      </c>
      <c r="G403" s="92">
        <v>0.7</v>
      </c>
      <c r="H403" s="92">
        <v>0.7</v>
      </c>
      <c r="I403" s="92">
        <v>0.0</v>
      </c>
      <c r="J403" s="91">
        <v>0.0</v>
      </c>
      <c r="K403" s="241" t="s">
        <v>1753</v>
      </c>
      <c r="L403" s="1"/>
      <c r="M403" s="242" t="s">
        <v>1754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0" customHeight="1">
      <c r="A404" s="1"/>
      <c r="B404" s="88">
        <v>175.0</v>
      </c>
      <c r="C404" s="88" t="s">
        <v>612</v>
      </c>
      <c r="D404" s="89" t="s">
        <v>626</v>
      </c>
      <c r="E404" s="88">
        <v>2.0</v>
      </c>
      <c r="F404" s="89" t="s">
        <v>657</v>
      </c>
      <c r="G404" s="92">
        <v>0.15</v>
      </c>
      <c r="H404" s="92">
        <v>0.15</v>
      </c>
      <c r="I404" s="92">
        <v>0.0</v>
      </c>
      <c r="J404" s="91">
        <v>0.0</v>
      </c>
      <c r="K404" s="241" t="s">
        <v>1755</v>
      </c>
      <c r="L404" s="1"/>
      <c r="M404" s="242" t="s">
        <v>1756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0" customHeight="1">
      <c r="A405" s="1"/>
      <c r="B405" s="88">
        <v>175.0</v>
      </c>
      <c r="C405" s="88" t="s">
        <v>612</v>
      </c>
      <c r="D405" s="89" t="s">
        <v>626</v>
      </c>
      <c r="E405" s="88">
        <v>3.0</v>
      </c>
      <c r="F405" s="89" t="s">
        <v>722</v>
      </c>
      <c r="G405" s="92">
        <v>0.1</v>
      </c>
      <c r="H405" s="92">
        <v>0.1</v>
      </c>
      <c r="I405" s="92">
        <v>0.0</v>
      </c>
      <c r="J405" s="91">
        <v>0.0</v>
      </c>
      <c r="K405" s="241" t="s">
        <v>1757</v>
      </c>
      <c r="L405" s="1"/>
      <c r="M405" s="242" t="s">
        <v>1758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0" customHeight="1">
      <c r="A406" s="1"/>
      <c r="B406" s="88">
        <v>175.0</v>
      </c>
      <c r="C406" s="88" t="s">
        <v>612</v>
      </c>
      <c r="D406" s="89" t="s">
        <v>626</v>
      </c>
      <c r="E406" s="88">
        <v>4.0</v>
      </c>
      <c r="F406" s="89" t="s">
        <v>573</v>
      </c>
      <c r="G406" s="92">
        <v>0.05</v>
      </c>
      <c r="H406" s="92">
        <v>0.05</v>
      </c>
      <c r="I406" s="92">
        <v>0.0</v>
      </c>
      <c r="J406" s="91">
        <v>0.0</v>
      </c>
      <c r="K406" s="241" t="s">
        <v>1759</v>
      </c>
      <c r="L406" s="1"/>
      <c r="M406" s="242" t="s">
        <v>1760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0" customHeight="1">
      <c r="A407" s="1"/>
      <c r="B407" s="88">
        <v>176.0</v>
      </c>
      <c r="C407" s="88" t="s">
        <v>612</v>
      </c>
      <c r="D407" s="89" t="s">
        <v>624</v>
      </c>
      <c r="E407" s="88">
        <v>1.0</v>
      </c>
      <c r="F407" s="89" t="s">
        <v>773</v>
      </c>
      <c r="G407" s="92">
        <v>0.7</v>
      </c>
      <c r="H407" s="92">
        <v>0.7</v>
      </c>
      <c r="I407" s="92">
        <v>0.0</v>
      </c>
      <c r="J407" s="91">
        <v>0.0</v>
      </c>
      <c r="K407" s="241" t="s">
        <v>1761</v>
      </c>
      <c r="L407" s="1"/>
      <c r="M407" s="242" t="s">
        <v>1762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0" customHeight="1">
      <c r="A408" s="1"/>
      <c r="B408" s="88">
        <v>176.0</v>
      </c>
      <c r="C408" s="88" t="s">
        <v>612</v>
      </c>
      <c r="D408" s="89" t="s">
        <v>624</v>
      </c>
      <c r="E408" s="88">
        <v>2.0</v>
      </c>
      <c r="F408" s="89" t="s">
        <v>657</v>
      </c>
      <c r="G408" s="92">
        <v>0.15</v>
      </c>
      <c r="H408" s="92">
        <v>0.15</v>
      </c>
      <c r="I408" s="92">
        <v>0.0</v>
      </c>
      <c r="J408" s="91">
        <v>0.0</v>
      </c>
      <c r="K408" s="241" t="s">
        <v>1763</v>
      </c>
      <c r="L408" s="1"/>
      <c r="M408" s="242" t="s">
        <v>1764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0" customHeight="1">
      <c r="A409" s="1"/>
      <c r="B409" s="88">
        <v>176.0</v>
      </c>
      <c r="C409" s="88" t="s">
        <v>612</v>
      </c>
      <c r="D409" s="89" t="s">
        <v>624</v>
      </c>
      <c r="E409" s="88">
        <v>3.0</v>
      </c>
      <c r="F409" s="89" t="s">
        <v>722</v>
      </c>
      <c r="G409" s="92">
        <v>0.095</v>
      </c>
      <c r="H409" s="92">
        <v>0.095</v>
      </c>
      <c r="I409" s="92">
        <v>0.0</v>
      </c>
      <c r="J409" s="91">
        <v>0.0</v>
      </c>
      <c r="K409" s="241" t="s">
        <v>1765</v>
      </c>
      <c r="L409" s="1"/>
      <c r="M409" s="242" t="s">
        <v>1766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0" customHeight="1">
      <c r="A410" s="1"/>
      <c r="B410" s="88">
        <v>176.0</v>
      </c>
      <c r="C410" s="88" t="s">
        <v>612</v>
      </c>
      <c r="D410" s="89" t="s">
        <v>624</v>
      </c>
      <c r="E410" s="88">
        <v>4.0</v>
      </c>
      <c r="F410" s="89" t="s">
        <v>573</v>
      </c>
      <c r="G410" s="92">
        <v>0.05</v>
      </c>
      <c r="H410" s="92">
        <v>0.05</v>
      </c>
      <c r="I410" s="92">
        <v>0.0</v>
      </c>
      <c r="J410" s="91">
        <v>0.0</v>
      </c>
      <c r="K410" s="241" t="s">
        <v>1767</v>
      </c>
      <c r="L410" s="1"/>
      <c r="M410" s="242" t="s">
        <v>1768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0" customHeight="1">
      <c r="A411" s="1"/>
      <c r="B411" s="243">
        <v>176.0</v>
      </c>
      <c r="C411" s="243" t="s">
        <v>612</v>
      </c>
      <c r="D411" s="244" t="s">
        <v>624</v>
      </c>
      <c r="E411" s="243">
        <v>5.0</v>
      </c>
      <c r="F411" s="244" t="s">
        <v>571</v>
      </c>
      <c r="G411" s="245">
        <v>0.005</v>
      </c>
      <c r="H411" s="245">
        <v>0.005</v>
      </c>
      <c r="I411" s="245">
        <v>0.0</v>
      </c>
      <c r="J411" s="246">
        <v>0.0</v>
      </c>
      <c r="K411" s="247" t="s">
        <v>1769</v>
      </c>
      <c r="L411" s="248"/>
      <c r="M411" s="242" t="s">
        <v>1770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0" customHeight="1">
      <c r="A412" s="1"/>
      <c r="B412" s="88">
        <v>177.0</v>
      </c>
      <c r="C412" s="88" t="s">
        <v>612</v>
      </c>
      <c r="D412" s="89" t="s">
        <v>538</v>
      </c>
      <c r="E412" s="88">
        <v>1.0</v>
      </c>
      <c r="F412" s="89" t="s">
        <v>431</v>
      </c>
      <c r="G412" s="92">
        <v>0.7</v>
      </c>
      <c r="H412" s="92">
        <v>0.7</v>
      </c>
      <c r="I412" s="92">
        <v>0.0</v>
      </c>
      <c r="J412" s="91">
        <v>0.0</v>
      </c>
      <c r="K412" s="241" t="s">
        <v>1771</v>
      </c>
      <c r="L412" s="1"/>
      <c r="M412" s="242" t="s">
        <v>1772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0" customHeight="1">
      <c r="A413" s="1"/>
      <c r="B413" s="88">
        <v>177.0</v>
      </c>
      <c r="C413" s="88" t="s">
        <v>612</v>
      </c>
      <c r="D413" s="89" t="s">
        <v>538</v>
      </c>
      <c r="E413" s="88">
        <v>2.0</v>
      </c>
      <c r="F413" s="89" t="s">
        <v>657</v>
      </c>
      <c r="G413" s="92">
        <v>0.15</v>
      </c>
      <c r="H413" s="92">
        <v>0.15</v>
      </c>
      <c r="I413" s="92">
        <v>0.0</v>
      </c>
      <c r="J413" s="91">
        <v>0.0</v>
      </c>
      <c r="K413" s="241" t="s">
        <v>1773</v>
      </c>
      <c r="L413" s="1"/>
      <c r="M413" s="242" t="s">
        <v>1774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0" customHeight="1">
      <c r="A414" s="1"/>
      <c r="B414" s="88">
        <v>177.0</v>
      </c>
      <c r="C414" s="88" t="s">
        <v>612</v>
      </c>
      <c r="D414" s="89" t="s">
        <v>538</v>
      </c>
      <c r="E414" s="88">
        <v>3.0</v>
      </c>
      <c r="F414" s="89" t="s">
        <v>722</v>
      </c>
      <c r="G414" s="92">
        <v>0.1</v>
      </c>
      <c r="H414" s="92">
        <v>0.1</v>
      </c>
      <c r="I414" s="92">
        <v>0.0</v>
      </c>
      <c r="J414" s="91">
        <v>0.0</v>
      </c>
      <c r="K414" s="241" t="s">
        <v>1775</v>
      </c>
      <c r="L414" s="1"/>
      <c r="M414" s="242" t="s">
        <v>1776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0" customHeight="1">
      <c r="A415" s="1"/>
      <c r="B415" s="88">
        <v>177.0</v>
      </c>
      <c r="C415" s="88" t="s">
        <v>612</v>
      </c>
      <c r="D415" s="89" t="s">
        <v>538</v>
      </c>
      <c r="E415" s="88">
        <v>4.0</v>
      </c>
      <c r="F415" s="89" t="s">
        <v>573</v>
      </c>
      <c r="G415" s="92">
        <v>0.05</v>
      </c>
      <c r="H415" s="92">
        <v>0.05</v>
      </c>
      <c r="I415" s="92">
        <v>0.0</v>
      </c>
      <c r="J415" s="91">
        <v>0.0</v>
      </c>
      <c r="K415" s="241" t="s">
        <v>1777</v>
      </c>
      <c r="L415" s="1"/>
      <c r="M415" s="242" t="s">
        <v>1778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0" customHeight="1">
      <c r="A416" s="1"/>
      <c r="B416" s="88">
        <v>178.0</v>
      </c>
      <c r="C416" s="88" t="s">
        <v>612</v>
      </c>
      <c r="D416" s="89" t="s">
        <v>628</v>
      </c>
      <c r="E416" s="88">
        <v>1.0</v>
      </c>
      <c r="F416" s="89" t="s">
        <v>745</v>
      </c>
      <c r="G416" s="92">
        <v>0.7</v>
      </c>
      <c r="H416" s="92">
        <v>0.7</v>
      </c>
      <c r="I416" s="92">
        <v>0.0</v>
      </c>
      <c r="J416" s="91">
        <v>0.0</v>
      </c>
      <c r="K416" s="241" t="s">
        <v>1779</v>
      </c>
      <c r="L416" s="1"/>
      <c r="M416" s="242" t="s">
        <v>1780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0" customHeight="1">
      <c r="A417" s="1"/>
      <c r="B417" s="88">
        <v>178.0</v>
      </c>
      <c r="C417" s="88" t="s">
        <v>612</v>
      </c>
      <c r="D417" s="89" t="s">
        <v>628</v>
      </c>
      <c r="E417" s="88">
        <v>2.0</v>
      </c>
      <c r="F417" s="89" t="s">
        <v>657</v>
      </c>
      <c r="G417" s="92">
        <v>0.15</v>
      </c>
      <c r="H417" s="92">
        <v>0.15</v>
      </c>
      <c r="I417" s="92">
        <v>0.0</v>
      </c>
      <c r="J417" s="91">
        <v>0.0</v>
      </c>
      <c r="K417" s="241" t="s">
        <v>1781</v>
      </c>
      <c r="L417" s="1"/>
      <c r="M417" s="242" t="s">
        <v>1782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0" customHeight="1">
      <c r="A418" s="1"/>
      <c r="B418" s="88">
        <v>178.0</v>
      </c>
      <c r="C418" s="88" t="s">
        <v>612</v>
      </c>
      <c r="D418" s="89" t="s">
        <v>628</v>
      </c>
      <c r="E418" s="88">
        <v>3.0</v>
      </c>
      <c r="F418" s="89" t="s">
        <v>722</v>
      </c>
      <c r="G418" s="92">
        <v>0.1</v>
      </c>
      <c r="H418" s="92">
        <v>0.1</v>
      </c>
      <c r="I418" s="92">
        <v>0.0</v>
      </c>
      <c r="J418" s="91">
        <v>0.0</v>
      </c>
      <c r="K418" s="241" t="s">
        <v>1783</v>
      </c>
      <c r="L418" s="1"/>
      <c r="M418" s="242" t="s">
        <v>1784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0" customHeight="1">
      <c r="A419" s="1"/>
      <c r="B419" s="88">
        <v>178.0</v>
      </c>
      <c r="C419" s="88" t="s">
        <v>612</v>
      </c>
      <c r="D419" s="89" t="s">
        <v>628</v>
      </c>
      <c r="E419" s="88">
        <v>4.0</v>
      </c>
      <c r="F419" s="89" t="s">
        <v>573</v>
      </c>
      <c r="G419" s="92">
        <v>0.05</v>
      </c>
      <c r="H419" s="92">
        <v>0.05</v>
      </c>
      <c r="I419" s="92">
        <v>0.0</v>
      </c>
      <c r="J419" s="91">
        <v>0.0</v>
      </c>
      <c r="K419" s="241" t="s">
        <v>1785</v>
      </c>
      <c r="L419" s="1"/>
      <c r="M419" s="242" t="s">
        <v>1786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0" customHeight="1">
      <c r="A420" s="1"/>
      <c r="B420" s="88">
        <v>179.0</v>
      </c>
      <c r="C420" s="88" t="s">
        <v>612</v>
      </c>
      <c r="D420" s="89" t="s">
        <v>703</v>
      </c>
      <c r="E420" s="88">
        <v>1.0</v>
      </c>
      <c r="F420" s="89" t="s">
        <v>657</v>
      </c>
      <c r="G420" s="92">
        <v>0.95</v>
      </c>
      <c r="H420" s="92">
        <v>0.95</v>
      </c>
      <c r="I420" s="92">
        <v>0.0</v>
      </c>
      <c r="J420" s="91">
        <v>0.0</v>
      </c>
      <c r="K420" s="241" t="s">
        <v>1787</v>
      </c>
      <c r="L420" s="1"/>
      <c r="M420" s="242" t="s">
        <v>1788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0" customHeight="1">
      <c r="A421" s="1"/>
      <c r="B421" s="88">
        <v>179.0</v>
      </c>
      <c r="C421" s="88" t="s">
        <v>612</v>
      </c>
      <c r="D421" s="89" t="s">
        <v>703</v>
      </c>
      <c r="E421" s="88">
        <v>2.0</v>
      </c>
      <c r="F421" s="89" t="s">
        <v>573</v>
      </c>
      <c r="G421" s="92">
        <v>0.05</v>
      </c>
      <c r="H421" s="92">
        <v>0.05</v>
      </c>
      <c r="I421" s="92">
        <v>0.0</v>
      </c>
      <c r="J421" s="91">
        <v>0.0</v>
      </c>
      <c r="K421" s="241" t="s">
        <v>1789</v>
      </c>
      <c r="L421" s="1"/>
      <c r="M421" s="242" t="s">
        <v>1790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0" customHeight="1">
      <c r="A422" s="1"/>
      <c r="B422" s="88">
        <v>180.0</v>
      </c>
      <c r="C422" s="88" t="s">
        <v>612</v>
      </c>
      <c r="D422" s="89" t="s">
        <v>702</v>
      </c>
      <c r="E422" s="88">
        <v>1.0</v>
      </c>
      <c r="F422" s="89" t="s">
        <v>757</v>
      </c>
      <c r="G422" s="92">
        <v>0.7</v>
      </c>
      <c r="H422" s="92">
        <v>0.7</v>
      </c>
      <c r="I422" s="92">
        <v>0.0</v>
      </c>
      <c r="J422" s="91">
        <v>0.0</v>
      </c>
      <c r="K422" s="241" t="s">
        <v>1791</v>
      </c>
      <c r="L422" s="1"/>
      <c r="M422" s="242" t="s">
        <v>1792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0" customHeight="1">
      <c r="A423" s="1"/>
      <c r="B423" s="88">
        <v>180.0</v>
      </c>
      <c r="C423" s="88" t="s">
        <v>612</v>
      </c>
      <c r="D423" s="89" t="s">
        <v>702</v>
      </c>
      <c r="E423" s="88">
        <v>2.0</v>
      </c>
      <c r="F423" s="89" t="s">
        <v>752</v>
      </c>
      <c r="G423" s="92">
        <v>0.3</v>
      </c>
      <c r="H423" s="92">
        <v>0.3</v>
      </c>
      <c r="I423" s="92">
        <v>0.0</v>
      </c>
      <c r="J423" s="91">
        <v>0.0</v>
      </c>
      <c r="K423" s="241" t="s">
        <v>1793</v>
      </c>
      <c r="L423" s="1"/>
      <c r="M423" s="242" t="s">
        <v>1794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0" customHeight="1">
      <c r="A424" s="1"/>
      <c r="B424" s="88">
        <v>181.0</v>
      </c>
      <c r="C424" s="88" t="s">
        <v>691</v>
      </c>
      <c r="D424" s="89" t="s">
        <v>756</v>
      </c>
      <c r="E424" s="88">
        <v>1.0</v>
      </c>
      <c r="F424" s="89" t="s">
        <v>579</v>
      </c>
      <c r="G424" s="92">
        <v>0.51</v>
      </c>
      <c r="H424" s="92">
        <v>0.51</v>
      </c>
      <c r="I424" s="92">
        <v>0.0</v>
      </c>
      <c r="J424" s="91">
        <v>0.0</v>
      </c>
      <c r="K424" s="241" t="s">
        <v>1795</v>
      </c>
      <c r="L424" s="1"/>
      <c r="M424" s="242" t="s">
        <v>1796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0" customHeight="1">
      <c r="A425" s="1"/>
      <c r="B425" s="88">
        <v>181.0</v>
      </c>
      <c r="C425" s="88" t="s">
        <v>691</v>
      </c>
      <c r="D425" s="89" t="s">
        <v>756</v>
      </c>
      <c r="E425" s="88">
        <v>2.0</v>
      </c>
      <c r="F425" s="89" t="s">
        <v>593</v>
      </c>
      <c r="G425" s="92">
        <v>0.27</v>
      </c>
      <c r="H425" s="92">
        <v>0.27</v>
      </c>
      <c r="I425" s="92">
        <v>0.0</v>
      </c>
      <c r="J425" s="91">
        <v>0.0</v>
      </c>
      <c r="K425" s="241" t="s">
        <v>1797</v>
      </c>
      <c r="L425" s="1"/>
      <c r="M425" s="242" t="s">
        <v>1798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0" customHeight="1">
      <c r="A426" s="1"/>
      <c r="B426" s="88">
        <v>181.0</v>
      </c>
      <c r="C426" s="88" t="s">
        <v>691</v>
      </c>
      <c r="D426" s="89" t="s">
        <v>756</v>
      </c>
      <c r="E426" s="88">
        <v>3.0</v>
      </c>
      <c r="F426" s="89" t="s">
        <v>585</v>
      </c>
      <c r="G426" s="92">
        <v>0.22</v>
      </c>
      <c r="H426" s="92">
        <v>0.22</v>
      </c>
      <c r="I426" s="92">
        <v>0.0</v>
      </c>
      <c r="J426" s="91">
        <v>0.0</v>
      </c>
      <c r="K426" s="241" t="s">
        <v>1799</v>
      </c>
      <c r="L426" s="1"/>
      <c r="M426" s="242" t="s">
        <v>1800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0" customHeight="1">
      <c r="A427" s="1"/>
      <c r="B427" s="88">
        <v>182.0</v>
      </c>
      <c r="C427" s="88" t="s">
        <v>691</v>
      </c>
      <c r="D427" s="89" t="s">
        <v>701</v>
      </c>
      <c r="E427" s="88">
        <v>1.0</v>
      </c>
      <c r="F427" s="89" t="s">
        <v>756</v>
      </c>
      <c r="G427" s="92">
        <v>0.85</v>
      </c>
      <c r="H427" s="92">
        <v>0.85</v>
      </c>
      <c r="I427" s="92">
        <v>0.0</v>
      </c>
      <c r="J427" s="91">
        <v>0.0</v>
      </c>
      <c r="K427" s="241" t="s">
        <v>1801</v>
      </c>
      <c r="L427" s="1"/>
      <c r="M427" s="242" t="s">
        <v>1802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0" customHeight="1">
      <c r="A428" s="1"/>
      <c r="B428" s="88">
        <v>182.0</v>
      </c>
      <c r="C428" s="88" t="s">
        <v>691</v>
      </c>
      <c r="D428" s="89" t="s">
        <v>701</v>
      </c>
      <c r="E428" s="88">
        <v>2.0</v>
      </c>
      <c r="F428" s="89" t="s">
        <v>401</v>
      </c>
      <c r="G428" s="92">
        <v>0.15</v>
      </c>
      <c r="H428" s="92">
        <v>0.15</v>
      </c>
      <c r="I428" s="92">
        <v>0.0</v>
      </c>
      <c r="J428" s="91">
        <v>0.0</v>
      </c>
      <c r="K428" s="241" t="s">
        <v>1803</v>
      </c>
      <c r="L428" s="1"/>
      <c r="M428" s="242" t="s">
        <v>1804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0" customHeight="1">
      <c r="A429" s="1"/>
      <c r="B429" s="88">
        <v>183.0</v>
      </c>
      <c r="C429" s="88" t="s">
        <v>691</v>
      </c>
      <c r="D429" s="89" t="s">
        <v>692</v>
      </c>
      <c r="E429" s="88">
        <v>1.0</v>
      </c>
      <c r="F429" s="89" t="s">
        <v>756</v>
      </c>
      <c r="G429" s="92">
        <v>0.7</v>
      </c>
      <c r="H429" s="92">
        <v>0.7</v>
      </c>
      <c r="I429" s="92">
        <v>0.0</v>
      </c>
      <c r="J429" s="91">
        <v>0.0</v>
      </c>
      <c r="K429" s="241" t="s">
        <v>1805</v>
      </c>
      <c r="L429" s="1"/>
      <c r="M429" s="242" t="s">
        <v>1806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0" customHeight="1">
      <c r="A430" s="1"/>
      <c r="B430" s="88">
        <v>183.0</v>
      </c>
      <c r="C430" s="88" t="s">
        <v>691</v>
      </c>
      <c r="D430" s="89" t="s">
        <v>692</v>
      </c>
      <c r="E430" s="88">
        <v>2.0</v>
      </c>
      <c r="F430" s="89" t="s">
        <v>750</v>
      </c>
      <c r="G430" s="92">
        <v>0.3</v>
      </c>
      <c r="H430" s="92">
        <v>0.3</v>
      </c>
      <c r="I430" s="92">
        <v>0.0</v>
      </c>
      <c r="J430" s="91">
        <v>0.0</v>
      </c>
      <c r="K430" s="241" t="s">
        <v>1807</v>
      </c>
      <c r="L430" s="1"/>
      <c r="M430" s="242" t="s">
        <v>1808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0" customHeight="1">
      <c r="A431" s="1"/>
      <c r="B431" s="88">
        <v>184.0</v>
      </c>
      <c r="C431" s="88" t="s">
        <v>691</v>
      </c>
      <c r="D431" s="89" t="s">
        <v>698</v>
      </c>
      <c r="E431" s="88">
        <v>1.0</v>
      </c>
      <c r="F431" s="89" t="s">
        <v>756</v>
      </c>
      <c r="G431" s="92">
        <v>0.8</v>
      </c>
      <c r="H431" s="92">
        <v>0.8</v>
      </c>
      <c r="I431" s="92">
        <v>0.0</v>
      </c>
      <c r="J431" s="91">
        <v>0.0</v>
      </c>
      <c r="K431" s="241" t="s">
        <v>1809</v>
      </c>
      <c r="L431" s="1"/>
      <c r="M431" s="242" t="s">
        <v>1810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0" customHeight="1">
      <c r="A432" s="1"/>
      <c r="B432" s="88">
        <v>184.0</v>
      </c>
      <c r="C432" s="88" t="s">
        <v>691</v>
      </c>
      <c r="D432" s="89" t="s">
        <v>698</v>
      </c>
      <c r="E432" s="88">
        <v>2.0</v>
      </c>
      <c r="F432" s="89" t="s">
        <v>400</v>
      </c>
      <c r="G432" s="92">
        <v>0.2</v>
      </c>
      <c r="H432" s="92">
        <v>0.2</v>
      </c>
      <c r="I432" s="92">
        <v>0.0</v>
      </c>
      <c r="J432" s="91">
        <v>0.0</v>
      </c>
      <c r="K432" s="241" t="s">
        <v>1811</v>
      </c>
      <c r="L432" s="1"/>
      <c r="M432" s="242" t="s">
        <v>1812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0" customHeight="1">
      <c r="A433" s="1"/>
      <c r="B433" s="88">
        <v>185.0</v>
      </c>
      <c r="C433" s="88" t="s">
        <v>691</v>
      </c>
      <c r="D433" s="89" t="s">
        <v>779</v>
      </c>
      <c r="E433" s="88">
        <v>1.0</v>
      </c>
      <c r="F433" s="89" t="s">
        <v>579</v>
      </c>
      <c r="G433" s="92">
        <v>0.145</v>
      </c>
      <c r="H433" s="92">
        <v>0.145</v>
      </c>
      <c r="I433" s="92">
        <v>0.0</v>
      </c>
      <c r="J433" s="91">
        <v>0.0</v>
      </c>
      <c r="K433" s="241" t="s">
        <v>1813</v>
      </c>
      <c r="L433" s="1"/>
      <c r="M433" s="242" t="s">
        <v>1814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0" customHeight="1">
      <c r="A434" s="1"/>
      <c r="B434" s="88">
        <v>185.0</v>
      </c>
      <c r="C434" s="88" t="s">
        <v>691</v>
      </c>
      <c r="D434" s="89" t="s">
        <v>779</v>
      </c>
      <c r="E434" s="88">
        <v>2.0</v>
      </c>
      <c r="F434" s="89" t="s">
        <v>593</v>
      </c>
      <c r="G434" s="92">
        <v>0.17</v>
      </c>
      <c r="H434" s="92">
        <v>0.17</v>
      </c>
      <c r="I434" s="92">
        <v>0.0</v>
      </c>
      <c r="J434" s="91">
        <v>0.0</v>
      </c>
      <c r="K434" s="241" t="s">
        <v>1815</v>
      </c>
      <c r="L434" s="1"/>
      <c r="M434" s="242" t="s">
        <v>1816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0" customHeight="1">
      <c r="A435" s="1"/>
      <c r="B435" s="88">
        <v>185.0</v>
      </c>
      <c r="C435" s="88" t="s">
        <v>691</v>
      </c>
      <c r="D435" s="89" t="s">
        <v>779</v>
      </c>
      <c r="E435" s="88">
        <v>3.0</v>
      </c>
      <c r="F435" s="89" t="s">
        <v>578</v>
      </c>
      <c r="G435" s="92">
        <v>0.62</v>
      </c>
      <c r="H435" s="92">
        <v>0.62</v>
      </c>
      <c r="I435" s="92">
        <v>0.0</v>
      </c>
      <c r="J435" s="91">
        <v>0.0</v>
      </c>
      <c r="K435" s="241" t="s">
        <v>1817</v>
      </c>
      <c r="L435" s="1"/>
      <c r="M435" s="242" t="s">
        <v>1818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0" customHeight="1">
      <c r="A436" s="1"/>
      <c r="B436" s="88">
        <v>185.0</v>
      </c>
      <c r="C436" s="88" t="s">
        <v>691</v>
      </c>
      <c r="D436" s="89" t="s">
        <v>779</v>
      </c>
      <c r="E436" s="88">
        <v>4.0</v>
      </c>
      <c r="F436" s="89" t="s">
        <v>585</v>
      </c>
      <c r="G436" s="92">
        <v>0.065</v>
      </c>
      <c r="H436" s="92">
        <v>0.065</v>
      </c>
      <c r="I436" s="92">
        <v>0.0</v>
      </c>
      <c r="J436" s="91">
        <v>0.0</v>
      </c>
      <c r="K436" s="241" t="s">
        <v>1819</v>
      </c>
      <c r="L436" s="1"/>
      <c r="M436" s="242" t="s">
        <v>1820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0" customHeight="1">
      <c r="A437" s="1"/>
      <c r="B437" s="88">
        <v>186.0</v>
      </c>
      <c r="C437" s="88" t="s">
        <v>656</v>
      </c>
      <c r="D437" s="89" t="s">
        <v>782</v>
      </c>
      <c r="E437" s="88">
        <v>1.0</v>
      </c>
      <c r="F437" s="89" t="s">
        <v>579</v>
      </c>
      <c r="G437" s="92">
        <v>0.045</v>
      </c>
      <c r="H437" s="92">
        <v>0.045</v>
      </c>
      <c r="I437" s="92">
        <v>0.0</v>
      </c>
      <c r="J437" s="91">
        <v>0.0</v>
      </c>
      <c r="K437" s="241" t="s">
        <v>1821</v>
      </c>
      <c r="L437" s="1"/>
      <c r="M437" s="242" t="s">
        <v>1822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0" customHeight="1">
      <c r="A438" s="1"/>
      <c r="B438" s="88">
        <v>186.0</v>
      </c>
      <c r="C438" s="88" t="s">
        <v>656</v>
      </c>
      <c r="D438" s="89" t="s">
        <v>782</v>
      </c>
      <c r="E438" s="88">
        <v>2.0</v>
      </c>
      <c r="F438" s="89" t="s">
        <v>593</v>
      </c>
      <c r="G438" s="92">
        <v>0.17</v>
      </c>
      <c r="H438" s="92">
        <v>0.17</v>
      </c>
      <c r="I438" s="92">
        <v>0.0</v>
      </c>
      <c r="J438" s="91">
        <v>0.0</v>
      </c>
      <c r="K438" s="241" t="s">
        <v>1823</v>
      </c>
      <c r="L438" s="1"/>
      <c r="M438" s="242" t="s">
        <v>1824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0" customHeight="1">
      <c r="A439" s="1"/>
      <c r="B439" s="88">
        <v>186.0</v>
      </c>
      <c r="C439" s="88" t="s">
        <v>656</v>
      </c>
      <c r="D439" s="89" t="s">
        <v>782</v>
      </c>
      <c r="E439" s="88">
        <v>3.0</v>
      </c>
      <c r="F439" s="89" t="s">
        <v>594</v>
      </c>
      <c r="G439" s="92">
        <v>0.1</v>
      </c>
      <c r="H439" s="92">
        <v>0.1</v>
      </c>
      <c r="I439" s="92">
        <v>0.0</v>
      </c>
      <c r="J439" s="91">
        <v>0.0</v>
      </c>
      <c r="K439" s="241" t="s">
        <v>1825</v>
      </c>
      <c r="L439" s="1"/>
      <c r="M439" s="242" t="s">
        <v>1826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0" customHeight="1">
      <c r="A440" s="1"/>
      <c r="B440" s="88">
        <v>186.0</v>
      </c>
      <c r="C440" s="88" t="s">
        <v>656</v>
      </c>
      <c r="D440" s="89" t="s">
        <v>782</v>
      </c>
      <c r="E440" s="88">
        <v>4.0</v>
      </c>
      <c r="F440" s="89" t="s">
        <v>577</v>
      </c>
      <c r="G440" s="92">
        <v>0.625</v>
      </c>
      <c r="H440" s="92">
        <v>0.625</v>
      </c>
      <c r="I440" s="92">
        <v>0.0</v>
      </c>
      <c r="J440" s="91">
        <v>0.0</v>
      </c>
      <c r="K440" s="241" t="s">
        <v>1827</v>
      </c>
      <c r="L440" s="1"/>
      <c r="M440" s="242" t="s">
        <v>1828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0" customHeight="1">
      <c r="A441" s="1"/>
      <c r="B441" s="88">
        <v>186.0</v>
      </c>
      <c r="C441" s="88" t="s">
        <v>656</v>
      </c>
      <c r="D441" s="89" t="s">
        <v>782</v>
      </c>
      <c r="E441" s="88">
        <v>5.0</v>
      </c>
      <c r="F441" s="89" t="s">
        <v>549</v>
      </c>
      <c r="G441" s="92">
        <v>0.06</v>
      </c>
      <c r="H441" s="92">
        <v>0.06</v>
      </c>
      <c r="I441" s="92">
        <v>0.0</v>
      </c>
      <c r="J441" s="91">
        <v>0.0</v>
      </c>
      <c r="K441" s="241" t="s">
        <v>1829</v>
      </c>
      <c r="L441" s="1"/>
      <c r="M441" s="242" t="s">
        <v>1830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0" customHeight="1">
      <c r="A442" s="1"/>
      <c r="B442" s="88">
        <v>187.0</v>
      </c>
      <c r="C442" s="88" t="s">
        <v>656</v>
      </c>
      <c r="D442" s="89" t="s">
        <v>763</v>
      </c>
      <c r="E442" s="88">
        <v>1.0</v>
      </c>
      <c r="F442" s="89" t="s">
        <v>579</v>
      </c>
      <c r="G442" s="92">
        <v>0.21</v>
      </c>
      <c r="H442" s="92">
        <v>0.21</v>
      </c>
      <c r="I442" s="92">
        <v>0.0</v>
      </c>
      <c r="J442" s="91">
        <v>0.0</v>
      </c>
      <c r="K442" s="241" t="s">
        <v>1831</v>
      </c>
      <c r="L442" s="1"/>
      <c r="M442" s="242" t="s">
        <v>1832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0" customHeight="1">
      <c r="A443" s="1"/>
      <c r="B443" s="88">
        <v>187.0</v>
      </c>
      <c r="C443" s="88" t="s">
        <v>656</v>
      </c>
      <c r="D443" s="89" t="s">
        <v>763</v>
      </c>
      <c r="E443" s="88">
        <v>2.0</v>
      </c>
      <c r="F443" s="89" t="s">
        <v>594</v>
      </c>
      <c r="G443" s="92">
        <v>0.25</v>
      </c>
      <c r="H443" s="92">
        <v>0.25</v>
      </c>
      <c r="I443" s="92">
        <v>0.0</v>
      </c>
      <c r="J443" s="91">
        <v>0.0</v>
      </c>
      <c r="K443" s="241" t="s">
        <v>1833</v>
      </c>
      <c r="L443" s="1"/>
      <c r="M443" s="242" t="s">
        <v>1834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0" customHeight="1">
      <c r="A444" s="1"/>
      <c r="B444" s="88">
        <v>187.0</v>
      </c>
      <c r="C444" s="88" t="s">
        <v>656</v>
      </c>
      <c r="D444" s="89" t="s">
        <v>763</v>
      </c>
      <c r="E444" s="88">
        <v>3.0</v>
      </c>
      <c r="F444" s="89" t="s">
        <v>593</v>
      </c>
      <c r="G444" s="92">
        <v>0.15</v>
      </c>
      <c r="H444" s="92">
        <v>0.15</v>
      </c>
      <c r="I444" s="92">
        <v>0.0</v>
      </c>
      <c r="J444" s="91">
        <v>0.0</v>
      </c>
      <c r="K444" s="241" t="s">
        <v>1835</v>
      </c>
      <c r="L444" s="1"/>
      <c r="M444" s="242" t="s">
        <v>1836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0" customHeight="1">
      <c r="A445" s="1"/>
      <c r="B445" s="88">
        <v>187.0</v>
      </c>
      <c r="C445" s="88" t="s">
        <v>656</v>
      </c>
      <c r="D445" s="89" t="s">
        <v>763</v>
      </c>
      <c r="E445" s="88">
        <v>4.0</v>
      </c>
      <c r="F445" s="89" t="s">
        <v>549</v>
      </c>
      <c r="G445" s="92">
        <v>0.15</v>
      </c>
      <c r="H445" s="92">
        <v>0.15</v>
      </c>
      <c r="I445" s="92">
        <v>0.0</v>
      </c>
      <c r="J445" s="91">
        <v>0.0</v>
      </c>
      <c r="K445" s="241" t="s">
        <v>1837</v>
      </c>
      <c r="L445" s="1"/>
      <c r="M445" s="242" t="s">
        <v>1838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0" customHeight="1">
      <c r="A446" s="1"/>
      <c r="B446" s="88">
        <v>187.0</v>
      </c>
      <c r="C446" s="88" t="s">
        <v>656</v>
      </c>
      <c r="D446" s="89" t="s">
        <v>763</v>
      </c>
      <c r="E446" s="88">
        <v>5.0</v>
      </c>
      <c r="F446" s="89" t="s">
        <v>537</v>
      </c>
      <c r="G446" s="92">
        <v>0.035</v>
      </c>
      <c r="H446" s="92">
        <v>0.035</v>
      </c>
      <c r="I446" s="92">
        <v>0.0</v>
      </c>
      <c r="J446" s="91">
        <v>0.0</v>
      </c>
      <c r="K446" s="241" t="s">
        <v>1839</v>
      </c>
      <c r="L446" s="1"/>
      <c r="M446" s="242" t="s">
        <v>1840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0" customHeight="1">
      <c r="A447" s="1"/>
      <c r="B447" s="88">
        <v>187.0</v>
      </c>
      <c r="C447" s="88" t="s">
        <v>656</v>
      </c>
      <c r="D447" s="89" t="s">
        <v>763</v>
      </c>
      <c r="E447" s="88">
        <v>6.0</v>
      </c>
      <c r="F447" s="89" t="s">
        <v>541</v>
      </c>
      <c r="G447" s="92">
        <v>0.005</v>
      </c>
      <c r="H447" s="92">
        <v>0.005</v>
      </c>
      <c r="I447" s="92">
        <v>0.0</v>
      </c>
      <c r="J447" s="91">
        <v>0.0</v>
      </c>
      <c r="K447" s="241" t="s">
        <v>1841</v>
      </c>
      <c r="L447" s="1"/>
      <c r="M447" s="242" t="s">
        <v>1842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0" customHeight="1">
      <c r="A448" s="1"/>
      <c r="B448" s="88">
        <v>187.0</v>
      </c>
      <c r="C448" s="88" t="s">
        <v>656</v>
      </c>
      <c r="D448" s="89" t="s">
        <v>763</v>
      </c>
      <c r="E448" s="88">
        <v>7.0</v>
      </c>
      <c r="F448" s="89" t="s">
        <v>553</v>
      </c>
      <c r="G448" s="92">
        <v>0.2</v>
      </c>
      <c r="H448" s="92">
        <v>0.2</v>
      </c>
      <c r="I448" s="92">
        <v>0.0</v>
      </c>
      <c r="J448" s="91">
        <v>0.0</v>
      </c>
      <c r="K448" s="241" t="s">
        <v>1843</v>
      </c>
      <c r="L448" s="1"/>
      <c r="M448" s="242" t="s">
        <v>1844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0" customHeight="1">
      <c r="A449" s="1"/>
      <c r="B449" s="88">
        <v>188.0</v>
      </c>
      <c r="C449" s="88" t="s">
        <v>656</v>
      </c>
      <c r="D449" s="89" t="s">
        <v>826</v>
      </c>
      <c r="E449" s="88">
        <v>1.0</v>
      </c>
      <c r="F449" s="89" t="s">
        <v>579</v>
      </c>
      <c r="G449" s="92">
        <v>0.21</v>
      </c>
      <c r="H449" s="92">
        <v>0.21</v>
      </c>
      <c r="I449" s="92">
        <v>0.0</v>
      </c>
      <c r="J449" s="91">
        <v>0.0</v>
      </c>
      <c r="K449" s="241" t="s">
        <v>1845</v>
      </c>
      <c r="L449" s="1"/>
      <c r="M449" s="242" t="s">
        <v>1846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0" customHeight="1">
      <c r="A450" s="1"/>
      <c r="B450" s="88">
        <v>188.0</v>
      </c>
      <c r="C450" s="88" t="s">
        <v>656</v>
      </c>
      <c r="D450" s="89" t="s">
        <v>826</v>
      </c>
      <c r="E450" s="88">
        <v>2.0</v>
      </c>
      <c r="F450" s="89" t="s">
        <v>594</v>
      </c>
      <c r="G450" s="92">
        <v>0.31</v>
      </c>
      <c r="H450" s="92">
        <v>0.31</v>
      </c>
      <c r="I450" s="92">
        <v>0.0</v>
      </c>
      <c r="J450" s="91">
        <v>0.0</v>
      </c>
      <c r="K450" s="241" t="s">
        <v>1847</v>
      </c>
      <c r="L450" s="1"/>
      <c r="M450" s="242" t="s">
        <v>1848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0" customHeight="1">
      <c r="A451" s="1"/>
      <c r="B451" s="88">
        <v>188.0</v>
      </c>
      <c r="C451" s="88" t="s">
        <v>656</v>
      </c>
      <c r="D451" s="89" t="s">
        <v>826</v>
      </c>
      <c r="E451" s="88">
        <v>3.0</v>
      </c>
      <c r="F451" s="89" t="s">
        <v>593</v>
      </c>
      <c r="G451" s="92">
        <v>0.15</v>
      </c>
      <c r="H451" s="92">
        <v>0.15</v>
      </c>
      <c r="I451" s="92">
        <v>0.0</v>
      </c>
      <c r="J451" s="91">
        <v>0.0</v>
      </c>
      <c r="K451" s="241" t="s">
        <v>1849</v>
      </c>
      <c r="L451" s="1"/>
      <c r="M451" s="242" t="s">
        <v>1850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0" customHeight="1">
      <c r="A452" s="1"/>
      <c r="B452" s="88">
        <v>188.0</v>
      </c>
      <c r="C452" s="88" t="s">
        <v>656</v>
      </c>
      <c r="D452" s="89" t="s">
        <v>826</v>
      </c>
      <c r="E452" s="88">
        <v>4.0</v>
      </c>
      <c r="F452" s="89" t="s">
        <v>549</v>
      </c>
      <c r="G452" s="92">
        <v>0.11</v>
      </c>
      <c r="H452" s="92">
        <v>0.11</v>
      </c>
      <c r="I452" s="92">
        <v>0.0</v>
      </c>
      <c r="J452" s="91">
        <v>0.0</v>
      </c>
      <c r="K452" s="241" t="s">
        <v>1851</v>
      </c>
      <c r="L452" s="1"/>
      <c r="M452" s="242" t="s">
        <v>1852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0" customHeight="1">
      <c r="A453" s="1"/>
      <c r="B453" s="88">
        <v>188.0</v>
      </c>
      <c r="C453" s="88" t="s">
        <v>656</v>
      </c>
      <c r="D453" s="89" t="s">
        <v>826</v>
      </c>
      <c r="E453" s="88">
        <v>5.0</v>
      </c>
      <c r="F453" s="89" t="s">
        <v>556</v>
      </c>
      <c r="G453" s="92">
        <v>0.22</v>
      </c>
      <c r="H453" s="92">
        <v>0.22</v>
      </c>
      <c r="I453" s="92">
        <v>0.0</v>
      </c>
      <c r="J453" s="91">
        <v>0.0</v>
      </c>
      <c r="K453" s="241" t="s">
        <v>1853</v>
      </c>
      <c r="L453" s="1"/>
      <c r="M453" s="242" t="s">
        <v>1854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0" customHeight="1">
      <c r="A454" s="1"/>
      <c r="B454" s="88">
        <v>189.0</v>
      </c>
      <c r="C454" s="88" t="s">
        <v>656</v>
      </c>
      <c r="D454" s="89" t="s">
        <v>784</v>
      </c>
      <c r="E454" s="88">
        <v>1.0</v>
      </c>
      <c r="F454" s="89" t="s">
        <v>579</v>
      </c>
      <c r="G454" s="92">
        <v>0.2</v>
      </c>
      <c r="H454" s="92">
        <v>0.2</v>
      </c>
      <c r="I454" s="92">
        <v>0.0</v>
      </c>
      <c r="J454" s="91">
        <v>0.0</v>
      </c>
      <c r="K454" s="241" t="s">
        <v>1855</v>
      </c>
      <c r="L454" s="1"/>
      <c r="M454" s="242" t="s">
        <v>1856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0" customHeight="1">
      <c r="A455" s="1"/>
      <c r="B455" s="88">
        <v>189.0</v>
      </c>
      <c r="C455" s="88" t="s">
        <v>656</v>
      </c>
      <c r="D455" s="89" t="s">
        <v>784</v>
      </c>
      <c r="E455" s="88">
        <v>2.0</v>
      </c>
      <c r="F455" s="89" t="s">
        <v>594</v>
      </c>
      <c r="G455" s="92">
        <v>0.29</v>
      </c>
      <c r="H455" s="92">
        <v>0.29</v>
      </c>
      <c r="I455" s="92">
        <v>0.0</v>
      </c>
      <c r="J455" s="91">
        <v>0.0</v>
      </c>
      <c r="K455" s="241" t="s">
        <v>1857</v>
      </c>
      <c r="L455" s="1"/>
      <c r="M455" s="242" t="s">
        <v>1858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0" customHeight="1">
      <c r="A456" s="1"/>
      <c r="B456" s="88">
        <v>189.0</v>
      </c>
      <c r="C456" s="88" t="s">
        <v>656</v>
      </c>
      <c r="D456" s="89" t="s">
        <v>784</v>
      </c>
      <c r="E456" s="88">
        <v>3.0</v>
      </c>
      <c r="F456" s="89" t="s">
        <v>593</v>
      </c>
      <c r="G456" s="92">
        <v>0.155</v>
      </c>
      <c r="H456" s="92">
        <v>0.155</v>
      </c>
      <c r="I456" s="92">
        <v>0.0</v>
      </c>
      <c r="J456" s="91">
        <v>0.0</v>
      </c>
      <c r="K456" s="241" t="s">
        <v>1859</v>
      </c>
      <c r="L456" s="1"/>
      <c r="M456" s="242" t="s">
        <v>1860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0" customHeight="1">
      <c r="A457" s="1"/>
      <c r="B457" s="88">
        <v>189.0</v>
      </c>
      <c r="C457" s="88" t="s">
        <v>656</v>
      </c>
      <c r="D457" s="89" t="s">
        <v>784</v>
      </c>
      <c r="E457" s="88">
        <v>4.0</v>
      </c>
      <c r="F457" s="89" t="s">
        <v>549</v>
      </c>
      <c r="G457" s="92">
        <v>0.125</v>
      </c>
      <c r="H457" s="92">
        <v>0.125</v>
      </c>
      <c r="I457" s="92">
        <v>0.0</v>
      </c>
      <c r="J457" s="91">
        <v>0.0</v>
      </c>
      <c r="K457" s="241" t="s">
        <v>1861</v>
      </c>
      <c r="L457" s="1"/>
      <c r="M457" s="242" t="s">
        <v>1862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0" customHeight="1">
      <c r="A458" s="1"/>
      <c r="B458" s="88">
        <v>189.0</v>
      </c>
      <c r="C458" s="88" t="s">
        <v>656</v>
      </c>
      <c r="D458" s="89" t="s">
        <v>784</v>
      </c>
      <c r="E458" s="88">
        <v>5.0</v>
      </c>
      <c r="F458" s="89" t="s">
        <v>949</v>
      </c>
      <c r="G458" s="92">
        <v>0.23</v>
      </c>
      <c r="H458" s="92">
        <v>0.23</v>
      </c>
      <c r="I458" s="92">
        <v>0.0</v>
      </c>
      <c r="J458" s="91">
        <v>0.0</v>
      </c>
      <c r="K458" s="241" t="s">
        <v>1863</v>
      </c>
      <c r="L458" s="1"/>
      <c r="M458" s="242" t="s">
        <v>1864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0" customHeight="1">
      <c r="A459" s="1"/>
      <c r="B459" s="88">
        <v>190.0</v>
      </c>
      <c r="C459" s="88" t="s">
        <v>656</v>
      </c>
      <c r="D459" s="89" t="s">
        <v>765</v>
      </c>
      <c r="E459" s="88">
        <v>1.0</v>
      </c>
      <c r="F459" s="89" t="s">
        <v>579</v>
      </c>
      <c r="G459" s="92">
        <v>0.17</v>
      </c>
      <c r="H459" s="92">
        <v>0.17</v>
      </c>
      <c r="I459" s="92">
        <v>0.0</v>
      </c>
      <c r="J459" s="91">
        <v>0.0</v>
      </c>
      <c r="K459" s="241" t="s">
        <v>1865</v>
      </c>
      <c r="L459" s="1"/>
      <c r="M459" s="242" t="s">
        <v>1866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0" customHeight="1">
      <c r="A460" s="1"/>
      <c r="B460" s="88">
        <v>190.0</v>
      </c>
      <c r="C460" s="88" t="s">
        <v>656</v>
      </c>
      <c r="D460" s="89" t="s">
        <v>765</v>
      </c>
      <c r="E460" s="88">
        <v>2.0</v>
      </c>
      <c r="F460" s="89" t="s">
        <v>594</v>
      </c>
      <c r="G460" s="92">
        <v>0.3</v>
      </c>
      <c r="H460" s="92">
        <v>0.3</v>
      </c>
      <c r="I460" s="92">
        <v>0.0</v>
      </c>
      <c r="J460" s="91">
        <v>0.0</v>
      </c>
      <c r="K460" s="241" t="s">
        <v>1867</v>
      </c>
      <c r="L460" s="1"/>
      <c r="M460" s="242" t="s">
        <v>1868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0" customHeight="1">
      <c r="A461" s="1"/>
      <c r="B461" s="88">
        <v>190.0</v>
      </c>
      <c r="C461" s="88" t="s">
        <v>656</v>
      </c>
      <c r="D461" s="89" t="s">
        <v>765</v>
      </c>
      <c r="E461" s="88">
        <v>3.0</v>
      </c>
      <c r="F461" s="89" t="s">
        <v>593</v>
      </c>
      <c r="G461" s="92">
        <v>0.15</v>
      </c>
      <c r="H461" s="92">
        <v>0.15</v>
      </c>
      <c r="I461" s="92">
        <v>0.0</v>
      </c>
      <c r="J461" s="91">
        <v>0.0</v>
      </c>
      <c r="K461" s="241" t="s">
        <v>1869</v>
      </c>
      <c r="L461" s="1"/>
      <c r="M461" s="242" t="s">
        <v>1870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0" customHeight="1">
      <c r="A462" s="1"/>
      <c r="B462" s="88">
        <v>190.0</v>
      </c>
      <c r="C462" s="88" t="s">
        <v>656</v>
      </c>
      <c r="D462" s="89" t="s">
        <v>765</v>
      </c>
      <c r="E462" s="88">
        <v>4.0</v>
      </c>
      <c r="F462" s="89" t="s">
        <v>549</v>
      </c>
      <c r="G462" s="92">
        <v>0.13</v>
      </c>
      <c r="H462" s="92">
        <v>0.13</v>
      </c>
      <c r="I462" s="92">
        <v>0.0</v>
      </c>
      <c r="J462" s="91">
        <v>0.0</v>
      </c>
      <c r="K462" s="241" t="s">
        <v>1871</v>
      </c>
      <c r="L462" s="1"/>
      <c r="M462" s="242" t="s">
        <v>1872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0" customHeight="1">
      <c r="A463" s="1"/>
      <c r="B463" s="88">
        <v>190.0</v>
      </c>
      <c r="C463" s="88" t="s">
        <v>656</v>
      </c>
      <c r="D463" s="89" t="s">
        <v>765</v>
      </c>
      <c r="E463" s="88">
        <v>5.0</v>
      </c>
      <c r="F463" s="89" t="s">
        <v>554</v>
      </c>
      <c r="G463" s="92">
        <v>0.25</v>
      </c>
      <c r="H463" s="92">
        <v>0.25</v>
      </c>
      <c r="I463" s="92">
        <v>0.0</v>
      </c>
      <c r="J463" s="91">
        <v>0.0</v>
      </c>
      <c r="K463" s="241" t="s">
        <v>1873</v>
      </c>
      <c r="L463" s="1"/>
      <c r="M463" s="242" t="s">
        <v>1874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0" customHeight="1">
      <c r="A464" s="1"/>
      <c r="B464" s="88">
        <v>191.0</v>
      </c>
      <c r="C464" s="88" t="s">
        <v>656</v>
      </c>
      <c r="D464" s="89" t="s">
        <v>707</v>
      </c>
      <c r="E464" s="88">
        <v>1.0</v>
      </c>
      <c r="F464" s="89" t="s">
        <v>579</v>
      </c>
      <c r="G464" s="92">
        <v>0.07</v>
      </c>
      <c r="H464" s="92">
        <v>0.07</v>
      </c>
      <c r="I464" s="92">
        <v>0.0</v>
      </c>
      <c r="J464" s="91">
        <v>0.0</v>
      </c>
      <c r="K464" s="241" t="s">
        <v>1875</v>
      </c>
      <c r="L464" s="1"/>
      <c r="M464" s="242" t="s">
        <v>1876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0" customHeight="1">
      <c r="A465" s="1"/>
      <c r="B465" s="88">
        <v>191.0</v>
      </c>
      <c r="C465" s="88" t="s">
        <v>656</v>
      </c>
      <c r="D465" s="89" t="s">
        <v>707</v>
      </c>
      <c r="E465" s="88">
        <v>2.0</v>
      </c>
      <c r="F465" s="89" t="s">
        <v>594</v>
      </c>
      <c r="G465" s="92">
        <v>0.45</v>
      </c>
      <c r="H465" s="92">
        <v>0.45</v>
      </c>
      <c r="I465" s="92">
        <v>0.0</v>
      </c>
      <c r="J465" s="91">
        <v>0.0</v>
      </c>
      <c r="K465" s="241" t="s">
        <v>1877</v>
      </c>
      <c r="L465" s="1"/>
      <c r="M465" s="242" t="s">
        <v>1878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0" customHeight="1">
      <c r="A466" s="1"/>
      <c r="B466" s="88">
        <v>191.0</v>
      </c>
      <c r="C466" s="88" t="s">
        <v>656</v>
      </c>
      <c r="D466" s="89" t="s">
        <v>707</v>
      </c>
      <c r="E466" s="88">
        <v>3.0</v>
      </c>
      <c r="F466" s="89" t="s">
        <v>593</v>
      </c>
      <c r="G466" s="92">
        <v>0.1</v>
      </c>
      <c r="H466" s="92">
        <v>0.1</v>
      </c>
      <c r="I466" s="92">
        <v>0.0</v>
      </c>
      <c r="J466" s="91">
        <v>0.0</v>
      </c>
      <c r="K466" s="241" t="s">
        <v>1879</v>
      </c>
      <c r="L466" s="1"/>
      <c r="M466" s="242" t="s">
        <v>1880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0" customHeight="1">
      <c r="A467" s="1"/>
      <c r="B467" s="88">
        <v>191.0</v>
      </c>
      <c r="C467" s="88" t="s">
        <v>656</v>
      </c>
      <c r="D467" s="89" t="s">
        <v>707</v>
      </c>
      <c r="E467" s="88">
        <v>4.0</v>
      </c>
      <c r="F467" s="89" t="s">
        <v>549</v>
      </c>
      <c r="G467" s="92">
        <v>0.14</v>
      </c>
      <c r="H467" s="92">
        <v>0.14</v>
      </c>
      <c r="I467" s="92">
        <v>0.0</v>
      </c>
      <c r="J467" s="91">
        <v>0.0</v>
      </c>
      <c r="K467" s="241" t="s">
        <v>1881</v>
      </c>
      <c r="L467" s="1"/>
      <c r="M467" s="242" t="s">
        <v>1882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0" customHeight="1">
      <c r="A468" s="1"/>
      <c r="B468" s="88">
        <v>191.0</v>
      </c>
      <c r="C468" s="88" t="s">
        <v>656</v>
      </c>
      <c r="D468" s="89" t="s">
        <v>707</v>
      </c>
      <c r="E468" s="88">
        <v>5.0</v>
      </c>
      <c r="F468" s="89" t="s">
        <v>537</v>
      </c>
      <c r="G468" s="92">
        <v>0.035</v>
      </c>
      <c r="H468" s="92">
        <v>0.035</v>
      </c>
      <c r="I468" s="92">
        <v>0.0</v>
      </c>
      <c r="J468" s="91">
        <v>0.0</v>
      </c>
      <c r="K468" s="241" t="s">
        <v>1883</v>
      </c>
      <c r="L468" s="1"/>
      <c r="M468" s="242" t="s">
        <v>1884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0" customHeight="1">
      <c r="A469" s="1"/>
      <c r="B469" s="88">
        <v>191.0</v>
      </c>
      <c r="C469" s="88" t="s">
        <v>656</v>
      </c>
      <c r="D469" s="89" t="s">
        <v>707</v>
      </c>
      <c r="E469" s="88">
        <v>6.0</v>
      </c>
      <c r="F469" s="89" t="s">
        <v>541</v>
      </c>
      <c r="G469" s="92">
        <v>0.005</v>
      </c>
      <c r="H469" s="92">
        <v>0.005</v>
      </c>
      <c r="I469" s="92">
        <v>0.0</v>
      </c>
      <c r="J469" s="91">
        <v>0.0</v>
      </c>
      <c r="K469" s="241" t="s">
        <v>1885</v>
      </c>
      <c r="L469" s="1"/>
      <c r="M469" s="242" t="s">
        <v>1886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0" customHeight="1">
      <c r="A470" s="1"/>
      <c r="B470" s="88">
        <v>191.0</v>
      </c>
      <c r="C470" s="88" t="s">
        <v>656</v>
      </c>
      <c r="D470" s="89" t="s">
        <v>707</v>
      </c>
      <c r="E470" s="88">
        <v>7.0</v>
      </c>
      <c r="F470" s="89" t="s">
        <v>553</v>
      </c>
      <c r="G470" s="92">
        <v>0.2</v>
      </c>
      <c r="H470" s="92">
        <v>0.2</v>
      </c>
      <c r="I470" s="92">
        <v>0.0</v>
      </c>
      <c r="J470" s="91">
        <v>0.0</v>
      </c>
      <c r="K470" s="241" t="s">
        <v>1887</v>
      </c>
      <c r="L470" s="1"/>
      <c r="M470" s="242" t="s">
        <v>1888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0" customHeight="1">
      <c r="A471" s="1"/>
      <c r="B471" s="88">
        <v>192.0</v>
      </c>
      <c r="C471" s="88" t="s">
        <v>656</v>
      </c>
      <c r="D471" s="89" t="s">
        <v>775</v>
      </c>
      <c r="E471" s="88">
        <v>1.0</v>
      </c>
      <c r="F471" s="89" t="s">
        <v>586</v>
      </c>
      <c r="G471" s="92">
        <v>0.2</v>
      </c>
      <c r="H471" s="92">
        <v>0.2</v>
      </c>
      <c r="I471" s="92">
        <v>0.0</v>
      </c>
      <c r="J471" s="91">
        <v>0.0</v>
      </c>
      <c r="K471" s="241" t="s">
        <v>1889</v>
      </c>
      <c r="L471" s="1"/>
      <c r="M471" s="242" t="s">
        <v>1890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0" customHeight="1">
      <c r="A472" s="1"/>
      <c r="B472" s="88">
        <v>192.0</v>
      </c>
      <c r="C472" s="88" t="s">
        <v>656</v>
      </c>
      <c r="D472" s="89" t="s">
        <v>775</v>
      </c>
      <c r="E472" s="88">
        <v>2.0</v>
      </c>
      <c r="F472" s="89" t="s">
        <v>549</v>
      </c>
      <c r="G472" s="92">
        <v>0.12</v>
      </c>
      <c r="H472" s="92">
        <v>0.12</v>
      </c>
      <c r="I472" s="92">
        <v>0.0</v>
      </c>
      <c r="J472" s="91">
        <v>0.0</v>
      </c>
      <c r="K472" s="241" t="s">
        <v>1891</v>
      </c>
      <c r="L472" s="1"/>
      <c r="M472" s="242" t="s">
        <v>1892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0" customHeight="1">
      <c r="A473" s="1"/>
      <c r="B473" s="88">
        <v>192.0</v>
      </c>
      <c r="C473" s="88" t="s">
        <v>656</v>
      </c>
      <c r="D473" s="89" t="s">
        <v>775</v>
      </c>
      <c r="E473" s="88">
        <v>3.0</v>
      </c>
      <c r="F473" s="89" t="s">
        <v>579</v>
      </c>
      <c r="G473" s="92">
        <v>0.26</v>
      </c>
      <c r="H473" s="92">
        <v>0.26</v>
      </c>
      <c r="I473" s="92">
        <v>0.0</v>
      </c>
      <c r="J473" s="91">
        <v>0.0</v>
      </c>
      <c r="K473" s="241" t="s">
        <v>1893</v>
      </c>
      <c r="L473" s="1"/>
      <c r="M473" s="242" t="s">
        <v>1894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0" customHeight="1">
      <c r="A474" s="1"/>
      <c r="B474" s="88">
        <v>192.0</v>
      </c>
      <c r="C474" s="88" t="s">
        <v>656</v>
      </c>
      <c r="D474" s="89" t="s">
        <v>775</v>
      </c>
      <c r="E474" s="88">
        <v>4.0</v>
      </c>
      <c r="F474" s="89" t="s">
        <v>593</v>
      </c>
      <c r="G474" s="92">
        <v>0.15</v>
      </c>
      <c r="H474" s="92">
        <v>0.15</v>
      </c>
      <c r="I474" s="92">
        <v>0.0</v>
      </c>
      <c r="J474" s="91">
        <v>0.0</v>
      </c>
      <c r="K474" s="241" t="s">
        <v>1895</v>
      </c>
      <c r="L474" s="1"/>
      <c r="M474" s="242" t="s">
        <v>1896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0" customHeight="1">
      <c r="A475" s="1"/>
      <c r="B475" s="88">
        <v>192.0</v>
      </c>
      <c r="C475" s="88" t="s">
        <v>656</v>
      </c>
      <c r="D475" s="89" t="s">
        <v>775</v>
      </c>
      <c r="E475" s="88">
        <v>5.0</v>
      </c>
      <c r="F475" s="89" t="s">
        <v>594</v>
      </c>
      <c r="G475" s="92">
        <v>0.25</v>
      </c>
      <c r="H475" s="92">
        <v>0.25</v>
      </c>
      <c r="I475" s="92">
        <v>0.0</v>
      </c>
      <c r="J475" s="91">
        <v>0.0</v>
      </c>
      <c r="K475" s="241" t="s">
        <v>1897</v>
      </c>
      <c r="L475" s="1"/>
      <c r="M475" s="242" t="s">
        <v>1898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0" customHeight="1">
      <c r="A476" s="1"/>
      <c r="B476" s="88">
        <v>192.0</v>
      </c>
      <c r="C476" s="88" t="s">
        <v>656</v>
      </c>
      <c r="D476" s="89" t="s">
        <v>775</v>
      </c>
      <c r="E476" s="88">
        <v>6.0</v>
      </c>
      <c r="F476" s="89" t="s">
        <v>537</v>
      </c>
      <c r="G476" s="92">
        <v>0.02</v>
      </c>
      <c r="H476" s="92">
        <v>0.02</v>
      </c>
      <c r="I476" s="92">
        <v>0.0</v>
      </c>
      <c r="J476" s="91">
        <v>0.0</v>
      </c>
      <c r="K476" s="241" t="s">
        <v>1899</v>
      </c>
      <c r="L476" s="1"/>
      <c r="M476" s="242" t="s">
        <v>1900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0" customHeight="1">
      <c r="A477" s="1"/>
      <c r="B477" s="88">
        <v>193.0</v>
      </c>
      <c r="C477" s="88" t="s">
        <v>656</v>
      </c>
      <c r="D477" s="89" t="s">
        <v>777</v>
      </c>
      <c r="E477" s="88">
        <v>1.0</v>
      </c>
      <c r="F477" s="89" t="s">
        <v>593</v>
      </c>
      <c r="G477" s="92">
        <v>0.05</v>
      </c>
      <c r="H477" s="92">
        <v>0.05</v>
      </c>
      <c r="I477" s="92">
        <v>0.0</v>
      </c>
      <c r="J477" s="91">
        <v>0.0</v>
      </c>
      <c r="K477" s="241" t="s">
        <v>1901</v>
      </c>
      <c r="L477" s="1"/>
      <c r="M477" s="242" t="s">
        <v>1902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0" customHeight="1">
      <c r="A478" s="1"/>
      <c r="B478" s="88">
        <v>193.0</v>
      </c>
      <c r="C478" s="88" t="s">
        <v>656</v>
      </c>
      <c r="D478" s="89" t="s">
        <v>777</v>
      </c>
      <c r="E478" s="88">
        <v>2.0</v>
      </c>
      <c r="F478" s="89" t="s">
        <v>579</v>
      </c>
      <c r="G478" s="92">
        <v>0.33</v>
      </c>
      <c r="H478" s="92">
        <v>0.33</v>
      </c>
      <c r="I478" s="92">
        <v>0.0</v>
      </c>
      <c r="J478" s="91">
        <v>0.0</v>
      </c>
      <c r="K478" s="241" t="s">
        <v>1903</v>
      </c>
      <c r="L478" s="1"/>
      <c r="M478" s="242" t="s">
        <v>1904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0" customHeight="1">
      <c r="A479" s="1"/>
      <c r="B479" s="88">
        <v>193.0</v>
      </c>
      <c r="C479" s="88" t="s">
        <v>656</v>
      </c>
      <c r="D479" s="89" t="s">
        <v>777</v>
      </c>
      <c r="E479" s="88">
        <v>3.0</v>
      </c>
      <c r="F479" s="89" t="s">
        <v>594</v>
      </c>
      <c r="G479" s="92">
        <v>0.25</v>
      </c>
      <c r="H479" s="92">
        <v>0.25</v>
      </c>
      <c r="I479" s="92">
        <v>0.0</v>
      </c>
      <c r="J479" s="91">
        <v>0.0</v>
      </c>
      <c r="K479" s="241" t="s">
        <v>1905</v>
      </c>
      <c r="L479" s="1"/>
      <c r="M479" s="242" t="s">
        <v>1906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0" customHeight="1">
      <c r="A480" s="1"/>
      <c r="B480" s="88">
        <v>193.0</v>
      </c>
      <c r="C480" s="88" t="s">
        <v>656</v>
      </c>
      <c r="D480" s="89" t="s">
        <v>777</v>
      </c>
      <c r="E480" s="88">
        <v>4.0</v>
      </c>
      <c r="F480" s="89" t="s">
        <v>549</v>
      </c>
      <c r="G480" s="92">
        <v>0.1</v>
      </c>
      <c r="H480" s="92">
        <v>0.1</v>
      </c>
      <c r="I480" s="92">
        <v>0.0</v>
      </c>
      <c r="J480" s="91">
        <v>0.0</v>
      </c>
      <c r="K480" s="241" t="s">
        <v>1907</v>
      </c>
      <c r="L480" s="1"/>
      <c r="M480" s="242" t="s">
        <v>1908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0" customHeight="1">
      <c r="A481" s="1"/>
      <c r="B481" s="243">
        <v>193.0</v>
      </c>
      <c r="C481" s="243" t="s">
        <v>656</v>
      </c>
      <c r="D481" s="244" t="s">
        <v>777</v>
      </c>
      <c r="E481" s="243">
        <v>5.0</v>
      </c>
      <c r="F481" s="244" t="s">
        <v>537</v>
      </c>
      <c r="G481" s="245">
        <v>0.02</v>
      </c>
      <c r="H481" s="245">
        <v>0.02</v>
      </c>
      <c r="I481" s="245">
        <v>0.0</v>
      </c>
      <c r="J481" s="246">
        <v>0.0</v>
      </c>
      <c r="K481" s="247" t="s">
        <v>1909</v>
      </c>
      <c r="L481" s="248"/>
      <c r="M481" s="242" t="s">
        <v>1910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0" customHeight="1">
      <c r="A482" s="1"/>
      <c r="B482" s="88">
        <v>193.0</v>
      </c>
      <c r="C482" s="88" t="s">
        <v>656</v>
      </c>
      <c r="D482" s="89" t="s">
        <v>777</v>
      </c>
      <c r="E482" s="88">
        <v>6.0</v>
      </c>
      <c r="F482" s="89" t="s">
        <v>564</v>
      </c>
      <c r="G482" s="92">
        <v>0.25</v>
      </c>
      <c r="H482" s="92">
        <v>0.25</v>
      </c>
      <c r="I482" s="92">
        <v>0.0</v>
      </c>
      <c r="J482" s="91">
        <v>0.0</v>
      </c>
      <c r="K482" s="241" t="s">
        <v>1911</v>
      </c>
      <c r="L482" s="1"/>
      <c r="M482" s="242" t="s">
        <v>1912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0" customHeight="1">
      <c r="A483" s="1"/>
      <c r="B483" s="88">
        <v>194.0</v>
      </c>
      <c r="C483" s="88" t="s">
        <v>656</v>
      </c>
      <c r="D483" s="89" t="s">
        <v>773</v>
      </c>
      <c r="E483" s="88">
        <v>1.0</v>
      </c>
      <c r="F483" s="89" t="s">
        <v>579</v>
      </c>
      <c r="G483" s="92">
        <v>0.5</v>
      </c>
      <c r="H483" s="92">
        <v>0.5</v>
      </c>
      <c r="I483" s="92">
        <v>0.0</v>
      </c>
      <c r="J483" s="91">
        <v>0.0</v>
      </c>
      <c r="K483" s="241" t="s">
        <v>1913</v>
      </c>
      <c r="L483" s="1"/>
      <c r="M483" s="242" t="s">
        <v>1914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0" customHeight="1">
      <c r="A484" s="1"/>
      <c r="B484" s="88">
        <v>194.0</v>
      </c>
      <c r="C484" s="88" t="s">
        <v>656</v>
      </c>
      <c r="D484" s="89" t="s">
        <v>773</v>
      </c>
      <c r="E484" s="88">
        <v>2.0</v>
      </c>
      <c r="F484" s="89" t="s">
        <v>593</v>
      </c>
      <c r="G484" s="92">
        <v>0.17</v>
      </c>
      <c r="H484" s="92">
        <v>0.17</v>
      </c>
      <c r="I484" s="92">
        <v>0.0</v>
      </c>
      <c r="J484" s="91">
        <v>0.0</v>
      </c>
      <c r="K484" s="241" t="s">
        <v>1915</v>
      </c>
      <c r="L484" s="1"/>
      <c r="M484" s="242" t="s">
        <v>1916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0" customHeight="1">
      <c r="A485" s="1"/>
      <c r="B485" s="88">
        <v>194.0</v>
      </c>
      <c r="C485" s="88" t="s">
        <v>656</v>
      </c>
      <c r="D485" s="89" t="s">
        <v>773</v>
      </c>
      <c r="E485" s="88">
        <v>3.0</v>
      </c>
      <c r="F485" s="89" t="s">
        <v>537</v>
      </c>
      <c r="G485" s="92">
        <v>0.016</v>
      </c>
      <c r="H485" s="92">
        <v>0.016</v>
      </c>
      <c r="I485" s="92">
        <v>0.0</v>
      </c>
      <c r="J485" s="91">
        <v>0.0</v>
      </c>
      <c r="K485" s="241" t="s">
        <v>1917</v>
      </c>
      <c r="L485" s="1"/>
      <c r="M485" s="242" t="s">
        <v>1918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0" customHeight="1">
      <c r="A486" s="1"/>
      <c r="B486" s="88">
        <v>194.0</v>
      </c>
      <c r="C486" s="88" t="s">
        <v>656</v>
      </c>
      <c r="D486" s="89" t="s">
        <v>773</v>
      </c>
      <c r="E486" s="88">
        <v>4.0</v>
      </c>
      <c r="F486" s="89" t="s">
        <v>543</v>
      </c>
      <c r="G486" s="92">
        <v>0.004</v>
      </c>
      <c r="H486" s="92">
        <v>0.004</v>
      </c>
      <c r="I486" s="92">
        <v>0.0</v>
      </c>
      <c r="J486" s="91">
        <v>0.0</v>
      </c>
      <c r="K486" s="241" t="s">
        <v>1919</v>
      </c>
      <c r="L486" s="1"/>
      <c r="M486" s="242" t="s">
        <v>1920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0" customHeight="1">
      <c r="A487" s="1"/>
      <c r="B487" s="88">
        <v>194.0</v>
      </c>
      <c r="C487" s="88" t="s">
        <v>656</v>
      </c>
      <c r="D487" s="89" t="s">
        <v>773</v>
      </c>
      <c r="E487" s="88">
        <v>5.0</v>
      </c>
      <c r="F487" s="89" t="s">
        <v>585</v>
      </c>
      <c r="G487" s="92">
        <v>0.13</v>
      </c>
      <c r="H487" s="92">
        <v>0.13</v>
      </c>
      <c r="I487" s="92">
        <v>0.0</v>
      </c>
      <c r="J487" s="91">
        <v>0.0</v>
      </c>
      <c r="K487" s="241" t="s">
        <v>1921</v>
      </c>
      <c r="L487" s="1"/>
      <c r="M487" s="242" t="s">
        <v>1922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0" customHeight="1">
      <c r="A488" s="1"/>
      <c r="B488" s="88">
        <v>194.0</v>
      </c>
      <c r="C488" s="88" t="s">
        <v>656</v>
      </c>
      <c r="D488" s="89" t="s">
        <v>773</v>
      </c>
      <c r="E488" s="88">
        <v>6.0</v>
      </c>
      <c r="F488" s="89" t="s">
        <v>557</v>
      </c>
      <c r="G488" s="92">
        <v>0.18</v>
      </c>
      <c r="H488" s="92">
        <v>0.18</v>
      </c>
      <c r="I488" s="92">
        <v>0.0</v>
      </c>
      <c r="J488" s="91">
        <v>0.0</v>
      </c>
      <c r="K488" s="241" t="s">
        <v>1923</v>
      </c>
      <c r="L488" s="1"/>
      <c r="M488" s="242" t="s">
        <v>1924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0" customHeight="1">
      <c r="A489" s="1"/>
      <c r="B489" s="88">
        <v>195.0</v>
      </c>
      <c r="C489" s="88" t="s">
        <v>656</v>
      </c>
      <c r="D489" s="89" t="s">
        <v>827</v>
      </c>
      <c r="E489" s="88">
        <v>1.0</v>
      </c>
      <c r="F489" s="89" t="s">
        <v>585</v>
      </c>
      <c r="G489" s="92">
        <v>0.12</v>
      </c>
      <c r="H489" s="92">
        <v>0.12</v>
      </c>
      <c r="I489" s="92">
        <v>0.0</v>
      </c>
      <c r="J489" s="91">
        <v>0.0</v>
      </c>
      <c r="K489" s="241" t="s">
        <v>1925</v>
      </c>
      <c r="L489" s="1"/>
      <c r="M489" s="242" t="s">
        <v>1926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0" customHeight="1">
      <c r="A490" s="1"/>
      <c r="B490" s="88">
        <v>195.0</v>
      </c>
      <c r="C490" s="88" t="s">
        <v>656</v>
      </c>
      <c r="D490" s="89" t="s">
        <v>827</v>
      </c>
      <c r="E490" s="88">
        <v>2.0</v>
      </c>
      <c r="F490" s="89" t="s">
        <v>579</v>
      </c>
      <c r="G490" s="92">
        <v>0.26</v>
      </c>
      <c r="H490" s="92">
        <v>0.26</v>
      </c>
      <c r="I490" s="92">
        <v>0.0</v>
      </c>
      <c r="J490" s="91">
        <v>0.0</v>
      </c>
      <c r="K490" s="241" t="s">
        <v>1927</v>
      </c>
      <c r="L490" s="1"/>
      <c r="M490" s="242" t="s">
        <v>1928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0" customHeight="1">
      <c r="A491" s="1"/>
      <c r="B491" s="88">
        <v>195.0</v>
      </c>
      <c r="C491" s="88" t="s">
        <v>656</v>
      </c>
      <c r="D491" s="89" t="s">
        <v>827</v>
      </c>
      <c r="E491" s="88">
        <v>3.0</v>
      </c>
      <c r="F491" s="89" t="s">
        <v>593</v>
      </c>
      <c r="G491" s="92">
        <v>0.15</v>
      </c>
      <c r="H491" s="92">
        <v>0.15</v>
      </c>
      <c r="I491" s="92">
        <v>0.0</v>
      </c>
      <c r="J491" s="91">
        <v>0.0</v>
      </c>
      <c r="K491" s="241" t="s">
        <v>1929</v>
      </c>
      <c r="L491" s="1"/>
      <c r="M491" s="242" t="s">
        <v>1930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0" customHeight="1">
      <c r="A492" s="1"/>
      <c r="B492" s="88">
        <v>195.0</v>
      </c>
      <c r="C492" s="88" t="s">
        <v>656</v>
      </c>
      <c r="D492" s="89" t="s">
        <v>827</v>
      </c>
      <c r="E492" s="88">
        <v>4.0</v>
      </c>
      <c r="F492" s="89" t="s">
        <v>594</v>
      </c>
      <c r="G492" s="92">
        <v>0.25</v>
      </c>
      <c r="H492" s="92">
        <v>0.25</v>
      </c>
      <c r="I492" s="92">
        <v>0.0</v>
      </c>
      <c r="J492" s="91">
        <v>0.0</v>
      </c>
      <c r="K492" s="241" t="s">
        <v>1931</v>
      </c>
      <c r="L492" s="1"/>
      <c r="M492" s="242" t="s">
        <v>1932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0" customHeight="1">
      <c r="A493" s="1"/>
      <c r="B493" s="88">
        <v>195.0</v>
      </c>
      <c r="C493" s="88" t="s">
        <v>656</v>
      </c>
      <c r="D493" s="89" t="s">
        <v>827</v>
      </c>
      <c r="E493" s="88">
        <v>5.0</v>
      </c>
      <c r="F493" s="89" t="s">
        <v>537</v>
      </c>
      <c r="G493" s="92">
        <v>0.02</v>
      </c>
      <c r="H493" s="92">
        <v>0.02</v>
      </c>
      <c r="I493" s="92">
        <v>0.0</v>
      </c>
      <c r="J493" s="91">
        <v>0.0</v>
      </c>
      <c r="K493" s="241" t="s">
        <v>1933</v>
      </c>
      <c r="L493" s="1"/>
      <c r="M493" s="242" t="s">
        <v>1934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0" customHeight="1">
      <c r="A494" s="1"/>
      <c r="B494" s="88">
        <v>195.0</v>
      </c>
      <c r="C494" s="88" t="s">
        <v>656</v>
      </c>
      <c r="D494" s="89" t="s">
        <v>827</v>
      </c>
      <c r="E494" s="88">
        <v>6.0</v>
      </c>
      <c r="F494" s="89" t="s">
        <v>563</v>
      </c>
      <c r="G494" s="92">
        <v>0.2</v>
      </c>
      <c r="H494" s="92">
        <v>0.2</v>
      </c>
      <c r="I494" s="92">
        <v>0.0</v>
      </c>
      <c r="J494" s="91">
        <v>0.0</v>
      </c>
      <c r="K494" s="241" t="s">
        <v>1935</v>
      </c>
      <c r="L494" s="1"/>
      <c r="M494" s="242" t="s">
        <v>1936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0" customHeight="1">
      <c r="A495" s="1"/>
      <c r="B495" s="88">
        <v>196.0</v>
      </c>
      <c r="C495" s="88" t="s">
        <v>656</v>
      </c>
      <c r="D495" s="89" t="s">
        <v>769</v>
      </c>
      <c r="E495" s="88">
        <v>1.0</v>
      </c>
      <c r="F495" s="89" t="s">
        <v>594</v>
      </c>
      <c r="G495" s="92">
        <v>0.2</v>
      </c>
      <c r="H495" s="92">
        <v>0.2</v>
      </c>
      <c r="I495" s="92">
        <v>0.0</v>
      </c>
      <c r="J495" s="91">
        <v>0.0</v>
      </c>
      <c r="K495" s="241" t="s">
        <v>1937</v>
      </c>
      <c r="L495" s="1"/>
      <c r="M495" s="242" t="s">
        <v>1938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0" customHeight="1">
      <c r="A496" s="1"/>
      <c r="B496" s="88">
        <v>196.0</v>
      </c>
      <c r="C496" s="88" t="s">
        <v>656</v>
      </c>
      <c r="D496" s="89" t="s">
        <v>769</v>
      </c>
      <c r="E496" s="88">
        <v>2.0</v>
      </c>
      <c r="F496" s="89" t="s">
        <v>579</v>
      </c>
      <c r="G496" s="92">
        <v>0.25</v>
      </c>
      <c r="H496" s="92">
        <v>0.25</v>
      </c>
      <c r="I496" s="92">
        <v>0.0</v>
      </c>
      <c r="J496" s="91">
        <v>0.0</v>
      </c>
      <c r="K496" s="241" t="s">
        <v>1939</v>
      </c>
      <c r="L496" s="1"/>
      <c r="M496" s="242" t="s">
        <v>1940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0" customHeight="1">
      <c r="A497" s="1"/>
      <c r="B497" s="88">
        <v>196.0</v>
      </c>
      <c r="C497" s="88" t="s">
        <v>656</v>
      </c>
      <c r="D497" s="89" t="s">
        <v>769</v>
      </c>
      <c r="E497" s="88">
        <v>3.0</v>
      </c>
      <c r="F497" s="89" t="s">
        <v>593</v>
      </c>
      <c r="G497" s="92">
        <v>0.155</v>
      </c>
      <c r="H497" s="92">
        <v>0.155</v>
      </c>
      <c r="I497" s="92">
        <v>0.0</v>
      </c>
      <c r="J497" s="91">
        <v>0.0</v>
      </c>
      <c r="K497" s="241" t="s">
        <v>1941</v>
      </c>
      <c r="L497" s="1"/>
      <c r="M497" s="242" t="s">
        <v>1942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0" customHeight="1">
      <c r="A498" s="1"/>
      <c r="B498" s="88">
        <v>196.0</v>
      </c>
      <c r="C498" s="88" t="s">
        <v>656</v>
      </c>
      <c r="D498" s="89" t="s">
        <v>769</v>
      </c>
      <c r="E498" s="88">
        <v>4.0</v>
      </c>
      <c r="F498" s="89" t="s">
        <v>585</v>
      </c>
      <c r="G498" s="92">
        <v>0.105</v>
      </c>
      <c r="H498" s="92">
        <v>0.105</v>
      </c>
      <c r="I498" s="92">
        <v>0.0</v>
      </c>
      <c r="J498" s="91">
        <v>0.0</v>
      </c>
      <c r="K498" s="241" t="s">
        <v>1943</v>
      </c>
      <c r="L498" s="1"/>
      <c r="M498" s="242" t="s">
        <v>1944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0" customHeight="1">
      <c r="A499" s="1"/>
      <c r="B499" s="88">
        <v>196.0</v>
      </c>
      <c r="C499" s="88" t="s">
        <v>656</v>
      </c>
      <c r="D499" s="89" t="s">
        <v>769</v>
      </c>
      <c r="E499" s="88">
        <v>5.0</v>
      </c>
      <c r="F499" s="89" t="s">
        <v>541</v>
      </c>
      <c r="G499" s="92">
        <v>0.008</v>
      </c>
      <c r="H499" s="92">
        <v>0.008</v>
      </c>
      <c r="I499" s="92">
        <v>0.0</v>
      </c>
      <c r="J499" s="91">
        <v>0.0</v>
      </c>
      <c r="K499" s="241" t="s">
        <v>1945</v>
      </c>
      <c r="L499" s="1"/>
      <c r="M499" s="242" t="s">
        <v>1946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0" customHeight="1">
      <c r="A500" s="1"/>
      <c r="B500" s="88">
        <v>196.0</v>
      </c>
      <c r="C500" s="88" t="s">
        <v>656</v>
      </c>
      <c r="D500" s="89" t="s">
        <v>769</v>
      </c>
      <c r="E500" s="88">
        <v>6.0</v>
      </c>
      <c r="F500" s="89" t="s">
        <v>555</v>
      </c>
      <c r="G500" s="92">
        <v>0.25</v>
      </c>
      <c r="H500" s="92">
        <v>0.25</v>
      </c>
      <c r="I500" s="92">
        <v>0.0</v>
      </c>
      <c r="J500" s="91">
        <v>0.0</v>
      </c>
      <c r="K500" s="241" t="s">
        <v>1947</v>
      </c>
      <c r="L500" s="1"/>
      <c r="M500" s="242" t="s">
        <v>1948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0" customHeight="1">
      <c r="A501" s="1"/>
      <c r="B501" s="88">
        <v>196.0</v>
      </c>
      <c r="C501" s="88" t="s">
        <v>656</v>
      </c>
      <c r="D501" s="89" t="s">
        <v>769</v>
      </c>
      <c r="E501" s="88">
        <v>7.0</v>
      </c>
      <c r="F501" s="89" t="s">
        <v>537</v>
      </c>
      <c r="G501" s="92">
        <v>0.032</v>
      </c>
      <c r="H501" s="92">
        <v>0.032</v>
      </c>
      <c r="I501" s="92">
        <v>0.0</v>
      </c>
      <c r="J501" s="91">
        <v>0.0</v>
      </c>
      <c r="K501" s="241" t="s">
        <v>1949</v>
      </c>
      <c r="L501" s="1"/>
      <c r="M501" s="242" t="s">
        <v>1950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0" customHeight="1">
      <c r="A502" s="1"/>
      <c r="B502" s="88">
        <v>197.0</v>
      </c>
      <c r="C502" s="88" t="s">
        <v>656</v>
      </c>
      <c r="D502" s="89" t="s">
        <v>780</v>
      </c>
      <c r="E502" s="88">
        <v>1.0</v>
      </c>
      <c r="F502" s="89" t="s">
        <v>579</v>
      </c>
      <c r="G502" s="92">
        <v>0.125</v>
      </c>
      <c r="H502" s="92">
        <v>0.125</v>
      </c>
      <c r="I502" s="92">
        <v>0.0</v>
      </c>
      <c r="J502" s="91">
        <v>0.0</v>
      </c>
      <c r="K502" s="241" t="s">
        <v>1951</v>
      </c>
      <c r="L502" s="1"/>
      <c r="M502" s="242" t="s">
        <v>1952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0" customHeight="1">
      <c r="A503" s="1"/>
      <c r="B503" s="88">
        <v>197.0</v>
      </c>
      <c r="C503" s="88" t="s">
        <v>656</v>
      </c>
      <c r="D503" s="89" t="s">
        <v>780</v>
      </c>
      <c r="E503" s="88">
        <v>2.0</v>
      </c>
      <c r="F503" s="89" t="s">
        <v>593</v>
      </c>
      <c r="G503" s="92">
        <v>0.18</v>
      </c>
      <c r="H503" s="92">
        <v>0.18</v>
      </c>
      <c r="I503" s="92">
        <v>0.0</v>
      </c>
      <c r="J503" s="91">
        <v>0.0</v>
      </c>
      <c r="K503" s="241" t="s">
        <v>1953</v>
      </c>
      <c r="L503" s="1"/>
      <c r="M503" s="242" t="s">
        <v>1954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0" customHeight="1">
      <c r="A504" s="1"/>
      <c r="B504" s="88">
        <v>197.0</v>
      </c>
      <c r="C504" s="88" t="s">
        <v>656</v>
      </c>
      <c r="D504" s="89" t="s">
        <v>780</v>
      </c>
      <c r="E504" s="88">
        <v>3.0</v>
      </c>
      <c r="F504" s="89" t="s">
        <v>594</v>
      </c>
      <c r="G504" s="92">
        <v>0.095</v>
      </c>
      <c r="H504" s="92">
        <v>0.095</v>
      </c>
      <c r="I504" s="92">
        <v>0.0</v>
      </c>
      <c r="J504" s="91">
        <v>0.0</v>
      </c>
      <c r="K504" s="241" t="s">
        <v>1955</v>
      </c>
      <c r="L504" s="1"/>
      <c r="M504" s="242" t="s">
        <v>1956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0" customHeight="1">
      <c r="A505" s="1"/>
      <c r="B505" s="88">
        <v>197.0</v>
      </c>
      <c r="C505" s="88" t="s">
        <v>656</v>
      </c>
      <c r="D505" s="89" t="s">
        <v>780</v>
      </c>
      <c r="E505" s="88">
        <v>4.0</v>
      </c>
      <c r="F505" s="89" t="s">
        <v>585</v>
      </c>
      <c r="G505" s="92">
        <v>0.14</v>
      </c>
      <c r="H505" s="92">
        <v>0.14</v>
      </c>
      <c r="I505" s="92">
        <v>0.0</v>
      </c>
      <c r="J505" s="91">
        <v>0.0</v>
      </c>
      <c r="K505" s="241" t="s">
        <v>1957</v>
      </c>
      <c r="L505" s="1"/>
      <c r="M505" s="242" t="s">
        <v>1958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0" customHeight="1">
      <c r="A506" s="1"/>
      <c r="B506" s="88">
        <v>197.0</v>
      </c>
      <c r="C506" s="88" t="s">
        <v>656</v>
      </c>
      <c r="D506" s="89" t="s">
        <v>780</v>
      </c>
      <c r="E506" s="88">
        <v>5.0</v>
      </c>
      <c r="F506" s="89" t="s">
        <v>577</v>
      </c>
      <c r="G506" s="92">
        <v>0.36</v>
      </c>
      <c r="H506" s="92">
        <v>0.36</v>
      </c>
      <c r="I506" s="92">
        <v>0.0</v>
      </c>
      <c r="J506" s="91">
        <v>0.0</v>
      </c>
      <c r="K506" s="241" t="s">
        <v>1959</v>
      </c>
      <c r="L506" s="1"/>
      <c r="M506" s="242" t="s">
        <v>1960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0" customHeight="1">
      <c r="A507" s="1"/>
      <c r="B507" s="88">
        <v>197.0</v>
      </c>
      <c r="C507" s="88" t="s">
        <v>656</v>
      </c>
      <c r="D507" s="89" t="s">
        <v>780</v>
      </c>
      <c r="E507" s="88">
        <v>6.0</v>
      </c>
      <c r="F507" s="89" t="s">
        <v>535</v>
      </c>
      <c r="G507" s="92">
        <v>0.09</v>
      </c>
      <c r="H507" s="92">
        <v>0.09</v>
      </c>
      <c r="I507" s="92">
        <v>0.0</v>
      </c>
      <c r="J507" s="91">
        <v>0.0</v>
      </c>
      <c r="K507" s="241" t="s">
        <v>1961</v>
      </c>
      <c r="L507" s="1"/>
      <c r="M507" s="242" t="s">
        <v>1962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0" customHeight="1">
      <c r="A508" s="1"/>
      <c r="B508" s="88">
        <v>197.0</v>
      </c>
      <c r="C508" s="88" t="s">
        <v>656</v>
      </c>
      <c r="D508" s="89" t="s">
        <v>780</v>
      </c>
      <c r="E508" s="88">
        <v>7.0</v>
      </c>
      <c r="F508" s="89" t="s">
        <v>576</v>
      </c>
      <c r="G508" s="92">
        <v>0.01</v>
      </c>
      <c r="H508" s="92">
        <v>0.01</v>
      </c>
      <c r="I508" s="92">
        <v>0.0</v>
      </c>
      <c r="J508" s="91">
        <v>0.0</v>
      </c>
      <c r="K508" s="241" t="s">
        <v>1963</v>
      </c>
      <c r="L508" s="1"/>
      <c r="M508" s="242" t="s">
        <v>1964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0" customHeight="1">
      <c r="A509" s="1"/>
      <c r="B509" s="88">
        <v>198.0</v>
      </c>
      <c r="C509" s="88" t="s">
        <v>656</v>
      </c>
      <c r="D509" s="89" t="s">
        <v>767</v>
      </c>
      <c r="E509" s="88">
        <v>1.0</v>
      </c>
      <c r="F509" s="89" t="s">
        <v>549</v>
      </c>
      <c r="G509" s="92">
        <v>0.1</v>
      </c>
      <c r="H509" s="92">
        <v>0.1</v>
      </c>
      <c r="I509" s="92">
        <v>0.0</v>
      </c>
      <c r="J509" s="91">
        <v>0.0</v>
      </c>
      <c r="K509" s="241" t="s">
        <v>1965</v>
      </c>
      <c r="L509" s="1"/>
      <c r="M509" s="242" t="s">
        <v>1966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0" customHeight="1">
      <c r="A510" s="1"/>
      <c r="B510" s="88">
        <v>198.0</v>
      </c>
      <c r="C510" s="88" t="s">
        <v>656</v>
      </c>
      <c r="D510" s="89" t="s">
        <v>767</v>
      </c>
      <c r="E510" s="88">
        <v>2.0</v>
      </c>
      <c r="F510" s="89" t="s">
        <v>537</v>
      </c>
      <c r="G510" s="92">
        <v>0.025</v>
      </c>
      <c r="H510" s="92">
        <v>0.025</v>
      </c>
      <c r="I510" s="92">
        <v>0.0</v>
      </c>
      <c r="J510" s="91">
        <v>0.0</v>
      </c>
      <c r="K510" s="241" t="s">
        <v>1967</v>
      </c>
      <c r="L510" s="1"/>
      <c r="M510" s="242" t="s">
        <v>1968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0" customHeight="1">
      <c r="A511" s="1"/>
      <c r="B511" s="88">
        <v>198.0</v>
      </c>
      <c r="C511" s="88" t="s">
        <v>656</v>
      </c>
      <c r="D511" s="89" t="s">
        <v>767</v>
      </c>
      <c r="E511" s="88">
        <v>3.0</v>
      </c>
      <c r="F511" s="89" t="s">
        <v>594</v>
      </c>
      <c r="G511" s="92">
        <v>0.45</v>
      </c>
      <c r="H511" s="92">
        <v>0.45</v>
      </c>
      <c r="I511" s="92">
        <v>0.0</v>
      </c>
      <c r="J511" s="91">
        <v>0.0</v>
      </c>
      <c r="K511" s="241" t="s">
        <v>1969</v>
      </c>
      <c r="L511" s="1"/>
      <c r="M511" s="242" t="s">
        <v>1970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0" customHeight="1">
      <c r="A512" s="1"/>
      <c r="B512" s="88">
        <v>198.0</v>
      </c>
      <c r="C512" s="88" t="s">
        <v>656</v>
      </c>
      <c r="D512" s="89" t="s">
        <v>767</v>
      </c>
      <c r="E512" s="88">
        <v>4.0</v>
      </c>
      <c r="F512" s="89" t="s">
        <v>541</v>
      </c>
      <c r="G512" s="92">
        <v>0.005</v>
      </c>
      <c r="H512" s="92">
        <v>0.005</v>
      </c>
      <c r="I512" s="92">
        <v>0.0</v>
      </c>
      <c r="J512" s="91">
        <v>0.0</v>
      </c>
      <c r="K512" s="241" t="s">
        <v>1971</v>
      </c>
      <c r="L512" s="1"/>
      <c r="M512" s="242" t="s">
        <v>1972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0" customHeight="1">
      <c r="A513" s="1"/>
      <c r="B513" s="88">
        <v>198.0</v>
      </c>
      <c r="C513" s="88" t="s">
        <v>656</v>
      </c>
      <c r="D513" s="89" t="s">
        <v>767</v>
      </c>
      <c r="E513" s="88">
        <v>5.0</v>
      </c>
      <c r="F513" s="89" t="s">
        <v>554</v>
      </c>
      <c r="G513" s="92">
        <v>0.28</v>
      </c>
      <c r="H513" s="92">
        <v>0.28</v>
      </c>
      <c r="I513" s="92">
        <v>0.0</v>
      </c>
      <c r="J513" s="91">
        <v>0.0</v>
      </c>
      <c r="K513" s="241" t="s">
        <v>1973</v>
      </c>
      <c r="L513" s="1"/>
      <c r="M513" s="242" t="s">
        <v>1974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0" customHeight="1">
      <c r="A514" s="1"/>
      <c r="B514" s="88">
        <v>198.0</v>
      </c>
      <c r="C514" s="88" t="s">
        <v>656</v>
      </c>
      <c r="D514" s="89" t="s">
        <v>767</v>
      </c>
      <c r="E514" s="88">
        <v>6.0</v>
      </c>
      <c r="F514" s="89" t="s">
        <v>579</v>
      </c>
      <c r="G514" s="92">
        <v>0.14</v>
      </c>
      <c r="H514" s="92">
        <v>0.14</v>
      </c>
      <c r="I514" s="92">
        <v>0.0</v>
      </c>
      <c r="J514" s="91">
        <v>0.0</v>
      </c>
      <c r="K514" s="241" t="s">
        <v>1975</v>
      </c>
      <c r="L514" s="1"/>
      <c r="M514" s="242" t="s">
        <v>1976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0" customHeight="1">
      <c r="A515" s="1"/>
      <c r="B515" s="88">
        <v>199.0</v>
      </c>
      <c r="C515" s="88" t="s">
        <v>656</v>
      </c>
      <c r="D515" s="89" t="s">
        <v>771</v>
      </c>
      <c r="E515" s="88">
        <v>1.0</v>
      </c>
      <c r="F515" s="89" t="s">
        <v>594</v>
      </c>
      <c r="G515" s="92">
        <v>0.4</v>
      </c>
      <c r="H515" s="92">
        <v>0.4</v>
      </c>
      <c r="I515" s="92">
        <v>0.0</v>
      </c>
      <c r="J515" s="91">
        <v>0.0</v>
      </c>
      <c r="K515" s="241" t="s">
        <v>1977</v>
      </c>
      <c r="L515" s="1"/>
      <c r="M515" s="242" t="s">
        <v>1978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0" customHeight="1">
      <c r="A516" s="1"/>
      <c r="B516" s="88">
        <v>199.0</v>
      </c>
      <c r="C516" s="88" t="s">
        <v>656</v>
      </c>
      <c r="D516" s="89" t="s">
        <v>771</v>
      </c>
      <c r="E516" s="88">
        <v>2.0</v>
      </c>
      <c r="F516" s="89" t="s">
        <v>549</v>
      </c>
      <c r="G516" s="92">
        <v>0.1</v>
      </c>
      <c r="H516" s="92">
        <v>0.1</v>
      </c>
      <c r="I516" s="92">
        <v>0.0</v>
      </c>
      <c r="J516" s="91">
        <v>0.0</v>
      </c>
      <c r="K516" s="241" t="s">
        <v>1979</v>
      </c>
      <c r="L516" s="1"/>
      <c r="M516" s="242" t="s">
        <v>1980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0" customHeight="1">
      <c r="A517" s="1"/>
      <c r="B517" s="88">
        <v>199.0</v>
      </c>
      <c r="C517" s="88" t="s">
        <v>656</v>
      </c>
      <c r="D517" s="89" t="s">
        <v>771</v>
      </c>
      <c r="E517" s="88">
        <v>3.0</v>
      </c>
      <c r="F517" s="89" t="s">
        <v>537</v>
      </c>
      <c r="G517" s="92">
        <v>0.03</v>
      </c>
      <c r="H517" s="92">
        <v>0.03</v>
      </c>
      <c r="I517" s="92">
        <v>0.0</v>
      </c>
      <c r="J517" s="91">
        <v>0.0</v>
      </c>
      <c r="K517" s="241" t="s">
        <v>1981</v>
      </c>
      <c r="L517" s="1"/>
      <c r="M517" s="242" t="s">
        <v>1982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0" customHeight="1">
      <c r="A518" s="1"/>
      <c r="B518" s="88">
        <v>199.0</v>
      </c>
      <c r="C518" s="88" t="s">
        <v>656</v>
      </c>
      <c r="D518" s="89" t="s">
        <v>771</v>
      </c>
      <c r="E518" s="88">
        <v>4.0</v>
      </c>
      <c r="F518" s="89" t="s">
        <v>556</v>
      </c>
      <c r="G518" s="92">
        <v>0.25</v>
      </c>
      <c r="H518" s="92">
        <v>0.25</v>
      </c>
      <c r="I518" s="92">
        <v>0.0</v>
      </c>
      <c r="J518" s="91">
        <v>0.0</v>
      </c>
      <c r="K518" s="241" t="s">
        <v>1983</v>
      </c>
      <c r="L518" s="1"/>
      <c r="M518" s="242" t="s">
        <v>1984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0" customHeight="1">
      <c r="A519" s="1"/>
      <c r="B519" s="88">
        <v>199.0</v>
      </c>
      <c r="C519" s="88" t="s">
        <v>656</v>
      </c>
      <c r="D519" s="89" t="s">
        <v>771</v>
      </c>
      <c r="E519" s="88">
        <v>5.0</v>
      </c>
      <c r="F519" s="89" t="s">
        <v>579</v>
      </c>
      <c r="G519" s="92">
        <v>0.22</v>
      </c>
      <c r="H519" s="92">
        <v>0.22</v>
      </c>
      <c r="I519" s="92">
        <v>0.0</v>
      </c>
      <c r="J519" s="91">
        <v>0.0</v>
      </c>
      <c r="K519" s="241" t="s">
        <v>1985</v>
      </c>
      <c r="L519" s="1"/>
      <c r="M519" s="242" t="s">
        <v>1986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0" customHeight="1">
      <c r="A520" s="1"/>
      <c r="B520" s="88">
        <v>200.0</v>
      </c>
      <c r="C520" s="88" t="s">
        <v>656</v>
      </c>
      <c r="D520" s="89" t="s">
        <v>786</v>
      </c>
      <c r="E520" s="88">
        <v>1.0</v>
      </c>
      <c r="F520" s="89" t="s">
        <v>549</v>
      </c>
      <c r="G520" s="92">
        <v>0.1</v>
      </c>
      <c r="H520" s="92">
        <v>0.1</v>
      </c>
      <c r="I520" s="92">
        <v>0.0</v>
      </c>
      <c r="J520" s="91">
        <v>0.0</v>
      </c>
      <c r="K520" s="241" t="s">
        <v>1987</v>
      </c>
      <c r="L520" s="1"/>
      <c r="M520" s="242" t="s">
        <v>1988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0" customHeight="1">
      <c r="A521" s="1"/>
      <c r="B521" s="88">
        <v>200.0</v>
      </c>
      <c r="C521" s="88" t="s">
        <v>656</v>
      </c>
      <c r="D521" s="89" t="s">
        <v>786</v>
      </c>
      <c r="E521" s="88">
        <v>2.0</v>
      </c>
      <c r="F521" s="89" t="s">
        <v>579</v>
      </c>
      <c r="G521" s="92">
        <v>0.14</v>
      </c>
      <c r="H521" s="92">
        <v>0.14</v>
      </c>
      <c r="I521" s="92">
        <v>0.0</v>
      </c>
      <c r="J521" s="91">
        <v>0.0</v>
      </c>
      <c r="K521" s="241" t="s">
        <v>1989</v>
      </c>
      <c r="L521" s="1"/>
      <c r="M521" s="242" t="s">
        <v>1990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0" customHeight="1">
      <c r="A522" s="1"/>
      <c r="B522" s="88">
        <v>200.0</v>
      </c>
      <c r="C522" s="88" t="s">
        <v>656</v>
      </c>
      <c r="D522" s="89" t="s">
        <v>786</v>
      </c>
      <c r="E522" s="88">
        <v>3.0</v>
      </c>
      <c r="F522" s="89" t="s">
        <v>594</v>
      </c>
      <c r="G522" s="92">
        <v>0.3</v>
      </c>
      <c r="H522" s="92">
        <v>0.3</v>
      </c>
      <c r="I522" s="92">
        <v>0.0</v>
      </c>
      <c r="J522" s="91">
        <v>0.0</v>
      </c>
      <c r="K522" s="241" t="s">
        <v>1991</v>
      </c>
      <c r="L522" s="1"/>
      <c r="M522" s="242" t="s">
        <v>1992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0" customHeight="1">
      <c r="A523" s="1"/>
      <c r="B523" s="88">
        <v>200.0</v>
      </c>
      <c r="C523" s="88" t="s">
        <v>656</v>
      </c>
      <c r="D523" s="89" t="s">
        <v>786</v>
      </c>
      <c r="E523" s="88">
        <v>4.0</v>
      </c>
      <c r="F523" s="89" t="s">
        <v>537</v>
      </c>
      <c r="G523" s="92">
        <v>0.025</v>
      </c>
      <c r="H523" s="92">
        <v>0.025</v>
      </c>
      <c r="I523" s="92">
        <v>0.0</v>
      </c>
      <c r="J523" s="91">
        <v>0.0</v>
      </c>
      <c r="K523" s="241" t="s">
        <v>1993</v>
      </c>
      <c r="L523" s="1"/>
      <c r="M523" s="242" t="s">
        <v>1994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0" customHeight="1">
      <c r="A524" s="1"/>
      <c r="B524" s="88">
        <v>200.0</v>
      </c>
      <c r="C524" s="88" t="s">
        <v>656</v>
      </c>
      <c r="D524" s="89" t="s">
        <v>786</v>
      </c>
      <c r="E524" s="88">
        <v>5.0</v>
      </c>
      <c r="F524" s="89" t="s">
        <v>543</v>
      </c>
      <c r="G524" s="92">
        <v>0.005</v>
      </c>
      <c r="H524" s="92">
        <v>0.005</v>
      </c>
      <c r="I524" s="92">
        <v>0.0</v>
      </c>
      <c r="J524" s="91">
        <v>0.0</v>
      </c>
      <c r="K524" s="241" t="s">
        <v>1995</v>
      </c>
      <c r="L524" s="1"/>
      <c r="M524" s="242" t="s">
        <v>1996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0" customHeight="1">
      <c r="A525" s="1"/>
      <c r="B525" s="88">
        <v>200.0</v>
      </c>
      <c r="C525" s="88" t="s">
        <v>656</v>
      </c>
      <c r="D525" s="89" t="s">
        <v>786</v>
      </c>
      <c r="E525" s="88">
        <v>6.0</v>
      </c>
      <c r="F525" s="89" t="s">
        <v>567</v>
      </c>
      <c r="G525" s="92">
        <v>0.23</v>
      </c>
      <c r="H525" s="92">
        <v>0.23</v>
      </c>
      <c r="I525" s="92">
        <v>0.0</v>
      </c>
      <c r="J525" s="91">
        <v>0.0</v>
      </c>
      <c r="K525" s="241" t="s">
        <v>1997</v>
      </c>
      <c r="L525" s="1"/>
      <c r="M525" s="242" t="s">
        <v>1998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0" customHeight="1">
      <c r="A526" s="1"/>
      <c r="B526" s="88">
        <v>200.0</v>
      </c>
      <c r="C526" s="88" t="s">
        <v>656</v>
      </c>
      <c r="D526" s="89" t="s">
        <v>786</v>
      </c>
      <c r="E526" s="88">
        <v>7.0</v>
      </c>
      <c r="F526" s="89" t="s">
        <v>579</v>
      </c>
      <c r="G526" s="92">
        <v>0.2</v>
      </c>
      <c r="H526" s="92">
        <v>0.2</v>
      </c>
      <c r="I526" s="92">
        <v>0.0</v>
      </c>
      <c r="J526" s="91">
        <v>0.0</v>
      </c>
      <c r="K526" s="241" t="s">
        <v>1999</v>
      </c>
      <c r="L526" s="1"/>
      <c r="M526" s="242" t="s">
        <v>1990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0" customHeight="1">
      <c r="A527" s="1"/>
      <c r="B527" s="88">
        <v>201.0</v>
      </c>
      <c r="C527" s="88" t="s">
        <v>656</v>
      </c>
      <c r="D527" s="89" t="s">
        <v>760</v>
      </c>
      <c r="E527" s="88">
        <v>1.0</v>
      </c>
      <c r="F527" s="89" t="s">
        <v>549</v>
      </c>
      <c r="G527" s="92">
        <v>0.12</v>
      </c>
      <c r="H527" s="92">
        <v>0.12</v>
      </c>
      <c r="I527" s="92">
        <v>0.0</v>
      </c>
      <c r="J527" s="91">
        <v>0.0</v>
      </c>
      <c r="K527" s="241" t="s">
        <v>2000</v>
      </c>
      <c r="L527" s="1"/>
      <c r="M527" s="242" t="s">
        <v>2001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0" customHeight="1">
      <c r="A528" s="1"/>
      <c r="B528" s="88">
        <v>201.0</v>
      </c>
      <c r="C528" s="88" t="s">
        <v>656</v>
      </c>
      <c r="D528" s="89" t="s">
        <v>760</v>
      </c>
      <c r="E528" s="88">
        <v>2.0</v>
      </c>
      <c r="F528" s="89" t="s">
        <v>594</v>
      </c>
      <c r="G528" s="92">
        <v>0.425</v>
      </c>
      <c r="H528" s="92">
        <v>0.425</v>
      </c>
      <c r="I528" s="92">
        <v>0.0</v>
      </c>
      <c r="J528" s="91">
        <v>0.0</v>
      </c>
      <c r="K528" s="241" t="s">
        <v>2002</v>
      </c>
      <c r="L528" s="1"/>
      <c r="M528" s="242" t="s">
        <v>2003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0" customHeight="1">
      <c r="A529" s="1"/>
      <c r="B529" s="88">
        <v>201.0</v>
      </c>
      <c r="C529" s="88" t="s">
        <v>656</v>
      </c>
      <c r="D529" s="89" t="s">
        <v>760</v>
      </c>
      <c r="E529" s="88">
        <v>3.0</v>
      </c>
      <c r="F529" s="89" t="s">
        <v>537</v>
      </c>
      <c r="G529" s="92">
        <v>0.045</v>
      </c>
      <c r="H529" s="92">
        <v>0.045</v>
      </c>
      <c r="I529" s="92">
        <v>0.0</v>
      </c>
      <c r="J529" s="91">
        <v>0.0</v>
      </c>
      <c r="K529" s="241" t="s">
        <v>2004</v>
      </c>
      <c r="L529" s="1"/>
      <c r="M529" s="242" t="s">
        <v>2005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0" customHeight="1">
      <c r="A530" s="1"/>
      <c r="B530" s="88">
        <v>201.0</v>
      </c>
      <c r="C530" s="88" t="s">
        <v>656</v>
      </c>
      <c r="D530" s="89" t="s">
        <v>760</v>
      </c>
      <c r="E530" s="88">
        <v>4.0</v>
      </c>
      <c r="F530" s="89" t="s">
        <v>541</v>
      </c>
      <c r="G530" s="92">
        <v>0.005</v>
      </c>
      <c r="H530" s="92">
        <v>0.005</v>
      </c>
      <c r="I530" s="92">
        <v>0.0</v>
      </c>
      <c r="J530" s="91">
        <v>0.0</v>
      </c>
      <c r="K530" s="241" t="s">
        <v>2006</v>
      </c>
      <c r="L530" s="1"/>
      <c r="M530" s="242" t="s">
        <v>2007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0" customHeight="1">
      <c r="A531" s="1"/>
      <c r="B531" s="88">
        <v>201.0</v>
      </c>
      <c r="C531" s="88" t="s">
        <v>656</v>
      </c>
      <c r="D531" s="89" t="s">
        <v>760</v>
      </c>
      <c r="E531" s="88">
        <v>5.0</v>
      </c>
      <c r="F531" s="89" t="s">
        <v>552</v>
      </c>
      <c r="G531" s="92">
        <v>0.28</v>
      </c>
      <c r="H531" s="92">
        <v>0.28</v>
      </c>
      <c r="I531" s="92">
        <v>0.0</v>
      </c>
      <c r="J531" s="91">
        <v>0.0</v>
      </c>
      <c r="K531" s="241" t="s">
        <v>2008</v>
      </c>
      <c r="L531" s="1"/>
      <c r="M531" s="242" t="s">
        <v>2009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0" customHeight="1">
      <c r="A532" s="1"/>
      <c r="B532" s="88">
        <v>201.0</v>
      </c>
      <c r="C532" s="88" t="s">
        <v>656</v>
      </c>
      <c r="D532" s="89" t="s">
        <v>760</v>
      </c>
      <c r="E532" s="88">
        <v>6.0</v>
      </c>
      <c r="F532" s="89" t="s">
        <v>579</v>
      </c>
      <c r="G532" s="92">
        <v>0.125</v>
      </c>
      <c r="H532" s="92">
        <v>0.125</v>
      </c>
      <c r="I532" s="92">
        <v>0.0</v>
      </c>
      <c r="J532" s="91">
        <v>0.0</v>
      </c>
      <c r="K532" s="241" t="s">
        <v>2010</v>
      </c>
      <c r="L532" s="1"/>
      <c r="M532" s="242" t="s">
        <v>2011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0" customHeight="1">
      <c r="A533" s="1"/>
      <c r="B533" s="88">
        <v>202.0</v>
      </c>
      <c r="C533" s="88" t="s">
        <v>656</v>
      </c>
      <c r="D533" s="89" t="s">
        <v>774</v>
      </c>
      <c r="E533" s="88">
        <v>1.0</v>
      </c>
      <c r="F533" s="89" t="s">
        <v>549</v>
      </c>
      <c r="G533" s="92">
        <v>0.12</v>
      </c>
      <c r="H533" s="92">
        <v>0.12</v>
      </c>
      <c r="I533" s="92">
        <v>0.0</v>
      </c>
      <c r="J533" s="91">
        <v>0.0</v>
      </c>
      <c r="K533" s="241" t="s">
        <v>2012</v>
      </c>
      <c r="L533" s="1"/>
      <c r="M533" s="242" t="s">
        <v>2013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0" customHeight="1">
      <c r="A534" s="1"/>
      <c r="B534" s="88">
        <v>202.0</v>
      </c>
      <c r="C534" s="88" t="s">
        <v>656</v>
      </c>
      <c r="D534" s="89" t="s">
        <v>774</v>
      </c>
      <c r="E534" s="88">
        <v>2.0</v>
      </c>
      <c r="F534" s="89" t="s">
        <v>584</v>
      </c>
      <c r="G534" s="92">
        <v>0.18</v>
      </c>
      <c r="H534" s="92">
        <v>0.18</v>
      </c>
      <c r="I534" s="92">
        <v>0.0</v>
      </c>
      <c r="J534" s="91">
        <v>0.0</v>
      </c>
      <c r="K534" s="241" t="s">
        <v>2014</v>
      </c>
      <c r="L534" s="1"/>
      <c r="M534" s="242" t="s">
        <v>2015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0" customHeight="1">
      <c r="A535" s="1"/>
      <c r="B535" s="88">
        <v>202.0</v>
      </c>
      <c r="C535" s="88" t="s">
        <v>656</v>
      </c>
      <c r="D535" s="89" t="s">
        <v>774</v>
      </c>
      <c r="E535" s="88">
        <v>3.0</v>
      </c>
      <c r="F535" s="89" t="s">
        <v>583</v>
      </c>
      <c r="G535" s="92">
        <v>0.475</v>
      </c>
      <c r="H535" s="92">
        <v>0.475</v>
      </c>
      <c r="I535" s="92">
        <v>0.0</v>
      </c>
      <c r="J535" s="91">
        <v>0.0</v>
      </c>
      <c r="K535" s="241" t="s">
        <v>2016</v>
      </c>
      <c r="L535" s="1"/>
      <c r="M535" s="242" t="s">
        <v>2017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0" customHeight="1">
      <c r="A536" s="1"/>
      <c r="B536" s="88">
        <v>202.0</v>
      </c>
      <c r="C536" s="88" t="s">
        <v>656</v>
      </c>
      <c r="D536" s="89" t="s">
        <v>774</v>
      </c>
      <c r="E536" s="88">
        <v>4.0</v>
      </c>
      <c r="F536" s="89" t="s">
        <v>537</v>
      </c>
      <c r="G536" s="92">
        <v>0.02</v>
      </c>
      <c r="H536" s="92">
        <v>0.02</v>
      </c>
      <c r="I536" s="92">
        <v>0.0</v>
      </c>
      <c r="J536" s="91">
        <v>0.0</v>
      </c>
      <c r="K536" s="241" t="s">
        <v>2018</v>
      </c>
      <c r="L536" s="1"/>
      <c r="M536" s="242" t="s">
        <v>2019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0" customHeight="1">
      <c r="A537" s="1"/>
      <c r="B537" s="88">
        <v>202.0</v>
      </c>
      <c r="C537" s="88" t="s">
        <v>656</v>
      </c>
      <c r="D537" s="89" t="s">
        <v>774</v>
      </c>
      <c r="E537" s="88">
        <v>5.0</v>
      </c>
      <c r="F537" s="89" t="s">
        <v>543</v>
      </c>
      <c r="G537" s="92">
        <v>0.005</v>
      </c>
      <c r="H537" s="92">
        <v>0.005</v>
      </c>
      <c r="I537" s="92">
        <v>0.0</v>
      </c>
      <c r="J537" s="91">
        <v>0.0</v>
      </c>
      <c r="K537" s="241" t="s">
        <v>2020</v>
      </c>
      <c r="L537" s="1"/>
      <c r="M537" s="242" t="s">
        <v>2021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0" customHeight="1">
      <c r="A538" s="1"/>
      <c r="B538" s="88">
        <v>202.0</v>
      </c>
      <c r="C538" s="88" t="s">
        <v>656</v>
      </c>
      <c r="D538" s="89" t="s">
        <v>774</v>
      </c>
      <c r="E538" s="88">
        <v>6.0</v>
      </c>
      <c r="F538" s="89" t="s">
        <v>557</v>
      </c>
      <c r="G538" s="92">
        <v>0.2</v>
      </c>
      <c r="H538" s="92">
        <v>0.2</v>
      </c>
      <c r="I538" s="92">
        <v>0.0</v>
      </c>
      <c r="J538" s="91">
        <v>0.0</v>
      </c>
      <c r="K538" s="241" t="s">
        <v>2022</v>
      </c>
      <c r="L538" s="1"/>
      <c r="M538" s="242" t="s">
        <v>2023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0" customHeight="1">
      <c r="A539" s="1"/>
      <c r="B539" s="88">
        <v>203.0</v>
      </c>
      <c r="C539" s="88" t="s">
        <v>656</v>
      </c>
      <c r="D539" s="89" t="s">
        <v>827</v>
      </c>
      <c r="E539" s="88">
        <v>1.0</v>
      </c>
      <c r="F539" s="89" t="s">
        <v>585</v>
      </c>
      <c r="G539" s="92">
        <v>0.12</v>
      </c>
      <c r="H539" s="92">
        <v>0.12</v>
      </c>
      <c r="I539" s="92">
        <v>0.0</v>
      </c>
      <c r="J539" s="91">
        <v>0.0</v>
      </c>
      <c r="K539" s="241" t="s">
        <v>1925</v>
      </c>
      <c r="L539" s="1"/>
      <c r="M539" s="242" t="s">
        <v>1926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0" customHeight="1">
      <c r="A540" s="1"/>
      <c r="B540" s="88">
        <v>203.0</v>
      </c>
      <c r="C540" s="88" t="s">
        <v>656</v>
      </c>
      <c r="D540" s="89" t="s">
        <v>827</v>
      </c>
      <c r="E540" s="88">
        <v>2.0</v>
      </c>
      <c r="F540" s="89" t="s">
        <v>579</v>
      </c>
      <c r="G540" s="92">
        <v>0.26</v>
      </c>
      <c r="H540" s="92">
        <v>0.26</v>
      </c>
      <c r="I540" s="92">
        <v>0.0</v>
      </c>
      <c r="J540" s="91">
        <v>0.0</v>
      </c>
      <c r="K540" s="241" t="s">
        <v>1927</v>
      </c>
      <c r="L540" s="1"/>
      <c r="M540" s="242" t="s">
        <v>1928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0" customHeight="1">
      <c r="A541" s="1"/>
      <c r="B541" s="88">
        <v>203.0</v>
      </c>
      <c r="C541" s="88" t="s">
        <v>656</v>
      </c>
      <c r="D541" s="89" t="s">
        <v>827</v>
      </c>
      <c r="E541" s="88">
        <v>3.0</v>
      </c>
      <c r="F541" s="89" t="s">
        <v>593</v>
      </c>
      <c r="G541" s="92">
        <v>0.15</v>
      </c>
      <c r="H541" s="92">
        <v>0.15</v>
      </c>
      <c r="I541" s="92">
        <v>0.0</v>
      </c>
      <c r="J541" s="91">
        <v>0.0</v>
      </c>
      <c r="K541" s="241" t="s">
        <v>1929</v>
      </c>
      <c r="L541" s="1"/>
      <c r="M541" s="242" t="s">
        <v>1930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0" customHeight="1">
      <c r="A542" s="1"/>
      <c r="B542" s="88">
        <v>203.0</v>
      </c>
      <c r="C542" s="88" t="s">
        <v>656</v>
      </c>
      <c r="D542" s="89" t="s">
        <v>827</v>
      </c>
      <c r="E542" s="88">
        <v>4.0</v>
      </c>
      <c r="F542" s="89" t="s">
        <v>594</v>
      </c>
      <c r="G542" s="92">
        <v>0.25</v>
      </c>
      <c r="H542" s="92">
        <v>0.25</v>
      </c>
      <c r="I542" s="92">
        <v>0.0</v>
      </c>
      <c r="J542" s="91">
        <v>0.0</v>
      </c>
      <c r="K542" s="241" t="s">
        <v>1931</v>
      </c>
      <c r="L542" s="1"/>
      <c r="M542" s="242" t="s">
        <v>1932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0" customHeight="1">
      <c r="A543" s="1"/>
      <c r="B543" s="88">
        <v>203.0</v>
      </c>
      <c r="C543" s="88" t="s">
        <v>656</v>
      </c>
      <c r="D543" s="89" t="s">
        <v>827</v>
      </c>
      <c r="E543" s="88">
        <v>5.0</v>
      </c>
      <c r="F543" s="89" t="s">
        <v>537</v>
      </c>
      <c r="G543" s="92">
        <v>0.02</v>
      </c>
      <c r="H543" s="92">
        <v>0.02</v>
      </c>
      <c r="I543" s="92">
        <v>0.0</v>
      </c>
      <c r="J543" s="91">
        <v>0.0</v>
      </c>
      <c r="K543" s="241" t="s">
        <v>1933</v>
      </c>
      <c r="L543" s="1"/>
      <c r="M543" s="242" t="s">
        <v>1934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3.25" customHeight="1">
      <c r="A544" s="1"/>
      <c r="B544" s="88">
        <v>203.0</v>
      </c>
      <c r="C544" s="88" t="s">
        <v>656</v>
      </c>
      <c r="D544" s="89" t="s">
        <v>827</v>
      </c>
      <c r="E544" s="88">
        <v>6.0</v>
      </c>
      <c r="F544" s="89" t="s">
        <v>563</v>
      </c>
      <c r="G544" s="92">
        <v>0.2</v>
      </c>
      <c r="H544" s="92">
        <v>0.2</v>
      </c>
      <c r="I544" s="92">
        <v>0.0</v>
      </c>
      <c r="J544" s="91">
        <v>0.0</v>
      </c>
      <c r="K544" s="241" t="s">
        <v>1935</v>
      </c>
      <c r="L544" s="1"/>
      <c r="M544" s="242" t="s">
        <v>1936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0" customHeight="1">
      <c r="A545" s="1"/>
      <c r="B545" s="88">
        <v>204.0</v>
      </c>
      <c r="C545" s="88" t="s">
        <v>656</v>
      </c>
      <c r="D545" s="89" t="s">
        <v>777</v>
      </c>
      <c r="E545" s="88">
        <v>1.0</v>
      </c>
      <c r="F545" s="89" t="s">
        <v>593</v>
      </c>
      <c r="G545" s="92">
        <v>0.05</v>
      </c>
      <c r="H545" s="92">
        <v>0.05</v>
      </c>
      <c r="I545" s="92">
        <v>0.0</v>
      </c>
      <c r="J545" s="91">
        <v>0.0</v>
      </c>
      <c r="K545" s="241" t="s">
        <v>1901</v>
      </c>
      <c r="L545" s="1"/>
      <c r="M545" s="242" t="s">
        <v>1902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0" customHeight="1">
      <c r="A546" s="1"/>
      <c r="B546" s="88">
        <v>204.0</v>
      </c>
      <c r="C546" s="88" t="s">
        <v>656</v>
      </c>
      <c r="D546" s="89" t="s">
        <v>777</v>
      </c>
      <c r="E546" s="88">
        <v>2.0</v>
      </c>
      <c r="F546" s="89" t="s">
        <v>579</v>
      </c>
      <c r="G546" s="92">
        <v>0.33</v>
      </c>
      <c r="H546" s="92">
        <v>0.33</v>
      </c>
      <c r="I546" s="92">
        <v>0.0</v>
      </c>
      <c r="J546" s="91">
        <v>0.0</v>
      </c>
      <c r="K546" s="241" t="s">
        <v>1903</v>
      </c>
      <c r="L546" s="1"/>
      <c r="M546" s="242" t="s">
        <v>1904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0" customHeight="1">
      <c r="A547" s="1"/>
      <c r="B547" s="88">
        <v>204.0</v>
      </c>
      <c r="C547" s="88" t="s">
        <v>656</v>
      </c>
      <c r="D547" s="89" t="s">
        <v>777</v>
      </c>
      <c r="E547" s="88">
        <v>3.0</v>
      </c>
      <c r="F547" s="89" t="s">
        <v>594</v>
      </c>
      <c r="G547" s="92">
        <v>0.25</v>
      </c>
      <c r="H547" s="92">
        <v>0.25</v>
      </c>
      <c r="I547" s="92">
        <v>0.0</v>
      </c>
      <c r="J547" s="91">
        <v>0.0</v>
      </c>
      <c r="K547" s="241" t="s">
        <v>1905</v>
      </c>
      <c r="L547" s="1"/>
      <c r="M547" s="242" t="s">
        <v>1906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0" customHeight="1">
      <c r="A548" s="1"/>
      <c r="B548" s="88">
        <v>204.0</v>
      </c>
      <c r="C548" s="88" t="s">
        <v>656</v>
      </c>
      <c r="D548" s="89" t="s">
        <v>777</v>
      </c>
      <c r="E548" s="88">
        <v>4.0</v>
      </c>
      <c r="F548" s="89" t="s">
        <v>549</v>
      </c>
      <c r="G548" s="92">
        <v>0.1</v>
      </c>
      <c r="H548" s="92">
        <v>0.1</v>
      </c>
      <c r="I548" s="92">
        <v>0.0</v>
      </c>
      <c r="J548" s="91">
        <v>0.0</v>
      </c>
      <c r="K548" s="241" t="s">
        <v>1907</v>
      </c>
      <c r="L548" s="1"/>
      <c r="M548" s="242" t="s">
        <v>1908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0" customHeight="1">
      <c r="A549" s="1"/>
      <c r="B549" s="88">
        <v>204.0</v>
      </c>
      <c r="C549" s="88" t="s">
        <v>656</v>
      </c>
      <c r="D549" s="89" t="s">
        <v>777</v>
      </c>
      <c r="E549" s="88">
        <v>5.0</v>
      </c>
      <c r="F549" s="89" t="s">
        <v>537</v>
      </c>
      <c r="G549" s="92">
        <v>0.02</v>
      </c>
      <c r="H549" s="92">
        <v>0.02</v>
      </c>
      <c r="I549" s="92">
        <v>0.0</v>
      </c>
      <c r="J549" s="91">
        <v>0.0</v>
      </c>
      <c r="K549" s="241" t="s">
        <v>1909</v>
      </c>
      <c r="L549" s="1"/>
      <c r="M549" s="242" t="s">
        <v>1910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0" customHeight="1">
      <c r="A550" s="1"/>
      <c r="B550" s="88">
        <v>204.0</v>
      </c>
      <c r="C550" s="88" t="s">
        <v>656</v>
      </c>
      <c r="D550" s="89" t="s">
        <v>777</v>
      </c>
      <c r="E550" s="88">
        <v>6.0</v>
      </c>
      <c r="F550" s="89" t="s">
        <v>564</v>
      </c>
      <c r="G550" s="92">
        <v>0.25</v>
      </c>
      <c r="H550" s="92">
        <v>0.25</v>
      </c>
      <c r="I550" s="92">
        <v>0.0</v>
      </c>
      <c r="J550" s="91">
        <v>0.0</v>
      </c>
      <c r="K550" s="241" t="s">
        <v>1911</v>
      </c>
      <c r="L550" s="1"/>
      <c r="M550" s="242" t="s">
        <v>1912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0" customHeight="1">
      <c r="A551" s="1"/>
      <c r="B551" s="88">
        <v>205.0</v>
      </c>
      <c r="C551" s="88" t="s">
        <v>656</v>
      </c>
      <c r="D551" s="89" t="s">
        <v>742</v>
      </c>
      <c r="E551" s="88">
        <v>1.0</v>
      </c>
      <c r="F551" s="89" t="s">
        <v>594</v>
      </c>
      <c r="G551" s="92">
        <v>0.15</v>
      </c>
      <c r="H551" s="92">
        <v>0.15</v>
      </c>
      <c r="I551" s="92">
        <v>0.0</v>
      </c>
      <c r="J551" s="91">
        <v>0.0</v>
      </c>
      <c r="K551" s="241" t="s">
        <v>2024</v>
      </c>
      <c r="L551" s="1"/>
      <c r="M551" s="242" t="s">
        <v>2025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0" customHeight="1">
      <c r="A552" s="1"/>
      <c r="B552" s="88">
        <v>205.0</v>
      </c>
      <c r="C552" s="88" t="s">
        <v>656</v>
      </c>
      <c r="D552" s="89" t="s">
        <v>742</v>
      </c>
      <c r="E552" s="88">
        <v>2.0</v>
      </c>
      <c r="F552" s="89" t="s">
        <v>579</v>
      </c>
      <c r="G552" s="92">
        <v>0.33</v>
      </c>
      <c r="H552" s="92">
        <v>0.33</v>
      </c>
      <c r="I552" s="92">
        <v>0.0</v>
      </c>
      <c r="J552" s="91">
        <v>0.0</v>
      </c>
      <c r="K552" s="241" t="s">
        <v>2026</v>
      </c>
      <c r="L552" s="1"/>
      <c r="M552" s="242" t="s">
        <v>2027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0" customHeight="1">
      <c r="A553" s="1"/>
      <c r="B553" s="88">
        <v>205.0</v>
      </c>
      <c r="C553" s="88" t="s">
        <v>656</v>
      </c>
      <c r="D553" s="89" t="s">
        <v>742</v>
      </c>
      <c r="E553" s="88">
        <v>3.0</v>
      </c>
      <c r="F553" s="89" t="s">
        <v>593</v>
      </c>
      <c r="G553" s="92">
        <v>0.15</v>
      </c>
      <c r="H553" s="92">
        <v>0.15</v>
      </c>
      <c r="I553" s="92">
        <v>0.0</v>
      </c>
      <c r="J553" s="91">
        <v>0.0</v>
      </c>
      <c r="K553" s="241" t="s">
        <v>2028</v>
      </c>
      <c r="L553" s="1"/>
      <c r="M553" s="242" t="s">
        <v>2029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0" customHeight="1">
      <c r="A554" s="1"/>
      <c r="B554" s="88">
        <v>205.0</v>
      </c>
      <c r="C554" s="88" t="s">
        <v>656</v>
      </c>
      <c r="D554" s="89" t="s">
        <v>742</v>
      </c>
      <c r="E554" s="88">
        <v>4.0</v>
      </c>
      <c r="F554" s="89" t="s">
        <v>585</v>
      </c>
      <c r="G554" s="92">
        <v>0.12</v>
      </c>
      <c r="H554" s="92">
        <v>0.12</v>
      </c>
      <c r="I554" s="92">
        <v>0.0</v>
      </c>
      <c r="J554" s="91">
        <v>0.0</v>
      </c>
      <c r="K554" s="241" t="s">
        <v>2030</v>
      </c>
      <c r="L554" s="1"/>
      <c r="M554" s="242" t="s">
        <v>2031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0" customHeight="1">
      <c r="A555" s="1"/>
      <c r="B555" s="88">
        <v>205.0</v>
      </c>
      <c r="C555" s="88" t="s">
        <v>656</v>
      </c>
      <c r="D555" s="89" t="s">
        <v>742</v>
      </c>
      <c r="E555" s="88">
        <v>5.0</v>
      </c>
      <c r="F555" s="89" t="s">
        <v>559</v>
      </c>
      <c r="G555" s="92">
        <v>0.25</v>
      </c>
      <c r="H555" s="92">
        <v>0.25</v>
      </c>
      <c r="I555" s="92">
        <v>0.0</v>
      </c>
      <c r="J555" s="91">
        <v>0.0</v>
      </c>
      <c r="K555" s="241" t="s">
        <v>2032</v>
      </c>
      <c r="L555" s="1"/>
      <c r="M555" s="242" t="s">
        <v>2033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0" customHeight="1">
      <c r="A556" s="1"/>
      <c r="B556" s="88">
        <v>206.0</v>
      </c>
      <c r="C556" s="88" t="s">
        <v>656</v>
      </c>
      <c r="D556" s="89" t="s">
        <v>744</v>
      </c>
      <c r="E556" s="88">
        <v>1.0</v>
      </c>
      <c r="F556" s="89" t="s">
        <v>594</v>
      </c>
      <c r="G556" s="92">
        <v>0.2</v>
      </c>
      <c r="H556" s="92">
        <v>0.2</v>
      </c>
      <c r="I556" s="92">
        <v>0.0</v>
      </c>
      <c r="J556" s="91">
        <v>0.0</v>
      </c>
      <c r="K556" s="241" t="s">
        <v>2034</v>
      </c>
      <c r="L556" s="1"/>
      <c r="M556" s="242" t="s">
        <v>2035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0" customHeight="1">
      <c r="A557" s="1"/>
      <c r="B557" s="88">
        <v>206.0</v>
      </c>
      <c r="C557" s="88" t="s">
        <v>656</v>
      </c>
      <c r="D557" s="89" t="s">
        <v>744</v>
      </c>
      <c r="E557" s="88">
        <v>2.0</v>
      </c>
      <c r="F557" s="89" t="s">
        <v>579</v>
      </c>
      <c r="G557" s="92">
        <v>0.31</v>
      </c>
      <c r="H557" s="92">
        <v>0.31</v>
      </c>
      <c r="I557" s="92">
        <v>0.0</v>
      </c>
      <c r="J557" s="91">
        <v>0.0</v>
      </c>
      <c r="K557" s="241" t="s">
        <v>2036</v>
      </c>
      <c r="L557" s="1"/>
      <c r="M557" s="242" t="s">
        <v>2037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0" customHeight="1">
      <c r="A558" s="1"/>
      <c r="B558" s="88">
        <v>206.0</v>
      </c>
      <c r="C558" s="88" t="s">
        <v>656</v>
      </c>
      <c r="D558" s="89" t="s">
        <v>744</v>
      </c>
      <c r="E558" s="88">
        <v>3.0</v>
      </c>
      <c r="F558" s="89" t="s">
        <v>593</v>
      </c>
      <c r="G558" s="92">
        <v>0.15</v>
      </c>
      <c r="H558" s="92">
        <v>0.15</v>
      </c>
      <c r="I558" s="92">
        <v>0.0</v>
      </c>
      <c r="J558" s="91">
        <v>0.0</v>
      </c>
      <c r="K558" s="241" t="s">
        <v>2038</v>
      </c>
      <c r="L558" s="1"/>
      <c r="M558" s="242" t="s">
        <v>2039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0" customHeight="1">
      <c r="A559" s="1"/>
      <c r="B559" s="88">
        <v>206.0</v>
      </c>
      <c r="C559" s="88" t="s">
        <v>656</v>
      </c>
      <c r="D559" s="89" t="s">
        <v>744</v>
      </c>
      <c r="E559" s="88">
        <v>4.0</v>
      </c>
      <c r="F559" s="89" t="s">
        <v>549</v>
      </c>
      <c r="G559" s="92">
        <v>0.12</v>
      </c>
      <c r="H559" s="92">
        <v>0.12</v>
      </c>
      <c r="I559" s="92">
        <v>0.0</v>
      </c>
      <c r="J559" s="91">
        <v>0.0</v>
      </c>
      <c r="K559" s="241" t="s">
        <v>2040</v>
      </c>
      <c r="L559" s="1"/>
      <c r="M559" s="242" t="s">
        <v>2041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0" customHeight="1">
      <c r="A560" s="1"/>
      <c r="B560" s="88">
        <v>206.0</v>
      </c>
      <c r="C560" s="88" t="s">
        <v>656</v>
      </c>
      <c r="D560" s="89" t="s">
        <v>744</v>
      </c>
      <c r="E560" s="88">
        <v>5.0</v>
      </c>
      <c r="F560" s="89" t="s">
        <v>537</v>
      </c>
      <c r="G560" s="92">
        <v>0.02</v>
      </c>
      <c r="H560" s="92">
        <v>0.02</v>
      </c>
      <c r="I560" s="92">
        <v>0.0</v>
      </c>
      <c r="J560" s="91">
        <v>0.0</v>
      </c>
      <c r="K560" s="241" t="s">
        <v>2042</v>
      </c>
      <c r="L560" s="1"/>
      <c r="M560" s="242" t="s">
        <v>2043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0" customHeight="1">
      <c r="A561" s="1"/>
      <c r="B561" s="88">
        <v>206.0</v>
      </c>
      <c r="C561" s="88" t="s">
        <v>656</v>
      </c>
      <c r="D561" s="89" t="s">
        <v>744</v>
      </c>
      <c r="E561" s="88">
        <v>6.0</v>
      </c>
      <c r="F561" s="89" t="s">
        <v>560</v>
      </c>
      <c r="G561" s="92">
        <v>0.2</v>
      </c>
      <c r="H561" s="92">
        <v>0.2</v>
      </c>
      <c r="I561" s="92">
        <v>0.0</v>
      </c>
      <c r="J561" s="91">
        <v>0.0</v>
      </c>
      <c r="K561" s="241" t="s">
        <v>2044</v>
      </c>
      <c r="L561" s="1"/>
      <c r="M561" s="242" t="s">
        <v>2045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0" customHeight="1">
      <c r="A562" s="1"/>
      <c r="B562" s="88">
        <v>207.0</v>
      </c>
      <c r="C562" s="88" t="s">
        <v>656</v>
      </c>
      <c r="D562" s="89" t="s">
        <v>740</v>
      </c>
      <c r="E562" s="88">
        <v>1.0</v>
      </c>
      <c r="F562" s="89" t="s">
        <v>594</v>
      </c>
      <c r="G562" s="92">
        <v>0.15</v>
      </c>
      <c r="H562" s="92">
        <v>0.15</v>
      </c>
      <c r="I562" s="92">
        <v>0.0</v>
      </c>
      <c r="J562" s="91">
        <v>0.0</v>
      </c>
      <c r="K562" s="241" t="s">
        <v>2046</v>
      </c>
      <c r="L562" s="1"/>
      <c r="M562" s="242" t="s">
        <v>2047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0" customHeight="1">
      <c r="A563" s="1"/>
      <c r="B563" s="88">
        <v>207.0</v>
      </c>
      <c r="C563" s="88" t="s">
        <v>656</v>
      </c>
      <c r="D563" s="89" t="s">
        <v>740</v>
      </c>
      <c r="E563" s="88">
        <v>2.0</v>
      </c>
      <c r="F563" s="89" t="s">
        <v>579</v>
      </c>
      <c r="G563" s="92">
        <v>0.3</v>
      </c>
      <c r="H563" s="92">
        <v>0.3</v>
      </c>
      <c r="I563" s="92">
        <v>0.0</v>
      </c>
      <c r="J563" s="91">
        <v>0.0</v>
      </c>
      <c r="K563" s="241" t="s">
        <v>2048</v>
      </c>
      <c r="L563" s="1"/>
      <c r="M563" s="242" t="s">
        <v>2049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0" customHeight="1">
      <c r="A564" s="1"/>
      <c r="B564" s="88">
        <v>207.0</v>
      </c>
      <c r="C564" s="88" t="s">
        <v>656</v>
      </c>
      <c r="D564" s="89" t="s">
        <v>740</v>
      </c>
      <c r="E564" s="88">
        <v>3.0</v>
      </c>
      <c r="F564" s="89" t="s">
        <v>593</v>
      </c>
      <c r="G564" s="92">
        <v>0.15</v>
      </c>
      <c r="H564" s="92">
        <v>0.15</v>
      </c>
      <c r="I564" s="92">
        <v>0.0</v>
      </c>
      <c r="J564" s="91">
        <v>0.0</v>
      </c>
      <c r="K564" s="241" t="s">
        <v>2050</v>
      </c>
      <c r="L564" s="1"/>
      <c r="M564" s="242" t="s">
        <v>2051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0" customHeight="1">
      <c r="A565" s="1"/>
      <c r="B565" s="88">
        <v>207.0</v>
      </c>
      <c r="C565" s="88" t="s">
        <v>656</v>
      </c>
      <c r="D565" s="89" t="s">
        <v>740</v>
      </c>
      <c r="E565" s="88">
        <v>4.0</v>
      </c>
      <c r="F565" s="89" t="s">
        <v>549</v>
      </c>
      <c r="G565" s="92">
        <v>0.12</v>
      </c>
      <c r="H565" s="92">
        <v>0.12</v>
      </c>
      <c r="I565" s="92">
        <v>0.0</v>
      </c>
      <c r="J565" s="91">
        <v>0.0</v>
      </c>
      <c r="K565" s="241" t="s">
        <v>2052</v>
      </c>
      <c r="L565" s="1"/>
      <c r="M565" s="242" t="s">
        <v>2053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0" customHeight="1">
      <c r="A566" s="1"/>
      <c r="B566" s="88">
        <v>207.0</v>
      </c>
      <c r="C566" s="88" t="s">
        <v>656</v>
      </c>
      <c r="D566" s="89" t="s">
        <v>740</v>
      </c>
      <c r="E566" s="88">
        <v>5.0</v>
      </c>
      <c r="F566" s="89" t="s">
        <v>537</v>
      </c>
      <c r="G566" s="92">
        <v>0.03</v>
      </c>
      <c r="H566" s="92">
        <v>0.03</v>
      </c>
      <c r="I566" s="92">
        <v>0.0</v>
      </c>
      <c r="J566" s="91">
        <v>0.0</v>
      </c>
      <c r="K566" s="241" t="s">
        <v>2054</v>
      </c>
      <c r="L566" s="1"/>
      <c r="M566" s="242" t="s">
        <v>2055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0" customHeight="1">
      <c r="A567" s="1"/>
      <c r="B567" s="243">
        <v>207.0</v>
      </c>
      <c r="C567" s="243" t="s">
        <v>656</v>
      </c>
      <c r="D567" s="244" t="s">
        <v>740</v>
      </c>
      <c r="E567" s="243">
        <v>6.0</v>
      </c>
      <c r="F567" s="244" t="s">
        <v>561</v>
      </c>
      <c r="G567" s="245">
        <v>0.25</v>
      </c>
      <c r="H567" s="245">
        <v>0.25</v>
      </c>
      <c r="I567" s="245">
        <v>0.0</v>
      </c>
      <c r="J567" s="246">
        <v>0.0</v>
      </c>
      <c r="K567" s="247" t="s">
        <v>2056</v>
      </c>
      <c r="L567" s="248"/>
      <c r="M567" s="242" t="s">
        <v>2057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0" customHeight="1">
      <c r="A568" s="1"/>
      <c r="B568" s="243">
        <v>208.0</v>
      </c>
      <c r="C568" s="243" t="s">
        <v>656</v>
      </c>
      <c r="D568" s="244" t="s">
        <v>746</v>
      </c>
      <c r="E568" s="243">
        <v>1.0</v>
      </c>
      <c r="F568" s="244" t="s">
        <v>594</v>
      </c>
      <c r="G568" s="245">
        <v>0.15</v>
      </c>
      <c r="H568" s="245">
        <v>0.15</v>
      </c>
      <c r="I568" s="245">
        <v>0.0</v>
      </c>
      <c r="J568" s="246">
        <v>0.0</v>
      </c>
      <c r="K568" s="247" t="s">
        <v>2058</v>
      </c>
      <c r="L568" s="248"/>
      <c r="M568" s="242" t="s">
        <v>2059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0" customHeight="1">
      <c r="A569" s="1"/>
      <c r="B569" s="88">
        <v>208.0</v>
      </c>
      <c r="C569" s="88" t="s">
        <v>656</v>
      </c>
      <c r="D569" s="89" t="s">
        <v>746</v>
      </c>
      <c r="E569" s="88">
        <v>2.0</v>
      </c>
      <c r="F569" s="89" t="s">
        <v>579</v>
      </c>
      <c r="G569" s="92">
        <v>0.348</v>
      </c>
      <c r="H569" s="92">
        <v>0.348</v>
      </c>
      <c r="I569" s="92">
        <v>0.0</v>
      </c>
      <c r="J569" s="91">
        <v>0.0</v>
      </c>
      <c r="K569" s="241" t="s">
        <v>2060</v>
      </c>
      <c r="L569" s="1"/>
      <c r="M569" s="242" t="s">
        <v>2061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0" customHeight="1">
      <c r="A570" s="1"/>
      <c r="B570" s="88">
        <v>208.0</v>
      </c>
      <c r="C570" s="88" t="s">
        <v>656</v>
      </c>
      <c r="D570" s="89" t="s">
        <v>746</v>
      </c>
      <c r="E570" s="88">
        <v>3.0</v>
      </c>
      <c r="F570" s="89" t="s">
        <v>593</v>
      </c>
      <c r="G570" s="92">
        <v>0.18</v>
      </c>
      <c r="H570" s="92">
        <v>0.18</v>
      </c>
      <c r="I570" s="92">
        <v>0.0</v>
      </c>
      <c r="J570" s="91">
        <v>0.0</v>
      </c>
      <c r="K570" s="241" t="s">
        <v>2062</v>
      </c>
      <c r="L570" s="1"/>
      <c r="M570" s="242" t="s">
        <v>2063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0" customHeight="1">
      <c r="A571" s="1"/>
      <c r="B571" s="88">
        <v>208.0</v>
      </c>
      <c r="C571" s="88" t="s">
        <v>656</v>
      </c>
      <c r="D571" s="89" t="s">
        <v>746</v>
      </c>
      <c r="E571" s="88">
        <v>4.0</v>
      </c>
      <c r="F571" s="89" t="s">
        <v>549</v>
      </c>
      <c r="G571" s="92">
        <v>0.12</v>
      </c>
      <c r="H571" s="92">
        <v>0.12</v>
      </c>
      <c r="I571" s="92">
        <v>0.0</v>
      </c>
      <c r="J571" s="91">
        <v>0.0</v>
      </c>
      <c r="K571" s="241" t="s">
        <v>2064</v>
      </c>
      <c r="L571" s="1"/>
      <c r="M571" s="242" t="s">
        <v>2065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0" customHeight="1">
      <c r="A572" s="1"/>
      <c r="B572" s="88">
        <v>208.0</v>
      </c>
      <c r="C572" s="88" t="s">
        <v>656</v>
      </c>
      <c r="D572" s="89" t="s">
        <v>746</v>
      </c>
      <c r="E572" s="88">
        <v>5.0</v>
      </c>
      <c r="F572" s="89" t="s">
        <v>537</v>
      </c>
      <c r="G572" s="92">
        <v>0.018</v>
      </c>
      <c r="H572" s="92">
        <v>0.018</v>
      </c>
      <c r="I572" s="92">
        <v>0.0</v>
      </c>
      <c r="J572" s="91">
        <v>0.0</v>
      </c>
      <c r="K572" s="241" t="s">
        <v>2066</v>
      </c>
      <c r="L572" s="1"/>
      <c r="M572" s="242" t="s">
        <v>2067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0" customHeight="1">
      <c r="A573" s="1"/>
      <c r="B573" s="243">
        <v>208.0</v>
      </c>
      <c r="C573" s="243" t="s">
        <v>656</v>
      </c>
      <c r="D573" s="244" t="s">
        <v>746</v>
      </c>
      <c r="E573" s="243">
        <v>6.0</v>
      </c>
      <c r="F573" s="244" t="s">
        <v>543</v>
      </c>
      <c r="G573" s="245">
        <v>0.004</v>
      </c>
      <c r="H573" s="245">
        <v>0.004</v>
      </c>
      <c r="I573" s="245">
        <v>0.0</v>
      </c>
      <c r="J573" s="246">
        <v>0.0</v>
      </c>
      <c r="K573" s="247" t="s">
        <v>2068</v>
      </c>
      <c r="L573" s="248"/>
      <c r="M573" s="242" t="s">
        <v>2069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0" customHeight="1">
      <c r="A574" s="1"/>
      <c r="B574" s="243">
        <v>208.0</v>
      </c>
      <c r="C574" s="243" t="s">
        <v>656</v>
      </c>
      <c r="D574" s="244" t="s">
        <v>746</v>
      </c>
      <c r="E574" s="243">
        <v>7.0</v>
      </c>
      <c r="F574" s="244" t="s">
        <v>565</v>
      </c>
      <c r="G574" s="245">
        <v>0.18</v>
      </c>
      <c r="H574" s="245">
        <v>0.18</v>
      </c>
      <c r="I574" s="245">
        <v>0.0</v>
      </c>
      <c r="J574" s="246">
        <v>0.0</v>
      </c>
      <c r="K574" s="247" t="s">
        <v>2070</v>
      </c>
      <c r="L574" s="248"/>
      <c r="M574" s="242" t="s">
        <v>2071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0" customHeight="1">
      <c r="A575" s="1"/>
      <c r="B575" s="88">
        <v>209.0</v>
      </c>
      <c r="C575" s="88" t="s">
        <v>656</v>
      </c>
      <c r="D575" s="89" t="s">
        <v>748</v>
      </c>
      <c r="E575" s="88">
        <v>1.0</v>
      </c>
      <c r="F575" s="89" t="s">
        <v>594</v>
      </c>
      <c r="G575" s="92">
        <v>0.2</v>
      </c>
      <c r="H575" s="92">
        <v>0.2</v>
      </c>
      <c r="I575" s="92">
        <v>0.0</v>
      </c>
      <c r="J575" s="91">
        <v>0.0</v>
      </c>
      <c r="K575" s="241" t="s">
        <v>2072</v>
      </c>
      <c r="L575" s="1"/>
      <c r="M575" s="242" t="s">
        <v>2073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0" customHeight="1">
      <c r="A576" s="1"/>
      <c r="B576" s="88">
        <v>209.0</v>
      </c>
      <c r="C576" s="88" t="s">
        <v>656</v>
      </c>
      <c r="D576" s="89" t="s">
        <v>748</v>
      </c>
      <c r="E576" s="88">
        <v>2.0</v>
      </c>
      <c r="F576" s="89" t="s">
        <v>579</v>
      </c>
      <c r="G576" s="92">
        <v>0.33</v>
      </c>
      <c r="H576" s="92">
        <v>0.33</v>
      </c>
      <c r="I576" s="92">
        <v>0.0</v>
      </c>
      <c r="J576" s="91">
        <v>0.0</v>
      </c>
      <c r="K576" s="241" t="s">
        <v>2074</v>
      </c>
      <c r="L576" s="1"/>
      <c r="M576" s="242" t="s">
        <v>2075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0" customHeight="1">
      <c r="A577" s="1"/>
      <c r="B577" s="88">
        <v>209.0</v>
      </c>
      <c r="C577" s="88" t="s">
        <v>656</v>
      </c>
      <c r="D577" s="89" t="s">
        <v>748</v>
      </c>
      <c r="E577" s="88">
        <v>3.0</v>
      </c>
      <c r="F577" s="89" t="s">
        <v>593</v>
      </c>
      <c r="G577" s="92">
        <v>0.15</v>
      </c>
      <c r="H577" s="92">
        <v>0.15</v>
      </c>
      <c r="I577" s="92">
        <v>0.0</v>
      </c>
      <c r="J577" s="91">
        <v>0.0</v>
      </c>
      <c r="K577" s="241" t="s">
        <v>2076</v>
      </c>
      <c r="L577" s="1"/>
      <c r="M577" s="242" t="s">
        <v>2077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0" customHeight="1">
      <c r="A578" s="1"/>
      <c r="B578" s="88">
        <v>209.0</v>
      </c>
      <c r="C578" s="88" t="s">
        <v>656</v>
      </c>
      <c r="D578" s="89" t="s">
        <v>748</v>
      </c>
      <c r="E578" s="88">
        <v>4.0</v>
      </c>
      <c r="F578" s="89" t="s">
        <v>585</v>
      </c>
      <c r="G578" s="92">
        <v>0.12</v>
      </c>
      <c r="H578" s="92">
        <v>0.12</v>
      </c>
      <c r="I578" s="92">
        <v>0.0</v>
      </c>
      <c r="J578" s="91">
        <v>0.0</v>
      </c>
      <c r="K578" s="241" t="s">
        <v>2078</v>
      </c>
      <c r="L578" s="1"/>
      <c r="M578" s="242" t="s">
        <v>2079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0" customHeight="1">
      <c r="A579" s="1"/>
      <c r="B579" s="243">
        <v>209.0</v>
      </c>
      <c r="C579" s="243" t="s">
        <v>656</v>
      </c>
      <c r="D579" s="244" t="s">
        <v>748</v>
      </c>
      <c r="E579" s="243">
        <v>5.0</v>
      </c>
      <c r="F579" s="244" t="s">
        <v>566</v>
      </c>
      <c r="G579" s="245">
        <v>0.2</v>
      </c>
      <c r="H579" s="245">
        <v>0.2</v>
      </c>
      <c r="I579" s="245">
        <v>0.0</v>
      </c>
      <c r="J579" s="246">
        <v>0.0</v>
      </c>
      <c r="K579" s="247" t="s">
        <v>2080</v>
      </c>
      <c r="L579" s="248"/>
      <c r="M579" s="242" t="s">
        <v>2081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0" customHeight="1">
      <c r="A580" s="1"/>
      <c r="B580" s="243">
        <v>210.0</v>
      </c>
      <c r="C580" s="243" t="s">
        <v>656</v>
      </c>
      <c r="D580" s="244" t="s">
        <v>717</v>
      </c>
      <c r="E580" s="243">
        <v>1.0</v>
      </c>
      <c r="F580" s="244" t="s">
        <v>579</v>
      </c>
      <c r="G580" s="245">
        <v>0.54</v>
      </c>
      <c r="H580" s="245">
        <v>0.54</v>
      </c>
      <c r="I580" s="245">
        <v>0.0</v>
      </c>
      <c r="J580" s="246">
        <v>0.0</v>
      </c>
      <c r="K580" s="247" t="s">
        <v>1327</v>
      </c>
      <c r="L580" s="248"/>
      <c r="M580" s="242" t="s">
        <v>1328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0" customHeight="1">
      <c r="A581" s="1"/>
      <c r="B581" s="88">
        <v>210.0</v>
      </c>
      <c r="C581" s="88" t="s">
        <v>656</v>
      </c>
      <c r="D581" s="89" t="s">
        <v>717</v>
      </c>
      <c r="E581" s="88">
        <v>2.0</v>
      </c>
      <c r="F581" s="89" t="s">
        <v>593</v>
      </c>
      <c r="G581" s="92">
        <v>0.24</v>
      </c>
      <c r="H581" s="92">
        <v>0.24</v>
      </c>
      <c r="I581" s="92">
        <v>0.0</v>
      </c>
      <c r="J581" s="91">
        <v>0.0</v>
      </c>
      <c r="K581" s="241" t="s">
        <v>1329</v>
      </c>
      <c r="L581" s="1"/>
      <c r="M581" s="242" t="s">
        <v>1330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0" customHeight="1">
      <c r="A582" s="1"/>
      <c r="B582" s="88">
        <v>210.0</v>
      </c>
      <c r="C582" s="88" t="s">
        <v>656</v>
      </c>
      <c r="D582" s="89" t="s">
        <v>717</v>
      </c>
      <c r="E582" s="88">
        <v>3.0</v>
      </c>
      <c r="F582" s="89" t="s">
        <v>549</v>
      </c>
      <c r="G582" s="92">
        <v>0.22</v>
      </c>
      <c r="H582" s="92">
        <v>0.22</v>
      </c>
      <c r="I582" s="92">
        <v>0.0</v>
      </c>
      <c r="J582" s="91">
        <v>0.0</v>
      </c>
      <c r="K582" s="241" t="s">
        <v>1331</v>
      </c>
      <c r="L582" s="1"/>
      <c r="M582" s="242" t="s">
        <v>2082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0" customHeight="1">
      <c r="A583" s="1"/>
      <c r="B583" s="243">
        <v>211.0</v>
      </c>
      <c r="C583" s="243" t="s">
        <v>656</v>
      </c>
      <c r="D583" s="244" t="s">
        <v>722</v>
      </c>
      <c r="E583" s="243">
        <v>1.0</v>
      </c>
      <c r="F583" s="244" t="s">
        <v>549</v>
      </c>
      <c r="G583" s="245">
        <v>0.25</v>
      </c>
      <c r="H583" s="245">
        <v>0.25</v>
      </c>
      <c r="I583" s="245">
        <v>0.0</v>
      </c>
      <c r="J583" s="246">
        <v>0.0</v>
      </c>
      <c r="K583" s="247" t="s">
        <v>2083</v>
      </c>
      <c r="L583" s="248"/>
      <c r="M583" s="242" t="s">
        <v>2084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0" customHeight="1">
      <c r="A584" s="1"/>
      <c r="B584" s="88">
        <v>211.0</v>
      </c>
      <c r="C584" s="88" t="s">
        <v>656</v>
      </c>
      <c r="D584" s="89" t="s">
        <v>722</v>
      </c>
      <c r="E584" s="88">
        <v>2.0</v>
      </c>
      <c r="F584" s="89" t="s">
        <v>579</v>
      </c>
      <c r="G584" s="92">
        <v>0.306</v>
      </c>
      <c r="H584" s="92">
        <v>0.306</v>
      </c>
      <c r="I584" s="92">
        <v>0.0</v>
      </c>
      <c r="J584" s="91">
        <v>0.0</v>
      </c>
      <c r="K584" s="241" t="s">
        <v>2085</v>
      </c>
      <c r="L584" s="1"/>
      <c r="M584" s="242" t="s">
        <v>2086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0" customHeight="1">
      <c r="A585" s="1"/>
      <c r="B585" s="88">
        <v>211.0</v>
      </c>
      <c r="C585" s="88" t="s">
        <v>656</v>
      </c>
      <c r="D585" s="89" t="s">
        <v>722</v>
      </c>
      <c r="E585" s="88">
        <v>3.0</v>
      </c>
      <c r="F585" s="89" t="s">
        <v>593</v>
      </c>
      <c r="G585" s="92">
        <v>0.224</v>
      </c>
      <c r="H585" s="92">
        <v>0.224</v>
      </c>
      <c r="I585" s="92">
        <v>0.0</v>
      </c>
      <c r="J585" s="91">
        <v>0.0</v>
      </c>
      <c r="K585" s="241" t="s">
        <v>2087</v>
      </c>
      <c r="L585" s="1"/>
      <c r="M585" s="242" t="s">
        <v>2088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0" customHeight="1">
      <c r="A586" s="1"/>
      <c r="B586" s="88">
        <v>211.0</v>
      </c>
      <c r="C586" s="88" t="s">
        <v>656</v>
      </c>
      <c r="D586" s="89" t="s">
        <v>722</v>
      </c>
      <c r="E586" s="88">
        <v>4.0</v>
      </c>
      <c r="F586" s="89" t="s">
        <v>594</v>
      </c>
      <c r="G586" s="92">
        <v>0.22</v>
      </c>
      <c r="H586" s="92">
        <v>0.22</v>
      </c>
      <c r="I586" s="92">
        <v>0.0</v>
      </c>
      <c r="J586" s="91">
        <v>0.0</v>
      </c>
      <c r="K586" s="241" t="s">
        <v>2089</v>
      </c>
      <c r="L586" s="1"/>
      <c r="M586" s="242" t="s">
        <v>2090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0" customHeight="1">
      <c r="A587" s="1"/>
      <c r="B587" s="88">
        <v>212.0</v>
      </c>
      <c r="C587" s="88" t="s">
        <v>656</v>
      </c>
      <c r="D587" s="89" t="s">
        <v>724</v>
      </c>
      <c r="E587" s="88">
        <v>1.0</v>
      </c>
      <c r="F587" s="89" t="s">
        <v>579</v>
      </c>
      <c r="G587" s="92">
        <v>0.365</v>
      </c>
      <c r="H587" s="92">
        <v>0.365</v>
      </c>
      <c r="I587" s="92">
        <v>0.0</v>
      </c>
      <c r="J587" s="91">
        <v>0.0</v>
      </c>
      <c r="K587" s="241" t="s">
        <v>2091</v>
      </c>
      <c r="L587" s="1"/>
      <c r="M587" s="242" t="s">
        <v>2092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0" customHeight="1">
      <c r="A588" s="1"/>
      <c r="B588" s="88">
        <v>212.0</v>
      </c>
      <c r="C588" s="88" t="s">
        <v>656</v>
      </c>
      <c r="D588" s="89" t="s">
        <v>724</v>
      </c>
      <c r="E588" s="88">
        <v>2.0</v>
      </c>
      <c r="F588" s="89" t="s">
        <v>593</v>
      </c>
      <c r="G588" s="92">
        <v>0.225</v>
      </c>
      <c r="H588" s="92">
        <v>0.225</v>
      </c>
      <c r="I588" s="92">
        <v>0.0</v>
      </c>
      <c r="J588" s="91">
        <v>0.0</v>
      </c>
      <c r="K588" s="241" t="s">
        <v>2093</v>
      </c>
      <c r="L588" s="1"/>
      <c r="M588" s="242" t="s">
        <v>2094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0" customHeight="1">
      <c r="A589" s="1"/>
      <c r="B589" s="88">
        <v>212.0</v>
      </c>
      <c r="C589" s="88" t="s">
        <v>656</v>
      </c>
      <c r="D589" s="89" t="s">
        <v>724</v>
      </c>
      <c r="E589" s="88">
        <v>3.0</v>
      </c>
      <c r="F589" s="89" t="s">
        <v>549</v>
      </c>
      <c r="G589" s="92">
        <v>0.41</v>
      </c>
      <c r="H589" s="92">
        <v>0.41</v>
      </c>
      <c r="I589" s="92">
        <v>0.0</v>
      </c>
      <c r="J589" s="91">
        <v>0.0</v>
      </c>
      <c r="K589" s="241" t="s">
        <v>2095</v>
      </c>
      <c r="L589" s="1"/>
      <c r="M589" s="242" t="s">
        <v>2096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0" customHeight="1">
      <c r="A590" s="1"/>
      <c r="B590" s="88">
        <v>213.0</v>
      </c>
      <c r="C590" s="88" t="s">
        <v>656</v>
      </c>
      <c r="D590" s="89" t="s">
        <v>753</v>
      </c>
      <c r="E590" s="88">
        <v>1.0</v>
      </c>
      <c r="F590" s="89" t="s">
        <v>724</v>
      </c>
      <c r="G590" s="92">
        <v>0.37</v>
      </c>
      <c r="H590" s="92">
        <v>0.37</v>
      </c>
      <c r="I590" s="92">
        <v>0.0</v>
      </c>
      <c r="J590" s="91">
        <v>0.0</v>
      </c>
      <c r="K590" s="241" t="s">
        <v>2097</v>
      </c>
      <c r="L590" s="1"/>
      <c r="M590" s="242" t="s">
        <v>2098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0" customHeight="1">
      <c r="A591" s="1"/>
      <c r="B591" s="88">
        <v>213.0</v>
      </c>
      <c r="C591" s="88" t="s">
        <v>656</v>
      </c>
      <c r="D591" s="89" t="s">
        <v>753</v>
      </c>
      <c r="E591" s="88">
        <v>2.0</v>
      </c>
      <c r="F591" s="89" t="s">
        <v>579</v>
      </c>
      <c r="G591" s="92">
        <v>0.33</v>
      </c>
      <c r="H591" s="92">
        <v>0.33</v>
      </c>
      <c r="I591" s="92">
        <v>0.0</v>
      </c>
      <c r="J591" s="91">
        <v>0.0</v>
      </c>
      <c r="K591" s="241" t="s">
        <v>2099</v>
      </c>
      <c r="L591" s="1"/>
      <c r="M591" s="242" t="s">
        <v>2100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0" customHeight="1">
      <c r="A592" s="1"/>
      <c r="B592" s="88">
        <v>213.0</v>
      </c>
      <c r="C592" s="88" t="s">
        <v>656</v>
      </c>
      <c r="D592" s="89" t="s">
        <v>753</v>
      </c>
      <c r="E592" s="88">
        <v>3.0</v>
      </c>
      <c r="F592" s="89" t="s">
        <v>593</v>
      </c>
      <c r="G592" s="92">
        <v>0.14</v>
      </c>
      <c r="H592" s="92">
        <v>0.14</v>
      </c>
      <c r="I592" s="92">
        <v>0.0</v>
      </c>
      <c r="J592" s="91">
        <v>0.0</v>
      </c>
      <c r="K592" s="241" t="s">
        <v>2101</v>
      </c>
      <c r="L592" s="1"/>
      <c r="M592" s="242" t="s">
        <v>2102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0" customHeight="1">
      <c r="A593" s="1"/>
      <c r="B593" s="88">
        <v>213.0</v>
      </c>
      <c r="C593" s="88" t="s">
        <v>656</v>
      </c>
      <c r="D593" s="89" t="s">
        <v>753</v>
      </c>
      <c r="E593" s="88">
        <v>4.0</v>
      </c>
      <c r="F593" s="89" t="s">
        <v>540</v>
      </c>
      <c r="G593" s="92">
        <v>0.16</v>
      </c>
      <c r="H593" s="92">
        <v>0.16</v>
      </c>
      <c r="I593" s="92">
        <v>0.0</v>
      </c>
      <c r="J593" s="91">
        <v>0.0</v>
      </c>
      <c r="K593" s="241" t="s">
        <v>2103</v>
      </c>
      <c r="L593" s="1"/>
      <c r="M593" s="242" t="s">
        <v>2104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0" customHeight="1">
      <c r="A594" s="1"/>
      <c r="B594" s="88">
        <v>214.0</v>
      </c>
      <c r="C594" s="88" t="s">
        <v>656</v>
      </c>
      <c r="D594" s="89" t="s">
        <v>720</v>
      </c>
      <c r="E594" s="88">
        <v>1.0</v>
      </c>
      <c r="F594" s="89" t="s">
        <v>579</v>
      </c>
      <c r="G594" s="92">
        <v>0.5</v>
      </c>
      <c r="H594" s="92">
        <v>0.5</v>
      </c>
      <c r="I594" s="92">
        <v>0.0</v>
      </c>
      <c r="J594" s="91">
        <v>0.0</v>
      </c>
      <c r="K594" s="241" t="s">
        <v>2105</v>
      </c>
      <c r="L594" s="1"/>
      <c r="M594" s="242" t="s">
        <v>2106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0" customHeight="1">
      <c r="A595" s="1"/>
      <c r="B595" s="88">
        <v>214.0</v>
      </c>
      <c r="C595" s="88" t="s">
        <v>656</v>
      </c>
      <c r="D595" s="89" t="s">
        <v>720</v>
      </c>
      <c r="E595" s="88">
        <v>2.0</v>
      </c>
      <c r="F595" s="89" t="s">
        <v>591</v>
      </c>
      <c r="G595" s="92">
        <v>0.5</v>
      </c>
      <c r="H595" s="92">
        <v>0.5</v>
      </c>
      <c r="I595" s="92">
        <v>0.0</v>
      </c>
      <c r="J595" s="91">
        <v>0.0</v>
      </c>
      <c r="K595" s="241" t="s">
        <v>2107</v>
      </c>
      <c r="L595" s="1"/>
      <c r="M595" s="242" t="s">
        <v>2108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0" customHeight="1">
      <c r="A596" s="1"/>
      <c r="B596" s="88">
        <v>215.0</v>
      </c>
      <c r="C596" s="88" t="s">
        <v>656</v>
      </c>
      <c r="D596" s="89" t="s">
        <v>726</v>
      </c>
      <c r="E596" s="88">
        <v>1.0</v>
      </c>
      <c r="F596" s="89" t="s">
        <v>579</v>
      </c>
      <c r="G596" s="92">
        <v>0.5</v>
      </c>
      <c r="H596" s="92">
        <v>0.5</v>
      </c>
      <c r="I596" s="92">
        <v>0.0</v>
      </c>
      <c r="J596" s="91">
        <v>0.0</v>
      </c>
      <c r="K596" s="241" t="s">
        <v>2109</v>
      </c>
      <c r="L596" s="1"/>
      <c r="M596" s="242" t="s">
        <v>2110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0" customHeight="1">
      <c r="A597" s="1"/>
      <c r="B597" s="88">
        <v>215.0</v>
      </c>
      <c r="C597" s="88" t="s">
        <v>656</v>
      </c>
      <c r="D597" s="89" t="s">
        <v>726</v>
      </c>
      <c r="E597" s="88">
        <v>2.0</v>
      </c>
      <c r="F597" s="89" t="s">
        <v>539</v>
      </c>
      <c r="G597" s="92">
        <v>0.5</v>
      </c>
      <c r="H597" s="92">
        <v>0.5</v>
      </c>
      <c r="I597" s="92">
        <v>0.0</v>
      </c>
      <c r="J597" s="91">
        <v>0.0</v>
      </c>
      <c r="K597" s="241" t="s">
        <v>2111</v>
      </c>
      <c r="L597" s="1"/>
      <c r="M597" s="242" t="s">
        <v>2112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0" customHeight="1">
      <c r="A598" s="1"/>
      <c r="B598" s="88">
        <v>216.0</v>
      </c>
      <c r="C598" s="88" t="s">
        <v>656</v>
      </c>
      <c r="D598" s="89" t="s">
        <v>657</v>
      </c>
      <c r="E598" s="88">
        <v>1.0</v>
      </c>
      <c r="F598" s="89" t="s">
        <v>579</v>
      </c>
      <c r="G598" s="92">
        <v>0.1</v>
      </c>
      <c r="H598" s="92">
        <v>0.1</v>
      </c>
      <c r="I598" s="92">
        <v>0.0</v>
      </c>
      <c r="J598" s="91">
        <v>0.0</v>
      </c>
      <c r="K598" s="241" t="s">
        <v>2113</v>
      </c>
      <c r="L598" s="1"/>
      <c r="M598" s="242" t="s">
        <v>2114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0" customHeight="1">
      <c r="A599" s="1"/>
      <c r="B599" s="88">
        <v>216.0</v>
      </c>
      <c r="C599" s="88" t="s">
        <v>656</v>
      </c>
      <c r="D599" s="89" t="s">
        <v>657</v>
      </c>
      <c r="E599" s="88">
        <v>2.0</v>
      </c>
      <c r="F599" s="89" t="s">
        <v>594</v>
      </c>
      <c r="G599" s="92">
        <v>0.355</v>
      </c>
      <c r="H599" s="92">
        <v>0.355</v>
      </c>
      <c r="I599" s="92">
        <v>0.0</v>
      </c>
      <c r="J599" s="91">
        <v>0.0</v>
      </c>
      <c r="K599" s="241" t="s">
        <v>2115</v>
      </c>
      <c r="L599" s="1"/>
      <c r="M599" s="242" t="s">
        <v>2116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0" customHeight="1">
      <c r="A600" s="1"/>
      <c r="B600" s="88">
        <v>216.0</v>
      </c>
      <c r="C600" s="88" t="s">
        <v>656</v>
      </c>
      <c r="D600" s="89" t="s">
        <v>657</v>
      </c>
      <c r="E600" s="88">
        <v>3.0</v>
      </c>
      <c r="F600" s="89" t="s">
        <v>569</v>
      </c>
      <c r="G600" s="92">
        <v>0.177</v>
      </c>
      <c r="H600" s="92">
        <v>0.177</v>
      </c>
      <c r="I600" s="92">
        <v>0.0</v>
      </c>
      <c r="J600" s="91">
        <v>0.0</v>
      </c>
      <c r="K600" s="241" t="s">
        <v>2117</v>
      </c>
      <c r="L600" s="1"/>
      <c r="M600" s="242" t="s">
        <v>2118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0" customHeight="1">
      <c r="A601" s="1"/>
      <c r="B601" s="88">
        <v>216.0</v>
      </c>
      <c r="C601" s="88" t="s">
        <v>656</v>
      </c>
      <c r="D601" s="89" t="s">
        <v>657</v>
      </c>
      <c r="E601" s="88">
        <v>4.0</v>
      </c>
      <c r="F601" s="89" t="s">
        <v>570</v>
      </c>
      <c r="G601" s="92">
        <v>0.233</v>
      </c>
      <c r="H601" s="92">
        <v>0.233</v>
      </c>
      <c r="I601" s="92">
        <v>0.0</v>
      </c>
      <c r="J601" s="91">
        <v>0.0</v>
      </c>
      <c r="K601" s="241" t="s">
        <v>2119</v>
      </c>
      <c r="L601" s="1"/>
      <c r="M601" s="242" t="s">
        <v>2120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0" customHeight="1">
      <c r="A602" s="1"/>
      <c r="B602" s="88">
        <v>216.0</v>
      </c>
      <c r="C602" s="88" t="s">
        <v>656</v>
      </c>
      <c r="D602" s="89" t="s">
        <v>657</v>
      </c>
      <c r="E602" s="88">
        <v>5.0</v>
      </c>
      <c r="F602" s="89" t="s">
        <v>591</v>
      </c>
      <c r="G602" s="92">
        <v>0.1</v>
      </c>
      <c r="H602" s="92">
        <v>0.1</v>
      </c>
      <c r="I602" s="92">
        <v>0.0</v>
      </c>
      <c r="J602" s="91">
        <v>0.0</v>
      </c>
      <c r="K602" s="241" t="s">
        <v>2121</v>
      </c>
      <c r="L602" s="1"/>
      <c r="M602" s="242" t="s">
        <v>2122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0" customHeight="1">
      <c r="A603" s="1"/>
      <c r="B603" s="88">
        <v>216.0</v>
      </c>
      <c r="C603" s="88" t="s">
        <v>656</v>
      </c>
      <c r="D603" s="89" t="s">
        <v>657</v>
      </c>
      <c r="E603" s="88">
        <v>6.0</v>
      </c>
      <c r="F603" s="89" t="s">
        <v>532</v>
      </c>
      <c r="G603" s="92">
        <v>0.035</v>
      </c>
      <c r="H603" s="92">
        <v>0.035</v>
      </c>
      <c r="I603" s="92">
        <v>0.0</v>
      </c>
      <c r="J603" s="91">
        <v>0.0</v>
      </c>
      <c r="K603" s="241" t="s">
        <v>2123</v>
      </c>
      <c r="L603" s="1"/>
      <c r="M603" s="242" t="s">
        <v>2124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0" customHeight="1">
      <c r="A604" s="1"/>
      <c r="B604" s="88">
        <v>217.0</v>
      </c>
      <c r="C604" s="88" t="s">
        <v>656</v>
      </c>
      <c r="D604" s="89" t="s">
        <v>659</v>
      </c>
      <c r="E604" s="88">
        <v>1.0</v>
      </c>
      <c r="F604" s="89" t="s">
        <v>594</v>
      </c>
      <c r="G604" s="92">
        <v>0.355</v>
      </c>
      <c r="H604" s="92">
        <v>0.355</v>
      </c>
      <c r="I604" s="92">
        <v>0.0</v>
      </c>
      <c r="J604" s="91">
        <v>0.0</v>
      </c>
      <c r="K604" s="241" t="s">
        <v>2125</v>
      </c>
      <c r="L604" s="1"/>
      <c r="M604" s="242" t="s">
        <v>2126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0" customHeight="1">
      <c r="A605" s="1"/>
      <c r="B605" s="88">
        <v>217.0</v>
      </c>
      <c r="C605" s="88" t="s">
        <v>656</v>
      </c>
      <c r="D605" s="89" t="s">
        <v>659</v>
      </c>
      <c r="E605" s="88">
        <v>2.0</v>
      </c>
      <c r="F605" s="89" t="s">
        <v>570</v>
      </c>
      <c r="G605" s="92">
        <v>0.41</v>
      </c>
      <c r="H605" s="92">
        <v>0.41</v>
      </c>
      <c r="I605" s="92">
        <v>0.0</v>
      </c>
      <c r="J605" s="91">
        <v>0.0</v>
      </c>
      <c r="K605" s="241" t="s">
        <v>2127</v>
      </c>
      <c r="L605" s="1"/>
      <c r="M605" s="242" t="s">
        <v>2128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0" customHeight="1">
      <c r="A606" s="1"/>
      <c r="B606" s="88">
        <v>217.0</v>
      </c>
      <c r="C606" s="88" t="s">
        <v>656</v>
      </c>
      <c r="D606" s="89" t="s">
        <v>659</v>
      </c>
      <c r="E606" s="88">
        <v>3.0</v>
      </c>
      <c r="F606" s="89" t="s">
        <v>720</v>
      </c>
      <c r="G606" s="92">
        <v>0.2</v>
      </c>
      <c r="H606" s="92">
        <v>0.2</v>
      </c>
      <c r="I606" s="92">
        <v>0.0</v>
      </c>
      <c r="J606" s="91">
        <v>0.0</v>
      </c>
      <c r="K606" s="241" t="s">
        <v>2129</v>
      </c>
      <c r="L606" s="1"/>
      <c r="M606" s="242" t="s">
        <v>2130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0" customHeight="1">
      <c r="A607" s="1"/>
      <c r="B607" s="88">
        <v>217.0</v>
      </c>
      <c r="C607" s="88" t="s">
        <v>656</v>
      </c>
      <c r="D607" s="89" t="s">
        <v>659</v>
      </c>
      <c r="E607" s="88">
        <v>4.0</v>
      </c>
      <c r="F607" s="89" t="s">
        <v>532</v>
      </c>
      <c r="G607" s="92">
        <v>0.035</v>
      </c>
      <c r="H607" s="92">
        <v>0.035</v>
      </c>
      <c r="I607" s="92">
        <v>0.0</v>
      </c>
      <c r="J607" s="91">
        <v>0.0</v>
      </c>
      <c r="K607" s="241" t="s">
        <v>2131</v>
      </c>
      <c r="L607" s="1"/>
      <c r="M607" s="242" t="s">
        <v>2132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0" customHeight="1">
      <c r="A608" s="1"/>
      <c r="B608" s="88">
        <v>218.0</v>
      </c>
      <c r="C608" s="88" t="s">
        <v>656</v>
      </c>
      <c r="D608" s="89" t="s">
        <v>610</v>
      </c>
      <c r="E608" s="88">
        <v>1.0</v>
      </c>
      <c r="F608" s="89" t="s">
        <v>594</v>
      </c>
      <c r="G608" s="92">
        <v>0.15</v>
      </c>
      <c r="H608" s="92">
        <v>0.15</v>
      </c>
      <c r="I608" s="92">
        <v>0.0</v>
      </c>
      <c r="J608" s="91">
        <v>0.0</v>
      </c>
      <c r="K608" s="241" t="s">
        <v>2133</v>
      </c>
      <c r="L608" s="1"/>
      <c r="M608" s="242" t="s">
        <v>2134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0" customHeight="1">
      <c r="A609" s="1"/>
      <c r="B609" s="88">
        <v>218.0</v>
      </c>
      <c r="C609" s="88" t="s">
        <v>656</v>
      </c>
      <c r="D609" s="89" t="s">
        <v>610</v>
      </c>
      <c r="E609" s="88">
        <v>2.0</v>
      </c>
      <c r="F609" s="89" t="s">
        <v>579</v>
      </c>
      <c r="G609" s="92">
        <v>0.25</v>
      </c>
      <c r="H609" s="92">
        <v>0.25</v>
      </c>
      <c r="I609" s="92">
        <v>0.0</v>
      </c>
      <c r="J609" s="91">
        <v>0.0</v>
      </c>
      <c r="K609" s="241" t="s">
        <v>2135</v>
      </c>
      <c r="L609" s="1"/>
      <c r="M609" s="242" t="s">
        <v>2136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0" customHeight="1">
      <c r="A610" s="1"/>
      <c r="B610" s="88">
        <v>218.0</v>
      </c>
      <c r="C610" s="88" t="s">
        <v>656</v>
      </c>
      <c r="D610" s="89" t="s">
        <v>610</v>
      </c>
      <c r="E610" s="88">
        <v>3.0</v>
      </c>
      <c r="F610" s="89" t="s">
        <v>593</v>
      </c>
      <c r="G610" s="92">
        <v>0.15</v>
      </c>
      <c r="H610" s="92">
        <v>0.15</v>
      </c>
      <c r="I610" s="92">
        <v>0.0</v>
      </c>
      <c r="J610" s="91">
        <v>0.0</v>
      </c>
      <c r="K610" s="241" t="s">
        <v>2137</v>
      </c>
      <c r="L610" s="1"/>
      <c r="M610" s="242" t="s">
        <v>2138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0" customHeight="1">
      <c r="A611" s="1"/>
      <c r="B611" s="88">
        <v>218.0</v>
      </c>
      <c r="C611" s="88" t="s">
        <v>656</v>
      </c>
      <c r="D611" s="89" t="s">
        <v>610</v>
      </c>
      <c r="E611" s="88">
        <v>4.0</v>
      </c>
      <c r="F611" s="89" t="s">
        <v>545</v>
      </c>
      <c r="G611" s="92">
        <v>0.45</v>
      </c>
      <c r="H611" s="92">
        <v>0.45</v>
      </c>
      <c r="I611" s="92">
        <v>0.0</v>
      </c>
      <c r="J611" s="91">
        <v>0.0</v>
      </c>
      <c r="K611" s="241" t="s">
        <v>2139</v>
      </c>
      <c r="L611" s="1"/>
      <c r="M611" s="242" t="s">
        <v>2140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0" customHeight="1">
      <c r="A612" s="1"/>
      <c r="B612" s="88">
        <v>219.0</v>
      </c>
      <c r="C612" s="88" t="s">
        <v>656</v>
      </c>
      <c r="D612" s="89" t="s">
        <v>655</v>
      </c>
      <c r="E612" s="88">
        <v>1.0</v>
      </c>
      <c r="F612" s="89" t="s">
        <v>593</v>
      </c>
      <c r="G612" s="92">
        <v>0.18</v>
      </c>
      <c r="H612" s="92">
        <v>0.18</v>
      </c>
      <c r="I612" s="92">
        <v>0.0</v>
      </c>
      <c r="J612" s="91">
        <v>0.0</v>
      </c>
      <c r="K612" s="241" t="s">
        <v>2141</v>
      </c>
      <c r="L612" s="1"/>
      <c r="M612" s="242" t="s">
        <v>2142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0" customHeight="1">
      <c r="A613" s="1"/>
      <c r="B613" s="88">
        <v>219.0</v>
      </c>
      <c r="C613" s="88" t="s">
        <v>656</v>
      </c>
      <c r="D613" s="89" t="s">
        <v>655</v>
      </c>
      <c r="E613" s="88">
        <v>2.0</v>
      </c>
      <c r="F613" s="89" t="s">
        <v>594</v>
      </c>
      <c r="G613" s="92">
        <v>0.1</v>
      </c>
      <c r="H613" s="92">
        <v>0.1</v>
      </c>
      <c r="I613" s="92">
        <v>0.0</v>
      </c>
      <c r="J613" s="91">
        <v>0.0</v>
      </c>
      <c r="K613" s="241" t="s">
        <v>2143</v>
      </c>
      <c r="L613" s="1"/>
      <c r="M613" s="242" t="s">
        <v>2144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0" customHeight="1">
      <c r="A614" s="1"/>
      <c r="B614" s="88">
        <v>219.0</v>
      </c>
      <c r="C614" s="88" t="s">
        <v>656</v>
      </c>
      <c r="D614" s="89" t="s">
        <v>655</v>
      </c>
      <c r="E614" s="88">
        <v>3.0</v>
      </c>
      <c r="F614" s="89" t="s">
        <v>579</v>
      </c>
      <c r="G614" s="92">
        <v>0.31</v>
      </c>
      <c r="H614" s="92">
        <v>0.31</v>
      </c>
      <c r="I614" s="92">
        <v>0.0</v>
      </c>
      <c r="J614" s="91">
        <v>0.0</v>
      </c>
      <c r="K614" s="241" t="s">
        <v>2145</v>
      </c>
      <c r="L614" s="1"/>
      <c r="M614" s="242" t="s">
        <v>2146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0" customHeight="1">
      <c r="A615" s="1"/>
      <c r="B615" s="88">
        <v>219.0</v>
      </c>
      <c r="C615" s="88" t="s">
        <v>656</v>
      </c>
      <c r="D615" s="89" t="s">
        <v>655</v>
      </c>
      <c r="E615" s="88">
        <v>4.0</v>
      </c>
      <c r="F615" s="89" t="s">
        <v>588</v>
      </c>
      <c r="G615" s="92">
        <v>0.2</v>
      </c>
      <c r="H615" s="92">
        <v>0.2</v>
      </c>
      <c r="I615" s="92">
        <v>0.0</v>
      </c>
      <c r="J615" s="91">
        <v>0.0</v>
      </c>
      <c r="K615" s="241" t="s">
        <v>2147</v>
      </c>
      <c r="L615" s="1"/>
      <c r="M615" s="242" t="s">
        <v>2148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0" customHeight="1">
      <c r="A616" s="1"/>
      <c r="B616" s="88">
        <v>219.0</v>
      </c>
      <c r="C616" s="88" t="s">
        <v>656</v>
      </c>
      <c r="D616" s="89" t="s">
        <v>655</v>
      </c>
      <c r="E616" s="88">
        <v>5.0</v>
      </c>
      <c r="F616" s="89" t="s">
        <v>532</v>
      </c>
      <c r="G616" s="92">
        <v>0.01</v>
      </c>
      <c r="H616" s="92">
        <v>0.01</v>
      </c>
      <c r="I616" s="92">
        <v>0.0</v>
      </c>
      <c r="J616" s="91">
        <v>0.0</v>
      </c>
      <c r="K616" s="241" t="s">
        <v>2149</v>
      </c>
      <c r="L616" s="1"/>
      <c r="M616" s="242" t="s">
        <v>2150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0" customHeight="1">
      <c r="A617" s="1"/>
      <c r="B617" s="88">
        <v>219.0</v>
      </c>
      <c r="C617" s="88" t="s">
        <v>656</v>
      </c>
      <c r="D617" s="89" t="s">
        <v>655</v>
      </c>
      <c r="E617" s="88">
        <v>6.0</v>
      </c>
      <c r="F617" s="89" t="s">
        <v>942</v>
      </c>
      <c r="G617" s="92">
        <v>0.2</v>
      </c>
      <c r="H617" s="92">
        <v>0.2</v>
      </c>
      <c r="I617" s="92">
        <v>0.0</v>
      </c>
      <c r="J617" s="91">
        <v>0.0</v>
      </c>
      <c r="K617" s="241" t="s">
        <v>2151</v>
      </c>
      <c r="L617" s="1"/>
      <c r="M617" s="242" t="s">
        <v>2152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0" customHeight="1">
      <c r="A618" s="1"/>
      <c r="B618" s="88">
        <v>220.0</v>
      </c>
      <c r="C618" s="88" t="s">
        <v>656</v>
      </c>
      <c r="D618" s="89" t="s">
        <v>750</v>
      </c>
      <c r="E618" s="88">
        <v>1.0</v>
      </c>
      <c r="F618" s="89" t="s">
        <v>570</v>
      </c>
      <c r="G618" s="92">
        <v>0.5</v>
      </c>
      <c r="H618" s="92">
        <v>0.5</v>
      </c>
      <c r="I618" s="92">
        <v>0.0</v>
      </c>
      <c r="J618" s="91">
        <v>0.0</v>
      </c>
      <c r="K618" s="241" t="s">
        <v>2153</v>
      </c>
      <c r="L618" s="1"/>
      <c r="M618" s="242" t="s">
        <v>2154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0" customHeight="1">
      <c r="A619" s="1"/>
      <c r="B619" s="88">
        <v>220.0</v>
      </c>
      <c r="C619" s="88" t="s">
        <v>656</v>
      </c>
      <c r="D619" s="89" t="s">
        <v>750</v>
      </c>
      <c r="E619" s="88">
        <v>2.0</v>
      </c>
      <c r="F619" s="89" t="s">
        <v>720</v>
      </c>
      <c r="G619" s="92">
        <v>0.1</v>
      </c>
      <c r="H619" s="92">
        <v>0.1</v>
      </c>
      <c r="I619" s="92">
        <v>0.0</v>
      </c>
      <c r="J619" s="91">
        <v>0.0</v>
      </c>
      <c r="K619" s="241" t="s">
        <v>2155</v>
      </c>
      <c r="L619" s="1"/>
      <c r="M619" s="242" t="s">
        <v>2156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0" customHeight="1">
      <c r="A620" s="1"/>
      <c r="B620" s="88">
        <v>220.0</v>
      </c>
      <c r="C620" s="88" t="s">
        <v>656</v>
      </c>
      <c r="D620" s="89" t="s">
        <v>750</v>
      </c>
      <c r="E620" s="88">
        <v>3.0</v>
      </c>
      <c r="F620" s="89" t="s">
        <v>594</v>
      </c>
      <c r="G620" s="92">
        <v>0.4</v>
      </c>
      <c r="H620" s="92">
        <v>0.4</v>
      </c>
      <c r="I620" s="92">
        <v>0.0</v>
      </c>
      <c r="J620" s="91">
        <v>0.0</v>
      </c>
      <c r="K620" s="241" t="s">
        <v>2157</v>
      </c>
      <c r="L620" s="1"/>
      <c r="M620" s="242" t="s">
        <v>2158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0" customHeight="1">
      <c r="A621" s="1"/>
      <c r="B621" s="88">
        <v>221.0</v>
      </c>
      <c r="C621" s="88" t="s">
        <v>656</v>
      </c>
      <c r="D621" s="89" t="s">
        <v>759</v>
      </c>
      <c r="E621" s="88">
        <v>1.0</v>
      </c>
      <c r="F621" s="89" t="s">
        <v>594</v>
      </c>
      <c r="G621" s="92">
        <v>0.78</v>
      </c>
      <c r="H621" s="92">
        <v>0.78</v>
      </c>
      <c r="I621" s="92">
        <v>0.0</v>
      </c>
      <c r="J621" s="91">
        <v>0.0</v>
      </c>
      <c r="K621" s="241" t="s">
        <v>2159</v>
      </c>
      <c r="L621" s="1"/>
      <c r="M621" s="242" t="s">
        <v>2160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0" customHeight="1">
      <c r="A622" s="1"/>
      <c r="B622" s="88">
        <v>221.0</v>
      </c>
      <c r="C622" s="88" t="s">
        <v>656</v>
      </c>
      <c r="D622" s="89" t="s">
        <v>759</v>
      </c>
      <c r="E622" s="88">
        <v>2.0</v>
      </c>
      <c r="F622" s="89" t="s">
        <v>585</v>
      </c>
      <c r="G622" s="92">
        <v>0.22</v>
      </c>
      <c r="H622" s="92">
        <v>0.22</v>
      </c>
      <c r="I622" s="92">
        <v>0.0</v>
      </c>
      <c r="J622" s="91">
        <v>0.0</v>
      </c>
      <c r="K622" s="241" t="s">
        <v>2161</v>
      </c>
      <c r="L622" s="1"/>
      <c r="M622" s="242" t="s">
        <v>2162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0" customHeight="1">
      <c r="A623" s="1"/>
      <c r="B623" s="88">
        <v>222.0</v>
      </c>
      <c r="C623" s="88" t="s">
        <v>656</v>
      </c>
      <c r="D623" s="89" t="s">
        <v>757</v>
      </c>
      <c r="E623" s="88">
        <v>1.0</v>
      </c>
      <c r="F623" s="89" t="s">
        <v>594</v>
      </c>
      <c r="G623" s="92">
        <v>0.45</v>
      </c>
      <c r="H623" s="92">
        <v>0.45</v>
      </c>
      <c r="I623" s="92">
        <v>0.0</v>
      </c>
      <c r="J623" s="91">
        <v>0.0</v>
      </c>
      <c r="K623" s="241" t="s">
        <v>2163</v>
      </c>
      <c r="L623" s="1"/>
      <c r="M623" s="242" t="s">
        <v>2164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0" customHeight="1">
      <c r="A624" s="1"/>
      <c r="B624" s="88">
        <v>222.0</v>
      </c>
      <c r="C624" s="88" t="s">
        <v>656</v>
      </c>
      <c r="D624" s="89" t="s">
        <v>757</v>
      </c>
      <c r="E624" s="88">
        <v>2.0</v>
      </c>
      <c r="F624" s="89" t="s">
        <v>579</v>
      </c>
      <c r="G624" s="92">
        <v>0.09</v>
      </c>
      <c r="H624" s="92">
        <v>0.09</v>
      </c>
      <c r="I624" s="92">
        <v>0.0</v>
      </c>
      <c r="J624" s="91">
        <v>0.0</v>
      </c>
      <c r="K624" s="241" t="s">
        <v>2165</v>
      </c>
      <c r="L624" s="1"/>
      <c r="M624" s="242" t="s">
        <v>2166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0" customHeight="1">
      <c r="A625" s="1"/>
      <c r="B625" s="88">
        <v>222.0</v>
      </c>
      <c r="C625" s="88" t="s">
        <v>656</v>
      </c>
      <c r="D625" s="89" t="s">
        <v>757</v>
      </c>
      <c r="E625" s="88">
        <v>3.0</v>
      </c>
      <c r="F625" s="89" t="s">
        <v>593</v>
      </c>
      <c r="G625" s="92">
        <v>0.25</v>
      </c>
      <c r="H625" s="92">
        <v>0.25</v>
      </c>
      <c r="I625" s="92">
        <v>0.0</v>
      </c>
      <c r="J625" s="91">
        <v>0.0</v>
      </c>
      <c r="K625" s="241" t="s">
        <v>2167</v>
      </c>
      <c r="L625" s="1"/>
      <c r="M625" s="242" t="s">
        <v>2168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0" customHeight="1">
      <c r="A626" s="1"/>
      <c r="B626" s="88">
        <v>222.0</v>
      </c>
      <c r="C626" s="88" t="s">
        <v>656</v>
      </c>
      <c r="D626" s="89" t="s">
        <v>757</v>
      </c>
      <c r="E626" s="88">
        <v>4.0</v>
      </c>
      <c r="F626" s="89" t="s">
        <v>549</v>
      </c>
      <c r="G626" s="92">
        <v>0.21</v>
      </c>
      <c r="H626" s="92">
        <v>0.21</v>
      </c>
      <c r="I626" s="92">
        <v>0.0</v>
      </c>
      <c r="J626" s="91">
        <v>0.0</v>
      </c>
      <c r="K626" s="241" t="s">
        <v>2169</v>
      </c>
      <c r="L626" s="1"/>
      <c r="M626" s="242" t="s">
        <v>2170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0" customHeight="1">
      <c r="A627" s="1"/>
      <c r="B627" s="88">
        <v>223.0</v>
      </c>
      <c r="C627" s="88" t="s">
        <v>608</v>
      </c>
      <c r="D627" s="89" t="s">
        <v>789</v>
      </c>
      <c r="E627" s="88">
        <v>1.0</v>
      </c>
      <c r="F627" s="89" t="s">
        <v>782</v>
      </c>
      <c r="G627" s="92">
        <v>0.6</v>
      </c>
      <c r="H627" s="92">
        <v>0.6</v>
      </c>
      <c r="I627" s="92">
        <v>0.0</v>
      </c>
      <c r="J627" s="91">
        <v>0.0</v>
      </c>
      <c r="K627" s="241" t="s">
        <v>2171</v>
      </c>
      <c r="L627" s="1"/>
      <c r="M627" s="242" t="s">
        <v>2172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0" customHeight="1">
      <c r="A628" s="1"/>
      <c r="B628" s="88">
        <v>223.0</v>
      </c>
      <c r="C628" s="88" t="s">
        <v>608</v>
      </c>
      <c r="D628" s="89" t="s">
        <v>789</v>
      </c>
      <c r="E628" s="88">
        <v>2.0</v>
      </c>
      <c r="F628" s="89" t="s">
        <v>593</v>
      </c>
      <c r="G628" s="92">
        <v>0.025</v>
      </c>
      <c r="H628" s="92">
        <v>0.025</v>
      </c>
      <c r="I628" s="92">
        <v>0.0</v>
      </c>
      <c r="J628" s="91">
        <v>0.0</v>
      </c>
      <c r="K628" s="241" t="s">
        <v>2173</v>
      </c>
      <c r="L628" s="1"/>
      <c r="M628" s="242" t="s">
        <v>2174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0" customHeight="1">
      <c r="A629" s="1"/>
      <c r="B629" s="88">
        <v>223.0</v>
      </c>
      <c r="C629" s="88" t="s">
        <v>608</v>
      </c>
      <c r="D629" s="89" t="s">
        <v>789</v>
      </c>
      <c r="E629" s="88">
        <v>3.0</v>
      </c>
      <c r="F629" s="89" t="s">
        <v>720</v>
      </c>
      <c r="G629" s="92">
        <v>0.03</v>
      </c>
      <c r="H629" s="92">
        <v>0.03</v>
      </c>
      <c r="I629" s="92">
        <v>0.0</v>
      </c>
      <c r="J629" s="91">
        <v>0.0</v>
      </c>
      <c r="K629" s="241" t="s">
        <v>2175</v>
      </c>
      <c r="L629" s="1"/>
      <c r="M629" s="242" t="s">
        <v>2176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0" customHeight="1">
      <c r="A630" s="1"/>
      <c r="B630" s="88">
        <v>223.0</v>
      </c>
      <c r="C630" s="88" t="s">
        <v>608</v>
      </c>
      <c r="D630" s="89" t="s">
        <v>789</v>
      </c>
      <c r="E630" s="88">
        <v>4.0</v>
      </c>
      <c r="F630" s="89" t="s">
        <v>569</v>
      </c>
      <c r="G630" s="92">
        <v>0.04</v>
      </c>
      <c r="H630" s="92">
        <v>0.04</v>
      </c>
      <c r="I630" s="92">
        <v>0.0</v>
      </c>
      <c r="J630" s="91">
        <v>0.0</v>
      </c>
      <c r="K630" s="241" t="s">
        <v>2177</v>
      </c>
      <c r="L630" s="1"/>
      <c r="M630" s="242" t="s">
        <v>2178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0" customHeight="1">
      <c r="A631" s="1"/>
      <c r="B631" s="88">
        <v>223.0</v>
      </c>
      <c r="C631" s="88" t="s">
        <v>608</v>
      </c>
      <c r="D631" s="89" t="s">
        <v>789</v>
      </c>
      <c r="E631" s="88">
        <v>5.0</v>
      </c>
      <c r="F631" s="89" t="s">
        <v>570</v>
      </c>
      <c r="G631" s="92">
        <v>0.06</v>
      </c>
      <c r="H631" s="92">
        <v>0.06</v>
      </c>
      <c r="I631" s="92">
        <v>0.0</v>
      </c>
      <c r="J631" s="91">
        <v>0.0</v>
      </c>
      <c r="K631" s="241" t="s">
        <v>2179</v>
      </c>
      <c r="L631" s="1"/>
      <c r="M631" s="242" t="s">
        <v>2180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0" customHeight="1">
      <c r="A632" s="1"/>
      <c r="B632" s="88">
        <v>223.0</v>
      </c>
      <c r="C632" s="88" t="s">
        <v>608</v>
      </c>
      <c r="D632" s="89" t="s">
        <v>789</v>
      </c>
      <c r="E632" s="88">
        <v>6.0</v>
      </c>
      <c r="F632" s="89" t="s">
        <v>571</v>
      </c>
      <c r="G632" s="92">
        <v>0.01</v>
      </c>
      <c r="H632" s="92">
        <v>0.01</v>
      </c>
      <c r="I632" s="92">
        <v>0.0</v>
      </c>
      <c r="J632" s="91">
        <v>0.0</v>
      </c>
      <c r="K632" s="241" t="s">
        <v>2181</v>
      </c>
      <c r="L632" s="1"/>
      <c r="M632" s="242" t="s">
        <v>2182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0" customHeight="1">
      <c r="A633" s="1"/>
      <c r="B633" s="88">
        <v>223.0</v>
      </c>
      <c r="C633" s="88" t="s">
        <v>608</v>
      </c>
      <c r="D633" s="89" t="s">
        <v>789</v>
      </c>
      <c r="E633" s="88">
        <v>7.0</v>
      </c>
      <c r="F633" s="89" t="s">
        <v>532</v>
      </c>
      <c r="G633" s="92">
        <v>0.01</v>
      </c>
      <c r="H633" s="92">
        <v>0.01</v>
      </c>
      <c r="I633" s="92">
        <v>0.0</v>
      </c>
      <c r="J633" s="91">
        <v>0.0</v>
      </c>
      <c r="K633" s="241" t="s">
        <v>2183</v>
      </c>
      <c r="L633" s="1"/>
      <c r="M633" s="242" t="s">
        <v>2184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0" customHeight="1">
      <c r="A634" s="1"/>
      <c r="B634" s="88">
        <v>223.0</v>
      </c>
      <c r="C634" s="88" t="s">
        <v>608</v>
      </c>
      <c r="D634" s="89" t="s">
        <v>789</v>
      </c>
      <c r="E634" s="88">
        <v>8.0</v>
      </c>
      <c r="F634" s="89" t="s">
        <v>579</v>
      </c>
      <c r="G634" s="92">
        <v>0.025</v>
      </c>
      <c r="H634" s="92">
        <v>0.025</v>
      </c>
      <c r="I634" s="92">
        <v>0.0</v>
      </c>
      <c r="J634" s="91">
        <v>0.0</v>
      </c>
      <c r="K634" s="241" t="s">
        <v>2185</v>
      </c>
      <c r="L634" s="1"/>
      <c r="M634" s="242" t="s">
        <v>2186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0" customHeight="1">
      <c r="A635" s="1"/>
      <c r="B635" s="88">
        <v>223.0</v>
      </c>
      <c r="C635" s="88" t="s">
        <v>608</v>
      </c>
      <c r="D635" s="89" t="s">
        <v>789</v>
      </c>
      <c r="E635" s="88">
        <v>9.0</v>
      </c>
      <c r="F635" s="89" t="s">
        <v>717</v>
      </c>
      <c r="G635" s="92">
        <v>0.2</v>
      </c>
      <c r="H635" s="92">
        <v>0.2</v>
      </c>
      <c r="I635" s="92">
        <v>0.0</v>
      </c>
      <c r="J635" s="91">
        <v>0.0</v>
      </c>
      <c r="K635" s="241" t="s">
        <v>2187</v>
      </c>
      <c r="L635" s="1"/>
      <c r="M635" s="242" t="s">
        <v>2188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0" customHeight="1">
      <c r="A636" s="1"/>
      <c r="B636" s="88">
        <v>224.0</v>
      </c>
      <c r="C636" s="88" t="s">
        <v>608</v>
      </c>
      <c r="D636" s="89" t="s">
        <v>790</v>
      </c>
      <c r="E636" s="88">
        <v>1.0</v>
      </c>
      <c r="F636" s="89" t="s">
        <v>763</v>
      </c>
      <c r="G636" s="92">
        <v>0.78</v>
      </c>
      <c r="H636" s="92">
        <v>0.78</v>
      </c>
      <c r="I636" s="92">
        <v>0.0</v>
      </c>
      <c r="J636" s="91">
        <v>0.0</v>
      </c>
      <c r="K636" s="241" t="s">
        <v>2189</v>
      </c>
      <c r="L636" s="1"/>
      <c r="M636" s="242" t="s">
        <v>2190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0" customHeight="1">
      <c r="A637" s="1"/>
      <c r="B637" s="88">
        <v>224.0</v>
      </c>
      <c r="C637" s="88" t="s">
        <v>608</v>
      </c>
      <c r="D637" s="89" t="s">
        <v>790</v>
      </c>
      <c r="E637" s="88">
        <v>2.0</v>
      </c>
      <c r="F637" s="89" t="s">
        <v>659</v>
      </c>
      <c r="G637" s="92">
        <v>0.15</v>
      </c>
      <c r="H637" s="92">
        <v>0.15</v>
      </c>
      <c r="I637" s="92">
        <v>0.0</v>
      </c>
      <c r="J637" s="91">
        <v>0.0</v>
      </c>
      <c r="K637" s="241" t="s">
        <v>2191</v>
      </c>
      <c r="L637" s="1"/>
      <c r="M637" s="242" t="s">
        <v>2192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0" customHeight="1">
      <c r="A638" s="1"/>
      <c r="B638" s="88">
        <v>224.0</v>
      </c>
      <c r="C638" s="88" t="s">
        <v>608</v>
      </c>
      <c r="D638" s="89" t="s">
        <v>790</v>
      </c>
      <c r="E638" s="88">
        <v>3.0</v>
      </c>
      <c r="F638" s="89" t="s">
        <v>722</v>
      </c>
      <c r="G638" s="92">
        <v>0.05</v>
      </c>
      <c r="H638" s="92">
        <v>0.05</v>
      </c>
      <c r="I638" s="92">
        <v>0.0</v>
      </c>
      <c r="J638" s="91">
        <v>0.0</v>
      </c>
      <c r="K638" s="241" t="s">
        <v>2193</v>
      </c>
      <c r="L638" s="1"/>
      <c r="M638" s="242" t="s">
        <v>2194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0" customHeight="1">
      <c r="A639" s="1"/>
      <c r="B639" s="88">
        <v>224.0</v>
      </c>
      <c r="C639" s="88" t="s">
        <v>608</v>
      </c>
      <c r="D639" s="89" t="s">
        <v>790</v>
      </c>
      <c r="E639" s="88">
        <v>4.0</v>
      </c>
      <c r="F639" s="89" t="s">
        <v>571</v>
      </c>
      <c r="G639" s="92">
        <v>0.005</v>
      </c>
      <c r="H639" s="92">
        <v>0.005</v>
      </c>
      <c r="I639" s="92">
        <v>0.0</v>
      </c>
      <c r="J639" s="91">
        <v>0.0</v>
      </c>
      <c r="K639" s="241" t="s">
        <v>2195</v>
      </c>
      <c r="L639" s="1"/>
      <c r="M639" s="242" t="s">
        <v>2196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0" customHeight="1">
      <c r="A640" s="1"/>
      <c r="B640" s="88">
        <v>224.0</v>
      </c>
      <c r="C640" s="88" t="s">
        <v>608</v>
      </c>
      <c r="D640" s="89" t="s">
        <v>790</v>
      </c>
      <c r="E640" s="88">
        <v>5.0</v>
      </c>
      <c r="F640" s="89" t="s">
        <v>579</v>
      </c>
      <c r="G640" s="92">
        <v>0.015</v>
      </c>
      <c r="H640" s="92">
        <v>0.015</v>
      </c>
      <c r="I640" s="92">
        <v>0.0</v>
      </c>
      <c r="J640" s="91">
        <v>0.0</v>
      </c>
      <c r="K640" s="241" t="s">
        <v>2197</v>
      </c>
      <c r="L640" s="1"/>
      <c r="M640" s="242" t="s">
        <v>2198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0" customHeight="1">
      <c r="A641" s="1"/>
      <c r="B641" s="88">
        <v>225.0</v>
      </c>
      <c r="C641" s="88" t="s">
        <v>608</v>
      </c>
      <c r="D641" s="89" t="s">
        <v>791</v>
      </c>
      <c r="E641" s="88">
        <v>1.0</v>
      </c>
      <c r="F641" s="89" t="s">
        <v>429</v>
      </c>
      <c r="G641" s="92">
        <v>0.8</v>
      </c>
      <c r="H641" s="92">
        <v>0.8</v>
      </c>
      <c r="I641" s="92">
        <v>0.0</v>
      </c>
      <c r="J641" s="91">
        <v>0.0</v>
      </c>
      <c r="K641" s="241" t="s">
        <v>2199</v>
      </c>
      <c r="L641" s="1"/>
      <c r="M641" s="242" t="s">
        <v>2200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0" customHeight="1">
      <c r="A642" s="1"/>
      <c r="B642" s="88">
        <v>225.0</v>
      </c>
      <c r="C642" s="88" t="s">
        <v>608</v>
      </c>
      <c r="D642" s="89" t="s">
        <v>791</v>
      </c>
      <c r="E642" s="88">
        <v>2.0</v>
      </c>
      <c r="F642" s="89" t="s">
        <v>659</v>
      </c>
      <c r="G642" s="92">
        <v>0.2</v>
      </c>
      <c r="H642" s="92">
        <v>0.2</v>
      </c>
      <c r="I642" s="92">
        <v>0.0</v>
      </c>
      <c r="J642" s="91">
        <v>0.0</v>
      </c>
      <c r="K642" s="241" t="s">
        <v>2201</v>
      </c>
      <c r="L642" s="1"/>
      <c r="M642" s="242" t="s">
        <v>2202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0" customHeight="1">
      <c r="A643" s="1"/>
      <c r="B643" s="88">
        <v>226.0</v>
      </c>
      <c r="C643" s="88" t="s">
        <v>608</v>
      </c>
      <c r="D643" s="89" t="s">
        <v>792</v>
      </c>
      <c r="E643" s="88">
        <v>1.0</v>
      </c>
      <c r="F643" s="89" t="s">
        <v>784</v>
      </c>
      <c r="G643" s="92">
        <v>0.6</v>
      </c>
      <c r="H643" s="92">
        <v>0.6</v>
      </c>
      <c r="I643" s="92">
        <v>0.0</v>
      </c>
      <c r="J643" s="91">
        <v>0.0</v>
      </c>
      <c r="K643" s="241" t="s">
        <v>2203</v>
      </c>
      <c r="L643" s="1"/>
      <c r="M643" s="242" t="s">
        <v>2204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0" customHeight="1">
      <c r="A644" s="1"/>
      <c r="B644" s="88">
        <v>226.0</v>
      </c>
      <c r="C644" s="88" t="s">
        <v>608</v>
      </c>
      <c r="D644" s="89" t="s">
        <v>792</v>
      </c>
      <c r="E644" s="88">
        <v>2.0</v>
      </c>
      <c r="F644" s="89" t="s">
        <v>659</v>
      </c>
      <c r="G644" s="92">
        <v>0.15</v>
      </c>
      <c r="H644" s="92">
        <v>0.15</v>
      </c>
      <c r="I644" s="92">
        <v>0.0</v>
      </c>
      <c r="J644" s="91">
        <v>0.0</v>
      </c>
      <c r="K644" s="241" t="s">
        <v>2205</v>
      </c>
      <c r="L644" s="1"/>
      <c r="M644" s="242" t="s">
        <v>2206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0" customHeight="1">
      <c r="A645" s="1"/>
      <c r="B645" s="88">
        <v>226.0</v>
      </c>
      <c r="C645" s="88" t="s">
        <v>608</v>
      </c>
      <c r="D645" s="89" t="s">
        <v>792</v>
      </c>
      <c r="E645" s="88">
        <v>3.0</v>
      </c>
      <c r="F645" s="89" t="s">
        <v>571</v>
      </c>
      <c r="G645" s="92">
        <v>0.005</v>
      </c>
      <c r="H645" s="92">
        <v>0.005</v>
      </c>
      <c r="I645" s="92">
        <v>0.0</v>
      </c>
      <c r="J645" s="91">
        <v>0.0</v>
      </c>
      <c r="K645" s="241" t="s">
        <v>2207</v>
      </c>
      <c r="L645" s="1"/>
      <c r="M645" s="242" t="s">
        <v>2208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0" customHeight="1">
      <c r="A646" s="1"/>
      <c r="B646" s="88">
        <v>226.0</v>
      </c>
      <c r="C646" s="88" t="s">
        <v>608</v>
      </c>
      <c r="D646" s="89" t="s">
        <v>792</v>
      </c>
      <c r="E646" s="88">
        <v>4.0</v>
      </c>
      <c r="F646" s="89" t="s">
        <v>579</v>
      </c>
      <c r="G646" s="92">
        <v>0.1</v>
      </c>
      <c r="H646" s="92">
        <v>0.1</v>
      </c>
      <c r="I646" s="92">
        <v>0.0</v>
      </c>
      <c r="J646" s="91">
        <v>0.0</v>
      </c>
      <c r="K646" s="241" t="s">
        <v>2209</v>
      </c>
      <c r="L646" s="1"/>
      <c r="M646" s="242" t="s">
        <v>2210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0" customHeight="1">
      <c r="A647" s="1"/>
      <c r="B647" s="88">
        <v>226.0</v>
      </c>
      <c r="C647" s="88" t="s">
        <v>608</v>
      </c>
      <c r="D647" s="89" t="s">
        <v>792</v>
      </c>
      <c r="E647" s="88">
        <v>5.0</v>
      </c>
      <c r="F647" s="89" t="s">
        <v>722</v>
      </c>
      <c r="G647" s="92">
        <v>0.145</v>
      </c>
      <c r="H647" s="92">
        <v>0.145</v>
      </c>
      <c r="I647" s="92">
        <v>0.0</v>
      </c>
      <c r="J647" s="91">
        <v>0.0</v>
      </c>
      <c r="K647" s="241" t="s">
        <v>2211</v>
      </c>
      <c r="L647" s="1"/>
      <c r="M647" s="242" t="s">
        <v>2212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0" customHeight="1">
      <c r="A648" s="1"/>
      <c r="B648" s="88">
        <v>227.0</v>
      </c>
      <c r="C648" s="88" t="s">
        <v>608</v>
      </c>
      <c r="D648" s="89" t="s">
        <v>793</v>
      </c>
      <c r="E648" s="88">
        <v>1.0</v>
      </c>
      <c r="F648" s="89" t="s">
        <v>765</v>
      </c>
      <c r="G648" s="92">
        <v>0.74</v>
      </c>
      <c r="H648" s="92">
        <v>0.74</v>
      </c>
      <c r="I648" s="92">
        <v>0.0</v>
      </c>
      <c r="J648" s="91">
        <v>0.0</v>
      </c>
      <c r="K648" s="241" t="s">
        <v>2213</v>
      </c>
      <c r="L648" s="1"/>
      <c r="M648" s="242" t="s">
        <v>2214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0" customHeight="1">
      <c r="A649" s="1"/>
      <c r="B649" s="88">
        <v>227.0</v>
      </c>
      <c r="C649" s="88" t="s">
        <v>608</v>
      </c>
      <c r="D649" s="89" t="s">
        <v>793</v>
      </c>
      <c r="E649" s="88">
        <v>2.0</v>
      </c>
      <c r="F649" s="89" t="s">
        <v>659</v>
      </c>
      <c r="G649" s="92">
        <v>0.15</v>
      </c>
      <c r="H649" s="92">
        <v>0.15</v>
      </c>
      <c r="I649" s="92">
        <v>0.0</v>
      </c>
      <c r="J649" s="91">
        <v>0.0</v>
      </c>
      <c r="K649" s="241" t="s">
        <v>2215</v>
      </c>
      <c r="L649" s="1"/>
      <c r="M649" s="242" t="s">
        <v>2216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0" customHeight="1">
      <c r="A650" s="1"/>
      <c r="B650" s="88">
        <v>227.0</v>
      </c>
      <c r="C650" s="88" t="s">
        <v>608</v>
      </c>
      <c r="D650" s="89" t="s">
        <v>793</v>
      </c>
      <c r="E650" s="88">
        <v>3.0</v>
      </c>
      <c r="F650" s="89" t="s">
        <v>571</v>
      </c>
      <c r="G650" s="92">
        <v>0.005</v>
      </c>
      <c r="H650" s="92">
        <v>0.005</v>
      </c>
      <c r="I650" s="92">
        <v>0.0</v>
      </c>
      <c r="J650" s="91">
        <v>0.0</v>
      </c>
      <c r="K650" s="241" t="s">
        <v>2217</v>
      </c>
      <c r="L650" s="1"/>
      <c r="M650" s="242" t="s">
        <v>2218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0" customHeight="1">
      <c r="A651" s="1"/>
      <c r="B651" s="88">
        <v>227.0</v>
      </c>
      <c r="C651" s="88" t="s">
        <v>608</v>
      </c>
      <c r="D651" s="89" t="s">
        <v>793</v>
      </c>
      <c r="E651" s="88">
        <v>4.0</v>
      </c>
      <c r="F651" s="89" t="s">
        <v>594</v>
      </c>
      <c r="G651" s="92">
        <v>0.055</v>
      </c>
      <c r="H651" s="92">
        <v>0.055</v>
      </c>
      <c r="I651" s="92">
        <v>0.0</v>
      </c>
      <c r="J651" s="91">
        <v>0.0</v>
      </c>
      <c r="K651" s="241" t="s">
        <v>2219</v>
      </c>
      <c r="L651" s="1"/>
      <c r="M651" s="242" t="s">
        <v>2220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0" customHeight="1">
      <c r="A652" s="1"/>
      <c r="B652" s="88">
        <v>227.0</v>
      </c>
      <c r="C652" s="88" t="s">
        <v>608</v>
      </c>
      <c r="D652" s="89" t="s">
        <v>793</v>
      </c>
      <c r="E652" s="88">
        <v>5.0</v>
      </c>
      <c r="F652" s="89" t="s">
        <v>579</v>
      </c>
      <c r="G652" s="92">
        <v>0.05</v>
      </c>
      <c r="H652" s="92">
        <v>0.05</v>
      </c>
      <c r="I652" s="92">
        <v>0.0</v>
      </c>
      <c r="J652" s="91">
        <v>0.0</v>
      </c>
      <c r="K652" s="241" t="s">
        <v>2221</v>
      </c>
      <c r="L652" s="1"/>
      <c r="M652" s="242" t="s">
        <v>2222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0" customHeight="1">
      <c r="A653" s="1"/>
      <c r="B653" s="88">
        <v>228.0</v>
      </c>
      <c r="C653" s="88" t="s">
        <v>608</v>
      </c>
      <c r="D653" s="89" t="s">
        <v>794</v>
      </c>
      <c r="E653" s="88">
        <v>1.0</v>
      </c>
      <c r="F653" s="89" t="s">
        <v>441</v>
      </c>
      <c r="G653" s="92">
        <v>0.78</v>
      </c>
      <c r="H653" s="92">
        <v>0.78</v>
      </c>
      <c r="I653" s="92">
        <v>0.0</v>
      </c>
      <c r="J653" s="91">
        <v>0.0</v>
      </c>
      <c r="K653" s="241" t="s">
        <v>2223</v>
      </c>
      <c r="L653" s="1"/>
      <c r="M653" s="242" t="s">
        <v>2224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0" customHeight="1">
      <c r="A654" s="1"/>
      <c r="B654" s="88">
        <v>228.0</v>
      </c>
      <c r="C654" s="88" t="s">
        <v>608</v>
      </c>
      <c r="D654" s="89" t="s">
        <v>794</v>
      </c>
      <c r="E654" s="88">
        <v>2.0</v>
      </c>
      <c r="F654" s="89" t="s">
        <v>659</v>
      </c>
      <c r="G654" s="92">
        <v>0.12</v>
      </c>
      <c r="H654" s="92">
        <v>0.12</v>
      </c>
      <c r="I654" s="92">
        <v>0.0</v>
      </c>
      <c r="J654" s="91">
        <v>0.0</v>
      </c>
      <c r="K654" s="241" t="s">
        <v>2225</v>
      </c>
      <c r="L654" s="1"/>
      <c r="M654" s="242" t="s">
        <v>2226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0" customHeight="1">
      <c r="A655" s="1"/>
      <c r="B655" s="88">
        <v>228.0</v>
      </c>
      <c r="C655" s="88" t="s">
        <v>608</v>
      </c>
      <c r="D655" s="89" t="s">
        <v>794</v>
      </c>
      <c r="E655" s="88">
        <v>3.0</v>
      </c>
      <c r="F655" s="89" t="s">
        <v>722</v>
      </c>
      <c r="G655" s="92">
        <v>0.05</v>
      </c>
      <c r="H655" s="92">
        <v>0.05</v>
      </c>
      <c r="I655" s="92">
        <v>0.0</v>
      </c>
      <c r="J655" s="91">
        <v>0.0</v>
      </c>
      <c r="K655" s="241" t="s">
        <v>2227</v>
      </c>
      <c r="L655" s="1"/>
      <c r="M655" s="242" t="s">
        <v>2228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0" customHeight="1">
      <c r="A656" s="1"/>
      <c r="B656" s="88">
        <v>228.0</v>
      </c>
      <c r="C656" s="88" t="s">
        <v>608</v>
      </c>
      <c r="D656" s="89" t="s">
        <v>794</v>
      </c>
      <c r="E656" s="88">
        <v>4.0</v>
      </c>
      <c r="F656" s="89" t="s">
        <v>571</v>
      </c>
      <c r="G656" s="92">
        <v>0.005</v>
      </c>
      <c r="H656" s="92">
        <v>0.005</v>
      </c>
      <c r="I656" s="92">
        <v>0.0</v>
      </c>
      <c r="J656" s="91">
        <v>0.0</v>
      </c>
      <c r="K656" s="241" t="s">
        <v>2229</v>
      </c>
      <c r="L656" s="1"/>
      <c r="M656" s="242" t="s">
        <v>2230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0" customHeight="1">
      <c r="A657" s="1"/>
      <c r="B657" s="88">
        <v>228.0</v>
      </c>
      <c r="C657" s="88" t="s">
        <v>608</v>
      </c>
      <c r="D657" s="89" t="s">
        <v>794</v>
      </c>
      <c r="E657" s="88">
        <v>5.0</v>
      </c>
      <c r="F657" s="89" t="s">
        <v>594</v>
      </c>
      <c r="G657" s="92">
        <v>0.045</v>
      </c>
      <c r="H657" s="92">
        <v>0.045</v>
      </c>
      <c r="I657" s="92">
        <v>0.0</v>
      </c>
      <c r="J657" s="91">
        <v>0.0</v>
      </c>
      <c r="K657" s="241" t="s">
        <v>2231</v>
      </c>
      <c r="L657" s="1"/>
      <c r="M657" s="242" t="s">
        <v>2232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3.25" customHeight="1">
      <c r="A658" s="1"/>
      <c r="B658" s="88">
        <v>229.0</v>
      </c>
      <c r="C658" s="88" t="s">
        <v>608</v>
      </c>
      <c r="D658" s="89" t="s">
        <v>795</v>
      </c>
      <c r="E658" s="88">
        <v>1.0</v>
      </c>
      <c r="F658" s="89" t="s">
        <v>775</v>
      </c>
      <c r="G658" s="92">
        <v>0.55</v>
      </c>
      <c r="H658" s="92">
        <v>0.55</v>
      </c>
      <c r="I658" s="92">
        <v>0.0</v>
      </c>
      <c r="J658" s="91">
        <v>0.0</v>
      </c>
      <c r="K658" s="241" t="s">
        <v>2233</v>
      </c>
      <c r="L658" s="1"/>
      <c r="M658" s="242" t="s">
        <v>2234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3.25" customHeight="1">
      <c r="A659" s="1"/>
      <c r="B659" s="88">
        <v>229.0</v>
      </c>
      <c r="C659" s="88" t="s">
        <v>608</v>
      </c>
      <c r="D659" s="89" t="s">
        <v>795</v>
      </c>
      <c r="E659" s="88">
        <v>2.0</v>
      </c>
      <c r="F659" s="89" t="s">
        <v>659</v>
      </c>
      <c r="G659" s="92">
        <v>0.15</v>
      </c>
      <c r="H659" s="92">
        <v>0.15</v>
      </c>
      <c r="I659" s="92">
        <v>0.0</v>
      </c>
      <c r="J659" s="91">
        <v>0.0</v>
      </c>
      <c r="K659" s="241" t="s">
        <v>2235</v>
      </c>
      <c r="L659" s="1"/>
      <c r="M659" s="242" t="s">
        <v>2236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3.25" customHeight="1">
      <c r="A660" s="1"/>
      <c r="B660" s="88">
        <v>229.0</v>
      </c>
      <c r="C660" s="88" t="s">
        <v>608</v>
      </c>
      <c r="D660" s="89" t="s">
        <v>795</v>
      </c>
      <c r="E660" s="88">
        <v>3.0</v>
      </c>
      <c r="F660" s="89" t="s">
        <v>757</v>
      </c>
      <c r="G660" s="92">
        <v>0.3</v>
      </c>
      <c r="H660" s="92">
        <v>0.3</v>
      </c>
      <c r="I660" s="92">
        <v>0.0</v>
      </c>
      <c r="J660" s="91">
        <v>0.0</v>
      </c>
      <c r="K660" s="241" t="s">
        <v>2237</v>
      </c>
      <c r="L660" s="1"/>
      <c r="M660" s="242" t="s">
        <v>2238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3.25" customHeight="1">
      <c r="A661" s="1"/>
      <c r="B661" s="88">
        <v>230.0</v>
      </c>
      <c r="C661" s="88" t="s">
        <v>608</v>
      </c>
      <c r="D661" s="89" t="s">
        <v>796</v>
      </c>
      <c r="E661" s="88">
        <v>1.0</v>
      </c>
      <c r="F661" s="89" t="s">
        <v>777</v>
      </c>
      <c r="G661" s="92">
        <v>0.62</v>
      </c>
      <c r="H661" s="92">
        <v>0.62</v>
      </c>
      <c r="I661" s="92">
        <v>0.0</v>
      </c>
      <c r="J661" s="91">
        <v>0.0</v>
      </c>
      <c r="K661" s="241" t="s">
        <v>2239</v>
      </c>
      <c r="L661" s="1"/>
      <c r="M661" s="242" t="s">
        <v>2240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3.25" customHeight="1">
      <c r="A662" s="1"/>
      <c r="B662" s="88">
        <v>230.0</v>
      </c>
      <c r="C662" s="88" t="s">
        <v>608</v>
      </c>
      <c r="D662" s="89" t="s">
        <v>796</v>
      </c>
      <c r="E662" s="88">
        <v>2.0</v>
      </c>
      <c r="F662" s="89" t="s">
        <v>659</v>
      </c>
      <c r="G662" s="92">
        <v>0.15</v>
      </c>
      <c r="H662" s="92">
        <v>0.15</v>
      </c>
      <c r="I662" s="92">
        <v>0.0</v>
      </c>
      <c r="J662" s="91">
        <v>0.0</v>
      </c>
      <c r="K662" s="241" t="s">
        <v>2241</v>
      </c>
      <c r="L662" s="1"/>
      <c r="M662" s="242" t="s">
        <v>2242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3.25" customHeight="1">
      <c r="A663" s="1"/>
      <c r="B663" s="88">
        <v>230.0</v>
      </c>
      <c r="C663" s="88" t="s">
        <v>608</v>
      </c>
      <c r="D663" s="89" t="s">
        <v>796</v>
      </c>
      <c r="E663" s="88">
        <v>3.0</v>
      </c>
      <c r="F663" s="89" t="s">
        <v>724</v>
      </c>
      <c r="G663" s="92">
        <v>0.025</v>
      </c>
      <c r="H663" s="92">
        <v>0.025</v>
      </c>
      <c r="I663" s="92">
        <v>0.0</v>
      </c>
      <c r="J663" s="91">
        <v>0.0</v>
      </c>
      <c r="K663" s="241" t="s">
        <v>2243</v>
      </c>
      <c r="L663" s="1"/>
      <c r="M663" s="242" t="s">
        <v>2244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3.25" customHeight="1">
      <c r="A664" s="1"/>
      <c r="B664" s="88">
        <v>230.0</v>
      </c>
      <c r="C664" s="88" t="s">
        <v>608</v>
      </c>
      <c r="D664" s="89" t="s">
        <v>796</v>
      </c>
      <c r="E664" s="88">
        <v>4.0</v>
      </c>
      <c r="F664" s="89" t="s">
        <v>722</v>
      </c>
      <c r="G664" s="92">
        <v>0.2005</v>
      </c>
      <c r="H664" s="92">
        <v>0.2005</v>
      </c>
      <c r="I664" s="92">
        <v>0.0</v>
      </c>
      <c r="J664" s="91">
        <v>0.0</v>
      </c>
      <c r="K664" s="241" t="s">
        <v>2245</v>
      </c>
      <c r="L664" s="1"/>
      <c r="M664" s="242" t="s">
        <v>2246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3.25" customHeight="1">
      <c r="A665" s="1"/>
      <c r="B665" s="88">
        <v>231.0</v>
      </c>
      <c r="C665" s="88" t="s">
        <v>608</v>
      </c>
      <c r="D665" s="89" t="s">
        <v>797</v>
      </c>
      <c r="E665" s="88">
        <v>1.0</v>
      </c>
      <c r="F665" s="89" t="s">
        <v>775</v>
      </c>
      <c r="G665" s="92">
        <v>0.31</v>
      </c>
      <c r="H665" s="92">
        <v>0.31</v>
      </c>
      <c r="I665" s="92">
        <v>0.0</v>
      </c>
      <c r="J665" s="91">
        <v>0.0</v>
      </c>
      <c r="K665" s="241" t="s">
        <v>2247</v>
      </c>
      <c r="L665" s="1"/>
      <c r="M665" s="242" t="s">
        <v>2248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3.25" customHeight="1">
      <c r="A666" s="1"/>
      <c r="B666" s="88">
        <v>231.0</v>
      </c>
      <c r="C666" s="88" t="s">
        <v>608</v>
      </c>
      <c r="D666" s="89" t="s">
        <v>797</v>
      </c>
      <c r="E666" s="88">
        <v>2.0</v>
      </c>
      <c r="F666" s="89" t="s">
        <v>827</v>
      </c>
      <c r="G666" s="92">
        <v>0.1</v>
      </c>
      <c r="H666" s="92">
        <v>0.1</v>
      </c>
      <c r="I666" s="92">
        <v>0.0</v>
      </c>
      <c r="J666" s="91">
        <v>0.0</v>
      </c>
      <c r="K666" s="241" t="s">
        <v>2249</v>
      </c>
      <c r="L666" s="1"/>
      <c r="M666" s="242" t="s">
        <v>2250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3.25" customHeight="1">
      <c r="A667" s="1"/>
      <c r="B667" s="88">
        <v>231.0</v>
      </c>
      <c r="C667" s="88" t="s">
        <v>608</v>
      </c>
      <c r="D667" s="89" t="s">
        <v>797</v>
      </c>
      <c r="E667" s="88">
        <v>3.0</v>
      </c>
      <c r="F667" s="89" t="s">
        <v>659</v>
      </c>
      <c r="G667" s="92">
        <v>0.15</v>
      </c>
      <c r="H667" s="92">
        <v>0.15</v>
      </c>
      <c r="I667" s="92">
        <v>0.0</v>
      </c>
      <c r="J667" s="91">
        <v>0.0</v>
      </c>
      <c r="K667" s="241" t="s">
        <v>2251</v>
      </c>
      <c r="L667" s="1"/>
      <c r="M667" s="242" t="s">
        <v>2252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3.25" customHeight="1">
      <c r="A668" s="1"/>
      <c r="B668" s="88">
        <v>231.0</v>
      </c>
      <c r="C668" s="88" t="s">
        <v>608</v>
      </c>
      <c r="D668" s="89" t="s">
        <v>797</v>
      </c>
      <c r="E668" s="88">
        <v>4.0</v>
      </c>
      <c r="F668" s="89" t="s">
        <v>757</v>
      </c>
      <c r="G668" s="92">
        <v>0.44</v>
      </c>
      <c r="H668" s="92">
        <v>0.44</v>
      </c>
      <c r="I668" s="92">
        <v>0.0</v>
      </c>
      <c r="J668" s="91">
        <v>0.0</v>
      </c>
      <c r="K668" s="241" t="s">
        <v>2253</v>
      </c>
      <c r="L668" s="1"/>
      <c r="M668" s="242" t="s">
        <v>2254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3.25" customHeight="1">
      <c r="A669" s="1"/>
      <c r="B669" s="88">
        <v>232.0</v>
      </c>
      <c r="C669" s="88" t="s">
        <v>608</v>
      </c>
      <c r="D669" s="89" t="s">
        <v>798</v>
      </c>
      <c r="E669" s="88">
        <v>1.0</v>
      </c>
      <c r="F669" s="89" t="s">
        <v>773</v>
      </c>
      <c r="G669" s="92">
        <v>0.55</v>
      </c>
      <c r="H669" s="92">
        <v>0.55</v>
      </c>
      <c r="I669" s="92">
        <v>0.0</v>
      </c>
      <c r="J669" s="91">
        <v>0.0</v>
      </c>
      <c r="K669" s="241" t="s">
        <v>2255</v>
      </c>
      <c r="L669" s="1"/>
      <c r="M669" s="242" t="s">
        <v>2256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3.25" customHeight="1">
      <c r="A670" s="1"/>
      <c r="B670" s="88">
        <v>232.0</v>
      </c>
      <c r="C670" s="88" t="s">
        <v>608</v>
      </c>
      <c r="D670" s="89" t="s">
        <v>798</v>
      </c>
      <c r="E670" s="88">
        <v>2.0</v>
      </c>
      <c r="F670" s="89" t="s">
        <v>659</v>
      </c>
      <c r="G670" s="92">
        <v>0.15</v>
      </c>
      <c r="H670" s="92">
        <v>0.15</v>
      </c>
      <c r="I670" s="92">
        <v>0.0</v>
      </c>
      <c r="J670" s="91">
        <v>0.0</v>
      </c>
      <c r="K670" s="241" t="s">
        <v>2257</v>
      </c>
      <c r="L670" s="1"/>
      <c r="M670" s="242" t="s">
        <v>2258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3.25" customHeight="1">
      <c r="A671" s="1"/>
      <c r="B671" s="88">
        <v>232.0</v>
      </c>
      <c r="C671" s="88" t="s">
        <v>608</v>
      </c>
      <c r="D671" s="89" t="s">
        <v>798</v>
      </c>
      <c r="E671" s="88">
        <v>3.0</v>
      </c>
      <c r="F671" s="89" t="s">
        <v>722</v>
      </c>
      <c r="G671" s="92">
        <v>0.3</v>
      </c>
      <c r="H671" s="92">
        <v>0.3</v>
      </c>
      <c r="I671" s="92">
        <v>0.0</v>
      </c>
      <c r="J671" s="91">
        <v>0.0</v>
      </c>
      <c r="K671" s="241" t="s">
        <v>2259</v>
      </c>
      <c r="L671" s="1"/>
      <c r="M671" s="242" t="s">
        <v>2260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3.25" customHeight="1">
      <c r="A672" s="1"/>
      <c r="B672" s="88">
        <v>233.0</v>
      </c>
      <c r="C672" s="88" t="s">
        <v>608</v>
      </c>
      <c r="D672" s="89" t="s">
        <v>799</v>
      </c>
      <c r="E672" s="88">
        <v>1.0</v>
      </c>
      <c r="F672" s="89" t="s">
        <v>765</v>
      </c>
      <c r="G672" s="92">
        <v>0.362</v>
      </c>
      <c r="H672" s="92">
        <v>0.362</v>
      </c>
      <c r="I672" s="92">
        <v>0.0</v>
      </c>
      <c r="J672" s="91">
        <v>0.0</v>
      </c>
      <c r="K672" s="241" t="s">
        <v>2261</v>
      </c>
      <c r="L672" s="1"/>
      <c r="M672" s="242" t="s">
        <v>2262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3.25" customHeight="1">
      <c r="A673" s="1"/>
      <c r="B673" s="88">
        <v>233.0</v>
      </c>
      <c r="C673" s="88" t="s">
        <v>608</v>
      </c>
      <c r="D673" s="89" t="s">
        <v>799</v>
      </c>
      <c r="E673" s="88">
        <v>2.0</v>
      </c>
      <c r="F673" s="89" t="s">
        <v>441</v>
      </c>
      <c r="G673" s="92">
        <v>0.016</v>
      </c>
      <c r="H673" s="92">
        <v>0.016</v>
      </c>
      <c r="I673" s="92">
        <v>0.0</v>
      </c>
      <c r="J673" s="91">
        <v>0.0</v>
      </c>
      <c r="K673" s="241" t="s">
        <v>2263</v>
      </c>
      <c r="L673" s="1"/>
      <c r="M673" s="242" t="s">
        <v>2264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3.25" customHeight="1">
      <c r="A674" s="1"/>
      <c r="B674" s="88">
        <v>233.0</v>
      </c>
      <c r="C674" s="88" t="s">
        <v>608</v>
      </c>
      <c r="D674" s="89" t="s">
        <v>799</v>
      </c>
      <c r="E674" s="88">
        <v>3.0</v>
      </c>
      <c r="F674" s="89" t="s">
        <v>827</v>
      </c>
      <c r="G674" s="92">
        <v>0.134</v>
      </c>
      <c r="H674" s="92">
        <v>0.134</v>
      </c>
      <c r="I674" s="92">
        <v>0.0</v>
      </c>
      <c r="J674" s="91">
        <v>0.0</v>
      </c>
      <c r="K674" s="241" t="s">
        <v>2265</v>
      </c>
      <c r="L674" s="1"/>
      <c r="M674" s="242" t="s">
        <v>2266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3.25" customHeight="1">
      <c r="A675" s="1"/>
      <c r="B675" s="88">
        <v>233.0</v>
      </c>
      <c r="C675" s="88" t="s">
        <v>608</v>
      </c>
      <c r="D675" s="89" t="s">
        <v>799</v>
      </c>
      <c r="E675" s="88">
        <v>4.0</v>
      </c>
      <c r="F675" s="89" t="s">
        <v>659</v>
      </c>
      <c r="G675" s="92">
        <v>0.15</v>
      </c>
      <c r="H675" s="92">
        <v>0.15</v>
      </c>
      <c r="I675" s="92">
        <v>0.0</v>
      </c>
      <c r="J675" s="91">
        <v>0.0</v>
      </c>
      <c r="K675" s="241" t="s">
        <v>2267</v>
      </c>
      <c r="L675" s="1"/>
      <c r="M675" s="242" t="s">
        <v>2268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3.25" customHeight="1">
      <c r="A676" s="1"/>
      <c r="B676" s="88">
        <v>233.0</v>
      </c>
      <c r="C676" s="88" t="s">
        <v>608</v>
      </c>
      <c r="D676" s="89" t="s">
        <v>799</v>
      </c>
      <c r="E676" s="88">
        <v>5.0</v>
      </c>
      <c r="F676" s="89" t="s">
        <v>722</v>
      </c>
      <c r="G676" s="92">
        <v>0.338</v>
      </c>
      <c r="H676" s="92">
        <v>0.338</v>
      </c>
      <c r="I676" s="92">
        <v>0.0</v>
      </c>
      <c r="J676" s="91">
        <v>0.0</v>
      </c>
      <c r="K676" s="241" t="s">
        <v>2269</v>
      </c>
      <c r="L676" s="1"/>
      <c r="M676" s="242" t="s">
        <v>2270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3.25" customHeight="1">
      <c r="A677" s="1"/>
      <c r="B677" s="88">
        <v>234.0</v>
      </c>
      <c r="C677" s="88" t="s">
        <v>608</v>
      </c>
      <c r="D677" s="89" t="s">
        <v>800</v>
      </c>
      <c r="E677" s="88">
        <v>1.0</v>
      </c>
      <c r="F677" s="89" t="s">
        <v>827</v>
      </c>
      <c r="G677" s="92">
        <v>0.7</v>
      </c>
      <c r="H677" s="92">
        <v>0.7</v>
      </c>
      <c r="I677" s="92">
        <v>0.0</v>
      </c>
      <c r="J677" s="91">
        <v>0.0</v>
      </c>
      <c r="K677" s="241" t="s">
        <v>2271</v>
      </c>
      <c r="L677" s="1"/>
      <c r="M677" s="242" t="s">
        <v>2272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3.25" customHeight="1">
      <c r="A678" s="1"/>
      <c r="B678" s="88">
        <v>234.0</v>
      </c>
      <c r="C678" s="88" t="s">
        <v>608</v>
      </c>
      <c r="D678" s="89" t="s">
        <v>800</v>
      </c>
      <c r="E678" s="88">
        <v>2.0</v>
      </c>
      <c r="F678" s="89" t="s">
        <v>659</v>
      </c>
      <c r="G678" s="92">
        <v>0.15</v>
      </c>
      <c r="H678" s="92">
        <v>0.15</v>
      </c>
      <c r="I678" s="92">
        <v>0.0</v>
      </c>
      <c r="J678" s="91">
        <v>0.0</v>
      </c>
      <c r="K678" s="241" t="s">
        <v>2273</v>
      </c>
      <c r="L678" s="1"/>
      <c r="M678" s="242" t="s">
        <v>2274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3.25" customHeight="1">
      <c r="A679" s="1"/>
      <c r="B679" s="88">
        <v>234.0</v>
      </c>
      <c r="C679" s="88" t="s">
        <v>608</v>
      </c>
      <c r="D679" s="89" t="s">
        <v>800</v>
      </c>
      <c r="E679" s="88">
        <v>3.0</v>
      </c>
      <c r="F679" s="89" t="s">
        <v>757</v>
      </c>
      <c r="G679" s="92">
        <v>0.15</v>
      </c>
      <c r="H679" s="92">
        <v>0.15</v>
      </c>
      <c r="I679" s="92">
        <v>0.0</v>
      </c>
      <c r="J679" s="91">
        <v>0.0</v>
      </c>
      <c r="K679" s="241" t="s">
        <v>2275</v>
      </c>
      <c r="L679" s="1"/>
      <c r="M679" s="242" t="s">
        <v>2276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3.25" customHeight="1">
      <c r="A680" s="1"/>
      <c r="B680" s="88">
        <v>235.0</v>
      </c>
      <c r="C680" s="88" t="s">
        <v>608</v>
      </c>
      <c r="D680" s="89" t="s">
        <v>687</v>
      </c>
      <c r="E680" s="88">
        <v>1.0</v>
      </c>
      <c r="F680" s="89" t="s">
        <v>562</v>
      </c>
      <c r="G680" s="92">
        <v>0.21</v>
      </c>
      <c r="H680" s="92">
        <v>0.21</v>
      </c>
      <c r="I680" s="92">
        <v>0.0</v>
      </c>
      <c r="J680" s="91">
        <v>0.0</v>
      </c>
      <c r="K680" s="241" t="s">
        <v>2277</v>
      </c>
      <c r="L680" s="1"/>
      <c r="M680" s="242" t="s">
        <v>2278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3.25" customHeight="1">
      <c r="A681" s="1"/>
      <c r="B681" s="88">
        <v>235.0</v>
      </c>
      <c r="C681" s="88" t="s">
        <v>608</v>
      </c>
      <c r="D681" s="89" t="s">
        <v>687</v>
      </c>
      <c r="E681" s="88">
        <v>2.0</v>
      </c>
      <c r="F681" s="89" t="s">
        <v>750</v>
      </c>
      <c r="G681" s="92">
        <v>0.4</v>
      </c>
      <c r="H681" s="92">
        <v>0.4</v>
      </c>
      <c r="I681" s="92">
        <v>0.0</v>
      </c>
      <c r="J681" s="91">
        <v>0.0</v>
      </c>
      <c r="K681" s="241" t="s">
        <v>2279</v>
      </c>
      <c r="L681" s="1"/>
      <c r="M681" s="242" t="s">
        <v>2280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3.25" customHeight="1">
      <c r="A682" s="1"/>
      <c r="B682" s="88">
        <v>235.0</v>
      </c>
      <c r="C682" s="88" t="s">
        <v>608</v>
      </c>
      <c r="D682" s="89" t="s">
        <v>687</v>
      </c>
      <c r="E682" s="88">
        <v>3.0</v>
      </c>
      <c r="F682" s="89" t="s">
        <v>722</v>
      </c>
      <c r="G682" s="92">
        <v>0.07</v>
      </c>
      <c r="H682" s="92">
        <v>0.07</v>
      </c>
      <c r="I682" s="92">
        <v>0.0</v>
      </c>
      <c r="J682" s="91">
        <v>0.0</v>
      </c>
      <c r="K682" s="241" t="s">
        <v>2281</v>
      </c>
      <c r="L682" s="1"/>
      <c r="M682" s="242" t="s">
        <v>2282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3.25" customHeight="1">
      <c r="A683" s="1"/>
      <c r="B683" s="88">
        <v>235.0</v>
      </c>
      <c r="C683" s="88" t="s">
        <v>608</v>
      </c>
      <c r="D683" s="89" t="s">
        <v>687</v>
      </c>
      <c r="E683" s="88">
        <v>4.0</v>
      </c>
      <c r="F683" s="89" t="s">
        <v>532</v>
      </c>
      <c r="G683" s="92">
        <v>0.005</v>
      </c>
      <c r="H683" s="92">
        <v>0.005</v>
      </c>
      <c r="I683" s="92">
        <v>0.0</v>
      </c>
      <c r="J683" s="91">
        <v>0.0</v>
      </c>
      <c r="K683" s="241" t="s">
        <v>2283</v>
      </c>
      <c r="L683" s="1"/>
      <c r="M683" s="242" t="s">
        <v>2284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3.25" customHeight="1">
      <c r="A684" s="1"/>
      <c r="B684" s="88">
        <v>235.0</v>
      </c>
      <c r="C684" s="88" t="s">
        <v>608</v>
      </c>
      <c r="D684" s="89" t="s">
        <v>687</v>
      </c>
      <c r="E684" s="88">
        <v>5.0</v>
      </c>
      <c r="F684" s="89" t="s">
        <v>576</v>
      </c>
      <c r="G684" s="92">
        <v>0.005</v>
      </c>
      <c r="H684" s="92">
        <v>0.005</v>
      </c>
      <c r="I684" s="92">
        <v>0.0</v>
      </c>
      <c r="J684" s="91">
        <v>0.0</v>
      </c>
      <c r="K684" s="241" t="s">
        <v>2285</v>
      </c>
      <c r="L684" s="1"/>
      <c r="M684" s="242" t="s">
        <v>2286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3.25" customHeight="1">
      <c r="A685" s="1"/>
      <c r="B685" s="88">
        <v>235.0</v>
      </c>
      <c r="C685" s="88" t="s">
        <v>608</v>
      </c>
      <c r="D685" s="89" t="s">
        <v>687</v>
      </c>
      <c r="E685" s="88">
        <v>6.0</v>
      </c>
      <c r="F685" s="89" t="s">
        <v>579</v>
      </c>
      <c r="G685" s="92">
        <v>0.07</v>
      </c>
      <c r="H685" s="92">
        <v>0.07</v>
      </c>
      <c r="I685" s="92">
        <v>0.0</v>
      </c>
      <c r="J685" s="91">
        <v>0.0</v>
      </c>
      <c r="K685" s="241" t="s">
        <v>2287</v>
      </c>
      <c r="L685" s="1"/>
      <c r="M685" s="242" t="s">
        <v>2288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3.25" customHeight="1">
      <c r="A686" s="1"/>
      <c r="B686" s="88">
        <v>235.0</v>
      </c>
      <c r="C686" s="88" t="s">
        <v>608</v>
      </c>
      <c r="D686" s="89" t="s">
        <v>687</v>
      </c>
      <c r="E686" s="88">
        <v>7.0</v>
      </c>
      <c r="F686" s="89" t="s">
        <v>593</v>
      </c>
      <c r="G686" s="92">
        <v>0.03</v>
      </c>
      <c r="H686" s="92">
        <v>0.03</v>
      </c>
      <c r="I686" s="92">
        <v>0.0</v>
      </c>
      <c r="J686" s="91">
        <v>0.0</v>
      </c>
      <c r="K686" s="241" t="s">
        <v>2289</v>
      </c>
      <c r="L686" s="1"/>
      <c r="M686" s="242" t="s">
        <v>2290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3.25" customHeight="1">
      <c r="A687" s="1"/>
      <c r="B687" s="88">
        <v>235.0</v>
      </c>
      <c r="C687" s="88" t="s">
        <v>608</v>
      </c>
      <c r="D687" s="89" t="s">
        <v>687</v>
      </c>
      <c r="E687" s="88">
        <v>8.0</v>
      </c>
      <c r="F687" s="89" t="s">
        <v>571</v>
      </c>
      <c r="G687" s="92">
        <v>0.01</v>
      </c>
      <c r="H687" s="92">
        <v>0.01</v>
      </c>
      <c r="I687" s="92">
        <v>0.0</v>
      </c>
      <c r="J687" s="91">
        <v>0.0</v>
      </c>
      <c r="K687" s="241" t="s">
        <v>2291</v>
      </c>
      <c r="L687" s="1"/>
      <c r="M687" s="242" t="s">
        <v>2292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3.25" customHeight="1">
      <c r="A688" s="1"/>
      <c r="B688" s="88">
        <v>235.0</v>
      </c>
      <c r="C688" s="88" t="s">
        <v>608</v>
      </c>
      <c r="D688" s="89" t="s">
        <v>687</v>
      </c>
      <c r="E688" s="88">
        <v>9.0</v>
      </c>
      <c r="F688" s="89" t="s">
        <v>717</v>
      </c>
      <c r="G688" s="92">
        <v>0.2</v>
      </c>
      <c r="H688" s="92">
        <v>0.2</v>
      </c>
      <c r="I688" s="92">
        <v>0.0</v>
      </c>
      <c r="J688" s="91">
        <v>0.0</v>
      </c>
      <c r="K688" s="241" t="s">
        <v>2293</v>
      </c>
      <c r="L688" s="1"/>
      <c r="M688" s="242" t="s">
        <v>2294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3.25" customHeight="1">
      <c r="A689" s="1"/>
      <c r="B689" s="88">
        <v>236.0</v>
      </c>
      <c r="C689" s="88" t="s">
        <v>608</v>
      </c>
      <c r="D689" s="89" t="s">
        <v>801</v>
      </c>
      <c r="E689" s="88">
        <v>1.0</v>
      </c>
      <c r="F689" s="89" t="s">
        <v>750</v>
      </c>
      <c r="G689" s="92">
        <v>0.3</v>
      </c>
      <c r="H689" s="92">
        <v>0.3</v>
      </c>
      <c r="I689" s="92">
        <v>0.0</v>
      </c>
      <c r="J689" s="91">
        <v>0.0</v>
      </c>
      <c r="K689" s="241" t="s">
        <v>2295</v>
      </c>
      <c r="L689" s="1"/>
      <c r="M689" s="242" t="s">
        <v>2296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3.25" customHeight="1">
      <c r="A690" s="1"/>
      <c r="B690" s="88">
        <v>236.0</v>
      </c>
      <c r="C690" s="88" t="s">
        <v>608</v>
      </c>
      <c r="D690" s="89" t="s">
        <v>801</v>
      </c>
      <c r="E690" s="88">
        <v>2.0</v>
      </c>
      <c r="F690" s="89" t="s">
        <v>722</v>
      </c>
      <c r="G690" s="92">
        <v>0.7</v>
      </c>
      <c r="H690" s="92">
        <v>0.7</v>
      </c>
      <c r="I690" s="92">
        <v>0.0</v>
      </c>
      <c r="J690" s="91">
        <v>0.0</v>
      </c>
      <c r="K690" s="241" t="s">
        <v>2297</v>
      </c>
      <c r="L690" s="1"/>
      <c r="M690" s="242" t="s">
        <v>2298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3.25" customHeight="1">
      <c r="A691" s="1"/>
      <c r="B691" s="88">
        <v>237.0</v>
      </c>
      <c r="C691" s="88" t="s">
        <v>608</v>
      </c>
      <c r="D691" s="89" t="s">
        <v>802</v>
      </c>
      <c r="E691" s="88">
        <v>1.0</v>
      </c>
      <c r="F691" s="89" t="s">
        <v>750</v>
      </c>
      <c r="G691" s="92">
        <v>0.3</v>
      </c>
      <c r="H691" s="92">
        <v>0.3</v>
      </c>
      <c r="I691" s="92">
        <v>0.0</v>
      </c>
      <c r="J691" s="91">
        <v>0.0</v>
      </c>
      <c r="K691" s="241" t="s">
        <v>2299</v>
      </c>
      <c r="L691" s="1"/>
      <c r="M691" s="242" t="s">
        <v>2300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3.25" customHeight="1">
      <c r="A692" s="1"/>
      <c r="B692" s="88">
        <v>237.0</v>
      </c>
      <c r="C692" s="88" t="s">
        <v>608</v>
      </c>
      <c r="D692" s="89" t="s">
        <v>802</v>
      </c>
      <c r="E692" s="88">
        <v>2.0</v>
      </c>
      <c r="F692" s="89" t="s">
        <v>759</v>
      </c>
      <c r="G692" s="92">
        <v>0.7</v>
      </c>
      <c r="H692" s="92">
        <v>0.7</v>
      </c>
      <c r="I692" s="92">
        <v>0.0</v>
      </c>
      <c r="J692" s="91">
        <v>0.0</v>
      </c>
      <c r="K692" s="241" t="s">
        <v>2301</v>
      </c>
      <c r="L692" s="1"/>
      <c r="M692" s="242" t="s">
        <v>2302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3.25" customHeight="1">
      <c r="A693" s="1"/>
      <c r="B693" s="88">
        <v>238.0</v>
      </c>
      <c r="C693" s="88" t="s">
        <v>608</v>
      </c>
      <c r="D693" s="89" t="s">
        <v>803</v>
      </c>
      <c r="E693" s="88">
        <v>1.0</v>
      </c>
      <c r="F693" s="89" t="s">
        <v>769</v>
      </c>
      <c r="G693" s="92">
        <v>0.47</v>
      </c>
      <c r="H693" s="92">
        <v>0.47</v>
      </c>
      <c r="I693" s="92">
        <v>0.0</v>
      </c>
      <c r="J693" s="91">
        <v>0.0</v>
      </c>
      <c r="K693" s="241" t="s">
        <v>2303</v>
      </c>
      <c r="L693" s="1"/>
      <c r="M693" s="242" t="s">
        <v>2304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3.25" customHeight="1">
      <c r="A694" s="1"/>
      <c r="B694" s="88">
        <v>238.0</v>
      </c>
      <c r="C694" s="88" t="s">
        <v>608</v>
      </c>
      <c r="D694" s="89" t="s">
        <v>803</v>
      </c>
      <c r="E694" s="88">
        <v>2.0</v>
      </c>
      <c r="F694" s="89" t="s">
        <v>659</v>
      </c>
      <c r="G694" s="92">
        <v>0.15</v>
      </c>
      <c r="H694" s="92">
        <v>0.15</v>
      </c>
      <c r="I694" s="92">
        <v>0.0</v>
      </c>
      <c r="J694" s="91">
        <v>0.0</v>
      </c>
      <c r="K694" s="241" t="s">
        <v>2305</v>
      </c>
      <c r="L694" s="1"/>
      <c r="M694" s="242" t="s">
        <v>2306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3.25" customHeight="1">
      <c r="A695" s="1"/>
      <c r="B695" s="88">
        <v>238.0</v>
      </c>
      <c r="C695" s="88" t="s">
        <v>608</v>
      </c>
      <c r="D695" s="89" t="s">
        <v>803</v>
      </c>
      <c r="E695" s="88">
        <v>3.0</v>
      </c>
      <c r="F695" s="89" t="s">
        <v>724</v>
      </c>
      <c r="G695" s="92">
        <v>0.02</v>
      </c>
      <c r="H695" s="92">
        <v>0.02</v>
      </c>
      <c r="I695" s="92">
        <v>0.0</v>
      </c>
      <c r="J695" s="91">
        <v>0.0</v>
      </c>
      <c r="K695" s="241" t="s">
        <v>2307</v>
      </c>
      <c r="L695" s="1"/>
      <c r="M695" s="242" t="s">
        <v>2308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3.25" customHeight="1">
      <c r="A696" s="1"/>
      <c r="B696" s="88">
        <v>238.0</v>
      </c>
      <c r="C696" s="88" t="s">
        <v>608</v>
      </c>
      <c r="D696" s="89" t="s">
        <v>803</v>
      </c>
      <c r="E696" s="88">
        <v>4.0</v>
      </c>
      <c r="F696" s="89" t="s">
        <v>722</v>
      </c>
      <c r="G696" s="92">
        <v>0.36</v>
      </c>
      <c r="H696" s="92">
        <v>0.36</v>
      </c>
      <c r="I696" s="92">
        <v>0.0</v>
      </c>
      <c r="J696" s="91">
        <v>0.0</v>
      </c>
      <c r="K696" s="241" t="s">
        <v>2309</v>
      </c>
      <c r="L696" s="1"/>
      <c r="M696" s="242" t="s">
        <v>2310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3.25" customHeight="1">
      <c r="A697" s="1"/>
      <c r="B697" s="88">
        <v>239.0</v>
      </c>
      <c r="C697" s="88" t="s">
        <v>608</v>
      </c>
      <c r="D697" s="89" t="s">
        <v>804</v>
      </c>
      <c r="E697" s="88">
        <v>1.0</v>
      </c>
      <c r="F697" s="89" t="s">
        <v>782</v>
      </c>
      <c r="G697" s="92">
        <v>0.6</v>
      </c>
      <c r="H697" s="92">
        <v>0.6</v>
      </c>
      <c r="I697" s="92">
        <v>0.0</v>
      </c>
      <c r="J697" s="91">
        <v>0.0</v>
      </c>
      <c r="K697" s="241" t="s">
        <v>2311</v>
      </c>
      <c r="L697" s="1"/>
      <c r="M697" s="242" t="s">
        <v>2312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3.25" customHeight="1">
      <c r="A698" s="1"/>
      <c r="B698" s="88">
        <v>239.0</v>
      </c>
      <c r="C698" s="88" t="s">
        <v>608</v>
      </c>
      <c r="D698" s="89" t="s">
        <v>804</v>
      </c>
      <c r="E698" s="88">
        <v>2.0</v>
      </c>
      <c r="F698" s="89" t="s">
        <v>594</v>
      </c>
      <c r="G698" s="92">
        <v>0.05</v>
      </c>
      <c r="H698" s="92">
        <v>0.05</v>
      </c>
      <c r="I698" s="92">
        <v>0.0</v>
      </c>
      <c r="J698" s="91">
        <v>0.0</v>
      </c>
      <c r="K698" s="241" t="s">
        <v>2313</v>
      </c>
      <c r="L698" s="1"/>
      <c r="M698" s="242" t="s">
        <v>2314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3.25" customHeight="1">
      <c r="A699" s="1"/>
      <c r="B699" s="88">
        <v>239.0</v>
      </c>
      <c r="C699" s="88" t="s">
        <v>608</v>
      </c>
      <c r="D699" s="89" t="s">
        <v>804</v>
      </c>
      <c r="E699" s="88">
        <v>3.0</v>
      </c>
      <c r="F699" s="89" t="s">
        <v>753</v>
      </c>
      <c r="G699" s="92">
        <v>0.05</v>
      </c>
      <c r="H699" s="92">
        <v>0.05</v>
      </c>
      <c r="I699" s="92">
        <v>0.0</v>
      </c>
      <c r="J699" s="91">
        <v>0.0</v>
      </c>
      <c r="K699" s="241" t="s">
        <v>2315</v>
      </c>
      <c r="L699" s="1"/>
      <c r="M699" s="242" t="s">
        <v>2316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3.25" customHeight="1">
      <c r="A700" s="1"/>
      <c r="B700" s="88">
        <v>239.0</v>
      </c>
      <c r="C700" s="88" t="s">
        <v>608</v>
      </c>
      <c r="D700" s="89" t="s">
        <v>804</v>
      </c>
      <c r="E700" s="88">
        <v>4.0</v>
      </c>
      <c r="F700" s="89" t="s">
        <v>571</v>
      </c>
      <c r="G700" s="92">
        <v>0.01</v>
      </c>
      <c r="H700" s="92">
        <v>0.01</v>
      </c>
      <c r="I700" s="92">
        <v>0.0</v>
      </c>
      <c r="J700" s="91">
        <v>0.0</v>
      </c>
      <c r="K700" s="241" t="s">
        <v>2317</v>
      </c>
      <c r="L700" s="1"/>
      <c r="M700" s="242" t="s">
        <v>2318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3.25" customHeight="1">
      <c r="A701" s="1"/>
      <c r="B701" s="88">
        <v>239.0</v>
      </c>
      <c r="C701" s="88" t="s">
        <v>608</v>
      </c>
      <c r="D701" s="89" t="s">
        <v>804</v>
      </c>
      <c r="E701" s="88">
        <v>5.0</v>
      </c>
      <c r="F701" s="89" t="s">
        <v>532</v>
      </c>
      <c r="G701" s="92">
        <v>0.01</v>
      </c>
      <c r="H701" s="92">
        <v>0.01</v>
      </c>
      <c r="I701" s="92">
        <v>0.0</v>
      </c>
      <c r="J701" s="91">
        <v>0.0</v>
      </c>
      <c r="K701" s="241" t="s">
        <v>2319</v>
      </c>
      <c r="L701" s="1"/>
      <c r="M701" s="1" t="s">
        <v>2320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3.25" customHeight="1">
      <c r="A702" s="1"/>
      <c r="B702" s="88">
        <v>239.0</v>
      </c>
      <c r="C702" s="88" t="s">
        <v>608</v>
      </c>
      <c r="D702" s="89" t="s">
        <v>804</v>
      </c>
      <c r="E702" s="88">
        <v>6.0</v>
      </c>
      <c r="F702" s="89" t="s">
        <v>726</v>
      </c>
      <c r="G702" s="92">
        <v>0.2</v>
      </c>
      <c r="H702" s="92">
        <v>0.2</v>
      </c>
      <c r="I702" s="92">
        <v>0.0</v>
      </c>
      <c r="J702" s="91">
        <v>0.0</v>
      </c>
      <c r="K702" s="241" t="s">
        <v>2321</v>
      </c>
      <c r="L702" s="1"/>
      <c r="M702" s="1" t="s">
        <v>2322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3.25" customHeight="1">
      <c r="A703" s="1"/>
      <c r="B703" s="88">
        <v>239.0</v>
      </c>
      <c r="C703" s="88" t="s">
        <v>608</v>
      </c>
      <c r="D703" s="89" t="s">
        <v>804</v>
      </c>
      <c r="E703" s="88">
        <v>7.0</v>
      </c>
      <c r="F703" s="89" t="s">
        <v>569</v>
      </c>
      <c r="G703" s="92">
        <v>0.08</v>
      </c>
      <c r="H703" s="92">
        <v>0.08</v>
      </c>
      <c r="I703" s="92">
        <v>0.0</v>
      </c>
      <c r="J703" s="91">
        <v>0.0</v>
      </c>
      <c r="K703" s="241" t="s">
        <v>2323</v>
      </c>
      <c r="L703" s="1"/>
      <c r="M703" s="1" t="s">
        <v>2324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3.25" customHeight="1">
      <c r="A704" s="1"/>
      <c r="B704" s="88">
        <v>240.0</v>
      </c>
      <c r="C704" s="88" t="s">
        <v>608</v>
      </c>
      <c r="D704" s="89" t="s">
        <v>697</v>
      </c>
      <c r="E704" s="88">
        <v>1.0</v>
      </c>
      <c r="F704" s="89" t="s">
        <v>584</v>
      </c>
      <c r="G704" s="92">
        <v>0.125</v>
      </c>
      <c r="H704" s="92">
        <v>0.125</v>
      </c>
      <c r="I704" s="92">
        <v>0.0</v>
      </c>
      <c r="J704" s="91">
        <v>0.0</v>
      </c>
      <c r="K704" s="241" t="s">
        <v>2325</v>
      </c>
      <c r="L704" s="1"/>
      <c r="M704" s="1" t="s">
        <v>2326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3.25" customHeight="1">
      <c r="A705" s="1"/>
      <c r="B705" s="88">
        <v>240.0</v>
      </c>
      <c r="C705" s="88" t="s">
        <v>608</v>
      </c>
      <c r="D705" s="89" t="s">
        <v>697</v>
      </c>
      <c r="E705" s="88">
        <v>2.0</v>
      </c>
      <c r="F705" s="89" t="s">
        <v>593</v>
      </c>
      <c r="G705" s="92">
        <v>0.58</v>
      </c>
      <c r="H705" s="92">
        <v>0.58</v>
      </c>
      <c r="I705" s="92">
        <v>0.0</v>
      </c>
      <c r="J705" s="91">
        <v>0.0</v>
      </c>
      <c r="K705" s="241" t="s">
        <v>2327</v>
      </c>
      <c r="L705" s="1"/>
      <c r="M705" s="1" t="s">
        <v>2328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3.25" customHeight="1">
      <c r="A706" s="1"/>
      <c r="B706" s="88">
        <v>240.0</v>
      </c>
      <c r="C706" s="88" t="s">
        <v>608</v>
      </c>
      <c r="D706" s="89" t="s">
        <v>697</v>
      </c>
      <c r="E706" s="88">
        <v>3.0</v>
      </c>
      <c r="F706" s="89" t="s">
        <v>572</v>
      </c>
      <c r="G706" s="92">
        <v>0.15</v>
      </c>
      <c r="H706" s="92">
        <v>0.15</v>
      </c>
      <c r="I706" s="92">
        <v>0.0</v>
      </c>
      <c r="J706" s="91">
        <v>0.0</v>
      </c>
      <c r="K706" s="241" t="s">
        <v>2329</v>
      </c>
      <c r="L706" s="1"/>
      <c r="M706" s="1" t="s">
        <v>2330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3.25" customHeight="1">
      <c r="A707" s="1"/>
      <c r="B707" s="88">
        <v>240.0</v>
      </c>
      <c r="C707" s="88" t="s">
        <v>608</v>
      </c>
      <c r="D707" s="89" t="s">
        <v>697</v>
      </c>
      <c r="E707" s="88">
        <v>4.0</v>
      </c>
      <c r="F707" s="89" t="s">
        <v>580</v>
      </c>
      <c r="G707" s="92">
        <v>0.09</v>
      </c>
      <c r="H707" s="92">
        <v>0.09</v>
      </c>
      <c r="I707" s="92">
        <v>0.0</v>
      </c>
      <c r="J707" s="91">
        <v>0.0</v>
      </c>
      <c r="K707" s="241" t="s">
        <v>2331</v>
      </c>
      <c r="L707" s="1"/>
      <c r="M707" s="1" t="s">
        <v>2332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3.25" customHeight="1">
      <c r="A708" s="1"/>
      <c r="B708" s="88">
        <v>240.0</v>
      </c>
      <c r="C708" s="88" t="s">
        <v>608</v>
      </c>
      <c r="D708" s="89" t="s">
        <v>697</v>
      </c>
      <c r="E708" s="88">
        <v>5.0</v>
      </c>
      <c r="F708" s="89" t="s">
        <v>576</v>
      </c>
      <c r="G708" s="92">
        <v>0.005</v>
      </c>
      <c r="H708" s="92">
        <v>0.005</v>
      </c>
      <c r="I708" s="92">
        <v>0.0</v>
      </c>
      <c r="J708" s="91">
        <v>0.0</v>
      </c>
      <c r="K708" s="241" t="s">
        <v>2333</v>
      </c>
      <c r="L708" s="1"/>
      <c r="M708" s="1" t="s">
        <v>2334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3.25" customHeight="1">
      <c r="A709" s="1"/>
      <c r="B709" s="88">
        <v>240.0</v>
      </c>
      <c r="C709" s="88" t="s">
        <v>608</v>
      </c>
      <c r="D709" s="89" t="s">
        <v>697</v>
      </c>
      <c r="E709" s="88">
        <v>6.0</v>
      </c>
      <c r="F709" s="89" t="s">
        <v>539</v>
      </c>
      <c r="G709" s="92">
        <v>0.05</v>
      </c>
      <c r="H709" s="92">
        <v>0.05</v>
      </c>
      <c r="I709" s="92">
        <v>0.0</v>
      </c>
      <c r="J709" s="91">
        <v>0.0</v>
      </c>
      <c r="K709" s="241" t="s">
        <v>2335</v>
      </c>
      <c r="L709" s="1"/>
      <c r="M709" s="1" t="s">
        <v>2336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3.25" customHeight="1">
      <c r="A710" s="1"/>
      <c r="B710" s="88">
        <v>241.0</v>
      </c>
      <c r="C710" s="88" t="s">
        <v>608</v>
      </c>
      <c r="D710" s="89" t="s">
        <v>406</v>
      </c>
      <c r="E710" s="88">
        <v>1.0</v>
      </c>
      <c r="F710" s="89" t="s">
        <v>594</v>
      </c>
      <c r="G710" s="92">
        <v>0.29</v>
      </c>
      <c r="H710" s="92">
        <v>0.29</v>
      </c>
      <c r="I710" s="92">
        <v>0.0</v>
      </c>
      <c r="J710" s="91">
        <v>0.0</v>
      </c>
      <c r="K710" s="241" t="s">
        <v>2337</v>
      </c>
      <c r="L710" s="1"/>
      <c r="M710" s="1" t="s">
        <v>2338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3.25" customHeight="1">
      <c r="A711" s="1"/>
      <c r="B711" s="88">
        <v>241.0</v>
      </c>
      <c r="C711" s="88" t="s">
        <v>608</v>
      </c>
      <c r="D711" s="89" t="s">
        <v>406</v>
      </c>
      <c r="E711" s="88">
        <v>2.0</v>
      </c>
      <c r="F711" s="89" t="s">
        <v>579</v>
      </c>
      <c r="G711" s="92">
        <v>0.304</v>
      </c>
      <c r="H711" s="92">
        <v>0.304</v>
      </c>
      <c r="I711" s="92">
        <v>0.0</v>
      </c>
      <c r="J711" s="91">
        <v>0.0</v>
      </c>
      <c r="K711" s="241" t="s">
        <v>2339</v>
      </c>
      <c r="L711" s="1"/>
      <c r="M711" s="1" t="s">
        <v>2340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3.25" customHeight="1">
      <c r="A712" s="1"/>
      <c r="B712" s="88">
        <v>241.0</v>
      </c>
      <c r="C712" s="88" t="s">
        <v>608</v>
      </c>
      <c r="D712" s="89" t="s">
        <v>406</v>
      </c>
      <c r="E712" s="88">
        <v>3.0</v>
      </c>
      <c r="F712" s="89" t="s">
        <v>593</v>
      </c>
      <c r="G712" s="92">
        <v>0.113</v>
      </c>
      <c r="H712" s="92">
        <v>0.113</v>
      </c>
      <c r="I712" s="92">
        <v>0.0</v>
      </c>
      <c r="J712" s="91">
        <v>0.0</v>
      </c>
      <c r="K712" s="241" t="s">
        <v>2341</v>
      </c>
      <c r="L712" s="1"/>
      <c r="M712" s="1" t="s">
        <v>2342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3.25" customHeight="1">
      <c r="A713" s="1"/>
      <c r="B713" s="88">
        <v>241.0</v>
      </c>
      <c r="C713" s="88" t="s">
        <v>608</v>
      </c>
      <c r="D713" s="89" t="s">
        <v>406</v>
      </c>
      <c r="E713" s="88">
        <v>4.0</v>
      </c>
      <c r="F713" s="89" t="s">
        <v>588</v>
      </c>
      <c r="G713" s="92">
        <v>0.1</v>
      </c>
      <c r="H713" s="92">
        <v>0.1</v>
      </c>
      <c r="I713" s="92">
        <v>0.0</v>
      </c>
      <c r="J713" s="91">
        <v>0.0</v>
      </c>
      <c r="K713" s="241" t="s">
        <v>2343</v>
      </c>
      <c r="L713" s="1"/>
      <c r="M713" s="1" t="s">
        <v>2344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3.25" customHeight="1">
      <c r="A714" s="1"/>
      <c r="B714" s="88">
        <v>241.0</v>
      </c>
      <c r="C714" s="88" t="s">
        <v>608</v>
      </c>
      <c r="D714" s="89" t="s">
        <v>406</v>
      </c>
      <c r="E714" s="88">
        <v>5.0</v>
      </c>
      <c r="F714" s="89" t="s">
        <v>532</v>
      </c>
      <c r="G714" s="92">
        <v>0.008</v>
      </c>
      <c r="H714" s="92">
        <v>0.008</v>
      </c>
      <c r="I714" s="92">
        <v>0.0</v>
      </c>
      <c r="J714" s="91">
        <v>0.0</v>
      </c>
      <c r="K714" s="241" t="s">
        <v>2345</v>
      </c>
      <c r="L714" s="1"/>
      <c r="M714" s="1" t="s">
        <v>2346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3.25" customHeight="1">
      <c r="A715" s="1"/>
      <c r="B715" s="88">
        <v>241.0</v>
      </c>
      <c r="C715" s="88" t="s">
        <v>608</v>
      </c>
      <c r="D715" s="89" t="s">
        <v>406</v>
      </c>
      <c r="E715" s="88">
        <v>6.0</v>
      </c>
      <c r="F715" s="89" t="s">
        <v>585</v>
      </c>
      <c r="G715" s="92">
        <v>0.11</v>
      </c>
      <c r="H715" s="92">
        <v>0.11</v>
      </c>
      <c r="I715" s="92">
        <v>0.0</v>
      </c>
      <c r="J715" s="91">
        <v>0.0</v>
      </c>
      <c r="K715" s="241" t="s">
        <v>2347</v>
      </c>
      <c r="L715" s="1"/>
      <c r="M715" s="1" t="s">
        <v>2348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3.25" customHeight="1">
      <c r="A716" s="1"/>
      <c r="B716" s="88">
        <v>241.0</v>
      </c>
      <c r="C716" s="88" t="s">
        <v>608</v>
      </c>
      <c r="D716" s="89" t="s">
        <v>406</v>
      </c>
      <c r="E716" s="88">
        <v>7.0</v>
      </c>
      <c r="F716" s="89" t="s">
        <v>548</v>
      </c>
      <c r="G716" s="92">
        <v>0.075</v>
      </c>
      <c r="H716" s="92">
        <v>0.075</v>
      </c>
      <c r="I716" s="92">
        <v>0.0</v>
      </c>
      <c r="J716" s="91">
        <v>0.0</v>
      </c>
      <c r="K716" s="241" t="s">
        <v>2349</v>
      </c>
      <c r="L716" s="1"/>
      <c r="M716" s="1" t="s">
        <v>2350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3.25" customHeight="1">
      <c r="A717" s="1"/>
      <c r="B717" s="88">
        <v>242.0</v>
      </c>
      <c r="C717" s="88" t="s">
        <v>608</v>
      </c>
      <c r="D717" s="89" t="s">
        <v>665</v>
      </c>
      <c r="E717" s="88">
        <v>1.0</v>
      </c>
      <c r="F717" s="89" t="s">
        <v>782</v>
      </c>
      <c r="G717" s="92">
        <v>0.5</v>
      </c>
      <c r="H717" s="92">
        <v>0.5</v>
      </c>
      <c r="I717" s="92">
        <v>0.0</v>
      </c>
      <c r="J717" s="91">
        <v>0.0</v>
      </c>
      <c r="K717" s="241" t="s">
        <v>2351</v>
      </c>
      <c r="L717" s="1"/>
      <c r="M717" s="1" t="s">
        <v>2352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3.25" customHeight="1">
      <c r="A718" s="1"/>
      <c r="B718" s="88">
        <v>242.0</v>
      </c>
      <c r="C718" s="88" t="s">
        <v>608</v>
      </c>
      <c r="D718" s="89" t="s">
        <v>665</v>
      </c>
      <c r="E718" s="88">
        <v>2.0</v>
      </c>
      <c r="F718" s="89" t="s">
        <v>588</v>
      </c>
      <c r="G718" s="92">
        <v>0.1</v>
      </c>
      <c r="H718" s="92">
        <v>0.1</v>
      </c>
      <c r="I718" s="92">
        <v>0.0</v>
      </c>
      <c r="J718" s="91">
        <v>0.0</v>
      </c>
      <c r="K718" s="241" t="s">
        <v>2353</v>
      </c>
      <c r="L718" s="1"/>
      <c r="M718" s="1" t="s">
        <v>2354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3.25" customHeight="1">
      <c r="A719" s="1"/>
      <c r="B719" s="88">
        <v>242.0</v>
      </c>
      <c r="C719" s="88" t="s">
        <v>608</v>
      </c>
      <c r="D719" s="89" t="s">
        <v>665</v>
      </c>
      <c r="E719" s="88">
        <v>3.0</v>
      </c>
      <c r="F719" s="89" t="s">
        <v>532</v>
      </c>
      <c r="G719" s="92">
        <v>0.01</v>
      </c>
      <c r="H719" s="92">
        <v>0.01</v>
      </c>
      <c r="I719" s="92">
        <v>0.0</v>
      </c>
      <c r="J719" s="91">
        <v>0.0</v>
      </c>
      <c r="K719" s="241" t="s">
        <v>2355</v>
      </c>
      <c r="L719" s="1"/>
      <c r="M719" s="1" t="s">
        <v>2356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3.25" customHeight="1">
      <c r="A720" s="1"/>
      <c r="B720" s="88">
        <v>242.0</v>
      </c>
      <c r="C720" s="88" t="s">
        <v>608</v>
      </c>
      <c r="D720" s="89" t="s">
        <v>665</v>
      </c>
      <c r="E720" s="88">
        <v>4.0</v>
      </c>
      <c r="F720" s="89" t="s">
        <v>950</v>
      </c>
      <c r="G720" s="92">
        <v>0.3</v>
      </c>
      <c r="H720" s="92">
        <v>0.3</v>
      </c>
      <c r="I720" s="92">
        <v>0.0</v>
      </c>
      <c r="J720" s="91">
        <v>0.0</v>
      </c>
      <c r="K720" s="241" t="s">
        <v>2357</v>
      </c>
      <c r="L720" s="1"/>
      <c r="M720" s="1" t="s">
        <v>2358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3.25" customHeight="1">
      <c r="A721" s="1"/>
      <c r="B721" s="88">
        <v>242.0</v>
      </c>
      <c r="C721" s="88" t="s">
        <v>608</v>
      </c>
      <c r="D721" s="89" t="s">
        <v>665</v>
      </c>
      <c r="E721" s="88">
        <v>5.0</v>
      </c>
      <c r="F721" s="89" t="s">
        <v>579</v>
      </c>
      <c r="G721" s="92">
        <v>0.05</v>
      </c>
      <c r="H721" s="92">
        <v>0.05</v>
      </c>
      <c r="I721" s="92">
        <v>0.0</v>
      </c>
      <c r="J721" s="91">
        <v>0.0</v>
      </c>
      <c r="K721" s="241" t="s">
        <v>2359</v>
      </c>
      <c r="L721" s="1"/>
      <c r="M721" s="1" t="s">
        <v>2360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3.25" customHeight="1">
      <c r="A722" s="1"/>
      <c r="B722" s="88">
        <v>242.0</v>
      </c>
      <c r="C722" s="88" t="s">
        <v>608</v>
      </c>
      <c r="D722" s="89" t="s">
        <v>665</v>
      </c>
      <c r="E722" s="88">
        <v>6.0</v>
      </c>
      <c r="F722" s="89" t="s">
        <v>593</v>
      </c>
      <c r="G722" s="92">
        <v>0.04</v>
      </c>
      <c r="H722" s="92">
        <v>0.04</v>
      </c>
      <c r="I722" s="92">
        <v>0.0</v>
      </c>
      <c r="J722" s="91">
        <v>0.0</v>
      </c>
      <c r="K722" s="241" t="s">
        <v>2361</v>
      </c>
      <c r="L722" s="1"/>
      <c r="M722" s="1" t="s">
        <v>2362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3.25" customHeight="1">
      <c r="A723" s="1"/>
      <c r="B723" s="88">
        <v>243.0</v>
      </c>
      <c r="C723" s="88" t="s">
        <v>608</v>
      </c>
      <c r="D723" s="89" t="s">
        <v>805</v>
      </c>
      <c r="E723" s="88">
        <v>1.0</v>
      </c>
      <c r="F723" s="89" t="s">
        <v>732</v>
      </c>
      <c r="G723" s="92">
        <v>0.63</v>
      </c>
      <c r="H723" s="92">
        <v>0.63</v>
      </c>
      <c r="I723" s="92">
        <v>0.0</v>
      </c>
      <c r="J723" s="91">
        <v>0.0</v>
      </c>
      <c r="K723" s="241" t="s">
        <v>2363</v>
      </c>
      <c r="L723" s="1"/>
      <c r="M723" s="1" t="s">
        <v>2364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3.25" customHeight="1">
      <c r="A724" s="1"/>
      <c r="B724" s="88">
        <v>243.0</v>
      </c>
      <c r="C724" s="88" t="s">
        <v>608</v>
      </c>
      <c r="D724" s="89" t="s">
        <v>805</v>
      </c>
      <c r="E724" s="88">
        <v>2.0</v>
      </c>
      <c r="F724" s="89" t="s">
        <v>593</v>
      </c>
      <c r="G724" s="92">
        <v>0.055</v>
      </c>
      <c r="H724" s="92">
        <v>0.055</v>
      </c>
      <c r="I724" s="92">
        <v>0.0</v>
      </c>
      <c r="J724" s="91">
        <v>0.0</v>
      </c>
      <c r="K724" s="241" t="s">
        <v>2365</v>
      </c>
      <c r="L724" s="1"/>
      <c r="M724" s="1" t="s">
        <v>2366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3.25" customHeight="1">
      <c r="A725" s="1"/>
      <c r="B725" s="88">
        <v>243.0</v>
      </c>
      <c r="C725" s="88" t="s">
        <v>608</v>
      </c>
      <c r="D725" s="89" t="s">
        <v>805</v>
      </c>
      <c r="E725" s="88">
        <v>3.0</v>
      </c>
      <c r="F725" s="89" t="s">
        <v>750</v>
      </c>
      <c r="G725" s="92">
        <v>0.3</v>
      </c>
      <c r="H725" s="92">
        <v>0.3</v>
      </c>
      <c r="I725" s="92">
        <v>0.0</v>
      </c>
      <c r="J725" s="91">
        <v>0.0</v>
      </c>
      <c r="K725" s="241" t="s">
        <v>2367</v>
      </c>
      <c r="L725" s="1"/>
      <c r="M725" s="1" t="s">
        <v>2368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3.25" customHeight="1">
      <c r="A726" s="1"/>
      <c r="B726" s="88">
        <v>243.0</v>
      </c>
      <c r="C726" s="88" t="s">
        <v>608</v>
      </c>
      <c r="D726" s="89" t="s">
        <v>805</v>
      </c>
      <c r="E726" s="88">
        <v>4.0</v>
      </c>
      <c r="F726" s="89" t="s">
        <v>757</v>
      </c>
      <c r="G726" s="92">
        <v>0.015</v>
      </c>
      <c r="H726" s="92">
        <v>0.015</v>
      </c>
      <c r="I726" s="92">
        <v>0.0</v>
      </c>
      <c r="J726" s="91">
        <v>0.0</v>
      </c>
      <c r="K726" s="241" t="s">
        <v>2369</v>
      </c>
      <c r="L726" s="1"/>
      <c r="M726" s="1" t="s">
        <v>2370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3.25" customHeight="1">
      <c r="A727" s="1"/>
      <c r="B727" s="88">
        <v>244.0</v>
      </c>
      <c r="C727" s="88" t="s">
        <v>608</v>
      </c>
      <c r="D727" s="89" t="s">
        <v>643</v>
      </c>
      <c r="E727" s="88">
        <v>1.0</v>
      </c>
      <c r="F727" s="89" t="s">
        <v>385</v>
      </c>
      <c r="G727" s="92">
        <v>0.52</v>
      </c>
      <c r="H727" s="92">
        <v>0.52</v>
      </c>
      <c r="I727" s="92">
        <v>0.0</v>
      </c>
      <c r="J727" s="91">
        <v>0.0</v>
      </c>
      <c r="K727" s="241" t="s">
        <v>2371</v>
      </c>
      <c r="L727" s="1"/>
      <c r="M727" s="1" t="s">
        <v>2372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3.25" customHeight="1">
      <c r="A728" s="1"/>
      <c r="B728" s="88">
        <v>244.0</v>
      </c>
      <c r="C728" s="88" t="s">
        <v>608</v>
      </c>
      <c r="D728" s="89" t="s">
        <v>643</v>
      </c>
      <c r="E728" s="88">
        <v>2.0</v>
      </c>
      <c r="F728" s="89" t="s">
        <v>593</v>
      </c>
      <c r="G728" s="92">
        <v>0.07</v>
      </c>
      <c r="H728" s="92">
        <v>0.07</v>
      </c>
      <c r="I728" s="92">
        <v>0.0</v>
      </c>
      <c r="J728" s="91">
        <v>0.0</v>
      </c>
      <c r="K728" s="241" t="s">
        <v>2373</v>
      </c>
      <c r="L728" s="1"/>
      <c r="M728" s="1" t="s">
        <v>2374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3.25" customHeight="1">
      <c r="A729" s="1"/>
      <c r="B729" s="88">
        <v>244.0</v>
      </c>
      <c r="C729" s="88" t="s">
        <v>608</v>
      </c>
      <c r="D729" s="89" t="s">
        <v>643</v>
      </c>
      <c r="E729" s="88">
        <v>3.0</v>
      </c>
      <c r="F729" s="89" t="s">
        <v>750</v>
      </c>
      <c r="G729" s="92">
        <v>0.35</v>
      </c>
      <c r="H729" s="92">
        <v>0.35</v>
      </c>
      <c r="I729" s="92">
        <v>0.0</v>
      </c>
      <c r="J729" s="91">
        <v>0.0</v>
      </c>
      <c r="K729" s="241" t="s">
        <v>2375</v>
      </c>
      <c r="L729" s="1"/>
      <c r="M729" s="1" t="s">
        <v>2376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3.25" customHeight="1">
      <c r="A730" s="1"/>
      <c r="B730" s="88">
        <v>244.0</v>
      </c>
      <c r="C730" s="88" t="s">
        <v>608</v>
      </c>
      <c r="D730" s="89" t="s">
        <v>643</v>
      </c>
      <c r="E730" s="88">
        <v>4.0</v>
      </c>
      <c r="F730" s="89" t="s">
        <v>757</v>
      </c>
      <c r="G730" s="92">
        <v>0.06</v>
      </c>
      <c r="H730" s="92">
        <v>0.06</v>
      </c>
      <c r="I730" s="92">
        <v>0.0</v>
      </c>
      <c r="J730" s="91">
        <v>0.0</v>
      </c>
      <c r="K730" s="241" t="s">
        <v>2377</v>
      </c>
      <c r="L730" s="1"/>
      <c r="M730" s="1" t="s">
        <v>2378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3.25" customHeight="1">
      <c r="A731" s="1"/>
      <c r="B731" s="88">
        <v>245.0</v>
      </c>
      <c r="C731" s="88" t="s">
        <v>608</v>
      </c>
      <c r="D731" s="89" t="s">
        <v>645</v>
      </c>
      <c r="E731" s="88">
        <v>1.0</v>
      </c>
      <c r="F731" s="89" t="s">
        <v>737</v>
      </c>
      <c r="G731" s="92">
        <v>0.4</v>
      </c>
      <c r="H731" s="92">
        <v>0.4</v>
      </c>
      <c r="I731" s="92">
        <v>0.0</v>
      </c>
      <c r="J731" s="91">
        <v>0.0</v>
      </c>
      <c r="K731" s="241" t="s">
        <v>2379</v>
      </c>
      <c r="L731" s="1"/>
      <c r="M731" s="1" t="s">
        <v>2380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3.25" customHeight="1">
      <c r="A732" s="1"/>
      <c r="B732" s="88">
        <v>245.0</v>
      </c>
      <c r="C732" s="88" t="s">
        <v>608</v>
      </c>
      <c r="D732" s="89" t="s">
        <v>645</v>
      </c>
      <c r="E732" s="88">
        <v>2.0</v>
      </c>
      <c r="F732" s="89" t="s">
        <v>594</v>
      </c>
      <c r="G732" s="92">
        <v>0.06</v>
      </c>
      <c r="H732" s="92">
        <v>0.06</v>
      </c>
      <c r="I732" s="92">
        <v>0.0</v>
      </c>
      <c r="J732" s="91">
        <v>0.0</v>
      </c>
      <c r="K732" s="241" t="s">
        <v>2381</v>
      </c>
      <c r="L732" s="1"/>
      <c r="M732" s="1" t="s">
        <v>2382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3.25" customHeight="1">
      <c r="A733" s="1"/>
      <c r="B733" s="88">
        <v>245.0</v>
      </c>
      <c r="C733" s="88" t="s">
        <v>608</v>
      </c>
      <c r="D733" s="89" t="s">
        <v>645</v>
      </c>
      <c r="E733" s="88">
        <v>3.0</v>
      </c>
      <c r="F733" s="89" t="s">
        <v>757</v>
      </c>
      <c r="G733" s="92">
        <v>0.12</v>
      </c>
      <c r="H733" s="92">
        <v>0.12</v>
      </c>
      <c r="I733" s="92">
        <v>0.0</v>
      </c>
      <c r="J733" s="91">
        <v>0.0</v>
      </c>
      <c r="K733" s="241" t="s">
        <v>2383</v>
      </c>
      <c r="L733" s="1"/>
      <c r="M733" s="1" t="s">
        <v>2384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3.25" customHeight="1">
      <c r="A734" s="1"/>
      <c r="B734" s="88">
        <v>245.0</v>
      </c>
      <c r="C734" s="88" t="s">
        <v>608</v>
      </c>
      <c r="D734" s="89" t="s">
        <v>645</v>
      </c>
      <c r="E734" s="88">
        <v>4.0</v>
      </c>
      <c r="F734" s="89" t="s">
        <v>750</v>
      </c>
      <c r="G734" s="92">
        <v>0.4</v>
      </c>
      <c r="H734" s="92">
        <v>0.4</v>
      </c>
      <c r="I734" s="92">
        <v>0.0</v>
      </c>
      <c r="J734" s="91">
        <v>0.0</v>
      </c>
      <c r="K734" s="241" t="s">
        <v>2385</v>
      </c>
      <c r="L734" s="1"/>
      <c r="M734" s="1" t="s">
        <v>2386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3.25" customHeight="1">
      <c r="A735" s="1"/>
      <c r="B735" s="88">
        <v>245.0</v>
      </c>
      <c r="C735" s="88" t="s">
        <v>608</v>
      </c>
      <c r="D735" s="89" t="s">
        <v>645</v>
      </c>
      <c r="E735" s="88">
        <v>5.0</v>
      </c>
      <c r="F735" s="89" t="s">
        <v>593</v>
      </c>
      <c r="G735" s="92">
        <v>0.02</v>
      </c>
      <c r="H735" s="92">
        <v>0.02</v>
      </c>
      <c r="I735" s="92">
        <v>0.0</v>
      </c>
      <c r="J735" s="91">
        <v>0.0</v>
      </c>
      <c r="K735" s="241" t="s">
        <v>2387</v>
      </c>
      <c r="L735" s="1"/>
      <c r="M735" s="1" t="s">
        <v>2388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3.25" customHeight="1">
      <c r="A736" s="1"/>
      <c r="B736" s="88">
        <v>246.0</v>
      </c>
      <c r="C736" s="88" t="s">
        <v>608</v>
      </c>
      <c r="D736" s="89" t="s">
        <v>644</v>
      </c>
      <c r="E736" s="88">
        <v>1.0</v>
      </c>
      <c r="F736" s="89" t="s">
        <v>728</v>
      </c>
      <c r="G736" s="92">
        <v>0.57</v>
      </c>
      <c r="H736" s="92">
        <v>0.57</v>
      </c>
      <c r="I736" s="92">
        <v>0.0</v>
      </c>
      <c r="J736" s="91">
        <v>0.0</v>
      </c>
      <c r="K736" s="241" t="s">
        <v>2389</v>
      </c>
      <c r="L736" s="1"/>
      <c r="M736" s="1" t="s">
        <v>2390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3.25" customHeight="1">
      <c r="A737" s="1"/>
      <c r="B737" s="88">
        <v>246.0</v>
      </c>
      <c r="C737" s="88" t="s">
        <v>608</v>
      </c>
      <c r="D737" s="89" t="s">
        <v>644</v>
      </c>
      <c r="E737" s="88">
        <v>2.0</v>
      </c>
      <c r="F737" s="89" t="s">
        <v>593</v>
      </c>
      <c r="G737" s="92">
        <v>0.03</v>
      </c>
      <c r="H737" s="92">
        <v>0.03</v>
      </c>
      <c r="I737" s="92">
        <v>0.0</v>
      </c>
      <c r="J737" s="91">
        <v>0.0</v>
      </c>
      <c r="K737" s="241" t="s">
        <v>2391</v>
      </c>
      <c r="L737" s="1"/>
      <c r="M737" s="1" t="s">
        <v>2392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3.25" customHeight="1">
      <c r="A738" s="1"/>
      <c r="B738" s="88">
        <v>246.0</v>
      </c>
      <c r="C738" s="88" t="s">
        <v>608</v>
      </c>
      <c r="D738" s="89" t="s">
        <v>644</v>
      </c>
      <c r="E738" s="88">
        <v>3.0</v>
      </c>
      <c r="F738" s="89" t="s">
        <v>750</v>
      </c>
      <c r="G738" s="92">
        <v>0.4</v>
      </c>
      <c r="H738" s="92">
        <v>0.4</v>
      </c>
      <c r="I738" s="92">
        <v>0.0</v>
      </c>
      <c r="J738" s="91">
        <v>0.0</v>
      </c>
      <c r="K738" s="241" t="s">
        <v>2393</v>
      </c>
      <c r="L738" s="1"/>
      <c r="M738" s="1" t="s">
        <v>2394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3.25" customHeight="1">
      <c r="A739" s="1"/>
      <c r="B739" s="88">
        <v>247.0</v>
      </c>
      <c r="C739" s="88" t="s">
        <v>608</v>
      </c>
      <c r="D739" s="89" t="s">
        <v>806</v>
      </c>
      <c r="E739" s="88">
        <v>1.0</v>
      </c>
      <c r="F739" s="89" t="s">
        <v>775</v>
      </c>
      <c r="G739" s="92">
        <v>0.55</v>
      </c>
      <c r="H739" s="92">
        <v>0.55</v>
      </c>
      <c r="I739" s="92">
        <v>0.0</v>
      </c>
      <c r="J739" s="91">
        <v>0.0</v>
      </c>
      <c r="K739" s="241" t="s">
        <v>2395</v>
      </c>
      <c r="L739" s="1"/>
      <c r="M739" s="1" t="s">
        <v>2396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3.25" customHeight="1">
      <c r="A740" s="1"/>
      <c r="B740" s="88">
        <v>247.0</v>
      </c>
      <c r="C740" s="88" t="s">
        <v>608</v>
      </c>
      <c r="D740" s="89" t="s">
        <v>806</v>
      </c>
      <c r="E740" s="88">
        <v>2.0</v>
      </c>
      <c r="F740" s="89" t="s">
        <v>750</v>
      </c>
      <c r="G740" s="92">
        <v>0.3</v>
      </c>
      <c r="H740" s="92">
        <v>0.3</v>
      </c>
      <c r="I740" s="92">
        <v>0.0</v>
      </c>
      <c r="J740" s="91">
        <v>0.0</v>
      </c>
      <c r="K740" s="241" t="s">
        <v>2397</v>
      </c>
      <c r="L740" s="1"/>
      <c r="M740" s="1" t="s">
        <v>2398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3.25" customHeight="1">
      <c r="A741" s="1"/>
      <c r="B741" s="88">
        <v>247.0</v>
      </c>
      <c r="C741" s="88" t="s">
        <v>608</v>
      </c>
      <c r="D741" s="89" t="s">
        <v>806</v>
      </c>
      <c r="E741" s="88">
        <v>3.0</v>
      </c>
      <c r="F741" s="89" t="s">
        <v>722</v>
      </c>
      <c r="G741" s="92">
        <v>0.15</v>
      </c>
      <c r="H741" s="92">
        <v>0.15</v>
      </c>
      <c r="I741" s="92">
        <v>0.0</v>
      </c>
      <c r="J741" s="91">
        <v>0.0</v>
      </c>
      <c r="K741" s="241" t="s">
        <v>2399</v>
      </c>
      <c r="L741" s="1"/>
      <c r="M741" s="1" t="s">
        <v>2400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3.25" customHeight="1">
      <c r="A742" s="1"/>
      <c r="B742" s="88">
        <v>248.0</v>
      </c>
      <c r="C742" s="88" t="s">
        <v>608</v>
      </c>
      <c r="D742" s="89" t="s">
        <v>807</v>
      </c>
      <c r="E742" s="88">
        <v>1.0</v>
      </c>
      <c r="F742" s="89" t="s">
        <v>773</v>
      </c>
      <c r="G742" s="92">
        <v>0.6</v>
      </c>
      <c r="H742" s="92">
        <v>0.6</v>
      </c>
      <c r="I742" s="92">
        <v>0.0</v>
      </c>
      <c r="J742" s="91">
        <v>0.0</v>
      </c>
      <c r="K742" s="241" t="s">
        <v>2401</v>
      </c>
      <c r="L742" s="1"/>
      <c r="M742" s="1" t="s">
        <v>2402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3.25" customHeight="1">
      <c r="A743" s="1"/>
      <c r="B743" s="88">
        <v>248.0</v>
      </c>
      <c r="C743" s="88" t="s">
        <v>608</v>
      </c>
      <c r="D743" s="89" t="s">
        <v>807</v>
      </c>
      <c r="E743" s="88">
        <v>2.0</v>
      </c>
      <c r="F743" s="89" t="s">
        <v>750</v>
      </c>
      <c r="G743" s="92">
        <v>0.3</v>
      </c>
      <c r="H743" s="92">
        <v>0.3</v>
      </c>
      <c r="I743" s="92">
        <v>0.0</v>
      </c>
      <c r="J743" s="91">
        <v>0.0</v>
      </c>
      <c r="K743" s="241" t="s">
        <v>2403</v>
      </c>
      <c r="L743" s="1"/>
      <c r="M743" s="1" t="s">
        <v>2404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3.25" customHeight="1">
      <c r="A744" s="1"/>
      <c r="B744" s="88">
        <v>248.0</v>
      </c>
      <c r="C744" s="88" t="s">
        <v>608</v>
      </c>
      <c r="D744" s="89" t="s">
        <v>807</v>
      </c>
      <c r="E744" s="88">
        <v>3.0</v>
      </c>
      <c r="F744" s="89" t="s">
        <v>722</v>
      </c>
      <c r="G744" s="92">
        <v>0.1</v>
      </c>
      <c r="H744" s="92">
        <v>0.1</v>
      </c>
      <c r="I744" s="92">
        <v>0.0</v>
      </c>
      <c r="J744" s="91">
        <v>0.0</v>
      </c>
      <c r="K744" s="241" t="s">
        <v>2405</v>
      </c>
      <c r="L744" s="1"/>
      <c r="M744" s="1" t="s">
        <v>2406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3.25" customHeight="1">
      <c r="A745" s="1"/>
      <c r="B745" s="88">
        <v>249.0</v>
      </c>
      <c r="C745" s="88" t="s">
        <v>608</v>
      </c>
      <c r="D745" s="89" t="s">
        <v>808</v>
      </c>
      <c r="E745" s="88">
        <v>1.0</v>
      </c>
      <c r="F745" s="89" t="s">
        <v>769</v>
      </c>
      <c r="G745" s="92">
        <v>0.45</v>
      </c>
      <c r="H745" s="92">
        <v>0.45</v>
      </c>
      <c r="I745" s="92">
        <v>0.0</v>
      </c>
      <c r="J745" s="91">
        <v>0.0</v>
      </c>
      <c r="K745" s="241" t="s">
        <v>2407</v>
      </c>
      <c r="L745" s="1"/>
      <c r="M745" s="1" t="s">
        <v>2408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3.25" customHeight="1">
      <c r="A746" s="1"/>
      <c r="B746" s="88">
        <v>249.0</v>
      </c>
      <c r="C746" s="88" t="s">
        <v>608</v>
      </c>
      <c r="D746" s="89" t="s">
        <v>808</v>
      </c>
      <c r="E746" s="88">
        <v>2.0</v>
      </c>
      <c r="F746" s="89" t="s">
        <v>765</v>
      </c>
      <c r="G746" s="92">
        <v>0.02</v>
      </c>
      <c r="H746" s="92">
        <v>0.02</v>
      </c>
      <c r="I746" s="92">
        <v>0.0</v>
      </c>
      <c r="J746" s="91">
        <v>0.0</v>
      </c>
      <c r="K746" s="241" t="s">
        <v>2409</v>
      </c>
      <c r="L746" s="1"/>
      <c r="M746" s="1" t="s">
        <v>2410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3.25" customHeight="1">
      <c r="A747" s="1"/>
      <c r="B747" s="88">
        <v>249.0</v>
      </c>
      <c r="C747" s="88" t="s">
        <v>608</v>
      </c>
      <c r="D747" s="89" t="s">
        <v>808</v>
      </c>
      <c r="E747" s="88">
        <v>3.0</v>
      </c>
      <c r="F747" s="89" t="s">
        <v>750</v>
      </c>
      <c r="G747" s="92">
        <v>0.3</v>
      </c>
      <c r="H747" s="92">
        <v>0.3</v>
      </c>
      <c r="I747" s="92">
        <v>0.0</v>
      </c>
      <c r="J747" s="91">
        <v>0.0</v>
      </c>
      <c r="K747" s="241" t="s">
        <v>2411</v>
      </c>
      <c r="L747" s="1"/>
      <c r="M747" s="1" t="s">
        <v>2412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3.25" customHeight="1">
      <c r="A748" s="1"/>
      <c r="B748" s="88">
        <v>249.0</v>
      </c>
      <c r="C748" s="88" t="s">
        <v>608</v>
      </c>
      <c r="D748" s="89" t="s">
        <v>808</v>
      </c>
      <c r="E748" s="88">
        <v>4.0</v>
      </c>
      <c r="F748" s="89" t="s">
        <v>722</v>
      </c>
      <c r="G748" s="92">
        <v>0.23</v>
      </c>
      <c r="H748" s="92">
        <v>0.23</v>
      </c>
      <c r="I748" s="92">
        <v>0.0</v>
      </c>
      <c r="J748" s="91">
        <v>0.0</v>
      </c>
      <c r="K748" s="241" t="s">
        <v>2413</v>
      </c>
      <c r="L748" s="1"/>
      <c r="M748" s="1" t="s">
        <v>2414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3.25" customHeight="1">
      <c r="A749" s="1"/>
      <c r="B749" s="88">
        <v>250.0</v>
      </c>
      <c r="C749" s="88" t="s">
        <v>608</v>
      </c>
      <c r="D749" s="89" t="s">
        <v>809</v>
      </c>
      <c r="E749" s="88">
        <v>1.0</v>
      </c>
      <c r="F749" s="89" t="s">
        <v>827</v>
      </c>
      <c r="G749" s="92">
        <v>0.7</v>
      </c>
      <c r="H749" s="92">
        <v>0.7</v>
      </c>
      <c r="I749" s="92">
        <v>0.0</v>
      </c>
      <c r="J749" s="91">
        <v>0.0</v>
      </c>
      <c r="K749" s="241" t="s">
        <v>2415</v>
      </c>
      <c r="L749" s="1"/>
      <c r="M749" s="1" t="s">
        <v>2416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3.25" customHeight="1">
      <c r="A750" s="1"/>
      <c r="B750" s="88">
        <v>250.0</v>
      </c>
      <c r="C750" s="88" t="s">
        <v>608</v>
      </c>
      <c r="D750" s="89" t="s">
        <v>809</v>
      </c>
      <c r="E750" s="88">
        <v>2.0</v>
      </c>
      <c r="F750" s="89" t="s">
        <v>750</v>
      </c>
      <c r="G750" s="92">
        <v>0.3</v>
      </c>
      <c r="H750" s="92">
        <v>0.3</v>
      </c>
      <c r="I750" s="92">
        <v>0.0</v>
      </c>
      <c r="J750" s="91">
        <v>0.0</v>
      </c>
      <c r="K750" s="241" t="s">
        <v>2417</v>
      </c>
      <c r="L750" s="1"/>
      <c r="M750" s="1" t="s">
        <v>2418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3.25" customHeight="1">
      <c r="A751" s="1"/>
      <c r="B751" s="88">
        <v>251.0</v>
      </c>
      <c r="C751" s="88" t="s">
        <v>608</v>
      </c>
      <c r="D751" s="89" t="s">
        <v>810</v>
      </c>
      <c r="E751" s="88">
        <v>1.0</v>
      </c>
      <c r="F751" s="89" t="s">
        <v>767</v>
      </c>
      <c r="G751" s="92">
        <v>0.34</v>
      </c>
      <c r="H751" s="92">
        <v>0.34</v>
      </c>
      <c r="I751" s="92">
        <v>0.0</v>
      </c>
      <c r="J751" s="91">
        <v>0.0</v>
      </c>
      <c r="K751" s="241" t="s">
        <v>2419</v>
      </c>
      <c r="L751" s="1"/>
      <c r="M751" s="1" t="s">
        <v>2420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3.25" customHeight="1">
      <c r="A752" s="1"/>
      <c r="B752" s="88">
        <v>251.0</v>
      </c>
      <c r="C752" s="88" t="s">
        <v>608</v>
      </c>
      <c r="D752" s="89" t="s">
        <v>810</v>
      </c>
      <c r="E752" s="88">
        <v>2.0</v>
      </c>
      <c r="F752" s="89" t="s">
        <v>827</v>
      </c>
      <c r="G752" s="92">
        <v>0.17</v>
      </c>
      <c r="H752" s="92">
        <v>0.17</v>
      </c>
      <c r="I752" s="92">
        <v>0.0</v>
      </c>
      <c r="J752" s="91">
        <v>0.0</v>
      </c>
      <c r="K752" s="241" t="s">
        <v>2421</v>
      </c>
      <c r="L752" s="1"/>
      <c r="M752" s="1" t="s">
        <v>2422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3.25" customHeight="1">
      <c r="A753" s="1"/>
      <c r="B753" s="88">
        <v>251.0</v>
      </c>
      <c r="C753" s="88" t="s">
        <v>608</v>
      </c>
      <c r="D753" s="89" t="s">
        <v>810</v>
      </c>
      <c r="E753" s="88">
        <v>3.0</v>
      </c>
      <c r="F753" s="89" t="s">
        <v>750</v>
      </c>
      <c r="G753" s="92">
        <v>0.3</v>
      </c>
      <c r="H753" s="92">
        <v>0.3</v>
      </c>
      <c r="I753" s="92">
        <v>0.0</v>
      </c>
      <c r="J753" s="91">
        <v>0.0</v>
      </c>
      <c r="K753" s="241" t="s">
        <v>2423</v>
      </c>
      <c r="L753" s="1"/>
      <c r="M753" s="1" t="s">
        <v>2424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3.25" customHeight="1">
      <c r="A754" s="1"/>
      <c r="B754" s="88">
        <v>251.0</v>
      </c>
      <c r="C754" s="88" t="s">
        <v>608</v>
      </c>
      <c r="D754" s="89" t="s">
        <v>810</v>
      </c>
      <c r="E754" s="88">
        <v>4.0</v>
      </c>
      <c r="F754" s="89" t="s">
        <v>722</v>
      </c>
      <c r="G754" s="92">
        <v>0.19</v>
      </c>
      <c r="H754" s="92">
        <v>0.19</v>
      </c>
      <c r="I754" s="92">
        <v>0.0</v>
      </c>
      <c r="J754" s="91">
        <v>0.0</v>
      </c>
      <c r="K754" s="241" t="s">
        <v>2425</v>
      </c>
      <c r="L754" s="1"/>
      <c r="M754" s="1" t="s">
        <v>2426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3.25" customHeight="1">
      <c r="A755" s="1"/>
      <c r="B755" s="88">
        <v>252.0</v>
      </c>
      <c r="C755" s="88" t="s">
        <v>608</v>
      </c>
      <c r="D755" s="89" t="s">
        <v>669</v>
      </c>
      <c r="E755" s="88">
        <v>1.0</v>
      </c>
      <c r="F755" s="89" t="s">
        <v>782</v>
      </c>
      <c r="G755" s="92">
        <v>0.55</v>
      </c>
      <c r="H755" s="92">
        <v>0.55</v>
      </c>
      <c r="I755" s="92">
        <v>0.0</v>
      </c>
      <c r="J755" s="91">
        <v>0.0</v>
      </c>
      <c r="K755" s="241" t="s">
        <v>2427</v>
      </c>
      <c r="L755" s="1"/>
      <c r="M755" s="1" t="s">
        <v>2428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3.25" customHeight="1">
      <c r="A756" s="1"/>
      <c r="B756" s="88">
        <v>252.0</v>
      </c>
      <c r="C756" s="88" t="s">
        <v>608</v>
      </c>
      <c r="D756" s="89" t="s">
        <v>669</v>
      </c>
      <c r="E756" s="88">
        <v>2.0</v>
      </c>
      <c r="F756" s="89" t="s">
        <v>570</v>
      </c>
      <c r="G756" s="92">
        <v>0.2</v>
      </c>
      <c r="H756" s="92">
        <v>0.2</v>
      </c>
      <c r="I756" s="92">
        <v>0.0</v>
      </c>
      <c r="J756" s="91">
        <v>0.0</v>
      </c>
      <c r="K756" s="241" t="s">
        <v>2429</v>
      </c>
      <c r="L756" s="1"/>
      <c r="M756" s="1" t="s">
        <v>2430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3.25" customHeight="1">
      <c r="A757" s="1"/>
      <c r="B757" s="88">
        <v>252.0</v>
      </c>
      <c r="C757" s="88" t="s">
        <v>608</v>
      </c>
      <c r="D757" s="89" t="s">
        <v>669</v>
      </c>
      <c r="E757" s="88">
        <v>3.0</v>
      </c>
      <c r="F757" s="89" t="s">
        <v>532</v>
      </c>
      <c r="G757" s="92">
        <v>0.005</v>
      </c>
      <c r="H757" s="92">
        <v>0.005</v>
      </c>
      <c r="I757" s="92">
        <v>0.0</v>
      </c>
      <c r="J757" s="91">
        <v>0.0</v>
      </c>
      <c r="K757" s="241" t="s">
        <v>2431</v>
      </c>
      <c r="L757" s="1"/>
      <c r="M757" s="1" t="s">
        <v>2432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3.25" customHeight="1">
      <c r="A758" s="1"/>
      <c r="B758" s="88">
        <v>252.0</v>
      </c>
      <c r="C758" s="88" t="s">
        <v>608</v>
      </c>
      <c r="D758" s="89" t="s">
        <v>669</v>
      </c>
      <c r="E758" s="88">
        <v>4.0</v>
      </c>
      <c r="F758" s="89" t="s">
        <v>571</v>
      </c>
      <c r="G758" s="92">
        <v>0.02</v>
      </c>
      <c r="H758" s="92">
        <v>0.02</v>
      </c>
      <c r="I758" s="92">
        <v>0.0</v>
      </c>
      <c r="J758" s="91">
        <v>0.0</v>
      </c>
      <c r="K758" s="241" t="s">
        <v>2433</v>
      </c>
      <c r="L758" s="1"/>
      <c r="M758" s="1" t="s">
        <v>2434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3.25" customHeight="1">
      <c r="A759" s="1"/>
      <c r="B759" s="88">
        <v>252.0</v>
      </c>
      <c r="C759" s="88" t="s">
        <v>608</v>
      </c>
      <c r="D759" s="89" t="s">
        <v>669</v>
      </c>
      <c r="E759" s="88">
        <v>5.0</v>
      </c>
      <c r="F759" s="89" t="s">
        <v>726</v>
      </c>
      <c r="G759" s="92">
        <v>0.08</v>
      </c>
      <c r="H759" s="92">
        <v>0.08</v>
      </c>
      <c r="I759" s="92">
        <v>0.0</v>
      </c>
      <c r="J759" s="91">
        <v>0.0</v>
      </c>
      <c r="K759" s="241" t="s">
        <v>2435</v>
      </c>
      <c r="L759" s="1"/>
      <c r="M759" s="1" t="s">
        <v>2436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3.25" customHeight="1">
      <c r="A760" s="1"/>
      <c r="B760" s="88">
        <v>252.0</v>
      </c>
      <c r="C760" s="88" t="s">
        <v>608</v>
      </c>
      <c r="D760" s="89" t="s">
        <v>669</v>
      </c>
      <c r="E760" s="88">
        <v>6.0</v>
      </c>
      <c r="F760" s="89" t="s">
        <v>593</v>
      </c>
      <c r="G760" s="92">
        <v>0.03</v>
      </c>
      <c r="H760" s="92">
        <v>0.03</v>
      </c>
      <c r="I760" s="92">
        <v>0.0</v>
      </c>
      <c r="J760" s="91">
        <v>0.0</v>
      </c>
      <c r="K760" s="241" t="s">
        <v>2437</v>
      </c>
      <c r="L760" s="1"/>
      <c r="M760" s="1" t="s">
        <v>2438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3.25" customHeight="1">
      <c r="A761" s="1"/>
      <c r="B761" s="88">
        <v>252.0</v>
      </c>
      <c r="C761" s="88" t="s">
        <v>608</v>
      </c>
      <c r="D761" s="89" t="s">
        <v>669</v>
      </c>
      <c r="E761" s="88">
        <v>7.0</v>
      </c>
      <c r="F761" s="89" t="s">
        <v>584</v>
      </c>
      <c r="G761" s="92">
        <v>0.04</v>
      </c>
      <c r="H761" s="92">
        <v>0.04</v>
      </c>
      <c r="I761" s="92">
        <v>0.0</v>
      </c>
      <c r="J761" s="91">
        <v>0.0</v>
      </c>
      <c r="K761" s="241" t="s">
        <v>2439</v>
      </c>
      <c r="L761" s="1"/>
      <c r="M761" s="1" t="s">
        <v>2440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0" customHeight="1">
      <c r="A762" s="1"/>
      <c r="B762" s="88">
        <v>252.0</v>
      </c>
      <c r="C762" s="88" t="s">
        <v>608</v>
      </c>
      <c r="D762" s="89" t="s">
        <v>669</v>
      </c>
      <c r="E762" s="88">
        <v>8.0</v>
      </c>
      <c r="F762" s="89" t="s">
        <v>583</v>
      </c>
      <c r="G762" s="92">
        <v>0.075</v>
      </c>
      <c r="H762" s="92">
        <v>0.075</v>
      </c>
      <c r="I762" s="92">
        <v>0.0</v>
      </c>
      <c r="J762" s="91">
        <v>0.0</v>
      </c>
      <c r="K762" s="241" t="s">
        <v>2441</v>
      </c>
      <c r="L762" s="1"/>
      <c r="M762" s="1" t="s">
        <v>2442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0" customHeight="1">
      <c r="A763" s="1"/>
      <c r="B763" s="88">
        <v>253.0</v>
      </c>
      <c r="C763" s="88" t="s">
        <v>614</v>
      </c>
      <c r="D763" s="89" t="s">
        <v>676</v>
      </c>
      <c r="E763" s="88">
        <v>1.0</v>
      </c>
      <c r="F763" s="89" t="s">
        <v>765</v>
      </c>
      <c r="G763" s="92">
        <v>0.65</v>
      </c>
      <c r="H763" s="92">
        <v>0.65</v>
      </c>
      <c r="I763" s="92">
        <v>0.0</v>
      </c>
      <c r="J763" s="91">
        <v>0.0</v>
      </c>
      <c r="K763" s="241" t="s">
        <v>2443</v>
      </c>
      <c r="L763" s="1"/>
      <c r="M763" s="1" t="s">
        <v>2444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0" customHeight="1">
      <c r="A764" s="1"/>
      <c r="B764" s="88">
        <v>253.0</v>
      </c>
      <c r="C764" s="88" t="s">
        <v>614</v>
      </c>
      <c r="D764" s="89" t="s">
        <v>676</v>
      </c>
      <c r="E764" s="88">
        <v>2.0</v>
      </c>
      <c r="F764" s="89" t="s">
        <v>769</v>
      </c>
      <c r="G764" s="92">
        <v>0.03</v>
      </c>
      <c r="H764" s="92">
        <v>0.03</v>
      </c>
      <c r="I764" s="92">
        <v>0.0</v>
      </c>
      <c r="J764" s="91">
        <v>0.0</v>
      </c>
      <c r="K764" s="241" t="s">
        <v>2445</v>
      </c>
      <c r="L764" s="1"/>
      <c r="M764" s="1" t="s">
        <v>2446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0" customHeight="1">
      <c r="A765" s="1"/>
      <c r="B765" s="88">
        <v>253.0</v>
      </c>
      <c r="C765" s="88" t="s">
        <v>614</v>
      </c>
      <c r="D765" s="89" t="s">
        <v>676</v>
      </c>
      <c r="E765" s="88">
        <v>3.0</v>
      </c>
      <c r="F765" s="89" t="s">
        <v>657</v>
      </c>
      <c r="G765" s="92">
        <v>0.15</v>
      </c>
      <c r="H765" s="92">
        <v>0.15</v>
      </c>
      <c r="I765" s="92">
        <v>0.0</v>
      </c>
      <c r="J765" s="91">
        <v>0.0</v>
      </c>
      <c r="K765" s="241" t="s">
        <v>2447</v>
      </c>
      <c r="L765" s="1"/>
      <c r="M765" s="1" t="s">
        <v>2448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0" customHeight="1">
      <c r="A766" s="1"/>
      <c r="B766" s="88">
        <v>253.0</v>
      </c>
      <c r="C766" s="88" t="s">
        <v>614</v>
      </c>
      <c r="D766" s="89" t="s">
        <v>676</v>
      </c>
      <c r="E766" s="88">
        <v>4.0</v>
      </c>
      <c r="F766" s="89" t="s">
        <v>724</v>
      </c>
      <c r="G766" s="92">
        <v>0.08</v>
      </c>
      <c r="H766" s="92">
        <v>0.08</v>
      </c>
      <c r="I766" s="92">
        <v>0.0</v>
      </c>
      <c r="J766" s="91">
        <v>0.0</v>
      </c>
      <c r="K766" s="241" t="s">
        <v>2449</v>
      </c>
      <c r="L766" s="1"/>
      <c r="M766" s="1" t="s">
        <v>2450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0" customHeight="1">
      <c r="A767" s="1"/>
      <c r="B767" s="88">
        <v>253.0</v>
      </c>
      <c r="C767" s="88" t="s">
        <v>614</v>
      </c>
      <c r="D767" s="89" t="s">
        <v>676</v>
      </c>
      <c r="E767" s="88">
        <v>5.0</v>
      </c>
      <c r="F767" s="89" t="s">
        <v>722</v>
      </c>
      <c r="G767" s="92">
        <v>0.085</v>
      </c>
      <c r="H767" s="92">
        <v>0.085</v>
      </c>
      <c r="I767" s="92">
        <v>0.0</v>
      </c>
      <c r="J767" s="91">
        <v>0.0</v>
      </c>
      <c r="K767" s="241" t="s">
        <v>2451</v>
      </c>
      <c r="L767" s="1"/>
      <c r="M767" s="1" t="s">
        <v>2452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0" customHeight="1">
      <c r="A768" s="1"/>
      <c r="B768" s="88">
        <v>253.0</v>
      </c>
      <c r="C768" s="88" t="s">
        <v>614</v>
      </c>
      <c r="D768" s="89" t="s">
        <v>676</v>
      </c>
      <c r="E768" s="88">
        <v>6.0</v>
      </c>
      <c r="F768" s="89" t="s">
        <v>571</v>
      </c>
      <c r="G768" s="92">
        <v>0.005</v>
      </c>
      <c r="H768" s="92">
        <v>0.005</v>
      </c>
      <c r="I768" s="92">
        <v>0.0</v>
      </c>
      <c r="J768" s="91">
        <v>0.0</v>
      </c>
      <c r="K768" s="241" t="s">
        <v>2453</v>
      </c>
      <c r="L768" s="1"/>
      <c r="M768" s="1" t="s">
        <v>2454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0" customHeight="1">
      <c r="A769" s="1"/>
      <c r="B769" s="88">
        <v>254.0</v>
      </c>
      <c r="C769" s="88" t="s">
        <v>614</v>
      </c>
      <c r="D769" s="89" t="s">
        <v>811</v>
      </c>
      <c r="E769" s="88">
        <v>1.0</v>
      </c>
      <c r="F769" s="89" t="s">
        <v>771</v>
      </c>
      <c r="G769" s="92">
        <v>0.63</v>
      </c>
      <c r="H769" s="92">
        <v>0.63</v>
      </c>
      <c r="I769" s="92">
        <v>0.0</v>
      </c>
      <c r="J769" s="91">
        <v>0.0</v>
      </c>
      <c r="K769" s="241" t="s">
        <v>2455</v>
      </c>
      <c r="L769" s="1"/>
      <c r="M769" s="1" t="s">
        <v>2456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0" customHeight="1">
      <c r="A770" s="1"/>
      <c r="B770" s="88">
        <v>254.0</v>
      </c>
      <c r="C770" s="88" t="s">
        <v>614</v>
      </c>
      <c r="D770" s="89" t="s">
        <v>811</v>
      </c>
      <c r="E770" s="88">
        <v>2.0</v>
      </c>
      <c r="F770" s="89" t="s">
        <v>657</v>
      </c>
      <c r="G770" s="92">
        <v>0.15</v>
      </c>
      <c r="H770" s="92">
        <v>0.15</v>
      </c>
      <c r="I770" s="92">
        <v>0.0</v>
      </c>
      <c r="J770" s="91">
        <v>0.0</v>
      </c>
      <c r="K770" s="241" t="s">
        <v>2457</v>
      </c>
      <c r="L770" s="1"/>
      <c r="M770" s="1" t="s">
        <v>2458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0" customHeight="1">
      <c r="A771" s="1"/>
      <c r="B771" s="88">
        <v>254.0</v>
      </c>
      <c r="C771" s="88" t="s">
        <v>614</v>
      </c>
      <c r="D771" s="89" t="s">
        <v>811</v>
      </c>
      <c r="E771" s="88">
        <v>3.0</v>
      </c>
      <c r="F771" s="89" t="s">
        <v>724</v>
      </c>
      <c r="G771" s="92">
        <v>0.015</v>
      </c>
      <c r="H771" s="92">
        <v>0.015</v>
      </c>
      <c r="I771" s="92">
        <v>0.0</v>
      </c>
      <c r="J771" s="91">
        <v>0.0</v>
      </c>
      <c r="K771" s="241" t="s">
        <v>2459</v>
      </c>
      <c r="L771" s="1"/>
      <c r="M771" s="1" t="s">
        <v>2460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0" customHeight="1">
      <c r="A772" s="1"/>
      <c r="B772" s="88">
        <v>254.0</v>
      </c>
      <c r="C772" s="88" t="s">
        <v>614</v>
      </c>
      <c r="D772" s="89" t="s">
        <v>811</v>
      </c>
      <c r="E772" s="88">
        <v>4.0</v>
      </c>
      <c r="F772" s="89" t="s">
        <v>722</v>
      </c>
      <c r="G772" s="92">
        <v>0.18</v>
      </c>
      <c r="H772" s="92">
        <v>0.18</v>
      </c>
      <c r="I772" s="92">
        <v>0.0</v>
      </c>
      <c r="J772" s="91">
        <v>0.0</v>
      </c>
      <c r="K772" s="241" t="s">
        <v>2461</v>
      </c>
      <c r="L772" s="1"/>
      <c r="M772" s="1" t="s">
        <v>2462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0" customHeight="1">
      <c r="A773" s="1"/>
      <c r="B773" s="88">
        <v>254.0</v>
      </c>
      <c r="C773" s="88" t="s">
        <v>614</v>
      </c>
      <c r="D773" s="89" t="s">
        <v>811</v>
      </c>
      <c r="E773" s="88">
        <v>5.0</v>
      </c>
      <c r="F773" s="89" t="s">
        <v>594</v>
      </c>
      <c r="G773" s="92">
        <v>0.025</v>
      </c>
      <c r="H773" s="92">
        <v>0.025</v>
      </c>
      <c r="I773" s="92">
        <v>0.0</v>
      </c>
      <c r="J773" s="91">
        <v>0.0</v>
      </c>
      <c r="K773" s="241" t="s">
        <v>2463</v>
      </c>
      <c r="L773" s="1"/>
      <c r="M773" s="1" t="s">
        <v>2464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0" customHeight="1">
      <c r="A774" s="1"/>
      <c r="B774" s="88">
        <v>255.0</v>
      </c>
      <c r="C774" s="88" t="s">
        <v>614</v>
      </c>
      <c r="D774" s="89" t="s">
        <v>812</v>
      </c>
      <c r="E774" s="88">
        <v>1.0</v>
      </c>
      <c r="F774" s="89" t="s">
        <v>784</v>
      </c>
      <c r="G774" s="92">
        <v>0.57</v>
      </c>
      <c r="H774" s="92">
        <v>0.57</v>
      </c>
      <c r="I774" s="92">
        <v>0.0</v>
      </c>
      <c r="J774" s="91">
        <v>0.0</v>
      </c>
      <c r="K774" s="241" t="s">
        <v>2465</v>
      </c>
      <c r="L774" s="1"/>
      <c r="M774" s="1" t="s">
        <v>2466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>
        <v>255.0</v>
      </c>
      <c r="C775" s="1" t="s">
        <v>614</v>
      </c>
      <c r="D775" s="1" t="s">
        <v>812</v>
      </c>
      <c r="E775" s="1">
        <v>2.0</v>
      </c>
      <c r="F775" s="1" t="s">
        <v>657</v>
      </c>
      <c r="G775" s="1">
        <v>0.15</v>
      </c>
      <c r="H775" s="1">
        <v>0.15</v>
      </c>
      <c r="I775" s="1">
        <v>0.0</v>
      </c>
      <c r="J775" s="1">
        <v>0.0</v>
      </c>
      <c r="K775" s="1" t="s">
        <v>2467</v>
      </c>
      <c r="L775" s="1"/>
      <c r="M775" s="1" t="s">
        <v>2468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>
        <v>255.0</v>
      </c>
      <c r="C776" s="1" t="s">
        <v>614</v>
      </c>
      <c r="D776" s="1" t="s">
        <v>812</v>
      </c>
      <c r="E776" s="1">
        <v>3.0</v>
      </c>
      <c r="F776" s="1" t="s">
        <v>722</v>
      </c>
      <c r="G776" s="1">
        <v>0.23</v>
      </c>
      <c r="H776" s="1">
        <v>0.23</v>
      </c>
      <c r="I776" s="1">
        <v>0.0</v>
      </c>
      <c r="J776" s="1">
        <v>0.0</v>
      </c>
      <c r="K776" s="1" t="s">
        <v>2469</v>
      </c>
      <c r="L776" s="1"/>
      <c r="M776" s="1" t="s">
        <v>2470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>
        <v>255.0</v>
      </c>
      <c r="C777" s="1" t="s">
        <v>614</v>
      </c>
      <c r="D777" s="1" t="s">
        <v>812</v>
      </c>
      <c r="E777" s="1">
        <v>4.0</v>
      </c>
      <c r="F777" s="1" t="s">
        <v>571</v>
      </c>
      <c r="G777" s="1">
        <v>0.005</v>
      </c>
      <c r="H777" s="1">
        <v>0.005</v>
      </c>
      <c r="I777" s="1">
        <v>0.0</v>
      </c>
      <c r="J777" s="1">
        <v>0.0</v>
      </c>
      <c r="K777" s="1" t="s">
        <v>2471</v>
      </c>
      <c r="L777" s="1"/>
      <c r="M777" s="1" t="s">
        <v>2472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>
        <v>255.0</v>
      </c>
      <c r="C778" s="1" t="s">
        <v>614</v>
      </c>
      <c r="D778" s="1" t="s">
        <v>812</v>
      </c>
      <c r="E778" s="1">
        <v>5.0</v>
      </c>
      <c r="F778" s="1" t="s">
        <v>594</v>
      </c>
      <c r="G778" s="1">
        <v>0.045</v>
      </c>
      <c r="H778" s="1">
        <v>0.045</v>
      </c>
      <c r="I778" s="1">
        <v>0.0</v>
      </c>
      <c r="J778" s="1">
        <v>0.0</v>
      </c>
      <c r="K778" s="1" t="s">
        <v>2473</v>
      </c>
      <c r="L778" s="1"/>
      <c r="M778" s="1" t="s">
        <v>2474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>
        <v>256.0</v>
      </c>
      <c r="C779" s="1" t="s">
        <v>614</v>
      </c>
      <c r="D779" s="1" t="s">
        <v>813</v>
      </c>
      <c r="E779" s="1">
        <v>1.0</v>
      </c>
      <c r="F779" s="1" t="s">
        <v>763</v>
      </c>
      <c r="G779" s="1">
        <v>0.78</v>
      </c>
      <c r="H779" s="1">
        <v>0.78</v>
      </c>
      <c r="I779" s="1">
        <v>0.0</v>
      </c>
      <c r="J779" s="1">
        <v>0.0</v>
      </c>
      <c r="K779" s="1" t="s">
        <v>2475</v>
      </c>
      <c r="L779" s="1"/>
      <c r="M779" s="1" t="s">
        <v>2476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>
        <v>256.0</v>
      </c>
      <c r="C780" s="1" t="s">
        <v>614</v>
      </c>
      <c r="D780" s="1" t="s">
        <v>813</v>
      </c>
      <c r="E780" s="1">
        <v>2.0</v>
      </c>
      <c r="F780" s="1" t="s">
        <v>657</v>
      </c>
      <c r="G780" s="1">
        <v>0.12</v>
      </c>
      <c r="H780" s="1">
        <v>0.12</v>
      </c>
      <c r="I780" s="1">
        <v>0.0</v>
      </c>
      <c r="J780" s="1">
        <v>0.0</v>
      </c>
      <c r="K780" s="1" t="s">
        <v>2477</v>
      </c>
      <c r="L780" s="1"/>
      <c r="M780" s="1" t="s">
        <v>2478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>
        <v>256.0</v>
      </c>
      <c r="C781" s="1" t="s">
        <v>614</v>
      </c>
      <c r="D781" s="1" t="s">
        <v>813</v>
      </c>
      <c r="E781" s="1">
        <v>3.0</v>
      </c>
      <c r="F781" s="1" t="s">
        <v>722</v>
      </c>
      <c r="G781" s="1">
        <v>0.05</v>
      </c>
      <c r="H781" s="1">
        <v>0.05</v>
      </c>
      <c r="I781" s="1">
        <v>0.0</v>
      </c>
      <c r="J781" s="1">
        <v>0.0</v>
      </c>
      <c r="K781" s="1" t="s">
        <v>2479</v>
      </c>
      <c r="L781" s="1"/>
      <c r="M781" s="1" t="s">
        <v>2480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>
        <v>256.0</v>
      </c>
      <c r="C782" s="1" t="s">
        <v>614</v>
      </c>
      <c r="D782" s="1" t="s">
        <v>813</v>
      </c>
      <c r="E782" s="1">
        <v>4.0</v>
      </c>
      <c r="F782" s="1" t="s">
        <v>571</v>
      </c>
      <c r="G782" s="1">
        <v>0.005</v>
      </c>
      <c r="H782" s="1">
        <v>0.005</v>
      </c>
      <c r="I782" s="1">
        <v>0.0</v>
      </c>
      <c r="J782" s="1">
        <v>0.0</v>
      </c>
      <c r="K782" s="1" t="s">
        <v>2481</v>
      </c>
      <c r="L782" s="1"/>
      <c r="M782" s="1" t="s">
        <v>2482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>
        <v>256.0</v>
      </c>
      <c r="C783" s="1" t="s">
        <v>614</v>
      </c>
      <c r="D783" s="1" t="s">
        <v>813</v>
      </c>
      <c r="E783" s="1">
        <v>5.0</v>
      </c>
      <c r="F783" s="1" t="s">
        <v>579</v>
      </c>
      <c r="G783" s="1">
        <v>0.045</v>
      </c>
      <c r="H783" s="1">
        <v>0.045</v>
      </c>
      <c r="I783" s="1">
        <v>0.0</v>
      </c>
      <c r="J783" s="1">
        <v>0.0</v>
      </c>
      <c r="K783" s="1" t="s">
        <v>2483</v>
      </c>
      <c r="L783" s="1"/>
      <c r="M783" s="1" t="s">
        <v>2484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>
        <v>257.0</v>
      </c>
      <c r="C784" s="1" t="s">
        <v>614</v>
      </c>
      <c r="D784" s="1" t="s">
        <v>681</v>
      </c>
      <c r="E784" s="1">
        <v>1.0</v>
      </c>
      <c r="F784" s="1" t="s">
        <v>780</v>
      </c>
      <c r="G784" s="1">
        <v>0.73</v>
      </c>
      <c r="H784" s="1">
        <v>0.73</v>
      </c>
      <c r="I784" s="1">
        <v>0.0</v>
      </c>
      <c r="J784" s="1">
        <v>0.0</v>
      </c>
      <c r="K784" s="1" t="s">
        <v>2485</v>
      </c>
      <c r="L784" s="1"/>
      <c r="M784" s="1" t="s">
        <v>2486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>
        <v>257.0</v>
      </c>
      <c r="C785" s="1" t="s">
        <v>614</v>
      </c>
      <c r="D785" s="1" t="s">
        <v>681</v>
      </c>
      <c r="E785" s="1">
        <v>2.0</v>
      </c>
      <c r="F785" s="1" t="s">
        <v>720</v>
      </c>
      <c r="G785" s="1">
        <v>0.03</v>
      </c>
      <c r="H785" s="1">
        <v>0.03</v>
      </c>
      <c r="I785" s="1">
        <v>0.0</v>
      </c>
      <c r="J785" s="1">
        <v>0.0</v>
      </c>
      <c r="K785" s="1" t="s">
        <v>2487</v>
      </c>
      <c r="L785" s="1"/>
      <c r="M785" s="1" t="s">
        <v>2488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>
        <v>257.0</v>
      </c>
      <c r="C786" s="1" t="s">
        <v>614</v>
      </c>
      <c r="D786" s="1" t="s">
        <v>681</v>
      </c>
      <c r="E786" s="1">
        <v>3.0</v>
      </c>
      <c r="F786" s="1" t="s">
        <v>569</v>
      </c>
      <c r="G786" s="1">
        <v>0.04</v>
      </c>
      <c r="H786" s="1">
        <v>0.04</v>
      </c>
      <c r="I786" s="1">
        <v>0.0</v>
      </c>
      <c r="J786" s="1">
        <v>0.0</v>
      </c>
      <c r="K786" s="1" t="s">
        <v>2489</v>
      </c>
      <c r="L786" s="1"/>
      <c r="M786" s="1" t="s">
        <v>2490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>
        <v>257.0</v>
      </c>
      <c r="C787" s="1" t="s">
        <v>614</v>
      </c>
      <c r="D787" s="1" t="s">
        <v>681</v>
      </c>
      <c r="E787" s="1">
        <v>4.0</v>
      </c>
      <c r="F787" s="1" t="s">
        <v>570</v>
      </c>
      <c r="G787" s="1">
        <v>0.06</v>
      </c>
      <c r="H787" s="1">
        <v>0.06</v>
      </c>
      <c r="I787" s="1">
        <v>0.0</v>
      </c>
      <c r="J787" s="1">
        <v>0.0</v>
      </c>
      <c r="K787" s="1" t="s">
        <v>2491</v>
      </c>
      <c r="L787" s="1"/>
      <c r="M787" s="1" t="s">
        <v>2492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>
        <v>257.0</v>
      </c>
      <c r="C788" s="1" t="s">
        <v>614</v>
      </c>
      <c r="D788" s="1" t="s">
        <v>681</v>
      </c>
      <c r="E788" s="1">
        <v>5.0</v>
      </c>
      <c r="F788" s="1" t="s">
        <v>571</v>
      </c>
      <c r="G788" s="1">
        <v>0.01</v>
      </c>
      <c r="H788" s="1">
        <v>0.01</v>
      </c>
      <c r="I788" s="1">
        <v>0.0</v>
      </c>
      <c r="J788" s="1">
        <v>0.0</v>
      </c>
      <c r="K788" s="1" t="s">
        <v>2493</v>
      </c>
      <c r="L788" s="1"/>
      <c r="M788" s="1" t="s">
        <v>2494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>
        <v>257.0</v>
      </c>
      <c r="C789" s="1" t="s">
        <v>614</v>
      </c>
      <c r="D789" s="1" t="s">
        <v>681</v>
      </c>
      <c r="E789" s="1">
        <v>6.0</v>
      </c>
      <c r="F789" s="1" t="s">
        <v>532</v>
      </c>
      <c r="G789" s="1">
        <v>0.01</v>
      </c>
      <c r="H789" s="1">
        <v>0.01</v>
      </c>
      <c r="I789" s="1">
        <v>0.0</v>
      </c>
      <c r="J789" s="1">
        <v>0.0</v>
      </c>
      <c r="K789" s="1" t="s">
        <v>2495</v>
      </c>
      <c r="L789" s="1"/>
      <c r="M789" s="1" t="s">
        <v>2496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>
        <v>257.0</v>
      </c>
      <c r="C790" s="1" t="s">
        <v>614</v>
      </c>
      <c r="D790" s="1" t="s">
        <v>681</v>
      </c>
      <c r="E790" s="1">
        <v>7.0</v>
      </c>
      <c r="F790" s="1" t="s">
        <v>582</v>
      </c>
      <c r="G790" s="1">
        <v>0.12</v>
      </c>
      <c r="H790" s="1">
        <v>0.12</v>
      </c>
      <c r="I790" s="1">
        <v>0.0</v>
      </c>
      <c r="J790" s="1">
        <v>0.0</v>
      </c>
      <c r="K790" s="1" t="s">
        <v>2497</v>
      </c>
      <c r="L790" s="1"/>
      <c r="M790" s="1" t="s">
        <v>2498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>
        <v>258.0</v>
      </c>
      <c r="C791" s="1" t="s">
        <v>614</v>
      </c>
      <c r="D791" s="1" t="s">
        <v>699</v>
      </c>
      <c r="E791" s="1">
        <v>1.0</v>
      </c>
      <c r="F791" s="1" t="s">
        <v>722</v>
      </c>
      <c r="G791" s="1">
        <v>0.8</v>
      </c>
      <c r="H791" s="1">
        <v>0.8</v>
      </c>
      <c r="I791" s="1">
        <v>0.0</v>
      </c>
      <c r="J791" s="1">
        <v>0.0</v>
      </c>
      <c r="K791" s="1" t="s">
        <v>2499</v>
      </c>
      <c r="L791" s="1"/>
      <c r="M791" s="1" t="s">
        <v>2500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>
        <v>258.0</v>
      </c>
      <c r="C792" s="1" t="s">
        <v>614</v>
      </c>
      <c r="D792" s="1" t="s">
        <v>699</v>
      </c>
      <c r="E792" s="1">
        <v>2.0</v>
      </c>
      <c r="F792" s="1" t="s">
        <v>657</v>
      </c>
      <c r="G792" s="1">
        <v>0.2</v>
      </c>
      <c r="H792" s="1">
        <v>0.2</v>
      </c>
      <c r="I792" s="1">
        <v>0.0</v>
      </c>
      <c r="J792" s="1">
        <v>0.0</v>
      </c>
      <c r="K792" s="1" t="s">
        <v>2501</v>
      </c>
      <c r="L792" s="1"/>
      <c r="M792" s="1" t="s">
        <v>2502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>
        <v>259.0</v>
      </c>
      <c r="C793" s="1" t="s">
        <v>814</v>
      </c>
      <c r="D793" s="1" t="s">
        <v>815</v>
      </c>
      <c r="E793" s="1">
        <v>1.0</v>
      </c>
      <c r="F793" s="1" t="s">
        <v>767</v>
      </c>
      <c r="G793" s="1">
        <v>0.932</v>
      </c>
      <c r="H793" s="1">
        <v>0.932</v>
      </c>
      <c r="I793" s="1">
        <v>0.0</v>
      </c>
      <c r="J793" s="1">
        <v>0.0</v>
      </c>
      <c r="K793" s="1" t="s">
        <v>2503</v>
      </c>
      <c r="L793" s="1"/>
      <c r="M793" s="1" t="s">
        <v>2504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>
        <v>259.0</v>
      </c>
      <c r="C794" s="1" t="s">
        <v>814</v>
      </c>
      <c r="D794" s="1" t="s">
        <v>815</v>
      </c>
      <c r="E794" s="1">
        <v>2.0</v>
      </c>
      <c r="F794" s="1" t="s">
        <v>593</v>
      </c>
      <c r="G794" s="1">
        <v>0.047</v>
      </c>
      <c r="H794" s="1">
        <v>0.047</v>
      </c>
      <c r="I794" s="1">
        <v>0.0</v>
      </c>
      <c r="J794" s="1">
        <v>0.0</v>
      </c>
      <c r="K794" s="1" t="s">
        <v>2505</v>
      </c>
      <c r="L794" s="1"/>
      <c r="M794" s="1" t="s">
        <v>2506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>
        <v>259.0</v>
      </c>
      <c r="C795" s="1" t="s">
        <v>814</v>
      </c>
      <c r="D795" s="1" t="s">
        <v>815</v>
      </c>
      <c r="E795" s="1">
        <v>3.0</v>
      </c>
      <c r="F795" s="1" t="s">
        <v>771</v>
      </c>
      <c r="G795" s="1">
        <v>0.012</v>
      </c>
      <c r="H795" s="1">
        <v>0.012</v>
      </c>
      <c r="I795" s="1">
        <v>0.0</v>
      </c>
      <c r="J795" s="1">
        <v>0.0</v>
      </c>
      <c r="K795" s="1" t="s">
        <v>2507</v>
      </c>
      <c r="L795" s="1"/>
      <c r="M795" s="1" t="s">
        <v>2508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>
        <v>259.0</v>
      </c>
      <c r="C796" s="1" t="s">
        <v>814</v>
      </c>
      <c r="D796" s="1" t="s">
        <v>815</v>
      </c>
      <c r="E796" s="1">
        <v>4.0</v>
      </c>
      <c r="F796" s="1" t="s">
        <v>757</v>
      </c>
      <c r="G796" s="1">
        <v>0.009</v>
      </c>
      <c r="H796" s="1">
        <v>0.009</v>
      </c>
      <c r="I796" s="1">
        <v>0.0</v>
      </c>
      <c r="J796" s="1">
        <v>0.0</v>
      </c>
      <c r="K796" s="1" t="s">
        <v>2509</v>
      </c>
      <c r="L796" s="1"/>
      <c r="M796" s="1" t="s">
        <v>2510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>
        <v>260.0</v>
      </c>
      <c r="C797" s="1" t="s">
        <v>814</v>
      </c>
      <c r="D797" s="1" t="s">
        <v>816</v>
      </c>
      <c r="E797" s="1">
        <v>1.0</v>
      </c>
      <c r="F797" s="1" t="s">
        <v>771</v>
      </c>
      <c r="G797" s="1">
        <v>0.9</v>
      </c>
      <c r="H797" s="1">
        <v>0.9</v>
      </c>
      <c r="I797" s="1">
        <v>0.0</v>
      </c>
      <c r="J797" s="1">
        <v>0.0</v>
      </c>
      <c r="K797" s="1" t="s">
        <v>2511</v>
      </c>
      <c r="L797" s="1"/>
      <c r="M797" s="1" t="s">
        <v>2512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>
        <v>260.0</v>
      </c>
      <c r="C798" s="1" t="s">
        <v>814</v>
      </c>
      <c r="D798" s="1" t="s">
        <v>816</v>
      </c>
      <c r="E798" s="1">
        <v>2.0</v>
      </c>
      <c r="F798" s="1" t="s">
        <v>593</v>
      </c>
      <c r="G798" s="1">
        <v>0.07</v>
      </c>
      <c r="H798" s="1">
        <v>0.07</v>
      </c>
      <c r="I798" s="1">
        <v>0.0</v>
      </c>
      <c r="J798" s="1">
        <v>0.0</v>
      </c>
      <c r="K798" s="1" t="s">
        <v>2513</v>
      </c>
      <c r="L798" s="1"/>
      <c r="M798" s="1" t="s">
        <v>2514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>
        <v>260.0</v>
      </c>
      <c r="C799" s="1" t="s">
        <v>814</v>
      </c>
      <c r="D799" s="1" t="s">
        <v>816</v>
      </c>
      <c r="E799" s="1">
        <v>3.0</v>
      </c>
      <c r="F799" s="1" t="s">
        <v>786</v>
      </c>
      <c r="G799" s="1">
        <v>0.005</v>
      </c>
      <c r="H799" s="1">
        <v>0.005</v>
      </c>
      <c r="I799" s="1">
        <v>0.0</v>
      </c>
      <c r="J799" s="1">
        <v>0.0</v>
      </c>
      <c r="K799" s="1" t="s">
        <v>2515</v>
      </c>
      <c r="L799" s="1"/>
      <c r="M799" s="1" t="s">
        <v>2516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>
        <v>260.0</v>
      </c>
      <c r="C800" s="1" t="s">
        <v>814</v>
      </c>
      <c r="D800" s="1" t="s">
        <v>816</v>
      </c>
      <c r="E800" s="1">
        <v>4.0</v>
      </c>
      <c r="F800" s="1" t="s">
        <v>757</v>
      </c>
      <c r="G800" s="1">
        <v>0.025</v>
      </c>
      <c r="H800" s="1">
        <v>0.025</v>
      </c>
      <c r="I800" s="1">
        <v>0.0</v>
      </c>
      <c r="J800" s="1">
        <v>0.0</v>
      </c>
      <c r="K800" s="1" t="s">
        <v>2517</v>
      </c>
      <c r="L800" s="1"/>
      <c r="M800" s="1" t="s">
        <v>2518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>
        <v>261.0</v>
      </c>
      <c r="C801" s="1" t="s">
        <v>814</v>
      </c>
      <c r="D801" s="1" t="s">
        <v>817</v>
      </c>
      <c r="E801" s="1">
        <v>1.0</v>
      </c>
      <c r="F801" s="1" t="s">
        <v>786</v>
      </c>
      <c r="G801" s="1">
        <v>0.875</v>
      </c>
      <c r="H801" s="1">
        <v>0.875</v>
      </c>
      <c r="I801" s="1">
        <v>0.0</v>
      </c>
      <c r="J801" s="1">
        <v>0.0</v>
      </c>
      <c r="K801" s="1" t="s">
        <v>2519</v>
      </c>
      <c r="L801" s="1"/>
      <c r="M801" s="1" t="s">
        <v>2520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>
        <v>261.0</v>
      </c>
      <c r="C802" s="1" t="s">
        <v>814</v>
      </c>
      <c r="D802" s="1" t="s">
        <v>817</v>
      </c>
      <c r="E802" s="1">
        <v>2.0</v>
      </c>
      <c r="F802" s="1" t="s">
        <v>594</v>
      </c>
      <c r="G802" s="1">
        <v>0.025</v>
      </c>
      <c r="H802" s="1">
        <v>0.025</v>
      </c>
      <c r="I802" s="1">
        <v>0.0</v>
      </c>
      <c r="J802" s="1">
        <v>0.0</v>
      </c>
      <c r="K802" s="1" t="s">
        <v>2521</v>
      </c>
      <c r="L802" s="1"/>
      <c r="M802" s="1" t="s">
        <v>2522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>
        <v>261.0</v>
      </c>
      <c r="C803" s="1" t="s">
        <v>814</v>
      </c>
      <c r="D803" s="1" t="s">
        <v>817</v>
      </c>
      <c r="E803" s="1">
        <v>3.0</v>
      </c>
      <c r="F803" s="1" t="s">
        <v>579</v>
      </c>
      <c r="G803" s="1">
        <v>0.025</v>
      </c>
      <c r="H803" s="1">
        <v>0.025</v>
      </c>
      <c r="I803" s="1">
        <v>0.0</v>
      </c>
      <c r="J803" s="1">
        <v>0.0</v>
      </c>
      <c r="K803" s="1" t="s">
        <v>2523</v>
      </c>
      <c r="L803" s="1"/>
      <c r="M803" s="1" t="s">
        <v>2524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>
        <v>261.0</v>
      </c>
      <c r="C804" s="1" t="s">
        <v>814</v>
      </c>
      <c r="D804" s="1" t="s">
        <v>817</v>
      </c>
      <c r="E804" s="1">
        <v>4.0</v>
      </c>
      <c r="F804" s="1" t="s">
        <v>593</v>
      </c>
      <c r="G804" s="1">
        <v>0.075</v>
      </c>
      <c r="H804" s="1">
        <v>0.075</v>
      </c>
      <c r="I804" s="1">
        <v>0.0</v>
      </c>
      <c r="J804" s="1">
        <v>0.0</v>
      </c>
      <c r="K804" s="1" t="s">
        <v>2525</v>
      </c>
      <c r="L804" s="1"/>
      <c r="M804" s="1" t="s">
        <v>2526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>
        <v>262.0</v>
      </c>
      <c r="C805" s="1" t="s">
        <v>814</v>
      </c>
      <c r="D805" s="1" t="s">
        <v>818</v>
      </c>
      <c r="E805" s="1">
        <v>1.0</v>
      </c>
      <c r="F805" s="1" t="s">
        <v>760</v>
      </c>
      <c r="G805" s="1">
        <v>0.975</v>
      </c>
      <c r="H805" s="1">
        <v>0.975</v>
      </c>
      <c r="I805" s="1">
        <v>0.0</v>
      </c>
      <c r="J805" s="1">
        <v>0.0</v>
      </c>
      <c r="K805" s="1" t="s">
        <v>2527</v>
      </c>
      <c r="L805" s="1"/>
      <c r="M805" s="1" t="s">
        <v>2528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>
        <v>262.0</v>
      </c>
      <c r="C806" s="1" t="s">
        <v>814</v>
      </c>
      <c r="D806" s="1" t="s">
        <v>818</v>
      </c>
      <c r="E806" s="1">
        <v>2.0</v>
      </c>
      <c r="F806" s="1" t="s">
        <v>593</v>
      </c>
      <c r="G806" s="1">
        <v>0.025</v>
      </c>
      <c r="H806" s="1">
        <v>0.025</v>
      </c>
      <c r="I806" s="1">
        <v>0.0</v>
      </c>
      <c r="J806" s="1">
        <v>0.0</v>
      </c>
      <c r="K806" s="1" t="s">
        <v>2529</v>
      </c>
      <c r="L806" s="1"/>
      <c r="M806" s="1" t="s">
        <v>2530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>
        <v>263.0</v>
      </c>
      <c r="C807" s="1" t="s">
        <v>814</v>
      </c>
      <c r="D807" s="1" t="s">
        <v>819</v>
      </c>
      <c r="E807" s="1">
        <v>1.0</v>
      </c>
      <c r="F807" s="1" t="s">
        <v>827</v>
      </c>
      <c r="G807" s="1">
        <v>0.823</v>
      </c>
      <c r="H807" s="1">
        <v>0.823</v>
      </c>
      <c r="I807" s="1">
        <v>0.0</v>
      </c>
      <c r="J807" s="1">
        <v>0.0</v>
      </c>
      <c r="K807" s="1" t="s">
        <v>2531</v>
      </c>
      <c r="L807" s="1"/>
      <c r="M807" s="1" t="s">
        <v>2532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>
        <v>263.0</v>
      </c>
      <c r="C808" s="1" t="s">
        <v>814</v>
      </c>
      <c r="D808" s="1" t="s">
        <v>819</v>
      </c>
      <c r="E808" s="1">
        <v>2.0</v>
      </c>
      <c r="F808" s="1" t="s">
        <v>786</v>
      </c>
      <c r="G808" s="1">
        <v>0.012</v>
      </c>
      <c r="H808" s="1">
        <v>0.012</v>
      </c>
      <c r="I808" s="1">
        <v>0.0</v>
      </c>
      <c r="J808" s="1">
        <v>0.0</v>
      </c>
      <c r="K808" s="1" t="s">
        <v>2533</v>
      </c>
      <c r="L808" s="1"/>
      <c r="M808" s="1" t="s">
        <v>2534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>
        <v>263.0</v>
      </c>
      <c r="C809" s="1" t="s">
        <v>814</v>
      </c>
      <c r="D809" s="1" t="s">
        <v>819</v>
      </c>
      <c r="E809" s="1">
        <v>3.0</v>
      </c>
      <c r="F809" s="1" t="s">
        <v>594</v>
      </c>
      <c r="G809" s="1">
        <v>0.14</v>
      </c>
      <c r="H809" s="1">
        <v>0.14</v>
      </c>
      <c r="I809" s="1">
        <v>0.0</v>
      </c>
      <c r="J809" s="1">
        <v>0.0</v>
      </c>
      <c r="K809" s="1" t="s">
        <v>2535</v>
      </c>
      <c r="L809" s="1"/>
      <c r="M809" s="1" t="s">
        <v>2536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>
        <v>263.0</v>
      </c>
      <c r="C810" s="1" t="s">
        <v>814</v>
      </c>
      <c r="D810" s="1" t="s">
        <v>819</v>
      </c>
      <c r="E810" s="1">
        <v>4.0</v>
      </c>
      <c r="F810" s="1" t="s">
        <v>724</v>
      </c>
      <c r="G810" s="1">
        <v>0.025</v>
      </c>
      <c r="H810" s="1">
        <v>0.025</v>
      </c>
      <c r="I810" s="1">
        <v>0.0</v>
      </c>
      <c r="J810" s="1">
        <v>0.0</v>
      </c>
      <c r="K810" s="1" t="s">
        <v>2537</v>
      </c>
      <c r="L810" s="1"/>
      <c r="M810" s="1" t="s">
        <v>2538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>
        <v>264.0</v>
      </c>
      <c r="C811" s="1" t="s">
        <v>814</v>
      </c>
      <c r="D811" s="1" t="s">
        <v>714</v>
      </c>
      <c r="E811" s="1">
        <v>1.0</v>
      </c>
      <c r="F811" s="1" t="s">
        <v>777</v>
      </c>
      <c r="G811" s="1">
        <v>0.91</v>
      </c>
      <c r="H811" s="1">
        <v>0.91</v>
      </c>
      <c r="I811" s="1">
        <v>0.0</v>
      </c>
      <c r="J811" s="1">
        <v>0.0</v>
      </c>
      <c r="K811" s="1" t="s">
        <v>2539</v>
      </c>
      <c r="L811" s="1"/>
      <c r="M811" s="1" t="s">
        <v>2540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>
        <v>264.0</v>
      </c>
      <c r="C812" s="1" t="s">
        <v>814</v>
      </c>
      <c r="D812" s="1" t="s">
        <v>714</v>
      </c>
      <c r="E812" s="1">
        <v>2.0</v>
      </c>
      <c r="F812" s="1" t="s">
        <v>593</v>
      </c>
      <c r="G812" s="1">
        <v>0.09</v>
      </c>
      <c r="H812" s="1">
        <v>0.09</v>
      </c>
      <c r="I812" s="1">
        <v>0.0</v>
      </c>
      <c r="J812" s="1">
        <v>0.0</v>
      </c>
      <c r="K812" s="1" t="s">
        <v>2541</v>
      </c>
      <c r="L812" s="1"/>
      <c r="M812" s="1" t="s">
        <v>2542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>
        <v>265.0</v>
      </c>
      <c r="C813" s="1" t="s">
        <v>814</v>
      </c>
      <c r="D813" s="1" t="s">
        <v>820</v>
      </c>
      <c r="E813" s="1">
        <v>1.0</v>
      </c>
      <c r="F813" s="1" t="s">
        <v>594</v>
      </c>
      <c r="G813" s="1">
        <v>0.2</v>
      </c>
      <c r="H813" s="1">
        <v>0.2</v>
      </c>
      <c r="I813" s="1">
        <v>0.0</v>
      </c>
      <c r="J813" s="1">
        <v>0.0</v>
      </c>
      <c r="K813" s="1" t="s">
        <v>2543</v>
      </c>
      <c r="L813" s="1"/>
      <c r="M813" s="1" t="s">
        <v>2544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>
        <v>265.0</v>
      </c>
      <c r="C814" s="1" t="s">
        <v>814</v>
      </c>
      <c r="D814" s="1" t="s">
        <v>820</v>
      </c>
      <c r="E814" s="1">
        <v>2.0</v>
      </c>
      <c r="F814" s="1" t="s">
        <v>579</v>
      </c>
      <c r="G814" s="1">
        <v>0.25</v>
      </c>
      <c r="H814" s="1">
        <v>0.25</v>
      </c>
      <c r="I814" s="1">
        <v>0.0</v>
      </c>
      <c r="J814" s="1">
        <v>0.0</v>
      </c>
      <c r="K814" s="1" t="s">
        <v>2545</v>
      </c>
      <c r="L814" s="1"/>
      <c r="M814" s="1" t="s">
        <v>2546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>
        <v>265.0</v>
      </c>
      <c r="C815" s="1" t="s">
        <v>814</v>
      </c>
      <c r="D815" s="1" t="s">
        <v>820</v>
      </c>
      <c r="E815" s="1">
        <v>3.0</v>
      </c>
      <c r="F815" s="1" t="s">
        <v>593</v>
      </c>
      <c r="G815" s="1">
        <v>0.155</v>
      </c>
      <c r="H815" s="1">
        <v>0.155</v>
      </c>
      <c r="I815" s="1">
        <v>0.0</v>
      </c>
      <c r="J815" s="1">
        <v>0.0</v>
      </c>
      <c r="K815" s="1" t="s">
        <v>2547</v>
      </c>
      <c r="L815" s="1"/>
      <c r="M815" s="1" t="s">
        <v>2548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>
        <v>265.0</v>
      </c>
      <c r="C816" s="1" t="s">
        <v>814</v>
      </c>
      <c r="D816" s="1" t="s">
        <v>820</v>
      </c>
      <c r="E816" s="1">
        <v>4.0</v>
      </c>
      <c r="F816" s="1" t="s">
        <v>585</v>
      </c>
      <c r="G816" s="1">
        <v>0.105</v>
      </c>
      <c r="H816" s="1">
        <v>0.105</v>
      </c>
      <c r="I816" s="1">
        <v>0.0</v>
      </c>
      <c r="J816" s="1">
        <v>0.0</v>
      </c>
      <c r="K816" s="1" t="s">
        <v>2549</v>
      </c>
      <c r="L816" s="1"/>
      <c r="M816" s="1" t="s">
        <v>2550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>
        <v>265.0</v>
      </c>
      <c r="C817" s="1" t="s">
        <v>814</v>
      </c>
      <c r="D817" s="1" t="s">
        <v>820</v>
      </c>
      <c r="E817" s="1">
        <v>5.0</v>
      </c>
      <c r="F817" s="1" t="s">
        <v>541</v>
      </c>
      <c r="G817" s="1">
        <v>0.008</v>
      </c>
      <c r="H817" s="1">
        <v>0.008</v>
      </c>
      <c r="I817" s="1">
        <v>0.0</v>
      </c>
      <c r="J817" s="1">
        <v>0.0</v>
      </c>
      <c r="K817" s="1" t="s">
        <v>2551</v>
      </c>
      <c r="L817" s="1"/>
      <c r="M817" s="1" t="s">
        <v>2552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>
        <v>265.0</v>
      </c>
      <c r="C818" s="1" t="s">
        <v>814</v>
      </c>
      <c r="D818" s="1" t="s">
        <v>820</v>
      </c>
      <c r="E818" s="1">
        <v>6.0</v>
      </c>
      <c r="F818" s="1" t="s">
        <v>555</v>
      </c>
      <c r="G818" s="1">
        <v>0.25</v>
      </c>
      <c r="H818" s="1">
        <v>0.25</v>
      </c>
      <c r="I818" s="1">
        <v>0.0</v>
      </c>
      <c r="J818" s="1">
        <v>0.0</v>
      </c>
      <c r="K818" s="1" t="s">
        <v>2553</v>
      </c>
      <c r="L818" s="1"/>
      <c r="M818" s="1" t="s">
        <v>2554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>
        <v>265.0</v>
      </c>
      <c r="C819" s="1" t="s">
        <v>814</v>
      </c>
      <c r="D819" s="1" t="s">
        <v>820</v>
      </c>
      <c r="E819" s="1">
        <v>7.0</v>
      </c>
      <c r="F819" s="1" t="s">
        <v>537</v>
      </c>
      <c r="G819" s="1">
        <v>0.032</v>
      </c>
      <c r="H819" s="1">
        <v>0.032</v>
      </c>
      <c r="I819" s="1">
        <v>0.0</v>
      </c>
      <c r="J819" s="1">
        <v>0.0</v>
      </c>
      <c r="K819" s="1" t="s">
        <v>2555</v>
      </c>
      <c r="L819" s="1"/>
      <c r="M819" s="1" t="s">
        <v>2556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>
        <v>266.0</v>
      </c>
      <c r="C820" s="1" t="s">
        <v>814</v>
      </c>
      <c r="D820" s="1" t="s">
        <v>711</v>
      </c>
      <c r="E820" s="1">
        <v>1.0</v>
      </c>
      <c r="F820" s="1" t="s">
        <v>774</v>
      </c>
      <c r="G820" s="1">
        <v>0.693</v>
      </c>
      <c r="H820" s="1">
        <v>0.693</v>
      </c>
      <c r="I820" s="1">
        <v>0.0</v>
      </c>
      <c r="J820" s="1">
        <v>0.0</v>
      </c>
      <c r="K820" s="1" t="s">
        <v>2557</v>
      </c>
      <c r="L820" s="1"/>
      <c r="M820" s="1" t="s">
        <v>2558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>
        <v>266.0</v>
      </c>
      <c r="C821" s="1" t="s">
        <v>814</v>
      </c>
      <c r="D821" s="1" t="s">
        <v>711</v>
      </c>
      <c r="E821" s="1">
        <v>2.0</v>
      </c>
      <c r="F821" s="1" t="s">
        <v>786</v>
      </c>
      <c r="G821" s="1">
        <v>0.077</v>
      </c>
      <c r="H821" s="1">
        <v>0.077</v>
      </c>
      <c r="I821" s="1">
        <v>0.0</v>
      </c>
      <c r="J821" s="1">
        <v>0.0</v>
      </c>
      <c r="K821" s="1" t="s">
        <v>2559</v>
      </c>
      <c r="L821" s="1"/>
      <c r="M821" s="1" t="s">
        <v>2560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>
        <v>266.0</v>
      </c>
      <c r="C822" s="1" t="s">
        <v>814</v>
      </c>
      <c r="D822" s="1" t="s">
        <v>711</v>
      </c>
      <c r="E822" s="1">
        <v>3.0</v>
      </c>
      <c r="F822" s="1" t="s">
        <v>757</v>
      </c>
      <c r="G822" s="1">
        <v>0.115</v>
      </c>
      <c r="H822" s="1">
        <v>0.115</v>
      </c>
      <c r="I822" s="1">
        <v>0.0</v>
      </c>
      <c r="J822" s="1">
        <v>0.0</v>
      </c>
      <c r="K822" s="1" t="s">
        <v>2561</v>
      </c>
      <c r="L822" s="1"/>
      <c r="M822" s="1" t="s">
        <v>2562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>
        <v>266.0</v>
      </c>
      <c r="C823" s="1" t="s">
        <v>814</v>
      </c>
      <c r="D823" s="1" t="s">
        <v>711</v>
      </c>
      <c r="E823" s="1">
        <v>4.0</v>
      </c>
      <c r="F823" s="1" t="s">
        <v>594</v>
      </c>
      <c r="G823" s="1">
        <v>0.115</v>
      </c>
      <c r="H823" s="1">
        <v>0.115</v>
      </c>
      <c r="I823" s="1">
        <v>0.0</v>
      </c>
      <c r="J823" s="1">
        <v>0.0</v>
      </c>
      <c r="K823" s="1" t="s">
        <v>2563</v>
      </c>
      <c r="L823" s="1"/>
      <c r="M823" s="1" t="s">
        <v>2564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>
        <v>267.0</v>
      </c>
      <c r="C824" s="1" t="s">
        <v>814</v>
      </c>
      <c r="D824" s="1" t="s">
        <v>821</v>
      </c>
      <c r="E824" s="1">
        <v>1.0</v>
      </c>
      <c r="F824" s="1" t="s">
        <v>569</v>
      </c>
      <c r="G824" s="1">
        <v>0.177</v>
      </c>
      <c r="H824" s="1">
        <v>0.177</v>
      </c>
      <c r="I824" s="1">
        <v>0.0</v>
      </c>
      <c r="J824" s="1">
        <v>0.0</v>
      </c>
      <c r="K824" s="1" t="s">
        <v>2565</v>
      </c>
      <c r="L824" s="1"/>
      <c r="M824" s="1" t="s">
        <v>2566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>
        <v>267.0</v>
      </c>
      <c r="C825" s="1" t="s">
        <v>814</v>
      </c>
      <c r="D825" s="1" t="s">
        <v>821</v>
      </c>
      <c r="E825" s="1">
        <v>2.0</v>
      </c>
      <c r="F825" s="1" t="s">
        <v>570</v>
      </c>
      <c r="G825" s="1">
        <v>0.233</v>
      </c>
      <c r="H825" s="1">
        <v>0.233</v>
      </c>
      <c r="I825" s="1">
        <v>0.0</v>
      </c>
      <c r="J825" s="1">
        <v>0.0</v>
      </c>
      <c r="K825" s="1" t="s">
        <v>2567</v>
      </c>
      <c r="L825" s="1"/>
      <c r="M825" s="1" t="s">
        <v>2568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>
        <v>267.0</v>
      </c>
      <c r="C826" s="1" t="s">
        <v>814</v>
      </c>
      <c r="D826" s="1" t="s">
        <v>821</v>
      </c>
      <c r="E826" s="1">
        <v>3.0</v>
      </c>
      <c r="F826" s="1" t="s">
        <v>720</v>
      </c>
      <c r="G826" s="1">
        <v>0.2</v>
      </c>
      <c r="H826" s="1">
        <v>0.2</v>
      </c>
      <c r="I826" s="1">
        <v>0.0</v>
      </c>
      <c r="J826" s="1">
        <v>0.0</v>
      </c>
      <c r="K826" s="1" t="s">
        <v>2569</v>
      </c>
      <c r="L826" s="1"/>
      <c r="M826" s="1" t="s">
        <v>2570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>
        <v>267.0</v>
      </c>
      <c r="C827" s="1" t="s">
        <v>814</v>
      </c>
      <c r="D827" s="1" t="s">
        <v>821</v>
      </c>
      <c r="E827" s="1">
        <v>4.0</v>
      </c>
      <c r="F827" s="1" t="s">
        <v>532</v>
      </c>
      <c r="G827" s="1">
        <v>0.035</v>
      </c>
      <c r="H827" s="1">
        <v>0.035</v>
      </c>
      <c r="I827" s="1">
        <v>0.0</v>
      </c>
      <c r="J827" s="1">
        <v>0.0</v>
      </c>
      <c r="K827" s="1" t="s">
        <v>2571</v>
      </c>
      <c r="L827" s="1"/>
      <c r="M827" s="1" t="s">
        <v>2572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>
        <v>267.0</v>
      </c>
      <c r="C828" s="1" t="s">
        <v>814</v>
      </c>
      <c r="D828" s="1" t="s">
        <v>821</v>
      </c>
      <c r="E828" s="1">
        <v>5.0</v>
      </c>
      <c r="F828" s="1" t="s">
        <v>594</v>
      </c>
      <c r="G828" s="1">
        <v>0.355</v>
      </c>
      <c r="H828" s="1">
        <v>0.355</v>
      </c>
      <c r="I828" s="1">
        <v>0.0</v>
      </c>
      <c r="J828" s="1">
        <v>0.0</v>
      </c>
      <c r="K828" s="1" t="s">
        <v>2573</v>
      </c>
      <c r="L828" s="1"/>
      <c r="M828" s="1" t="s">
        <v>2574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>
        <v>268.0</v>
      </c>
      <c r="C829" s="1" t="s">
        <v>814</v>
      </c>
      <c r="D829" s="1" t="s">
        <v>757</v>
      </c>
      <c r="E829" s="1">
        <v>1.0</v>
      </c>
      <c r="F829" s="1" t="s">
        <v>594</v>
      </c>
      <c r="G829" s="1">
        <v>0.45</v>
      </c>
      <c r="H829" s="1">
        <v>0.45</v>
      </c>
      <c r="I829" s="1">
        <v>0.0</v>
      </c>
      <c r="J829" s="1">
        <v>0.0</v>
      </c>
      <c r="K829" s="1" t="s">
        <v>2163</v>
      </c>
      <c r="L829" s="1"/>
      <c r="M829" s="1" t="s">
        <v>2164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>
        <v>268.0</v>
      </c>
      <c r="C830" s="1" t="s">
        <v>814</v>
      </c>
      <c r="D830" s="1" t="s">
        <v>757</v>
      </c>
      <c r="E830" s="1">
        <v>2.0</v>
      </c>
      <c r="F830" s="1" t="s">
        <v>579</v>
      </c>
      <c r="G830" s="1">
        <v>0.09</v>
      </c>
      <c r="H830" s="1">
        <v>0.09</v>
      </c>
      <c r="I830" s="1">
        <v>0.0</v>
      </c>
      <c r="J830" s="1">
        <v>0.0</v>
      </c>
      <c r="K830" s="1" t="s">
        <v>2165</v>
      </c>
      <c r="L830" s="1"/>
      <c r="M830" s="1" t="s">
        <v>2166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>
        <v>268.0</v>
      </c>
      <c r="C831" s="1" t="s">
        <v>814</v>
      </c>
      <c r="D831" s="1" t="s">
        <v>757</v>
      </c>
      <c r="E831" s="1">
        <v>3.0</v>
      </c>
      <c r="F831" s="1" t="s">
        <v>593</v>
      </c>
      <c r="G831" s="1">
        <v>0.25</v>
      </c>
      <c r="H831" s="1">
        <v>0.25</v>
      </c>
      <c r="I831" s="1">
        <v>0.0</v>
      </c>
      <c r="J831" s="1">
        <v>0.0</v>
      </c>
      <c r="K831" s="1" t="s">
        <v>2167</v>
      </c>
      <c r="L831" s="1"/>
      <c r="M831" s="1" t="s">
        <v>2168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>
        <v>268.0</v>
      </c>
      <c r="C832" s="1" t="s">
        <v>814</v>
      </c>
      <c r="D832" s="1" t="s">
        <v>757</v>
      </c>
      <c r="E832" s="1">
        <v>4.0</v>
      </c>
      <c r="F832" s="1" t="s">
        <v>549</v>
      </c>
      <c r="G832" s="1">
        <v>0.21</v>
      </c>
      <c r="H832" s="1">
        <v>0.21</v>
      </c>
      <c r="I832" s="1">
        <v>0.0</v>
      </c>
      <c r="J832" s="1">
        <v>0.0</v>
      </c>
      <c r="K832" s="1" t="s">
        <v>2169</v>
      </c>
      <c r="L832" s="1"/>
      <c r="M832" s="1" t="s">
        <v>2170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>
        <v>269.0</v>
      </c>
      <c r="C833" s="1" t="s">
        <v>814</v>
      </c>
      <c r="D833" s="1" t="s">
        <v>759</v>
      </c>
      <c r="E833" s="1">
        <v>1.0</v>
      </c>
      <c r="F833" s="1" t="s">
        <v>594</v>
      </c>
      <c r="G833" s="1">
        <v>0.78</v>
      </c>
      <c r="H833" s="1">
        <v>0.78</v>
      </c>
      <c r="I833" s="1">
        <v>0.0</v>
      </c>
      <c r="J833" s="1">
        <v>0.0</v>
      </c>
      <c r="K833" s="1" t="s">
        <v>2159</v>
      </c>
      <c r="L833" s="1"/>
      <c r="M833" s="1" t="s">
        <v>2160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>
        <v>269.0</v>
      </c>
      <c r="C834" s="1" t="s">
        <v>814</v>
      </c>
      <c r="D834" s="1" t="s">
        <v>759</v>
      </c>
      <c r="E834" s="1">
        <v>2.0</v>
      </c>
      <c r="F834" s="1" t="s">
        <v>585</v>
      </c>
      <c r="G834" s="1">
        <v>0.22</v>
      </c>
      <c r="H834" s="1">
        <v>0.22</v>
      </c>
      <c r="I834" s="1">
        <v>0.0</v>
      </c>
      <c r="J834" s="1">
        <v>0.0</v>
      </c>
      <c r="K834" s="1" t="s">
        <v>2161</v>
      </c>
      <c r="L834" s="1"/>
      <c r="M834" s="1" t="s">
        <v>2162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>
        <v>270.0</v>
      </c>
      <c r="C835" s="1" t="s">
        <v>814</v>
      </c>
      <c r="D835" s="1" t="s">
        <v>690</v>
      </c>
      <c r="E835" s="1">
        <v>1.0</v>
      </c>
      <c r="F835" s="1" t="s">
        <v>594</v>
      </c>
      <c r="G835" s="1">
        <v>0.05</v>
      </c>
      <c r="H835" s="1">
        <v>0.05</v>
      </c>
      <c r="I835" s="1">
        <v>0.0</v>
      </c>
      <c r="J835" s="1">
        <v>0.0</v>
      </c>
      <c r="K835" s="1" t="s">
        <v>2575</v>
      </c>
      <c r="L835" s="1"/>
      <c r="M835" s="1" t="s">
        <v>2576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>
        <v>270.0</v>
      </c>
      <c r="C836" s="1" t="s">
        <v>814</v>
      </c>
      <c r="D836" s="1" t="s">
        <v>690</v>
      </c>
      <c r="E836" s="1">
        <v>2.0</v>
      </c>
      <c r="F836" s="1" t="s">
        <v>579</v>
      </c>
      <c r="G836" s="1">
        <v>0.45</v>
      </c>
      <c r="H836" s="1">
        <v>0.45</v>
      </c>
      <c r="I836" s="1">
        <v>0.0</v>
      </c>
      <c r="J836" s="1">
        <v>0.0</v>
      </c>
      <c r="K836" s="1" t="s">
        <v>2577</v>
      </c>
      <c r="L836" s="1"/>
      <c r="M836" s="1" t="s">
        <v>2578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>
        <v>270.0</v>
      </c>
      <c r="C837" s="1" t="s">
        <v>814</v>
      </c>
      <c r="D837" s="1" t="s">
        <v>690</v>
      </c>
      <c r="E837" s="1">
        <v>3.0</v>
      </c>
      <c r="F837" s="1" t="s">
        <v>593</v>
      </c>
      <c r="G837" s="1">
        <v>0.3</v>
      </c>
      <c r="H837" s="1">
        <v>0.3</v>
      </c>
      <c r="I837" s="1">
        <v>0.0</v>
      </c>
      <c r="J837" s="1">
        <v>0.0</v>
      </c>
      <c r="K837" s="1" t="s">
        <v>2579</v>
      </c>
      <c r="L837" s="1"/>
      <c r="M837" s="1" t="s">
        <v>2580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>
        <v>270.0</v>
      </c>
      <c r="C838" s="1" t="s">
        <v>814</v>
      </c>
      <c r="D838" s="1" t="s">
        <v>690</v>
      </c>
      <c r="E838" s="1">
        <v>4.0</v>
      </c>
      <c r="F838" s="1" t="s">
        <v>585</v>
      </c>
      <c r="G838" s="1">
        <v>0.2</v>
      </c>
      <c r="H838" s="1">
        <v>0.2</v>
      </c>
      <c r="I838" s="1">
        <v>0.0</v>
      </c>
      <c r="J838" s="1">
        <v>0.0</v>
      </c>
      <c r="K838" s="1" t="s">
        <v>2581</v>
      </c>
      <c r="L838" s="1"/>
      <c r="M838" s="1" t="s">
        <v>2582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>
        <v>271.0</v>
      </c>
      <c r="C839" s="1" t="s">
        <v>814</v>
      </c>
      <c r="D839" s="1" t="s">
        <v>743</v>
      </c>
      <c r="E839" s="1">
        <v>1.0</v>
      </c>
      <c r="F839" s="1" t="s">
        <v>742</v>
      </c>
      <c r="G839" s="1">
        <v>0.9</v>
      </c>
      <c r="H839" s="1">
        <v>0.9</v>
      </c>
      <c r="I839" s="1">
        <v>0.0</v>
      </c>
      <c r="J839" s="1">
        <v>0.0</v>
      </c>
      <c r="K839" s="1" t="s">
        <v>2583</v>
      </c>
      <c r="L839" s="1"/>
      <c r="M839" s="1" t="s">
        <v>2584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>
        <v>271.0</v>
      </c>
      <c r="C840" s="1" t="s">
        <v>814</v>
      </c>
      <c r="D840" s="1" t="s">
        <v>743</v>
      </c>
      <c r="E840" s="1">
        <v>2.0</v>
      </c>
      <c r="F840" s="1" t="s">
        <v>757</v>
      </c>
      <c r="G840" s="1">
        <v>0.1</v>
      </c>
      <c r="H840" s="1">
        <v>0.1</v>
      </c>
      <c r="I840" s="1">
        <v>0.0</v>
      </c>
      <c r="J840" s="1">
        <v>0.0</v>
      </c>
      <c r="K840" s="1" t="s">
        <v>2585</v>
      </c>
      <c r="L840" s="1"/>
      <c r="M840" s="1" t="s">
        <v>2586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>
        <v>272.0</v>
      </c>
      <c r="C841" s="1" t="s">
        <v>814</v>
      </c>
      <c r="D841" s="1" t="s">
        <v>745</v>
      </c>
      <c r="E841" s="1">
        <v>1.0</v>
      </c>
      <c r="F841" s="1" t="s">
        <v>744</v>
      </c>
      <c r="G841" s="1">
        <v>0.8</v>
      </c>
      <c r="H841" s="1">
        <v>0.8</v>
      </c>
      <c r="I841" s="1">
        <v>0.0</v>
      </c>
      <c r="J841" s="1">
        <v>0.0</v>
      </c>
      <c r="K841" s="1" t="s">
        <v>2587</v>
      </c>
      <c r="L841" s="1"/>
      <c r="M841" s="1" t="s">
        <v>2588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>
        <v>272.0</v>
      </c>
      <c r="C842" s="1" t="s">
        <v>814</v>
      </c>
      <c r="D842" s="1" t="s">
        <v>745</v>
      </c>
      <c r="E842" s="1">
        <v>2.0</v>
      </c>
      <c r="F842" s="1" t="s">
        <v>593</v>
      </c>
      <c r="G842" s="1">
        <v>0.05</v>
      </c>
      <c r="H842" s="1">
        <v>0.05</v>
      </c>
      <c r="I842" s="1">
        <v>0.0</v>
      </c>
      <c r="J842" s="1">
        <v>0.0</v>
      </c>
      <c r="K842" s="1" t="s">
        <v>2589</v>
      </c>
      <c r="L842" s="1"/>
      <c r="M842" s="1" t="s">
        <v>2590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>
        <v>272.0</v>
      </c>
      <c r="C843" s="1" t="s">
        <v>814</v>
      </c>
      <c r="D843" s="1" t="s">
        <v>745</v>
      </c>
      <c r="E843" s="1">
        <v>3.0</v>
      </c>
      <c r="F843" s="1" t="s">
        <v>594</v>
      </c>
      <c r="G843" s="1">
        <v>0.05</v>
      </c>
      <c r="H843" s="1">
        <v>0.05</v>
      </c>
      <c r="I843" s="1">
        <v>0.0</v>
      </c>
      <c r="J843" s="1">
        <v>0.0</v>
      </c>
      <c r="K843" s="1" t="s">
        <v>2591</v>
      </c>
      <c r="L843" s="1"/>
      <c r="M843" s="1" t="s">
        <v>2592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>
        <v>272.0</v>
      </c>
      <c r="C844" s="1" t="s">
        <v>814</v>
      </c>
      <c r="D844" s="1" t="s">
        <v>745</v>
      </c>
      <c r="E844" s="1">
        <v>4.0</v>
      </c>
      <c r="F844" s="1" t="s">
        <v>757</v>
      </c>
      <c r="G844" s="1">
        <v>0.1</v>
      </c>
      <c r="H844" s="1">
        <v>0.1</v>
      </c>
      <c r="I844" s="1">
        <v>0.0</v>
      </c>
      <c r="J844" s="1">
        <v>0.0</v>
      </c>
      <c r="K844" s="1" t="s">
        <v>2593</v>
      </c>
      <c r="L844" s="1"/>
      <c r="M844" s="1" t="s">
        <v>2594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>
        <v>273.0</v>
      </c>
      <c r="C845" s="1" t="s">
        <v>814</v>
      </c>
      <c r="D845" s="1" t="s">
        <v>741</v>
      </c>
      <c r="E845" s="1">
        <v>1.0</v>
      </c>
      <c r="F845" s="1" t="s">
        <v>740</v>
      </c>
      <c r="G845" s="1">
        <v>0.9</v>
      </c>
      <c r="H845" s="1">
        <v>0.9</v>
      </c>
      <c r="I845" s="1">
        <v>0.0</v>
      </c>
      <c r="J845" s="1">
        <v>0.0</v>
      </c>
      <c r="K845" s="1" t="s">
        <v>2595</v>
      </c>
      <c r="L845" s="1"/>
      <c r="M845" s="1" t="s">
        <v>2596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>
        <v>273.0</v>
      </c>
      <c r="C846" s="1" t="s">
        <v>814</v>
      </c>
      <c r="D846" s="1" t="s">
        <v>741</v>
      </c>
      <c r="E846" s="1">
        <v>2.0</v>
      </c>
      <c r="F846" s="1" t="s">
        <v>757</v>
      </c>
      <c r="G846" s="1">
        <v>0.1</v>
      </c>
      <c r="H846" s="1">
        <v>0.1</v>
      </c>
      <c r="I846" s="1">
        <v>0.0</v>
      </c>
      <c r="J846" s="1">
        <v>0.0</v>
      </c>
      <c r="K846" s="1" t="s">
        <v>2597</v>
      </c>
      <c r="L846" s="1"/>
      <c r="M846" s="1" t="s">
        <v>2598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>
        <v>274.0</v>
      </c>
      <c r="C847" s="1" t="s">
        <v>814</v>
      </c>
      <c r="D847" s="1" t="s">
        <v>747</v>
      </c>
      <c r="E847" s="1">
        <v>1.0</v>
      </c>
      <c r="F847" s="1" t="s">
        <v>746</v>
      </c>
      <c r="G847" s="1">
        <v>0.8</v>
      </c>
      <c r="H847" s="1">
        <v>0.8</v>
      </c>
      <c r="I847" s="1">
        <v>0.0</v>
      </c>
      <c r="J847" s="1">
        <v>0.0</v>
      </c>
      <c r="K847" s="1" t="s">
        <v>2599</v>
      </c>
      <c r="L847" s="1"/>
      <c r="M847" s="1" t="s">
        <v>2600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>
        <v>274.0</v>
      </c>
      <c r="C848" s="1" t="s">
        <v>814</v>
      </c>
      <c r="D848" s="1" t="s">
        <v>747</v>
      </c>
      <c r="E848" s="1">
        <v>2.0</v>
      </c>
      <c r="F848" s="1" t="s">
        <v>593</v>
      </c>
      <c r="G848" s="1">
        <v>0.05</v>
      </c>
      <c r="H848" s="1">
        <v>0.05</v>
      </c>
      <c r="I848" s="1">
        <v>0.0</v>
      </c>
      <c r="J848" s="1">
        <v>0.0</v>
      </c>
      <c r="K848" s="1" t="s">
        <v>2601</v>
      </c>
      <c r="L848" s="1"/>
      <c r="M848" s="1" t="s">
        <v>2602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>
        <v>274.0</v>
      </c>
      <c r="C849" s="1" t="s">
        <v>814</v>
      </c>
      <c r="D849" s="1" t="s">
        <v>747</v>
      </c>
      <c r="E849" s="1">
        <v>3.0</v>
      </c>
      <c r="F849" s="1" t="s">
        <v>594</v>
      </c>
      <c r="G849" s="1">
        <v>0.05</v>
      </c>
      <c r="H849" s="1">
        <v>0.05</v>
      </c>
      <c r="I849" s="1">
        <v>0.0</v>
      </c>
      <c r="J849" s="1">
        <v>0.0</v>
      </c>
      <c r="K849" s="1" t="s">
        <v>2603</v>
      </c>
      <c r="L849" s="1"/>
      <c r="M849" s="1" t="s">
        <v>2604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>
        <v>274.0</v>
      </c>
      <c r="C850" s="1" t="s">
        <v>814</v>
      </c>
      <c r="D850" s="1" t="s">
        <v>747</v>
      </c>
      <c r="E850" s="1">
        <v>4.0</v>
      </c>
      <c r="F850" s="1" t="s">
        <v>757</v>
      </c>
      <c r="G850" s="1">
        <v>0.1</v>
      </c>
      <c r="H850" s="1">
        <v>0.1</v>
      </c>
      <c r="I850" s="1">
        <v>0.0</v>
      </c>
      <c r="J850" s="1">
        <v>0.0</v>
      </c>
      <c r="K850" s="1" t="s">
        <v>2605</v>
      </c>
      <c r="L850" s="1"/>
      <c r="M850" s="1" t="s">
        <v>2606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>
        <v>275.0</v>
      </c>
      <c r="C851" s="1" t="s">
        <v>814</v>
      </c>
      <c r="D851" s="1" t="s">
        <v>749</v>
      </c>
      <c r="E851" s="1">
        <v>1.0</v>
      </c>
      <c r="F851" s="1" t="s">
        <v>748</v>
      </c>
      <c r="G851" s="1">
        <v>0.8</v>
      </c>
      <c r="H851" s="1">
        <v>0.8</v>
      </c>
      <c r="I851" s="1">
        <v>0.0</v>
      </c>
      <c r="J851" s="1">
        <v>0.0</v>
      </c>
      <c r="K851" s="1" t="s">
        <v>2607</v>
      </c>
      <c r="L851" s="1"/>
      <c r="M851" s="1" t="s">
        <v>2608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>
        <v>275.0</v>
      </c>
      <c r="C852" s="1" t="s">
        <v>814</v>
      </c>
      <c r="D852" s="1" t="s">
        <v>749</v>
      </c>
      <c r="E852" s="1">
        <v>2.0</v>
      </c>
      <c r="F852" s="1" t="s">
        <v>757</v>
      </c>
      <c r="G852" s="1">
        <v>0.2</v>
      </c>
      <c r="H852" s="1">
        <v>0.2</v>
      </c>
      <c r="I852" s="1">
        <v>0.0</v>
      </c>
      <c r="J852" s="1">
        <v>0.0</v>
      </c>
      <c r="K852" s="1" t="s">
        <v>2609</v>
      </c>
      <c r="L852" s="1"/>
      <c r="M852" s="1" t="s">
        <v>2610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>
        <v>276.0</v>
      </c>
      <c r="C853" s="1" t="s">
        <v>814</v>
      </c>
      <c r="D853" s="1" t="s">
        <v>750</v>
      </c>
      <c r="E853" s="1">
        <v>1.0</v>
      </c>
      <c r="F853" s="1" t="s">
        <v>570</v>
      </c>
      <c r="G853" s="1">
        <v>0.5</v>
      </c>
      <c r="H853" s="1">
        <v>0.5</v>
      </c>
      <c r="I853" s="1">
        <v>0.0</v>
      </c>
      <c r="J853" s="1">
        <v>0.0</v>
      </c>
      <c r="K853" s="1" t="s">
        <v>2153</v>
      </c>
      <c r="L853" s="1"/>
      <c r="M853" s="1" t="s">
        <v>2154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>
        <v>276.0</v>
      </c>
      <c r="C854" s="1" t="s">
        <v>814</v>
      </c>
      <c r="D854" s="1" t="s">
        <v>750</v>
      </c>
      <c r="E854" s="1">
        <v>2.0</v>
      </c>
      <c r="F854" s="1" t="s">
        <v>720</v>
      </c>
      <c r="G854" s="1">
        <v>0.1</v>
      </c>
      <c r="H854" s="1">
        <v>0.1</v>
      </c>
      <c r="I854" s="1">
        <v>0.0</v>
      </c>
      <c r="J854" s="1">
        <v>0.0</v>
      </c>
      <c r="K854" s="1" t="s">
        <v>2155</v>
      </c>
      <c r="L854" s="1"/>
      <c r="M854" s="1" t="s">
        <v>2156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>
        <v>276.0</v>
      </c>
      <c r="C855" s="1" t="s">
        <v>814</v>
      </c>
      <c r="D855" s="1" t="s">
        <v>750</v>
      </c>
      <c r="E855" s="1">
        <v>3.0</v>
      </c>
      <c r="F855" s="1" t="s">
        <v>594</v>
      </c>
      <c r="G855" s="1">
        <v>0.4</v>
      </c>
      <c r="H855" s="1">
        <v>0.4</v>
      </c>
      <c r="I855" s="1">
        <v>0.0</v>
      </c>
      <c r="J855" s="1">
        <v>0.0</v>
      </c>
      <c r="K855" s="1" t="s">
        <v>2157</v>
      </c>
      <c r="L855" s="1"/>
      <c r="M855" s="1" t="s">
        <v>2158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H2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8.71"/>
    <col customWidth="1" min="2" max="2" width="14.0"/>
    <col customWidth="1" min="3" max="3" width="42.0"/>
    <col customWidth="1" min="4" max="4" width="8.0"/>
    <col customWidth="1" min="5" max="5" width="32.0"/>
    <col customWidth="1" min="6" max="6" width="14.0"/>
    <col customWidth="1" min="7" max="7" width="12.0"/>
    <col customWidth="1" min="8" max="8" width="14.0"/>
    <col customWidth="1" min="9" max="9" width="8.0"/>
    <col customWidth="1" hidden="1" min="10" max="10" width="50.0"/>
    <col customWidth="1" min="11" max="11" width="8.71"/>
    <col customWidth="1" hidden="1" min="12" max="12" width="13.0"/>
    <col customWidth="1" hidden="1" min="13" max="13" width="14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65" t="s">
        <v>2611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249" t="s">
        <v>2612</v>
      </c>
      <c r="C2" s="1"/>
      <c r="D2" s="1"/>
      <c r="E2" s="1"/>
      <c r="F2" s="1"/>
      <c r="G2" s="1"/>
      <c r="H2" s="1"/>
      <c r="I2" s="1"/>
      <c r="J2" s="1"/>
      <c r="K2" s="1"/>
      <c r="L2" s="1"/>
      <c r="M2" s="164" t="s">
        <v>725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50" t="s">
        <v>2613</v>
      </c>
      <c r="C3" s="1"/>
      <c r="D3" s="1"/>
      <c r="E3" s="1"/>
      <c r="F3" s="1"/>
      <c r="G3" s="1"/>
      <c r="H3" s="1"/>
      <c r="I3" s="1"/>
      <c r="J3" s="1"/>
      <c r="K3" s="1"/>
      <c r="L3" s="1"/>
      <c r="M3" s="164" t="s">
        <v>723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64" t="s">
        <v>658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4.5" customHeight="1">
      <c r="A5" s="1"/>
      <c r="B5" s="251" t="s">
        <v>373</v>
      </c>
      <c r="C5" s="251" t="s">
        <v>375</v>
      </c>
      <c r="D5" s="251" t="s">
        <v>952</v>
      </c>
      <c r="E5" s="251" t="s">
        <v>472</v>
      </c>
      <c r="F5" s="251" t="s">
        <v>2614</v>
      </c>
      <c r="G5" s="251" t="s">
        <v>2615</v>
      </c>
      <c r="H5" s="251" t="s">
        <v>2616</v>
      </c>
      <c r="I5" s="251" t="s">
        <v>2617</v>
      </c>
      <c r="J5" s="251" t="s">
        <v>957</v>
      </c>
      <c r="K5" s="1"/>
      <c r="L5" s="1"/>
      <c r="M5" s="164" t="s">
        <v>721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252" t="s">
        <v>725</v>
      </c>
      <c r="C6" s="253" t="s">
        <v>724</v>
      </c>
      <c r="D6" s="253">
        <v>1.0</v>
      </c>
      <c r="E6" s="253" t="s">
        <v>579</v>
      </c>
      <c r="F6" s="254">
        <v>0.415</v>
      </c>
      <c r="G6" s="255">
        <v>1.013</v>
      </c>
      <c r="H6" s="256">
        <v>0.05</v>
      </c>
      <c r="I6" s="257">
        <v>1.0</v>
      </c>
      <c r="J6" s="258" t="s">
        <v>2092</v>
      </c>
      <c r="K6" s="1"/>
      <c r="L6" s="1"/>
      <c r="M6" s="164" t="s">
        <v>751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52" t="s">
        <v>725</v>
      </c>
      <c r="C7" s="253" t="s">
        <v>724</v>
      </c>
      <c r="D7" s="253">
        <v>2.0</v>
      </c>
      <c r="E7" s="253" t="s">
        <v>549</v>
      </c>
      <c r="F7" s="254">
        <v>0.357</v>
      </c>
      <c r="G7" s="259"/>
      <c r="H7" s="259"/>
      <c r="I7" s="259"/>
      <c r="J7" s="258" t="s">
        <v>2096</v>
      </c>
      <c r="K7" s="1"/>
      <c r="L7" s="1"/>
      <c r="M7" s="164" t="s">
        <v>700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52" t="s">
        <v>725</v>
      </c>
      <c r="C8" s="253" t="s">
        <v>724</v>
      </c>
      <c r="D8" s="253">
        <v>3.0</v>
      </c>
      <c r="E8" s="253" t="s">
        <v>593</v>
      </c>
      <c r="F8" s="254">
        <v>0.241</v>
      </c>
      <c r="G8" s="259"/>
      <c r="H8" s="256">
        <v>0.016</v>
      </c>
      <c r="I8" s="259"/>
      <c r="J8" s="258" t="s">
        <v>2094</v>
      </c>
      <c r="K8" s="1"/>
      <c r="L8" s="1"/>
      <c r="M8" s="164" t="s">
        <v>758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252" t="s">
        <v>723</v>
      </c>
      <c r="C9" s="253" t="s">
        <v>722</v>
      </c>
      <c r="D9" s="253">
        <v>1.0</v>
      </c>
      <c r="E9" s="253" t="s">
        <v>579</v>
      </c>
      <c r="F9" s="254">
        <v>0.3614</v>
      </c>
      <c r="G9" s="255">
        <v>1.0183</v>
      </c>
      <c r="H9" s="256">
        <v>0.0554</v>
      </c>
      <c r="I9" s="257">
        <v>19.0</v>
      </c>
      <c r="J9" s="258" t="s">
        <v>2086</v>
      </c>
      <c r="K9" s="1"/>
      <c r="L9" s="1"/>
      <c r="M9" s="164" t="s">
        <v>783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252" t="s">
        <v>723</v>
      </c>
      <c r="C10" s="253" t="s">
        <v>722</v>
      </c>
      <c r="D10" s="253">
        <v>2.0</v>
      </c>
      <c r="E10" s="253" t="s">
        <v>593</v>
      </c>
      <c r="F10" s="254">
        <v>0.2249</v>
      </c>
      <c r="G10" s="259"/>
      <c r="H10" s="256">
        <v>9.0E-4</v>
      </c>
      <c r="I10" s="259"/>
      <c r="J10" s="258" t="s">
        <v>2088</v>
      </c>
      <c r="K10" s="1"/>
      <c r="L10" s="1"/>
      <c r="M10" s="164" t="s">
        <v>766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252" t="s">
        <v>723</v>
      </c>
      <c r="C11" s="253" t="s">
        <v>722</v>
      </c>
      <c r="D11" s="253">
        <v>3.0</v>
      </c>
      <c r="E11" s="253" t="s">
        <v>549</v>
      </c>
      <c r="F11" s="254">
        <v>0.2179</v>
      </c>
      <c r="G11" s="259"/>
      <c r="H11" s="259"/>
      <c r="I11" s="259"/>
      <c r="J11" s="258" t="s">
        <v>2084</v>
      </c>
      <c r="K11" s="1"/>
      <c r="L11" s="1"/>
      <c r="M11" s="164" t="s">
        <v>785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252" t="s">
        <v>723</v>
      </c>
      <c r="C12" s="253" t="s">
        <v>722</v>
      </c>
      <c r="D12" s="253">
        <v>4.0</v>
      </c>
      <c r="E12" s="253" t="s">
        <v>594</v>
      </c>
      <c r="F12" s="254">
        <v>0.2141</v>
      </c>
      <c r="G12" s="259"/>
      <c r="H12" s="259"/>
      <c r="I12" s="259"/>
      <c r="J12" s="258" t="s">
        <v>2090</v>
      </c>
      <c r="K12" s="1"/>
      <c r="L12" s="1"/>
      <c r="M12" s="164" t="s">
        <v>772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252" t="s">
        <v>658</v>
      </c>
      <c r="C13" s="253" t="s">
        <v>657</v>
      </c>
      <c r="D13" s="253">
        <v>1.0</v>
      </c>
      <c r="E13" s="253" t="s">
        <v>594</v>
      </c>
      <c r="F13" s="254">
        <v>0.3407</v>
      </c>
      <c r="G13" s="255">
        <v>0.9942</v>
      </c>
      <c r="H13" s="259"/>
      <c r="I13" s="257">
        <v>10.0</v>
      </c>
      <c r="J13" s="258" t="s">
        <v>2116</v>
      </c>
      <c r="K13" s="1"/>
      <c r="L13" s="1"/>
      <c r="M13" s="164" t="s">
        <v>761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252" t="s">
        <v>658</v>
      </c>
      <c r="C14" s="253" t="s">
        <v>657</v>
      </c>
      <c r="D14" s="253">
        <v>2.0</v>
      </c>
      <c r="E14" s="253" t="s">
        <v>570</v>
      </c>
      <c r="F14" s="254">
        <v>0.2239</v>
      </c>
      <c r="G14" s="259"/>
      <c r="H14" s="259"/>
      <c r="I14" s="259"/>
      <c r="J14" s="258" t="s">
        <v>2120</v>
      </c>
      <c r="K14" s="1"/>
      <c r="L14" s="1"/>
      <c r="M14" s="164" t="s">
        <v>768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252" t="s">
        <v>658</v>
      </c>
      <c r="C15" s="253" t="s">
        <v>657</v>
      </c>
      <c r="D15" s="253">
        <v>3.0</v>
      </c>
      <c r="E15" s="253" t="s">
        <v>720</v>
      </c>
      <c r="F15" s="254">
        <v>0.1706</v>
      </c>
      <c r="G15" s="259"/>
      <c r="H15" s="259"/>
      <c r="I15" s="259"/>
      <c r="J15" s="258" t="s">
        <v>2618</v>
      </c>
      <c r="K15" s="1"/>
      <c r="L15" s="1"/>
      <c r="M15" s="164" t="s">
        <v>787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252" t="s">
        <v>658</v>
      </c>
      <c r="C16" s="253" t="s">
        <v>657</v>
      </c>
      <c r="D16" s="253">
        <v>4.0</v>
      </c>
      <c r="E16" s="253" t="s">
        <v>569</v>
      </c>
      <c r="F16" s="254">
        <v>0.1322</v>
      </c>
      <c r="G16" s="259"/>
      <c r="H16" s="259"/>
      <c r="I16" s="259"/>
      <c r="J16" s="258" t="s">
        <v>2118</v>
      </c>
      <c r="K16" s="1"/>
      <c r="L16" s="1"/>
      <c r="M16" s="164" t="s">
        <v>764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52" t="s">
        <v>658</v>
      </c>
      <c r="C17" s="253" t="s">
        <v>657</v>
      </c>
      <c r="D17" s="253">
        <v>5.0</v>
      </c>
      <c r="E17" s="253" t="s">
        <v>657</v>
      </c>
      <c r="F17" s="254">
        <v>0.0532</v>
      </c>
      <c r="G17" s="259"/>
      <c r="H17" s="259"/>
      <c r="I17" s="259"/>
      <c r="J17" s="258" t="s">
        <v>2619</v>
      </c>
      <c r="K17" s="1"/>
      <c r="L17" s="1"/>
      <c r="M17" s="164" t="s">
        <v>781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252" t="s">
        <v>658</v>
      </c>
      <c r="C18" s="253" t="s">
        <v>657</v>
      </c>
      <c r="D18" s="253">
        <v>6.0</v>
      </c>
      <c r="E18" s="253" t="s">
        <v>588</v>
      </c>
      <c r="F18" s="254">
        <v>0.0379</v>
      </c>
      <c r="G18" s="259"/>
      <c r="H18" s="259"/>
      <c r="I18" s="259"/>
      <c r="J18" s="258" t="s">
        <v>2620</v>
      </c>
      <c r="K18" s="1"/>
      <c r="L18" s="1"/>
      <c r="M18" s="164" t="s">
        <v>770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52" t="s">
        <v>658</v>
      </c>
      <c r="C19" s="253" t="s">
        <v>657</v>
      </c>
      <c r="D19" s="253">
        <v>7.0</v>
      </c>
      <c r="E19" s="253" t="s">
        <v>532</v>
      </c>
      <c r="F19" s="254">
        <v>0.0338</v>
      </c>
      <c r="G19" s="259"/>
      <c r="H19" s="259"/>
      <c r="I19" s="259"/>
      <c r="J19" s="258" t="s">
        <v>2124</v>
      </c>
      <c r="K19" s="1"/>
      <c r="L19" s="1"/>
      <c r="M19" s="164" t="s">
        <v>713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252" t="s">
        <v>658</v>
      </c>
      <c r="C20" s="253" t="s">
        <v>657</v>
      </c>
      <c r="D20" s="253">
        <v>8.0</v>
      </c>
      <c r="E20" s="253" t="s">
        <v>549</v>
      </c>
      <c r="F20" s="254">
        <v>0.0019</v>
      </c>
      <c r="G20" s="259"/>
      <c r="H20" s="259"/>
      <c r="I20" s="259"/>
      <c r="J20" s="258" t="s">
        <v>2621</v>
      </c>
      <c r="K20" s="1"/>
      <c r="L20" s="1"/>
      <c r="M20" s="164" t="s">
        <v>776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252" t="s">
        <v>721</v>
      </c>
      <c r="C21" s="253" t="s">
        <v>720</v>
      </c>
      <c r="D21" s="253">
        <v>1.0</v>
      </c>
      <c r="E21" s="253" t="s">
        <v>579</v>
      </c>
      <c r="F21" s="254">
        <v>0.5236</v>
      </c>
      <c r="G21" s="255">
        <v>1.0084</v>
      </c>
      <c r="H21" s="256">
        <v>0.0236</v>
      </c>
      <c r="I21" s="257">
        <v>12.0</v>
      </c>
      <c r="J21" s="258" t="s">
        <v>2106</v>
      </c>
      <c r="K21" s="1"/>
      <c r="L21" s="1"/>
      <c r="M21" s="164" t="s">
        <v>778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252" t="s">
        <v>721</v>
      </c>
      <c r="C22" s="253" t="s">
        <v>720</v>
      </c>
      <c r="D22" s="253">
        <v>2.0</v>
      </c>
      <c r="E22" s="253" t="s">
        <v>591</v>
      </c>
      <c r="F22" s="254">
        <v>0.4687</v>
      </c>
      <c r="G22" s="259"/>
      <c r="H22" s="259"/>
      <c r="I22" s="259"/>
      <c r="J22" s="258" t="s">
        <v>2108</v>
      </c>
      <c r="K22" s="1"/>
      <c r="L22" s="1"/>
      <c r="M22" s="164" t="s">
        <v>679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252" t="s">
        <v>721</v>
      </c>
      <c r="C23" s="253" t="s">
        <v>720</v>
      </c>
      <c r="D23" s="253">
        <v>3.0</v>
      </c>
      <c r="E23" s="253" t="s">
        <v>2622</v>
      </c>
      <c r="F23" s="254">
        <v>0.0161</v>
      </c>
      <c r="G23" s="259"/>
      <c r="H23" s="259"/>
      <c r="I23" s="259"/>
      <c r="J23" s="258" t="s">
        <v>2623</v>
      </c>
      <c r="K23" s="1"/>
      <c r="L23" s="1"/>
      <c r="M23" s="164" t="s">
        <v>677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252" t="s">
        <v>751</v>
      </c>
      <c r="C24" s="253" t="s">
        <v>750</v>
      </c>
      <c r="D24" s="253">
        <v>1.0</v>
      </c>
      <c r="E24" s="253" t="s">
        <v>570</v>
      </c>
      <c r="F24" s="254">
        <v>0.4992</v>
      </c>
      <c r="G24" s="255">
        <v>1.0068</v>
      </c>
      <c r="H24" s="259"/>
      <c r="I24" s="257">
        <v>11.0</v>
      </c>
      <c r="J24" s="258" t="s">
        <v>2154</v>
      </c>
      <c r="K24" s="1"/>
      <c r="L24" s="1"/>
      <c r="M24" s="164" t="s">
        <v>683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252" t="s">
        <v>751</v>
      </c>
      <c r="C25" s="253" t="s">
        <v>750</v>
      </c>
      <c r="D25" s="253">
        <v>2.0</v>
      </c>
      <c r="E25" s="253" t="s">
        <v>594</v>
      </c>
      <c r="F25" s="254">
        <v>0.3994</v>
      </c>
      <c r="G25" s="259"/>
      <c r="H25" s="259"/>
      <c r="I25" s="259"/>
      <c r="J25" s="258" t="s">
        <v>2158</v>
      </c>
      <c r="K25" s="1"/>
      <c r="L25" s="1"/>
      <c r="M25" s="164" t="s">
        <v>682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252" t="s">
        <v>751</v>
      </c>
      <c r="C26" s="253" t="s">
        <v>750</v>
      </c>
      <c r="D26" s="253">
        <v>3.0</v>
      </c>
      <c r="E26" s="253" t="s">
        <v>720</v>
      </c>
      <c r="F26" s="254">
        <v>0.0996</v>
      </c>
      <c r="G26" s="259"/>
      <c r="H26" s="259"/>
      <c r="I26" s="259"/>
      <c r="J26" s="258" t="s">
        <v>2156</v>
      </c>
      <c r="K26" s="1"/>
      <c r="L26" s="1"/>
      <c r="M26" s="164" t="s">
        <v>755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252" t="s">
        <v>751</v>
      </c>
      <c r="C27" s="253" t="s">
        <v>750</v>
      </c>
      <c r="D27" s="253">
        <v>4.0</v>
      </c>
      <c r="E27" s="253" t="s">
        <v>750</v>
      </c>
      <c r="F27" s="254">
        <v>0.0086</v>
      </c>
      <c r="G27" s="259"/>
      <c r="H27" s="259"/>
      <c r="I27" s="259"/>
      <c r="J27" s="258" t="s">
        <v>2624</v>
      </c>
      <c r="K27" s="1"/>
      <c r="L27" s="1"/>
      <c r="M27" s="164" t="s">
        <v>733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252" t="s">
        <v>700</v>
      </c>
      <c r="C28" s="253" t="s">
        <v>699</v>
      </c>
      <c r="D28" s="253">
        <v>1.0</v>
      </c>
      <c r="E28" s="253" t="s">
        <v>722</v>
      </c>
      <c r="F28" s="254">
        <v>0.808</v>
      </c>
      <c r="G28" s="255">
        <v>1.0102</v>
      </c>
      <c r="H28" s="256">
        <v>0.008</v>
      </c>
      <c r="I28" s="257">
        <v>4.0</v>
      </c>
      <c r="J28" s="258" t="s">
        <v>2500</v>
      </c>
      <c r="K28" s="1"/>
      <c r="L28" s="1"/>
      <c r="M28" s="164" t="s">
        <v>735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52" t="s">
        <v>700</v>
      </c>
      <c r="C29" s="253" t="s">
        <v>699</v>
      </c>
      <c r="D29" s="253">
        <v>2.0</v>
      </c>
      <c r="E29" s="253" t="s">
        <v>657</v>
      </c>
      <c r="F29" s="254">
        <v>0.2022</v>
      </c>
      <c r="G29" s="259"/>
      <c r="H29" s="256">
        <v>0.0022</v>
      </c>
      <c r="I29" s="259"/>
      <c r="J29" s="258" t="s">
        <v>2502</v>
      </c>
      <c r="K29" s="1"/>
      <c r="L29" s="1"/>
      <c r="M29" s="164" t="s">
        <v>738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52" t="s">
        <v>758</v>
      </c>
      <c r="C30" s="253" t="s">
        <v>757</v>
      </c>
      <c r="D30" s="253">
        <v>1.0</v>
      </c>
      <c r="E30" s="253" t="s">
        <v>594</v>
      </c>
      <c r="F30" s="254">
        <v>0.6724</v>
      </c>
      <c r="G30" s="255">
        <v>1.0074</v>
      </c>
      <c r="H30" s="256">
        <v>0.2224</v>
      </c>
      <c r="I30" s="257">
        <v>14.0</v>
      </c>
      <c r="J30" s="258" t="s">
        <v>2164</v>
      </c>
      <c r="K30" s="1"/>
      <c r="L30" s="1"/>
      <c r="M30" s="164" t="s">
        <v>729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252" t="s">
        <v>758</v>
      </c>
      <c r="C31" s="253" t="s">
        <v>757</v>
      </c>
      <c r="D31" s="253">
        <v>2.0</v>
      </c>
      <c r="E31" s="253" t="s">
        <v>549</v>
      </c>
      <c r="F31" s="254">
        <v>0.2111</v>
      </c>
      <c r="G31" s="259"/>
      <c r="H31" s="256">
        <v>0.0011</v>
      </c>
      <c r="I31" s="259"/>
      <c r="J31" s="258" t="s">
        <v>2170</v>
      </c>
      <c r="K31" s="1"/>
      <c r="L31" s="1"/>
      <c r="M31" s="164" t="s">
        <v>666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52" t="s">
        <v>758</v>
      </c>
      <c r="C32" s="253" t="s">
        <v>757</v>
      </c>
      <c r="D32" s="253">
        <v>3.0</v>
      </c>
      <c r="E32" s="253" t="s">
        <v>593</v>
      </c>
      <c r="F32" s="254">
        <v>0.0939</v>
      </c>
      <c r="G32" s="259"/>
      <c r="H32" s="259"/>
      <c r="I32" s="259"/>
      <c r="J32" s="258" t="s">
        <v>2168</v>
      </c>
      <c r="K32" s="1"/>
      <c r="L32" s="1"/>
      <c r="M32" s="164" t="s">
        <v>668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52" t="s">
        <v>758</v>
      </c>
      <c r="C33" s="253" t="s">
        <v>757</v>
      </c>
      <c r="D33" s="253">
        <v>4.0</v>
      </c>
      <c r="E33" s="253" t="s">
        <v>579</v>
      </c>
      <c r="F33" s="254">
        <v>0.03</v>
      </c>
      <c r="G33" s="259"/>
      <c r="H33" s="259"/>
      <c r="I33" s="259"/>
      <c r="J33" s="258" t="s">
        <v>2166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52" t="s">
        <v>783</v>
      </c>
      <c r="C34" s="253" t="s">
        <v>782</v>
      </c>
      <c r="D34" s="253">
        <v>1.0</v>
      </c>
      <c r="E34" s="253" t="s">
        <v>892</v>
      </c>
      <c r="F34" s="254">
        <v>0.3335</v>
      </c>
      <c r="G34" s="255">
        <v>1.0083</v>
      </c>
      <c r="H34" s="259"/>
      <c r="I34" s="257">
        <v>38.0</v>
      </c>
      <c r="J34" s="258" t="s">
        <v>2625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252" t="s">
        <v>783</v>
      </c>
      <c r="C35" s="253" t="s">
        <v>782</v>
      </c>
      <c r="D35" s="253">
        <v>2.0</v>
      </c>
      <c r="E35" s="253" t="s">
        <v>593</v>
      </c>
      <c r="F35" s="254">
        <v>0.1513</v>
      </c>
      <c r="G35" s="259"/>
      <c r="H35" s="259"/>
      <c r="I35" s="259"/>
      <c r="J35" s="258" t="s">
        <v>1824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252" t="s">
        <v>783</v>
      </c>
      <c r="C36" s="253" t="s">
        <v>782</v>
      </c>
      <c r="D36" s="253">
        <v>3.0</v>
      </c>
      <c r="E36" s="253" t="s">
        <v>2626</v>
      </c>
      <c r="F36" s="254">
        <v>0.1334</v>
      </c>
      <c r="G36" s="259"/>
      <c r="H36" s="259"/>
      <c r="I36" s="259"/>
      <c r="J36" s="258" t="s">
        <v>2627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252" t="s">
        <v>783</v>
      </c>
      <c r="C37" s="253" t="s">
        <v>782</v>
      </c>
      <c r="D37" s="253">
        <v>4.0</v>
      </c>
      <c r="E37" s="253" t="s">
        <v>577</v>
      </c>
      <c r="F37" s="254">
        <v>0.1194</v>
      </c>
      <c r="G37" s="259"/>
      <c r="H37" s="259"/>
      <c r="I37" s="259"/>
      <c r="J37" s="258" t="s">
        <v>1828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252" t="s">
        <v>783</v>
      </c>
      <c r="C38" s="253" t="s">
        <v>782</v>
      </c>
      <c r="D38" s="253">
        <v>5.0</v>
      </c>
      <c r="E38" s="253" t="s">
        <v>594</v>
      </c>
      <c r="F38" s="254">
        <v>0.1019</v>
      </c>
      <c r="G38" s="259"/>
      <c r="H38" s="256">
        <v>0.0019</v>
      </c>
      <c r="I38" s="259"/>
      <c r="J38" s="258" t="s">
        <v>1826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252" t="s">
        <v>783</v>
      </c>
      <c r="C39" s="253" t="s">
        <v>782</v>
      </c>
      <c r="D39" s="253">
        <v>6.0</v>
      </c>
      <c r="E39" s="253" t="s">
        <v>415</v>
      </c>
      <c r="F39" s="254">
        <v>0.0507</v>
      </c>
      <c r="G39" s="259"/>
      <c r="H39" s="259"/>
      <c r="I39" s="259"/>
      <c r="J39" s="258" t="s">
        <v>2628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252" t="s">
        <v>783</v>
      </c>
      <c r="C40" s="253" t="s">
        <v>782</v>
      </c>
      <c r="D40" s="253">
        <v>7.0</v>
      </c>
      <c r="E40" s="253" t="s">
        <v>549</v>
      </c>
      <c r="F40" s="254">
        <v>0.0425</v>
      </c>
      <c r="G40" s="259"/>
      <c r="H40" s="259"/>
      <c r="I40" s="259"/>
      <c r="J40" s="258" t="s">
        <v>1830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252" t="s">
        <v>783</v>
      </c>
      <c r="C41" s="253" t="s">
        <v>782</v>
      </c>
      <c r="D41" s="253">
        <v>8.0</v>
      </c>
      <c r="E41" s="253" t="s">
        <v>558</v>
      </c>
      <c r="F41" s="254">
        <v>0.0384</v>
      </c>
      <c r="G41" s="259"/>
      <c r="H41" s="259"/>
      <c r="I41" s="259"/>
      <c r="J41" s="258" t="s">
        <v>2629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252" t="s">
        <v>783</v>
      </c>
      <c r="C42" s="253" t="s">
        <v>782</v>
      </c>
      <c r="D42" s="253">
        <v>9.0</v>
      </c>
      <c r="E42" s="253" t="s">
        <v>579</v>
      </c>
      <c r="F42" s="254">
        <v>0.0339</v>
      </c>
      <c r="G42" s="259"/>
      <c r="H42" s="259"/>
      <c r="I42" s="259"/>
      <c r="J42" s="258" t="s">
        <v>1822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252" t="s">
        <v>783</v>
      </c>
      <c r="C43" s="253" t="s">
        <v>782</v>
      </c>
      <c r="D43" s="253">
        <v>10.0</v>
      </c>
      <c r="E43" s="253" t="s">
        <v>891</v>
      </c>
      <c r="F43" s="254">
        <v>0.0033</v>
      </c>
      <c r="G43" s="259"/>
      <c r="H43" s="259"/>
      <c r="I43" s="259"/>
      <c r="J43" s="258" t="s">
        <v>2630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252" t="s">
        <v>766</v>
      </c>
      <c r="C44" s="253" t="s">
        <v>765</v>
      </c>
      <c r="D44" s="253">
        <v>1.0</v>
      </c>
      <c r="E44" s="253" t="s">
        <v>594</v>
      </c>
      <c r="F44" s="254">
        <v>0.3114</v>
      </c>
      <c r="G44" s="255">
        <v>1.0384</v>
      </c>
      <c r="H44" s="256">
        <v>0.0114</v>
      </c>
      <c r="I44" s="257">
        <v>13.0</v>
      </c>
      <c r="J44" s="258" t="s">
        <v>1868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252" t="s">
        <v>766</v>
      </c>
      <c r="C45" s="253" t="s">
        <v>765</v>
      </c>
      <c r="D45" s="253">
        <v>2.0</v>
      </c>
      <c r="E45" s="253" t="s">
        <v>579</v>
      </c>
      <c r="F45" s="254">
        <v>0.1767</v>
      </c>
      <c r="G45" s="259"/>
      <c r="H45" s="256">
        <v>0.0067</v>
      </c>
      <c r="I45" s="259"/>
      <c r="J45" s="258" t="s">
        <v>1866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252" t="s">
        <v>766</v>
      </c>
      <c r="C46" s="253" t="s">
        <v>765</v>
      </c>
      <c r="D46" s="253">
        <v>3.0</v>
      </c>
      <c r="E46" s="253" t="s">
        <v>930</v>
      </c>
      <c r="F46" s="254">
        <v>0.1594</v>
      </c>
      <c r="G46" s="259"/>
      <c r="H46" s="259"/>
      <c r="I46" s="259"/>
      <c r="J46" s="258" t="s">
        <v>2631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252" t="s">
        <v>766</v>
      </c>
      <c r="C47" s="253" t="s">
        <v>765</v>
      </c>
      <c r="D47" s="253">
        <v>4.0</v>
      </c>
      <c r="E47" s="253" t="s">
        <v>593</v>
      </c>
      <c r="F47" s="254">
        <v>0.1558</v>
      </c>
      <c r="G47" s="259"/>
      <c r="H47" s="256">
        <v>0.0058</v>
      </c>
      <c r="I47" s="259"/>
      <c r="J47" s="258" t="s">
        <v>1870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252" t="s">
        <v>766</v>
      </c>
      <c r="C48" s="253" t="s">
        <v>765</v>
      </c>
      <c r="D48" s="253">
        <v>5.0</v>
      </c>
      <c r="E48" s="253" t="s">
        <v>549</v>
      </c>
      <c r="F48" s="254">
        <v>0.104</v>
      </c>
      <c r="G48" s="259"/>
      <c r="H48" s="259"/>
      <c r="I48" s="259"/>
      <c r="J48" s="258" t="s">
        <v>1872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252" t="s">
        <v>766</v>
      </c>
      <c r="C49" s="253" t="s">
        <v>765</v>
      </c>
      <c r="D49" s="253">
        <v>6.0</v>
      </c>
      <c r="E49" s="253" t="s">
        <v>554</v>
      </c>
      <c r="F49" s="254">
        <v>0.0999</v>
      </c>
      <c r="G49" s="259"/>
      <c r="H49" s="259"/>
      <c r="I49" s="259"/>
      <c r="J49" s="258" t="s">
        <v>1874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252" t="s">
        <v>766</v>
      </c>
      <c r="C50" s="253" t="s">
        <v>765</v>
      </c>
      <c r="D50" s="253">
        <v>7.0</v>
      </c>
      <c r="E50" s="253" t="s">
        <v>550</v>
      </c>
      <c r="F50" s="254">
        <v>0.0312</v>
      </c>
      <c r="G50" s="259"/>
      <c r="H50" s="259"/>
      <c r="I50" s="259"/>
      <c r="J50" s="258" t="s">
        <v>2632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252" t="s">
        <v>785</v>
      </c>
      <c r="C51" s="253" t="s">
        <v>784</v>
      </c>
      <c r="D51" s="253">
        <v>1.0</v>
      </c>
      <c r="E51" s="253" t="s">
        <v>594</v>
      </c>
      <c r="F51" s="254">
        <v>0.3063</v>
      </c>
      <c r="G51" s="255">
        <v>1.0253</v>
      </c>
      <c r="H51" s="256">
        <v>0.0082</v>
      </c>
      <c r="I51" s="257">
        <v>26.0</v>
      </c>
      <c r="J51" s="258" t="s">
        <v>1858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252" t="s">
        <v>785</v>
      </c>
      <c r="C52" s="253" t="s">
        <v>784</v>
      </c>
      <c r="D52" s="253">
        <v>2.0</v>
      </c>
      <c r="E52" s="253" t="s">
        <v>579</v>
      </c>
      <c r="F52" s="254">
        <v>0.2209</v>
      </c>
      <c r="G52" s="259"/>
      <c r="H52" s="256">
        <v>0.0228</v>
      </c>
      <c r="I52" s="259"/>
      <c r="J52" s="258" t="s">
        <v>1856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252" t="s">
        <v>785</v>
      </c>
      <c r="C53" s="253" t="s">
        <v>784</v>
      </c>
      <c r="D53" s="253">
        <v>3.0</v>
      </c>
      <c r="E53" s="253" t="s">
        <v>593</v>
      </c>
      <c r="F53" s="254">
        <v>0.156</v>
      </c>
      <c r="G53" s="259"/>
      <c r="H53" s="256">
        <v>0.0023</v>
      </c>
      <c r="I53" s="259"/>
      <c r="J53" s="258" t="s">
        <v>1860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252" t="s">
        <v>785</v>
      </c>
      <c r="C54" s="253" t="s">
        <v>784</v>
      </c>
      <c r="D54" s="253">
        <v>4.0</v>
      </c>
      <c r="E54" s="253" t="s">
        <v>567</v>
      </c>
      <c r="F54" s="254">
        <v>0.1363</v>
      </c>
      <c r="G54" s="259"/>
      <c r="H54" s="259"/>
      <c r="I54" s="259"/>
      <c r="J54" s="258" t="s">
        <v>2633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252" t="s">
        <v>785</v>
      </c>
      <c r="C55" s="253" t="s">
        <v>784</v>
      </c>
      <c r="D55" s="253">
        <v>5.0</v>
      </c>
      <c r="E55" s="253" t="s">
        <v>549</v>
      </c>
      <c r="F55" s="254">
        <v>0.088</v>
      </c>
      <c r="G55" s="259"/>
      <c r="H55" s="259"/>
      <c r="I55" s="259"/>
      <c r="J55" s="258" t="s">
        <v>1862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252" t="s">
        <v>785</v>
      </c>
      <c r="C56" s="253" t="s">
        <v>784</v>
      </c>
      <c r="D56" s="253">
        <v>6.0</v>
      </c>
      <c r="E56" s="253" t="s">
        <v>568</v>
      </c>
      <c r="F56" s="254">
        <v>0.0701</v>
      </c>
      <c r="G56" s="259"/>
      <c r="H56" s="259"/>
      <c r="I56" s="259"/>
      <c r="J56" s="258" t="s">
        <v>2634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252" t="s">
        <v>785</v>
      </c>
      <c r="C57" s="253" t="s">
        <v>784</v>
      </c>
      <c r="D57" s="253">
        <v>7.0</v>
      </c>
      <c r="E57" s="253" t="s">
        <v>550</v>
      </c>
      <c r="F57" s="254">
        <v>0.0323</v>
      </c>
      <c r="G57" s="259"/>
      <c r="H57" s="259"/>
      <c r="I57" s="259"/>
      <c r="J57" s="258" t="s">
        <v>2635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252" t="s">
        <v>785</v>
      </c>
      <c r="C58" s="253" t="s">
        <v>784</v>
      </c>
      <c r="D58" s="253">
        <v>8.0</v>
      </c>
      <c r="E58" s="253" t="s">
        <v>412</v>
      </c>
      <c r="F58" s="254">
        <v>0.0085</v>
      </c>
      <c r="G58" s="259"/>
      <c r="H58" s="259"/>
      <c r="I58" s="259"/>
      <c r="J58" s="258" t="s">
        <v>2636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252" t="s">
        <v>785</v>
      </c>
      <c r="C59" s="253" t="s">
        <v>784</v>
      </c>
      <c r="D59" s="253">
        <v>9.0</v>
      </c>
      <c r="E59" s="253" t="s">
        <v>873</v>
      </c>
      <c r="F59" s="254">
        <v>0.0061</v>
      </c>
      <c r="G59" s="259"/>
      <c r="H59" s="259"/>
      <c r="I59" s="259"/>
      <c r="J59" s="258" t="s">
        <v>2637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252" t="s">
        <v>785</v>
      </c>
      <c r="C60" s="253" t="s">
        <v>784</v>
      </c>
      <c r="D60" s="253">
        <v>10.0</v>
      </c>
      <c r="E60" s="253" t="s">
        <v>421</v>
      </c>
      <c r="F60" s="254">
        <v>8.0E-4</v>
      </c>
      <c r="G60" s="259"/>
      <c r="H60" s="259"/>
      <c r="I60" s="259"/>
      <c r="J60" s="258" t="s">
        <v>2638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252" t="s">
        <v>772</v>
      </c>
      <c r="C61" s="253" t="s">
        <v>771</v>
      </c>
      <c r="D61" s="253">
        <v>1.0</v>
      </c>
      <c r="E61" s="253" t="s">
        <v>594</v>
      </c>
      <c r="F61" s="254">
        <v>0.414</v>
      </c>
      <c r="G61" s="255">
        <v>1.0379</v>
      </c>
      <c r="H61" s="256">
        <v>0.014</v>
      </c>
      <c r="I61" s="257">
        <v>7.0</v>
      </c>
      <c r="J61" s="258" t="s">
        <v>1978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252" t="s">
        <v>772</v>
      </c>
      <c r="C62" s="253" t="s">
        <v>771</v>
      </c>
      <c r="D62" s="253">
        <v>2.0</v>
      </c>
      <c r="E62" s="253" t="s">
        <v>556</v>
      </c>
      <c r="F62" s="254">
        <v>0.2586</v>
      </c>
      <c r="G62" s="259"/>
      <c r="H62" s="256">
        <v>0.0086</v>
      </c>
      <c r="I62" s="259"/>
      <c r="J62" s="258" t="s">
        <v>1984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252" t="s">
        <v>772</v>
      </c>
      <c r="C63" s="253" t="s">
        <v>771</v>
      </c>
      <c r="D63" s="253">
        <v>3.0</v>
      </c>
      <c r="E63" s="253" t="s">
        <v>579</v>
      </c>
      <c r="F63" s="254">
        <v>0.2277</v>
      </c>
      <c r="G63" s="259"/>
      <c r="H63" s="256">
        <v>0.0077</v>
      </c>
      <c r="I63" s="259"/>
      <c r="J63" s="258" t="s">
        <v>1986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252" t="s">
        <v>772</v>
      </c>
      <c r="C64" s="253" t="s">
        <v>771</v>
      </c>
      <c r="D64" s="253">
        <v>4.0</v>
      </c>
      <c r="E64" s="253" t="s">
        <v>549</v>
      </c>
      <c r="F64" s="254">
        <v>0.1036</v>
      </c>
      <c r="G64" s="259"/>
      <c r="H64" s="256">
        <v>0.0036</v>
      </c>
      <c r="I64" s="259"/>
      <c r="J64" s="258" t="s">
        <v>1980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252" t="s">
        <v>772</v>
      </c>
      <c r="C65" s="253" t="s">
        <v>771</v>
      </c>
      <c r="D65" s="253">
        <v>5.0</v>
      </c>
      <c r="E65" s="253" t="s">
        <v>537</v>
      </c>
      <c r="F65" s="254">
        <v>0.034</v>
      </c>
      <c r="G65" s="259"/>
      <c r="H65" s="256">
        <v>0.004</v>
      </c>
      <c r="I65" s="259"/>
      <c r="J65" s="258" t="s">
        <v>1982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252" t="s">
        <v>761</v>
      </c>
      <c r="C66" s="253" t="s">
        <v>760</v>
      </c>
      <c r="D66" s="253">
        <v>1.0</v>
      </c>
      <c r="E66" s="253" t="s">
        <v>594</v>
      </c>
      <c r="F66" s="254">
        <v>0.4396</v>
      </c>
      <c r="G66" s="255">
        <v>1.0343</v>
      </c>
      <c r="H66" s="256">
        <v>0.0146</v>
      </c>
      <c r="I66" s="257">
        <v>6.0</v>
      </c>
      <c r="J66" s="258" t="s">
        <v>2003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252" t="s">
        <v>761</v>
      </c>
      <c r="C67" s="253" t="s">
        <v>760</v>
      </c>
      <c r="D67" s="253">
        <v>2.0</v>
      </c>
      <c r="E67" s="253" t="s">
        <v>553</v>
      </c>
      <c r="F67" s="254">
        <v>0.2895</v>
      </c>
      <c r="G67" s="259"/>
      <c r="H67" s="259"/>
      <c r="I67" s="259"/>
      <c r="J67" s="258" t="s">
        <v>2639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252" t="s">
        <v>761</v>
      </c>
      <c r="C68" s="253" t="s">
        <v>760</v>
      </c>
      <c r="D68" s="253">
        <v>3.0</v>
      </c>
      <c r="E68" s="253" t="s">
        <v>579</v>
      </c>
      <c r="F68" s="254">
        <v>0.1295</v>
      </c>
      <c r="G68" s="259"/>
      <c r="H68" s="256">
        <v>0.0045</v>
      </c>
      <c r="I68" s="259"/>
      <c r="J68" s="258" t="s">
        <v>2011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252" t="s">
        <v>761</v>
      </c>
      <c r="C69" s="253" t="s">
        <v>760</v>
      </c>
      <c r="D69" s="253">
        <v>4.0</v>
      </c>
      <c r="E69" s="253" t="s">
        <v>549</v>
      </c>
      <c r="F69" s="254">
        <v>0.1242</v>
      </c>
      <c r="G69" s="259"/>
      <c r="H69" s="256">
        <v>0.0042</v>
      </c>
      <c r="I69" s="259"/>
      <c r="J69" s="258" t="s">
        <v>2001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252" t="s">
        <v>761</v>
      </c>
      <c r="C70" s="253" t="s">
        <v>760</v>
      </c>
      <c r="D70" s="253">
        <v>5.0</v>
      </c>
      <c r="E70" s="253" t="s">
        <v>537</v>
      </c>
      <c r="F70" s="254">
        <v>0.0465</v>
      </c>
      <c r="G70" s="259"/>
      <c r="H70" s="256">
        <v>0.0015</v>
      </c>
      <c r="I70" s="259"/>
      <c r="J70" s="258" t="s">
        <v>2005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252" t="s">
        <v>761</v>
      </c>
      <c r="C71" s="253" t="s">
        <v>760</v>
      </c>
      <c r="D71" s="253">
        <v>6.0</v>
      </c>
      <c r="E71" s="253" t="s">
        <v>541</v>
      </c>
      <c r="F71" s="254">
        <v>0.005</v>
      </c>
      <c r="G71" s="259"/>
      <c r="H71" s="259"/>
      <c r="I71" s="259"/>
      <c r="J71" s="258" t="s">
        <v>2007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252" t="s">
        <v>768</v>
      </c>
      <c r="C72" s="253" t="s">
        <v>767</v>
      </c>
      <c r="D72" s="253">
        <v>1.0</v>
      </c>
      <c r="E72" s="253" t="s">
        <v>594</v>
      </c>
      <c r="F72" s="254">
        <v>0.4672</v>
      </c>
      <c r="G72" s="255">
        <v>1.038</v>
      </c>
      <c r="H72" s="256">
        <v>0.0172</v>
      </c>
      <c r="I72" s="257">
        <v>5.0</v>
      </c>
      <c r="J72" s="258" t="s">
        <v>1970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252" t="s">
        <v>768</v>
      </c>
      <c r="C73" s="253" t="s">
        <v>767</v>
      </c>
      <c r="D73" s="253">
        <v>2.0</v>
      </c>
      <c r="E73" s="253" t="s">
        <v>930</v>
      </c>
      <c r="F73" s="254">
        <v>0.2906</v>
      </c>
      <c r="G73" s="259"/>
      <c r="H73" s="259"/>
      <c r="I73" s="259"/>
      <c r="J73" s="258" t="s">
        <v>2640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252" t="s">
        <v>768</v>
      </c>
      <c r="C74" s="253" t="s">
        <v>767</v>
      </c>
      <c r="D74" s="253">
        <v>3.0</v>
      </c>
      <c r="E74" s="253" t="s">
        <v>579</v>
      </c>
      <c r="F74" s="254">
        <v>0.1452</v>
      </c>
      <c r="G74" s="259"/>
      <c r="H74" s="256">
        <v>0.0052</v>
      </c>
      <c r="I74" s="259"/>
      <c r="J74" s="258" t="s">
        <v>1976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252" t="s">
        <v>768</v>
      </c>
      <c r="C75" s="253" t="s">
        <v>767</v>
      </c>
      <c r="D75" s="253">
        <v>4.0</v>
      </c>
      <c r="E75" s="253" t="s">
        <v>549</v>
      </c>
      <c r="F75" s="254">
        <v>0.104</v>
      </c>
      <c r="G75" s="259"/>
      <c r="H75" s="256">
        <v>0.004</v>
      </c>
      <c r="I75" s="259"/>
      <c r="J75" s="258" t="s">
        <v>1966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252" t="s">
        <v>768</v>
      </c>
      <c r="C76" s="253" t="s">
        <v>767</v>
      </c>
      <c r="D76" s="253">
        <v>5.0</v>
      </c>
      <c r="E76" s="253" t="s">
        <v>537</v>
      </c>
      <c r="F76" s="254">
        <v>0.025</v>
      </c>
      <c r="G76" s="259"/>
      <c r="H76" s="259"/>
      <c r="I76" s="259"/>
      <c r="J76" s="258" t="s">
        <v>1968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252" t="s">
        <v>768</v>
      </c>
      <c r="C77" s="253" t="s">
        <v>767</v>
      </c>
      <c r="D77" s="253">
        <v>6.0</v>
      </c>
      <c r="E77" s="253" t="s">
        <v>541</v>
      </c>
      <c r="F77" s="254">
        <v>0.006</v>
      </c>
      <c r="G77" s="259"/>
      <c r="H77" s="256">
        <v>0.001</v>
      </c>
      <c r="I77" s="259"/>
      <c r="J77" s="258" t="s">
        <v>1972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252" t="s">
        <v>787</v>
      </c>
      <c r="C78" s="253" t="s">
        <v>786</v>
      </c>
      <c r="D78" s="253">
        <v>1.0</v>
      </c>
      <c r="E78" s="253" t="s">
        <v>579</v>
      </c>
      <c r="F78" s="254">
        <v>0.3402</v>
      </c>
      <c r="G78" s="255">
        <v>1.0308</v>
      </c>
      <c r="H78" s="256">
        <v>0.1402</v>
      </c>
      <c r="I78" s="257">
        <v>11.0</v>
      </c>
      <c r="J78" s="258" t="s">
        <v>1990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252" t="s">
        <v>787</v>
      </c>
      <c r="C79" s="253" t="s">
        <v>786</v>
      </c>
      <c r="D79" s="253">
        <v>2.0</v>
      </c>
      <c r="E79" s="253" t="s">
        <v>594</v>
      </c>
      <c r="F79" s="254">
        <v>0.3103</v>
      </c>
      <c r="G79" s="259"/>
      <c r="H79" s="256">
        <v>0.0103</v>
      </c>
      <c r="I79" s="259"/>
      <c r="J79" s="258" t="s">
        <v>1992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252" t="s">
        <v>787</v>
      </c>
      <c r="C80" s="253" t="s">
        <v>786</v>
      </c>
      <c r="D80" s="253">
        <v>3.0</v>
      </c>
      <c r="E80" s="253" t="s">
        <v>567</v>
      </c>
      <c r="F80" s="254">
        <v>0.2092</v>
      </c>
      <c r="G80" s="259"/>
      <c r="H80" s="259"/>
      <c r="I80" s="259"/>
      <c r="J80" s="258" t="s">
        <v>1998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252" t="s">
        <v>787</v>
      </c>
      <c r="C81" s="253" t="s">
        <v>786</v>
      </c>
      <c r="D81" s="253">
        <v>4.0</v>
      </c>
      <c r="E81" s="253" t="s">
        <v>549</v>
      </c>
      <c r="F81" s="254">
        <v>0.1202</v>
      </c>
      <c r="G81" s="259"/>
      <c r="H81" s="256">
        <v>0.0202</v>
      </c>
      <c r="I81" s="259"/>
      <c r="J81" s="258" t="s">
        <v>1988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252" t="s">
        <v>787</v>
      </c>
      <c r="C82" s="253" t="s">
        <v>786</v>
      </c>
      <c r="D82" s="253">
        <v>5.0</v>
      </c>
      <c r="E82" s="253" t="s">
        <v>537</v>
      </c>
      <c r="F82" s="254">
        <v>0.0219</v>
      </c>
      <c r="G82" s="259"/>
      <c r="H82" s="259"/>
      <c r="I82" s="259"/>
      <c r="J82" s="258" t="s">
        <v>1994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252" t="s">
        <v>787</v>
      </c>
      <c r="C83" s="253" t="s">
        <v>786</v>
      </c>
      <c r="D83" s="253">
        <v>6.0</v>
      </c>
      <c r="E83" s="253" t="s">
        <v>568</v>
      </c>
      <c r="F83" s="254">
        <v>0.0209</v>
      </c>
      <c r="G83" s="259"/>
      <c r="H83" s="259"/>
      <c r="I83" s="259"/>
      <c r="J83" s="258" t="s">
        <v>2641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252" t="s">
        <v>787</v>
      </c>
      <c r="C84" s="253" t="s">
        <v>786</v>
      </c>
      <c r="D84" s="253">
        <v>7.0</v>
      </c>
      <c r="E84" s="253" t="s">
        <v>543</v>
      </c>
      <c r="F84" s="254">
        <v>0.006</v>
      </c>
      <c r="G84" s="259"/>
      <c r="H84" s="256">
        <v>0.001</v>
      </c>
      <c r="I84" s="259"/>
      <c r="J84" s="258" t="s">
        <v>1996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252" t="s">
        <v>787</v>
      </c>
      <c r="C85" s="253" t="s">
        <v>786</v>
      </c>
      <c r="D85" s="253">
        <v>8.0</v>
      </c>
      <c r="E85" s="253" t="s">
        <v>858</v>
      </c>
      <c r="F85" s="254">
        <v>0.0021</v>
      </c>
      <c r="G85" s="259"/>
      <c r="H85" s="259"/>
      <c r="I85" s="259"/>
      <c r="J85" s="258" t="s">
        <v>2642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252" t="s">
        <v>764</v>
      </c>
      <c r="C86" s="253" t="s">
        <v>763</v>
      </c>
      <c r="D86" s="253">
        <v>1.0</v>
      </c>
      <c r="E86" s="253" t="s">
        <v>594</v>
      </c>
      <c r="F86" s="254">
        <v>0.2591</v>
      </c>
      <c r="G86" s="255">
        <v>1.037</v>
      </c>
      <c r="H86" s="256">
        <v>0.0091</v>
      </c>
      <c r="I86" s="257">
        <v>7.0</v>
      </c>
      <c r="J86" s="258" t="s">
        <v>1834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252" t="s">
        <v>764</v>
      </c>
      <c r="C87" s="253" t="s">
        <v>763</v>
      </c>
      <c r="D87" s="253">
        <v>2.0</v>
      </c>
      <c r="E87" s="253" t="s">
        <v>579</v>
      </c>
      <c r="F87" s="254">
        <v>0.2177</v>
      </c>
      <c r="G87" s="259"/>
      <c r="H87" s="256">
        <v>0.0077</v>
      </c>
      <c r="I87" s="259"/>
      <c r="J87" s="258" t="s">
        <v>1832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252" t="s">
        <v>764</v>
      </c>
      <c r="C88" s="253" t="s">
        <v>763</v>
      </c>
      <c r="D88" s="253">
        <v>3.0</v>
      </c>
      <c r="E88" s="253" t="s">
        <v>553</v>
      </c>
      <c r="F88" s="254">
        <v>0.2076</v>
      </c>
      <c r="G88" s="259"/>
      <c r="H88" s="256">
        <v>0.0076</v>
      </c>
      <c r="I88" s="259"/>
      <c r="J88" s="258" t="s">
        <v>1844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252" t="s">
        <v>764</v>
      </c>
      <c r="C89" s="253" t="s">
        <v>763</v>
      </c>
      <c r="D89" s="253">
        <v>4.0</v>
      </c>
      <c r="E89" s="253" t="s">
        <v>549</v>
      </c>
      <c r="F89" s="254">
        <v>0.1556</v>
      </c>
      <c r="G89" s="259"/>
      <c r="H89" s="256">
        <v>0.0056</v>
      </c>
      <c r="I89" s="259"/>
      <c r="J89" s="258" t="s">
        <v>1838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252" t="s">
        <v>764</v>
      </c>
      <c r="C90" s="253" t="s">
        <v>763</v>
      </c>
      <c r="D90" s="253">
        <v>5.0</v>
      </c>
      <c r="E90" s="253" t="s">
        <v>593</v>
      </c>
      <c r="F90" s="254">
        <v>0.1556</v>
      </c>
      <c r="G90" s="259"/>
      <c r="H90" s="256">
        <v>0.0056</v>
      </c>
      <c r="I90" s="259"/>
      <c r="J90" s="258" t="s">
        <v>1836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252" t="s">
        <v>764</v>
      </c>
      <c r="C91" s="253" t="s">
        <v>763</v>
      </c>
      <c r="D91" s="253">
        <v>6.0</v>
      </c>
      <c r="E91" s="253" t="s">
        <v>537</v>
      </c>
      <c r="F91" s="254">
        <v>0.0374</v>
      </c>
      <c r="G91" s="259"/>
      <c r="H91" s="259"/>
      <c r="I91" s="259"/>
      <c r="J91" s="258" t="s">
        <v>1840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252" t="s">
        <v>764</v>
      </c>
      <c r="C92" s="253" t="s">
        <v>763</v>
      </c>
      <c r="D92" s="253">
        <v>7.0</v>
      </c>
      <c r="E92" s="253" t="s">
        <v>541</v>
      </c>
      <c r="F92" s="254">
        <v>0.004</v>
      </c>
      <c r="G92" s="259"/>
      <c r="H92" s="259"/>
      <c r="I92" s="259"/>
      <c r="J92" s="258" t="s">
        <v>1842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252" t="s">
        <v>781</v>
      </c>
      <c r="C93" s="253" t="s">
        <v>780</v>
      </c>
      <c r="D93" s="253">
        <v>1.0</v>
      </c>
      <c r="E93" s="253" t="s">
        <v>558</v>
      </c>
      <c r="F93" s="254">
        <v>0.1973</v>
      </c>
      <c r="G93" s="255">
        <v>1.0171</v>
      </c>
      <c r="H93" s="259"/>
      <c r="I93" s="257">
        <v>13.0</v>
      </c>
      <c r="J93" s="258" t="s">
        <v>2643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252" t="s">
        <v>781</v>
      </c>
      <c r="C94" s="253" t="s">
        <v>780</v>
      </c>
      <c r="D94" s="253">
        <v>2.0</v>
      </c>
      <c r="E94" s="253" t="s">
        <v>593</v>
      </c>
      <c r="F94" s="254">
        <v>0.1832</v>
      </c>
      <c r="G94" s="259"/>
      <c r="H94" s="256">
        <v>0.0032</v>
      </c>
      <c r="I94" s="259"/>
      <c r="J94" s="258" t="s">
        <v>1954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252" t="s">
        <v>781</v>
      </c>
      <c r="C95" s="253" t="s">
        <v>780</v>
      </c>
      <c r="D95" s="253">
        <v>3.0</v>
      </c>
      <c r="E95" s="253" t="s">
        <v>577</v>
      </c>
      <c r="F95" s="254">
        <v>0.1504</v>
      </c>
      <c r="G95" s="259"/>
      <c r="H95" s="259"/>
      <c r="I95" s="259"/>
      <c r="J95" s="258" t="s">
        <v>1960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252" t="s">
        <v>781</v>
      </c>
      <c r="C96" s="253" t="s">
        <v>780</v>
      </c>
      <c r="D96" s="253">
        <v>4.0</v>
      </c>
      <c r="E96" s="253" t="s">
        <v>579</v>
      </c>
      <c r="F96" s="254">
        <v>0.1272</v>
      </c>
      <c r="G96" s="259"/>
      <c r="H96" s="256">
        <v>0.0022</v>
      </c>
      <c r="I96" s="259"/>
      <c r="J96" s="258" t="s">
        <v>1952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252" t="s">
        <v>781</v>
      </c>
      <c r="C97" s="253" t="s">
        <v>780</v>
      </c>
      <c r="D97" s="253">
        <v>5.0</v>
      </c>
      <c r="E97" s="253" t="s">
        <v>549</v>
      </c>
      <c r="F97" s="254">
        <v>0.1204</v>
      </c>
      <c r="G97" s="259"/>
      <c r="H97" s="259"/>
      <c r="I97" s="259"/>
      <c r="J97" s="258" t="s">
        <v>2644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252" t="s">
        <v>781</v>
      </c>
      <c r="C98" s="253" t="s">
        <v>780</v>
      </c>
      <c r="D98" s="253">
        <v>6.0</v>
      </c>
      <c r="E98" s="253" t="s">
        <v>594</v>
      </c>
      <c r="F98" s="254">
        <v>0.097</v>
      </c>
      <c r="G98" s="259"/>
      <c r="H98" s="256">
        <v>0.002</v>
      </c>
      <c r="I98" s="259"/>
      <c r="J98" s="258" t="s">
        <v>1956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252" t="s">
        <v>781</v>
      </c>
      <c r="C99" s="253" t="s">
        <v>780</v>
      </c>
      <c r="D99" s="253">
        <v>7.0</v>
      </c>
      <c r="E99" s="253" t="s">
        <v>535</v>
      </c>
      <c r="F99" s="254">
        <v>0.0815</v>
      </c>
      <c r="G99" s="259"/>
      <c r="H99" s="259"/>
      <c r="I99" s="259"/>
      <c r="J99" s="258" t="s">
        <v>1962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252" t="s">
        <v>781</v>
      </c>
      <c r="C100" s="253" t="s">
        <v>780</v>
      </c>
      <c r="D100" s="253">
        <v>8.0</v>
      </c>
      <c r="E100" s="253" t="s">
        <v>892</v>
      </c>
      <c r="F100" s="254">
        <v>0.0282</v>
      </c>
      <c r="G100" s="259"/>
      <c r="H100" s="259"/>
      <c r="I100" s="259"/>
      <c r="J100" s="258" t="s">
        <v>2645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252" t="s">
        <v>781</v>
      </c>
      <c r="C101" s="253" t="s">
        <v>780</v>
      </c>
      <c r="D101" s="253">
        <v>9.0</v>
      </c>
      <c r="E101" s="253" t="s">
        <v>550</v>
      </c>
      <c r="F101" s="254">
        <v>0.0219</v>
      </c>
      <c r="G101" s="259"/>
      <c r="H101" s="259"/>
      <c r="I101" s="259"/>
      <c r="J101" s="258" t="s">
        <v>2646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252" t="s">
        <v>781</v>
      </c>
      <c r="C102" s="253" t="s">
        <v>780</v>
      </c>
      <c r="D102" s="253">
        <v>10.0</v>
      </c>
      <c r="E102" s="253" t="s">
        <v>576</v>
      </c>
      <c r="F102" s="254">
        <v>0.01</v>
      </c>
      <c r="G102" s="259"/>
      <c r="H102" s="259"/>
      <c r="I102" s="259"/>
      <c r="J102" s="258" t="s">
        <v>1964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252" t="s">
        <v>770</v>
      </c>
      <c r="C103" s="253" t="s">
        <v>769</v>
      </c>
      <c r="D103" s="253">
        <v>1.0</v>
      </c>
      <c r="E103" s="253" t="s">
        <v>555</v>
      </c>
      <c r="F103" s="254">
        <v>0.2599</v>
      </c>
      <c r="G103" s="255">
        <v>1.0396</v>
      </c>
      <c r="H103" s="256">
        <v>0.0099</v>
      </c>
      <c r="I103" s="257">
        <v>4.0</v>
      </c>
      <c r="J103" s="258" t="s">
        <v>1948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252" t="s">
        <v>770</v>
      </c>
      <c r="C104" s="253" t="s">
        <v>769</v>
      </c>
      <c r="D104" s="253">
        <v>2.0</v>
      </c>
      <c r="E104" s="253" t="s">
        <v>579</v>
      </c>
      <c r="F104" s="254">
        <v>0.2599</v>
      </c>
      <c r="G104" s="259"/>
      <c r="H104" s="256">
        <v>0.0099</v>
      </c>
      <c r="I104" s="259"/>
      <c r="J104" s="258" t="s">
        <v>1940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252" t="s">
        <v>770</v>
      </c>
      <c r="C105" s="253" t="s">
        <v>769</v>
      </c>
      <c r="D105" s="253">
        <v>3.0</v>
      </c>
      <c r="E105" s="253" t="s">
        <v>594</v>
      </c>
      <c r="F105" s="254">
        <v>0.2082</v>
      </c>
      <c r="G105" s="259"/>
      <c r="H105" s="256">
        <v>0.0082</v>
      </c>
      <c r="I105" s="259"/>
      <c r="J105" s="258" t="s">
        <v>1938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252" t="s">
        <v>770</v>
      </c>
      <c r="C106" s="253" t="s">
        <v>769</v>
      </c>
      <c r="D106" s="253">
        <v>4.0</v>
      </c>
      <c r="E106" s="253" t="s">
        <v>593</v>
      </c>
      <c r="F106" s="254">
        <v>0.1612</v>
      </c>
      <c r="G106" s="259"/>
      <c r="H106" s="256">
        <v>0.0062</v>
      </c>
      <c r="I106" s="259"/>
      <c r="J106" s="258" t="s">
        <v>1942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252" t="s">
        <v>770</v>
      </c>
      <c r="C107" s="253" t="s">
        <v>769</v>
      </c>
      <c r="D107" s="253">
        <v>5.0</v>
      </c>
      <c r="E107" s="253" t="s">
        <v>549</v>
      </c>
      <c r="F107" s="254">
        <v>0.109</v>
      </c>
      <c r="G107" s="259"/>
      <c r="H107" s="259"/>
      <c r="I107" s="259"/>
      <c r="J107" s="258" t="s">
        <v>2647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252" t="s">
        <v>770</v>
      </c>
      <c r="C108" s="253" t="s">
        <v>769</v>
      </c>
      <c r="D108" s="253">
        <v>6.0</v>
      </c>
      <c r="E108" s="253" t="s">
        <v>537</v>
      </c>
      <c r="F108" s="254">
        <v>0.0332</v>
      </c>
      <c r="G108" s="259"/>
      <c r="H108" s="256">
        <v>0.0012</v>
      </c>
      <c r="I108" s="259"/>
      <c r="J108" s="258" t="s">
        <v>1950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252" t="s">
        <v>770</v>
      </c>
      <c r="C109" s="253" t="s">
        <v>769</v>
      </c>
      <c r="D109" s="253">
        <v>7.0</v>
      </c>
      <c r="E109" s="253" t="s">
        <v>541</v>
      </c>
      <c r="F109" s="254">
        <v>0.0082</v>
      </c>
      <c r="G109" s="259"/>
      <c r="H109" s="259"/>
      <c r="I109" s="259"/>
      <c r="J109" s="258" t="s">
        <v>1946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252" t="s">
        <v>713</v>
      </c>
      <c r="C110" s="253" t="s">
        <v>712</v>
      </c>
      <c r="D110" s="253">
        <v>1.0</v>
      </c>
      <c r="E110" s="253" t="s">
        <v>579</v>
      </c>
      <c r="F110" s="254">
        <v>0.278</v>
      </c>
      <c r="G110" s="255">
        <v>1.0703</v>
      </c>
      <c r="H110" s="256">
        <v>0.003</v>
      </c>
      <c r="I110" s="257">
        <v>3.0</v>
      </c>
      <c r="J110" s="258" t="s">
        <v>2648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252" t="s">
        <v>713</v>
      </c>
      <c r="C111" s="253" t="s">
        <v>712</v>
      </c>
      <c r="D111" s="253">
        <v>2.0</v>
      </c>
      <c r="E111" s="253" t="s">
        <v>594</v>
      </c>
      <c r="F111" s="254">
        <v>0.2535</v>
      </c>
      <c r="G111" s="259"/>
      <c r="H111" s="256">
        <v>0.0165</v>
      </c>
      <c r="I111" s="259"/>
      <c r="J111" s="258" t="s">
        <v>2649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252" t="s">
        <v>713</v>
      </c>
      <c r="C112" s="253" t="s">
        <v>712</v>
      </c>
      <c r="D112" s="253">
        <v>3.0</v>
      </c>
      <c r="E112" s="253" t="s">
        <v>563</v>
      </c>
      <c r="F112" s="254">
        <v>0.2241</v>
      </c>
      <c r="G112" s="259"/>
      <c r="H112" s="256">
        <v>0.0111</v>
      </c>
      <c r="I112" s="259"/>
      <c r="J112" s="258" t="s">
        <v>2650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252" t="s">
        <v>713</v>
      </c>
      <c r="C113" s="253" t="s">
        <v>712</v>
      </c>
      <c r="D113" s="253">
        <v>4.0</v>
      </c>
      <c r="E113" s="253" t="s">
        <v>593</v>
      </c>
      <c r="F113" s="254">
        <v>0.1517</v>
      </c>
      <c r="G113" s="259"/>
      <c r="H113" s="256">
        <v>0.0096</v>
      </c>
      <c r="I113" s="259"/>
      <c r="J113" s="258" t="s">
        <v>2651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252" t="s">
        <v>713</v>
      </c>
      <c r="C114" s="253" t="s">
        <v>712</v>
      </c>
      <c r="D114" s="253">
        <v>5.0</v>
      </c>
      <c r="E114" s="253" t="s">
        <v>549</v>
      </c>
      <c r="F114" s="254">
        <v>0.0638</v>
      </c>
      <c r="G114" s="259"/>
      <c r="H114" s="259"/>
      <c r="I114" s="259"/>
      <c r="J114" s="258" t="s">
        <v>2652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252" t="s">
        <v>713</v>
      </c>
      <c r="C115" s="253" t="s">
        <v>712</v>
      </c>
      <c r="D115" s="253">
        <v>6.0</v>
      </c>
      <c r="E115" s="253" t="s">
        <v>550</v>
      </c>
      <c r="F115" s="254">
        <v>0.0576</v>
      </c>
      <c r="G115" s="259"/>
      <c r="H115" s="259"/>
      <c r="I115" s="259"/>
      <c r="J115" s="258" t="s">
        <v>2653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252" t="s">
        <v>713</v>
      </c>
      <c r="C116" s="253" t="s">
        <v>712</v>
      </c>
      <c r="D116" s="253">
        <v>7.0</v>
      </c>
      <c r="E116" s="253" t="s">
        <v>722</v>
      </c>
      <c r="F116" s="254">
        <v>0.0213</v>
      </c>
      <c r="G116" s="259"/>
      <c r="H116" s="259"/>
      <c r="I116" s="259"/>
      <c r="J116" s="258" t="s">
        <v>2654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252" t="s">
        <v>713</v>
      </c>
      <c r="C117" s="253" t="s">
        <v>712</v>
      </c>
      <c r="D117" s="253">
        <v>8.0</v>
      </c>
      <c r="E117" s="253" t="s">
        <v>537</v>
      </c>
      <c r="F117" s="254">
        <v>0.0203</v>
      </c>
      <c r="G117" s="259"/>
      <c r="H117" s="256">
        <v>0.0013</v>
      </c>
      <c r="I117" s="259"/>
      <c r="J117" s="258" t="s">
        <v>2655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252" t="s">
        <v>776</v>
      </c>
      <c r="C118" s="253" t="s">
        <v>775</v>
      </c>
      <c r="D118" s="253">
        <v>1.0</v>
      </c>
      <c r="E118" s="253" t="s">
        <v>579</v>
      </c>
      <c r="F118" s="254">
        <v>0.2809</v>
      </c>
      <c r="G118" s="255">
        <v>1.0807</v>
      </c>
      <c r="H118" s="256">
        <v>0.0209</v>
      </c>
      <c r="I118" s="257">
        <v>3.0</v>
      </c>
      <c r="J118" s="258" t="s">
        <v>1894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252" t="s">
        <v>776</v>
      </c>
      <c r="C119" s="253" t="s">
        <v>775</v>
      </c>
      <c r="D119" s="253">
        <v>2.0</v>
      </c>
      <c r="E119" s="253" t="s">
        <v>594</v>
      </c>
      <c r="F119" s="254">
        <v>0.2726</v>
      </c>
      <c r="G119" s="259"/>
      <c r="H119" s="256">
        <v>0.0204</v>
      </c>
      <c r="I119" s="259"/>
      <c r="J119" s="258" t="s">
        <v>1898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252" t="s">
        <v>776</v>
      </c>
      <c r="C120" s="253" t="s">
        <v>775</v>
      </c>
      <c r="D120" s="253">
        <v>3.0</v>
      </c>
      <c r="E120" s="253" t="s">
        <v>586</v>
      </c>
      <c r="F120" s="254">
        <v>0.2163</v>
      </c>
      <c r="G120" s="259"/>
      <c r="H120" s="256">
        <v>0.0163</v>
      </c>
      <c r="I120" s="259"/>
      <c r="J120" s="258" t="s">
        <v>1890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252" t="s">
        <v>776</v>
      </c>
      <c r="C121" s="253" t="s">
        <v>775</v>
      </c>
      <c r="D121" s="253">
        <v>4.0</v>
      </c>
      <c r="E121" s="253" t="s">
        <v>593</v>
      </c>
      <c r="F121" s="254">
        <v>0.1596</v>
      </c>
      <c r="G121" s="259"/>
      <c r="H121" s="256">
        <v>0.0118</v>
      </c>
      <c r="I121" s="259"/>
      <c r="J121" s="258" t="s">
        <v>1896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252" t="s">
        <v>776</v>
      </c>
      <c r="C122" s="253" t="s">
        <v>775</v>
      </c>
      <c r="D122" s="253">
        <v>5.0</v>
      </c>
      <c r="E122" s="253" t="s">
        <v>550</v>
      </c>
      <c r="F122" s="254">
        <v>0.0865</v>
      </c>
      <c r="G122" s="259"/>
      <c r="H122" s="259"/>
      <c r="I122" s="259"/>
      <c r="J122" s="258" t="s">
        <v>2656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252" t="s">
        <v>776</v>
      </c>
      <c r="C123" s="253" t="s">
        <v>775</v>
      </c>
      <c r="D123" s="253">
        <v>6.0</v>
      </c>
      <c r="E123" s="253" t="s">
        <v>549</v>
      </c>
      <c r="F123" s="254">
        <v>0.0431</v>
      </c>
      <c r="G123" s="259"/>
      <c r="H123" s="259"/>
      <c r="I123" s="259"/>
      <c r="J123" s="258" t="s">
        <v>1892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252" t="s">
        <v>776</v>
      </c>
      <c r="C124" s="253" t="s">
        <v>775</v>
      </c>
      <c r="D124" s="253">
        <v>7.0</v>
      </c>
      <c r="E124" s="253" t="s">
        <v>537</v>
      </c>
      <c r="F124" s="254">
        <v>0.0217</v>
      </c>
      <c r="G124" s="259"/>
      <c r="H124" s="256">
        <v>0.0018</v>
      </c>
      <c r="I124" s="259"/>
      <c r="J124" s="258" t="s">
        <v>1900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252" t="s">
        <v>778</v>
      </c>
      <c r="C125" s="253" t="s">
        <v>777</v>
      </c>
      <c r="D125" s="253">
        <v>1.0</v>
      </c>
      <c r="E125" s="253" t="s">
        <v>579</v>
      </c>
      <c r="F125" s="254">
        <v>0.3432</v>
      </c>
      <c r="G125" s="255">
        <v>1.0437</v>
      </c>
      <c r="H125" s="256">
        <v>0.0132</v>
      </c>
      <c r="I125" s="257">
        <v>14.0</v>
      </c>
      <c r="J125" s="258" t="s">
        <v>1904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252" t="s">
        <v>778</v>
      </c>
      <c r="C126" s="253" t="s">
        <v>777</v>
      </c>
      <c r="D126" s="253">
        <v>2.0</v>
      </c>
      <c r="E126" s="253" t="s">
        <v>594</v>
      </c>
      <c r="F126" s="254">
        <v>0.2599</v>
      </c>
      <c r="G126" s="259"/>
      <c r="H126" s="256">
        <v>0.0099</v>
      </c>
      <c r="I126" s="259"/>
      <c r="J126" s="258" t="s">
        <v>1906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252" t="s">
        <v>778</v>
      </c>
      <c r="C127" s="253" t="s">
        <v>777</v>
      </c>
      <c r="D127" s="253">
        <v>3.0</v>
      </c>
      <c r="E127" s="253" t="s">
        <v>564</v>
      </c>
      <c r="F127" s="254">
        <v>0.2524</v>
      </c>
      <c r="G127" s="259"/>
      <c r="H127" s="256">
        <v>0.0024</v>
      </c>
      <c r="I127" s="259"/>
      <c r="J127" s="258" t="s">
        <v>1912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252" t="s">
        <v>778</v>
      </c>
      <c r="C128" s="253" t="s">
        <v>777</v>
      </c>
      <c r="D128" s="253">
        <v>4.0</v>
      </c>
      <c r="E128" s="253" t="s">
        <v>549</v>
      </c>
      <c r="F128" s="254">
        <v>0.0573</v>
      </c>
      <c r="G128" s="259"/>
      <c r="H128" s="259"/>
      <c r="I128" s="259"/>
      <c r="J128" s="258" t="s">
        <v>1908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252" t="s">
        <v>778</v>
      </c>
      <c r="C129" s="253" t="s">
        <v>777</v>
      </c>
      <c r="D129" s="253">
        <v>5.0</v>
      </c>
      <c r="E129" s="253" t="s">
        <v>593</v>
      </c>
      <c r="F129" s="254">
        <v>0.0517</v>
      </c>
      <c r="G129" s="259"/>
      <c r="H129" s="256">
        <v>0.0017</v>
      </c>
      <c r="I129" s="259"/>
      <c r="J129" s="258" t="s">
        <v>1902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252" t="s">
        <v>778</v>
      </c>
      <c r="C130" s="253" t="s">
        <v>777</v>
      </c>
      <c r="D130" s="253">
        <v>6.0</v>
      </c>
      <c r="E130" s="253" t="s">
        <v>550</v>
      </c>
      <c r="F130" s="254">
        <v>0.0466</v>
      </c>
      <c r="G130" s="259"/>
      <c r="H130" s="259"/>
      <c r="I130" s="259"/>
      <c r="J130" s="258" t="s">
        <v>2657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252" t="s">
        <v>778</v>
      </c>
      <c r="C131" s="253" t="s">
        <v>777</v>
      </c>
      <c r="D131" s="253">
        <v>7.0</v>
      </c>
      <c r="E131" s="253" t="s">
        <v>537</v>
      </c>
      <c r="F131" s="254">
        <v>0.0209</v>
      </c>
      <c r="G131" s="259"/>
      <c r="H131" s="256">
        <v>9.0E-4</v>
      </c>
      <c r="I131" s="259"/>
      <c r="J131" s="258" t="s">
        <v>1910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252" t="s">
        <v>778</v>
      </c>
      <c r="C132" s="253" t="s">
        <v>777</v>
      </c>
      <c r="D132" s="253">
        <v>8.0</v>
      </c>
      <c r="E132" s="253" t="s">
        <v>918</v>
      </c>
      <c r="F132" s="254">
        <v>0.0117</v>
      </c>
      <c r="G132" s="259"/>
      <c r="H132" s="259"/>
      <c r="I132" s="259"/>
      <c r="J132" s="258" t="s">
        <v>2658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/>
      <c r="B133" s="252" t="s">
        <v>679</v>
      </c>
      <c r="C133" s="253" t="s">
        <v>678</v>
      </c>
      <c r="D133" s="253">
        <v>1.0</v>
      </c>
      <c r="E133" s="253" t="s">
        <v>429</v>
      </c>
      <c r="F133" s="254">
        <v>0.7959</v>
      </c>
      <c r="G133" s="255">
        <v>1.0615</v>
      </c>
      <c r="H133" s="259"/>
      <c r="I133" s="257">
        <v>2.0</v>
      </c>
      <c r="J133" s="258" t="s">
        <v>1364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252" t="s">
        <v>679</v>
      </c>
      <c r="C134" s="253" t="s">
        <v>678</v>
      </c>
      <c r="D134" s="253">
        <v>2.0</v>
      </c>
      <c r="E134" s="253" t="s">
        <v>657</v>
      </c>
      <c r="F134" s="254">
        <v>0.2076</v>
      </c>
      <c r="G134" s="259"/>
      <c r="H134" s="256">
        <v>0.0076</v>
      </c>
      <c r="I134" s="259"/>
      <c r="J134" s="258" t="s">
        <v>1366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252" t="s">
        <v>679</v>
      </c>
      <c r="C135" s="253" t="s">
        <v>678</v>
      </c>
      <c r="D135" s="253">
        <v>3.0</v>
      </c>
      <c r="E135" s="253" t="s">
        <v>2659</v>
      </c>
      <c r="F135" s="254">
        <v>0.0516</v>
      </c>
      <c r="G135" s="259"/>
      <c r="H135" s="259"/>
      <c r="I135" s="259"/>
      <c r="J135" s="258" t="s">
        <v>2660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252" t="s">
        <v>679</v>
      </c>
      <c r="C136" s="253" t="s">
        <v>678</v>
      </c>
      <c r="D136" s="253">
        <v>4.0</v>
      </c>
      <c r="E136" s="253" t="s">
        <v>786</v>
      </c>
      <c r="F136" s="254">
        <v>0.0064</v>
      </c>
      <c r="G136" s="259"/>
      <c r="H136" s="259"/>
      <c r="I136" s="259"/>
      <c r="J136" s="258" t="s">
        <v>2661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252" t="s">
        <v>677</v>
      </c>
      <c r="C137" s="253" t="s">
        <v>676</v>
      </c>
      <c r="D137" s="253">
        <v>1.0</v>
      </c>
      <c r="E137" s="253" t="s">
        <v>765</v>
      </c>
      <c r="F137" s="254">
        <v>0.6835</v>
      </c>
      <c r="G137" s="255">
        <v>1.1055</v>
      </c>
      <c r="H137" s="256">
        <v>0.0335</v>
      </c>
      <c r="I137" s="257">
        <v>2.0</v>
      </c>
      <c r="J137" s="258" t="s">
        <v>2444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252" t="s">
        <v>677</v>
      </c>
      <c r="C138" s="253" t="s">
        <v>676</v>
      </c>
      <c r="D138" s="253">
        <v>2.0</v>
      </c>
      <c r="E138" s="253" t="s">
        <v>722</v>
      </c>
      <c r="F138" s="254">
        <v>0.166</v>
      </c>
      <c r="G138" s="259"/>
      <c r="H138" s="256">
        <v>0.081</v>
      </c>
      <c r="I138" s="259"/>
      <c r="J138" s="258" t="s">
        <v>2452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252" t="s">
        <v>677</v>
      </c>
      <c r="C139" s="253" t="s">
        <v>676</v>
      </c>
      <c r="D139" s="253">
        <v>3.0</v>
      </c>
      <c r="E139" s="253" t="s">
        <v>657</v>
      </c>
      <c r="F139" s="254">
        <v>0.151</v>
      </c>
      <c r="G139" s="259"/>
      <c r="H139" s="256">
        <v>0.001</v>
      </c>
      <c r="I139" s="259"/>
      <c r="J139" s="258" t="s">
        <v>2448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252" t="s">
        <v>677</v>
      </c>
      <c r="C140" s="253" t="s">
        <v>676</v>
      </c>
      <c r="D140" s="253">
        <v>4.0</v>
      </c>
      <c r="E140" s="253" t="s">
        <v>2659</v>
      </c>
      <c r="F140" s="254">
        <v>0.1</v>
      </c>
      <c r="G140" s="259"/>
      <c r="H140" s="259"/>
      <c r="I140" s="259"/>
      <c r="J140" s="258" t="s">
        <v>2662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252" t="s">
        <v>677</v>
      </c>
      <c r="C141" s="253" t="s">
        <v>676</v>
      </c>
      <c r="D141" s="253">
        <v>5.0</v>
      </c>
      <c r="E141" s="253" t="s">
        <v>943</v>
      </c>
      <c r="F141" s="254">
        <v>0.005</v>
      </c>
      <c r="G141" s="259"/>
      <c r="H141" s="259"/>
      <c r="I141" s="259"/>
      <c r="J141" s="258" t="s">
        <v>2663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252" t="s">
        <v>683</v>
      </c>
      <c r="C142" s="253" t="s">
        <v>381</v>
      </c>
      <c r="D142" s="253">
        <v>1.0</v>
      </c>
      <c r="E142" s="253" t="s">
        <v>784</v>
      </c>
      <c r="F142" s="254">
        <v>0.5903</v>
      </c>
      <c r="G142" s="255">
        <v>1.0066</v>
      </c>
      <c r="H142" s="256">
        <v>0.0203</v>
      </c>
      <c r="I142" s="257">
        <v>8.0</v>
      </c>
      <c r="J142" s="258" t="s">
        <v>970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252" t="s">
        <v>683</v>
      </c>
      <c r="C143" s="253" t="s">
        <v>381</v>
      </c>
      <c r="D143" s="253">
        <v>2.0</v>
      </c>
      <c r="E143" s="253" t="s">
        <v>722</v>
      </c>
      <c r="F143" s="254">
        <v>0.2058</v>
      </c>
      <c r="G143" s="259"/>
      <c r="H143" s="259"/>
      <c r="I143" s="259"/>
      <c r="J143" s="258" t="s">
        <v>974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252" t="s">
        <v>683</v>
      </c>
      <c r="C144" s="253" t="s">
        <v>381</v>
      </c>
      <c r="D144" s="253">
        <v>3.0</v>
      </c>
      <c r="E144" s="253" t="s">
        <v>657</v>
      </c>
      <c r="F144" s="254">
        <v>0.1498</v>
      </c>
      <c r="G144" s="259"/>
      <c r="H144" s="259"/>
      <c r="I144" s="259"/>
      <c r="J144" s="258" t="s">
        <v>972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252" t="s">
        <v>683</v>
      </c>
      <c r="C145" s="253" t="s">
        <v>381</v>
      </c>
      <c r="D145" s="253">
        <v>4.0</v>
      </c>
      <c r="E145" s="253" t="s">
        <v>594</v>
      </c>
      <c r="F145" s="254">
        <v>0.0454</v>
      </c>
      <c r="G145" s="259"/>
      <c r="H145" s="259"/>
      <c r="I145" s="259"/>
      <c r="J145" s="258" t="s">
        <v>2664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252" t="s">
        <v>683</v>
      </c>
      <c r="C146" s="253" t="s">
        <v>381</v>
      </c>
      <c r="D146" s="253">
        <v>5.0</v>
      </c>
      <c r="E146" s="253" t="s">
        <v>786</v>
      </c>
      <c r="F146" s="254">
        <v>0.0066</v>
      </c>
      <c r="G146" s="259"/>
      <c r="H146" s="259"/>
      <c r="I146" s="259"/>
      <c r="J146" s="258" t="s">
        <v>2665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252" t="s">
        <v>683</v>
      </c>
      <c r="C147" s="253" t="s">
        <v>381</v>
      </c>
      <c r="D147" s="253">
        <v>6.0</v>
      </c>
      <c r="E147" s="253" t="s">
        <v>943</v>
      </c>
      <c r="F147" s="254">
        <v>0.0049</v>
      </c>
      <c r="G147" s="259"/>
      <c r="H147" s="259"/>
      <c r="I147" s="259"/>
      <c r="J147" s="258" t="s">
        <v>2666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252" t="s">
        <v>683</v>
      </c>
      <c r="C148" s="253" t="s">
        <v>381</v>
      </c>
      <c r="D148" s="253">
        <v>7.0</v>
      </c>
      <c r="E148" s="253" t="s">
        <v>915</v>
      </c>
      <c r="F148" s="254">
        <v>0.0038</v>
      </c>
      <c r="G148" s="259"/>
      <c r="H148" s="259"/>
      <c r="I148" s="259"/>
      <c r="J148" s="258" t="s">
        <v>2667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/>
      <c r="B149" s="252" t="s">
        <v>682</v>
      </c>
      <c r="C149" s="253" t="s">
        <v>681</v>
      </c>
      <c r="D149" s="253">
        <v>1.0</v>
      </c>
      <c r="E149" s="253" t="s">
        <v>780</v>
      </c>
      <c r="F149" s="254">
        <v>0.71</v>
      </c>
      <c r="G149" s="255">
        <v>1.0026</v>
      </c>
      <c r="H149" s="259"/>
      <c r="I149" s="257">
        <v>17.0</v>
      </c>
      <c r="J149" s="258" t="s">
        <v>2486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252" t="s">
        <v>682</v>
      </c>
      <c r="C150" s="253" t="s">
        <v>681</v>
      </c>
      <c r="D150" s="253">
        <v>2.0</v>
      </c>
      <c r="E150" s="253" t="s">
        <v>582</v>
      </c>
      <c r="F150" s="254">
        <v>0.1122</v>
      </c>
      <c r="G150" s="259"/>
      <c r="H150" s="259"/>
      <c r="I150" s="259"/>
      <c r="J150" s="258" t="s">
        <v>2498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252" t="s">
        <v>682</v>
      </c>
      <c r="C151" s="253" t="s">
        <v>681</v>
      </c>
      <c r="D151" s="253">
        <v>3.0</v>
      </c>
      <c r="E151" s="253" t="s">
        <v>570</v>
      </c>
      <c r="F151" s="254">
        <v>0.0584</v>
      </c>
      <c r="G151" s="259"/>
      <c r="H151" s="259"/>
      <c r="I151" s="259"/>
      <c r="J151" s="258" t="s">
        <v>2492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252" t="s">
        <v>682</v>
      </c>
      <c r="C152" s="253" t="s">
        <v>681</v>
      </c>
      <c r="D152" s="253">
        <v>4.0</v>
      </c>
      <c r="E152" s="253" t="s">
        <v>569</v>
      </c>
      <c r="F152" s="254">
        <v>0.0387</v>
      </c>
      <c r="G152" s="259"/>
      <c r="H152" s="259"/>
      <c r="I152" s="259"/>
      <c r="J152" s="258" t="s">
        <v>2490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/>
      <c r="B153" s="252" t="s">
        <v>682</v>
      </c>
      <c r="C153" s="253" t="s">
        <v>681</v>
      </c>
      <c r="D153" s="253">
        <v>5.0</v>
      </c>
      <c r="E153" s="253" t="s">
        <v>782</v>
      </c>
      <c r="F153" s="254">
        <v>0.0345</v>
      </c>
      <c r="G153" s="259"/>
      <c r="H153" s="259"/>
      <c r="I153" s="259"/>
      <c r="J153" s="258" t="s">
        <v>2668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1"/>
      <c r="B154" s="252" t="s">
        <v>682</v>
      </c>
      <c r="C154" s="253" t="s">
        <v>681</v>
      </c>
      <c r="D154" s="253">
        <v>6.0</v>
      </c>
      <c r="E154" s="253" t="s">
        <v>720</v>
      </c>
      <c r="F154" s="254">
        <v>0.0292</v>
      </c>
      <c r="G154" s="259"/>
      <c r="H154" s="259"/>
      <c r="I154" s="259"/>
      <c r="J154" s="258" t="s">
        <v>2488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252" t="s">
        <v>682</v>
      </c>
      <c r="C155" s="253" t="s">
        <v>681</v>
      </c>
      <c r="D155" s="253">
        <v>7.0</v>
      </c>
      <c r="E155" s="253" t="s">
        <v>943</v>
      </c>
      <c r="F155" s="254">
        <v>0.0098</v>
      </c>
      <c r="G155" s="259"/>
      <c r="H155" s="259"/>
      <c r="I155" s="259"/>
      <c r="J155" s="258" t="s">
        <v>2669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252" t="s">
        <v>682</v>
      </c>
      <c r="C156" s="253" t="s">
        <v>681</v>
      </c>
      <c r="D156" s="253">
        <v>8.0</v>
      </c>
      <c r="E156" s="253" t="s">
        <v>532</v>
      </c>
      <c r="F156" s="254">
        <v>0.0098</v>
      </c>
      <c r="G156" s="259"/>
      <c r="H156" s="259"/>
      <c r="I156" s="259"/>
      <c r="J156" s="258" t="s">
        <v>2496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252" t="s">
        <v>755</v>
      </c>
      <c r="C157" s="253" t="s">
        <v>525</v>
      </c>
      <c r="D157" s="253">
        <v>1.0</v>
      </c>
      <c r="E157" s="253" t="s">
        <v>782</v>
      </c>
      <c r="F157" s="254">
        <v>0.6022</v>
      </c>
      <c r="G157" s="255">
        <v>1.0181</v>
      </c>
      <c r="H157" s="256">
        <v>0.0022</v>
      </c>
      <c r="I157" s="257">
        <v>94.0</v>
      </c>
      <c r="J157" s="258" t="s">
        <v>1306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252" t="s">
        <v>755</v>
      </c>
      <c r="C158" s="253" t="s">
        <v>525</v>
      </c>
      <c r="D158" s="253">
        <v>2.0</v>
      </c>
      <c r="E158" s="253" t="s">
        <v>390</v>
      </c>
      <c r="F158" s="254">
        <v>0.1971</v>
      </c>
      <c r="G158" s="259"/>
      <c r="H158" s="259"/>
      <c r="I158" s="259"/>
      <c r="J158" s="258" t="s">
        <v>2670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252" t="s">
        <v>755</v>
      </c>
      <c r="C159" s="253" t="s">
        <v>525</v>
      </c>
      <c r="D159" s="253">
        <v>3.0</v>
      </c>
      <c r="E159" s="253" t="s">
        <v>570</v>
      </c>
      <c r="F159" s="254">
        <v>0.0592</v>
      </c>
      <c r="G159" s="259"/>
      <c r="H159" s="259"/>
      <c r="I159" s="259"/>
      <c r="J159" s="258" t="s">
        <v>1312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/>
      <c r="B160" s="252" t="s">
        <v>755</v>
      </c>
      <c r="C160" s="253" t="s">
        <v>525</v>
      </c>
      <c r="D160" s="253">
        <v>4.0</v>
      </c>
      <c r="E160" s="253" t="s">
        <v>594</v>
      </c>
      <c r="F160" s="254">
        <v>0.0349</v>
      </c>
      <c r="G160" s="259"/>
      <c r="H160" s="256">
        <v>0.0099</v>
      </c>
      <c r="I160" s="259"/>
      <c r="J160" s="258" t="s">
        <v>1320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/>
      <c r="B161" s="252" t="s">
        <v>755</v>
      </c>
      <c r="C161" s="253" t="s">
        <v>525</v>
      </c>
      <c r="D161" s="253">
        <v>5.0</v>
      </c>
      <c r="E161" s="253" t="s">
        <v>720</v>
      </c>
      <c r="F161" s="254">
        <v>0.03</v>
      </c>
      <c r="G161" s="259"/>
      <c r="H161" s="259"/>
      <c r="I161" s="259"/>
      <c r="J161" s="258" t="s">
        <v>1308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1"/>
      <c r="B162" s="252" t="s">
        <v>755</v>
      </c>
      <c r="C162" s="253" t="s">
        <v>525</v>
      </c>
      <c r="D162" s="253">
        <v>6.0</v>
      </c>
      <c r="E162" s="253" t="s">
        <v>569</v>
      </c>
      <c r="F162" s="254">
        <v>0.029</v>
      </c>
      <c r="G162" s="259"/>
      <c r="H162" s="259"/>
      <c r="I162" s="259"/>
      <c r="J162" s="258" t="s">
        <v>1310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252" t="s">
        <v>755</v>
      </c>
      <c r="C163" s="253" t="s">
        <v>525</v>
      </c>
      <c r="D163" s="253">
        <v>7.0</v>
      </c>
      <c r="E163" s="253" t="s">
        <v>593</v>
      </c>
      <c r="F163" s="254">
        <v>0.015</v>
      </c>
      <c r="G163" s="259"/>
      <c r="H163" s="259"/>
      <c r="I163" s="259"/>
      <c r="J163" s="258" t="s">
        <v>1322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252" t="s">
        <v>755</v>
      </c>
      <c r="C164" s="253" t="s">
        <v>525</v>
      </c>
      <c r="D164" s="253">
        <v>8.0</v>
      </c>
      <c r="E164" s="253" t="s">
        <v>2659</v>
      </c>
      <c r="F164" s="254">
        <v>0.0123</v>
      </c>
      <c r="G164" s="259"/>
      <c r="H164" s="259"/>
      <c r="I164" s="259"/>
      <c r="J164" s="258" t="s">
        <v>2671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252" t="s">
        <v>755</v>
      </c>
      <c r="C165" s="253" t="s">
        <v>525</v>
      </c>
      <c r="D165" s="253">
        <v>9.0</v>
      </c>
      <c r="E165" s="253" t="s">
        <v>588</v>
      </c>
      <c r="F165" s="254">
        <v>0.0111</v>
      </c>
      <c r="G165" s="259"/>
      <c r="H165" s="259"/>
      <c r="I165" s="259"/>
      <c r="J165" s="258" t="s">
        <v>2672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252" t="s">
        <v>755</v>
      </c>
      <c r="C166" s="253" t="s">
        <v>525</v>
      </c>
      <c r="D166" s="253">
        <v>10.0</v>
      </c>
      <c r="E166" s="253" t="s">
        <v>532</v>
      </c>
      <c r="F166" s="254">
        <v>0.01</v>
      </c>
      <c r="G166" s="259"/>
      <c r="H166" s="259"/>
      <c r="I166" s="259"/>
      <c r="J166" s="258" t="s">
        <v>1314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252" t="s">
        <v>755</v>
      </c>
      <c r="C167" s="253" t="s">
        <v>525</v>
      </c>
      <c r="D167" s="253">
        <v>11.0</v>
      </c>
      <c r="E167" s="253" t="s">
        <v>943</v>
      </c>
      <c r="F167" s="254">
        <v>0.0088</v>
      </c>
      <c r="G167" s="259"/>
      <c r="H167" s="259"/>
      <c r="I167" s="259"/>
      <c r="J167" s="258" t="s">
        <v>2673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252" t="s">
        <v>755</v>
      </c>
      <c r="C168" s="253" t="s">
        <v>525</v>
      </c>
      <c r="D168" s="253">
        <v>12.0</v>
      </c>
      <c r="E168" s="253" t="s">
        <v>722</v>
      </c>
      <c r="F168" s="254">
        <v>0.0035</v>
      </c>
      <c r="G168" s="259"/>
      <c r="H168" s="259"/>
      <c r="I168" s="259"/>
      <c r="J168" s="258" t="s">
        <v>2674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252" t="s">
        <v>755</v>
      </c>
      <c r="C169" s="253" t="s">
        <v>525</v>
      </c>
      <c r="D169" s="253">
        <v>13.0</v>
      </c>
      <c r="E169" s="253" t="s">
        <v>903</v>
      </c>
      <c r="F169" s="254">
        <v>0.0016</v>
      </c>
      <c r="G169" s="259"/>
      <c r="H169" s="259"/>
      <c r="I169" s="259"/>
      <c r="J169" s="258" t="s">
        <v>2675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252" t="s">
        <v>755</v>
      </c>
      <c r="C170" s="253" t="s">
        <v>525</v>
      </c>
      <c r="D170" s="253">
        <v>14.0</v>
      </c>
      <c r="E170" s="253" t="s">
        <v>681</v>
      </c>
      <c r="F170" s="254">
        <v>0.0013</v>
      </c>
      <c r="G170" s="259"/>
      <c r="H170" s="259"/>
      <c r="I170" s="259"/>
      <c r="J170" s="258" t="s">
        <v>2676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252" t="s">
        <v>755</v>
      </c>
      <c r="C171" s="253" t="s">
        <v>525</v>
      </c>
      <c r="D171" s="253">
        <v>15.0</v>
      </c>
      <c r="E171" s="253" t="s">
        <v>2677</v>
      </c>
      <c r="F171" s="254">
        <v>0.0012</v>
      </c>
      <c r="G171" s="259"/>
      <c r="H171" s="259"/>
      <c r="I171" s="259"/>
      <c r="J171" s="258" t="s">
        <v>2678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252" t="s">
        <v>755</v>
      </c>
      <c r="C172" s="253" t="s">
        <v>525</v>
      </c>
      <c r="D172" s="253">
        <v>16.0</v>
      </c>
      <c r="E172" s="253" t="s">
        <v>804</v>
      </c>
      <c r="F172" s="254">
        <v>9.0E-4</v>
      </c>
      <c r="G172" s="259"/>
      <c r="H172" s="259"/>
      <c r="I172" s="259"/>
      <c r="J172" s="258" t="s">
        <v>2679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252" t="s">
        <v>733</v>
      </c>
      <c r="C173" s="253" t="s">
        <v>732</v>
      </c>
      <c r="D173" s="253">
        <v>1.0</v>
      </c>
      <c r="E173" s="253" t="s">
        <v>767</v>
      </c>
      <c r="F173" s="254">
        <v>0.9443</v>
      </c>
      <c r="G173" s="255">
        <v>1.1069</v>
      </c>
      <c r="H173" s="256">
        <v>0.0443</v>
      </c>
      <c r="I173" s="257">
        <v>2.0</v>
      </c>
      <c r="J173" s="258" t="s">
        <v>1632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252" t="s">
        <v>733</v>
      </c>
      <c r="C174" s="253" t="s">
        <v>732</v>
      </c>
      <c r="D174" s="253">
        <v>2.0</v>
      </c>
      <c r="E174" s="253" t="s">
        <v>2659</v>
      </c>
      <c r="F174" s="254">
        <v>0.0931</v>
      </c>
      <c r="G174" s="259"/>
      <c r="H174" s="259"/>
      <c r="I174" s="259"/>
      <c r="J174" s="258" t="s">
        <v>2680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252" t="s">
        <v>733</v>
      </c>
      <c r="C175" s="253" t="s">
        <v>732</v>
      </c>
      <c r="D175" s="253">
        <v>3.0</v>
      </c>
      <c r="E175" s="253" t="s">
        <v>593</v>
      </c>
      <c r="F175" s="254">
        <v>0.0481</v>
      </c>
      <c r="G175" s="259"/>
      <c r="H175" s="256">
        <v>0.0081</v>
      </c>
      <c r="I175" s="259"/>
      <c r="J175" s="258" t="s">
        <v>1634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252" t="s">
        <v>733</v>
      </c>
      <c r="C176" s="253" t="s">
        <v>732</v>
      </c>
      <c r="D176" s="253">
        <v>4.0</v>
      </c>
      <c r="E176" s="253" t="s">
        <v>771</v>
      </c>
      <c r="F176" s="254">
        <v>0.0121</v>
      </c>
      <c r="G176" s="259"/>
      <c r="H176" s="259"/>
      <c r="I176" s="259"/>
      <c r="J176" s="258" t="s">
        <v>1636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252" t="s">
        <v>733</v>
      </c>
      <c r="C177" s="253" t="s">
        <v>732</v>
      </c>
      <c r="D177" s="253">
        <v>5.0</v>
      </c>
      <c r="E177" s="253" t="s">
        <v>757</v>
      </c>
      <c r="F177" s="254">
        <v>0.0093</v>
      </c>
      <c r="G177" s="259"/>
      <c r="H177" s="259"/>
      <c r="I177" s="259"/>
      <c r="J177" s="258" t="s">
        <v>1638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/>
      <c r="B178" s="252" t="s">
        <v>735</v>
      </c>
      <c r="C178" s="253" t="s">
        <v>385</v>
      </c>
      <c r="D178" s="253">
        <v>1.0</v>
      </c>
      <c r="E178" s="253" t="s">
        <v>771</v>
      </c>
      <c r="F178" s="254">
        <v>0.8904</v>
      </c>
      <c r="G178" s="255">
        <v>1.0704</v>
      </c>
      <c r="H178" s="259"/>
      <c r="I178" s="257">
        <v>3.0</v>
      </c>
      <c r="J178" s="258" t="s">
        <v>1644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252" t="s">
        <v>735</v>
      </c>
      <c r="C179" s="253" t="s">
        <v>385</v>
      </c>
      <c r="D179" s="253">
        <v>2.0</v>
      </c>
      <c r="E179" s="253" t="s">
        <v>593</v>
      </c>
      <c r="F179" s="254">
        <v>0.0711</v>
      </c>
      <c r="G179" s="259"/>
      <c r="H179" s="256">
        <v>0.0011</v>
      </c>
      <c r="I179" s="259"/>
      <c r="J179" s="258" t="s">
        <v>1646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252" t="s">
        <v>735</v>
      </c>
      <c r="C180" s="253" t="s">
        <v>385</v>
      </c>
      <c r="D180" s="253">
        <v>3.0</v>
      </c>
      <c r="E180" s="253" t="s">
        <v>2659</v>
      </c>
      <c r="F180" s="254">
        <v>0.0491</v>
      </c>
      <c r="G180" s="259"/>
      <c r="H180" s="259"/>
      <c r="I180" s="259"/>
      <c r="J180" s="258" t="s">
        <v>2681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252" t="s">
        <v>735</v>
      </c>
      <c r="C181" s="253" t="s">
        <v>385</v>
      </c>
      <c r="D181" s="253">
        <v>4.0</v>
      </c>
      <c r="E181" s="253" t="s">
        <v>786</v>
      </c>
      <c r="F181" s="254">
        <v>0.0358</v>
      </c>
      <c r="G181" s="259"/>
      <c r="H181" s="256">
        <v>0.0258</v>
      </c>
      <c r="I181" s="259"/>
      <c r="J181" s="258" t="s">
        <v>1648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1"/>
      <c r="B182" s="252" t="s">
        <v>735</v>
      </c>
      <c r="C182" s="253" t="s">
        <v>385</v>
      </c>
      <c r="D182" s="253">
        <v>5.0</v>
      </c>
      <c r="E182" s="253" t="s">
        <v>722</v>
      </c>
      <c r="F182" s="254">
        <v>0.0231</v>
      </c>
      <c r="G182" s="259"/>
      <c r="H182" s="259"/>
      <c r="I182" s="259"/>
      <c r="J182" s="258" t="s">
        <v>2682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1"/>
      <c r="B183" s="252" t="s">
        <v>735</v>
      </c>
      <c r="C183" s="253" t="s">
        <v>385</v>
      </c>
      <c r="D183" s="253">
        <v>6.0</v>
      </c>
      <c r="E183" s="253" t="s">
        <v>757</v>
      </c>
      <c r="F183" s="254">
        <v>9.0E-4</v>
      </c>
      <c r="G183" s="259"/>
      <c r="H183" s="259"/>
      <c r="I183" s="259"/>
      <c r="J183" s="258" t="s">
        <v>1650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252" t="s">
        <v>738</v>
      </c>
      <c r="C184" s="253" t="s">
        <v>737</v>
      </c>
      <c r="D184" s="253">
        <v>1.0</v>
      </c>
      <c r="E184" s="253" t="s">
        <v>786</v>
      </c>
      <c r="F184" s="254">
        <v>0.9353</v>
      </c>
      <c r="G184" s="255">
        <v>1.0865</v>
      </c>
      <c r="H184" s="256">
        <v>0.0603</v>
      </c>
      <c r="I184" s="257">
        <v>5.0</v>
      </c>
      <c r="J184" s="258" t="s">
        <v>1656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252" t="s">
        <v>738</v>
      </c>
      <c r="C185" s="253" t="s">
        <v>737</v>
      </c>
      <c r="D185" s="253">
        <v>2.0</v>
      </c>
      <c r="E185" s="253" t="s">
        <v>593</v>
      </c>
      <c r="F185" s="254">
        <v>0.079</v>
      </c>
      <c r="G185" s="259"/>
      <c r="H185" s="256">
        <v>0.004</v>
      </c>
      <c r="I185" s="259"/>
      <c r="J185" s="258" t="s">
        <v>1662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252" t="s">
        <v>738</v>
      </c>
      <c r="C186" s="253" t="s">
        <v>737</v>
      </c>
      <c r="D186" s="253">
        <v>3.0</v>
      </c>
      <c r="E186" s="253" t="s">
        <v>2659</v>
      </c>
      <c r="F186" s="254">
        <v>0.0722</v>
      </c>
      <c r="G186" s="259"/>
      <c r="H186" s="259"/>
      <c r="I186" s="259"/>
      <c r="J186" s="258" t="s">
        <v>2683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252" t="s">
        <v>729</v>
      </c>
      <c r="C187" s="253" t="s">
        <v>728</v>
      </c>
      <c r="D187" s="253">
        <v>1.0</v>
      </c>
      <c r="E187" s="253" t="s">
        <v>760</v>
      </c>
      <c r="F187" s="254">
        <v>0.9861</v>
      </c>
      <c r="G187" s="255">
        <v>1.0118</v>
      </c>
      <c r="H187" s="256">
        <v>0.0861</v>
      </c>
      <c r="I187" s="257">
        <v>5.0</v>
      </c>
      <c r="J187" s="258" t="s">
        <v>1668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252" t="s">
        <v>729</v>
      </c>
      <c r="C188" s="253" t="s">
        <v>728</v>
      </c>
      <c r="D188" s="253">
        <v>2.0</v>
      </c>
      <c r="E188" s="253" t="s">
        <v>593</v>
      </c>
      <c r="F188" s="254">
        <v>0.0241</v>
      </c>
      <c r="G188" s="259"/>
      <c r="H188" s="259"/>
      <c r="I188" s="259"/>
      <c r="J188" s="258" t="s">
        <v>1670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252" t="s">
        <v>729</v>
      </c>
      <c r="C189" s="253" t="s">
        <v>728</v>
      </c>
      <c r="D189" s="253">
        <v>3.0</v>
      </c>
      <c r="E189" s="253" t="s">
        <v>767</v>
      </c>
      <c r="F189" s="254">
        <v>0.0016</v>
      </c>
      <c r="G189" s="259"/>
      <c r="H189" s="259"/>
      <c r="I189" s="259"/>
      <c r="J189" s="258" t="s">
        <v>2684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/>
      <c r="B190" s="252" t="s">
        <v>666</v>
      </c>
      <c r="C190" s="253" t="s">
        <v>665</v>
      </c>
      <c r="D190" s="253">
        <v>1.0</v>
      </c>
      <c r="E190" s="253" t="s">
        <v>782</v>
      </c>
      <c r="F190" s="254">
        <v>0.4797</v>
      </c>
      <c r="G190" s="255">
        <v>1.0211</v>
      </c>
      <c r="H190" s="259"/>
      <c r="I190" s="257">
        <v>2.0</v>
      </c>
      <c r="J190" s="258" t="s">
        <v>2352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/>
      <c r="B191" s="252" t="s">
        <v>666</v>
      </c>
      <c r="C191" s="253" t="s">
        <v>665</v>
      </c>
      <c r="D191" s="253">
        <v>2.0</v>
      </c>
      <c r="E191" s="253" t="s">
        <v>395</v>
      </c>
      <c r="F191" s="254">
        <v>0.3373</v>
      </c>
      <c r="G191" s="259"/>
      <c r="H191" s="256">
        <v>0.0373</v>
      </c>
      <c r="I191" s="259"/>
      <c r="J191" s="258" t="s">
        <v>2685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252" t="s">
        <v>666</v>
      </c>
      <c r="C192" s="253" t="s">
        <v>665</v>
      </c>
      <c r="D192" s="253">
        <v>3.0</v>
      </c>
      <c r="E192" s="253" t="s">
        <v>588</v>
      </c>
      <c r="F192" s="254">
        <v>0.1037</v>
      </c>
      <c r="G192" s="259"/>
      <c r="H192" s="256">
        <v>0.0037</v>
      </c>
      <c r="I192" s="259"/>
      <c r="J192" s="258" t="s">
        <v>2354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/>
      <c r="B193" s="252" t="s">
        <v>666</v>
      </c>
      <c r="C193" s="253" t="s">
        <v>665</v>
      </c>
      <c r="D193" s="253">
        <v>4.0</v>
      </c>
      <c r="E193" s="253" t="s">
        <v>579</v>
      </c>
      <c r="F193" s="254">
        <v>0.068</v>
      </c>
      <c r="G193" s="259"/>
      <c r="H193" s="256">
        <v>0.018</v>
      </c>
      <c r="I193" s="259"/>
      <c r="J193" s="258" t="s">
        <v>2360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/>
      <c r="B194" s="252" t="s">
        <v>666</v>
      </c>
      <c r="C194" s="253" t="s">
        <v>665</v>
      </c>
      <c r="D194" s="253">
        <v>5.0</v>
      </c>
      <c r="E194" s="253" t="s">
        <v>593</v>
      </c>
      <c r="F194" s="254">
        <v>0.0257</v>
      </c>
      <c r="G194" s="259"/>
      <c r="H194" s="259"/>
      <c r="I194" s="259"/>
      <c r="J194" s="258" t="s">
        <v>2362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/>
      <c r="B195" s="252" t="s">
        <v>666</v>
      </c>
      <c r="C195" s="253" t="s">
        <v>665</v>
      </c>
      <c r="D195" s="253">
        <v>6.0</v>
      </c>
      <c r="E195" s="253" t="s">
        <v>532</v>
      </c>
      <c r="F195" s="254">
        <v>0.0067</v>
      </c>
      <c r="G195" s="259"/>
      <c r="H195" s="259"/>
      <c r="I195" s="259"/>
      <c r="J195" s="258" t="s">
        <v>2356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/>
      <c r="B196" s="252" t="s">
        <v>668</v>
      </c>
      <c r="C196" s="253" t="s">
        <v>529</v>
      </c>
      <c r="D196" s="253">
        <v>1.0</v>
      </c>
      <c r="E196" s="253" t="s">
        <v>767</v>
      </c>
      <c r="F196" s="254">
        <v>0.659</v>
      </c>
      <c r="G196" s="255">
        <v>1.058</v>
      </c>
      <c r="H196" s="259"/>
      <c r="I196" s="257">
        <v>1.0</v>
      </c>
      <c r="J196" s="258" t="s">
        <v>2686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/>
      <c r="B197" s="252" t="s">
        <v>668</v>
      </c>
      <c r="C197" s="253" t="s">
        <v>529</v>
      </c>
      <c r="D197" s="253">
        <v>2.0</v>
      </c>
      <c r="E197" s="253" t="s">
        <v>750</v>
      </c>
      <c r="F197" s="254">
        <v>0.317</v>
      </c>
      <c r="G197" s="259"/>
      <c r="H197" s="256">
        <v>0.017</v>
      </c>
      <c r="I197" s="259"/>
      <c r="J197" s="258" t="s">
        <v>1504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/>
      <c r="B198" s="252" t="s">
        <v>668</v>
      </c>
      <c r="C198" s="253" t="s">
        <v>529</v>
      </c>
      <c r="D198" s="253">
        <v>3.0</v>
      </c>
      <c r="E198" s="253" t="s">
        <v>593</v>
      </c>
      <c r="F198" s="254">
        <v>0.063</v>
      </c>
      <c r="G198" s="259"/>
      <c r="H198" s="256">
        <v>0.008</v>
      </c>
      <c r="I198" s="259"/>
      <c r="J198" s="258" t="s">
        <v>1502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/>
      <c r="B199" s="252" t="s">
        <v>668</v>
      </c>
      <c r="C199" s="253" t="s">
        <v>529</v>
      </c>
      <c r="D199" s="253">
        <v>4.0</v>
      </c>
      <c r="E199" s="253" t="s">
        <v>757</v>
      </c>
      <c r="F199" s="254">
        <v>0.019</v>
      </c>
      <c r="G199" s="259"/>
      <c r="H199" s="256">
        <v>0.004</v>
      </c>
      <c r="I199" s="259"/>
      <c r="J199" s="258" t="s">
        <v>1506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/>
      <c r="B200" s="260" t="s">
        <v>658</v>
      </c>
      <c r="C200" s="261" t="s">
        <v>657</v>
      </c>
      <c r="D200" s="261" t="s">
        <v>656</v>
      </c>
      <c r="E200" s="261" t="s">
        <v>2687</v>
      </c>
      <c r="F200" s="262">
        <v>0.00348</v>
      </c>
      <c r="G200" s="263"/>
      <c r="H200" s="263"/>
      <c r="I200" s="263"/>
      <c r="J200" s="264" t="s">
        <v>2688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/>
      <c r="B201" s="260" t="s">
        <v>751</v>
      </c>
      <c r="C201" s="261" t="s">
        <v>750</v>
      </c>
      <c r="D201" s="261" t="s">
        <v>656</v>
      </c>
      <c r="E201" s="261" t="s">
        <v>2689</v>
      </c>
      <c r="F201" s="262">
        <v>4.28E-4</v>
      </c>
      <c r="G201" s="263"/>
      <c r="H201" s="263"/>
      <c r="I201" s="263"/>
      <c r="J201" s="264" t="s">
        <v>2690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260" t="s">
        <v>700</v>
      </c>
      <c r="C202" s="261" t="s">
        <v>699</v>
      </c>
      <c r="D202" s="261" t="s">
        <v>656</v>
      </c>
      <c r="E202" s="261" t="s">
        <v>2689</v>
      </c>
      <c r="F202" s="262">
        <v>0.050802</v>
      </c>
      <c r="G202" s="263"/>
      <c r="H202" s="263"/>
      <c r="I202" s="263"/>
      <c r="J202" s="264" t="s">
        <v>2691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260" t="s">
        <v>758</v>
      </c>
      <c r="C203" s="261" t="s">
        <v>757</v>
      </c>
      <c r="D203" s="261" t="s">
        <v>656</v>
      </c>
      <c r="E203" s="261" t="s">
        <v>2687</v>
      </c>
      <c r="F203" s="262">
        <v>0.002217</v>
      </c>
      <c r="G203" s="263"/>
      <c r="H203" s="263"/>
      <c r="I203" s="263"/>
      <c r="J203" s="264" t="s">
        <v>2692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260" t="s">
        <v>766</v>
      </c>
      <c r="C204" s="261" t="s">
        <v>765</v>
      </c>
      <c r="D204" s="261" t="s">
        <v>656</v>
      </c>
      <c r="E204" s="261" t="s">
        <v>2687</v>
      </c>
      <c r="F204" s="262">
        <v>2.28E-4</v>
      </c>
      <c r="G204" s="263"/>
      <c r="H204" s="263"/>
      <c r="I204" s="263"/>
      <c r="J204" s="264" t="s">
        <v>2693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/>
      <c r="B205" s="260" t="s">
        <v>764</v>
      </c>
      <c r="C205" s="261" t="s">
        <v>763</v>
      </c>
      <c r="D205" s="261" t="s">
        <v>656</v>
      </c>
      <c r="E205" s="261" t="s">
        <v>2687</v>
      </c>
      <c r="F205" s="262">
        <v>8.59E-4</v>
      </c>
      <c r="G205" s="263"/>
      <c r="H205" s="263"/>
      <c r="I205" s="263"/>
      <c r="J205" s="264" t="s">
        <v>2694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1"/>
      <c r="B206" s="260" t="s">
        <v>679</v>
      </c>
      <c r="C206" s="261" t="s">
        <v>678</v>
      </c>
      <c r="D206" s="261" t="s">
        <v>656</v>
      </c>
      <c r="E206" s="261" t="s">
        <v>2689</v>
      </c>
      <c r="F206" s="262">
        <v>0.051011</v>
      </c>
      <c r="G206" s="263"/>
      <c r="H206" s="263"/>
      <c r="I206" s="263"/>
      <c r="J206" s="264" t="s">
        <v>1368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1"/>
      <c r="B207" s="260" t="s">
        <v>677</v>
      </c>
      <c r="C207" s="261" t="s">
        <v>676</v>
      </c>
      <c r="D207" s="261" t="s">
        <v>656</v>
      </c>
      <c r="E207" s="261" t="s">
        <v>2689</v>
      </c>
      <c r="F207" s="262">
        <v>0.050999</v>
      </c>
      <c r="G207" s="263"/>
      <c r="H207" s="263"/>
      <c r="I207" s="263"/>
      <c r="J207" s="264" t="s">
        <v>2695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1"/>
      <c r="B208" s="260" t="s">
        <v>683</v>
      </c>
      <c r="C208" s="261" t="s">
        <v>381</v>
      </c>
      <c r="D208" s="261" t="s">
        <v>656</v>
      </c>
      <c r="E208" s="261" t="s">
        <v>2689</v>
      </c>
      <c r="F208" s="262">
        <v>0.049941</v>
      </c>
      <c r="G208" s="263"/>
      <c r="H208" s="263"/>
      <c r="I208" s="263"/>
      <c r="J208" s="264" t="s">
        <v>976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1"/>
      <c r="B209" s="260" t="s">
        <v>682</v>
      </c>
      <c r="C209" s="261" t="s">
        <v>681</v>
      </c>
      <c r="D209" s="261" t="s">
        <v>656</v>
      </c>
      <c r="E209" s="261" t="s">
        <v>2689</v>
      </c>
      <c r="F209" s="262">
        <v>0.040058</v>
      </c>
      <c r="G209" s="263"/>
      <c r="H209" s="263"/>
      <c r="I209" s="263"/>
      <c r="J209" s="264" t="s">
        <v>2696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1"/>
      <c r="B210" s="260" t="s">
        <v>755</v>
      </c>
      <c r="C210" s="261" t="s">
        <v>525</v>
      </c>
      <c r="D210" s="261" t="s">
        <v>656</v>
      </c>
      <c r="E210" s="261" t="s">
        <v>2689</v>
      </c>
      <c r="F210" s="262">
        <v>0.038517</v>
      </c>
      <c r="G210" s="263"/>
      <c r="H210" s="263"/>
      <c r="I210" s="263"/>
      <c r="J210" s="264" t="s">
        <v>1324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1"/>
      <c r="B211" s="260" t="s">
        <v>755</v>
      </c>
      <c r="C211" s="261" t="s">
        <v>525</v>
      </c>
      <c r="D211" s="261" t="s">
        <v>656</v>
      </c>
      <c r="E211" s="261" t="s">
        <v>2687</v>
      </c>
      <c r="F211" s="262">
        <v>1.82E-4</v>
      </c>
      <c r="G211" s="263"/>
      <c r="H211" s="263"/>
      <c r="I211" s="263"/>
      <c r="J211" s="264" t="s">
        <v>1326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0" customHeight="1">
      <c r="A212" s="1"/>
      <c r="B212" s="260" t="s">
        <v>733</v>
      </c>
      <c r="C212" s="261" t="s">
        <v>732</v>
      </c>
      <c r="D212" s="261" t="s">
        <v>656</v>
      </c>
      <c r="E212" s="261" t="s">
        <v>2687</v>
      </c>
      <c r="F212" s="262">
        <v>0.005586</v>
      </c>
      <c r="G212" s="263"/>
      <c r="H212" s="263"/>
      <c r="I212" s="263"/>
      <c r="J212" s="264" t="s">
        <v>1640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/>
      <c r="B213" s="260" t="s">
        <v>733</v>
      </c>
      <c r="C213" s="261" t="s">
        <v>732</v>
      </c>
      <c r="D213" s="261" t="s">
        <v>656</v>
      </c>
      <c r="E213" s="261" t="s">
        <v>2689</v>
      </c>
      <c r="F213" s="262">
        <v>0.003448</v>
      </c>
      <c r="G213" s="263"/>
      <c r="H213" s="263"/>
      <c r="I213" s="263"/>
      <c r="J213" s="264" t="s">
        <v>1642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260" t="s">
        <v>735</v>
      </c>
      <c r="C214" s="261" t="s">
        <v>385</v>
      </c>
      <c r="D214" s="261" t="s">
        <v>656</v>
      </c>
      <c r="E214" s="261" t="s">
        <v>2687</v>
      </c>
      <c r="F214" s="262">
        <v>0.005776</v>
      </c>
      <c r="G214" s="263"/>
      <c r="H214" s="263"/>
      <c r="I214" s="263"/>
      <c r="J214" s="264" t="s">
        <v>1652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/>
      <c r="B215" s="260" t="s">
        <v>735</v>
      </c>
      <c r="C215" s="261" t="s">
        <v>385</v>
      </c>
      <c r="D215" s="261" t="s">
        <v>656</v>
      </c>
      <c r="E215" s="261" t="s">
        <v>2689</v>
      </c>
      <c r="F215" s="262">
        <v>0.001828</v>
      </c>
      <c r="G215" s="263"/>
      <c r="H215" s="263"/>
      <c r="I215" s="263"/>
      <c r="J215" s="264" t="s">
        <v>1654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/>
      <c r="B216" s="260" t="s">
        <v>738</v>
      </c>
      <c r="C216" s="261" t="s">
        <v>737</v>
      </c>
      <c r="D216" s="261" t="s">
        <v>656</v>
      </c>
      <c r="E216" s="261" t="s">
        <v>2687</v>
      </c>
      <c r="F216" s="262">
        <v>6.9E-4</v>
      </c>
      <c r="G216" s="263"/>
      <c r="H216" s="263"/>
      <c r="I216" s="263"/>
      <c r="J216" s="264" t="s">
        <v>1664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/>
      <c r="B217" s="260" t="s">
        <v>738</v>
      </c>
      <c r="C217" s="261" t="s">
        <v>737</v>
      </c>
      <c r="D217" s="261" t="s">
        <v>656</v>
      </c>
      <c r="E217" s="261" t="s">
        <v>2689</v>
      </c>
      <c r="F217" s="262">
        <v>0.055614</v>
      </c>
      <c r="G217" s="263"/>
      <c r="H217" s="263"/>
      <c r="I217" s="263"/>
      <c r="J217" s="264" t="s">
        <v>1666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/>
      <c r="B218" s="260" t="s">
        <v>729</v>
      </c>
      <c r="C218" s="261" t="s">
        <v>728</v>
      </c>
      <c r="D218" s="261" t="s">
        <v>656</v>
      </c>
      <c r="E218" s="261" t="s">
        <v>2687</v>
      </c>
      <c r="F218" s="262">
        <v>0.007146</v>
      </c>
      <c r="G218" s="263"/>
      <c r="H218" s="263"/>
      <c r="I218" s="263"/>
      <c r="J218" s="264" t="s">
        <v>1672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1"/>
      <c r="B219" s="260" t="s">
        <v>666</v>
      </c>
      <c r="C219" s="261" t="s">
        <v>665</v>
      </c>
      <c r="D219" s="261" t="s">
        <v>656</v>
      </c>
      <c r="E219" s="261" t="s">
        <v>2689</v>
      </c>
      <c r="F219" s="262">
        <v>0.05201</v>
      </c>
      <c r="G219" s="263"/>
      <c r="H219" s="263"/>
      <c r="I219" s="263"/>
      <c r="J219" s="264" t="s">
        <v>2697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1"/>
      <c r="B220" s="260" t="s">
        <v>668</v>
      </c>
      <c r="C220" s="261" t="s">
        <v>529</v>
      </c>
      <c r="D220" s="261" t="s">
        <v>656</v>
      </c>
      <c r="E220" s="261" t="s">
        <v>2689</v>
      </c>
      <c r="F220" s="262">
        <v>0.096</v>
      </c>
      <c r="G220" s="263"/>
      <c r="H220" s="263"/>
      <c r="I220" s="263"/>
      <c r="J220" s="264" t="s">
        <v>1508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 ht="15.0" customHeight="1">
      <c r="A1" s="265" t="s">
        <v>375</v>
      </c>
      <c r="B1" s="265" t="s">
        <v>472</v>
      </c>
      <c r="C1" s="265" t="s">
        <v>2698</v>
      </c>
      <c r="D1" s="265" t="s">
        <v>957</v>
      </c>
      <c r="E1" s="265" t="s">
        <v>515</v>
      </c>
      <c r="F1" s="265" t="s">
        <v>2699</v>
      </c>
      <c r="G1" s="265" t="s">
        <v>2700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 t="s">
        <v>693</v>
      </c>
      <c r="B2" s="1" t="s">
        <v>570</v>
      </c>
      <c r="C2" s="1">
        <v>0.155643</v>
      </c>
      <c r="D2" s="1" t="s">
        <v>2701</v>
      </c>
      <c r="E2" s="266">
        <f>IFERROR(VLOOKUP(B2,'Сырьё'!$C$6:$E$233,3,FALSE()),IFERROR(VLOOKUP(B2,'Полупродукты'!$C$6:$E$60,3,FALSE()),0))</f>
        <v>3.3046</v>
      </c>
      <c r="F2" s="266">
        <f t="shared" ref="F2:F1359" si="1">C2*E2</f>
        <v>0.5143378578</v>
      </c>
      <c r="G2" s="1">
        <v>0.0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 t="s">
        <v>693</v>
      </c>
      <c r="B3" s="1" t="s">
        <v>594</v>
      </c>
      <c r="C3" s="1">
        <v>0.686907</v>
      </c>
      <c r="D3" s="1" t="s">
        <v>2702</v>
      </c>
      <c r="E3" s="266">
        <f>IFERROR(VLOOKUP(B3,'Сырьё'!$C$6:$E$233,3,FALSE()),IFERROR(VLOOKUP(B3,'Полупродукты'!$C$6:$E$60,3,FALSE()),0))</f>
        <v>1.7145</v>
      </c>
      <c r="F3" s="266">
        <f t="shared" si="1"/>
        <v>1.177702052</v>
      </c>
      <c r="G3" s="1">
        <v>0.0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 t="s">
        <v>693</v>
      </c>
      <c r="B4" s="1" t="s">
        <v>579</v>
      </c>
      <c r="C4" s="1">
        <v>0.015527</v>
      </c>
      <c r="D4" s="1" t="s">
        <v>2703</v>
      </c>
      <c r="E4" s="266">
        <f>IFERROR(VLOOKUP(B4,'Сырьё'!$C$6:$E$233,3,FALSE()),IFERROR(VLOOKUP(B4,'Полупродукты'!$C$6:$E$60,3,FALSE()),0))</f>
        <v>1.2831</v>
      </c>
      <c r="F4" s="266">
        <f t="shared" si="1"/>
        <v>0.0199226937</v>
      </c>
      <c r="G4" s="1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 t="s">
        <v>693</v>
      </c>
      <c r="B5" s="1" t="s">
        <v>591</v>
      </c>
      <c r="C5" s="1">
        <v>0.015527</v>
      </c>
      <c r="D5" s="1" t="s">
        <v>2704</v>
      </c>
      <c r="E5" s="266">
        <f>IFERROR(VLOOKUP(B5,'Сырьё'!$C$6:$E$233,3,FALSE()),IFERROR(VLOOKUP(B5,'Полупродукты'!$C$6:$E$60,3,FALSE()),0))</f>
        <v>1.9734</v>
      </c>
      <c r="F5" s="266">
        <f t="shared" si="1"/>
        <v>0.0306409818</v>
      </c>
      <c r="G5" s="1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 t="s">
        <v>693</v>
      </c>
      <c r="B6" s="1" t="s">
        <v>522</v>
      </c>
      <c r="C6" s="1">
        <v>1.32E-4</v>
      </c>
      <c r="D6" s="1" t="s">
        <v>2705</v>
      </c>
      <c r="E6" s="266">
        <f>IFERROR(VLOOKUP(B6,'Сырьё'!$C$6:$E$233,3,FALSE()),IFERROR(VLOOKUP(B6,'Полупродукты'!$C$6:$E$60,3,FALSE()),0))</f>
        <v>3.7834</v>
      </c>
      <c r="F6" s="266">
        <f t="shared" si="1"/>
        <v>0.0004994088</v>
      </c>
      <c r="G6" s="1">
        <v>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 t="s">
        <v>693</v>
      </c>
      <c r="B7" s="1" t="s">
        <v>585</v>
      </c>
      <c r="C7" s="1">
        <v>0.15862</v>
      </c>
      <c r="D7" s="1" t="s">
        <v>2706</v>
      </c>
      <c r="E7" s="266">
        <f>IFERROR(VLOOKUP(B7,'Сырьё'!$C$6:$E$233,3,FALSE()),IFERROR(VLOOKUP(B7,'Полупродукты'!$C$6:$E$60,3,FALSE()),0))</f>
        <v>6.9052</v>
      </c>
      <c r="F7" s="266">
        <f t="shared" si="1"/>
        <v>1.095302824</v>
      </c>
      <c r="G7" s="1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 t="s">
        <v>628</v>
      </c>
      <c r="B8" s="1" t="s">
        <v>594</v>
      </c>
      <c r="C8" s="1">
        <v>0.26212</v>
      </c>
      <c r="D8" s="1" t="s">
        <v>2707</v>
      </c>
      <c r="E8" s="266">
        <f>IFERROR(VLOOKUP(B8,'Сырьё'!$C$6:$E$233,3,FALSE()),IFERROR(VLOOKUP(B8,'Полупродукты'!$C$6:$E$60,3,FALSE()),0))</f>
        <v>1.7145</v>
      </c>
      <c r="F8" s="266">
        <f t="shared" si="1"/>
        <v>0.44940474</v>
      </c>
      <c r="G8" s="1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 t="s">
        <v>628</v>
      </c>
      <c r="B9" s="1" t="s">
        <v>579</v>
      </c>
      <c r="C9" s="1">
        <v>0.232466</v>
      </c>
      <c r="D9" s="1" t="s">
        <v>2708</v>
      </c>
      <c r="E9" s="266">
        <f>IFERROR(VLOOKUP(B9,'Сырьё'!$C$6:$E$233,3,FALSE()),IFERROR(VLOOKUP(B9,'Полупродукты'!$C$6:$E$60,3,FALSE()),0))</f>
        <v>1.2831</v>
      </c>
      <c r="F9" s="266">
        <f t="shared" si="1"/>
        <v>0.2982771246</v>
      </c>
      <c r="G9" s="1">
        <v>0.0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 t="s">
        <v>628</v>
      </c>
      <c r="B10" s="1" t="s">
        <v>593</v>
      </c>
      <c r="C10" s="1">
        <v>0.163667</v>
      </c>
      <c r="D10" s="1" t="s">
        <v>2709</v>
      </c>
      <c r="E10" s="266">
        <f>IFERROR(VLOOKUP(B10,'Сырьё'!$C$6:$E$233,3,FALSE()),IFERROR(VLOOKUP(B10,'Полупродукты'!$C$6:$E$60,3,FALSE()),0))</f>
        <v>1.6575</v>
      </c>
      <c r="F10" s="266">
        <f t="shared" si="1"/>
        <v>0.2712780525</v>
      </c>
      <c r="G10" s="1">
        <v>0.0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 t="s">
        <v>628</v>
      </c>
      <c r="B11" s="1" t="s">
        <v>585</v>
      </c>
      <c r="C11" s="1">
        <v>0.069216</v>
      </c>
      <c r="D11" s="1" t="s">
        <v>2710</v>
      </c>
      <c r="E11" s="266">
        <f>IFERROR(VLOOKUP(B11,'Сырьё'!$C$6:$E$233,3,FALSE()),IFERROR(VLOOKUP(B11,'Полупродукты'!$C$6:$E$60,3,FALSE()),0))</f>
        <v>6.9052</v>
      </c>
      <c r="F11" s="266">
        <f t="shared" si="1"/>
        <v>0.4779503232</v>
      </c>
      <c r="G11" s="1">
        <v>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 t="s">
        <v>628</v>
      </c>
      <c r="B12" s="1" t="s">
        <v>537</v>
      </c>
      <c r="C12" s="1">
        <v>0.011536</v>
      </c>
      <c r="D12" s="1" t="s">
        <v>2711</v>
      </c>
      <c r="E12" s="266">
        <f>IFERROR(VLOOKUP(B12,'Сырьё'!$C$6:$E$233,3,FALSE()),IFERROR(VLOOKUP(B12,'Полупродукты'!$C$6:$E$60,3,FALSE()),0))</f>
        <v>8.8284</v>
      </c>
      <c r="F12" s="266">
        <f t="shared" si="1"/>
        <v>0.1018444224</v>
      </c>
      <c r="G12" s="1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 t="s">
        <v>628</v>
      </c>
      <c r="B13" s="1" t="s">
        <v>560</v>
      </c>
      <c r="C13" s="1">
        <v>0.11536</v>
      </c>
      <c r="D13" s="1" t="s">
        <v>2712</v>
      </c>
      <c r="E13" s="266">
        <f>IFERROR(VLOOKUP(B13,'Сырьё'!$C$6:$E$233,3,FALSE()),IFERROR(VLOOKUP(B13,'Полупродукты'!$C$6:$E$60,3,FALSE()),0))</f>
        <v>0</v>
      </c>
      <c r="F13" s="266">
        <f t="shared" si="1"/>
        <v>0</v>
      </c>
      <c r="G13" s="1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 t="s">
        <v>628</v>
      </c>
      <c r="B14" s="1" t="s">
        <v>549</v>
      </c>
      <c r="C14" s="1">
        <v>0.040891</v>
      </c>
      <c r="D14" s="1" t="s">
        <v>2713</v>
      </c>
      <c r="E14" s="266">
        <f>IFERROR(VLOOKUP(B14,'Сырьё'!$C$6:$E$233,3,FALSE()),IFERROR(VLOOKUP(B14,'Полупродукты'!$C$6:$E$60,3,FALSE()),0))</f>
        <v>6.519</v>
      </c>
      <c r="F14" s="266">
        <f t="shared" si="1"/>
        <v>0.266568429</v>
      </c>
      <c r="G14" s="1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 t="s">
        <v>628</v>
      </c>
      <c r="B15" s="1" t="s">
        <v>520</v>
      </c>
      <c r="C15" s="1">
        <v>6.98E-4</v>
      </c>
      <c r="D15" s="1" t="s">
        <v>2714</v>
      </c>
      <c r="E15" s="266">
        <f>IFERROR(VLOOKUP(B15,'Сырьё'!$C$6:$E$233,3,FALSE()),IFERROR(VLOOKUP(B15,'Полупродукты'!$C$6:$E$60,3,FALSE()),0))</f>
        <v>30.1527</v>
      </c>
      <c r="F15" s="266">
        <f t="shared" si="1"/>
        <v>0.0210465846</v>
      </c>
      <c r="G15" s="1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 t="s">
        <v>628</v>
      </c>
      <c r="B16" s="1" t="s">
        <v>570</v>
      </c>
      <c r="C16" s="1">
        <v>0.036555</v>
      </c>
      <c r="D16" s="1" t="s">
        <v>2715</v>
      </c>
      <c r="E16" s="266">
        <f>IFERROR(VLOOKUP(B16,'Сырьё'!$C$6:$E$233,3,FALSE()),IFERROR(VLOOKUP(B16,'Полупродукты'!$C$6:$E$60,3,FALSE()),0))</f>
        <v>3.3046</v>
      </c>
      <c r="F16" s="266">
        <f t="shared" si="1"/>
        <v>0.120799653</v>
      </c>
      <c r="G16" s="1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 t="s">
        <v>628</v>
      </c>
      <c r="B17" s="1" t="s">
        <v>569</v>
      </c>
      <c r="C17" s="1">
        <v>0.027748</v>
      </c>
      <c r="D17" s="1" t="s">
        <v>2716</v>
      </c>
      <c r="E17" s="266">
        <f>IFERROR(VLOOKUP(B17,'Сырьё'!$C$6:$E$233,3,FALSE()),IFERROR(VLOOKUP(B17,'Полупродукты'!$C$6:$E$60,3,FALSE()),0))</f>
        <v>3.2853</v>
      </c>
      <c r="F17" s="266">
        <f t="shared" si="1"/>
        <v>0.0911605044</v>
      </c>
      <c r="G17" s="1">
        <v>0.0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 t="s">
        <v>628</v>
      </c>
      <c r="B18" s="1" t="s">
        <v>591</v>
      </c>
      <c r="C18" s="1">
        <v>0.015651</v>
      </c>
      <c r="D18" s="1" t="s">
        <v>2717</v>
      </c>
      <c r="E18" s="266">
        <f>IFERROR(VLOOKUP(B18,'Сырьё'!$C$6:$E$233,3,FALSE()),IFERROR(VLOOKUP(B18,'Полупродукты'!$C$6:$E$60,3,FALSE()),0))</f>
        <v>1.9734</v>
      </c>
      <c r="F18" s="266">
        <f t="shared" si="1"/>
        <v>0.0308856834</v>
      </c>
      <c r="G18" s="1">
        <v>0.0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 t="s">
        <v>628</v>
      </c>
      <c r="B19" s="1" t="s">
        <v>532</v>
      </c>
      <c r="C19" s="1">
        <v>0.005516</v>
      </c>
      <c r="D19" s="1" t="s">
        <v>2718</v>
      </c>
      <c r="E19" s="266">
        <f>IFERROR(VLOOKUP(B19,'Сырьё'!$C$6:$E$233,3,FALSE()),IFERROR(VLOOKUP(B19,'Полупродукты'!$C$6:$E$60,3,FALSE()),0))</f>
        <v>2.337</v>
      </c>
      <c r="F19" s="266">
        <f t="shared" si="1"/>
        <v>0.012890892</v>
      </c>
      <c r="G19" s="1">
        <v>0.0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 t="s">
        <v>628</v>
      </c>
      <c r="B20" s="1" t="s">
        <v>573</v>
      </c>
      <c r="C20" s="1">
        <v>0.0515</v>
      </c>
      <c r="D20" s="1" t="s">
        <v>1786</v>
      </c>
      <c r="E20" s="266">
        <f>IFERROR(VLOOKUP(B20,'Сырьё'!$C$6:$E$233,3,FALSE()),IFERROR(VLOOKUP(B20,'Полупродукты'!$C$6:$E$60,3,FALSE()),0))</f>
        <v>4.7016</v>
      </c>
      <c r="F20" s="266">
        <f t="shared" si="1"/>
        <v>0.2421324</v>
      </c>
      <c r="G20" s="1">
        <v>0.0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 t="s">
        <v>653</v>
      </c>
      <c r="B21" s="1" t="s">
        <v>579</v>
      </c>
      <c r="C21" s="1">
        <v>0.185807</v>
      </c>
      <c r="D21" s="1" t="s">
        <v>2719</v>
      </c>
      <c r="E21" s="266">
        <f>IFERROR(VLOOKUP(B21,'Сырьё'!$C$6:$E$233,3,FALSE()),IFERROR(VLOOKUP(B21,'Полупродукты'!$C$6:$E$60,3,FALSE()),0))</f>
        <v>1.2831</v>
      </c>
      <c r="F21" s="266">
        <f t="shared" si="1"/>
        <v>0.2384089617</v>
      </c>
      <c r="G21" s="1">
        <v>0.0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 t="s">
        <v>653</v>
      </c>
      <c r="B22" s="1" t="s">
        <v>594</v>
      </c>
      <c r="C22" s="1">
        <v>0.238476</v>
      </c>
      <c r="D22" s="1" t="s">
        <v>2720</v>
      </c>
      <c r="E22" s="266">
        <f>IFERROR(VLOOKUP(B22,'Сырьё'!$C$6:$E$233,3,FALSE()),IFERROR(VLOOKUP(B22,'Полупродукты'!$C$6:$E$60,3,FALSE()),0))</f>
        <v>1.7145</v>
      </c>
      <c r="F22" s="266">
        <f t="shared" si="1"/>
        <v>0.408867102</v>
      </c>
      <c r="G22" s="1">
        <v>0.0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 t="s">
        <v>653</v>
      </c>
      <c r="B23" s="1" t="s">
        <v>593</v>
      </c>
      <c r="C23" s="1">
        <v>0.133912</v>
      </c>
      <c r="D23" s="1" t="s">
        <v>2721</v>
      </c>
      <c r="E23" s="266">
        <f>IFERROR(VLOOKUP(B23,'Сырьё'!$C$6:$E$233,3,FALSE()),IFERROR(VLOOKUP(B23,'Полупродукты'!$C$6:$E$60,3,FALSE()),0))</f>
        <v>1.6575</v>
      </c>
      <c r="F23" s="266">
        <f t="shared" si="1"/>
        <v>0.22195914</v>
      </c>
      <c r="G23" s="1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 t="s">
        <v>653</v>
      </c>
      <c r="B24" s="1" t="s">
        <v>549</v>
      </c>
      <c r="C24" s="1">
        <v>0.135507</v>
      </c>
      <c r="D24" s="1" t="s">
        <v>2722</v>
      </c>
      <c r="E24" s="266">
        <f>IFERROR(VLOOKUP(B24,'Сырьё'!$C$6:$E$233,3,FALSE()),IFERROR(VLOOKUP(B24,'Полупродукты'!$C$6:$E$60,3,FALSE()),0))</f>
        <v>6.519</v>
      </c>
      <c r="F24" s="266">
        <f t="shared" si="1"/>
        <v>0.883370133</v>
      </c>
      <c r="G24" s="1">
        <v>0.0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 t="s">
        <v>653</v>
      </c>
      <c r="B25" s="1" t="s">
        <v>554</v>
      </c>
      <c r="C25" s="1">
        <v>0.093215</v>
      </c>
      <c r="D25" s="1" t="s">
        <v>2723</v>
      </c>
      <c r="E25" s="266">
        <f>IFERROR(VLOOKUP(B25,'Сырьё'!$C$6:$E$233,3,FALSE()),IFERROR(VLOOKUP(B25,'Полупродукты'!$C$6:$E$60,3,FALSE()),0))</f>
        <v>7.3406</v>
      </c>
      <c r="F25" s="266">
        <f t="shared" si="1"/>
        <v>0.684254029</v>
      </c>
      <c r="G25" s="1">
        <v>0.0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 t="s">
        <v>653</v>
      </c>
      <c r="B26" s="1" t="s">
        <v>520</v>
      </c>
      <c r="C26" s="1">
        <v>8.5E-5</v>
      </c>
      <c r="D26" s="1" t="s">
        <v>2724</v>
      </c>
      <c r="E26" s="266">
        <f>IFERROR(VLOOKUP(B26,'Сырьё'!$C$6:$E$233,3,FALSE()),IFERROR(VLOOKUP(B26,'Полупродукты'!$C$6:$E$60,3,FALSE()),0))</f>
        <v>30.1527</v>
      </c>
      <c r="F26" s="266">
        <f t="shared" si="1"/>
        <v>0.0025629795</v>
      </c>
      <c r="G26" s="1">
        <v>0.0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 t="s">
        <v>653</v>
      </c>
      <c r="B27" s="1" t="s">
        <v>441</v>
      </c>
      <c r="C27" s="1">
        <v>0.01648</v>
      </c>
      <c r="D27" s="1" t="s">
        <v>1094</v>
      </c>
      <c r="E27" s="266">
        <f>IFERROR(VLOOKUP(B27,'Сырьё'!$C$6:$E$233,3,FALSE()),IFERROR(VLOOKUP(B27,'Полупродукты'!$C$6:$E$60,3,FALSE()),0))</f>
        <v>3.6225</v>
      </c>
      <c r="F27" s="266">
        <f t="shared" si="1"/>
        <v>0.0596988</v>
      </c>
      <c r="G27" s="1">
        <v>1.0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 t="s">
        <v>653</v>
      </c>
      <c r="B28" s="1" t="s">
        <v>431</v>
      </c>
      <c r="C28" s="1">
        <v>0.13802</v>
      </c>
      <c r="D28" s="1" t="s">
        <v>1096</v>
      </c>
      <c r="E28" s="266">
        <f>IFERROR(VLOOKUP(B28,'Сырьё'!$C$6:$E$233,3,FALSE()),IFERROR(VLOOKUP(B28,'Полупродукты'!$C$6:$E$60,3,FALSE()),0))</f>
        <v>8.7213</v>
      </c>
      <c r="F28" s="266">
        <f t="shared" si="1"/>
        <v>1.203713826</v>
      </c>
      <c r="G28" s="1">
        <v>1.0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 t="s">
        <v>653</v>
      </c>
      <c r="B29" s="1" t="s">
        <v>570</v>
      </c>
      <c r="C29" s="1">
        <v>0.069618</v>
      </c>
      <c r="D29" s="1" t="s">
        <v>2725</v>
      </c>
      <c r="E29" s="266">
        <f>IFERROR(VLOOKUP(B29,'Сырьё'!$C$6:$E$233,3,FALSE()),IFERROR(VLOOKUP(B29,'Полупродукты'!$C$6:$E$60,3,FALSE()),0))</f>
        <v>3.3046</v>
      </c>
      <c r="F29" s="266">
        <f t="shared" si="1"/>
        <v>0.2300596428</v>
      </c>
      <c r="G29" s="1">
        <v>0.0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 t="s">
        <v>653</v>
      </c>
      <c r="B30" s="1" t="s">
        <v>591</v>
      </c>
      <c r="C30" s="1">
        <v>0.01589</v>
      </c>
      <c r="D30" s="1" t="s">
        <v>2726</v>
      </c>
      <c r="E30" s="266">
        <f>IFERROR(VLOOKUP(B30,'Сырьё'!$C$6:$E$233,3,FALSE()),IFERROR(VLOOKUP(B30,'Полупродукты'!$C$6:$E$60,3,FALSE()),0))</f>
        <v>1.9734</v>
      </c>
      <c r="F30" s="266">
        <f t="shared" si="1"/>
        <v>0.031357326</v>
      </c>
      <c r="G30" s="1">
        <v>0.0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 t="s">
        <v>653</v>
      </c>
      <c r="B31" s="1" t="s">
        <v>532</v>
      </c>
      <c r="C31" s="1">
        <v>0.005531</v>
      </c>
      <c r="D31" s="1" t="s">
        <v>2727</v>
      </c>
      <c r="E31" s="266">
        <f>IFERROR(VLOOKUP(B31,'Сырьё'!$C$6:$E$233,3,FALSE()),IFERROR(VLOOKUP(B31,'Полупродукты'!$C$6:$E$60,3,FALSE()),0))</f>
        <v>2.337</v>
      </c>
      <c r="F31" s="266">
        <f t="shared" si="1"/>
        <v>0.012925947</v>
      </c>
      <c r="G31" s="1">
        <v>0.0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 t="s">
        <v>454</v>
      </c>
      <c r="B32" s="1" t="s">
        <v>441</v>
      </c>
      <c r="C32" s="1">
        <v>0.8034</v>
      </c>
      <c r="D32" s="1" t="s">
        <v>1170</v>
      </c>
      <c r="E32" s="266">
        <f>IFERROR(VLOOKUP(B32,'Сырьё'!$C$6:$E$233,3,FALSE()),IFERROR(VLOOKUP(B32,'Полупродукты'!$C$6:$E$60,3,FALSE()),0))</f>
        <v>3.6225</v>
      </c>
      <c r="F32" s="266">
        <f t="shared" si="1"/>
        <v>2.9103165</v>
      </c>
      <c r="G32" s="1">
        <v>1.0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 t="s">
        <v>454</v>
      </c>
      <c r="B33" s="1" t="s">
        <v>570</v>
      </c>
      <c r="C33" s="1">
        <v>0.055694</v>
      </c>
      <c r="D33" s="1" t="s">
        <v>2728</v>
      </c>
      <c r="E33" s="266">
        <f>IFERROR(VLOOKUP(B33,'Сырьё'!$C$6:$E$233,3,FALSE()),IFERROR(VLOOKUP(B33,'Полупродукты'!$C$6:$E$60,3,FALSE()),0))</f>
        <v>3.3046</v>
      </c>
      <c r="F33" s="266">
        <f t="shared" si="1"/>
        <v>0.1840463924</v>
      </c>
      <c r="G33" s="1">
        <v>0.0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 t="s">
        <v>454</v>
      </c>
      <c r="B34" s="1" t="s">
        <v>594</v>
      </c>
      <c r="C34" s="1">
        <v>0.097702</v>
      </c>
      <c r="D34" s="1" t="s">
        <v>1178</v>
      </c>
      <c r="E34" s="266">
        <f>IFERROR(VLOOKUP(B34,'Сырьё'!$C$6:$E$233,3,FALSE()),IFERROR(VLOOKUP(B34,'Полупродукты'!$C$6:$E$60,3,FALSE()),0))</f>
        <v>1.7145</v>
      </c>
      <c r="F34" s="266">
        <f t="shared" si="1"/>
        <v>0.167510079</v>
      </c>
      <c r="G34" s="1">
        <v>0.0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 t="s">
        <v>454</v>
      </c>
      <c r="B35" s="1" t="s">
        <v>579</v>
      </c>
      <c r="C35" s="1">
        <v>0.028471</v>
      </c>
      <c r="D35" s="1" t="s">
        <v>2729</v>
      </c>
      <c r="E35" s="266">
        <f>IFERROR(VLOOKUP(B35,'Сырьё'!$C$6:$E$233,3,FALSE()),IFERROR(VLOOKUP(B35,'Полупродукты'!$C$6:$E$60,3,FALSE()),0))</f>
        <v>1.2831</v>
      </c>
      <c r="F35" s="266">
        <f t="shared" si="1"/>
        <v>0.0365311401</v>
      </c>
      <c r="G35" s="1">
        <v>0.0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 t="s">
        <v>454</v>
      </c>
      <c r="B36" s="1" t="s">
        <v>591</v>
      </c>
      <c r="C36" s="1">
        <v>0.012712</v>
      </c>
      <c r="D36" s="1" t="s">
        <v>2730</v>
      </c>
      <c r="E36" s="266">
        <f>IFERROR(VLOOKUP(B36,'Сырьё'!$C$6:$E$233,3,FALSE()),IFERROR(VLOOKUP(B36,'Полупродукты'!$C$6:$E$60,3,FALSE()),0))</f>
        <v>1.9734</v>
      </c>
      <c r="F36" s="266">
        <f t="shared" si="1"/>
        <v>0.0250858608</v>
      </c>
      <c r="G36" s="1">
        <v>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 t="s">
        <v>454</v>
      </c>
      <c r="B37" s="1" t="s">
        <v>532</v>
      </c>
      <c r="C37" s="1">
        <v>0.004425</v>
      </c>
      <c r="D37" s="1" t="s">
        <v>2731</v>
      </c>
      <c r="E37" s="266">
        <f>IFERROR(VLOOKUP(B37,'Сырьё'!$C$6:$E$233,3,FALSE()),IFERROR(VLOOKUP(B37,'Полупродукты'!$C$6:$E$60,3,FALSE()),0))</f>
        <v>2.337</v>
      </c>
      <c r="F37" s="266">
        <f t="shared" si="1"/>
        <v>0.010341225</v>
      </c>
      <c r="G37" s="1">
        <v>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 t="s">
        <v>454</v>
      </c>
      <c r="B38" s="1" t="s">
        <v>549</v>
      </c>
      <c r="C38" s="1">
        <v>0.012875</v>
      </c>
      <c r="D38" s="1" t="s">
        <v>2732</v>
      </c>
      <c r="E38" s="266">
        <f>IFERROR(VLOOKUP(B38,'Сырьё'!$C$6:$E$233,3,FALSE()),IFERROR(VLOOKUP(B38,'Полупродукты'!$C$6:$E$60,3,FALSE()),0))</f>
        <v>6.519</v>
      </c>
      <c r="F38" s="266">
        <f t="shared" si="1"/>
        <v>0.083932125</v>
      </c>
      <c r="G38" s="1">
        <v>0.0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 t="s">
        <v>454</v>
      </c>
      <c r="B39" s="1" t="s">
        <v>593</v>
      </c>
      <c r="C39" s="1">
        <v>0.011536</v>
      </c>
      <c r="D39" s="1" t="s">
        <v>2733</v>
      </c>
      <c r="E39" s="266">
        <f>IFERROR(VLOOKUP(B39,'Сырьё'!$C$6:$E$233,3,FALSE()),IFERROR(VLOOKUP(B39,'Полупродукты'!$C$6:$E$60,3,FALSE()),0))</f>
        <v>1.6575</v>
      </c>
      <c r="F39" s="266">
        <f t="shared" si="1"/>
        <v>0.01912092</v>
      </c>
      <c r="G39" s="1">
        <v>0.0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 t="s">
        <v>454</v>
      </c>
      <c r="B40" s="1" t="s">
        <v>571</v>
      </c>
      <c r="C40" s="1">
        <v>0.00515</v>
      </c>
      <c r="D40" s="1" t="s">
        <v>1176</v>
      </c>
      <c r="E40" s="266">
        <f>IFERROR(VLOOKUP(B40,'Сырьё'!$C$6:$E$233,3,FALSE()),IFERROR(VLOOKUP(B40,'Полупродукты'!$C$6:$E$60,3,FALSE()),0))</f>
        <v>14.556</v>
      </c>
      <c r="F40" s="266">
        <f t="shared" si="1"/>
        <v>0.0749634</v>
      </c>
      <c r="G40" s="1">
        <v>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 t="s">
        <v>425</v>
      </c>
      <c r="B41" s="1" t="s">
        <v>425</v>
      </c>
      <c r="C41" s="1">
        <v>1.0</v>
      </c>
      <c r="D41" s="1" t="s">
        <v>2734</v>
      </c>
      <c r="E41" s="266">
        <f>IFERROR(VLOOKUP(B41,'Сырьё'!$C$6:$E$233,3,FALSE()),IFERROR(VLOOKUP(B41,'Полупродукты'!$C$6:$E$60,3,FALSE()),0))</f>
        <v>2.1642</v>
      </c>
      <c r="F41" s="266">
        <f t="shared" si="1"/>
        <v>2.1642</v>
      </c>
      <c r="G41" s="1">
        <v>1.0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 t="s">
        <v>625</v>
      </c>
      <c r="B42" s="1" t="s">
        <v>586</v>
      </c>
      <c r="C42" s="1">
        <v>0.069128</v>
      </c>
      <c r="D42" s="1" t="s">
        <v>2735</v>
      </c>
      <c r="E42" s="266">
        <f>IFERROR(VLOOKUP(B42,'Сырьё'!$C$6:$E$233,3,FALSE()),IFERROR(VLOOKUP(B42,'Полупродукты'!$C$6:$E$60,3,FALSE()),0))</f>
        <v>53.4751</v>
      </c>
      <c r="F42" s="266">
        <f t="shared" si="1"/>
        <v>3.696626713</v>
      </c>
      <c r="G42" s="1">
        <v>0.0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 t="s">
        <v>625</v>
      </c>
      <c r="B43" s="1" t="s">
        <v>550</v>
      </c>
      <c r="C43" s="1">
        <v>0.041509</v>
      </c>
      <c r="D43" s="1" t="s">
        <v>2736</v>
      </c>
      <c r="E43" s="266">
        <f>IFERROR(VLOOKUP(B43,'Сырьё'!$C$6:$E$233,3,FALSE()),IFERROR(VLOOKUP(B43,'Полупродукты'!$C$6:$E$60,3,FALSE()),0))</f>
        <v>0</v>
      </c>
      <c r="F43" s="266">
        <f t="shared" si="1"/>
        <v>0</v>
      </c>
      <c r="G43" s="1">
        <v>0.0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 t="s">
        <v>625</v>
      </c>
      <c r="B44" s="1" t="s">
        <v>594</v>
      </c>
      <c r="C44" s="1">
        <v>0.27741</v>
      </c>
      <c r="D44" s="1" t="s">
        <v>2737</v>
      </c>
      <c r="E44" s="266">
        <f>IFERROR(VLOOKUP(B44,'Сырьё'!$C$6:$E$233,3,FALSE()),IFERROR(VLOOKUP(B44,'Полупродукты'!$C$6:$E$60,3,FALSE()),0))</f>
        <v>1.7145</v>
      </c>
      <c r="F44" s="266">
        <f t="shared" si="1"/>
        <v>0.475619445</v>
      </c>
      <c r="G44" s="1">
        <v>0.0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 t="s">
        <v>625</v>
      </c>
      <c r="B45" s="1" t="s">
        <v>579</v>
      </c>
      <c r="C45" s="1">
        <v>0.196812</v>
      </c>
      <c r="D45" s="1" t="s">
        <v>2738</v>
      </c>
      <c r="E45" s="266">
        <f>IFERROR(VLOOKUP(B45,'Сырьё'!$C$6:$E$233,3,FALSE()),IFERROR(VLOOKUP(B45,'Полупродукты'!$C$6:$E$60,3,FALSE()),0))</f>
        <v>1.2831</v>
      </c>
      <c r="F45" s="266">
        <f t="shared" si="1"/>
        <v>0.2525294772</v>
      </c>
      <c r="G45" s="1">
        <v>0.0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 t="s">
        <v>625</v>
      </c>
      <c r="B46" s="1" t="s">
        <v>593</v>
      </c>
      <c r="C46" s="1">
        <v>0.117997</v>
      </c>
      <c r="D46" s="1" t="s">
        <v>2739</v>
      </c>
      <c r="E46" s="266">
        <f>IFERROR(VLOOKUP(B46,'Сырьё'!$C$6:$E$233,3,FALSE()),IFERROR(VLOOKUP(B46,'Полупродукты'!$C$6:$E$60,3,FALSE()),0))</f>
        <v>1.6575</v>
      </c>
      <c r="F46" s="266">
        <f t="shared" si="1"/>
        <v>0.1955800275</v>
      </c>
      <c r="G46" s="1">
        <v>0.0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 t="s">
        <v>625</v>
      </c>
      <c r="B47" s="1" t="s">
        <v>537</v>
      </c>
      <c r="C47" s="1">
        <v>0.006865</v>
      </c>
      <c r="D47" s="1" t="s">
        <v>2740</v>
      </c>
      <c r="E47" s="266">
        <f>IFERROR(VLOOKUP(B47,'Сырьё'!$C$6:$E$233,3,FALSE()),IFERROR(VLOOKUP(B47,'Полупродукты'!$C$6:$E$60,3,FALSE()),0))</f>
        <v>8.8284</v>
      </c>
      <c r="F47" s="266">
        <f t="shared" si="1"/>
        <v>0.060606966</v>
      </c>
      <c r="G47" s="1">
        <v>0.0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 t="s">
        <v>625</v>
      </c>
      <c r="B48" s="1" t="s">
        <v>431</v>
      </c>
      <c r="C48" s="1">
        <v>0.103</v>
      </c>
      <c r="D48" s="1" t="s">
        <v>1548</v>
      </c>
      <c r="E48" s="266">
        <f>IFERROR(VLOOKUP(B48,'Сырьё'!$C$6:$E$233,3,FALSE()),IFERROR(VLOOKUP(B48,'Полупродукты'!$C$6:$E$60,3,FALSE()),0))</f>
        <v>8.7213</v>
      </c>
      <c r="F48" s="266">
        <f t="shared" si="1"/>
        <v>0.8982939</v>
      </c>
      <c r="G48" s="1">
        <v>1.0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 t="s">
        <v>625</v>
      </c>
      <c r="B49" s="1" t="s">
        <v>570</v>
      </c>
      <c r="C49" s="1">
        <v>0.155643</v>
      </c>
      <c r="D49" s="1" t="s">
        <v>2741</v>
      </c>
      <c r="E49" s="266">
        <f>IFERROR(VLOOKUP(B49,'Сырьё'!$C$6:$E$233,3,FALSE()),IFERROR(VLOOKUP(B49,'Полупродукты'!$C$6:$E$60,3,FALSE()),0))</f>
        <v>3.3046</v>
      </c>
      <c r="F49" s="266">
        <f t="shared" si="1"/>
        <v>0.5143378578</v>
      </c>
      <c r="G49" s="1">
        <v>0.0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 t="s">
        <v>625</v>
      </c>
      <c r="B50" s="1" t="s">
        <v>591</v>
      </c>
      <c r="C50" s="1">
        <v>0.015527</v>
      </c>
      <c r="D50" s="1" t="s">
        <v>2742</v>
      </c>
      <c r="E50" s="266">
        <f>IFERROR(VLOOKUP(B50,'Сырьё'!$C$6:$E$233,3,FALSE()),IFERROR(VLOOKUP(B50,'Полупродукты'!$C$6:$E$60,3,FALSE()),0))</f>
        <v>1.9734</v>
      </c>
      <c r="F50" s="266">
        <f t="shared" si="1"/>
        <v>0.0306409818</v>
      </c>
      <c r="G50" s="1">
        <v>0.0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 t="s">
        <v>625</v>
      </c>
      <c r="B51" s="1" t="s">
        <v>522</v>
      </c>
      <c r="C51" s="1">
        <v>1.32E-4</v>
      </c>
      <c r="D51" s="1" t="s">
        <v>2743</v>
      </c>
      <c r="E51" s="266">
        <f>IFERROR(VLOOKUP(B51,'Сырьё'!$C$6:$E$233,3,FALSE()),IFERROR(VLOOKUP(B51,'Полупродукты'!$C$6:$E$60,3,FALSE()),0))</f>
        <v>3.7834</v>
      </c>
      <c r="F51" s="266">
        <f t="shared" si="1"/>
        <v>0.0004994088</v>
      </c>
      <c r="G51" s="1">
        <v>0.0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 t="s">
        <v>625</v>
      </c>
      <c r="B52" s="1" t="s">
        <v>549</v>
      </c>
      <c r="C52" s="1">
        <v>0.074675</v>
      </c>
      <c r="D52" s="1" t="s">
        <v>2744</v>
      </c>
      <c r="E52" s="266">
        <f>IFERROR(VLOOKUP(B52,'Сырьё'!$C$6:$E$233,3,FALSE()),IFERROR(VLOOKUP(B52,'Полупродукты'!$C$6:$E$60,3,FALSE()),0))</f>
        <v>6.519</v>
      </c>
      <c r="F52" s="266">
        <f t="shared" si="1"/>
        <v>0.486806325</v>
      </c>
      <c r="G52" s="1">
        <v>0.0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 t="s">
        <v>413</v>
      </c>
      <c r="B53" s="1" t="s">
        <v>413</v>
      </c>
      <c r="C53" s="1">
        <v>1.0</v>
      </c>
      <c r="D53" s="1" t="s">
        <v>2745</v>
      </c>
      <c r="E53" s="266">
        <f>IFERROR(VLOOKUP(B53,'Сырьё'!$C$6:$E$233,3,FALSE()),IFERROR(VLOOKUP(B53,'Полупродукты'!$C$6:$E$60,3,FALSE()),0))</f>
        <v>7.0583</v>
      </c>
      <c r="F53" s="266">
        <f t="shared" si="1"/>
        <v>7.0583</v>
      </c>
      <c r="G53" s="1">
        <v>1.0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 t="s">
        <v>675</v>
      </c>
      <c r="B54" s="1" t="s">
        <v>579</v>
      </c>
      <c r="C54" s="1">
        <v>0.204483</v>
      </c>
      <c r="D54" s="1" t="s">
        <v>1394</v>
      </c>
      <c r="E54" s="266">
        <f>IFERROR(VLOOKUP(B54,'Сырьё'!$C$6:$E$233,3,FALSE()),IFERROR(VLOOKUP(B54,'Полупродукты'!$C$6:$E$60,3,FALSE()),0))</f>
        <v>1.2831</v>
      </c>
      <c r="F54" s="266">
        <f t="shared" si="1"/>
        <v>0.2623721373</v>
      </c>
      <c r="G54" s="1">
        <v>0.0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 t="s">
        <v>675</v>
      </c>
      <c r="B55" s="1" t="s">
        <v>594</v>
      </c>
      <c r="C55" s="1">
        <v>0.314737</v>
      </c>
      <c r="D55" s="1" t="s">
        <v>1398</v>
      </c>
      <c r="E55" s="266">
        <f>IFERROR(VLOOKUP(B55,'Сырьё'!$C$6:$E$233,3,FALSE()),IFERROR(VLOOKUP(B55,'Полупродукты'!$C$6:$E$60,3,FALSE()),0))</f>
        <v>1.7145</v>
      </c>
      <c r="F55" s="266">
        <f t="shared" si="1"/>
        <v>0.5396165865</v>
      </c>
      <c r="G55" s="1">
        <v>0.0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 t="s">
        <v>675</v>
      </c>
      <c r="B56" s="1" t="s">
        <v>593</v>
      </c>
      <c r="C56" s="1">
        <v>0.118965</v>
      </c>
      <c r="D56" s="1" t="s">
        <v>2746</v>
      </c>
      <c r="E56" s="266">
        <f>IFERROR(VLOOKUP(B56,'Сырьё'!$C$6:$E$233,3,FALSE()),IFERROR(VLOOKUP(B56,'Полупродукты'!$C$6:$E$60,3,FALSE()),0))</f>
        <v>1.6575</v>
      </c>
      <c r="F56" s="266">
        <f t="shared" si="1"/>
        <v>0.1971844875</v>
      </c>
      <c r="G56" s="1">
        <v>0.0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 t="s">
        <v>675</v>
      </c>
      <c r="B57" s="1" t="s">
        <v>549</v>
      </c>
      <c r="C57" s="1">
        <v>0.099086</v>
      </c>
      <c r="D57" s="1" t="s">
        <v>2747</v>
      </c>
      <c r="E57" s="266">
        <f>IFERROR(VLOOKUP(B57,'Сырьё'!$C$6:$E$233,3,FALSE()),IFERROR(VLOOKUP(B57,'Полупродукты'!$C$6:$E$60,3,FALSE()),0))</f>
        <v>6.519</v>
      </c>
      <c r="F57" s="266">
        <f t="shared" si="1"/>
        <v>0.645941634</v>
      </c>
      <c r="G57" s="1">
        <v>0.0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 t="s">
        <v>675</v>
      </c>
      <c r="B58" s="1" t="s">
        <v>554</v>
      </c>
      <c r="C58" s="1">
        <v>0.19055</v>
      </c>
      <c r="D58" s="1" t="s">
        <v>2748</v>
      </c>
      <c r="E58" s="266">
        <f>IFERROR(VLOOKUP(B58,'Сырьё'!$C$6:$E$233,3,FALSE()),IFERROR(VLOOKUP(B58,'Полупродукты'!$C$6:$E$60,3,FALSE()),0))</f>
        <v>7.3406</v>
      </c>
      <c r="F58" s="266">
        <f t="shared" si="1"/>
        <v>1.39875133</v>
      </c>
      <c r="G58" s="1">
        <v>0.0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 t="s">
        <v>675</v>
      </c>
      <c r="B59" s="1" t="s">
        <v>520</v>
      </c>
      <c r="C59" s="1">
        <v>1.74E-4</v>
      </c>
      <c r="D59" s="1" t="s">
        <v>2749</v>
      </c>
      <c r="E59" s="266">
        <f>IFERROR(VLOOKUP(B59,'Сырьё'!$C$6:$E$233,3,FALSE()),IFERROR(VLOOKUP(B59,'Полупродукты'!$C$6:$E$60,3,FALSE()),0))</f>
        <v>30.1527</v>
      </c>
      <c r="F59" s="266">
        <f t="shared" si="1"/>
        <v>0.0052465698</v>
      </c>
      <c r="G59" s="1">
        <v>0.0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 t="s">
        <v>675</v>
      </c>
      <c r="B60" s="1" t="s">
        <v>570</v>
      </c>
      <c r="C60" s="1">
        <v>0.069618</v>
      </c>
      <c r="D60" s="1" t="s">
        <v>2750</v>
      </c>
      <c r="E60" s="266">
        <f>IFERROR(VLOOKUP(B60,'Сырьё'!$C$6:$E$233,3,FALSE()),IFERROR(VLOOKUP(B60,'Полупродукты'!$C$6:$E$60,3,FALSE()),0))</f>
        <v>3.3046</v>
      </c>
      <c r="F60" s="266">
        <f t="shared" si="1"/>
        <v>0.2300596428</v>
      </c>
      <c r="G60" s="1">
        <v>0.0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 t="s">
        <v>675</v>
      </c>
      <c r="B61" s="1" t="s">
        <v>591</v>
      </c>
      <c r="C61" s="1">
        <v>0.01589</v>
      </c>
      <c r="D61" s="1" t="s">
        <v>2751</v>
      </c>
      <c r="E61" s="266">
        <f>IFERROR(VLOOKUP(B61,'Сырьё'!$C$6:$E$233,3,FALSE()),IFERROR(VLOOKUP(B61,'Полупродукты'!$C$6:$E$60,3,FALSE()),0))</f>
        <v>1.9734</v>
      </c>
      <c r="F61" s="266">
        <f t="shared" si="1"/>
        <v>0.031357326</v>
      </c>
      <c r="G61" s="1">
        <v>0.0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 t="s">
        <v>675</v>
      </c>
      <c r="B62" s="1" t="s">
        <v>532</v>
      </c>
      <c r="C62" s="1">
        <v>0.005531</v>
      </c>
      <c r="D62" s="1" t="s">
        <v>2752</v>
      </c>
      <c r="E62" s="266">
        <f>IFERROR(VLOOKUP(B62,'Сырьё'!$C$6:$E$233,3,FALSE()),IFERROR(VLOOKUP(B62,'Полупродукты'!$C$6:$E$60,3,FALSE()),0))</f>
        <v>2.337</v>
      </c>
      <c r="F62" s="266">
        <f t="shared" si="1"/>
        <v>0.012925947</v>
      </c>
      <c r="G62" s="1">
        <v>0.0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 t="s">
        <v>675</v>
      </c>
      <c r="B63" s="1" t="s">
        <v>571</v>
      </c>
      <c r="C63" s="1">
        <v>0.00515</v>
      </c>
      <c r="D63" s="1" t="s">
        <v>1392</v>
      </c>
      <c r="E63" s="266">
        <f>IFERROR(VLOOKUP(B63,'Сырьё'!$C$6:$E$233,3,FALSE()),IFERROR(VLOOKUP(B63,'Полупродукты'!$C$6:$E$60,3,FALSE()),0))</f>
        <v>14.556</v>
      </c>
      <c r="F63" s="266">
        <f t="shared" si="1"/>
        <v>0.0749634</v>
      </c>
      <c r="G63" s="1">
        <v>0.0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 t="s">
        <v>675</v>
      </c>
      <c r="B64" s="1" t="s">
        <v>585</v>
      </c>
      <c r="C64" s="1">
        <v>0.008446</v>
      </c>
      <c r="D64" s="1" t="s">
        <v>2753</v>
      </c>
      <c r="E64" s="266">
        <f>IFERROR(VLOOKUP(B64,'Сырьё'!$C$6:$E$233,3,FALSE()),IFERROR(VLOOKUP(B64,'Полупродукты'!$C$6:$E$60,3,FALSE()),0))</f>
        <v>6.9052</v>
      </c>
      <c r="F64" s="266">
        <f t="shared" si="1"/>
        <v>0.0583213192</v>
      </c>
      <c r="G64" s="1">
        <v>0.0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 t="s">
        <v>529</v>
      </c>
      <c r="B65" s="1" t="s">
        <v>549</v>
      </c>
      <c r="C65" s="1">
        <v>0.069822</v>
      </c>
      <c r="D65" s="1" t="s">
        <v>2754</v>
      </c>
      <c r="E65" s="266">
        <f>IFERROR(VLOOKUP(B65,'Сырьё'!$C$6:$E$233,3,FALSE()),IFERROR(VLOOKUP(B65,'Полупродукты'!$C$6:$E$60,3,FALSE()),0))</f>
        <v>6.519</v>
      </c>
      <c r="F65" s="266">
        <f t="shared" si="1"/>
        <v>0.455169618</v>
      </c>
      <c r="G65" s="1">
        <v>0.0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 t="s">
        <v>529</v>
      </c>
      <c r="B66" s="1" t="s">
        <v>537</v>
      </c>
      <c r="C66" s="1">
        <v>0.0146</v>
      </c>
      <c r="D66" s="1" t="s">
        <v>2755</v>
      </c>
      <c r="E66" s="266">
        <f>IFERROR(VLOOKUP(B66,'Сырьё'!$C$6:$E$233,3,FALSE()),IFERROR(VLOOKUP(B66,'Полупродукты'!$C$6:$E$60,3,FALSE()),0))</f>
        <v>8.8284</v>
      </c>
      <c r="F66" s="266">
        <f t="shared" si="1"/>
        <v>0.12889464</v>
      </c>
      <c r="G66" s="1">
        <v>0.0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 t="s">
        <v>529</v>
      </c>
      <c r="B67" s="1" t="s">
        <v>594</v>
      </c>
      <c r="C67" s="1">
        <v>0.411804</v>
      </c>
      <c r="D67" s="1" t="s">
        <v>2756</v>
      </c>
      <c r="E67" s="266">
        <f>IFERROR(VLOOKUP(B67,'Сырьё'!$C$6:$E$233,3,FALSE()),IFERROR(VLOOKUP(B67,'Полупродукты'!$C$6:$E$60,3,FALSE()),0))</f>
        <v>1.7145</v>
      </c>
      <c r="F67" s="266">
        <f t="shared" si="1"/>
        <v>0.706037958</v>
      </c>
      <c r="G67" s="1">
        <v>0.0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 t="s">
        <v>529</v>
      </c>
      <c r="B68" s="1" t="s">
        <v>541</v>
      </c>
      <c r="C68" s="1">
        <v>0.00292</v>
      </c>
      <c r="D68" s="1" t="s">
        <v>2757</v>
      </c>
      <c r="E68" s="266">
        <f>IFERROR(VLOOKUP(B68,'Сырьё'!$C$6:$E$233,3,FALSE()),IFERROR(VLOOKUP(B68,'Полупродукты'!$C$6:$E$60,3,FALSE()),0))</f>
        <v>78.7704</v>
      </c>
      <c r="F68" s="266">
        <f t="shared" si="1"/>
        <v>0.230009568</v>
      </c>
      <c r="G68" s="1">
        <v>0.0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 t="s">
        <v>529</v>
      </c>
      <c r="B69" s="1" t="s">
        <v>554</v>
      </c>
      <c r="C69" s="1">
        <v>0.163523</v>
      </c>
      <c r="D69" s="1" t="s">
        <v>2758</v>
      </c>
      <c r="E69" s="266">
        <f>IFERROR(VLOOKUP(B69,'Сырьё'!$C$6:$E$233,3,FALSE()),IFERROR(VLOOKUP(B69,'Полупродукты'!$C$6:$E$60,3,FALSE()),0))</f>
        <v>7.3406</v>
      </c>
      <c r="F69" s="266">
        <f t="shared" si="1"/>
        <v>1.200356934</v>
      </c>
      <c r="G69" s="1">
        <v>0.0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 t="s">
        <v>529</v>
      </c>
      <c r="B70" s="1" t="s">
        <v>579</v>
      </c>
      <c r="C70" s="1">
        <v>0.102183</v>
      </c>
      <c r="D70" s="1" t="s">
        <v>2759</v>
      </c>
      <c r="E70" s="266">
        <f>IFERROR(VLOOKUP(B70,'Сырьё'!$C$6:$E$233,3,FALSE()),IFERROR(VLOOKUP(B70,'Полупродукты'!$C$6:$E$60,3,FALSE()),0))</f>
        <v>1.2831</v>
      </c>
      <c r="F70" s="266">
        <f t="shared" si="1"/>
        <v>0.1311110073</v>
      </c>
      <c r="G70" s="1">
        <v>0.0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 t="s">
        <v>529</v>
      </c>
      <c r="B71" s="1" t="s">
        <v>593</v>
      </c>
      <c r="C71" s="1">
        <v>0.096202</v>
      </c>
      <c r="D71" s="1" t="s">
        <v>1502</v>
      </c>
      <c r="E71" s="266">
        <f>IFERROR(VLOOKUP(B71,'Сырьё'!$C$6:$E$233,3,FALSE()),IFERROR(VLOOKUP(B71,'Полупродукты'!$C$6:$E$60,3,FALSE()),0))</f>
        <v>1.6575</v>
      </c>
      <c r="F71" s="266">
        <f t="shared" si="1"/>
        <v>0.159454815</v>
      </c>
      <c r="G71" s="1">
        <v>0.0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 t="s">
        <v>529</v>
      </c>
      <c r="B72" s="1" t="s">
        <v>520</v>
      </c>
      <c r="C72" s="1">
        <v>0.003745</v>
      </c>
      <c r="D72" s="1" t="s">
        <v>2760</v>
      </c>
      <c r="E72" s="266">
        <f>IFERROR(VLOOKUP(B72,'Сырьё'!$C$6:$E$233,3,FALSE()),IFERROR(VLOOKUP(B72,'Полупродукты'!$C$6:$E$60,3,FALSE()),0))</f>
        <v>30.1527</v>
      </c>
      <c r="F72" s="266">
        <f t="shared" si="1"/>
        <v>0.1129218615</v>
      </c>
      <c r="G72" s="1">
        <v>0.0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 t="s">
        <v>529</v>
      </c>
      <c r="B73" s="1" t="s">
        <v>522</v>
      </c>
      <c r="C73" s="1">
        <v>0.10125</v>
      </c>
      <c r="D73" s="1" t="s">
        <v>1508</v>
      </c>
      <c r="E73" s="266">
        <f>IFERROR(VLOOKUP(B73,'Сырьё'!$C$6:$E$233,3,FALSE()),IFERROR(VLOOKUP(B73,'Полупродукты'!$C$6:$E$60,3,FALSE()),0))</f>
        <v>3.7834</v>
      </c>
      <c r="F73" s="266">
        <f t="shared" si="1"/>
        <v>0.38306925</v>
      </c>
      <c r="G73" s="1">
        <v>0.0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 t="s">
        <v>529</v>
      </c>
      <c r="B74" s="1" t="s">
        <v>570</v>
      </c>
      <c r="C74" s="1">
        <v>0.155643</v>
      </c>
      <c r="D74" s="1" t="s">
        <v>2761</v>
      </c>
      <c r="E74" s="266">
        <f>IFERROR(VLOOKUP(B74,'Сырьё'!$C$6:$E$233,3,FALSE()),IFERROR(VLOOKUP(B74,'Полупродукты'!$C$6:$E$60,3,FALSE()),0))</f>
        <v>3.3046</v>
      </c>
      <c r="F74" s="266">
        <f t="shared" si="1"/>
        <v>0.5143378578</v>
      </c>
      <c r="G74" s="1">
        <v>0.0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 t="s">
        <v>529</v>
      </c>
      <c r="B75" s="1" t="s">
        <v>591</v>
      </c>
      <c r="C75" s="1">
        <v>0.015527</v>
      </c>
      <c r="D75" s="1" t="s">
        <v>2762</v>
      </c>
      <c r="E75" s="266">
        <f>IFERROR(VLOOKUP(B75,'Сырьё'!$C$6:$E$233,3,FALSE()),IFERROR(VLOOKUP(B75,'Полупродукты'!$C$6:$E$60,3,FALSE()),0))</f>
        <v>1.9734</v>
      </c>
      <c r="F75" s="266">
        <f t="shared" si="1"/>
        <v>0.0306409818</v>
      </c>
      <c r="G75" s="1">
        <v>0.0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 t="s">
        <v>414</v>
      </c>
      <c r="B76" s="1" t="s">
        <v>414</v>
      </c>
      <c r="C76" s="1">
        <v>1.0</v>
      </c>
      <c r="D76" s="1" t="s">
        <v>2763</v>
      </c>
      <c r="E76" s="266">
        <f>IFERROR(VLOOKUP(B76,'Сырьё'!$C$6:$E$233,3,FALSE()),IFERROR(VLOOKUP(B76,'Полупродукты'!$C$6:$E$60,3,FALSE()),0))</f>
        <v>6.3954</v>
      </c>
      <c r="F76" s="266">
        <f t="shared" si="1"/>
        <v>6.3954</v>
      </c>
      <c r="G76" s="1">
        <v>1.0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 t="s">
        <v>701</v>
      </c>
      <c r="B77" s="1" t="s">
        <v>579</v>
      </c>
      <c r="C77" s="1">
        <v>0.446505</v>
      </c>
      <c r="D77" s="1" t="s">
        <v>2764</v>
      </c>
      <c r="E77" s="266">
        <f>IFERROR(VLOOKUP(B77,'Сырьё'!$C$6:$E$233,3,FALSE()),IFERROR(VLOOKUP(B77,'Полупродукты'!$C$6:$E$60,3,FALSE()),0))</f>
        <v>1.2831</v>
      </c>
      <c r="F77" s="266">
        <f t="shared" si="1"/>
        <v>0.5729105655</v>
      </c>
      <c r="G77" s="1">
        <v>0.0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 t="s">
        <v>701</v>
      </c>
      <c r="B78" s="1" t="s">
        <v>593</v>
      </c>
      <c r="C78" s="1">
        <v>0.236385</v>
      </c>
      <c r="D78" s="1" t="s">
        <v>2765</v>
      </c>
      <c r="E78" s="266">
        <f>IFERROR(VLOOKUP(B78,'Сырьё'!$C$6:$E$233,3,FALSE()),IFERROR(VLOOKUP(B78,'Полупродукты'!$C$6:$E$60,3,FALSE()),0))</f>
        <v>1.6575</v>
      </c>
      <c r="F78" s="266">
        <f t="shared" si="1"/>
        <v>0.3918081375</v>
      </c>
      <c r="G78" s="1">
        <v>0.0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 t="s">
        <v>701</v>
      </c>
      <c r="B79" s="1" t="s">
        <v>585</v>
      </c>
      <c r="C79" s="1">
        <v>0.19261</v>
      </c>
      <c r="D79" s="1" t="s">
        <v>2766</v>
      </c>
      <c r="E79" s="266">
        <f>IFERROR(VLOOKUP(B79,'Сырьё'!$C$6:$E$233,3,FALSE()),IFERROR(VLOOKUP(B79,'Полупродукты'!$C$6:$E$60,3,FALSE()),0))</f>
        <v>6.9052</v>
      </c>
      <c r="F79" s="266">
        <f t="shared" si="1"/>
        <v>1.330010572</v>
      </c>
      <c r="G79" s="1">
        <v>0.0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 t="s">
        <v>701</v>
      </c>
      <c r="B80" s="1" t="s">
        <v>401</v>
      </c>
      <c r="C80" s="1">
        <v>0.1545</v>
      </c>
      <c r="D80" s="1" t="s">
        <v>1804</v>
      </c>
      <c r="E80" s="266">
        <f>IFERROR(VLOOKUP(B80,'Сырьё'!$C$6:$E$233,3,FALSE()),IFERROR(VLOOKUP(B80,'Полупродукты'!$C$6:$E$60,3,FALSE()),0))</f>
        <v>3.3725</v>
      </c>
      <c r="F80" s="266">
        <f t="shared" si="1"/>
        <v>0.52105125</v>
      </c>
      <c r="G80" s="1">
        <v>1.0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 t="s">
        <v>622</v>
      </c>
      <c r="B81" s="1" t="s">
        <v>594</v>
      </c>
      <c r="C81" s="1">
        <v>0.16068</v>
      </c>
      <c r="D81" s="1" t="s">
        <v>2767</v>
      </c>
      <c r="E81" s="266">
        <f>IFERROR(VLOOKUP(B81,'Сырьё'!$C$6:$E$233,3,FALSE()),IFERROR(VLOOKUP(B81,'Полупродукты'!$C$6:$E$60,3,FALSE()),0))</f>
        <v>1.7145</v>
      </c>
      <c r="F81" s="266">
        <f t="shared" si="1"/>
        <v>0.27548586</v>
      </c>
      <c r="G81" s="1">
        <v>0.0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 t="s">
        <v>622</v>
      </c>
      <c r="B82" s="1" t="s">
        <v>579</v>
      </c>
      <c r="C82" s="1">
        <v>0.293859</v>
      </c>
      <c r="D82" s="1" t="s">
        <v>2768</v>
      </c>
      <c r="E82" s="266">
        <f>IFERROR(VLOOKUP(B82,'Сырьё'!$C$6:$E$233,3,FALSE()),IFERROR(VLOOKUP(B82,'Полупродукты'!$C$6:$E$60,3,FALSE()),0))</f>
        <v>1.2831</v>
      </c>
      <c r="F82" s="266">
        <f t="shared" si="1"/>
        <v>0.3770504829</v>
      </c>
      <c r="G82" s="1">
        <v>0.0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 t="s">
        <v>622</v>
      </c>
      <c r="B83" s="1" t="s">
        <v>593</v>
      </c>
      <c r="C83" s="1">
        <v>0.14626</v>
      </c>
      <c r="D83" s="1" t="s">
        <v>2769</v>
      </c>
      <c r="E83" s="266">
        <f>IFERROR(VLOOKUP(B83,'Сырьё'!$C$6:$E$233,3,FALSE()),IFERROR(VLOOKUP(B83,'Полупродукты'!$C$6:$E$60,3,FALSE()),0))</f>
        <v>1.6575</v>
      </c>
      <c r="F83" s="266">
        <f t="shared" si="1"/>
        <v>0.24242595</v>
      </c>
      <c r="G83" s="1">
        <v>0.0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 t="s">
        <v>622</v>
      </c>
      <c r="B84" s="1" t="s">
        <v>585</v>
      </c>
      <c r="C84" s="1">
        <v>0.077868</v>
      </c>
      <c r="D84" s="1" t="s">
        <v>2770</v>
      </c>
      <c r="E84" s="266">
        <f>IFERROR(VLOOKUP(B84,'Сырьё'!$C$6:$E$233,3,FALSE()),IFERROR(VLOOKUP(B84,'Полупродукты'!$C$6:$E$60,3,FALSE()),0))</f>
        <v>6.9052</v>
      </c>
      <c r="F84" s="266">
        <f t="shared" si="1"/>
        <v>0.5376941136</v>
      </c>
      <c r="G84" s="1">
        <v>0.0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 t="s">
        <v>622</v>
      </c>
      <c r="B85" s="1" t="s">
        <v>537</v>
      </c>
      <c r="C85" s="1">
        <v>0.019467</v>
      </c>
      <c r="D85" s="1" t="s">
        <v>2771</v>
      </c>
      <c r="E85" s="266">
        <f>IFERROR(VLOOKUP(B85,'Сырьё'!$C$6:$E$233,3,FALSE()),IFERROR(VLOOKUP(B85,'Полупродукты'!$C$6:$E$60,3,FALSE()),0))</f>
        <v>8.8284</v>
      </c>
      <c r="F85" s="266">
        <f t="shared" si="1"/>
        <v>0.1718624628</v>
      </c>
      <c r="G85" s="1">
        <v>0.0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 t="s">
        <v>622</v>
      </c>
      <c r="B86" s="1" t="s">
        <v>561</v>
      </c>
      <c r="C86" s="1">
        <v>0.162225</v>
      </c>
      <c r="D86" s="1" t="s">
        <v>2772</v>
      </c>
      <c r="E86" s="266">
        <f>IFERROR(VLOOKUP(B86,'Сырьё'!$C$6:$E$233,3,FALSE()),IFERROR(VLOOKUP(B86,'Полупродукты'!$C$6:$E$60,3,FALSE()),0))</f>
        <v>18.9593</v>
      </c>
      <c r="F86" s="266">
        <f t="shared" si="1"/>
        <v>3.075672443</v>
      </c>
      <c r="G86" s="1">
        <v>0.0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 t="s">
        <v>622</v>
      </c>
      <c r="B87" s="1" t="s">
        <v>549</v>
      </c>
      <c r="C87" s="1">
        <v>0.015141</v>
      </c>
      <c r="D87" s="1" t="s">
        <v>2773</v>
      </c>
      <c r="E87" s="266">
        <f>IFERROR(VLOOKUP(B87,'Сырьё'!$C$6:$E$233,3,FALSE()),IFERROR(VLOOKUP(B87,'Полупродукты'!$C$6:$E$60,3,FALSE()),0))</f>
        <v>6.519</v>
      </c>
      <c r="F87" s="266">
        <f t="shared" si="1"/>
        <v>0.098704179</v>
      </c>
      <c r="G87" s="1">
        <v>0.0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 t="s">
        <v>622</v>
      </c>
      <c r="B88" s="1" t="s">
        <v>520</v>
      </c>
      <c r="C88" s="1">
        <v>1.6E-4</v>
      </c>
      <c r="D88" s="1" t="s">
        <v>2774</v>
      </c>
      <c r="E88" s="266">
        <f>IFERROR(VLOOKUP(B88,'Сырьё'!$C$6:$E$233,3,FALSE()),IFERROR(VLOOKUP(B88,'Полупродукты'!$C$6:$E$60,3,FALSE()),0))</f>
        <v>30.1527</v>
      </c>
      <c r="F88" s="266">
        <f t="shared" si="1"/>
        <v>0.004824432</v>
      </c>
      <c r="G88" s="1">
        <v>0.0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 t="s">
        <v>622</v>
      </c>
      <c r="B89" s="1" t="s">
        <v>533</v>
      </c>
      <c r="C89" s="1">
        <v>0.1236</v>
      </c>
      <c r="D89" s="1" t="s">
        <v>2775</v>
      </c>
      <c r="E89" s="266">
        <f>IFERROR(VLOOKUP(B89,'Сырьё'!$C$6:$E$233,3,FALSE()),IFERROR(VLOOKUP(B89,'Полупродукты'!$C$6:$E$60,3,FALSE()),0))</f>
        <v>6.305</v>
      </c>
      <c r="F89" s="266">
        <f t="shared" si="1"/>
        <v>0.779298</v>
      </c>
      <c r="G89" s="1">
        <v>0.0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 t="s">
        <v>622</v>
      </c>
      <c r="B90" s="1" t="s">
        <v>573</v>
      </c>
      <c r="C90" s="1">
        <v>0.0309</v>
      </c>
      <c r="D90" s="1" t="s">
        <v>2776</v>
      </c>
      <c r="E90" s="266">
        <f>IFERROR(VLOOKUP(B90,'Сырьё'!$C$6:$E$233,3,FALSE()),IFERROR(VLOOKUP(B90,'Полупродукты'!$C$6:$E$60,3,FALSE()),0))</f>
        <v>4.7016</v>
      </c>
      <c r="F90" s="266">
        <f t="shared" si="1"/>
        <v>0.14527944</v>
      </c>
      <c r="G90" s="1">
        <v>0.0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 t="s">
        <v>432</v>
      </c>
      <c r="B91" s="1" t="s">
        <v>432</v>
      </c>
      <c r="C91" s="1">
        <v>1.0</v>
      </c>
      <c r="D91" s="1" t="s">
        <v>2777</v>
      </c>
      <c r="E91" s="266">
        <f>IFERROR(VLOOKUP(B91,'Сырьё'!$C$6:$E$233,3,FALSE()),IFERROR(VLOOKUP(B91,'Полупродукты'!$C$6:$E$60,3,FALSE()),0))</f>
        <v>3.7175</v>
      </c>
      <c r="F91" s="266">
        <f t="shared" si="1"/>
        <v>3.7175</v>
      </c>
      <c r="G91" s="1">
        <v>1.0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 t="s">
        <v>741</v>
      </c>
      <c r="B92" s="1" t="s">
        <v>594</v>
      </c>
      <c r="C92" s="1">
        <v>0.1854</v>
      </c>
      <c r="D92" s="1" t="s">
        <v>2778</v>
      </c>
      <c r="E92" s="266">
        <f>IFERROR(VLOOKUP(B92,'Сырьё'!$C$6:$E$233,3,FALSE()),IFERROR(VLOOKUP(B92,'Полупродукты'!$C$6:$E$60,3,FALSE()),0))</f>
        <v>1.7145</v>
      </c>
      <c r="F92" s="266">
        <f t="shared" si="1"/>
        <v>0.3178683</v>
      </c>
      <c r="G92" s="1">
        <v>0.0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 t="s">
        <v>741</v>
      </c>
      <c r="B93" s="1" t="s">
        <v>579</v>
      </c>
      <c r="C93" s="1">
        <v>0.28737</v>
      </c>
      <c r="D93" s="1" t="s">
        <v>2779</v>
      </c>
      <c r="E93" s="266">
        <f>IFERROR(VLOOKUP(B93,'Сырьё'!$C$6:$E$233,3,FALSE()),IFERROR(VLOOKUP(B93,'Полупродукты'!$C$6:$E$60,3,FALSE()),0))</f>
        <v>1.2831</v>
      </c>
      <c r="F93" s="266">
        <f t="shared" si="1"/>
        <v>0.368724447</v>
      </c>
      <c r="G93" s="1">
        <v>0.0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 t="s">
        <v>741</v>
      </c>
      <c r="B94" s="1" t="s">
        <v>593</v>
      </c>
      <c r="C94" s="1">
        <v>0.1648</v>
      </c>
      <c r="D94" s="1" t="s">
        <v>2780</v>
      </c>
      <c r="E94" s="266">
        <f>IFERROR(VLOOKUP(B94,'Сырьё'!$C$6:$E$233,3,FALSE()),IFERROR(VLOOKUP(B94,'Полупродукты'!$C$6:$E$60,3,FALSE()),0))</f>
        <v>1.6575</v>
      </c>
      <c r="F94" s="266">
        <f t="shared" si="1"/>
        <v>0.273156</v>
      </c>
      <c r="G94" s="1">
        <v>0.0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 t="s">
        <v>741</v>
      </c>
      <c r="B95" s="1" t="s">
        <v>585</v>
      </c>
      <c r="C95" s="1">
        <v>0.11124</v>
      </c>
      <c r="D95" s="1" t="s">
        <v>2781</v>
      </c>
      <c r="E95" s="266">
        <f>IFERROR(VLOOKUP(B95,'Сырьё'!$C$6:$E$233,3,FALSE()),IFERROR(VLOOKUP(B95,'Полупродукты'!$C$6:$E$60,3,FALSE()),0))</f>
        <v>6.9052</v>
      </c>
      <c r="F95" s="266">
        <f t="shared" si="1"/>
        <v>0.768134448</v>
      </c>
      <c r="G95" s="1">
        <v>0.0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 t="s">
        <v>741</v>
      </c>
      <c r="B96" s="1" t="s">
        <v>537</v>
      </c>
      <c r="C96" s="1">
        <v>0.02781</v>
      </c>
      <c r="D96" s="1" t="s">
        <v>2782</v>
      </c>
      <c r="E96" s="266">
        <f>IFERROR(VLOOKUP(B96,'Сырьё'!$C$6:$E$233,3,FALSE()),IFERROR(VLOOKUP(B96,'Полупродукты'!$C$6:$E$60,3,FALSE()),0))</f>
        <v>8.8284</v>
      </c>
      <c r="F96" s="266">
        <f t="shared" si="1"/>
        <v>0.245517804</v>
      </c>
      <c r="G96" s="1">
        <v>0.0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 t="s">
        <v>741</v>
      </c>
      <c r="B97" s="1" t="s">
        <v>561</v>
      </c>
      <c r="C97" s="1">
        <v>0.23175</v>
      </c>
      <c r="D97" s="1" t="s">
        <v>2783</v>
      </c>
      <c r="E97" s="266">
        <f>IFERROR(VLOOKUP(B97,'Сырьё'!$C$6:$E$233,3,FALSE()),IFERROR(VLOOKUP(B97,'Полупродукты'!$C$6:$E$60,3,FALSE()),0))</f>
        <v>18.9593</v>
      </c>
      <c r="F97" s="266">
        <f t="shared" si="1"/>
        <v>4.393817775</v>
      </c>
      <c r="G97" s="1">
        <v>0.0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 t="s">
        <v>741</v>
      </c>
      <c r="B98" s="1" t="s">
        <v>549</v>
      </c>
      <c r="C98" s="1">
        <v>0.02163</v>
      </c>
      <c r="D98" s="1" t="s">
        <v>2784</v>
      </c>
      <c r="E98" s="266">
        <f>IFERROR(VLOOKUP(B98,'Сырьё'!$C$6:$E$233,3,FALSE()),IFERROR(VLOOKUP(B98,'Полупродукты'!$C$6:$E$60,3,FALSE()),0))</f>
        <v>6.519</v>
      </c>
      <c r="F98" s="266">
        <f t="shared" si="1"/>
        <v>0.14100597</v>
      </c>
      <c r="G98" s="1">
        <v>0.0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 t="s">
        <v>741</v>
      </c>
      <c r="B99" s="1" t="s">
        <v>520</v>
      </c>
      <c r="C99" s="1">
        <v>2.28E-4</v>
      </c>
      <c r="D99" s="1" t="s">
        <v>2785</v>
      </c>
      <c r="E99" s="266">
        <f>IFERROR(VLOOKUP(B99,'Сырьё'!$C$6:$E$233,3,FALSE()),IFERROR(VLOOKUP(B99,'Полупродукты'!$C$6:$E$60,3,FALSE()),0))</f>
        <v>30.1527</v>
      </c>
      <c r="F99" s="266">
        <f t="shared" si="1"/>
        <v>0.0068748156</v>
      </c>
      <c r="G99" s="1">
        <v>0.0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 t="s">
        <v>699</v>
      </c>
      <c r="B100" s="1" t="s">
        <v>549</v>
      </c>
      <c r="C100" s="1">
        <v>0.206</v>
      </c>
      <c r="D100" s="1" t="s">
        <v>2786</v>
      </c>
      <c r="E100" s="266">
        <f>IFERROR(VLOOKUP(B100,'Сырьё'!$C$6:$E$233,3,FALSE()),IFERROR(VLOOKUP(B100,'Полупродукты'!$C$6:$E$60,3,FALSE()),0))</f>
        <v>6.519</v>
      </c>
      <c r="F100" s="266">
        <f t="shared" si="1"/>
        <v>1.342914</v>
      </c>
      <c r="G100" s="1">
        <v>0.0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 t="s">
        <v>699</v>
      </c>
      <c r="B101" s="1" t="s">
        <v>579</v>
      </c>
      <c r="C101" s="1">
        <v>0.273012</v>
      </c>
      <c r="D101" s="1" t="s">
        <v>2787</v>
      </c>
      <c r="E101" s="266">
        <f>IFERROR(VLOOKUP(B101,'Сырьё'!$C$6:$E$233,3,FALSE()),IFERROR(VLOOKUP(B101,'Полупродукты'!$C$6:$E$60,3,FALSE()),0))</f>
        <v>1.2831</v>
      </c>
      <c r="F101" s="266">
        <f t="shared" si="1"/>
        <v>0.3503016972</v>
      </c>
      <c r="G101" s="1">
        <v>0.0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 t="s">
        <v>699</v>
      </c>
      <c r="B102" s="1" t="s">
        <v>593</v>
      </c>
      <c r="C102" s="1">
        <v>0.184576</v>
      </c>
      <c r="D102" s="1" t="s">
        <v>2788</v>
      </c>
      <c r="E102" s="266">
        <f>IFERROR(VLOOKUP(B102,'Сырьё'!$C$6:$E$233,3,FALSE()),IFERROR(VLOOKUP(B102,'Полупродукты'!$C$6:$E$60,3,FALSE()),0))</f>
        <v>1.6575</v>
      </c>
      <c r="F102" s="266">
        <f t="shared" si="1"/>
        <v>0.30593472</v>
      </c>
      <c r="G102" s="1">
        <v>0.0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 t="s">
        <v>699</v>
      </c>
      <c r="B103" s="1" t="s">
        <v>594</v>
      </c>
      <c r="C103" s="1">
        <v>0.255419</v>
      </c>
      <c r="D103" s="1" t="s">
        <v>2789</v>
      </c>
      <c r="E103" s="266">
        <f>IFERROR(VLOOKUP(B103,'Сырьё'!$C$6:$E$233,3,FALSE()),IFERROR(VLOOKUP(B103,'Полупродукты'!$C$6:$E$60,3,FALSE()),0))</f>
        <v>1.7145</v>
      </c>
      <c r="F103" s="266">
        <f t="shared" si="1"/>
        <v>0.4379158755</v>
      </c>
      <c r="G103" s="1">
        <v>0.0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 t="s">
        <v>699</v>
      </c>
      <c r="B104" s="1" t="s">
        <v>570</v>
      </c>
      <c r="C104" s="1">
        <v>0.04874</v>
      </c>
      <c r="D104" s="1" t="s">
        <v>2790</v>
      </c>
      <c r="E104" s="266">
        <f>IFERROR(VLOOKUP(B104,'Сырьё'!$C$6:$E$233,3,FALSE()),IFERROR(VLOOKUP(B104,'Полупродукты'!$C$6:$E$60,3,FALSE()),0))</f>
        <v>3.3046</v>
      </c>
      <c r="F104" s="266">
        <f t="shared" si="1"/>
        <v>0.161066204</v>
      </c>
      <c r="G104" s="1">
        <v>0.0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 t="s">
        <v>699</v>
      </c>
      <c r="B105" s="1" t="s">
        <v>569</v>
      </c>
      <c r="C105" s="1">
        <v>0.036998</v>
      </c>
      <c r="D105" s="1" t="s">
        <v>2791</v>
      </c>
      <c r="E105" s="266">
        <f>IFERROR(VLOOKUP(B105,'Сырьё'!$C$6:$E$233,3,FALSE()),IFERROR(VLOOKUP(B105,'Полупродукты'!$C$6:$E$60,3,FALSE()),0))</f>
        <v>3.2853</v>
      </c>
      <c r="F105" s="266">
        <f t="shared" si="1"/>
        <v>0.1215495294</v>
      </c>
      <c r="G105" s="1">
        <v>0.0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 t="s">
        <v>699</v>
      </c>
      <c r="B106" s="1" t="s">
        <v>591</v>
      </c>
      <c r="C106" s="1">
        <v>0.020868</v>
      </c>
      <c r="D106" s="1" t="s">
        <v>2792</v>
      </c>
      <c r="E106" s="266">
        <f>IFERROR(VLOOKUP(B106,'Сырьё'!$C$6:$E$233,3,FALSE()),IFERROR(VLOOKUP(B106,'Полупродукты'!$C$6:$E$60,3,FALSE()),0))</f>
        <v>1.9734</v>
      </c>
      <c r="F106" s="266">
        <f t="shared" si="1"/>
        <v>0.0411809112</v>
      </c>
      <c r="G106" s="1">
        <v>0.0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 t="s">
        <v>699</v>
      </c>
      <c r="B107" s="1" t="s">
        <v>532</v>
      </c>
      <c r="C107" s="1">
        <v>0.007354</v>
      </c>
      <c r="D107" s="1" t="s">
        <v>2793</v>
      </c>
      <c r="E107" s="266">
        <f>IFERROR(VLOOKUP(B107,'Сырьё'!$C$6:$E$233,3,FALSE()),IFERROR(VLOOKUP(B107,'Полупродукты'!$C$6:$E$60,3,FALSE()),0))</f>
        <v>2.337</v>
      </c>
      <c r="F107" s="266">
        <f t="shared" si="1"/>
        <v>0.017186298</v>
      </c>
      <c r="G107" s="1">
        <v>0.0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 t="s">
        <v>699</v>
      </c>
      <c r="B108" s="1" t="s">
        <v>520</v>
      </c>
      <c r="C108" s="1">
        <v>7.17E-4</v>
      </c>
      <c r="D108" s="1" t="s">
        <v>2794</v>
      </c>
      <c r="E108" s="266">
        <f>IFERROR(VLOOKUP(B108,'Сырьё'!$C$6:$E$233,3,FALSE()),IFERROR(VLOOKUP(B108,'Полупродукты'!$C$6:$E$60,3,FALSE()),0))</f>
        <v>30.1527</v>
      </c>
      <c r="F108" s="266">
        <f t="shared" si="1"/>
        <v>0.0216194859</v>
      </c>
      <c r="G108" s="1">
        <v>0.0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 t="s">
        <v>699</v>
      </c>
      <c r="B109" s="1" t="s">
        <v>522</v>
      </c>
      <c r="C109" s="1">
        <v>0.052326</v>
      </c>
      <c r="D109" s="1" t="s">
        <v>2691</v>
      </c>
      <c r="E109" s="266">
        <f>IFERROR(VLOOKUP(B109,'Сырьё'!$C$6:$E$233,3,FALSE()),IFERROR(VLOOKUP(B109,'Полупродукты'!$C$6:$E$60,3,FALSE()),0))</f>
        <v>3.7834</v>
      </c>
      <c r="F109" s="266">
        <f t="shared" si="1"/>
        <v>0.1979701884</v>
      </c>
      <c r="G109" s="1">
        <v>0.0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 t="s">
        <v>649</v>
      </c>
      <c r="B110" s="1" t="s">
        <v>594</v>
      </c>
      <c r="C110" s="1">
        <v>0.2987</v>
      </c>
      <c r="D110" s="1" t="s">
        <v>1260</v>
      </c>
      <c r="E110" s="266">
        <f>IFERROR(VLOOKUP(B110,'Сырьё'!$C$6:$E$233,3,FALSE()),IFERROR(VLOOKUP(B110,'Полупродукты'!$C$6:$E$60,3,FALSE()),0))</f>
        <v>1.7145</v>
      </c>
      <c r="F110" s="266">
        <f t="shared" si="1"/>
        <v>0.51212115</v>
      </c>
      <c r="G110" s="1">
        <v>0.0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 t="s">
        <v>649</v>
      </c>
      <c r="B111" s="1" t="s">
        <v>579</v>
      </c>
      <c r="C111" s="1">
        <v>0.31312</v>
      </c>
      <c r="D111" s="1" t="s">
        <v>1262</v>
      </c>
      <c r="E111" s="266">
        <f>IFERROR(VLOOKUP(B111,'Сырьё'!$C$6:$E$233,3,FALSE()),IFERROR(VLOOKUP(B111,'Полупродукты'!$C$6:$E$60,3,FALSE()),0))</f>
        <v>1.2831</v>
      </c>
      <c r="F111" s="266">
        <f t="shared" si="1"/>
        <v>0.401764272</v>
      </c>
      <c r="G111" s="1">
        <v>0.0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 t="s">
        <v>649</v>
      </c>
      <c r="B112" s="1" t="s">
        <v>593</v>
      </c>
      <c r="C112" s="1">
        <v>0.11639</v>
      </c>
      <c r="D112" s="1" t="s">
        <v>1264</v>
      </c>
      <c r="E112" s="266">
        <f>IFERROR(VLOOKUP(B112,'Сырьё'!$C$6:$E$233,3,FALSE()),IFERROR(VLOOKUP(B112,'Полупродукты'!$C$6:$E$60,3,FALSE()),0))</f>
        <v>1.6575</v>
      </c>
      <c r="F112" s="266">
        <f t="shared" si="1"/>
        <v>0.192916425</v>
      </c>
      <c r="G112" s="1">
        <v>0.0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 t="s">
        <v>649</v>
      </c>
      <c r="B113" s="1" t="s">
        <v>588</v>
      </c>
      <c r="C113" s="1">
        <v>0.103</v>
      </c>
      <c r="D113" s="1" t="s">
        <v>1266</v>
      </c>
      <c r="E113" s="266">
        <f>IFERROR(VLOOKUP(B113,'Сырьё'!$C$6:$E$233,3,FALSE()),IFERROR(VLOOKUP(B113,'Полупродукты'!$C$6:$E$60,3,FALSE()),0))</f>
        <v>5.0212</v>
      </c>
      <c r="F113" s="266">
        <f t="shared" si="1"/>
        <v>0.5171836</v>
      </c>
      <c r="G113" s="1">
        <v>0.0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 t="s">
        <v>649</v>
      </c>
      <c r="B114" s="1" t="s">
        <v>532</v>
      </c>
      <c r="C114" s="1">
        <v>0.00824</v>
      </c>
      <c r="D114" s="1" t="s">
        <v>1268</v>
      </c>
      <c r="E114" s="266">
        <f>IFERROR(VLOOKUP(B114,'Сырьё'!$C$6:$E$233,3,FALSE()),IFERROR(VLOOKUP(B114,'Полупродукты'!$C$6:$E$60,3,FALSE()),0))</f>
        <v>2.337</v>
      </c>
      <c r="F114" s="266">
        <f t="shared" si="1"/>
        <v>0.01925688</v>
      </c>
      <c r="G114" s="1">
        <v>0.0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 t="s">
        <v>649</v>
      </c>
      <c r="B115" s="1" t="s">
        <v>585</v>
      </c>
      <c r="C115" s="1">
        <v>0.1133</v>
      </c>
      <c r="D115" s="1" t="s">
        <v>1270</v>
      </c>
      <c r="E115" s="266">
        <f>IFERROR(VLOOKUP(B115,'Сырьё'!$C$6:$E$233,3,FALSE()),IFERROR(VLOOKUP(B115,'Полупродукты'!$C$6:$E$60,3,FALSE()),0))</f>
        <v>6.9052</v>
      </c>
      <c r="F115" s="266">
        <f t="shared" si="1"/>
        <v>0.78235916</v>
      </c>
      <c r="G115" s="1">
        <v>0.0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 t="s">
        <v>649</v>
      </c>
      <c r="B116" s="1" t="s">
        <v>548</v>
      </c>
      <c r="C116" s="1">
        <v>0.07725</v>
      </c>
      <c r="D116" s="1" t="s">
        <v>1272</v>
      </c>
      <c r="E116" s="266">
        <f>IFERROR(VLOOKUP(B116,'Сырьё'!$C$6:$E$233,3,FALSE()),IFERROR(VLOOKUP(B116,'Полупродукты'!$C$6:$E$60,3,FALSE()),0))</f>
        <v>0</v>
      </c>
      <c r="F116" s="266">
        <f t="shared" si="1"/>
        <v>0</v>
      </c>
      <c r="G116" s="1">
        <v>0.0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 t="s">
        <v>404</v>
      </c>
      <c r="B117" s="1" t="s">
        <v>404</v>
      </c>
      <c r="C117" s="1">
        <v>1.0</v>
      </c>
      <c r="D117" s="1" t="s">
        <v>2795</v>
      </c>
      <c r="E117" s="266">
        <f>IFERROR(VLOOKUP(B117,'Сырьё'!$C$6:$E$233,3,FALSE()),IFERROR(VLOOKUP(B117,'Полупродукты'!$C$6:$E$60,3,FALSE()),0))</f>
        <v>0</v>
      </c>
      <c r="F117" s="266">
        <f t="shared" si="1"/>
        <v>0</v>
      </c>
      <c r="G117" s="1">
        <v>1.0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 t="s">
        <v>440</v>
      </c>
      <c r="B118" s="1" t="s">
        <v>440</v>
      </c>
      <c r="C118" s="1">
        <v>1.0</v>
      </c>
      <c r="D118" s="1" t="s">
        <v>2796</v>
      </c>
      <c r="E118" s="266">
        <f>IFERROR(VLOOKUP(B118,'Сырьё'!$C$6:$E$233,3,FALSE()),IFERROR(VLOOKUP(B118,'Полупродукты'!$C$6:$E$60,3,FALSE()),0))</f>
        <v>9.8086</v>
      </c>
      <c r="F118" s="266">
        <f t="shared" si="1"/>
        <v>9.8086</v>
      </c>
      <c r="G118" s="1">
        <v>1.0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 t="s">
        <v>641</v>
      </c>
      <c r="B119" s="1" t="s">
        <v>594</v>
      </c>
      <c r="C119" s="1">
        <v>0.254307</v>
      </c>
      <c r="D119" s="1" t="s">
        <v>2797</v>
      </c>
      <c r="E119" s="266">
        <f>IFERROR(VLOOKUP(B119,'Сырьё'!$C$6:$E$233,3,FALSE()),IFERROR(VLOOKUP(B119,'Полупродукты'!$C$6:$E$60,3,FALSE()),0))</f>
        <v>1.7145</v>
      </c>
      <c r="F119" s="266">
        <f t="shared" si="1"/>
        <v>0.4360093515</v>
      </c>
      <c r="G119" s="1">
        <v>0.0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 t="s">
        <v>641</v>
      </c>
      <c r="B120" s="1" t="s">
        <v>579</v>
      </c>
      <c r="C120" s="1">
        <v>0.216686</v>
      </c>
      <c r="D120" s="1" t="s">
        <v>2798</v>
      </c>
      <c r="E120" s="266">
        <f>IFERROR(VLOOKUP(B120,'Сырьё'!$C$6:$E$233,3,FALSE()),IFERROR(VLOOKUP(B120,'Полупродукты'!$C$6:$E$60,3,FALSE()),0))</f>
        <v>1.2831</v>
      </c>
      <c r="F120" s="266">
        <f t="shared" si="1"/>
        <v>0.2780298066</v>
      </c>
      <c r="G120" s="1">
        <v>0.0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 t="s">
        <v>641</v>
      </c>
      <c r="B121" s="1" t="s">
        <v>593</v>
      </c>
      <c r="C121" s="1">
        <v>0.11536</v>
      </c>
      <c r="D121" s="1" t="s">
        <v>2799</v>
      </c>
      <c r="E121" s="266">
        <f>IFERROR(VLOOKUP(B121,'Сырьё'!$C$6:$E$233,3,FALSE()),IFERROR(VLOOKUP(B121,'Полупродукты'!$C$6:$E$60,3,FALSE()),0))</f>
        <v>1.6575</v>
      </c>
      <c r="F121" s="266">
        <f t="shared" si="1"/>
        <v>0.1912092</v>
      </c>
      <c r="G121" s="1">
        <v>0.0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 t="s">
        <v>641</v>
      </c>
      <c r="B122" s="1" t="s">
        <v>585</v>
      </c>
      <c r="C122" s="1">
        <v>0.077868</v>
      </c>
      <c r="D122" s="1" t="s">
        <v>2800</v>
      </c>
      <c r="E122" s="266">
        <f>IFERROR(VLOOKUP(B122,'Сырьё'!$C$6:$E$233,3,FALSE()),IFERROR(VLOOKUP(B122,'Полупродукты'!$C$6:$E$60,3,FALSE()),0))</f>
        <v>6.9052</v>
      </c>
      <c r="F122" s="266">
        <f t="shared" si="1"/>
        <v>0.5376941136</v>
      </c>
      <c r="G122" s="1">
        <v>0.0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 t="s">
        <v>641</v>
      </c>
      <c r="B123" s="1" t="s">
        <v>537</v>
      </c>
      <c r="C123" s="1">
        <v>0.019467</v>
      </c>
      <c r="D123" s="1" t="s">
        <v>2801</v>
      </c>
      <c r="E123" s="266">
        <f>IFERROR(VLOOKUP(B123,'Сырьё'!$C$6:$E$233,3,FALSE()),IFERROR(VLOOKUP(B123,'Полупродукты'!$C$6:$E$60,3,FALSE()),0))</f>
        <v>8.8284</v>
      </c>
      <c r="F123" s="266">
        <f t="shared" si="1"/>
        <v>0.1718624628</v>
      </c>
      <c r="G123" s="1">
        <v>0.0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 t="s">
        <v>641</v>
      </c>
      <c r="B124" s="1" t="s">
        <v>561</v>
      </c>
      <c r="C124" s="1">
        <v>0.162225</v>
      </c>
      <c r="D124" s="1" t="s">
        <v>2802</v>
      </c>
      <c r="E124" s="266">
        <f>IFERROR(VLOOKUP(B124,'Сырьё'!$C$6:$E$233,3,FALSE()),IFERROR(VLOOKUP(B124,'Полупродукты'!$C$6:$E$60,3,FALSE()),0))</f>
        <v>18.9593</v>
      </c>
      <c r="F124" s="266">
        <f t="shared" si="1"/>
        <v>3.075672443</v>
      </c>
      <c r="G124" s="1">
        <v>0.0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 t="s">
        <v>641</v>
      </c>
      <c r="B125" s="1" t="s">
        <v>549</v>
      </c>
      <c r="C125" s="1">
        <v>0.015141</v>
      </c>
      <c r="D125" s="1" t="s">
        <v>2803</v>
      </c>
      <c r="E125" s="266">
        <f>IFERROR(VLOOKUP(B125,'Сырьё'!$C$6:$E$233,3,FALSE()),IFERROR(VLOOKUP(B125,'Полупродукты'!$C$6:$E$60,3,FALSE()),0))</f>
        <v>6.519</v>
      </c>
      <c r="F125" s="266">
        <f t="shared" si="1"/>
        <v>0.098704179</v>
      </c>
      <c r="G125" s="1">
        <v>0.0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 t="s">
        <v>641</v>
      </c>
      <c r="B126" s="1" t="s">
        <v>520</v>
      </c>
      <c r="C126" s="1">
        <v>1.6E-4</v>
      </c>
      <c r="D126" s="1" t="s">
        <v>2804</v>
      </c>
      <c r="E126" s="266">
        <f>IFERROR(VLOOKUP(B126,'Сырьё'!$C$6:$E$233,3,FALSE()),IFERROR(VLOOKUP(B126,'Полупродукты'!$C$6:$E$60,3,FALSE()),0))</f>
        <v>30.1527</v>
      </c>
      <c r="F126" s="266">
        <f t="shared" si="1"/>
        <v>0.004824432</v>
      </c>
      <c r="G126" s="1">
        <v>0.0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 t="s">
        <v>641</v>
      </c>
      <c r="B127" s="1" t="s">
        <v>570</v>
      </c>
      <c r="C127" s="1">
        <v>0.155643</v>
      </c>
      <c r="D127" s="1" t="s">
        <v>2805</v>
      </c>
      <c r="E127" s="266">
        <f>IFERROR(VLOOKUP(B127,'Сырьё'!$C$6:$E$233,3,FALSE()),IFERROR(VLOOKUP(B127,'Полупродукты'!$C$6:$E$60,3,FALSE()),0))</f>
        <v>3.3046</v>
      </c>
      <c r="F127" s="266">
        <f t="shared" si="1"/>
        <v>0.5143378578</v>
      </c>
      <c r="G127" s="1">
        <v>0.0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 t="s">
        <v>641</v>
      </c>
      <c r="B128" s="1" t="s">
        <v>591</v>
      </c>
      <c r="C128" s="1">
        <v>0.015527</v>
      </c>
      <c r="D128" s="1" t="s">
        <v>2806</v>
      </c>
      <c r="E128" s="266">
        <f>IFERROR(VLOOKUP(B128,'Сырьё'!$C$6:$E$233,3,FALSE()),IFERROR(VLOOKUP(B128,'Полупродукты'!$C$6:$E$60,3,FALSE()),0))</f>
        <v>1.9734</v>
      </c>
      <c r="F128" s="266">
        <f t="shared" si="1"/>
        <v>0.0306409818</v>
      </c>
      <c r="G128" s="1">
        <v>0.0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 t="s">
        <v>641</v>
      </c>
      <c r="B129" s="1" t="s">
        <v>522</v>
      </c>
      <c r="C129" s="1">
        <v>1.32E-4</v>
      </c>
      <c r="D129" s="1" t="s">
        <v>2807</v>
      </c>
      <c r="E129" s="266">
        <f>IFERROR(VLOOKUP(B129,'Сырьё'!$C$6:$E$233,3,FALSE()),IFERROR(VLOOKUP(B129,'Полупродукты'!$C$6:$E$60,3,FALSE()),0))</f>
        <v>3.7834</v>
      </c>
      <c r="F129" s="266">
        <f t="shared" si="1"/>
        <v>0.0004994088</v>
      </c>
      <c r="G129" s="1">
        <v>0.0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 t="s">
        <v>423</v>
      </c>
      <c r="B130" s="1" t="s">
        <v>423</v>
      </c>
      <c r="C130" s="1">
        <v>1.0</v>
      </c>
      <c r="D130" s="1" t="s">
        <v>2808</v>
      </c>
      <c r="E130" s="266">
        <f>IFERROR(VLOOKUP(B130,'Сырьё'!$C$6:$E$233,3,FALSE()),IFERROR(VLOOKUP(B130,'Полупродукты'!$C$6:$E$60,3,FALSE()),0))</f>
        <v>2.961</v>
      </c>
      <c r="F130" s="266">
        <f t="shared" si="1"/>
        <v>2.961</v>
      </c>
      <c r="G130" s="1">
        <v>1.0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 t="s">
        <v>408</v>
      </c>
      <c r="B131" s="1" t="s">
        <v>408</v>
      </c>
      <c r="C131" s="1">
        <v>1.0</v>
      </c>
      <c r="D131" s="1" t="s">
        <v>2809</v>
      </c>
      <c r="E131" s="266">
        <f>IFERROR(VLOOKUP(B131,'Сырьё'!$C$6:$E$233,3,FALSE()),IFERROR(VLOOKUP(B131,'Полупродукты'!$C$6:$E$60,3,FALSE()),0))</f>
        <v>4.6239</v>
      </c>
      <c r="F131" s="266">
        <f t="shared" si="1"/>
        <v>4.6239</v>
      </c>
      <c r="G131" s="1">
        <v>1.0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 t="s">
        <v>410</v>
      </c>
      <c r="B132" s="1" t="s">
        <v>410</v>
      </c>
      <c r="C132" s="1">
        <v>1.0</v>
      </c>
      <c r="D132" s="1" t="s">
        <v>2810</v>
      </c>
      <c r="E132" s="266">
        <f>IFERROR(VLOOKUP(B132,'Сырьё'!$C$6:$E$233,3,FALSE()),IFERROR(VLOOKUP(B132,'Полупродукты'!$C$6:$E$60,3,FALSE()),0))</f>
        <v>3.6604</v>
      </c>
      <c r="F132" s="266">
        <f t="shared" si="1"/>
        <v>3.6604</v>
      </c>
      <c r="G132" s="1">
        <v>1.0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 t="s">
        <v>434</v>
      </c>
      <c r="B133" s="1" t="s">
        <v>434</v>
      </c>
      <c r="C133" s="1">
        <v>1.0</v>
      </c>
      <c r="D133" s="1" t="s">
        <v>2811</v>
      </c>
      <c r="E133" s="266">
        <f>IFERROR(VLOOKUP(B133,'Сырьё'!$C$6:$E$233,3,FALSE()),IFERROR(VLOOKUP(B133,'Полупродукты'!$C$6:$E$60,3,FALSE()),0))</f>
        <v>5.6324</v>
      </c>
      <c r="F133" s="266">
        <f t="shared" si="1"/>
        <v>5.6324</v>
      </c>
      <c r="G133" s="1">
        <v>1.0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 t="s">
        <v>703</v>
      </c>
      <c r="B134" s="1" t="s">
        <v>570</v>
      </c>
      <c r="C134" s="1">
        <v>0.231513</v>
      </c>
      <c r="D134" s="1" t="s">
        <v>2812</v>
      </c>
      <c r="E134" s="266">
        <f>IFERROR(VLOOKUP(B134,'Сырьё'!$C$6:$E$233,3,FALSE()),IFERROR(VLOOKUP(B134,'Полупродукты'!$C$6:$E$60,3,FALSE()),0))</f>
        <v>3.3046</v>
      </c>
      <c r="F134" s="266">
        <f t="shared" si="1"/>
        <v>0.7650578598</v>
      </c>
      <c r="G134" s="1">
        <v>0.0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 t="s">
        <v>703</v>
      </c>
      <c r="B135" s="1" t="s">
        <v>569</v>
      </c>
      <c r="C135" s="1">
        <v>0.175739</v>
      </c>
      <c r="D135" s="1" t="s">
        <v>2813</v>
      </c>
      <c r="E135" s="266">
        <f>IFERROR(VLOOKUP(B135,'Сырьё'!$C$6:$E$233,3,FALSE()),IFERROR(VLOOKUP(B135,'Полупродукты'!$C$6:$E$60,3,FALSE()),0))</f>
        <v>3.2853</v>
      </c>
      <c r="F135" s="266">
        <f t="shared" si="1"/>
        <v>0.5773553367</v>
      </c>
      <c r="G135" s="1">
        <v>0.0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 t="s">
        <v>703</v>
      </c>
      <c r="B136" s="1" t="s">
        <v>594</v>
      </c>
      <c r="C136" s="1">
        <v>0.352162</v>
      </c>
      <c r="D136" s="1" t="s">
        <v>2814</v>
      </c>
      <c r="E136" s="266">
        <f>IFERROR(VLOOKUP(B136,'Сырьё'!$C$6:$E$233,3,FALSE()),IFERROR(VLOOKUP(B136,'Полупродукты'!$C$6:$E$60,3,FALSE()),0))</f>
        <v>1.7145</v>
      </c>
      <c r="F136" s="266">
        <f t="shared" si="1"/>
        <v>0.603781749</v>
      </c>
      <c r="G136" s="1">
        <v>0.0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 t="s">
        <v>703</v>
      </c>
      <c r="B137" s="1" t="s">
        <v>579</v>
      </c>
      <c r="C137" s="1">
        <v>0.099122</v>
      </c>
      <c r="D137" s="1" t="s">
        <v>2815</v>
      </c>
      <c r="E137" s="266">
        <f>IFERROR(VLOOKUP(B137,'Сырьё'!$C$6:$E$233,3,FALSE()),IFERROR(VLOOKUP(B137,'Полупродукты'!$C$6:$E$60,3,FALSE()),0))</f>
        <v>1.2831</v>
      </c>
      <c r="F137" s="266">
        <f t="shared" si="1"/>
        <v>0.1271834382</v>
      </c>
      <c r="G137" s="1">
        <v>0.0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 t="s">
        <v>703</v>
      </c>
      <c r="B138" s="1" t="s">
        <v>591</v>
      </c>
      <c r="C138" s="1">
        <v>0.099122</v>
      </c>
      <c r="D138" s="1" t="s">
        <v>2816</v>
      </c>
      <c r="E138" s="266">
        <f>IFERROR(VLOOKUP(B138,'Сырьё'!$C$6:$E$233,3,FALSE()),IFERROR(VLOOKUP(B138,'Полупродукты'!$C$6:$E$60,3,FALSE()),0))</f>
        <v>1.9734</v>
      </c>
      <c r="F138" s="266">
        <f t="shared" si="1"/>
        <v>0.1956073548</v>
      </c>
      <c r="G138" s="1">
        <v>0.0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 t="s">
        <v>703</v>
      </c>
      <c r="B139" s="1" t="s">
        <v>532</v>
      </c>
      <c r="C139" s="1">
        <v>0.034932</v>
      </c>
      <c r="D139" s="1" t="s">
        <v>2817</v>
      </c>
      <c r="E139" s="266">
        <f>IFERROR(VLOOKUP(B139,'Сырьё'!$C$6:$E$233,3,FALSE()),IFERROR(VLOOKUP(B139,'Полупродукты'!$C$6:$E$60,3,FALSE()),0))</f>
        <v>2.337</v>
      </c>
      <c r="F139" s="266">
        <f t="shared" si="1"/>
        <v>0.081636084</v>
      </c>
      <c r="G139" s="1">
        <v>0.0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 t="s">
        <v>703</v>
      </c>
      <c r="B140" s="1" t="s">
        <v>520</v>
      </c>
      <c r="C140" s="1">
        <v>0.003405</v>
      </c>
      <c r="D140" s="1" t="s">
        <v>2818</v>
      </c>
      <c r="E140" s="266">
        <f>IFERROR(VLOOKUP(B140,'Сырьё'!$C$6:$E$233,3,FALSE()),IFERROR(VLOOKUP(B140,'Полупродукты'!$C$6:$E$60,3,FALSE()),0))</f>
        <v>30.1527</v>
      </c>
      <c r="F140" s="266">
        <f t="shared" si="1"/>
        <v>0.1026699435</v>
      </c>
      <c r="G140" s="1">
        <v>0.0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 t="s">
        <v>703</v>
      </c>
      <c r="B141" s="1" t="s">
        <v>573</v>
      </c>
      <c r="C141" s="1">
        <v>0.0515</v>
      </c>
      <c r="D141" s="1" t="s">
        <v>1790</v>
      </c>
      <c r="E141" s="266">
        <f>IFERROR(VLOOKUP(B141,'Сырьё'!$C$6:$E$233,3,FALSE()),IFERROR(VLOOKUP(B141,'Полупродукты'!$C$6:$E$60,3,FALSE()),0))</f>
        <v>4.7016</v>
      </c>
      <c r="F141" s="266">
        <f t="shared" si="1"/>
        <v>0.2421324</v>
      </c>
      <c r="G141" s="1">
        <v>0.0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 t="s">
        <v>401</v>
      </c>
      <c r="B142" s="1" t="s">
        <v>401</v>
      </c>
      <c r="C142" s="1">
        <v>1.0</v>
      </c>
      <c r="D142" s="1" t="s">
        <v>2819</v>
      </c>
      <c r="E142" s="266">
        <f>IFERROR(VLOOKUP(B142,'Сырьё'!$C$6:$E$233,3,FALSE()),IFERROR(VLOOKUP(B142,'Полупродукты'!$C$6:$E$60,3,FALSE()),0))</f>
        <v>3.3725</v>
      </c>
      <c r="F142" s="266">
        <f t="shared" si="1"/>
        <v>3.3725</v>
      </c>
      <c r="G142" s="1">
        <v>1.0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 t="s">
        <v>409</v>
      </c>
      <c r="B143" s="1" t="s">
        <v>409</v>
      </c>
      <c r="C143" s="1">
        <v>1.0</v>
      </c>
      <c r="D143" s="1" t="s">
        <v>2820</v>
      </c>
      <c r="E143" s="266">
        <f>IFERROR(VLOOKUP(B143,'Сырьё'!$C$6:$E$233,3,FALSE()),IFERROR(VLOOKUP(B143,'Полупродукты'!$C$6:$E$60,3,FALSE()),0))</f>
        <v>3.6534</v>
      </c>
      <c r="F143" s="266">
        <f t="shared" si="1"/>
        <v>3.6534</v>
      </c>
      <c r="G143" s="1">
        <v>1.0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 t="s">
        <v>443</v>
      </c>
      <c r="B144" s="1" t="s">
        <v>443</v>
      </c>
      <c r="C144" s="1">
        <v>1.0</v>
      </c>
      <c r="D144" s="1" t="s">
        <v>2821</v>
      </c>
      <c r="E144" s="266">
        <f>IFERROR(VLOOKUP(B144,'Сырьё'!$C$6:$E$233,3,FALSE()),IFERROR(VLOOKUP(B144,'Полупродукты'!$C$6:$E$60,3,FALSE()),0))</f>
        <v>3.4782</v>
      </c>
      <c r="F144" s="266">
        <f t="shared" si="1"/>
        <v>3.4782</v>
      </c>
      <c r="G144" s="1">
        <v>1.0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 t="s">
        <v>724</v>
      </c>
      <c r="B145" s="1" t="s">
        <v>579</v>
      </c>
      <c r="C145" s="1">
        <v>0.37595</v>
      </c>
      <c r="D145" s="1" t="s">
        <v>2092</v>
      </c>
      <c r="E145" s="266">
        <f>IFERROR(VLOOKUP(B145,'Сырьё'!$C$6:$E$233,3,FALSE()),IFERROR(VLOOKUP(B145,'Полупродукты'!$C$6:$E$60,3,FALSE()),0))</f>
        <v>1.2831</v>
      </c>
      <c r="F145" s="266">
        <f t="shared" si="1"/>
        <v>0.482381445</v>
      </c>
      <c r="G145" s="1">
        <v>0.0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 t="s">
        <v>724</v>
      </c>
      <c r="B146" s="1" t="s">
        <v>593</v>
      </c>
      <c r="C146" s="1">
        <v>0.23175</v>
      </c>
      <c r="D146" s="1" t="s">
        <v>2094</v>
      </c>
      <c r="E146" s="266">
        <f>IFERROR(VLOOKUP(B146,'Сырьё'!$C$6:$E$233,3,FALSE()),IFERROR(VLOOKUP(B146,'Полупродукты'!$C$6:$E$60,3,FALSE()),0))</f>
        <v>1.6575</v>
      </c>
      <c r="F146" s="266">
        <f t="shared" si="1"/>
        <v>0.384125625</v>
      </c>
      <c r="G146" s="1">
        <v>0.0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 t="s">
        <v>724</v>
      </c>
      <c r="B147" s="1" t="s">
        <v>585</v>
      </c>
      <c r="C147" s="1">
        <v>0.4223</v>
      </c>
      <c r="D147" s="1" t="s">
        <v>2822</v>
      </c>
      <c r="E147" s="266">
        <f>IFERROR(VLOOKUP(B147,'Сырьё'!$C$6:$E$233,3,FALSE()),IFERROR(VLOOKUP(B147,'Полупродукты'!$C$6:$E$60,3,FALSE()),0))</f>
        <v>6.9052</v>
      </c>
      <c r="F147" s="266">
        <f t="shared" si="1"/>
        <v>2.91606596</v>
      </c>
      <c r="G147" s="1">
        <v>0.0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 t="s">
        <v>784</v>
      </c>
      <c r="B148" s="1" t="s">
        <v>567</v>
      </c>
      <c r="C148" s="1">
        <v>0.240196</v>
      </c>
      <c r="D148" s="1" t="s">
        <v>2633</v>
      </c>
      <c r="E148" s="266">
        <f>IFERROR(VLOOKUP(B148,'Сырьё'!$C$6:$E$233,3,FALSE()),IFERROR(VLOOKUP(B148,'Полупродукты'!$C$6:$E$60,3,FALSE()),0))</f>
        <v>0</v>
      </c>
      <c r="F148" s="266">
        <f t="shared" si="1"/>
        <v>0</v>
      </c>
      <c r="G148" s="1">
        <v>0.0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 t="s">
        <v>784</v>
      </c>
      <c r="B149" s="1" t="s">
        <v>550</v>
      </c>
      <c r="C149" s="1">
        <v>0.12978</v>
      </c>
      <c r="D149" s="1" t="s">
        <v>2635</v>
      </c>
      <c r="E149" s="266">
        <f>IFERROR(VLOOKUP(B149,'Сырьё'!$C$6:$E$233,3,FALSE()),IFERROR(VLOOKUP(B149,'Полупродукты'!$C$6:$E$60,3,FALSE()),0))</f>
        <v>0</v>
      </c>
      <c r="F149" s="266">
        <f t="shared" si="1"/>
        <v>0</v>
      </c>
      <c r="G149" s="1">
        <v>0.0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 t="s">
        <v>784</v>
      </c>
      <c r="B150" s="1" t="s">
        <v>594</v>
      </c>
      <c r="C150" s="1">
        <v>0.314974</v>
      </c>
      <c r="D150" s="1" t="s">
        <v>1858</v>
      </c>
      <c r="E150" s="266">
        <f>IFERROR(VLOOKUP(B150,'Сырьё'!$C$6:$E$233,3,FALSE()),IFERROR(VLOOKUP(B150,'Полупродукты'!$C$6:$E$60,3,FALSE()),0))</f>
        <v>1.7145</v>
      </c>
      <c r="F150" s="266">
        <f t="shared" si="1"/>
        <v>0.540022923</v>
      </c>
      <c r="G150" s="1">
        <v>0.0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 t="s">
        <v>784</v>
      </c>
      <c r="B151" s="1" t="s">
        <v>579</v>
      </c>
      <c r="C151" s="1">
        <v>0.209399</v>
      </c>
      <c r="D151" s="1" t="s">
        <v>1856</v>
      </c>
      <c r="E151" s="266">
        <f>IFERROR(VLOOKUP(B151,'Сырьё'!$C$6:$E$233,3,FALSE()),IFERROR(VLOOKUP(B151,'Полупродукты'!$C$6:$E$60,3,FALSE()),0))</f>
        <v>1.2831</v>
      </c>
      <c r="F151" s="266">
        <f t="shared" si="1"/>
        <v>0.2686798569</v>
      </c>
      <c r="G151" s="1">
        <v>0.0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 t="s">
        <v>784</v>
      </c>
      <c r="B152" s="1" t="s">
        <v>593</v>
      </c>
      <c r="C152" s="1">
        <v>0.162431</v>
      </c>
      <c r="D152" s="1" t="s">
        <v>1860</v>
      </c>
      <c r="E152" s="266">
        <f>IFERROR(VLOOKUP(B152,'Сырьё'!$C$6:$E$233,3,FALSE()),IFERROR(VLOOKUP(B152,'Полупродукты'!$C$6:$E$60,3,FALSE()),0))</f>
        <v>1.6575</v>
      </c>
      <c r="F152" s="266">
        <f t="shared" si="1"/>
        <v>0.2692293825</v>
      </c>
      <c r="G152" s="1">
        <v>0.0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 t="s">
        <v>536</v>
      </c>
      <c r="B153" s="1" t="s">
        <v>579</v>
      </c>
      <c r="C153" s="1">
        <v>0.066693</v>
      </c>
      <c r="D153" s="1" t="s">
        <v>1524</v>
      </c>
      <c r="E153" s="266">
        <f>IFERROR(VLOOKUP(B153,'Сырьё'!$C$6:$E$233,3,FALSE()),IFERROR(VLOOKUP(B153,'Полупродукты'!$C$6:$E$60,3,FALSE()),0))</f>
        <v>1.2831</v>
      </c>
      <c r="F153" s="266">
        <f t="shared" si="1"/>
        <v>0.0855737883</v>
      </c>
      <c r="G153" s="1">
        <v>0.0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1" t="s">
        <v>536</v>
      </c>
      <c r="B154" s="1" t="s">
        <v>593</v>
      </c>
      <c r="C154" s="1">
        <v>0.116905</v>
      </c>
      <c r="D154" s="1" t="s">
        <v>1520</v>
      </c>
      <c r="E154" s="266">
        <f>IFERROR(VLOOKUP(B154,'Сырьё'!$C$6:$E$233,3,FALSE()),IFERROR(VLOOKUP(B154,'Полупродукты'!$C$6:$E$60,3,FALSE()),0))</f>
        <v>1.6575</v>
      </c>
      <c r="F154" s="266">
        <f t="shared" si="1"/>
        <v>0.1937700375</v>
      </c>
      <c r="G154" s="1">
        <v>0.0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 t="s">
        <v>536</v>
      </c>
      <c r="B155" s="1" t="s">
        <v>594</v>
      </c>
      <c r="C155" s="1">
        <v>0.0927</v>
      </c>
      <c r="D155" s="1" t="s">
        <v>1518</v>
      </c>
      <c r="E155" s="266">
        <f>IFERROR(VLOOKUP(B155,'Сырьё'!$C$6:$E$233,3,FALSE()),IFERROR(VLOOKUP(B155,'Полупродукты'!$C$6:$E$60,3,FALSE()),0))</f>
        <v>1.7145</v>
      </c>
      <c r="F155" s="266">
        <f t="shared" si="1"/>
        <v>0.15893415</v>
      </c>
      <c r="G155" s="1">
        <v>0.0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 t="s">
        <v>536</v>
      </c>
      <c r="B156" s="1" t="s">
        <v>577</v>
      </c>
      <c r="C156" s="1">
        <v>0.354063</v>
      </c>
      <c r="D156" s="1" t="s">
        <v>2823</v>
      </c>
      <c r="E156" s="266">
        <f>IFERROR(VLOOKUP(B156,'Сырьё'!$C$6:$E$233,3,FALSE()),IFERROR(VLOOKUP(B156,'Полупродукты'!$C$6:$E$60,3,FALSE()),0))</f>
        <v>2.8015</v>
      </c>
      <c r="F156" s="266">
        <f t="shared" si="1"/>
        <v>0.9919074945</v>
      </c>
      <c r="G156" s="1">
        <v>0.0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 t="s">
        <v>536</v>
      </c>
      <c r="B157" s="1" t="s">
        <v>549</v>
      </c>
      <c r="C157" s="1">
        <v>0.03399</v>
      </c>
      <c r="D157" s="1" t="s">
        <v>2824</v>
      </c>
      <c r="E157" s="266">
        <f>IFERROR(VLOOKUP(B157,'Сырьё'!$C$6:$E$233,3,FALSE()),IFERROR(VLOOKUP(B157,'Полупродукты'!$C$6:$E$60,3,FALSE()),0))</f>
        <v>6.519</v>
      </c>
      <c r="F157" s="266">
        <f t="shared" si="1"/>
        <v>0.22158081</v>
      </c>
      <c r="G157" s="1">
        <v>0.0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 t="s">
        <v>536</v>
      </c>
      <c r="B158" s="1" t="s">
        <v>570</v>
      </c>
      <c r="C158" s="1">
        <v>0.2884</v>
      </c>
      <c r="D158" s="1" t="s">
        <v>1512</v>
      </c>
      <c r="E158" s="266">
        <f>IFERROR(VLOOKUP(B158,'Сырьё'!$C$6:$E$233,3,FALSE()),IFERROR(VLOOKUP(B158,'Полупродукты'!$C$6:$E$60,3,FALSE()),0))</f>
        <v>3.3046</v>
      </c>
      <c r="F158" s="266">
        <f t="shared" si="1"/>
        <v>0.95304664</v>
      </c>
      <c r="G158" s="1">
        <v>0.0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 t="s">
        <v>536</v>
      </c>
      <c r="B159" s="1" t="s">
        <v>532</v>
      </c>
      <c r="C159" s="1">
        <v>0.00515</v>
      </c>
      <c r="D159" s="1" t="s">
        <v>1514</v>
      </c>
      <c r="E159" s="266">
        <f>IFERROR(VLOOKUP(B159,'Сырьё'!$C$6:$E$233,3,FALSE()),IFERROR(VLOOKUP(B159,'Полупродукты'!$C$6:$E$60,3,FALSE()),0))</f>
        <v>2.337</v>
      </c>
      <c r="F159" s="266">
        <f t="shared" si="1"/>
        <v>0.01203555</v>
      </c>
      <c r="G159" s="1">
        <v>0.0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 t="s">
        <v>536</v>
      </c>
      <c r="B160" s="1" t="s">
        <v>571</v>
      </c>
      <c r="C160" s="1">
        <v>0.0206</v>
      </c>
      <c r="D160" s="1" t="s">
        <v>1516</v>
      </c>
      <c r="E160" s="266">
        <f>IFERROR(VLOOKUP(B160,'Сырьё'!$C$6:$E$233,3,FALSE()),IFERROR(VLOOKUP(B160,'Полупродукты'!$C$6:$E$60,3,FALSE()),0))</f>
        <v>14.556</v>
      </c>
      <c r="F160" s="266">
        <f t="shared" si="1"/>
        <v>0.2998536</v>
      </c>
      <c r="G160" s="1">
        <v>0.0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 t="s">
        <v>536</v>
      </c>
      <c r="B161" s="1" t="s">
        <v>584</v>
      </c>
      <c r="C161" s="1">
        <v>0.0515</v>
      </c>
      <c r="D161" s="1" t="s">
        <v>1522</v>
      </c>
      <c r="E161" s="266">
        <f>IFERROR(VLOOKUP(B161,'Сырьё'!$C$6:$E$233,3,FALSE()),IFERROR(VLOOKUP(B161,'Полупродукты'!$C$6:$E$60,3,FALSE()),0))</f>
        <v>2.0494</v>
      </c>
      <c r="F161" s="266">
        <f t="shared" si="1"/>
        <v>0.1055441</v>
      </c>
      <c r="G161" s="1">
        <v>0.0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1" t="s">
        <v>728</v>
      </c>
      <c r="B162" s="1" t="s">
        <v>549</v>
      </c>
      <c r="C162" s="1">
        <v>0.11124</v>
      </c>
      <c r="D162" s="1" t="s">
        <v>2825</v>
      </c>
      <c r="E162" s="266">
        <f>IFERROR(VLOOKUP(B162,'Сырьё'!$C$6:$E$233,3,FALSE()),IFERROR(VLOOKUP(B162,'Полупродукты'!$C$6:$E$60,3,FALSE()),0))</f>
        <v>6.519</v>
      </c>
      <c r="F162" s="266">
        <f t="shared" si="1"/>
        <v>0.72517356</v>
      </c>
      <c r="G162" s="1">
        <v>0.0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 t="s">
        <v>728</v>
      </c>
      <c r="B163" s="1" t="s">
        <v>594</v>
      </c>
      <c r="C163" s="1">
        <v>0.393975</v>
      </c>
      <c r="D163" s="1" t="s">
        <v>2826</v>
      </c>
      <c r="E163" s="266">
        <f>IFERROR(VLOOKUP(B163,'Сырьё'!$C$6:$E$233,3,FALSE()),IFERROR(VLOOKUP(B163,'Полупродукты'!$C$6:$E$60,3,FALSE()),0))</f>
        <v>1.7145</v>
      </c>
      <c r="F163" s="266">
        <f t="shared" si="1"/>
        <v>0.6754701375</v>
      </c>
      <c r="G163" s="1">
        <v>0.0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 t="s">
        <v>728</v>
      </c>
      <c r="B164" s="1" t="s">
        <v>537</v>
      </c>
      <c r="C164" s="1">
        <v>0.041715</v>
      </c>
      <c r="D164" s="1" t="s">
        <v>2827</v>
      </c>
      <c r="E164" s="266">
        <f>IFERROR(VLOOKUP(B164,'Сырьё'!$C$6:$E$233,3,FALSE()),IFERROR(VLOOKUP(B164,'Полупродукты'!$C$6:$E$60,3,FALSE()),0))</f>
        <v>8.8284</v>
      </c>
      <c r="F164" s="266">
        <f t="shared" si="1"/>
        <v>0.368276706</v>
      </c>
      <c r="G164" s="1">
        <v>0.0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 t="s">
        <v>728</v>
      </c>
      <c r="B165" s="1" t="s">
        <v>541</v>
      </c>
      <c r="C165" s="1">
        <v>0.004635</v>
      </c>
      <c r="D165" s="1" t="s">
        <v>2828</v>
      </c>
      <c r="E165" s="266">
        <f>IFERROR(VLOOKUP(B165,'Сырьё'!$C$6:$E$233,3,FALSE()),IFERROR(VLOOKUP(B165,'Полупродукты'!$C$6:$E$60,3,FALSE()),0))</f>
        <v>78.7704</v>
      </c>
      <c r="F165" s="266">
        <f t="shared" si="1"/>
        <v>0.365100804</v>
      </c>
      <c r="G165" s="1">
        <v>0.0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 t="s">
        <v>728</v>
      </c>
      <c r="B166" s="1" t="s">
        <v>552</v>
      </c>
      <c r="C166" s="1">
        <v>0.25956</v>
      </c>
      <c r="D166" s="1" t="s">
        <v>2829</v>
      </c>
      <c r="E166" s="266">
        <f>IFERROR(VLOOKUP(B166,'Сырьё'!$C$6:$E$233,3,FALSE()),IFERROR(VLOOKUP(B166,'Полупродукты'!$C$6:$E$60,3,FALSE()),0))</f>
        <v>3.8883</v>
      </c>
      <c r="F166" s="266">
        <f t="shared" si="1"/>
        <v>1.009247148</v>
      </c>
      <c r="G166" s="1">
        <v>0.0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 t="s">
        <v>728</v>
      </c>
      <c r="B167" s="1" t="s">
        <v>579</v>
      </c>
      <c r="C167" s="1">
        <v>0.115875</v>
      </c>
      <c r="D167" s="1" t="s">
        <v>2830</v>
      </c>
      <c r="E167" s="266">
        <f>IFERROR(VLOOKUP(B167,'Сырьё'!$C$6:$E$233,3,FALSE()),IFERROR(VLOOKUP(B167,'Полупродукты'!$C$6:$E$60,3,FALSE()),0))</f>
        <v>1.2831</v>
      </c>
      <c r="F167" s="266">
        <f t="shared" si="1"/>
        <v>0.1486792125</v>
      </c>
      <c r="G167" s="1">
        <v>0.0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 t="s">
        <v>728</v>
      </c>
      <c r="B168" s="1" t="s">
        <v>593</v>
      </c>
      <c r="C168" s="1">
        <v>0.103</v>
      </c>
      <c r="D168" s="1" t="s">
        <v>1670</v>
      </c>
      <c r="E168" s="266">
        <f>IFERROR(VLOOKUP(B168,'Сырьё'!$C$6:$E$233,3,FALSE()),IFERROR(VLOOKUP(B168,'Полупродукты'!$C$6:$E$60,3,FALSE()),0))</f>
        <v>1.6575</v>
      </c>
      <c r="F168" s="266">
        <f t="shared" si="1"/>
        <v>0.1707225</v>
      </c>
      <c r="G168" s="1">
        <v>0.0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 t="s">
        <v>728</v>
      </c>
      <c r="B169" s="1" t="s">
        <v>520</v>
      </c>
      <c r="C169" s="1">
        <v>0.00736</v>
      </c>
      <c r="D169" s="1" t="s">
        <v>1672</v>
      </c>
      <c r="E169" s="266">
        <f>IFERROR(VLOOKUP(B169,'Сырьё'!$C$6:$E$233,3,FALSE()),IFERROR(VLOOKUP(B169,'Полупродукты'!$C$6:$E$60,3,FALSE()),0))</f>
        <v>30.1527</v>
      </c>
      <c r="F169" s="266">
        <f t="shared" si="1"/>
        <v>0.221923872</v>
      </c>
      <c r="G169" s="1">
        <v>0.0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 t="s">
        <v>627</v>
      </c>
      <c r="B170" s="1" t="s">
        <v>549</v>
      </c>
      <c r="C170" s="1">
        <v>0.083945</v>
      </c>
      <c r="D170" s="1" t="s">
        <v>2831</v>
      </c>
      <c r="E170" s="266">
        <f>IFERROR(VLOOKUP(B170,'Сырьё'!$C$6:$E$233,3,FALSE()),IFERROR(VLOOKUP(B170,'Полупродукты'!$C$6:$E$60,3,FALSE()),0))</f>
        <v>6.519</v>
      </c>
      <c r="F170" s="266">
        <f t="shared" si="1"/>
        <v>0.547237455</v>
      </c>
      <c r="G170" s="1">
        <v>0.0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 t="s">
        <v>627</v>
      </c>
      <c r="B171" s="1" t="s">
        <v>537</v>
      </c>
      <c r="C171" s="1">
        <v>0.008755</v>
      </c>
      <c r="D171" s="1" t="s">
        <v>2832</v>
      </c>
      <c r="E171" s="266">
        <f>IFERROR(VLOOKUP(B171,'Сырьё'!$C$6:$E$233,3,FALSE()),IFERROR(VLOOKUP(B171,'Полупродукты'!$C$6:$E$60,3,FALSE()),0))</f>
        <v>8.8284</v>
      </c>
      <c r="F171" s="266">
        <f t="shared" si="1"/>
        <v>0.077292642</v>
      </c>
      <c r="G171" s="1">
        <v>0.0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 t="s">
        <v>627</v>
      </c>
      <c r="B172" s="1" t="s">
        <v>594</v>
      </c>
      <c r="C172" s="1">
        <v>0.325171</v>
      </c>
      <c r="D172" s="1" t="s">
        <v>2833</v>
      </c>
      <c r="E172" s="266">
        <f>IFERROR(VLOOKUP(B172,'Сырьё'!$C$6:$E$233,3,FALSE()),IFERROR(VLOOKUP(B172,'Полупродукты'!$C$6:$E$60,3,FALSE()),0))</f>
        <v>1.7145</v>
      </c>
      <c r="F172" s="266">
        <f t="shared" si="1"/>
        <v>0.5575056795</v>
      </c>
      <c r="G172" s="1">
        <v>0.0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 t="s">
        <v>627</v>
      </c>
      <c r="B173" s="1" t="s">
        <v>541</v>
      </c>
      <c r="C173" s="1">
        <v>0.001751</v>
      </c>
      <c r="D173" s="1" t="s">
        <v>2834</v>
      </c>
      <c r="E173" s="266">
        <f>IFERROR(VLOOKUP(B173,'Сырьё'!$C$6:$E$233,3,FALSE()),IFERROR(VLOOKUP(B173,'Полупродукты'!$C$6:$E$60,3,FALSE()),0))</f>
        <v>78.7704</v>
      </c>
      <c r="F173" s="266">
        <f t="shared" si="1"/>
        <v>0.1379269704</v>
      </c>
      <c r="G173" s="1">
        <v>0.0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 t="s">
        <v>627</v>
      </c>
      <c r="B174" s="1" t="s">
        <v>554</v>
      </c>
      <c r="C174" s="1">
        <v>0.098056</v>
      </c>
      <c r="D174" s="1" t="s">
        <v>2835</v>
      </c>
      <c r="E174" s="266">
        <f>IFERROR(VLOOKUP(B174,'Сырьё'!$C$6:$E$233,3,FALSE()),IFERROR(VLOOKUP(B174,'Полупродукты'!$C$6:$E$60,3,FALSE()),0))</f>
        <v>7.3406</v>
      </c>
      <c r="F174" s="266">
        <f t="shared" si="1"/>
        <v>0.7197898736</v>
      </c>
      <c r="G174" s="1">
        <v>0.0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 t="s">
        <v>627</v>
      </c>
      <c r="B175" s="1" t="s">
        <v>579</v>
      </c>
      <c r="C175" s="1">
        <v>0.124439</v>
      </c>
      <c r="D175" s="1" t="s">
        <v>2836</v>
      </c>
      <c r="E175" s="266">
        <f>IFERROR(VLOOKUP(B175,'Сырьё'!$C$6:$E$233,3,FALSE()),IFERROR(VLOOKUP(B175,'Полупродукты'!$C$6:$E$60,3,FALSE()),0))</f>
        <v>1.2831</v>
      </c>
      <c r="F175" s="266">
        <f t="shared" si="1"/>
        <v>0.1596676809</v>
      </c>
      <c r="G175" s="1">
        <v>0.0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 t="s">
        <v>627</v>
      </c>
      <c r="B176" s="1" t="s">
        <v>431</v>
      </c>
      <c r="C176" s="1">
        <v>0.1751</v>
      </c>
      <c r="D176" s="1" t="s">
        <v>1534</v>
      </c>
      <c r="E176" s="266">
        <f>IFERROR(VLOOKUP(B176,'Сырьё'!$C$6:$E$233,3,FALSE()),IFERROR(VLOOKUP(B176,'Полупродукты'!$C$6:$E$60,3,FALSE()),0))</f>
        <v>8.7213</v>
      </c>
      <c r="F176" s="266">
        <f t="shared" si="1"/>
        <v>1.52709963</v>
      </c>
      <c r="G176" s="1">
        <v>1.0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 t="s">
        <v>627</v>
      </c>
      <c r="B177" s="1" t="s">
        <v>570</v>
      </c>
      <c r="C177" s="1">
        <v>0.155643</v>
      </c>
      <c r="D177" s="1" t="s">
        <v>2837</v>
      </c>
      <c r="E177" s="266">
        <f>IFERROR(VLOOKUP(B177,'Сырьё'!$C$6:$E$233,3,FALSE()),IFERROR(VLOOKUP(B177,'Полупродукты'!$C$6:$E$60,3,FALSE()),0))</f>
        <v>3.3046</v>
      </c>
      <c r="F177" s="266">
        <f t="shared" si="1"/>
        <v>0.5143378578</v>
      </c>
      <c r="G177" s="1">
        <v>0.0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 t="s">
        <v>627</v>
      </c>
      <c r="B178" s="1" t="s">
        <v>591</v>
      </c>
      <c r="C178" s="1">
        <v>0.015527</v>
      </c>
      <c r="D178" s="1" t="s">
        <v>2838</v>
      </c>
      <c r="E178" s="266">
        <f>IFERROR(VLOOKUP(B178,'Сырьё'!$C$6:$E$233,3,FALSE()),IFERROR(VLOOKUP(B178,'Полупродукты'!$C$6:$E$60,3,FALSE()),0))</f>
        <v>1.9734</v>
      </c>
      <c r="F178" s="266">
        <f t="shared" si="1"/>
        <v>0.0306409818</v>
      </c>
      <c r="G178" s="1">
        <v>0.0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 t="s">
        <v>627</v>
      </c>
      <c r="B179" s="1" t="s">
        <v>522</v>
      </c>
      <c r="C179" s="1">
        <v>1.32E-4</v>
      </c>
      <c r="D179" s="1" t="s">
        <v>2839</v>
      </c>
      <c r="E179" s="266">
        <f>IFERROR(VLOOKUP(B179,'Сырьё'!$C$6:$E$233,3,FALSE()),IFERROR(VLOOKUP(B179,'Полупродукты'!$C$6:$E$60,3,FALSE()),0))</f>
        <v>3.7834</v>
      </c>
      <c r="F179" s="266">
        <f t="shared" si="1"/>
        <v>0.0004994088</v>
      </c>
      <c r="G179" s="1">
        <v>0.0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 t="s">
        <v>627</v>
      </c>
      <c r="B180" s="1" t="s">
        <v>593</v>
      </c>
      <c r="C180" s="1">
        <v>0.043837</v>
      </c>
      <c r="D180" s="1" t="s">
        <v>2840</v>
      </c>
      <c r="E180" s="266">
        <f>IFERROR(VLOOKUP(B180,'Сырьё'!$C$6:$E$233,3,FALSE()),IFERROR(VLOOKUP(B180,'Полупродукты'!$C$6:$E$60,3,FALSE()),0))</f>
        <v>1.6575</v>
      </c>
      <c r="F180" s="266">
        <f t="shared" si="1"/>
        <v>0.0726598275</v>
      </c>
      <c r="G180" s="1">
        <v>0.0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 t="s">
        <v>519</v>
      </c>
      <c r="B181" s="1" t="s">
        <v>429</v>
      </c>
      <c r="C181" s="1">
        <v>0.824</v>
      </c>
      <c r="D181" s="1" t="s">
        <v>1434</v>
      </c>
      <c r="E181" s="266">
        <f>IFERROR(VLOOKUP(B181,'Сырьё'!$C$6:$E$233,3,FALSE()),IFERROR(VLOOKUP(B181,'Полупродукты'!$C$6:$E$60,3,FALSE()),0))</f>
        <v>3.6345</v>
      </c>
      <c r="F181" s="266">
        <f t="shared" si="1"/>
        <v>2.994828</v>
      </c>
      <c r="G181" s="1">
        <v>1.0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1" t="s">
        <v>519</v>
      </c>
      <c r="B182" s="1" t="s">
        <v>570</v>
      </c>
      <c r="C182" s="1">
        <v>0.04874</v>
      </c>
      <c r="D182" s="1" t="s">
        <v>2841</v>
      </c>
      <c r="E182" s="266">
        <f>IFERROR(VLOOKUP(B182,'Сырьё'!$C$6:$E$233,3,FALSE()),IFERROR(VLOOKUP(B182,'Полупродукты'!$C$6:$E$60,3,FALSE()),0))</f>
        <v>3.3046</v>
      </c>
      <c r="F182" s="266">
        <f t="shared" si="1"/>
        <v>0.161066204</v>
      </c>
      <c r="G182" s="1">
        <v>0.0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1" t="s">
        <v>519</v>
      </c>
      <c r="B183" s="1" t="s">
        <v>569</v>
      </c>
      <c r="C183" s="1">
        <v>0.036998</v>
      </c>
      <c r="D183" s="1" t="s">
        <v>2842</v>
      </c>
      <c r="E183" s="266">
        <f>IFERROR(VLOOKUP(B183,'Сырьё'!$C$6:$E$233,3,FALSE()),IFERROR(VLOOKUP(B183,'Полупродукты'!$C$6:$E$60,3,FALSE()),0))</f>
        <v>3.2853</v>
      </c>
      <c r="F183" s="266">
        <f t="shared" si="1"/>
        <v>0.1215495294</v>
      </c>
      <c r="G183" s="1">
        <v>0.0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 t="s">
        <v>519</v>
      </c>
      <c r="B184" s="1" t="s">
        <v>594</v>
      </c>
      <c r="C184" s="1">
        <v>0.074139</v>
      </c>
      <c r="D184" s="1" t="s">
        <v>2843</v>
      </c>
      <c r="E184" s="266">
        <f>IFERROR(VLOOKUP(B184,'Сырьё'!$C$6:$E$233,3,FALSE()),IFERROR(VLOOKUP(B184,'Полупродукты'!$C$6:$E$60,3,FALSE()),0))</f>
        <v>1.7145</v>
      </c>
      <c r="F184" s="266">
        <f t="shared" si="1"/>
        <v>0.1271113155</v>
      </c>
      <c r="G184" s="1">
        <v>0.0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 t="s">
        <v>519</v>
      </c>
      <c r="B185" s="1" t="s">
        <v>579</v>
      </c>
      <c r="C185" s="1">
        <v>0.020868</v>
      </c>
      <c r="D185" s="1" t="s">
        <v>2844</v>
      </c>
      <c r="E185" s="266">
        <f>IFERROR(VLOOKUP(B185,'Сырьё'!$C$6:$E$233,3,FALSE()),IFERROR(VLOOKUP(B185,'Полупродукты'!$C$6:$E$60,3,FALSE()),0))</f>
        <v>1.2831</v>
      </c>
      <c r="F185" s="266">
        <f t="shared" si="1"/>
        <v>0.0267757308</v>
      </c>
      <c r="G185" s="1">
        <v>0.0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 t="s">
        <v>519</v>
      </c>
      <c r="B186" s="1" t="s">
        <v>591</v>
      </c>
      <c r="C186" s="1">
        <v>0.020868</v>
      </c>
      <c r="D186" s="1" t="s">
        <v>2845</v>
      </c>
      <c r="E186" s="266">
        <f>IFERROR(VLOOKUP(B186,'Сырьё'!$C$6:$E$233,3,FALSE()),IFERROR(VLOOKUP(B186,'Полупродукты'!$C$6:$E$60,3,FALSE()),0))</f>
        <v>1.9734</v>
      </c>
      <c r="F186" s="266">
        <f t="shared" si="1"/>
        <v>0.0411809112</v>
      </c>
      <c r="G186" s="1">
        <v>0.0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 t="s">
        <v>519</v>
      </c>
      <c r="B187" s="1" t="s">
        <v>532</v>
      </c>
      <c r="C187" s="1">
        <v>0.007354</v>
      </c>
      <c r="D187" s="1" t="s">
        <v>2846</v>
      </c>
      <c r="E187" s="266">
        <f>IFERROR(VLOOKUP(B187,'Сырьё'!$C$6:$E$233,3,FALSE()),IFERROR(VLOOKUP(B187,'Полупродукты'!$C$6:$E$60,3,FALSE()),0))</f>
        <v>2.337</v>
      </c>
      <c r="F187" s="266">
        <f t="shared" si="1"/>
        <v>0.017186298</v>
      </c>
      <c r="G187" s="1">
        <v>0.0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 t="s">
        <v>519</v>
      </c>
      <c r="B188" s="1" t="s">
        <v>520</v>
      </c>
      <c r="C188" s="1">
        <v>7.17E-4</v>
      </c>
      <c r="D188" s="1" t="s">
        <v>2847</v>
      </c>
      <c r="E188" s="266">
        <f>IFERROR(VLOOKUP(B188,'Сырьё'!$C$6:$E$233,3,FALSE()),IFERROR(VLOOKUP(B188,'Полупродукты'!$C$6:$E$60,3,FALSE()),0))</f>
        <v>30.1527</v>
      </c>
      <c r="F188" s="266">
        <f t="shared" si="1"/>
        <v>0.0216194859</v>
      </c>
      <c r="G188" s="1">
        <v>0.0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 t="s">
        <v>727</v>
      </c>
      <c r="B189" s="1" t="s">
        <v>594</v>
      </c>
      <c r="C189" s="1">
        <v>0.515</v>
      </c>
      <c r="D189" s="1" t="s">
        <v>1458</v>
      </c>
      <c r="E189" s="266">
        <f>IFERROR(VLOOKUP(B189,'Сырьё'!$C$6:$E$233,3,FALSE()),IFERROR(VLOOKUP(B189,'Полупродукты'!$C$6:$E$60,3,FALSE()),0))</f>
        <v>1.7145</v>
      </c>
      <c r="F189" s="266">
        <f t="shared" si="1"/>
        <v>0.8829675</v>
      </c>
      <c r="G189" s="1">
        <v>0.0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 t="s">
        <v>727</v>
      </c>
      <c r="B190" s="1" t="s">
        <v>539</v>
      </c>
      <c r="C190" s="1">
        <v>0.515</v>
      </c>
      <c r="D190" s="1" t="s">
        <v>1460</v>
      </c>
      <c r="E190" s="266">
        <f>IFERROR(VLOOKUP(B190,'Сырьё'!$C$6:$E$233,3,FALSE()),IFERROR(VLOOKUP(B190,'Полупродукты'!$C$6:$E$60,3,FALSE()),0))</f>
        <v>3.2337</v>
      </c>
      <c r="F190" s="266">
        <f t="shared" si="1"/>
        <v>1.6653555</v>
      </c>
      <c r="G190" s="1">
        <v>0.0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 t="s">
        <v>426</v>
      </c>
      <c r="B191" s="1" t="s">
        <v>426</v>
      </c>
      <c r="C191" s="1">
        <v>1.0</v>
      </c>
      <c r="D191" s="1" t="s">
        <v>2848</v>
      </c>
      <c r="E191" s="266">
        <f>IFERROR(VLOOKUP(B191,'Сырьё'!$C$6:$E$233,3,FALSE()),IFERROR(VLOOKUP(B191,'Полупродукты'!$C$6:$E$60,3,FALSE()),0))</f>
        <v>2.843</v>
      </c>
      <c r="F191" s="266">
        <f t="shared" si="1"/>
        <v>2.843</v>
      </c>
      <c r="G191" s="1">
        <v>1.0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 t="s">
        <v>617</v>
      </c>
      <c r="B192" s="1" t="s">
        <v>579</v>
      </c>
      <c r="C192" s="1">
        <v>0.168163</v>
      </c>
      <c r="D192" s="1" t="s">
        <v>2849</v>
      </c>
      <c r="E192" s="266">
        <f>IFERROR(VLOOKUP(B192,'Сырьё'!$C$6:$E$233,3,FALSE()),IFERROR(VLOOKUP(B192,'Полупродукты'!$C$6:$E$60,3,FALSE()),0))</f>
        <v>1.2831</v>
      </c>
      <c r="F192" s="266">
        <f t="shared" si="1"/>
        <v>0.2157699453</v>
      </c>
      <c r="G192" s="1">
        <v>0.0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 t="s">
        <v>617</v>
      </c>
      <c r="B193" s="1" t="s">
        <v>594</v>
      </c>
      <c r="C193" s="1">
        <v>0.293432</v>
      </c>
      <c r="D193" s="1" t="s">
        <v>2850</v>
      </c>
      <c r="E193" s="266">
        <f>IFERROR(VLOOKUP(B193,'Сырьё'!$C$6:$E$233,3,FALSE()),IFERROR(VLOOKUP(B193,'Полупродукты'!$C$6:$E$60,3,FALSE()),0))</f>
        <v>1.7145</v>
      </c>
      <c r="F193" s="266">
        <f t="shared" si="1"/>
        <v>0.503089164</v>
      </c>
      <c r="G193" s="1">
        <v>0.0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 t="s">
        <v>617</v>
      </c>
      <c r="B194" s="1" t="s">
        <v>593</v>
      </c>
      <c r="C194" s="1">
        <v>0.130068</v>
      </c>
      <c r="D194" s="1" t="s">
        <v>2851</v>
      </c>
      <c r="E194" s="266">
        <f>IFERROR(VLOOKUP(B194,'Сырьё'!$C$6:$E$233,3,FALSE()),IFERROR(VLOOKUP(B194,'Полупродукты'!$C$6:$E$60,3,FALSE()),0))</f>
        <v>1.6575</v>
      </c>
      <c r="F194" s="266">
        <f t="shared" si="1"/>
        <v>0.21558771</v>
      </c>
      <c r="G194" s="1">
        <v>0.0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 t="s">
        <v>617</v>
      </c>
      <c r="B195" s="1" t="s">
        <v>549</v>
      </c>
      <c r="C195" s="1">
        <v>0.118192</v>
      </c>
      <c r="D195" s="1" t="s">
        <v>2852</v>
      </c>
      <c r="E195" s="266">
        <f>IFERROR(VLOOKUP(B195,'Сырьё'!$C$6:$E$233,3,FALSE()),IFERROR(VLOOKUP(B195,'Полупродукты'!$C$6:$E$60,3,FALSE()),0))</f>
        <v>6.519</v>
      </c>
      <c r="F195" s="266">
        <f t="shared" si="1"/>
        <v>0.770493648</v>
      </c>
      <c r="G195" s="1">
        <v>0.0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 t="s">
        <v>617</v>
      </c>
      <c r="B196" s="1" t="s">
        <v>554</v>
      </c>
      <c r="C196" s="1">
        <v>0.18025</v>
      </c>
      <c r="D196" s="1" t="s">
        <v>2853</v>
      </c>
      <c r="E196" s="266">
        <f>IFERROR(VLOOKUP(B196,'Сырьё'!$C$6:$E$233,3,FALSE()),IFERROR(VLOOKUP(B196,'Полупродукты'!$C$6:$E$60,3,FALSE()),0))</f>
        <v>7.3406</v>
      </c>
      <c r="F196" s="266">
        <f t="shared" si="1"/>
        <v>1.32314315</v>
      </c>
      <c r="G196" s="1">
        <v>0.0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 t="s">
        <v>617</v>
      </c>
      <c r="B197" s="1" t="s">
        <v>520</v>
      </c>
      <c r="C197" s="1">
        <v>7.02E-4</v>
      </c>
      <c r="D197" s="1" t="s">
        <v>2854</v>
      </c>
      <c r="E197" s="266">
        <f>IFERROR(VLOOKUP(B197,'Сырьё'!$C$6:$E$233,3,FALSE()),IFERROR(VLOOKUP(B197,'Полупродукты'!$C$6:$E$60,3,FALSE()),0))</f>
        <v>30.1527</v>
      </c>
      <c r="F197" s="266">
        <f t="shared" si="1"/>
        <v>0.0211671954</v>
      </c>
      <c r="G197" s="1">
        <v>0.0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 t="s">
        <v>617</v>
      </c>
      <c r="B198" s="1" t="s">
        <v>570</v>
      </c>
      <c r="C198" s="1">
        <v>0.036555</v>
      </c>
      <c r="D198" s="1" t="s">
        <v>2855</v>
      </c>
      <c r="E198" s="266">
        <f>IFERROR(VLOOKUP(B198,'Сырьё'!$C$6:$E$233,3,FALSE()),IFERROR(VLOOKUP(B198,'Полупродукты'!$C$6:$E$60,3,FALSE()),0))</f>
        <v>3.3046</v>
      </c>
      <c r="F198" s="266">
        <f t="shared" si="1"/>
        <v>0.120799653</v>
      </c>
      <c r="G198" s="1">
        <v>0.0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 t="s">
        <v>617</v>
      </c>
      <c r="B199" s="1" t="s">
        <v>569</v>
      </c>
      <c r="C199" s="1">
        <v>0.027748</v>
      </c>
      <c r="D199" s="1" t="s">
        <v>2856</v>
      </c>
      <c r="E199" s="266">
        <f>IFERROR(VLOOKUP(B199,'Сырьё'!$C$6:$E$233,3,FALSE()),IFERROR(VLOOKUP(B199,'Полупродукты'!$C$6:$E$60,3,FALSE()),0))</f>
        <v>3.2853</v>
      </c>
      <c r="F199" s="266">
        <f t="shared" si="1"/>
        <v>0.0911605044</v>
      </c>
      <c r="G199" s="1">
        <v>0.0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 t="s">
        <v>617</v>
      </c>
      <c r="B200" s="1" t="s">
        <v>591</v>
      </c>
      <c r="C200" s="1">
        <v>0.015651</v>
      </c>
      <c r="D200" s="1" t="s">
        <v>2857</v>
      </c>
      <c r="E200" s="266">
        <f>IFERROR(VLOOKUP(B200,'Сырьё'!$C$6:$E$233,3,FALSE()),IFERROR(VLOOKUP(B200,'Полупродукты'!$C$6:$E$60,3,FALSE()),0))</f>
        <v>1.9734</v>
      </c>
      <c r="F200" s="266">
        <f t="shared" si="1"/>
        <v>0.0308856834</v>
      </c>
      <c r="G200" s="1">
        <v>0.0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 t="s">
        <v>617</v>
      </c>
      <c r="B201" s="1" t="s">
        <v>532</v>
      </c>
      <c r="C201" s="1">
        <v>0.005516</v>
      </c>
      <c r="D201" s="1" t="s">
        <v>2858</v>
      </c>
      <c r="E201" s="266">
        <f>IFERROR(VLOOKUP(B201,'Сырьё'!$C$6:$E$233,3,FALSE()),IFERROR(VLOOKUP(B201,'Полупродукты'!$C$6:$E$60,3,FALSE()),0))</f>
        <v>2.337</v>
      </c>
      <c r="F201" s="266">
        <f t="shared" si="1"/>
        <v>0.012890892</v>
      </c>
      <c r="G201" s="1">
        <v>0.0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 t="s">
        <v>617</v>
      </c>
      <c r="B202" s="1" t="s">
        <v>573</v>
      </c>
      <c r="C202" s="1">
        <v>0.0515</v>
      </c>
      <c r="D202" s="1" t="s">
        <v>1728</v>
      </c>
      <c r="E202" s="266">
        <f>IFERROR(VLOOKUP(B202,'Сырьё'!$C$6:$E$233,3,FALSE()),IFERROR(VLOOKUP(B202,'Полупродукты'!$C$6:$E$60,3,FALSE()),0))</f>
        <v>4.7016</v>
      </c>
      <c r="F202" s="266">
        <f t="shared" si="1"/>
        <v>0.2421324</v>
      </c>
      <c r="G202" s="1">
        <v>0.0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 t="s">
        <v>617</v>
      </c>
      <c r="B203" s="1" t="s">
        <v>571</v>
      </c>
      <c r="C203" s="1">
        <v>0.00515</v>
      </c>
      <c r="D203" s="1" t="s">
        <v>1730</v>
      </c>
      <c r="E203" s="266">
        <f>IFERROR(VLOOKUP(B203,'Сырьё'!$C$6:$E$233,3,FALSE()),IFERROR(VLOOKUP(B203,'Полупродукты'!$C$6:$E$60,3,FALSE()),0))</f>
        <v>14.556</v>
      </c>
      <c r="F203" s="266">
        <f t="shared" si="1"/>
        <v>0.0749634</v>
      </c>
      <c r="G203" s="1">
        <v>0.0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 t="s">
        <v>685</v>
      </c>
      <c r="B204" s="1" t="s">
        <v>567</v>
      </c>
      <c r="C204" s="1">
        <v>0.144118</v>
      </c>
      <c r="D204" s="1" t="s">
        <v>2859</v>
      </c>
      <c r="E204" s="266">
        <f>IFERROR(VLOOKUP(B204,'Сырьё'!$C$6:$E$233,3,FALSE()),IFERROR(VLOOKUP(B204,'Полупродукты'!$C$6:$E$60,3,FALSE()),0))</f>
        <v>0</v>
      </c>
      <c r="F204" s="266">
        <f t="shared" si="1"/>
        <v>0</v>
      </c>
      <c r="G204" s="1">
        <v>0.0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 t="s">
        <v>685</v>
      </c>
      <c r="B205" s="1" t="s">
        <v>550</v>
      </c>
      <c r="C205" s="1">
        <v>0.077868</v>
      </c>
      <c r="D205" s="1" t="s">
        <v>2860</v>
      </c>
      <c r="E205" s="266">
        <f>IFERROR(VLOOKUP(B205,'Сырьё'!$C$6:$E$233,3,FALSE()),IFERROR(VLOOKUP(B205,'Полупродукты'!$C$6:$E$60,3,FALSE()),0))</f>
        <v>0</v>
      </c>
      <c r="F205" s="266">
        <f t="shared" si="1"/>
        <v>0</v>
      </c>
      <c r="G205" s="1">
        <v>0.0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1" t="s">
        <v>685</v>
      </c>
      <c r="B206" s="1" t="s">
        <v>594</v>
      </c>
      <c r="C206" s="1">
        <v>0.271868</v>
      </c>
      <c r="D206" s="1" t="s">
        <v>2861</v>
      </c>
      <c r="E206" s="266">
        <f>IFERROR(VLOOKUP(B206,'Сырьё'!$C$6:$E$233,3,FALSE()),IFERROR(VLOOKUP(B206,'Полупродукты'!$C$6:$E$60,3,FALSE()),0))</f>
        <v>1.7145</v>
      </c>
      <c r="F206" s="266">
        <f t="shared" si="1"/>
        <v>0.466117686</v>
      </c>
      <c r="G206" s="1">
        <v>0.0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1" t="s">
        <v>685</v>
      </c>
      <c r="B207" s="1" t="s">
        <v>579</v>
      </c>
      <c r="C207" s="1">
        <v>0.290231</v>
      </c>
      <c r="D207" s="1" t="s">
        <v>1412</v>
      </c>
      <c r="E207" s="266">
        <f>IFERROR(VLOOKUP(B207,'Сырьё'!$C$6:$E$233,3,FALSE()),IFERROR(VLOOKUP(B207,'Полупродукты'!$C$6:$E$60,3,FALSE()),0))</f>
        <v>1.2831</v>
      </c>
      <c r="F207" s="266">
        <f t="shared" si="1"/>
        <v>0.3723953961</v>
      </c>
      <c r="G207" s="1">
        <v>0.0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1" t="s">
        <v>685</v>
      </c>
      <c r="B208" s="1" t="s">
        <v>593</v>
      </c>
      <c r="C208" s="1">
        <v>0.130913</v>
      </c>
      <c r="D208" s="1" t="s">
        <v>2862</v>
      </c>
      <c r="E208" s="266">
        <f>IFERROR(VLOOKUP(B208,'Сырьё'!$C$6:$E$233,3,FALSE()),IFERROR(VLOOKUP(B208,'Полупродукты'!$C$6:$E$60,3,FALSE()),0))</f>
        <v>1.6575</v>
      </c>
      <c r="F208" s="266">
        <f t="shared" si="1"/>
        <v>0.2169882975</v>
      </c>
      <c r="G208" s="1">
        <v>0.0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1" t="s">
        <v>685</v>
      </c>
      <c r="B209" s="1" t="s">
        <v>570</v>
      </c>
      <c r="C209" s="1">
        <v>0.069618</v>
      </c>
      <c r="D209" s="1" t="s">
        <v>2863</v>
      </c>
      <c r="E209" s="266">
        <f>IFERROR(VLOOKUP(B209,'Сырьё'!$C$6:$E$233,3,FALSE()),IFERROR(VLOOKUP(B209,'Полупродукты'!$C$6:$E$60,3,FALSE()),0))</f>
        <v>3.3046</v>
      </c>
      <c r="F209" s="266">
        <f t="shared" si="1"/>
        <v>0.2300596428</v>
      </c>
      <c r="G209" s="1">
        <v>0.0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1" t="s">
        <v>685</v>
      </c>
      <c r="B210" s="1" t="s">
        <v>591</v>
      </c>
      <c r="C210" s="1">
        <v>0.01589</v>
      </c>
      <c r="D210" s="1" t="s">
        <v>2864</v>
      </c>
      <c r="E210" s="266">
        <f>IFERROR(VLOOKUP(B210,'Сырьё'!$C$6:$E$233,3,FALSE()),IFERROR(VLOOKUP(B210,'Полупродукты'!$C$6:$E$60,3,FALSE()),0))</f>
        <v>1.9734</v>
      </c>
      <c r="F210" s="266">
        <f t="shared" si="1"/>
        <v>0.031357326</v>
      </c>
      <c r="G210" s="1">
        <v>0.0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1" t="s">
        <v>685</v>
      </c>
      <c r="B211" s="1" t="s">
        <v>532</v>
      </c>
      <c r="C211" s="1">
        <v>0.005531</v>
      </c>
      <c r="D211" s="1" t="s">
        <v>2865</v>
      </c>
      <c r="E211" s="266">
        <f>IFERROR(VLOOKUP(B211,'Сырьё'!$C$6:$E$233,3,FALSE()),IFERROR(VLOOKUP(B211,'Полупродукты'!$C$6:$E$60,3,FALSE()),0))</f>
        <v>2.337</v>
      </c>
      <c r="F211" s="266">
        <f t="shared" si="1"/>
        <v>0.012925947</v>
      </c>
      <c r="G211" s="1">
        <v>0.0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0" customHeight="1">
      <c r="A212" s="1" t="s">
        <v>685</v>
      </c>
      <c r="B212" s="1" t="s">
        <v>549</v>
      </c>
      <c r="C212" s="1">
        <v>0.037337</v>
      </c>
      <c r="D212" s="1" t="s">
        <v>2866</v>
      </c>
      <c r="E212" s="266">
        <f>IFERROR(VLOOKUP(B212,'Сырьё'!$C$6:$E$233,3,FALSE()),IFERROR(VLOOKUP(B212,'Полупродукты'!$C$6:$E$60,3,FALSE()),0))</f>
        <v>6.519</v>
      </c>
      <c r="F212" s="266">
        <f t="shared" si="1"/>
        <v>0.243399903</v>
      </c>
      <c r="G212" s="1">
        <v>0.0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 t="s">
        <v>685</v>
      </c>
      <c r="B213" s="1" t="s">
        <v>571</v>
      </c>
      <c r="C213" s="1">
        <v>0.00515</v>
      </c>
      <c r="D213" s="1" t="s">
        <v>1410</v>
      </c>
      <c r="E213" s="266">
        <f>IFERROR(VLOOKUP(B213,'Сырьё'!$C$6:$E$233,3,FALSE()),IFERROR(VLOOKUP(B213,'Полупродукты'!$C$6:$E$60,3,FALSE()),0))</f>
        <v>14.556</v>
      </c>
      <c r="F213" s="266">
        <f t="shared" si="1"/>
        <v>0.0749634</v>
      </c>
      <c r="G213" s="1">
        <v>0.0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 t="s">
        <v>521</v>
      </c>
      <c r="B214" s="1" t="s">
        <v>579</v>
      </c>
      <c r="C214" s="1">
        <v>0.393694</v>
      </c>
      <c r="D214" s="1" t="s">
        <v>2867</v>
      </c>
      <c r="E214" s="266">
        <f>IFERROR(VLOOKUP(B214,'Сырьё'!$C$6:$E$233,3,FALSE()),IFERROR(VLOOKUP(B214,'Полупродукты'!$C$6:$E$60,3,FALSE()),0))</f>
        <v>1.2831</v>
      </c>
      <c r="F214" s="266">
        <f t="shared" si="1"/>
        <v>0.5051487714</v>
      </c>
      <c r="G214" s="1">
        <v>0.0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 t="s">
        <v>521</v>
      </c>
      <c r="B215" s="1" t="s">
        <v>593</v>
      </c>
      <c r="C215" s="1">
        <v>0.165521</v>
      </c>
      <c r="D215" s="1" t="s">
        <v>2868</v>
      </c>
      <c r="E215" s="266">
        <f>IFERROR(VLOOKUP(B215,'Сырьё'!$C$6:$E$233,3,FALSE()),IFERROR(VLOOKUP(B215,'Полупродукты'!$C$6:$E$60,3,FALSE()),0))</f>
        <v>1.6575</v>
      </c>
      <c r="F215" s="266">
        <f t="shared" si="1"/>
        <v>0.2743510575</v>
      </c>
      <c r="G215" s="1">
        <v>0.0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 t="s">
        <v>521</v>
      </c>
      <c r="B216" s="1" t="s">
        <v>537</v>
      </c>
      <c r="C216" s="1">
        <v>0.009064</v>
      </c>
      <c r="D216" s="1" t="s">
        <v>2869</v>
      </c>
      <c r="E216" s="266">
        <f>IFERROR(VLOOKUP(B216,'Сырьё'!$C$6:$E$233,3,FALSE()),IFERROR(VLOOKUP(B216,'Полупродукты'!$C$6:$E$60,3,FALSE()),0))</f>
        <v>8.8284</v>
      </c>
      <c r="F216" s="266">
        <f t="shared" si="1"/>
        <v>0.0800206176</v>
      </c>
      <c r="G216" s="1">
        <v>0.0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 t="s">
        <v>521</v>
      </c>
      <c r="B217" s="1" t="s">
        <v>543</v>
      </c>
      <c r="C217" s="1">
        <v>0.002266</v>
      </c>
      <c r="D217" s="1" t="s">
        <v>2870</v>
      </c>
      <c r="E217" s="266">
        <f>IFERROR(VLOOKUP(B217,'Сырьё'!$C$6:$E$233,3,FALSE()),IFERROR(VLOOKUP(B217,'Полупродукты'!$C$6:$E$60,3,FALSE()),0))</f>
        <v>80.7112</v>
      </c>
      <c r="F217" s="266">
        <f t="shared" si="1"/>
        <v>0.1828915792</v>
      </c>
      <c r="G217" s="1">
        <v>0.0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 t="s">
        <v>521</v>
      </c>
      <c r="B218" s="1" t="s">
        <v>585</v>
      </c>
      <c r="C218" s="1">
        <v>0.073645</v>
      </c>
      <c r="D218" s="1" t="s">
        <v>2871</v>
      </c>
      <c r="E218" s="266">
        <f>IFERROR(VLOOKUP(B218,'Сырьё'!$C$6:$E$233,3,FALSE()),IFERROR(VLOOKUP(B218,'Полупродукты'!$C$6:$E$60,3,FALSE()),0))</f>
        <v>6.9052</v>
      </c>
      <c r="F218" s="266">
        <f t="shared" si="1"/>
        <v>0.508533454</v>
      </c>
      <c r="G218" s="1">
        <v>0.0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1" t="s">
        <v>521</v>
      </c>
      <c r="B219" s="1" t="s">
        <v>557</v>
      </c>
      <c r="C219" s="1">
        <v>0.10197</v>
      </c>
      <c r="D219" s="1" t="s">
        <v>2872</v>
      </c>
      <c r="E219" s="266">
        <f>IFERROR(VLOOKUP(B219,'Сырьё'!$C$6:$E$233,3,FALSE()),IFERROR(VLOOKUP(B219,'Полупродукты'!$C$6:$E$60,3,FALSE()),0))</f>
        <v>12.0149</v>
      </c>
      <c r="F219" s="266">
        <f t="shared" si="1"/>
        <v>1.225159353</v>
      </c>
      <c r="G219" s="1">
        <v>0.0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1" t="s">
        <v>521</v>
      </c>
      <c r="B220" s="1" t="s">
        <v>570</v>
      </c>
      <c r="C220" s="1">
        <v>0.069618</v>
      </c>
      <c r="D220" s="1" t="s">
        <v>2873</v>
      </c>
      <c r="E220" s="266">
        <f>IFERROR(VLOOKUP(B220,'Сырьё'!$C$6:$E$233,3,FALSE()),IFERROR(VLOOKUP(B220,'Полупродукты'!$C$6:$E$60,3,FALSE()),0))</f>
        <v>3.3046</v>
      </c>
      <c r="F220" s="266">
        <f t="shared" si="1"/>
        <v>0.2300596428</v>
      </c>
      <c r="G220" s="1">
        <v>0.0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0" customHeight="1">
      <c r="A221" s="1" t="s">
        <v>521</v>
      </c>
      <c r="B221" s="1" t="s">
        <v>594</v>
      </c>
      <c r="C221" s="1">
        <v>0.118007</v>
      </c>
      <c r="D221" s="1" t="s">
        <v>2874</v>
      </c>
      <c r="E221" s="266">
        <f>IFERROR(VLOOKUP(B221,'Сырьё'!$C$6:$E$233,3,FALSE()),IFERROR(VLOOKUP(B221,'Полупродукты'!$C$6:$E$60,3,FALSE()),0))</f>
        <v>1.7145</v>
      </c>
      <c r="F221" s="266">
        <f t="shared" si="1"/>
        <v>0.2023230015</v>
      </c>
      <c r="G221" s="1">
        <v>0.0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0" customHeight="1">
      <c r="A222" s="1" t="s">
        <v>521</v>
      </c>
      <c r="B222" s="1" t="s">
        <v>591</v>
      </c>
      <c r="C222" s="1">
        <v>0.01589</v>
      </c>
      <c r="D222" s="1" t="s">
        <v>2875</v>
      </c>
      <c r="E222" s="266">
        <f>IFERROR(VLOOKUP(B222,'Сырьё'!$C$6:$E$233,3,FALSE()),IFERROR(VLOOKUP(B222,'Полупродукты'!$C$6:$E$60,3,FALSE()),0))</f>
        <v>1.9734</v>
      </c>
      <c r="F222" s="266">
        <f t="shared" si="1"/>
        <v>0.031357326</v>
      </c>
      <c r="G222" s="1">
        <v>0.0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0" customHeight="1">
      <c r="A223" s="1" t="s">
        <v>521</v>
      </c>
      <c r="B223" s="1" t="s">
        <v>532</v>
      </c>
      <c r="C223" s="1">
        <v>0.005531</v>
      </c>
      <c r="D223" s="1" t="s">
        <v>2876</v>
      </c>
      <c r="E223" s="266">
        <f>IFERROR(VLOOKUP(B223,'Сырьё'!$C$6:$E$233,3,FALSE()),IFERROR(VLOOKUP(B223,'Полупродукты'!$C$6:$E$60,3,FALSE()),0))</f>
        <v>2.337</v>
      </c>
      <c r="F223" s="266">
        <f t="shared" si="1"/>
        <v>0.012925947</v>
      </c>
      <c r="G223" s="1">
        <v>0.0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1" t="s">
        <v>521</v>
      </c>
      <c r="B224" s="1" t="s">
        <v>549</v>
      </c>
      <c r="C224" s="1">
        <v>0.07725</v>
      </c>
      <c r="D224" s="1" t="s">
        <v>2877</v>
      </c>
      <c r="E224" s="266">
        <f>IFERROR(VLOOKUP(B224,'Сырьё'!$C$6:$E$233,3,FALSE()),IFERROR(VLOOKUP(B224,'Полупродукты'!$C$6:$E$60,3,FALSE()),0))</f>
        <v>6.519</v>
      </c>
      <c r="F224" s="266">
        <f t="shared" si="1"/>
        <v>0.50359275</v>
      </c>
      <c r="G224" s="1">
        <v>0.0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0" customHeight="1">
      <c r="A225" s="1" t="s">
        <v>652</v>
      </c>
      <c r="B225" s="1" t="s">
        <v>579</v>
      </c>
      <c r="C225" s="1">
        <v>0.182346</v>
      </c>
      <c r="D225" s="1" t="s">
        <v>2878</v>
      </c>
      <c r="E225" s="266">
        <f>IFERROR(VLOOKUP(B225,'Сырьё'!$C$6:$E$233,3,FALSE()),IFERROR(VLOOKUP(B225,'Полупродукты'!$C$6:$E$60,3,FALSE()),0))</f>
        <v>1.2831</v>
      </c>
      <c r="F225" s="266">
        <f t="shared" si="1"/>
        <v>0.2339681526</v>
      </c>
      <c r="G225" s="1">
        <v>0.0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1" t="s">
        <v>652</v>
      </c>
      <c r="B226" s="1" t="s">
        <v>594</v>
      </c>
      <c r="C226" s="1">
        <v>0.237709</v>
      </c>
      <c r="D226" s="1" t="s">
        <v>2879</v>
      </c>
      <c r="E226" s="266">
        <f>IFERROR(VLOOKUP(B226,'Сырьё'!$C$6:$E$233,3,FALSE()),IFERROR(VLOOKUP(B226,'Полупродукты'!$C$6:$E$60,3,FALSE()),0))</f>
        <v>1.7145</v>
      </c>
      <c r="F226" s="266">
        <f t="shared" si="1"/>
        <v>0.4075520805</v>
      </c>
      <c r="G226" s="1">
        <v>0.0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0" customHeight="1">
      <c r="A227" s="1" t="s">
        <v>652</v>
      </c>
      <c r="B227" s="1" t="s">
        <v>593</v>
      </c>
      <c r="C227" s="1">
        <v>0.130975</v>
      </c>
      <c r="D227" s="1" t="s">
        <v>2880</v>
      </c>
      <c r="E227" s="266">
        <f>IFERROR(VLOOKUP(B227,'Сырьё'!$C$6:$E$233,3,FALSE()),IFERROR(VLOOKUP(B227,'Полупродукты'!$C$6:$E$60,3,FALSE()),0))</f>
        <v>1.6575</v>
      </c>
      <c r="F227" s="266">
        <f t="shared" si="1"/>
        <v>0.2170910625</v>
      </c>
      <c r="G227" s="1">
        <v>0.0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0" customHeight="1">
      <c r="A228" s="1" t="s">
        <v>652</v>
      </c>
      <c r="B228" s="1" t="s">
        <v>549</v>
      </c>
      <c r="C228" s="1">
        <v>0.133076</v>
      </c>
      <c r="D228" s="1" t="s">
        <v>2881</v>
      </c>
      <c r="E228" s="266">
        <f>IFERROR(VLOOKUP(B228,'Сырьё'!$C$6:$E$233,3,FALSE()),IFERROR(VLOOKUP(B228,'Полупродукты'!$C$6:$E$60,3,FALSE()),0))</f>
        <v>6.519</v>
      </c>
      <c r="F228" s="266">
        <f t="shared" si="1"/>
        <v>0.867522444</v>
      </c>
      <c r="G228" s="1">
        <v>0.0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0" customHeight="1">
      <c r="A229" s="1" t="s">
        <v>652</v>
      </c>
      <c r="B229" s="1" t="s">
        <v>554</v>
      </c>
      <c r="C229" s="1">
        <v>0.08755</v>
      </c>
      <c r="D229" s="1" t="s">
        <v>2882</v>
      </c>
      <c r="E229" s="266">
        <f>IFERROR(VLOOKUP(B229,'Сырьё'!$C$6:$E$233,3,FALSE()),IFERROR(VLOOKUP(B229,'Полупродукты'!$C$6:$E$60,3,FALSE()),0))</f>
        <v>7.3406</v>
      </c>
      <c r="F229" s="266">
        <f t="shared" si="1"/>
        <v>0.64266953</v>
      </c>
      <c r="G229" s="1">
        <v>0.0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0" customHeight="1">
      <c r="A230" s="1" t="s">
        <v>652</v>
      </c>
      <c r="B230" s="1" t="s">
        <v>520</v>
      </c>
      <c r="C230" s="1">
        <v>6.18E-4</v>
      </c>
      <c r="D230" s="1" t="s">
        <v>2883</v>
      </c>
      <c r="E230" s="266">
        <f>IFERROR(VLOOKUP(B230,'Сырьё'!$C$6:$E$233,3,FALSE()),IFERROR(VLOOKUP(B230,'Полупродукты'!$C$6:$E$60,3,FALSE()),0))</f>
        <v>30.1527</v>
      </c>
      <c r="F230" s="266">
        <f t="shared" si="1"/>
        <v>0.0186343686</v>
      </c>
      <c r="G230" s="1">
        <v>0.0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0" customHeight="1">
      <c r="A231" s="1" t="s">
        <v>652</v>
      </c>
      <c r="B231" s="1" t="s">
        <v>441</v>
      </c>
      <c r="C231" s="1">
        <v>0.0103</v>
      </c>
      <c r="D231" s="1" t="s">
        <v>1120</v>
      </c>
      <c r="E231" s="266">
        <f>IFERROR(VLOOKUP(B231,'Сырьё'!$C$6:$E$233,3,FALSE()),IFERROR(VLOOKUP(B231,'Полупродукты'!$C$6:$E$60,3,FALSE()),0))</f>
        <v>3.6225</v>
      </c>
      <c r="F231" s="266">
        <f t="shared" si="1"/>
        <v>0.03731175</v>
      </c>
      <c r="G231" s="1">
        <v>1.0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0" customHeight="1">
      <c r="A232" s="1" t="s">
        <v>652</v>
      </c>
      <c r="B232" s="1" t="s">
        <v>431</v>
      </c>
      <c r="C232" s="1">
        <v>0.1648</v>
      </c>
      <c r="D232" s="1" t="s">
        <v>1122</v>
      </c>
      <c r="E232" s="266">
        <f>IFERROR(VLOOKUP(B232,'Сырьё'!$C$6:$E$233,3,FALSE()),IFERROR(VLOOKUP(B232,'Полупродукты'!$C$6:$E$60,3,FALSE()),0))</f>
        <v>8.7213</v>
      </c>
      <c r="F232" s="266">
        <f t="shared" si="1"/>
        <v>1.43727024</v>
      </c>
      <c r="G232" s="1">
        <v>1.0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0" customHeight="1">
      <c r="A233" s="1" t="s">
        <v>652</v>
      </c>
      <c r="B233" s="1" t="s">
        <v>570</v>
      </c>
      <c r="C233" s="1">
        <v>0.036555</v>
      </c>
      <c r="D233" s="1" t="s">
        <v>2884</v>
      </c>
      <c r="E233" s="266">
        <f>IFERROR(VLOOKUP(B233,'Сырьё'!$C$6:$E$233,3,FALSE()),IFERROR(VLOOKUP(B233,'Полупродукты'!$C$6:$E$60,3,FALSE()),0))</f>
        <v>3.3046</v>
      </c>
      <c r="F233" s="266">
        <f t="shared" si="1"/>
        <v>0.120799653</v>
      </c>
      <c r="G233" s="1">
        <v>0.0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0" customHeight="1">
      <c r="A234" s="1" t="s">
        <v>652</v>
      </c>
      <c r="B234" s="1" t="s">
        <v>569</v>
      </c>
      <c r="C234" s="1">
        <v>0.027748</v>
      </c>
      <c r="D234" s="1" t="s">
        <v>2885</v>
      </c>
      <c r="E234" s="266">
        <f>IFERROR(VLOOKUP(B234,'Сырьё'!$C$6:$E$233,3,FALSE()),IFERROR(VLOOKUP(B234,'Полупродукты'!$C$6:$E$60,3,FALSE()),0))</f>
        <v>3.2853</v>
      </c>
      <c r="F234" s="266">
        <f t="shared" si="1"/>
        <v>0.0911605044</v>
      </c>
      <c r="G234" s="1">
        <v>0.0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0" customHeight="1">
      <c r="A235" s="1" t="s">
        <v>652</v>
      </c>
      <c r="B235" s="1" t="s">
        <v>591</v>
      </c>
      <c r="C235" s="1">
        <v>0.015651</v>
      </c>
      <c r="D235" s="1" t="s">
        <v>2886</v>
      </c>
      <c r="E235" s="266">
        <f>IFERROR(VLOOKUP(B235,'Сырьё'!$C$6:$E$233,3,FALSE()),IFERROR(VLOOKUP(B235,'Полупродукты'!$C$6:$E$60,3,FALSE()),0))</f>
        <v>1.9734</v>
      </c>
      <c r="F235" s="266">
        <f t="shared" si="1"/>
        <v>0.0308856834</v>
      </c>
      <c r="G235" s="1">
        <v>0.0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0" customHeight="1">
      <c r="A236" s="1" t="s">
        <v>652</v>
      </c>
      <c r="B236" s="1" t="s">
        <v>532</v>
      </c>
      <c r="C236" s="1">
        <v>0.005516</v>
      </c>
      <c r="D236" s="1" t="s">
        <v>2887</v>
      </c>
      <c r="E236" s="266">
        <f>IFERROR(VLOOKUP(B236,'Сырьё'!$C$6:$E$233,3,FALSE()),IFERROR(VLOOKUP(B236,'Полупродукты'!$C$6:$E$60,3,FALSE()),0))</f>
        <v>2.337</v>
      </c>
      <c r="F236" s="266">
        <f t="shared" si="1"/>
        <v>0.012890892</v>
      </c>
      <c r="G236" s="1">
        <v>0.0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0" customHeight="1">
      <c r="A237" s="1" t="s">
        <v>663</v>
      </c>
      <c r="B237" s="1" t="s">
        <v>584</v>
      </c>
      <c r="C237" s="1">
        <v>0.206</v>
      </c>
      <c r="D237" s="1" t="s">
        <v>2888</v>
      </c>
      <c r="E237" s="266">
        <f>IFERROR(VLOOKUP(B237,'Сырьё'!$C$6:$E$233,3,FALSE()),IFERROR(VLOOKUP(B237,'Полупродукты'!$C$6:$E$60,3,FALSE()),0))</f>
        <v>2.0494</v>
      </c>
      <c r="F237" s="266">
        <f t="shared" si="1"/>
        <v>0.4221764</v>
      </c>
      <c r="G237" s="1">
        <v>0.0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0" customHeight="1">
      <c r="A238" s="1" t="s">
        <v>663</v>
      </c>
      <c r="B238" s="1" t="s">
        <v>594</v>
      </c>
      <c r="C238" s="1">
        <v>0.112043</v>
      </c>
      <c r="D238" s="1" t="s">
        <v>2889</v>
      </c>
      <c r="E238" s="266">
        <f>IFERROR(VLOOKUP(B238,'Сырьё'!$C$6:$E$233,3,FALSE()),IFERROR(VLOOKUP(B238,'Полупродукты'!$C$6:$E$60,3,FALSE()),0))</f>
        <v>1.7145</v>
      </c>
      <c r="F238" s="266">
        <f t="shared" si="1"/>
        <v>0.1920977235</v>
      </c>
      <c r="G238" s="1">
        <v>0.0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0" customHeight="1">
      <c r="A239" s="1" t="s">
        <v>663</v>
      </c>
      <c r="B239" s="1" t="s">
        <v>585</v>
      </c>
      <c r="C239" s="1">
        <v>0.10712</v>
      </c>
      <c r="D239" s="1" t="s">
        <v>2890</v>
      </c>
      <c r="E239" s="266">
        <f>IFERROR(VLOOKUP(B239,'Сырьё'!$C$6:$E$233,3,FALSE()),IFERROR(VLOOKUP(B239,'Полупродукты'!$C$6:$E$60,3,FALSE()),0))</f>
        <v>6.9052</v>
      </c>
      <c r="F239" s="266">
        <f t="shared" si="1"/>
        <v>0.739685024</v>
      </c>
      <c r="G239" s="1">
        <v>0.0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0" customHeight="1">
      <c r="A240" s="1" t="s">
        <v>663</v>
      </c>
      <c r="B240" s="1" t="s">
        <v>575</v>
      </c>
      <c r="C240" s="1">
        <v>0.13184</v>
      </c>
      <c r="D240" s="1" t="s">
        <v>2891</v>
      </c>
      <c r="E240" s="266">
        <f>IFERROR(VLOOKUP(B240,'Сырьё'!$C$6:$E$233,3,FALSE()),IFERROR(VLOOKUP(B240,'Полупродукты'!$C$6:$E$60,3,FALSE()),0))</f>
        <v>16.0088</v>
      </c>
      <c r="F240" s="266">
        <f t="shared" si="1"/>
        <v>2.110600192</v>
      </c>
      <c r="G240" s="1">
        <v>0.0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0" customHeight="1">
      <c r="A241" s="1" t="s">
        <v>663</v>
      </c>
      <c r="B241" s="1" t="s">
        <v>570</v>
      </c>
      <c r="C241" s="1">
        <v>0.04874</v>
      </c>
      <c r="D241" s="1" t="s">
        <v>2892</v>
      </c>
      <c r="E241" s="266">
        <f>IFERROR(VLOOKUP(B241,'Сырьё'!$C$6:$E$233,3,FALSE()),IFERROR(VLOOKUP(B241,'Полупродукты'!$C$6:$E$60,3,FALSE()),0))</f>
        <v>3.3046</v>
      </c>
      <c r="F241" s="266">
        <f t="shared" si="1"/>
        <v>0.161066204</v>
      </c>
      <c r="G241" s="1">
        <v>0.0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0" customHeight="1">
      <c r="A242" s="1" t="s">
        <v>663</v>
      </c>
      <c r="B242" s="1" t="s">
        <v>569</v>
      </c>
      <c r="C242" s="1">
        <v>0.036998</v>
      </c>
      <c r="D242" s="1" t="s">
        <v>2893</v>
      </c>
      <c r="E242" s="266">
        <f>IFERROR(VLOOKUP(B242,'Сырьё'!$C$6:$E$233,3,FALSE()),IFERROR(VLOOKUP(B242,'Полупродукты'!$C$6:$E$60,3,FALSE()),0))</f>
        <v>3.2853</v>
      </c>
      <c r="F242" s="266">
        <f t="shared" si="1"/>
        <v>0.1215495294</v>
      </c>
      <c r="G242" s="1">
        <v>0.0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0" customHeight="1">
      <c r="A243" s="1" t="s">
        <v>663</v>
      </c>
      <c r="B243" s="1" t="s">
        <v>579</v>
      </c>
      <c r="C243" s="1">
        <v>0.020868</v>
      </c>
      <c r="D243" s="1" t="s">
        <v>2894</v>
      </c>
      <c r="E243" s="266">
        <f>IFERROR(VLOOKUP(B243,'Сырьё'!$C$6:$E$233,3,FALSE()),IFERROR(VLOOKUP(B243,'Полупродукты'!$C$6:$E$60,3,FALSE()),0))</f>
        <v>1.2831</v>
      </c>
      <c r="F243" s="266">
        <f t="shared" si="1"/>
        <v>0.0267757308</v>
      </c>
      <c r="G243" s="1">
        <v>0.0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0" customHeight="1">
      <c r="A244" s="1" t="s">
        <v>663</v>
      </c>
      <c r="B244" s="1" t="s">
        <v>591</v>
      </c>
      <c r="C244" s="1">
        <v>0.020868</v>
      </c>
      <c r="D244" s="1" t="s">
        <v>2895</v>
      </c>
      <c r="E244" s="266">
        <f>IFERROR(VLOOKUP(B244,'Сырьё'!$C$6:$E$233,3,FALSE()),IFERROR(VLOOKUP(B244,'Полупродукты'!$C$6:$E$60,3,FALSE()),0))</f>
        <v>1.9734</v>
      </c>
      <c r="F244" s="266">
        <f t="shared" si="1"/>
        <v>0.0411809112</v>
      </c>
      <c r="G244" s="1">
        <v>0.0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0" customHeight="1">
      <c r="A245" s="1" t="s">
        <v>663</v>
      </c>
      <c r="B245" s="1" t="s">
        <v>532</v>
      </c>
      <c r="C245" s="1">
        <v>0.007354</v>
      </c>
      <c r="D245" s="1" t="s">
        <v>2896</v>
      </c>
      <c r="E245" s="266">
        <f>IFERROR(VLOOKUP(B245,'Сырьё'!$C$6:$E$233,3,FALSE()),IFERROR(VLOOKUP(B245,'Полупродукты'!$C$6:$E$60,3,FALSE()),0))</f>
        <v>2.337</v>
      </c>
      <c r="F245" s="266">
        <f t="shared" si="1"/>
        <v>0.017186298</v>
      </c>
      <c r="G245" s="1">
        <v>0.0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0" customHeight="1">
      <c r="A246" s="1" t="s">
        <v>663</v>
      </c>
      <c r="B246" s="1" t="s">
        <v>520</v>
      </c>
      <c r="C246" s="1">
        <v>7.17E-4</v>
      </c>
      <c r="D246" s="1" t="s">
        <v>2897</v>
      </c>
      <c r="E246" s="266">
        <f>IFERROR(VLOOKUP(B246,'Сырьё'!$C$6:$E$233,3,FALSE()),IFERROR(VLOOKUP(B246,'Полупродукты'!$C$6:$E$60,3,FALSE()),0))</f>
        <v>30.1527</v>
      </c>
      <c r="F246" s="266">
        <f t="shared" si="1"/>
        <v>0.0216194859</v>
      </c>
      <c r="G246" s="1">
        <v>0.0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0" customHeight="1">
      <c r="A247" s="1" t="s">
        <v>743</v>
      </c>
      <c r="B247" s="1" t="s">
        <v>594</v>
      </c>
      <c r="C247" s="1">
        <v>0.1854</v>
      </c>
      <c r="D247" s="1" t="s">
        <v>2898</v>
      </c>
      <c r="E247" s="266">
        <f>IFERROR(VLOOKUP(B247,'Сырьё'!$C$6:$E$233,3,FALSE()),IFERROR(VLOOKUP(B247,'Полупродукты'!$C$6:$E$60,3,FALSE()),0))</f>
        <v>1.7145</v>
      </c>
      <c r="F247" s="266">
        <f t="shared" si="1"/>
        <v>0.3178683</v>
      </c>
      <c r="G247" s="1">
        <v>0.0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0" customHeight="1">
      <c r="A248" s="1" t="s">
        <v>743</v>
      </c>
      <c r="B248" s="1" t="s">
        <v>579</v>
      </c>
      <c r="C248" s="1">
        <v>0.31518</v>
      </c>
      <c r="D248" s="1" t="s">
        <v>2899</v>
      </c>
      <c r="E248" s="266">
        <f>IFERROR(VLOOKUP(B248,'Сырьё'!$C$6:$E$233,3,FALSE()),IFERROR(VLOOKUP(B248,'Полупродукты'!$C$6:$E$60,3,FALSE()),0))</f>
        <v>1.2831</v>
      </c>
      <c r="F248" s="266">
        <f t="shared" si="1"/>
        <v>0.404407458</v>
      </c>
      <c r="G248" s="1">
        <v>0.0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0" customHeight="1">
      <c r="A249" s="1" t="s">
        <v>743</v>
      </c>
      <c r="B249" s="1" t="s">
        <v>593</v>
      </c>
      <c r="C249" s="1">
        <v>0.1648</v>
      </c>
      <c r="D249" s="1" t="s">
        <v>2900</v>
      </c>
      <c r="E249" s="266">
        <f>IFERROR(VLOOKUP(B249,'Сырьё'!$C$6:$E$233,3,FALSE()),IFERROR(VLOOKUP(B249,'Полупродукты'!$C$6:$E$60,3,FALSE()),0))</f>
        <v>1.6575</v>
      </c>
      <c r="F249" s="266">
        <f t="shared" si="1"/>
        <v>0.273156</v>
      </c>
      <c r="G249" s="1">
        <v>0.0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0" customHeight="1">
      <c r="A250" s="1" t="s">
        <v>743</v>
      </c>
      <c r="B250" s="1" t="s">
        <v>585</v>
      </c>
      <c r="C250" s="1">
        <v>0.11124</v>
      </c>
      <c r="D250" s="1" t="s">
        <v>2901</v>
      </c>
      <c r="E250" s="266">
        <f>IFERROR(VLOOKUP(B250,'Сырьё'!$C$6:$E$233,3,FALSE()),IFERROR(VLOOKUP(B250,'Полупродукты'!$C$6:$E$60,3,FALSE()),0))</f>
        <v>6.9052</v>
      </c>
      <c r="F250" s="266">
        <f t="shared" si="1"/>
        <v>0.768134448</v>
      </c>
      <c r="G250" s="1">
        <v>0.0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0" customHeight="1">
      <c r="A251" s="1" t="s">
        <v>743</v>
      </c>
      <c r="B251" s="1" t="s">
        <v>559</v>
      </c>
      <c r="C251" s="1">
        <v>0.23175</v>
      </c>
      <c r="D251" s="1" t="s">
        <v>2902</v>
      </c>
      <c r="E251" s="266">
        <f>IFERROR(VLOOKUP(B251,'Сырьё'!$C$6:$E$233,3,FALSE()),IFERROR(VLOOKUP(B251,'Полупродукты'!$C$6:$E$60,3,FALSE()),0))</f>
        <v>0</v>
      </c>
      <c r="F251" s="266">
        <f t="shared" si="1"/>
        <v>0</v>
      </c>
      <c r="G251" s="1">
        <v>0.0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0" customHeight="1">
      <c r="A252" s="1" t="s">
        <v>743</v>
      </c>
      <c r="B252" s="1" t="s">
        <v>549</v>
      </c>
      <c r="C252" s="1">
        <v>0.02163</v>
      </c>
      <c r="D252" s="1" t="s">
        <v>2903</v>
      </c>
      <c r="E252" s="266">
        <f>IFERROR(VLOOKUP(B252,'Сырьё'!$C$6:$E$233,3,FALSE()),IFERROR(VLOOKUP(B252,'Полупродукты'!$C$6:$E$60,3,FALSE()),0))</f>
        <v>6.519</v>
      </c>
      <c r="F252" s="266">
        <f t="shared" si="1"/>
        <v>0.14100597</v>
      </c>
      <c r="G252" s="1">
        <v>0.0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0" customHeight="1">
      <c r="A253" s="1" t="s">
        <v>743</v>
      </c>
      <c r="B253" s="1" t="s">
        <v>520</v>
      </c>
      <c r="C253" s="1">
        <v>2.28E-4</v>
      </c>
      <c r="D253" s="1" t="s">
        <v>2904</v>
      </c>
      <c r="E253" s="266">
        <f>IFERROR(VLOOKUP(B253,'Сырьё'!$C$6:$E$233,3,FALSE()),IFERROR(VLOOKUP(B253,'Полупродукты'!$C$6:$E$60,3,FALSE()),0))</f>
        <v>30.1527</v>
      </c>
      <c r="F253" s="266">
        <f t="shared" si="1"/>
        <v>0.0068748156</v>
      </c>
      <c r="G253" s="1">
        <v>0.0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0" customHeight="1">
      <c r="A254" s="1" t="s">
        <v>405</v>
      </c>
      <c r="B254" s="1" t="s">
        <v>405</v>
      </c>
      <c r="C254" s="1">
        <v>1.0</v>
      </c>
      <c r="D254" s="1" t="s">
        <v>2905</v>
      </c>
      <c r="E254" s="266">
        <f>IFERROR(VLOOKUP(B254,'Сырьё'!$C$6:$E$233,3,FALSE()),IFERROR(VLOOKUP(B254,'Полупродукты'!$C$6:$E$60,3,FALSE()),0))</f>
        <v>3.7118</v>
      </c>
      <c r="F254" s="266">
        <f t="shared" si="1"/>
        <v>3.7118</v>
      </c>
      <c r="G254" s="1">
        <v>1.0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0" customHeight="1">
      <c r="A255" s="1" t="s">
        <v>717</v>
      </c>
      <c r="B255" s="1" t="s">
        <v>579</v>
      </c>
      <c r="C255" s="1">
        <v>0.21836</v>
      </c>
      <c r="D255" s="1" t="s">
        <v>1328</v>
      </c>
      <c r="E255" s="266">
        <f>IFERROR(VLOOKUP(B255,'Сырьё'!$C$6:$E$233,3,FALSE()),IFERROR(VLOOKUP(B255,'Полупродукты'!$C$6:$E$60,3,FALSE()),0))</f>
        <v>1.2831</v>
      </c>
      <c r="F255" s="266">
        <f t="shared" si="1"/>
        <v>0.280177716</v>
      </c>
      <c r="G255" s="1">
        <v>0.0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0" customHeight="1">
      <c r="A256" s="1" t="s">
        <v>717</v>
      </c>
      <c r="B256" s="1" t="s">
        <v>593</v>
      </c>
      <c r="C256" s="1">
        <v>0.05974</v>
      </c>
      <c r="D256" s="1" t="s">
        <v>1330</v>
      </c>
      <c r="E256" s="266">
        <f>IFERROR(VLOOKUP(B256,'Сырьё'!$C$6:$E$233,3,FALSE()),IFERROR(VLOOKUP(B256,'Полупродукты'!$C$6:$E$60,3,FALSE()),0))</f>
        <v>1.6575</v>
      </c>
      <c r="F256" s="266">
        <f t="shared" si="1"/>
        <v>0.09901905</v>
      </c>
      <c r="G256" s="1">
        <v>0.0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0" customHeight="1">
      <c r="A257" s="1" t="s">
        <v>717</v>
      </c>
      <c r="B257" s="1" t="s">
        <v>403</v>
      </c>
      <c r="C257" s="1">
        <v>0.7519</v>
      </c>
      <c r="D257" s="1" t="s">
        <v>1332</v>
      </c>
      <c r="E257" s="266">
        <f>IFERROR(VLOOKUP(B257,'Сырьё'!$C$6:$E$233,3,FALSE()),IFERROR(VLOOKUP(B257,'Полупродукты'!$C$6:$E$60,3,FALSE()),0))</f>
        <v>0</v>
      </c>
      <c r="F257" s="266">
        <f t="shared" si="1"/>
        <v>0</v>
      </c>
      <c r="G257" s="1">
        <v>1.0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0" customHeight="1">
      <c r="A258" s="1" t="s">
        <v>392</v>
      </c>
      <c r="B258" s="1" t="s">
        <v>392</v>
      </c>
      <c r="C258" s="1">
        <v>1.0</v>
      </c>
      <c r="D258" s="1" t="s">
        <v>2906</v>
      </c>
      <c r="E258" s="266">
        <f>IFERROR(VLOOKUP(B258,'Сырьё'!$C$6:$E$233,3,FALSE()),IFERROR(VLOOKUP(B258,'Полупродукты'!$C$6:$E$60,3,FALSE()),0))</f>
        <v>2.0535</v>
      </c>
      <c r="F258" s="266">
        <f t="shared" si="1"/>
        <v>2.0535</v>
      </c>
      <c r="G258" s="1">
        <v>1.0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0" customHeight="1">
      <c r="A259" s="1" t="s">
        <v>399</v>
      </c>
      <c r="B259" s="1" t="s">
        <v>399</v>
      </c>
      <c r="C259" s="1">
        <v>1.0</v>
      </c>
      <c r="D259" s="1" t="s">
        <v>2907</v>
      </c>
      <c r="E259" s="266">
        <f>IFERROR(VLOOKUP(B259,'Сырьё'!$C$6:$E$233,3,FALSE()),IFERROR(VLOOKUP(B259,'Полупродукты'!$C$6:$E$60,3,FALSE()),0))</f>
        <v>1.7496</v>
      </c>
      <c r="F259" s="266">
        <f t="shared" si="1"/>
        <v>1.7496</v>
      </c>
      <c r="G259" s="1">
        <v>1.0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0" customHeight="1">
      <c r="A260" s="1" t="s">
        <v>517</v>
      </c>
      <c r="B260" s="1" t="s">
        <v>549</v>
      </c>
      <c r="C260" s="1">
        <v>0.107726</v>
      </c>
      <c r="D260" s="1" t="s">
        <v>2908</v>
      </c>
      <c r="E260" s="266">
        <f>IFERROR(VLOOKUP(B260,'Сырьё'!$C$6:$E$233,3,FALSE()),IFERROR(VLOOKUP(B260,'Полупродукты'!$C$6:$E$60,3,FALSE()),0))</f>
        <v>6.519</v>
      </c>
      <c r="F260" s="266">
        <f t="shared" si="1"/>
        <v>0.702265794</v>
      </c>
      <c r="G260" s="1">
        <v>0.0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0" customHeight="1">
      <c r="A261" s="1" t="s">
        <v>517</v>
      </c>
      <c r="B261" s="1" t="s">
        <v>537</v>
      </c>
      <c r="C261" s="1">
        <v>0.01584</v>
      </c>
      <c r="D261" s="1" t="s">
        <v>2909</v>
      </c>
      <c r="E261" s="266">
        <f>IFERROR(VLOOKUP(B261,'Сырьё'!$C$6:$E$233,3,FALSE()),IFERROR(VLOOKUP(B261,'Полупродукты'!$C$6:$E$60,3,FALSE()),0))</f>
        <v>8.8284</v>
      </c>
      <c r="F261" s="266">
        <f t="shared" si="1"/>
        <v>0.139841856</v>
      </c>
      <c r="G261" s="1">
        <v>0.0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0" customHeight="1">
      <c r="A262" s="1" t="s">
        <v>517</v>
      </c>
      <c r="B262" s="1" t="s">
        <v>594</v>
      </c>
      <c r="C262" s="1">
        <v>0.435018</v>
      </c>
      <c r="D262" s="1" t="s">
        <v>2910</v>
      </c>
      <c r="E262" s="266">
        <f>IFERROR(VLOOKUP(B262,'Сырьё'!$C$6:$E$233,3,FALSE()),IFERROR(VLOOKUP(B262,'Полупродукты'!$C$6:$E$60,3,FALSE()),0))</f>
        <v>1.7145</v>
      </c>
      <c r="F262" s="266">
        <f t="shared" si="1"/>
        <v>0.745838361</v>
      </c>
      <c r="G262" s="1">
        <v>0.0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0" customHeight="1">
      <c r="A263" s="1" t="s">
        <v>517</v>
      </c>
      <c r="B263" s="1" t="s">
        <v>541</v>
      </c>
      <c r="C263" s="1">
        <v>0.00312</v>
      </c>
      <c r="D263" s="1" t="s">
        <v>2911</v>
      </c>
      <c r="E263" s="266">
        <f>IFERROR(VLOOKUP(B263,'Сырьё'!$C$6:$E$233,3,FALSE()),IFERROR(VLOOKUP(B263,'Полупродукты'!$C$6:$E$60,3,FALSE()),0))</f>
        <v>78.7704</v>
      </c>
      <c r="F263" s="266">
        <f t="shared" si="1"/>
        <v>0.245763648</v>
      </c>
      <c r="G263" s="1">
        <v>0.0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0" customHeight="1">
      <c r="A264" s="1" t="s">
        <v>517</v>
      </c>
      <c r="B264" s="1" t="s">
        <v>554</v>
      </c>
      <c r="C264" s="1">
        <v>0.174713</v>
      </c>
      <c r="D264" s="1" t="s">
        <v>2912</v>
      </c>
      <c r="E264" s="266">
        <f>IFERROR(VLOOKUP(B264,'Сырьё'!$C$6:$E$233,3,FALSE()),IFERROR(VLOOKUP(B264,'Полупродукты'!$C$6:$E$60,3,FALSE()),0))</f>
        <v>7.3406</v>
      </c>
      <c r="F264" s="266">
        <f t="shared" si="1"/>
        <v>1.282498248</v>
      </c>
      <c r="G264" s="1">
        <v>0.0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0" customHeight="1">
      <c r="A265" s="1" t="s">
        <v>517</v>
      </c>
      <c r="B265" s="1" t="s">
        <v>579</v>
      </c>
      <c r="C265" s="1">
        <v>0.123857</v>
      </c>
      <c r="D265" s="1" t="s">
        <v>2913</v>
      </c>
      <c r="E265" s="266">
        <f>IFERROR(VLOOKUP(B265,'Сырьё'!$C$6:$E$233,3,FALSE()),IFERROR(VLOOKUP(B265,'Полупродукты'!$C$6:$E$60,3,FALSE()),0))</f>
        <v>1.2831</v>
      </c>
      <c r="F265" s="266">
        <f t="shared" si="1"/>
        <v>0.1589209167</v>
      </c>
      <c r="G265" s="1">
        <v>0.0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0" customHeight="1">
      <c r="A266" s="1" t="s">
        <v>517</v>
      </c>
      <c r="B266" s="1" t="s">
        <v>593</v>
      </c>
      <c r="C266" s="1">
        <v>0.084473</v>
      </c>
      <c r="D266" s="1" t="s">
        <v>2914</v>
      </c>
      <c r="E266" s="266">
        <f>IFERROR(VLOOKUP(B266,'Сырьё'!$C$6:$E$233,3,FALSE()),IFERROR(VLOOKUP(B266,'Полупродукты'!$C$6:$E$60,3,FALSE()),0))</f>
        <v>1.6575</v>
      </c>
      <c r="F266" s="266">
        <f t="shared" si="1"/>
        <v>0.1400139975</v>
      </c>
      <c r="G266" s="1">
        <v>0.0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0" customHeight="1">
      <c r="A267" s="1" t="s">
        <v>517</v>
      </c>
      <c r="B267" s="1" t="s">
        <v>556</v>
      </c>
      <c r="C267" s="1">
        <v>0.002009</v>
      </c>
      <c r="D267" s="1" t="s">
        <v>2915</v>
      </c>
      <c r="E267" s="266">
        <f>IFERROR(VLOOKUP(B267,'Сырьё'!$C$6:$E$233,3,FALSE()),IFERROR(VLOOKUP(B267,'Полупродукты'!$C$6:$E$60,3,FALSE()),0))</f>
        <v>5.6362</v>
      </c>
      <c r="F267" s="266">
        <f t="shared" si="1"/>
        <v>0.0113231258</v>
      </c>
      <c r="G267" s="1">
        <v>0.0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0" customHeight="1">
      <c r="A268" s="1" t="s">
        <v>517</v>
      </c>
      <c r="B268" s="1" t="s">
        <v>520</v>
      </c>
      <c r="C268" s="1">
        <v>0.001008</v>
      </c>
      <c r="D268" s="1" t="s">
        <v>2916</v>
      </c>
      <c r="E268" s="266">
        <f>IFERROR(VLOOKUP(B268,'Сырьё'!$C$6:$E$233,3,FALSE()),IFERROR(VLOOKUP(B268,'Полупродукты'!$C$6:$E$60,3,FALSE()),0))</f>
        <v>30.1527</v>
      </c>
      <c r="F268" s="266">
        <f t="shared" si="1"/>
        <v>0.0303939216</v>
      </c>
      <c r="G268" s="1">
        <v>0.0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0" customHeight="1">
      <c r="A269" s="1" t="s">
        <v>517</v>
      </c>
      <c r="B269" s="1" t="s">
        <v>570</v>
      </c>
      <c r="C269" s="1">
        <v>0.036555</v>
      </c>
      <c r="D269" s="1" t="s">
        <v>2917</v>
      </c>
      <c r="E269" s="266">
        <f>IFERROR(VLOOKUP(B269,'Сырьё'!$C$6:$E$233,3,FALSE()),IFERROR(VLOOKUP(B269,'Полупродукты'!$C$6:$E$60,3,FALSE()),0))</f>
        <v>3.3046</v>
      </c>
      <c r="F269" s="266">
        <f t="shared" si="1"/>
        <v>0.120799653</v>
      </c>
      <c r="G269" s="1">
        <v>0.0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0" customHeight="1">
      <c r="A270" s="1" t="s">
        <v>517</v>
      </c>
      <c r="B270" s="1" t="s">
        <v>569</v>
      </c>
      <c r="C270" s="1">
        <v>0.027748</v>
      </c>
      <c r="D270" s="1" t="s">
        <v>2918</v>
      </c>
      <c r="E270" s="266">
        <f>IFERROR(VLOOKUP(B270,'Сырьё'!$C$6:$E$233,3,FALSE()),IFERROR(VLOOKUP(B270,'Полупродукты'!$C$6:$E$60,3,FALSE()),0))</f>
        <v>3.2853</v>
      </c>
      <c r="F270" s="266">
        <f t="shared" si="1"/>
        <v>0.0911605044</v>
      </c>
      <c r="G270" s="1">
        <v>0.0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0" customHeight="1">
      <c r="A271" s="1" t="s">
        <v>517</v>
      </c>
      <c r="B271" s="1" t="s">
        <v>591</v>
      </c>
      <c r="C271" s="1">
        <v>0.015651</v>
      </c>
      <c r="D271" s="1" t="s">
        <v>2919</v>
      </c>
      <c r="E271" s="266">
        <f>IFERROR(VLOOKUP(B271,'Сырьё'!$C$6:$E$233,3,FALSE()),IFERROR(VLOOKUP(B271,'Полупродукты'!$C$6:$E$60,3,FALSE()),0))</f>
        <v>1.9734</v>
      </c>
      <c r="F271" s="266">
        <f t="shared" si="1"/>
        <v>0.0308856834</v>
      </c>
      <c r="G271" s="1">
        <v>0.0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0" customHeight="1">
      <c r="A272" s="1" t="s">
        <v>517</v>
      </c>
      <c r="B272" s="1" t="s">
        <v>532</v>
      </c>
      <c r="C272" s="1">
        <v>0.005516</v>
      </c>
      <c r="D272" s="1" t="s">
        <v>2920</v>
      </c>
      <c r="E272" s="266">
        <f>IFERROR(VLOOKUP(B272,'Сырьё'!$C$6:$E$233,3,FALSE()),IFERROR(VLOOKUP(B272,'Полупродукты'!$C$6:$E$60,3,FALSE()),0))</f>
        <v>2.337</v>
      </c>
      <c r="F272" s="266">
        <f t="shared" si="1"/>
        <v>0.012890892</v>
      </c>
      <c r="G272" s="1">
        <v>0.0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0" customHeight="1">
      <c r="A273" s="1" t="s">
        <v>775</v>
      </c>
      <c r="B273" s="1" t="s">
        <v>586</v>
      </c>
      <c r="C273" s="1">
        <v>0.222995</v>
      </c>
      <c r="D273" s="1" t="s">
        <v>1890</v>
      </c>
      <c r="E273" s="266">
        <f>IFERROR(VLOOKUP(B273,'Сырьё'!$C$6:$E$233,3,FALSE()),IFERROR(VLOOKUP(B273,'Полупродукты'!$C$6:$E$60,3,FALSE()),0))</f>
        <v>53.4751</v>
      </c>
      <c r="F273" s="266">
        <f t="shared" si="1"/>
        <v>11.92467992</v>
      </c>
      <c r="G273" s="1">
        <v>0.0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0" customHeight="1">
      <c r="A274" s="1" t="s">
        <v>775</v>
      </c>
      <c r="B274" s="1" t="s">
        <v>550</v>
      </c>
      <c r="C274" s="1">
        <v>0.1339</v>
      </c>
      <c r="D274" s="1" t="s">
        <v>2656</v>
      </c>
      <c r="E274" s="266">
        <f>IFERROR(VLOOKUP(B274,'Сырьё'!$C$6:$E$233,3,FALSE()),IFERROR(VLOOKUP(B274,'Полупродукты'!$C$6:$E$60,3,FALSE()),0))</f>
        <v>0</v>
      </c>
      <c r="F274" s="266">
        <f t="shared" si="1"/>
        <v>0</v>
      </c>
      <c r="G274" s="1">
        <v>0.0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0" customHeight="1">
      <c r="A275" s="1" t="s">
        <v>775</v>
      </c>
      <c r="B275" s="1" t="s">
        <v>594</v>
      </c>
      <c r="C275" s="1">
        <v>0.28119</v>
      </c>
      <c r="D275" s="1" t="s">
        <v>1898</v>
      </c>
      <c r="E275" s="266">
        <f>IFERROR(VLOOKUP(B275,'Сырьё'!$C$6:$E$233,3,FALSE()),IFERROR(VLOOKUP(B275,'Полупродукты'!$C$6:$E$60,3,FALSE()),0))</f>
        <v>1.7145</v>
      </c>
      <c r="F275" s="266">
        <f t="shared" si="1"/>
        <v>0.482100255</v>
      </c>
      <c r="G275" s="1">
        <v>0.0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0" customHeight="1">
      <c r="A276" s="1" t="s">
        <v>775</v>
      </c>
      <c r="B276" s="1" t="s">
        <v>579</v>
      </c>
      <c r="C276" s="1">
        <v>0.289945</v>
      </c>
      <c r="D276" s="1" t="s">
        <v>1894</v>
      </c>
      <c r="E276" s="266">
        <f>IFERROR(VLOOKUP(B276,'Сырьё'!$C$6:$E$233,3,FALSE()),IFERROR(VLOOKUP(B276,'Полупродукты'!$C$6:$E$60,3,FALSE()),0))</f>
        <v>1.2831</v>
      </c>
      <c r="F276" s="266">
        <f t="shared" si="1"/>
        <v>0.3720284295</v>
      </c>
      <c r="G276" s="1">
        <v>0.0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0" customHeight="1">
      <c r="A277" s="1" t="s">
        <v>775</v>
      </c>
      <c r="B277" s="1" t="s">
        <v>593</v>
      </c>
      <c r="C277" s="1">
        <v>0.1648</v>
      </c>
      <c r="D277" s="1" t="s">
        <v>1896</v>
      </c>
      <c r="E277" s="266">
        <f>IFERROR(VLOOKUP(B277,'Сырьё'!$C$6:$E$233,3,FALSE()),IFERROR(VLOOKUP(B277,'Полупродукты'!$C$6:$E$60,3,FALSE()),0))</f>
        <v>1.6575</v>
      </c>
      <c r="F277" s="266">
        <f t="shared" si="1"/>
        <v>0.273156</v>
      </c>
      <c r="G277" s="1">
        <v>0.0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0" customHeight="1">
      <c r="A278" s="1" t="s">
        <v>775</v>
      </c>
      <c r="B278" s="1" t="s">
        <v>537</v>
      </c>
      <c r="C278" s="1">
        <v>0.022145</v>
      </c>
      <c r="D278" s="1" t="s">
        <v>1900</v>
      </c>
      <c r="E278" s="266">
        <f>IFERROR(VLOOKUP(B278,'Сырьё'!$C$6:$E$233,3,FALSE()),IFERROR(VLOOKUP(B278,'Полупродукты'!$C$6:$E$60,3,FALSE()),0))</f>
        <v>8.8284</v>
      </c>
      <c r="F278" s="266">
        <f t="shared" si="1"/>
        <v>0.195504918</v>
      </c>
      <c r="G278" s="1">
        <v>0.0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0" customHeight="1">
      <c r="A279" s="1" t="s">
        <v>711</v>
      </c>
      <c r="B279" s="1" t="s">
        <v>585</v>
      </c>
      <c r="C279" s="1">
        <v>0.085655</v>
      </c>
      <c r="D279" s="1" t="s">
        <v>2921</v>
      </c>
      <c r="E279" s="266">
        <f>IFERROR(VLOOKUP(B279,'Сырьё'!$C$6:$E$233,3,FALSE()),IFERROR(VLOOKUP(B279,'Полупродукты'!$C$6:$E$60,3,FALSE()),0))</f>
        <v>6.9052</v>
      </c>
      <c r="F279" s="266">
        <f t="shared" si="1"/>
        <v>0.591464906</v>
      </c>
      <c r="G279" s="1">
        <v>0.0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0" customHeight="1">
      <c r="A280" s="1" t="s">
        <v>711</v>
      </c>
      <c r="B280" s="1" t="s">
        <v>584</v>
      </c>
      <c r="C280" s="1">
        <v>0.128482</v>
      </c>
      <c r="D280" s="1" t="s">
        <v>2922</v>
      </c>
      <c r="E280" s="266">
        <f>IFERROR(VLOOKUP(B280,'Сырьё'!$C$6:$E$233,3,FALSE()),IFERROR(VLOOKUP(B280,'Полупродукты'!$C$6:$E$60,3,FALSE()),0))</f>
        <v>2.0494</v>
      </c>
      <c r="F280" s="266">
        <f t="shared" si="1"/>
        <v>0.2633110108</v>
      </c>
      <c r="G280" s="1">
        <v>0.0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0" customHeight="1">
      <c r="A281" s="1" t="s">
        <v>711</v>
      </c>
      <c r="B281" s="1" t="s">
        <v>583</v>
      </c>
      <c r="C281" s="1">
        <v>0.33905</v>
      </c>
      <c r="D281" s="1" t="s">
        <v>2923</v>
      </c>
      <c r="E281" s="266">
        <f>IFERROR(VLOOKUP(B281,'Сырьё'!$C$6:$E$233,3,FALSE()),IFERROR(VLOOKUP(B281,'Полупродукты'!$C$6:$E$60,3,FALSE()),0))</f>
        <v>1.4708</v>
      </c>
      <c r="F281" s="266">
        <f t="shared" si="1"/>
        <v>0.49867474</v>
      </c>
      <c r="G281" s="1">
        <v>0.0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0" customHeight="1">
      <c r="A282" s="1" t="s">
        <v>711</v>
      </c>
      <c r="B282" s="1" t="s">
        <v>537</v>
      </c>
      <c r="C282" s="1">
        <v>0.016259</v>
      </c>
      <c r="D282" s="1" t="s">
        <v>2924</v>
      </c>
      <c r="E282" s="266">
        <f>IFERROR(VLOOKUP(B282,'Сырьё'!$C$6:$E$233,3,FALSE()),IFERROR(VLOOKUP(B282,'Полупродукты'!$C$6:$E$60,3,FALSE()),0))</f>
        <v>8.8284</v>
      </c>
      <c r="F282" s="266">
        <f t="shared" si="1"/>
        <v>0.1435409556</v>
      </c>
      <c r="G282" s="1">
        <v>0.0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0" customHeight="1">
      <c r="A283" s="1" t="s">
        <v>711</v>
      </c>
      <c r="B283" s="1" t="s">
        <v>543</v>
      </c>
      <c r="C283" s="1">
        <v>0.003965</v>
      </c>
      <c r="D283" s="1" t="s">
        <v>2925</v>
      </c>
      <c r="E283" s="266">
        <f>IFERROR(VLOOKUP(B283,'Сырьё'!$C$6:$E$233,3,FALSE()),IFERROR(VLOOKUP(B283,'Полупродукты'!$C$6:$E$60,3,FALSE()),0))</f>
        <v>80.7112</v>
      </c>
      <c r="F283" s="266">
        <f t="shared" si="1"/>
        <v>0.320019908</v>
      </c>
      <c r="G283" s="1">
        <v>0.0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0" customHeight="1">
      <c r="A284" s="1" t="s">
        <v>711</v>
      </c>
      <c r="B284" s="1" t="s">
        <v>557</v>
      </c>
      <c r="C284" s="1">
        <v>0.142758</v>
      </c>
      <c r="D284" s="1" t="s">
        <v>2926</v>
      </c>
      <c r="E284" s="266">
        <f>IFERROR(VLOOKUP(B284,'Сырьё'!$C$6:$E$233,3,FALSE()),IFERROR(VLOOKUP(B284,'Полупродукты'!$C$6:$E$60,3,FALSE()),0))</f>
        <v>12.0149</v>
      </c>
      <c r="F284" s="266">
        <f t="shared" si="1"/>
        <v>1.715223094</v>
      </c>
      <c r="G284" s="1">
        <v>0.0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0" customHeight="1">
      <c r="A285" s="1" t="s">
        <v>711</v>
      </c>
      <c r="B285" s="1" t="s">
        <v>549</v>
      </c>
      <c r="C285" s="1">
        <v>0.032806</v>
      </c>
      <c r="D285" s="1" t="s">
        <v>2927</v>
      </c>
      <c r="E285" s="266">
        <f>IFERROR(VLOOKUP(B285,'Сырьё'!$C$6:$E$233,3,FALSE()),IFERROR(VLOOKUP(B285,'Полупродукты'!$C$6:$E$60,3,FALSE()),0))</f>
        <v>6.519</v>
      </c>
      <c r="F285" s="266">
        <f t="shared" si="1"/>
        <v>0.213862314</v>
      </c>
      <c r="G285" s="1">
        <v>0.0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0" customHeight="1">
      <c r="A286" s="1" t="s">
        <v>711</v>
      </c>
      <c r="B286" s="1" t="s">
        <v>579</v>
      </c>
      <c r="C286" s="1">
        <v>0.037626</v>
      </c>
      <c r="D286" s="1" t="s">
        <v>2928</v>
      </c>
      <c r="E286" s="266">
        <f>IFERROR(VLOOKUP(B286,'Сырьё'!$C$6:$E$233,3,FALSE()),IFERROR(VLOOKUP(B286,'Полупродукты'!$C$6:$E$60,3,FALSE()),0))</f>
        <v>1.2831</v>
      </c>
      <c r="F286" s="266">
        <f t="shared" si="1"/>
        <v>0.0482779206</v>
      </c>
      <c r="G286" s="1">
        <v>0.0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0" customHeight="1">
      <c r="A287" s="1" t="s">
        <v>711</v>
      </c>
      <c r="B287" s="1" t="s">
        <v>594</v>
      </c>
      <c r="C287" s="1">
        <v>0.195546</v>
      </c>
      <c r="D287" s="1" t="s">
        <v>2564</v>
      </c>
      <c r="E287" s="266">
        <f>IFERROR(VLOOKUP(B287,'Сырьё'!$C$6:$E$233,3,FALSE()),IFERROR(VLOOKUP(B287,'Полупродукты'!$C$6:$E$60,3,FALSE()),0))</f>
        <v>1.7145</v>
      </c>
      <c r="F287" s="266">
        <f t="shared" si="1"/>
        <v>0.335263617</v>
      </c>
      <c r="G287" s="1">
        <v>0.0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0" customHeight="1">
      <c r="A288" s="1" t="s">
        <v>711</v>
      </c>
      <c r="B288" s="1" t="s">
        <v>568</v>
      </c>
      <c r="C288" s="1">
        <v>0.018241</v>
      </c>
      <c r="D288" s="1" t="s">
        <v>2929</v>
      </c>
      <c r="E288" s="266">
        <f>IFERROR(VLOOKUP(B288,'Сырьё'!$C$6:$E$233,3,FALSE()),IFERROR(VLOOKUP(B288,'Полупродукты'!$C$6:$E$60,3,FALSE()),0))</f>
        <v>5.1326</v>
      </c>
      <c r="F288" s="266">
        <f t="shared" si="1"/>
        <v>0.0936237566</v>
      </c>
      <c r="G288" s="1">
        <v>0.0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0" customHeight="1">
      <c r="A289" s="1" t="s">
        <v>711</v>
      </c>
      <c r="B289" s="1" t="s">
        <v>593</v>
      </c>
      <c r="C289" s="1">
        <v>0.029613</v>
      </c>
      <c r="D289" s="1" t="s">
        <v>2930</v>
      </c>
      <c r="E289" s="266">
        <f>IFERROR(VLOOKUP(B289,'Сырьё'!$C$6:$E$233,3,FALSE()),IFERROR(VLOOKUP(B289,'Полупродукты'!$C$6:$E$60,3,FALSE()),0))</f>
        <v>1.6575</v>
      </c>
      <c r="F289" s="266">
        <f t="shared" si="1"/>
        <v>0.0490835475</v>
      </c>
      <c r="G289" s="1">
        <v>0.0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0" customHeight="1">
      <c r="A290" s="1" t="s">
        <v>711</v>
      </c>
      <c r="B290" s="1" t="s">
        <v>520</v>
      </c>
      <c r="C290" s="1">
        <v>2.63E-4</v>
      </c>
      <c r="D290" s="1" t="s">
        <v>2931</v>
      </c>
      <c r="E290" s="266">
        <f>IFERROR(VLOOKUP(B290,'Сырьё'!$C$6:$E$233,3,FALSE()),IFERROR(VLOOKUP(B290,'Полупродукты'!$C$6:$E$60,3,FALSE()),0))</f>
        <v>30.1527</v>
      </c>
      <c r="F290" s="266">
        <f t="shared" si="1"/>
        <v>0.0079301601</v>
      </c>
      <c r="G290" s="1">
        <v>0.0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0" customHeight="1">
      <c r="A291" s="1" t="s">
        <v>739</v>
      </c>
      <c r="B291" s="1" t="s">
        <v>549</v>
      </c>
      <c r="C291" s="1">
        <v>0.103</v>
      </c>
      <c r="D291" s="1" t="s">
        <v>2932</v>
      </c>
      <c r="E291" s="266">
        <f>IFERROR(VLOOKUP(B291,'Сырьё'!$C$6:$E$233,3,FALSE()),IFERROR(VLOOKUP(B291,'Полупродукты'!$C$6:$E$60,3,FALSE()),0))</f>
        <v>6.519</v>
      </c>
      <c r="F291" s="266">
        <f t="shared" si="1"/>
        <v>0.671457</v>
      </c>
      <c r="G291" s="1">
        <v>0.0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0" customHeight="1">
      <c r="A292" s="1" t="s">
        <v>739</v>
      </c>
      <c r="B292" s="1" t="s">
        <v>579</v>
      </c>
      <c r="C292" s="1">
        <v>0.3502</v>
      </c>
      <c r="D292" s="1" t="s">
        <v>2933</v>
      </c>
      <c r="E292" s="266">
        <f>IFERROR(VLOOKUP(B292,'Сырьё'!$C$6:$E$233,3,FALSE()),IFERROR(VLOOKUP(B292,'Полупродукты'!$C$6:$E$60,3,FALSE()),0))</f>
        <v>1.2831</v>
      </c>
      <c r="F292" s="266">
        <f t="shared" si="1"/>
        <v>0.44934162</v>
      </c>
      <c r="G292" s="1">
        <v>0.0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0" customHeight="1">
      <c r="A293" s="1" t="s">
        <v>739</v>
      </c>
      <c r="B293" s="1" t="s">
        <v>594</v>
      </c>
      <c r="C293" s="1">
        <v>0.309</v>
      </c>
      <c r="D293" s="1" t="s">
        <v>2934</v>
      </c>
      <c r="E293" s="266">
        <f>IFERROR(VLOOKUP(B293,'Сырьё'!$C$6:$E$233,3,FALSE()),IFERROR(VLOOKUP(B293,'Полупродукты'!$C$6:$E$60,3,FALSE()),0))</f>
        <v>1.7145</v>
      </c>
      <c r="F293" s="266">
        <f t="shared" si="1"/>
        <v>0.5297805</v>
      </c>
      <c r="G293" s="1">
        <v>0.0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0" customHeight="1">
      <c r="A294" s="1" t="s">
        <v>739</v>
      </c>
      <c r="B294" s="1" t="s">
        <v>537</v>
      </c>
      <c r="C294" s="1">
        <v>0.02575</v>
      </c>
      <c r="D294" s="1" t="s">
        <v>2935</v>
      </c>
      <c r="E294" s="266">
        <f>IFERROR(VLOOKUP(B294,'Сырьё'!$C$6:$E$233,3,FALSE()),IFERROR(VLOOKUP(B294,'Полупродукты'!$C$6:$E$60,3,FALSE()),0))</f>
        <v>8.8284</v>
      </c>
      <c r="F294" s="266">
        <f t="shared" si="1"/>
        <v>0.2273313</v>
      </c>
      <c r="G294" s="1">
        <v>0.0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0" customHeight="1">
      <c r="A295" s="1" t="s">
        <v>739</v>
      </c>
      <c r="B295" s="1" t="s">
        <v>543</v>
      </c>
      <c r="C295" s="1">
        <v>0.00515</v>
      </c>
      <c r="D295" s="1" t="s">
        <v>2936</v>
      </c>
      <c r="E295" s="266">
        <f>IFERROR(VLOOKUP(B295,'Сырьё'!$C$6:$E$233,3,FALSE()),IFERROR(VLOOKUP(B295,'Полупродукты'!$C$6:$E$60,3,FALSE()),0))</f>
        <v>80.7112</v>
      </c>
      <c r="F295" s="266">
        <f t="shared" si="1"/>
        <v>0.41566268</v>
      </c>
      <c r="G295" s="1">
        <v>0.0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0" customHeight="1">
      <c r="A296" s="1" t="s">
        <v>739</v>
      </c>
      <c r="B296" s="1" t="s">
        <v>568</v>
      </c>
      <c r="C296" s="1">
        <v>0.2369</v>
      </c>
      <c r="D296" s="1" t="s">
        <v>2937</v>
      </c>
      <c r="E296" s="266">
        <f>IFERROR(VLOOKUP(B296,'Сырьё'!$C$6:$E$233,3,FALSE()),IFERROR(VLOOKUP(B296,'Полупродукты'!$C$6:$E$60,3,FALSE()),0))</f>
        <v>5.1326</v>
      </c>
      <c r="F296" s="266">
        <f t="shared" si="1"/>
        <v>1.21591294</v>
      </c>
      <c r="G296" s="1">
        <v>0.0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0" customHeight="1">
      <c r="A297" s="1" t="s">
        <v>427</v>
      </c>
      <c r="B297" s="1" t="s">
        <v>427</v>
      </c>
      <c r="C297" s="1">
        <v>1.0</v>
      </c>
      <c r="D297" s="1" t="s">
        <v>2938</v>
      </c>
      <c r="E297" s="266">
        <f>IFERROR(VLOOKUP(B297,'Сырьё'!$C$6:$E$233,3,FALSE()),IFERROR(VLOOKUP(B297,'Полупродукты'!$C$6:$E$60,3,FALSE()),0))</f>
        <v>5.1711</v>
      </c>
      <c r="F297" s="266">
        <f t="shared" si="1"/>
        <v>5.1711</v>
      </c>
      <c r="G297" s="1">
        <v>1.0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0" customHeight="1">
      <c r="A298" s="1" t="s">
        <v>393</v>
      </c>
      <c r="B298" s="1" t="s">
        <v>393</v>
      </c>
      <c r="C298" s="1">
        <v>1.0</v>
      </c>
      <c r="D298" s="1" t="s">
        <v>2939</v>
      </c>
      <c r="E298" s="266">
        <f>IFERROR(VLOOKUP(B298,'Сырьё'!$C$6:$E$233,3,FALSE()),IFERROR(VLOOKUP(B298,'Полупродукты'!$C$6:$E$60,3,FALSE()),0))</f>
        <v>3.4798</v>
      </c>
      <c r="F298" s="266">
        <f t="shared" si="1"/>
        <v>3.4798</v>
      </c>
      <c r="G298" s="1">
        <v>1.0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0" customHeight="1">
      <c r="A299" s="1" t="s">
        <v>439</v>
      </c>
      <c r="B299" s="1" t="s">
        <v>439</v>
      </c>
      <c r="C299" s="1">
        <v>1.0</v>
      </c>
      <c r="D299" s="1" t="s">
        <v>2940</v>
      </c>
      <c r="E299" s="266">
        <f>IFERROR(VLOOKUP(B299,'Сырьё'!$C$6:$E$233,3,FALSE()),IFERROR(VLOOKUP(B299,'Полупродукты'!$C$6:$E$60,3,FALSE()),0))</f>
        <v>12.1824</v>
      </c>
      <c r="F299" s="266">
        <f t="shared" si="1"/>
        <v>12.1824</v>
      </c>
      <c r="G299" s="1">
        <v>1.0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0" customHeight="1">
      <c r="A300" s="1" t="s">
        <v>430</v>
      </c>
      <c r="B300" s="1" t="s">
        <v>430</v>
      </c>
      <c r="C300" s="1">
        <v>1.0</v>
      </c>
      <c r="D300" s="1" t="s">
        <v>2941</v>
      </c>
      <c r="E300" s="266">
        <f>IFERROR(VLOOKUP(B300,'Сырьё'!$C$6:$E$233,3,FALSE()),IFERROR(VLOOKUP(B300,'Полупродукты'!$C$6:$E$60,3,FALSE()),0))</f>
        <v>3.8384</v>
      </c>
      <c r="F300" s="266">
        <f t="shared" si="1"/>
        <v>3.8384</v>
      </c>
      <c r="G300" s="1">
        <v>1.0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0" customHeight="1">
      <c r="A301" s="1" t="s">
        <v>525</v>
      </c>
      <c r="B301" s="1" t="s">
        <v>579</v>
      </c>
      <c r="C301" s="1">
        <v>0.086932</v>
      </c>
      <c r="D301" s="1" t="s">
        <v>2942</v>
      </c>
      <c r="E301" s="266">
        <f>IFERROR(VLOOKUP(B301,'Сырьё'!$C$6:$E$233,3,FALSE()),IFERROR(VLOOKUP(B301,'Полупродукты'!$C$6:$E$60,3,FALSE()),0))</f>
        <v>1.2831</v>
      </c>
      <c r="F301" s="266">
        <f t="shared" si="1"/>
        <v>0.1115424492</v>
      </c>
      <c r="G301" s="1">
        <v>0.0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0" customHeight="1">
      <c r="A302" s="1" t="s">
        <v>525</v>
      </c>
      <c r="B302" s="1" t="s">
        <v>593</v>
      </c>
      <c r="C302" s="1">
        <v>0.142758</v>
      </c>
      <c r="D302" s="1" t="s">
        <v>1322</v>
      </c>
      <c r="E302" s="266">
        <f>IFERROR(VLOOKUP(B302,'Сырьё'!$C$6:$E$233,3,FALSE()),IFERROR(VLOOKUP(B302,'Полупродукты'!$C$6:$E$60,3,FALSE()),0))</f>
        <v>1.6575</v>
      </c>
      <c r="F302" s="266">
        <f t="shared" si="1"/>
        <v>0.236621385</v>
      </c>
      <c r="G302" s="1">
        <v>0.0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0" customHeight="1">
      <c r="A303" s="1" t="s">
        <v>525</v>
      </c>
      <c r="B303" s="1" t="s">
        <v>594</v>
      </c>
      <c r="C303" s="1">
        <v>0.08755</v>
      </c>
      <c r="D303" s="1" t="s">
        <v>1320</v>
      </c>
      <c r="E303" s="266">
        <f>IFERROR(VLOOKUP(B303,'Сырьё'!$C$6:$E$233,3,FALSE()),IFERROR(VLOOKUP(B303,'Полупродукты'!$C$6:$E$60,3,FALSE()),0))</f>
        <v>1.7145</v>
      </c>
      <c r="F303" s="266">
        <f t="shared" si="1"/>
        <v>0.150104475</v>
      </c>
      <c r="G303" s="1">
        <v>0.0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0" customHeight="1">
      <c r="A304" s="1" t="s">
        <v>525</v>
      </c>
      <c r="B304" s="1" t="s">
        <v>577</v>
      </c>
      <c r="C304" s="1">
        <v>0.38625</v>
      </c>
      <c r="D304" s="1" t="s">
        <v>2943</v>
      </c>
      <c r="E304" s="266">
        <f>IFERROR(VLOOKUP(B304,'Сырьё'!$C$6:$E$233,3,FALSE()),IFERROR(VLOOKUP(B304,'Полупродукты'!$C$6:$E$60,3,FALSE()),0))</f>
        <v>2.8015</v>
      </c>
      <c r="F304" s="266">
        <f t="shared" si="1"/>
        <v>1.082079375</v>
      </c>
      <c r="G304" s="1">
        <v>0.0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0" customHeight="1">
      <c r="A305" s="1" t="s">
        <v>525</v>
      </c>
      <c r="B305" s="1" t="s">
        <v>549</v>
      </c>
      <c r="C305" s="1">
        <v>0.03708</v>
      </c>
      <c r="D305" s="1" t="s">
        <v>2944</v>
      </c>
      <c r="E305" s="266">
        <f>IFERROR(VLOOKUP(B305,'Сырьё'!$C$6:$E$233,3,FALSE()),IFERROR(VLOOKUP(B305,'Полупродукты'!$C$6:$E$60,3,FALSE()),0))</f>
        <v>6.519</v>
      </c>
      <c r="F305" s="266">
        <f t="shared" si="1"/>
        <v>0.24172452</v>
      </c>
      <c r="G305" s="1">
        <v>0.0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0" customHeight="1">
      <c r="A306" s="1" t="s">
        <v>525</v>
      </c>
      <c r="B306" s="1" t="s">
        <v>591</v>
      </c>
      <c r="C306" s="1">
        <v>0.01545</v>
      </c>
      <c r="D306" s="1" t="s">
        <v>2945</v>
      </c>
      <c r="E306" s="266">
        <f>IFERROR(VLOOKUP(B306,'Сырьё'!$C$6:$E$233,3,FALSE()),IFERROR(VLOOKUP(B306,'Полупродукты'!$C$6:$E$60,3,FALSE()),0))</f>
        <v>1.9734</v>
      </c>
      <c r="F306" s="266">
        <f t="shared" si="1"/>
        <v>0.03048903</v>
      </c>
      <c r="G306" s="1">
        <v>0.0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0" customHeight="1">
      <c r="A307" s="1" t="s">
        <v>525</v>
      </c>
      <c r="B307" s="1" t="s">
        <v>569</v>
      </c>
      <c r="C307" s="1">
        <v>0.0412</v>
      </c>
      <c r="D307" s="1" t="s">
        <v>1310</v>
      </c>
      <c r="E307" s="266">
        <f>IFERROR(VLOOKUP(B307,'Сырьё'!$C$6:$E$233,3,FALSE()),IFERROR(VLOOKUP(B307,'Полупродукты'!$C$6:$E$60,3,FALSE()),0))</f>
        <v>3.2853</v>
      </c>
      <c r="F307" s="266">
        <f t="shared" si="1"/>
        <v>0.13535436</v>
      </c>
      <c r="G307" s="1">
        <v>0.0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0" customHeight="1">
      <c r="A308" s="1" t="s">
        <v>525</v>
      </c>
      <c r="B308" s="1" t="s">
        <v>570</v>
      </c>
      <c r="C308" s="1">
        <v>0.0618</v>
      </c>
      <c r="D308" s="1" t="s">
        <v>1312</v>
      </c>
      <c r="E308" s="266">
        <f>IFERROR(VLOOKUP(B308,'Сырьё'!$C$6:$E$233,3,FALSE()),IFERROR(VLOOKUP(B308,'Полупродукты'!$C$6:$E$60,3,FALSE()),0))</f>
        <v>3.3046</v>
      </c>
      <c r="F308" s="266">
        <f t="shared" si="1"/>
        <v>0.20422428</v>
      </c>
      <c r="G308" s="1">
        <v>0.0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0" customHeight="1">
      <c r="A309" s="1" t="s">
        <v>525</v>
      </c>
      <c r="B309" s="1" t="s">
        <v>532</v>
      </c>
      <c r="C309" s="1">
        <v>0.0103</v>
      </c>
      <c r="D309" s="1" t="s">
        <v>1314</v>
      </c>
      <c r="E309" s="266">
        <f>IFERROR(VLOOKUP(B309,'Сырьё'!$C$6:$E$233,3,FALSE()),IFERROR(VLOOKUP(B309,'Полупродукты'!$C$6:$E$60,3,FALSE()),0))</f>
        <v>2.337</v>
      </c>
      <c r="F309" s="266">
        <f t="shared" si="1"/>
        <v>0.0240711</v>
      </c>
      <c r="G309" s="1">
        <v>0.0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0" customHeight="1">
      <c r="A310" s="1" t="s">
        <v>525</v>
      </c>
      <c r="B310" s="1" t="s">
        <v>571</v>
      </c>
      <c r="C310" s="1">
        <v>0.0103</v>
      </c>
      <c r="D310" s="1" t="s">
        <v>1316</v>
      </c>
      <c r="E310" s="266">
        <f>IFERROR(VLOOKUP(B310,'Сырьё'!$C$6:$E$233,3,FALSE()),IFERROR(VLOOKUP(B310,'Полупродукты'!$C$6:$E$60,3,FALSE()),0))</f>
        <v>14.556</v>
      </c>
      <c r="F310" s="266">
        <f t="shared" si="1"/>
        <v>0.1499268</v>
      </c>
      <c r="G310" s="1">
        <v>0.0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0" customHeight="1">
      <c r="A311" s="1" t="s">
        <v>525</v>
      </c>
      <c r="B311" s="1" t="s">
        <v>403</v>
      </c>
      <c r="C311" s="1">
        <v>0.15038</v>
      </c>
      <c r="D311" s="1" t="s">
        <v>2946</v>
      </c>
      <c r="E311" s="266">
        <f>IFERROR(VLOOKUP(B311,'Сырьё'!$C$6:$E$233,3,FALSE()),IFERROR(VLOOKUP(B311,'Полупродукты'!$C$6:$E$60,3,FALSE()),0))</f>
        <v>0</v>
      </c>
      <c r="F311" s="266">
        <f t="shared" si="1"/>
        <v>0</v>
      </c>
      <c r="G311" s="1">
        <v>1.0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0" customHeight="1">
      <c r="A312" s="1" t="s">
        <v>525</v>
      </c>
      <c r="B312" s="1" t="s">
        <v>522</v>
      </c>
      <c r="C312" s="1">
        <v>0.039673</v>
      </c>
      <c r="D312" s="1" t="s">
        <v>1324</v>
      </c>
      <c r="E312" s="266">
        <f>IFERROR(VLOOKUP(B312,'Сырьё'!$C$6:$E$233,3,FALSE()),IFERROR(VLOOKUP(B312,'Полупродукты'!$C$6:$E$60,3,FALSE()),0))</f>
        <v>3.7834</v>
      </c>
      <c r="F312" s="266">
        <f t="shared" si="1"/>
        <v>0.1500988282</v>
      </c>
      <c r="G312" s="1">
        <v>0.0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0" customHeight="1">
      <c r="A313" s="1" t="s">
        <v>525</v>
      </c>
      <c r="B313" s="1" t="s">
        <v>520</v>
      </c>
      <c r="C313" s="1">
        <v>1.87E-4</v>
      </c>
      <c r="D313" s="1" t="s">
        <v>1326</v>
      </c>
      <c r="E313" s="266">
        <f>IFERROR(VLOOKUP(B313,'Сырьё'!$C$6:$E$233,3,FALSE()),IFERROR(VLOOKUP(B313,'Полупродукты'!$C$6:$E$60,3,FALSE()),0))</f>
        <v>30.1527</v>
      </c>
      <c r="F313" s="266">
        <f t="shared" si="1"/>
        <v>0.0056385549</v>
      </c>
      <c r="G313" s="1">
        <v>0.0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0" customHeight="1">
      <c r="A314" s="1" t="s">
        <v>436</v>
      </c>
      <c r="B314" s="1" t="s">
        <v>436</v>
      </c>
      <c r="C314" s="1">
        <v>1.0</v>
      </c>
      <c r="D314" s="1" t="s">
        <v>2947</v>
      </c>
      <c r="E314" s="266">
        <f>IFERROR(VLOOKUP(B314,'Сырьё'!$C$6:$E$233,3,FALSE()),IFERROR(VLOOKUP(B314,'Полупродукты'!$C$6:$E$60,3,FALSE()),0))</f>
        <v>4.7655</v>
      </c>
      <c r="F314" s="266">
        <f t="shared" si="1"/>
        <v>4.7655</v>
      </c>
      <c r="G314" s="1">
        <v>1.0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0" customHeight="1">
      <c r="A315" s="1" t="s">
        <v>706</v>
      </c>
      <c r="B315" s="1" t="s">
        <v>396</v>
      </c>
      <c r="C315" s="1">
        <v>0.515</v>
      </c>
      <c r="D315" s="1" t="s">
        <v>1462</v>
      </c>
      <c r="E315" s="266">
        <f>IFERROR(VLOOKUP(B315,'Сырьё'!$C$6:$E$233,3,FALSE()),IFERROR(VLOOKUP(B315,'Полупродукты'!$C$6:$E$60,3,FALSE()),0))</f>
        <v>0</v>
      </c>
      <c r="F315" s="266">
        <f t="shared" si="1"/>
        <v>0</v>
      </c>
      <c r="G315" s="1">
        <v>1.0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0" customHeight="1">
      <c r="A316" s="1" t="s">
        <v>706</v>
      </c>
      <c r="B316" s="1" t="s">
        <v>590</v>
      </c>
      <c r="C316" s="1">
        <v>0.1751</v>
      </c>
      <c r="D316" s="1" t="s">
        <v>1464</v>
      </c>
      <c r="E316" s="266">
        <f>IFERROR(VLOOKUP(B316,'Сырьё'!$C$6:$E$233,3,FALSE()),IFERROR(VLOOKUP(B316,'Полупродукты'!$C$6:$E$60,3,FALSE()),0))</f>
        <v>1.8153</v>
      </c>
      <c r="F316" s="266">
        <f t="shared" si="1"/>
        <v>0.31785903</v>
      </c>
      <c r="G316" s="1">
        <v>0.0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0" customHeight="1">
      <c r="A317" s="1" t="s">
        <v>706</v>
      </c>
      <c r="B317" s="1" t="s">
        <v>530</v>
      </c>
      <c r="C317" s="1">
        <v>0.04635</v>
      </c>
      <c r="D317" s="1" t="s">
        <v>1466</v>
      </c>
      <c r="E317" s="266">
        <f>IFERROR(VLOOKUP(B317,'Сырьё'!$C$6:$E$233,3,FALSE()),IFERROR(VLOOKUP(B317,'Полупродукты'!$C$6:$E$60,3,FALSE()),0))</f>
        <v>0</v>
      </c>
      <c r="F317" s="266">
        <f t="shared" si="1"/>
        <v>0</v>
      </c>
      <c r="G317" s="1">
        <v>0.0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0" customHeight="1">
      <c r="A318" s="1" t="s">
        <v>706</v>
      </c>
      <c r="B318" s="1" t="s">
        <v>541</v>
      </c>
      <c r="C318" s="1">
        <v>0.00515</v>
      </c>
      <c r="D318" s="1" t="s">
        <v>1468</v>
      </c>
      <c r="E318" s="266">
        <f>IFERROR(VLOOKUP(B318,'Сырьё'!$C$6:$E$233,3,FALSE()),IFERROR(VLOOKUP(B318,'Полупродукты'!$C$6:$E$60,3,FALSE()),0))</f>
        <v>78.7704</v>
      </c>
      <c r="F318" s="266">
        <f t="shared" si="1"/>
        <v>0.40566756</v>
      </c>
      <c r="G318" s="1">
        <v>0.0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0" customHeight="1">
      <c r="A319" s="1" t="s">
        <v>706</v>
      </c>
      <c r="B319" s="1" t="s">
        <v>553</v>
      </c>
      <c r="C319" s="1">
        <v>0.2884</v>
      </c>
      <c r="D319" s="1" t="s">
        <v>1470</v>
      </c>
      <c r="E319" s="266">
        <f>IFERROR(VLOOKUP(B319,'Сырьё'!$C$6:$E$233,3,FALSE()),IFERROR(VLOOKUP(B319,'Полупродукты'!$C$6:$E$60,3,FALSE()),0))</f>
        <v>3.5357</v>
      </c>
      <c r="F319" s="266">
        <f t="shared" si="1"/>
        <v>1.01969588</v>
      </c>
      <c r="G319" s="1">
        <v>0.0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0" customHeight="1">
      <c r="A320" s="1" t="s">
        <v>606</v>
      </c>
      <c r="B320" s="1" t="s">
        <v>587</v>
      </c>
      <c r="C320" s="1">
        <v>0.476375</v>
      </c>
      <c r="D320" s="1" t="s">
        <v>1614</v>
      </c>
      <c r="E320" s="266">
        <f>IFERROR(VLOOKUP(B320,'Сырьё'!$C$6:$E$233,3,FALSE()),IFERROR(VLOOKUP(B320,'Полупродукты'!$C$6:$E$60,3,FALSE()),0))</f>
        <v>0</v>
      </c>
      <c r="F320" s="266">
        <f t="shared" si="1"/>
        <v>0</v>
      </c>
      <c r="G320" s="1">
        <v>0.0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0" customHeight="1">
      <c r="A321" s="1" t="s">
        <v>606</v>
      </c>
      <c r="B321" s="1" t="s">
        <v>583</v>
      </c>
      <c r="C321" s="1">
        <v>0.21012</v>
      </c>
      <c r="D321" s="1" t="s">
        <v>2948</v>
      </c>
      <c r="E321" s="266">
        <f>IFERROR(VLOOKUP(B321,'Сырьё'!$C$6:$E$233,3,FALSE()),IFERROR(VLOOKUP(B321,'Полупродукты'!$C$6:$E$60,3,FALSE()),0))</f>
        <v>1.4708</v>
      </c>
      <c r="F321" s="266">
        <f t="shared" si="1"/>
        <v>0.309044496</v>
      </c>
      <c r="G321" s="1">
        <v>0.0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0" customHeight="1">
      <c r="A322" s="1" t="s">
        <v>606</v>
      </c>
      <c r="B322" s="1" t="s">
        <v>584</v>
      </c>
      <c r="C322" s="1">
        <v>0.069525</v>
      </c>
      <c r="D322" s="1" t="s">
        <v>2949</v>
      </c>
      <c r="E322" s="266">
        <f>IFERROR(VLOOKUP(B322,'Сырьё'!$C$6:$E$233,3,FALSE()),IFERROR(VLOOKUP(B322,'Полупродукты'!$C$6:$E$60,3,FALSE()),0))</f>
        <v>2.0494</v>
      </c>
      <c r="F322" s="266">
        <f t="shared" si="1"/>
        <v>0.142484535</v>
      </c>
      <c r="G322" s="1">
        <v>0.0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0" customHeight="1">
      <c r="A323" s="1" t="s">
        <v>606</v>
      </c>
      <c r="B323" s="1" t="s">
        <v>585</v>
      </c>
      <c r="C323" s="1">
        <v>0.013905</v>
      </c>
      <c r="D323" s="1" t="s">
        <v>2950</v>
      </c>
      <c r="E323" s="266">
        <f>IFERROR(VLOOKUP(B323,'Сырьё'!$C$6:$E$233,3,FALSE()),IFERROR(VLOOKUP(B323,'Полупродукты'!$C$6:$E$60,3,FALSE()),0))</f>
        <v>6.9052</v>
      </c>
      <c r="F323" s="266">
        <f t="shared" si="1"/>
        <v>0.096016806</v>
      </c>
      <c r="G323" s="1">
        <v>0.0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0" customHeight="1">
      <c r="A324" s="1" t="s">
        <v>606</v>
      </c>
      <c r="B324" s="1" t="s">
        <v>537</v>
      </c>
      <c r="C324" s="1">
        <v>0.01854</v>
      </c>
      <c r="D324" s="1" t="s">
        <v>2951</v>
      </c>
      <c r="E324" s="266">
        <f>IFERROR(VLOOKUP(B324,'Сырьё'!$C$6:$E$233,3,FALSE()),IFERROR(VLOOKUP(B324,'Полупродукты'!$C$6:$E$60,3,FALSE()),0))</f>
        <v>8.8284</v>
      </c>
      <c r="F324" s="266">
        <f t="shared" si="1"/>
        <v>0.163678536</v>
      </c>
      <c r="G324" s="1">
        <v>0.0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0" customHeight="1">
      <c r="A325" s="1" t="s">
        <v>606</v>
      </c>
      <c r="B325" s="1" t="s">
        <v>541</v>
      </c>
      <c r="C325" s="1">
        <v>0.004635</v>
      </c>
      <c r="D325" s="1" t="s">
        <v>2952</v>
      </c>
      <c r="E325" s="266">
        <f>IFERROR(VLOOKUP(B325,'Сырьё'!$C$6:$E$233,3,FALSE()),IFERROR(VLOOKUP(B325,'Полупродукты'!$C$6:$E$60,3,FALSE()),0))</f>
        <v>78.7704</v>
      </c>
      <c r="F325" s="266">
        <f t="shared" si="1"/>
        <v>0.365100804</v>
      </c>
      <c r="G325" s="1">
        <v>0.0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0" customHeight="1">
      <c r="A326" s="1" t="s">
        <v>606</v>
      </c>
      <c r="B326" s="1" t="s">
        <v>551</v>
      </c>
      <c r="C326" s="1">
        <v>0.1854</v>
      </c>
      <c r="D326" s="1" t="s">
        <v>2953</v>
      </c>
      <c r="E326" s="266">
        <f>IFERROR(VLOOKUP(B326,'Сырьё'!$C$6:$E$233,3,FALSE()),IFERROR(VLOOKUP(B326,'Полупродукты'!$C$6:$E$60,3,FALSE()),0))</f>
        <v>3.7202</v>
      </c>
      <c r="F326" s="266">
        <f t="shared" si="1"/>
        <v>0.68972508</v>
      </c>
      <c r="G326" s="1">
        <v>0.0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0" customHeight="1">
      <c r="A327" s="1" t="s">
        <v>606</v>
      </c>
      <c r="B327" s="1" t="s">
        <v>594</v>
      </c>
      <c r="C327" s="1">
        <v>0.0515</v>
      </c>
      <c r="D327" s="1" t="s">
        <v>1616</v>
      </c>
      <c r="E327" s="266">
        <f>IFERROR(VLOOKUP(B327,'Сырьё'!$C$6:$E$233,3,FALSE()),IFERROR(VLOOKUP(B327,'Полупродукты'!$C$6:$E$60,3,FALSE()),0))</f>
        <v>1.7145</v>
      </c>
      <c r="F327" s="266">
        <f t="shared" si="1"/>
        <v>0.08829675</v>
      </c>
      <c r="G327" s="1">
        <v>0.0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0" customHeight="1">
      <c r="A328" s="1" t="s">
        <v>786</v>
      </c>
      <c r="B328" s="1" t="s">
        <v>549</v>
      </c>
      <c r="C328" s="1">
        <v>0.103</v>
      </c>
      <c r="D328" s="1" t="s">
        <v>1988</v>
      </c>
      <c r="E328" s="266">
        <f>IFERROR(VLOOKUP(B328,'Сырьё'!$C$6:$E$233,3,FALSE()),IFERROR(VLOOKUP(B328,'Полупродукты'!$C$6:$E$60,3,FALSE()),0))</f>
        <v>6.519</v>
      </c>
      <c r="F328" s="266">
        <f t="shared" si="1"/>
        <v>0.671457</v>
      </c>
      <c r="G328" s="1">
        <v>0.0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0" customHeight="1">
      <c r="A329" s="1" t="s">
        <v>786</v>
      </c>
      <c r="B329" s="1" t="s">
        <v>579</v>
      </c>
      <c r="C329" s="1">
        <v>0.3502</v>
      </c>
      <c r="D329" s="1" t="s">
        <v>1990</v>
      </c>
      <c r="E329" s="266">
        <f>IFERROR(VLOOKUP(B329,'Сырьё'!$C$6:$E$233,3,FALSE()),IFERROR(VLOOKUP(B329,'Полупродукты'!$C$6:$E$60,3,FALSE()),0))</f>
        <v>1.2831</v>
      </c>
      <c r="F329" s="266">
        <f t="shared" si="1"/>
        <v>0.44934162</v>
      </c>
      <c r="G329" s="1">
        <v>0.0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0" customHeight="1">
      <c r="A330" s="1" t="s">
        <v>786</v>
      </c>
      <c r="B330" s="1" t="s">
        <v>594</v>
      </c>
      <c r="C330" s="1">
        <v>0.309</v>
      </c>
      <c r="D330" s="1" t="s">
        <v>1992</v>
      </c>
      <c r="E330" s="266">
        <f>IFERROR(VLOOKUP(B330,'Сырьё'!$C$6:$E$233,3,FALSE()),IFERROR(VLOOKUP(B330,'Полупродукты'!$C$6:$E$60,3,FALSE()),0))</f>
        <v>1.7145</v>
      </c>
      <c r="F330" s="266">
        <f t="shared" si="1"/>
        <v>0.5297805</v>
      </c>
      <c r="G330" s="1">
        <v>0.0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0" customHeight="1">
      <c r="A331" s="1" t="s">
        <v>786</v>
      </c>
      <c r="B331" s="1" t="s">
        <v>537</v>
      </c>
      <c r="C331" s="1">
        <v>0.02575</v>
      </c>
      <c r="D331" s="1" t="s">
        <v>1994</v>
      </c>
      <c r="E331" s="266">
        <f>IFERROR(VLOOKUP(B331,'Сырьё'!$C$6:$E$233,3,FALSE()),IFERROR(VLOOKUP(B331,'Полупродукты'!$C$6:$E$60,3,FALSE()),0))</f>
        <v>8.8284</v>
      </c>
      <c r="F331" s="266">
        <f t="shared" si="1"/>
        <v>0.2273313</v>
      </c>
      <c r="G331" s="1">
        <v>0.0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0" customHeight="1">
      <c r="A332" s="1" t="s">
        <v>786</v>
      </c>
      <c r="B332" s="1" t="s">
        <v>543</v>
      </c>
      <c r="C332" s="1">
        <v>0.00515</v>
      </c>
      <c r="D332" s="1" t="s">
        <v>1996</v>
      </c>
      <c r="E332" s="266">
        <f>IFERROR(VLOOKUP(B332,'Сырьё'!$C$6:$E$233,3,FALSE()),IFERROR(VLOOKUP(B332,'Полупродукты'!$C$6:$E$60,3,FALSE()),0))</f>
        <v>80.7112</v>
      </c>
      <c r="F332" s="266">
        <f t="shared" si="1"/>
        <v>0.41566268</v>
      </c>
      <c r="G332" s="1">
        <v>0.0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0" customHeight="1">
      <c r="A333" s="1" t="s">
        <v>786</v>
      </c>
      <c r="B333" s="1" t="s">
        <v>568</v>
      </c>
      <c r="C333" s="1">
        <v>0.2369</v>
      </c>
      <c r="D333" s="1" t="s">
        <v>2641</v>
      </c>
      <c r="E333" s="266">
        <f>IFERROR(VLOOKUP(B333,'Сырьё'!$C$6:$E$233,3,FALSE()),IFERROR(VLOOKUP(B333,'Полупродукты'!$C$6:$E$60,3,FALSE()),0))</f>
        <v>5.1326</v>
      </c>
      <c r="F333" s="266">
        <f t="shared" si="1"/>
        <v>1.21591294</v>
      </c>
      <c r="G333" s="1">
        <v>0.0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0" customHeight="1">
      <c r="A334" s="1" t="s">
        <v>736</v>
      </c>
      <c r="B334" s="1" t="s">
        <v>594</v>
      </c>
      <c r="C334" s="1">
        <v>0.3914</v>
      </c>
      <c r="D334" s="1" t="s">
        <v>2954</v>
      </c>
      <c r="E334" s="266">
        <f>IFERROR(VLOOKUP(B334,'Сырьё'!$C$6:$E$233,3,FALSE()),IFERROR(VLOOKUP(B334,'Полупродукты'!$C$6:$E$60,3,FALSE()),0))</f>
        <v>1.7145</v>
      </c>
      <c r="F334" s="266">
        <f t="shared" si="1"/>
        <v>0.6710553</v>
      </c>
      <c r="G334" s="1">
        <v>0.0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0" customHeight="1">
      <c r="A335" s="1" t="s">
        <v>736</v>
      </c>
      <c r="B335" s="1" t="s">
        <v>549</v>
      </c>
      <c r="C335" s="1">
        <v>0.113918</v>
      </c>
      <c r="D335" s="1" t="s">
        <v>2955</v>
      </c>
      <c r="E335" s="266">
        <f>IFERROR(VLOOKUP(B335,'Сырьё'!$C$6:$E$233,3,FALSE()),IFERROR(VLOOKUP(B335,'Полупродукты'!$C$6:$E$60,3,FALSE()),0))</f>
        <v>6.519</v>
      </c>
      <c r="F335" s="266">
        <f t="shared" si="1"/>
        <v>0.742631442</v>
      </c>
      <c r="G335" s="1">
        <v>0.0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0" customHeight="1">
      <c r="A336" s="1" t="s">
        <v>736</v>
      </c>
      <c r="B336" s="1" t="s">
        <v>537</v>
      </c>
      <c r="C336" s="1">
        <v>0.023793</v>
      </c>
      <c r="D336" s="1" t="s">
        <v>2956</v>
      </c>
      <c r="E336" s="266">
        <f>IFERROR(VLOOKUP(B336,'Сырьё'!$C$6:$E$233,3,FALSE()),IFERROR(VLOOKUP(B336,'Полупродукты'!$C$6:$E$60,3,FALSE()),0))</f>
        <v>8.8284</v>
      </c>
      <c r="F336" s="266">
        <f t="shared" si="1"/>
        <v>0.2100541212</v>
      </c>
      <c r="G336" s="1">
        <v>0.0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0" customHeight="1">
      <c r="A337" s="1" t="s">
        <v>736</v>
      </c>
      <c r="B337" s="1" t="s">
        <v>556</v>
      </c>
      <c r="C337" s="1">
        <v>0.198275</v>
      </c>
      <c r="D337" s="1" t="s">
        <v>2957</v>
      </c>
      <c r="E337" s="266">
        <f>IFERROR(VLOOKUP(B337,'Сырьё'!$C$6:$E$233,3,FALSE()),IFERROR(VLOOKUP(B337,'Полупродукты'!$C$6:$E$60,3,FALSE()),0))</f>
        <v>5.6362</v>
      </c>
      <c r="F337" s="266">
        <f t="shared" si="1"/>
        <v>1.117517555</v>
      </c>
      <c r="G337" s="1">
        <v>0.0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0" customHeight="1">
      <c r="A338" s="1" t="s">
        <v>736</v>
      </c>
      <c r="B338" s="1" t="s">
        <v>579</v>
      </c>
      <c r="C338" s="1">
        <v>0.189314</v>
      </c>
      <c r="D338" s="1" t="s">
        <v>2958</v>
      </c>
      <c r="E338" s="266">
        <f>IFERROR(VLOOKUP(B338,'Сырьё'!$C$6:$E$233,3,FALSE()),IFERROR(VLOOKUP(B338,'Полупродукты'!$C$6:$E$60,3,FALSE()),0))</f>
        <v>1.2831</v>
      </c>
      <c r="F338" s="266">
        <f t="shared" si="1"/>
        <v>0.2429087934</v>
      </c>
      <c r="G338" s="1">
        <v>0.0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0" customHeight="1">
      <c r="A339" s="1" t="s">
        <v>736</v>
      </c>
      <c r="B339" s="1" t="s">
        <v>593</v>
      </c>
      <c r="C339" s="1">
        <v>0.1133</v>
      </c>
      <c r="D339" s="1" t="s">
        <v>1030</v>
      </c>
      <c r="E339" s="266">
        <f>IFERROR(VLOOKUP(B339,'Сырьё'!$C$6:$E$233,3,FALSE()),IFERROR(VLOOKUP(B339,'Полупродукты'!$C$6:$E$60,3,FALSE()),0))</f>
        <v>1.6575</v>
      </c>
      <c r="F339" s="266">
        <f t="shared" si="1"/>
        <v>0.18779475</v>
      </c>
      <c r="G339" s="1">
        <v>0.0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0" customHeight="1">
      <c r="A340" s="1" t="s">
        <v>736</v>
      </c>
      <c r="B340" s="1" t="s">
        <v>520</v>
      </c>
      <c r="C340" s="1">
        <v>3.65E-4</v>
      </c>
      <c r="D340" s="1" t="s">
        <v>2959</v>
      </c>
      <c r="E340" s="266">
        <f>IFERROR(VLOOKUP(B340,'Сырьё'!$C$6:$E$233,3,FALSE()),IFERROR(VLOOKUP(B340,'Полупродукты'!$C$6:$E$60,3,FALSE()),0))</f>
        <v>30.1527</v>
      </c>
      <c r="F340" s="266">
        <f t="shared" si="1"/>
        <v>0.0110057355</v>
      </c>
      <c r="G340" s="1">
        <v>0.0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0" customHeight="1">
      <c r="A341" s="1" t="s">
        <v>753</v>
      </c>
      <c r="B341" s="1" t="s">
        <v>579</v>
      </c>
      <c r="C341" s="1">
        <v>0.479002</v>
      </c>
      <c r="D341" s="1" t="s">
        <v>2100</v>
      </c>
      <c r="E341" s="266">
        <f>IFERROR(VLOOKUP(B341,'Сырьё'!$C$6:$E$233,3,FALSE()),IFERROR(VLOOKUP(B341,'Полупродукты'!$C$6:$E$60,3,FALSE()),0))</f>
        <v>1.2831</v>
      </c>
      <c r="F341" s="266">
        <f t="shared" si="1"/>
        <v>0.6146074662</v>
      </c>
      <c r="G341" s="1">
        <v>0.0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0" customHeight="1">
      <c r="A342" s="1" t="s">
        <v>753</v>
      </c>
      <c r="B342" s="1" t="s">
        <v>593</v>
      </c>
      <c r="C342" s="1">
        <v>0.229948</v>
      </c>
      <c r="D342" s="1" t="s">
        <v>2102</v>
      </c>
      <c r="E342" s="266">
        <f>IFERROR(VLOOKUP(B342,'Сырьё'!$C$6:$E$233,3,FALSE()),IFERROR(VLOOKUP(B342,'Полупродукты'!$C$6:$E$60,3,FALSE()),0))</f>
        <v>1.6575</v>
      </c>
      <c r="F342" s="266">
        <f t="shared" si="1"/>
        <v>0.38113881</v>
      </c>
      <c r="G342" s="1">
        <v>0.0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0" customHeight="1">
      <c r="A343" s="1" t="s">
        <v>753</v>
      </c>
      <c r="B343" s="1" t="s">
        <v>585</v>
      </c>
      <c r="C343" s="1">
        <v>0.156251</v>
      </c>
      <c r="D343" s="1" t="s">
        <v>2960</v>
      </c>
      <c r="E343" s="266">
        <f>IFERROR(VLOOKUP(B343,'Сырьё'!$C$6:$E$233,3,FALSE()),IFERROR(VLOOKUP(B343,'Полупродукты'!$C$6:$E$60,3,FALSE()),0))</f>
        <v>6.9052</v>
      </c>
      <c r="F343" s="266">
        <f t="shared" si="1"/>
        <v>1.078944405</v>
      </c>
      <c r="G343" s="1">
        <v>0.0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0" customHeight="1">
      <c r="A344" s="1" t="s">
        <v>753</v>
      </c>
      <c r="B344" s="1" t="s">
        <v>540</v>
      </c>
      <c r="C344" s="1">
        <v>0.1648</v>
      </c>
      <c r="D344" s="1" t="s">
        <v>2104</v>
      </c>
      <c r="E344" s="266">
        <f>IFERROR(VLOOKUP(B344,'Сырьё'!$C$6:$E$233,3,FALSE()),IFERROR(VLOOKUP(B344,'Полупродукты'!$C$6:$E$60,3,FALSE()),0))</f>
        <v>0</v>
      </c>
      <c r="F344" s="266">
        <f t="shared" si="1"/>
        <v>0</v>
      </c>
      <c r="G344" s="1">
        <v>0.0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0" customHeight="1">
      <c r="A345" s="1" t="s">
        <v>403</v>
      </c>
      <c r="B345" s="1" t="s">
        <v>403</v>
      </c>
      <c r="C345" s="1">
        <v>1.0</v>
      </c>
      <c r="D345" s="1" t="s">
        <v>2961</v>
      </c>
      <c r="E345" s="266">
        <f>IFERROR(VLOOKUP(B345,'Сырьё'!$C$6:$E$233,3,FALSE()),IFERROR(VLOOKUP(B345,'Полупродукты'!$C$6:$E$60,3,FALSE()),0))</f>
        <v>0</v>
      </c>
      <c r="F345" s="266">
        <f t="shared" si="1"/>
        <v>0</v>
      </c>
      <c r="G345" s="1">
        <v>1.0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0" customHeight="1">
      <c r="A346" s="1" t="s">
        <v>650</v>
      </c>
      <c r="B346" s="1" t="s">
        <v>579</v>
      </c>
      <c r="C346" s="1">
        <v>0.515</v>
      </c>
      <c r="D346" s="1" t="s">
        <v>1180</v>
      </c>
      <c r="E346" s="266">
        <f>IFERROR(VLOOKUP(B346,'Сырьё'!$C$6:$E$233,3,FALSE()),IFERROR(VLOOKUP(B346,'Полупродукты'!$C$6:$E$60,3,FALSE()),0))</f>
        <v>1.2831</v>
      </c>
      <c r="F346" s="266">
        <f t="shared" si="1"/>
        <v>0.6607965</v>
      </c>
      <c r="G346" s="1">
        <v>0.0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0" customHeight="1">
      <c r="A347" s="1" t="s">
        <v>650</v>
      </c>
      <c r="B347" s="1" t="s">
        <v>594</v>
      </c>
      <c r="C347" s="1">
        <v>0.206</v>
      </c>
      <c r="D347" s="1" t="s">
        <v>1182</v>
      </c>
      <c r="E347" s="266">
        <f>IFERROR(VLOOKUP(B347,'Сырьё'!$C$6:$E$233,3,FALSE()),IFERROR(VLOOKUP(B347,'Полупродукты'!$C$6:$E$60,3,FALSE()),0))</f>
        <v>1.7145</v>
      </c>
      <c r="F347" s="266">
        <f t="shared" si="1"/>
        <v>0.353187</v>
      </c>
      <c r="G347" s="1">
        <v>0.0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0" customHeight="1">
      <c r="A348" s="1" t="s">
        <v>650</v>
      </c>
      <c r="B348" s="1" t="s">
        <v>533</v>
      </c>
      <c r="C348" s="1">
        <v>0.103</v>
      </c>
      <c r="D348" s="1" t="s">
        <v>1184</v>
      </c>
      <c r="E348" s="266">
        <f>IFERROR(VLOOKUP(B348,'Сырьё'!$C$6:$E$233,3,FALSE()),IFERROR(VLOOKUP(B348,'Полупродукты'!$C$6:$E$60,3,FALSE()),0))</f>
        <v>6.305</v>
      </c>
      <c r="F348" s="266">
        <f t="shared" si="1"/>
        <v>0.649415</v>
      </c>
      <c r="G348" s="1">
        <v>0.0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0" customHeight="1">
      <c r="A349" s="1" t="s">
        <v>650</v>
      </c>
      <c r="B349" s="1" t="s">
        <v>546</v>
      </c>
      <c r="C349" s="1">
        <v>0.206</v>
      </c>
      <c r="D349" s="1" t="s">
        <v>1186</v>
      </c>
      <c r="E349" s="266">
        <f>IFERROR(VLOOKUP(B349,'Сырьё'!$C$6:$E$233,3,FALSE()),IFERROR(VLOOKUP(B349,'Полупродукты'!$C$6:$E$60,3,FALSE()),0))</f>
        <v>0</v>
      </c>
      <c r="F349" s="266">
        <f t="shared" si="1"/>
        <v>0</v>
      </c>
      <c r="G349" s="1">
        <v>0.0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0" customHeight="1">
      <c r="A350" s="1" t="s">
        <v>681</v>
      </c>
      <c r="B350" s="1" t="s">
        <v>579</v>
      </c>
      <c r="C350" s="1">
        <v>0.109438</v>
      </c>
      <c r="D350" s="1" t="s">
        <v>2962</v>
      </c>
      <c r="E350" s="266">
        <f>IFERROR(VLOOKUP(B350,'Сырьё'!$C$6:$E$233,3,FALSE()),IFERROR(VLOOKUP(B350,'Полупродукты'!$C$6:$E$60,3,FALSE()),0))</f>
        <v>1.2831</v>
      </c>
      <c r="F350" s="266">
        <f t="shared" si="1"/>
        <v>0.1404198978</v>
      </c>
      <c r="G350" s="1">
        <v>0.0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0" customHeight="1">
      <c r="A351" s="1" t="s">
        <v>681</v>
      </c>
      <c r="B351" s="1" t="s">
        <v>593</v>
      </c>
      <c r="C351" s="1">
        <v>0.135342</v>
      </c>
      <c r="D351" s="1" t="s">
        <v>2963</v>
      </c>
      <c r="E351" s="266">
        <f>IFERROR(VLOOKUP(B351,'Сырьё'!$C$6:$E$233,3,FALSE()),IFERROR(VLOOKUP(B351,'Полупродукты'!$C$6:$E$60,3,FALSE()),0))</f>
        <v>1.6575</v>
      </c>
      <c r="F351" s="266">
        <f t="shared" si="1"/>
        <v>0.224329365</v>
      </c>
      <c r="G351" s="1">
        <v>0.0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0" customHeight="1">
      <c r="A352" s="1" t="s">
        <v>681</v>
      </c>
      <c r="B352" s="1" t="s">
        <v>594</v>
      </c>
      <c r="C352" s="1">
        <v>0.071431</v>
      </c>
      <c r="D352" s="1" t="s">
        <v>2964</v>
      </c>
      <c r="E352" s="266">
        <f>IFERROR(VLOOKUP(B352,'Сырьё'!$C$6:$E$233,3,FALSE()),IFERROR(VLOOKUP(B352,'Полупродукты'!$C$6:$E$60,3,FALSE()),0))</f>
        <v>1.7145</v>
      </c>
      <c r="F352" s="266">
        <f t="shared" si="1"/>
        <v>0.1224684495</v>
      </c>
      <c r="G352" s="1">
        <v>0.0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0" customHeight="1">
      <c r="A353" s="1" t="s">
        <v>681</v>
      </c>
      <c r="B353" s="1" t="s">
        <v>585</v>
      </c>
      <c r="C353" s="1">
        <v>0.105266</v>
      </c>
      <c r="D353" s="1" t="s">
        <v>2965</v>
      </c>
      <c r="E353" s="266">
        <f>IFERROR(VLOOKUP(B353,'Сырьё'!$C$6:$E$233,3,FALSE()),IFERROR(VLOOKUP(B353,'Полупродукты'!$C$6:$E$60,3,FALSE()),0))</f>
        <v>6.9052</v>
      </c>
      <c r="F353" s="266">
        <f t="shared" si="1"/>
        <v>0.7268827832</v>
      </c>
      <c r="G353" s="1">
        <v>0.0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0" customHeight="1">
      <c r="A354" s="1" t="s">
        <v>681</v>
      </c>
      <c r="B354" s="1" t="s">
        <v>577</v>
      </c>
      <c r="C354" s="1">
        <v>0.270684</v>
      </c>
      <c r="D354" s="1" t="s">
        <v>2966</v>
      </c>
      <c r="E354" s="266">
        <f>IFERROR(VLOOKUP(B354,'Сырьё'!$C$6:$E$233,3,FALSE()),IFERROR(VLOOKUP(B354,'Полупродукты'!$C$6:$E$60,3,FALSE()),0))</f>
        <v>2.8015</v>
      </c>
      <c r="F354" s="266">
        <f t="shared" si="1"/>
        <v>0.758321226</v>
      </c>
      <c r="G354" s="1">
        <v>0.0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0" customHeight="1">
      <c r="A355" s="1" t="s">
        <v>681</v>
      </c>
      <c r="B355" s="1" t="s">
        <v>535</v>
      </c>
      <c r="C355" s="1">
        <v>0.067671</v>
      </c>
      <c r="D355" s="1" t="s">
        <v>2967</v>
      </c>
      <c r="E355" s="266">
        <f>IFERROR(VLOOKUP(B355,'Сырьё'!$C$6:$E$233,3,FALSE()),IFERROR(VLOOKUP(B355,'Полупродукты'!$C$6:$E$60,3,FALSE()),0))</f>
        <v>1.3268</v>
      </c>
      <c r="F355" s="266">
        <f t="shared" si="1"/>
        <v>0.0897858828</v>
      </c>
      <c r="G355" s="1">
        <v>0.0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0" customHeight="1">
      <c r="A356" s="1" t="s">
        <v>681</v>
      </c>
      <c r="B356" s="1" t="s">
        <v>591</v>
      </c>
      <c r="C356" s="1">
        <v>0.01545</v>
      </c>
      <c r="D356" s="1" t="s">
        <v>2968</v>
      </c>
      <c r="E356" s="266">
        <f>IFERROR(VLOOKUP(B356,'Сырьё'!$C$6:$E$233,3,FALSE()),IFERROR(VLOOKUP(B356,'Полупродукты'!$C$6:$E$60,3,FALSE()),0))</f>
        <v>1.9734</v>
      </c>
      <c r="F356" s="266">
        <f t="shared" si="1"/>
        <v>0.03048903</v>
      </c>
      <c r="G356" s="1">
        <v>0.0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0" customHeight="1">
      <c r="A357" s="1" t="s">
        <v>681</v>
      </c>
      <c r="B357" s="1" t="s">
        <v>569</v>
      </c>
      <c r="C357" s="1">
        <v>0.0412</v>
      </c>
      <c r="D357" s="1" t="s">
        <v>2490</v>
      </c>
      <c r="E357" s="266">
        <f>IFERROR(VLOOKUP(B357,'Сырьё'!$C$6:$E$233,3,FALSE()),IFERROR(VLOOKUP(B357,'Полупродукты'!$C$6:$E$60,3,FALSE()),0))</f>
        <v>3.2853</v>
      </c>
      <c r="F357" s="266">
        <f t="shared" si="1"/>
        <v>0.13535436</v>
      </c>
      <c r="G357" s="1">
        <v>0.0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0" customHeight="1">
      <c r="A358" s="1" t="s">
        <v>681</v>
      </c>
      <c r="B358" s="1" t="s">
        <v>570</v>
      </c>
      <c r="C358" s="1">
        <v>0.0618</v>
      </c>
      <c r="D358" s="1" t="s">
        <v>2492</v>
      </c>
      <c r="E358" s="266">
        <f>IFERROR(VLOOKUP(B358,'Сырьё'!$C$6:$E$233,3,FALSE()),IFERROR(VLOOKUP(B358,'Полупродукты'!$C$6:$E$60,3,FALSE()),0))</f>
        <v>3.3046</v>
      </c>
      <c r="F358" s="266">
        <f t="shared" si="1"/>
        <v>0.20422428</v>
      </c>
      <c r="G358" s="1">
        <v>0.0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0" customHeight="1">
      <c r="A359" s="1" t="s">
        <v>681</v>
      </c>
      <c r="B359" s="1" t="s">
        <v>571</v>
      </c>
      <c r="C359" s="1">
        <v>0.0103</v>
      </c>
      <c r="D359" s="1" t="s">
        <v>2494</v>
      </c>
      <c r="E359" s="266">
        <f>IFERROR(VLOOKUP(B359,'Сырьё'!$C$6:$E$233,3,FALSE()),IFERROR(VLOOKUP(B359,'Полупродукты'!$C$6:$E$60,3,FALSE()),0))</f>
        <v>14.556</v>
      </c>
      <c r="F359" s="266">
        <f t="shared" si="1"/>
        <v>0.1499268</v>
      </c>
      <c r="G359" s="1">
        <v>0.0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0" customHeight="1">
      <c r="A360" s="1" t="s">
        <v>681</v>
      </c>
      <c r="B360" s="1" t="s">
        <v>532</v>
      </c>
      <c r="C360" s="1">
        <v>0.0103</v>
      </c>
      <c r="D360" s="1" t="s">
        <v>2496</v>
      </c>
      <c r="E360" s="266">
        <f>IFERROR(VLOOKUP(B360,'Сырьё'!$C$6:$E$233,3,FALSE()),IFERROR(VLOOKUP(B360,'Полупродукты'!$C$6:$E$60,3,FALSE()),0))</f>
        <v>2.337</v>
      </c>
      <c r="F360" s="266">
        <f t="shared" si="1"/>
        <v>0.0240711</v>
      </c>
      <c r="G360" s="1">
        <v>0.0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0" customHeight="1">
      <c r="A361" s="1" t="s">
        <v>681</v>
      </c>
      <c r="B361" s="1" t="s">
        <v>582</v>
      </c>
      <c r="C361" s="1">
        <v>0.1236</v>
      </c>
      <c r="D361" s="1" t="s">
        <v>2498</v>
      </c>
      <c r="E361" s="266">
        <f>IFERROR(VLOOKUP(B361,'Сырьё'!$C$6:$E$233,3,FALSE()),IFERROR(VLOOKUP(B361,'Полупродукты'!$C$6:$E$60,3,FALSE()),0))</f>
        <v>1.8685</v>
      </c>
      <c r="F361" s="266">
        <f t="shared" si="1"/>
        <v>0.2309466</v>
      </c>
      <c r="G361" s="1">
        <v>0.0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0" customHeight="1">
      <c r="A362" s="1" t="s">
        <v>681</v>
      </c>
      <c r="B362" s="1" t="s">
        <v>522</v>
      </c>
      <c r="C362" s="1">
        <v>0.04126</v>
      </c>
      <c r="D362" s="1" t="s">
        <v>2696</v>
      </c>
      <c r="E362" s="266">
        <f>IFERROR(VLOOKUP(B362,'Сырьё'!$C$6:$E$233,3,FALSE()),IFERROR(VLOOKUP(B362,'Полупродукты'!$C$6:$E$60,3,FALSE()),0))</f>
        <v>3.7834</v>
      </c>
      <c r="F362" s="266">
        <f t="shared" si="1"/>
        <v>0.156103084</v>
      </c>
      <c r="G362" s="1">
        <v>0.0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0" customHeight="1">
      <c r="A363" s="1" t="s">
        <v>437</v>
      </c>
      <c r="B363" s="1" t="s">
        <v>437</v>
      </c>
      <c r="C363" s="1">
        <v>1.0</v>
      </c>
      <c r="D363" s="1" t="s">
        <v>2969</v>
      </c>
      <c r="E363" s="266">
        <f>IFERROR(VLOOKUP(B363,'Сырьё'!$C$6:$E$233,3,FALSE()),IFERROR(VLOOKUP(B363,'Полупродукты'!$C$6:$E$60,3,FALSE()),0))</f>
        <v>9.5985</v>
      </c>
      <c r="F363" s="266">
        <f t="shared" si="1"/>
        <v>9.5985</v>
      </c>
      <c r="G363" s="1">
        <v>1.0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0" customHeight="1">
      <c r="A364" s="1" t="s">
        <v>395</v>
      </c>
      <c r="B364" s="1" t="s">
        <v>395</v>
      </c>
      <c r="C364" s="1">
        <v>1.0</v>
      </c>
      <c r="D364" s="1" t="s">
        <v>2970</v>
      </c>
      <c r="E364" s="266">
        <f>IFERROR(VLOOKUP(B364,'Сырьё'!$C$6:$E$233,3,FALSE()),IFERROR(VLOOKUP(B364,'Полупродукты'!$C$6:$E$60,3,FALSE()),0))</f>
        <v>3.4656</v>
      </c>
      <c r="F364" s="266">
        <f t="shared" si="1"/>
        <v>3.4656</v>
      </c>
      <c r="G364" s="1">
        <v>1.0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0" customHeight="1">
      <c r="A365" s="1" t="s">
        <v>773</v>
      </c>
      <c r="B365" s="1" t="s">
        <v>579</v>
      </c>
      <c r="C365" s="1">
        <v>0.515</v>
      </c>
      <c r="D365" s="1" t="s">
        <v>1914</v>
      </c>
      <c r="E365" s="266">
        <f>IFERROR(VLOOKUP(B365,'Сырьё'!$C$6:$E$233,3,FALSE()),IFERROR(VLOOKUP(B365,'Полупродукты'!$C$6:$E$60,3,FALSE()),0))</f>
        <v>1.2831</v>
      </c>
      <c r="F365" s="266">
        <f t="shared" si="1"/>
        <v>0.6607965</v>
      </c>
      <c r="G365" s="1">
        <v>0.0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0" customHeight="1">
      <c r="A366" s="1" t="s">
        <v>773</v>
      </c>
      <c r="B366" s="1" t="s">
        <v>593</v>
      </c>
      <c r="C366" s="1">
        <v>0.1751</v>
      </c>
      <c r="D366" s="1" t="s">
        <v>1916</v>
      </c>
      <c r="E366" s="266">
        <f>IFERROR(VLOOKUP(B366,'Сырьё'!$C$6:$E$233,3,FALSE()),IFERROR(VLOOKUP(B366,'Полупродукты'!$C$6:$E$60,3,FALSE()),0))</f>
        <v>1.6575</v>
      </c>
      <c r="F366" s="266">
        <f t="shared" si="1"/>
        <v>0.29022825</v>
      </c>
      <c r="G366" s="1">
        <v>0.0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0" customHeight="1">
      <c r="A367" s="1" t="s">
        <v>773</v>
      </c>
      <c r="B367" s="1" t="s">
        <v>537</v>
      </c>
      <c r="C367" s="1">
        <v>0.01648</v>
      </c>
      <c r="D367" s="1" t="s">
        <v>1918</v>
      </c>
      <c r="E367" s="266">
        <f>IFERROR(VLOOKUP(B367,'Сырьё'!$C$6:$E$233,3,FALSE()),IFERROR(VLOOKUP(B367,'Полупродукты'!$C$6:$E$60,3,FALSE()),0))</f>
        <v>8.8284</v>
      </c>
      <c r="F367" s="266">
        <f t="shared" si="1"/>
        <v>0.145492032</v>
      </c>
      <c r="G367" s="1">
        <v>0.0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0" customHeight="1">
      <c r="A368" s="1" t="s">
        <v>773</v>
      </c>
      <c r="B368" s="1" t="s">
        <v>543</v>
      </c>
      <c r="C368" s="1">
        <v>0.00412</v>
      </c>
      <c r="D368" s="1" t="s">
        <v>1920</v>
      </c>
      <c r="E368" s="266">
        <f>IFERROR(VLOOKUP(B368,'Сырьё'!$C$6:$E$233,3,FALSE()),IFERROR(VLOOKUP(B368,'Полупродукты'!$C$6:$E$60,3,FALSE()),0))</f>
        <v>80.7112</v>
      </c>
      <c r="F368" s="266">
        <f t="shared" si="1"/>
        <v>0.332530144</v>
      </c>
      <c r="G368" s="1">
        <v>0.0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0" customHeight="1">
      <c r="A369" s="1" t="s">
        <v>773</v>
      </c>
      <c r="B369" s="1" t="s">
        <v>585</v>
      </c>
      <c r="C369" s="1">
        <v>0.1339</v>
      </c>
      <c r="D369" s="1" t="s">
        <v>1922</v>
      </c>
      <c r="E369" s="266">
        <f>IFERROR(VLOOKUP(B369,'Сырьё'!$C$6:$E$233,3,FALSE()),IFERROR(VLOOKUP(B369,'Полупродукты'!$C$6:$E$60,3,FALSE()),0))</f>
        <v>6.9052</v>
      </c>
      <c r="F369" s="266">
        <f t="shared" si="1"/>
        <v>0.92460628</v>
      </c>
      <c r="G369" s="1">
        <v>0.0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0" customHeight="1">
      <c r="A370" s="1" t="s">
        <v>773</v>
      </c>
      <c r="B370" s="1" t="s">
        <v>557</v>
      </c>
      <c r="C370" s="1">
        <v>0.1854</v>
      </c>
      <c r="D370" s="1" t="s">
        <v>1924</v>
      </c>
      <c r="E370" s="266">
        <f>IFERROR(VLOOKUP(B370,'Сырьё'!$C$6:$E$233,3,FALSE()),IFERROR(VLOOKUP(B370,'Полупродукты'!$C$6:$E$60,3,FALSE()),0))</f>
        <v>12.0149</v>
      </c>
      <c r="F370" s="266">
        <f t="shared" si="1"/>
        <v>2.22756246</v>
      </c>
      <c r="G370" s="1">
        <v>0.0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0" customHeight="1">
      <c r="A371" s="1" t="s">
        <v>715</v>
      </c>
      <c r="B371" s="1" t="s">
        <v>594</v>
      </c>
      <c r="C371" s="1">
        <v>0.064375</v>
      </c>
      <c r="D371" s="1" t="s">
        <v>1348</v>
      </c>
      <c r="E371" s="266">
        <f>IFERROR(VLOOKUP(B371,'Сырьё'!$C$6:$E$233,3,FALSE()),IFERROR(VLOOKUP(B371,'Полупродукты'!$C$6:$E$60,3,FALSE()),0))</f>
        <v>1.7145</v>
      </c>
      <c r="F371" s="266">
        <f t="shared" si="1"/>
        <v>0.1103709375</v>
      </c>
      <c r="G371" s="1">
        <v>0.0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0" customHeight="1">
      <c r="A372" s="1" t="s">
        <v>715</v>
      </c>
      <c r="B372" s="1" t="s">
        <v>593</v>
      </c>
      <c r="C372" s="1">
        <v>0.126175</v>
      </c>
      <c r="D372" s="1" t="s">
        <v>1350</v>
      </c>
      <c r="E372" s="266">
        <f>IFERROR(VLOOKUP(B372,'Сырьё'!$C$6:$E$233,3,FALSE()),IFERROR(VLOOKUP(B372,'Полупродукты'!$C$6:$E$60,3,FALSE()),0))</f>
        <v>1.6575</v>
      </c>
      <c r="F372" s="266">
        <f t="shared" si="1"/>
        <v>0.2091350625</v>
      </c>
      <c r="G372" s="1">
        <v>0.0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0" customHeight="1">
      <c r="A373" s="1" t="s">
        <v>715</v>
      </c>
      <c r="B373" s="1" t="s">
        <v>403</v>
      </c>
      <c r="C373" s="1">
        <v>0.1957</v>
      </c>
      <c r="D373" s="1" t="s">
        <v>1352</v>
      </c>
      <c r="E373" s="266">
        <f>IFERROR(VLOOKUP(B373,'Сырьё'!$C$6:$E$233,3,FALSE()),IFERROR(VLOOKUP(B373,'Полупродукты'!$C$6:$E$60,3,FALSE()),0))</f>
        <v>0</v>
      </c>
      <c r="F373" s="266">
        <f t="shared" si="1"/>
        <v>0</v>
      </c>
      <c r="G373" s="1">
        <v>1.0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0" customHeight="1">
      <c r="A374" s="1" t="s">
        <v>715</v>
      </c>
      <c r="B374" s="1" t="s">
        <v>558</v>
      </c>
      <c r="C374" s="1">
        <v>0.64375</v>
      </c>
      <c r="D374" s="1" t="s">
        <v>1354</v>
      </c>
      <c r="E374" s="266">
        <f>IFERROR(VLOOKUP(B374,'Сырьё'!$C$6:$E$233,3,FALSE()),IFERROR(VLOOKUP(B374,'Полупродукты'!$C$6:$E$60,3,FALSE()),0))</f>
        <v>2.53</v>
      </c>
      <c r="F374" s="266">
        <f t="shared" si="1"/>
        <v>1.6286875</v>
      </c>
      <c r="G374" s="1">
        <v>0.0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0" customHeight="1">
      <c r="A375" s="1" t="s">
        <v>737</v>
      </c>
      <c r="B375" s="1" t="s">
        <v>549</v>
      </c>
      <c r="C375" s="1">
        <v>0.090125</v>
      </c>
      <c r="D375" s="1" t="s">
        <v>2971</v>
      </c>
      <c r="E375" s="266">
        <f>IFERROR(VLOOKUP(B375,'Сырьё'!$C$6:$E$233,3,FALSE()),IFERROR(VLOOKUP(B375,'Полупродукты'!$C$6:$E$60,3,FALSE()),0))</f>
        <v>6.519</v>
      </c>
      <c r="F375" s="266">
        <f t="shared" si="1"/>
        <v>0.587524875</v>
      </c>
      <c r="G375" s="1">
        <v>0.0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0" customHeight="1">
      <c r="A376" s="1" t="s">
        <v>737</v>
      </c>
      <c r="B376" s="1" t="s">
        <v>579</v>
      </c>
      <c r="C376" s="1">
        <v>0.332175</v>
      </c>
      <c r="D376" s="1" t="s">
        <v>1660</v>
      </c>
      <c r="E376" s="266">
        <f>IFERROR(VLOOKUP(B376,'Сырьё'!$C$6:$E$233,3,FALSE()),IFERROR(VLOOKUP(B376,'Полупродукты'!$C$6:$E$60,3,FALSE()),0))</f>
        <v>1.2831</v>
      </c>
      <c r="F376" s="266">
        <f t="shared" si="1"/>
        <v>0.4262137425</v>
      </c>
      <c r="G376" s="1">
        <v>0.0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0" customHeight="1">
      <c r="A377" s="1" t="s">
        <v>737</v>
      </c>
      <c r="B377" s="1" t="s">
        <v>594</v>
      </c>
      <c r="C377" s="1">
        <v>0.296125</v>
      </c>
      <c r="D377" s="1" t="s">
        <v>1658</v>
      </c>
      <c r="E377" s="266">
        <f>IFERROR(VLOOKUP(B377,'Сырьё'!$C$6:$E$233,3,FALSE()),IFERROR(VLOOKUP(B377,'Полупродукты'!$C$6:$E$60,3,FALSE()),0))</f>
        <v>1.7145</v>
      </c>
      <c r="F377" s="266">
        <f t="shared" si="1"/>
        <v>0.5077063125</v>
      </c>
      <c r="G377" s="1">
        <v>0.0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0" customHeight="1">
      <c r="A378" s="1" t="s">
        <v>737</v>
      </c>
      <c r="B378" s="1" t="s">
        <v>537</v>
      </c>
      <c r="C378" s="1">
        <v>0.022531</v>
      </c>
      <c r="D378" s="1" t="s">
        <v>2972</v>
      </c>
      <c r="E378" s="266">
        <f>IFERROR(VLOOKUP(B378,'Сырьё'!$C$6:$E$233,3,FALSE()),IFERROR(VLOOKUP(B378,'Полупродукты'!$C$6:$E$60,3,FALSE()),0))</f>
        <v>8.8284</v>
      </c>
      <c r="F378" s="266">
        <f t="shared" si="1"/>
        <v>0.1989126804</v>
      </c>
      <c r="G378" s="1">
        <v>0.0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0" customHeight="1">
      <c r="A379" s="1" t="s">
        <v>737</v>
      </c>
      <c r="B379" s="1" t="s">
        <v>543</v>
      </c>
      <c r="C379" s="1">
        <v>0.004506</v>
      </c>
      <c r="D379" s="1" t="s">
        <v>2973</v>
      </c>
      <c r="E379" s="266">
        <f>IFERROR(VLOOKUP(B379,'Сырьё'!$C$6:$E$233,3,FALSE()),IFERROR(VLOOKUP(B379,'Полупродукты'!$C$6:$E$60,3,FALSE()),0))</f>
        <v>80.7112</v>
      </c>
      <c r="F379" s="266">
        <f t="shared" si="1"/>
        <v>0.3636846672</v>
      </c>
      <c r="G379" s="1">
        <v>0.0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0" customHeight="1">
      <c r="A380" s="1" t="s">
        <v>737</v>
      </c>
      <c r="B380" s="1" t="s">
        <v>568</v>
      </c>
      <c r="C380" s="1">
        <v>0.207288</v>
      </c>
      <c r="D380" s="1" t="s">
        <v>2974</v>
      </c>
      <c r="E380" s="266">
        <f>IFERROR(VLOOKUP(B380,'Сырьё'!$C$6:$E$233,3,FALSE()),IFERROR(VLOOKUP(B380,'Полупродукты'!$C$6:$E$60,3,FALSE()),0))</f>
        <v>5.1326</v>
      </c>
      <c r="F380" s="266">
        <f t="shared" si="1"/>
        <v>1.063926389</v>
      </c>
      <c r="G380" s="1">
        <v>0.0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0" customHeight="1">
      <c r="A381" s="1" t="s">
        <v>737</v>
      </c>
      <c r="B381" s="1" t="s">
        <v>593</v>
      </c>
      <c r="C381" s="1">
        <v>0.07725</v>
      </c>
      <c r="D381" s="1" t="s">
        <v>1662</v>
      </c>
      <c r="E381" s="266">
        <f>IFERROR(VLOOKUP(B381,'Сырьё'!$C$6:$E$233,3,FALSE()),IFERROR(VLOOKUP(B381,'Полупродукты'!$C$6:$E$60,3,FALSE()),0))</f>
        <v>1.6575</v>
      </c>
      <c r="F381" s="266">
        <f t="shared" si="1"/>
        <v>0.128041875</v>
      </c>
      <c r="G381" s="1">
        <v>0.0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0" customHeight="1">
      <c r="A382" s="1" t="s">
        <v>737</v>
      </c>
      <c r="B382" s="1" t="s">
        <v>520</v>
      </c>
      <c r="C382" s="1">
        <v>7.11E-4</v>
      </c>
      <c r="D382" s="1" t="s">
        <v>1664</v>
      </c>
      <c r="E382" s="266">
        <f>IFERROR(VLOOKUP(B382,'Сырьё'!$C$6:$E$233,3,FALSE()),IFERROR(VLOOKUP(B382,'Полупродукты'!$C$6:$E$60,3,FALSE()),0))</f>
        <v>30.1527</v>
      </c>
      <c r="F382" s="266">
        <f t="shared" si="1"/>
        <v>0.0214385697</v>
      </c>
      <c r="G382" s="1">
        <v>0.0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0" customHeight="1">
      <c r="A383" s="1" t="s">
        <v>737</v>
      </c>
      <c r="B383" s="1" t="s">
        <v>522</v>
      </c>
      <c r="C383" s="1">
        <v>0.057282</v>
      </c>
      <c r="D383" s="1" t="s">
        <v>1666</v>
      </c>
      <c r="E383" s="266">
        <f>IFERROR(VLOOKUP(B383,'Сырьё'!$C$6:$E$233,3,FALSE()),IFERROR(VLOOKUP(B383,'Полупродукты'!$C$6:$E$60,3,FALSE()),0))</f>
        <v>3.7834</v>
      </c>
      <c r="F383" s="266">
        <f t="shared" si="1"/>
        <v>0.2167207188</v>
      </c>
      <c r="G383" s="1">
        <v>0.0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0" customHeight="1">
      <c r="A384" s="1" t="s">
        <v>777</v>
      </c>
      <c r="B384" s="1" t="s">
        <v>593</v>
      </c>
      <c r="C384" s="1">
        <v>0.0515</v>
      </c>
      <c r="D384" s="1" t="s">
        <v>1902</v>
      </c>
      <c r="E384" s="266">
        <f>IFERROR(VLOOKUP(B384,'Сырьё'!$C$6:$E$233,3,FALSE()),IFERROR(VLOOKUP(B384,'Полупродукты'!$C$6:$E$60,3,FALSE()),0))</f>
        <v>1.6575</v>
      </c>
      <c r="F384" s="266">
        <f t="shared" si="1"/>
        <v>0.08536125</v>
      </c>
      <c r="G384" s="1">
        <v>0.0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0" customHeight="1">
      <c r="A385" s="1" t="s">
        <v>777</v>
      </c>
      <c r="B385" s="1" t="s">
        <v>579</v>
      </c>
      <c r="C385" s="1">
        <v>0.3399</v>
      </c>
      <c r="D385" s="1" t="s">
        <v>1904</v>
      </c>
      <c r="E385" s="266">
        <f>IFERROR(VLOOKUP(B385,'Сырьё'!$C$6:$E$233,3,FALSE()),IFERROR(VLOOKUP(B385,'Полупродукты'!$C$6:$E$60,3,FALSE()),0))</f>
        <v>1.2831</v>
      </c>
      <c r="F385" s="266">
        <f t="shared" si="1"/>
        <v>0.43612569</v>
      </c>
      <c r="G385" s="1">
        <v>0.0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0" customHeight="1">
      <c r="A386" s="1" t="s">
        <v>777</v>
      </c>
      <c r="B386" s="1" t="s">
        <v>594</v>
      </c>
      <c r="C386" s="1">
        <v>0.2575</v>
      </c>
      <c r="D386" s="1" t="s">
        <v>1906</v>
      </c>
      <c r="E386" s="266">
        <f>IFERROR(VLOOKUP(B386,'Сырьё'!$C$6:$E$233,3,FALSE()),IFERROR(VLOOKUP(B386,'Полупродукты'!$C$6:$E$60,3,FALSE()),0))</f>
        <v>1.7145</v>
      </c>
      <c r="F386" s="266">
        <f t="shared" si="1"/>
        <v>0.44148375</v>
      </c>
      <c r="G386" s="1">
        <v>0.0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0" customHeight="1">
      <c r="A387" s="1" t="s">
        <v>777</v>
      </c>
      <c r="B387" s="1" t="s">
        <v>549</v>
      </c>
      <c r="C387" s="1">
        <v>0.103</v>
      </c>
      <c r="D387" s="1" t="s">
        <v>1908</v>
      </c>
      <c r="E387" s="266">
        <f>IFERROR(VLOOKUP(B387,'Сырьё'!$C$6:$E$233,3,FALSE()),IFERROR(VLOOKUP(B387,'Полупродукты'!$C$6:$E$60,3,FALSE()),0))</f>
        <v>6.519</v>
      </c>
      <c r="F387" s="266">
        <f t="shared" si="1"/>
        <v>0.671457</v>
      </c>
      <c r="G387" s="1">
        <v>0.0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0" customHeight="1">
      <c r="A388" s="1" t="s">
        <v>777</v>
      </c>
      <c r="B388" s="1" t="s">
        <v>537</v>
      </c>
      <c r="C388" s="1">
        <v>0.0206</v>
      </c>
      <c r="D388" s="1" t="s">
        <v>1910</v>
      </c>
      <c r="E388" s="266">
        <f>IFERROR(VLOOKUP(B388,'Сырьё'!$C$6:$E$233,3,FALSE()),IFERROR(VLOOKUP(B388,'Полупродукты'!$C$6:$E$60,3,FALSE()),0))</f>
        <v>8.8284</v>
      </c>
      <c r="F388" s="266">
        <f t="shared" si="1"/>
        <v>0.18186504</v>
      </c>
      <c r="G388" s="1">
        <v>0.0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0" customHeight="1">
      <c r="A389" s="1" t="s">
        <v>777</v>
      </c>
      <c r="B389" s="1" t="s">
        <v>564</v>
      </c>
      <c r="C389" s="1">
        <v>0.2575</v>
      </c>
      <c r="D389" s="1" t="s">
        <v>1912</v>
      </c>
      <c r="E389" s="266">
        <f>IFERROR(VLOOKUP(B389,'Сырьё'!$C$6:$E$233,3,FALSE()),IFERROR(VLOOKUP(B389,'Полупродукты'!$C$6:$E$60,3,FALSE()),0))</f>
        <v>6.2082</v>
      </c>
      <c r="F389" s="266">
        <f t="shared" si="1"/>
        <v>1.5986115</v>
      </c>
      <c r="G389" s="1">
        <v>0.0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0" customHeight="1">
      <c r="A390" s="1" t="s">
        <v>638</v>
      </c>
      <c r="B390" s="1" t="s">
        <v>579</v>
      </c>
      <c r="C390" s="1">
        <v>0.15141</v>
      </c>
      <c r="D390" s="1" t="s">
        <v>2975</v>
      </c>
      <c r="E390" s="266">
        <f>IFERROR(VLOOKUP(B390,'Сырьё'!$C$6:$E$233,3,FALSE()),IFERROR(VLOOKUP(B390,'Полупродукты'!$C$6:$E$60,3,FALSE()),0))</f>
        <v>1.2831</v>
      </c>
      <c r="F390" s="266">
        <f t="shared" si="1"/>
        <v>0.194274171</v>
      </c>
      <c r="G390" s="1">
        <v>0.0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0" customHeight="1">
      <c r="A391" s="1" t="s">
        <v>638</v>
      </c>
      <c r="B391" s="1" t="s">
        <v>594</v>
      </c>
      <c r="C391" s="1">
        <v>0.18025</v>
      </c>
      <c r="D391" s="1" t="s">
        <v>2976</v>
      </c>
      <c r="E391" s="266">
        <f>IFERROR(VLOOKUP(B391,'Сырьё'!$C$6:$E$233,3,FALSE()),IFERROR(VLOOKUP(B391,'Полупродукты'!$C$6:$E$60,3,FALSE()),0))</f>
        <v>1.7145</v>
      </c>
      <c r="F391" s="266">
        <f t="shared" si="1"/>
        <v>0.309038625</v>
      </c>
      <c r="G391" s="1">
        <v>0.0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0" customHeight="1">
      <c r="A392" s="1" t="s">
        <v>638</v>
      </c>
      <c r="B392" s="1" t="s">
        <v>593</v>
      </c>
      <c r="C392" s="1">
        <v>0.10815</v>
      </c>
      <c r="D392" s="1" t="s">
        <v>2977</v>
      </c>
      <c r="E392" s="266">
        <f>IFERROR(VLOOKUP(B392,'Сырьё'!$C$6:$E$233,3,FALSE()),IFERROR(VLOOKUP(B392,'Полупродукты'!$C$6:$E$60,3,FALSE()),0))</f>
        <v>1.6575</v>
      </c>
      <c r="F392" s="266">
        <f t="shared" si="1"/>
        <v>0.179258625</v>
      </c>
      <c r="G392" s="1">
        <v>0.0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0" customHeight="1">
      <c r="A393" s="1" t="s">
        <v>638</v>
      </c>
      <c r="B393" s="1" t="s">
        <v>549</v>
      </c>
      <c r="C393" s="1">
        <v>0.10815</v>
      </c>
      <c r="D393" s="1" t="s">
        <v>2978</v>
      </c>
      <c r="E393" s="266">
        <f>IFERROR(VLOOKUP(B393,'Сырьё'!$C$6:$E$233,3,FALSE()),IFERROR(VLOOKUP(B393,'Полупродукты'!$C$6:$E$60,3,FALSE()),0))</f>
        <v>6.519</v>
      </c>
      <c r="F393" s="266">
        <f t="shared" si="1"/>
        <v>0.70502985</v>
      </c>
      <c r="G393" s="1">
        <v>0.0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0" customHeight="1">
      <c r="A394" s="1" t="s">
        <v>638</v>
      </c>
      <c r="B394" s="1" t="s">
        <v>542</v>
      </c>
      <c r="C394" s="1">
        <v>0.025235</v>
      </c>
      <c r="D394" s="1" t="s">
        <v>2979</v>
      </c>
      <c r="E394" s="266">
        <f>IFERROR(VLOOKUP(B394,'Сырьё'!$C$6:$E$233,3,FALSE()),IFERROR(VLOOKUP(B394,'Полупродукты'!$C$6:$E$60,3,FALSE()),0))</f>
        <v>16.0534</v>
      </c>
      <c r="F394" s="266">
        <f t="shared" si="1"/>
        <v>0.405107549</v>
      </c>
      <c r="G394" s="1">
        <v>0.0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0" customHeight="1">
      <c r="A395" s="1" t="s">
        <v>638</v>
      </c>
      <c r="B395" s="1" t="s">
        <v>541</v>
      </c>
      <c r="C395" s="1">
        <v>0.003605</v>
      </c>
      <c r="D395" s="1" t="s">
        <v>2980</v>
      </c>
      <c r="E395" s="266">
        <f>IFERROR(VLOOKUP(B395,'Сырьё'!$C$6:$E$233,3,FALSE()),IFERROR(VLOOKUP(B395,'Полупродукты'!$C$6:$E$60,3,FALSE()),0))</f>
        <v>78.7704</v>
      </c>
      <c r="F395" s="266">
        <f t="shared" si="1"/>
        <v>0.283967292</v>
      </c>
      <c r="G395" s="1">
        <v>0.0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0" customHeight="1">
      <c r="A396" s="1" t="s">
        <v>638</v>
      </c>
      <c r="B396" s="1" t="s">
        <v>553</v>
      </c>
      <c r="C396" s="1">
        <v>0.1442</v>
      </c>
      <c r="D396" s="1" t="s">
        <v>2981</v>
      </c>
      <c r="E396" s="266">
        <f>IFERROR(VLOOKUP(B396,'Сырьё'!$C$6:$E$233,3,FALSE()),IFERROR(VLOOKUP(B396,'Полупродукты'!$C$6:$E$60,3,FALSE()),0))</f>
        <v>3.5357</v>
      </c>
      <c r="F396" s="266">
        <f t="shared" si="1"/>
        <v>0.50984794</v>
      </c>
      <c r="G396" s="1">
        <v>0.0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0" customHeight="1">
      <c r="A397" s="1" t="s">
        <v>638</v>
      </c>
      <c r="B397" s="1" t="s">
        <v>520</v>
      </c>
      <c r="C397" s="1">
        <v>6.19E-4</v>
      </c>
      <c r="D397" s="1" t="s">
        <v>2982</v>
      </c>
      <c r="E397" s="266">
        <f>IFERROR(VLOOKUP(B397,'Сырьё'!$C$6:$E$233,3,FALSE()),IFERROR(VLOOKUP(B397,'Полупродукты'!$C$6:$E$60,3,FALSE()),0))</f>
        <v>30.1527</v>
      </c>
      <c r="F397" s="266">
        <f t="shared" si="1"/>
        <v>0.0186645213</v>
      </c>
      <c r="G397" s="1">
        <v>0.0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0" customHeight="1">
      <c r="A398" s="1" t="s">
        <v>638</v>
      </c>
      <c r="B398" s="1" t="s">
        <v>402</v>
      </c>
      <c r="C398" s="1">
        <v>0.309</v>
      </c>
      <c r="D398" s="1" t="s">
        <v>1248</v>
      </c>
      <c r="E398" s="266">
        <f>IFERROR(VLOOKUP(B398,'Сырьё'!$C$6:$E$233,3,FALSE()),IFERROR(VLOOKUP(B398,'Полупродукты'!$C$6:$E$60,3,FALSE()),0))</f>
        <v>0</v>
      </c>
      <c r="F398" s="266">
        <f t="shared" si="1"/>
        <v>0</v>
      </c>
      <c r="G398" s="1">
        <v>1.0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0" customHeight="1">
      <c r="A399" s="1" t="s">
        <v>659</v>
      </c>
      <c r="B399" s="1" t="s">
        <v>570</v>
      </c>
      <c r="C399" s="1">
        <v>0.464118</v>
      </c>
      <c r="D399" s="1" t="s">
        <v>2128</v>
      </c>
      <c r="E399" s="266">
        <f>IFERROR(VLOOKUP(B399,'Сырьё'!$C$6:$E$233,3,FALSE()),IFERROR(VLOOKUP(B399,'Полупродукты'!$C$6:$E$60,3,FALSE()),0))</f>
        <v>3.3046</v>
      </c>
      <c r="F399" s="266">
        <f t="shared" si="1"/>
        <v>1.533724343</v>
      </c>
      <c r="G399" s="1">
        <v>0.0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0" customHeight="1">
      <c r="A400" s="1" t="s">
        <v>659</v>
      </c>
      <c r="B400" s="1" t="s">
        <v>594</v>
      </c>
      <c r="C400" s="1">
        <v>0.333514</v>
      </c>
      <c r="D400" s="1" t="s">
        <v>2126</v>
      </c>
      <c r="E400" s="266">
        <f>IFERROR(VLOOKUP(B400,'Сырьё'!$C$6:$E$233,3,FALSE()),IFERROR(VLOOKUP(B400,'Полупродукты'!$C$6:$E$60,3,FALSE()),0))</f>
        <v>1.7145</v>
      </c>
      <c r="F400" s="266">
        <f t="shared" si="1"/>
        <v>0.571809753</v>
      </c>
      <c r="G400" s="1">
        <v>0.0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0" customHeight="1">
      <c r="A401" s="1" t="s">
        <v>659</v>
      </c>
      <c r="B401" s="1" t="s">
        <v>579</v>
      </c>
      <c r="C401" s="1">
        <v>0.105936</v>
      </c>
      <c r="D401" s="1" t="s">
        <v>2983</v>
      </c>
      <c r="E401" s="266">
        <f>IFERROR(VLOOKUP(B401,'Сырьё'!$C$6:$E$233,3,FALSE()),IFERROR(VLOOKUP(B401,'Полупродукты'!$C$6:$E$60,3,FALSE()),0))</f>
        <v>1.2831</v>
      </c>
      <c r="F401" s="266">
        <f t="shared" si="1"/>
        <v>0.1359264816</v>
      </c>
      <c r="G401" s="1">
        <v>0.0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0" customHeight="1">
      <c r="A402" s="1" t="s">
        <v>659</v>
      </c>
      <c r="B402" s="1" t="s">
        <v>591</v>
      </c>
      <c r="C402" s="1">
        <v>0.105936</v>
      </c>
      <c r="D402" s="1" t="s">
        <v>2984</v>
      </c>
      <c r="E402" s="266">
        <f>IFERROR(VLOOKUP(B402,'Сырьё'!$C$6:$E$233,3,FALSE()),IFERROR(VLOOKUP(B402,'Полупродукты'!$C$6:$E$60,3,FALSE()),0))</f>
        <v>1.9734</v>
      </c>
      <c r="F402" s="266">
        <f t="shared" si="1"/>
        <v>0.2090541024</v>
      </c>
      <c r="G402" s="1">
        <v>0.0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0" customHeight="1">
      <c r="A403" s="1" t="s">
        <v>659</v>
      </c>
      <c r="B403" s="1" t="s">
        <v>532</v>
      </c>
      <c r="C403" s="1">
        <v>0.036874</v>
      </c>
      <c r="D403" s="1" t="s">
        <v>2132</v>
      </c>
      <c r="E403" s="266">
        <f>IFERROR(VLOOKUP(B403,'Сырьё'!$C$6:$E$233,3,FALSE()),IFERROR(VLOOKUP(B403,'Полупродукты'!$C$6:$E$60,3,FALSE()),0))</f>
        <v>2.337</v>
      </c>
      <c r="F403" s="266">
        <f t="shared" si="1"/>
        <v>0.086174538</v>
      </c>
      <c r="G403" s="1">
        <v>0.0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0" customHeight="1">
      <c r="A404" s="1" t="s">
        <v>759</v>
      </c>
      <c r="B404" s="1" t="s">
        <v>594</v>
      </c>
      <c r="C404" s="1">
        <v>0.8034</v>
      </c>
      <c r="D404" s="1" t="s">
        <v>2160</v>
      </c>
      <c r="E404" s="266">
        <f>IFERROR(VLOOKUP(B404,'Сырьё'!$C$6:$E$233,3,FALSE()),IFERROR(VLOOKUP(B404,'Полупродукты'!$C$6:$E$60,3,FALSE()),0))</f>
        <v>1.7145</v>
      </c>
      <c r="F404" s="266">
        <f t="shared" si="1"/>
        <v>1.3774293</v>
      </c>
      <c r="G404" s="1">
        <v>0.0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0" customHeight="1">
      <c r="A405" s="1" t="s">
        <v>759</v>
      </c>
      <c r="B405" s="1" t="s">
        <v>585</v>
      </c>
      <c r="C405" s="1">
        <v>0.2266</v>
      </c>
      <c r="D405" s="1" t="s">
        <v>2162</v>
      </c>
      <c r="E405" s="266">
        <f>IFERROR(VLOOKUP(B405,'Сырьё'!$C$6:$E$233,3,FALSE()),IFERROR(VLOOKUP(B405,'Полупродукты'!$C$6:$E$60,3,FALSE()),0))</f>
        <v>6.9052</v>
      </c>
      <c r="F405" s="266">
        <f t="shared" si="1"/>
        <v>1.56471832</v>
      </c>
      <c r="G405" s="1">
        <v>0.0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0" customHeight="1">
      <c r="A406" s="1" t="s">
        <v>651</v>
      </c>
      <c r="B406" s="1" t="s">
        <v>586</v>
      </c>
      <c r="C406" s="1">
        <v>0.069128</v>
      </c>
      <c r="D406" s="1" t="s">
        <v>2985</v>
      </c>
      <c r="E406" s="266">
        <f>IFERROR(VLOOKUP(B406,'Сырьё'!$C$6:$E$233,3,FALSE()),IFERROR(VLOOKUP(B406,'Полупродукты'!$C$6:$E$60,3,FALSE()),0))</f>
        <v>53.4751</v>
      </c>
      <c r="F406" s="266">
        <f t="shared" si="1"/>
        <v>3.696626713</v>
      </c>
      <c r="G406" s="1">
        <v>0.0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0" customHeight="1">
      <c r="A407" s="1" t="s">
        <v>651</v>
      </c>
      <c r="B407" s="1" t="s">
        <v>550</v>
      </c>
      <c r="C407" s="1">
        <v>0.041509</v>
      </c>
      <c r="D407" s="1" t="s">
        <v>2986</v>
      </c>
      <c r="E407" s="266">
        <f>IFERROR(VLOOKUP(B407,'Сырьё'!$C$6:$E$233,3,FALSE()),IFERROR(VLOOKUP(B407,'Полупродукты'!$C$6:$E$60,3,FALSE()),0))</f>
        <v>0</v>
      </c>
      <c r="F407" s="266">
        <f t="shared" si="1"/>
        <v>0</v>
      </c>
      <c r="G407" s="1">
        <v>0.0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0" customHeight="1">
      <c r="A408" s="1" t="s">
        <v>651</v>
      </c>
      <c r="B408" s="1" t="s">
        <v>594</v>
      </c>
      <c r="C408" s="1">
        <v>0.341136</v>
      </c>
      <c r="D408" s="1" t="s">
        <v>2987</v>
      </c>
      <c r="E408" s="266">
        <f>IFERROR(VLOOKUP(B408,'Сырьё'!$C$6:$E$233,3,FALSE()),IFERROR(VLOOKUP(B408,'Полупродукты'!$C$6:$E$60,3,FALSE()),0))</f>
        <v>1.7145</v>
      </c>
      <c r="F408" s="266">
        <f t="shared" si="1"/>
        <v>0.584877672</v>
      </c>
      <c r="G408" s="1">
        <v>0.0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0" customHeight="1">
      <c r="A409" s="1" t="s">
        <v>651</v>
      </c>
      <c r="B409" s="1" t="s">
        <v>579</v>
      </c>
      <c r="C409" s="1">
        <v>0.146561</v>
      </c>
      <c r="D409" s="1" t="s">
        <v>2988</v>
      </c>
      <c r="E409" s="266">
        <f>IFERROR(VLOOKUP(B409,'Сырьё'!$C$6:$E$233,3,FALSE()),IFERROR(VLOOKUP(B409,'Полупродукты'!$C$6:$E$60,3,FALSE()),0))</f>
        <v>1.2831</v>
      </c>
      <c r="F409" s="266">
        <f t="shared" si="1"/>
        <v>0.1880524191</v>
      </c>
      <c r="G409" s="1">
        <v>0.0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0" customHeight="1">
      <c r="A410" s="1" t="s">
        <v>651</v>
      </c>
      <c r="B410" s="1" t="s">
        <v>593</v>
      </c>
      <c r="C410" s="1">
        <v>0.164388</v>
      </c>
      <c r="D410" s="1" t="s">
        <v>2989</v>
      </c>
      <c r="E410" s="266">
        <f>IFERROR(VLOOKUP(B410,'Сырьё'!$C$6:$E$233,3,FALSE()),IFERROR(VLOOKUP(B410,'Полупродукты'!$C$6:$E$60,3,FALSE()),0))</f>
        <v>1.6575</v>
      </c>
      <c r="F410" s="266">
        <f t="shared" si="1"/>
        <v>0.27247311</v>
      </c>
      <c r="G410" s="1">
        <v>0.0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0" customHeight="1">
      <c r="A411" s="1" t="s">
        <v>651</v>
      </c>
      <c r="B411" s="1" t="s">
        <v>537</v>
      </c>
      <c r="C411" s="1">
        <v>0.006865</v>
      </c>
      <c r="D411" s="1" t="s">
        <v>2990</v>
      </c>
      <c r="E411" s="266">
        <f>IFERROR(VLOOKUP(B411,'Сырьё'!$C$6:$E$233,3,FALSE()),IFERROR(VLOOKUP(B411,'Полупродукты'!$C$6:$E$60,3,FALSE()),0))</f>
        <v>8.8284</v>
      </c>
      <c r="F411" s="266">
        <f t="shared" si="1"/>
        <v>0.060606966</v>
      </c>
      <c r="G411" s="1">
        <v>0.0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0" customHeight="1">
      <c r="A412" s="1" t="s">
        <v>651</v>
      </c>
      <c r="B412" s="1" t="s">
        <v>431</v>
      </c>
      <c r="C412" s="1">
        <v>0.103</v>
      </c>
      <c r="D412" s="1" t="s">
        <v>1072</v>
      </c>
      <c r="E412" s="266">
        <f>IFERROR(VLOOKUP(B412,'Сырьё'!$C$6:$E$233,3,FALSE()),IFERROR(VLOOKUP(B412,'Полупродукты'!$C$6:$E$60,3,FALSE()),0))</f>
        <v>8.7213</v>
      </c>
      <c r="F412" s="266">
        <f t="shared" si="1"/>
        <v>0.8982939</v>
      </c>
      <c r="G412" s="1">
        <v>1.0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0" customHeight="1">
      <c r="A413" s="1" t="s">
        <v>651</v>
      </c>
      <c r="B413" s="1" t="s">
        <v>570</v>
      </c>
      <c r="C413" s="1">
        <v>0.069618</v>
      </c>
      <c r="D413" s="1" t="s">
        <v>2991</v>
      </c>
      <c r="E413" s="266">
        <f>IFERROR(VLOOKUP(B413,'Сырьё'!$C$6:$E$233,3,FALSE()),IFERROR(VLOOKUP(B413,'Полупродукты'!$C$6:$E$60,3,FALSE()),0))</f>
        <v>3.3046</v>
      </c>
      <c r="F413" s="266">
        <f t="shared" si="1"/>
        <v>0.2300596428</v>
      </c>
      <c r="G413" s="1">
        <v>0.0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0" customHeight="1">
      <c r="A414" s="1" t="s">
        <v>651</v>
      </c>
      <c r="B414" s="1" t="s">
        <v>591</v>
      </c>
      <c r="C414" s="1">
        <v>0.01589</v>
      </c>
      <c r="D414" s="1" t="s">
        <v>2992</v>
      </c>
      <c r="E414" s="266">
        <f>IFERROR(VLOOKUP(B414,'Сырьё'!$C$6:$E$233,3,FALSE()),IFERROR(VLOOKUP(B414,'Полупродукты'!$C$6:$E$60,3,FALSE()),0))</f>
        <v>1.9734</v>
      </c>
      <c r="F414" s="266">
        <f t="shared" si="1"/>
        <v>0.031357326</v>
      </c>
      <c r="G414" s="1">
        <v>0.0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0" customHeight="1">
      <c r="A415" s="1" t="s">
        <v>651</v>
      </c>
      <c r="B415" s="1" t="s">
        <v>532</v>
      </c>
      <c r="C415" s="1">
        <v>0.005531</v>
      </c>
      <c r="D415" s="1" t="s">
        <v>2993</v>
      </c>
      <c r="E415" s="266">
        <f>IFERROR(VLOOKUP(B415,'Сырьё'!$C$6:$E$233,3,FALSE()),IFERROR(VLOOKUP(B415,'Полупродукты'!$C$6:$E$60,3,FALSE()),0))</f>
        <v>2.337</v>
      </c>
      <c r="F415" s="266">
        <f t="shared" si="1"/>
        <v>0.012925947</v>
      </c>
      <c r="G415" s="1">
        <v>0.0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0" customHeight="1">
      <c r="A416" s="1" t="s">
        <v>651</v>
      </c>
      <c r="B416" s="1" t="s">
        <v>549</v>
      </c>
      <c r="C416" s="1">
        <v>0.095172</v>
      </c>
      <c r="D416" s="1" t="s">
        <v>2994</v>
      </c>
      <c r="E416" s="266">
        <f>IFERROR(VLOOKUP(B416,'Сырьё'!$C$6:$E$233,3,FALSE()),IFERROR(VLOOKUP(B416,'Полупродукты'!$C$6:$E$60,3,FALSE()),0))</f>
        <v>6.519</v>
      </c>
      <c r="F416" s="266">
        <f t="shared" si="1"/>
        <v>0.620426268</v>
      </c>
      <c r="G416" s="1">
        <v>0.0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0" customHeight="1">
      <c r="A417" s="1" t="s">
        <v>651</v>
      </c>
      <c r="B417" s="1" t="s">
        <v>520</v>
      </c>
      <c r="C417" s="1">
        <v>0.001005</v>
      </c>
      <c r="D417" s="1" t="s">
        <v>2995</v>
      </c>
      <c r="E417" s="266">
        <f>IFERROR(VLOOKUP(B417,'Сырьё'!$C$6:$E$233,3,FALSE()),IFERROR(VLOOKUP(B417,'Полупродукты'!$C$6:$E$60,3,FALSE()),0))</f>
        <v>30.1527</v>
      </c>
      <c r="F417" s="266">
        <f t="shared" si="1"/>
        <v>0.0303034635</v>
      </c>
      <c r="G417" s="1">
        <v>0.0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0" customHeight="1">
      <c r="A418" s="1" t="s">
        <v>637</v>
      </c>
      <c r="B418" s="1" t="s">
        <v>594</v>
      </c>
      <c r="C418" s="1">
        <v>0.37954</v>
      </c>
      <c r="D418" s="1" t="s">
        <v>2996</v>
      </c>
      <c r="E418" s="266">
        <f>IFERROR(VLOOKUP(B418,'Сырьё'!$C$6:$E$233,3,FALSE()),IFERROR(VLOOKUP(B418,'Полупродукты'!$C$6:$E$60,3,FALSE()),0))</f>
        <v>1.7145</v>
      </c>
      <c r="F418" s="266">
        <f t="shared" si="1"/>
        <v>0.65072133</v>
      </c>
      <c r="G418" s="1">
        <v>0.0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0" customHeight="1">
      <c r="A419" s="1" t="s">
        <v>637</v>
      </c>
      <c r="B419" s="1" t="s">
        <v>549</v>
      </c>
      <c r="C419" s="1">
        <v>0.106492</v>
      </c>
      <c r="D419" s="1" t="s">
        <v>2997</v>
      </c>
      <c r="E419" s="266">
        <f>IFERROR(VLOOKUP(B419,'Сырьё'!$C$6:$E$233,3,FALSE()),IFERROR(VLOOKUP(B419,'Полупродукты'!$C$6:$E$60,3,FALSE()),0))</f>
        <v>6.519</v>
      </c>
      <c r="F419" s="266">
        <f t="shared" si="1"/>
        <v>0.694221348</v>
      </c>
      <c r="G419" s="1">
        <v>0.0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0" customHeight="1">
      <c r="A420" s="1" t="s">
        <v>637</v>
      </c>
      <c r="B420" s="1" t="s">
        <v>537</v>
      </c>
      <c r="C420" s="1">
        <v>0.015465</v>
      </c>
      <c r="D420" s="1" t="s">
        <v>2998</v>
      </c>
      <c r="E420" s="266">
        <f>IFERROR(VLOOKUP(B420,'Сырьё'!$C$6:$E$233,3,FALSE()),IFERROR(VLOOKUP(B420,'Полупродукты'!$C$6:$E$60,3,FALSE()),0))</f>
        <v>8.8284</v>
      </c>
      <c r="F420" s="266">
        <f t="shared" si="1"/>
        <v>0.136531206</v>
      </c>
      <c r="G420" s="1">
        <v>0.0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0" customHeight="1">
      <c r="A421" s="1" t="s">
        <v>637</v>
      </c>
      <c r="B421" s="1" t="s">
        <v>556</v>
      </c>
      <c r="C421" s="1">
        <v>0.128879</v>
      </c>
      <c r="D421" s="1" t="s">
        <v>2999</v>
      </c>
      <c r="E421" s="266">
        <f>IFERROR(VLOOKUP(B421,'Сырьё'!$C$6:$E$233,3,FALSE()),IFERROR(VLOOKUP(B421,'Полупродукты'!$C$6:$E$60,3,FALSE()),0))</f>
        <v>5.6362</v>
      </c>
      <c r="F421" s="266">
        <f t="shared" si="1"/>
        <v>0.7263878198</v>
      </c>
      <c r="G421" s="1">
        <v>0.0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0" customHeight="1">
      <c r="A422" s="1" t="s">
        <v>637</v>
      </c>
      <c r="B422" s="1" t="s">
        <v>579</v>
      </c>
      <c r="C422" s="1">
        <v>0.17656</v>
      </c>
      <c r="D422" s="1" t="s">
        <v>3000</v>
      </c>
      <c r="E422" s="266">
        <f>IFERROR(VLOOKUP(B422,'Сырьё'!$C$6:$E$233,3,FALSE()),IFERROR(VLOOKUP(B422,'Полупродукты'!$C$6:$E$60,3,FALSE()),0))</f>
        <v>1.2831</v>
      </c>
      <c r="F422" s="266">
        <f t="shared" si="1"/>
        <v>0.226544136</v>
      </c>
      <c r="G422" s="1">
        <v>0.0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0" customHeight="1">
      <c r="A423" s="1" t="s">
        <v>637</v>
      </c>
      <c r="B423" s="1" t="s">
        <v>593</v>
      </c>
      <c r="C423" s="1">
        <v>0.123767</v>
      </c>
      <c r="D423" s="1" t="s">
        <v>3001</v>
      </c>
      <c r="E423" s="266">
        <f>IFERROR(VLOOKUP(B423,'Сырьё'!$C$6:$E$233,3,FALSE()),IFERROR(VLOOKUP(B423,'Полупродукты'!$C$6:$E$60,3,FALSE()),0))</f>
        <v>1.6575</v>
      </c>
      <c r="F423" s="266">
        <f t="shared" si="1"/>
        <v>0.2051438025</v>
      </c>
      <c r="G423" s="1">
        <v>0.0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0" customHeight="1">
      <c r="A424" s="1" t="s">
        <v>637</v>
      </c>
      <c r="B424" s="1" t="s">
        <v>520</v>
      </c>
      <c r="C424" s="1">
        <v>0.001118</v>
      </c>
      <c r="D424" s="1" t="s">
        <v>3002</v>
      </c>
      <c r="E424" s="266">
        <f>IFERROR(VLOOKUP(B424,'Сырьё'!$C$6:$E$233,3,FALSE()),IFERROR(VLOOKUP(B424,'Полупродукты'!$C$6:$E$60,3,FALSE()),0))</f>
        <v>30.1527</v>
      </c>
      <c r="F424" s="266">
        <f t="shared" si="1"/>
        <v>0.0337107186</v>
      </c>
      <c r="G424" s="1">
        <v>0.0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0" customHeight="1">
      <c r="A425" s="1" t="s">
        <v>637</v>
      </c>
      <c r="B425" s="1" t="s">
        <v>570</v>
      </c>
      <c r="C425" s="1">
        <v>0.036555</v>
      </c>
      <c r="D425" s="1" t="s">
        <v>3003</v>
      </c>
      <c r="E425" s="266">
        <f>IFERROR(VLOOKUP(B425,'Сырьё'!$C$6:$E$233,3,FALSE()),IFERROR(VLOOKUP(B425,'Полупродукты'!$C$6:$E$60,3,FALSE()),0))</f>
        <v>3.3046</v>
      </c>
      <c r="F425" s="266">
        <f t="shared" si="1"/>
        <v>0.120799653</v>
      </c>
      <c r="G425" s="1">
        <v>0.0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0" customHeight="1">
      <c r="A426" s="1" t="s">
        <v>637</v>
      </c>
      <c r="B426" s="1" t="s">
        <v>569</v>
      </c>
      <c r="C426" s="1">
        <v>0.027748</v>
      </c>
      <c r="D426" s="1" t="s">
        <v>3004</v>
      </c>
      <c r="E426" s="266">
        <f>IFERROR(VLOOKUP(B426,'Сырьё'!$C$6:$E$233,3,FALSE()),IFERROR(VLOOKUP(B426,'Полупродукты'!$C$6:$E$60,3,FALSE()),0))</f>
        <v>3.2853</v>
      </c>
      <c r="F426" s="266">
        <f t="shared" si="1"/>
        <v>0.0911605044</v>
      </c>
      <c r="G426" s="1">
        <v>0.0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0" customHeight="1">
      <c r="A427" s="1" t="s">
        <v>637</v>
      </c>
      <c r="B427" s="1" t="s">
        <v>591</v>
      </c>
      <c r="C427" s="1">
        <v>0.015651</v>
      </c>
      <c r="D427" s="1" t="s">
        <v>3005</v>
      </c>
      <c r="E427" s="266">
        <f>IFERROR(VLOOKUP(B427,'Сырьё'!$C$6:$E$233,3,FALSE()),IFERROR(VLOOKUP(B427,'Полупродукты'!$C$6:$E$60,3,FALSE()),0))</f>
        <v>1.9734</v>
      </c>
      <c r="F427" s="266">
        <f t="shared" si="1"/>
        <v>0.0308856834</v>
      </c>
      <c r="G427" s="1">
        <v>0.0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0" customHeight="1">
      <c r="A428" s="1" t="s">
        <v>637</v>
      </c>
      <c r="B428" s="1" t="s">
        <v>532</v>
      </c>
      <c r="C428" s="1">
        <v>0.005516</v>
      </c>
      <c r="D428" s="1" t="s">
        <v>3006</v>
      </c>
      <c r="E428" s="266">
        <f>IFERROR(VLOOKUP(B428,'Сырьё'!$C$6:$E$233,3,FALSE()),IFERROR(VLOOKUP(B428,'Полупродукты'!$C$6:$E$60,3,FALSE()),0))</f>
        <v>2.337</v>
      </c>
      <c r="F428" s="266">
        <f t="shared" si="1"/>
        <v>0.012890892</v>
      </c>
      <c r="G428" s="1">
        <v>0.0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0" customHeight="1">
      <c r="A429" s="1" t="s">
        <v>637</v>
      </c>
      <c r="B429" s="1" t="s">
        <v>585</v>
      </c>
      <c r="C429" s="1">
        <v>0.007813</v>
      </c>
      <c r="D429" s="1" t="s">
        <v>3007</v>
      </c>
      <c r="E429" s="266">
        <f>IFERROR(VLOOKUP(B429,'Сырьё'!$C$6:$E$233,3,FALSE()),IFERROR(VLOOKUP(B429,'Полупродукты'!$C$6:$E$60,3,FALSE()),0))</f>
        <v>6.9052</v>
      </c>
      <c r="F429" s="266">
        <f t="shared" si="1"/>
        <v>0.0539503276</v>
      </c>
      <c r="G429" s="1">
        <v>0.0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0" customHeight="1">
      <c r="A430" s="1" t="s">
        <v>637</v>
      </c>
      <c r="B430" s="1" t="s">
        <v>540</v>
      </c>
      <c r="C430" s="1">
        <v>0.00824</v>
      </c>
      <c r="D430" s="1" t="s">
        <v>3008</v>
      </c>
      <c r="E430" s="266">
        <f>IFERROR(VLOOKUP(B430,'Сырьё'!$C$6:$E$233,3,FALSE()),IFERROR(VLOOKUP(B430,'Полупродукты'!$C$6:$E$60,3,FALSE()),0))</f>
        <v>0</v>
      </c>
      <c r="F430" s="266">
        <f t="shared" si="1"/>
        <v>0</v>
      </c>
      <c r="G430" s="1">
        <v>0.0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0" customHeight="1">
      <c r="A431" s="1" t="s">
        <v>704</v>
      </c>
      <c r="B431" s="1" t="s">
        <v>570</v>
      </c>
      <c r="C431" s="1">
        <v>0.231513</v>
      </c>
      <c r="D431" s="1" t="s">
        <v>3009</v>
      </c>
      <c r="E431" s="266">
        <f>IFERROR(VLOOKUP(B431,'Сырьё'!$C$6:$E$233,3,FALSE()),IFERROR(VLOOKUP(B431,'Полупродукты'!$C$6:$E$60,3,FALSE()),0))</f>
        <v>3.3046</v>
      </c>
      <c r="F431" s="266">
        <f t="shared" si="1"/>
        <v>0.7650578598</v>
      </c>
      <c r="G431" s="1">
        <v>0.0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0" customHeight="1">
      <c r="A432" s="1" t="s">
        <v>704</v>
      </c>
      <c r="B432" s="1" t="s">
        <v>569</v>
      </c>
      <c r="C432" s="1">
        <v>0.175739</v>
      </c>
      <c r="D432" s="1" t="s">
        <v>3010</v>
      </c>
      <c r="E432" s="266">
        <f>IFERROR(VLOOKUP(B432,'Сырьё'!$C$6:$E$233,3,FALSE()),IFERROR(VLOOKUP(B432,'Полупродукты'!$C$6:$E$60,3,FALSE()),0))</f>
        <v>3.2853</v>
      </c>
      <c r="F432" s="266">
        <f t="shared" si="1"/>
        <v>0.5773553367</v>
      </c>
      <c r="G432" s="1">
        <v>0.0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0" customHeight="1">
      <c r="A433" s="1" t="s">
        <v>704</v>
      </c>
      <c r="B433" s="1" t="s">
        <v>594</v>
      </c>
      <c r="C433" s="1">
        <v>0.352162</v>
      </c>
      <c r="D433" s="1" t="s">
        <v>3011</v>
      </c>
      <c r="E433" s="266">
        <f>IFERROR(VLOOKUP(B433,'Сырьё'!$C$6:$E$233,3,FALSE()),IFERROR(VLOOKUP(B433,'Полупродукты'!$C$6:$E$60,3,FALSE()),0))</f>
        <v>1.7145</v>
      </c>
      <c r="F433" s="266">
        <f t="shared" si="1"/>
        <v>0.603781749</v>
      </c>
      <c r="G433" s="1">
        <v>0.0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0" customHeight="1">
      <c r="A434" s="1" t="s">
        <v>704</v>
      </c>
      <c r="B434" s="1" t="s">
        <v>579</v>
      </c>
      <c r="C434" s="1">
        <v>0.099122</v>
      </c>
      <c r="D434" s="1" t="s">
        <v>3012</v>
      </c>
      <c r="E434" s="266">
        <f>IFERROR(VLOOKUP(B434,'Сырьё'!$C$6:$E$233,3,FALSE()),IFERROR(VLOOKUP(B434,'Полупродукты'!$C$6:$E$60,3,FALSE()),0))</f>
        <v>1.2831</v>
      </c>
      <c r="F434" s="266">
        <f t="shared" si="1"/>
        <v>0.1271834382</v>
      </c>
      <c r="G434" s="1">
        <v>0.0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0" customHeight="1">
      <c r="A435" s="1" t="s">
        <v>704</v>
      </c>
      <c r="B435" s="1" t="s">
        <v>591</v>
      </c>
      <c r="C435" s="1">
        <v>0.099122</v>
      </c>
      <c r="D435" s="1" t="s">
        <v>3013</v>
      </c>
      <c r="E435" s="266">
        <f>IFERROR(VLOOKUP(B435,'Сырьё'!$C$6:$E$233,3,FALSE()),IFERROR(VLOOKUP(B435,'Полупродукты'!$C$6:$E$60,3,FALSE()),0))</f>
        <v>1.9734</v>
      </c>
      <c r="F435" s="266">
        <f t="shared" si="1"/>
        <v>0.1956073548</v>
      </c>
      <c r="G435" s="1">
        <v>0.0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0" customHeight="1">
      <c r="A436" s="1" t="s">
        <v>704</v>
      </c>
      <c r="B436" s="1" t="s">
        <v>532</v>
      </c>
      <c r="C436" s="1">
        <v>0.034932</v>
      </c>
      <c r="D436" s="1" t="s">
        <v>3014</v>
      </c>
      <c r="E436" s="266">
        <f>IFERROR(VLOOKUP(B436,'Сырьё'!$C$6:$E$233,3,FALSE()),IFERROR(VLOOKUP(B436,'Полупродукты'!$C$6:$E$60,3,FALSE()),0))</f>
        <v>2.337</v>
      </c>
      <c r="F436" s="266">
        <f t="shared" si="1"/>
        <v>0.081636084</v>
      </c>
      <c r="G436" s="1">
        <v>0.0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0" customHeight="1">
      <c r="A437" s="1" t="s">
        <v>704</v>
      </c>
      <c r="B437" s="1" t="s">
        <v>520</v>
      </c>
      <c r="C437" s="1">
        <v>0.003405</v>
      </c>
      <c r="D437" s="1" t="s">
        <v>3015</v>
      </c>
      <c r="E437" s="266">
        <f>IFERROR(VLOOKUP(B437,'Сырьё'!$C$6:$E$233,3,FALSE()),IFERROR(VLOOKUP(B437,'Полупродукты'!$C$6:$E$60,3,FALSE()),0))</f>
        <v>30.1527</v>
      </c>
      <c r="F437" s="266">
        <f t="shared" si="1"/>
        <v>0.1026699435</v>
      </c>
      <c r="G437" s="1">
        <v>0.0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0" customHeight="1">
      <c r="A438" s="1" t="s">
        <v>704</v>
      </c>
      <c r="B438" s="1" t="s">
        <v>573</v>
      </c>
      <c r="C438" s="1">
        <v>0.0515</v>
      </c>
      <c r="D438" s="1" t="s">
        <v>1018</v>
      </c>
      <c r="E438" s="266">
        <f>IFERROR(VLOOKUP(B438,'Сырьё'!$C$6:$E$233,3,FALSE()),IFERROR(VLOOKUP(B438,'Полупродукты'!$C$6:$E$60,3,FALSE()),0))</f>
        <v>4.7016</v>
      </c>
      <c r="F438" s="266">
        <f t="shared" si="1"/>
        <v>0.2421324</v>
      </c>
      <c r="G438" s="1">
        <v>0.0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0" customHeight="1">
      <c r="A439" s="1" t="s">
        <v>640</v>
      </c>
      <c r="B439" s="1" t="s">
        <v>567</v>
      </c>
      <c r="C439" s="1">
        <v>0.120098</v>
      </c>
      <c r="D439" s="1" t="s">
        <v>3016</v>
      </c>
      <c r="E439" s="266">
        <f>IFERROR(VLOOKUP(B439,'Сырьё'!$C$6:$E$233,3,FALSE()),IFERROR(VLOOKUP(B439,'Полупродукты'!$C$6:$E$60,3,FALSE()),0))</f>
        <v>0</v>
      </c>
      <c r="F439" s="266">
        <f t="shared" si="1"/>
        <v>0</v>
      </c>
      <c r="G439" s="1">
        <v>0.0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0" customHeight="1">
      <c r="A440" s="1" t="s">
        <v>640</v>
      </c>
      <c r="B440" s="1" t="s">
        <v>550</v>
      </c>
      <c r="C440" s="1">
        <v>0.06489</v>
      </c>
      <c r="D440" s="1" t="s">
        <v>3017</v>
      </c>
      <c r="E440" s="266">
        <f>IFERROR(VLOOKUP(B440,'Сырьё'!$C$6:$E$233,3,FALSE()),IFERROR(VLOOKUP(B440,'Полупродукты'!$C$6:$E$60,3,FALSE()),0))</f>
        <v>0</v>
      </c>
      <c r="F440" s="266">
        <f t="shared" si="1"/>
        <v>0</v>
      </c>
      <c r="G440" s="1">
        <v>0.0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0" customHeight="1">
      <c r="A441" s="1" t="s">
        <v>640</v>
      </c>
      <c r="B441" s="1" t="s">
        <v>594</v>
      </c>
      <c r="C441" s="1">
        <v>0.157487</v>
      </c>
      <c r="D441" s="1" t="s">
        <v>3018</v>
      </c>
      <c r="E441" s="266">
        <f>IFERROR(VLOOKUP(B441,'Сырьё'!$C$6:$E$233,3,FALSE()),IFERROR(VLOOKUP(B441,'Полупродукты'!$C$6:$E$60,3,FALSE()),0))</f>
        <v>1.7145</v>
      </c>
      <c r="F441" s="266">
        <f t="shared" si="1"/>
        <v>0.2700114615</v>
      </c>
      <c r="G441" s="1">
        <v>0.0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0" customHeight="1">
      <c r="A442" s="1" t="s">
        <v>640</v>
      </c>
      <c r="B442" s="1" t="s">
        <v>579</v>
      </c>
      <c r="C442" s="1">
        <v>0.1047</v>
      </c>
      <c r="D442" s="1" t="s">
        <v>3019</v>
      </c>
      <c r="E442" s="266">
        <f>IFERROR(VLOOKUP(B442,'Сырьё'!$C$6:$E$233,3,FALSE()),IFERROR(VLOOKUP(B442,'Полупродукты'!$C$6:$E$60,3,FALSE()),0))</f>
        <v>1.2831</v>
      </c>
      <c r="F442" s="266">
        <f t="shared" si="1"/>
        <v>0.13434057</v>
      </c>
      <c r="G442" s="1">
        <v>0.0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0" customHeight="1">
      <c r="A443" s="1" t="s">
        <v>640</v>
      </c>
      <c r="B443" s="1" t="s">
        <v>593</v>
      </c>
      <c r="C443" s="1">
        <v>0.081216</v>
      </c>
      <c r="D443" s="1" t="s">
        <v>3020</v>
      </c>
      <c r="E443" s="266">
        <f>IFERROR(VLOOKUP(B443,'Сырьё'!$C$6:$E$233,3,FALSE()),IFERROR(VLOOKUP(B443,'Полупродукты'!$C$6:$E$60,3,FALSE()),0))</f>
        <v>1.6575</v>
      </c>
      <c r="F443" s="266">
        <f t="shared" si="1"/>
        <v>0.13461552</v>
      </c>
      <c r="G443" s="1">
        <v>0.0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0" customHeight="1">
      <c r="A444" s="1" t="s">
        <v>640</v>
      </c>
      <c r="B444" s="1" t="s">
        <v>402</v>
      </c>
      <c r="C444" s="1">
        <v>0.515</v>
      </c>
      <c r="D444" s="1" t="s">
        <v>1244</v>
      </c>
      <c r="E444" s="266">
        <f>IFERROR(VLOOKUP(B444,'Сырьё'!$C$6:$E$233,3,FALSE()),IFERROR(VLOOKUP(B444,'Полупродукты'!$C$6:$E$60,3,FALSE()),0))</f>
        <v>0</v>
      </c>
      <c r="F444" s="266">
        <f t="shared" si="1"/>
        <v>0</v>
      </c>
      <c r="G444" s="1">
        <v>1.0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0" customHeight="1">
      <c r="A445" s="1" t="s">
        <v>714</v>
      </c>
      <c r="B445" s="1" t="s">
        <v>593</v>
      </c>
      <c r="C445" s="1">
        <v>0.139565</v>
      </c>
      <c r="D445" s="1" t="s">
        <v>2542</v>
      </c>
      <c r="E445" s="266">
        <f>IFERROR(VLOOKUP(B445,'Сырьё'!$C$6:$E$233,3,FALSE()),IFERROR(VLOOKUP(B445,'Полупродукты'!$C$6:$E$60,3,FALSE()),0))</f>
        <v>1.6575</v>
      </c>
      <c r="F445" s="266">
        <f t="shared" si="1"/>
        <v>0.2313289875</v>
      </c>
      <c r="G445" s="1">
        <v>0.0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0" customHeight="1">
      <c r="A446" s="1" t="s">
        <v>714</v>
      </c>
      <c r="B446" s="1" t="s">
        <v>579</v>
      </c>
      <c r="C446" s="1">
        <v>0.309309</v>
      </c>
      <c r="D446" s="1" t="s">
        <v>3021</v>
      </c>
      <c r="E446" s="266">
        <f>IFERROR(VLOOKUP(B446,'Сырьё'!$C$6:$E$233,3,FALSE()),IFERROR(VLOOKUP(B446,'Полупродукты'!$C$6:$E$60,3,FALSE()),0))</f>
        <v>1.2831</v>
      </c>
      <c r="F446" s="266">
        <f t="shared" si="1"/>
        <v>0.3968743779</v>
      </c>
      <c r="G446" s="1">
        <v>0.0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0" customHeight="1">
      <c r="A447" s="1" t="s">
        <v>714</v>
      </c>
      <c r="B447" s="1" t="s">
        <v>594</v>
      </c>
      <c r="C447" s="1">
        <v>0.234325</v>
      </c>
      <c r="D447" s="1" t="s">
        <v>3022</v>
      </c>
      <c r="E447" s="266">
        <f>IFERROR(VLOOKUP(B447,'Сырьё'!$C$6:$E$233,3,FALSE()),IFERROR(VLOOKUP(B447,'Полупродукты'!$C$6:$E$60,3,FALSE()),0))</f>
        <v>1.7145</v>
      </c>
      <c r="F447" s="266">
        <f t="shared" si="1"/>
        <v>0.4017502125</v>
      </c>
      <c r="G447" s="1">
        <v>0.0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0" customHeight="1">
      <c r="A448" s="1" t="s">
        <v>714</v>
      </c>
      <c r="B448" s="1" t="s">
        <v>549</v>
      </c>
      <c r="C448" s="1">
        <v>0.09373</v>
      </c>
      <c r="D448" s="1" t="s">
        <v>3023</v>
      </c>
      <c r="E448" s="266">
        <f>IFERROR(VLOOKUP(B448,'Сырьё'!$C$6:$E$233,3,FALSE()),IFERROR(VLOOKUP(B448,'Полупродукты'!$C$6:$E$60,3,FALSE()),0))</f>
        <v>6.519</v>
      </c>
      <c r="F448" s="266">
        <f t="shared" si="1"/>
        <v>0.61102587</v>
      </c>
      <c r="G448" s="1">
        <v>0.0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0" customHeight="1">
      <c r="A449" s="1" t="s">
        <v>714</v>
      </c>
      <c r="B449" s="1" t="s">
        <v>537</v>
      </c>
      <c r="C449" s="1">
        <v>0.018746</v>
      </c>
      <c r="D449" s="1" t="s">
        <v>3024</v>
      </c>
      <c r="E449" s="266">
        <f>IFERROR(VLOOKUP(B449,'Сырьё'!$C$6:$E$233,3,FALSE()),IFERROR(VLOOKUP(B449,'Полупродукты'!$C$6:$E$60,3,FALSE()),0))</f>
        <v>8.8284</v>
      </c>
      <c r="F449" s="266">
        <f t="shared" si="1"/>
        <v>0.1654971864</v>
      </c>
      <c r="G449" s="1">
        <v>0.0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0" customHeight="1">
      <c r="A450" s="1" t="s">
        <v>714</v>
      </c>
      <c r="B450" s="1" t="s">
        <v>564</v>
      </c>
      <c r="C450" s="1">
        <v>0.234325</v>
      </c>
      <c r="D450" s="1" t="s">
        <v>3025</v>
      </c>
      <c r="E450" s="266">
        <f>IFERROR(VLOOKUP(B450,'Сырьё'!$C$6:$E$233,3,FALSE()),IFERROR(VLOOKUP(B450,'Полупродукты'!$C$6:$E$60,3,FALSE()),0))</f>
        <v>6.2082</v>
      </c>
      <c r="F450" s="266">
        <f t="shared" si="1"/>
        <v>1.454736465</v>
      </c>
      <c r="G450" s="1">
        <v>0.0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0" customHeight="1">
      <c r="A451" s="1" t="s">
        <v>745</v>
      </c>
      <c r="B451" s="1" t="s">
        <v>594</v>
      </c>
      <c r="C451" s="1">
        <v>0.26265</v>
      </c>
      <c r="D451" s="1" t="s">
        <v>2592</v>
      </c>
      <c r="E451" s="266">
        <f>IFERROR(VLOOKUP(B451,'Сырьё'!$C$6:$E$233,3,FALSE()),IFERROR(VLOOKUP(B451,'Полупродукты'!$C$6:$E$60,3,FALSE()),0))</f>
        <v>1.7145</v>
      </c>
      <c r="F451" s="266">
        <f t="shared" si="1"/>
        <v>0.450313425</v>
      </c>
      <c r="G451" s="1">
        <v>0.0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0" customHeight="1">
      <c r="A452" s="1" t="s">
        <v>745</v>
      </c>
      <c r="B452" s="1" t="s">
        <v>579</v>
      </c>
      <c r="C452" s="1">
        <v>0.26471</v>
      </c>
      <c r="D452" s="1" t="s">
        <v>3026</v>
      </c>
      <c r="E452" s="266">
        <f>IFERROR(VLOOKUP(B452,'Сырьё'!$C$6:$E$233,3,FALSE()),IFERROR(VLOOKUP(B452,'Полупродукты'!$C$6:$E$60,3,FALSE()),0))</f>
        <v>1.2831</v>
      </c>
      <c r="F452" s="266">
        <f t="shared" si="1"/>
        <v>0.339649401</v>
      </c>
      <c r="G452" s="1">
        <v>0.0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0" customHeight="1">
      <c r="A453" s="1" t="s">
        <v>745</v>
      </c>
      <c r="B453" s="1" t="s">
        <v>593</v>
      </c>
      <c r="C453" s="1">
        <v>0.20085</v>
      </c>
      <c r="D453" s="1" t="s">
        <v>2590</v>
      </c>
      <c r="E453" s="266">
        <f>IFERROR(VLOOKUP(B453,'Сырьё'!$C$6:$E$233,3,FALSE()),IFERROR(VLOOKUP(B453,'Полупродукты'!$C$6:$E$60,3,FALSE()),0))</f>
        <v>1.6575</v>
      </c>
      <c r="F453" s="266">
        <f t="shared" si="1"/>
        <v>0.332908875</v>
      </c>
      <c r="G453" s="1">
        <v>0.0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0" customHeight="1">
      <c r="A454" s="1" t="s">
        <v>745</v>
      </c>
      <c r="B454" s="1" t="s">
        <v>585</v>
      </c>
      <c r="C454" s="1">
        <v>0.09888</v>
      </c>
      <c r="D454" s="1" t="s">
        <v>3027</v>
      </c>
      <c r="E454" s="266">
        <f>IFERROR(VLOOKUP(B454,'Сырьё'!$C$6:$E$233,3,FALSE()),IFERROR(VLOOKUP(B454,'Полупродукты'!$C$6:$E$60,3,FALSE()),0))</f>
        <v>6.9052</v>
      </c>
      <c r="F454" s="266">
        <f t="shared" si="1"/>
        <v>0.682786176</v>
      </c>
      <c r="G454" s="1">
        <v>0.0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0" customHeight="1">
      <c r="A455" s="1" t="s">
        <v>745</v>
      </c>
      <c r="B455" s="1" t="s">
        <v>537</v>
      </c>
      <c r="C455" s="1">
        <v>0.01648</v>
      </c>
      <c r="D455" s="1" t="s">
        <v>3028</v>
      </c>
      <c r="E455" s="266">
        <f>IFERROR(VLOOKUP(B455,'Сырьё'!$C$6:$E$233,3,FALSE()),IFERROR(VLOOKUP(B455,'Полупродукты'!$C$6:$E$60,3,FALSE()),0))</f>
        <v>8.8284</v>
      </c>
      <c r="F455" s="266">
        <f t="shared" si="1"/>
        <v>0.145492032</v>
      </c>
      <c r="G455" s="1">
        <v>0.0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0" customHeight="1">
      <c r="A456" s="1" t="s">
        <v>745</v>
      </c>
      <c r="B456" s="1" t="s">
        <v>560</v>
      </c>
      <c r="C456" s="1">
        <v>0.1648</v>
      </c>
      <c r="D456" s="1" t="s">
        <v>3029</v>
      </c>
      <c r="E456" s="266">
        <f>IFERROR(VLOOKUP(B456,'Сырьё'!$C$6:$E$233,3,FALSE()),IFERROR(VLOOKUP(B456,'Полупродукты'!$C$6:$E$60,3,FALSE()),0))</f>
        <v>0</v>
      </c>
      <c r="F456" s="266">
        <f t="shared" si="1"/>
        <v>0</v>
      </c>
      <c r="G456" s="1">
        <v>0.0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0" customHeight="1">
      <c r="A457" s="1" t="s">
        <v>745</v>
      </c>
      <c r="B457" s="1" t="s">
        <v>549</v>
      </c>
      <c r="C457" s="1">
        <v>0.02163</v>
      </c>
      <c r="D457" s="1" t="s">
        <v>3030</v>
      </c>
      <c r="E457" s="266">
        <f>IFERROR(VLOOKUP(B457,'Сырьё'!$C$6:$E$233,3,FALSE()),IFERROR(VLOOKUP(B457,'Полупродукты'!$C$6:$E$60,3,FALSE()),0))</f>
        <v>6.519</v>
      </c>
      <c r="F457" s="266">
        <f t="shared" si="1"/>
        <v>0.14100597</v>
      </c>
      <c r="G457" s="1">
        <v>0.0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0" customHeight="1">
      <c r="A458" s="1" t="s">
        <v>745</v>
      </c>
      <c r="B458" s="1" t="s">
        <v>520</v>
      </c>
      <c r="C458" s="1">
        <v>2.28E-4</v>
      </c>
      <c r="D458" s="1" t="s">
        <v>3031</v>
      </c>
      <c r="E458" s="266">
        <f>IFERROR(VLOOKUP(B458,'Сырьё'!$C$6:$E$233,3,FALSE()),IFERROR(VLOOKUP(B458,'Полупродукты'!$C$6:$E$60,3,FALSE()),0))</f>
        <v>30.1527</v>
      </c>
      <c r="F458" s="266">
        <f t="shared" si="1"/>
        <v>0.0068748156</v>
      </c>
      <c r="G458" s="1">
        <v>0.0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0" customHeight="1">
      <c r="A459" s="1" t="s">
        <v>418</v>
      </c>
      <c r="B459" s="1" t="s">
        <v>418</v>
      </c>
      <c r="C459" s="1">
        <v>1.0</v>
      </c>
      <c r="D459" s="1" t="s">
        <v>3032</v>
      </c>
      <c r="E459" s="266">
        <f>IFERROR(VLOOKUP(B459,'Сырьё'!$C$6:$E$233,3,FALSE()),IFERROR(VLOOKUP(B459,'Полупродукты'!$C$6:$E$60,3,FALSE()),0))</f>
        <v>0</v>
      </c>
      <c r="F459" s="266">
        <f t="shared" si="1"/>
        <v>0</v>
      </c>
      <c r="G459" s="1">
        <v>1.0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0" customHeight="1">
      <c r="A460" s="1" t="s">
        <v>646</v>
      </c>
      <c r="B460" s="1" t="s">
        <v>436</v>
      </c>
      <c r="C460" s="1">
        <v>0.721</v>
      </c>
      <c r="D460" s="1" t="s">
        <v>1572</v>
      </c>
      <c r="E460" s="266">
        <f>IFERROR(VLOOKUP(B460,'Сырьё'!$C$6:$E$233,3,FALSE()),IFERROR(VLOOKUP(B460,'Полупродукты'!$C$6:$E$60,3,FALSE()),0))</f>
        <v>4.7655</v>
      </c>
      <c r="F460" s="266">
        <f t="shared" si="1"/>
        <v>3.4359255</v>
      </c>
      <c r="G460" s="1">
        <v>1.0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0" customHeight="1">
      <c r="A461" s="1" t="s">
        <v>646</v>
      </c>
      <c r="B461" s="1" t="s">
        <v>570</v>
      </c>
      <c r="C461" s="1">
        <v>0.155643</v>
      </c>
      <c r="D461" s="1" t="s">
        <v>3033</v>
      </c>
      <c r="E461" s="266">
        <f>IFERROR(VLOOKUP(B461,'Сырьё'!$C$6:$E$233,3,FALSE()),IFERROR(VLOOKUP(B461,'Полупродукты'!$C$6:$E$60,3,FALSE()),0))</f>
        <v>3.3046</v>
      </c>
      <c r="F461" s="266">
        <f t="shared" si="1"/>
        <v>0.5143378578</v>
      </c>
      <c r="G461" s="1">
        <v>0.0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0" customHeight="1">
      <c r="A462" s="1" t="s">
        <v>646</v>
      </c>
      <c r="B462" s="1" t="s">
        <v>594</v>
      </c>
      <c r="C462" s="1">
        <v>0.124527</v>
      </c>
      <c r="D462" s="1" t="s">
        <v>3034</v>
      </c>
      <c r="E462" s="266">
        <f>IFERROR(VLOOKUP(B462,'Сырьё'!$C$6:$E$233,3,FALSE()),IFERROR(VLOOKUP(B462,'Полупродукты'!$C$6:$E$60,3,FALSE()),0))</f>
        <v>1.7145</v>
      </c>
      <c r="F462" s="266">
        <f t="shared" si="1"/>
        <v>0.2135015415</v>
      </c>
      <c r="G462" s="1">
        <v>0.0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0" customHeight="1">
      <c r="A463" s="1" t="s">
        <v>646</v>
      </c>
      <c r="B463" s="1" t="s">
        <v>579</v>
      </c>
      <c r="C463" s="1">
        <v>0.015527</v>
      </c>
      <c r="D463" s="1" t="s">
        <v>3035</v>
      </c>
      <c r="E463" s="266">
        <f>IFERROR(VLOOKUP(B463,'Сырьё'!$C$6:$E$233,3,FALSE()),IFERROR(VLOOKUP(B463,'Полупродукты'!$C$6:$E$60,3,FALSE()),0))</f>
        <v>1.2831</v>
      </c>
      <c r="F463" s="266">
        <f t="shared" si="1"/>
        <v>0.0199226937</v>
      </c>
      <c r="G463" s="1">
        <v>0.0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0" customHeight="1">
      <c r="A464" s="1" t="s">
        <v>646</v>
      </c>
      <c r="B464" s="1" t="s">
        <v>591</v>
      </c>
      <c r="C464" s="1">
        <v>0.015527</v>
      </c>
      <c r="D464" s="1" t="s">
        <v>3036</v>
      </c>
      <c r="E464" s="266">
        <f>IFERROR(VLOOKUP(B464,'Сырьё'!$C$6:$E$233,3,FALSE()),IFERROR(VLOOKUP(B464,'Полупродукты'!$C$6:$E$60,3,FALSE()),0))</f>
        <v>1.9734</v>
      </c>
      <c r="F464" s="266">
        <f t="shared" si="1"/>
        <v>0.0306409818</v>
      </c>
      <c r="G464" s="1">
        <v>0.0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0" customHeight="1">
      <c r="A465" s="1" t="s">
        <v>646</v>
      </c>
      <c r="B465" s="1" t="s">
        <v>522</v>
      </c>
      <c r="C465" s="1">
        <v>1.32E-4</v>
      </c>
      <c r="D465" s="1" t="s">
        <v>3037</v>
      </c>
      <c r="E465" s="266">
        <f>IFERROR(VLOOKUP(B465,'Сырьё'!$C$6:$E$233,3,FALSE()),IFERROR(VLOOKUP(B465,'Полупродукты'!$C$6:$E$60,3,FALSE()),0))</f>
        <v>3.7834</v>
      </c>
      <c r="F465" s="266">
        <f t="shared" si="1"/>
        <v>0.0004994088</v>
      </c>
      <c r="G465" s="1">
        <v>0.0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0" customHeight="1">
      <c r="A466" s="1" t="s">
        <v>712</v>
      </c>
      <c r="B466" s="1" t="s">
        <v>563</v>
      </c>
      <c r="C466" s="1">
        <v>0.2369</v>
      </c>
      <c r="D466" s="1" t="s">
        <v>2650</v>
      </c>
      <c r="E466" s="266">
        <f>IFERROR(VLOOKUP(B466,'Сырьё'!$C$6:$E$233,3,FALSE()),IFERROR(VLOOKUP(B466,'Полупродукты'!$C$6:$E$60,3,FALSE()),0))</f>
        <v>51.1495</v>
      </c>
      <c r="F466" s="266">
        <f t="shared" si="1"/>
        <v>12.11731655</v>
      </c>
      <c r="G466" s="1">
        <v>0.0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0" customHeight="1">
      <c r="A467" s="1" t="s">
        <v>712</v>
      </c>
      <c r="B467" s="1" t="s">
        <v>550</v>
      </c>
      <c r="C467" s="1">
        <v>0.12669</v>
      </c>
      <c r="D467" s="1" t="s">
        <v>2653</v>
      </c>
      <c r="E467" s="266">
        <f>IFERROR(VLOOKUP(B467,'Сырьё'!$C$6:$E$233,3,FALSE()),IFERROR(VLOOKUP(B467,'Полупродукты'!$C$6:$E$60,3,FALSE()),0))</f>
        <v>0</v>
      </c>
      <c r="F467" s="266">
        <f t="shared" si="1"/>
        <v>0</v>
      </c>
      <c r="G467" s="1">
        <v>0.0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0" customHeight="1">
      <c r="A468" s="1" t="s">
        <v>712</v>
      </c>
      <c r="B468" s="1" t="s">
        <v>594</v>
      </c>
      <c r="C468" s="1">
        <v>0.26368</v>
      </c>
      <c r="D468" s="1" t="s">
        <v>2649</v>
      </c>
      <c r="E468" s="266">
        <f>IFERROR(VLOOKUP(B468,'Сырьё'!$C$6:$E$233,3,FALSE()),IFERROR(VLOOKUP(B468,'Полупродукты'!$C$6:$E$60,3,FALSE()),0))</f>
        <v>1.7145</v>
      </c>
      <c r="F468" s="266">
        <f t="shared" si="1"/>
        <v>0.45207936</v>
      </c>
      <c r="G468" s="1">
        <v>0.0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0" customHeight="1">
      <c r="A469" s="1" t="s">
        <v>712</v>
      </c>
      <c r="B469" s="1" t="s">
        <v>579</v>
      </c>
      <c r="C469" s="1">
        <v>0.30591</v>
      </c>
      <c r="D469" s="1" t="s">
        <v>2648</v>
      </c>
      <c r="E469" s="266">
        <f>IFERROR(VLOOKUP(B469,'Сырьё'!$C$6:$E$233,3,FALSE()),IFERROR(VLOOKUP(B469,'Полупродукты'!$C$6:$E$60,3,FALSE()),0))</f>
        <v>1.2831</v>
      </c>
      <c r="F469" s="266">
        <f t="shared" si="1"/>
        <v>0.392513121</v>
      </c>
      <c r="G469" s="1">
        <v>0.0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0" customHeight="1">
      <c r="A470" s="1" t="s">
        <v>712</v>
      </c>
      <c r="B470" s="1" t="s">
        <v>537</v>
      </c>
      <c r="C470" s="1">
        <v>0.021115</v>
      </c>
      <c r="D470" s="1" t="s">
        <v>2655</v>
      </c>
      <c r="E470" s="266">
        <f>IFERROR(VLOOKUP(B470,'Сырьё'!$C$6:$E$233,3,FALSE()),IFERROR(VLOOKUP(B470,'Полупродукты'!$C$6:$E$60,3,FALSE()),0))</f>
        <v>8.8284</v>
      </c>
      <c r="F470" s="266">
        <f t="shared" si="1"/>
        <v>0.186411666</v>
      </c>
      <c r="G470" s="1">
        <v>0.0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0" customHeight="1">
      <c r="A471" s="1" t="s">
        <v>712</v>
      </c>
      <c r="B471" s="1" t="s">
        <v>593</v>
      </c>
      <c r="C471" s="1">
        <v>0.158105</v>
      </c>
      <c r="D471" s="1" t="s">
        <v>2651</v>
      </c>
      <c r="E471" s="266">
        <f>IFERROR(VLOOKUP(B471,'Сырьё'!$C$6:$E$233,3,FALSE()),IFERROR(VLOOKUP(B471,'Полупродукты'!$C$6:$E$60,3,FALSE()),0))</f>
        <v>1.6575</v>
      </c>
      <c r="F471" s="266">
        <f t="shared" si="1"/>
        <v>0.2620590375</v>
      </c>
      <c r="G471" s="1">
        <v>0.0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0" customHeight="1">
      <c r="A472" s="1" t="s">
        <v>709</v>
      </c>
      <c r="B472" s="1" t="s">
        <v>396</v>
      </c>
      <c r="C472" s="1">
        <v>0.515</v>
      </c>
      <c r="D472" s="1" t="s">
        <v>1472</v>
      </c>
      <c r="E472" s="266">
        <f>IFERROR(VLOOKUP(B472,'Сырьё'!$C$6:$E$233,3,FALSE()),IFERROR(VLOOKUP(B472,'Полупродукты'!$C$6:$E$60,3,FALSE()),0))</f>
        <v>0</v>
      </c>
      <c r="F472" s="266">
        <f t="shared" si="1"/>
        <v>0</v>
      </c>
      <c r="G472" s="1">
        <v>1.0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0" customHeight="1">
      <c r="A473" s="1" t="s">
        <v>709</v>
      </c>
      <c r="B473" s="1" t="s">
        <v>590</v>
      </c>
      <c r="C473" s="1">
        <v>0.2472</v>
      </c>
      <c r="D473" s="1" t="s">
        <v>1474</v>
      </c>
      <c r="E473" s="266">
        <f>IFERROR(VLOOKUP(B473,'Сырьё'!$C$6:$E$233,3,FALSE()),IFERROR(VLOOKUP(B473,'Полупродукты'!$C$6:$E$60,3,FALSE()),0))</f>
        <v>1.8153</v>
      </c>
      <c r="F473" s="266">
        <f t="shared" si="1"/>
        <v>0.44874216</v>
      </c>
      <c r="G473" s="1">
        <v>0.0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0" customHeight="1">
      <c r="A474" s="1" t="s">
        <v>709</v>
      </c>
      <c r="B474" s="1" t="s">
        <v>530</v>
      </c>
      <c r="C474" s="1">
        <v>0.0206</v>
      </c>
      <c r="D474" s="1" t="s">
        <v>1476</v>
      </c>
      <c r="E474" s="266">
        <f>IFERROR(VLOOKUP(B474,'Сырьё'!$C$6:$E$233,3,FALSE()),IFERROR(VLOOKUP(B474,'Полупродукты'!$C$6:$E$60,3,FALSE()),0))</f>
        <v>0</v>
      </c>
      <c r="F474" s="266">
        <f t="shared" si="1"/>
        <v>0</v>
      </c>
      <c r="G474" s="1">
        <v>0.0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0" customHeight="1">
      <c r="A475" s="1" t="s">
        <v>709</v>
      </c>
      <c r="B475" s="1" t="s">
        <v>556</v>
      </c>
      <c r="C475" s="1">
        <v>0.2472</v>
      </c>
      <c r="D475" s="1" t="s">
        <v>1478</v>
      </c>
      <c r="E475" s="266">
        <f>IFERROR(VLOOKUP(B475,'Сырьё'!$C$6:$E$233,3,FALSE()),IFERROR(VLOOKUP(B475,'Полупродукты'!$C$6:$E$60,3,FALSE()),0))</f>
        <v>5.6362</v>
      </c>
      <c r="F475" s="266">
        <f t="shared" si="1"/>
        <v>1.39326864</v>
      </c>
      <c r="G475" s="1">
        <v>0.0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0" customHeight="1">
      <c r="A476" s="1" t="s">
        <v>420</v>
      </c>
      <c r="B476" s="1" t="s">
        <v>420</v>
      </c>
      <c r="C476" s="1">
        <v>1.0</v>
      </c>
      <c r="D476" s="1" t="s">
        <v>3038</v>
      </c>
      <c r="E476" s="266">
        <f>IFERROR(VLOOKUP(B476,'Сырьё'!$C$6:$E$233,3,FALSE()),IFERROR(VLOOKUP(B476,'Полупродукты'!$C$6:$E$60,3,FALSE()),0))</f>
        <v>2.4576</v>
      </c>
      <c r="F476" s="266">
        <f t="shared" si="1"/>
        <v>2.4576</v>
      </c>
      <c r="G476" s="1">
        <v>1.0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0" customHeight="1">
      <c r="A477" s="1" t="s">
        <v>538</v>
      </c>
      <c r="B477" s="1" t="s">
        <v>431</v>
      </c>
      <c r="C477" s="1">
        <v>0.721</v>
      </c>
      <c r="D477" s="1" t="s">
        <v>1772</v>
      </c>
      <c r="E477" s="266">
        <f>IFERROR(VLOOKUP(B477,'Сырьё'!$C$6:$E$233,3,FALSE()),IFERROR(VLOOKUP(B477,'Полупродукты'!$C$6:$E$60,3,FALSE()),0))</f>
        <v>8.7213</v>
      </c>
      <c r="F477" s="266">
        <f t="shared" si="1"/>
        <v>6.2880573</v>
      </c>
      <c r="G477" s="1">
        <v>1.0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0" customHeight="1">
      <c r="A478" s="1" t="s">
        <v>538</v>
      </c>
      <c r="B478" s="1" t="s">
        <v>570</v>
      </c>
      <c r="C478" s="1">
        <v>0.036555</v>
      </c>
      <c r="D478" s="1" t="s">
        <v>3039</v>
      </c>
      <c r="E478" s="266">
        <f>IFERROR(VLOOKUP(B478,'Сырьё'!$C$6:$E$233,3,FALSE()),IFERROR(VLOOKUP(B478,'Полупродукты'!$C$6:$E$60,3,FALSE()),0))</f>
        <v>3.3046</v>
      </c>
      <c r="F478" s="266">
        <f t="shared" si="1"/>
        <v>0.120799653</v>
      </c>
      <c r="G478" s="1">
        <v>0.0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0" customHeight="1">
      <c r="A479" s="1" t="s">
        <v>538</v>
      </c>
      <c r="B479" s="1" t="s">
        <v>569</v>
      </c>
      <c r="C479" s="1">
        <v>0.027748</v>
      </c>
      <c r="D479" s="1" t="s">
        <v>3040</v>
      </c>
      <c r="E479" s="266">
        <f>IFERROR(VLOOKUP(B479,'Сырьё'!$C$6:$E$233,3,FALSE()),IFERROR(VLOOKUP(B479,'Полупродукты'!$C$6:$E$60,3,FALSE()),0))</f>
        <v>3.2853</v>
      </c>
      <c r="F479" s="266">
        <f t="shared" si="1"/>
        <v>0.0911605044</v>
      </c>
      <c r="G479" s="1">
        <v>0.0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0" customHeight="1">
      <c r="A480" s="1" t="s">
        <v>538</v>
      </c>
      <c r="B480" s="1" t="s">
        <v>594</v>
      </c>
      <c r="C480" s="1">
        <v>0.078265</v>
      </c>
      <c r="D480" s="1" t="s">
        <v>3041</v>
      </c>
      <c r="E480" s="266">
        <f>IFERROR(VLOOKUP(B480,'Сырьё'!$C$6:$E$233,3,FALSE()),IFERROR(VLOOKUP(B480,'Полупродукты'!$C$6:$E$60,3,FALSE()),0))</f>
        <v>1.7145</v>
      </c>
      <c r="F480" s="266">
        <f t="shared" si="1"/>
        <v>0.1341853425</v>
      </c>
      <c r="G480" s="1">
        <v>0.0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0" customHeight="1">
      <c r="A481" s="1" t="s">
        <v>538</v>
      </c>
      <c r="B481" s="1" t="s">
        <v>579</v>
      </c>
      <c r="C481" s="1">
        <v>0.047169</v>
      </c>
      <c r="D481" s="1" t="s">
        <v>3042</v>
      </c>
      <c r="E481" s="266">
        <f>IFERROR(VLOOKUP(B481,'Сырьё'!$C$6:$E$233,3,FALSE()),IFERROR(VLOOKUP(B481,'Полупродукты'!$C$6:$E$60,3,FALSE()),0))</f>
        <v>1.2831</v>
      </c>
      <c r="F481" s="266">
        <f t="shared" si="1"/>
        <v>0.0605225439</v>
      </c>
      <c r="G481" s="1">
        <v>0.0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0" customHeight="1">
      <c r="A482" s="1" t="s">
        <v>538</v>
      </c>
      <c r="B482" s="1" t="s">
        <v>591</v>
      </c>
      <c r="C482" s="1">
        <v>0.015651</v>
      </c>
      <c r="D482" s="1" t="s">
        <v>3043</v>
      </c>
      <c r="E482" s="266">
        <f>IFERROR(VLOOKUP(B482,'Сырьё'!$C$6:$E$233,3,FALSE()),IFERROR(VLOOKUP(B482,'Полупродукты'!$C$6:$E$60,3,FALSE()),0))</f>
        <v>1.9734</v>
      </c>
      <c r="F482" s="266">
        <f t="shared" si="1"/>
        <v>0.0308856834</v>
      </c>
      <c r="G482" s="1">
        <v>0.0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0" customHeight="1">
      <c r="A483" s="1" t="s">
        <v>538</v>
      </c>
      <c r="B483" s="1" t="s">
        <v>532</v>
      </c>
      <c r="C483" s="1">
        <v>0.005516</v>
      </c>
      <c r="D483" s="1" t="s">
        <v>3044</v>
      </c>
      <c r="E483" s="266">
        <f>IFERROR(VLOOKUP(B483,'Сырьё'!$C$6:$E$233,3,FALSE()),IFERROR(VLOOKUP(B483,'Полупродукты'!$C$6:$E$60,3,FALSE()),0))</f>
        <v>2.337</v>
      </c>
      <c r="F483" s="266">
        <f t="shared" si="1"/>
        <v>0.012890892</v>
      </c>
      <c r="G483" s="1">
        <v>0.0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0" customHeight="1">
      <c r="A484" s="1" t="s">
        <v>538</v>
      </c>
      <c r="B484" s="1" t="s">
        <v>520</v>
      </c>
      <c r="C484" s="1">
        <v>5.38E-4</v>
      </c>
      <c r="D484" s="1" t="s">
        <v>3045</v>
      </c>
      <c r="E484" s="266">
        <f>IFERROR(VLOOKUP(B484,'Сырьё'!$C$6:$E$233,3,FALSE()),IFERROR(VLOOKUP(B484,'Полупродукты'!$C$6:$E$60,3,FALSE()),0))</f>
        <v>30.1527</v>
      </c>
      <c r="F484" s="266">
        <f t="shared" si="1"/>
        <v>0.0162221526</v>
      </c>
      <c r="G484" s="1">
        <v>0.0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0" customHeight="1">
      <c r="A485" s="1" t="s">
        <v>538</v>
      </c>
      <c r="B485" s="1" t="s">
        <v>549</v>
      </c>
      <c r="C485" s="1">
        <v>0.02575</v>
      </c>
      <c r="D485" s="1" t="s">
        <v>3046</v>
      </c>
      <c r="E485" s="266">
        <f>IFERROR(VLOOKUP(B485,'Сырьё'!$C$6:$E$233,3,FALSE()),IFERROR(VLOOKUP(B485,'Полупродукты'!$C$6:$E$60,3,FALSE()),0))</f>
        <v>6.519</v>
      </c>
      <c r="F485" s="266">
        <f t="shared" si="1"/>
        <v>0.16786425</v>
      </c>
      <c r="G485" s="1">
        <v>0.0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0" customHeight="1">
      <c r="A486" s="1" t="s">
        <v>538</v>
      </c>
      <c r="B486" s="1" t="s">
        <v>593</v>
      </c>
      <c r="C486" s="1">
        <v>0.023072</v>
      </c>
      <c r="D486" s="1" t="s">
        <v>3047</v>
      </c>
      <c r="E486" s="266">
        <f>IFERROR(VLOOKUP(B486,'Сырьё'!$C$6:$E$233,3,FALSE()),IFERROR(VLOOKUP(B486,'Полупродукты'!$C$6:$E$60,3,FALSE()),0))</f>
        <v>1.6575</v>
      </c>
      <c r="F486" s="266">
        <f t="shared" si="1"/>
        <v>0.03824184</v>
      </c>
      <c r="G486" s="1">
        <v>0.0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0" customHeight="1">
      <c r="A487" s="1" t="s">
        <v>538</v>
      </c>
      <c r="B487" s="1" t="s">
        <v>573</v>
      </c>
      <c r="C487" s="1">
        <v>0.0515</v>
      </c>
      <c r="D487" s="1" t="s">
        <v>1778</v>
      </c>
      <c r="E487" s="266">
        <f>IFERROR(VLOOKUP(B487,'Сырьё'!$C$6:$E$233,3,FALSE()),IFERROR(VLOOKUP(B487,'Полупродукты'!$C$6:$E$60,3,FALSE()),0))</f>
        <v>4.7016</v>
      </c>
      <c r="F487" s="266">
        <f t="shared" si="1"/>
        <v>0.2421324</v>
      </c>
      <c r="G487" s="1">
        <v>0.0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0" customHeight="1">
      <c r="A488" s="1" t="s">
        <v>678</v>
      </c>
      <c r="B488" s="1" t="s">
        <v>429</v>
      </c>
      <c r="C488" s="1">
        <v>0.824</v>
      </c>
      <c r="D488" s="1" t="s">
        <v>1364</v>
      </c>
      <c r="E488" s="266">
        <f>IFERROR(VLOOKUP(B488,'Сырьё'!$C$6:$E$233,3,FALSE()),IFERROR(VLOOKUP(B488,'Полупродукты'!$C$6:$E$60,3,FALSE()),0))</f>
        <v>3.6345</v>
      </c>
      <c r="F488" s="266">
        <f t="shared" si="1"/>
        <v>2.994828</v>
      </c>
      <c r="G488" s="1">
        <v>1.0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0" customHeight="1">
      <c r="A489" s="1" t="s">
        <v>678</v>
      </c>
      <c r="B489" s="1" t="s">
        <v>570</v>
      </c>
      <c r="C489" s="1">
        <v>0.04874</v>
      </c>
      <c r="D489" s="1" t="s">
        <v>3048</v>
      </c>
      <c r="E489" s="266">
        <f>IFERROR(VLOOKUP(B489,'Сырьё'!$C$6:$E$233,3,FALSE()),IFERROR(VLOOKUP(B489,'Полупродукты'!$C$6:$E$60,3,FALSE()),0))</f>
        <v>3.3046</v>
      </c>
      <c r="F489" s="266">
        <f t="shared" si="1"/>
        <v>0.161066204</v>
      </c>
      <c r="G489" s="1">
        <v>0.0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0" customHeight="1">
      <c r="A490" s="1" t="s">
        <v>678</v>
      </c>
      <c r="B490" s="1" t="s">
        <v>569</v>
      </c>
      <c r="C490" s="1">
        <v>0.036998</v>
      </c>
      <c r="D490" s="1" t="s">
        <v>3049</v>
      </c>
      <c r="E490" s="266">
        <f>IFERROR(VLOOKUP(B490,'Сырьё'!$C$6:$E$233,3,FALSE()),IFERROR(VLOOKUP(B490,'Полупродукты'!$C$6:$E$60,3,FALSE()),0))</f>
        <v>3.2853</v>
      </c>
      <c r="F490" s="266">
        <f t="shared" si="1"/>
        <v>0.1215495294</v>
      </c>
      <c r="G490" s="1">
        <v>0.0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0" customHeight="1">
      <c r="A491" s="1" t="s">
        <v>678</v>
      </c>
      <c r="B491" s="1" t="s">
        <v>594</v>
      </c>
      <c r="C491" s="1">
        <v>0.074139</v>
      </c>
      <c r="D491" s="1" t="s">
        <v>3050</v>
      </c>
      <c r="E491" s="266">
        <f>IFERROR(VLOOKUP(B491,'Сырьё'!$C$6:$E$233,3,FALSE()),IFERROR(VLOOKUP(B491,'Полупродукты'!$C$6:$E$60,3,FALSE()),0))</f>
        <v>1.7145</v>
      </c>
      <c r="F491" s="266">
        <f t="shared" si="1"/>
        <v>0.1271113155</v>
      </c>
      <c r="G491" s="1">
        <v>0.0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0" customHeight="1">
      <c r="A492" s="1" t="s">
        <v>678</v>
      </c>
      <c r="B492" s="1" t="s">
        <v>579</v>
      </c>
      <c r="C492" s="1">
        <v>0.020868</v>
      </c>
      <c r="D492" s="1" t="s">
        <v>3051</v>
      </c>
      <c r="E492" s="266">
        <f>IFERROR(VLOOKUP(B492,'Сырьё'!$C$6:$E$233,3,FALSE()),IFERROR(VLOOKUP(B492,'Полупродукты'!$C$6:$E$60,3,FALSE()),0))</f>
        <v>1.2831</v>
      </c>
      <c r="F492" s="266">
        <f t="shared" si="1"/>
        <v>0.0267757308</v>
      </c>
      <c r="G492" s="1">
        <v>0.0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0" customHeight="1">
      <c r="A493" s="1" t="s">
        <v>678</v>
      </c>
      <c r="B493" s="1" t="s">
        <v>591</v>
      </c>
      <c r="C493" s="1">
        <v>0.020868</v>
      </c>
      <c r="D493" s="1" t="s">
        <v>3052</v>
      </c>
      <c r="E493" s="266">
        <f>IFERROR(VLOOKUP(B493,'Сырьё'!$C$6:$E$233,3,FALSE()),IFERROR(VLOOKUP(B493,'Полупродукты'!$C$6:$E$60,3,FALSE()),0))</f>
        <v>1.9734</v>
      </c>
      <c r="F493" s="266">
        <f t="shared" si="1"/>
        <v>0.0411809112</v>
      </c>
      <c r="G493" s="1">
        <v>0.0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0" customHeight="1">
      <c r="A494" s="1" t="s">
        <v>678</v>
      </c>
      <c r="B494" s="1" t="s">
        <v>532</v>
      </c>
      <c r="C494" s="1">
        <v>0.007354</v>
      </c>
      <c r="D494" s="1" t="s">
        <v>3053</v>
      </c>
      <c r="E494" s="266">
        <f>IFERROR(VLOOKUP(B494,'Сырьё'!$C$6:$E$233,3,FALSE()),IFERROR(VLOOKUP(B494,'Полупродукты'!$C$6:$E$60,3,FALSE()),0))</f>
        <v>2.337</v>
      </c>
      <c r="F494" s="266">
        <f t="shared" si="1"/>
        <v>0.017186298</v>
      </c>
      <c r="G494" s="1">
        <v>0.0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0" customHeight="1">
      <c r="A495" s="1" t="s">
        <v>678</v>
      </c>
      <c r="B495" s="1" t="s">
        <v>520</v>
      </c>
      <c r="C495" s="1">
        <v>7.17E-4</v>
      </c>
      <c r="D495" s="1" t="s">
        <v>3054</v>
      </c>
      <c r="E495" s="266">
        <f>IFERROR(VLOOKUP(B495,'Сырьё'!$C$6:$E$233,3,FALSE()),IFERROR(VLOOKUP(B495,'Полупродукты'!$C$6:$E$60,3,FALSE()),0))</f>
        <v>30.1527</v>
      </c>
      <c r="F495" s="266">
        <f t="shared" si="1"/>
        <v>0.0216194859</v>
      </c>
      <c r="G495" s="1">
        <v>0.0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0" customHeight="1">
      <c r="A496" s="1" t="s">
        <v>678</v>
      </c>
      <c r="B496" s="1" t="s">
        <v>522</v>
      </c>
      <c r="C496" s="1">
        <v>0.052541</v>
      </c>
      <c r="D496" s="1" t="s">
        <v>1368</v>
      </c>
      <c r="E496" s="266">
        <f>IFERROR(VLOOKUP(B496,'Сырьё'!$C$6:$E$233,3,FALSE()),IFERROR(VLOOKUP(B496,'Полупродукты'!$C$6:$E$60,3,FALSE()),0))</f>
        <v>3.7834</v>
      </c>
      <c r="F496" s="266">
        <f t="shared" si="1"/>
        <v>0.1987836194</v>
      </c>
      <c r="G496" s="1">
        <v>0.0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0" customHeight="1">
      <c r="A497" s="1" t="s">
        <v>696</v>
      </c>
      <c r="B497" s="1" t="s">
        <v>584</v>
      </c>
      <c r="C497" s="1">
        <v>0.103</v>
      </c>
      <c r="D497" s="1" t="s">
        <v>1334</v>
      </c>
      <c r="E497" s="266">
        <f>IFERROR(VLOOKUP(B497,'Сырьё'!$C$6:$E$233,3,FALSE()),IFERROR(VLOOKUP(B497,'Полупродукты'!$C$6:$E$60,3,FALSE()),0))</f>
        <v>2.0494</v>
      </c>
      <c r="F497" s="266">
        <f t="shared" si="1"/>
        <v>0.2110882</v>
      </c>
      <c r="G497" s="1">
        <v>0.0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0" customHeight="1">
      <c r="A498" s="1" t="s">
        <v>696</v>
      </c>
      <c r="B498" s="1" t="s">
        <v>593</v>
      </c>
      <c r="C498" s="1">
        <v>0.62315</v>
      </c>
      <c r="D498" s="1" t="s">
        <v>1336</v>
      </c>
      <c r="E498" s="266">
        <f>IFERROR(VLOOKUP(B498,'Сырьё'!$C$6:$E$233,3,FALSE()),IFERROR(VLOOKUP(B498,'Полупродукты'!$C$6:$E$60,3,FALSE()),0))</f>
        <v>1.6575</v>
      </c>
      <c r="F498" s="266">
        <f t="shared" si="1"/>
        <v>1.032871125</v>
      </c>
      <c r="G498" s="1">
        <v>0.0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0" customHeight="1">
      <c r="A499" s="1" t="s">
        <v>696</v>
      </c>
      <c r="B499" s="1" t="s">
        <v>572</v>
      </c>
      <c r="C499" s="1">
        <v>0.1545</v>
      </c>
      <c r="D499" s="1" t="s">
        <v>1338</v>
      </c>
      <c r="E499" s="266">
        <f>IFERROR(VLOOKUP(B499,'Сырьё'!$C$6:$E$233,3,FALSE()),IFERROR(VLOOKUP(B499,'Полупродукты'!$C$6:$E$60,3,FALSE()),0))</f>
        <v>6.4085</v>
      </c>
      <c r="F499" s="266">
        <f t="shared" si="1"/>
        <v>0.99011325</v>
      </c>
      <c r="G499" s="1">
        <v>0.0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0" customHeight="1">
      <c r="A500" s="1" t="s">
        <v>696</v>
      </c>
      <c r="B500" s="1" t="s">
        <v>580</v>
      </c>
      <c r="C500" s="1">
        <v>0.04635</v>
      </c>
      <c r="D500" s="1" t="s">
        <v>1340</v>
      </c>
      <c r="E500" s="266">
        <f>IFERROR(VLOOKUP(B500,'Сырьё'!$C$6:$E$233,3,FALSE()),IFERROR(VLOOKUP(B500,'Полупродукты'!$C$6:$E$60,3,FALSE()),0))</f>
        <v>6.1299</v>
      </c>
      <c r="F500" s="266">
        <f t="shared" si="1"/>
        <v>0.284120865</v>
      </c>
      <c r="G500" s="1">
        <v>0.0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0" customHeight="1">
      <c r="A501" s="1" t="s">
        <v>696</v>
      </c>
      <c r="B501" s="1" t="s">
        <v>576</v>
      </c>
      <c r="C501" s="1">
        <v>0.00515</v>
      </c>
      <c r="D501" s="1" t="s">
        <v>1342</v>
      </c>
      <c r="E501" s="266">
        <f>IFERROR(VLOOKUP(B501,'Сырьё'!$C$6:$E$233,3,FALSE()),IFERROR(VLOOKUP(B501,'Полупродукты'!$C$6:$E$60,3,FALSE()),0))</f>
        <v>4.6836</v>
      </c>
      <c r="F501" s="266">
        <f t="shared" si="1"/>
        <v>0.02412054</v>
      </c>
      <c r="G501" s="1">
        <v>0.0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0" customHeight="1">
      <c r="A502" s="1" t="s">
        <v>696</v>
      </c>
      <c r="B502" s="1" t="s">
        <v>539</v>
      </c>
      <c r="C502" s="1">
        <v>0.0515</v>
      </c>
      <c r="D502" s="1" t="s">
        <v>1344</v>
      </c>
      <c r="E502" s="266">
        <f>IFERROR(VLOOKUP(B502,'Сырьё'!$C$6:$E$233,3,FALSE()),IFERROR(VLOOKUP(B502,'Полупродукты'!$C$6:$E$60,3,FALSE()),0))</f>
        <v>3.2337</v>
      </c>
      <c r="F502" s="266">
        <f t="shared" si="1"/>
        <v>0.16653555</v>
      </c>
      <c r="G502" s="1">
        <v>0.0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0" customHeight="1">
      <c r="A503" s="1" t="s">
        <v>696</v>
      </c>
      <c r="B503" s="1" t="s">
        <v>574</v>
      </c>
      <c r="C503" s="1">
        <v>0.04635</v>
      </c>
      <c r="D503" s="1" t="s">
        <v>1346</v>
      </c>
      <c r="E503" s="266">
        <f>IFERROR(VLOOKUP(B503,'Сырьё'!$C$6:$E$233,3,FALSE()),IFERROR(VLOOKUP(B503,'Полупродукты'!$C$6:$E$60,3,FALSE()),0))</f>
        <v>0</v>
      </c>
      <c r="F503" s="266">
        <f t="shared" si="1"/>
        <v>0</v>
      </c>
      <c r="G503" s="1">
        <v>0.0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0" customHeight="1">
      <c r="A504" s="1" t="s">
        <v>746</v>
      </c>
      <c r="B504" s="1" t="s">
        <v>594</v>
      </c>
      <c r="C504" s="1">
        <v>0.1545</v>
      </c>
      <c r="D504" s="1" t="s">
        <v>2059</v>
      </c>
      <c r="E504" s="266">
        <f>IFERROR(VLOOKUP(B504,'Сырьё'!$C$6:$E$233,3,FALSE()),IFERROR(VLOOKUP(B504,'Полупродукты'!$C$6:$E$60,3,FALSE()),0))</f>
        <v>1.7145</v>
      </c>
      <c r="F504" s="266">
        <f t="shared" si="1"/>
        <v>0.26489025</v>
      </c>
      <c r="G504" s="1">
        <v>0.0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0" customHeight="1">
      <c r="A505" s="1" t="s">
        <v>746</v>
      </c>
      <c r="B505" s="1" t="s">
        <v>579</v>
      </c>
      <c r="C505" s="1">
        <v>0.35844</v>
      </c>
      <c r="D505" s="1" t="s">
        <v>2061</v>
      </c>
      <c r="E505" s="266">
        <f>IFERROR(VLOOKUP(B505,'Сырьё'!$C$6:$E$233,3,FALSE()),IFERROR(VLOOKUP(B505,'Полупродукты'!$C$6:$E$60,3,FALSE()),0))</f>
        <v>1.2831</v>
      </c>
      <c r="F505" s="266">
        <f t="shared" si="1"/>
        <v>0.459914364</v>
      </c>
      <c r="G505" s="1">
        <v>0.0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0" customHeight="1">
      <c r="A506" s="1" t="s">
        <v>746</v>
      </c>
      <c r="B506" s="1" t="s">
        <v>593</v>
      </c>
      <c r="C506" s="1">
        <v>0.1854</v>
      </c>
      <c r="D506" s="1" t="s">
        <v>2063</v>
      </c>
      <c r="E506" s="266">
        <f>IFERROR(VLOOKUP(B506,'Сырьё'!$C$6:$E$233,3,FALSE()),IFERROR(VLOOKUP(B506,'Полупродукты'!$C$6:$E$60,3,FALSE()),0))</f>
        <v>1.6575</v>
      </c>
      <c r="F506" s="266">
        <f t="shared" si="1"/>
        <v>0.3073005</v>
      </c>
      <c r="G506" s="1">
        <v>0.0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0" customHeight="1">
      <c r="A507" s="1" t="s">
        <v>746</v>
      </c>
      <c r="B507" s="1" t="s">
        <v>585</v>
      </c>
      <c r="C507" s="1">
        <v>0.1236</v>
      </c>
      <c r="D507" s="1" t="s">
        <v>3055</v>
      </c>
      <c r="E507" s="266">
        <f>IFERROR(VLOOKUP(B507,'Сырьё'!$C$6:$E$233,3,FALSE()),IFERROR(VLOOKUP(B507,'Полупродукты'!$C$6:$E$60,3,FALSE()),0))</f>
        <v>6.9052</v>
      </c>
      <c r="F507" s="266">
        <f t="shared" si="1"/>
        <v>0.85348272</v>
      </c>
      <c r="G507" s="1">
        <v>0.0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0" customHeight="1">
      <c r="A508" s="1" t="s">
        <v>746</v>
      </c>
      <c r="B508" s="1" t="s">
        <v>537</v>
      </c>
      <c r="C508" s="1">
        <v>0.01854</v>
      </c>
      <c r="D508" s="1" t="s">
        <v>2067</v>
      </c>
      <c r="E508" s="266">
        <f>IFERROR(VLOOKUP(B508,'Сырьё'!$C$6:$E$233,3,FALSE()),IFERROR(VLOOKUP(B508,'Полупродукты'!$C$6:$E$60,3,FALSE()),0))</f>
        <v>8.8284</v>
      </c>
      <c r="F508" s="266">
        <f t="shared" si="1"/>
        <v>0.163678536</v>
      </c>
      <c r="G508" s="1">
        <v>0.0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0" customHeight="1">
      <c r="A509" s="1" t="s">
        <v>746</v>
      </c>
      <c r="B509" s="1" t="s">
        <v>543</v>
      </c>
      <c r="C509" s="1">
        <v>0.00412</v>
      </c>
      <c r="D509" s="1" t="s">
        <v>2069</v>
      </c>
      <c r="E509" s="266">
        <f>IFERROR(VLOOKUP(B509,'Сырьё'!$C$6:$E$233,3,FALSE()),IFERROR(VLOOKUP(B509,'Полупродукты'!$C$6:$E$60,3,FALSE()),0))</f>
        <v>80.7112</v>
      </c>
      <c r="F509" s="266">
        <f t="shared" si="1"/>
        <v>0.332530144</v>
      </c>
      <c r="G509" s="1">
        <v>0.0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0" customHeight="1">
      <c r="A510" s="1" t="s">
        <v>746</v>
      </c>
      <c r="B510" s="1" t="s">
        <v>565</v>
      </c>
      <c r="C510" s="1">
        <v>0.1854</v>
      </c>
      <c r="D510" s="1" t="s">
        <v>2071</v>
      </c>
      <c r="E510" s="266">
        <f>IFERROR(VLOOKUP(B510,'Сырьё'!$C$6:$E$233,3,FALSE()),IFERROR(VLOOKUP(B510,'Полупродукты'!$C$6:$E$60,3,FALSE()),0))</f>
        <v>0</v>
      </c>
      <c r="F510" s="266">
        <f t="shared" si="1"/>
        <v>0</v>
      </c>
      <c r="G510" s="1">
        <v>0.0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0" customHeight="1">
      <c r="A511" s="1" t="s">
        <v>719</v>
      </c>
      <c r="B511" s="1" t="s">
        <v>594</v>
      </c>
      <c r="C511" s="1">
        <v>0.1545</v>
      </c>
      <c r="D511" s="1" t="s">
        <v>1274</v>
      </c>
      <c r="E511" s="266">
        <f>IFERROR(VLOOKUP(B511,'Сырьё'!$C$6:$E$233,3,FALSE()),IFERROR(VLOOKUP(B511,'Полупродукты'!$C$6:$E$60,3,FALSE()),0))</f>
        <v>1.7145</v>
      </c>
      <c r="F511" s="266">
        <f t="shared" si="1"/>
        <v>0.26489025</v>
      </c>
      <c r="G511" s="1">
        <v>0.0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0" customHeight="1">
      <c r="A512" s="1" t="s">
        <v>719</v>
      </c>
      <c r="B512" s="1" t="s">
        <v>579</v>
      </c>
      <c r="C512" s="1">
        <v>0.2575</v>
      </c>
      <c r="D512" s="1" t="s">
        <v>1276</v>
      </c>
      <c r="E512" s="266">
        <f>IFERROR(VLOOKUP(B512,'Сырьё'!$C$6:$E$233,3,FALSE()),IFERROR(VLOOKUP(B512,'Полупродукты'!$C$6:$E$60,3,FALSE()),0))</f>
        <v>1.2831</v>
      </c>
      <c r="F512" s="266">
        <f t="shared" si="1"/>
        <v>0.33039825</v>
      </c>
      <c r="G512" s="1">
        <v>0.0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0" customHeight="1">
      <c r="A513" s="1" t="s">
        <v>719</v>
      </c>
      <c r="B513" s="1" t="s">
        <v>593</v>
      </c>
      <c r="C513" s="1">
        <v>0.1545</v>
      </c>
      <c r="D513" s="1" t="s">
        <v>1278</v>
      </c>
      <c r="E513" s="266">
        <f>IFERROR(VLOOKUP(B513,'Сырьё'!$C$6:$E$233,3,FALSE()),IFERROR(VLOOKUP(B513,'Полупродукты'!$C$6:$E$60,3,FALSE()),0))</f>
        <v>1.6575</v>
      </c>
      <c r="F513" s="266">
        <f t="shared" si="1"/>
        <v>0.25608375</v>
      </c>
      <c r="G513" s="1">
        <v>0.0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0" customHeight="1">
      <c r="A514" s="1" t="s">
        <v>719</v>
      </c>
      <c r="B514" s="1" t="s">
        <v>548</v>
      </c>
      <c r="C514" s="1">
        <v>0.4635</v>
      </c>
      <c r="D514" s="1" t="s">
        <v>1280</v>
      </c>
      <c r="E514" s="266">
        <f>IFERROR(VLOOKUP(B514,'Сырьё'!$C$6:$E$233,3,FALSE()),IFERROR(VLOOKUP(B514,'Полупродукты'!$C$6:$E$60,3,FALSE()),0))</f>
        <v>0</v>
      </c>
      <c r="F514" s="266">
        <f t="shared" si="1"/>
        <v>0</v>
      </c>
      <c r="G514" s="1">
        <v>0.0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0" customHeight="1">
      <c r="A515" s="1" t="s">
        <v>760</v>
      </c>
      <c r="B515" s="1" t="s">
        <v>549</v>
      </c>
      <c r="C515" s="1">
        <v>0.1236</v>
      </c>
      <c r="D515" s="1" t="s">
        <v>2001</v>
      </c>
      <c r="E515" s="266">
        <f>IFERROR(VLOOKUP(B515,'Сырьё'!$C$6:$E$233,3,FALSE()),IFERROR(VLOOKUP(B515,'Полупродукты'!$C$6:$E$60,3,FALSE()),0))</f>
        <v>6.519</v>
      </c>
      <c r="F515" s="266">
        <f t="shared" si="1"/>
        <v>0.8057484</v>
      </c>
      <c r="G515" s="1">
        <v>0.0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0" customHeight="1">
      <c r="A516" s="1" t="s">
        <v>760</v>
      </c>
      <c r="B516" s="1" t="s">
        <v>594</v>
      </c>
      <c r="C516" s="1">
        <v>0.43775</v>
      </c>
      <c r="D516" s="1" t="s">
        <v>2003</v>
      </c>
      <c r="E516" s="266">
        <f>IFERROR(VLOOKUP(B516,'Сырьё'!$C$6:$E$233,3,FALSE()),IFERROR(VLOOKUP(B516,'Полупродукты'!$C$6:$E$60,3,FALSE()),0))</f>
        <v>1.7145</v>
      </c>
      <c r="F516" s="266">
        <f t="shared" si="1"/>
        <v>0.750522375</v>
      </c>
      <c r="G516" s="1">
        <v>0.0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0" customHeight="1">
      <c r="A517" s="1" t="s">
        <v>760</v>
      </c>
      <c r="B517" s="1" t="s">
        <v>537</v>
      </c>
      <c r="C517" s="1">
        <v>0.04635</v>
      </c>
      <c r="D517" s="1" t="s">
        <v>2005</v>
      </c>
      <c r="E517" s="266">
        <f>IFERROR(VLOOKUP(B517,'Сырьё'!$C$6:$E$233,3,FALSE()),IFERROR(VLOOKUP(B517,'Полупродукты'!$C$6:$E$60,3,FALSE()),0))</f>
        <v>8.8284</v>
      </c>
      <c r="F517" s="266">
        <f t="shared" si="1"/>
        <v>0.40919634</v>
      </c>
      <c r="G517" s="1">
        <v>0.0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0" customHeight="1">
      <c r="A518" s="1" t="s">
        <v>760</v>
      </c>
      <c r="B518" s="1" t="s">
        <v>541</v>
      </c>
      <c r="C518" s="1">
        <v>0.00515</v>
      </c>
      <c r="D518" s="1" t="s">
        <v>2007</v>
      </c>
      <c r="E518" s="266">
        <f>IFERROR(VLOOKUP(B518,'Сырьё'!$C$6:$E$233,3,FALSE()),IFERROR(VLOOKUP(B518,'Полупродукты'!$C$6:$E$60,3,FALSE()),0))</f>
        <v>78.7704</v>
      </c>
      <c r="F518" s="266">
        <f t="shared" si="1"/>
        <v>0.40566756</v>
      </c>
      <c r="G518" s="1">
        <v>0.0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0" customHeight="1">
      <c r="A519" s="1" t="s">
        <v>760</v>
      </c>
      <c r="B519" s="1" t="s">
        <v>552</v>
      </c>
      <c r="C519" s="1">
        <v>0.2884</v>
      </c>
      <c r="D519" s="1" t="s">
        <v>2009</v>
      </c>
      <c r="E519" s="266">
        <f>IFERROR(VLOOKUP(B519,'Сырьё'!$C$6:$E$233,3,FALSE()),IFERROR(VLOOKUP(B519,'Полупродукты'!$C$6:$E$60,3,FALSE()),0))</f>
        <v>3.8883</v>
      </c>
      <c r="F519" s="266">
        <f t="shared" si="1"/>
        <v>1.12138572</v>
      </c>
      <c r="G519" s="1">
        <v>0.0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0" customHeight="1">
      <c r="A520" s="1" t="s">
        <v>760</v>
      </c>
      <c r="B520" s="1" t="s">
        <v>579</v>
      </c>
      <c r="C520" s="1">
        <v>0.12875</v>
      </c>
      <c r="D520" s="1" t="s">
        <v>2011</v>
      </c>
      <c r="E520" s="266">
        <f>IFERROR(VLOOKUP(B520,'Сырьё'!$C$6:$E$233,3,FALSE()),IFERROR(VLOOKUP(B520,'Полупродукты'!$C$6:$E$60,3,FALSE()),0))</f>
        <v>1.2831</v>
      </c>
      <c r="F520" s="266">
        <f t="shared" si="1"/>
        <v>0.165199125</v>
      </c>
      <c r="G520" s="1">
        <v>0.0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0" customHeight="1">
      <c r="A521" s="1" t="s">
        <v>438</v>
      </c>
      <c r="B521" s="1" t="s">
        <v>438</v>
      </c>
      <c r="C521" s="1">
        <v>1.0</v>
      </c>
      <c r="D521" s="1" t="s">
        <v>3056</v>
      </c>
      <c r="E521" s="266">
        <f>IFERROR(VLOOKUP(B521,'Сырьё'!$C$6:$E$233,3,FALSE()),IFERROR(VLOOKUP(B521,'Полупродукты'!$C$6:$E$60,3,FALSE()),0))</f>
        <v>6.8353</v>
      </c>
      <c r="F521" s="266">
        <f t="shared" si="1"/>
        <v>6.8353</v>
      </c>
      <c r="G521" s="1">
        <v>1.0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0" customHeight="1">
      <c r="A522" s="1" t="s">
        <v>673</v>
      </c>
      <c r="B522" s="1" t="s">
        <v>579</v>
      </c>
      <c r="C522" s="1">
        <v>0.10506</v>
      </c>
      <c r="D522" s="1" t="s">
        <v>3057</v>
      </c>
      <c r="E522" s="266">
        <f>IFERROR(VLOOKUP(B522,'Сырьё'!$C$6:$E$233,3,FALSE()),IFERROR(VLOOKUP(B522,'Полупродукты'!$C$6:$E$60,3,FALSE()),0))</f>
        <v>1.2831</v>
      </c>
      <c r="F522" s="266">
        <f t="shared" si="1"/>
        <v>0.134802486</v>
      </c>
      <c r="G522" s="1">
        <v>0.0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0" customHeight="1">
      <c r="A523" s="1" t="s">
        <v>673</v>
      </c>
      <c r="B523" s="1" t="s">
        <v>594</v>
      </c>
      <c r="C523" s="1">
        <v>0.1854</v>
      </c>
      <c r="D523" s="1" t="s">
        <v>3058</v>
      </c>
      <c r="E523" s="266">
        <f>IFERROR(VLOOKUP(B523,'Сырьё'!$C$6:$E$233,3,FALSE()),IFERROR(VLOOKUP(B523,'Полупродукты'!$C$6:$E$60,3,FALSE()),0))</f>
        <v>1.7145</v>
      </c>
      <c r="F523" s="266">
        <f t="shared" si="1"/>
        <v>0.3178683</v>
      </c>
      <c r="G523" s="1">
        <v>0.0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0" customHeight="1">
      <c r="A524" s="1" t="s">
        <v>673</v>
      </c>
      <c r="B524" s="1" t="s">
        <v>593</v>
      </c>
      <c r="C524" s="1">
        <v>0.0927</v>
      </c>
      <c r="D524" s="1" t="s">
        <v>3059</v>
      </c>
      <c r="E524" s="266">
        <f>IFERROR(VLOOKUP(B524,'Сырьё'!$C$6:$E$233,3,FALSE()),IFERROR(VLOOKUP(B524,'Полупродукты'!$C$6:$E$60,3,FALSE()),0))</f>
        <v>1.6575</v>
      </c>
      <c r="F524" s="266">
        <f t="shared" si="1"/>
        <v>0.15365025</v>
      </c>
      <c r="G524" s="1">
        <v>0.0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0" customHeight="1">
      <c r="A525" s="1" t="s">
        <v>673</v>
      </c>
      <c r="B525" s="1" t="s">
        <v>549</v>
      </c>
      <c r="C525" s="1">
        <v>0.08034</v>
      </c>
      <c r="D525" s="1" t="s">
        <v>3060</v>
      </c>
      <c r="E525" s="266">
        <f>IFERROR(VLOOKUP(B525,'Сырьё'!$C$6:$E$233,3,FALSE()),IFERROR(VLOOKUP(B525,'Полупродукты'!$C$6:$E$60,3,FALSE()),0))</f>
        <v>6.519</v>
      </c>
      <c r="F525" s="266">
        <f t="shared" si="1"/>
        <v>0.52373646</v>
      </c>
      <c r="G525" s="1">
        <v>0.0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0" customHeight="1">
      <c r="A526" s="1" t="s">
        <v>673</v>
      </c>
      <c r="B526" s="1" t="s">
        <v>554</v>
      </c>
      <c r="C526" s="1">
        <v>0.1545</v>
      </c>
      <c r="D526" s="1" t="s">
        <v>3061</v>
      </c>
      <c r="E526" s="266">
        <f>IFERROR(VLOOKUP(B526,'Сырьё'!$C$6:$E$233,3,FALSE()),IFERROR(VLOOKUP(B526,'Полупродукты'!$C$6:$E$60,3,FALSE()),0))</f>
        <v>7.3406</v>
      </c>
      <c r="F526" s="266">
        <f t="shared" si="1"/>
        <v>1.1341227</v>
      </c>
      <c r="G526" s="1">
        <v>0.0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0" customHeight="1">
      <c r="A527" s="1" t="s">
        <v>673</v>
      </c>
      <c r="B527" s="1" t="s">
        <v>520</v>
      </c>
      <c r="C527" s="1">
        <v>1.41E-4</v>
      </c>
      <c r="D527" s="1" t="s">
        <v>3062</v>
      </c>
      <c r="E527" s="266">
        <f>IFERROR(VLOOKUP(B527,'Сырьё'!$C$6:$E$233,3,FALSE()),IFERROR(VLOOKUP(B527,'Полупродукты'!$C$6:$E$60,3,FALSE()),0))</f>
        <v>30.1527</v>
      </c>
      <c r="F527" s="266">
        <f t="shared" si="1"/>
        <v>0.0042515307</v>
      </c>
      <c r="G527" s="1">
        <v>0.0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0" customHeight="1">
      <c r="A528" s="1" t="s">
        <v>673</v>
      </c>
      <c r="B528" s="1" t="s">
        <v>402</v>
      </c>
      <c r="C528" s="1">
        <v>0.412</v>
      </c>
      <c r="D528" s="1" t="s">
        <v>1236</v>
      </c>
      <c r="E528" s="266">
        <f>IFERROR(VLOOKUP(B528,'Сырьё'!$C$6:$E$233,3,FALSE()),IFERROR(VLOOKUP(B528,'Полупродукты'!$C$6:$E$60,3,FALSE()),0))</f>
        <v>0</v>
      </c>
      <c r="F528" s="266">
        <f t="shared" si="1"/>
        <v>0</v>
      </c>
      <c r="G528" s="1">
        <v>1.0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0" customHeight="1">
      <c r="A529" s="1" t="s">
        <v>674</v>
      </c>
      <c r="B529" s="1" t="s">
        <v>579</v>
      </c>
      <c r="C529" s="1">
        <v>0.207092</v>
      </c>
      <c r="D529" s="1" t="s">
        <v>1362</v>
      </c>
      <c r="E529" s="266">
        <f>IFERROR(VLOOKUP(B529,'Сырьё'!$C$6:$E$233,3,FALSE()),IFERROR(VLOOKUP(B529,'Полупродукты'!$C$6:$E$60,3,FALSE()),0))</f>
        <v>1.2831</v>
      </c>
      <c r="F529" s="266">
        <f t="shared" si="1"/>
        <v>0.2657197452</v>
      </c>
      <c r="G529" s="1">
        <v>0.0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0" customHeight="1">
      <c r="A530" s="1" t="s">
        <v>674</v>
      </c>
      <c r="B530" s="1" t="s">
        <v>594</v>
      </c>
      <c r="C530" s="1">
        <v>0.302799</v>
      </c>
      <c r="D530" s="1" t="s">
        <v>3063</v>
      </c>
      <c r="E530" s="266">
        <f>IFERROR(VLOOKUP(B530,'Сырьё'!$C$6:$E$233,3,FALSE()),IFERROR(VLOOKUP(B530,'Полупродукты'!$C$6:$E$60,3,FALSE()),0))</f>
        <v>1.7145</v>
      </c>
      <c r="F530" s="266">
        <f t="shared" si="1"/>
        <v>0.5191488855</v>
      </c>
      <c r="G530" s="1">
        <v>0.0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0" customHeight="1">
      <c r="A531" s="1" t="s">
        <v>674</v>
      </c>
      <c r="B531" s="1" t="s">
        <v>593</v>
      </c>
      <c r="C531" s="1">
        <v>0.11433</v>
      </c>
      <c r="D531" s="1" t="s">
        <v>3064</v>
      </c>
      <c r="E531" s="266">
        <f>IFERROR(VLOOKUP(B531,'Сырьё'!$C$6:$E$233,3,FALSE()),IFERROR(VLOOKUP(B531,'Полупродукты'!$C$6:$E$60,3,FALSE()),0))</f>
        <v>1.6575</v>
      </c>
      <c r="F531" s="266">
        <f t="shared" si="1"/>
        <v>0.189501975</v>
      </c>
      <c r="G531" s="1">
        <v>0.0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0" customHeight="1">
      <c r="A532" s="1" t="s">
        <v>674</v>
      </c>
      <c r="B532" s="1" t="s">
        <v>549</v>
      </c>
      <c r="C532" s="1">
        <v>0.099086</v>
      </c>
      <c r="D532" s="1" t="s">
        <v>3065</v>
      </c>
      <c r="E532" s="266">
        <f>IFERROR(VLOOKUP(B532,'Сырьё'!$C$6:$E$233,3,FALSE()),IFERROR(VLOOKUP(B532,'Полупродукты'!$C$6:$E$60,3,FALSE()),0))</f>
        <v>6.519</v>
      </c>
      <c r="F532" s="266">
        <f t="shared" si="1"/>
        <v>0.645941634</v>
      </c>
      <c r="G532" s="1">
        <v>0.0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0" customHeight="1">
      <c r="A533" s="1" t="s">
        <v>674</v>
      </c>
      <c r="B533" s="1" t="s">
        <v>554</v>
      </c>
      <c r="C533" s="1">
        <v>0.19055</v>
      </c>
      <c r="D533" s="1" t="s">
        <v>3066</v>
      </c>
      <c r="E533" s="266">
        <f>IFERROR(VLOOKUP(B533,'Сырьё'!$C$6:$E$233,3,FALSE()),IFERROR(VLOOKUP(B533,'Полупродукты'!$C$6:$E$60,3,FALSE()),0))</f>
        <v>7.3406</v>
      </c>
      <c r="F533" s="266">
        <f t="shared" si="1"/>
        <v>1.39875133</v>
      </c>
      <c r="G533" s="1">
        <v>0.0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0" customHeight="1">
      <c r="A534" s="1" t="s">
        <v>674</v>
      </c>
      <c r="B534" s="1" t="s">
        <v>520</v>
      </c>
      <c r="C534" s="1">
        <v>8.91E-4</v>
      </c>
      <c r="D534" s="1" t="s">
        <v>3067</v>
      </c>
      <c r="E534" s="266">
        <f>IFERROR(VLOOKUP(B534,'Сырьё'!$C$6:$E$233,3,FALSE()),IFERROR(VLOOKUP(B534,'Полупродукты'!$C$6:$E$60,3,FALSE()),0))</f>
        <v>30.1527</v>
      </c>
      <c r="F534" s="266">
        <f t="shared" si="1"/>
        <v>0.0268660557</v>
      </c>
      <c r="G534" s="1">
        <v>0.0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0" customHeight="1">
      <c r="A535" s="1" t="s">
        <v>674</v>
      </c>
      <c r="B535" s="1" t="s">
        <v>570</v>
      </c>
      <c r="C535" s="1">
        <v>0.04874</v>
      </c>
      <c r="D535" s="1" t="s">
        <v>3068</v>
      </c>
      <c r="E535" s="266">
        <f>IFERROR(VLOOKUP(B535,'Сырьё'!$C$6:$E$233,3,FALSE()),IFERROR(VLOOKUP(B535,'Полупродукты'!$C$6:$E$60,3,FALSE()),0))</f>
        <v>3.3046</v>
      </c>
      <c r="F535" s="266">
        <f t="shared" si="1"/>
        <v>0.161066204</v>
      </c>
      <c r="G535" s="1">
        <v>0.0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0" customHeight="1">
      <c r="A536" s="1" t="s">
        <v>674</v>
      </c>
      <c r="B536" s="1" t="s">
        <v>569</v>
      </c>
      <c r="C536" s="1">
        <v>0.036998</v>
      </c>
      <c r="D536" s="1" t="s">
        <v>3069</v>
      </c>
      <c r="E536" s="266">
        <f>IFERROR(VLOOKUP(B536,'Сырьё'!$C$6:$E$233,3,FALSE()),IFERROR(VLOOKUP(B536,'Полупродукты'!$C$6:$E$60,3,FALSE()),0))</f>
        <v>3.2853</v>
      </c>
      <c r="F536" s="266">
        <f t="shared" si="1"/>
        <v>0.1215495294</v>
      </c>
      <c r="G536" s="1">
        <v>0.0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0" customHeight="1">
      <c r="A537" s="1" t="s">
        <v>674</v>
      </c>
      <c r="B537" s="1" t="s">
        <v>591</v>
      </c>
      <c r="C537" s="1">
        <v>0.020868</v>
      </c>
      <c r="D537" s="1" t="s">
        <v>3070</v>
      </c>
      <c r="E537" s="266">
        <f>IFERROR(VLOOKUP(B537,'Сырьё'!$C$6:$E$233,3,FALSE()),IFERROR(VLOOKUP(B537,'Полупродукты'!$C$6:$E$60,3,FALSE()),0))</f>
        <v>1.9734</v>
      </c>
      <c r="F537" s="266">
        <f t="shared" si="1"/>
        <v>0.0411809112</v>
      </c>
      <c r="G537" s="1">
        <v>0.0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0" customHeight="1">
      <c r="A538" s="1" t="s">
        <v>674</v>
      </c>
      <c r="B538" s="1" t="s">
        <v>532</v>
      </c>
      <c r="C538" s="1">
        <v>0.007354</v>
      </c>
      <c r="D538" s="1" t="s">
        <v>3071</v>
      </c>
      <c r="E538" s="266">
        <f>IFERROR(VLOOKUP(B538,'Сырьё'!$C$6:$E$233,3,FALSE()),IFERROR(VLOOKUP(B538,'Полупродукты'!$C$6:$E$60,3,FALSE()),0))</f>
        <v>2.337</v>
      </c>
      <c r="F538" s="266">
        <f t="shared" si="1"/>
        <v>0.017186298</v>
      </c>
      <c r="G538" s="1">
        <v>0.0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0" customHeight="1">
      <c r="A539" s="1" t="s">
        <v>674</v>
      </c>
      <c r="B539" s="1" t="s">
        <v>571</v>
      </c>
      <c r="C539" s="1">
        <v>0.00515</v>
      </c>
      <c r="D539" s="1" t="s">
        <v>1360</v>
      </c>
      <c r="E539" s="266">
        <f>IFERROR(VLOOKUP(B539,'Сырьё'!$C$6:$E$233,3,FALSE()),IFERROR(VLOOKUP(B539,'Полупродукты'!$C$6:$E$60,3,FALSE()),0))</f>
        <v>14.556</v>
      </c>
      <c r="F539" s="266">
        <f t="shared" si="1"/>
        <v>0.0749634</v>
      </c>
      <c r="G539" s="1">
        <v>0.0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0" customHeight="1">
      <c r="A540" s="1" t="s">
        <v>406</v>
      </c>
      <c r="B540" s="1" t="s">
        <v>406</v>
      </c>
      <c r="C540" s="1">
        <v>1.0</v>
      </c>
      <c r="D540" s="1" t="s">
        <v>3072</v>
      </c>
      <c r="E540" s="266">
        <f>IFERROR(VLOOKUP(B540,'Сырьё'!$C$6:$E$233,3,FALSE()),IFERROR(VLOOKUP(B540,'Полупродукты'!$C$6:$E$60,3,FALSE()),0))</f>
        <v>4.486</v>
      </c>
      <c r="F540" s="266">
        <f t="shared" si="1"/>
        <v>4.486</v>
      </c>
      <c r="G540" s="1">
        <v>1.0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0" customHeight="1">
      <c r="A541" s="1" t="s">
        <v>688</v>
      </c>
      <c r="B541" s="1" t="s">
        <v>579</v>
      </c>
      <c r="C541" s="1">
        <v>0.515</v>
      </c>
      <c r="D541" s="1" t="s">
        <v>1732</v>
      </c>
      <c r="E541" s="266">
        <f>IFERROR(VLOOKUP(B541,'Сырьё'!$C$6:$E$233,3,FALSE()),IFERROR(VLOOKUP(B541,'Полупродукты'!$C$6:$E$60,3,FALSE()),0))</f>
        <v>1.2831</v>
      </c>
      <c r="F541" s="266">
        <f t="shared" si="1"/>
        <v>0.6607965</v>
      </c>
      <c r="G541" s="1">
        <v>0.0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0" customHeight="1">
      <c r="A542" s="1" t="s">
        <v>688</v>
      </c>
      <c r="B542" s="1" t="s">
        <v>571</v>
      </c>
      <c r="C542" s="1">
        <v>0.515</v>
      </c>
      <c r="D542" s="1" t="s">
        <v>1734</v>
      </c>
      <c r="E542" s="266">
        <f>IFERROR(VLOOKUP(B542,'Сырьё'!$C$6:$E$233,3,FALSE()),IFERROR(VLOOKUP(B542,'Полупродукты'!$C$6:$E$60,3,FALSE()),0))</f>
        <v>14.556</v>
      </c>
      <c r="F542" s="266">
        <f t="shared" si="1"/>
        <v>7.49634</v>
      </c>
      <c r="G542" s="1">
        <v>0.0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0" customHeight="1">
      <c r="A543" s="1" t="s">
        <v>705</v>
      </c>
      <c r="B543" s="1" t="s">
        <v>584</v>
      </c>
      <c r="C543" s="1">
        <v>0.1545</v>
      </c>
      <c r="D543" s="1" t="s">
        <v>1202</v>
      </c>
      <c r="E543" s="266">
        <f>IFERROR(VLOOKUP(B543,'Сырьё'!$C$6:$E$233,3,FALSE()),IFERROR(VLOOKUP(B543,'Полупродукты'!$C$6:$E$60,3,FALSE()),0))</f>
        <v>2.0494</v>
      </c>
      <c r="F543" s="266">
        <f t="shared" si="1"/>
        <v>0.3166323</v>
      </c>
      <c r="G543" s="1">
        <v>0.0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0" customHeight="1">
      <c r="A544" s="1" t="s">
        <v>705</v>
      </c>
      <c r="B544" s="1" t="s">
        <v>593</v>
      </c>
      <c r="C544" s="1">
        <v>0.62315</v>
      </c>
      <c r="D544" s="1" t="s">
        <v>1204</v>
      </c>
      <c r="E544" s="266">
        <f>IFERROR(VLOOKUP(B544,'Сырьё'!$C$6:$E$233,3,FALSE()),IFERROR(VLOOKUP(B544,'Полупродукты'!$C$6:$E$60,3,FALSE()),0))</f>
        <v>1.6575</v>
      </c>
      <c r="F544" s="266">
        <f t="shared" si="1"/>
        <v>1.032871125</v>
      </c>
      <c r="G544" s="1">
        <v>0.0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0" customHeight="1">
      <c r="A545" s="1" t="s">
        <v>705</v>
      </c>
      <c r="B545" s="1" t="s">
        <v>572</v>
      </c>
      <c r="C545" s="1">
        <v>0.1545</v>
      </c>
      <c r="D545" s="1" t="s">
        <v>1206</v>
      </c>
      <c r="E545" s="266">
        <f>IFERROR(VLOOKUP(B545,'Сырьё'!$C$6:$E$233,3,FALSE()),IFERROR(VLOOKUP(B545,'Полупродукты'!$C$6:$E$60,3,FALSE()),0))</f>
        <v>6.4085</v>
      </c>
      <c r="F545" s="266">
        <f t="shared" si="1"/>
        <v>0.99011325</v>
      </c>
      <c r="G545" s="1">
        <v>0.0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0" customHeight="1">
      <c r="A546" s="1" t="s">
        <v>705</v>
      </c>
      <c r="B546" s="1" t="s">
        <v>580</v>
      </c>
      <c r="C546" s="1">
        <v>0.0927</v>
      </c>
      <c r="D546" s="1" t="s">
        <v>1208</v>
      </c>
      <c r="E546" s="266">
        <f>IFERROR(VLOOKUP(B546,'Сырьё'!$C$6:$E$233,3,FALSE()),IFERROR(VLOOKUP(B546,'Полупродукты'!$C$6:$E$60,3,FALSE()),0))</f>
        <v>6.1299</v>
      </c>
      <c r="F546" s="266">
        <f t="shared" si="1"/>
        <v>0.56824173</v>
      </c>
      <c r="G546" s="1">
        <v>0.0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0" customHeight="1">
      <c r="A547" s="1" t="s">
        <v>705</v>
      </c>
      <c r="B547" s="1" t="s">
        <v>576</v>
      </c>
      <c r="C547" s="1">
        <v>0.00515</v>
      </c>
      <c r="D547" s="1" t="s">
        <v>1210</v>
      </c>
      <c r="E547" s="266">
        <f>IFERROR(VLOOKUP(B547,'Сырьё'!$C$6:$E$233,3,FALSE()),IFERROR(VLOOKUP(B547,'Полупродукты'!$C$6:$E$60,3,FALSE()),0))</f>
        <v>4.6836</v>
      </c>
      <c r="F547" s="266">
        <f t="shared" si="1"/>
        <v>0.02412054</v>
      </c>
      <c r="G547" s="1">
        <v>0.0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0" customHeight="1">
      <c r="A548" s="1" t="s">
        <v>669</v>
      </c>
      <c r="B548" s="1" t="s">
        <v>579</v>
      </c>
      <c r="C548" s="1">
        <v>0.025493</v>
      </c>
      <c r="D548" s="1" t="s">
        <v>3073</v>
      </c>
      <c r="E548" s="266">
        <f>IFERROR(VLOOKUP(B548,'Сырьё'!$C$6:$E$233,3,FALSE()),IFERROR(VLOOKUP(B548,'Полупродукты'!$C$6:$E$60,3,FALSE()),0))</f>
        <v>1.2831</v>
      </c>
      <c r="F548" s="266">
        <f t="shared" si="1"/>
        <v>0.0327100683</v>
      </c>
      <c r="G548" s="1">
        <v>0.0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0" customHeight="1">
      <c r="A549" s="1" t="s">
        <v>669</v>
      </c>
      <c r="B549" s="1" t="s">
        <v>593</v>
      </c>
      <c r="C549" s="1">
        <v>0.127205</v>
      </c>
      <c r="D549" s="1" t="s">
        <v>2438</v>
      </c>
      <c r="E549" s="266">
        <f>IFERROR(VLOOKUP(B549,'Сырьё'!$C$6:$E$233,3,FALSE()),IFERROR(VLOOKUP(B549,'Полупродукты'!$C$6:$E$60,3,FALSE()),0))</f>
        <v>1.6575</v>
      </c>
      <c r="F549" s="266">
        <f t="shared" si="1"/>
        <v>0.2108422875</v>
      </c>
      <c r="G549" s="1">
        <v>0.0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0" customHeight="1">
      <c r="A550" s="1" t="s">
        <v>669</v>
      </c>
      <c r="B550" s="1" t="s">
        <v>594</v>
      </c>
      <c r="C550" s="1">
        <v>0.05665</v>
      </c>
      <c r="D550" s="1" t="s">
        <v>3074</v>
      </c>
      <c r="E550" s="266">
        <f>IFERROR(VLOOKUP(B550,'Сырьё'!$C$6:$E$233,3,FALSE()),IFERROR(VLOOKUP(B550,'Полупродукты'!$C$6:$E$60,3,FALSE()),0))</f>
        <v>1.7145</v>
      </c>
      <c r="F550" s="266">
        <f t="shared" si="1"/>
        <v>0.097126425</v>
      </c>
      <c r="G550" s="1">
        <v>0.0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0" customHeight="1">
      <c r="A551" s="1" t="s">
        <v>669</v>
      </c>
      <c r="B551" s="1" t="s">
        <v>577</v>
      </c>
      <c r="C551" s="1">
        <v>0.354063</v>
      </c>
      <c r="D551" s="1" t="s">
        <v>3075</v>
      </c>
      <c r="E551" s="266">
        <f>IFERROR(VLOOKUP(B551,'Сырьё'!$C$6:$E$233,3,FALSE()),IFERROR(VLOOKUP(B551,'Полупродукты'!$C$6:$E$60,3,FALSE()),0))</f>
        <v>2.8015</v>
      </c>
      <c r="F551" s="266">
        <f t="shared" si="1"/>
        <v>0.9919074945</v>
      </c>
      <c r="G551" s="1">
        <v>0.0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0" customHeight="1">
      <c r="A552" s="1" t="s">
        <v>669</v>
      </c>
      <c r="B552" s="1" t="s">
        <v>549</v>
      </c>
      <c r="C552" s="1">
        <v>0.03399</v>
      </c>
      <c r="D552" s="1" t="s">
        <v>3076</v>
      </c>
      <c r="E552" s="266">
        <f>IFERROR(VLOOKUP(B552,'Сырьё'!$C$6:$E$233,3,FALSE()),IFERROR(VLOOKUP(B552,'Полупродукты'!$C$6:$E$60,3,FALSE()),0))</f>
        <v>6.519</v>
      </c>
      <c r="F552" s="266">
        <f t="shared" si="1"/>
        <v>0.22158081</v>
      </c>
      <c r="G552" s="1">
        <v>0.0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0" customHeight="1">
      <c r="A553" s="1" t="s">
        <v>669</v>
      </c>
      <c r="B553" s="1" t="s">
        <v>570</v>
      </c>
      <c r="C553" s="1">
        <v>0.206</v>
      </c>
      <c r="D553" s="1" t="s">
        <v>2430</v>
      </c>
      <c r="E553" s="266">
        <f>IFERROR(VLOOKUP(B553,'Сырьё'!$C$6:$E$233,3,FALSE()),IFERROR(VLOOKUP(B553,'Полупродукты'!$C$6:$E$60,3,FALSE()),0))</f>
        <v>3.3046</v>
      </c>
      <c r="F553" s="266">
        <f t="shared" si="1"/>
        <v>0.6807476</v>
      </c>
      <c r="G553" s="1">
        <v>0.0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0" customHeight="1">
      <c r="A554" s="1" t="s">
        <v>669</v>
      </c>
      <c r="B554" s="1" t="s">
        <v>532</v>
      </c>
      <c r="C554" s="1">
        <v>0.00515</v>
      </c>
      <c r="D554" s="1" t="s">
        <v>2432</v>
      </c>
      <c r="E554" s="266">
        <f>IFERROR(VLOOKUP(B554,'Сырьё'!$C$6:$E$233,3,FALSE()),IFERROR(VLOOKUP(B554,'Полупродукты'!$C$6:$E$60,3,FALSE()),0))</f>
        <v>2.337</v>
      </c>
      <c r="F554" s="266">
        <f t="shared" si="1"/>
        <v>0.01203555</v>
      </c>
      <c r="G554" s="1">
        <v>0.0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0" customHeight="1">
      <c r="A555" s="1" t="s">
        <v>669</v>
      </c>
      <c r="B555" s="1" t="s">
        <v>571</v>
      </c>
      <c r="C555" s="1">
        <v>0.0206</v>
      </c>
      <c r="D555" s="1" t="s">
        <v>2434</v>
      </c>
      <c r="E555" s="266">
        <f>IFERROR(VLOOKUP(B555,'Сырьё'!$C$6:$E$233,3,FALSE()),IFERROR(VLOOKUP(B555,'Полупродукты'!$C$6:$E$60,3,FALSE()),0))</f>
        <v>14.556</v>
      </c>
      <c r="F555" s="266">
        <f t="shared" si="1"/>
        <v>0.2998536</v>
      </c>
      <c r="G555" s="1">
        <v>0.0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0" customHeight="1">
      <c r="A556" s="1" t="s">
        <v>669</v>
      </c>
      <c r="B556" s="1" t="s">
        <v>392</v>
      </c>
      <c r="C556" s="1">
        <v>0.0824</v>
      </c>
      <c r="D556" s="1" t="s">
        <v>3077</v>
      </c>
      <c r="E556" s="266">
        <f>IFERROR(VLOOKUP(B556,'Сырьё'!$C$6:$E$233,3,FALSE()),IFERROR(VLOOKUP(B556,'Полупродукты'!$C$6:$E$60,3,FALSE()),0))</f>
        <v>2.0535</v>
      </c>
      <c r="F556" s="266">
        <f t="shared" si="1"/>
        <v>0.1692084</v>
      </c>
      <c r="G556" s="1">
        <v>1.0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0" customHeight="1">
      <c r="A557" s="1" t="s">
        <v>669</v>
      </c>
      <c r="B557" s="1" t="s">
        <v>584</v>
      </c>
      <c r="C557" s="1">
        <v>0.0412</v>
      </c>
      <c r="D557" s="1" t="s">
        <v>2440</v>
      </c>
      <c r="E557" s="266">
        <f>IFERROR(VLOOKUP(B557,'Сырьё'!$C$6:$E$233,3,FALSE()),IFERROR(VLOOKUP(B557,'Полупродукты'!$C$6:$E$60,3,FALSE()),0))</f>
        <v>2.0494</v>
      </c>
      <c r="F557" s="266">
        <f t="shared" si="1"/>
        <v>0.08443528</v>
      </c>
      <c r="G557" s="1">
        <v>0.0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0" customHeight="1">
      <c r="A558" s="1" t="s">
        <v>669</v>
      </c>
      <c r="B558" s="1" t="s">
        <v>583</v>
      </c>
      <c r="C558" s="1">
        <v>0.07725</v>
      </c>
      <c r="D558" s="1" t="s">
        <v>2442</v>
      </c>
      <c r="E558" s="266">
        <f>IFERROR(VLOOKUP(B558,'Сырьё'!$C$6:$E$233,3,FALSE()),IFERROR(VLOOKUP(B558,'Полупродукты'!$C$6:$E$60,3,FALSE()),0))</f>
        <v>1.4708</v>
      </c>
      <c r="F558" s="266">
        <f t="shared" si="1"/>
        <v>0.1136193</v>
      </c>
      <c r="G558" s="1">
        <v>0.0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0" customHeight="1">
      <c r="A559" s="1" t="s">
        <v>692</v>
      </c>
      <c r="B559" s="1" t="s">
        <v>579</v>
      </c>
      <c r="C559" s="1">
        <v>0.383237</v>
      </c>
      <c r="D559" s="1" t="s">
        <v>3078</v>
      </c>
      <c r="E559" s="266">
        <f>IFERROR(VLOOKUP(B559,'Сырьё'!$C$6:$E$233,3,FALSE()),IFERROR(VLOOKUP(B559,'Полупродукты'!$C$6:$E$60,3,FALSE()),0))</f>
        <v>1.2831</v>
      </c>
      <c r="F559" s="266">
        <f t="shared" si="1"/>
        <v>0.4917313947</v>
      </c>
      <c r="G559" s="1">
        <v>0.0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0" customHeight="1">
      <c r="A560" s="1" t="s">
        <v>692</v>
      </c>
      <c r="B560" s="1" t="s">
        <v>593</v>
      </c>
      <c r="C560" s="1">
        <v>0.19467</v>
      </c>
      <c r="D560" s="1" t="s">
        <v>3079</v>
      </c>
      <c r="E560" s="266">
        <f>IFERROR(VLOOKUP(B560,'Сырьё'!$C$6:$E$233,3,FALSE()),IFERROR(VLOOKUP(B560,'Полупродукты'!$C$6:$E$60,3,FALSE()),0))</f>
        <v>1.6575</v>
      </c>
      <c r="F560" s="266">
        <f t="shared" si="1"/>
        <v>0.322665525</v>
      </c>
      <c r="G560" s="1">
        <v>0.0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0" customHeight="1">
      <c r="A561" s="1" t="s">
        <v>692</v>
      </c>
      <c r="B561" s="1" t="s">
        <v>585</v>
      </c>
      <c r="C561" s="1">
        <v>0.15862</v>
      </c>
      <c r="D561" s="1" t="s">
        <v>3080</v>
      </c>
      <c r="E561" s="266">
        <f>IFERROR(VLOOKUP(B561,'Сырьё'!$C$6:$E$233,3,FALSE()),IFERROR(VLOOKUP(B561,'Полупродукты'!$C$6:$E$60,3,FALSE()),0))</f>
        <v>6.9052</v>
      </c>
      <c r="F561" s="266">
        <f t="shared" si="1"/>
        <v>1.095302824</v>
      </c>
      <c r="G561" s="1">
        <v>0.0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0" customHeight="1">
      <c r="A562" s="1" t="s">
        <v>692</v>
      </c>
      <c r="B562" s="1" t="s">
        <v>570</v>
      </c>
      <c r="C562" s="1">
        <v>0.155643</v>
      </c>
      <c r="D562" s="1" t="s">
        <v>3081</v>
      </c>
      <c r="E562" s="266">
        <f>IFERROR(VLOOKUP(B562,'Сырьё'!$C$6:$E$233,3,FALSE()),IFERROR(VLOOKUP(B562,'Полупродукты'!$C$6:$E$60,3,FALSE()),0))</f>
        <v>3.3046</v>
      </c>
      <c r="F562" s="266">
        <f t="shared" si="1"/>
        <v>0.5143378578</v>
      </c>
      <c r="G562" s="1">
        <v>0.0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0" customHeight="1">
      <c r="A563" s="1" t="s">
        <v>692</v>
      </c>
      <c r="B563" s="1" t="s">
        <v>594</v>
      </c>
      <c r="C563" s="1">
        <v>0.124527</v>
      </c>
      <c r="D563" s="1" t="s">
        <v>3082</v>
      </c>
      <c r="E563" s="266">
        <f>IFERROR(VLOOKUP(B563,'Сырьё'!$C$6:$E$233,3,FALSE()),IFERROR(VLOOKUP(B563,'Полупродукты'!$C$6:$E$60,3,FALSE()),0))</f>
        <v>1.7145</v>
      </c>
      <c r="F563" s="266">
        <f t="shared" si="1"/>
        <v>0.2135015415</v>
      </c>
      <c r="G563" s="1">
        <v>0.0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0" customHeight="1">
      <c r="A564" s="1" t="s">
        <v>692</v>
      </c>
      <c r="B564" s="1" t="s">
        <v>591</v>
      </c>
      <c r="C564" s="1">
        <v>0.015527</v>
      </c>
      <c r="D564" s="1" t="s">
        <v>3083</v>
      </c>
      <c r="E564" s="266">
        <f>IFERROR(VLOOKUP(B564,'Сырьё'!$C$6:$E$233,3,FALSE()),IFERROR(VLOOKUP(B564,'Полупродукты'!$C$6:$E$60,3,FALSE()),0))</f>
        <v>1.9734</v>
      </c>
      <c r="F564" s="266">
        <f t="shared" si="1"/>
        <v>0.0306409818</v>
      </c>
      <c r="G564" s="1">
        <v>0.0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0" customHeight="1">
      <c r="A565" s="1" t="s">
        <v>692</v>
      </c>
      <c r="B565" s="1" t="s">
        <v>522</v>
      </c>
      <c r="C565" s="1">
        <v>1.32E-4</v>
      </c>
      <c r="D565" s="1" t="s">
        <v>3084</v>
      </c>
      <c r="E565" s="266">
        <f>IFERROR(VLOOKUP(B565,'Сырьё'!$C$6:$E$233,3,FALSE()),IFERROR(VLOOKUP(B565,'Полупродукты'!$C$6:$E$60,3,FALSE()),0))</f>
        <v>3.7834</v>
      </c>
      <c r="F565" s="266">
        <f t="shared" si="1"/>
        <v>0.0004994088</v>
      </c>
      <c r="G565" s="1">
        <v>0.0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0" customHeight="1">
      <c r="A566" s="1" t="s">
        <v>708</v>
      </c>
      <c r="B566" s="1" t="s">
        <v>396</v>
      </c>
      <c r="C566" s="1">
        <v>0.515</v>
      </c>
      <c r="D566" s="1" t="s">
        <v>1490</v>
      </c>
      <c r="E566" s="266">
        <f>IFERROR(VLOOKUP(B566,'Сырьё'!$C$6:$E$233,3,FALSE()),IFERROR(VLOOKUP(B566,'Полупродукты'!$C$6:$E$60,3,FALSE()),0))</f>
        <v>0</v>
      </c>
      <c r="F566" s="266">
        <f t="shared" si="1"/>
        <v>0</v>
      </c>
      <c r="G566" s="1">
        <v>1.0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0" customHeight="1">
      <c r="A567" s="1" t="s">
        <v>708</v>
      </c>
      <c r="B567" s="1" t="s">
        <v>590</v>
      </c>
      <c r="C567" s="1">
        <v>0.1957</v>
      </c>
      <c r="D567" s="1" t="s">
        <v>1492</v>
      </c>
      <c r="E567" s="266">
        <f>IFERROR(VLOOKUP(B567,'Сырьё'!$C$6:$E$233,3,FALSE()),IFERROR(VLOOKUP(B567,'Полупродукты'!$C$6:$E$60,3,FALSE()),0))</f>
        <v>1.8153</v>
      </c>
      <c r="F567" s="266">
        <f t="shared" si="1"/>
        <v>0.35525421</v>
      </c>
      <c r="G567" s="1">
        <v>0.0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0" customHeight="1">
      <c r="A568" s="1" t="s">
        <v>708</v>
      </c>
      <c r="B568" s="1" t="s">
        <v>528</v>
      </c>
      <c r="C568" s="1">
        <v>0.02472</v>
      </c>
      <c r="D568" s="1" t="s">
        <v>1494</v>
      </c>
      <c r="E568" s="266">
        <f>IFERROR(VLOOKUP(B568,'Сырьё'!$C$6:$E$233,3,FALSE()),IFERROR(VLOOKUP(B568,'Полупродукты'!$C$6:$E$60,3,FALSE()),0))</f>
        <v>0</v>
      </c>
      <c r="F568" s="266">
        <f t="shared" si="1"/>
        <v>0</v>
      </c>
      <c r="G568" s="1">
        <v>0.0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0" customHeight="1">
      <c r="A569" s="1" t="s">
        <v>708</v>
      </c>
      <c r="B569" s="1" t="s">
        <v>541</v>
      </c>
      <c r="C569" s="1">
        <v>0.00618</v>
      </c>
      <c r="D569" s="1" t="s">
        <v>1496</v>
      </c>
      <c r="E569" s="266">
        <f>IFERROR(VLOOKUP(B569,'Сырьё'!$C$6:$E$233,3,FALSE()),IFERROR(VLOOKUP(B569,'Полупродукты'!$C$6:$E$60,3,FALSE()),0))</f>
        <v>78.7704</v>
      </c>
      <c r="F569" s="266">
        <f t="shared" si="1"/>
        <v>0.486801072</v>
      </c>
      <c r="G569" s="1">
        <v>0.0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0" customHeight="1">
      <c r="A570" s="1" t="s">
        <v>708</v>
      </c>
      <c r="B570" s="1" t="s">
        <v>554</v>
      </c>
      <c r="C570" s="1">
        <v>0.2884</v>
      </c>
      <c r="D570" s="1" t="s">
        <v>1498</v>
      </c>
      <c r="E570" s="266">
        <f>IFERROR(VLOOKUP(B570,'Сырьё'!$C$6:$E$233,3,FALSE()),IFERROR(VLOOKUP(B570,'Полупродукты'!$C$6:$E$60,3,FALSE()),0))</f>
        <v>7.3406</v>
      </c>
      <c r="F570" s="266">
        <f t="shared" si="1"/>
        <v>2.11702904</v>
      </c>
      <c r="G570" s="1">
        <v>0.0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0" customHeight="1">
      <c r="A571" s="1" t="s">
        <v>531</v>
      </c>
      <c r="B571" s="1" t="s">
        <v>570</v>
      </c>
      <c r="C571" s="1">
        <v>0.155643</v>
      </c>
      <c r="D571" s="1" t="s">
        <v>3085</v>
      </c>
      <c r="E571" s="266">
        <f>IFERROR(VLOOKUP(B571,'Сырьё'!$C$6:$E$233,3,FALSE()),IFERROR(VLOOKUP(B571,'Полупродукты'!$C$6:$E$60,3,FALSE()),0))</f>
        <v>3.3046</v>
      </c>
      <c r="F571" s="266">
        <f t="shared" si="1"/>
        <v>0.5143378578</v>
      </c>
      <c r="G571" s="1">
        <v>0.0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0" customHeight="1">
      <c r="A572" s="1" t="s">
        <v>531</v>
      </c>
      <c r="B572" s="1" t="s">
        <v>594</v>
      </c>
      <c r="C572" s="1">
        <v>0.283147</v>
      </c>
      <c r="D572" s="1" t="s">
        <v>3086</v>
      </c>
      <c r="E572" s="266">
        <f>IFERROR(VLOOKUP(B572,'Сырьё'!$C$6:$E$233,3,FALSE()),IFERROR(VLOOKUP(B572,'Полупродукты'!$C$6:$E$60,3,FALSE()),0))</f>
        <v>1.7145</v>
      </c>
      <c r="F572" s="266">
        <f t="shared" si="1"/>
        <v>0.4854555315</v>
      </c>
      <c r="G572" s="1">
        <v>0.0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0" customHeight="1">
      <c r="A573" s="1" t="s">
        <v>531</v>
      </c>
      <c r="B573" s="1" t="s">
        <v>579</v>
      </c>
      <c r="C573" s="1">
        <v>0.236153</v>
      </c>
      <c r="D573" s="1" t="s">
        <v>3087</v>
      </c>
      <c r="E573" s="266">
        <f>IFERROR(VLOOKUP(B573,'Сырьё'!$C$6:$E$233,3,FALSE()),IFERROR(VLOOKUP(B573,'Полупродукты'!$C$6:$E$60,3,FALSE()),0))</f>
        <v>1.2831</v>
      </c>
      <c r="F573" s="266">
        <f t="shared" si="1"/>
        <v>0.3030079143</v>
      </c>
      <c r="G573" s="1">
        <v>0.0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0" customHeight="1">
      <c r="A574" s="1" t="s">
        <v>531</v>
      </c>
      <c r="B574" s="1" t="s">
        <v>591</v>
      </c>
      <c r="C574" s="1">
        <v>0.015527</v>
      </c>
      <c r="D574" s="1" t="s">
        <v>3088</v>
      </c>
      <c r="E574" s="266">
        <f>IFERROR(VLOOKUP(B574,'Сырьё'!$C$6:$E$233,3,FALSE()),IFERROR(VLOOKUP(B574,'Полупродукты'!$C$6:$E$60,3,FALSE()),0))</f>
        <v>1.9734</v>
      </c>
      <c r="F574" s="266">
        <f t="shared" si="1"/>
        <v>0.0306409818</v>
      </c>
      <c r="G574" s="1">
        <v>0.0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0" customHeight="1">
      <c r="A575" s="1" t="s">
        <v>531</v>
      </c>
      <c r="B575" s="1" t="s">
        <v>522</v>
      </c>
      <c r="C575" s="1">
        <v>1.32E-4</v>
      </c>
      <c r="D575" s="1" t="s">
        <v>3089</v>
      </c>
      <c r="E575" s="266">
        <f>IFERROR(VLOOKUP(B575,'Сырьё'!$C$6:$E$233,3,FALSE()),IFERROR(VLOOKUP(B575,'Полупродукты'!$C$6:$E$60,3,FALSE()),0))</f>
        <v>3.7834</v>
      </c>
      <c r="F575" s="266">
        <f t="shared" si="1"/>
        <v>0.0004994088</v>
      </c>
      <c r="G575" s="1">
        <v>0.0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0" customHeight="1">
      <c r="A576" s="1" t="s">
        <v>531</v>
      </c>
      <c r="B576" s="1" t="s">
        <v>549</v>
      </c>
      <c r="C576" s="1">
        <v>0.18025</v>
      </c>
      <c r="D576" s="1" t="s">
        <v>3090</v>
      </c>
      <c r="E576" s="266">
        <f>IFERROR(VLOOKUP(B576,'Сырьё'!$C$6:$E$233,3,FALSE()),IFERROR(VLOOKUP(B576,'Полупродукты'!$C$6:$E$60,3,FALSE()),0))</f>
        <v>6.519</v>
      </c>
      <c r="F576" s="266">
        <f t="shared" si="1"/>
        <v>1.17504975</v>
      </c>
      <c r="G576" s="1">
        <v>0.0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0" customHeight="1">
      <c r="A577" s="1" t="s">
        <v>531</v>
      </c>
      <c r="B577" s="1" t="s">
        <v>593</v>
      </c>
      <c r="C577" s="1">
        <v>0.161504</v>
      </c>
      <c r="D577" s="1" t="s">
        <v>3091</v>
      </c>
      <c r="E577" s="266">
        <f>IFERROR(VLOOKUP(B577,'Сырьё'!$C$6:$E$233,3,FALSE()),IFERROR(VLOOKUP(B577,'Полупродукты'!$C$6:$E$60,3,FALSE()),0))</f>
        <v>1.6575</v>
      </c>
      <c r="F577" s="266">
        <f t="shared" si="1"/>
        <v>0.26769288</v>
      </c>
      <c r="G577" s="1">
        <v>0.0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0" customHeight="1">
      <c r="A578" s="1" t="s">
        <v>662</v>
      </c>
      <c r="B578" s="1" t="s">
        <v>579</v>
      </c>
      <c r="C578" s="1">
        <v>0.4223</v>
      </c>
      <c r="D578" s="1" t="s">
        <v>1716</v>
      </c>
      <c r="E578" s="266">
        <f>IFERROR(VLOOKUP(B578,'Сырьё'!$C$6:$E$233,3,FALSE()),IFERROR(VLOOKUP(B578,'Полупродукты'!$C$6:$E$60,3,FALSE()),0))</f>
        <v>1.2831</v>
      </c>
      <c r="F578" s="266">
        <f t="shared" si="1"/>
        <v>0.54185313</v>
      </c>
      <c r="G578" s="1">
        <v>0.0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0" customHeight="1">
      <c r="A579" s="1" t="s">
        <v>662</v>
      </c>
      <c r="B579" s="1" t="s">
        <v>592</v>
      </c>
      <c r="C579" s="1">
        <v>0.2472</v>
      </c>
      <c r="D579" s="1" t="s">
        <v>1718</v>
      </c>
      <c r="E579" s="266">
        <f>IFERROR(VLOOKUP(B579,'Сырьё'!$C$6:$E$233,3,FALSE()),IFERROR(VLOOKUP(B579,'Полупродукты'!$C$6:$E$60,3,FALSE()),0))</f>
        <v>10.8101</v>
      </c>
      <c r="F579" s="266">
        <f t="shared" si="1"/>
        <v>2.67225672</v>
      </c>
      <c r="G579" s="1">
        <v>0.0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0" customHeight="1">
      <c r="A580" s="1" t="s">
        <v>662</v>
      </c>
      <c r="B580" s="1" t="s">
        <v>585</v>
      </c>
      <c r="C580" s="1">
        <v>0.3605</v>
      </c>
      <c r="D580" s="1" t="s">
        <v>1720</v>
      </c>
      <c r="E580" s="266">
        <f>IFERROR(VLOOKUP(B580,'Сырьё'!$C$6:$E$233,3,FALSE()),IFERROR(VLOOKUP(B580,'Полупродукты'!$C$6:$E$60,3,FALSE()),0))</f>
        <v>6.9052</v>
      </c>
      <c r="F580" s="266">
        <f t="shared" si="1"/>
        <v>2.4893246</v>
      </c>
      <c r="G580" s="1">
        <v>0.0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0" customHeight="1">
      <c r="A581" s="1" t="s">
        <v>397</v>
      </c>
      <c r="B581" s="1" t="s">
        <v>397</v>
      </c>
      <c r="C581" s="1">
        <v>1.0</v>
      </c>
      <c r="D581" s="1" t="s">
        <v>3092</v>
      </c>
      <c r="E581" s="266">
        <f>IFERROR(VLOOKUP(B581,'Сырьё'!$C$6:$E$233,3,FALSE()),IFERROR(VLOOKUP(B581,'Полупродукты'!$C$6:$E$60,3,FALSE()),0))</f>
        <v>3.2387</v>
      </c>
      <c r="F581" s="266">
        <f t="shared" si="1"/>
        <v>3.2387</v>
      </c>
      <c r="G581" s="1">
        <v>1.0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0" customHeight="1">
      <c r="A582" s="1" t="s">
        <v>732</v>
      </c>
      <c r="B582" s="1" t="s">
        <v>549</v>
      </c>
      <c r="C582" s="1">
        <v>0.105678</v>
      </c>
      <c r="D582" s="1" t="s">
        <v>3093</v>
      </c>
      <c r="E582" s="266">
        <f>IFERROR(VLOOKUP(B582,'Сырьё'!$C$6:$E$233,3,FALSE()),IFERROR(VLOOKUP(B582,'Полупродукты'!$C$6:$E$60,3,FALSE()),0))</f>
        <v>6.519</v>
      </c>
      <c r="F582" s="266">
        <f t="shared" si="1"/>
        <v>0.688914882</v>
      </c>
      <c r="G582" s="1">
        <v>0.0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0" customHeight="1">
      <c r="A583" s="1" t="s">
        <v>732</v>
      </c>
      <c r="B583" s="1" t="s">
        <v>537</v>
      </c>
      <c r="C583" s="1">
        <v>0.023175</v>
      </c>
      <c r="D583" s="1" t="s">
        <v>3094</v>
      </c>
      <c r="E583" s="266">
        <f>IFERROR(VLOOKUP(B583,'Сырьё'!$C$6:$E$233,3,FALSE()),IFERROR(VLOOKUP(B583,'Полупродукты'!$C$6:$E$60,3,FALSE()),0))</f>
        <v>8.8284</v>
      </c>
      <c r="F583" s="266">
        <f t="shared" si="1"/>
        <v>0.20459817</v>
      </c>
      <c r="G583" s="1">
        <v>0.0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0" customHeight="1">
      <c r="A584" s="1" t="s">
        <v>732</v>
      </c>
      <c r="B584" s="1" t="s">
        <v>594</v>
      </c>
      <c r="C584" s="1">
        <v>0.44496</v>
      </c>
      <c r="D584" s="1" t="s">
        <v>3095</v>
      </c>
      <c r="E584" s="266">
        <f>IFERROR(VLOOKUP(B584,'Сырьё'!$C$6:$E$233,3,FALSE()),IFERROR(VLOOKUP(B584,'Полупродукты'!$C$6:$E$60,3,FALSE()),0))</f>
        <v>1.7145</v>
      </c>
      <c r="F584" s="266">
        <f t="shared" si="1"/>
        <v>0.76288392</v>
      </c>
      <c r="G584" s="1">
        <v>0.0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0" customHeight="1">
      <c r="A585" s="1" t="s">
        <v>732</v>
      </c>
      <c r="B585" s="1" t="s">
        <v>541</v>
      </c>
      <c r="C585" s="1">
        <v>0.004635</v>
      </c>
      <c r="D585" s="1" t="s">
        <v>3096</v>
      </c>
      <c r="E585" s="266">
        <f>IFERROR(VLOOKUP(B585,'Сырьё'!$C$6:$E$233,3,FALSE()),IFERROR(VLOOKUP(B585,'Полупродукты'!$C$6:$E$60,3,FALSE()),0))</f>
        <v>78.7704</v>
      </c>
      <c r="F585" s="266">
        <f t="shared" si="1"/>
        <v>0.365100804</v>
      </c>
      <c r="G585" s="1">
        <v>0.0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0" customHeight="1">
      <c r="A586" s="1" t="s">
        <v>732</v>
      </c>
      <c r="B586" s="1" t="s">
        <v>554</v>
      </c>
      <c r="C586" s="1">
        <v>0.25956</v>
      </c>
      <c r="D586" s="1" t="s">
        <v>3097</v>
      </c>
      <c r="E586" s="266">
        <f>IFERROR(VLOOKUP(B586,'Сырьё'!$C$6:$E$233,3,FALSE()),IFERROR(VLOOKUP(B586,'Полупродукты'!$C$6:$E$60,3,FALSE()),0))</f>
        <v>7.3406</v>
      </c>
      <c r="F586" s="266">
        <f t="shared" si="1"/>
        <v>1.905326136</v>
      </c>
      <c r="G586" s="1">
        <v>0.0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0" customHeight="1">
      <c r="A587" s="1" t="s">
        <v>732</v>
      </c>
      <c r="B587" s="1" t="s">
        <v>579</v>
      </c>
      <c r="C587" s="1">
        <v>0.135342</v>
      </c>
      <c r="D587" s="1" t="s">
        <v>3098</v>
      </c>
      <c r="E587" s="266">
        <f>IFERROR(VLOOKUP(B587,'Сырьё'!$C$6:$E$233,3,FALSE()),IFERROR(VLOOKUP(B587,'Полупродукты'!$C$6:$E$60,3,FALSE()),0))</f>
        <v>1.2831</v>
      </c>
      <c r="F587" s="266">
        <f t="shared" si="1"/>
        <v>0.1736573202</v>
      </c>
      <c r="G587" s="1">
        <v>0.0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0" customHeight="1">
      <c r="A588" s="1" t="s">
        <v>732</v>
      </c>
      <c r="B588" s="1" t="s">
        <v>593</v>
      </c>
      <c r="C588" s="1">
        <v>0.05665</v>
      </c>
      <c r="D588" s="1" t="s">
        <v>1634</v>
      </c>
      <c r="E588" s="266">
        <f>IFERROR(VLOOKUP(B588,'Сырьё'!$C$6:$E$233,3,FALSE()),IFERROR(VLOOKUP(B588,'Полупродукты'!$C$6:$E$60,3,FALSE()),0))</f>
        <v>1.6575</v>
      </c>
      <c r="F588" s="266">
        <f t="shared" si="1"/>
        <v>0.093897375</v>
      </c>
      <c r="G588" s="1">
        <v>0.0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0" customHeight="1">
      <c r="A589" s="1" t="s">
        <v>732</v>
      </c>
      <c r="B589" s="1" t="s">
        <v>520</v>
      </c>
      <c r="C589" s="1">
        <v>0.005891</v>
      </c>
      <c r="D589" s="1" t="s">
        <v>1640</v>
      </c>
      <c r="E589" s="266">
        <f>IFERROR(VLOOKUP(B589,'Сырьё'!$C$6:$E$233,3,FALSE()),IFERROR(VLOOKUP(B589,'Полупродукты'!$C$6:$E$60,3,FALSE()),0))</f>
        <v>30.1527</v>
      </c>
      <c r="F589" s="266">
        <f t="shared" si="1"/>
        <v>0.1776295557</v>
      </c>
      <c r="G589" s="1">
        <v>0.0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0" customHeight="1">
      <c r="A590" s="1" t="s">
        <v>732</v>
      </c>
      <c r="B590" s="1" t="s">
        <v>522</v>
      </c>
      <c r="C590" s="1">
        <v>0.003551</v>
      </c>
      <c r="D590" s="1" t="s">
        <v>1642</v>
      </c>
      <c r="E590" s="266">
        <f>IFERROR(VLOOKUP(B590,'Сырьё'!$C$6:$E$233,3,FALSE()),IFERROR(VLOOKUP(B590,'Полупродукты'!$C$6:$E$60,3,FALSE()),0))</f>
        <v>3.7834</v>
      </c>
      <c r="F590" s="266">
        <f t="shared" si="1"/>
        <v>0.0134348534</v>
      </c>
      <c r="G590" s="1">
        <v>0.0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0" customHeight="1">
      <c r="A591" s="1" t="s">
        <v>407</v>
      </c>
      <c r="B591" s="1" t="s">
        <v>407</v>
      </c>
      <c r="C591" s="1">
        <v>1.0</v>
      </c>
      <c r="D591" s="1" t="s">
        <v>3099</v>
      </c>
      <c r="E591" s="266">
        <f>IFERROR(VLOOKUP(B591,'Сырьё'!$C$6:$E$233,3,FALSE()),IFERROR(VLOOKUP(B591,'Полупродукты'!$C$6:$E$60,3,FALSE()),0))</f>
        <v>2.1138</v>
      </c>
      <c r="F591" s="266">
        <f t="shared" si="1"/>
        <v>2.1138</v>
      </c>
      <c r="G591" s="1">
        <v>1.0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0" customHeight="1">
      <c r="A592" s="1" t="s">
        <v>750</v>
      </c>
      <c r="B592" s="1" t="s">
        <v>570</v>
      </c>
      <c r="C592" s="1">
        <v>0.518811</v>
      </c>
      <c r="D592" s="1" t="s">
        <v>2154</v>
      </c>
      <c r="E592" s="266">
        <f>IFERROR(VLOOKUP(B592,'Сырьё'!$C$6:$E$233,3,FALSE()),IFERROR(VLOOKUP(B592,'Полупродукты'!$C$6:$E$60,3,FALSE()),0))</f>
        <v>3.3046</v>
      </c>
      <c r="F592" s="266">
        <f t="shared" si="1"/>
        <v>1.714462831</v>
      </c>
      <c r="G592" s="1">
        <v>0.0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0" customHeight="1">
      <c r="A593" s="1" t="s">
        <v>750</v>
      </c>
      <c r="B593" s="1" t="s">
        <v>594</v>
      </c>
      <c r="C593" s="1">
        <v>0.41509</v>
      </c>
      <c r="D593" s="1" t="s">
        <v>2158</v>
      </c>
      <c r="E593" s="266">
        <f>IFERROR(VLOOKUP(B593,'Сырьё'!$C$6:$E$233,3,FALSE()),IFERROR(VLOOKUP(B593,'Полупродукты'!$C$6:$E$60,3,FALSE()),0))</f>
        <v>1.7145</v>
      </c>
      <c r="F593" s="266">
        <f t="shared" si="1"/>
        <v>0.711671805</v>
      </c>
      <c r="G593" s="1">
        <v>0.0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0" customHeight="1">
      <c r="A594" s="1" t="s">
        <v>750</v>
      </c>
      <c r="B594" s="1" t="s">
        <v>579</v>
      </c>
      <c r="C594" s="1">
        <v>0.051758</v>
      </c>
      <c r="D594" s="1" t="s">
        <v>3100</v>
      </c>
      <c r="E594" s="266">
        <f>IFERROR(VLOOKUP(B594,'Сырьё'!$C$6:$E$233,3,FALSE()),IFERROR(VLOOKUP(B594,'Полупродукты'!$C$6:$E$60,3,FALSE()),0))</f>
        <v>1.2831</v>
      </c>
      <c r="F594" s="266">
        <f t="shared" si="1"/>
        <v>0.0664106898</v>
      </c>
      <c r="G594" s="1">
        <v>0.0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0" customHeight="1">
      <c r="A595" s="1" t="s">
        <v>750</v>
      </c>
      <c r="B595" s="1" t="s">
        <v>591</v>
      </c>
      <c r="C595" s="1">
        <v>0.051758</v>
      </c>
      <c r="D595" s="1" t="s">
        <v>3101</v>
      </c>
      <c r="E595" s="266">
        <f>IFERROR(VLOOKUP(B595,'Сырьё'!$C$6:$E$233,3,FALSE()),IFERROR(VLOOKUP(B595,'Полупродукты'!$C$6:$E$60,3,FALSE()),0))</f>
        <v>1.9734</v>
      </c>
      <c r="F595" s="266">
        <f t="shared" si="1"/>
        <v>0.1021392372</v>
      </c>
      <c r="G595" s="1">
        <v>0.0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0" customHeight="1">
      <c r="A596" s="1" t="s">
        <v>750</v>
      </c>
      <c r="B596" s="1" t="s">
        <v>522</v>
      </c>
      <c r="C596" s="1">
        <v>4.41E-4</v>
      </c>
      <c r="D596" s="1" t="s">
        <v>2690</v>
      </c>
      <c r="E596" s="266">
        <f>IFERROR(VLOOKUP(B596,'Сырьё'!$C$6:$E$233,3,FALSE()),IFERROR(VLOOKUP(B596,'Полупродукты'!$C$6:$E$60,3,FALSE()),0))</f>
        <v>3.7834</v>
      </c>
      <c r="F596" s="266">
        <f t="shared" si="1"/>
        <v>0.0016684794</v>
      </c>
      <c r="G596" s="1">
        <v>0.0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0" customHeight="1">
      <c r="A597" s="1" t="s">
        <v>763</v>
      </c>
      <c r="B597" s="1" t="s">
        <v>579</v>
      </c>
      <c r="C597" s="1">
        <v>0.2163</v>
      </c>
      <c r="D597" s="1" t="s">
        <v>1832</v>
      </c>
      <c r="E597" s="266">
        <f>IFERROR(VLOOKUP(B597,'Сырьё'!$C$6:$E$233,3,FALSE()),IFERROR(VLOOKUP(B597,'Полупродукты'!$C$6:$E$60,3,FALSE()),0))</f>
        <v>1.2831</v>
      </c>
      <c r="F597" s="266">
        <f t="shared" si="1"/>
        <v>0.27753453</v>
      </c>
      <c r="G597" s="1">
        <v>0.0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0" customHeight="1">
      <c r="A598" s="1" t="s">
        <v>763</v>
      </c>
      <c r="B598" s="1" t="s">
        <v>594</v>
      </c>
      <c r="C598" s="1">
        <v>0.2575</v>
      </c>
      <c r="D598" s="1" t="s">
        <v>1834</v>
      </c>
      <c r="E598" s="266">
        <f>IFERROR(VLOOKUP(B598,'Сырьё'!$C$6:$E$233,3,FALSE()),IFERROR(VLOOKUP(B598,'Полупродукты'!$C$6:$E$60,3,FALSE()),0))</f>
        <v>1.7145</v>
      </c>
      <c r="F598" s="266">
        <f t="shared" si="1"/>
        <v>0.44148375</v>
      </c>
      <c r="G598" s="1">
        <v>0.0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0" customHeight="1">
      <c r="A599" s="1" t="s">
        <v>763</v>
      </c>
      <c r="B599" s="1" t="s">
        <v>593</v>
      </c>
      <c r="C599" s="1">
        <v>0.1545</v>
      </c>
      <c r="D599" s="1" t="s">
        <v>1836</v>
      </c>
      <c r="E599" s="266">
        <f>IFERROR(VLOOKUP(B599,'Сырьё'!$C$6:$E$233,3,FALSE()),IFERROR(VLOOKUP(B599,'Полупродукты'!$C$6:$E$60,3,FALSE()),0))</f>
        <v>1.6575</v>
      </c>
      <c r="F599" s="266">
        <f t="shared" si="1"/>
        <v>0.25608375</v>
      </c>
      <c r="G599" s="1">
        <v>0.0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0" customHeight="1">
      <c r="A600" s="1" t="s">
        <v>763</v>
      </c>
      <c r="B600" s="1" t="s">
        <v>549</v>
      </c>
      <c r="C600" s="1">
        <v>0.1545</v>
      </c>
      <c r="D600" s="1" t="s">
        <v>1838</v>
      </c>
      <c r="E600" s="266">
        <f>IFERROR(VLOOKUP(B600,'Сырьё'!$C$6:$E$233,3,FALSE()),IFERROR(VLOOKUP(B600,'Полупродукты'!$C$6:$E$60,3,FALSE()),0))</f>
        <v>6.519</v>
      </c>
      <c r="F600" s="266">
        <f t="shared" si="1"/>
        <v>1.0071855</v>
      </c>
      <c r="G600" s="1">
        <v>0.0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0" customHeight="1">
      <c r="A601" s="1" t="s">
        <v>763</v>
      </c>
      <c r="B601" s="1" t="s">
        <v>542</v>
      </c>
      <c r="C601" s="1">
        <v>0.03605</v>
      </c>
      <c r="D601" s="1" t="s">
        <v>3102</v>
      </c>
      <c r="E601" s="266">
        <f>IFERROR(VLOOKUP(B601,'Сырьё'!$C$6:$E$233,3,FALSE()),IFERROR(VLOOKUP(B601,'Полупродукты'!$C$6:$E$60,3,FALSE()),0))</f>
        <v>16.0534</v>
      </c>
      <c r="F601" s="266">
        <f t="shared" si="1"/>
        <v>0.57872507</v>
      </c>
      <c r="G601" s="1">
        <v>0.0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0" customHeight="1">
      <c r="A602" s="1" t="s">
        <v>763</v>
      </c>
      <c r="B602" s="1" t="s">
        <v>541</v>
      </c>
      <c r="C602" s="1">
        <v>0.00515</v>
      </c>
      <c r="D602" s="1" t="s">
        <v>1842</v>
      </c>
      <c r="E602" s="266">
        <f>IFERROR(VLOOKUP(B602,'Сырьё'!$C$6:$E$233,3,FALSE()),IFERROR(VLOOKUP(B602,'Полупродукты'!$C$6:$E$60,3,FALSE()),0))</f>
        <v>78.7704</v>
      </c>
      <c r="F602" s="266">
        <f t="shared" si="1"/>
        <v>0.40566756</v>
      </c>
      <c r="G602" s="1">
        <v>0.0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0" customHeight="1">
      <c r="A603" s="1" t="s">
        <v>763</v>
      </c>
      <c r="B603" s="1" t="s">
        <v>553</v>
      </c>
      <c r="C603" s="1">
        <v>0.206</v>
      </c>
      <c r="D603" s="1" t="s">
        <v>1844</v>
      </c>
      <c r="E603" s="266">
        <f>IFERROR(VLOOKUP(B603,'Сырьё'!$C$6:$E$233,3,FALSE()),IFERROR(VLOOKUP(B603,'Полупродукты'!$C$6:$E$60,3,FALSE()),0))</f>
        <v>3.5357</v>
      </c>
      <c r="F603" s="266">
        <f t="shared" si="1"/>
        <v>0.7283542</v>
      </c>
      <c r="G603" s="1">
        <v>0.0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0" customHeight="1">
      <c r="A604" s="1" t="s">
        <v>763</v>
      </c>
      <c r="B604" s="1" t="s">
        <v>520</v>
      </c>
      <c r="C604" s="1">
        <v>8.85E-4</v>
      </c>
      <c r="D604" s="1" t="s">
        <v>2694</v>
      </c>
      <c r="E604" s="266">
        <f>IFERROR(VLOOKUP(B604,'Сырьё'!$C$6:$E$233,3,FALSE()),IFERROR(VLOOKUP(B604,'Полупродукты'!$C$6:$E$60,3,FALSE()),0))</f>
        <v>30.1527</v>
      </c>
      <c r="F604" s="266">
        <f t="shared" si="1"/>
        <v>0.0266851395</v>
      </c>
      <c r="G604" s="1">
        <v>0.0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0" customHeight="1">
      <c r="A605" s="1" t="s">
        <v>670</v>
      </c>
      <c r="B605" s="1" t="s">
        <v>579</v>
      </c>
      <c r="C605" s="1">
        <v>0.194309</v>
      </c>
      <c r="D605" s="1" t="s">
        <v>3103</v>
      </c>
      <c r="E605" s="266">
        <f>IFERROR(VLOOKUP(B605,'Сырьё'!$C$6:$E$233,3,FALSE()),IFERROR(VLOOKUP(B605,'Полупродукты'!$C$6:$E$60,3,FALSE()),0))</f>
        <v>1.2831</v>
      </c>
      <c r="F605" s="266">
        <f t="shared" si="1"/>
        <v>0.2493178779</v>
      </c>
      <c r="G605" s="1">
        <v>0.0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0" customHeight="1">
      <c r="A606" s="1" t="s">
        <v>670</v>
      </c>
      <c r="B606" s="1" t="s">
        <v>594</v>
      </c>
      <c r="C606" s="1">
        <v>0.278388</v>
      </c>
      <c r="D606" s="1" t="s">
        <v>3104</v>
      </c>
      <c r="E606" s="266">
        <f>IFERROR(VLOOKUP(B606,'Сырьё'!$C$6:$E$233,3,FALSE()),IFERROR(VLOOKUP(B606,'Полупродукты'!$C$6:$E$60,3,FALSE()),0))</f>
        <v>1.7145</v>
      </c>
      <c r="F606" s="266">
        <f t="shared" si="1"/>
        <v>0.477296226</v>
      </c>
      <c r="G606" s="1">
        <v>0.0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0" customHeight="1">
      <c r="A607" s="1" t="s">
        <v>670</v>
      </c>
      <c r="B607" s="1" t="s">
        <v>593</v>
      </c>
      <c r="C607" s="1">
        <v>0.123971</v>
      </c>
      <c r="D607" s="1" t="s">
        <v>3105</v>
      </c>
      <c r="E607" s="266">
        <f>IFERROR(VLOOKUP(B607,'Сырьё'!$C$6:$E$233,3,FALSE()),IFERROR(VLOOKUP(B607,'Полупродукты'!$C$6:$E$60,3,FALSE()),0))</f>
        <v>1.6575</v>
      </c>
      <c r="F607" s="266">
        <f t="shared" si="1"/>
        <v>0.2054819325</v>
      </c>
      <c r="G607" s="1">
        <v>0.0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0" customHeight="1">
      <c r="A608" s="1" t="s">
        <v>670</v>
      </c>
      <c r="B608" s="1" t="s">
        <v>549</v>
      </c>
      <c r="C608" s="1">
        <v>0.124372</v>
      </c>
      <c r="D608" s="1" t="s">
        <v>3106</v>
      </c>
      <c r="E608" s="266">
        <f>IFERROR(VLOOKUP(B608,'Сырьё'!$C$6:$E$233,3,FALSE()),IFERROR(VLOOKUP(B608,'Полупродукты'!$C$6:$E$60,3,FALSE()),0))</f>
        <v>6.519</v>
      </c>
      <c r="F608" s="266">
        <f t="shared" si="1"/>
        <v>0.810781068</v>
      </c>
      <c r="G608" s="1">
        <v>0.0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0" customHeight="1">
      <c r="A609" s="1" t="s">
        <v>670</v>
      </c>
      <c r="B609" s="1" t="s">
        <v>542</v>
      </c>
      <c r="C609" s="1">
        <v>0.028119</v>
      </c>
      <c r="D609" s="1" t="s">
        <v>3107</v>
      </c>
      <c r="E609" s="266">
        <f>IFERROR(VLOOKUP(B609,'Сырьё'!$C$6:$E$233,3,FALSE()),IFERROR(VLOOKUP(B609,'Полупродукты'!$C$6:$E$60,3,FALSE()),0))</f>
        <v>16.0534</v>
      </c>
      <c r="F609" s="266">
        <f t="shared" si="1"/>
        <v>0.4514055546</v>
      </c>
      <c r="G609" s="1">
        <v>0.0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0" customHeight="1">
      <c r="A610" s="1" t="s">
        <v>670</v>
      </c>
      <c r="B610" s="1" t="s">
        <v>541</v>
      </c>
      <c r="C610" s="1">
        <v>0.004017</v>
      </c>
      <c r="D610" s="1" t="s">
        <v>3108</v>
      </c>
      <c r="E610" s="266">
        <f>IFERROR(VLOOKUP(B610,'Сырьё'!$C$6:$E$233,3,FALSE()),IFERROR(VLOOKUP(B610,'Полупродукты'!$C$6:$E$60,3,FALSE()),0))</f>
        <v>78.7704</v>
      </c>
      <c r="F610" s="266">
        <f t="shared" si="1"/>
        <v>0.3164206968</v>
      </c>
      <c r="G610" s="1">
        <v>0.0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0" customHeight="1">
      <c r="A611" s="1" t="s">
        <v>670</v>
      </c>
      <c r="B611" s="1" t="s">
        <v>553</v>
      </c>
      <c r="C611" s="1">
        <v>0.16068</v>
      </c>
      <c r="D611" s="1" t="s">
        <v>3109</v>
      </c>
      <c r="E611" s="266">
        <f>IFERROR(VLOOKUP(B611,'Сырьё'!$C$6:$E$233,3,FALSE()),IFERROR(VLOOKUP(B611,'Полупродукты'!$C$6:$E$60,3,FALSE()),0))</f>
        <v>3.5357</v>
      </c>
      <c r="F611" s="266">
        <f t="shared" si="1"/>
        <v>0.568116276</v>
      </c>
      <c r="G611" s="1">
        <v>0.0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0" customHeight="1">
      <c r="A612" s="1" t="s">
        <v>670</v>
      </c>
      <c r="B612" s="1" t="s">
        <v>520</v>
      </c>
      <c r="C612" s="1">
        <v>0.001407</v>
      </c>
      <c r="D612" s="1" t="s">
        <v>3110</v>
      </c>
      <c r="E612" s="266">
        <f>IFERROR(VLOOKUP(B612,'Сырьё'!$C$6:$E$233,3,FALSE()),IFERROR(VLOOKUP(B612,'Полупродукты'!$C$6:$E$60,3,FALSE()),0))</f>
        <v>30.1527</v>
      </c>
      <c r="F612" s="266">
        <f t="shared" si="1"/>
        <v>0.0424248489</v>
      </c>
      <c r="G612" s="1">
        <v>0.0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0" customHeight="1">
      <c r="A613" s="1" t="s">
        <v>670</v>
      </c>
      <c r="B613" s="1" t="s">
        <v>570</v>
      </c>
      <c r="C613" s="1">
        <v>0.04874</v>
      </c>
      <c r="D613" s="1" t="s">
        <v>3111</v>
      </c>
      <c r="E613" s="266">
        <f>IFERROR(VLOOKUP(B613,'Сырьё'!$C$6:$E$233,3,FALSE()),IFERROR(VLOOKUP(B613,'Полупродукты'!$C$6:$E$60,3,FALSE()),0))</f>
        <v>3.3046</v>
      </c>
      <c r="F613" s="266">
        <f t="shared" si="1"/>
        <v>0.161066204</v>
      </c>
      <c r="G613" s="1">
        <v>0.0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0" customHeight="1">
      <c r="A614" s="1" t="s">
        <v>670</v>
      </c>
      <c r="B614" s="1" t="s">
        <v>569</v>
      </c>
      <c r="C614" s="1">
        <v>0.036998</v>
      </c>
      <c r="D614" s="1" t="s">
        <v>3112</v>
      </c>
      <c r="E614" s="266">
        <f>IFERROR(VLOOKUP(B614,'Сырьё'!$C$6:$E$233,3,FALSE()),IFERROR(VLOOKUP(B614,'Полупродукты'!$C$6:$E$60,3,FALSE()),0))</f>
        <v>3.2853</v>
      </c>
      <c r="F614" s="266">
        <f t="shared" si="1"/>
        <v>0.1215495294</v>
      </c>
      <c r="G614" s="1">
        <v>0.0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0" customHeight="1">
      <c r="A615" s="1" t="s">
        <v>670</v>
      </c>
      <c r="B615" s="1" t="s">
        <v>591</v>
      </c>
      <c r="C615" s="1">
        <v>0.020868</v>
      </c>
      <c r="D615" s="1" t="s">
        <v>3113</v>
      </c>
      <c r="E615" s="266">
        <f>IFERROR(VLOOKUP(B615,'Сырьё'!$C$6:$E$233,3,FALSE()),IFERROR(VLOOKUP(B615,'Полупродукты'!$C$6:$E$60,3,FALSE()),0))</f>
        <v>1.9734</v>
      </c>
      <c r="F615" s="266">
        <f t="shared" si="1"/>
        <v>0.0411809112</v>
      </c>
      <c r="G615" s="1">
        <v>0.0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0" customHeight="1">
      <c r="A616" s="1" t="s">
        <v>670</v>
      </c>
      <c r="B616" s="1" t="s">
        <v>532</v>
      </c>
      <c r="C616" s="1">
        <v>0.007354</v>
      </c>
      <c r="D616" s="1" t="s">
        <v>3114</v>
      </c>
      <c r="E616" s="266">
        <f>IFERROR(VLOOKUP(B616,'Сырьё'!$C$6:$E$233,3,FALSE()),IFERROR(VLOOKUP(B616,'Полупродукты'!$C$6:$E$60,3,FALSE()),0))</f>
        <v>2.337</v>
      </c>
      <c r="F616" s="266">
        <f t="shared" si="1"/>
        <v>0.017186298</v>
      </c>
      <c r="G616" s="1">
        <v>0.0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0" customHeight="1">
      <c r="A617" s="1" t="s">
        <v>670</v>
      </c>
      <c r="B617" s="1" t="s">
        <v>571</v>
      </c>
      <c r="C617" s="1">
        <v>0.00515</v>
      </c>
      <c r="D617" s="1" t="s">
        <v>1386</v>
      </c>
      <c r="E617" s="266">
        <f>IFERROR(VLOOKUP(B617,'Сырьё'!$C$6:$E$233,3,FALSE()),IFERROR(VLOOKUP(B617,'Полупродукты'!$C$6:$E$60,3,FALSE()),0))</f>
        <v>14.556</v>
      </c>
      <c r="F617" s="266">
        <f t="shared" si="1"/>
        <v>0.0749634</v>
      </c>
      <c r="G617" s="1">
        <v>0.0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0" customHeight="1">
      <c r="A618" s="1" t="s">
        <v>779</v>
      </c>
      <c r="B618" s="1" t="s">
        <v>579</v>
      </c>
      <c r="C618" s="1">
        <v>0.14935</v>
      </c>
      <c r="D618" s="1" t="s">
        <v>1814</v>
      </c>
      <c r="E618" s="266">
        <f>IFERROR(VLOOKUP(B618,'Сырьё'!$C$6:$E$233,3,FALSE()),IFERROR(VLOOKUP(B618,'Полупродукты'!$C$6:$E$60,3,FALSE()),0))</f>
        <v>1.2831</v>
      </c>
      <c r="F618" s="266">
        <f t="shared" si="1"/>
        <v>0.191630985</v>
      </c>
      <c r="G618" s="1">
        <v>0.0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0" customHeight="1">
      <c r="A619" s="1" t="s">
        <v>779</v>
      </c>
      <c r="B619" s="1" t="s">
        <v>593</v>
      </c>
      <c r="C619" s="1">
        <v>0.1751</v>
      </c>
      <c r="D619" s="1" t="s">
        <v>1816</v>
      </c>
      <c r="E619" s="266">
        <f>IFERROR(VLOOKUP(B619,'Сырьё'!$C$6:$E$233,3,FALSE()),IFERROR(VLOOKUP(B619,'Полупродукты'!$C$6:$E$60,3,FALSE()),0))</f>
        <v>1.6575</v>
      </c>
      <c r="F619" s="266">
        <f t="shared" si="1"/>
        <v>0.29022825</v>
      </c>
      <c r="G619" s="1">
        <v>0.0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0" customHeight="1">
      <c r="A620" s="1" t="s">
        <v>779</v>
      </c>
      <c r="B620" s="1" t="s">
        <v>578</v>
      </c>
      <c r="C620" s="1">
        <v>0.6386</v>
      </c>
      <c r="D620" s="1" t="s">
        <v>1818</v>
      </c>
      <c r="E620" s="266">
        <f>IFERROR(VLOOKUP(B620,'Сырьё'!$C$6:$E$233,3,FALSE()),IFERROR(VLOOKUP(B620,'Полупродукты'!$C$6:$E$60,3,FALSE()),0))</f>
        <v>4.0017</v>
      </c>
      <c r="F620" s="266">
        <f t="shared" si="1"/>
        <v>2.55548562</v>
      </c>
      <c r="G620" s="1">
        <v>0.0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0" customHeight="1">
      <c r="A621" s="1" t="s">
        <v>779</v>
      </c>
      <c r="B621" s="1" t="s">
        <v>585</v>
      </c>
      <c r="C621" s="1">
        <v>0.06695</v>
      </c>
      <c r="D621" s="1" t="s">
        <v>1820</v>
      </c>
      <c r="E621" s="266">
        <f>IFERROR(VLOOKUP(B621,'Сырьё'!$C$6:$E$233,3,FALSE()),IFERROR(VLOOKUP(B621,'Полупродукты'!$C$6:$E$60,3,FALSE()),0))</f>
        <v>6.9052</v>
      </c>
      <c r="F621" s="266">
        <f t="shared" si="1"/>
        <v>0.46230314</v>
      </c>
      <c r="G621" s="1">
        <v>0.0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0" customHeight="1">
      <c r="A622" s="1" t="s">
        <v>431</v>
      </c>
      <c r="B622" s="1" t="s">
        <v>431</v>
      </c>
      <c r="C622" s="1">
        <v>1.0</v>
      </c>
      <c r="D622" s="1" t="s">
        <v>3115</v>
      </c>
      <c r="E622" s="266">
        <f>IFERROR(VLOOKUP(B622,'Сырьё'!$C$6:$E$233,3,FALSE()),IFERROR(VLOOKUP(B622,'Полупродукты'!$C$6:$E$60,3,FALSE()),0))</f>
        <v>8.7213</v>
      </c>
      <c r="F622" s="266">
        <f t="shared" si="1"/>
        <v>8.7213</v>
      </c>
      <c r="G622" s="1">
        <v>1.0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0" customHeight="1">
      <c r="A623" s="1" t="s">
        <v>694</v>
      </c>
      <c r="B623" s="1" t="s">
        <v>569</v>
      </c>
      <c r="C623" s="1">
        <v>0.103</v>
      </c>
      <c r="D623" s="1" t="s">
        <v>1212</v>
      </c>
      <c r="E623" s="266">
        <f>IFERROR(VLOOKUP(B623,'Сырьё'!$C$6:$E$233,3,FALSE()),IFERROR(VLOOKUP(B623,'Полупродукты'!$C$6:$E$60,3,FALSE()),0))</f>
        <v>3.2853</v>
      </c>
      <c r="F623" s="266">
        <f t="shared" si="1"/>
        <v>0.3383859</v>
      </c>
      <c r="G623" s="1">
        <v>0.0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0" customHeight="1">
      <c r="A624" s="1" t="s">
        <v>694</v>
      </c>
      <c r="B624" s="1" t="s">
        <v>579</v>
      </c>
      <c r="C624" s="1">
        <v>0.379184</v>
      </c>
      <c r="D624" s="1" t="s">
        <v>1216</v>
      </c>
      <c r="E624" s="266">
        <f>IFERROR(VLOOKUP(B624,'Сырьё'!$C$6:$E$233,3,FALSE()),IFERROR(VLOOKUP(B624,'Полупродукты'!$C$6:$E$60,3,FALSE()),0))</f>
        <v>1.2831</v>
      </c>
      <c r="F624" s="266">
        <f t="shared" si="1"/>
        <v>0.4865309904</v>
      </c>
      <c r="G624" s="1">
        <v>0.0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0" customHeight="1">
      <c r="A625" s="1" t="s">
        <v>694</v>
      </c>
      <c r="B625" s="1" t="s">
        <v>591</v>
      </c>
      <c r="C625" s="1">
        <v>0.0515</v>
      </c>
      <c r="D625" s="1" t="s">
        <v>3116</v>
      </c>
      <c r="E625" s="266">
        <f>IFERROR(VLOOKUP(B625,'Сырьё'!$C$6:$E$233,3,FALSE()),IFERROR(VLOOKUP(B625,'Полупродукты'!$C$6:$E$60,3,FALSE()),0))</f>
        <v>1.9734</v>
      </c>
      <c r="F625" s="266">
        <f t="shared" si="1"/>
        <v>0.1016301</v>
      </c>
      <c r="G625" s="1">
        <v>0.0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0" customHeight="1">
      <c r="A626" s="1" t="s">
        <v>694</v>
      </c>
      <c r="B626" s="1" t="s">
        <v>593</v>
      </c>
      <c r="C626" s="1">
        <v>0.105637</v>
      </c>
      <c r="D626" s="1" t="s">
        <v>1218</v>
      </c>
      <c r="E626" s="266">
        <f>IFERROR(VLOOKUP(B626,'Сырьё'!$C$6:$E$233,3,FALSE()),IFERROR(VLOOKUP(B626,'Полупродукты'!$C$6:$E$60,3,FALSE()),0))</f>
        <v>1.6575</v>
      </c>
      <c r="F626" s="266">
        <f t="shared" si="1"/>
        <v>0.1750933275</v>
      </c>
      <c r="G626" s="1">
        <v>0.0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0" customHeight="1">
      <c r="A627" s="1" t="s">
        <v>694</v>
      </c>
      <c r="B627" s="1" t="s">
        <v>539</v>
      </c>
      <c r="C627" s="1">
        <v>0.1236</v>
      </c>
      <c r="D627" s="1" t="s">
        <v>3117</v>
      </c>
      <c r="E627" s="266">
        <f>IFERROR(VLOOKUP(B627,'Сырьё'!$C$6:$E$233,3,FALSE()),IFERROR(VLOOKUP(B627,'Полупродукты'!$C$6:$E$60,3,FALSE()),0))</f>
        <v>3.2337</v>
      </c>
      <c r="F627" s="266">
        <f t="shared" si="1"/>
        <v>0.39968532</v>
      </c>
      <c r="G627" s="1">
        <v>0.0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0" customHeight="1">
      <c r="A628" s="1" t="s">
        <v>694</v>
      </c>
      <c r="B628" s="1" t="s">
        <v>592</v>
      </c>
      <c r="C628" s="1">
        <v>0.0103</v>
      </c>
      <c r="D628" s="1" t="s">
        <v>1222</v>
      </c>
      <c r="E628" s="266">
        <f>IFERROR(VLOOKUP(B628,'Сырьё'!$C$6:$E$233,3,FALSE()),IFERROR(VLOOKUP(B628,'Полупродукты'!$C$6:$E$60,3,FALSE()),0))</f>
        <v>10.8101</v>
      </c>
      <c r="F628" s="266">
        <f t="shared" si="1"/>
        <v>0.11134403</v>
      </c>
      <c r="G628" s="1">
        <v>0.0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0" customHeight="1">
      <c r="A629" s="1" t="s">
        <v>694</v>
      </c>
      <c r="B629" s="1" t="s">
        <v>544</v>
      </c>
      <c r="C629" s="1">
        <v>0.0103</v>
      </c>
      <c r="D629" s="1" t="s">
        <v>1224</v>
      </c>
      <c r="E629" s="266">
        <f>IFERROR(VLOOKUP(B629,'Сырьё'!$C$6:$E$233,3,FALSE()),IFERROR(VLOOKUP(B629,'Полупродукты'!$C$6:$E$60,3,FALSE()),0))</f>
        <v>6.879</v>
      </c>
      <c r="F629" s="266">
        <f t="shared" si="1"/>
        <v>0.0708537</v>
      </c>
      <c r="G629" s="1">
        <v>0.0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0" customHeight="1">
      <c r="A630" s="1" t="s">
        <v>694</v>
      </c>
      <c r="B630" s="1" t="s">
        <v>581</v>
      </c>
      <c r="C630" s="1">
        <v>0.1236</v>
      </c>
      <c r="D630" s="1" t="s">
        <v>1226</v>
      </c>
      <c r="E630" s="266">
        <f>IFERROR(VLOOKUP(B630,'Сырьё'!$C$6:$E$233,3,FALSE()),IFERROR(VLOOKUP(B630,'Полупродукты'!$C$6:$E$60,3,FALSE()),0))</f>
        <v>7.2777</v>
      </c>
      <c r="F630" s="266">
        <f t="shared" si="1"/>
        <v>0.89952372</v>
      </c>
      <c r="G630" s="1">
        <v>0.0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0" customHeight="1">
      <c r="A631" s="1" t="s">
        <v>694</v>
      </c>
      <c r="B631" s="1" t="s">
        <v>576</v>
      </c>
      <c r="C631" s="1">
        <v>0.0103</v>
      </c>
      <c r="D631" s="1" t="s">
        <v>1228</v>
      </c>
      <c r="E631" s="266">
        <f>IFERROR(VLOOKUP(B631,'Сырьё'!$C$6:$E$233,3,FALSE()),IFERROR(VLOOKUP(B631,'Полупродукты'!$C$6:$E$60,3,FALSE()),0))</f>
        <v>4.6836</v>
      </c>
      <c r="F631" s="266">
        <f t="shared" si="1"/>
        <v>0.04824108</v>
      </c>
      <c r="G631" s="1">
        <v>0.0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0" customHeight="1">
      <c r="A632" s="1" t="s">
        <v>694</v>
      </c>
      <c r="B632" s="1" t="s">
        <v>571</v>
      </c>
      <c r="C632" s="1">
        <v>0.0206</v>
      </c>
      <c r="D632" s="1" t="s">
        <v>1230</v>
      </c>
      <c r="E632" s="266">
        <f>IFERROR(VLOOKUP(B632,'Сырьё'!$C$6:$E$233,3,FALSE()),IFERROR(VLOOKUP(B632,'Полупродукты'!$C$6:$E$60,3,FALSE()),0))</f>
        <v>14.556</v>
      </c>
      <c r="F632" s="266">
        <f t="shared" si="1"/>
        <v>0.2998536</v>
      </c>
      <c r="G632" s="1">
        <v>0.0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0" customHeight="1">
      <c r="A633" s="1" t="s">
        <v>694</v>
      </c>
      <c r="B633" s="1" t="s">
        <v>549</v>
      </c>
      <c r="C633" s="1">
        <v>0.048925</v>
      </c>
      <c r="D633" s="1" t="s">
        <v>3118</v>
      </c>
      <c r="E633" s="266">
        <f>IFERROR(VLOOKUP(B633,'Сырьё'!$C$6:$E$233,3,FALSE()),IFERROR(VLOOKUP(B633,'Полупродукты'!$C$6:$E$60,3,FALSE()),0))</f>
        <v>6.519</v>
      </c>
      <c r="F633" s="266">
        <f t="shared" si="1"/>
        <v>0.318942075</v>
      </c>
      <c r="G633" s="1">
        <v>0.0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0" customHeight="1">
      <c r="A634" s="1" t="s">
        <v>694</v>
      </c>
      <c r="B634" s="1" t="s">
        <v>594</v>
      </c>
      <c r="C634" s="1">
        <v>0.043054</v>
      </c>
      <c r="D634" s="1" t="s">
        <v>3119</v>
      </c>
      <c r="E634" s="266">
        <f>IFERROR(VLOOKUP(B634,'Сырьё'!$C$6:$E$233,3,FALSE()),IFERROR(VLOOKUP(B634,'Полупродукты'!$C$6:$E$60,3,FALSE()),0))</f>
        <v>1.7145</v>
      </c>
      <c r="F634" s="266">
        <f t="shared" si="1"/>
        <v>0.073816083</v>
      </c>
      <c r="G634" s="1">
        <v>0.0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0" customHeight="1">
      <c r="A635" s="1" t="s">
        <v>616</v>
      </c>
      <c r="B635" s="1" t="s">
        <v>579</v>
      </c>
      <c r="C635" s="1">
        <v>0.215813</v>
      </c>
      <c r="D635" s="1" t="s">
        <v>1110</v>
      </c>
      <c r="E635" s="266">
        <f>IFERROR(VLOOKUP(B635,'Сырьё'!$C$6:$E$233,3,FALSE()),IFERROR(VLOOKUP(B635,'Полупродукты'!$C$6:$E$60,3,FALSE()),0))</f>
        <v>1.2831</v>
      </c>
      <c r="F635" s="266">
        <f t="shared" si="1"/>
        <v>0.2769096603</v>
      </c>
      <c r="G635" s="1">
        <v>0.0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0" customHeight="1">
      <c r="A636" s="1" t="s">
        <v>616</v>
      </c>
      <c r="B636" s="1" t="s">
        <v>594</v>
      </c>
      <c r="C636" s="1">
        <v>0.262207</v>
      </c>
      <c r="D636" s="1" t="s">
        <v>3120</v>
      </c>
      <c r="E636" s="266">
        <f>IFERROR(VLOOKUP(B636,'Сырьё'!$C$6:$E$233,3,FALSE()),IFERROR(VLOOKUP(B636,'Полупродукты'!$C$6:$E$60,3,FALSE()),0))</f>
        <v>1.7145</v>
      </c>
      <c r="F636" s="266">
        <f t="shared" si="1"/>
        <v>0.4495539015</v>
      </c>
      <c r="G636" s="1">
        <v>0.0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0" customHeight="1">
      <c r="A637" s="1" t="s">
        <v>616</v>
      </c>
      <c r="B637" s="1" t="s">
        <v>593</v>
      </c>
      <c r="C637" s="1">
        <v>0.132046</v>
      </c>
      <c r="D637" s="1" t="s">
        <v>3121</v>
      </c>
      <c r="E637" s="266">
        <f>IFERROR(VLOOKUP(B637,'Сырьё'!$C$6:$E$233,3,FALSE()),IFERROR(VLOOKUP(B637,'Полупродукты'!$C$6:$E$60,3,FALSE()),0))</f>
        <v>1.6575</v>
      </c>
      <c r="F637" s="266">
        <f t="shared" si="1"/>
        <v>0.218866245</v>
      </c>
      <c r="G637" s="1">
        <v>0.0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0" customHeight="1">
      <c r="A638" s="1" t="s">
        <v>616</v>
      </c>
      <c r="B638" s="1" t="s">
        <v>549</v>
      </c>
      <c r="C638" s="1">
        <v>0.133385</v>
      </c>
      <c r="D638" s="1" t="s">
        <v>3122</v>
      </c>
      <c r="E638" s="266">
        <f>IFERROR(VLOOKUP(B638,'Сырьё'!$C$6:$E$233,3,FALSE()),IFERROR(VLOOKUP(B638,'Полупродукты'!$C$6:$E$60,3,FALSE()),0))</f>
        <v>6.519</v>
      </c>
      <c r="F638" s="266">
        <f t="shared" si="1"/>
        <v>0.869536815</v>
      </c>
      <c r="G638" s="1">
        <v>0.0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0" customHeight="1">
      <c r="A639" s="1" t="s">
        <v>616</v>
      </c>
      <c r="B639" s="1" t="s">
        <v>542</v>
      </c>
      <c r="C639" s="1">
        <v>0.028119</v>
      </c>
      <c r="D639" s="1" t="s">
        <v>3123</v>
      </c>
      <c r="E639" s="266">
        <f>IFERROR(VLOOKUP(B639,'Сырьё'!$C$6:$E$233,3,FALSE()),IFERROR(VLOOKUP(B639,'Полупродукты'!$C$6:$E$60,3,FALSE()),0))</f>
        <v>16.0534</v>
      </c>
      <c r="F639" s="266">
        <f t="shared" si="1"/>
        <v>0.4514055546</v>
      </c>
      <c r="G639" s="1">
        <v>0.0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0" customHeight="1">
      <c r="A640" s="1" t="s">
        <v>616</v>
      </c>
      <c r="B640" s="1" t="s">
        <v>541</v>
      </c>
      <c r="C640" s="1">
        <v>0.004017</v>
      </c>
      <c r="D640" s="1" t="s">
        <v>3124</v>
      </c>
      <c r="E640" s="266">
        <f>IFERROR(VLOOKUP(B640,'Сырьё'!$C$6:$E$233,3,FALSE()),IFERROR(VLOOKUP(B640,'Полупродукты'!$C$6:$E$60,3,FALSE()),0))</f>
        <v>78.7704</v>
      </c>
      <c r="F640" s="266">
        <f t="shared" si="1"/>
        <v>0.3164206968</v>
      </c>
      <c r="G640" s="1">
        <v>0.0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0" customHeight="1">
      <c r="A641" s="1" t="s">
        <v>616</v>
      </c>
      <c r="B641" s="1" t="s">
        <v>553</v>
      </c>
      <c r="C641" s="1">
        <v>0.16068</v>
      </c>
      <c r="D641" s="1" t="s">
        <v>3125</v>
      </c>
      <c r="E641" s="266">
        <f>IFERROR(VLOOKUP(B641,'Сырьё'!$C$6:$E$233,3,FALSE()),IFERROR(VLOOKUP(B641,'Полупродукты'!$C$6:$E$60,3,FALSE()),0))</f>
        <v>3.5357</v>
      </c>
      <c r="F641" s="266">
        <f t="shared" si="1"/>
        <v>0.568116276</v>
      </c>
      <c r="G641" s="1">
        <v>0.0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0" customHeight="1">
      <c r="A642" s="1" t="s">
        <v>616</v>
      </c>
      <c r="B642" s="1" t="s">
        <v>520</v>
      </c>
      <c r="C642" s="1">
        <v>6.9E-4</v>
      </c>
      <c r="D642" s="1" t="s">
        <v>3126</v>
      </c>
      <c r="E642" s="266">
        <f>IFERROR(VLOOKUP(B642,'Сырьё'!$C$6:$E$233,3,FALSE()),IFERROR(VLOOKUP(B642,'Полупродукты'!$C$6:$E$60,3,FALSE()),0))</f>
        <v>30.1527</v>
      </c>
      <c r="F642" s="266">
        <f t="shared" si="1"/>
        <v>0.020805363</v>
      </c>
      <c r="G642" s="1">
        <v>0.0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0" customHeight="1">
      <c r="A643" s="1" t="s">
        <v>616</v>
      </c>
      <c r="B643" s="1" t="s">
        <v>570</v>
      </c>
      <c r="C643" s="1">
        <v>0.069618</v>
      </c>
      <c r="D643" s="1" t="s">
        <v>3127</v>
      </c>
      <c r="E643" s="266">
        <f>IFERROR(VLOOKUP(B643,'Сырьё'!$C$6:$E$233,3,FALSE()),IFERROR(VLOOKUP(B643,'Полупродукты'!$C$6:$E$60,3,FALSE()),0))</f>
        <v>3.3046</v>
      </c>
      <c r="F643" s="266">
        <f t="shared" si="1"/>
        <v>0.2300596428</v>
      </c>
      <c r="G643" s="1">
        <v>0.0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0" customHeight="1">
      <c r="A644" s="1" t="s">
        <v>616</v>
      </c>
      <c r="B644" s="1" t="s">
        <v>591</v>
      </c>
      <c r="C644" s="1">
        <v>0.01589</v>
      </c>
      <c r="D644" s="1" t="s">
        <v>3128</v>
      </c>
      <c r="E644" s="266">
        <f>IFERROR(VLOOKUP(B644,'Сырьё'!$C$6:$E$233,3,FALSE()),IFERROR(VLOOKUP(B644,'Полупродукты'!$C$6:$E$60,3,FALSE()),0))</f>
        <v>1.9734</v>
      </c>
      <c r="F644" s="266">
        <f t="shared" si="1"/>
        <v>0.031357326</v>
      </c>
      <c r="G644" s="1">
        <v>0.0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0" customHeight="1">
      <c r="A645" s="1" t="s">
        <v>616</v>
      </c>
      <c r="B645" s="1" t="s">
        <v>532</v>
      </c>
      <c r="C645" s="1">
        <v>0.005531</v>
      </c>
      <c r="D645" s="1" t="s">
        <v>3129</v>
      </c>
      <c r="E645" s="266">
        <f>IFERROR(VLOOKUP(B645,'Сырьё'!$C$6:$E$233,3,FALSE()),IFERROR(VLOOKUP(B645,'Полупродукты'!$C$6:$E$60,3,FALSE()),0))</f>
        <v>2.337</v>
      </c>
      <c r="F645" s="266">
        <f t="shared" si="1"/>
        <v>0.012925947</v>
      </c>
      <c r="G645" s="1">
        <v>0.0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0" customHeight="1">
      <c r="A646" s="1" t="s">
        <v>616</v>
      </c>
      <c r="B646" s="1" t="s">
        <v>571</v>
      </c>
      <c r="C646" s="1">
        <v>0.00515</v>
      </c>
      <c r="D646" s="1" t="s">
        <v>1108</v>
      </c>
      <c r="E646" s="266">
        <f>IFERROR(VLOOKUP(B646,'Сырьё'!$C$6:$E$233,3,FALSE()),IFERROR(VLOOKUP(B646,'Полупродукты'!$C$6:$E$60,3,FALSE()),0))</f>
        <v>14.556</v>
      </c>
      <c r="F646" s="266">
        <f t="shared" si="1"/>
        <v>0.0749634</v>
      </c>
      <c r="G646" s="1">
        <v>0.0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0" customHeight="1">
      <c r="A647" s="1" t="s">
        <v>632</v>
      </c>
      <c r="B647" s="1" t="s">
        <v>567</v>
      </c>
      <c r="C647" s="1">
        <v>0.144118</v>
      </c>
      <c r="D647" s="1" t="s">
        <v>3130</v>
      </c>
      <c r="E647" s="266">
        <f>IFERROR(VLOOKUP(B647,'Сырьё'!$C$6:$E$233,3,FALSE()),IFERROR(VLOOKUP(B647,'Полупродукты'!$C$6:$E$60,3,FALSE()),0))</f>
        <v>0</v>
      </c>
      <c r="F647" s="266">
        <f t="shared" si="1"/>
        <v>0</v>
      </c>
      <c r="G647" s="1">
        <v>0.0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0" customHeight="1">
      <c r="A648" s="1" t="s">
        <v>632</v>
      </c>
      <c r="B648" s="1" t="s">
        <v>550</v>
      </c>
      <c r="C648" s="1">
        <v>0.077868</v>
      </c>
      <c r="D648" s="1" t="s">
        <v>3131</v>
      </c>
      <c r="E648" s="266">
        <f>IFERROR(VLOOKUP(B648,'Сырьё'!$C$6:$E$233,3,FALSE()),IFERROR(VLOOKUP(B648,'Полупродукты'!$C$6:$E$60,3,FALSE()),0))</f>
        <v>0</v>
      </c>
      <c r="F648" s="266">
        <f t="shared" si="1"/>
        <v>0</v>
      </c>
      <c r="G648" s="1">
        <v>0.0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0" customHeight="1">
      <c r="A649" s="1" t="s">
        <v>632</v>
      </c>
      <c r="B649" s="1" t="s">
        <v>594</v>
      </c>
      <c r="C649" s="1">
        <v>0.271868</v>
      </c>
      <c r="D649" s="1" t="s">
        <v>3132</v>
      </c>
      <c r="E649" s="266">
        <f>IFERROR(VLOOKUP(B649,'Сырьё'!$C$6:$E$233,3,FALSE()),IFERROR(VLOOKUP(B649,'Полупродукты'!$C$6:$E$60,3,FALSE()),0))</f>
        <v>1.7145</v>
      </c>
      <c r="F649" s="266">
        <f t="shared" si="1"/>
        <v>0.466117686</v>
      </c>
      <c r="G649" s="1">
        <v>0.0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0" customHeight="1">
      <c r="A650" s="1" t="s">
        <v>632</v>
      </c>
      <c r="B650" s="1" t="s">
        <v>579</v>
      </c>
      <c r="C650" s="1">
        <v>0.290231</v>
      </c>
      <c r="D650" s="1" t="s">
        <v>1166</v>
      </c>
      <c r="E650" s="266">
        <f>IFERROR(VLOOKUP(B650,'Сырьё'!$C$6:$E$233,3,FALSE()),IFERROR(VLOOKUP(B650,'Полупродукты'!$C$6:$E$60,3,FALSE()),0))</f>
        <v>1.2831</v>
      </c>
      <c r="F650" s="266">
        <f t="shared" si="1"/>
        <v>0.3723953961</v>
      </c>
      <c r="G650" s="1">
        <v>0.0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0" customHeight="1">
      <c r="A651" s="1" t="s">
        <v>632</v>
      </c>
      <c r="B651" s="1" t="s">
        <v>593</v>
      </c>
      <c r="C651" s="1">
        <v>0.130913</v>
      </c>
      <c r="D651" s="1" t="s">
        <v>3133</v>
      </c>
      <c r="E651" s="266">
        <f>IFERROR(VLOOKUP(B651,'Сырьё'!$C$6:$E$233,3,FALSE()),IFERROR(VLOOKUP(B651,'Полупродукты'!$C$6:$E$60,3,FALSE()),0))</f>
        <v>1.6575</v>
      </c>
      <c r="F651" s="266">
        <f t="shared" si="1"/>
        <v>0.2169882975</v>
      </c>
      <c r="G651" s="1">
        <v>0.0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0" customHeight="1">
      <c r="A652" s="1" t="s">
        <v>632</v>
      </c>
      <c r="B652" s="1" t="s">
        <v>570</v>
      </c>
      <c r="C652" s="1">
        <v>0.069618</v>
      </c>
      <c r="D652" s="1" t="s">
        <v>3134</v>
      </c>
      <c r="E652" s="266">
        <f>IFERROR(VLOOKUP(B652,'Сырьё'!$C$6:$E$233,3,FALSE()),IFERROR(VLOOKUP(B652,'Полупродукты'!$C$6:$E$60,3,FALSE()),0))</f>
        <v>3.3046</v>
      </c>
      <c r="F652" s="266">
        <f t="shared" si="1"/>
        <v>0.2300596428</v>
      </c>
      <c r="G652" s="1">
        <v>0.0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0" customHeight="1">
      <c r="A653" s="1" t="s">
        <v>632</v>
      </c>
      <c r="B653" s="1" t="s">
        <v>591</v>
      </c>
      <c r="C653" s="1">
        <v>0.01589</v>
      </c>
      <c r="D653" s="1" t="s">
        <v>3135</v>
      </c>
      <c r="E653" s="266">
        <f>IFERROR(VLOOKUP(B653,'Сырьё'!$C$6:$E$233,3,FALSE()),IFERROR(VLOOKUP(B653,'Полупродукты'!$C$6:$E$60,3,FALSE()),0))</f>
        <v>1.9734</v>
      </c>
      <c r="F653" s="266">
        <f t="shared" si="1"/>
        <v>0.031357326</v>
      </c>
      <c r="G653" s="1">
        <v>0.0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0" customHeight="1">
      <c r="A654" s="1" t="s">
        <v>632</v>
      </c>
      <c r="B654" s="1" t="s">
        <v>532</v>
      </c>
      <c r="C654" s="1">
        <v>0.005531</v>
      </c>
      <c r="D654" s="1" t="s">
        <v>3136</v>
      </c>
      <c r="E654" s="266">
        <f>IFERROR(VLOOKUP(B654,'Сырьё'!$C$6:$E$233,3,FALSE()),IFERROR(VLOOKUP(B654,'Полупродукты'!$C$6:$E$60,3,FALSE()),0))</f>
        <v>2.337</v>
      </c>
      <c r="F654" s="266">
        <f t="shared" si="1"/>
        <v>0.012925947</v>
      </c>
      <c r="G654" s="1">
        <v>0.0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0" customHeight="1">
      <c r="A655" s="1" t="s">
        <v>632</v>
      </c>
      <c r="B655" s="1" t="s">
        <v>571</v>
      </c>
      <c r="C655" s="1">
        <v>0.00515</v>
      </c>
      <c r="D655" s="1" t="s">
        <v>1164</v>
      </c>
      <c r="E655" s="266">
        <f>IFERROR(VLOOKUP(B655,'Сырьё'!$C$6:$E$233,3,FALSE()),IFERROR(VLOOKUP(B655,'Полупродукты'!$C$6:$E$60,3,FALSE()),0))</f>
        <v>14.556</v>
      </c>
      <c r="F655" s="266">
        <f t="shared" si="1"/>
        <v>0.0749634</v>
      </c>
      <c r="G655" s="1">
        <v>0.0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0" customHeight="1">
      <c r="A656" s="1" t="s">
        <v>632</v>
      </c>
      <c r="B656" s="1" t="s">
        <v>549</v>
      </c>
      <c r="C656" s="1">
        <v>0.037337</v>
      </c>
      <c r="D656" s="1" t="s">
        <v>3137</v>
      </c>
      <c r="E656" s="266">
        <f>IFERROR(VLOOKUP(B656,'Сырьё'!$C$6:$E$233,3,FALSE()),IFERROR(VLOOKUP(B656,'Полупродукты'!$C$6:$E$60,3,FALSE()),0))</f>
        <v>6.519</v>
      </c>
      <c r="F656" s="266">
        <f t="shared" si="1"/>
        <v>0.243399903</v>
      </c>
      <c r="G656" s="1">
        <v>0.0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0" customHeight="1">
      <c r="A657" s="1" t="s">
        <v>665</v>
      </c>
      <c r="B657" s="1" t="s">
        <v>579</v>
      </c>
      <c r="C657" s="1">
        <v>0.074675</v>
      </c>
      <c r="D657" s="1" t="s">
        <v>2360</v>
      </c>
      <c r="E657" s="266">
        <f>IFERROR(VLOOKUP(B657,'Сырьё'!$C$6:$E$233,3,FALSE()),IFERROR(VLOOKUP(B657,'Полупродукты'!$C$6:$E$60,3,FALSE()),0))</f>
        <v>1.2831</v>
      </c>
      <c r="F657" s="266">
        <f t="shared" si="1"/>
        <v>0.0958154925</v>
      </c>
      <c r="G657" s="1">
        <v>0.0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0" customHeight="1">
      <c r="A658" s="1" t="s">
        <v>665</v>
      </c>
      <c r="B658" s="1" t="s">
        <v>593</v>
      </c>
      <c r="C658" s="1">
        <v>0.12875</v>
      </c>
      <c r="D658" s="1" t="s">
        <v>2362</v>
      </c>
      <c r="E658" s="266">
        <f>IFERROR(VLOOKUP(B658,'Сырьё'!$C$6:$E$233,3,FALSE()),IFERROR(VLOOKUP(B658,'Полупродукты'!$C$6:$E$60,3,FALSE()),0))</f>
        <v>1.6575</v>
      </c>
      <c r="F658" s="266">
        <f t="shared" si="1"/>
        <v>0.213403125</v>
      </c>
      <c r="G658" s="1">
        <v>0.0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0" customHeight="1">
      <c r="A659" s="1" t="s">
        <v>665</v>
      </c>
      <c r="B659" s="1" t="s">
        <v>594</v>
      </c>
      <c r="C659" s="1">
        <v>0.0515</v>
      </c>
      <c r="D659" s="1" t="s">
        <v>3138</v>
      </c>
      <c r="E659" s="266">
        <f>IFERROR(VLOOKUP(B659,'Сырьё'!$C$6:$E$233,3,FALSE()),IFERROR(VLOOKUP(B659,'Полупродукты'!$C$6:$E$60,3,FALSE()),0))</f>
        <v>1.7145</v>
      </c>
      <c r="F659" s="266">
        <f t="shared" si="1"/>
        <v>0.08829675</v>
      </c>
      <c r="G659" s="1">
        <v>0.0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0" customHeight="1">
      <c r="A660" s="1" t="s">
        <v>665</v>
      </c>
      <c r="B660" s="1" t="s">
        <v>577</v>
      </c>
      <c r="C660" s="1">
        <v>0.321875</v>
      </c>
      <c r="D660" s="1" t="s">
        <v>3139</v>
      </c>
      <c r="E660" s="266">
        <f>IFERROR(VLOOKUP(B660,'Сырьё'!$C$6:$E$233,3,FALSE()),IFERROR(VLOOKUP(B660,'Полупродукты'!$C$6:$E$60,3,FALSE()),0))</f>
        <v>2.8015</v>
      </c>
      <c r="F660" s="266">
        <f t="shared" si="1"/>
        <v>0.9017328125</v>
      </c>
      <c r="G660" s="1">
        <v>0.0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0" customHeight="1">
      <c r="A661" s="1" t="s">
        <v>665</v>
      </c>
      <c r="B661" s="1" t="s">
        <v>549</v>
      </c>
      <c r="C661" s="1">
        <v>0.0309</v>
      </c>
      <c r="D661" s="1" t="s">
        <v>3140</v>
      </c>
      <c r="E661" s="266">
        <f>IFERROR(VLOOKUP(B661,'Сырьё'!$C$6:$E$233,3,FALSE()),IFERROR(VLOOKUP(B661,'Полупродукты'!$C$6:$E$60,3,FALSE()),0))</f>
        <v>6.519</v>
      </c>
      <c r="F661" s="266">
        <f t="shared" si="1"/>
        <v>0.2014371</v>
      </c>
      <c r="G661" s="1">
        <v>0.0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0" customHeight="1">
      <c r="A662" s="1" t="s">
        <v>665</v>
      </c>
      <c r="B662" s="1" t="s">
        <v>588</v>
      </c>
      <c r="C662" s="1">
        <v>0.103</v>
      </c>
      <c r="D662" s="1" t="s">
        <v>2354</v>
      </c>
      <c r="E662" s="266">
        <f>IFERROR(VLOOKUP(B662,'Сырьё'!$C$6:$E$233,3,FALSE()),IFERROR(VLOOKUP(B662,'Полупродукты'!$C$6:$E$60,3,FALSE()),0))</f>
        <v>5.0212</v>
      </c>
      <c r="F662" s="266">
        <f t="shared" si="1"/>
        <v>0.5171836</v>
      </c>
      <c r="G662" s="1">
        <v>0.0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0" customHeight="1">
      <c r="A663" s="1" t="s">
        <v>665</v>
      </c>
      <c r="B663" s="1" t="s">
        <v>532</v>
      </c>
      <c r="C663" s="1">
        <v>0.0103</v>
      </c>
      <c r="D663" s="1" t="s">
        <v>2356</v>
      </c>
      <c r="E663" s="266">
        <f>IFERROR(VLOOKUP(B663,'Сырьё'!$C$6:$E$233,3,FALSE()),IFERROR(VLOOKUP(B663,'Полупродукты'!$C$6:$E$60,3,FALSE()),0))</f>
        <v>2.337</v>
      </c>
      <c r="F663" s="266">
        <f t="shared" si="1"/>
        <v>0.0240711</v>
      </c>
      <c r="G663" s="1">
        <v>0.0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0" customHeight="1">
      <c r="A664" s="1" t="s">
        <v>665</v>
      </c>
      <c r="B664" s="1" t="s">
        <v>395</v>
      </c>
      <c r="C664" s="1">
        <v>0.309</v>
      </c>
      <c r="D664" s="1" t="s">
        <v>2685</v>
      </c>
      <c r="E664" s="266">
        <f>IFERROR(VLOOKUP(B664,'Сырьё'!$C$6:$E$233,3,FALSE()),IFERROR(VLOOKUP(B664,'Полупродукты'!$C$6:$E$60,3,FALSE()),0))</f>
        <v>3.4656</v>
      </c>
      <c r="F664" s="266">
        <f t="shared" si="1"/>
        <v>1.0708704</v>
      </c>
      <c r="G664" s="1">
        <v>1.0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0" customHeight="1">
      <c r="A665" s="1" t="s">
        <v>665</v>
      </c>
      <c r="B665" s="1" t="s">
        <v>522</v>
      </c>
      <c r="C665" s="1">
        <v>0.05357</v>
      </c>
      <c r="D665" s="1" t="s">
        <v>2697</v>
      </c>
      <c r="E665" s="266">
        <f>IFERROR(VLOOKUP(B665,'Сырьё'!$C$6:$E$233,3,FALSE()),IFERROR(VLOOKUP(B665,'Полупродукты'!$C$6:$E$60,3,FALSE()),0))</f>
        <v>3.7834</v>
      </c>
      <c r="F665" s="266">
        <f t="shared" si="1"/>
        <v>0.202676738</v>
      </c>
      <c r="G665" s="1">
        <v>0.0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0" customHeight="1">
      <c r="A666" s="1" t="s">
        <v>619</v>
      </c>
      <c r="B666" s="1" t="s">
        <v>594</v>
      </c>
      <c r="C666" s="1">
        <v>0.222465</v>
      </c>
      <c r="D666" s="1" t="s">
        <v>3141</v>
      </c>
      <c r="E666" s="266">
        <f>IFERROR(VLOOKUP(B666,'Сырьё'!$C$6:$E$233,3,FALSE()),IFERROR(VLOOKUP(B666,'Полупродукты'!$C$6:$E$60,3,FALSE()),0))</f>
        <v>1.7145</v>
      </c>
      <c r="F666" s="266">
        <f t="shared" si="1"/>
        <v>0.3814162425</v>
      </c>
      <c r="G666" s="1">
        <v>0.0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0" customHeight="1">
      <c r="A667" s="1" t="s">
        <v>619</v>
      </c>
      <c r="B667" s="1" t="s">
        <v>579</v>
      </c>
      <c r="C667" s="1">
        <v>0.227419</v>
      </c>
      <c r="D667" s="1" t="s">
        <v>3142</v>
      </c>
      <c r="E667" s="266">
        <f>IFERROR(VLOOKUP(B667,'Сырьё'!$C$6:$E$233,3,FALSE()),IFERROR(VLOOKUP(B667,'Полупродукты'!$C$6:$E$60,3,FALSE()),0))</f>
        <v>1.2831</v>
      </c>
      <c r="F667" s="266">
        <f t="shared" si="1"/>
        <v>0.2918013189</v>
      </c>
      <c r="G667" s="1">
        <v>0.0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0" customHeight="1">
      <c r="A668" s="1" t="s">
        <v>619</v>
      </c>
      <c r="B668" s="1" t="s">
        <v>593</v>
      </c>
      <c r="C668" s="1">
        <v>0.134827</v>
      </c>
      <c r="D668" s="1" t="s">
        <v>3143</v>
      </c>
      <c r="E668" s="266">
        <f>IFERROR(VLOOKUP(B668,'Сырьё'!$C$6:$E$233,3,FALSE()),IFERROR(VLOOKUP(B668,'Полупродукты'!$C$6:$E$60,3,FALSE()),0))</f>
        <v>1.6575</v>
      </c>
      <c r="F668" s="266">
        <f t="shared" si="1"/>
        <v>0.2234757525</v>
      </c>
      <c r="G668" s="1">
        <v>0.0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0" customHeight="1">
      <c r="A669" s="1" t="s">
        <v>619</v>
      </c>
      <c r="B669" s="1" t="s">
        <v>585</v>
      </c>
      <c r="C669" s="1">
        <v>0.075705</v>
      </c>
      <c r="D669" s="1" t="s">
        <v>3144</v>
      </c>
      <c r="E669" s="266">
        <f>IFERROR(VLOOKUP(B669,'Сырьё'!$C$6:$E$233,3,FALSE()),IFERROR(VLOOKUP(B669,'Полупродукты'!$C$6:$E$60,3,FALSE()),0))</f>
        <v>6.9052</v>
      </c>
      <c r="F669" s="266">
        <f t="shared" si="1"/>
        <v>0.522758166</v>
      </c>
      <c r="G669" s="1">
        <v>0.0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0" customHeight="1">
      <c r="A670" s="1" t="s">
        <v>619</v>
      </c>
      <c r="B670" s="1" t="s">
        <v>541</v>
      </c>
      <c r="C670" s="1">
        <v>0.005768</v>
      </c>
      <c r="D670" s="1" t="s">
        <v>3145</v>
      </c>
      <c r="E670" s="266">
        <f>IFERROR(VLOOKUP(B670,'Сырьё'!$C$6:$E$233,3,FALSE()),IFERROR(VLOOKUP(B670,'Полупродукты'!$C$6:$E$60,3,FALSE()),0))</f>
        <v>78.7704</v>
      </c>
      <c r="F670" s="266">
        <f t="shared" si="1"/>
        <v>0.4543476672</v>
      </c>
      <c r="G670" s="1">
        <v>0.0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0" customHeight="1">
      <c r="A671" s="1" t="s">
        <v>619</v>
      </c>
      <c r="B671" s="1" t="s">
        <v>555</v>
      </c>
      <c r="C671" s="1">
        <v>0.18025</v>
      </c>
      <c r="D671" s="1" t="s">
        <v>3146</v>
      </c>
      <c r="E671" s="266">
        <f>IFERROR(VLOOKUP(B671,'Сырьё'!$C$6:$E$233,3,FALSE()),IFERROR(VLOOKUP(B671,'Полупродукты'!$C$6:$E$60,3,FALSE()),0))</f>
        <v>8.4</v>
      </c>
      <c r="F671" s="266">
        <f t="shared" si="1"/>
        <v>1.5141</v>
      </c>
      <c r="G671" s="1">
        <v>0.0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0" customHeight="1">
      <c r="A672" s="1" t="s">
        <v>619</v>
      </c>
      <c r="B672" s="1" t="s">
        <v>537</v>
      </c>
      <c r="C672" s="1">
        <v>0.023072</v>
      </c>
      <c r="D672" s="1" t="s">
        <v>3147</v>
      </c>
      <c r="E672" s="266">
        <f>IFERROR(VLOOKUP(B672,'Сырьё'!$C$6:$E$233,3,FALSE()),IFERROR(VLOOKUP(B672,'Полупродукты'!$C$6:$E$60,3,FALSE()),0))</f>
        <v>8.8284</v>
      </c>
      <c r="F672" s="266">
        <f t="shared" si="1"/>
        <v>0.2036888448</v>
      </c>
      <c r="G672" s="1">
        <v>0.0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0" customHeight="1">
      <c r="A673" s="1" t="s">
        <v>619</v>
      </c>
      <c r="B673" s="1" t="s">
        <v>570</v>
      </c>
      <c r="C673" s="1">
        <v>0.036555</v>
      </c>
      <c r="D673" s="1" t="s">
        <v>3148</v>
      </c>
      <c r="E673" s="266">
        <f>IFERROR(VLOOKUP(B673,'Сырьё'!$C$6:$E$233,3,FALSE()),IFERROR(VLOOKUP(B673,'Полупродукты'!$C$6:$E$60,3,FALSE()),0))</f>
        <v>3.3046</v>
      </c>
      <c r="F673" s="266">
        <f t="shared" si="1"/>
        <v>0.120799653</v>
      </c>
      <c r="G673" s="1">
        <v>0.0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0" customHeight="1">
      <c r="A674" s="1" t="s">
        <v>619</v>
      </c>
      <c r="B674" s="1" t="s">
        <v>569</v>
      </c>
      <c r="C674" s="1">
        <v>0.027748</v>
      </c>
      <c r="D674" s="1" t="s">
        <v>3149</v>
      </c>
      <c r="E674" s="266">
        <f>IFERROR(VLOOKUP(B674,'Сырьё'!$C$6:$E$233,3,FALSE()),IFERROR(VLOOKUP(B674,'Полупродукты'!$C$6:$E$60,3,FALSE()),0))</f>
        <v>3.2853</v>
      </c>
      <c r="F674" s="266">
        <f t="shared" si="1"/>
        <v>0.0911605044</v>
      </c>
      <c r="G674" s="1">
        <v>0.0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0" customHeight="1">
      <c r="A675" s="1" t="s">
        <v>619</v>
      </c>
      <c r="B675" s="1" t="s">
        <v>591</v>
      </c>
      <c r="C675" s="1">
        <v>0.015651</v>
      </c>
      <c r="D675" s="1" t="s">
        <v>3150</v>
      </c>
      <c r="E675" s="266">
        <f>IFERROR(VLOOKUP(B675,'Сырьё'!$C$6:$E$233,3,FALSE()),IFERROR(VLOOKUP(B675,'Полупродукты'!$C$6:$E$60,3,FALSE()),0))</f>
        <v>1.9734</v>
      </c>
      <c r="F675" s="266">
        <f t="shared" si="1"/>
        <v>0.0308856834</v>
      </c>
      <c r="G675" s="1">
        <v>0.0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0" customHeight="1">
      <c r="A676" s="1" t="s">
        <v>619</v>
      </c>
      <c r="B676" s="1" t="s">
        <v>532</v>
      </c>
      <c r="C676" s="1">
        <v>0.005516</v>
      </c>
      <c r="D676" s="1" t="s">
        <v>3151</v>
      </c>
      <c r="E676" s="266">
        <f>IFERROR(VLOOKUP(B676,'Сырьё'!$C$6:$E$233,3,FALSE()),IFERROR(VLOOKUP(B676,'Полупродукты'!$C$6:$E$60,3,FALSE()),0))</f>
        <v>2.337</v>
      </c>
      <c r="F676" s="266">
        <f t="shared" si="1"/>
        <v>0.012890892</v>
      </c>
      <c r="G676" s="1">
        <v>0.0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0" customHeight="1">
      <c r="A677" s="1" t="s">
        <v>619</v>
      </c>
      <c r="B677" s="1" t="s">
        <v>520</v>
      </c>
      <c r="C677" s="1">
        <v>5.38E-4</v>
      </c>
      <c r="D677" s="1" t="s">
        <v>3152</v>
      </c>
      <c r="E677" s="266">
        <f>IFERROR(VLOOKUP(B677,'Сырьё'!$C$6:$E$233,3,FALSE()),IFERROR(VLOOKUP(B677,'Полупродукты'!$C$6:$E$60,3,FALSE()),0))</f>
        <v>30.1527</v>
      </c>
      <c r="F677" s="266">
        <f t="shared" si="1"/>
        <v>0.0162221526</v>
      </c>
      <c r="G677" s="1">
        <v>0.0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0" customHeight="1">
      <c r="A678" s="1" t="s">
        <v>619</v>
      </c>
      <c r="B678" s="1" t="s">
        <v>549</v>
      </c>
      <c r="C678" s="1">
        <v>0.02575</v>
      </c>
      <c r="D678" s="1" t="s">
        <v>3153</v>
      </c>
      <c r="E678" s="266">
        <f>IFERROR(VLOOKUP(B678,'Сырьё'!$C$6:$E$233,3,FALSE()),IFERROR(VLOOKUP(B678,'Полупродукты'!$C$6:$E$60,3,FALSE()),0))</f>
        <v>6.519</v>
      </c>
      <c r="F678" s="266">
        <f t="shared" si="1"/>
        <v>0.16786425</v>
      </c>
      <c r="G678" s="1">
        <v>0.0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0" customHeight="1">
      <c r="A679" s="1" t="s">
        <v>619</v>
      </c>
      <c r="B679" s="1" t="s">
        <v>573</v>
      </c>
      <c r="C679" s="1">
        <v>0.0515</v>
      </c>
      <c r="D679" s="1" t="s">
        <v>1752</v>
      </c>
      <c r="E679" s="266">
        <f>IFERROR(VLOOKUP(B679,'Сырьё'!$C$6:$E$233,3,FALSE()),IFERROR(VLOOKUP(B679,'Полупродукты'!$C$6:$E$60,3,FALSE()),0))</f>
        <v>4.7016</v>
      </c>
      <c r="F679" s="266">
        <f t="shared" si="1"/>
        <v>0.2421324</v>
      </c>
      <c r="G679" s="1">
        <v>0.0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0" customHeight="1">
      <c r="A680" s="1" t="s">
        <v>441</v>
      </c>
      <c r="B680" s="1" t="s">
        <v>441</v>
      </c>
      <c r="C680" s="1">
        <v>1.0</v>
      </c>
      <c r="D680" s="1" t="s">
        <v>3154</v>
      </c>
      <c r="E680" s="266">
        <f>IFERROR(VLOOKUP(B680,'Сырьё'!$C$6:$E$233,3,FALSE()),IFERROR(VLOOKUP(B680,'Полупродукты'!$C$6:$E$60,3,FALSE()),0))</f>
        <v>3.6225</v>
      </c>
      <c r="F680" s="266">
        <f t="shared" si="1"/>
        <v>3.6225</v>
      </c>
      <c r="G680" s="1">
        <v>1.0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0" customHeight="1">
      <c r="A681" s="1" t="s">
        <v>626</v>
      </c>
      <c r="B681" s="1" t="s">
        <v>594</v>
      </c>
      <c r="C681" s="1">
        <v>0.208045</v>
      </c>
      <c r="D681" s="1" t="s">
        <v>3155</v>
      </c>
      <c r="E681" s="266">
        <f>IFERROR(VLOOKUP(B681,'Сырьё'!$C$6:$E$233,3,FALSE()),IFERROR(VLOOKUP(B681,'Полупродукты'!$C$6:$E$60,3,FALSE()),0))</f>
        <v>1.7145</v>
      </c>
      <c r="F681" s="266">
        <f t="shared" si="1"/>
        <v>0.3566931525</v>
      </c>
      <c r="G681" s="1">
        <v>0.0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0" customHeight="1">
      <c r="A682" s="1" t="s">
        <v>626</v>
      </c>
      <c r="B682" s="1" t="s">
        <v>579</v>
      </c>
      <c r="C682" s="1">
        <v>0.267795</v>
      </c>
      <c r="D682" s="1" t="s">
        <v>3156</v>
      </c>
      <c r="E682" s="266">
        <f>IFERROR(VLOOKUP(B682,'Сырьё'!$C$6:$E$233,3,FALSE()),IFERROR(VLOOKUP(B682,'Полупродукты'!$C$6:$E$60,3,FALSE()),0))</f>
        <v>1.2831</v>
      </c>
      <c r="F682" s="266">
        <f t="shared" si="1"/>
        <v>0.3436077645</v>
      </c>
      <c r="G682" s="1">
        <v>0.0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0" customHeight="1">
      <c r="A683" s="1" t="s">
        <v>626</v>
      </c>
      <c r="B683" s="1" t="s">
        <v>593</v>
      </c>
      <c r="C683" s="1">
        <v>0.138432</v>
      </c>
      <c r="D683" s="1" t="s">
        <v>3157</v>
      </c>
      <c r="E683" s="266">
        <f>IFERROR(VLOOKUP(B683,'Сырьё'!$C$6:$E$233,3,FALSE()),IFERROR(VLOOKUP(B683,'Полупродукты'!$C$6:$E$60,3,FALSE()),0))</f>
        <v>1.6575</v>
      </c>
      <c r="F683" s="266">
        <f t="shared" si="1"/>
        <v>0.22945104</v>
      </c>
      <c r="G683" s="1">
        <v>0.0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0" customHeight="1">
      <c r="A684" s="1" t="s">
        <v>626</v>
      </c>
      <c r="B684" s="1" t="s">
        <v>585</v>
      </c>
      <c r="C684" s="1">
        <v>0.077868</v>
      </c>
      <c r="D684" s="1" t="s">
        <v>3158</v>
      </c>
      <c r="E684" s="266">
        <f>IFERROR(VLOOKUP(B684,'Сырьё'!$C$6:$E$233,3,FALSE()),IFERROR(VLOOKUP(B684,'Полупродукты'!$C$6:$E$60,3,FALSE()),0))</f>
        <v>6.9052</v>
      </c>
      <c r="F684" s="266">
        <f t="shared" si="1"/>
        <v>0.5376941136</v>
      </c>
      <c r="G684" s="1">
        <v>0.0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0" customHeight="1">
      <c r="A685" s="1" t="s">
        <v>626</v>
      </c>
      <c r="B685" s="1" t="s">
        <v>559</v>
      </c>
      <c r="C685" s="1">
        <v>0.162225</v>
      </c>
      <c r="D685" s="1" t="s">
        <v>3159</v>
      </c>
      <c r="E685" s="266">
        <f>IFERROR(VLOOKUP(B685,'Сырьё'!$C$6:$E$233,3,FALSE()),IFERROR(VLOOKUP(B685,'Полупродукты'!$C$6:$E$60,3,FALSE()),0))</f>
        <v>0</v>
      </c>
      <c r="F685" s="266">
        <f t="shared" si="1"/>
        <v>0</v>
      </c>
      <c r="G685" s="1">
        <v>0.0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0" customHeight="1">
      <c r="A686" s="1" t="s">
        <v>626</v>
      </c>
      <c r="B686" s="1" t="s">
        <v>549</v>
      </c>
      <c r="C686" s="1">
        <v>0.040891</v>
      </c>
      <c r="D686" s="1" t="s">
        <v>3160</v>
      </c>
      <c r="E686" s="266">
        <f>IFERROR(VLOOKUP(B686,'Сырьё'!$C$6:$E$233,3,FALSE()),IFERROR(VLOOKUP(B686,'Полупродукты'!$C$6:$E$60,3,FALSE()),0))</f>
        <v>6.519</v>
      </c>
      <c r="F686" s="266">
        <f t="shared" si="1"/>
        <v>0.266568429</v>
      </c>
      <c r="G686" s="1">
        <v>0.0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0" customHeight="1">
      <c r="A687" s="1" t="s">
        <v>626</v>
      </c>
      <c r="B687" s="1" t="s">
        <v>520</v>
      </c>
      <c r="C687" s="1">
        <v>6.98E-4</v>
      </c>
      <c r="D687" s="1" t="s">
        <v>3161</v>
      </c>
      <c r="E687" s="266">
        <f>IFERROR(VLOOKUP(B687,'Сырьё'!$C$6:$E$233,3,FALSE()),IFERROR(VLOOKUP(B687,'Полупродукты'!$C$6:$E$60,3,FALSE()),0))</f>
        <v>30.1527</v>
      </c>
      <c r="F687" s="266">
        <f t="shared" si="1"/>
        <v>0.0210465846</v>
      </c>
      <c r="G687" s="1">
        <v>0.0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0" customHeight="1">
      <c r="A688" s="1" t="s">
        <v>626</v>
      </c>
      <c r="B688" s="1" t="s">
        <v>570</v>
      </c>
      <c r="C688" s="1">
        <v>0.036555</v>
      </c>
      <c r="D688" s="1" t="s">
        <v>3162</v>
      </c>
      <c r="E688" s="266">
        <f>IFERROR(VLOOKUP(B688,'Сырьё'!$C$6:$E$233,3,FALSE()),IFERROR(VLOOKUP(B688,'Полупродукты'!$C$6:$E$60,3,FALSE()),0))</f>
        <v>3.3046</v>
      </c>
      <c r="F688" s="266">
        <f t="shared" si="1"/>
        <v>0.120799653</v>
      </c>
      <c r="G688" s="1">
        <v>0.0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0" customHeight="1">
      <c r="A689" s="1" t="s">
        <v>626</v>
      </c>
      <c r="B689" s="1" t="s">
        <v>569</v>
      </c>
      <c r="C689" s="1">
        <v>0.027748</v>
      </c>
      <c r="D689" s="1" t="s">
        <v>3163</v>
      </c>
      <c r="E689" s="266">
        <f>IFERROR(VLOOKUP(B689,'Сырьё'!$C$6:$E$233,3,FALSE()),IFERROR(VLOOKUP(B689,'Полупродукты'!$C$6:$E$60,3,FALSE()),0))</f>
        <v>3.2853</v>
      </c>
      <c r="F689" s="266">
        <f t="shared" si="1"/>
        <v>0.0911605044</v>
      </c>
      <c r="G689" s="1">
        <v>0.0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0" customHeight="1">
      <c r="A690" s="1" t="s">
        <v>626</v>
      </c>
      <c r="B690" s="1" t="s">
        <v>591</v>
      </c>
      <c r="C690" s="1">
        <v>0.015651</v>
      </c>
      <c r="D690" s="1" t="s">
        <v>3164</v>
      </c>
      <c r="E690" s="266">
        <f>IFERROR(VLOOKUP(B690,'Сырьё'!$C$6:$E$233,3,FALSE()),IFERROR(VLOOKUP(B690,'Полупродукты'!$C$6:$E$60,3,FALSE()),0))</f>
        <v>1.9734</v>
      </c>
      <c r="F690" s="266">
        <f t="shared" si="1"/>
        <v>0.0308856834</v>
      </c>
      <c r="G690" s="1">
        <v>0.0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0" customHeight="1">
      <c r="A691" s="1" t="s">
        <v>626</v>
      </c>
      <c r="B691" s="1" t="s">
        <v>532</v>
      </c>
      <c r="C691" s="1">
        <v>0.005516</v>
      </c>
      <c r="D691" s="1" t="s">
        <v>3165</v>
      </c>
      <c r="E691" s="266">
        <f>IFERROR(VLOOKUP(B691,'Сырьё'!$C$6:$E$233,3,FALSE()),IFERROR(VLOOKUP(B691,'Полупродукты'!$C$6:$E$60,3,FALSE()),0))</f>
        <v>2.337</v>
      </c>
      <c r="F691" s="266">
        <f t="shared" si="1"/>
        <v>0.012890892</v>
      </c>
      <c r="G691" s="1">
        <v>0.0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0" customHeight="1">
      <c r="A692" s="1" t="s">
        <v>626</v>
      </c>
      <c r="B692" s="1" t="s">
        <v>573</v>
      </c>
      <c r="C692" s="1">
        <v>0.0515</v>
      </c>
      <c r="D692" s="1" t="s">
        <v>1760</v>
      </c>
      <c r="E692" s="266">
        <f>IFERROR(VLOOKUP(B692,'Сырьё'!$C$6:$E$233,3,FALSE()),IFERROR(VLOOKUP(B692,'Полупродукты'!$C$6:$E$60,3,FALSE()),0))</f>
        <v>4.7016</v>
      </c>
      <c r="F692" s="266">
        <f t="shared" si="1"/>
        <v>0.2421324</v>
      </c>
      <c r="G692" s="1">
        <v>0.0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0" customHeight="1">
      <c r="A693" s="1" t="s">
        <v>385</v>
      </c>
      <c r="B693" s="1" t="s">
        <v>594</v>
      </c>
      <c r="C693" s="1">
        <v>0.387795</v>
      </c>
      <c r="D693" s="1" t="s">
        <v>3166</v>
      </c>
      <c r="E693" s="266">
        <f>IFERROR(VLOOKUP(B693,'Сырьё'!$C$6:$E$233,3,FALSE()),IFERROR(VLOOKUP(B693,'Полупродукты'!$C$6:$E$60,3,FALSE()),0))</f>
        <v>1.7145</v>
      </c>
      <c r="F693" s="266">
        <f t="shared" si="1"/>
        <v>0.6648745275</v>
      </c>
      <c r="G693" s="1">
        <v>0.0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0" customHeight="1">
      <c r="A694" s="1" t="s">
        <v>385</v>
      </c>
      <c r="B694" s="1" t="s">
        <v>549</v>
      </c>
      <c r="C694" s="1">
        <v>0.100219</v>
      </c>
      <c r="D694" s="1" t="s">
        <v>3167</v>
      </c>
      <c r="E694" s="266">
        <f>IFERROR(VLOOKUP(B694,'Сырьё'!$C$6:$E$233,3,FALSE()),IFERROR(VLOOKUP(B694,'Полупродукты'!$C$6:$E$60,3,FALSE()),0))</f>
        <v>6.519</v>
      </c>
      <c r="F694" s="266">
        <f t="shared" si="1"/>
        <v>0.653327661</v>
      </c>
      <c r="G694" s="1">
        <v>0.0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0" customHeight="1">
      <c r="A695" s="1" t="s">
        <v>385</v>
      </c>
      <c r="B695" s="1" t="s">
        <v>537</v>
      </c>
      <c r="C695" s="1">
        <v>0.028068</v>
      </c>
      <c r="D695" s="1" t="s">
        <v>3168</v>
      </c>
      <c r="E695" s="266">
        <f>IFERROR(VLOOKUP(B695,'Сырьё'!$C$6:$E$233,3,FALSE()),IFERROR(VLOOKUP(B695,'Полупродукты'!$C$6:$E$60,3,FALSE()),0))</f>
        <v>8.8284</v>
      </c>
      <c r="F695" s="266">
        <f t="shared" si="1"/>
        <v>0.2477955312</v>
      </c>
      <c r="G695" s="1">
        <v>0.0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0" customHeight="1">
      <c r="A696" s="1" t="s">
        <v>385</v>
      </c>
      <c r="B696" s="1" t="s">
        <v>556</v>
      </c>
      <c r="C696" s="1">
        <v>0.23175</v>
      </c>
      <c r="D696" s="1" t="s">
        <v>3169</v>
      </c>
      <c r="E696" s="266">
        <f>IFERROR(VLOOKUP(B696,'Сырьё'!$C$6:$E$233,3,FALSE()),IFERROR(VLOOKUP(B696,'Полупродукты'!$C$6:$E$60,3,FALSE()),0))</f>
        <v>5.6362</v>
      </c>
      <c r="F696" s="266">
        <f t="shared" si="1"/>
        <v>1.30618935</v>
      </c>
      <c r="G696" s="1">
        <v>0.0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0" customHeight="1">
      <c r="A697" s="1" t="s">
        <v>385</v>
      </c>
      <c r="B697" s="1" t="s">
        <v>579</v>
      </c>
      <c r="C697" s="1">
        <v>0.210223</v>
      </c>
      <c r="D697" s="1" t="s">
        <v>3170</v>
      </c>
      <c r="E697" s="266">
        <f>IFERROR(VLOOKUP(B697,'Сырьё'!$C$6:$E$233,3,FALSE()),IFERROR(VLOOKUP(B697,'Полупродукты'!$C$6:$E$60,3,FALSE()),0))</f>
        <v>1.2831</v>
      </c>
      <c r="F697" s="266">
        <f t="shared" si="1"/>
        <v>0.2697371313</v>
      </c>
      <c r="G697" s="1">
        <v>0.0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0" customHeight="1">
      <c r="A698" s="1" t="s">
        <v>385</v>
      </c>
      <c r="B698" s="1" t="s">
        <v>593</v>
      </c>
      <c r="C698" s="1">
        <v>0.079825</v>
      </c>
      <c r="D698" s="1" t="s">
        <v>1646</v>
      </c>
      <c r="E698" s="266">
        <f>IFERROR(VLOOKUP(B698,'Сырьё'!$C$6:$E$233,3,FALSE()),IFERROR(VLOOKUP(B698,'Полупродукты'!$C$6:$E$60,3,FALSE()),0))</f>
        <v>1.6575</v>
      </c>
      <c r="F698" s="266">
        <f t="shared" si="1"/>
        <v>0.1323099375</v>
      </c>
      <c r="G698" s="1">
        <v>0.0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0" customHeight="1">
      <c r="A699" s="1" t="s">
        <v>385</v>
      </c>
      <c r="B699" s="1" t="s">
        <v>543</v>
      </c>
      <c r="C699" s="1">
        <v>5.2E-5</v>
      </c>
      <c r="D699" s="1" t="s">
        <v>3171</v>
      </c>
      <c r="E699" s="266">
        <f>IFERROR(VLOOKUP(B699,'Сырьё'!$C$6:$E$233,3,FALSE()),IFERROR(VLOOKUP(B699,'Полупродукты'!$C$6:$E$60,3,FALSE()),0))</f>
        <v>80.7112</v>
      </c>
      <c r="F699" s="266">
        <f t="shared" si="1"/>
        <v>0.0041969824</v>
      </c>
      <c r="G699" s="1">
        <v>0.0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0" customHeight="1">
      <c r="A700" s="1" t="s">
        <v>385</v>
      </c>
      <c r="B700" s="1" t="s">
        <v>568</v>
      </c>
      <c r="C700" s="1">
        <v>0.002369</v>
      </c>
      <c r="D700" s="1" t="s">
        <v>3172</v>
      </c>
      <c r="E700" s="266">
        <f>IFERROR(VLOOKUP(B700,'Сырьё'!$C$6:$E$233,3,FALSE()),IFERROR(VLOOKUP(B700,'Полупродукты'!$C$6:$E$60,3,FALSE()),0))</f>
        <v>5.1326</v>
      </c>
      <c r="F700" s="266">
        <f t="shared" si="1"/>
        <v>0.0121591294</v>
      </c>
      <c r="G700" s="1">
        <v>0.0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0" customHeight="1">
      <c r="A701" s="1" t="s">
        <v>385</v>
      </c>
      <c r="B701" s="1" t="s">
        <v>520</v>
      </c>
      <c r="C701" s="1">
        <v>0.006018</v>
      </c>
      <c r="D701" s="1" t="s">
        <v>1652</v>
      </c>
      <c r="E701" s="266">
        <f>IFERROR(VLOOKUP(B701,'Сырьё'!$C$6:$E$233,3,FALSE()),IFERROR(VLOOKUP(B701,'Полупродукты'!$C$6:$E$60,3,FALSE()),0))</f>
        <v>30.1527</v>
      </c>
      <c r="F701" s="266">
        <f t="shared" si="1"/>
        <v>0.1814589486</v>
      </c>
      <c r="G701" s="1">
        <v>0.0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0" customHeight="1">
      <c r="A702" s="1" t="s">
        <v>385</v>
      </c>
      <c r="B702" s="1" t="s">
        <v>522</v>
      </c>
      <c r="C702" s="1">
        <v>0.001883</v>
      </c>
      <c r="D702" s="1" t="s">
        <v>1654</v>
      </c>
      <c r="E702" s="266">
        <f>IFERROR(VLOOKUP(B702,'Сырьё'!$C$6:$E$233,3,FALSE()),IFERROR(VLOOKUP(B702,'Полупродукты'!$C$6:$E$60,3,FALSE()),0))</f>
        <v>3.7834</v>
      </c>
      <c r="F702" s="266">
        <f t="shared" si="1"/>
        <v>0.0071241422</v>
      </c>
      <c r="G702" s="1">
        <v>0.0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0" customHeight="1">
      <c r="A703" s="1" t="s">
        <v>774</v>
      </c>
      <c r="B703" s="1" t="s">
        <v>585</v>
      </c>
      <c r="C703" s="1">
        <v>0.1236</v>
      </c>
      <c r="D703" s="1" t="s">
        <v>3173</v>
      </c>
      <c r="E703" s="266">
        <f>IFERROR(VLOOKUP(B703,'Сырьё'!$C$6:$E$233,3,FALSE()),IFERROR(VLOOKUP(B703,'Полупродукты'!$C$6:$E$60,3,FALSE()),0))</f>
        <v>6.9052</v>
      </c>
      <c r="F703" s="266">
        <f t="shared" si="1"/>
        <v>0.85348272</v>
      </c>
      <c r="G703" s="1">
        <v>0.0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0" customHeight="1">
      <c r="A704" s="1" t="s">
        <v>774</v>
      </c>
      <c r="B704" s="1" t="s">
        <v>584</v>
      </c>
      <c r="C704" s="1">
        <v>0.1854</v>
      </c>
      <c r="D704" s="1" t="s">
        <v>2015</v>
      </c>
      <c r="E704" s="266">
        <f>IFERROR(VLOOKUP(B704,'Сырьё'!$C$6:$E$233,3,FALSE()),IFERROR(VLOOKUP(B704,'Полупродукты'!$C$6:$E$60,3,FALSE()),0))</f>
        <v>2.0494</v>
      </c>
      <c r="F704" s="266">
        <f t="shared" si="1"/>
        <v>0.37995876</v>
      </c>
      <c r="G704" s="1">
        <v>0.0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0" customHeight="1">
      <c r="A705" s="1" t="s">
        <v>774</v>
      </c>
      <c r="B705" s="1" t="s">
        <v>583</v>
      </c>
      <c r="C705" s="1">
        <v>0.48925</v>
      </c>
      <c r="D705" s="1" t="s">
        <v>2017</v>
      </c>
      <c r="E705" s="266">
        <f>IFERROR(VLOOKUP(B705,'Сырьё'!$C$6:$E$233,3,FALSE()),IFERROR(VLOOKUP(B705,'Полупродукты'!$C$6:$E$60,3,FALSE()),0))</f>
        <v>1.4708</v>
      </c>
      <c r="F705" s="266">
        <f t="shared" si="1"/>
        <v>0.7195889</v>
      </c>
      <c r="G705" s="1">
        <v>0.0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0" customHeight="1">
      <c r="A706" s="1" t="s">
        <v>774</v>
      </c>
      <c r="B706" s="1" t="s">
        <v>537</v>
      </c>
      <c r="C706" s="1">
        <v>0.0206</v>
      </c>
      <c r="D706" s="1" t="s">
        <v>2019</v>
      </c>
      <c r="E706" s="266">
        <f>IFERROR(VLOOKUP(B706,'Сырьё'!$C$6:$E$233,3,FALSE()),IFERROR(VLOOKUP(B706,'Полупродукты'!$C$6:$E$60,3,FALSE()),0))</f>
        <v>8.8284</v>
      </c>
      <c r="F706" s="266">
        <f t="shared" si="1"/>
        <v>0.18186504</v>
      </c>
      <c r="G706" s="1">
        <v>0.0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0" customHeight="1">
      <c r="A707" s="1" t="s">
        <v>774</v>
      </c>
      <c r="B707" s="1" t="s">
        <v>543</v>
      </c>
      <c r="C707" s="1">
        <v>0.00515</v>
      </c>
      <c r="D707" s="1" t="s">
        <v>2021</v>
      </c>
      <c r="E707" s="266">
        <f>IFERROR(VLOOKUP(B707,'Сырьё'!$C$6:$E$233,3,FALSE()),IFERROR(VLOOKUP(B707,'Полупродукты'!$C$6:$E$60,3,FALSE()),0))</f>
        <v>80.7112</v>
      </c>
      <c r="F707" s="266">
        <f t="shared" si="1"/>
        <v>0.41566268</v>
      </c>
      <c r="G707" s="1">
        <v>0.0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0" customHeight="1">
      <c r="A708" s="1" t="s">
        <v>774</v>
      </c>
      <c r="B708" s="1" t="s">
        <v>557</v>
      </c>
      <c r="C708" s="1">
        <v>0.206</v>
      </c>
      <c r="D708" s="1" t="s">
        <v>2023</v>
      </c>
      <c r="E708" s="266">
        <f>IFERROR(VLOOKUP(B708,'Сырьё'!$C$6:$E$233,3,FALSE()),IFERROR(VLOOKUP(B708,'Полупродукты'!$C$6:$E$60,3,FALSE()),0))</f>
        <v>12.0149</v>
      </c>
      <c r="F708" s="266">
        <f t="shared" si="1"/>
        <v>2.4750694</v>
      </c>
      <c r="G708" s="1">
        <v>0.0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0" customHeight="1">
      <c r="A709" s="1" t="s">
        <v>634</v>
      </c>
      <c r="B709" s="1" t="s">
        <v>594</v>
      </c>
      <c r="C709" s="1">
        <v>0.232147</v>
      </c>
      <c r="D709" s="1" t="s">
        <v>3174</v>
      </c>
      <c r="E709" s="266">
        <f>IFERROR(VLOOKUP(B709,'Сырьё'!$C$6:$E$233,3,FALSE()),IFERROR(VLOOKUP(B709,'Полупродукты'!$C$6:$E$60,3,FALSE()),0))</f>
        <v>1.7145</v>
      </c>
      <c r="F709" s="266">
        <f t="shared" si="1"/>
        <v>0.3980160315</v>
      </c>
      <c r="G709" s="1">
        <v>0.0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0" customHeight="1">
      <c r="A710" s="1" t="s">
        <v>634</v>
      </c>
      <c r="B710" s="1" t="s">
        <v>579</v>
      </c>
      <c r="C710" s="1">
        <v>0.252808</v>
      </c>
      <c r="D710" s="1" t="s">
        <v>3175</v>
      </c>
      <c r="E710" s="266">
        <f>IFERROR(VLOOKUP(B710,'Сырьё'!$C$6:$E$233,3,FALSE()),IFERROR(VLOOKUP(B710,'Полупродукты'!$C$6:$E$60,3,FALSE()),0))</f>
        <v>1.2831</v>
      </c>
      <c r="F710" s="266">
        <f t="shared" si="1"/>
        <v>0.3243779448</v>
      </c>
      <c r="G710" s="1">
        <v>0.0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0" customHeight="1">
      <c r="A711" s="1" t="s">
        <v>634</v>
      </c>
      <c r="B711" s="1" t="s">
        <v>593</v>
      </c>
      <c r="C711" s="1">
        <v>0.179817</v>
      </c>
      <c r="D711" s="1" t="s">
        <v>3176</v>
      </c>
      <c r="E711" s="266">
        <f>IFERROR(VLOOKUP(B711,'Сырьё'!$C$6:$E$233,3,FALSE()),IFERROR(VLOOKUP(B711,'Полупродукты'!$C$6:$E$60,3,FALSE()),0))</f>
        <v>1.6575</v>
      </c>
      <c r="F711" s="266">
        <f t="shared" si="1"/>
        <v>0.2980466775</v>
      </c>
      <c r="G711" s="1">
        <v>0.0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0" customHeight="1">
      <c r="A712" s="1" t="s">
        <v>634</v>
      </c>
      <c r="B712" s="1" t="s">
        <v>585</v>
      </c>
      <c r="C712" s="1">
        <v>0.069216</v>
      </c>
      <c r="D712" s="1" t="s">
        <v>3177</v>
      </c>
      <c r="E712" s="266">
        <f>IFERROR(VLOOKUP(B712,'Сырьё'!$C$6:$E$233,3,FALSE()),IFERROR(VLOOKUP(B712,'Полупродукты'!$C$6:$E$60,3,FALSE()),0))</f>
        <v>6.9052</v>
      </c>
      <c r="F712" s="266">
        <f t="shared" si="1"/>
        <v>0.4779503232</v>
      </c>
      <c r="G712" s="1">
        <v>0.0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0" customHeight="1">
      <c r="A713" s="1" t="s">
        <v>634</v>
      </c>
      <c r="B713" s="1" t="s">
        <v>537</v>
      </c>
      <c r="C713" s="1">
        <v>0.010382</v>
      </c>
      <c r="D713" s="1" t="s">
        <v>3178</v>
      </c>
      <c r="E713" s="266">
        <f>IFERROR(VLOOKUP(B713,'Сырьё'!$C$6:$E$233,3,FALSE()),IFERROR(VLOOKUP(B713,'Полупродукты'!$C$6:$E$60,3,FALSE()),0))</f>
        <v>8.8284</v>
      </c>
      <c r="F713" s="266">
        <f t="shared" si="1"/>
        <v>0.0916564488</v>
      </c>
      <c r="G713" s="1">
        <v>0.0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0" customHeight="1">
      <c r="A714" s="1" t="s">
        <v>634</v>
      </c>
      <c r="B714" s="1" t="s">
        <v>543</v>
      </c>
      <c r="C714" s="1">
        <v>0.002307</v>
      </c>
      <c r="D714" s="1" t="s">
        <v>3179</v>
      </c>
      <c r="E714" s="266">
        <f>IFERROR(VLOOKUP(B714,'Сырьё'!$C$6:$E$233,3,FALSE()),IFERROR(VLOOKUP(B714,'Полупродукты'!$C$6:$E$60,3,FALSE()),0))</f>
        <v>80.7112</v>
      </c>
      <c r="F714" s="266">
        <f t="shared" si="1"/>
        <v>0.1862007384</v>
      </c>
      <c r="G714" s="1">
        <v>0.0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0" customHeight="1">
      <c r="A715" s="1" t="s">
        <v>634</v>
      </c>
      <c r="B715" s="1" t="s">
        <v>565</v>
      </c>
      <c r="C715" s="1">
        <v>0.103824</v>
      </c>
      <c r="D715" s="1" t="s">
        <v>3180</v>
      </c>
      <c r="E715" s="266">
        <f>IFERROR(VLOOKUP(B715,'Сырьё'!$C$6:$E$233,3,FALSE()),IFERROR(VLOOKUP(B715,'Полупродукты'!$C$6:$E$60,3,FALSE()),0))</f>
        <v>0</v>
      </c>
      <c r="F715" s="266">
        <f t="shared" si="1"/>
        <v>0</v>
      </c>
      <c r="G715" s="1">
        <v>0.0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0" customHeight="1">
      <c r="A716" s="1" t="s">
        <v>634</v>
      </c>
      <c r="B716" s="1" t="s">
        <v>549</v>
      </c>
      <c r="C716" s="1">
        <v>0.039603</v>
      </c>
      <c r="D716" s="1" t="s">
        <v>3181</v>
      </c>
      <c r="E716" s="266">
        <f>IFERROR(VLOOKUP(B716,'Сырьё'!$C$6:$E$233,3,FALSE()),IFERROR(VLOOKUP(B716,'Полупродукты'!$C$6:$E$60,3,FALSE()),0))</f>
        <v>6.519</v>
      </c>
      <c r="F716" s="266">
        <f t="shared" si="1"/>
        <v>0.258171957</v>
      </c>
      <c r="G716" s="1">
        <v>0.0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0" customHeight="1">
      <c r="A717" s="1" t="s">
        <v>634</v>
      </c>
      <c r="B717" s="1" t="s">
        <v>520</v>
      </c>
      <c r="C717" s="1">
        <v>6.98E-4</v>
      </c>
      <c r="D717" s="1" t="s">
        <v>3182</v>
      </c>
      <c r="E717" s="266">
        <f>IFERROR(VLOOKUP(B717,'Сырьё'!$C$6:$E$233,3,FALSE()),IFERROR(VLOOKUP(B717,'Полупродукты'!$C$6:$E$60,3,FALSE()),0))</f>
        <v>30.1527</v>
      </c>
      <c r="F717" s="266">
        <f t="shared" si="1"/>
        <v>0.0210465846</v>
      </c>
      <c r="G717" s="1">
        <v>0.0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0" customHeight="1">
      <c r="A718" s="1" t="s">
        <v>634</v>
      </c>
      <c r="B718" s="1" t="s">
        <v>570</v>
      </c>
      <c r="C718" s="1">
        <v>0.036555</v>
      </c>
      <c r="D718" s="1" t="s">
        <v>3183</v>
      </c>
      <c r="E718" s="266">
        <f>IFERROR(VLOOKUP(B718,'Сырьё'!$C$6:$E$233,3,FALSE()),IFERROR(VLOOKUP(B718,'Полупродукты'!$C$6:$E$60,3,FALSE()),0))</f>
        <v>3.3046</v>
      </c>
      <c r="F718" s="266">
        <f t="shared" si="1"/>
        <v>0.120799653</v>
      </c>
      <c r="G718" s="1">
        <v>0.0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0" customHeight="1">
      <c r="A719" s="1" t="s">
        <v>634</v>
      </c>
      <c r="B719" s="1" t="s">
        <v>569</v>
      </c>
      <c r="C719" s="1">
        <v>0.027748</v>
      </c>
      <c r="D719" s="1" t="s">
        <v>3184</v>
      </c>
      <c r="E719" s="266">
        <f>IFERROR(VLOOKUP(B719,'Сырьё'!$C$6:$E$233,3,FALSE()),IFERROR(VLOOKUP(B719,'Полупродукты'!$C$6:$E$60,3,FALSE()),0))</f>
        <v>3.2853</v>
      </c>
      <c r="F719" s="266">
        <f t="shared" si="1"/>
        <v>0.0911605044</v>
      </c>
      <c r="G719" s="1">
        <v>0.0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0" customHeight="1">
      <c r="A720" s="1" t="s">
        <v>634</v>
      </c>
      <c r="B720" s="1" t="s">
        <v>591</v>
      </c>
      <c r="C720" s="1">
        <v>0.015651</v>
      </c>
      <c r="D720" s="1" t="s">
        <v>3185</v>
      </c>
      <c r="E720" s="266">
        <f>IFERROR(VLOOKUP(B720,'Сырьё'!$C$6:$E$233,3,FALSE()),IFERROR(VLOOKUP(B720,'Полупродукты'!$C$6:$E$60,3,FALSE()),0))</f>
        <v>1.9734</v>
      </c>
      <c r="F720" s="266">
        <f t="shared" si="1"/>
        <v>0.0308856834</v>
      </c>
      <c r="G720" s="1">
        <v>0.0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0" customHeight="1">
      <c r="A721" s="1" t="s">
        <v>634</v>
      </c>
      <c r="B721" s="1" t="s">
        <v>532</v>
      </c>
      <c r="C721" s="1">
        <v>0.005516</v>
      </c>
      <c r="D721" s="1" t="s">
        <v>3186</v>
      </c>
      <c r="E721" s="266">
        <f>IFERROR(VLOOKUP(B721,'Сырьё'!$C$6:$E$233,3,FALSE()),IFERROR(VLOOKUP(B721,'Полупродукты'!$C$6:$E$60,3,FALSE()),0))</f>
        <v>2.337</v>
      </c>
      <c r="F721" s="266">
        <f t="shared" si="1"/>
        <v>0.012890892</v>
      </c>
      <c r="G721" s="1">
        <v>0.0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0" customHeight="1">
      <c r="A722" s="1" t="s">
        <v>634</v>
      </c>
      <c r="B722" s="1" t="s">
        <v>573</v>
      </c>
      <c r="C722" s="1">
        <v>0.0515</v>
      </c>
      <c r="D722" s="1" t="s">
        <v>1712</v>
      </c>
      <c r="E722" s="266">
        <f>IFERROR(VLOOKUP(B722,'Сырьё'!$C$6:$E$233,3,FALSE()),IFERROR(VLOOKUP(B722,'Полупродукты'!$C$6:$E$60,3,FALSE()),0))</f>
        <v>4.7016</v>
      </c>
      <c r="F722" s="266">
        <f t="shared" si="1"/>
        <v>0.2421324</v>
      </c>
      <c r="G722" s="1">
        <v>0.0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0" customHeight="1">
      <c r="A723" s="1" t="s">
        <v>634</v>
      </c>
      <c r="B723" s="1" t="s">
        <v>571</v>
      </c>
      <c r="C723" s="1">
        <v>0.00515</v>
      </c>
      <c r="D723" s="1" t="s">
        <v>1714</v>
      </c>
      <c r="E723" s="266">
        <f>IFERROR(VLOOKUP(B723,'Сырьё'!$C$6:$E$233,3,FALSE()),IFERROR(VLOOKUP(B723,'Полупродукты'!$C$6:$E$60,3,FALSE()),0))</f>
        <v>14.556</v>
      </c>
      <c r="F723" s="266">
        <f t="shared" si="1"/>
        <v>0.0749634</v>
      </c>
      <c r="G723" s="1">
        <v>0.0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0" customHeight="1">
      <c r="A724" s="1" t="s">
        <v>415</v>
      </c>
      <c r="B724" s="1" t="s">
        <v>415</v>
      </c>
      <c r="C724" s="1">
        <v>1.0</v>
      </c>
      <c r="D724" s="1" t="s">
        <v>3187</v>
      </c>
      <c r="E724" s="266">
        <f>IFERROR(VLOOKUP(B724,'Сырьё'!$C$6:$E$233,3,FALSE()),IFERROR(VLOOKUP(B724,'Полупродукты'!$C$6:$E$60,3,FALSE()),0))</f>
        <v>3.799</v>
      </c>
      <c r="F724" s="266">
        <f t="shared" si="1"/>
        <v>3.799</v>
      </c>
      <c r="G724" s="1">
        <v>1.0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0" customHeight="1">
      <c r="A725" s="1" t="s">
        <v>394</v>
      </c>
      <c r="B725" s="1" t="s">
        <v>394</v>
      </c>
      <c r="C725" s="1">
        <v>1.0</v>
      </c>
      <c r="D725" s="1" t="s">
        <v>3188</v>
      </c>
      <c r="E725" s="266">
        <f>IFERROR(VLOOKUP(B725,'Сырьё'!$C$6:$E$233,3,FALSE()),IFERROR(VLOOKUP(B725,'Полупродукты'!$C$6:$E$60,3,FALSE()),0))</f>
        <v>3.6988</v>
      </c>
      <c r="F725" s="266">
        <f t="shared" si="1"/>
        <v>3.6988</v>
      </c>
      <c r="G725" s="1">
        <v>1.0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0" customHeight="1">
      <c r="A726" s="1" t="s">
        <v>526</v>
      </c>
      <c r="B726" s="1" t="s">
        <v>567</v>
      </c>
      <c r="C726" s="1">
        <v>0.144118</v>
      </c>
      <c r="D726" s="1" t="s">
        <v>3189</v>
      </c>
      <c r="E726" s="266">
        <f>IFERROR(VLOOKUP(B726,'Сырьё'!$C$6:$E$233,3,FALSE()),IFERROR(VLOOKUP(B726,'Полупродукты'!$C$6:$E$60,3,FALSE()),0))</f>
        <v>0</v>
      </c>
      <c r="F726" s="266">
        <f t="shared" si="1"/>
        <v>0</v>
      </c>
      <c r="G726" s="1">
        <v>0.0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0" customHeight="1">
      <c r="A727" s="1" t="s">
        <v>526</v>
      </c>
      <c r="B727" s="1" t="s">
        <v>550</v>
      </c>
      <c r="C727" s="1">
        <v>0.077868</v>
      </c>
      <c r="D727" s="1" t="s">
        <v>3190</v>
      </c>
      <c r="E727" s="266">
        <f>IFERROR(VLOOKUP(B727,'Сырьё'!$C$6:$E$233,3,FALSE()),IFERROR(VLOOKUP(B727,'Полупродукты'!$C$6:$E$60,3,FALSE()),0))</f>
        <v>0</v>
      </c>
      <c r="F727" s="266">
        <f t="shared" si="1"/>
        <v>0</v>
      </c>
      <c r="G727" s="1">
        <v>0.0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0" customHeight="1">
      <c r="A728" s="1" t="s">
        <v>526</v>
      </c>
      <c r="B728" s="1" t="s">
        <v>594</v>
      </c>
      <c r="C728" s="1">
        <v>0.288776</v>
      </c>
      <c r="D728" s="1" t="s">
        <v>3191</v>
      </c>
      <c r="E728" s="266">
        <f>IFERROR(VLOOKUP(B728,'Сырьё'!$C$6:$E$233,3,FALSE()),IFERROR(VLOOKUP(B728,'Полупродукты'!$C$6:$E$60,3,FALSE()),0))</f>
        <v>1.7145</v>
      </c>
      <c r="F728" s="266">
        <f t="shared" si="1"/>
        <v>0.495106452</v>
      </c>
      <c r="G728" s="1">
        <v>0.0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0" customHeight="1">
      <c r="A729" s="1" t="s">
        <v>526</v>
      </c>
      <c r="B729" s="1" t="s">
        <v>579</v>
      </c>
      <c r="C729" s="1">
        <v>0.25425</v>
      </c>
      <c r="D729" s="1" t="s">
        <v>1446</v>
      </c>
      <c r="E729" s="266">
        <f>IFERROR(VLOOKUP(B729,'Сырьё'!$C$6:$E$233,3,FALSE()),IFERROR(VLOOKUP(B729,'Полупродукты'!$C$6:$E$60,3,FALSE()),0))</f>
        <v>1.2831</v>
      </c>
      <c r="F729" s="266">
        <f t="shared" si="1"/>
        <v>0.326228175</v>
      </c>
      <c r="G729" s="1">
        <v>0.0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0" customHeight="1">
      <c r="A730" s="1" t="s">
        <v>526</v>
      </c>
      <c r="B730" s="1" t="s">
        <v>593</v>
      </c>
      <c r="C730" s="1">
        <v>0.142449</v>
      </c>
      <c r="D730" s="1" t="s">
        <v>3192</v>
      </c>
      <c r="E730" s="266">
        <f>IFERROR(VLOOKUP(B730,'Сырьё'!$C$6:$E$233,3,FALSE()),IFERROR(VLOOKUP(B730,'Полупродукты'!$C$6:$E$60,3,FALSE()),0))</f>
        <v>1.6575</v>
      </c>
      <c r="F730" s="266">
        <f t="shared" si="1"/>
        <v>0.2361092175</v>
      </c>
      <c r="G730" s="1">
        <v>0.0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0" customHeight="1">
      <c r="A731" s="1" t="s">
        <v>526</v>
      </c>
      <c r="B731" s="1" t="s">
        <v>570</v>
      </c>
      <c r="C731" s="1">
        <v>0.036555</v>
      </c>
      <c r="D731" s="1" t="s">
        <v>3193</v>
      </c>
      <c r="E731" s="266">
        <f>IFERROR(VLOOKUP(B731,'Сырьё'!$C$6:$E$233,3,FALSE()),IFERROR(VLOOKUP(B731,'Полупродукты'!$C$6:$E$60,3,FALSE()),0))</f>
        <v>3.3046</v>
      </c>
      <c r="F731" s="266">
        <f t="shared" si="1"/>
        <v>0.120799653</v>
      </c>
      <c r="G731" s="1">
        <v>0.0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0" customHeight="1">
      <c r="A732" s="1" t="s">
        <v>526</v>
      </c>
      <c r="B732" s="1" t="s">
        <v>569</v>
      </c>
      <c r="C732" s="1">
        <v>0.027748</v>
      </c>
      <c r="D732" s="1" t="s">
        <v>3194</v>
      </c>
      <c r="E732" s="266">
        <f>IFERROR(VLOOKUP(B732,'Сырьё'!$C$6:$E$233,3,FALSE()),IFERROR(VLOOKUP(B732,'Полупродукты'!$C$6:$E$60,3,FALSE()),0))</f>
        <v>3.2853</v>
      </c>
      <c r="F732" s="266">
        <f t="shared" si="1"/>
        <v>0.0911605044</v>
      </c>
      <c r="G732" s="1">
        <v>0.0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0" customHeight="1">
      <c r="A733" s="1" t="s">
        <v>526</v>
      </c>
      <c r="B733" s="1" t="s">
        <v>591</v>
      </c>
      <c r="C733" s="1">
        <v>0.015651</v>
      </c>
      <c r="D733" s="1" t="s">
        <v>3195</v>
      </c>
      <c r="E733" s="266">
        <f>IFERROR(VLOOKUP(B733,'Сырьё'!$C$6:$E$233,3,FALSE()),IFERROR(VLOOKUP(B733,'Полупродукты'!$C$6:$E$60,3,FALSE()),0))</f>
        <v>1.9734</v>
      </c>
      <c r="F733" s="266">
        <f t="shared" si="1"/>
        <v>0.0308856834</v>
      </c>
      <c r="G733" s="1">
        <v>0.0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0" customHeight="1">
      <c r="A734" s="1" t="s">
        <v>526</v>
      </c>
      <c r="B734" s="1" t="s">
        <v>532</v>
      </c>
      <c r="C734" s="1">
        <v>0.005516</v>
      </c>
      <c r="D734" s="1" t="s">
        <v>3196</v>
      </c>
      <c r="E734" s="266">
        <f>IFERROR(VLOOKUP(B734,'Сырьё'!$C$6:$E$233,3,FALSE()),IFERROR(VLOOKUP(B734,'Полупродукты'!$C$6:$E$60,3,FALSE()),0))</f>
        <v>2.337</v>
      </c>
      <c r="F734" s="266">
        <f t="shared" si="1"/>
        <v>0.012890892</v>
      </c>
      <c r="G734" s="1">
        <v>0.0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0" customHeight="1">
      <c r="A735" s="1" t="s">
        <v>526</v>
      </c>
      <c r="B735" s="1" t="s">
        <v>520</v>
      </c>
      <c r="C735" s="1">
        <v>5.38E-4</v>
      </c>
      <c r="D735" s="1" t="s">
        <v>3197</v>
      </c>
      <c r="E735" s="266">
        <f>IFERROR(VLOOKUP(B735,'Сырьё'!$C$6:$E$233,3,FALSE()),IFERROR(VLOOKUP(B735,'Полупродукты'!$C$6:$E$60,3,FALSE()),0))</f>
        <v>30.1527</v>
      </c>
      <c r="F735" s="266">
        <f t="shared" si="1"/>
        <v>0.0162221526</v>
      </c>
      <c r="G735" s="1">
        <v>0.0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0" customHeight="1">
      <c r="A736" s="1" t="s">
        <v>526</v>
      </c>
      <c r="B736" s="1" t="s">
        <v>549</v>
      </c>
      <c r="C736" s="1">
        <v>0.050213</v>
      </c>
      <c r="D736" s="1" t="s">
        <v>3198</v>
      </c>
      <c r="E736" s="266">
        <f>IFERROR(VLOOKUP(B736,'Сырьё'!$C$6:$E$233,3,FALSE()),IFERROR(VLOOKUP(B736,'Полупродукты'!$C$6:$E$60,3,FALSE()),0))</f>
        <v>6.519</v>
      </c>
      <c r="F736" s="266">
        <f t="shared" si="1"/>
        <v>0.327338547</v>
      </c>
      <c r="G736" s="1">
        <v>0.0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0" customHeight="1">
      <c r="A737" s="1" t="s">
        <v>526</v>
      </c>
      <c r="B737" s="1" t="s">
        <v>571</v>
      </c>
      <c r="C737" s="1">
        <v>0.00515</v>
      </c>
      <c r="D737" s="1" t="s">
        <v>1444</v>
      </c>
      <c r="E737" s="266">
        <f>IFERROR(VLOOKUP(B737,'Сырьё'!$C$6:$E$233,3,FALSE()),IFERROR(VLOOKUP(B737,'Полупродукты'!$C$6:$E$60,3,FALSE()),0))</f>
        <v>14.556</v>
      </c>
      <c r="F737" s="266">
        <f t="shared" si="1"/>
        <v>0.0749634</v>
      </c>
      <c r="G737" s="1">
        <v>0.0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0" customHeight="1">
      <c r="A738" s="1" t="s">
        <v>722</v>
      </c>
      <c r="B738" s="1" t="s">
        <v>549</v>
      </c>
      <c r="C738" s="1">
        <v>0.2575</v>
      </c>
      <c r="D738" s="1" t="s">
        <v>2084</v>
      </c>
      <c r="E738" s="266">
        <f>IFERROR(VLOOKUP(B738,'Сырьё'!$C$6:$E$233,3,FALSE()),IFERROR(VLOOKUP(B738,'Полупродукты'!$C$6:$E$60,3,FALSE()),0))</f>
        <v>6.519</v>
      </c>
      <c r="F738" s="266">
        <f t="shared" si="1"/>
        <v>1.6786425</v>
      </c>
      <c r="G738" s="1">
        <v>0.0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0" customHeight="1">
      <c r="A739" s="1" t="s">
        <v>722</v>
      </c>
      <c r="B739" s="1" t="s">
        <v>579</v>
      </c>
      <c r="C739" s="1">
        <v>0.31518</v>
      </c>
      <c r="D739" s="1" t="s">
        <v>2086</v>
      </c>
      <c r="E739" s="266">
        <f>IFERROR(VLOOKUP(B739,'Сырьё'!$C$6:$E$233,3,FALSE()),IFERROR(VLOOKUP(B739,'Полупродукты'!$C$6:$E$60,3,FALSE()),0))</f>
        <v>1.2831</v>
      </c>
      <c r="F739" s="266">
        <f t="shared" si="1"/>
        <v>0.404407458</v>
      </c>
      <c r="G739" s="1">
        <v>0.0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0" customHeight="1">
      <c r="A740" s="1" t="s">
        <v>722</v>
      </c>
      <c r="B740" s="1" t="s">
        <v>593</v>
      </c>
      <c r="C740" s="1">
        <v>0.23072</v>
      </c>
      <c r="D740" s="1" t="s">
        <v>2088</v>
      </c>
      <c r="E740" s="266">
        <f>IFERROR(VLOOKUP(B740,'Сырьё'!$C$6:$E$233,3,FALSE()),IFERROR(VLOOKUP(B740,'Полупродукты'!$C$6:$E$60,3,FALSE()),0))</f>
        <v>1.6575</v>
      </c>
      <c r="F740" s="266">
        <f t="shared" si="1"/>
        <v>0.3824184</v>
      </c>
      <c r="G740" s="1">
        <v>0.0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0" customHeight="1">
      <c r="A741" s="1" t="s">
        <v>722</v>
      </c>
      <c r="B741" s="1" t="s">
        <v>594</v>
      </c>
      <c r="C741" s="1">
        <v>0.2266</v>
      </c>
      <c r="D741" s="1" t="s">
        <v>2090</v>
      </c>
      <c r="E741" s="266">
        <f>IFERROR(VLOOKUP(B741,'Сырьё'!$C$6:$E$233,3,FALSE()),IFERROR(VLOOKUP(B741,'Полупродукты'!$C$6:$E$60,3,FALSE()),0))</f>
        <v>1.7145</v>
      </c>
      <c r="F741" s="266">
        <f t="shared" si="1"/>
        <v>0.3885057</v>
      </c>
      <c r="G741" s="1">
        <v>0.0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0" customHeight="1">
      <c r="A742" s="1" t="s">
        <v>644</v>
      </c>
      <c r="B742" s="1" t="s">
        <v>549</v>
      </c>
      <c r="C742" s="1">
        <v>0.063407</v>
      </c>
      <c r="D742" s="1" t="s">
        <v>3199</v>
      </c>
      <c r="E742" s="266">
        <f>IFERROR(VLOOKUP(B742,'Сырьё'!$C$6:$E$233,3,FALSE()),IFERROR(VLOOKUP(B742,'Полупродукты'!$C$6:$E$60,3,FALSE()),0))</f>
        <v>6.519</v>
      </c>
      <c r="F742" s="266">
        <f t="shared" si="1"/>
        <v>0.413350233</v>
      </c>
      <c r="G742" s="1">
        <v>0.0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0" customHeight="1">
      <c r="A743" s="1" t="s">
        <v>644</v>
      </c>
      <c r="B743" s="1" t="s">
        <v>594</v>
      </c>
      <c r="C743" s="1">
        <v>0.390602</v>
      </c>
      <c r="D743" s="1" t="s">
        <v>3200</v>
      </c>
      <c r="E743" s="266">
        <f>IFERROR(VLOOKUP(B743,'Сырьё'!$C$6:$E$233,3,FALSE()),IFERROR(VLOOKUP(B743,'Полупродукты'!$C$6:$E$60,3,FALSE()),0))</f>
        <v>1.7145</v>
      </c>
      <c r="F743" s="266">
        <f t="shared" si="1"/>
        <v>0.669687129</v>
      </c>
      <c r="G743" s="1">
        <v>0.0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0" customHeight="1">
      <c r="A744" s="1" t="s">
        <v>644</v>
      </c>
      <c r="B744" s="1" t="s">
        <v>537</v>
      </c>
      <c r="C744" s="1">
        <v>0.023778</v>
      </c>
      <c r="D744" s="1" t="s">
        <v>3201</v>
      </c>
      <c r="E744" s="266">
        <f>IFERROR(VLOOKUP(B744,'Сырьё'!$C$6:$E$233,3,FALSE()),IFERROR(VLOOKUP(B744,'Полупродукты'!$C$6:$E$60,3,FALSE()),0))</f>
        <v>8.8284</v>
      </c>
      <c r="F744" s="266">
        <f t="shared" si="1"/>
        <v>0.2099216952</v>
      </c>
      <c r="G744" s="1">
        <v>0.0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0" customHeight="1">
      <c r="A745" s="1" t="s">
        <v>644</v>
      </c>
      <c r="B745" s="1" t="s">
        <v>541</v>
      </c>
      <c r="C745" s="1">
        <v>0.002642</v>
      </c>
      <c r="D745" s="1" t="s">
        <v>3202</v>
      </c>
      <c r="E745" s="266">
        <f>IFERROR(VLOOKUP(B745,'Сырьё'!$C$6:$E$233,3,FALSE()),IFERROR(VLOOKUP(B745,'Полупродукты'!$C$6:$E$60,3,FALSE()),0))</f>
        <v>78.7704</v>
      </c>
      <c r="F745" s="266">
        <f t="shared" si="1"/>
        <v>0.2081113968</v>
      </c>
      <c r="G745" s="1">
        <v>0.0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0" customHeight="1">
      <c r="A746" s="1" t="s">
        <v>644</v>
      </c>
      <c r="B746" s="1" t="s">
        <v>552</v>
      </c>
      <c r="C746" s="1">
        <v>0.147949</v>
      </c>
      <c r="D746" s="1" t="s">
        <v>3203</v>
      </c>
      <c r="E746" s="266">
        <f>IFERROR(VLOOKUP(B746,'Сырьё'!$C$6:$E$233,3,FALSE()),IFERROR(VLOOKUP(B746,'Полупродукты'!$C$6:$E$60,3,FALSE()),0))</f>
        <v>3.8883</v>
      </c>
      <c r="F746" s="266">
        <f t="shared" si="1"/>
        <v>0.5752700967</v>
      </c>
      <c r="G746" s="1">
        <v>0.0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0" customHeight="1">
      <c r="A747" s="1" t="s">
        <v>644</v>
      </c>
      <c r="B747" s="1" t="s">
        <v>579</v>
      </c>
      <c r="C747" s="1">
        <v>0.086752</v>
      </c>
      <c r="D747" s="1" t="s">
        <v>3204</v>
      </c>
      <c r="E747" s="266">
        <f>IFERROR(VLOOKUP(B747,'Сырьё'!$C$6:$E$233,3,FALSE()),IFERROR(VLOOKUP(B747,'Полупродукты'!$C$6:$E$60,3,FALSE()),0))</f>
        <v>1.2831</v>
      </c>
      <c r="F747" s="266">
        <f t="shared" si="1"/>
        <v>0.1113114912</v>
      </c>
      <c r="G747" s="1">
        <v>0.0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0" customHeight="1">
      <c r="A748" s="1" t="s">
        <v>644</v>
      </c>
      <c r="B748" s="1" t="s">
        <v>593</v>
      </c>
      <c r="C748" s="1">
        <v>0.08961</v>
      </c>
      <c r="D748" s="1" t="s">
        <v>2392</v>
      </c>
      <c r="E748" s="266">
        <f>IFERROR(VLOOKUP(B748,'Сырьё'!$C$6:$E$233,3,FALSE()),IFERROR(VLOOKUP(B748,'Полупродукты'!$C$6:$E$60,3,FALSE()),0))</f>
        <v>1.6575</v>
      </c>
      <c r="F748" s="266">
        <f t="shared" si="1"/>
        <v>0.148528575</v>
      </c>
      <c r="G748" s="1">
        <v>0.0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0" customHeight="1">
      <c r="A749" s="1" t="s">
        <v>644</v>
      </c>
      <c r="B749" s="1" t="s">
        <v>520</v>
      </c>
      <c r="C749" s="1">
        <v>0.004195</v>
      </c>
      <c r="D749" s="1" t="s">
        <v>3205</v>
      </c>
      <c r="E749" s="266">
        <f>IFERROR(VLOOKUP(B749,'Сырьё'!$C$6:$E$233,3,FALSE()),IFERROR(VLOOKUP(B749,'Полупродукты'!$C$6:$E$60,3,FALSE()),0))</f>
        <v>30.1527</v>
      </c>
      <c r="F749" s="266">
        <f t="shared" si="1"/>
        <v>0.1264905765</v>
      </c>
      <c r="G749" s="1">
        <v>0.0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0" customHeight="1">
      <c r="A750" s="1" t="s">
        <v>644</v>
      </c>
      <c r="B750" s="1" t="s">
        <v>570</v>
      </c>
      <c r="C750" s="1">
        <v>0.207524</v>
      </c>
      <c r="D750" s="1" t="s">
        <v>3206</v>
      </c>
      <c r="E750" s="266">
        <f>IFERROR(VLOOKUP(B750,'Сырьё'!$C$6:$E$233,3,FALSE()),IFERROR(VLOOKUP(B750,'Полупродукты'!$C$6:$E$60,3,FALSE()),0))</f>
        <v>3.3046</v>
      </c>
      <c r="F750" s="266">
        <f t="shared" si="1"/>
        <v>0.6857838104</v>
      </c>
      <c r="G750" s="1">
        <v>0.0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0" customHeight="1">
      <c r="A751" s="1" t="s">
        <v>644</v>
      </c>
      <c r="B751" s="1" t="s">
        <v>591</v>
      </c>
      <c r="C751" s="1">
        <v>0.020703</v>
      </c>
      <c r="D751" s="1" t="s">
        <v>3207</v>
      </c>
      <c r="E751" s="266">
        <f>IFERROR(VLOOKUP(B751,'Сырьё'!$C$6:$E$233,3,FALSE()),IFERROR(VLOOKUP(B751,'Полупродукты'!$C$6:$E$60,3,FALSE()),0))</f>
        <v>1.9734</v>
      </c>
      <c r="F751" s="266">
        <f t="shared" si="1"/>
        <v>0.0408553002</v>
      </c>
      <c r="G751" s="1">
        <v>0.0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0" customHeight="1">
      <c r="A752" s="1" t="s">
        <v>644</v>
      </c>
      <c r="B752" s="1" t="s">
        <v>522</v>
      </c>
      <c r="C752" s="1">
        <v>1.76E-4</v>
      </c>
      <c r="D752" s="1" t="s">
        <v>3208</v>
      </c>
      <c r="E752" s="266">
        <f>IFERROR(VLOOKUP(B752,'Сырьё'!$C$6:$E$233,3,FALSE()),IFERROR(VLOOKUP(B752,'Полупродукты'!$C$6:$E$60,3,FALSE()),0))</f>
        <v>3.7834</v>
      </c>
      <c r="F752" s="266">
        <f t="shared" si="1"/>
        <v>0.0006658784</v>
      </c>
      <c r="G752" s="1">
        <v>0.0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0" customHeight="1">
      <c r="A753" s="1" t="s">
        <v>657</v>
      </c>
      <c r="B753" s="1" t="s">
        <v>570</v>
      </c>
      <c r="C753" s="1">
        <v>0.243698</v>
      </c>
      <c r="D753" s="1" t="s">
        <v>2120</v>
      </c>
      <c r="E753" s="266">
        <f>IFERROR(VLOOKUP(B753,'Сырьё'!$C$6:$E$233,3,FALSE()),IFERROR(VLOOKUP(B753,'Полупродукты'!$C$6:$E$60,3,FALSE()),0))</f>
        <v>3.3046</v>
      </c>
      <c r="F753" s="266">
        <f t="shared" si="1"/>
        <v>0.8053244108</v>
      </c>
      <c r="G753" s="1">
        <v>0.0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0" customHeight="1">
      <c r="A754" s="1" t="s">
        <v>657</v>
      </c>
      <c r="B754" s="1" t="s">
        <v>569</v>
      </c>
      <c r="C754" s="1">
        <v>0.184988</v>
      </c>
      <c r="D754" s="1" t="s">
        <v>2118</v>
      </c>
      <c r="E754" s="266">
        <f>IFERROR(VLOOKUP(B754,'Сырьё'!$C$6:$E$233,3,FALSE()),IFERROR(VLOOKUP(B754,'Полупродукты'!$C$6:$E$60,3,FALSE()),0))</f>
        <v>3.2853</v>
      </c>
      <c r="F754" s="266">
        <f t="shared" si="1"/>
        <v>0.6077410764</v>
      </c>
      <c r="G754" s="1">
        <v>0.0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0" customHeight="1">
      <c r="A755" s="1" t="s">
        <v>657</v>
      </c>
      <c r="B755" s="1" t="s">
        <v>594</v>
      </c>
      <c r="C755" s="1">
        <v>0.370697</v>
      </c>
      <c r="D755" s="1" t="s">
        <v>2116</v>
      </c>
      <c r="E755" s="266">
        <f>IFERROR(VLOOKUP(B755,'Сырьё'!$C$6:$E$233,3,FALSE()),IFERROR(VLOOKUP(B755,'Полупродукты'!$C$6:$E$60,3,FALSE()),0))</f>
        <v>1.7145</v>
      </c>
      <c r="F755" s="266">
        <f t="shared" si="1"/>
        <v>0.6355600065</v>
      </c>
      <c r="G755" s="1">
        <v>0.0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0" customHeight="1">
      <c r="A756" s="1" t="s">
        <v>657</v>
      </c>
      <c r="B756" s="1" t="s">
        <v>579</v>
      </c>
      <c r="C756" s="1">
        <v>0.104339</v>
      </c>
      <c r="D756" s="1" t="s">
        <v>2114</v>
      </c>
      <c r="E756" s="266">
        <f>IFERROR(VLOOKUP(B756,'Сырьё'!$C$6:$E$233,3,FALSE()),IFERROR(VLOOKUP(B756,'Полупродукты'!$C$6:$E$60,3,FALSE()),0))</f>
        <v>1.2831</v>
      </c>
      <c r="F756" s="266">
        <f t="shared" si="1"/>
        <v>0.1338773709</v>
      </c>
      <c r="G756" s="1">
        <v>0.0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0" customHeight="1">
      <c r="A757" s="1" t="s">
        <v>657</v>
      </c>
      <c r="B757" s="1" t="s">
        <v>591</v>
      </c>
      <c r="C757" s="1">
        <v>0.104339</v>
      </c>
      <c r="D757" s="1" t="s">
        <v>2122</v>
      </c>
      <c r="E757" s="266">
        <f>IFERROR(VLOOKUP(B757,'Сырьё'!$C$6:$E$233,3,FALSE()),IFERROR(VLOOKUP(B757,'Полупродукты'!$C$6:$E$60,3,FALSE()),0))</f>
        <v>1.9734</v>
      </c>
      <c r="F757" s="266">
        <f t="shared" si="1"/>
        <v>0.2059025826</v>
      </c>
      <c r="G757" s="1">
        <v>0.0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0" customHeight="1">
      <c r="A758" s="1" t="s">
        <v>657</v>
      </c>
      <c r="B758" s="1" t="s">
        <v>532</v>
      </c>
      <c r="C758" s="1">
        <v>0.036771</v>
      </c>
      <c r="D758" s="1" t="s">
        <v>2124</v>
      </c>
      <c r="E758" s="266">
        <f>IFERROR(VLOOKUP(B758,'Сырьё'!$C$6:$E$233,3,FALSE()),IFERROR(VLOOKUP(B758,'Полупродукты'!$C$6:$E$60,3,FALSE()),0))</f>
        <v>2.337</v>
      </c>
      <c r="F758" s="266">
        <f t="shared" si="1"/>
        <v>0.085933827</v>
      </c>
      <c r="G758" s="1">
        <v>0.0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0" customHeight="1">
      <c r="A759" s="1" t="s">
        <v>657</v>
      </c>
      <c r="B759" s="1" t="s">
        <v>520</v>
      </c>
      <c r="C759" s="1">
        <v>0.003584</v>
      </c>
      <c r="D759" s="1" t="s">
        <v>2688</v>
      </c>
      <c r="E759" s="266">
        <f>IFERROR(VLOOKUP(B759,'Сырьё'!$C$6:$E$233,3,FALSE()),IFERROR(VLOOKUP(B759,'Полупродукты'!$C$6:$E$60,3,FALSE()),0))</f>
        <v>30.1527</v>
      </c>
      <c r="F759" s="266">
        <f t="shared" si="1"/>
        <v>0.1080672768</v>
      </c>
      <c r="G759" s="1">
        <v>0.0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0" customHeight="1">
      <c r="A760" s="1" t="s">
        <v>754</v>
      </c>
      <c r="B760" s="1" t="s">
        <v>562</v>
      </c>
      <c r="C760" s="1">
        <v>0.2163</v>
      </c>
      <c r="D760" s="1" t="s">
        <v>1554</v>
      </c>
      <c r="E760" s="266">
        <f>IFERROR(VLOOKUP(B760,'Сырьё'!$C$6:$E$233,3,FALSE()),IFERROR(VLOOKUP(B760,'Полупродукты'!$C$6:$E$60,3,FALSE()),0))</f>
        <v>19.1461</v>
      </c>
      <c r="F760" s="266">
        <f t="shared" si="1"/>
        <v>4.14130143</v>
      </c>
      <c r="G760" s="1">
        <v>0.0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0" customHeight="1">
      <c r="A761" s="1" t="s">
        <v>754</v>
      </c>
      <c r="B761" s="1" t="s">
        <v>570</v>
      </c>
      <c r="C761" s="1">
        <v>0.155643</v>
      </c>
      <c r="D761" s="1" t="s">
        <v>3209</v>
      </c>
      <c r="E761" s="266">
        <f>IFERROR(VLOOKUP(B761,'Сырьё'!$C$6:$E$233,3,FALSE()),IFERROR(VLOOKUP(B761,'Полупродукты'!$C$6:$E$60,3,FALSE()),0))</f>
        <v>3.3046</v>
      </c>
      <c r="F761" s="266">
        <f t="shared" si="1"/>
        <v>0.5143378578</v>
      </c>
      <c r="G761" s="1">
        <v>0.0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0" customHeight="1">
      <c r="A762" s="1" t="s">
        <v>754</v>
      </c>
      <c r="B762" s="1" t="s">
        <v>594</v>
      </c>
      <c r="C762" s="1">
        <v>0.232162</v>
      </c>
      <c r="D762" s="1" t="s">
        <v>3210</v>
      </c>
      <c r="E762" s="266">
        <f>IFERROR(VLOOKUP(B762,'Сырьё'!$C$6:$E$233,3,FALSE()),IFERROR(VLOOKUP(B762,'Полупродукты'!$C$6:$E$60,3,FALSE()),0))</f>
        <v>1.7145</v>
      </c>
      <c r="F762" s="266">
        <f t="shared" si="1"/>
        <v>0.398041749</v>
      </c>
      <c r="G762" s="1">
        <v>0.0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0" customHeight="1">
      <c r="A763" s="1" t="s">
        <v>754</v>
      </c>
      <c r="B763" s="1" t="s">
        <v>579</v>
      </c>
      <c r="C763" s="1">
        <v>0.165238</v>
      </c>
      <c r="D763" s="1" t="s">
        <v>3211</v>
      </c>
      <c r="E763" s="266">
        <f>IFERROR(VLOOKUP(B763,'Сырьё'!$C$6:$E$233,3,FALSE()),IFERROR(VLOOKUP(B763,'Полупродукты'!$C$6:$E$60,3,FALSE()),0))</f>
        <v>1.2831</v>
      </c>
      <c r="F763" s="266">
        <f t="shared" si="1"/>
        <v>0.2120168778</v>
      </c>
      <c r="G763" s="1">
        <v>0.0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0" customHeight="1">
      <c r="A764" s="1" t="s">
        <v>754</v>
      </c>
      <c r="B764" s="1" t="s">
        <v>591</v>
      </c>
      <c r="C764" s="1">
        <v>0.015527</v>
      </c>
      <c r="D764" s="1" t="s">
        <v>3212</v>
      </c>
      <c r="E764" s="266">
        <f>IFERROR(VLOOKUP(B764,'Сырьё'!$C$6:$E$233,3,FALSE()),IFERROR(VLOOKUP(B764,'Полупродукты'!$C$6:$E$60,3,FALSE()),0))</f>
        <v>1.9734</v>
      </c>
      <c r="F764" s="266">
        <f t="shared" si="1"/>
        <v>0.0306409818</v>
      </c>
      <c r="G764" s="1">
        <v>0.0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0" customHeight="1">
      <c r="A765" s="1" t="s">
        <v>754</v>
      </c>
      <c r="B765" s="1" t="s">
        <v>522</v>
      </c>
      <c r="C765" s="1">
        <v>1.32E-4</v>
      </c>
      <c r="D765" s="1" t="s">
        <v>3213</v>
      </c>
      <c r="E765" s="266">
        <f>IFERROR(VLOOKUP(B765,'Сырьё'!$C$6:$E$233,3,FALSE()),IFERROR(VLOOKUP(B765,'Полупродукты'!$C$6:$E$60,3,FALSE()),0))</f>
        <v>3.7834</v>
      </c>
      <c r="F765" s="266">
        <f t="shared" si="1"/>
        <v>0.0004994088</v>
      </c>
      <c r="G765" s="1">
        <v>0.0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0" customHeight="1">
      <c r="A766" s="1" t="s">
        <v>754</v>
      </c>
      <c r="B766" s="1" t="s">
        <v>549</v>
      </c>
      <c r="C766" s="1">
        <v>0.122312</v>
      </c>
      <c r="D766" s="1" t="s">
        <v>3214</v>
      </c>
      <c r="E766" s="266">
        <f>IFERROR(VLOOKUP(B766,'Сырьё'!$C$6:$E$233,3,FALSE()),IFERROR(VLOOKUP(B766,'Полупродукты'!$C$6:$E$60,3,FALSE()),0))</f>
        <v>6.519</v>
      </c>
      <c r="F766" s="266">
        <f t="shared" si="1"/>
        <v>0.797351928</v>
      </c>
      <c r="G766" s="1">
        <v>0.0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0" customHeight="1">
      <c r="A767" s="1" t="s">
        <v>754</v>
      </c>
      <c r="B767" s="1" t="s">
        <v>593</v>
      </c>
      <c r="C767" s="1">
        <v>0.109592</v>
      </c>
      <c r="D767" s="1" t="s">
        <v>3215</v>
      </c>
      <c r="E767" s="266">
        <f>IFERROR(VLOOKUP(B767,'Сырьё'!$C$6:$E$233,3,FALSE()),IFERROR(VLOOKUP(B767,'Полупродукты'!$C$6:$E$60,3,FALSE()),0))</f>
        <v>1.6575</v>
      </c>
      <c r="F767" s="266">
        <f t="shared" si="1"/>
        <v>0.18164874</v>
      </c>
      <c r="G767" s="1">
        <v>0.0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0" customHeight="1">
      <c r="A768" s="1" t="s">
        <v>754</v>
      </c>
      <c r="B768" s="1" t="s">
        <v>571</v>
      </c>
      <c r="C768" s="1">
        <v>0.0103</v>
      </c>
      <c r="D768" s="1" t="s">
        <v>1560</v>
      </c>
      <c r="E768" s="266">
        <f>IFERROR(VLOOKUP(B768,'Сырьё'!$C$6:$E$233,3,FALSE()),IFERROR(VLOOKUP(B768,'Полупродукты'!$C$6:$E$60,3,FALSE()),0))</f>
        <v>14.556</v>
      </c>
      <c r="F768" s="266">
        <f t="shared" si="1"/>
        <v>0.1499268</v>
      </c>
      <c r="G768" s="1">
        <v>0.0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0" customHeight="1">
      <c r="A769" s="1" t="s">
        <v>754</v>
      </c>
      <c r="B769" s="1" t="s">
        <v>576</v>
      </c>
      <c r="C769" s="1">
        <v>0.00515</v>
      </c>
      <c r="D769" s="1" t="s">
        <v>1562</v>
      </c>
      <c r="E769" s="266">
        <f>IFERROR(VLOOKUP(B769,'Сырьё'!$C$6:$E$233,3,FALSE()),IFERROR(VLOOKUP(B769,'Полупродукты'!$C$6:$E$60,3,FALSE()),0))</f>
        <v>4.6836</v>
      </c>
      <c r="F769" s="266">
        <f t="shared" si="1"/>
        <v>0.02412054</v>
      </c>
      <c r="G769" s="1">
        <v>0.0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0" customHeight="1">
      <c r="A770" s="1" t="s">
        <v>660</v>
      </c>
      <c r="B770" s="1" t="s">
        <v>431</v>
      </c>
      <c r="C770" s="1">
        <v>0.721</v>
      </c>
      <c r="D770" s="1" t="s">
        <v>1112</v>
      </c>
      <c r="E770" s="266">
        <f>IFERROR(VLOOKUP(B770,'Сырьё'!$C$6:$E$233,3,FALSE()),IFERROR(VLOOKUP(B770,'Полупродукты'!$C$6:$E$60,3,FALSE()),0))</f>
        <v>8.7213</v>
      </c>
      <c r="F770" s="266">
        <f t="shared" si="1"/>
        <v>6.2880573</v>
      </c>
      <c r="G770" s="1">
        <v>1.0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0" customHeight="1">
      <c r="A771" s="1" t="s">
        <v>660</v>
      </c>
      <c r="B771" s="1" t="s">
        <v>570</v>
      </c>
      <c r="C771" s="1">
        <v>0.069618</v>
      </c>
      <c r="D771" s="1" t="s">
        <v>3216</v>
      </c>
      <c r="E771" s="266">
        <f>IFERROR(VLOOKUP(B771,'Сырьё'!$C$6:$E$233,3,FALSE()),IFERROR(VLOOKUP(B771,'Полупродукты'!$C$6:$E$60,3,FALSE()),0))</f>
        <v>3.3046</v>
      </c>
      <c r="F771" s="266">
        <f t="shared" si="1"/>
        <v>0.2300596428</v>
      </c>
      <c r="G771" s="1">
        <v>0.0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0" customHeight="1">
      <c r="A772" s="1" t="s">
        <v>660</v>
      </c>
      <c r="B772" s="1" t="s">
        <v>594</v>
      </c>
      <c r="C772" s="1">
        <v>0.119552</v>
      </c>
      <c r="D772" s="1" t="s">
        <v>3217</v>
      </c>
      <c r="E772" s="266">
        <f>IFERROR(VLOOKUP(B772,'Сырьё'!$C$6:$E$233,3,FALSE()),IFERROR(VLOOKUP(B772,'Полупродукты'!$C$6:$E$60,3,FALSE()),0))</f>
        <v>1.7145</v>
      </c>
      <c r="F772" s="266">
        <f t="shared" si="1"/>
        <v>0.204971904</v>
      </c>
      <c r="G772" s="1">
        <v>0.0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0" customHeight="1">
      <c r="A773" s="1" t="s">
        <v>660</v>
      </c>
      <c r="B773" s="1" t="s">
        <v>579</v>
      </c>
      <c r="C773" s="1">
        <v>0.029795</v>
      </c>
      <c r="D773" s="1" t="s">
        <v>3218</v>
      </c>
      <c r="E773" s="266">
        <f>IFERROR(VLOOKUP(B773,'Сырьё'!$C$6:$E$233,3,FALSE()),IFERROR(VLOOKUP(B773,'Полупродукты'!$C$6:$E$60,3,FALSE()),0))</f>
        <v>1.2831</v>
      </c>
      <c r="F773" s="266">
        <f t="shared" si="1"/>
        <v>0.0382299645</v>
      </c>
      <c r="G773" s="1">
        <v>0.0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0" customHeight="1">
      <c r="A774" s="1" t="s">
        <v>660</v>
      </c>
      <c r="B774" s="1" t="s">
        <v>591</v>
      </c>
      <c r="C774" s="1">
        <v>0.01589</v>
      </c>
      <c r="D774" s="1" t="s">
        <v>3219</v>
      </c>
      <c r="E774" s="266">
        <f>IFERROR(VLOOKUP(B774,'Сырьё'!$C$6:$E$233,3,FALSE()),IFERROR(VLOOKUP(B774,'Полупродукты'!$C$6:$E$60,3,FALSE()),0))</f>
        <v>1.9734</v>
      </c>
      <c r="F774" s="266">
        <f t="shared" si="1"/>
        <v>0.031357326</v>
      </c>
      <c r="G774" s="1">
        <v>0.0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0" customHeight="1">
      <c r="A775" s="1" t="s">
        <v>660</v>
      </c>
      <c r="B775" s="1" t="s">
        <v>532</v>
      </c>
      <c r="C775" s="1">
        <v>0.005531</v>
      </c>
      <c r="D775" s="1" t="s">
        <v>3220</v>
      </c>
      <c r="E775" s="266">
        <f>IFERROR(VLOOKUP(B775,'Сырьё'!$C$6:$E$233,3,FALSE()),IFERROR(VLOOKUP(B775,'Полупродукты'!$C$6:$E$60,3,FALSE()),0))</f>
        <v>2.337</v>
      </c>
      <c r="F775" s="266">
        <f t="shared" si="1"/>
        <v>0.012925947</v>
      </c>
      <c r="G775" s="1">
        <v>0.0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0" customHeight="1">
      <c r="A776" s="1" t="s">
        <v>660</v>
      </c>
      <c r="B776" s="1" t="s">
        <v>593</v>
      </c>
      <c r="C776" s="1">
        <v>0.038625</v>
      </c>
      <c r="D776" s="1" t="s">
        <v>3221</v>
      </c>
      <c r="E776" s="266">
        <f>IFERROR(VLOOKUP(B776,'Сырьё'!$C$6:$E$233,3,FALSE()),IFERROR(VLOOKUP(B776,'Полупродукты'!$C$6:$E$60,3,FALSE()),0))</f>
        <v>1.6575</v>
      </c>
      <c r="F776" s="266">
        <f t="shared" si="1"/>
        <v>0.0640209375</v>
      </c>
      <c r="G776" s="1">
        <v>0.0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0" customHeight="1">
      <c r="A777" s="1" t="s">
        <v>660</v>
      </c>
      <c r="B777" s="1" t="s">
        <v>549</v>
      </c>
      <c r="C777" s="1">
        <v>0.032445</v>
      </c>
      <c r="D777" s="1" t="s">
        <v>3222</v>
      </c>
      <c r="E777" s="266">
        <f>IFERROR(VLOOKUP(B777,'Сырьё'!$C$6:$E$233,3,FALSE()),IFERROR(VLOOKUP(B777,'Полупродукты'!$C$6:$E$60,3,FALSE()),0))</f>
        <v>6.519</v>
      </c>
      <c r="F777" s="266">
        <f t="shared" si="1"/>
        <v>0.211508955</v>
      </c>
      <c r="G777" s="1">
        <v>0.0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0" customHeight="1">
      <c r="A778" s="1" t="s">
        <v>660</v>
      </c>
      <c r="B778" s="1" t="s">
        <v>520</v>
      </c>
      <c r="C778" s="1">
        <v>3.43E-4</v>
      </c>
      <c r="D778" s="1" t="s">
        <v>3223</v>
      </c>
      <c r="E778" s="266">
        <f>IFERROR(VLOOKUP(B778,'Сырьё'!$C$6:$E$233,3,FALSE()),IFERROR(VLOOKUP(B778,'Полупродукты'!$C$6:$E$60,3,FALSE()),0))</f>
        <v>30.1527</v>
      </c>
      <c r="F778" s="266">
        <f t="shared" si="1"/>
        <v>0.0103423761</v>
      </c>
      <c r="G778" s="1">
        <v>0.0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0" customHeight="1">
      <c r="A779" s="1" t="s">
        <v>422</v>
      </c>
      <c r="B779" s="1" t="s">
        <v>422</v>
      </c>
      <c r="C779" s="1">
        <v>1.0</v>
      </c>
      <c r="D779" s="1" t="s">
        <v>3224</v>
      </c>
      <c r="E779" s="266">
        <f>IFERROR(VLOOKUP(B779,'Сырьё'!$C$6:$E$233,3,FALSE()),IFERROR(VLOOKUP(B779,'Полупродукты'!$C$6:$E$60,3,FALSE()),0))</f>
        <v>3.3223</v>
      </c>
      <c r="F779" s="266">
        <f t="shared" si="1"/>
        <v>3.3223</v>
      </c>
      <c r="G779" s="1">
        <v>1.0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0" customHeight="1">
      <c r="A780" s="1" t="s">
        <v>702</v>
      </c>
      <c r="B780" s="1" t="s">
        <v>594</v>
      </c>
      <c r="C780" s="1">
        <v>0.35535</v>
      </c>
      <c r="D780" s="1" t="s">
        <v>3225</v>
      </c>
      <c r="E780" s="266">
        <f>IFERROR(VLOOKUP(B780,'Сырьё'!$C$6:$E$233,3,FALSE()),IFERROR(VLOOKUP(B780,'Полупродукты'!$C$6:$E$60,3,FALSE()),0))</f>
        <v>1.7145</v>
      </c>
      <c r="F780" s="266">
        <f t="shared" si="1"/>
        <v>0.609247575</v>
      </c>
      <c r="G780" s="1">
        <v>0.0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0" customHeight="1">
      <c r="A781" s="1" t="s">
        <v>702</v>
      </c>
      <c r="B781" s="1" t="s">
        <v>579</v>
      </c>
      <c r="C781" s="1">
        <v>0.15759</v>
      </c>
      <c r="D781" s="1" t="s">
        <v>3226</v>
      </c>
      <c r="E781" s="266">
        <f>IFERROR(VLOOKUP(B781,'Сырьё'!$C$6:$E$233,3,FALSE()),IFERROR(VLOOKUP(B781,'Полупродукты'!$C$6:$E$60,3,FALSE()),0))</f>
        <v>1.2831</v>
      </c>
      <c r="F781" s="266">
        <f t="shared" si="1"/>
        <v>0.202203729</v>
      </c>
      <c r="G781" s="1">
        <v>0.0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0" customHeight="1">
      <c r="A782" s="1" t="s">
        <v>702</v>
      </c>
      <c r="B782" s="1" t="s">
        <v>593</v>
      </c>
      <c r="C782" s="1">
        <v>0.21115</v>
      </c>
      <c r="D782" s="1" t="s">
        <v>3227</v>
      </c>
      <c r="E782" s="266">
        <f>IFERROR(VLOOKUP(B782,'Сырьё'!$C$6:$E$233,3,FALSE()),IFERROR(VLOOKUP(B782,'Полупродукты'!$C$6:$E$60,3,FALSE()),0))</f>
        <v>1.6575</v>
      </c>
      <c r="F782" s="266">
        <f t="shared" si="1"/>
        <v>0.349981125</v>
      </c>
      <c r="G782" s="1">
        <v>0.0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0" customHeight="1">
      <c r="A783" s="1" t="s">
        <v>702</v>
      </c>
      <c r="B783" s="1" t="s">
        <v>549</v>
      </c>
      <c r="C783" s="1">
        <v>0.15141</v>
      </c>
      <c r="D783" s="1" t="s">
        <v>3228</v>
      </c>
      <c r="E783" s="266">
        <f>IFERROR(VLOOKUP(B783,'Сырьё'!$C$6:$E$233,3,FALSE()),IFERROR(VLOOKUP(B783,'Полупродукты'!$C$6:$E$60,3,FALSE()),0))</f>
        <v>6.519</v>
      </c>
      <c r="F783" s="266">
        <f t="shared" si="1"/>
        <v>0.98704179</v>
      </c>
      <c r="G783" s="1">
        <v>0.0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0" customHeight="1">
      <c r="A784" s="1" t="s">
        <v>702</v>
      </c>
      <c r="B784" s="1" t="s">
        <v>520</v>
      </c>
      <c r="C784" s="1">
        <v>0.001598</v>
      </c>
      <c r="D784" s="1" t="s">
        <v>3229</v>
      </c>
      <c r="E784" s="266">
        <f>IFERROR(VLOOKUP(B784,'Сырьё'!$C$6:$E$233,3,FALSE()),IFERROR(VLOOKUP(B784,'Полупродукты'!$C$6:$E$60,3,FALSE()),0))</f>
        <v>30.1527</v>
      </c>
      <c r="F784" s="266">
        <f t="shared" si="1"/>
        <v>0.0481840146</v>
      </c>
      <c r="G784" s="1">
        <v>0.0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0" customHeight="1">
      <c r="A785" s="1" t="s">
        <v>702</v>
      </c>
      <c r="B785" s="1" t="s">
        <v>533</v>
      </c>
      <c r="C785" s="1">
        <v>0.1236</v>
      </c>
      <c r="D785" s="1" t="s">
        <v>3230</v>
      </c>
      <c r="E785" s="266">
        <f>IFERROR(VLOOKUP(B785,'Сырьё'!$C$6:$E$233,3,FALSE()),IFERROR(VLOOKUP(B785,'Полупродукты'!$C$6:$E$60,3,FALSE()),0))</f>
        <v>6.305</v>
      </c>
      <c r="F785" s="266">
        <f t="shared" si="1"/>
        <v>0.779298</v>
      </c>
      <c r="G785" s="1">
        <v>0.0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0" customHeight="1">
      <c r="A786" s="1" t="s">
        <v>702</v>
      </c>
      <c r="B786" s="1" t="s">
        <v>573</v>
      </c>
      <c r="C786" s="1">
        <v>0.0309</v>
      </c>
      <c r="D786" s="1" t="s">
        <v>3231</v>
      </c>
      <c r="E786" s="266">
        <f>IFERROR(VLOOKUP(B786,'Сырьё'!$C$6:$E$233,3,FALSE()),IFERROR(VLOOKUP(B786,'Полупродукты'!$C$6:$E$60,3,FALSE()),0))</f>
        <v>4.7016</v>
      </c>
      <c r="F786" s="266">
        <f t="shared" si="1"/>
        <v>0.14527944</v>
      </c>
      <c r="G786" s="1">
        <v>0.0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0" customHeight="1">
      <c r="A787" s="1" t="s">
        <v>749</v>
      </c>
      <c r="B787" s="1" t="s">
        <v>594</v>
      </c>
      <c r="C787" s="1">
        <v>0.2575</v>
      </c>
      <c r="D787" s="1" t="s">
        <v>3232</v>
      </c>
      <c r="E787" s="266">
        <f>IFERROR(VLOOKUP(B787,'Сырьё'!$C$6:$E$233,3,FALSE()),IFERROR(VLOOKUP(B787,'Полупродукты'!$C$6:$E$60,3,FALSE()),0))</f>
        <v>1.7145</v>
      </c>
      <c r="F787" s="266">
        <f t="shared" si="1"/>
        <v>0.44148375</v>
      </c>
      <c r="G787" s="1">
        <v>0.0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0" customHeight="1">
      <c r="A788" s="1" t="s">
        <v>749</v>
      </c>
      <c r="B788" s="1" t="s">
        <v>579</v>
      </c>
      <c r="C788" s="1">
        <v>0.29046</v>
      </c>
      <c r="D788" s="1" t="s">
        <v>3233</v>
      </c>
      <c r="E788" s="266">
        <f>IFERROR(VLOOKUP(B788,'Сырьё'!$C$6:$E$233,3,FALSE()),IFERROR(VLOOKUP(B788,'Полупродукты'!$C$6:$E$60,3,FALSE()),0))</f>
        <v>1.2831</v>
      </c>
      <c r="F788" s="266">
        <f t="shared" si="1"/>
        <v>0.372689226</v>
      </c>
      <c r="G788" s="1">
        <v>0.0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0" customHeight="1">
      <c r="A789" s="1" t="s">
        <v>749</v>
      </c>
      <c r="B789" s="1" t="s">
        <v>593</v>
      </c>
      <c r="C789" s="1">
        <v>0.1751</v>
      </c>
      <c r="D789" s="1" t="s">
        <v>3234</v>
      </c>
      <c r="E789" s="266">
        <f>IFERROR(VLOOKUP(B789,'Сырьё'!$C$6:$E$233,3,FALSE()),IFERROR(VLOOKUP(B789,'Полупродукты'!$C$6:$E$60,3,FALSE()),0))</f>
        <v>1.6575</v>
      </c>
      <c r="F789" s="266">
        <f t="shared" si="1"/>
        <v>0.29022825</v>
      </c>
      <c r="G789" s="1">
        <v>0.0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0" customHeight="1">
      <c r="A790" s="1" t="s">
        <v>749</v>
      </c>
      <c r="B790" s="1" t="s">
        <v>585</v>
      </c>
      <c r="C790" s="1">
        <v>0.09888</v>
      </c>
      <c r="D790" s="1" t="s">
        <v>3235</v>
      </c>
      <c r="E790" s="266">
        <f>IFERROR(VLOOKUP(B790,'Сырьё'!$C$6:$E$233,3,FALSE()),IFERROR(VLOOKUP(B790,'Полупродукты'!$C$6:$E$60,3,FALSE()),0))</f>
        <v>6.9052</v>
      </c>
      <c r="F790" s="266">
        <f t="shared" si="1"/>
        <v>0.682786176</v>
      </c>
      <c r="G790" s="1">
        <v>0.0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0" customHeight="1">
      <c r="A791" s="1" t="s">
        <v>749</v>
      </c>
      <c r="B791" s="1" t="s">
        <v>566</v>
      </c>
      <c r="C791" s="1">
        <v>0.1648</v>
      </c>
      <c r="D791" s="1" t="s">
        <v>3236</v>
      </c>
      <c r="E791" s="266">
        <f>IFERROR(VLOOKUP(B791,'Сырьё'!$C$6:$E$233,3,FALSE()),IFERROR(VLOOKUP(B791,'Полупродукты'!$C$6:$E$60,3,FALSE()),0))</f>
        <v>0</v>
      </c>
      <c r="F791" s="266">
        <f t="shared" si="1"/>
        <v>0</v>
      </c>
      <c r="G791" s="1">
        <v>0.0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0" customHeight="1">
      <c r="A792" s="1" t="s">
        <v>749</v>
      </c>
      <c r="B792" s="1" t="s">
        <v>549</v>
      </c>
      <c r="C792" s="1">
        <v>0.04326</v>
      </c>
      <c r="D792" s="1" t="s">
        <v>3237</v>
      </c>
      <c r="E792" s="266">
        <f>IFERROR(VLOOKUP(B792,'Сырьё'!$C$6:$E$233,3,FALSE()),IFERROR(VLOOKUP(B792,'Полупродукты'!$C$6:$E$60,3,FALSE()),0))</f>
        <v>6.519</v>
      </c>
      <c r="F792" s="266">
        <f t="shared" si="1"/>
        <v>0.28201194</v>
      </c>
      <c r="G792" s="1">
        <v>0.0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0" customHeight="1">
      <c r="A793" s="1" t="s">
        <v>749</v>
      </c>
      <c r="B793" s="1" t="s">
        <v>520</v>
      </c>
      <c r="C793" s="1">
        <v>4.57E-4</v>
      </c>
      <c r="D793" s="1" t="s">
        <v>3238</v>
      </c>
      <c r="E793" s="266">
        <f>IFERROR(VLOOKUP(B793,'Сырьё'!$C$6:$E$233,3,FALSE()),IFERROR(VLOOKUP(B793,'Полупродукты'!$C$6:$E$60,3,FALSE()),0))</f>
        <v>30.1527</v>
      </c>
      <c r="F793" s="266">
        <f t="shared" si="1"/>
        <v>0.0137797839</v>
      </c>
      <c r="G793" s="1">
        <v>0.0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0" customHeight="1">
      <c r="A794" s="1" t="s">
        <v>623</v>
      </c>
      <c r="B794" s="1" t="s">
        <v>429</v>
      </c>
      <c r="C794" s="1">
        <v>0.824</v>
      </c>
      <c r="D794" s="1" t="s">
        <v>1132</v>
      </c>
      <c r="E794" s="266">
        <f>IFERROR(VLOOKUP(B794,'Сырьё'!$C$6:$E$233,3,FALSE()),IFERROR(VLOOKUP(B794,'Полупродукты'!$C$6:$E$60,3,FALSE()),0))</f>
        <v>3.6345</v>
      </c>
      <c r="F794" s="266">
        <f t="shared" si="1"/>
        <v>2.994828</v>
      </c>
      <c r="G794" s="1">
        <v>1.0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0" customHeight="1">
      <c r="A795" s="1" t="s">
        <v>623</v>
      </c>
      <c r="B795" s="1" t="s">
        <v>570</v>
      </c>
      <c r="C795" s="1">
        <v>0.092824</v>
      </c>
      <c r="D795" s="1" t="s">
        <v>3239</v>
      </c>
      <c r="E795" s="266">
        <f>IFERROR(VLOOKUP(B795,'Сырьё'!$C$6:$E$233,3,FALSE()),IFERROR(VLOOKUP(B795,'Полупродукты'!$C$6:$E$60,3,FALSE()),0))</f>
        <v>3.3046</v>
      </c>
      <c r="F795" s="266">
        <f t="shared" si="1"/>
        <v>0.3067461904</v>
      </c>
      <c r="G795" s="1">
        <v>0.0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0" customHeight="1">
      <c r="A796" s="1" t="s">
        <v>623</v>
      </c>
      <c r="B796" s="1" t="s">
        <v>594</v>
      </c>
      <c r="C796" s="1">
        <v>0.066703</v>
      </c>
      <c r="D796" s="1" t="s">
        <v>3240</v>
      </c>
      <c r="E796" s="266">
        <f>IFERROR(VLOOKUP(B796,'Сырьё'!$C$6:$E$233,3,FALSE()),IFERROR(VLOOKUP(B796,'Полупродукты'!$C$6:$E$60,3,FALSE()),0))</f>
        <v>1.7145</v>
      </c>
      <c r="F796" s="266">
        <f t="shared" si="1"/>
        <v>0.1143622935</v>
      </c>
      <c r="G796" s="1">
        <v>0.0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0" customHeight="1">
      <c r="A797" s="1" t="s">
        <v>623</v>
      </c>
      <c r="B797" s="1" t="s">
        <v>579</v>
      </c>
      <c r="C797" s="1">
        <v>0.021187</v>
      </c>
      <c r="D797" s="1" t="s">
        <v>3241</v>
      </c>
      <c r="E797" s="266">
        <f>IFERROR(VLOOKUP(B797,'Сырьё'!$C$6:$E$233,3,FALSE()),IFERROR(VLOOKUP(B797,'Полупродукты'!$C$6:$E$60,3,FALSE()),0))</f>
        <v>1.2831</v>
      </c>
      <c r="F797" s="266">
        <f t="shared" si="1"/>
        <v>0.0271850397</v>
      </c>
      <c r="G797" s="1">
        <v>0.0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0" customHeight="1">
      <c r="A798" s="1" t="s">
        <v>623</v>
      </c>
      <c r="B798" s="1" t="s">
        <v>591</v>
      </c>
      <c r="C798" s="1">
        <v>0.021187</v>
      </c>
      <c r="D798" s="1" t="s">
        <v>3242</v>
      </c>
      <c r="E798" s="266">
        <f>IFERROR(VLOOKUP(B798,'Сырьё'!$C$6:$E$233,3,FALSE()),IFERROR(VLOOKUP(B798,'Полупродукты'!$C$6:$E$60,3,FALSE()),0))</f>
        <v>1.9734</v>
      </c>
      <c r="F798" s="266">
        <f t="shared" si="1"/>
        <v>0.0418104258</v>
      </c>
      <c r="G798" s="1">
        <v>0.0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0" customHeight="1">
      <c r="A799" s="1" t="s">
        <v>623</v>
      </c>
      <c r="B799" s="1" t="s">
        <v>532</v>
      </c>
      <c r="C799" s="1">
        <v>0.007375</v>
      </c>
      <c r="D799" s="1" t="s">
        <v>3243</v>
      </c>
      <c r="E799" s="266">
        <f>IFERROR(VLOOKUP(B799,'Сырьё'!$C$6:$E$233,3,FALSE()),IFERROR(VLOOKUP(B799,'Полупродукты'!$C$6:$E$60,3,FALSE()),0))</f>
        <v>2.337</v>
      </c>
      <c r="F799" s="266">
        <f t="shared" si="1"/>
        <v>0.017235375</v>
      </c>
      <c r="G799" s="1">
        <v>0.0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0" customHeight="1">
      <c r="A800" s="1" t="s">
        <v>429</v>
      </c>
      <c r="B800" s="1" t="s">
        <v>429</v>
      </c>
      <c r="C800" s="1">
        <v>1.0</v>
      </c>
      <c r="D800" s="1" t="s">
        <v>3244</v>
      </c>
      <c r="E800" s="266">
        <f>IFERROR(VLOOKUP(B800,'Сырьё'!$C$6:$E$233,3,FALSE()),IFERROR(VLOOKUP(B800,'Полупродукты'!$C$6:$E$60,3,FALSE()),0))</f>
        <v>3.6345</v>
      </c>
      <c r="F800" s="266">
        <f t="shared" si="1"/>
        <v>3.6345</v>
      </c>
      <c r="G800" s="1">
        <v>1.0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0" customHeight="1">
      <c r="A801" s="1" t="s">
        <v>428</v>
      </c>
      <c r="B801" s="1" t="s">
        <v>428</v>
      </c>
      <c r="C801" s="1">
        <v>1.0</v>
      </c>
      <c r="D801" s="1" t="s">
        <v>3245</v>
      </c>
      <c r="E801" s="266">
        <f>IFERROR(VLOOKUP(B801,'Сырьё'!$C$6:$E$233,3,FALSE()),IFERROR(VLOOKUP(B801,'Полупродукты'!$C$6:$E$60,3,FALSE()),0))</f>
        <v>6.7804</v>
      </c>
      <c r="F801" s="266">
        <f t="shared" si="1"/>
        <v>6.7804</v>
      </c>
      <c r="G801" s="1">
        <v>1.0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0" customHeight="1">
      <c r="A802" s="1" t="s">
        <v>419</v>
      </c>
      <c r="B802" s="1" t="s">
        <v>419</v>
      </c>
      <c r="C802" s="1">
        <v>1.0</v>
      </c>
      <c r="D802" s="1" t="s">
        <v>3246</v>
      </c>
      <c r="E802" s="266">
        <f>IFERROR(VLOOKUP(B802,'Сырьё'!$C$6:$E$233,3,FALSE()),IFERROR(VLOOKUP(B802,'Полупродукты'!$C$6:$E$60,3,FALSE()),0))</f>
        <v>2.8226</v>
      </c>
      <c r="F802" s="266">
        <f t="shared" si="1"/>
        <v>2.8226</v>
      </c>
      <c r="G802" s="1">
        <v>1.0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0" customHeight="1">
      <c r="A803" s="1" t="s">
        <v>782</v>
      </c>
      <c r="B803" s="1" t="s">
        <v>579</v>
      </c>
      <c r="C803" s="1">
        <v>0.04635</v>
      </c>
      <c r="D803" s="1" t="s">
        <v>1822</v>
      </c>
      <c r="E803" s="266">
        <f>IFERROR(VLOOKUP(B803,'Сырьё'!$C$6:$E$233,3,FALSE()),IFERROR(VLOOKUP(B803,'Полупродукты'!$C$6:$E$60,3,FALSE()),0))</f>
        <v>1.2831</v>
      </c>
      <c r="F803" s="266">
        <f t="shared" si="1"/>
        <v>0.059471685</v>
      </c>
      <c r="G803" s="1">
        <v>0.0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0" customHeight="1">
      <c r="A804" s="1" t="s">
        <v>782</v>
      </c>
      <c r="B804" s="1" t="s">
        <v>593</v>
      </c>
      <c r="C804" s="1">
        <v>0.1751</v>
      </c>
      <c r="D804" s="1" t="s">
        <v>1824</v>
      </c>
      <c r="E804" s="266">
        <f>IFERROR(VLOOKUP(B804,'Сырьё'!$C$6:$E$233,3,FALSE()),IFERROR(VLOOKUP(B804,'Полупродукты'!$C$6:$E$60,3,FALSE()),0))</f>
        <v>1.6575</v>
      </c>
      <c r="F804" s="266">
        <f t="shared" si="1"/>
        <v>0.29022825</v>
      </c>
      <c r="G804" s="1">
        <v>0.0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0" customHeight="1">
      <c r="A805" s="1" t="s">
        <v>782</v>
      </c>
      <c r="B805" s="1" t="s">
        <v>594</v>
      </c>
      <c r="C805" s="1">
        <v>0.103</v>
      </c>
      <c r="D805" s="1" t="s">
        <v>1826</v>
      </c>
      <c r="E805" s="266">
        <f>IFERROR(VLOOKUP(B805,'Сырьё'!$C$6:$E$233,3,FALSE()),IFERROR(VLOOKUP(B805,'Полупродукты'!$C$6:$E$60,3,FALSE()),0))</f>
        <v>1.7145</v>
      </c>
      <c r="F805" s="266">
        <f t="shared" si="1"/>
        <v>0.1765935</v>
      </c>
      <c r="G805" s="1">
        <v>0.0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0" customHeight="1">
      <c r="A806" s="1" t="s">
        <v>782</v>
      </c>
      <c r="B806" s="1" t="s">
        <v>577</v>
      </c>
      <c r="C806" s="1">
        <v>0.64375</v>
      </c>
      <c r="D806" s="1" t="s">
        <v>1828</v>
      </c>
      <c r="E806" s="266">
        <f>IFERROR(VLOOKUP(B806,'Сырьё'!$C$6:$E$233,3,FALSE()),IFERROR(VLOOKUP(B806,'Полупродукты'!$C$6:$E$60,3,FALSE()),0))</f>
        <v>2.8015</v>
      </c>
      <c r="F806" s="266">
        <f t="shared" si="1"/>
        <v>1.803465625</v>
      </c>
      <c r="G806" s="1">
        <v>0.0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0" customHeight="1">
      <c r="A807" s="1" t="s">
        <v>782</v>
      </c>
      <c r="B807" s="1" t="s">
        <v>549</v>
      </c>
      <c r="C807" s="1">
        <v>0.0618</v>
      </c>
      <c r="D807" s="1" t="s">
        <v>1830</v>
      </c>
      <c r="E807" s="266">
        <f>IFERROR(VLOOKUP(B807,'Сырьё'!$C$6:$E$233,3,FALSE()),IFERROR(VLOOKUP(B807,'Полупродукты'!$C$6:$E$60,3,FALSE()),0))</f>
        <v>6.519</v>
      </c>
      <c r="F807" s="266">
        <f t="shared" si="1"/>
        <v>0.4028742</v>
      </c>
      <c r="G807" s="1">
        <v>0.0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0" customHeight="1">
      <c r="A808" s="1" t="s">
        <v>534</v>
      </c>
      <c r="B808" s="1" t="s">
        <v>586</v>
      </c>
      <c r="C808" s="1">
        <v>0.122647</v>
      </c>
      <c r="D808" s="1" t="s">
        <v>3247</v>
      </c>
      <c r="E808" s="266">
        <f>IFERROR(VLOOKUP(B808,'Сырьё'!$C$6:$E$233,3,FALSE()),IFERROR(VLOOKUP(B808,'Полупродукты'!$C$6:$E$60,3,FALSE()),0))</f>
        <v>53.4751</v>
      </c>
      <c r="F808" s="266">
        <f t="shared" si="1"/>
        <v>6.55856059</v>
      </c>
      <c r="G808" s="1">
        <v>0.0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0" customHeight="1">
      <c r="A809" s="1" t="s">
        <v>534</v>
      </c>
      <c r="B809" s="1" t="s">
        <v>550</v>
      </c>
      <c r="C809" s="1">
        <v>0.073645</v>
      </c>
      <c r="D809" s="1" t="s">
        <v>3248</v>
      </c>
      <c r="E809" s="266">
        <f>IFERROR(VLOOKUP(B809,'Сырьё'!$C$6:$E$233,3,FALSE()),IFERROR(VLOOKUP(B809,'Полупродукты'!$C$6:$E$60,3,FALSE()),0))</f>
        <v>0</v>
      </c>
      <c r="F809" s="266">
        <f t="shared" si="1"/>
        <v>0</v>
      </c>
      <c r="G809" s="1">
        <v>0.0</v>
      </c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0" customHeight="1">
      <c r="A810" s="1" t="s">
        <v>534</v>
      </c>
      <c r="B810" s="1" t="s">
        <v>594</v>
      </c>
      <c r="C810" s="1">
        <v>0.313172</v>
      </c>
      <c r="D810" s="1" t="s">
        <v>3249</v>
      </c>
      <c r="E810" s="266">
        <f>IFERROR(VLOOKUP(B810,'Сырьё'!$C$6:$E$233,3,FALSE()),IFERROR(VLOOKUP(B810,'Полупродукты'!$C$6:$E$60,3,FALSE()),0))</f>
        <v>1.7145</v>
      </c>
      <c r="F810" s="266">
        <f t="shared" si="1"/>
        <v>0.536933394</v>
      </c>
      <c r="G810" s="1">
        <v>0.0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0" customHeight="1">
      <c r="A811" s="1" t="s">
        <v>534</v>
      </c>
      <c r="B811" s="1" t="s">
        <v>579</v>
      </c>
      <c r="C811" s="1">
        <v>0.222274</v>
      </c>
      <c r="D811" s="1" t="s">
        <v>3250</v>
      </c>
      <c r="E811" s="266">
        <f>IFERROR(VLOOKUP(B811,'Сырьё'!$C$6:$E$233,3,FALSE()),IFERROR(VLOOKUP(B811,'Полупродукты'!$C$6:$E$60,3,FALSE()),0))</f>
        <v>1.2831</v>
      </c>
      <c r="F811" s="266">
        <f t="shared" si="1"/>
        <v>0.2851997694</v>
      </c>
      <c r="G811" s="1">
        <v>0.0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0" customHeight="1">
      <c r="A812" s="1" t="s">
        <v>534</v>
      </c>
      <c r="B812" s="1" t="s">
        <v>593</v>
      </c>
      <c r="C812" s="1">
        <v>0.125248</v>
      </c>
      <c r="D812" s="1" t="s">
        <v>3251</v>
      </c>
      <c r="E812" s="266">
        <f>IFERROR(VLOOKUP(B812,'Сырьё'!$C$6:$E$233,3,FALSE()),IFERROR(VLOOKUP(B812,'Полупродукты'!$C$6:$E$60,3,FALSE()),0))</f>
        <v>1.6575</v>
      </c>
      <c r="F812" s="266">
        <f t="shared" si="1"/>
        <v>0.20759856</v>
      </c>
      <c r="G812" s="1">
        <v>0.0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0" customHeight="1">
      <c r="A813" s="1" t="s">
        <v>534</v>
      </c>
      <c r="B813" s="1" t="s">
        <v>537</v>
      </c>
      <c r="C813" s="1">
        <v>0.01218</v>
      </c>
      <c r="D813" s="1" t="s">
        <v>3252</v>
      </c>
      <c r="E813" s="266">
        <f>IFERROR(VLOOKUP(B813,'Сырьё'!$C$6:$E$233,3,FALSE()),IFERROR(VLOOKUP(B813,'Полупродукты'!$C$6:$E$60,3,FALSE()),0))</f>
        <v>8.8284</v>
      </c>
      <c r="F813" s="266">
        <f t="shared" si="1"/>
        <v>0.107529912</v>
      </c>
      <c r="G813" s="1">
        <v>0.0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0" customHeight="1">
      <c r="A814" s="1" t="s">
        <v>534</v>
      </c>
      <c r="B814" s="1" t="s">
        <v>570</v>
      </c>
      <c r="C814" s="1">
        <v>0.155643</v>
      </c>
      <c r="D814" s="1" t="s">
        <v>3253</v>
      </c>
      <c r="E814" s="266">
        <f>IFERROR(VLOOKUP(B814,'Сырьё'!$C$6:$E$233,3,FALSE()),IFERROR(VLOOKUP(B814,'Полупродукты'!$C$6:$E$60,3,FALSE()),0))</f>
        <v>3.3046</v>
      </c>
      <c r="F814" s="266">
        <f t="shared" si="1"/>
        <v>0.5143378578</v>
      </c>
      <c r="G814" s="1">
        <v>0.0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0" customHeight="1">
      <c r="A815" s="1" t="s">
        <v>534</v>
      </c>
      <c r="B815" s="1" t="s">
        <v>591</v>
      </c>
      <c r="C815" s="1">
        <v>0.015527</v>
      </c>
      <c r="D815" s="1" t="s">
        <v>3254</v>
      </c>
      <c r="E815" s="266">
        <f>IFERROR(VLOOKUP(B815,'Сырьё'!$C$6:$E$233,3,FALSE()),IFERROR(VLOOKUP(B815,'Полупродукты'!$C$6:$E$60,3,FALSE()),0))</f>
        <v>1.9734</v>
      </c>
      <c r="F815" s="266">
        <f t="shared" si="1"/>
        <v>0.0306409818</v>
      </c>
      <c r="G815" s="1">
        <v>0.0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0" customHeight="1">
      <c r="A816" s="1" t="s">
        <v>534</v>
      </c>
      <c r="B816" s="1" t="s">
        <v>522</v>
      </c>
      <c r="C816" s="1">
        <v>1.32E-4</v>
      </c>
      <c r="D816" s="1" t="s">
        <v>3255</v>
      </c>
      <c r="E816" s="266">
        <f>IFERROR(VLOOKUP(B816,'Сырьё'!$C$6:$E$233,3,FALSE()),IFERROR(VLOOKUP(B816,'Полупродукты'!$C$6:$E$60,3,FALSE()),0))</f>
        <v>3.7834</v>
      </c>
      <c r="F816" s="266">
        <f t="shared" si="1"/>
        <v>0.0004994088</v>
      </c>
      <c r="G816" s="1">
        <v>0.0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0" customHeight="1">
      <c r="A817" s="1" t="s">
        <v>534</v>
      </c>
      <c r="B817" s="1" t="s">
        <v>549</v>
      </c>
      <c r="C817" s="1">
        <v>0.038625</v>
      </c>
      <c r="D817" s="1" t="s">
        <v>3256</v>
      </c>
      <c r="E817" s="266">
        <f>IFERROR(VLOOKUP(B817,'Сырьё'!$C$6:$E$233,3,FALSE()),IFERROR(VLOOKUP(B817,'Полупродукты'!$C$6:$E$60,3,FALSE()),0))</f>
        <v>6.519</v>
      </c>
      <c r="F817" s="266">
        <f t="shared" si="1"/>
        <v>0.251796375</v>
      </c>
      <c r="G817" s="1">
        <v>0.0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0" customHeight="1">
      <c r="A818" s="1" t="s">
        <v>412</v>
      </c>
      <c r="B818" s="1" t="s">
        <v>412</v>
      </c>
      <c r="C818" s="1">
        <v>1.0</v>
      </c>
      <c r="D818" s="1" t="s">
        <v>3257</v>
      </c>
      <c r="E818" s="266">
        <f>IFERROR(VLOOKUP(B818,'Сырьё'!$C$6:$E$233,3,FALSE()),IFERROR(VLOOKUP(B818,'Полупродукты'!$C$6:$E$60,3,FALSE()),0))</f>
        <v>4.3775</v>
      </c>
      <c r="F818" s="266">
        <f t="shared" si="1"/>
        <v>4.3775</v>
      </c>
      <c r="G818" s="1">
        <v>1.0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0" customHeight="1">
      <c r="A819" s="1" t="s">
        <v>697</v>
      </c>
      <c r="B819" s="1" t="s">
        <v>584</v>
      </c>
      <c r="C819" s="1">
        <v>0.12875</v>
      </c>
      <c r="D819" s="1" t="s">
        <v>2326</v>
      </c>
      <c r="E819" s="266">
        <f>IFERROR(VLOOKUP(B819,'Сырьё'!$C$6:$E$233,3,FALSE()),IFERROR(VLOOKUP(B819,'Полупродукты'!$C$6:$E$60,3,FALSE()),0))</f>
        <v>2.0494</v>
      </c>
      <c r="F819" s="266">
        <f t="shared" si="1"/>
        <v>0.26386025</v>
      </c>
      <c r="G819" s="1">
        <v>0.0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0" customHeight="1">
      <c r="A820" s="1" t="s">
        <v>697</v>
      </c>
      <c r="B820" s="1" t="s">
        <v>593</v>
      </c>
      <c r="C820" s="1">
        <v>0.5974</v>
      </c>
      <c r="D820" s="1" t="s">
        <v>2328</v>
      </c>
      <c r="E820" s="266">
        <f>IFERROR(VLOOKUP(B820,'Сырьё'!$C$6:$E$233,3,FALSE()),IFERROR(VLOOKUP(B820,'Полупродукты'!$C$6:$E$60,3,FALSE()),0))</f>
        <v>1.6575</v>
      </c>
      <c r="F820" s="266">
        <f t="shared" si="1"/>
        <v>0.9901905</v>
      </c>
      <c r="G820" s="1">
        <v>0.0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0" customHeight="1">
      <c r="A821" s="1" t="s">
        <v>697</v>
      </c>
      <c r="B821" s="1" t="s">
        <v>572</v>
      </c>
      <c r="C821" s="1">
        <v>0.1545</v>
      </c>
      <c r="D821" s="1" t="s">
        <v>2330</v>
      </c>
      <c r="E821" s="266">
        <f>IFERROR(VLOOKUP(B821,'Сырьё'!$C$6:$E$233,3,FALSE()),IFERROR(VLOOKUP(B821,'Полупродукты'!$C$6:$E$60,3,FALSE()),0))</f>
        <v>6.4085</v>
      </c>
      <c r="F821" s="266">
        <f t="shared" si="1"/>
        <v>0.99011325</v>
      </c>
      <c r="G821" s="1">
        <v>0.0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0" customHeight="1">
      <c r="A822" s="1" t="s">
        <v>697</v>
      </c>
      <c r="B822" s="1" t="s">
        <v>580</v>
      </c>
      <c r="C822" s="1">
        <v>0.0927</v>
      </c>
      <c r="D822" s="1" t="s">
        <v>2332</v>
      </c>
      <c r="E822" s="266">
        <f>IFERROR(VLOOKUP(B822,'Сырьё'!$C$6:$E$233,3,FALSE()),IFERROR(VLOOKUP(B822,'Полупродукты'!$C$6:$E$60,3,FALSE()),0))</f>
        <v>6.1299</v>
      </c>
      <c r="F822" s="266">
        <f t="shared" si="1"/>
        <v>0.56824173</v>
      </c>
      <c r="G822" s="1">
        <v>0.0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0" customHeight="1">
      <c r="A823" s="1" t="s">
        <v>697</v>
      </c>
      <c r="B823" s="1" t="s">
        <v>576</v>
      </c>
      <c r="C823" s="1">
        <v>0.00515</v>
      </c>
      <c r="D823" s="1" t="s">
        <v>2334</v>
      </c>
      <c r="E823" s="266">
        <f>IFERROR(VLOOKUP(B823,'Сырьё'!$C$6:$E$233,3,FALSE()),IFERROR(VLOOKUP(B823,'Полупродукты'!$C$6:$E$60,3,FALSE()),0))</f>
        <v>4.6836</v>
      </c>
      <c r="F823" s="266">
        <f t="shared" si="1"/>
        <v>0.02412054</v>
      </c>
      <c r="G823" s="1">
        <v>0.0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0" customHeight="1">
      <c r="A824" s="1" t="s">
        <v>697</v>
      </c>
      <c r="B824" s="1" t="s">
        <v>539</v>
      </c>
      <c r="C824" s="1">
        <v>0.0515</v>
      </c>
      <c r="D824" s="1" t="s">
        <v>2336</v>
      </c>
      <c r="E824" s="266">
        <f>IFERROR(VLOOKUP(B824,'Сырьё'!$C$6:$E$233,3,FALSE()),IFERROR(VLOOKUP(B824,'Полупродукты'!$C$6:$E$60,3,FALSE()),0))</f>
        <v>3.2337</v>
      </c>
      <c r="F824" s="266">
        <f t="shared" si="1"/>
        <v>0.16653555</v>
      </c>
      <c r="G824" s="1">
        <v>0.0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0" customHeight="1">
      <c r="A825" s="1" t="s">
        <v>680</v>
      </c>
      <c r="B825" s="1" t="s">
        <v>429</v>
      </c>
      <c r="C825" s="1">
        <v>0.824</v>
      </c>
      <c r="D825" s="1" t="s">
        <v>1400</v>
      </c>
      <c r="E825" s="266">
        <f>IFERROR(VLOOKUP(B825,'Сырьё'!$C$6:$E$233,3,FALSE()),IFERROR(VLOOKUP(B825,'Полупродукты'!$C$6:$E$60,3,FALSE()),0))</f>
        <v>3.6345</v>
      </c>
      <c r="F825" s="266">
        <f t="shared" si="1"/>
        <v>2.994828</v>
      </c>
      <c r="G825" s="1">
        <v>1.0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0" customHeight="1">
      <c r="A826" s="1" t="s">
        <v>680</v>
      </c>
      <c r="B826" s="1" t="s">
        <v>570</v>
      </c>
      <c r="C826" s="1">
        <v>0.092824</v>
      </c>
      <c r="D826" s="1" t="s">
        <v>3258</v>
      </c>
      <c r="E826" s="266">
        <f>IFERROR(VLOOKUP(B826,'Сырьё'!$C$6:$E$233,3,FALSE()),IFERROR(VLOOKUP(B826,'Полупродукты'!$C$6:$E$60,3,FALSE()),0))</f>
        <v>3.3046</v>
      </c>
      <c r="F826" s="266">
        <f t="shared" si="1"/>
        <v>0.3067461904</v>
      </c>
      <c r="G826" s="1">
        <v>0.0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0" customHeight="1">
      <c r="A827" s="1" t="s">
        <v>680</v>
      </c>
      <c r="B827" s="1" t="s">
        <v>594</v>
      </c>
      <c r="C827" s="1">
        <v>0.066703</v>
      </c>
      <c r="D827" s="1" t="s">
        <v>3259</v>
      </c>
      <c r="E827" s="266">
        <f>IFERROR(VLOOKUP(B827,'Сырьё'!$C$6:$E$233,3,FALSE()),IFERROR(VLOOKUP(B827,'Полупродукты'!$C$6:$E$60,3,FALSE()),0))</f>
        <v>1.7145</v>
      </c>
      <c r="F827" s="266">
        <f t="shared" si="1"/>
        <v>0.1143622935</v>
      </c>
      <c r="G827" s="1">
        <v>0.0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0" customHeight="1">
      <c r="A828" s="1" t="s">
        <v>680</v>
      </c>
      <c r="B828" s="1" t="s">
        <v>579</v>
      </c>
      <c r="C828" s="1">
        <v>0.021187</v>
      </c>
      <c r="D828" s="1" t="s">
        <v>3260</v>
      </c>
      <c r="E828" s="266">
        <f>IFERROR(VLOOKUP(B828,'Сырьё'!$C$6:$E$233,3,FALSE()),IFERROR(VLOOKUP(B828,'Полупродукты'!$C$6:$E$60,3,FALSE()),0))</f>
        <v>1.2831</v>
      </c>
      <c r="F828" s="266">
        <f t="shared" si="1"/>
        <v>0.0271850397</v>
      </c>
      <c r="G828" s="1">
        <v>0.0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0" customHeight="1">
      <c r="A829" s="1" t="s">
        <v>680</v>
      </c>
      <c r="B829" s="1" t="s">
        <v>591</v>
      </c>
      <c r="C829" s="1">
        <v>0.021187</v>
      </c>
      <c r="D829" s="1" t="s">
        <v>3261</v>
      </c>
      <c r="E829" s="266">
        <f>IFERROR(VLOOKUP(B829,'Сырьё'!$C$6:$E$233,3,FALSE()),IFERROR(VLOOKUP(B829,'Полупродукты'!$C$6:$E$60,3,FALSE()),0))</f>
        <v>1.9734</v>
      </c>
      <c r="F829" s="266">
        <f t="shared" si="1"/>
        <v>0.0418104258</v>
      </c>
      <c r="G829" s="1">
        <v>0.0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0" customHeight="1">
      <c r="A830" s="1" t="s">
        <v>680</v>
      </c>
      <c r="B830" s="1" t="s">
        <v>532</v>
      </c>
      <c r="C830" s="1">
        <v>0.007375</v>
      </c>
      <c r="D830" s="1" t="s">
        <v>3262</v>
      </c>
      <c r="E830" s="266">
        <f>IFERROR(VLOOKUP(B830,'Сырьё'!$C$6:$E$233,3,FALSE()),IFERROR(VLOOKUP(B830,'Полупродукты'!$C$6:$E$60,3,FALSE()),0))</f>
        <v>2.337</v>
      </c>
      <c r="F830" s="266">
        <f t="shared" si="1"/>
        <v>0.017235375</v>
      </c>
      <c r="G830" s="1">
        <v>0.0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0" customHeight="1">
      <c r="A831" s="1" t="s">
        <v>384</v>
      </c>
      <c r="B831" s="1" t="s">
        <v>585</v>
      </c>
      <c r="C831" s="1">
        <v>0.08034</v>
      </c>
      <c r="D831" s="1" t="s">
        <v>3263</v>
      </c>
      <c r="E831" s="266">
        <f>IFERROR(VLOOKUP(B831,'Сырьё'!$C$6:$E$233,3,FALSE()),IFERROR(VLOOKUP(B831,'Полупродукты'!$C$6:$E$60,3,FALSE()),0))</f>
        <v>6.9052</v>
      </c>
      <c r="F831" s="266">
        <f t="shared" si="1"/>
        <v>0.554763768</v>
      </c>
      <c r="G831" s="1">
        <v>0.0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0" customHeight="1">
      <c r="A832" s="1" t="s">
        <v>384</v>
      </c>
      <c r="B832" s="1" t="s">
        <v>584</v>
      </c>
      <c r="C832" s="1">
        <v>0.12051</v>
      </c>
      <c r="D832" s="1" t="s">
        <v>3264</v>
      </c>
      <c r="E832" s="266">
        <f>IFERROR(VLOOKUP(B832,'Сырьё'!$C$6:$E$233,3,FALSE()),IFERROR(VLOOKUP(B832,'Полупродукты'!$C$6:$E$60,3,FALSE()),0))</f>
        <v>2.0494</v>
      </c>
      <c r="F832" s="266">
        <f t="shared" si="1"/>
        <v>0.246973194</v>
      </c>
      <c r="G832" s="1">
        <v>0.0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0" customHeight="1">
      <c r="A833" s="1" t="s">
        <v>384</v>
      </c>
      <c r="B833" s="1" t="s">
        <v>583</v>
      </c>
      <c r="C833" s="1">
        <v>0.318013</v>
      </c>
      <c r="D833" s="1" t="s">
        <v>3265</v>
      </c>
      <c r="E833" s="266">
        <f>IFERROR(VLOOKUP(B833,'Сырьё'!$C$6:$E$233,3,FALSE()),IFERROR(VLOOKUP(B833,'Полупродукты'!$C$6:$E$60,3,FALSE()),0))</f>
        <v>1.4708</v>
      </c>
      <c r="F833" s="266">
        <f t="shared" si="1"/>
        <v>0.4677335204</v>
      </c>
      <c r="G833" s="1">
        <v>0.0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0" customHeight="1">
      <c r="A834" s="1" t="s">
        <v>384</v>
      </c>
      <c r="B834" s="1" t="s">
        <v>537</v>
      </c>
      <c r="C834" s="1">
        <v>0.01339</v>
      </c>
      <c r="D834" s="1" t="s">
        <v>3266</v>
      </c>
      <c r="E834" s="266">
        <f>IFERROR(VLOOKUP(B834,'Сырьё'!$C$6:$E$233,3,FALSE()),IFERROR(VLOOKUP(B834,'Полупродукты'!$C$6:$E$60,3,FALSE()),0))</f>
        <v>8.8284</v>
      </c>
      <c r="F834" s="266">
        <f t="shared" si="1"/>
        <v>0.118212276</v>
      </c>
      <c r="G834" s="1">
        <v>0.0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0" customHeight="1">
      <c r="A835" s="1" t="s">
        <v>384</v>
      </c>
      <c r="B835" s="1" t="s">
        <v>543</v>
      </c>
      <c r="C835" s="1">
        <v>0.003348</v>
      </c>
      <c r="D835" s="1" t="s">
        <v>3267</v>
      </c>
      <c r="E835" s="266">
        <f>IFERROR(VLOOKUP(B835,'Сырьё'!$C$6:$E$233,3,FALSE()),IFERROR(VLOOKUP(B835,'Полупродукты'!$C$6:$E$60,3,FALSE()),0))</f>
        <v>80.7112</v>
      </c>
      <c r="F835" s="266">
        <f t="shared" si="1"/>
        <v>0.2702210976</v>
      </c>
      <c r="G835" s="1">
        <v>0.0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0" customHeight="1">
      <c r="A836" s="1" t="s">
        <v>384</v>
      </c>
      <c r="B836" s="1" t="s">
        <v>557</v>
      </c>
      <c r="C836" s="1">
        <v>0.1339</v>
      </c>
      <c r="D836" s="1" t="s">
        <v>3268</v>
      </c>
      <c r="E836" s="266">
        <f>IFERROR(VLOOKUP(B836,'Сырьё'!$C$6:$E$233,3,FALSE()),IFERROR(VLOOKUP(B836,'Полупродукты'!$C$6:$E$60,3,FALSE()),0))</f>
        <v>12.0149</v>
      </c>
      <c r="F836" s="266">
        <f t="shared" si="1"/>
        <v>1.60879511</v>
      </c>
      <c r="G836" s="1">
        <v>0.0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0" customHeight="1">
      <c r="A837" s="1" t="s">
        <v>384</v>
      </c>
      <c r="B837" s="1" t="s">
        <v>570</v>
      </c>
      <c r="C837" s="1">
        <v>0.2575</v>
      </c>
      <c r="D837" s="1" t="s">
        <v>1598</v>
      </c>
      <c r="E837" s="266">
        <f>IFERROR(VLOOKUP(B837,'Сырьё'!$C$6:$E$233,3,FALSE()),IFERROR(VLOOKUP(B837,'Полупродукты'!$C$6:$E$60,3,FALSE()),0))</f>
        <v>3.3046</v>
      </c>
      <c r="F837" s="266">
        <f t="shared" si="1"/>
        <v>0.8509345</v>
      </c>
      <c r="G837" s="1">
        <v>0.0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0" customHeight="1">
      <c r="A838" s="1" t="s">
        <v>384</v>
      </c>
      <c r="B838" s="1" t="s">
        <v>579</v>
      </c>
      <c r="C838" s="1">
        <v>0.0824</v>
      </c>
      <c r="D838" s="1" t="s">
        <v>1600</v>
      </c>
      <c r="E838" s="266">
        <f>IFERROR(VLOOKUP(B838,'Сырьё'!$C$6:$E$233,3,FALSE()),IFERROR(VLOOKUP(B838,'Полупродукты'!$C$6:$E$60,3,FALSE()),0))</f>
        <v>1.2831</v>
      </c>
      <c r="F838" s="266">
        <f t="shared" si="1"/>
        <v>0.10572744</v>
      </c>
      <c r="G838" s="1">
        <v>0.0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0" customHeight="1">
      <c r="A839" s="1" t="s">
        <v>684</v>
      </c>
      <c r="B839" s="1" t="s">
        <v>567</v>
      </c>
      <c r="C839" s="1">
        <v>0.144118</v>
      </c>
      <c r="D839" s="1" t="s">
        <v>3269</v>
      </c>
      <c r="E839" s="266">
        <f>IFERROR(VLOOKUP(B839,'Сырьё'!$C$6:$E$233,3,FALSE()),IFERROR(VLOOKUP(B839,'Полупродукты'!$C$6:$E$60,3,FALSE()),0))</f>
        <v>0</v>
      </c>
      <c r="F839" s="266">
        <f t="shared" si="1"/>
        <v>0</v>
      </c>
      <c r="G839" s="1">
        <v>0.0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0" customHeight="1">
      <c r="A840" s="1" t="s">
        <v>684</v>
      </c>
      <c r="B840" s="1" t="s">
        <v>550</v>
      </c>
      <c r="C840" s="1">
        <v>0.077868</v>
      </c>
      <c r="D840" s="1" t="s">
        <v>3270</v>
      </c>
      <c r="E840" s="266">
        <f>IFERROR(VLOOKUP(B840,'Сырьё'!$C$6:$E$233,3,FALSE()),IFERROR(VLOOKUP(B840,'Полупродукты'!$C$6:$E$60,3,FALSE()),0))</f>
        <v>0</v>
      </c>
      <c r="F840" s="266">
        <f t="shared" si="1"/>
        <v>0</v>
      </c>
      <c r="G840" s="1">
        <v>0.0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0" customHeight="1">
      <c r="A841" s="1" t="s">
        <v>684</v>
      </c>
      <c r="B841" s="1" t="s">
        <v>594</v>
      </c>
      <c r="C841" s="1">
        <v>0.295981</v>
      </c>
      <c r="D841" s="1" t="s">
        <v>3271</v>
      </c>
      <c r="E841" s="266">
        <f>IFERROR(VLOOKUP(B841,'Сырьё'!$C$6:$E$233,3,FALSE()),IFERROR(VLOOKUP(B841,'Полупродукты'!$C$6:$E$60,3,FALSE()),0))</f>
        <v>1.7145</v>
      </c>
      <c r="F841" s="266">
        <f t="shared" si="1"/>
        <v>0.5074594245</v>
      </c>
      <c r="G841" s="1">
        <v>0.0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0" customHeight="1">
      <c r="A842" s="1" t="s">
        <v>684</v>
      </c>
      <c r="B842" s="1" t="s">
        <v>579</v>
      </c>
      <c r="C842" s="1">
        <v>0.243708</v>
      </c>
      <c r="D842" s="1" t="s">
        <v>1378</v>
      </c>
      <c r="E842" s="266">
        <f>IFERROR(VLOOKUP(B842,'Сырьё'!$C$6:$E$233,3,FALSE()),IFERROR(VLOOKUP(B842,'Полупродукты'!$C$6:$E$60,3,FALSE()),0))</f>
        <v>1.2831</v>
      </c>
      <c r="F842" s="266">
        <f t="shared" si="1"/>
        <v>0.3127017348</v>
      </c>
      <c r="G842" s="1">
        <v>0.0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0" customHeight="1">
      <c r="A843" s="1" t="s">
        <v>684</v>
      </c>
      <c r="B843" s="1" t="s">
        <v>593</v>
      </c>
      <c r="C843" s="1">
        <v>0.130913</v>
      </c>
      <c r="D843" s="1" t="s">
        <v>3272</v>
      </c>
      <c r="E843" s="266">
        <f>IFERROR(VLOOKUP(B843,'Сырьё'!$C$6:$E$233,3,FALSE()),IFERROR(VLOOKUP(B843,'Полупродукты'!$C$6:$E$60,3,FALSE()),0))</f>
        <v>1.6575</v>
      </c>
      <c r="F843" s="266">
        <f t="shared" si="1"/>
        <v>0.2169882975</v>
      </c>
      <c r="G843" s="1">
        <v>0.0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0" customHeight="1">
      <c r="A844" s="1" t="s">
        <v>684</v>
      </c>
      <c r="B844" s="1" t="s">
        <v>570</v>
      </c>
      <c r="C844" s="1">
        <v>0.04874</v>
      </c>
      <c r="D844" s="1" t="s">
        <v>3273</v>
      </c>
      <c r="E844" s="266">
        <f>IFERROR(VLOOKUP(B844,'Сырьё'!$C$6:$E$233,3,FALSE()),IFERROR(VLOOKUP(B844,'Полупродукты'!$C$6:$E$60,3,FALSE()),0))</f>
        <v>3.3046</v>
      </c>
      <c r="F844" s="266">
        <f t="shared" si="1"/>
        <v>0.161066204</v>
      </c>
      <c r="G844" s="1">
        <v>0.0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0" customHeight="1">
      <c r="A845" s="1" t="s">
        <v>684</v>
      </c>
      <c r="B845" s="1" t="s">
        <v>569</v>
      </c>
      <c r="C845" s="1">
        <v>0.036998</v>
      </c>
      <c r="D845" s="1" t="s">
        <v>3274</v>
      </c>
      <c r="E845" s="266">
        <f>IFERROR(VLOOKUP(B845,'Сырьё'!$C$6:$E$233,3,FALSE()),IFERROR(VLOOKUP(B845,'Полупродукты'!$C$6:$E$60,3,FALSE()),0))</f>
        <v>3.2853</v>
      </c>
      <c r="F845" s="266">
        <f t="shared" si="1"/>
        <v>0.1215495294</v>
      </c>
      <c r="G845" s="1">
        <v>0.0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0" customHeight="1">
      <c r="A846" s="1" t="s">
        <v>684</v>
      </c>
      <c r="B846" s="1" t="s">
        <v>591</v>
      </c>
      <c r="C846" s="1">
        <v>0.020868</v>
      </c>
      <c r="D846" s="1" t="s">
        <v>3275</v>
      </c>
      <c r="E846" s="266">
        <f>IFERROR(VLOOKUP(B846,'Сырьё'!$C$6:$E$233,3,FALSE()),IFERROR(VLOOKUP(B846,'Полупродукты'!$C$6:$E$60,3,FALSE()),0))</f>
        <v>1.9734</v>
      </c>
      <c r="F846" s="266">
        <f t="shared" si="1"/>
        <v>0.0411809112</v>
      </c>
      <c r="G846" s="1">
        <v>0.0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0" customHeight="1">
      <c r="A847" s="1" t="s">
        <v>684</v>
      </c>
      <c r="B847" s="1" t="s">
        <v>532</v>
      </c>
      <c r="C847" s="1">
        <v>0.007354</v>
      </c>
      <c r="D847" s="1" t="s">
        <v>3276</v>
      </c>
      <c r="E847" s="266">
        <f>IFERROR(VLOOKUP(B847,'Сырьё'!$C$6:$E$233,3,FALSE()),IFERROR(VLOOKUP(B847,'Полупродукты'!$C$6:$E$60,3,FALSE()),0))</f>
        <v>2.337</v>
      </c>
      <c r="F847" s="266">
        <f t="shared" si="1"/>
        <v>0.017186298</v>
      </c>
      <c r="G847" s="1">
        <v>0.0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0" customHeight="1">
      <c r="A848" s="1" t="s">
        <v>684</v>
      </c>
      <c r="B848" s="1" t="s">
        <v>520</v>
      </c>
      <c r="C848" s="1">
        <v>7.17E-4</v>
      </c>
      <c r="D848" s="1" t="s">
        <v>3277</v>
      </c>
      <c r="E848" s="266">
        <f>IFERROR(VLOOKUP(B848,'Сырьё'!$C$6:$E$233,3,FALSE()),IFERROR(VLOOKUP(B848,'Полупродукты'!$C$6:$E$60,3,FALSE()),0))</f>
        <v>30.1527</v>
      </c>
      <c r="F848" s="266">
        <f t="shared" si="1"/>
        <v>0.0216194859</v>
      </c>
      <c r="G848" s="1">
        <v>0.0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0" customHeight="1">
      <c r="A849" s="1" t="s">
        <v>684</v>
      </c>
      <c r="B849" s="1" t="s">
        <v>549</v>
      </c>
      <c r="C849" s="1">
        <v>0.037337</v>
      </c>
      <c r="D849" s="1" t="s">
        <v>3278</v>
      </c>
      <c r="E849" s="266">
        <f>IFERROR(VLOOKUP(B849,'Сырьё'!$C$6:$E$233,3,FALSE()),IFERROR(VLOOKUP(B849,'Полупродукты'!$C$6:$E$60,3,FALSE()),0))</f>
        <v>6.519</v>
      </c>
      <c r="F849" s="266">
        <f t="shared" si="1"/>
        <v>0.243399903</v>
      </c>
      <c r="G849" s="1">
        <v>0.0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0" customHeight="1">
      <c r="A850" s="1" t="s">
        <v>684</v>
      </c>
      <c r="B850" s="1" t="s">
        <v>571</v>
      </c>
      <c r="C850" s="1">
        <v>0.00515</v>
      </c>
      <c r="D850" s="1" t="s">
        <v>1376</v>
      </c>
      <c r="E850" s="266">
        <f>IFERROR(VLOOKUP(B850,'Сырьё'!$C$6:$E$233,3,FALSE()),IFERROR(VLOOKUP(B850,'Полупродукты'!$C$6:$E$60,3,FALSE()),0))</f>
        <v>14.556</v>
      </c>
      <c r="F850" s="266">
        <f t="shared" si="1"/>
        <v>0.0749634</v>
      </c>
      <c r="G850" s="1">
        <v>0.0</v>
      </c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0" customHeight="1">
      <c r="A851" s="1" t="s">
        <v>707</v>
      </c>
      <c r="B851" s="1" t="s">
        <v>579</v>
      </c>
      <c r="C851" s="1">
        <v>0.0721</v>
      </c>
      <c r="D851" s="1" t="s">
        <v>1876</v>
      </c>
      <c r="E851" s="266">
        <f>IFERROR(VLOOKUP(B851,'Сырьё'!$C$6:$E$233,3,FALSE()),IFERROR(VLOOKUP(B851,'Полупродукты'!$C$6:$E$60,3,FALSE()),0))</f>
        <v>1.2831</v>
      </c>
      <c r="F851" s="266">
        <f t="shared" si="1"/>
        <v>0.09251151</v>
      </c>
      <c r="G851" s="1">
        <v>0.0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0" customHeight="1">
      <c r="A852" s="1" t="s">
        <v>707</v>
      </c>
      <c r="B852" s="1" t="s">
        <v>594</v>
      </c>
      <c r="C852" s="1">
        <v>0.4635</v>
      </c>
      <c r="D852" s="1" t="s">
        <v>1878</v>
      </c>
      <c r="E852" s="266">
        <f>IFERROR(VLOOKUP(B852,'Сырьё'!$C$6:$E$233,3,FALSE()),IFERROR(VLOOKUP(B852,'Полупродукты'!$C$6:$E$60,3,FALSE()),0))</f>
        <v>1.7145</v>
      </c>
      <c r="F852" s="266">
        <f t="shared" si="1"/>
        <v>0.79467075</v>
      </c>
      <c r="G852" s="1">
        <v>0.0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0" customHeight="1">
      <c r="A853" s="1" t="s">
        <v>707</v>
      </c>
      <c r="B853" s="1" t="s">
        <v>593</v>
      </c>
      <c r="C853" s="1">
        <v>0.103</v>
      </c>
      <c r="D853" s="1" t="s">
        <v>1880</v>
      </c>
      <c r="E853" s="266">
        <f>IFERROR(VLOOKUP(B853,'Сырьё'!$C$6:$E$233,3,FALSE()),IFERROR(VLOOKUP(B853,'Полупродукты'!$C$6:$E$60,3,FALSE()),0))</f>
        <v>1.6575</v>
      </c>
      <c r="F853" s="266">
        <f t="shared" si="1"/>
        <v>0.1707225</v>
      </c>
      <c r="G853" s="1">
        <v>0.0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0" customHeight="1">
      <c r="A854" s="1" t="s">
        <v>707</v>
      </c>
      <c r="B854" s="1" t="s">
        <v>549</v>
      </c>
      <c r="C854" s="1">
        <v>0.1442</v>
      </c>
      <c r="D854" s="1" t="s">
        <v>1882</v>
      </c>
      <c r="E854" s="266">
        <f>IFERROR(VLOOKUP(B854,'Сырьё'!$C$6:$E$233,3,FALSE()),IFERROR(VLOOKUP(B854,'Полупродукты'!$C$6:$E$60,3,FALSE()),0))</f>
        <v>6.519</v>
      </c>
      <c r="F854" s="266">
        <f t="shared" si="1"/>
        <v>0.9400398</v>
      </c>
      <c r="G854" s="1">
        <v>0.0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0" customHeight="1">
      <c r="A855" s="1" t="s">
        <v>707</v>
      </c>
      <c r="B855" s="1" t="s">
        <v>542</v>
      </c>
      <c r="C855" s="1">
        <v>0.03605</v>
      </c>
      <c r="D855" s="1" t="s">
        <v>3279</v>
      </c>
      <c r="E855" s="266">
        <f>IFERROR(VLOOKUP(B855,'Сырьё'!$C$6:$E$233,3,FALSE()),IFERROR(VLOOKUP(B855,'Полупродукты'!$C$6:$E$60,3,FALSE()),0))</f>
        <v>16.0534</v>
      </c>
      <c r="F855" s="266">
        <f t="shared" si="1"/>
        <v>0.57872507</v>
      </c>
      <c r="G855" s="1">
        <v>0.0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0" customHeight="1">
      <c r="A856" s="1" t="s">
        <v>707</v>
      </c>
      <c r="B856" s="1" t="s">
        <v>541</v>
      </c>
      <c r="C856" s="1">
        <v>0.00515</v>
      </c>
      <c r="D856" s="1" t="s">
        <v>1886</v>
      </c>
      <c r="E856" s="266">
        <f>IFERROR(VLOOKUP(B856,'Сырьё'!$C$6:$E$233,3,FALSE()),IFERROR(VLOOKUP(B856,'Полупродукты'!$C$6:$E$60,3,FALSE()),0))</f>
        <v>78.7704</v>
      </c>
      <c r="F856" s="266">
        <f t="shared" si="1"/>
        <v>0.40566756</v>
      </c>
      <c r="G856" s="1">
        <v>0.0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0" customHeight="1">
      <c r="A857" s="1" t="s">
        <v>707</v>
      </c>
      <c r="B857" s="1" t="s">
        <v>553</v>
      </c>
      <c r="C857" s="1">
        <v>0.206</v>
      </c>
      <c r="D857" s="1" t="s">
        <v>1888</v>
      </c>
      <c r="E857" s="266">
        <f>IFERROR(VLOOKUP(B857,'Сырьё'!$C$6:$E$233,3,FALSE()),IFERROR(VLOOKUP(B857,'Полупродукты'!$C$6:$E$60,3,FALSE()),0))</f>
        <v>3.5357</v>
      </c>
      <c r="F857" s="266">
        <f t="shared" si="1"/>
        <v>0.7283542</v>
      </c>
      <c r="G857" s="1">
        <v>0.0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0" customHeight="1">
      <c r="A858" s="1" t="s">
        <v>446</v>
      </c>
      <c r="B858" s="1" t="s">
        <v>446</v>
      </c>
      <c r="C858" s="1">
        <v>1.0</v>
      </c>
      <c r="D858" s="1" t="s">
        <v>3280</v>
      </c>
      <c r="E858" s="266">
        <f>IFERROR(VLOOKUP(B858,'Сырьё'!$C$6:$E$233,3,FALSE()),IFERROR(VLOOKUP(B858,'Полупродукты'!$C$6:$E$60,3,FALSE()),0))</f>
        <v>0</v>
      </c>
      <c r="F858" s="266">
        <f t="shared" si="1"/>
        <v>0</v>
      </c>
      <c r="G858" s="1">
        <v>1.0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0" customHeight="1">
      <c r="A859" s="1" t="s">
        <v>624</v>
      </c>
      <c r="B859" s="1" t="s">
        <v>579</v>
      </c>
      <c r="C859" s="1">
        <v>0.406093</v>
      </c>
      <c r="D859" s="1" t="s">
        <v>3281</v>
      </c>
      <c r="E859" s="266">
        <f>IFERROR(VLOOKUP(B859,'Сырьё'!$C$6:$E$233,3,FALSE()),IFERROR(VLOOKUP(B859,'Полупродукты'!$C$6:$E$60,3,FALSE()),0))</f>
        <v>1.2831</v>
      </c>
      <c r="F859" s="266">
        <f t="shared" si="1"/>
        <v>0.5210579283</v>
      </c>
      <c r="G859" s="1">
        <v>0.0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0" customHeight="1">
      <c r="A860" s="1" t="s">
        <v>624</v>
      </c>
      <c r="B860" s="1" t="s">
        <v>593</v>
      </c>
      <c r="C860" s="1">
        <v>0.144488</v>
      </c>
      <c r="D860" s="1" t="s">
        <v>3282</v>
      </c>
      <c r="E860" s="266">
        <f>IFERROR(VLOOKUP(B860,'Сырьё'!$C$6:$E$233,3,FALSE()),IFERROR(VLOOKUP(B860,'Полупродукты'!$C$6:$E$60,3,FALSE()),0))</f>
        <v>1.6575</v>
      </c>
      <c r="F860" s="266">
        <f t="shared" si="1"/>
        <v>0.23948886</v>
      </c>
      <c r="G860" s="1">
        <v>0.0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0" customHeight="1">
      <c r="A861" s="1" t="s">
        <v>624</v>
      </c>
      <c r="B861" s="1" t="s">
        <v>537</v>
      </c>
      <c r="C861" s="1">
        <v>0.011536</v>
      </c>
      <c r="D861" s="1" t="s">
        <v>3283</v>
      </c>
      <c r="E861" s="266">
        <f>IFERROR(VLOOKUP(B861,'Сырьё'!$C$6:$E$233,3,FALSE()),IFERROR(VLOOKUP(B861,'Полупродукты'!$C$6:$E$60,3,FALSE()),0))</f>
        <v>8.8284</v>
      </c>
      <c r="F861" s="266">
        <f t="shared" si="1"/>
        <v>0.1018444224</v>
      </c>
      <c r="G861" s="1">
        <v>0.0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0" customHeight="1">
      <c r="A862" s="1" t="s">
        <v>624</v>
      </c>
      <c r="B862" s="1" t="s">
        <v>543</v>
      </c>
      <c r="C862" s="1">
        <v>0.002884</v>
      </c>
      <c r="D862" s="1" t="s">
        <v>3284</v>
      </c>
      <c r="E862" s="266">
        <f>IFERROR(VLOOKUP(B862,'Сырьё'!$C$6:$E$233,3,FALSE()),IFERROR(VLOOKUP(B862,'Полупродукты'!$C$6:$E$60,3,FALSE()),0))</f>
        <v>80.7112</v>
      </c>
      <c r="F862" s="266">
        <f t="shared" si="1"/>
        <v>0.2327711008</v>
      </c>
      <c r="G862" s="1">
        <v>0.0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0" customHeight="1">
      <c r="A863" s="1" t="s">
        <v>624</v>
      </c>
      <c r="B863" s="1" t="s">
        <v>585</v>
      </c>
      <c r="C863" s="1">
        <v>0.09373</v>
      </c>
      <c r="D863" s="1" t="s">
        <v>3285</v>
      </c>
      <c r="E863" s="266">
        <f>IFERROR(VLOOKUP(B863,'Сырьё'!$C$6:$E$233,3,FALSE()),IFERROR(VLOOKUP(B863,'Полупродукты'!$C$6:$E$60,3,FALSE()),0))</f>
        <v>6.9052</v>
      </c>
      <c r="F863" s="266">
        <f t="shared" si="1"/>
        <v>0.647224396</v>
      </c>
      <c r="G863" s="1">
        <v>0.0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0" customHeight="1">
      <c r="A864" s="1" t="s">
        <v>624</v>
      </c>
      <c r="B864" s="1" t="s">
        <v>557</v>
      </c>
      <c r="C864" s="1">
        <v>0.12978</v>
      </c>
      <c r="D864" s="1" t="s">
        <v>3286</v>
      </c>
      <c r="E864" s="266">
        <f>IFERROR(VLOOKUP(B864,'Сырьё'!$C$6:$E$233,3,FALSE()),IFERROR(VLOOKUP(B864,'Полупродукты'!$C$6:$E$60,3,FALSE()),0))</f>
        <v>12.0149</v>
      </c>
      <c r="F864" s="266">
        <f t="shared" si="1"/>
        <v>1.559293722</v>
      </c>
      <c r="G864" s="1">
        <v>0.0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0" customHeight="1">
      <c r="A865" s="1" t="s">
        <v>624</v>
      </c>
      <c r="B865" s="1" t="s">
        <v>570</v>
      </c>
      <c r="C865" s="1">
        <v>0.036555</v>
      </c>
      <c r="D865" s="1" t="s">
        <v>3287</v>
      </c>
      <c r="E865" s="266">
        <f>IFERROR(VLOOKUP(B865,'Сырьё'!$C$6:$E$233,3,FALSE()),IFERROR(VLOOKUP(B865,'Полупродукты'!$C$6:$E$60,3,FALSE()),0))</f>
        <v>3.3046</v>
      </c>
      <c r="F865" s="266">
        <f t="shared" si="1"/>
        <v>0.120799653</v>
      </c>
      <c r="G865" s="1">
        <v>0.0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0" customHeight="1">
      <c r="A866" s="1" t="s">
        <v>624</v>
      </c>
      <c r="B866" s="1" t="s">
        <v>569</v>
      </c>
      <c r="C866" s="1">
        <v>0.027748</v>
      </c>
      <c r="D866" s="1" t="s">
        <v>3288</v>
      </c>
      <c r="E866" s="266">
        <f>IFERROR(VLOOKUP(B866,'Сырьё'!$C$6:$E$233,3,FALSE()),IFERROR(VLOOKUP(B866,'Полупродукты'!$C$6:$E$60,3,FALSE()),0))</f>
        <v>3.2853</v>
      </c>
      <c r="F866" s="266">
        <f t="shared" si="1"/>
        <v>0.0911605044</v>
      </c>
      <c r="G866" s="1">
        <v>0.0</v>
      </c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0" customHeight="1">
      <c r="A867" s="1" t="s">
        <v>624</v>
      </c>
      <c r="B867" s="1" t="s">
        <v>594</v>
      </c>
      <c r="C867" s="1">
        <v>0.077132</v>
      </c>
      <c r="D867" s="1" t="s">
        <v>3289</v>
      </c>
      <c r="E867" s="266">
        <f>IFERROR(VLOOKUP(B867,'Сырьё'!$C$6:$E$233,3,FALSE()),IFERROR(VLOOKUP(B867,'Полупродукты'!$C$6:$E$60,3,FALSE()),0))</f>
        <v>1.7145</v>
      </c>
      <c r="F867" s="266">
        <f t="shared" si="1"/>
        <v>0.132242814</v>
      </c>
      <c r="G867" s="1">
        <v>0.0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0" customHeight="1">
      <c r="A868" s="1" t="s">
        <v>624</v>
      </c>
      <c r="B868" s="1" t="s">
        <v>591</v>
      </c>
      <c r="C868" s="1">
        <v>0.015651</v>
      </c>
      <c r="D868" s="1" t="s">
        <v>3290</v>
      </c>
      <c r="E868" s="266">
        <f>IFERROR(VLOOKUP(B868,'Сырьё'!$C$6:$E$233,3,FALSE()),IFERROR(VLOOKUP(B868,'Полупродукты'!$C$6:$E$60,3,FALSE()),0))</f>
        <v>1.9734</v>
      </c>
      <c r="F868" s="266">
        <f t="shared" si="1"/>
        <v>0.0308856834</v>
      </c>
      <c r="G868" s="1">
        <v>0.0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0" customHeight="1">
      <c r="A869" s="1" t="s">
        <v>624</v>
      </c>
      <c r="B869" s="1" t="s">
        <v>532</v>
      </c>
      <c r="C869" s="1">
        <v>0.005516</v>
      </c>
      <c r="D869" s="1" t="s">
        <v>3291</v>
      </c>
      <c r="E869" s="266">
        <f>IFERROR(VLOOKUP(B869,'Сырьё'!$C$6:$E$233,3,FALSE()),IFERROR(VLOOKUP(B869,'Полупродукты'!$C$6:$E$60,3,FALSE()),0))</f>
        <v>2.337</v>
      </c>
      <c r="F869" s="266">
        <f t="shared" si="1"/>
        <v>0.012890892</v>
      </c>
      <c r="G869" s="1">
        <v>0.0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0" customHeight="1">
      <c r="A870" s="1" t="s">
        <v>624</v>
      </c>
      <c r="B870" s="1" t="s">
        <v>520</v>
      </c>
      <c r="C870" s="1">
        <v>5.38E-4</v>
      </c>
      <c r="D870" s="1" t="s">
        <v>3292</v>
      </c>
      <c r="E870" s="266">
        <f>IFERROR(VLOOKUP(B870,'Сырьё'!$C$6:$E$233,3,FALSE()),IFERROR(VLOOKUP(B870,'Полупродукты'!$C$6:$E$60,3,FALSE()),0))</f>
        <v>30.1527</v>
      </c>
      <c r="F870" s="266">
        <f t="shared" si="1"/>
        <v>0.0162221526</v>
      </c>
      <c r="G870" s="1">
        <v>0.0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0" customHeight="1">
      <c r="A871" s="1" t="s">
        <v>624</v>
      </c>
      <c r="B871" s="1" t="s">
        <v>549</v>
      </c>
      <c r="C871" s="1">
        <v>0.024463</v>
      </c>
      <c r="D871" s="1" t="s">
        <v>3293</v>
      </c>
      <c r="E871" s="266">
        <f>IFERROR(VLOOKUP(B871,'Сырьё'!$C$6:$E$233,3,FALSE()),IFERROR(VLOOKUP(B871,'Полупродукты'!$C$6:$E$60,3,FALSE()),0))</f>
        <v>6.519</v>
      </c>
      <c r="F871" s="266">
        <f t="shared" si="1"/>
        <v>0.159474297</v>
      </c>
      <c r="G871" s="1">
        <v>0.0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0" customHeight="1">
      <c r="A872" s="1" t="s">
        <v>624</v>
      </c>
      <c r="B872" s="1" t="s">
        <v>573</v>
      </c>
      <c r="C872" s="1">
        <v>0.0515</v>
      </c>
      <c r="D872" s="1" t="s">
        <v>1768</v>
      </c>
      <c r="E872" s="266">
        <f>IFERROR(VLOOKUP(B872,'Сырьё'!$C$6:$E$233,3,FALSE()),IFERROR(VLOOKUP(B872,'Полупродукты'!$C$6:$E$60,3,FALSE()),0))</f>
        <v>4.7016</v>
      </c>
      <c r="F872" s="266">
        <f t="shared" si="1"/>
        <v>0.2421324</v>
      </c>
      <c r="G872" s="1">
        <v>0.0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0" customHeight="1">
      <c r="A873" s="1" t="s">
        <v>624</v>
      </c>
      <c r="B873" s="1" t="s">
        <v>571</v>
      </c>
      <c r="C873" s="1">
        <v>0.00515</v>
      </c>
      <c r="D873" s="1" t="s">
        <v>1770</v>
      </c>
      <c r="E873" s="266">
        <f>IFERROR(VLOOKUP(B873,'Сырьё'!$C$6:$E$233,3,FALSE()),IFERROR(VLOOKUP(B873,'Полупродукты'!$C$6:$E$60,3,FALSE()),0))</f>
        <v>14.556</v>
      </c>
      <c r="F873" s="266">
        <f t="shared" si="1"/>
        <v>0.0749634</v>
      </c>
      <c r="G873" s="1">
        <v>0.0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0" customHeight="1">
      <c r="A874" s="1" t="s">
        <v>690</v>
      </c>
      <c r="B874" s="1" t="s">
        <v>594</v>
      </c>
      <c r="C874" s="1">
        <v>0.0515</v>
      </c>
      <c r="D874" s="1" t="s">
        <v>2576</v>
      </c>
      <c r="E874" s="266">
        <f>IFERROR(VLOOKUP(B874,'Сырьё'!$C$6:$E$233,3,FALSE()),IFERROR(VLOOKUP(B874,'Полупродукты'!$C$6:$E$60,3,FALSE()),0))</f>
        <v>1.7145</v>
      </c>
      <c r="F874" s="266">
        <f t="shared" si="1"/>
        <v>0.08829675</v>
      </c>
      <c r="G874" s="1">
        <v>0.0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0" customHeight="1">
      <c r="A875" s="1" t="s">
        <v>690</v>
      </c>
      <c r="B875" s="1" t="s">
        <v>579</v>
      </c>
      <c r="C875" s="1">
        <v>0.4635</v>
      </c>
      <c r="D875" s="1" t="s">
        <v>2578</v>
      </c>
      <c r="E875" s="266">
        <f>IFERROR(VLOOKUP(B875,'Сырьё'!$C$6:$E$233,3,FALSE()),IFERROR(VLOOKUP(B875,'Полупродукты'!$C$6:$E$60,3,FALSE()),0))</f>
        <v>1.2831</v>
      </c>
      <c r="F875" s="266">
        <f t="shared" si="1"/>
        <v>0.59471685</v>
      </c>
      <c r="G875" s="1">
        <v>0.0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0" customHeight="1">
      <c r="A876" s="1" t="s">
        <v>690</v>
      </c>
      <c r="B876" s="1" t="s">
        <v>593</v>
      </c>
      <c r="C876" s="1">
        <v>0.309</v>
      </c>
      <c r="D876" s="1" t="s">
        <v>2580</v>
      </c>
      <c r="E876" s="266">
        <f>IFERROR(VLOOKUP(B876,'Сырьё'!$C$6:$E$233,3,FALSE()),IFERROR(VLOOKUP(B876,'Полупродукты'!$C$6:$E$60,3,FALSE()),0))</f>
        <v>1.6575</v>
      </c>
      <c r="F876" s="266">
        <f t="shared" si="1"/>
        <v>0.5121675</v>
      </c>
      <c r="G876" s="1">
        <v>0.0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0" customHeight="1">
      <c r="A877" s="1" t="s">
        <v>690</v>
      </c>
      <c r="B877" s="1" t="s">
        <v>585</v>
      </c>
      <c r="C877" s="1">
        <v>0.206</v>
      </c>
      <c r="D877" s="1" t="s">
        <v>2582</v>
      </c>
      <c r="E877" s="266">
        <f>IFERROR(VLOOKUP(B877,'Сырьё'!$C$6:$E$233,3,FALSE()),IFERROR(VLOOKUP(B877,'Полупродукты'!$C$6:$E$60,3,FALSE()),0))</f>
        <v>6.9052</v>
      </c>
      <c r="F877" s="266">
        <f t="shared" si="1"/>
        <v>1.4224712</v>
      </c>
      <c r="G877" s="1">
        <v>0.0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0" customHeight="1">
      <c r="A878" s="1" t="s">
        <v>639</v>
      </c>
      <c r="B878" s="1" t="s">
        <v>429</v>
      </c>
      <c r="C878" s="1">
        <v>0.5665</v>
      </c>
      <c r="D878" s="1" t="s">
        <v>1238</v>
      </c>
      <c r="E878" s="266">
        <f>IFERROR(VLOOKUP(B878,'Сырьё'!$C$6:$E$233,3,FALSE()),IFERROR(VLOOKUP(B878,'Полупродукты'!$C$6:$E$60,3,FALSE()),0))</f>
        <v>3.6345</v>
      </c>
      <c r="F878" s="266">
        <f t="shared" si="1"/>
        <v>2.05894425</v>
      </c>
      <c r="G878" s="1">
        <v>1.0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0" customHeight="1">
      <c r="A879" s="1" t="s">
        <v>639</v>
      </c>
      <c r="B879" s="1" t="s">
        <v>402</v>
      </c>
      <c r="C879" s="1">
        <v>0.4635</v>
      </c>
      <c r="D879" s="1" t="s">
        <v>1240</v>
      </c>
      <c r="E879" s="266">
        <f>IFERROR(VLOOKUP(B879,'Сырьё'!$C$6:$E$233,3,FALSE()),IFERROR(VLOOKUP(B879,'Полупродукты'!$C$6:$E$60,3,FALSE()),0))</f>
        <v>0</v>
      </c>
      <c r="F879" s="266">
        <f t="shared" si="1"/>
        <v>0</v>
      </c>
      <c r="G879" s="1">
        <v>1.0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0" customHeight="1">
      <c r="A880" s="1" t="s">
        <v>720</v>
      </c>
      <c r="B880" s="1" t="s">
        <v>579</v>
      </c>
      <c r="C880" s="1">
        <v>0.515</v>
      </c>
      <c r="D880" s="1" t="s">
        <v>2106</v>
      </c>
      <c r="E880" s="266">
        <f>IFERROR(VLOOKUP(B880,'Сырьё'!$C$6:$E$233,3,FALSE()),IFERROR(VLOOKUP(B880,'Полупродукты'!$C$6:$E$60,3,FALSE()),0))</f>
        <v>1.2831</v>
      </c>
      <c r="F880" s="266">
        <f t="shared" si="1"/>
        <v>0.6607965</v>
      </c>
      <c r="G880" s="1">
        <v>0.0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0" customHeight="1">
      <c r="A881" s="1" t="s">
        <v>720</v>
      </c>
      <c r="B881" s="1" t="s">
        <v>591</v>
      </c>
      <c r="C881" s="1">
        <v>0.515</v>
      </c>
      <c r="D881" s="1" t="s">
        <v>2108</v>
      </c>
      <c r="E881" s="266">
        <f>IFERROR(VLOOKUP(B881,'Сырьё'!$C$6:$E$233,3,FALSE()),IFERROR(VLOOKUP(B881,'Полупродукты'!$C$6:$E$60,3,FALSE()),0))</f>
        <v>1.9734</v>
      </c>
      <c r="F881" s="266">
        <f t="shared" si="1"/>
        <v>1.016301</v>
      </c>
      <c r="G881" s="1">
        <v>0.0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0" customHeight="1">
      <c r="A882" s="1" t="s">
        <v>411</v>
      </c>
      <c r="B882" s="1" t="s">
        <v>411</v>
      </c>
      <c r="C882" s="1">
        <v>1.0</v>
      </c>
      <c r="D882" s="1" t="s">
        <v>3294</v>
      </c>
      <c r="E882" s="266">
        <f>IFERROR(VLOOKUP(B882,'Сырьё'!$C$6:$E$233,3,FALSE()),IFERROR(VLOOKUP(B882,'Полупродукты'!$C$6:$E$60,3,FALSE()),0))</f>
        <v>7.1373</v>
      </c>
      <c r="F882" s="266">
        <f t="shared" si="1"/>
        <v>7.1373</v>
      </c>
      <c r="G882" s="1">
        <v>1.0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0" customHeight="1">
      <c r="A883" s="1" t="s">
        <v>752</v>
      </c>
      <c r="B883" s="1" t="s">
        <v>533</v>
      </c>
      <c r="C883" s="1">
        <v>0.412</v>
      </c>
      <c r="D883" s="1" t="s">
        <v>1684</v>
      </c>
      <c r="E883" s="266">
        <f>IFERROR(VLOOKUP(B883,'Сырьё'!$C$6:$E$233,3,FALSE()),IFERROR(VLOOKUP(B883,'Полупродукты'!$C$6:$E$60,3,FALSE()),0))</f>
        <v>6.305</v>
      </c>
      <c r="F883" s="266">
        <f t="shared" si="1"/>
        <v>2.59766</v>
      </c>
      <c r="G883" s="1">
        <v>0.0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0" customHeight="1">
      <c r="A884" s="1" t="s">
        <v>752</v>
      </c>
      <c r="B884" s="1" t="s">
        <v>579</v>
      </c>
      <c r="C884" s="1">
        <v>0.309</v>
      </c>
      <c r="D884" s="1" t="s">
        <v>1686</v>
      </c>
      <c r="E884" s="266">
        <f>IFERROR(VLOOKUP(B884,'Сырьё'!$C$6:$E$233,3,FALSE()),IFERROR(VLOOKUP(B884,'Полупродукты'!$C$6:$E$60,3,FALSE()),0))</f>
        <v>1.2831</v>
      </c>
      <c r="F884" s="266">
        <f t="shared" si="1"/>
        <v>0.3964779</v>
      </c>
      <c r="G884" s="1">
        <v>0.0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0" customHeight="1">
      <c r="A885" s="1" t="s">
        <v>752</v>
      </c>
      <c r="B885" s="1" t="s">
        <v>594</v>
      </c>
      <c r="C885" s="1">
        <v>0.103</v>
      </c>
      <c r="D885" s="1" t="s">
        <v>1688</v>
      </c>
      <c r="E885" s="266">
        <f>IFERROR(VLOOKUP(B885,'Сырьё'!$C$6:$E$233,3,FALSE()),IFERROR(VLOOKUP(B885,'Полупродукты'!$C$6:$E$60,3,FALSE()),0))</f>
        <v>1.7145</v>
      </c>
      <c r="F885" s="266">
        <f t="shared" si="1"/>
        <v>0.1765935</v>
      </c>
      <c r="G885" s="1">
        <v>0.0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0" customHeight="1">
      <c r="A886" s="1" t="s">
        <v>752</v>
      </c>
      <c r="B886" s="1" t="s">
        <v>593</v>
      </c>
      <c r="C886" s="1">
        <v>0.103</v>
      </c>
      <c r="D886" s="1" t="s">
        <v>1690</v>
      </c>
      <c r="E886" s="266">
        <f>IFERROR(VLOOKUP(B886,'Сырьё'!$C$6:$E$233,3,FALSE()),IFERROR(VLOOKUP(B886,'Полупродукты'!$C$6:$E$60,3,FALSE()),0))</f>
        <v>1.6575</v>
      </c>
      <c r="F886" s="266">
        <f t="shared" si="1"/>
        <v>0.1707225</v>
      </c>
      <c r="G886" s="1">
        <v>0.0</v>
      </c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0" customHeight="1">
      <c r="A887" s="1" t="s">
        <v>752</v>
      </c>
      <c r="B887" s="1" t="s">
        <v>573</v>
      </c>
      <c r="C887" s="1">
        <v>0.103</v>
      </c>
      <c r="D887" s="1" t="s">
        <v>1692</v>
      </c>
      <c r="E887" s="266">
        <f>IFERROR(VLOOKUP(B887,'Сырьё'!$C$6:$E$233,3,FALSE()),IFERROR(VLOOKUP(B887,'Полупродукты'!$C$6:$E$60,3,FALSE()),0))</f>
        <v>4.7016</v>
      </c>
      <c r="F887" s="266">
        <f t="shared" si="1"/>
        <v>0.4842648</v>
      </c>
      <c r="G887" s="1">
        <v>0.0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0" customHeight="1">
      <c r="A888" s="1" t="s">
        <v>502</v>
      </c>
      <c r="B888" s="1" t="s">
        <v>594</v>
      </c>
      <c r="C888" s="1">
        <v>0.381703</v>
      </c>
      <c r="D888" s="1" t="s">
        <v>968</v>
      </c>
      <c r="E888" s="266">
        <f>IFERROR(VLOOKUP(B888,'Сырьё'!$C$6:$E$233,3,FALSE()),IFERROR(VLOOKUP(B888,'Полупродукты'!$C$6:$E$60,3,FALSE()),0))</f>
        <v>1.7145</v>
      </c>
      <c r="F888" s="266">
        <f t="shared" si="1"/>
        <v>0.6544297935</v>
      </c>
      <c r="G888" s="1">
        <v>0.0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0" customHeight="1">
      <c r="A889" s="1" t="s">
        <v>502</v>
      </c>
      <c r="B889" s="1" t="s">
        <v>549</v>
      </c>
      <c r="C889" s="1">
        <v>0.11124</v>
      </c>
      <c r="D889" s="1" t="s">
        <v>3295</v>
      </c>
      <c r="E889" s="266">
        <f>IFERROR(VLOOKUP(B889,'Сырьё'!$C$6:$E$233,3,FALSE()),IFERROR(VLOOKUP(B889,'Полупродукты'!$C$6:$E$60,3,FALSE()),0))</f>
        <v>6.519</v>
      </c>
      <c r="F889" s="266">
        <f t="shared" si="1"/>
        <v>0.72517356</v>
      </c>
      <c r="G889" s="1">
        <v>0.0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0" customHeight="1">
      <c r="A890" s="1" t="s">
        <v>502</v>
      </c>
      <c r="B890" s="1" t="s">
        <v>537</v>
      </c>
      <c r="C890" s="1">
        <v>0.019467</v>
      </c>
      <c r="D890" s="1" t="s">
        <v>3296</v>
      </c>
      <c r="E890" s="266">
        <f>IFERROR(VLOOKUP(B890,'Сырьё'!$C$6:$E$233,3,FALSE()),IFERROR(VLOOKUP(B890,'Полупродукты'!$C$6:$E$60,3,FALSE()),0))</f>
        <v>8.8284</v>
      </c>
      <c r="F890" s="266">
        <f t="shared" si="1"/>
        <v>0.1718624628</v>
      </c>
      <c r="G890" s="1">
        <v>0.0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0" customHeight="1">
      <c r="A891" s="1" t="s">
        <v>502</v>
      </c>
      <c r="B891" s="1" t="s">
        <v>556</v>
      </c>
      <c r="C891" s="1">
        <v>0.162225</v>
      </c>
      <c r="D891" s="1" t="s">
        <v>3297</v>
      </c>
      <c r="E891" s="266">
        <f>IFERROR(VLOOKUP(B891,'Сырьё'!$C$6:$E$233,3,FALSE()),IFERROR(VLOOKUP(B891,'Полупродукты'!$C$6:$E$60,3,FALSE()),0))</f>
        <v>5.6362</v>
      </c>
      <c r="F891" s="266">
        <f t="shared" si="1"/>
        <v>0.914332545</v>
      </c>
      <c r="G891" s="1">
        <v>0.0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0" customHeight="1">
      <c r="A892" s="1" t="s">
        <v>502</v>
      </c>
      <c r="B892" s="1" t="s">
        <v>579</v>
      </c>
      <c r="C892" s="1">
        <v>0.22078</v>
      </c>
      <c r="D892" s="1" t="s">
        <v>3298</v>
      </c>
      <c r="E892" s="266">
        <f>IFERROR(VLOOKUP(B892,'Сырьё'!$C$6:$E$233,3,FALSE()),IFERROR(VLOOKUP(B892,'Полупродукты'!$C$6:$E$60,3,FALSE()),0))</f>
        <v>1.2831</v>
      </c>
      <c r="F892" s="266">
        <f t="shared" si="1"/>
        <v>0.283282818</v>
      </c>
      <c r="G892" s="1">
        <v>0.0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0" customHeight="1">
      <c r="A893" s="1" t="s">
        <v>502</v>
      </c>
      <c r="B893" s="1" t="s">
        <v>570</v>
      </c>
      <c r="C893" s="1">
        <v>0.036555</v>
      </c>
      <c r="D893" s="1" t="s">
        <v>3299</v>
      </c>
      <c r="E893" s="266">
        <f>IFERROR(VLOOKUP(B893,'Сырьё'!$C$6:$E$233,3,FALSE()),IFERROR(VLOOKUP(B893,'Полупродукты'!$C$6:$E$60,3,FALSE()),0))</f>
        <v>3.3046</v>
      </c>
      <c r="F893" s="266">
        <f t="shared" si="1"/>
        <v>0.120799653</v>
      </c>
      <c r="G893" s="1">
        <v>0.0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0" customHeight="1">
      <c r="A894" s="1" t="s">
        <v>502</v>
      </c>
      <c r="B894" s="1" t="s">
        <v>569</v>
      </c>
      <c r="C894" s="1">
        <v>0.027748</v>
      </c>
      <c r="D894" s="1" t="s">
        <v>3300</v>
      </c>
      <c r="E894" s="266">
        <f>IFERROR(VLOOKUP(B894,'Сырьё'!$C$6:$E$233,3,FALSE()),IFERROR(VLOOKUP(B894,'Полупродукты'!$C$6:$E$60,3,FALSE()),0))</f>
        <v>3.2853</v>
      </c>
      <c r="F894" s="266">
        <f t="shared" si="1"/>
        <v>0.0911605044</v>
      </c>
      <c r="G894" s="1">
        <v>0.0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0" customHeight="1">
      <c r="A895" s="1" t="s">
        <v>502</v>
      </c>
      <c r="B895" s="1" t="s">
        <v>591</v>
      </c>
      <c r="C895" s="1">
        <v>0.015651</v>
      </c>
      <c r="D895" s="1" t="s">
        <v>3301</v>
      </c>
      <c r="E895" s="266">
        <f>IFERROR(VLOOKUP(B895,'Сырьё'!$C$6:$E$233,3,FALSE()),IFERROR(VLOOKUP(B895,'Полупродукты'!$C$6:$E$60,3,FALSE()),0))</f>
        <v>1.9734</v>
      </c>
      <c r="F895" s="266">
        <f t="shared" si="1"/>
        <v>0.0308856834</v>
      </c>
      <c r="G895" s="1">
        <v>0.0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0" customHeight="1">
      <c r="A896" s="1" t="s">
        <v>502</v>
      </c>
      <c r="B896" s="1" t="s">
        <v>532</v>
      </c>
      <c r="C896" s="1">
        <v>0.005516</v>
      </c>
      <c r="D896" s="1" t="s">
        <v>3302</v>
      </c>
      <c r="E896" s="266">
        <f>IFERROR(VLOOKUP(B896,'Сырьё'!$C$6:$E$233,3,FALSE()),IFERROR(VLOOKUP(B896,'Полупродукты'!$C$6:$E$60,3,FALSE()),0))</f>
        <v>2.337</v>
      </c>
      <c r="F896" s="266">
        <f t="shared" si="1"/>
        <v>0.012890892</v>
      </c>
      <c r="G896" s="1">
        <v>0.0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0" customHeight="1">
      <c r="A897" s="1" t="s">
        <v>502</v>
      </c>
      <c r="B897" s="1" t="s">
        <v>520</v>
      </c>
      <c r="C897" s="1">
        <v>5.38E-4</v>
      </c>
      <c r="D897" s="1" t="s">
        <v>3303</v>
      </c>
      <c r="E897" s="266">
        <f>IFERROR(VLOOKUP(B897,'Сырьё'!$C$6:$E$233,3,FALSE()),IFERROR(VLOOKUP(B897,'Полупродукты'!$C$6:$E$60,3,FALSE()),0))</f>
        <v>30.1527</v>
      </c>
      <c r="F897" s="266">
        <f t="shared" si="1"/>
        <v>0.0162221526</v>
      </c>
      <c r="G897" s="1">
        <v>0.0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0" customHeight="1">
      <c r="A898" s="1" t="s">
        <v>502</v>
      </c>
      <c r="B898" s="1" t="s">
        <v>593</v>
      </c>
      <c r="C898" s="1">
        <v>0.045006</v>
      </c>
      <c r="D898" s="1" t="s">
        <v>3304</v>
      </c>
      <c r="E898" s="266">
        <f>IFERROR(VLOOKUP(B898,'Сырьё'!$C$6:$E$233,3,FALSE()),IFERROR(VLOOKUP(B898,'Полупродукты'!$C$6:$E$60,3,FALSE()),0))</f>
        <v>1.6575</v>
      </c>
      <c r="F898" s="266">
        <f t="shared" si="1"/>
        <v>0.074597445</v>
      </c>
      <c r="G898" s="1">
        <v>0.0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0" customHeight="1">
      <c r="A899" s="1" t="s">
        <v>502</v>
      </c>
      <c r="B899" s="1" t="s">
        <v>585</v>
      </c>
      <c r="C899" s="1">
        <v>0.006334</v>
      </c>
      <c r="D899" s="1" t="s">
        <v>3305</v>
      </c>
      <c r="E899" s="266">
        <f>IFERROR(VLOOKUP(B899,'Сырьё'!$C$6:$E$233,3,FALSE()),IFERROR(VLOOKUP(B899,'Полупродукты'!$C$6:$E$60,3,FALSE()),0))</f>
        <v>6.9052</v>
      </c>
      <c r="F899" s="266">
        <f t="shared" si="1"/>
        <v>0.0437375368</v>
      </c>
      <c r="G899" s="1">
        <v>0.0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0" customHeight="1">
      <c r="A900" s="1" t="s">
        <v>631</v>
      </c>
      <c r="B900" s="1" t="s">
        <v>443</v>
      </c>
      <c r="C900" s="1">
        <v>0.6386</v>
      </c>
      <c r="D900" s="1" t="s">
        <v>1526</v>
      </c>
      <c r="E900" s="266">
        <f>IFERROR(VLOOKUP(B900,'Сырьё'!$C$6:$E$233,3,FALSE()),IFERROR(VLOOKUP(B900,'Полупродукты'!$C$6:$E$60,3,FALSE()),0))</f>
        <v>3.4782</v>
      </c>
      <c r="F900" s="266">
        <f t="shared" si="1"/>
        <v>2.22117852</v>
      </c>
      <c r="G900" s="1">
        <v>1.0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0" customHeight="1">
      <c r="A901" s="1" t="s">
        <v>631</v>
      </c>
      <c r="B901" s="1" t="s">
        <v>570</v>
      </c>
      <c r="C901" s="1">
        <v>0.155643</v>
      </c>
      <c r="D901" s="1" t="s">
        <v>3306</v>
      </c>
      <c r="E901" s="266">
        <f>IFERROR(VLOOKUP(B901,'Сырьё'!$C$6:$E$233,3,FALSE()),IFERROR(VLOOKUP(B901,'Полупродукты'!$C$6:$E$60,3,FALSE()),0))</f>
        <v>3.3046</v>
      </c>
      <c r="F901" s="266">
        <f t="shared" si="1"/>
        <v>0.5143378578</v>
      </c>
      <c r="G901" s="1">
        <v>0.0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0" customHeight="1">
      <c r="A902" s="1" t="s">
        <v>631</v>
      </c>
      <c r="B902" s="1" t="s">
        <v>594</v>
      </c>
      <c r="C902" s="1">
        <v>0.142655</v>
      </c>
      <c r="D902" s="1" t="s">
        <v>3307</v>
      </c>
      <c r="E902" s="266">
        <f>IFERROR(VLOOKUP(B902,'Сырьё'!$C$6:$E$233,3,FALSE()),IFERROR(VLOOKUP(B902,'Полупродукты'!$C$6:$E$60,3,FALSE()),0))</f>
        <v>1.7145</v>
      </c>
      <c r="F902" s="266">
        <f t="shared" si="1"/>
        <v>0.2445819975</v>
      </c>
      <c r="G902" s="1">
        <v>0.0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0" customHeight="1">
      <c r="A903" s="1" t="s">
        <v>631</v>
      </c>
      <c r="B903" s="1" t="s">
        <v>579</v>
      </c>
      <c r="C903" s="1">
        <v>0.040742</v>
      </c>
      <c r="D903" s="1" t="s">
        <v>3308</v>
      </c>
      <c r="E903" s="266">
        <f>IFERROR(VLOOKUP(B903,'Сырьё'!$C$6:$E$233,3,FALSE()),IFERROR(VLOOKUP(B903,'Полупродукты'!$C$6:$E$60,3,FALSE()),0))</f>
        <v>1.2831</v>
      </c>
      <c r="F903" s="266">
        <f t="shared" si="1"/>
        <v>0.0522760602</v>
      </c>
      <c r="G903" s="1">
        <v>0.0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0" customHeight="1">
      <c r="A904" s="1" t="s">
        <v>631</v>
      </c>
      <c r="B904" s="1" t="s">
        <v>591</v>
      </c>
      <c r="C904" s="1">
        <v>0.015527</v>
      </c>
      <c r="D904" s="1" t="s">
        <v>3309</v>
      </c>
      <c r="E904" s="266">
        <f>IFERROR(VLOOKUP(B904,'Сырьё'!$C$6:$E$233,3,FALSE()),IFERROR(VLOOKUP(B904,'Полупродукты'!$C$6:$E$60,3,FALSE()),0))</f>
        <v>1.9734</v>
      </c>
      <c r="F904" s="266">
        <f t="shared" si="1"/>
        <v>0.0306409818</v>
      </c>
      <c r="G904" s="1">
        <v>0.0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0" customHeight="1">
      <c r="A905" s="1" t="s">
        <v>631</v>
      </c>
      <c r="B905" s="1" t="s">
        <v>522</v>
      </c>
      <c r="C905" s="1">
        <v>1.32E-4</v>
      </c>
      <c r="D905" s="1" t="s">
        <v>3310</v>
      </c>
      <c r="E905" s="266">
        <f>IFERROR(VLOOKUP(B905,'Сырьё'!$C$6:$E$233,3,FALSE()),IFERROR(VLOOKUP(B905,'Полупродукты'!$C$6:$E$60,3,FALSE()),0))</f>
        <v>3.7834</v>
      </c>
      <c r="F905" s="266">
        <f t="shared" si="1"/>
        <v>0.0004994088</v>
      </c>
      <c r="G905" s="1">
        <v>0.0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0" customHeight="1">
      <c r="A906" s="1" t="s">
        <v>631</v>
      </c>
      <c r="B906" s="1" t="s">
        <v>549</v>
      </c>
      <c r="C906" s="1">
        <v>0.0206</v>
      </c>
      <c r="D906" s="1" t="s">
        <v>3311</v>
      </c>
      <c r="E906" s="266">
        <f>IFERROR(VLOOKUP(B906,'Сырьё'!$C$6:$E$233,3,FALSE()),IFERROR(VLOOKUP(B906,'Полупродукты'!$C$6:$E$60,3,FALSE()),0))</f>
        <v>6.519</v>
      </c>
      <c r="F906" s="266">
        <f t="shared" si="1"/>
        <v>0.1342914</v>
      </c>
      <c r="G906" s="1">
        <v>0.0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0" customHeight="1">
      <c r="A907" s="1" t="s">
        <v>631</v>
      </c>
      <c r="B907" s="1" t="s">
        <v>593</v>
      </c>
      <c r="C907" s="1">
        <v>0.018458</v>
      </c>
      <c r="D907" s="1" t="s">
        <v>3312</v>
      </c>
      <c r="E907" s="266">
        <f>IFERROR(VLOOKUP(B907,'Сырьё'!$C$6:$E$233,3,FALSE()),IFERROR(VLOOKUP(B907,'Полупродукты'!$C$6:$E$60,3,FALSE()),0))</f>
        <v>1.6575</v>
      </c>
      <c r="F907" s="266">
        <f t="shared" si="1"/>
        <v>0.030594135</v>
      </c>
      <c r="G907" s="1">
        <v>0.0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0" customHeight="1">
      <c r="A908" s="1" t="s">
        <v>642</v>
      </c>
      <c r="B908" s="1" t="s">
        <v>594</v>
      </c>
      <c r="C908" s="1">
        <v>0.260075</v>
      </c>
      <c r="D908" s="1" t="s">
        <v>1610</v>
      </c>
      <c r="E908" s="266">
        <f>IFERROR(VLOOKUP(B908,'Сырьё'!$C$6:$E$233,3,FALSE()),IFERROR(VLOOKUP(B908,'Полупродукты'!$C$6:$E$60,3,FALSE()),0))</f>
        <v>1.7145</v>
      </c>
      <c r="F908" s="266">
        <f t="shared" si="1"/>
        <v>0.4458985875</v>
      </c>
      <c r="G908" s="1">
        <v>0.0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0" customHeight="1">
      <c r="A909" s="1" t="s">
        <v>642</v>
      </c>
      <c r="B909" s="1" t="s">
        <v>579</v>
      </c>
      <c r="C909" s="1">
        <v>0.16995</v>
      </c>
      <c r="D909" s="1" t="s">
        <v>1608</v>
      </c>
      <c r="E909" s="266">
        <f>IFERROR(VLOOKUP(B909,'Сырьё'!$C$6:$E$233,3,FALSE()),IFERROR(VLOOKUP(B909,'Полупродукты'!$C$6:$E$60,3,FALSE()),0))</f>
        <v>1.2831</v>
      </c>
      <c r="F909" s="266">
        <f t="shared" si="1"/>
        <v>0.218062845</v>
      </c>
      <c r="G909" s="1">
        <v>0.0</v>
      </c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0" customHeight="1">
      <c r="A910" s="1" t="s">
        <v>642</v>
      </c>
      <c r="B910" s="1" t="s">
        <v>593</v>
      </c>
      <c r="C910" s="1">
        <v>0.084975</v>
      </c>
      <c r="D910" s="1" t="s">
        <v>1604</v>
      </c>
      <c r="E910" s="266">
        <f>IFERROR(VLOOKUP(B910,'Сырьё'!$C$6:$E$233,3,FALSE()),IFERROR(VLOOKUP(B910,'Полупродукты'!$C$6:$E$60,3,FALSE()),0))</f>
        <v>1.6575</v>
      </c>
      <c r="F910" s="266">
        <f t="shared" si="1"/>
        <v>0.1408460625</v>
      </c>
      <c r="G910" s="1">
        <v>0.0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0" customHeight="1">
      <c r="A911" s="1" t="s">
        <v>642</v>
      </c>
      <c r="B911" s="1" t="s">
        <v>585</v>
      </c>
      <c r="C911" s="1">
        <v>0.06798</v>
      </c>
      <c r="D911" s="1" t="s">
        <v>3313</v>
      </c>
      <c r="E911" s="266">
        <f>IFERROR(VLOOKUP(B911,'Сырьё'!$C$6:$E$233,3,FALSE()),IFERROR(VLOOKUP(B911,'Полупродукты'!$C$6:$E$60,3,FALSE()),0))</f>
        <v>6.9052</v>
      </c>
      <c r="F911" s="266">
        <f t="shared" si="1"/>
        <v>0.469415496</v>
      </c>
      <c r="G911" s="1">
        <v>0.0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0" customHeight="1">
      <c r="A912" s="1" t="s">
        <v>642</v>
      </c>
      <c r="B912" s="1" t="s">
        <v>537</v>
      </c>
      <c r="C912" s="1">
        <v>0.016995</v>
      </c>
      <c r="D912" s="1" t="s">
        <v>3314</v>
      </c>
      <c r="E912" s="266">
        <f>IFERROR(VLOOKUP(B912,'Сырьё'!$C$6:$E$233,3,FALSE()),IFERROR(VLOOKUP(B912,'Полупродукты'!$C$6:$E$60,3,FALSE()),0))</f>
        <v>8.8284</v>
      </c>
      <c r="F912" s="266">
        <f t="shared" si="1"/>
        <v>0.150038658</v>
      </c>
      <c r="G912" s="1">
        <v>0.0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0" customHeight="1">
      <c r="A913" s="1" t="s">
        <v>642</v>
      </c>
      <c r="B913" s="1" t="s">
        <v>561</v>
      </c>
      <c r="C913" s="1">
        <v>0.141625</v>
      </c>
      <c r="D913" s="1" t="s">
        <v>3315</v>
      </c>
      <c r="E913" s="266">
        <f>IFERROR(VLOOKUP(B913,'Сырьё'!$C$6:$E$233,3,FALSE()),IFERROR(VLOOKUP(B913,'Полупродукты'!$C$6:$E$60,3,FALSE()),0))</f>
        <v>18.9593</v>
      </c>
      <c r="F913" s="266">
        <f t="shared" si="1"/>
        <v>2.685110863</v>
      </c>
      <c r="G913" s="1">
        <v>0.0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0" customHeight="1">
      <c r="A914" s="1" t="s">
        <v>642</v>
      </c>
      <c r="B914" s="1" t="s">
        <v>570</v>
      </c>
      <c r="C914" s="1">
        <v>0.2884</v>
      </c>
      <c r="D914" s="1" t="s">
        <v>1606</v>
      </c>
      <c r="E914" s="266">
        <f>IFERROR(VLOOKUP(B914,'Сырьё'!$C$6:$E$233,3,FALSE()),IFERROR(VLOOKUP(B914,'Полупродукты'!$C$6:$E$60,3,FALSE()),0))</f>
        <v>3.3046</v>
      </c>
      <c r="F914" s="266">
        <f t="shared" si="1"/>
        <v>0.95304664</v>
      </c>
      <c r="G914" s="1">
        <v>0.0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0" customHeight="1">
      <c r="A915" s="1" t="s">
        <v>671</v>
      </c>
      <c r="B915" s="1" t="s">
        <v>579</v>
      </c>
      <c r="C915" s="1">
        <v>0.215813</v>
      </c>
      <c r="D915" s="1" t="s">
        <v>1422</v>
      </c>
      <c r="E915" s="266">
        <f>IFERROR(VLOOKUP(B915,'Сырьё'!$C$6:$E$233,3,FALSE()),IFERROR(VLOOKUP(B915,'Полупродукты'!$C$6:$E$60,3,FALSE()),0))</f>
        <v>1.2831</v>
      </c>
      <c r="F915" s="266">
        <f t="shared" si="1"/>
        <v>0.2769096603</v>
      </c>
      <c r="G915" s="1">
        <v>0.0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0" customHeight="1">
      <c r="A916" s="1" t="s">
        <v>671</v>
      </c>
      <c r="B916" s="1" t="s">
        <v>594</v>
      </c>
      <c r="C916" s="1">
        <v>0.262207</v>
      </c>
      <c r="D916" s="1" t="s">
        <v>3316</v>
      </c>
      <c r="E916" s="266">
        <f>IFERROR(VLOOKUP(B916,'Сырьё'!$C$6:$E$233,3,FALSE()),IFERROR(VLOOKUP(B916,'Полупродукты'!$C$6:$E$60,3,FALSE()),0))</f>
        <v>1.7145</v>
      </c>
      <c r="F916" s="266">
        <f t="shared" si="1"/>
        <v>0.4495539015</v>
      </c>
      <c r="G916" s="1">
        <v>0.0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0" customHeight="1">
      <c r="A917" s="1" t="s">
        <v>671</v>
      </c>
      <c r="B917" s="1" t="s">
        <v>593</v>
      </c>
      <c r="C917" s="1">
        <v>0.132046</v>
      </c>
      <c r="D917" s="1" t="s">
        <v>3317</v>
      </c>
      <c r="E917" s="266">
        <f>IFERROR(VLOOKUP(B917,'Сырьё'!$C$6:$E$233,3,FALSE()),IFERROR(VLOOKUP(B917,'Полупродукты'!$C$6:$E$60,3,FALSE()),0))</f>
        <v>1.6575</v>
      </c>
      <c r="F917" s="266">
        <f t="shared" si="1"/>
        <v>0.218866245</v>
      </c>
      <c r="G917" s="1">
        <v>0.0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0" customHeight="1">
      <c r="A918" s="1" t="s">
        <v>671</v>
      </c>
      <c r="B918" s="1" t="s">
        <v>549</v>
      </c>
      <c r="C918" s="1">
        <v>0.133385</v>
      </c>
      <c r="D918" s="1" t="s">
        <v>3318</v>
      </c>
      <c r="E918" s="266">
        <f>IFERROR(VLOOKUP(B918,'Сырьё'!$C$6:$E$233,3,FALSE()),IFERROR(VLOOKUP(B918,'Полупродукты'!$C$6:$E$60,3,FALSE()),0))</f>
        <v>6.519</v>
      </c>
      <c r="F918" s="266">
        <f t="shared" si="1"/>
        <v>0.869536815</v>
      </c>
      <c r="G918" s="1">
        <v>0.0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0" customHeight="1">
      <c r="A919" s="1" t="s">
        <v>671</v>
      </c>
      <c r="B919" s="1" t="s">
        <v>542</v>
      </c>
      <c r="C919" s="1">
        <v>0.028119</v>
      </c>
      <c r="D919" s="1" t="s">
        <v>3319</v>
      </c>
      <c r="E919" s="266">
        <f>IFERROR(VLOOKUP(B919,'Сырьё'!$C$6:$E$233,3,FALSE()),IFERROR(VLOOKUP(B919,'Полупродукты'!$C$6:$E$60,3,FALSE()),0))</f>
        <v>16.0534</v>
      </c>
      <c r="F919" s="266">
        <f t="shared" si="1"/>
        <v>0.4514055546</v>
      </c>
      <c r="G919" s="1">
        <v>0.0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0" customHeight="1">
      <c r="A920" s="1" t="s">
        <v>671</v>
      </c>
      <c r="B920" s="1" t="s">
        <v>541</v>
      </c>
      <c r="C920" s="1">
        <v>0.004017</v>
      </c>
      <c r="D920" s="1" t="s">
        <v>3320</v>
      </c>
      <c r="E920" s="266">
        <f>IFERROR(VLOOKUP(B920,'Сырьё'!$C$6:$E$233,3,FALSE()),IFERROR(VLOOKUP(B920,'Полупродукты'!$C$6:$E$60,3,FALSE()),0))</f>
        <v>78.7704</v>
      </c>
      <c r="F920" s="266">
        <f t="shared" si="1"/>
        <v>0.3164206968</v>
      </c>
      <c r="G920" s="1">
        <v>0.0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0" customHeight="1">
      <c r="A921" s="1" t="s">
        <v>671</v>
      </c>
      <c r="B921" s="1" t="s">
        <v>553</v>
      </c>
      <c r="C921" s="1">
        <v>0.16068</v>
      </c>
      <c r="D921" s="1" t="s">
        <v>3321</v>
      </c>
      <c r="E921" s="266">
        <f>IFERROR(VLOOKUP(B921,'Сырьё'!$C$6:$E$233,3,FALSE()),IFERROR(VLOOKUP(B921,'Полупродукты'!$C$6:$E$60,3,FALSE()),0))</f>
        <v>3.5357</v>
      </c>
      <c r="F921" s="266">
        <f t="shared" si="1"/>
        <v>0.568116276</v>
      </c>
      <c r="G921" s="1">
        <v>0.0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0" customHeight="1">
      <c r="A922" s="1" t="s">
        <v>671</v>
      </c>
      <c r="B922" s="1" t="s">
        <v>520</v>
      </c>
      <c r="C922" s="1">
        <v>6.9E-4</v>
      </c>
      <c r="D922" s="1" t="s">
        <v>3322</v>
      </c>
      <c r="E922" s="266">
        <f>IFERROR(VLOOKUP(B922,'Сырьё'!$C$6:$E$233,3,FALSE()),IFERROR(VLOOKUP(B922,'Полупродукты'!$C$6:$E$60,3,FALSE()),0))</f>
        <v>30.1527</v>
      </c>
      <c r="F922" s="266">
        <f t="shared" si="1"/>
        <v>0.020805363</v>
      </c>
      <c r="G922" s="1">
        <v>0.0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0" customHeight="1">
      <c r="A923" s="1" t="s">
        <v>671</v>
      </c>
      <c r="B923" s="1" t="s">
        <v>570</v>
      </c>
      <c r="C923" s="1">
        <v>0.069618</v>
      </c>
      <c r="D923" s="1" t="s">
        <v>3323</v>
      </c>
      <c r="E923" s="266">
        <f>IFERROR(VLOOKUP(B923,'Сырьё'!$C$6:$E$233,3,FALSE()),IFERROR(VLOOKUP(B923,'Полупродукты'!$C$6:$E$60,3,FALSE()),0))</f>
        <v>3.3046</v>
      </c>
      <c r="F923" s="266">
        <f t="shared" si="1"/>
        <v>0.2300596428</v>
      </c>
      <c r="G923" s="1">
        <v>0.0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0" customHeight="1">
      <c r="A924" s="1" t="s">
        <v>671</v>
      </c>
      <c r="B924" s="1" t="s">
        <v>591</v>
      </c>
      <c r="C924" s="1">
        <v>0.01589</v>
      </c>
      <c r="D924" s="1" t="s">
        <v>3324</v>
      </c>
      <c r="E924" s="266">
        <f>IFERROR(VLOOKUP(B924,'Сырьё'!$C$6:$E$233,3,FALSE()),IFERROR(VLOOKUP(B924,'Полупродукты'!$C$6:$E$60,3,FALSE()),0))</f>
        <v>1.9734</v>
      </c>
      <c r="F924" s="266">
        <f t="shared" si="1"/>
        <v>0.031357326</v>
      </c>
      <c r="G924" s="1">
        <v>0.0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0" customHeight="1">
      <c r="A925" s="1" t="s">
        <v>671</v>
      </c>
      <c r="B925" s="1" t="s">
        <v>532</v>
      </c>
      <c r="C925" s="1">
        <v>0.005531</v>
      </c>
      <c r="D925" s="1" t="s">
        <v>3325</v>
      </c>
      <c r="E925" s="266">
        <f>IFERROR(VLOOKUP(B925,'Сырьё'!$C$6:$E$233,3,FALSE()),IFERROR(VLOOKUP(B925,'Полупродукты'!$C$6:$E$60,3,FALSE()),0))</f>
        <v>2.337</v>
      </c>
      <c r="F925" s="266">
        <f t="shared" si="1"/>
        <v>0.012925947</v>
      </c>
      <c r="G925" s="1">
        <v>0.0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0" customHeight="1">
      <c r="A926" s="1" t="s">
        <v>671</v>
      </c>
      <c r="B926" s="1" t="s">
        <v>571</v>
      </c>
      <c r="C926" s="1">
        <v>0.00515</v>
      </c>
      <c r="D926" s="1" t="s">
        <v>1420</v>
      </c>
      <c r="E926" s="266">
        <f>IFERROR(VLOOKUP(B926,'Сырьё'!$C$6:$E$233,3,FALSE()),IFERROR(VLOOKUP(B926,'Полупродукты'!$C$6:$E$60,3,FALSE()),0))</f>
        <v>14.556</v>
      </c>
      <c r="F926" s="266">
        <f t="shared" si="1"/>
        <v>0.0749634</v>
      </c>
      <c r="G926" s="1">
        <v>0.0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0" customHeight="1">
      <c r="A927" s="1" t="s">
        <v>740</v>
      </c>
      <c r="B927" s="1" t="s">
        <v>594</v>
      </c>
      <c r="C927" s="1">
        <v>0.1545</v>
      </c>
      <c r="D927" s="1" t="s">
        <v>2047</v>
      </c>
      <c r="E927" s="266">
        <f>IFERROR(VLOOKUP(B927,'Сырьё'!$C$6:$E$233,3,FALSE()),IFERROR(VLOOKUP(B927,'Полупродукты'!$C$6:$E$60,3,FALSE()),0))</f>
        <v>1.7145</v>
      </c>
      <c r="F927" s="266">
        <f t="shared" si="1"/>
        <v>0.26489025</v>
      </c>
      <c r="G927" s="1">
        <v>0.0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0" customHeight="1">
      <c r="A928" s="1" t="s">
        <v>740</v>
      </c>
      <c r="B928" s="1" t="s">
        <v>579</v>
      </c>
      <c r="C928" s="1">
        <v>0.309</v>
      </c>
      <c r="D928" s="1" t="s">
        <v>2049</v>
      </c>
      <c r="E928" s="266">
        <f>IFERROR(VLOOKUP(B928,'Сырьё'!$C$6:$E$233,3,FALSE()),IFERROR(VLOOKUP(B928,'Полупродукты'!$C$6:$E$60,3,FALSE()),0))</f>
        <v>1.2831</v>
      </c>
      <c r="F928" s="266">
        <f t="shared" si="1"/>
        <v>0.3964779</v>
      </c>
      <c r="G928" s="1">
        <v>0.0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0" customHeight="1">
      <c r="A929" s="1" t="s">
        <v>740</v>
      </c>
      <c r="B929" s="1" t="s">
        <v>593</v>
      </c>
      <c r="C929" s="1">
        <v>0.1545</v>
      </c>
      <c r="D929" s="1" t="s">
        <v>2051</v>
      </c>
      <c r="E929" s="266">
        <f>IFERROR(VLOOKUP(B929,'Сырьё'!$C$6:$E$233,3,FALSE()),IFERROR(VLOOKUP(B929,'Полупродукты'!$C$6:$E$60,3,FALSE()),0))</f>
        <v>1.6575</v>
      </c>
      <c r="F929" s="266">
        <f t="shared" si="1"/>
        <v>0.25608375</v>
      </c>
      <c r="G929" s="1">
        <v>0.0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0" customHeight="1">
      <c r="A930" s="1" t="s">
        <v>740</v>
      </c>
      <c r="B930" s="1" t="s">
        <v>585</v>
      </c>
      <c r="C930" s="1">
        <v>0.1236</v>
      </c>
      <c r="D930" s="1" t="s">
        <v>3326</v>
      </c>
      <c r="E930" s="266">
        <f>IFERROR(VLOOKUP(B930,'Сырьё'!$C$6:$E$233,3,FALSE()),IFERROR(VLOOKUP(B930,'Полупродукты'!$C$6:$E$60,3,FALSE()),0))</f>
        <v>6.9052</v>
      </c>
      <c r="F930" s="266">
        <f t="shared" si="1"/>
        <v>0.85348272</v>
      </c>
      <c r="G930" s="1">
        <v>0.0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0" customHeight="1">
      <c r="A931" s="1" t="s">
        <v>740</v>
      </c>
      <c r="B931" s="1" t="s">
        <v>537</v>
      </c>
      <c r="C931" s="1">
        <v>0.0309</v>
      </c>
      <c r="D931" s="1" t="s">
        <v>2055</v>
      </c>
      <c r="E931" s="266">
        <f>IFERROR(VLOOKUP(B931,'Сырьё'!$C$6:$E$233,3,FALSE()),IFERROR(VLOOKUP(B931,'Полупродукты'!$C$6:$E$60,3,FALSE()),0))</f>
        <v>8.8284</v>
      </c>
      <c r="F931" s="266">
        <f t="shared" si="1"/>
        <v>0.27279756</v>
      </c>
      <c r="G931" s="1">
        <v>0.0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0" customHeight="1">
      <c r="A932" s="1" t="s">
        <v>740</v>
      </c>
      <c r="B932" s="1" t="s">
        <v>561</v>
      </c>
      <c r="C932" s="1">
        <v>0.2575</v>
      </c>
      <c r="D932" s="1" t="s">
        <v>2057</v>
      </c>
      <c r="E932" s="266">
        <f>IFERROR(VLOOKUP(B932,'Сырьё'!$C$6:$E$233,3,FALSE()),IFERROR(VLOOKUP(B932,'Полупродукты'!$C$6:$E$60,3,FALSE()),0))</f>
        <v>18.9593</v>
      </c>
      <c r="F932" s="266">
        <f t="shared" si="1"/>
        <v>4.88201975</v>
      </c>
      <c r="G932" s="1">
        <v>0.0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0" customHeight="1">
      <c r="A933" s="1" t="s">
        <v>744</v>
      </c>
      <c r="B933" s="1" t="s">
        <v>594</v>
      </c>
      <c r="C933" s="1">
        <v>0.206</v>
      </c>
      <c r="D933" s="1" t="s">
        <v>2035</v>
      </c>
      <c r="E933" s="266">
        <f>IFERROR(VLOOKUP(B933,'Сырьё'!$C$6:$E$233,3,FALSE()),IFERROR(VLOOKUP(B933,'Полупродукты'!$C$6:$E$60,3,FALSE()),0))</f>
        <v>1.7145</v>
      </c>
      <c r="F933" s="266">
        <f t="shared" si="1"/>
        <v>0.353187</v>
      </c>
      <c r="G933" s="1">
        <v>0.0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0" customHeight="1">
      <c r="A934" s="1" t="s">
        <v>744</v>
      </c>
      <c r="B934" s="1" t="s">
        <v>579</v>
      </c>
      <c r="C934" s="1">
        <v>0.3193</v>
      </c>
      <c r="D934" s="1" t="s">
        <v>2037</v>
      </c>
      <c r="E934" s="266">
        <f>IFERROR(VLOOKUP(B934,'Сырьё'!$C$6:$E$233,3,FALSE()),IFERROR(VLOOKUP(B934,'Полупродукты'!$C$6:$E$60,3,FALSE()),0))</f>
        <v>1.2831</v>
      </c>
      <c r="F934" s="266">
        <f t="shared" si="1"/>
        <v>0.40969383</v>
      </c>
      <c r="G934" s="1">
        <v>0.0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0" customHeight="1">
      <c r="A935" s="1" t="s">
        <v>744</v>
      </c>
      <c r="B935" s="1" t="s">
        <v>593</v>
      </c>
      <c r="C935" s="1">
        <v>0.1545</v>
      </c>
      <c r="D935" s="1" t="s">
        <v>2039</v>
      </c>
      <c r="E935" s="266">
        <f>IFERROR(VLOOKUP(B935,'Сырьё'!$C$6:$E$233,3,FALSE()),IFERROR(VLOOKUP(B935,'Полупродукты'!$C$6:$E$60,3,FALSE()),0))</f>
        <v>1.6575</v>
      </c>
      <c r="F935" s="266">
        <f t="shared" si="1"/>
        <v>0.25608375</v>
      </c>
      <c r="G935" s="1">
        <v>0.0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0" customHeight="1">
      <c r="A936" s="1" t="s">
        <v>744</v>
      </c>
      <c r="B936" s="1" t="s">
        <v>585</v>
      </c>
      <c r="C936" s="1">
        <v>0.1236</v>
      </c>
      <c r="D936" s="1" t="s">
        <v>3327</v>
      </c>
      <c r="E936" s="266">
        <f>IFERROR(VLOOKUP(B936,'Сырьё'!$C$6:$E$233,3,FALSE()),IFERROR(VLOOKUP(B936,'Полупродукты'!$C$6:$E$60,3,FALSE()),0))</f>
        <v>6.9052</v>
      </c>
      <c r="F936" s="266">
        <f t="shared" si="1"/>
        <v>0.85348272</v>
      </c>
      <c r="G936" s="1">
        <v>0.0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0" customHeight="1">
      <c r="A937" s="1" t="s">
        <v>744</v>
      </c>
      <c r="B937" s="1" t="s">
        <v>537</v>
      </c>
      <c r="C937" s="1">
        <v>0.0206</v>
      </c>
      <c r="D937" s="1" t="s">
        <v>2043</v>
      </c>
      <c r="E937" s="266">
        <f>IFERROR(VLOOKUP(B937,'Сырьё'!$C$6:$E$233,3,FALSE()),IFERROR(VLOOKUP(B937,'Полупродукты'!$C$6:$E$60,3,FALSE()),0))</f>
        <v>8.8284</v>
      </c>
      <c r="F937" s="266">
        <f t="shared" si="1"/>
        <v>0.18186504</v>
      </c>
      <c r="G937" s="1">
        <v>0.0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0" customHeight="1">
      <c r="A938" s="1" t="s">
        <v>744</v>
      </c>
      <c r="B938" s="1" t="s">
        <v>560</v>
      </c>
      <c r="C938" s="1">
        <v>0.206</v>
      </c>
      <c r="D938" s="1" t="s">
        <v>2045</v>
      </c>
      <c r="E938" s="266">
        <f>IFERROR(VLOOKUP(B938,'Сырьё'!$C$6:$E$233,3,FALSE()),IFERROR(VLOOKUP(B938,'Полупродукты'!$C$6:$E$60,3,FALSE()),0))</f>
        <v>0</v>
      </c>
      <c r="F938" s="266">
        <f t="shared" si="1"/>
        <v>0</v>
      </c>
      <c r="G938" s="1">
        <v>0.0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0" customHeight="1">
      <c r="A939" s="1" t="s">
        <v>767</v>
      </c>
      <c r="B939" s="1" t="s">
        <v>549</v>
      </c>
      <c r="C939" s="1">
        <v>0.103</v>
      </c>
      <c r="D939" s="1" t="s">
        <v>1966</v>
      </c>
      <c r="E939" s="266">
        <f>IFERROR(VLOOKUP(B939,'Сырьё'!$C$6:$E$233,3,FALSE()),IFERROR(VLOOKUP(B939,'Полупродукты'!$C$6:$E$60,3,FALSE()),0))</f>
        <v>6.519</v>
      </c>
      <c r="F939" s="266">
        <f t="shared" si="1"/>
        <v>0.671457</v>
      </c>
      <c r="G939" s="1">
        <v>0.0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0" customHeight="1">
      <c r="A940" s="1" t="s">
        <v>767</v>
      </c>
      <c r="B940" s="1" t="s">
        <v>537</v>
      </c>
      <c r="C940" s="1">
        <v>0.02575</v>
      </c>
      <c r="D940" s="1" t="s">
        <v>1968</v>
      </c>
      <c r="E940" s="266">
        <f>IFERROR(VLOOKUP(B940,'Сырьё'!$C$6:$E$233,3,FALSE()),IFERROR(VLOOKUP(B940,'Полупродукты'!$C$6:$E$60,3,FALSE()),0))</f>
        <v>8.8284</v>
      </c>
      <c r="F940" s="266">
        <f t="shared" si="1"/>
        <v>0.2273313</v>
      </c>
      <c r="G940" s="1">
        <v>0.0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0" customHeight="1">
      <c r="A941" s="1" t="s">
        <v>767</v>
      </c>
      <c r="B941" s="1" t="s">
        <v>594</v>
      </c>
      <c r="C941" s="1">
        <v>0.4635</v>
      </c>
      <c r="D941" s="1" t="s">
        <v>1970</v>
      </c>
      <c r="E941" s="266">
        <f>IFERROR(VLOOKUP(B941,'Сырьё'!$C$6:$E$233,3,FALSE()),IFERROR(VLOOKUP(B941,'Полупродукты'!$C$6:$E$60,3,FALSE()),0))</f>
        <v>1.7145</v>
      </c>
      <c r="F941" s="266">
        <f t="shared" si="1"/>
        <v>0.79467075</v>
      </c>
      <c r="G941" s="1">
        <v>0.0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0" customHeight="1">
      <c r="A942" s="1" t="s">
        <v>767</v>
      </c>
      <c r="B942" s="1" t="s">
        <v>541</v>
      </c>
      <c r="C942" s="1">
        <v>0.00515</v>
      </c>
      <c r="D942" s="1" t="s">
        <v>1972</v>
      </c>
      <c r="E942" s="266">
        <f>IFERROR(VLOOKUP(B942,'Сырьё'!$C$6:$E$233,3,FALSE()),IFERROR(VLOOKUP(B942,'Полупродукты'!$C$6:$E$60,3,FALSE()),0))</f>
        <v>78.7704</v>
      </c>
      <c r="F942" s="266">
        <f t="shared" si="1"/>
        <v>0.40566756</v>
      </c>
      <c r="G942" s="1">
        <v>0.0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0" customHeight="1">
      <c r="A943" s="1" t="s">
        <v>767</v>
      </c>
      <c r="B943" s="1" t="s">
        <v>554</v>
      </c>
      <c r="C943" s="1">
        <v>0.2884</v>
      </c>
      <c r="D943" s="1" t="s">
        <v>1974</v>
      </c>
      <c r="E943" s="266">
        <f>IFERROR(VLOOKUP(B943,'Сырьё'!$C$6:$E$233,3,FALSE()),IFERROR(VLOOKUP(B943,'Полупродукты'!$C$6:$E$60,3,FALSE()),0))</f>
        <v>7.3406</v>
      </c>
      <c r="F943" s="266">
        <f t="shared" si="1"/>
        <v>2.11702904</v>
      </c>
      <c r="G943" s="1">
        <v>0.0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0" customHeight="1">
      <c r="A944" s="1" t="s">
        <v>767</v>
      </c>
      <c r="B944" s="1" t="s">
        <v>579</v>
      </c>
      <c r="C944" s="1">
        <v>0.1442</v>
      </c>
      <c r="D944" s="1" t="s">
        <v>1976</v>
      </c>
      <c r="E944" s="266">
        <f>IFERROR(VLOOKUP(B944,'Сырьё'!$C$6:$E$233,3,FALSE()),IFERROR(VLOOKUP(B944,'Полупродукты'!$C$6:$E$60,3,FALSE()),0))</f>
        <v>1.2831</v>
      </c>
      <c r="F944" s="266">
        <f t="shared" si="1"/>
        <v>0.18502302</v>
      </c>
      <c r="G944" s="1">
        <v>0.0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0" customHeight="1">
      <c r="A945" s="1" t="s">
        <v>672</v>
      </c>
      <c r="B945" s="1" t="s">
        <v>579</v>
      </c>
      <c r="C945" s="1">
        <v>0.215574</v>
      </c>
      <c r="D945" s="1" t="s">
        <v>1456</v>
      </c>
      <c r="E945" s="266">
        <f>IFERROR(VLOOKUP(B945,'Сырьё'!$C$6:$E$233,3,FALSE()),IFERROR(VLOOKUP(B945,'Полупродукты'!$C$6:$E$60,3,FALSE()),0))</f>
        <v>1.2831</v>
      </c>
      <c r="F945" s="266">
        <f t="shared" si="1"/>
        <v>0.2766029994</v>
      </c>
      <c r="G945" s="1">
        <v>0.0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0" customHeight="1">
      <c r="A946" s="1" t="s">
        <v>672</v>
      </c>
      <c r="B946" s="1" t="s">
        <v>594</v>
      </c>
      <c r="C946" s="1">
        <v>0.267785</v>
      </c>
      <c r="D946" s="1" t="s">
        <v>3328</v>
      </c>
      <c r="E946" s="266">
        <f>IFERROR(VLOOKUP(B946,'Сырьё'!$C$6:$E$233,3,FALSE()),IFERROR(VLOOKUP(B946,'Полупродукты'!$C$6:$E$60,3,FALSE()),0))</f>
        <v>1.7145</v>
      </c>
      <c r="F946" s="266">
        <f t="shared" si="1"/>
        <v>0.4591173825</v>
      </c>
      <c r="G946" s="1">
        <v>0.0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0" customHeight="1">
      <c r="A947" s="1" t="s">
        <v>672</v>
      </c>
      <c r="B947" s="1" t="s">
        <v>593</v>
      </c>
      <c r="C947" s="1">
        <v>0.132046</v>
      </c>
      <c r="D947" s="1" t="s">
        <v>3329</v>
      </c>
      <c r="E947" s="266">
        <f>IFERROR(VLOOKUP(B947,'Сырьё'!$C$6:$E$233,3,FALSE()),IFERROR(VLOOKUP(B947,'Полупродукты'!$C$6:$E$60,3,FALSE()),0))</f>
        <v>1.6575</v>
      </c>
      <c r="F947" s="266">
        <f t="shared" si="1"/>
        <v>0.218866245</v>
      </c>
      <c r="G947" s="1">
        <v>0.0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0" customHeight="1">
      <c r="A948" s="1" t="s">
        <v>672</v>
      </c>
      <c r="B948" s="1" t="s">
        <v>549</v>
      </c>
      <c r="C948" s="1">
        <v>0.133385</v>
      </c>
      <c r="D948" s="1" t="s">
        <v>3330</v>
      </c>
      <c r="E948" s="266">
        <f>IFERROR(VLOOKUP(B948,'Сырьё'!$C$6:$E$233,3,FALSE()),IFERROR(VLOOKUP(B948,'Полупродукты'!$C$6:$E$60,3,FALSE()),0))</f>
        <v>6.519</v>
      </c>
      <c r="F948" s="266">
        <f t="shared" si="1"/>
        <v>0.869536815</v>
      </c>
      <c r="G948" s="1">
        <v>0.0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0" customHeight="1">
      <c r="A949" s="1" t="s">
        <v>672</v>
      </c>
      <c r="B949" s="1" t="s">
        <v>542</v>
      </c>
      <c r="C949" s="1">
        <v>0.028119</v>
      </c>
      <c r="D949" s="1" t="s">
        <v>3331</v>
      </c>
      <c r="E949" s="266">
        <f>IFERROR(VLOOKUP(B949,'Сырьё'!$C$6:$E$233,3,FALSE()),IFERROR(VLOOKUP(B949,'Полупродукты'!$C$6:$E$60,3,FALSE()),0))</f>
        <v>16.0534</v>
      </c>
      <c r="F949" s="266">
        <f t="shared" si="1"/>
        <v>0.4514055546</v>
      </c>
      <c r="G949" s="1">
        <v>0.0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0" customHeight="1">
      <c r="A950" s="1" t="s">
        <v>672</v>
      </c>
      <c r="B950" s="1" t="s">
        <v>541</v>
      </c>
      <c r="C950" s="1">
        <v>0.004017</v>
      </c>
      <c r="D950" s="1" t="s">
        <v>3332</v>
      </c>
      <c r="E950" s="266">
        <f>IFERROR(VLOOKUP(B950,'Сырьё'!$C$6:$E$233,3,FALSE()),IFERROR(VLOOKUP(B950,'Полупродукты'!$C$6:$E$60,3,FALSE()),0))</f>
        <v>78.7704</v>
      </c>
      <c r="F950" s="266">
        <f t="shared" si="1"/>
        <v>0.3164206968</v>
      </c>
      <c r="G950" s="1">
        <v>0.0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0" customHeight="1">
      <c r="A951" s="1" t="s">
        <v>672</v>
      </c>
      <c r="B951" s="1" t="s">
        <v>553</v>
      </c>
      <c r="C951" s="1">
        <v>0.16068</v>
      </c>
      <c r="D951" s="1" t="s">
        <v>3333</v>
      </c>
      <c r="E951" s="266">
        <f>IFERROR(VLOOKUP(B951,'Сырьё'!$C$6:$E$233,3,FALSE()),IFERROR(VLOOKUP(B951,'Полупродукты'!$C$6:$E$60,3,FALSE()),0))</f>
        <v>3.5357</v>
      </c>
      <c r="F951" s="266">
        <f t="shared" si="1"/>
        <v>0.568116276</v>
      </c>
      <c r="G951" s="1">
        <v>0.0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0" customHeight="1">
      <c r="A952" s="1" t="s">
        <v>672</v>
      </c>
      <c r="B952" s="1" t="s">
        <v>520</v>
      </c>
      <c r="C952" s="1">
        <v>0.001228</v>
      </c>
      <c r="D952" s="1" t="s">
        <v>3334</v>
      </c>
      <c r="E952" s="266">
        <f>IFERROR(VLOOKUP(B952,'Сырьё'!$C$6:$E$233,3,FALSE()),IFERROR(VLOOKUP(B952,'Полупродукты'!$C$6:$E$60,3,FALSE()),0))</f>
        <v>30.1527</v>
      </c>
      <c r="F952" s="266">
        <f t="shared" si="1"/>
        <v>0.0370275156</v>
      </c>
      <c r="G952" s="1">
        <v>0.0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0" customHeight="1">
      <c r="A953" s="1" t="s">
        <v>672</v>
      </c>
      <c r="B953" s="1" t="s">
        <v>570</v>
      </c>
      <c r="C953" s="1">
        <v>0.036555</v>
      </c>
      <c r="D953" s="1" t="s">
        <v>3335</v>
      </c>
      <c r="E953" s="266">
        <f>IFERROR(VLOOKUP(B953,'Сырьё'!$C$6:$E$233,3,FALSE()),IFERROR(VLOOKUP(B953,'Полупродукты'!$C$6:$E$60,3,FALSE()),0))</f>
        <v>3.3046</v>
      </c>
      <c r="F953" s="266">
        <f t="shared" si="1"/>
        <v>0.120799653</v>
      </c>
      <c r="G953" s="1">
        <v>0.0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0" customHeight="1">
      <c r="A954" s="1" t="s">
        <v>672</v>
      </c>
      <c r="B954" s="1" t="s">
        <v>569</v>
      </c>
      <c r="C954" s="1">
        <v>0.027748</v>
      </c>
      <c r="D954" s="1" t="s">
        <v>3336</v>
      </c>
      <c r="E954" s="266">
        <f>IFERROR(VLOOKUP(B954,'Сырьё'!$C$6:$E$233,3,FALSE()),IFERROR(VLOOKUP(B954,'Полупродукты'!$C$6:$E$60,3,FALSE()),0))</f>
        <v>3.2853</v>
      </c>
      <c r="F954" s="266">
        <f t="shared" si="1"/>
        <v>0.0911605044</v>
      </c>
      <c r="G954" s="1">
        <v>0.0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0" customHeight="1">
      <c r="A955" s="1" t="s">
        <v>672</v>
      </c>
      <c r="B955" s="1" t="s">
        <v>591</v>
      </c>
      <c r="C955" s="1">
        <v>0.015651</v>
      </c>
      <c r="D955" s="1" t="s">
        <v>3337</v>
      </c>
      <c r="E955" s="266">
        <f>IFERROR(VLOOKUP(B955,'Сырьё'!$C$6:$E$233,3,FALSE()),IFERROR(VLOOKUP(B955,'Полупродукты'!$C$6:$E$60,3,FALSE()),0))</f>
        <v>1.9734</v>
      </c>
      <c r="F955" s="266">
        <f t="shared" si="1"/>
        <v>0.0308856834</v>
      </c>
      <c r="G955" s="1">
        <v>0.0</v>
      </c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0" customHeight="1">
      <c r="A956" s="1" t="s">
        <v>672</v>
      </c>
      <c r="B956" s="1" t="s">
        <v>532</v>
      </c>
      <c r="C956" s="1">
        <v>0.005516</v>
      </c>
      <c r="D956" s="1" t="s">
        <v>3338</v>
      </c>
      <c r="E956" s="266">
        <f>IFERROR(VLOOKUP(B956,'Сырьё'!$C$6:$E$233,3,FALSE()),IFERROR(VLOOKUP(B956,'Полупродукты'!$C$6:$E$60,3,FALSE()),0))</f>
        <v>2.337</v>
      </c>
      <c r="F956" s="266">
        <f t="shared" si="1"/>
        <v>0.012890892</v>
      </c>
      <c r="G956" s="1">
        <v>0.0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0" customHeight="1">
      <c r="A957" s="1" t="s">
        <v>672</v>
      </c>
      <c r="B957" s="1" t="s">
        <v>571</v>
      </c>
      <c r="C957" s="1">
        <v>0.00515</v>
      </c>
      <c r="D957" s="1" t="s">
        <v>1454</v>
      </c>
      <c r="E957" s="266">
        <f>IFERROR(VLOOKUP(B957,'Сырьё'!$C$6:$E$233,3,FALSE()),IFERROR(VLOOKUP(B957,'Полупродукты'!$C$6:$E$60,3,FALSE()),0))</f>
        <v>14.556</v>
      </c>
      <c r="F957" s="266">
        <f t="shared" si="1"/>
        <v>0.0749634</v>
      </c>
      <c r="G957" s="1">
        <v>0.0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0" customHeight="1">
      <c r="A958" s="1" t="s">
        <v>756</v>
      </c>
      <c r="B958" s="1" t="s">
        <v>579</v>
      </c>
      <c r="C958" s="1">
        <v>0.5253</v>
      </c>
      <c r="D958" s="1" t="s">
        <v>1796</v>
      </c>
      <c r="E958" s="266">
        <f>IFERROR(VLOOKUP(B958,'Сырьё'!$C$6:$E$233,3,FALSE()),IFERROR(VLOOKUP(B958,'Полупродукты'!$C$6:$E$60,3,FALSE()),0))</f>
        <v>1.2831</v>
      </c>
      <c r="F958" s="266">
        <f t="shared" si="1"/>
        <v>0.67401243</v>
      </c>
      <c r="G958" s="1">
        <v>0.0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0" customHeight="1">
      <c r="A959" s="1" t="s">
        <v>756</v>
      </c>
      <c r="B959" s="1" t="s">
        <v>593</v>
      </c>
      <c r="C959" s="1">
        <v>0.2781</v>
      </c>
      <c r="D959" s="1" t="s">
        <v>1798</v>
      </c>
      <c r="E959" s="266">
        <f>IFERROR(VLOOKUP(B959,'Сырьё'!$C$6:$E$233,3,FALSE()),IFERROR(VLOOKUP(B959,'Полупродукты'!$C$6:$E$60,3,FALSE()),0))</f>
        <v>1.6575</v>
      </c>
      <c r="F959" s="266">
        <f t="shared" si="1"/>
        <v>0.46095075</v>
      </c>
      <c r="G959" s="1">
        <v>0.0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0" customHeight="1">
      <c r="A960" s="1" t="s">
        <v>756</v>
      </c>
      <c r="B960" s="1" t="s">
        <v>585</v>
      </c>
      <c r="C960" s="1">
        <v>0.2266</v>
      </c>
      <c r="D960" s="1" t="s">
        <v>1800</v>
      </c>
      <c r="E960" s="266">
        <f>IFERROR(VLOOKUP(B960,'Сырьё'!$C$6:$E$233,3,FALSE()),IFERROR(VLOOKUP(B960,'Полупродукты'!$C$6:$E$60,3,FALSE()),0))</f>
        <v>6.9052</v>
      </c>
      <c r="F960" s="266">
        <f t="shared" si="1"/>
        <v>1.56471832</v>
      </c>
      <c r="G960" s="1">
        <v>0.0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0" customHeight="1">
      <c r="A961" s="1" t="s">
        <v>633</v>
      </c>
      <c r="B961" s="1" t="s">
        <v>567</v>
      </c>
      <c r="C961" s="1">
        <v>0.144118</v>
      </c>
      <c r="D961" s="1" t="s">
        <v>3339</v>
      </c>
      <c r="E961" s="266">
        <f>IFERROR(VLOOKUP(B961,'Сырьё'!$C$6:$E$233,3,FALSE()),IFERROR(VLOOKUP(B961,'Полупродукты'!$C$6:$E$60,3,FALSE()),0))</f>
        <v>0</v>
      </c>
      <c r="F961" s="266">
        <f t="shared" si="1"/>
        <v>0</v>
      </c>
      <c r="G961" s="1">
        <v>0.0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0" customHeight="1">
      <c r="A962" s="1" t="s">
        <v>633</v>
      </c>
      <c r="B962" s="1" t="s">
        <v>550</v>
      </c>
      <c r="C962" s="1">
        <v>0.077868</v>
      </c>
      <c r="D962" s="1" t="s">
        <v>3340</v>
      </c>
      <c r="E962" s="266">
        <f>IFERROR(VLOOKUP(B962,'Сырьё'!$C$6:$E$233,3,FALSE()),IFERROR(VLOOKUP(B962,'Полупродукты'!$C$6:$E$60,3,FALSE()),0))</f>
        <v>0</v>
      </c>
      <c r="F962" s="266">
        <f t="shared" si="1"/>
        <v>0</v>
      </c>
      <c r="G962" s="1">
        <v>0.0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0" customHeight="1">
      <c r="A963" s="1" t="s">
        <v>633</v>
      </c>
      <c r="B963" s="1" t="s">
        <v>594</v>
      </c>
      <c r="C963" s="1">
        <v>0.266116</v>
      </c>
      <c r="D963" s="1" t="s">
        <v>3341</v>
      </c>
      <c r="E963" s="266">
        <f>IFERROR(VLOOKUP(B963,'Сырьё'!$C$6:$E$233,3,FALSE()),IFERROR(VLOOKUP(B963,'Полупродукты'!$C$6:$E$60,3,FALSE()),0))</f>
        <v>1.7145</v>
      </c>
      <c r="F963" s="266">
        <f t="shared" si="1"/>
        <v>0.456255882</v>
      </c>
      <c r="G963" s="1">
        <v>0.0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0" customHeight="1">
      <c r="A964" s="1" t="s">
        <v>633</v>
      </c>
      <c r="B964" s="1" t="s">
        <v>579</v>
      </c>
      <c r="C964" s="1">
        <v>0.274232</v>
      </c>
      <c r="D964" s="1" t="s">
        <v>1000</v>
      </c>
      <c r="E964" s="266">
        <f>IFERROR(VLOOKUP(B964,'Сырьё'!$C$6:$E$233,3,FALSE()),IFERROR(VLOOKUP(B964,'Полупродукты'!$C$6:$E$60,3,FALSE()),0))</f>
        <v>1.2831</v>
      </c>
      <c r="F964" s="266">
        <f t="shared" si="1"/>
        <v>0.3518670792</v>
      </c>
      <c r="G964" s="1">
        <v>0.0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0" customHeight="1">
      <c r="A965" s="1" t="s">
        <v>633</v>
      </c>
      <c r="B965" s="1" t="s">
        <v>593</v>
      </c>
      <c r="C965" s="1">
        <v>0.119377</v>
      </c>
      <c r="D965" s="1" t="s">
        <v>3342</v>
      </c>
      <c r="E965" s="266">
        <f>IFERROR(VLOOKUP(B965,'Сырьё'!$C$6:$E$233,3,FALSE()),IFERROR(VLOOKUP(B965,'Полупродукты'!$C$6:$E$60,3,FALSE()),0))</f>
        <v>1.6575</v>
      </c>
      <c r="F965" s="266">
        <f t="shared" si="1"/>
        <v>0.1978673775</v>
      </c>
      <c r="G965" s="1">
        <v>0.0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0" customHeight="1">
      <c r="A966" s="1" t="s">
        <v>633</v>
      </c>
      <c r="B966" s="1" t="s">
        <v>570</v>
      </c>
      <c r="C966" s="1">
        <v>0.036555</v>
      </c>
      <c r="D966" s="1" t="s">
        <v>3343</v>
      </c>
      <c r="E966" s="266">
        <f>IFERROR(VLOOKUP(B966,'Сырьё'!$C$6:$E$233,3,FALSE()),IFERROR(VLOOKUP(B966,'Полупродукты'!$C$6:$E$60,3,FALSE()),0))</f>
        <v>3.3046</v>
      </c>
      <c r="F966" s="266">
        <f t="shared" si="1"/>
        <v>0.120799653</v>
      </c>
      <c r="G966" s="1">
        <v>0.0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0" customHeight="1">
      <c r="A967" s="1" t="s">
        <v>633</v>
      </c>
      <c r="B967" s="1" t="s">
        <v>569</v>
      </c>
      <c r="C967" s="1">
        <v>0.027748</v>
      </c>
      <c r="D967" s="1" t="s">
        <v>3344</v>
      </c>
      <c r="E967" s="266">
        <f>IFERROR(VLOOKUP(B967,'Сырьё'!$C$6:$E$233,3,FALSE()),IFERROR(VLOOKUP(B967,'Полупродукты'!$C$6:$E$60,3,FALSE()),0))</f>
        <v>3.2853</v>
      </c>
      <c r="F967" s="266">
        <f t="shared" si="1"/>
        <v>0.0911605044</v>
      </c>
      <c r="G967" s="1">
        <v>0.0</v>
      </c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0" customHeight="1">
      <c r="A968" s="1" t="s">
        <v>633</v>
      </c>
      <c r="B968" s="1" t="s">
        <v>591</v>
      </c>
      <c r="C968" s="1">
        <v>0.015651</v>
      </c>
      <c r="D968" s="1" t="s">
        <v>3345</v>
      </c>
      <c r="E968" s="266">
        <f>IFERROR(VLOOKUP(B968,'Сырьё'!$C$6:$E$233,3,FALSE()),IFERROR(VLOOKUP(B968,'Полупродукты'!$C$6:$E$60,3,FALSE()),0))</f>
        <v>1.9734</v>
      </c>
      <c r="F968" s="266">
        <f t="shared" si="1"/>
        <v>0.0308856834</v>
      </c>
      <c r="G968" s="1">
        <v>0.0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0" customHeight="1">
      <c r="A969" s="1" t="s">
        <v>633</v>
      </c>
      <c r="B969" s="1" t="s">
        <v>532</v>
      </c>
      <c r="C969" s="1">
        <v>0.005516</v>
      </c>
      <c r="D969" s="1" t="s">
        <v>3346</v>
      </c>
      <c r="E969" s="266">
        <f>IFERROR(VLOOKUP(B969,'Сырьё'!$C$6:$E$233,3,FALSE()),IFERROR(VLOOKUP(B969,'Полупродукты'!$C$6:$E$60,3,FALSE()),0))</f>
        <v>2.337</v>
      </c>
      <c r="F969" s="266">
        <f t="shared" si="1"/>
        <v>0.012890892</v>
      </c>
      <c r="G969" s="1">
        <v>0.0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0" customHeight="1">
      <c r="A970" s="1" t="s">
        <v>633</v>
      </c>
      <c r="B970" s="1" t="s">
        <v>520</v>
      </c>
      <c r="C970" s="1">
        <v>5.38E-4</v>
      </c>
      <c r="D970" s="1" t="s">
        <v>3347</v>
      </c>
      <c r="E970" s="266">
        <f>IFERROR(VLOOKUP(B970,'Сырьё'!$C$6:$E$233,3,FALSE()),IFERROR(VLOOKUP(B970,'Полупродукты'!$C$6:$E$60,3,FALSE()),0))</f>
        <v>30.1527</v>
      </c>
      <c r="F970" s="266">
        <f t="shared" si="1"/>
        <v>0.0162221526</v>
      </c>
      <c r="G970" s="1">
        <v>0.0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0" customHeight="1">
      <c r="A971" s="1" t="s">
        <v>633</v>
      </c>
      <c r="B971" s="1" t="s">
        <v>571</v>
      </c>
      <c r="C971" s="1">
        <v>0.00515</v>
      </c>
      <c r="D971" s="1" t="s">
        <v>998</v>
      </c>
      <c r="E971" s="266">
        <f>IFERROR(VLOOKUP(B971,'Сырьё'!$C$6:$E$233,3,FALSE()),IFERROR(VLOOKUP(B971,'Полупродукты'!$C$6:$E$60,3,FALSE()),0))</f>
        <v>14.556</v>
      </c>
      <c r="F971" s="266">
        <f t="shared" si="1"/>
        <v>0.0749634</v>
      </c>
      <c r="G971" s="1">
        <v>0.0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0" customHeight="1">
      <c r="A972" s="1" t="s">
        <v>633</v>
      </c>
      <c r="B972" s="1" t="s">
        <v>549</v>
      </c>
      <c r="C972" s="1">
        <v>0.024463</v>
      </c>
      <c r="D972" s="1" t="s">
        <v>3348</v>
      </c>
      <c r="E972" s="266">
        <f>IFERROR(VLOOKUP(B972,'Сырьё'!$C$6:$E$233,3,FALSE()),IFERROR(VLOOKUP(B972,'Полупродукты'!$C$6:$E$60,3,FALSE()),0))</f>
        <v>6.519</v>
      </c>
      <c r="F972" s="266">
        <f t="shared" si="1"/>
        <v>0.159474297</v>
      </c>
      <c r="G972" s="1">
        <v>0.0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0" customHeight="1">
      <c r="A973" s="1" t="s">
        <v>633</v>
      </c>
      <c r="B973" s="1" t="s">
        <v>573</v>
      </c>
      <c r="C973" s="1">
        <v>0.0515</v>
      </c>
      <c r="D973" s="1" t="s">
        <v>1004</v>
      </c>
      <c r="E973" s="266">
        <f>IFERROR(VLOOKUP(B973,'Сырьё'!$C$6:$E$233,3,FALSE()),IFERROR(VLOOKUP(B973,'Полупродукты'!$C$6:$E$60,3,FALSE()),0))</f>
        <v>4.7016</v>
      </c>
      <c r="F973" s="266">
        <f t="shared" si="1"/>
        <v>0.2421324</v>
      </c>
      <c r="G973" s="1">
        <v>0.0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0" customHeight="1">
      <c r="A974" s="1" t="s">
        <v>398</v>
      </c>
      <c r="B974" s="1" t="s">
        <v>398</v>
      </c>
      <c r="C974" s="1">
        <v>1.0</v>
      </c>
      <c r="D974" s="1" t="s">
        <v>3349</v>
      </c>
      <c r="E974" s="266">
        <f>IFERROR(VLOOKUP(B974,'Сырьё'!$C$6:$E$233,3,FALSE()),IFERROR(VLOOKUP(B974,'Полупродукты'!$C$6:$E$60,3,FALSE()),0))</f>
        <v>2.2294</v>
      </c>
      <c r="F974" s="266">
        <f t="shared" si="1"/>
        <v>2.2294</v>
      </c>
      <c r="G974" s="1">
        <v>1.0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0" customHeight="1">
      <c r="A975" s="1" t="s">
        <v>610</v>
      </c>
      <c r="B975" s="1" t="s">
        <v>594</v>
      </c>
      <c r="C975" s="1">
        <v>0.1545</v>
      </c>
      <c r="D975" s="1" t="s">
        <v>2134</v>
      </c>
      <c r="E975" s="266">
        <f>IFERROR(VLOOKUP(B975,'Сырьё'!$C$6:$E$233,3,FALSE()),IFERROR(VLOOKUP(B975,'Полупродукты'!$C$6:$E$60,3,FALSE()),0))</f>
        <v>1.7145</v>
      </c>
      <c r="F975" s="266">
        <f t="shared" si="1"/>
        <v>0.26489025</v>
      </c>
      <c r="G975" s="1">
        <v>0.0</v>
      </c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0" customHeight="1">
      <c r="A976" s="1" t="s">
        <v>610</v>
      </c>
      <c r="B976" s="1" t="s">
        <v>579</v>
      </c>
      <c r="C976" s="1">
        <v>0.2575</v>
      </c>
      <c r="D976" s="1" t="s">
        <v>2136</v>
      </c>
      <c r="E976" s="266">
        <f>IFERROR(VLOOKUP(B976,'Сырьё'!$C$6:$E$233,3,FALSE()),IFERROR(VLOOKUP(B976,'Полупродукты'!$C$6:$E$60,3,FALSE()),0))</f>
        <v>1.2831</v>
      </c>
      <c r="F976" s="266">
        <f t="shared" si="1"/>
        <v>0.33039825</v>
      </c>
      <c r="G976" s="1">
        <v>0.0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0" customHeight="1">
      <c r="A977" s="1" t="s">
        <v>610</v>
      </c>
      <c r="B977" s="1" t="s">
        <v>593</v>
      </c>
      <c r="C977" s="1">
        <v>0.1545</v>
      </c>
      <c r="D977" s="1" t="s">
        <v>2138</v>
      </c>
      <c r="E977" s="266">
        <f>IFERROR(VLOOKUP(B977,'Сырьё'!$C$6:$E$233,3,FALSE()),IFERROR(VLOOKUP(B977,'Полупродукты'!$C$6:$E$60,3,FALSE()),0))</f>
        <v>1.6575</v>
      </c>
      <c r="F977" s="266">
        <f t="shared" si="1"/>
        <v>0.25608375</v>
      </c>
      <c r="G977" s="1">
        <v>0.0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0" customHeight="1">
      <c r="A978" s="1" t="s">
        <v>610</v>
      </c>
      <c r="B978" s="1" t="s">
        <v>545</v>
      </c>
      <c r="C978" s="1">
        <v>0.4635</v>
      </c>
      <c r="D978" s="1" t="s">
        <v>2140</v>
      </c>
      <c r="E978" s="266">
        <f>IFERROR(VLOOKUP(B978,'Сырьё'!$C$6:$E$233,3,FALSE()),IFERROR(VLOOKUP(B978,'Полупродукты'!$C$6:$E$60,3,FALSE()),0))</f>
        <v>11.43</v>
      </c>
      <c r="F978" s="266">
        <f t="shared" si="1"/>
        <v>5.297805</v>
      </c>
      <c r="G978" s="1">
        <v>0.0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0" customHeight="1">
      <c r="A979" s="1" t="s">
        <v>654</v>
      </c>
      <c r="B979" s="1" t="s">
        <v>586</v>
      </c>
      <c r="C979" s="1">
        <v>0.122647</v>
      </c>
      <c r="D979" s="1" t="s">
        <v>3350</v>
      </c>
      <c r="E979" s="266">
        <f>IFERROR(VLOOKUP(B979,'Сырьё'!$C$6:$E$233,3,FALSE()),IFERROR(VLOOKUP(B979,'Полупродукты'!$C$6:$E$60,3,FALSE()),0))</f>
        <v>53.4751</v>
      </c>
      <c r="F979" s="266">
        <f t="shared" si="1"/>
        <v>6.55856059</v>
      </c>
      <c r="G979" s="1">
        <v>0.0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0" customHeight="1">
      <c r="A980" s="1" t="s">
        <v>654</v>
      </c>
      <c r="B980" s="1" t="s">
        <v>550</v>
      </c>
      <c r="C980" s="1">
        <v>0.073645</v>
      </c>
      <c r="D980" s="1" t="s">
        <v>3351</v>
      </c>
      <c r="E980" s="266">
        <f>IFERROR(VLOOKUP(B980,'Сырьё'!$C$6:$E$233,3,FALSE()),IFERROR(VLOOKUP(B980,'Полупродукты'!$C$6:$E$60,3,FALSE()),0))</f>
        <v>0</v>
      </c>
      <c r="F980" s="266">
        <f t="shared" si="1"/>
        <v>0</v>
      </c>
      <c r="G980" s="1">
        <v>0.0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0" customHeight="1">
      <c r="A981" s="1" t="s">
        <v>654</v>
      </c>
      <c r="B981" s="1" t="s">
        <v>594</v>
      </c>
      <c r="C981" s="1">
        <v>0.343732</v>
      </c>
      <c r="D981" s="1" t="s">
        <v>3352</v>
      </c>
      <c r="E981" s="266">
        <f>IFERROR(VLOOKUP(B981,'Сырьё'!$C$6:$E$233,3,FALSE()),IFERROR(VLOOKUP(B981,'Полупродукты'!$C$6:$E$60,3,FALSE()),0))</f>
        <v>1.7145</v>
      </c>
      <c r="F981" s="266">
        <f t="shared" si="1"/>
        <v>0.589328514</v>
      </c>
      <c r="G981" s="1">
        <v>0.0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0" customHeight="1">
      <c r="A982" s="1" t="s">
        <v>654</v>
      </c>
      <c r="B982" s="1" t="s">
        <v>579</v>
      </c>
      <c r="C982" s="1">
        <v>0.20317</v>
      </c>
      <c r="D982" s="1" t="s">
        <v>3353</v>
      </c>
      <c r="E982" s="266">
        <f>IFERROR(VLOOKUP(B982,'Сырьё'!$C$6:$E$233,3,FALSE()),IFERROR(VLOOKUP(B982,'Полупродукты'!$C$6:$E$60,3,FALSE()),0))</f>
        <v>1.2831</v>
      </c>
      <c r="F982" s="266">
        <f t="shared" si="1"/>
        <v>0.260687427</v>
      </c>
      <c r="G982" s="1">
        <v>0.0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0" customHeight="1">
      <c r="A983" s="1" t="s">
        <v>654</v>
      </c>
      <c r="B983" s="1" t="s">
        <v>593</v>
      </c>
      <c r="C983" s="1">
        <v>0.16789</v>
      </c>
      <c r="D983" s="1" t="s">
        <v>3354</v>
      </c>
      <c r="E983" s="266">
        <f>IFERROR(VLOOKUP(B983,'Сырьё'!$C$6:$E$233,3,FALSE()),IFERROR(VLOOKUP(B983,'Полупродукты'!$C$6:$E$60,3,FALSE()),0))</f>
        <v>1.6575</v>
      </c>
      <c r="F983" s="266">
        <f t="shared" si="1"/>
        <v>0.278277675</v>
      </c>
      <c r="G983" s="1">
        <v>0.0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0" customHeight="1">
      <c r="A984" s="1" t="s">
        <v>654</v>
      </c>
      <c r="B984" s="1" t="s">
        <v>537</v>
      </c>
      <c r="C984" s="1">
        <v>0.01218</v>
      </c>
      <c r="D984" s="1" t="s">
        <v>3355</v>
      </c>
      <c r="E984" s="266">
        <f>IFERROR(VLOOKUP(B984,'Сырьё'!$C$6:$E$233,3,FALSE()),IFERROR(VLOOKUP(B984,'Полупродукты'!$C$6:$E$60,3,FALSE()),0))</f>
        <v>8.8284</v>
      </c>
      <c r="F984" s="266">
        <f t="shared" si="1"/>
        <v>0.107529912</v>
      </c>
      <c r="G984" s="1">
        <v>0.0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0" customHeight="1">
      <c r="A985" s="1" t="s">
        <v>654</v>
      </c>
      <c r="B985" s="1" t="s">
        <v>570</v>
      </c>
      <c r="C985" s="1">
        <v>0.069618</v>
      </c>
      <c r="D985" s="1" t="s">
        <v>3356</v>
      </c>
      <c r="E985" s="266">
        <f>IFERROR(VLOOKUP(B985,'Сырьё'!$C$6:$E$233,3,FALSE()),IFERROR(VLOOKUP(B985,'Полупродукты'!$C$6:$E$60,3,FALSE()),0))</f>
        <v>3.3046</v>
      </c>
      <c r="F985" s="266">
        <f t="shared" si="1"/>
        <v>0.2300596428</v>
      </c>
      <c r="G985" s="1">
        <v>0.0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0" customHeight="1">
      <c r="A986" s="1" t="s">
        <v>654</v>
      </c>
      <c r="B986" s="1" t="s">
        <v>591</v>
      </c>
      <c r="C986" s="1">
        <v>0.01589</v>
      </c>
      <c r="D986" s="1" t="s">
        <v>3357</v>
      </c>
      <c r="E986" s="266">
        <f>IFERROR(VLOOKUP(B986,'Сырьё'!$C$6:$E$233,3,FALSE()),IFERROR(VLOOKUP(B986,'Полупродукты'!$C$6:$E$60,3,FALSE()),0))</f>
        <v>1.9734</v>
      </c>
      <c r="F986" s="266">
        <f t="shared" si="1"/>
        <v>0.031357326</v>
      </c>
      <c r="G986" s="1">
        <v>0.0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0" customHeight="1">
      <c r="A987" s="1" t="s">
        <v>654</v>
      </c>
      <c r="B987" s="1" t="s">
        <v>532</v>
      </c>
      <c r="C987" s="1">
        <v>0.005531</v>
      </c>
      <c r="D987" s="1" t="s">
        <v>3358</v>
      </c>
      <c r="E987" s="266">
        <f>IFERROR(VLOOKUP(B987,'Сырьё'!$C$6:$E$233,3,FALSE()),IFERROR(VLOOKUP(B987,'Полупродукты'!$C$6:$E$60,3,FALSE()),0))</f>
        <v>2.337</v>
      </c>
      <c r="F987" s="266">
        <f t="shared" si="1"/>
        <v>0.012925947</v>
      </c>
      <c r="G987" s="1">
        <v>0.0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0" customHeight="1">
      <c r="A988" s="1" t="s">
        <v>654</v>
      </c>
      <c r="B988" s="1" t="s">
        <v>549</v>
      </c>
      <c r="C988" s="1">
        <v>0.06489</v>
      </c>
      <c r="D988" s="1" t="s">
        <v>3359</v>
      </c>
      <c r="E988" s="266">
        <f>IFERROR(VLOOKUP(B988,'Сырьё'!$C$6:$E$233,3,FALSE()),IFERROR(VLOOKUP(B988,'Полупродукты'!$C$6:$E$60,3,FALSE()),0))</f>
        <v>6.519</v>
      </c>
      <c r="F988" s="266">
        <f t="shared" si="1"/>
        <v>0.42301791</v>
      </c>
      <c r="G988" s="1">
        <v>0.0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0" customHeight="1">
      <c r="A989" s="1" t="s">
        <v>654</v>
      </c>
      <c r="B989" s="1" t="s">
        <v>520</v>
      </c>
      <c r="C989" s="1">
        <v>6.85E-4</v>
      </c>
      <c r="D989" s="1" t="s">
        <v>3360</v>
      </c>
      <c r="E989" s="266">
        <f>IFERROR(VLOOKUP(B989,'Сырьё'!$C$6:$E$233,3,FALSE()),IFERROR(VLOOKUP(B989,'Полупродукты'!$C$6:$E$60,3,FALSE()),0))</f>
        <v>30.1527</v>
      </c>
      <c r="F989" s="266">
        <f t="shared" si="1"/>
        <v>0.0206545995</v>
      </c>
      <c r="G989" s="1">
        <v>0.0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0" customHeight="1">
      <c r="A990" s="1" t="s">
        <v>742</v>
      </c>
      <c r="B990" s="1" t="s">
        <v>594</v>
      </c>
      <c r="C990" s="1">
        <v>0.1545</v>
      </c>
      <c r="D990" s="1" t="s">
        <v>2025</v>
      </c>
      <c r="E990" s="266">
        <f>IFERROR(VLOOKUP(B990,'Сырьё'!$C$6:$E$233,3,FALSE()),IFERROR(VLOOKUP(B990,'Полупродукты'!$C$6:$E$60,3,FALSE()),0))</f>
        <v>1.7145</v>
      </c>
      <c r="F990" s="266">
        <f t="shared" si="1"/>
        <v>0.26489025</v>
      </c>
      <c r="G990" s="1">
        <v>0.0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0" customHeight="1">
      <c r="A991" s="1" t="s">
        <v>742</v>
      </c>
      <c r="B991" s="1" t="s">
        <v>579</v>
      </c>
      <c r="C991" s="1">
        <v>0.3399</v>
      </c>
      <c r="D991" s="1" t="s">
        <v>2027</v>
      </c>
      <c r="E991" s="266">
        <f>IFERROR(VLOOKUP(B991,'Сырьё'!$C$6:$E$233,3,FALSE()),IFERROR(VLOOKUP(B991,'Полупродукты'!$C$6:$E$60,3,FALSE()),0))</f>
        <v>1.2831</v>
      </c>
      <c r="F991" s="266">
        <f t="shared" si="1"/>
        <v>0.43612569</v>
      </c>
      <c r="G991" s="1">
        <v>0.0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0" customHeight="1">
      <c r="A992" s="1" t="s">
        <v>742</v>
      </c>
      <c r="B992" s="1" t="s">
        <v>593</v>
      </c>
      <c r="C992" s="1">
        <v>0.1545</v>
      </c>
      <c r="D992" s="1" t="s">
        <v>2029</v>
      </c>
      <c r="E992" s="266">
        <f>IFERROR(VLOOKUP(B992,'Сырьё'!$C$6:$E$233,3,FALSE()),IFERROR(VLOOKUP(B992,'Полупродукты'!$C$6:$E$60,3,FALSE()),0))</f>
        <v>1.6575</v>
      </c>
      <c r="F992" s="266">
        <f t="shared" si="1"/>
        <v>0.25608375</v>
      </c>
      <c r="G992" s="1">
        <v>0.0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0" customHeight="1">
      <c r="A993" s="1" t="s">
        <v>742</v>
      </c>
      <c r="B993" s="1" t="s">
        <v>585</v>
      </c>
      <c r="C993" s="1">
        <v>0.1236</v>
      </c>
      <c r="D993" s="1" t="s">
        <v>2031</v>
      </c>
      <c r="E993" s="266">
        <f>IFERROR(VLOOKUP(B993,'Сырьё'!$C$6:$E$233,3,FALSE()),IFERROR(VLOOKUP(B993,'Полупродукты'!$C$6:$E$60,3,FALSE()),0))</f>
        <v>6.9052</v>
      </c>
      <c r="F993" s="266">
        <f t="shared" si="1"/>
        <v>0.85348272</v>
      </c>
      <c r="G993" s="1">
        <v>0.0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0" customHeight="1">
      <c r="A994" s="1" t="s">
        <v>742</v>
      </c>
      <c r="B994" s="1" t="s">
        <v>559</v>
      </c>
      <c r="C994" s="1">
        <v>0.2575</v>
      </c>
      <c r="D994" s="1" t="s">
        <v>2033</v>
      </c>
      <c r="E994" s="266">
        <f>IFERROR(VLOOKUP(B994,'Сырьё'!$C$6:$E$233,3,FALSE()),IFERROR(VLOOKUP(B994,'Полупродукты'!$C$6:$E$60,3,FALSE()),0))</f>
        <v>0</v>
      </c>
      <c r="F994" s="266">
        <f t="shared" si="1"/>
        <v>0</v>
      </c>
      <c r="G994" s="1">
        <v>0.0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0" customHeight="1">
      <c r="A995" s="1" t="s">
        <v>769</v>
      </c>
      <c r="B995" s="1" t="s">
        <v>594</v>
      </c>
      <c r="C995" s="1">
        <v>0.206</v>
      </c>
      <c r="D995" s="1" t="s">
        <v>1938</v>
      </c>
      <c r="E995" s="266">
        <f>IFERROR(VLOOKUP(B995,'Сырьё'!$C$6:$E$233,3,FALSE()),IFERROR(VLOOKUP(B995,'Полупродукты'!$C$6:$E$60,3,FALSE()),0))</f>
        <v>1.7145</v>
      </c>
      <c r="F995" s="266">
        <f t="shared" si="1"/>
        <v>0.353187</v>
      </c>
      <c r="G995" s="1">
        <v>0.0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0" customHeight="1">
      <c r="A996" s="1" t="s">
        <v>769</v>
      </c>
      <c r="B996" s="1" t="s">
        <v>579</v>
      </c>
      <c r="C996" s="1">
        <v>0.2575</v>
      </c>
      <c r="D996" s="1" t="s">
        <v>1940</v>
      </c>
      <c r="E996" s="266">
        <f>IFERROR(VLOOKUP(B996,'Сырьё'!$C$6:$E$233,3,FALSE()),IFERROR(VLOOKUP(B996,'Полупродукты'!$C$6:$E$60,3,FALSE()),0))</f>
        <v>1.2831</v>
      </c>
      <c r="F996" s="266">
        <f t="shared" si="1"/>
        <v>0.33039825</v>
      </c>
      <c r="G996" s="1">
        <v>0.0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0" customHeight="1">
      <c r="A997" s="1" t="s">
        <v>769</v>
      </c>
      <c r="B997" s="1" t="s">
        <v>593</v>
      </c>
      <c r="C997" s="1">
        <v>0.15965</v>
      </c>
      <c r="D997" s="1" t="s">
        <v>1942</v>
      </c>
      <c r="E997" s="266">
        <f>IFERROR(VLOOKUP(B997,'Сырьё'!$C$6:$E$233,3,FALSE()),IFERROR(VLOOKUP(B997,'Полупродукты'!$C$6:$E$60,3,FALSE()),0))</f>
        <v>1.6575</v>
      </c>
      <c r="F997" s="266">
        <f t="shared" si="1"/>
        <v>0.264619875</v>
      </c>
      <c r="G997" s="1">
        <v>0.0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0" customHeight="1">
      <c r="A998" s="1" t="s">
        <v>769</v>
      </c>
      <c r="B998" s="1" t="s">
        <v>585</v>
      </c>
      <c r="C998" s="1">
        <v>0.10815</v>
      </c>
      <c r="D998" s="1" t="s">
        <v>1944</v>
      </c>
      <c r="E998" s="266">
        <f>IFERROR(VLOOKUP(B998,'Сырьё'!$C$6:$E$233,3,FALSE()),IFERROR(VLOOKUP(B998,'Полупродукты'!$C$6:$E$60,3,FALSE()),0))</f>
        <v>6.9052</v>
      </c>
      <c r="F998" s="266">
        <f t="shared" si="1"/>
        <v>0.74679738</v>
      </c>
      <c r="G998" s="1">
        <v>0.0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0" customHeight="1">
      <c r="A999" s="1" t="s">
        <v>769</v>
      </c>
      <c r="B999" s="1" t="s">
        <v>541</v>
      </c>
      <c r="C999" s="1">
        <v>0.00824</v>
      </c>
      <c r="D999" s="1" t="s">
        <v>1946</v>
      </c>
      <c r="E999" s="266">
        <f>IFERROR(VLOOKUP(B999,'Сырьё'!$C$6:$E$233,3,FALSE()),IFERROR(VLOOKUP(B999,'Полупродукты'!$C$6:$E$60,3,FALSE()),0))</f>
        <v>78.7704</v>
      </c>
      <c r="F999" s="266">
        <f t="shared" si="1"/>
        <v>0.649068096</v>
      </c>
      <c r="G999" s="1">
        <v>0.0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0" customHeight="1">
      <c r="A1000" s="1" t="s">
        <v>769</v>
      </c>
      <c r="B1000" s="1" t="s">
        <v>555</v>
      </c>
      <c r="C1000" s="1">
        <v>0.2575</v>
      </c>
      <c r="D1000" s="1" t="s">
        <v>1948</v>
      </c>
      <c r="E1000" s="266">
        <f>IFERROR(VLOOKUP(B1000,'Сырьё'!$C$6:$E$233,3,FALSE()),IFERROR(VLOOKUP(B1000,'Полупродукты'!$C$6:$E$60,3,FALSE()),0))</f>
        <v>8.4</v>
      </c>
      <c r="F1000" s="266">
        <f t="shared" si="1"/>
        <v>2.163</v>
      </c>
      <c r="G1000" s="1">
        <v>0.0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0" customHeight="1">
      <c r="A1001" s="1" t="s">
        <v>769</v>
      </c>
      <c r="B1001" s="1" t="s">
        <v>537</v>
      </c>
      <c r="C1001" s="1">
        <v>0.03296</v>
      </c>
      <c r="D1001" s="1" t="s">
        <v>1950</v>
      </c>
      <c r="E1001" s="266">
        <f>IFERROR(VLOOKUP(B1001,'Сырьё'!$C$6:$E$233,3,FALSE()),IFERROR(VLOOKUP(B1001,'Полупродукты'!$C$6:$E$60,3,FALSE()),0))</f>
        <v>8.8284</v>
      </c>
      <c r="F1001" s="266">
        <f t="shared" si="1"/>
        <v>0.290984064</v>
      </c>
      <c r="G1001" s="1">
        <v>0.0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0" customHeight="1">
      <c r="A1002" s="1" t="s">
        <v>655</v>
      </c>
      <c r="B1002" s="1" t="s">
        <v>594</v>
      </c>
      <c r="C1002" s="1">
        <v>0.3605</v>
      </c>
      <c r="D1002" s="1" t="s">
        <v>2144</v>
      </c>
      <c r="E1002" s="266">
        <f>IFERROR(VLOOKUP(B1002,'Сырьё'!$C$6:$E$233,3,FALSE()),IFERROR(VLOOKUP(B1002,'Полупродукты'!$C$6:$E$60,3,FALSE()),0))</f>
        <v>1.7145</v>
      </c>
      <c r="F1002" s="266">
        <f t="shared" si="1"/>
        <v>0.61807725</v>
      </c>
      <c r="G1002" s="1">
        <v>0.0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0" customHeight="1">
      <c r="A1003" s="1" t="s">
        <v>655</v>
      </c>
      <c r="B1003" s="1" t="s">
        <v>579</v>
      </c>
      <c r="C1003" s="1">
        <v>0.29355</v>
      </c>
      <c r="D1003" s="1" t="s">
        <v>2146</v>
      </c>
      <c r="E1003" s="266">
        <f>IFERROR(VLOOKUP(B1003,'Сырьё'!$C$6:$E$233,3,FALSE()),IFERROR(VLOOKUP(B1003,'Полупродукты'!$C$6:$E$60,3,FALSE()),0))</f>
        <v>1.2831</v>
      </c>
      <c r="F1003" s="266">
        <f t="shared" si="1"/>
        <v>0.376654005</v>
      </c>
      <c r="G1003" s="1">
        <v>0.0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0" customHeight="1">
      <c r="A1004" s="1" t="s">
        <v>655</v>
      </c>
      <c r="B1004" s="1" t="s">
        <v>588</v>
      </c>
      <c r="C1004" s="1">
        <v>0.206</v>
      </c>
      <c r="D1004" s="1" t="s">
        <v>2148</v>
      </c>
      <c r="E1004" s="266">
        <f>IFERROR(VLOOKUP(B1004,'Сырьё'!$C$6:$E$233,3,FALSE()),IFERROR(VLOOKUP(B1004,'Полупродукты'!$C$6:$E$60,3,FALSE()),0))</f>
        <v>5.0212</v>
      </c>
      <c r="F1004" s="266">
        <f t="shared" si="1"/>
        <v>1.0343672</v>
      </c>
      <c r="G1004" s="1">
        <v>0.0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0" customHeight="1">
      <c r="A1005" s="1" t="s">
        <v>655</v>
      </c>
      <c r="B1005" s="1" t="s">
        <v>532</v>
      </c>
      <c r="C1005" s="1">
        <v>0.01545</v>
      </c>
      <c r="D1005" s="1" t="s">
        <v>2150</v>
      </c>
      <c r="E1005" s="266">
        <f>IFERROR(VLOOKUP(B1005,'Сырьё'!$C$6:$E$233,3,FALSE()),IFERROR(VLOOKUP(B1005,'Полупродукты'!$C$6:$E$60,3,FALSE()),0))</f>
        <v>2.337</v>
      </c>
      <c r="F1005" s="266">
        <f t="shared" si="1"/>
        <v>0.03610665</v>
      </c>
      <c r="G1005" s="1">
        <v>0.0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0" customHeight="1">
      <c r="A1006" s="1" t="s">
        <v>655</v>
      </c>
      <c r="B1006" s="1" t="s">
        <v>545</v>
      </c>
      <c r="C1006" s="1">
        <v>0.1545</v>
      </c>
      <c r="D1006" s="1" t="s">
        <v>3361</v>
      </c>
      <c r="E1006" s="266">
        <f>IFERROR(VLOOKUP(B1006,'Сырьё'!$C$6:$E$233,3,FALSE()),IFERROR(VLOOKUP(B1006,'Полупродукты'!$C$6:$E$60,3,FALSE()),0))</f>
        <v>11.43</v>
      </c>
      <c r="F1006" s="266">
        <f t="shared" si="1"/>
        <v>1.765935</v>
      </c>
      <c r="G1006" s="1">
        <v>0.0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0" customHeight="1">
      <c r="A1007" s="1" t="s">
        <v>695</v>
      </c>
      <c r="B1007" s="1" t="s">
        <v>569</v>
      </c>
      <c r="C1007" s="1">
        <v>0.103</v>
      </c>
      <c r="D1007" s="1" t="s">
        <v>1188</v>
      </c>
      <c r="E1007" s="266">
        <f>IFERROR(VLOOKUP(B1007,'Сырьё'!$C$6:$E$233,3,FALSE()),IFERROR(VLOOKUP(B1007,'Полупродукты'!$C$6:$E$60,3,FALSE()),0))</f>
        <v>3.2853</v>
      </c>
      <c r="F1007" s="266">
        <f t="shared" si="1"/>
        <v>0.3383859</v>
      </c>
      <c r="G1007" s="1">
        <v>0.0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0" customHeight="1">
      <c r="A1008" s="1" t="s">
        <v>695</v>
      </c>
      <c r="B1008" s="1" t="s">
        <v>579</v>
      </c>
      <c r="C1008" s="1">
        <v>0.426461</v>
      </c>
      <c r="D1008" s="1" t="s">
        <v>1192</v>
      </c>
      <c r="E1008" s="266">
        <f>IFERROR(VLOOKUP(B1008,'Сырьё'!$C$6:$E$233,3,FALSE()),IFERROR(VLOOKUP(B1008,'Полупродукты'!$C$6:$E$60,3,FALSE()),0))</f>
        <v>1.2831</v>
      </c>
      <c r="F1008" s="266">
        <f t="shared" si="1"/>
        <v>0.5471921091</v>
      </c>
      <c r="G1008" s="1">
        <v>0.0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0" customHeight="1">
      <c r="A1009" s="1" t="s">
        <v>695</v>
      </c>
      <c r="B1009" s="1" t="s">
        <v>591</v>
      </c>
      <c r="C1009" s="1">
        <v>0.0515</v>
      </c>
      <c r="D1009" s="1" t="s">
        <v>3362</v>
      </c>
      <c r="E1009" s="266">
        <f>IFERROR(VLOOKUP(B1009,'Сырьё'!$C$6:$E$233,3,FALSE()),IFERROR(VLOOKUP(B1009,'Полупродукты'!$C$6:$E$60,3,FALSE()),0))</f>
        <v>1.9734</v>
      </c>
      <c r="F1009" s="266">
        <f t="shared" si="1"/>
        <v>0.1016301</v>
      </c>
      <c r="G1009" s="1">
        <v>0.0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0" customHeight="1">
      <c r="A1010" s="1" t="s">
        <v>695</v>
      </c>
      <c r="B1010" s="1" t="s">
        <v>593</v>
      </c>
      <c r="C1010" s="1">
        <v>0.140245</v>
      </c>
      <c r="D1010" s="1" t="s">
        <v>1194</v>
      </c>
      <c r="E1010" s="266">
        <f>IFERROR(VLOOKUP(B1010,'Сырьё'!$C$6:$E$233,3,FALSE()),IFERROR(VLOOKUP(B1010,'Полупродукты'!$C$6:$E$60,3,FALSE()),0))</f>
        <v>1.6575</v>
      </c>
      <c r="F1010" s="266">
        <f t="shared" si="1"/>
        <v>0.2324560875</v>
      </c>
      <c r="G1010" s="1">
        <v>0.0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0" customHeight="1">
      <c r="A1011" s="1" t="s">
        <v>695</v>
      </c>
      <c r="B1011" s="1" t="s">
        <v>549</v>
      </c>
      <c r="C1011" s="1">
        <v>0.08755</v>
      </c>
      <c r="D1011" s="1" t="s">
        <v>3363</v>
      </c>
      <c r="E1011" s="266">
        <f>IFERROR(VLOOKUP(B1011,'Сырьё'!$C$6:$E$233,3,FALSE()),IFERROR(VLOOKUP(B1011,'Полупродукты'!$C$6:$E$60,3,FALSE()),0))</f>
        <v>6.519</v>
      </c>
      <c r="F1011" s="266">
        <f t="shared" si="1"/>
        <v>0.57073845</v>
      </c>
      <c r="G1011" s="1">
        <v>0.0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0" customHeight="1">
      <c r="A1012" s="1" t="s">
        <v>695</v>
      </c>
      <c r="B1012" s="1" t="s">
        <v>594</v>
      </c>
      <c r="C1012" s="1">
        <v>0.077044</v>
      </c>
      <c r="D1012" s="1" t="s">
        <v>3364</v>
      </c>
      <c r="E1012" s="266">
        <f>IFERROR(VLOOKUP(B1012,'Сырьё'!$C$6:$E$233,3,FALSE()),IFERROR(VLOOKUP(B1012,'Полупродукты'!$C$6:$E$60,3,FALSE()),0))</f>
        <v>1.7145</v>
      </c>
      <c r="F1012" s="266">
        <f t="shared" si="1"/>
        <v>0.132091938</v>
      </c>
      <c r="G1012" s="1">
        <v>0.0</v>
      </c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0" customHeight="1">
      <c r="A1013" s="1" t="s">
        <v>695</v>
      </c>
      <c r="B1013" s="1" t="s">
        <v>539</v>
      </c>
      <c r="C1013" s="1">
        <v>0.1236</v>
      </c>
      <c r="D1013" s="1" t="s">
        <v>3365</v>
      </c>
      <c r="E1013" s="266">
        <f>IFERROR(VLOOKUP(B1013,'Сырьё'!$C$6:$E$233,3,FALSE()),IFERROR(VLOOKUP(B1013,'Полупродукты'!$C$6:$E$60,3,FALSE()),0))</f>
        <v>3.2337</v>
      </c>
      <c r="F1013" s="266">
        <f t="shared" si="1"/>
        <v>0.39968532</v>
      </c>
      <c r="G1013" s="1">
        <v>0.0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0" customHeight="1">
      <c r="A1014" s="1" t="s">
        <v>695</v>
      </c>
      <c r="B1014" s="1" t="s">
        <v>571</v>
      </c>
      <c r="C1014" s="1">
        <v>0.0206</v>
      </c>
      <c r="D1014" s="1" t="s">
        <v>1200</v>
      </c>
      <c r="E1014" s="266">
        <f>IFERROR(VLOOKUP(B1014,'Сырьё'!$C$6:$E$233,3,FALSE()),IFERROR(VLOOKUP(B1014,'Полупродукты'!$C$6:$E$60,3,FALSE()),0))</f>
        <v>14.556</v>
      </c>
      <c r="F1014" s="266">
        <f t="shared" si="1"/>
        <v>0.2998536</v>
      </c>
      <c r="G1014" s="1">
        <v>0.0</v>
      </c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0" customHeight="1">
      <c r="A1015" s="1" t="s">
        <v>444</v>
      </c>
      <c r="B1015" s="1" t="s">
        <v>444</v>
      </c>
      <c r="C1015" s="1">
        <v>1.0</v>
      </c>
      <c r="D1015" s="1" t="s">
        <v>3366</v>
      </c>
      <c r="E1015" s="266">
        <f>IFERROR(VLOOKUP(B1015,'Сырьё'!$C$6:$E$233,3,FALSE()),IFERROR(VLOOKUP(B1015,'Полупродукты'!$C$6:$E$60,3,FALSE()),0))</f>
        <v>3.4717</v>
      </c>
      <c r="F1015" s="266">
        <f t="shared" si="1"/>
        <v>3.4717</v>
      </c>
      <c r="G1015" s="1">
        <v>1.0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0" customHeight="1">
      <c r="A1016" s="1" t="s">
        <v>698</v>
      </c>
      <c r="B1016" s="1" t="s">
        <v>579</v>
      </c>
      <c r="C1016" s="1">
        <v>0.42024</v>
      </c>
      <c r="D1016" s="1" t="s">
        <v>3367</v>
      </c>
      <c r="E1016" s="266">
        <f>IFERROR(VLOOKUP(B1016,'Сырьё'!$C$6:$E$233,3,FALSE()),IFERROR(VLOOKUP(B1016,'Полупродукты'!$C$6:$E$60,3,FALSE()),0))</f>
        <v>1.2831</v>
      </c>
      <c r="F1016" s="266">
        <f t="shared" si="1"/>
        <v>0.539209944</v>
      </c>
      <c r="G1016" s="1">
        <v>0.0</v>
      </c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0" customHeight="1">
      <c r="A1017" s="1" t="s">
        <v>698</v>
      </c>
      <c r="B1017" s="1" t="s">
        <v>593</v>
      </c>
      <c r="C1017" s="1">
        <v>0.22248</v>
      </c>
      <c r="D1017" s="1" t="s">
        <v>3368</v>
      </c>
      <c r="E1017" s="266">
        <f>IFERROR(VLOOKUP(B1017,'Сырьё'!$C$6:$E$233,3,FALSE()),IFERROR(VLOOKUP(B1017,'Полупродукты'!$C$6:$E$60,3,FALSE()),0))</f>
        <v>1.6575</v>
      </c>
      <c r="F1017" s="266">
        <f t="shared" si="1"/>
        <v>0.3687606</v>
      </c>
      <c r="G1017" s="1">
        <v>0.0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0" customHeight="1">
      <c r="A1018" s="1" t="s">
        <v>698</v>
      </c>
      <c r="B1018" s="1" t="s">
        <v>585</v>
      </c>
      <c r="C1018" s="1">
        <v>0.18128</v>
      </c>
      <c r="D1018" s="1" t="s">
        <v>3369</v>
      </c>
      <c r="E1018" s="266">
        <f>IFERROR(VLOOKUP(B1018,'Сырьё'!$C$6:$E$233,3,FALSE()),IFERROR(VLOOKUP(B1018,'Полупродукты'!$C$6:$E$60,3,FALSE()),0))</f>
        <v>6.9052</v>
      </c>
      <c r="F1018" s="266">
        <f t="shared" si="1"/>
        <v>1.251774656</v>
      </c>
      <c r="G1018" s="1">
        <v>0.0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0" customHeight="1">
      <c r="A1019" s="1" t="s">
        <v>698</v>
      </c>
      <c r="B1019" s="1" t="s">
        <v>400</v>
      </c>
      <c r="C1019" s="1">
        <v>0.206</v>
      </c>
      <c r="D1019" s="1" t="s">
        <v>1812</v>
      </c>
      <c r="E1019" s="266">
        <f>IFERROR(VLOOKUP(B1019,'Сырьё'!$C$6:$E$233,3,FALSE()),IFERROR(VLOOKUP(B1019,'Полупродукты'!$C$6:$E$60,3,FALSE()),0))</f>
        <v>0</v>
      </c>
      <c r="F1019" s="266">
        <f t="shared" si="1"/>
        <v>0</v>
      </c>
      <c r="G1019" s="1">
        <v>1.0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0" customHeight="1">
      <c r="A1020" s="1" t="s">
        <v>757</v>
      </c>
      <c r="B1020" s="1" t="s">
        <v>594</v>
      </c>
      <c r="C1020" s="1">
        <v>0.4635</v>
      </c>
      <c r="D1020" s="1" t="s">
        <v>2164</v>
      </c>
      <c r="E1020" s="266">
        <f>IFERROR(VLOOKUP(B1020,'Сырьё'!$C$6:$E$233,3,FALSE()),IFERROR(VLOOKUP(B1020,'Полупродукты'!$C$6:$E$60,3,FALSE()),0))</f>
        <v>1.7145</v>
      </c>
      <c r="F1020" s="266">
        <f t="shared" si="1"/>
        <v>0.79467075</v>
      </c>
      <c r="G1020" s="1">
        <v>0.0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0" customHeight="1">
      <c r="A1021" s="1" t="s">
        <v>757</v>
      </c>
      <c r="B1021" s="1" t="s">
        <v>579</v>
      </c>
      <c r="C1021" s="1">
        <v>0.0927</v>
      </c>
      <c r="D1021" s="1" t="s">
        <v>2166</v>
      </c>
      <c r="E1021" s="266">
        <f>IFERROR(VLOOKUP(B1021,'Сырьё'!$C$6:$E$233,3,FALSE()),IFERROR(VLOOKUP(B1021,'Полупродукты'!$C$6:$E$60,3,FALSE()),0))</f>
        <v>1.2831</v>
      </c>
      <c r="F1021" s="266">
        <f t="shared" si="1"/>
        <v>0.11894337</v>
      </c>
      <c r="G1021" s="1">
        <v>0.0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0" customHeight="1">
      <c r="A1022" s="1" t="s">
        <v>757</v>
      </c>
      <c r="B1022" s="1" t="s">
        <v>593</v>
      </c>
      <c r="C1022" s="1">
        <v>0.2575</v>
      </c>
      <c r="D1022" s="1" t="s">
        <v>2168</v>
      </c>
      <c r="E1022" s="266">
        <f>IFERROR(VLOOKUP(B1022,'Сырьё'!$C$6:$E$233,3,FALSE()),IFERROR(VLOOKUP(B1022,'Полупродукты'!$C$6:$E$60,3,FALSE()),0))</f>
        <v>1.6575</v>
      </c>
      <c r="F1022" s="266">
        <f t="shared" si="1"/>
        <v>0.42680625</v>
      </c>
      <c r="G1022" s="1">
        <v>0.0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0" customHeight="1">
      <c r="A1023" s="1" t="s">
        <v>757</v>
      </c>
      <c r="B1023" s="1" t="s">
        <v>549</v>
      </c>
      <c r="C1023" s="1">
        <v>0.2163</v>
      </c>
      <c r="D1023" s="1" t="s">
        <v>2170</v>
      </c>
      <c r="E1023" s="266">
        <f>IFERROR(VLOOKUP(B1023,'Сырьё'!$C$6:$E$233,3,FALSE()),IFERROR(VLOOKUP(B1023,'Полупродукты'!$C$6:$E$60,3,FALSE()),0))</f>
        <v>6.519</v>
      </c>
      <c r="F1023" s="266">
        <f t="shared" si="1"/>
        <v>1.4100597</v>
      </c>
      <c r="G1023" s="1">
        <v>0.0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0" customHeight="1">
      <c r="A1024" s="1" t="s">
        <v>757</v>
      </c>
      <c r="B1024" s="1" t="s">
        <v>520</v>
      </c>
      <c r="C1024" s="1">
        <v>0.002284</v>
      </c>
      <c r="D1024" s="1" t="s">
        <v>2692</v>
      </c>
      <c r="E1024" s="266">
        <f>IFERROR(VLOOKUP(B1024,'Сырьё'!$C$6:$E$233,3,FALSE()),IFERROR(VLOOKUP(B1024,'Полупродукты'!$C$6:$E$60,3,FALSE()),0))</f>
        <v>30.1527</v>
      </c>
      <c r="F1024" s="266">
        <f t="shared" si="1"/>
        <v>0.0688687668</v>
      </c>
      <c r="G1024" s="1">
        <v>0.0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0" customHeight="1">
      <c r="A1025" s="1" t="s">
        <v>747</v>
      </c>
      <c r="B1025" s="1" t="s">
        <v>594</v>
      </c>
      <c r="C1025" s="1">
        <v>0.22145</v>
      </c>
      <c r="D1025" s="1" t="s">
        <v>2604</v>
      </c>
      <c r="E1025" s="266">
        <f>IFERROR(VLOOKUP(B1025,'Сырьё'!$C$6:$E$233,3,FALSE()),IFERROR(VLOOKUP(B1025,'Полупродукты'!$C$6:$E$60,3,FALSE()),0))</f>
        <v>1.7145</v>
      </c>
      <c r="F1025" s="266">
        <f t="shared" si="1"/>
        <v>0.379676025</v>
      </c>
      <c r="G1025" s="1">
        <v>0.0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0" customHeight="1">
      <c r="A1026" s="1" t="s">
        <v>747</v>
      </c>
      <c r="B1026" s="1" t="s">
        <v>579</v>
      </c>
      <c r="C1026" s="1">
        <v>0.296022</v>
      </c>
      <c r="D1026" s="1" t="s">
        <v>3370</v>
      </c>
      <c r="E1026" s="266">
        <f>IFERROR(VLOOKUP(B1026,'Сырьё'!$C$6:$E$233,3,FALSE()),IFERROR(VLOOKUP(B1026,'Полупродукты'!$C$6:$E$60,3,FALSE()),0))</f>
        <v>1.2831</v>
      </c>
      <c r="F1026" s="266">
        <f t="shared" si="1"/>
        <v>0.3798258282</v>
      </c>
      <c r="G1026" s="1">
        <v>0.0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0" customHeight="1">
      <c r="A1027" s="1" t="s">
        <v>747</v>
      </c>
      <c r="B1027" s="1" t="s">
        <v>593</v>
      </c>
      <c r="C1027" s="1">
        <v>0.22557</v>
      </c>
      <c r="D1027" s="1" t="s">
        <v>2602</v>
      </c>
      <c r="E1027" s="266">
        <f>IFERROR(VLOOKUP(B1027,'Сырьё'!$C$6:$E$233,3,FALSE()),IFERROR(VLOOKUP(B1027,'Полупродукты'!$C$6:$E$60,3,FALSE()),0))</f>
        <v>1.6575</v>
      </c>
      <c r="F1027" s="266">
        <f t="shared" si="1"/>
        <v>0.373882275</v>
      </c>
      <c r="G1027" s="1">
        <v>0.0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0" customHeight="1">
      <c r="A1028" s="1" t="s">
        <v>747</v>
      </c>
      <c r="B1028" s="1" t="s">
        <v>585</v>
      </c>
      <c r="C1028" s="1">
        <v>0.09888</v>
      </c>
      <c r="D1028" s="1" t="s">
        <v>3371</v>
      </c>
      <c r="E1028" s="266">
        <f>IFERROR(VLOOKUP(B1028,'Сырьё'!$C$6:$E$233,3,FALSE()),IFERROR(VLOOKUP(B1028,'Полупродукты'!$C$6:$E$60,3,FALSE()),0))</f>
        <v>6.9052</v>
      </c>
      <c r="F1028" s="266">
        <f t="shared" si="1"/>
        <v>0.682786176</v>
      </c>
      <c r="G1028" s="1">
        <v>0.0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0" customHeight="1">
      <c r="A1029" s="1" t="s">
        <v>747</v>
      </c>
      <c r="B1029" s="1" t="s">
        <v>537</v>
      </c>
      <c r="C1029" s="1">
        <v>0.014832</v>
      </c>
      <c r="D1029" s="1" t="s">
        <v>3372</v>
      </c>
      <c r="E1029" s="266">
        <f>IFERROR(VLOOKUP(B1029,'Сырьё'!$C$6:$E$233,3,FALSE()),IFERROR(VLOOKUP(B1029,'Полупродукты'!$C$6:$E$60,3,FALSE()),0))</f>
        <v>8.8284</v>
      </c>
      <c r="F1029" s="266">
        <f t="shared" si="1"/>
        <v>0.1309428288</v>
      </c>
      <c r="G1029" s="1">
        <v>0.0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0" customHeight="1">
      <c r="A1030" s="1" t="s">
        <v>747</v>
      </c>
      <c r="B1030" s="1" t="s">
        <v>543</v>
      </c>
      <c r="C1030" s="1">
        <v>0.003296</v>
      </c>
      <c r="D1030" s="1" t="s">
        <v>3373</v>
      </c>
      <c r="E1030" s="266">
        <f>IFERROR(VLOOKUP(B1030,'Сырьё'!$C$6:$E$233,3,FALSE()),IFERROR(VLOOKUP(B1030,'Полупродукты'!$C$6:$E$60,3,FALSE()),0))</f>
        <v>80.7112</v>
      </c>
      <c r="F1030" s="266">
        <f t="shared" si="1"/>
        <v>0.2660241152</v>
      </c>
      <c r="G1030" s="1">
        <v>0.0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0" customHeight="1">
      <c r="A1031" s="1" t="s">
        <v>747</v>
      </c>
      <c r="B1031" s="1" t="s">
        <v>565</v>
      </c>
      <c r="C1031" s="1">
        <v>0.14832</v>
      </c>
      <c r="D1031" s="1" t="s">
        <v>3374</v>
      </c>
      <c r="E1031" s="266">
        <f>IFERROR(VLOOKUP(B1031,'Сырьё'!$C$6:$E$233,3,FALSE()),IFERROR(VLOOKUP(B1031,'Полупродукты'!$C$6:$E$60,3,FALSE()),0))</f>
        <v>0</v>
      </c>
      <c r="F1031" s="266">
        <f t="shared" si="1"/>
        <v>0</v>
      </c>
      <c r="G1031" s="1">
        <v>0.0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0" customHeight="1">
      <c r="A1032" s="1" t="s">
        <v>747</v>
      </c>
      <c r="B1032" s="1" t="s">
        <v>549</v>
      </c>
      <c r="C1032" s="1">
        <v>0.02163</v>
      </c>
      <c r="D1032" s="1" t="s">
        <v>3375</v>
      </c>
      <c r="E1032" s="266">
        <f>IFERROR(VLOOKUP(B1032,'Сырьё'!$C$6:$E$233,3,FALSE()),IFERROR(VLOOKUP(B1032,'Полупродукты'!$C$6:$E$60,3,FALSE()),0))</f>
        <v>6.519</v>
      </c>
      <c r="F1032" s="266">
        <f t="shared" si="1"/>
        <v>0.14100597</v>
      </c>
      <c r="G1032" s="1">
        <v>0.0</v>
      </c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0" customHeight="1">
      <c r="A1033" s="1" t="s">
        <v>747</v>
      </c>
      <c r="B1033" s="1" t="s">
        <v>520</v>
      </c>
      <c r="C1033" s="1">
        <v>2.28E-4</v>
      </c>
      <c r="D1033" s="1" t="s">
        <v>3376</v>
      </c>
      <c r="E1033" s="266">
        <f>IFERROR(VLOOKUP(B1033,'Сырьё'!$C$6:$E$233,3,FALSE()),IFERROR(VLOOKUP(B1033,'Полупродукты'!$C$6:$E$60,3,FALSE()),0))</f>
        <v>30.1527</v>
      </c>
      <c r="F1033" s="266">
        <f t="shared" si="1"/>
        <v>0.0068748156</v>
      </c>
      <c r="G1033" s="1">
        <v>0.0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5.0" customHeight="1">
      <c r="A1034" s="1" t="s">
        <v>445</v>
      </c>
      <c r="B1034" s="1" t="s">
        <v>445</v>
      </c>
      <c r="C1034" s="1">
        <v>1.0</v>
      </c>
      <c r="D1034" s="1" t="s">
        <v>3377</v>
      </c>
      <c r="E1034" s="266">
        <f>IFERROR(VLOOKUP(B1034,'Сырьё'!$C$6:$E$233,3,FALSE()),IFERROR(VLOOKUP(B1034,'Полупродукты'!$C$6:$E$60,3,FALSE()),0))</f>
        <v>0</v>
      </c>
      <c r="F1034" s="266">
        <f t="shared" si="1"/>
        <v>0</v>
      </c>
      <c r="G1034" s="1">
        <v>1.0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5.0" customHeight="1">
      <c r="A1035" s="1" t="s">
        <v>402</v>
      </c>
      <c r="B1035" s="1" t="s">
        <v>402</v>
      </c>
      <c r="C1035" s="1">
        <v>1.0</v>
      </c>
      <c r="D1035" s="1" t="s">
        <v>3378</v>
      </c>
      <c r="E1035" s="266">
        <f>IFERROR(VLOOKUP(B1035,'Сырьё'!$C$6:$E$233,3,FALSE()),IFERROR(VLOOKUP(B1035,'Полупродукты'!$C$6:$E$60,3,FALSE()),0))</f>
        <v>0</v>
      </c>
      <c r="F1035" s="266">
        <f t="shared" si="1"/>
        <v>0</v>
      </c>
      <c r="G1035" s="1">
        <v>1.0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5.0" customHeight="1">
      <c r="A1036" s="1" t="s">
        <v>664</v>
      </c>
      <c r="B1036" s="1" t="s">
        <v>594</v>
      </c>
      <c r="C1036" s="1">
        <v>0.244625</v>
      </c>
      <c r="D1036" s="1" t="s">
        <v>1302</v>
      </c>
      <c r="E1036" s="266">
        <f>IFERROR(VLOOKUP(B1036,'Сырьё'!$C$6:$E$233,3,FALSE()),IFERROR(VLOOKUP(B1036,'Полупродукты'!$C$6:$E$60,3,FALSE()),0))</f>
        <v>1.7145</v>
      </c>
      <c r="F1036" s="266">
        <f t="shared" si="1"/>
        <v>0.4194095625</v>
      </c>
      <c r="G1036" s="1">
        <v>0.0</v>
      </c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5.0" customHeight="1">
      <c r="A1037" s="1" t="s">
        <v>664</v>
      </c>
      <c r="B1037" s="1" t="s">
        <v>579</v>
      </c>
      <c r="C1037" s="1">
        <v>0.14214</v>
      </c>
      <c r="D1037" s="1" t="s">
        <v>3379</v>
      </c>
      <c r="E1037" s="266">
        <f>IFERROR(VLOOKUP(B1037,'Сырьё'!$C$6:$E$233,3,FALSE()),IFERROR(VLOOKUP(B1037,'Полупродукты'!$C$6:$E$60,3,FALSE()),0))</f>
        <v>1.2831</v>
      </c>
      <c r="F1037" s="266">
        <f t="shared" si="1"/>
        <v>0.182379834</v>
      </c>
      <c r="G1037" s="1">
        <v>0.0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5.0" customHeight="1">
      <c r="A1038" s="1" t="s">
        <v>664</v>
      </c>
      <c r="B1038" s="1" t="s">
        <v>593</v>
      </c>
      <c r="C1038" s="1">
        <v>0.100425</v>
      </c>
      <c r="D1038" s="1" t="s">
        <v>3380</v>
      </c>
      <c r="E1038" s="266">
        <f>IFERROR(VLOOKUP(B1038,'Сырьё'!$C$6:$E$233,3,FALSE()),IFERROR(VLOOKUP(B1038,'Полупродукты'!$C$6:$E$60,3,FALSE()),0))</f>
        <v>1.6575</v>
      </c>
      <c r="F1038" s="266">
        <f t="shared" si="1"/>
        <v>0.1664544375</v>
      </c>
      <c r="G1038" s="1">
        <v>0.0</v>
      </c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5.0" customHeight="1">
      <c r="A1039" s="1" t="s">
        <v>664</v>
      </c>
      <c r="B1039" s="1" t="s">
        <v>585</v>
      </c>
      <c r="C1039" s="1">
        <v>0.054075</v>
      </c>
      <c r="D1039" s="1" t="s">
        <v>3381</v>
      </c>
      <c r="E1039" s="266">
        <f>IFERROR(VLOOKUP(B1039,'Сырьё'!$C$6:$E$233,3,FALSE()),IFERROR(VLOOKUP(B1039,'Полупродукты'!$C$6:$E$60,3,FALSE()),0))</f>
        <v>6.9052</v>
      </c>
      <c r="F1039" s="266">
        <f t="shared" si="1"/>
        <v>0.37339869</v>
      </c>
      <c r="G1039" s="1">
        <v>0.0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5.0" customHeight="1">
      <c r="A1040" s="1" t="s">
        <v>664</v>
      </c>
      <c r="B1040" s="1" t="s">
        <v>541</v>
      </c>
      <c r="C1040" s="1">
        <v>0.00412</v>
      </c>
      <c r="D1040" s="1" t="s">
        <v>3382</v>
      </c>
      <c r="E1040" s="266">
        <f>IFERROR(VLOOKUP(B1040,'Сырьё'!$C$6:$E$233,3,FALSE()),IFERROR(VLOOKUP(B1040,'Полупродукты'!$C$6:$E$60,3,FALSE()),0))</f>
        <v>78.7704</v>
      </c>
      <c r="F1040" s="266">
        <f t="shared" si="1"/>
        <v>0.324534048</v>
      </c>
      <c r="G1040" s="1">
        <v>0.0</v>
      </c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5.0" customHeight="1">
      <c r="A1041" s="1" t="s">
        <v>664</v>
      </c>
      <c r="B1041" s="1" t="s">
        <v>555</v>
      </c>
      <c r="C1041" s="1">
        <v>0.12875</v>
      </c>
      <c r="D1041" s="1" t="s">
        <v>3383</v>
      </c>
      <c r="E1041" s="266">
        <f>IFERROR(VLOOKUP(B1041,'Сырьё'!$C$6:$E$233,3,FALSE()),IFERROR(VLOOKUP(B1041,'Полупродукты'!$C$6:$E$60,3,FALSE()),0))</f>
        <v>8.4</v>
      </c>
      <c r="F1041" s="266">
        <f t="shared" si="1"/>
        <v>1.0815</v>
      </c>
      <c r="G1041" s="1">
        <v>0.0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5.0" customHeight="1">
      <c r="A1042" s="1" t="s">
        <v>664</v>
      </c>
      <c r="B1042" s="1" t="s">
        <v>537</v>
      </c>
      <c r="C1042" s="1">
        <v>0.01648</v>
      </c>
      <c r="D1042" s="1" t="s">
        <v>3384</v>
      </c>
      <c r="E1042" s="266">
        <f>IFERROR(VLOOKUP(B1042,'Сырьё'!$C$6:$E$233,3,FALSE()),IFERROR(VLOOKUP(B1042,'Полупродукты'!$C$6:$E$60,3,FALSE()),0))</f>
        <v>8.8284</v>
      </c>
      <c r="F1042" s="266">
        <f t="shared" si="1"/>
        <v>0.145492032</v>
      </c>
      <c r="G1042" s="1">
        <v>0.0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5.0" customHeight="1">
      <c r="A1043" s="1" t="s">
        <v>664</v>
      </c>
      <c r="B1043" s="1" t="s">
        <v>402</v>
      </c>
      <c r="C1043" s="1">
        <v>0.309</v>
      </c>
      <c r="D1043" s="1" t="s">
        <v>1298</v>
      </c>
      <c r="E1043" s="266">
        <f>IFERROR(VLOOKUP(B1043,'Сырьё'!$C$6:$E$233,3,FALSE()),IFERROR(VLOOKUP(B1043,'Полупродукты'!$C$6:$E$60,3,FALSE()),0))</f>
        <v>0</v>
      </c>
      <c r="F1043" s="266">
        <f t="shared" si="1"/>
        <v>0</v>
      </c>
      <c r="G1043" s="1">
        <v>1.0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5.0" customHeight="1">
      <c r="A1044" s="1" t="s">
        <v>664</v>
      </c>
      <c r="B1044" s="1" t="s">
        <v>549</v>
      </c>
      <c r="C1044" s="1">
        <v>0.01751</v>
      </c>
      <c r="D1044" s="1" t="s">
        <v>3385</v>
      </c>
      <c r="E1044" s="266">
        <f>IFERROR(VLOOKUP(B1044,'Сырьё'!$C$6:$E$233,3,FALSE()),IFERROR(VLOOKUP(B1044,'Полупродукты'!$C$6:$E$60,3,FALSE()),0))</f>
        <v>6.519</v>
      </c>
      <c r="F1044" s="266">
        <f t="shared" si="1"/>
        <v>0.11414769</v>
      </c>
      <c r="G1044" s="1">
        <v>0.0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5.0" customHeight="1">
      <c r="A1045" s="1" t="s">
        <v>664</v>
      </c>
      <c r="B1045" s="1" t="s">
        <v>520</v>
      </c>
      <c r="C1045" s="1">
        <v>1.26E-4</v>
      </c>
      <c r="D1045" s="1" t="s">
        <v>3386</v>
      </c>
      <c r="E1045" s="266">
        <f>IFERROR(VLOOKUP(B1045,'Сырьё'!$C$6:$E$233,3,FALSE()),IFERROR(VLOOKUP(B1045,'Полупродукты'!$C$6:$E$60,3,FALSE()),0))</f>
        <v>30.1527</v>
      </c>
      <c r="F1045" s="266">
        <f t="shared" si="1"/>
        <v>0.0037992402</v>
      </c>
      <c r="G1045" s="1">
        <v>0.0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5.0" customHeight="1">
      <c r="A1046" s="1" t="s">
        <v>664</v>
      </c>
      <c r="B1046" s="1" t="s">
        <v>554</v>
      </c>
      <c r="C1046" s="1">
        <v>0.012875</v>
      </c>
      <c r="D1046" s="1" t="s">
        <v>3387</v>
      </c>
      <c r="E1046" s="266">
        <f>IFERROR(VLOOKUP(B1046,'Сырьё'!$C$6:$E$233,3,FALSE()),IFERROR(VLOOKUP(B1046,'Полупродукты'!$C$6:$E$60,3,FALSE()),0))</f>
        <v>7.3406</v>
      </c>
      <c r="F1046" s="266">
        <f t="shared" si="1"/>
        <v>0.094510225</v>
      </c>
      <c r="G1046" s="1">
        <v>0.0</v>
      </c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5.0" customHeight="1">
      <c r="A1047" s="1" t="s">
        <v>396</v>
      </c>
      <c r="B1047" s="1" t="s">
        <v>396</v>
      </c>
      <c r="C1047" s="1">
        <v>1.0</v>
      </c>
      <c r="D1047" s="1" t="s">
        <v>3388</v>
      </c>
      <c r="E1047" s="266">
        <f>IFERROR(VLOOKUP(B1047,'Сырьё'!$C$6:$E$233,3,FALSE()),IFERROR(VLOOKUP(B1047,'Полупродукты'!$C$6:$E$60,3,FALSE()),0))</f>
        <v>0</v>
      </c>
      <c r="F1047" s="266">
        <f t="shared" si="1"/>
        <v>0</v>
      </c>
      <c r="G1047" s="1">
        <v>1.0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5.0" customHeight="1">
      <c r="A1048" s="1" t="s">
        <v>382</v>
      </c>
      <c r="B1048" s="1" t="s">
        <v>579</v>
      </c>
      <c r="C1048" s="1">
        <v>0.196994</v>
      </c>
      <c r="D1048" s="1" t="s">
        <v>3389</v>
      </c>
      <c r="E1048" s="266">
        <f>IFERROR(VLOOKUP(B1048,'Сырьё'!$C$6:$E$233,3,FALSE()),IFERROR(VLOOKUP(B1048,'Полупродукты'!$C$6:$E$60,3,FALSE()),0))</f>
        <v>1.2831</v>
      </c>
      <c r="F1048" s="266">
        <f t="shared" si="1"/>
        <v>0.2527630014</v>
      </c>
      <c r="G1048" s="1">
        <v>0.0</v>
      </c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5.0" customHeight="1">
      <c r="A1049" s="1" t="s">
        <v>382</v>
      </c>
      <c r="B1049" s="1" t="s">
        <v>594</v>
      </c>
      <c r="C1049" s="1">
        <v>0.256664</v>
      </c>
      <c r="D1049" s="1" t="s">
        <v>3390</v>
      </c>
      <c r="E1049" s="266">
        <f>IFERROR(VLOOKUP(B1049,'Сырьё'!$C$6:$E$233,3,FALSE()),IFERROR(VLOOKUP(B1049,'Полупродукты'!$C$6:$E$60,3,FALSE()),0))</f>
        <v>1.7145</v>
      </c>
      <c r="F1049" s="266">
        <f t="shared" si="1"/>
        <v>0.440050428</v>
      </c>
      <c r="G1049" s="1">
        <v>0.0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5.0" customHeight="1">
      <c r="A1050" s="1" t="s">
        <v>382</v>
      </c>
      <c r="B1050" s="1" t="s">
        <v>593</v>
      </c>
      <c r="C1050" s="1">
        <v>0.132046</v>
      </c>
      <c r="D1050" s="1" t="s">
        <v>3391</v>
      </c>
      <c r="E1050" s="266">
        <f>IFERROR(VLOOKUP(B1050,'Сырьё'!$C$6:$E$233,3,FALSE()),IFERROR(VLOOKUP(B1050,'Полупродукты'!$C$6:$E$60,3,FALSE()),0))</f>
        <v>1.6575</v>
      </c>
      <c r="F1050" s="266">
        <f t="shared" si="1"/>
        <v>0.218866245</v>
      </c>
      <c r="G1050" s="1">
        <v>0.0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5.0" customHeight="1">
      <c r="A1051" s="1" t="s">
        <v>382</v>
      </c>
      <c r="B1051" s="1" t="s">
        <v>549</v>
      </c>
      <c r="C1051" s="1">
        <v>0.133385</v>
      </c>
      <c r="D1051" s="1" t="s">
        <v>3392</v>
      </c>
      <c r="E1051" s="266">
        <f>IFERROR(VLOOKUP(B1051,'Сырьё'!$C$6:$E$233,3,FALSE()),IFERROR(VLOOKUP(B1051,'Полупродукты'!$C$6:$E$60,3,FALSE()),0))</f>
        <v>6.519</v>
      </c>
      <c r="F1051" s="266">
        <f t="shared" si="1"/>
        <v>0.869536815</v>
      </c>
      <c r="G1051" s="1">
        <v>0.0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5.0" customHeight="1">
      <c r="A1052" s="1" t="s">
        <v>382</v>
      </c>
      <c r="B1052" s="1" t="s">
        <v>542</v>
      </c>
      <c r="C1052" s="1">
        <v>0.028119</v>
      </c>
      <c r="D1052" s="1" t="s">
        <v>3393</v>
      </c>
      <c r="E1052" s="266">
        <f>IFERROR(VLOOKUP(B1052,'Сырьё'!$C$6:$E$233,3,FALSE()),IFERROR(VLOOKUP(B1052,'Полупродукты'!$C$6:$E$60,3,FALSE()),0))</f>
        <v>16.0534</v>
      </c>
      <c r="F1052" s="266">
        <f t="shared" si="1"/>
        <v>0.4514055546</v>
      </c>
      <c r="G1052" s="1">
        <v>0.0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5.0" customHeight="1">
      <c r="A1053" s="1" t="s">
        <v>382</v>
      </c>
      <c r="B1053" s="1" t="s">
        <v>541</v>
      </c>
      <c r="C1053" s="1">
        <v>0.004017</v>
      </c>
      <c r="D1053" s="1" t="s">
        <v>3394</v>
      </c>
      <c r="E1053" s="266">
        <f>IFERROR(VLOOKUP(B1053,'Сырьё'!$C$6:$E$233,3,FALSE()),IFERROR(VLOOKUP(B1053,'Полупродукты'!$C$6:$E$60,3,FALSE()),0))</f>
        <v>78.7704</v>
      </c>
      <c r="F1053" s="266">
        <f t="shared" si="1"/>
        <v>0.3164206968</v>
      </c>
      <c r="G1053" s="1">
        <v>0.0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5.0" customHeight="1">
      <c r="A1054" s="1" t="s">
        <v>382</v>
      </c>
      <c r="B1054" s="1" t="s">
        <v>553</v>
      </c>
      <c r="C1054" s="1">
        <v>0.16068</v>
      </c>
      <c r="D1054" s="1" t="s">
        <v>3395</v>
      </c>
      <c r="E1054" s="266">
        <f>IFERROR(VLOOKUP(B1054,'Сырьё'!$C$6:$E$233,3,FALSE()),IFERROR(VLOOKUP(B1054,'Полупродукты'!$C$6:$E$60,3,FALSE()),0))</f>
        <v>3.5357</v>
      </c>
      <c r="F1054" s="266">
        <f t="shared" si="1"/>
        <v>0.568116276</v>
      </c>
      <c r="G1054" s="1">
        <v>0.0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5.0" customHeight="1">
      <c r="A1055" s="1" t="s">
        <v>382</v>
      </c>
      <c r="B1055" s="1" t="s">
        <v>520</v>
      </c>
      <c r="C1055" s="1">
        <v>0.00112</v>
      </c>
      <c r="D1055" s="1" t="s">
        <v>3396</v>
      </c>
      <c r="E1055" s="266">
        <f>IFERROR(VLOOKUP(B1055,'Сырьё'!$C$6:$E$233,3,FALSE()),IFERROR(VLOOKUP(B1055,'Полупродукты'!$C$6:$E$60,3,FALSE()),0))</f>
        <v>30.1527</v>
      </c>
      <c r="F1055" s="266">
        <f t="shared" si="1"/>
        <v>0.033771024</v>
      </c>
      <c r="G1055" s="1">
        <v>0.0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5.0" customHeight="1">
      <c r="A1056" s="1" t="s">
        <v>382</v>
      </c>
      <c r="B1056" s="1" t="s">
        <v>570</v>
      </c>
      <c r="C1056" s="1">
        <v>0.029244</v>
      </c>
      <c r="D1056" s="1" t="s">
        <v>3397</v>
      </c>
      <c r="E1056" s="266">
        <f>IFERROR(VLOOKUP(B1056,'Сырьё'!$C$6:$E$233,3,FALSE()),IFERROR(VLOOKUP(B1056,'Полупродукты'!$C$6:$E$60,3,FALSE()),0))</f>
        <v>3.3046</v>
      </c>
      <c r="F1056" s="266">
        <f t="shared" si="1"/>
        <v>0.0966397224</v>
      </c>
      <c r="G1056" s="1">
        <v>0.0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5.0" customHeight="1">
      <c r="A1057" s="1" t="s">
        <v>382</v>
      </c>
      <c r="B1057" s="1" t="s">
        <v>569</v>
      </c>
      <c r="C1057" s="1">
        <v>0.022199</v>
      </c>
      <c r="D1057" s="1" t="s">
        <v>3398</v>
      </c>
      <c r="E1057" s="266">
        <f>IFERROR(VLOOKUP(B1057,'Сырьё'!$C$6:$E$233,3,FALSE()),IFERROR(VLOOKUP(B1057,'Полупродукты'!$C$6:$E$60,3,FALSE()),0))</f>
        <v>3.2853</v>
      </c>
      <c r="F1057" s="266">
        <f t="shared" si="1"/>
        <v>0.0729303747</v>
      </c>
      <c r="G1057" s="1">
        <v>0.0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5.0" customHeight="1">
      <c r="A1058" s="1" t="s">
        <v>382</v>
      </c>
      <c r="B1058" s="1" t="s">
        <v>591</v>
      </c>
      <c r="C1058" s="1">
        <v>0.012521</v>
      </c>
      <c r="D1058" s="1" t="s">
        <v>3399</v>
      </c>
      <c r="E1058" s="266">
        <f>IFERROR(VLOOKUP(B1058,'Сырьё'!$C$6:$E$233,3,FALSE()),IFERROR(VLOOKUP(B1058,'Полупродукты'!$C$6:$E$60,3,FALSE()),0))</f>
        <v>1.9734</v>
      </c>
      <c r="F1058" s="266">
        <f t="shared" si="1"/>
        <v>0.0247089414</v>
      </c>
      <c r="G1058" s="1">
        <v>0.0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5.0" customHeight="1">
      <c r="A1059" s="1" t="s">
        <v>382</v>
      </c>
      <c r="B1059" s="1" t="s">
        <v>532</v>
      </c>
      <c r="C1059" s="1">
        <v>0.004413</v>
      </c>
      <c r="D1059" s="1" t="s">
        <v>3400</v>
      </c>
      <c r="E1059" s="266">
        <f>IFERROR(VLOOKUP(B1059,'Сырьё'!$C$6:$E$233,3,FALSE()),IFERROR(VLOOKUP(B1059,'Полупродукты'!$C$6:$E$60,3,FALSE()),0))</f>
        <v>2.337</v>
      </c>
      <c r="F1059" s="266">
        <f t="shared" si="1"/>
        <v>0.010313181</v>
      </c>
      <c r="G1059" s="1">
        <v>0.0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5.0" customHeight="1">
      <c r="A1060" s="1" t="s">
        <v>765</v>
      </c>
      <c r="B1060" s="1" t="s">
        <v>579</v>
      </c>
      <c r="C1060" s="1">
        <v>0.1751</v>
      </c>
      <c r="D1060" s="1" t="s">
        <v>1866</v>
      </c>
      <c r="E1060" s="266">
        <f>IFERROR(VLOOKUP(B1060,'Сырьё'!$C$6:$E$233,3,FALSE()),IFERROR(VLOOKUP(B1060,'Полупродукты'!$C$6:$E$60,3,FALSE()),0))</f>
        <v>1.2831</v>
      </c>
      <c r="F1060" s="266">
        <f t="shared" si="1"/>
        <v>0.22467081</v>
      </c>
      <c r="G1060" s="1">
        <v>0.0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5.0" customHeight="1">
      <c r="A1061" s="1" t="s">
        <v>765</v>
      </c>
      <c r="B1061" s="1" t="s">
        <v>594</v>
      </c>
      <c r="C1061" s="1">
        <v>0.309</v>
      </c>
      <c r="D1061" s="1" t="s">
        <v>1868</v>
      </c>
      <c r="E1061" s="266">
        <f>IFERROR(VLOOKUP(B1061,'Сырьё'!$C$6:$E$233,3,FALSE()),IFERROR(VLOOKUP(B1061,'Полупродукты'!$C$6:$E$60,3,FALSE()),0))</f>
        <v>1.7145</v>
      </c>
      <c r="F1061" s="266">
        <f t="shared" si="1"/>
        <v>0.5297805</v>
      </c>
      <c r="G1061" s="1">
        <v>0.0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5.0" customHeight="1">
      <c r="A1062" s="1" t="s">
        <v>765</v>
      </c>
      <c r="B1062" s="1" t="s">
        <v>593</v>
      </c>
      <c r="C1062" s="1">
        <v>0.1545</v>
      </c>
      <c r="D1062" s="1" t="s">
        <v>1870</v>
      </c>
      <c r="E1062" s="266">
        <f>IFERROR(VLOOKUP(B1062,'Сырьё'!$C$6:$E$233,3,FALSE()),IFERROR(VLOOKUP(B1062,'Полупродукты'!$C$6:$E$60,3,FALSE()),0))</f>
        <v>1.6575</v>
      </c>
      <c r="F1062" s="266">
        <f t="shared" si="1"/>
        <v>0.25608375</v>
      </c>
      <c r="G1062" s="1">
        <v>0.0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5.0" customHeight="1">
      <c r="A1063" s="1" t="s">
        <v>765</v>
      </c>
      <c r="B1063" s="1" t="s">
        <v>549</v>
      </c>
      <c r="C1063" s="1">
        <v>0.1339</v>
      </c>
      <c r="D1063" s="1" t="s">
        <v>1872</v>
      </c>
      <c r="E1063" s="266">
        <f>IFERROR(VLOOKUP(B1063,'Сырьё'!$C$6:$E$233,3,FALSE()),IFERROR(VLOOKUP(B1063,'Полупродукты'!$C$6:$E$60,3,FALSE()),0))</f>
        <v>6.519</v>
      </c>
      <c r="F1063" s="266">
        <f t="shared" si="1"/>
        <v>0.8728941</v>
      </c>
      <c r="G1063" s="1">
        <v>0.0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5.0" customHeight="1">
      <c r="A1064" s="1" t="s">
        <v>765</v>
      </c>
      <c r="B1064" s="1" t="s">
        <v>554</v>
      </c>
      <c r="C1064" s="1">
        <v>0.2575</v>
      </c>
      <c r="D1064" s="1" t="s">
        <v>1874</v>
      </c>
      <c r="E1064" s="266">
        <f>IFERROR(VLOOKUP(B1064,'Сырьё'!$C$6:$E$233,3,FALSE()),IFERROR(VLOOKUP(B1064,'Полупродукты'!$C$6:$E$60,3,FALSE()),0))</f>
        <v>7.3406</v>
      </c>
      <c r="F1064" s="266">
        <f t="shared" si="1"/>
        <v>1.8902045</v>
      </c>
      <c r="G1064" s="1">
        <v>0.0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5.0" customHeight="1">
      <c r="A1065" s="1" t="s">
        <v>765</v>
      </c>
      <c r="B1065" s="1" t="s">
        <v>520</v>
      </c>
      <c r="C1065" s="1">
        <v>2.35E-4</v>
      </c>
      <c r="D1065" s="1" t="s">
        <v>2693</v>
      </c>
      <c r="E1065" s="266">
        <f>IFERROR(VLOOKUP(B1065,'Сырьё'!$C$6:$E$233,3,FALSE()),IFERROR(VLOOKUP(B1065,'Полупродукты'!$C$6:$E$60,3,FALSE()),0))</f>
        <v>30.1527</v>
      </c>
      <c r="F1065" s="266">
        <f t="shared" si="1"/>
        <v>0.0070858845</v>
      </c>
      <c r="G1065" s="1">
        <v>0.0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5.0" customHeight="1">
      <c r="A1066" s="1" t="s">
        <v>379</v>
      </c>
      <c r="B1066" s="1" t="s">
        <v>584</v>
      </c>
      <c r="C1066" s="1">
        <v>0.2575</v>
      </c>
      <c r="D1066" s="1" t="s">
        <v>1152</v>
      </c>
      <c r="E1066" s="266">
        <f>IFERROR(VLOOKUP(B1066,'Сырьё'!$C$6:$E$233,3,FALSE()),IFERROR(VLOOKUP(B1066,'Полупродукты'!$C$6:$E$60,3,FALSE()),0))</f>
        <v>2.0494</v>
      </c>
      <c r="F1066" s="266">
        <f t="shared" si="1"/>
        <v>0.5277205</v>
      </c>
      <c r="G1066" s="1">
        <v>0.0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5.0" customHeight="1">
      <c r="A1067" s="1" t="s">
        <v>379</v>
      </c>
      <c r="B1067" s="1" t="s">
        <v>594</v>
      </c>
      <c r="C1067" s="1">
        <v>0.04738</v>
      </c>
      <c r="D1067" s="1" t="s">
        <v>1154</v>
      </c>
      <c r="E1067" s="266">
        <f>IFERROR(VLOOKUP(B1067,'Сырьё'!$C$6:$E$233,3,FALSE()),IFERROR(VLOOKUP(B1067,'Полупродукты'!$C$6:$E$60,3,FALSE()),0))</f>
        <v>1.7145</v>
      </c>
      <c r="F1067" s="266">
        <f t="shared" si="1"/>
        <v>0.08123301</v>
      </c>
      <c r="G1067" s="1">
        <v>0.0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5.0" customHeight="1">
      <c r="A1068" s="1" t="s">
        <v>379</v>
      </c>
      <c r="B1068" s="1" t="s">
        <v>585</v>
      </c>
      <c r="C1068" s="1">
        <v>0.1339</v>
      </c>
      <c r="D1068" s="1" t="s">
        <v>1156</v>
      </c>
      <c r="E1068" s="266">
        <f>IFERROR(VLOOKUP(B1068,'Сырьё'!$C$6:$E$233,3,FALSE()),IFERROR(VLOOKUP(B1068,'Полупродукты'!$C$6:$E$60,3,FALSE()),0))</f>
        <v>6.9052</v>
      </c>
      <c r="F1068" s="266">
        <f t="shared" si="1"/>
        <v>0.92460628</v>
      </c>
      <c r="G1068" s="1">
        <v>0.0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5.0" customHeight="1">
      <c r="A1069" s="1" t="s">
        <v>379</v>
      </c>
      <c r="B1069" s="1" t="s">
        <v>575</v>
      </c>
      <c r="C1069" s="1">
        <v>0.1648</v>
      </c>
      <c r="D1069" s="1" t="s">
        <v>1158</v>
      </c>
      <c r="E1069" s="266">
        <f>IFERROR(VLOOKUP(B1069,'Сырьё'!$C$6:$E$233,3,FALSE()),IFERROR(VLOOKUP(B1069,'Полупродукты'!$C$6:$E$60,3,FALSE()),0))</f>
        <v>16.0088</v>
      </c>
      <c r="F1069" s="266">
        <f t="shared" si="1"/>
        <v>2.63825024</v>
      </c>
      <c r="G1069" s="1">
        <v>0.0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5.0" customHeight="1">
      <c r="A1070" s="1" t="s">
        <v>615</v>
      </c>
      <c r="B1070" s="1" t="s">
        <v>570</v>
      </c>
      <c r="C1070" s="1">
        <v>0.036555</v>
      </c>
      <c r="D1070" s="1" t="s">
        <v>3401</v>
      </c>
      <c r="E1070" s="266">
        <f>IFERROR(VLOOKUP(B1070,'Сырьё'!$C$6:$E$233,3,FALSE()),IFERROR(VLOOKUP(B1070,'Полупродукты'!$C$6:$E$60,3,FALSE()),0))</f>
        <v>3.3046</v>
      </c>
      <c r="F1070" s="266">
        <f t="shared" si="1"/>
        <v>0.120799653</v>
      </c>
      <c r="G1070" s="1">
        <v>0.0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5.0" customHeight="1">
      <c r="A1071" s="1" t="s">
        <v>615</v>
      </c>
      <c r="B1071" s="1" t="s">
        <v>569</v>
      </c>
      <c r="C1071" s="1">
        <v>0.027748</v>
      </c>
      <c r="D1071" s="1" t="s">
        <v>3402</v>
      </c>
      <c r="E1071" s="266">
        <f>IFERROR(VLOOKUP(B1071,'Сырьё'!$C$6:$E$233,3,FALSE()),IFERROR(VLOOKUP(B1071,'Полупродукты'!$C$6:$E$60,3,FALSE()),0))</f>
        <v>3.2853</v>
      </c>
      <c r="F1071" s="266">
        <f t="shared" si="1"/>
        <v>0.0911605044</v>
      </c>
      <c r="G1071" s="1">
        <v>0.0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5.0" customHeight="1">
      <c r="A1072" s="1" t="s">
        <v>615</v>
      </c>
      <c r="B1072" s="1" t="s">
        <v>594</v>
      </c>
      <c r="C1072" s="1">
        <v>0.257382</v>
      </c>
      <c r="D1072" s="1" t="s">
        <v>3403</v>
      </c>
      <c r="E1072" s="266">
        <f>IFERROR(VLOOKUP(B1072,'Сырьё'!$C$6:$E$233,3,FALSE()),IFERROR(VLOOKUP(B1072,'Полупродукты'!$C$6:$E$60,3,FALSE()),0))</f>
        <v>1.7145</v>
      </c>
      <c r="F1072" s="266">
        <f t="shared" si="1"/>
        <v>0.441281439</v>
      </c>
      <c r="G1072" s="1">
        <v>0.0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5.0" customHeight="1">
      <c r="A1073" s="1" t="s">
        <v>615</v>
      </c>
      <c r="B1073" s="1" t="s">
        <v>579</v>
      </c>
      <c r="C1073" s="1">
        <v>0.197003</v>
      </c>
      <c r="D1073" s="1" t="s">
        <v>3404</v>
      </c>
      <c r="E1073" s="266">
        <f>IFERROR(VLOOKUP(B1073,'Сырьё'!$C$6:$E$233,3,FALSE()),IFERROR(VLOOKUP(B1073,'Полупродукты'!$C$6:$E$60,3,FALSE()),0))</f>
        <v>1.2831</v>
      </c>
      <c r="F1073" s="266">
        <f t="shared" si="1"/>
        <v>0.2527745493</v>
      </c>
      <c r="G1073" s="1">
        <v>0.0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5.0" customHeight="1">
      <c r="A1074" s="1" t="s">
        <v>615</v>
      </c>
      <c r="B1074" s="1" t="s">
        <v>591</v>
      </c>
      <c r="C1074" s="1">
        <v>0.015651</v>
      </c>
      <c r="D1074" s="1" t="s">
        <v>3405</v>
      </c>
      <c r="E1074" s="266">
        <f>IFERROR(VLOOKUP(B1074,'Сырьё'!$C$6:$E$233,3,FALSE()),IFERROR(VLOOKUP(B1074,'Полупродукты'!$C$6:$E$60,3,FALSE()),0))</f>
        <v>1.9734</v>
      </c>
      <c r="F1074" s="266">
        <f t="shared" si="1"/>
        <v>0.0308856834</v>
      </c>
      <c r="G1074" s="1">
        <v>0.0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5.0" customHeight="1">
      <c r="A1075" s="1" t="s">
        <v>615</v>
      </c>
      <c r="B1075" s="1" t="s">
        <v>532</v>
      </c>
      <c r="C1075" s="1">
        <v>0.005516</v>
      </c>
      <c r="D1075" s="1" t="s">
        <v>3406</v>
      </c>
      <c r="E1075" s="266">
        <f>IFERROR(VLOOKUP(B1075,'Сырьё'!$C$6:$E$233,3,FALSE()),IFERROR(VLOOKUP(B1075,'Полупродукты'!$C$6:$E$60,3,FALSE()),0))</f>
        <v>2.337</v>
      </c>
      <c r="F1075" s="266">
        <f t="shared" si="1"/>
        <v>0.012890892</v>
      </c>
      <c r="G1075" s="1">
        <v>0.0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5.0" customHeight="1">
      <c r="A1076" s="1" t="s">
        <v>615</v>
      </c>
      <c r="B1076" s="1" t="s">
        <v>520</v>
      </c>
      <c r="C1076" s="1">
        <v>0.001157</v>
      </c>
      <c r="D1076" s="1" t="s">
        <v>3407</v>
      </c>
      <c r="E1076" s="266">
        <f>IFERROR(VLOOKUP(B1076,'Сырьё'!$C$6:$E$233,3,FALSE()),IFERROR(VLOOKUP(B1076,'Полупродукты'!$C$6:$E$60,3,FALSE()),0))</f>
        <v>30.1527</v>
      </c>
      <c r="F1076" s="266">
        <f t="shared" si="1"/>
        <v>0.0348866739</v>
      </c>
      <c r="G1076" s="1">
        <v>0.0</v>
      </c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5.0" customHeight="1">
      <c r="A1077" s="1" t="s">
        <v>615</v>
      </c>
      <c r="B1077" s="1" t="s">
        <v>593</v>
      </c>
      <c r="C1077" s="1">
        <v>0.130068</v>
      </c>
      <c r="D1077" s="1" t="s">
        <v>3408</v>
      </c>
      <c r="E1077" s="266">
        <f>IFERROR(VLOOKUP(B1077,'Сырьё'!$C$6:$E$233,3,FALSE()),IFERROR(VLOOKUP(B1077,'Полупродукты'!$C$6:$E$60,3,FALSE()),0))</f>
        <v>1.6575</v>
      </c>
      <c r="F1077" s="266">
        <f t="shared" si="1"/>
        <v>0.21558771</v>
      </c>
      <c r="G1077" s="1">
        <v>0.0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5.0" customHeight="1">
      <c r="A1078" s="1" t="s">
        <v>615</v>
      </c>
      <c r="B1078" s="1" t="s">
        <v>549</v>
      </c>
      <c r="C1078" s="1">
        <v>0.132612</v>
      </c>
      <c r="D1078" s="1" t="s">
        <v>3409</v>
      </c>
      <c r="E1078" s="266">
        <f>IFERROR(VLOOKUP(B1078,'Сырьё'!$C$6:$E$233,3,FALSE()),IFERROR(VLOOKUP(B1078,'Полупродукты'!$C$6:$E$60,3,FALSE()),0))</f>
        <v>6.519</v>
      </c>
      <c r="F1078" s="266">
        <f t="shared" si="1"/>
        <v>0.864497628</v>
      </c>
      <c r="G1078" s="1">
        <v>0.0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5.0" customHeight="1">
      <c r="A1079" s="1" t="s">
        <v>615</v>
      </c>
      <c r="B1079" s="1" t="s">
        <v>542</v>
      </c>
      <c r="C1079" s="1">
        <v>0.025235</v>
      </c>
      <c r="D1079" s="1" t="s">
        <v>3410</v>
      </c>
      <c r="E1079" s="266">
        <f>IFERROR(VLOOKUP(B1079,'Сырьё'!$C$6:$E$233,3,FALSE()),IFERROR(VLOOKUP(B1079,'Полупродукты'!$C$6:$E$60,3,FALSE()),0))</f>
        <v>16.0534</v>
      </c>
      <c r="F1079" s="266">
        <f t="shared" si="1"/>
        <v>0.405107549</v>
      </c>
      <c r="G1079" s="1">
        <v>0.0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5.0" customHeight="1">
      <c r="A1080" s="1" t="s">
        <v>615</v>
      </c>
      <c r="B1080" s="1" t="s">
        <v>541</v>
      </c>
      <c r="C1080" s="1">
        <v>0.003605</v>
      </c>
      <c r="D1080" s="1" t="s">
        <v>3411</v>
      </c>
      <c r="E1080" s="266">
        <f>IFERROR(VLOOKUP(B1080,'Сырьё'!$C$6:$E$233,3,FALSE()),IFERROR(VLOOKUP(B1080,'Полупродукты'!$C$6:$E$60,3,FALSE()),0))</f>
        <v>78.7704</v>
      </c>
      <c r="F1080" s="266">
        <f t="shared" si="1"/>
        <v>0.283967292</v>
      </c>
      <c r="G1080" s="1">
        <v>0.0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5.0" customHeight="1">
      <c r="A1081" s="1" t="s">
        <v>615</v>
      </c>
      <c r="B1081" s="1" t="s">
        <v>553</v>
      </c>
      <c r="C1081" s="1">
        <v>0.1442</v>
      </c>
      <c r="D1081" s="1" t="s">
        <v>3412</v>
      </c>
      <c r="E1081" s="266">
        <f>IFERROR(VLOOKUP(B1081,'Сырьё'!$C$6:$E$233,3,FALSE()),IFERROR(VLOOKUP(B1081,'Полупродукты'!$C$6:$E$60,3,FALSE()),0))</f>
        <v>3.5357</v>
      </c>
      <c r="F1081" s="266">
        <f t="shared" si="1"/>
        <v>0.50984794</v>
      </c>
      <c r="G1081" s="1">
        <v>0.0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5.0" customHeight="1">
      <c r="A1082" s="1" t="s">
        <v>615</v>
      </c>
      <c r="B1082" s="1" t="s">
        <v>573</v>
      </c>
      <c r="C1082" s="1">
        <v>0.0515</v>
      </c>
      <c r="D1082" s="1" t="s">
        <v>1012</v>
      </c>
      <c r="E1082" s="266">
        <f>IFERROR(VLOOKUP(B1082,'Сырьё'!$C$6:$E$233,3,FALSE()),IFERROR(VLOOKUP(B1082,'Полупродукты'!$C$6:$E$60,3,FALSE()),0))</f>
        <v>4.7016</v>
      </c>
      <c r="F1082" s="266">
        <f t="shared" si="1"/>
        <v>0.2421324</v>
      </c>
      <c r="G1082" s="1">
        <v>0.0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5.0" customHeight="1">
      <c r="A1083" s="1" t="s">
        <v>615</v>
      </c>
      <c r="B1083" s="1" t="s">
        <v>571</v>
      </c>
      <c r="C1083" s="1">
        <v>0.00515</v>
      </c>
      <c r="D1083" s="1" t="s">
        <v>1014</v>
      </c>
      <c r="E1083" s="266">
        <f>IFERROR(VLOOKUP(B1083,'Сырьё'!$C$6:$E$233,3,FALSE()),IFERROR(VLOOKUP(B1083,'Полупродукты'!$C$6:$E$60,3,FALSE()),0))</f>
        <v>14.556</v>
      </c>
      <c r="F1083" s="266">
        <f t="shared" si="1"/>
        <v>0.0749634</v>
      </c>
      <c r="G1083" s="1">
        <v>0.0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5.0" customHeight="1">
      <c r="A1084" s="1" t="s">
        <v>400</v>
      </c>
      <c r="B1084" s="1" t="s">
        <v>400</v>
      </c>
      <c r="C1084" s="1">
        <v>1.0</v>
      </c>
      <c r="D1084" s="1" t="s">
        <v>3413</v>
      </c>
      <c r="E1084" s="266">
        <f>IFERROR(VLOOKUP(B1084,'Сырьё'!$C$6:$E$233,3,FALSE()),IFERROR(VLOOKUP(B1084,'Полупродукты'!$C$6:$E$60,3,FALSE()),0))</f>
        <v>0</v>
      </c>
      <c r="F1084" s="266">
        <f t="shared" si="1"/>
        <v>0</v>
      </c>
      <c r="G1084" s="1">
        <v>1.0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5.0" customHeight="1">
      <c r="A1085" s="1" t="s">
        <v>523</v>
      </c>
      <c r="B1085" s="1" t="s">
        <v>593</v>
      </c>
      <c r="C1085" s="1">
        <v>0.083983</v>
      </c>
      <c r="D1085" s="1" t="s">
        <v>3414</v>
      </c>
      <c r="E1085" s="266">
        <f>IFERROR(VLOOKUP(B1085,'Сырьё'!$C$6:$E$233,3,FALSE()),IFERROR(VLOOKUP(B1085,'Полупродукты'!$C$6:$E$60,3,FALSE()),0))</f>
        <v>1.6575</v>
      </c>
      <c r="F1085" s="266">
        <f t="shared" si="1"/>
        <v>0.1392018225</v>
      </c>
      <c r="G1085" s="1">
        <v>0.0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5.0" customHeight="1">
      <c r="A1086" s="1" t="s">
        <v>523</v>
      </c>
      <c r="B1086" s="1" t="s">
        <v>579</v>
      </c>
      <c r="C1086" s="1">
        <v>0.299221</v>
      </c>
      <c r="D1086" s="1" t="s">
        <v>3415</v>
      </c>
      <c r="E1086" s="266">
        <f>IFERROR(VLOOKUP(B1086,'Сырьё'!$C$6:$E$233,3,FALSE()),IFERROR(VLOOKUP(B1086,'Полупродукты'!$C$6:$E$60,3,FALSE()),0))</f>
        <v>1.2831</v>
      </c>
      <c r="F1086" s="266">
        <f t="shared" si="1"/>
        <v>0.3839304651</v>
      </c>
      <c r="G1086" s="1">
        <v>0.0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5.0" customHeight="1">
      <c r="A1087" s="1" t="s">
        <v>523</v>
      </c>
      <c r="B1087" s="1" t="s">
        <v>594</v>
      </c>
      <c r="C1087" s="1">
        <v>0.25511</v>
      </c>
      <c r="D1087" s="1" t="s">
        <v>3416</v>
      </c>
      <c r="E1087" s="266">
        <f>IFERROR(VLOOKUP(B1087,'Сырьё'!$C$6:$E$233,3,FALSE()),IFERROR(VLOOKUP(B1087,'Полупродукты'!$C$6:$E$60,3,FALSE()),0))</f>
        <v>1.7145</v>
      </c>
      <c r="F1087" s="266">
        <f t="shared" si="1"/>
        <v>0.437386095</v>
      </c>
      <c r="G1087" s="1">
        <v>0.0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5.0" customHeight="1">
      <c r="A1088" s="1" t="s">
        <v>523</v>
      </c>
      <c r="B1088" s="1" t="s">
        <v>549</v>
      </c>
      <c r="C1088" s="1">
        <v>0.115489</v>
      </c>
      <c r="D1088" s="1" t="s">
        <v>3417</v>
      </c>
      <c r="E1088" s="266">
        <f>IFERROR(VLOOKUP(B1088,'Сырьё'!$C$6:$E$233,3,FALSE()),IFERROR(VLOOKUP(B1088,'Полупродукты'!$C$6:$E$60,3,FALSE()),0))</f>
        <v>6.519</v>
      </c>
      <c r="F1088" s="266">
        <f t="shared" si="1"/>
        <v>0.752872791</v>
      </c>
      <c r="G1088" s="1">
        <v>0.0</v>
      </c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5.0" customHeight="1">
      <c r="A1089" s="1" t="s">
        <v>523</v>
      </c>
      <c r="B1089" s="1" t="s">
        <v>537</v>
      </c>
      <c r="C1089" s="1">
        <v>0.012772</v>
      </c>
      <c r="D1089" s="1" t="s">
        <v>3418</v>
      </c>
      <c r="E1089" s="266">
        <f>IFERROR(VLOOKUP(B1089,'Сырьё'!$C$6:$E$233,3,FALSE()),IFERROR(VLOOKUP(B1089,'Полупродукты'!$C$6:$E$60,3,FALSE()),0))</f>
        <v>8.8284</v>
      </c>
      <c r="F1089" s="266">
        <f t="shared" si="1"/>
        <v>0.1127563248</v>
      </c>
      <c r="G1089" s="1">
        <v>0.0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5.0" customHeight="1">
      <c r="A1090" s="1" t="s">
        <v>523</v>
      </c>
      <c r="B1090" s="1" t="s">
        <v>564</v>
      </c>
      <c r="C1090" s="1">
        <v>0.15965</v>
      </c>
      <c r="D1090" s="1" t="s">
        <v>3419</v>
      </c>
      <c r="E1090" s="266">
        <f>IFERROR(VLOOKUP(B1090,'Сырьё'!$C$6:$E$233,3,FALSE()),IFERROR(VLOOKUP(B1090,'Полупродукты'!$C$6:$E$60,3,FALSE()),0))</f>
        <v>6.2082</v>
      </c>
      <c r="F1090" s="266">
        <f t="shared" si="1"/>
        <v>0.99113913</v>
      </c>
      <c r="G1090" s="1">
        <v>0.0</v>
      </c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5.0" customHeight="1">
      <c r="A1091" s="1" t="s">
        <v>523</v>
      </c>
      <c r="B1091" s="1" t="s">
        <v>570</v>
      </c>
      <c r="C1091" s="1">
        <v>0.069618</v>
      </c>
      <c r="D1091" s="1" t="s">
        <v>3420</v>
      </c>
      <c r="E1091" s="266">
        <f>IFERROR(VLOOKUP(B1091,'Сырьё'!$C$6:$E$233,3,FALSE()),IFERROR(VLOOKUP(B1091,'Полупродукты'!$C$6:$E$60,3,FALSE()),0))</f>
        <v>3.3046</v>
      </c>
      <c r="F1091" s="266">
        <f t="shared" si="1"/>
        <v>0.2300596428</v>
      </c>
      <c r="G1091" s="1">
        <v>0.0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5.0" customHeight="1">
      <c r="A1092" s="1" t="s">
        <v>523</v>
      </c>
      <c r="B1092" s="1" t="s">
        <v>591</v>
      </c>
      <c r="C1092" s="1">
        <v>0.01589</v>
      </c>
      <c r="D1092" s="1" t="s">
        <v>3421</v>
      </c>
      <c r="E1092" s="266">
        <f>IFERROR(VLOOKUP(B1092,'Сырьё'!$C$6:$E$233,3,FALSE()),IFERROR(VLOOKUP(B1092,'Полупродукты'!$C$6:$E$60,3,FALSE()),0))</f>
        <v>1.9734</v>
      </c>
      <c r="F1092" s="266">
        <f t="shared" si="1"/>
        <v>0.031357326</v>
      </c>
      <c r="G1092" s="1">
        <v>0.0</v>
      </c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5.0" customHeight="1">
      <c r="A1093" s="1" t="s">
        <v>523</v>
      </c>
      <c r="B1093" s="1" t="s">
        <v>532</v>
      </c>
      <c r="C1093" s="1">
        <v>0.005531</v>
      </c>
      <c r="D1093" s="1" t="s">
        <v>3422</v>
      </c>
      <c r="E1093" s="266">
        <f>IFERROR(VLOOKUP(B1093,'Сырьё'!$C$6:$E$233,3,FALSE()),IFERROR(VLOOKUP(B1093,'Полупродукты'!$C$6:$E$60,3,FALSE()),0))</f>
        <v>2.337</v>
      </c>
      <c r="F1093" s="266">
        <f t="shared" si="1"/>
        <v>0.012925947</v>
      </c>
      <c r="G1093" s="1">
        <v>0.0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5.0" customHeight="1">
      <c r="A1094" s="1" t="s">
        <v>523</v>
      </c>
      <c r="B1094" s="1" t="s">
        <v>585</v>
      </c>
      <c r="C1094" s="1">
        <v>0.010558</v>
      </c>
      <c r="D1094" s="1" t="s">
        <v>3423</v>
      </c>
      <c r="E1094" s="266">
        <f>IFERROR(VLOOKUP(B1094,'Сырьё'!$C$6:$E$233,3,FALSE()),IFERROR(VLOOKUP(B1094,'Полупродукты'!$C$6:$E$60,3,FALSE()),0))</f>
        <v>6.9052</v>
      </c>
      <c r="F1094" s="266">
        <f t="shared" si="1"/>
        <v>0.0729051016</v>
      </c>
      <c r="G1094" s="1">
        <v>0.0</v>
      </c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5.0" customHeight="1">
      <c r="A1095" s="1" t="s">
        <v>621</v>
      </c>
      <c r="B1095" s="1" t="s">
        <v>594</v>
      </c>
      <c r="C1095" s="1">
        <v>0.208045</v>
      </c>
      <c r="D1095" s="1" t="s">
        <v>3424</v>
      </c>
      <c r="E1095" s="266">
        <f>IFERROR(VLOOKUP(B1095,'Сырьё'!$C$6:$E$233,3,FALSE()),IFERROR(VLOOKUP(B1095,'Полупродукты'!$C$6:$E$60,3,FALSE()),0))</f>
        <v>1.7145</v>
      </c>
      <c r="F1095" s="266">
        <f t="shared" si="1"/>
        <v>0.3566931525</v>
      </c>
      <c r="G1095" s="1">
        <v>0.0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5.0" customHeight="1">
      <c r="A1096" s="1" t="s">
        <v>621</v>
      </c>
      <c r="B1096" s="1" t="s">
        <v>579</v>
      </c>
      <c r="C1096" s="1">
        <v>0.248328</v>
      </c>
      <c r="D1096" s="1" t="s">
        <v>3425</v>
      </c>
      <c r="E1096" s="266">
        <f>IFERROR(VLOOKUP(B1096,'Сырьё'!$C$6:$E$233,3,FALSE()),IFERROR(VLOOKUP(B1096,'Полупродукты'!$C$6:$E$60,3,FALSE()),0))</f>
        <v>1.2831</v>
      </c>
      <c r="F1096" s="266">
        <f t="shared" si="1"/>
        <v>0.3186296568</v>
      </c>
      <c r="G1096" s="1">
        <v>0.0</v>
      </c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5.0" customHeight="1">
      <c r="A1097" s="1" t="s">
        <v>621</v>
      </c>
      <c r="B1097" s="1" t="s">
        <v>593</v>
      </c>
      <c r="C1097" s="1">
        <v>0.138432</v>
      </c>
      <c r="D1097" s="1" t="s">
        <v>3426</v>
      </c>
      <c r="E1097" s="266">
        <f>IFERROR(VLOOKUP(B1097,'Сырьё'!$C$6:$E$233,3,FALSE()),IFERROR(VLOOKUP(B1097,'Полупродукты'!$C$6:$E$60,3,FALSE()),0))</f>
        <v>1.6575</v>
      </c>
      <c r="F1097" s="266">
        <f t="shared" si="1"/>
        <v>0.22945104</v>
      </c>
      <c r="G1097" s="1">
        <v>0.0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5.0" customHeight="1">
      <c r="A1098" s="1" t="s">
        <v>621</v>
      </c>
      <c r="B1098" s="1" t="s">
        <v>585</v>
      </c>
      <c r="C1098" s="1">
        <v>0.077868</v>
      </c>
      <c r="D1098" s="1" t="s">
        <v>3427</v>
      </c>
      <c r="E1098" s="266">
        <f>IFERROR(VLOOKUP(B1098,'Сырьё'!$C$6:$E$233,3,FALSE()),IFERROR(VLOOKUP(B1098,'Полупродукты'!$C$6:$E$60,3,FALSE()),0))</f>
        <v>6.9052</v>
      </c>
      <c r="F1098" s="266">
        <f t="shared" si="1"/>
        <v>0.5376941136</v>
      </c>
      <c r="G1098" s="1">
        <v>0.0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5.0" customHeight="1">
      <c r="A1099" s="1" t="s">
        <v>621</v>
      </c>
      <c r="B1099" s="1" t="s">
        <v>537</v>
      </c>
      <c r="C1099" s="1">
        <v>0.019467</v>
      </c>
      <c r="D1099" s="1" t="s">
        <v>3428</v>
      </c>
      <c r="E1099" s="266">
        <f>IFERROR(VLOOKUP(B1099,'Сырьё'!$C$6:$E$233,3,FALSE()),IFERROR(VLOOKUP(B1099,'Полупродукты'!$C$6:$E$60,3,FALSE()),0))</f>
        <v>8.8284</v>
      </c>
      <c r="F1099" s="266">
        <f t="shared" si="1"/>
        <v>0.1718624628</v>
      </c>
      <c r="G1099" s="1">
        <v>0.0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5.0" customHeight="1">
      <c r="A1100" s="1" t="s">
        <v>621</v>
      </c>
      <c r="B1100" s="1" t="s">
        <v>561</v>
      </c>
      <c r="C1100" s="1">
        <v>0.162225</v>
      </c>
      <c r="D1100" s="1" t="s">
        <v>3429</v>
      </c>
      <c r="E1100" s="266">
        <f>IFERROR(VLOOKUP(B1100,'Сырьё'!$C$6:$E$233,3,FALSE()),IFERROR(VLOOKUP(B1100,'Полупродукты'!$C$6:$E$60,3,FALSE()),0))</f>
        <v>18.9593</v>
      </c>
      <c r="F1100" s="266">
        <f t="shared" si="1"/>
        <v>3.075672443</v>
      </c>
      <c r="G1100" s="1">
        <v>0.0</v>
      </c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5.0" customHeight="1">
      <c r="A1101" s="1" t="s">
        <v>621</v>
      </c>
      <c r="B1101" s="1" t="s">
        <v>549</v>
      </c>
      <c r="C1101" s="1">
        <v>0.040891</v>
      </c>
      <c r="D1101" s="1" t="s">
        <v>3430</v>
      </c>
      <c r="E1101" s="266">
        <f>IFERROR(VLOOKUP(B1101,'Сырьё'!$C$6:$E$233,3,FALSE()),IFERROR(VLOOKUP(B1101,'Полупродукты'!$C$6:$E$60,3,FALSE()),0))</f>
        <v>6.519</v>
      </c>
      <c r="F1101" s="266">
        <f t="shared" si="1"/>
        <v>0.266568429</v>
      </c>
      <c r="G1101" s="1">
        <v>0.0</v>
      </c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5.0" customHeight="1">
      <c r="A1102" s="1" t="s">
        <v>621</v>
      </c>
      <c r="B1102" s="1" t="s">
        <v>520</v>
      </c>
      <c r="C1102" s="1">
        <v>6.98E-4</v>
      </c>
      <c r="D1102" s="1" t="s">
        <v>3431</v>
      </c>
      <c r="E1102" s="266">
        <f>IFERROR(VLOOKUP(B1102,'Сырьё'!$C$6:$E$233,3,FALSE()),IFERROR(VLOOKUP(B1102,'Полупродукты'!$C$6:$E$60,3,FALSE()),0))</f>
        <v>30.1527</v>
      </c>
      <c r="F1102" s="266">
        <f t="shared" si="1"/>
        <v>0.0210465846</v>
      </c>
      <c r="G1102" s="1">
        <v>0.0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5.0" customHeight="1">
      <c r="A1103" s="1" t="s">
        <v>621</v>
      </c>
      <c r="B1103" s="1" t="s">
        <v>570</v>
      </c>
      <c r="C1103" s="1">
        <v>0.036555</v>
      </c>
      <c r="D1103" s="1" t="s">
        <v>3432</v>
      </c>
      <c r="E1103" s="266">
        <f>IFERROR(VLOOKUP(B1103,'Сырьё'!$C$6:$E$233,3,FALSE()),IFERROR(VLOOKUP(B1103,'Полупродукты'!$C$6:$E$60,3,FALSE()),0))</f>
        <v>3.3046</v>
      </c>
      <c r="F1103" s="266">
        <f t="shared" si="1"/>
        <v>0.120799653</v>
      </c>
      <c r="G1103" s="1">
        <v>0.0</v>
      </c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5.0" customHeight="1">
      <c r="A1104" s="1" t="s">
        <v>621</v>
      </c>
      <c r="B1104" s="1" t="s">
        <v>569</v>
      </c>
      <c r="C1104" s="1">
        <v>0.027748</v>
      </c>
      <c r="D1104" s="1" t="s">
        <v>3433</v>
      </c>
      <c r="E1104" s="266">
        <f>IFERROR(VLOOKUP(B1104,'Сырьё'!$C$6:$E$233,3,FALSE()),IFERROR(VLOOKUP(B1104,'Полупродукты'!$C$6:$E$60,3,FALSE()),0))</f>
        <v>3.2853</v>
      </c>
      <c r="F1104" s="266">
        <f t="shared" si="1"/>
        <v>0.0911605044</v>
      </c>
      <c r="G1104" s="1">
        <v>0.0</v>
      </c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5.0" customHeight="1">
      <c r="A1105" s="1" t="s">
        <v>621</v>
      </c>
      <c r="B1105" s="1" t="s">
        <v>591</v>
      </c>
      <c r="C1105" s="1">
        <v>0.015651</v>
      </c>
      <c r="D1105" s="1" t="s">
        <v>3434</v>
      </c>
      <c r="E1105" s="266">
        <f>IFERROR(VLOOKUP(B1105,'Сырьё'!$C$6:$E$233,3,FALSE()),IFERROR(VLOOKUP(B1105,'Полупродукты'!$C$6:$E$60,3,FALSE()),0))</f>
        <v>1.9734</v>
      </c>
      <c r="F1105" s="266">
        <f t="shared" si="1"/>
        <v>0.0308856834</v>
      </c>
      <c r="G1105" s="1">
        <v>0.0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5.0" customHeight="1">
      <c r="A1106" s="1" t="s">
        <v>621</v>
      </c>
      <c r="B1106" s="1" t="s">
        <v>532</v>
      </c>
      <c r="C1106" s="1">
        <v>0.005516</v>
      </c>
      <c r="D1106" s="1" t="s">
        <v>3435</v>
      </c>
      <c r="E1106" s="266">
        <f>IFERROR(VLOOKUP(B1106,'Сырьё'!$C$6:$E$233,3,FALSE()),IFERROR(VLOOKUP(B1106,'Полупродукты'!$C$6:$E$60,3,FALSE()),0))</f>
        <v>2.337</v>
      </c>
      <c r="F1106" s="266">
        <f t="shared" si="1"/>
        <v>0.012890892</v>
      </c>
      <c r="G1106" s="1">
        <v>0.0</v>
      </c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5.0" customHeight="1">
      <c r="A1107" s="1" t="s">
        <v>621</v>
      </c>
      <c r="B1107" s="1" t="s">
        <v>573</v>
      </c>
      <c r="C1107" s="1">
        <v>0.0515</v>
      </c>
      <c r="D1107" s="1" t="s">
        <v>1700</v>
      </c>
      <c r="E1107" s="266">
        <f>IFERROR(VLOOKUP(B1107,'Сырьё'!$C$6:$E$233,3,FALSE()),IFERROR(VLOOKUP(B1107,'Полупродукты'!$C$6:$E$60,3,FALSE()),0))</f>
        <v>4.7016</v>
      </c>
      <c r="F1107" s="266">
        <f t="shared" si="1"/>
        <v>0.2421324</v>
      </c>
      <c r="G1107" s="1">
        <v>0.0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5.0" customHeight="1">
      <c r="A1108" s="1" t="s">
        <v>620</v>
      </c>
      <c r="B1108" s="1" t="s">
        <v>594</v>
      </c>
      <c r="C1108" s="1">
        <v>0.1339</v>
      </c>
      <c r="D1108" s="1" t="s">
        <v>3436</v>
      </c>
      <c r="E1108" s="266">
        <f>IFERROR(VLOOKUP(B1108,'Сырьё'!$C$6:$E$233,3,FALSE()),IFERROR(VLOOKUP(B1108,'Полупродукты'!$C$6:$E$60,3,FALSE()),0))</f>
        <v>1.7145</v>
      </c>
      <c r="F1108" s="266">
        <f t="shared" si="1"/>
        <v>0.22957155</v>
      </c>
      <c r="G1108" s="1">
        <v>0.0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5.0" customHeight="1">
      <c r="A1109" s="1" t="s">
        <v>620</v>
      </c>
      <c r="B1109" s="1" t="s">
        <v>579</v>
      </c>
      <c r="C1109" s="1">
        <v>0.249775</v>
      </c>
      <c r="D1109" s="1" t="s">
        <v>1584</v>
      </c>
      <c r="E1109" s="266">
        <f>IFERROR(VLOOKUP(B1109,'Сырьё'!$C$6:$E$233,3,FALSE()),IFERROR(VLOOKUP(B1109,'Полупродукты'!$C$6:$E$60,3,FALSE()),0))</f>
        <v>1.2831</v>
      </c>
      <c r="F1109" s="266">
        <f t="shared" si="1"/>
        <v>0.3204863025</v>
      </c>
      <c r="G1109" s="1">
        <v>0.0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5.0" customHeight="1">
      <c r="A1110" s="1" t="s">
        <v>620</v>
      </c>
      <c r="B1110" s="1" t="s">
        <v>593</v>
      </c>
      <c r="C1110" s="1">
        <v>0.124373</v>
      </c>
      <c r="D1110" s="1" t="s">
        <v>1586</v>
      </c>
      <c r="E1110" s="266">
        <f>IFERROR(VLOOKUP(B1110,'Сырьё'!$C$6:$E$233,3,FALSE()),IFERROR(VLOOKUP(B1110,'Полупродукты'!$C$6:$E$60,3,FALSE()),0))</f>
        <v>1.6575</v>
      </c>
      <c r="F1110" s="266">
        <f t="shared" si="1"/>
        <v>0.2061482475</v>
      </c>
      <c r="G1110" s="1">
        <v>0.0</v>
      </c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5.0" customHeight="1">
      <c r="A1111" s="1" t="s">
        <v>620</v>
      </c>
      <c r="B1111" s="1" t="s">
        <v>585</v>
      </c>
      <c r="C1111" s="1">
        <v>0.070298</v>
      </c>
      <c r="D1111" s="1" t="s">
        <v>3437</v>
      </c>
      <c r="E1111" s="266">
        <f>IFERROR(VLOOKUP(B1111,'Сырьё'!$C$6:$E$233,3,FALSE()),IFERROR(VLOOKUP(B1111,'Полупродукты'!$C$6:$E$60,3,FALSE()),0))</f>
        <v>6.9052</v>
      </c>
      <c r="F1111" s="266">
        <f t="shared" si="1"/>
        <v>0.4854217496</v>
      </c>
      <c r="G1111" s="1">
        <v>0.0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5.0" customHeight="1">
      <c r="A1112" s="1" t="s">
        <v>620</v>
      </c>
      <c r="B1112" s="1" t="s">
        <v>541</v>
      </c>
      <c r="C1112" s="1">
        <v>0.005356</v>
      </c>
      <c r="D1112" s="1" t="s">
        <v>3438</v>
      </c>
      <c r="E1112" s="266">
        <f>IFERROR(VLOOKUP(B1112,'Сырьё'!$C$6:$E$233,3,FALSE()),IFERROR(VLOOKUP(B1112,'Полупродукты'!$C$6:$E$60,3,FALSE()),0))</f>
        <v>78.7704</v>
      </c>
      <c r="F1112" s="266">
        <f t="shared" si="1"/>
        <v>0.4218942624</v>
      </c>
      <c r="G1112" s="1">
        <v>0.0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5.0" customHeight="1">
      <c r="A1113" s="1" t="s">
        <v>620</v>
      </c>
      <c r="B1113" s="1" t="s">
        <v>555</v>
      </c>
      <c r="C1113" s="1">
        <v>0.167375</v>
      </c>
      <c r="D1113" s="1" t="s">
        <v>3439</v>
      </c>
      <c r="E1113" s="266">
        <f>IFERROR(VLOOKUP(B1113,'Сырьё'!$C$6:$E$233,3,FALSE()),IFERROR(VLOOKUP(B1113,'Полупродукты'!$C$6:$E$60,3,FALSE()),0))</f>
        <v>8.4</v>
      </c>
      <c r="F1113" s="266">
        <f t="shared" si="1"/>
        <v>1.40595</v>
      </c>
      <c r="G1113" s="1">
        <v>0.0</v>
      </c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5.0" customHeight="1">
      <c r="A1114" s="1" t="s">
        <v>620</v>
      </c>
      <c r="B1114" s="1" t="s">
        <v>537</v>
      </c>
      <c r="C1114" s="1">
        <v>0.021424</v>
      </c>
      <c r="D1114" s="1" t="s">
        <v>3440</v>
      </c>
      <c r="E1114" s="266">
        <f>IFERROR(VLOOKUP(B1114,'Сырьё'!$C$6:$E$233,3,FALSE()),IFERROR(VLOOKUP(B1114,'Полупродукты'!$C$6:$E$60,3,FALSE()),0))</f>
        <v>8.8284</v>
      </c>
      <c r="F1114" s="266">
        <f t="shared" si="1"/>
        <v>0.1891396416</v>
      </c>
      <c r="G1114" s="1">
        <v>0.0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5.0" customHeight="1">
      <c r="A1115" s="1" t="s">
        <v>620</v>
      </c>
      <c r="B1115" s="1" t="s">
        <v>570</v>
      </c>
      <c r="C1115" s="1">
        <v>0.2575</v>
      </c>
      <c r="D1115" s="1" t="s">
        <v>1582</v>
      </c>
      <c r="E1115" s="266">
        <f>IFERROR(VLOOKUP(B1115,'Сырьё'!$C$6:$E$233,3,FALSE()),IFERROR(VLOOKUP(B1115,'Полупродукты'!$C$6:$E$60,3,FALSE()),0))</f>
        <v>3.3046</v>
      </c>
      <c r="F1115" s="266">
        <f t="shared" si="1"/>
        <v>0.8509345</v>
      </c>
      <c r="G1115" s="1">
        <v>0.0</v>
      </c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5.0" customHeight="1">
      <c r="A1116" s="1" t="s">
        <v>762</v>
      </c>
      <c r="B1116" s="1" t="s">
        <v>587</v>
      </c>
      <c r="C1116" s="1">
        <v>0.3605</v>
      </c>
      <c r="D1116" s="1" t="s">
        <v>1618</v>
      </c>
      <c r="E1116" s="266">
        <f>IFERROR(VLOOKUP(B1116,'Сырьё'!$C$6:$E$233,3,FALSE()),IFERROR(VLOOKUP(B1116,'Полупродукты'!$C$6:$E$60,3,FALSE()),0))</f>
        <v>0</v>
      </c>
      <c r="F1116" s="266">
        <f t="shared" si="1"/>
        <v>0</v>
      </c>
      <c r="G1116" s="1">
        <v>0.0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5.0" customHeight="1">
      <c r="A1117" s="1" t="s">
        <v>762</v>
      </c>
      <c r="B1117" s="1" t="s">
        <v>583</v>
      </c>
      <c r="C1117" s="1">
        <v>0.28016</v>
      </c>
      <c r="D1117" s="1" t="s">
        <v>1620</v>
      </c>
      <c r="E1117" s="266">
        <f>IFERROR(VLOOKUP(B1117,'Сырьё'!$C$6:$E$233,3,FALSE()),IFERROR(VLOOKUP(B1117,'Полупродукты'!$C$6:$E$60,3,FALSE()),0))</f>
        <v>1.4708</v>
      </c>
      <c r="F1117" s="266">
        <f t="shared" si="1"/>
        <v>0.412059328</v>
      </c>
      <c r="G1117" s="1">
        <v>0.0</v>
      </c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5.0" customHeight="1">
      <c r="A1118" s="1" t="s">
        <v>762</v>
      </c>
      <c r="B1118" s="1" t="s">
        <v>584</v>
      </c>
      <c r="C1118" s="1">
        <v>0.0927</v>
      </c>
      <c r="D1118" s="1" t="s">
        <v>1622</v>
      </c>
      <c r="E1118" s="266">
        <f>IFERROR(VLOOKUP(B1118,'Сырьё'!$C$6:$E$233,3,FALSE()),IFERROR(VLOOKUP(B1118,'Полупродукты'!$C$6:$E$60,3,FALSE()),0))</f>
        <v>2.0494</v>
      </c>
      <c r="F1118" s="266">
        <f t="shared" si="1"/>
        <v>0.18997938</v>
      </c>
      <c r="G1118" s="1">
        <v>0.0</v>
      </c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5.0" customHeight="1">
      <c r="A1119" s="1" t="s">
        <v>762</v>
      </c>
      <c r="B1119" s="1" t="s">
        <v>585</v>
      </c>
      <c r="C1119" s="1">
        <v>0.01854</v>
      </c>
      <c r="D1119" s="1" t="s">
        <v>1624</v>
      </c>
      <c r="E1119" s="266">
        <f>IFERROR(VLOOKUP(B1119,'Сырьё'!$C$6:$E$233,3,FALSE()),IFERROR(VLOOKUP(B1119,'Полупродукты'!$C$6:$E$60,3,FALSE()),0))</f>
        <v>6.9052</v>
      </c>
      <c r="F1119" s="266">
        <f t="shared" si="1"/>
        <v>0.128022408</v>
      </c>
      <c r="G1119" s="1">
        <v>0.0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5.0" customHeight="1">
      <c r="A1120" s="1" t="s">
        <v>762</v>
      </c>
      <c r="B1120" s="1" t="s">
        <v>537</v>
      </c>
      <c r="C1120" s="1">
        <v>0.02472</v>
      </c>
      <c r="D1120" s="1" t="s">
        <v>1626</v>
      </c>
      <c r="E1120" s="266">
        <f>IFERROR(VLOOKUP(B1120,'Сырьё'!$C$6:$E$233,3,FALSE()),IFERROR(VLOOKUP(B1120,'Полупродукты'!$C$6:$E$60,3,FALSE()),0))</f>
        <v>8.8284</v>
      </c>
      <c r="F1120" s="266">
        <f t="shared" si="1"/>
        <v>0.218238048</v>
      </c>
      <c r="G1120" s="1">
        <v>0.0</v>
      </c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5.0" customHeight="1">
      <c r="A1121" s="1" t="s">
        <v>762</v>
      </c>
      <c r="B1121" s="1" t="s">
        <v>541</v>
      </c>
      <c r="C1121" s="1">
        <v>0.00618</v>
      </c>
      <c r="D1121" s="1" t="s">
        <v>1628</v>
      </c>
      <c r="E1121" s="266">
        <f>IFERROR(VLOOKUP(B1121,'Сырьё'!$C$6:$E$233,3,FALSE()),IFERROR(VLOOKUP(B1121,'Полупродукты'!$C$6:$E$60,3,FALSE()),0))</f>
        <v>78.7704</v>
      </c>
      <c r="F1121" s="266">
        <f t="shared" si="1"/>
        <v>0.486801072</v>
      </c>
      <c r="G1121" s="1">
        <v>0.0</v>
      </c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5.0" customHeight="1">
      <c r="A1122" s="1" t="s">
        <v>762</v>
      </c>
      <c r="B1122" s="1" t="s">
        <v>551</v>
      </c>
      <c r="C1122" s="1">
        <v>0.2472</v>
      </c>
      <c r="D1122" s="1" t="s">
        <v>1630</v>
      </c>
      <c r="E1122" s="266">
        <f>IFERROR(VLOOKUP(B1122,'Сырьё'!$C$6:$E$233,3,FALSE()),IFERROR(VLOOKUP(B1122,'Полупродукты'!$C$6:$E$60,3,FALSE()),0))</f>
        <v>3.7202</v>
      </c>
      <c r="F1122" s="266">
        <f t="shared" si="1"/>
        <v>0.91963344</v>
      </c>
      <c r="G1122" s="1">
        <v>0.0</v>
      </c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5.0" customHeight="1">
      <c r="A1123" s="1" t="s">
        <v>716</v>
      </c>
      <c r="B1123" s="1" t="s">
        <v>396</v>
      </c>
      <c r="C1123" s="1">
        <v>0.515</v>
      </c>
      <c r="D1123" s="1" t="s">
        <v>1480</v>
      </c>
      <c r="E1123" s="266">
        <f>IFERROR(VLOOKUP(B1123,'Сырьё'!$C$6:$E$233,3,FALSE()),IFERROR(VLOOKUP(B1123,'Полупродукты'!$C$6:$E$60,3,FALSE()),0))</f>
        <v>0</v>
      </c>
      <c r="F1123" s="266">
        <f t="shared" si="1"/>
        <v>0</v>
      </c>
      <c r="G1123" s="1">
        <v>1.0</v>
      </c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5.0" customHeight="1">
      <c r="A1124" s="1" t="s">
        <v>716</v>
      </c>
      <c r="B1124" s="1" t="s">
        <v>590</v>
      </c>
      <c r="C1124" s="1">
        <v>0.2781</v>
      </c>
      <c r="D1124" s="1" t="s">
        <v>1482</v>
      </c>
      <c r="E1124" s="266">
        <f>IFERROR(VLOOKUP(B1124,'Сырьё'!$C$6:$E$233,3,FALSE()),IFERROR(VLOOKUP(B1124,'Полупродукты'!$C$6:$E$60,3,FALSE()),0))</f>
        <v>1.8153</v>
      </c>
      <c r="F1124" s="266">
        <f t="shared" si="1"/>
        <v>0.50483493</v>
      </c>
      <c r="G1124" s="1">
        <v>0.0</v>
      </c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5.0" customHeight="1">
      <c r="A1125" s="1" t="s">
        <v>716</v>
      </c>
      <c r="B1125" s="1" t="s">
        <v>528</v>
      </c>
      <c r="C1125" s="1">
        <v>0.02472</v>
      </c>
      <c r="D1125" s="1" t="s">
        <v>1484</v>
      </c>
      <c r="E1125" s="266">
        <f>IFERROR(VLOOKUP(B1125,'Сырьё'!$C$6:$E$233,3,FALSE()),IFERROR(VLOOKUP(B1125,'Полупродукты'!$C$6:$E$60,3,FALSE()),0))</f>
        <v>0</v>
      </c>
      <c r="F1125" s="266">
        <f t="shared" si="1"/>
        <v>0</v>
      </c>
      <c r="G1125" s="1">
        <v>0.0</v>
      </c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5.0" customHeight="1">
      <c r="A1126" s="1" t="s">
        <v>716</v>
      </c>
      <c r="B1126" s="1" t="s">
        <v>543</v>
      </c>
      <c r="C1126" s="1">
        <v>0.00618</v>
      </c>
      <c r="D1126" s="1" t="s">
        <v>1486</v>
      </c>
      <c r="E1126" s="266">
        <f>IFERROR(VLOOKUP(B1126,'Сырьё'!$C$6:$E$233,3,FALSE()),IFERROR(VLOOKUP(B1126,'Полупродукты'!$C$6:$E$60,3,FALSE()),0))</f>
        <v>80.7112</v>
      </c>
      <c r="F1126" s="266">
        <f t="shared" si="1"/>
        <v>0.498795216</v>
      </c>
      <c r="G1126" s="1">
        <v>0.0</v>
      </c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5.0" customHeight="1">
      <c r="A1127" s="1" t="s">
        <v>716</v>
      </c>
      <c r="B1127" s="1" t="s">
        <v>568</v>
      </c>
      <c r="C1127" s="1">
        <v>0.206</v>
      </c>
      <c r="D1127" s="1" t="s">
        <v>1488</v>
      </c>
      <c r="E1127" s="266">
        <f>IFERROR(VLOOKUP(B1127,'Сырьё'!$C$6:$E$233,3,FALSE()),IFERROR(VLOOKUP(B1127,'Полупродукты'!$C$6:$E$60,3,FALSE()),0))</f>
        <v>5.1326</v>
      </c>
      <c r="F1127" s="266">
        <f t="shared" si="1"/>
        <v>1.0573156</v>
      </c>
      <c r="G1127" s="1">
        <v>0.0</v>
      </c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5.0" customHeight="1">
      <c r="A1128" s="1" t="s">
        <v>661</v>
      </c>
      <c r="B1128" s="1" t="s">
        <v>593</v>
      </c>
      <c r="C1128" s="1">
        <v>0.0618</v>
      </c>
      <c r="D1128" s="1" t="s">
        <v>3441</v>
      </c>
      <c r="E1128" s="266">
        <f>IFERROR(VLOOKUP(B1128,'Сырьё'!$C$6:$E$233,3,FALSE()),IFERROR(VLOOKUP(B1128,'Полупродукты'!$C$6:$E$60,3,FALSE()),0))</f>
        <v>1.6575</v>
      </c>
      <c r="F1128" s="266">
        <f t="shared" si="1"/>
        <v>0.1024335</v>
      </c>
      <c r="G1128" s="1">
        <v>0.0</v>
      </c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5.0" customHeight="1">
      <c r="A1129" s="1" t="s">
        <v>661</v>
      </c>
      <c r="B1129" s="1" t="s">
        <v>579</v>
      </c>
      <c r="C1129" s="1">
        <v>0.16686</v>
      </c>
      <c r="D1129" s="1" t="s">
        <v>3442</v>
      </c>
      <c r="E1129" s="266">
        <f>IFERROR(VLOOKUP(B1129,'Сырьё'!$C$6:$E$233,3,FALSE()),IFERROR(VLOOKUP(B1129,'Полупродукты'!$C$6:$E$60,3,FALSE()),0))</f>
        <v>1.2831</v>
      </c>
      <c r="F1129" s="266">
        <f t="shared" si="1"/>
        <v>0.214098066</v>
      </c>
      <c r="G1129" s="1">
        <v>0.0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5.0" customHeight="1">
      <c r="A1130" s="1" t="s">
        <v>661</v>
      </c>
      <c r="B1130" s="1" t="s">
        <v>594</v>
      </c>
      <c r="C1130" s="1">
        <v>0.2884</v>
      </c>
      <c r="D1130" s="1" t="s">
        <v>1294</v>
      </c>
      <c r="E1130" s="266">
        <f>IFERROR(VLOOKUP(B1130,'Сырьё'!$C$6:$E$233,3,FALSE()),IFERROR(VLOOKUP(B1130,'Полупродукты'!$C$6:$E$60,3,FALSE()),0))</f>
        <v>1.7145</v>
      </c>
      <c r="F1130" s="266">
        <f t="shared" si="1"/>
        <v>0.4944618</v>
      </c>
      <c r="G1130" s="1">
        <v>0.0</v>
      </c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5.0" customHeight="1">
      <c r="A1131" s="1" t="s">
        <v>661</v>
      </c>
      <c r="B1131" s="1" t="s">
        <v>549</v>
      </c>
      <c r="C1131" s="1">
        <v>0.078795</v>
      </c>
      <c r="D1131" s="1" t="s">
        <v>3443</v>
      </c>
      <c r="E1131" s="266">
        <f>IFERROR(VLOOKUP(B1131,'Сырьё'!$C$6:$E$233,3,FALSE()),IFERROR(VLOOKUP(B1131,'Полупродукты'!$C$6:$E$60,3,FALSE()),0))</f>
        <v>6.519</v>
      </c>
      <c r="F1131" s="266">
        <f t="shared" si="1"/>
        <v>0.513664605</v>
      </c>
      <c r="G1131" s="1">
        <v>0.0</v>
      </c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5.0" customHeight="1">
      <c r="A1132" s="1" t="s">
        <v>661</v>
      </c>
      <c r="B1132" s="1" t="s">
        <v>537</v>
      </c>
      <c r="C1132" s="1">
        <v>0.00927</v>
      </c>
      <c r="D1132" s="1" t="s">
        <v>3444</v>
      </c>
      <c r="E1132" s="266">
        <f>IFERROR(VLOOKUP(B1132,'Сырьё'!$C$6:$E$233,3,FALSE()),IFERROR(VLOOKUP(B1132,'Полупродукты'!$C$6:$E$60,3,FALSE()),0))</f>
        <v>8.8284</v>
      </c>
      <c r="F1132" s="266">
        <f t="shared" si="1"/>
        <v>0.081839268</v>
      </c>
      <c r="G1132" s="1">
        <v>0.0</v>
      </c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5.0" customHeight="1">
      <c r="A1133" s="1" t="s">
        <v>661</v>
      </c>
      <c r="B1133" s="1" t="s">
        <v>564</v>
      </c>
      <c r="C1133" s="1">
        <v>0.115875</v>
      </c>
      <c r="D1133" s="1" t="s">
        <v>3445</v>
      </c>
      <c r="E1133" s="266">
        <f>IFERROR(VLOOKUP(B1133,'Сырьё'!$C$6:$E$233,3,FALSE()),IFERROR(VLOOKUP(B1133,'Полупродукты'!$C$6:$E$60,3,FALSE()),0))</f>
        <v>6.2082</v>
      </c>
      <c r="F1133" s="266">
        <f t="shared" si="1"/>
        <v>0.719375175</v>
      </c>
      <c r="G1133" s="1">
        <v>0.0</v>
      </c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5.0" customHeight="1">
      <c r="A1134" s="1" t="s">
        <v>661</v>
      </c>
      <c r="B1134" s="1" t="s">
        <v>402</v>
      </c>
      <c r="C1134" s="1">
        <v>0.309</v>
      </c>
      <c r="D1134" s="1" t="s">
        <v>1290</v>
      </c>
      <c r="E1134" s="266">
        <f>IFERROR(VLOOKUP(B1134,'Сырьё'!$C$6:$E$233,3,FALSE()),IFERROR(VLOOKUP(B1134,'Полупродукты'!$C$6:$E$60,3,FALSE()),0))</f>
        <v>0</v>
      </c>
      <c r="F1134" s="266">
        <f t="shared" si="1"/>
        <v>0</v>
      </c>
      <c r="G1134" s="1">
        <v>1.0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5.0" customHeight="1">
      <c r="A1135" s="1" t="s">
        <v>661</v>
      </c>
      <c r="B1135" s="1" t="s">
        <v>520</v>
      </c>
      <c r="C1135" s="1">
        <v>3.43E-4</v>
      </c>
      <c r="D1135" s="1" t="s">
        <v>3446</v>
      </c>
      <c r="E1135" s="266">
        <f>IFERROR(VLOOKUP(B1135,'Сырьё'!$C$6:$E$233,3,FALSE()),IFERROR(VLOOKUP(B1135,'Полупродукты'!$C$6:$E$60,3,FALSE()),0))</f>
        <v>30.1527</v>
      </c>
      <c r="F1135" s="266">
        <f t="shared" si="1"/>
        <v>0.0103423761</v>
      </c>
      <c r="G1135" s="1">
        <v>0.0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5.0" customHeight="1">
      <c r="A1136" s="1" t="s">
        <v>433</v>
      </c>
      <c r="B1136" s="1" t="s">
        <v>433</v>
      </c>
      <c r="C1136" s="1">
        <v>1.0</v>
      </c>
      <c r="D1136" s="1" t="s">
        <v>3447</v>
      </c>
      <c r="E1136" s="266">
        <f>IFERROR(VLOOKUP(B1136,'Сырьё'!$C$6:$E$233,3,FALSE()),IFERROR(VLOOKUP(B1136,'Полупродукты'!$C$6:$E$60,3,FALSE()),0))</f>
        <v>4.4172</v>
      </c>
      <c r="F1136" s="266">
        <f t="shared" si="1"/>
        <v>4.4172</v>
      </c>
      <c r="G1136" s="1">
        <v>1.0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5.0" customHeight="1">
      <c r="A1137" s="1" t="s">
        <v>645</v>
      </c>
      <c r="B1137" s="1" t="s">
        <v>549</v>
      </c>
      <c r="C1137" s="1">
        <v>0.062006</v>
      </c>
      <c r="D1137" s="1" t="s">
        <v>3448</v>
      </c>
      <c r="E1137" s="266">
        <f>IFERROR(VLOOKUP(B1137,'Сырьё'!$C$6:$E$233,3,FALSE()),IFERROR(VLOOKUP(B1137,'Полупродукты'!$C$6:$E$60,3,FALSE()),0))</f>
        <v>6.519</v>
      </c>
      <c r="F1137" s="266">
        <f t="shared" si="1"/>
        <v>0.404217114</v>
      </c>
      <c r="G1137" s="1">
        <v>0.0</v>
      </c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5.0" customHeight="1">
      <c r="A1138" s="1" t="s">
        <v>645</v>
      </c>
      <c r="B1138" s="1" t="s">
        <v>579</v>
      </c>
      <c r="C1138" s="1">
        <v>0.164697</v>
      </c>
      <c r="D1138" s="1" t="s">
        <v>3449</v>
      </c>
      <c r="E1138" s="266">
        <f>IFERROR(VLOOKUP(B1138,'Сырьё'!$C$6:$E$233,3,FALSE()),IFERROR(VLOOKUP(B1138,'Полупродукты'!$C$6:$E$60,3,FALSE()),0))</f>
        <v>1.2831</v>
      </c>
      <c r="F1138" s="266">
        <f t="shared" si="1"/>
        <v>0.2113227207</v>
      </c>
      <c r="G1138" s="1">
        <v>0.0</v>
      </c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5.0" customHeight="1">
      <c r="A1139" s="1" t="s">
        <v>645</v>
      </c>
      <c r="B1139" s="1" t="s">
        <v>594</v>
      </c>
      <c r="C1139" s="1">
        <v>0.401906</v>
      </c>
      <c r="D1139" s="1" t="s">
        <v>2382</v>
      </c>
      <c r="E1139" s="266">
        <f>IFERROR(VLOOKUP(B1139,'Сырьё'!$C$6:$E$233,3,FALSE()),IFERROR(VLOOKUP(B1139,'Полупродукты'!$C$6:$E$60,3,FALSE()),0))</f>
        <v>1.7145</v>
      </c>
      <c r="F1139" s="266">
        <f t="shared" si="1"/>
        <v>0.689067837</v>
      </c>
      <c r="G1139" s="1">
        <v>0.0</v>
      </c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5.0" customHeight="1">
      <c r="A1140" s="1" t="s">
        <v>645</v>
      </c>
      <c r="B1140" s="1" t="s">
        <v>537</v>
      </c>
      <c r="C1140" s="1">
        <v>0.009013</v>
      </c>
      <c r="D1140" s="1" t="s">
        <v>3450</v>
      </c>
      <c r="E1140" s="266">
        <f>IFERROR(VLOOKUP(B1140,'Сырьё'!$C$6:$E$233,3,FALSE()),IFERROR(VLOOKUP(B1140,'Полупродукты'!$C$6:$E$60,3,FALSE()),0))</f>
        <v>8.8284</v>
      </c>
      <c r="F1140" s="266">
        <f t="shared" si="1"/>
        <v>0.0795703692</v>
      </c>
      <c r="G1140" s="1">
        <v>0.0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5.0" customHeight="1">
      <c r="A1141" s="1" t="s">
        <v>645</v>
      </c>
      <c r="B1141" s="1" t="s">
        <v>543</v>
      </c>
      <c r="C1141" s="1">
        <v>0.001803</v>
      </c>
      <c r="D1141" s="1" t="s">
        <v>3451</v>
      </c>
      <c r="E1141" s="266">
        <f>IFERROR(VLOOKUP(B1141,'Сырьё'!$C$6:$E$233,3,FALSE()),IFERROR(VLOOKUP(B1141,'Полупродукты'!$C$6:$E$60,3,FALSE()),0))</f>
        <v>80.7112</v>
      </c>
      <c r="F1141" s="266">
        <f t="shared" si="1"/>
        <v>0.1455222936</v>
      </c>
      <c r="G1141" s="1">
        <v>0.0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5.0" customHeight="1">
      <c r="A1142" s="1" t="s">
        <v>645</v>
      </c>
      <c r="B1142" s="1" t="s">
        <v>568</v>
      </c>
      <c r="C1142" s="1">
        <v>0.082915</v>
      </c>
      <c r="D1142" s="1" t="s">
        <v>3452</v>
      </c>
      <c r="E1142" s="266">
        <f>IFERROR(VLOOKUP(B1142,'Сырьё'!$C$6:$E$233,3,FALSE()),IFERROR(VLOOKUP(B1142,'Полупродукты'!$C$6:$E$60,3,FALSE()),0))</f>
        <v>5.1326</v>
      </c>
      <c r="F1142" s="266">
        <f t="shared" si="1"/>
        <v>0.425569529</v>
      </c>
      <c r="G1142" s="1">
        <v>0.0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5.0" customHeight="1">
      <c r="A1143" s="1" t="s">
        <v>645</v>
      </c>
      <c r="B1143" s="1" t="s">
        <v>593</v>
      </c>
      <c r="C1143" s="1">
        <v>0.0824</v>
      </c>
      <c r="D1143" s="1" t="s">
        <v>2388</v>
      </c>
      <c r="E1143" s="266">
        <f>IFERROR(VLOOKUP(B1143,'Сырьё'!$C$6:$E$233,3,FALSE()),IFERROR(VLOOKUP(B1143,'Полупродукты'!$C$6:$E$60,3,FALSE()),0))</f>
        <v>1.6575</v>
      </c>
      <c r="F1143" s="266">
        <f t="shared" si="1"/>
        <v>0.136578</v>
      </c>
      <c r="G1143" s="1">
        <v>0.0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5.0" customHeight="1">
      <c r="A1144" s="1" t="s">
        <v>645</v>
      </c>
      <c r="B1144" s="1" t="s">
        <v>520</v>
      </c>
      <c r="C1144" s="1">
        <v>5.58E-4</v>
      </c>
      <c r="D1144" s="1" t="s">
        <v>3453</v>
      </c>
      <c r="E1144" s="266">
        <f>IFERROR(VLOOKUP(B1144,'Сырьё'!$C$6:$E$233,3,FALSE()),IFERROR(VLOOKUP(B1144,'Полупродукты'!$C$6:$E$60,3,FALSE()),0))</f>
        <v>30.1527</v>
      </c>
      <c r="F1144" s="266">
        <f t="shared" si="1"/>
        <v>0.0168252066</v>
      </c>
      <c r="G1144" s="1">
        <v>0.0</v>
      </c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5.0" customHeight="1">
      <c r="A1145" s="1" t="s">
        <v>645</v>
      </c>
      <c r="B1145" s="1" t="s">
        <v>522</v>
      </c>
      <c r="C1145" s="1">
        <v>0.023089</v>
      </c>
      <c r="D1145" s="1" t="s">
        <v>3454</v>
      </c>
      <c r="E1145" s="266">
        <f>IFERROR(VLOOKUP(B1145,'Сырьё'!$C$6:$E$233,3,FALSE()),IFERROR(VLOOKUP(B1145,'Полупродукты'!$C$6:$E$60,3,FALSE()),0))</f>
        <v>3.7834</v>
      </c>
      <c r="F1145" s="266">
        <f t="shared" si="1"/>
        <v>0.0873549226</v>
      </c>
      <c r="G1145" s="1">
        <v>0.0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5.0" customHeight="1">
      <c r="A1146" s="1" t="s">
        <v>645</v>
      </c>
      <c r="B1146" s="1" t="s">
        <v>570</v>
      </c>
      <c r="C1146" s="1">
        <v>0.207524</v>
      </c>
      <c r="D1146" s="1" t="s">
        <v>3455</v>
      </c>
      <c r="E1146" s="266">
        <f>IFERROR(VLOOKUP(B1146,'Сырьё'!$C$6:$E$233,3,FALSE()),IFERROR(VLOOKUP(B1146,'Полупродукты'!$C$6:$E$60,3,FALSE()),0))</f>
        <v>3.3046</v>
      </c>
      <c r="F1146" s="266">
        <f t="shared" si="1"/>
        <v>0.6857838104</v>
      </c>
      <c r="G1146" s="1">
        <v>0.0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5.0" customHeight="1">
      <c r="A1147" s="1" t="s">
        <v>645</v>
      </c>
      <c r="B1147" s="1" t="s">
        <v>591</v>
      </c>
      <c r="C1147" s="1">
        <v>0.020703</v>
      </c>
      <c r="D1147" s="1" t="s">
        <v>3456</v>
      </c>
      <c r="E1147" s="266">
        <f>IFERROR(VLOOKUP(B1147,'Сырьё'!$C$6:$E$233,3,FALSE()),IFERROR(VLOOKUP(B1147,'Полупродукты'!$C$6:$E$60,3,FALSE()),0))</f>
        <v>1.9734</v>
      </c>
      <c r="F1147" s="266">
        <f t="shared" si="1"/>
        <v>0.0408553002</v>
      </c>
      <c r="G1147" s="1">
        <v>0.0</v>
      </c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5.0" customHeight="1">
      <c r="A1148" s="1" t="s">
        <v>630</v>
      </c>
      <c r="B1148" s="1" t="s">
        <v>431</v>
      </c>
      <c r="C1148" s="1">
        <v>0.6695</v>
      </c>
      <c r="D1148" s="1" t="s">
        <v>1588</v>
      </c>
      <c r="E1148" s="266">
        <f>IFERROR(VLOOKUP(B1148,'Сырьё'!$C$6:$E$233,3,FALSE()),IFERROR(VLOOKUP(B1148,'Полупродукты'!$C$6:$E$60,3,FALSE()),0))</f>
        <v>8.7213</v>
      </c>
      <c r="F1148" s="266">
        <f t="shared" si="1"/>
        <v>5.83891035</v>
      </c>
      <c r="G1148" s="1">
        <v>1.0</v>
      </c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5.0" customHeight="1">
      <c r="A1149" s="1" t="s">
        <v>630</v>
      </c>
      <c r="B1149" s="1" t="s">
        <v>570</v>
      </c>
      <c r="C1149" s="1">
        <v>0.2575</v>
      </c>
      <c r="D1149" s="1" t="s">
        <v>1590</v>
      </c>
      <c r="E1149" s="266">
        <f>IFERROR(VLOOKUP(B1149,'Сырьё'!$C$6:$E$233,3,FALSE()),IFERROR(VLOOKUP(B1149,'Полупродукты'!$C$6:$E$60,3,FALSE()),0))</f>
        <v>3.3046</v>
      </c>
      <c r="F1149" s="266">
        <f t="shared" si="1"/>
        <v>0.8509345</v>
      </c>
      <c r="G1149" s="1">
        <v>0.0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5.0" customHeight="1">
      <c r="A1150" s="1" t="s">
        <v>630</v>
      </c>
      <c r="B1150" s="1" t="s">
        <v>579</v>
      </c>
      <c r="C1150" s="1">
        <v>0.0824</v>
      </c>
      <c r="D1150" s="1" t="s">
        <v>1592</v>
      </c>
      <c r="E1150" s="266">
        <f>IFERROR(VLOOKUP(B1150,'Сырьё'!$C$6:$E$233,3,FALSE()),IFERROR(VLOOKUP(B1150,'Полупродукты'!$C$6:$E$60,3,FALSE()),0))</f>
        <v>1.2831</v>
      </c>
      <c r="F1150" s="266">
        <f t="shared" si="1"/>
        <v>0.10572744</v>
      </c>
      <c r="G1150" s="1">
        <v>0.0</v>
      </c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5.0" customHeight="1">
      <c r="A1151" s="1" t="s">
        <v>630</v>
      </c>
      <c r="B1151" s="1" t="s">
        <v>593</v>
      </c>
      <c r="C1151" s="1">
        <v>0.0206</v>
      </c>
      <c r="D1151" s="1" t="s">
        <v>1594</v>
      </c>
      <c r="E1151" s="266">
        <f>IFERROR(VLOOKUP(B1151,'Сырьё'!$C$6:$E$233,3,FALSE()),IFERROR(VLOOKUP(B1151,'Полупродукты'!$C$6:$E$60,3,FALSE()),0))</f>
        <v>1.6575</v>
      </c>
      <c r="F1151" s="266">
        <f t="shared" si="1"/>
        <v>0.0341445</v>
      </c>
      <c r="G1151" s="1">
        <v>0.0</v>
      </c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5.0" customHeight="1">
      <c r="A1152" s="1" t="s">
        <v>390</v>
      </c>
      <c r="B1152" s="1" t="s">
        <v>390</v>
      </c>
      <c r="C1152" s="1">
        <v>1.0</v>
      </c>
      <c r="D1152" s="1" t="s">
        <v>3457</v>
      </c>
      <c r="E1152" s="266">
        <f>IFERROR(VLOOKUP(B1152,'Сырьё'!$C$6:$E$233,3,FALSE()),IFERROR(VLOOKUP(B1152,'Полупродукты'!$C$6:$E$60,3,FALSE()),0))</f>
        <v>3.5368</v>
      </c>
      <c r="F1152" s="266">
        <f t="shared" si="1"/>
        <v>3.5368</v>
      </c>
      <c r="G1152" s="1">
        <v>1.0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5.0" customHeight="1">
      <c r="A1153" s="1" t="s">
        <v>731</v>
      </c>
      <c r="B1153" s="1" t="s">
        <v>549</v>
      </c>
      <c r="C1153" s="1">
        <v>0.12051</v>
      </c>
      <c r="D1153" s="1" t="s">
        <v>3458</v>
      </c>
      <c r="E1153" s="266">
        <f>IFERROR(VLOOKUP(B1153,'Сырьё'!$C$6:$E$233,3,FALSE()),IFERROR(VLOOKUP(B1153,'Полупродукты'!$C$6:$E$60,3,FALSE()),0))</f>
        <v>6.519</v>
      </c>
      <c r="F1153" s="266">
        <f t="shared" si="1"/>
        <v>0.78560469</v>
      </c>
      <c r="G1153" s="1">
        <v>0.0</v>
      </c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5.0" customHeight="1">
      <c r="A1154" s="1" t="s">
        <v>731</v>
      </c>
      <c r="B1154" s="1" t="s">
        <v>594</v>
      </c>
      <c r="C1154" s="1">
        <v>0.426806</v>
      </c>
      <c r="D1154" s="1" t="s">
        <v>3459</v>
      </c>
      <c r="E1154" s="266">
        <f>IFERROR(VLOOKUP(B1154,'Сырьё'!$C$6:$E$233,3,FALSE()),IFERROR(VLOOKUP(B1154,'Полупродукты'!$C$6:$E$60,3,FALSE()),0))</f>
        <v>1.7145</v>
      </c>
      <c r="F1154" s="266">
        <f t="shared" si="1"/>
        <v>0.731758887</v>
      </c>
      <c r="G1154" s="1">
        <v>0.0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5.0" customHeight="1">
      <c r="A1155" s="1" t="s">
        <v>731</v>
      </c>
      <c r="B1155" s="1" t="s">
        <v>537</v>
      </c>
      <c r="C1155" s="1">
        <v>0.045191</v>
      </c>
      <c r="D1155" s="1" t="s">
        <v>3460</v>
      </c>
      <c r="E1155" s="266">
        <f>IFERROR(VLOOKUP(B1155,'Сырьё'!$C$6:$E$233,3,FALSE()),IFERROR(VLOOKUP(B1155,'Полупродукты'!$C$6:$E$60,3,FALSE()),0))</f>
        <v>8.8284</v>
      </c>
      <c r="F1155" s="266">
        <f t="shared" si="1"/>
        <v>0.3989642244</v>
      </c>
      <c r="G1155" s="1">
        <v>0.0</v>
      </c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5.0" customHeight="1">
      <c r="A1156" s="1" t="s">
        <v>731</v>
      </c>
      <c r="B1156" s="1" t="s">
        <v>541</v>
      </c>
      <c r="C1156" s="1">
        <v>0.005021</v>
      </c>
      <c r="D1156" s="1" t="s">
        <v>3461</v>
      </c>
      <c r="E1156" s="266">
        <f>IFERROR(VLOOKUP(B1156,'Сырьё'!$C$6:$E$233,3,FALSE()),IFERROR(VLOOKUP(B1156,'Полупродукты'!$C$6:$E$60,3,FALSE()),0))</f>
        <v>78.7704</v>
      </c>
      <c r="F1156" s="266">
        <f t="shared" si="1"/>
        <v>0.3955061784</v>
      </c>
      <c r="G1156" s="1">
        <v>0.0</v>
      </c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5.0" customHeight="1">
      <c r="A1157" s="1" t="s">
        <v>731</v>
      </c>
      <c r="B1157" s="1" t="s">
        <v>552</v>
      </c>
      <c r="C1157" s="1">
        <v>0.28119</v>
      </c>
      <c r="D1157" s="1" t="s">
        <v>3462</v>
      </c>
      <c r="E1157" s="266">
        <f>IFERROR(VLOOKUP(B1157,'Сырьё'!$C$6:$E$233,3,FALSE()),IFERROR(VLOOKUP(B1157,'Полупродукты'!$C$6:$E$60,3,FALSE()),0))</f>
        <v>3.8883</v>
      </c>
      <c r="F1157" s="266">
        <f t="shared" si="1"/>
        <v>1.093351077</v>
      </c>
      <c r="G1157" s="1">
        <v>0.0</v>
      </c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5.0" customHeight="1">
      <c r="A1158" s="1" t="s">
        <v>731</v>
      </c>
      <c r="B1158" s="1" t="s">
        <v>579</v>
      </c>
      <c r="C1158" s="1">
        <v>0.125531</v>
      </c>
      <c r="D1158" s="1" t="s">
        <v>3463</v>
      </c>
      <c r="E1158" s="266">
        <f>IFERROR(VLOOKUP(B1158,'Сырьё'!$C$6:$E$233,3,FALSE()),IFERROR(VLOOKUP(B1158,'Полупродукты'!$C$6:$E$60,3,FALSE()),0))</f>
        <v>1.2831</v>
      </c>
      <c r="F1158" s="266">
        <f t="shared" si="1"/>
        <v>0.1610688261</v>
      </c>
      <c r="G1158" s="1">
        <v>0.0</v>
      </c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5.0" customHeight="1">
      <c r="A1159" s="1" t="s">
        <v>731</v>
      </c>
      <c r="B1159" s="1" t="s">
        <v>593</v>
      </c>
      <c r="C1159" s="1">
        <v>0.02575</v>
      </c>
      <c r="D1159" s="1" t="s">
        <v>1038</v>
      </c>
      <c r="E1159" s="266">
        <f>IFERROR(VLOOKUP(B1159,'Сырьё'!$C$6:$E$233,3,FALSE()),IFERROR(VLOOKUP(B1159,'Полупродукты'!$C$6:$E$60,3,FALSE()),0))</f>
        <v>1.6575</v>
      </c>
      <c r="F1159" s="266">
        <f t="shared" si="1"/>
        <v>0.042680625</v>
      </c>
      <c r="G1159" s="1">
        <v>0.0</v>
      </c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5.0" customHeight="1">
      <c r="A1160" s="1" t="s">
        <v>629</v>
      </c>
      <c r="B1160" s="1" t="s">
        <v>586</v>
      </c>
      <c r="C1160" s="1">
        <v>0.156096</v>
      </c>
      <c r="D1160" s="1" t="s">
        <v>3464</v>
      </c>
      <c r="E1160" s="266">
        <f>IFERROR(VLOOKUP(B1160,'Сырьё'!$C$6:$E$233,3,FALSE()),IFERROR(VLOOKUP(B1160,'Полупродукты'!$C$6:$E$60,3,FALSE()),0))</f>
        <v>53.4751</v>
      </c>
      <c r="F1160" s="266">
        <f t="shared" si="1"/>
        <v>8.34724921</v>
      </c>
      <c r="G1160" s="1">
        <v>0.0</v>
      </c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5.0" customHeight="1">
      <c r="A1161" s="1" t="s">
        <v>629</v>
      </c>
      <c r="B1161" s="1" t="s">
        <v>550</v>
      </c>
      <c r="C1161" s="1">
        <v>0.09373</v>
      </c>
      <c r="D1161" s="1" t="s">
        <v>3465</v>
      </c>
      <c r="E1161" s="266">
        <f>IFERROR(VLOOKUP(B1161,'Сырьё'!$C$6:$E$233,3,FALSE()),IFERROR(VLOOKUP(B1161,'Полупродукты'!$C$6:$E$60,3,FALSE()),0))</f>
        <v>0</v>
      </c>
      <c r="F1161" s="266">
        <f t="shared" si="1"/>
        <v>0</v>
      </c>
      <c r="G1161" s="1">
        <v>0.0</v>
      </c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5.0" customHeight="1">
      <c r="A1162" s="1" t="s">
        <v>629</v>
      </c>
      <c r="B1162" s="1" t="s">
        <v>594</v>
      </c>
      <c r="C1162" s="1">
        <v>0.32136</v>
      </c>
      <c r="D1162" s="1" t="s">
        <v>3466</v>
      </c>
      <c r="E1162" s="266">
        <f>IFERROR(VLOOKUP(B1162,'Сырьё'!$C$6:$E$233,3,FALSE()),IFERROR(VLOOKUP(B1162,'Полупродукты'!$C$6:$E$60,3,FALSE()),0))</f>
        <v>1.7145</v>
      </c>
      <c r="F1162" s="266">
        <f t="shared" si="1"/>
        <v>0.55097172</v>
      </c>
      <c r="G1162" s="1">
        <v>0.0</v>
      </c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5.0" customHeight="1">
      <c r="A1163" s="1" t="s">
        <v>629</v>
      </c>
      <c r="B1163" s="1" t="s">
        <v>579</v>
      </c>
      <c r="C1163" s="1">
        <v>0.218489</v>
      </c>
      <c r="D1163" s="1" t="s">
        <v>3467</v>
      </c>
      <c r="E1163" s="266">
        <f>IFERROR(VLOOKUP(B1163,'Сырьё'!$C$6:$E$233,3,FALSE()),IFERROR(VLOOKUP(B1163,'Полупродукты'!$C$6:$E$60,3,FALSE()),0))</f>
        <v>1.2831</v>
      </c>
      <c r="F1163" s="266">
        <f t="shared" si="1"/>
        <v>0.2803432359</v>
      </c>
      <c r="G1163" s="1">
        <v>0.0</v>
      </c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5.0" customHeight="1">
      <c r="A1164" s="1" t="s">
        <v>629</v>
      </c>
      <c r="B1164" s="1" t="s">
        <v>593</v>
      </c>
      <c r="C1164" s="1">
        <v>0.11536</v>
      </c>
      <c r="D1164" s="1" t="s">
        <v>3468</v>
      </c>
      <c r="E1164" s="266">
        <f>IFERROR(VLOOKUP(B1164,'Сырьё'!$C$6:$E$233,3,FALSE()),IFERROR(VLOOKUP(B1164,'Полупродукты'!$C$6:$E$60,3,FALSE()),0))</f>
        <v>1.6575</v>
      </c>
      <c r="F1164" s="266">
        <f t="shared" si="1"/>
        <v>0.1912092</v>
      </c>
      <c r="G1164" s="1">
        <v>0.0</v>
      </c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5.0" customHeight="1">
      <c r="A1165" s="1" t="s">
        <v>629</v>
      </c>
      <c r="B1165" s="1" t="s">
        <v>537</v>
      </c>
      <c r="C1165" s="1">
        <v>0.015502</v>
      </c>
      <c r="D1165" s="1" t="s">
        <v>3469</v>
      </c>
      <c r="E1165" s="266">
        <f>IFERROR(VLOOKUP(B1165,'Сырьё'!$C$6:$E$233,3,FALSE()),IFERROR(VLOOKUP(B1165,'Полупродукты'!$C$6:$E$60,3,FALSE()),0))</f>
        <v>8.8284</v>
      </c>
      <c r="F1165" s="266">
        <f t="shared" si="1"/>
        <v>0.1368578568</v>
      </c>
      <c r="G1165" s="1">
        <v>0.0</v>
      </c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5.0" customHeight="1">
      <c r="A1166" s="1" t="s">
        <v>629</v>
      </c>
      <c r="B1166" s="1" t="s">
        <v>570</v>
      </c>
      <c r="C1166" s="1">
        <v>0.155643</v>
      </c>
      <c r="D1166" s="1" t="s">
        <v>3470</v>
      </c>
      <c r="E1166" s="266">
        <f>IFERROR(VLOOKUP(B1166,'Сырьё'!$C$6:$E$233,3,FALSE()),IFERROR(VLOOKUP(B1166,'Полупродукты'!$C$6:$E$60,3,FALSE()),0))</f>
        <v>3.3046</v>
      </c>
      <c r="F1166" s="266">
        <f t="shared" si="1"/>
        <v>0.5143378578</v>
      </c>
      <c r="G1166" s="1">
        <v>0.0</v>
      </c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5.0" customHeight="1">
      <c r="A1167" s="1" t="s">
        <v>629</v>
      </c>
      <c r="B1167" s="1" t="s">
        <v>591</v>
      </c>
      <c r="C1167" s="1">
        <v>0.015527</v>
      </c>
      <c r="D1167" s="1" t="s">
        <v>3471</v>
      </c>
      <c r="E1167" s="266">
        <f>IFERROR(VLOOKUP(B1167,'Сырьё'!$C$6:$E$233,3,FALSE()),IFERROR(VLOOKUP(B1167,'Полупродукты'!$C$6:$E$60,3,FALSE()),0))</f>
        <v>1.9734</v>
      </c>
      <c r="F1167" s="266">
        <f t="shared" si="1"/>
        <v>0.0306409818</v>
      </c>
      <c r="G1167" s="1">
        <v>0.0</v>
      </c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5.0" customHeight="1">
      <c r="A1168" s="1" t="s">
        <v>629</v>
      </c>
      <c r="B1168" s="1" t="s">
        <v>522</v>
      </c>
      <c r="C1168" s="1">
        <v>1.32E-4</v>
      </c>
      <c r="D1168" s="1" t="s">
        <v>3472</v>
      </c>
      <c r="E1168" s="266">
        <f>IFERROR(VLOOKUP(B1168,'Сырьё'!$C$6:$E$233,3,FALSE()),IFERROR(VLOOKUP(B1168,'Полупродукты'!$C$6:$E$60,3,FALSE()),0))</f>
        <v>3.7834</v>
      </c>
      <c r="F1168" s="266">
        <f t="shared" si="1"/>
        <v>0.0004994088</v>
      </c>
      <c r="G1168" s="1">
        <v>0.0</v>
      </c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5.0" customHeight="1">
      <c r="A1169" s="1" t="s">
        <v>648</v>
      </c>
      <c r="B1169" s="1" t="s">
        <v>549</v>
      </c>
      <c r="C1169" s="1">
        <v>0.101661</v>
      </c>
      <c r="D1169" s="1" t="s">
        <v>3473</v>
      </c>
      <c r="E1169" s="266">
        <f>IFERROR(VLOOKUP(B1169,'Сырьё'!$C$6:$E$233,3,FALSE()),IFERROR(VLOOKUP(B1169,'Полупродукты'!$C$6:$E$60,3,FALSE()),0))</f>
        <v>6.519</v>
      </c>
      <c r="F1169" s="266">
        <f t="shared" si="1"/>
        <v>0.662728059</v>
      </c>
      <c r="G1169" s="1">
        <v>0.0</v>
      </c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5.0" customHeight="1">
      <c r="A1170" s="1" t="s">
        <v>648</v>
      </c>
      <c r="B1170" s="1" t="s">
        <v>579</v>
      </c>
      <c r="C1170" s="1">
        <v>0.275986</v>
      </c>
      <c r="D1170" s="1" t="s">
        <v>3474</v>
      </c>
      <c r="E1170" s="266">
        <f>IFERROR(VLOOKUP(B1170,'Сырьё'!$C$6:$E$233,3,FALSE()),IFERROR(VLOOKUP(B1170,'Полупродукты'!$C$6:$E$60,3,FALSE()),0))</f>
        <v>1.2831</v>
      </c>
      <c r="F1170" s="266">
        <f t="shared" si="1"/>
        <v>0.3541176366</v>
      </c>
      <c r="G1170" s="1">
        <v>0.0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5.0" customHeight="1">
      <c r="A1171" s="1" t="s">
        <v>648</v>
      </c>
      <c r="B1171" s="1" t="s">
        <v>594</v>
      </c>
      <c r="C1171" s="1">
        <v>0.32907</v>
      </c>
      <c r="D1171" s="1" t="s">
        <v>3475</v>
      </c>
      <c r="E1171" s="266">
        <f>IFERROR(VLOOKUP(B1171,'Сырьё'!$C$6:$E$233,3,FALSE()),IFERROR(VLOOKUP(B1171,'Полупродукты'!$C$6:$E$60,3,FALSE()),0))</f>
        <v>1.7145</v>
      </c>
      <c r="F1171" s="266">
        <f t="shared" si="1"/>
        <v>0.564190515</v>
      </c>
      <c r="G1171" s="1">
        <v>0.0</v>
      </c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5.0" customHeight="1">
      <c r="A1172" s="1" t="s">
        <v>648</v>
      </c>
      <c r="B1172" s="1" t="s">
        <v>537</v>
      </c>
      <c r="C1172" s="1">
        <v>0.016223</v>
      </c>
      <c r="D1172" s="1" t="s">
        <v>3476</v>
      </c>
      <c r="E1172" s="266">
        <f>IFERROR(VLOOKUP(B1172,'Сырьё'!$C$6:$E$233,3,FALSE()),IFERROR(VLOOKUP(B1172,'Полупродукты'!$C$6:$E$60,3,FALSE()),0))</f>
        <v>8.8284</v>
      </c>
      <c r="F1172" s="266">
        <f t="shared" si="1"/>
        <v>0.1432231332</v>
      </c>
      <c r="G1172" s="1">
        <v>0.0</v>
      </c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5.0" customHeight="1">
      <c r="A1173" s="1" t="s">
        <v>648</v>
      </c>
      <c r="B1173" s="1" t="s">
        <v>543</v>
      </c>
      <c r="C1173" s="1">
        <v>0.003245</v>
      </c>
      <c r="D1173" s="1" t="s">
        <v>3477</v>
      </c>
      <c r="E1173" s="266">
        <f>IFERROR(VLOOKUP(B1173,'Сырьё'!$C$6:$E$233,3,FALSE()),IFERROR(VLOOKUP(B1173,'Полупродукты'!$C$6:$E$60,3,FALSE()),0))</f>
        <v>80.7112</v>
      </c>
      <c r="F1173" s="266">
        <f t="shared" si="1"/>
        <v>0.261907844</v>
      </c>
      <c r="G1173" s="1">
        <v>0.0</v>
      </c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5.0" customHeight="1">
      <c r="A1174" s="1" t="s">
        <v>648</v>
      </c>
      <c r="B1174" s="1" t="s">
        <v>568</v>
      </c>
      <c r="C1174" s="1">
        <v>0.149247</v>
      </c>
      <c r="D1174" s="1" t="s">
        <v>3478</v>
      </c>
      <c r="E1174" s="266">
        <f>IFERROR(VLOOKUP(B1174,'Сырьё'!$C$6:$E$233,3,FALSE()),IFERROR(VLOOKUP(B1174,'Полупродукты'!$C$6:$E$60,3,FALSE()),0))</f>
        <v>5.1326</v>
      </c>
      <c r="F1174" s="266">
        <f t="shared" si="1"/>
        <v>0.7660251522</v>
      </c>
      <c r="G1174" s="1">
        <v>0.0</v>
      </c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5.0" customHeight="1">
      <c r="A1175" s="1" t="s">
        <v>648</v>
      </c>
      <c r="B1175" s="1" t="s">
        <v>570</v>
      </c>
      <c r="C1175" s="1">
        <v>0.036555</v>
      </c>
      <c r="D1175" s="1" t="s">
        <v>3479</v>
      </c>
      <c r="E1175" s="266">
        <f>IFERROR(VLOOKUP(B1175,'Сырьё'!$C$6:$E$233,3,FALSE()),IFERROR(VLOOKUP(B1175,'Полупродукты'!$C$6:$E$60,3,FALSE()),0))</f>
        <v>3.3046</v>
      </c>
      <c r="F1175" s="266">
        <f t="shared" si="1"/>
        <v>0.120799653</v>
      </c>
      <c r="G1175" s="1">
        <v>0.0</v>
      </c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5.0" customHeight="1">
      <c r="A1176" s="1" t="s">
        <v>648</v>
      </c>
      <c r="B1176" s="1" t="s">
        <v>569</v>
      </c>
      <c r="C1176" s="1">
        <v>0.027748</v>
      </c>
      <c r="D1176" s="1" t="s">
        <v>3480</v>
      </c>
      <c r="E1176" s="266">
        <f>IFERROR(VLOOKUP(B1176,'Сырьё'!$C$6:$E$233,3,FALSE()),IFERROR(VLOOKUP(B1176,'Полупродукты'!$C$6:$E$60,3,FALSE()),0))</f>
        <v>3.2853</v>
      </c>
      <c r="F1176" s="266">
        <f t="shared" si="1"/>
        <v>0.0911605044</v>
      </c>
      <c r="G1176" s="1">
        <v>0.0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5.0" customHeight="1">
      <c r="A1177" s="1" t="s">
        <v>648</v>
      </c>
      <c r="B1177" s="1" t="s">
        <v>591</v>
      </c>
      <c r="C1177" s="1">
        <v>0.015651</v>
      </c>
      <c r="D1177" s="1" t="s">
        <v>3481</v>
      </c>
      <c r="E1177" s="266">
        <f>IFERROR(VLOOKUP(B1177,'Сырьё'!$C$6:$E$233,3,FALSE()),IFERROR(VLOOKUP(B1177,'Полупродукты'!$C$6:$E$60,3,FALSE()),0))</f>
        <v>1.9734</v>
      </c>
      <c r="F1177" s="266">
        <f t="shared" si="1"/>
        <v>0.0308856834</v>
      </c>
      <c r="G1177" s="1">
        <v>0.0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5.0" customHeight="1">
      <c r="A1178" s="1" t="s">
        <v>648</v>
      </c>
      <c r="B1178" s="1" t="s">
        <v>532</v>
      </c>
      <c r="C1178" s="1">
        <v>0.005516</v>
      </c>
      <c r="D1178" s="1" t="s">
        <v>3482</v>
      </c>
      <c r="E1178" s="266">
        <f>IFERROR(VLOOKUP(B1178,'Сырьё'!$C$6:$E$233,3,FALSE()),IFERROR(VLOOKUP(B1178,'Полупродукты'!$C$6:$E$60,3,FALSE()),0))</f>
        <v>2.337</v>
      </c>
      <c r="F1178" s="266">
        <f t="shared" si="1"/>
        <v>0.012890892</v>
      </c>
      <c r="G1178" s="1">
        <v>0.0</v>
      </c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5.0" customHeight="1">
      <c r="A1179" s="1" t="s">
        <v>648</v>
      </c>
      <c r="B1179" s="1" t="s">
        <v>520</v>
      </c>
      <c r="C1179" s="1">
        <v>9.26E-4</v>
      </c>
      <c r="D1179" s="1" t="s">
        <v>3483</v>
      </c>
      <c r="E1179" s="266">
        <f>IFERROR(VLOOKUP(B1179,'Сырьё'!$C$6:$E$233,3,FALSE()),IFERROR(VLOOKUP(B1179,'Полупродукты'!$C$6:$E$60,3,FALSE()),0))</f>
        <v>30.1527</v>
      </c>
      <c r="F1179" s="266">
        <f t="shared" si="1"/>
        <v>0.0279214002</v>
      </c>
      <c r="G1179" s="1">
        <v>0.0</v>
      </c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5.0" customHeight="1">
      <c r="A1180" s="1" t="s">
        <v>648</v>
      </c>
      <c r="B1180" s="1" t="s">
        <v>593</v>
      </c>
      <c r="C1180" s="1">
        <v>0.055272</v>
      </c>
      <c r="D1180" s="1" t="s">
        <v>3484</v>
      </c>
      <c r="E1180" s="266">
        <f>IFERROR(VLOOKUP(B1180,'Сырьё'!$C$6:$E$233,3,FALSE()),IFERROR(VLOOKUP(B1180,'Полупродукты'!$C$6:$E$60,3,FALSE()),0))</f>
        <v>1.6575</v>
      </c>
      <c r="F1180" s="266">
        <f t="shared" si="1"/>
        <v>0.09161334</v>
      </c>
      <c r="G1180" s="1">
        <v>0.0</v>
      </c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5.0" customHeight="1">
      <c r="A1181" s="1" t="s">
        <v>648</v>
      </c>
      <c r="B1181" s="1" t="s">
        <v>585</v>
      </c>
      <c r="C1181" s="1">
        <v>0.007813</v>
      </c>
      <c r="D1181" s="1" t="s">
        <v>3485</v>
      </c>
      <c r="E1181" s="266">
        <f>IFERROR(VLOOKUP(B1181,'Сырьё'!$C$6:$E$233,3,FALSE()),IFERROR(VLOOKUP(B1181,'Полупродукты'!$C$6:$E$60,3,FALSE()),0))</f>
        <v>6.9052</v>
      </c>
      <c r="F1181" s="266">
        <f t="shared" si="1"/>
        <v>0.0539503276</v>
      </c>
      <c r="G1181" s="1">
        <v>0.0</v>
      </c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5.0" customHeight="1">
      <c r="A1182" s="1" t="s">
        <v>648</v>
      </c>
      <c r="B1182" s="1" t="s">
        <v>540</v>
      </c>
      <c r="C1182" s="1">
        <v>0.00824</v>
      </c>
      <c r="D1182" s="1" t="s">
        <v>3486</v>
      </c>
      <c r="E1182" s="266">
        <f>IFERROR(VLOOKUP(B1182,'Сырьё'!$C$6:$E$233,3,FALSE()),IFERROR(VLOOKUP(B1182,'Полупродукты'!$C$6:$E$60,3,FALSE()),0))</f>
        <v>0</v>
      </c>
      <c r="F1182" s="266">
        <f t="shared" si="1"/>
        <v>0</v>
      </c>
      <c r="G1182" s="1">
        <v>0.0</v>
      </c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5.0" customHeight="1">
      <c r="A1183" s="1" t="s">
        <v>667</v>
      </c>
      <c r="B1183" s="1" t="s">
        <v>579</v>
      </c>
      <c r="C1183" s="1">
        <v>0.12154</v>
      </c>
      <c r="D1183" s="1" t="s">
        <v>3487</v>
      </c>
      <c r="E1183" s="266">
        <f>IFERROR(VLOOKUP(B1183,'Сырьё'!$C$6:$E$233,3,FALSE()),IFERROR(VLOOKUP(B1183,'Полупродукты'!$C$6:$E$60,3,FALSE()),0))</f>
        <v>1.2831</v>
      </c>
      <c r="F1183" s="266">
        <f t="shared" si="1"/>
        <v>0.155947974</v>
      </c>
      <c r="G1183" s="1">
        <v>0.0</v>
      </c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5.0" customHeight="1">
      <c r="A1184" s="1" t="s">
        <v>667</v>
      </c>
      <c r="B1184" s="1" t="s">
        <v>593</v>
      </c>
      <c r="C1184" s="1">
        <v>0.159135</v>
      </c>
      <c r="D1184" s="1" t="s">
        <v>3488</v>
      </c>
      <c r="E1184" s="266">
        <f>IFERROR(VLOOKUP(B1184,'Сырьё'!$C$6:$E$233,3,FALSE()),IFERROR(VLOOKUP(B1184,'Полупродукты'!$C$6:$E$60,3,FALSE()),0))</f>
        <v>1.6575</v>
      </c>
      <c r="F1184" s="266">
        <f t="shared" si="1"/>
        <v>0.2637662625</v>
      </c>
      <c r="G1184" s="1">
        <v>0.0</v>
      </c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15.0" customHeight="1">
      <c r="A1185" s="1" t="s">
        <v>667</v>
      </c>
      <c r="B1185" s="1" t="s">
        <v>594</v>
      </c>
      <c r="C1185" s="1">
        <v>0.118965</v>
      </c>
      <c r="D1185" s="1" t="s">
        <v>3489</v>
      </c>
      <c r="E1185" s="266">
        <f>IFERROR(VLOOKUP(B1185,'Сырьё'!$C$6:$E$233,3,FALSE()),IFERROR(VLOOKUP(B1185,'Полупродукты'!$C$6:$E$60,3,FALSE()),0))</f>
        <v>1.7145</v>
      </c>
      <c r="F1185" s="266">
        <f t="shared" si="1"/>
        <v>0.2039654925</v>
      </c>
      <c r="G1185" s="1">
        <v>0.0</v>
      </c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5.0" customHeight="1">
      <c r="A1186" s="1" t="s">
        <v>667</v>
      </c>
      <c r="B1186" s="1" t="s">
        <v>577</v>
      </c>
      <c r="C1186" s="1">
        <v>0.354063</v>
      </c>
      <c r="D1186" s="1" t="s">
        <v>3490</v>
      </c>
      <c r="E1186" s="266">
        <f>IFERROR(VLOOKUP(B1186,'Сырьё'!$C$6:$E$233,3,FALSE()),IFERROR(VLOOKUP(B1186,'Полупродукты'!$C$6:$E$60,3,FALSE()),0))</f>
        <v>2.8015</v>
      </c>
      <c r="F1186" s="266">
        <f t="shared" si="1"/>
        <v>0.9919074945</v>
      </c>
      <c r="G1186" s="1">
        <v>0.0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5.0" customHeight="1">
      <c r="A1187" s="1" t="s">
        <v>667</v>
      </c>
      <c r="B1187" s="1" t="s">
        <v>549</v>
      </c>
      <c r="C1187" s="1">
        <v>0.066178</v>
      </c>
      <c r="D1187" s="1" t="s">
        <v>3491</v>
      </c>
      <c r="E1187" s="266">
        <f>IFERROR(VLOOKUP(B1187,'Сырьё'!$C$6:$E$233,3,FALSE()),IFERROR(VLOOKUP(B1187,'Полупродукты'!$C$6:$E$60,3,FALSE()),0))</f>
        <v>6.519</v>
      </c>
      <c r="F1187" s="266">
        <f t="shared" si="1"/>
        <v>0.431414382</v>
      </c>
      <c r="G1187" s="1">
        <v>0.0</v>
      </c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5.0" customHeight="1">
      <c r="A1188" s="1" t="s">
        <v>667</v>
      </c>
      <c r="B1188" s="1" t="s">
        <v>588</v>
      </c>
      <c r="C1188" s="1">
        <v>0.103</v>
      </c>
      <c r="D1188" s="1" t="s">
        <v>1252</v>
      </c>
      <c r="E1188" s="266">
        <f>IFERROR(VLOOKUP(B1188,'Сырьё'!$C$6:$E$233,3,FALSE()),IFERROR(VLOOKUP(B1188,'Полупродукты'!$C$6:$E$60,3,FALSE()),0))</f>
        <v>5.0212</v>
      </c>
      <c r="F1188" s="266">
        <f t="shared" si="1"/>
        <v>0.5171836</v>
      </c>
      <c r="G1188" s="1">
        <v>0.0</v>
      </c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5.0" customHeight="1">
      <c r="A1189" s="1" t="s">
        <v>667</v>
      </c>
      <c r="B1189" s="1" t="s">
        <v>532</v>
      </c>
      <c r="C1189" s="1">
        <v>0.00515</v>
      </c>
      <c r="D1189" s="1" t="s">
        <v>1254</v>
      </c>
      <c r="E1189" s="266">
        <f>IFERROR(VLOOKUP(B1189,'Сырьё'!$C$6:$E$233,3,FALSE()),IFERROR(VLOOKUP(B1189,'Полупродукты'!$C$6:$E$60,3,FALSE()),0))</f>
        <v>2.337</v>
      </c>
      <c r="F1189" s="266">
        <f t="shared" si="1"/>
        <v>0.01203555</v>
      </c>
      <c r="G1189" s="1">
        <v>0.0</v>
      </c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5.0" customHeight="1">
      <c r="A1190" s="1" t="s">
        <v>667</v>
      </c>
      <c r="B1190" s="1" t="s">
        <v>548</v>
      </c>
      <c r="C1190" s="1">
        <v>0.10197</v>
      </c>
      <c r="D1190" s="1" t="s">
        <v>3492</v>
      </c>
      <c r="E1190" s="266">
        <f>IFERROR(VLOOKUP(B1190,'Сырьё'!$C$6:$E$233,3,FALSE()),IFERROR(VLOOKUP(B1190,'Полупродукты'!$C$6:$E$60,3,FALSE()),0))</f>
        <v>0</v>
      </c>
      <c r="F1190" s="266">
        <f t="shared" si="1"/>
        <v>0</v>
      </c>
      <c r="G1190" s="1">
        <v>0.0</v>
      </c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5.0" customHeight="1">
      <c r="A1191" s="1" t="s">
        <v>613</v>
      </c>
      <c r="B1191" s="1" t="s">
        <v>570</v>
      </c>
      <c r="C1191" s="1">
        <v>0.036555</v>
      </c>
      <c r="D1191" s="1" t="s">
        <v>3493</v>
      </c>
      <c r="E1191" s="266">
        <f>IFERROR(VLOOKUP(B1191,'Сырьё'!$C$6:$E$233,3,FALSE()),IFERROR(VLOOKUP(B1191,'Полупродукты'!$C$6:$E$60,3,FALSE()),0))</f>
        <v>3.3046</v>
      </c>
      <c r="F1191" s="266">
        <f t="shared" si="1"/>
        <v>0.120799653</v>
      </c>
      <c r="G1191" s="1">
        <v>0.0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5.0" customHeight="1">
      <c r="A1192" s="1" t="s">
        <v>613</v>
      </c>
      <c r="B1192" s="1" t="s">
        <v>569</v>
      </c>
      <c r="C1192" s="1">
        <v>0.027748</v>
      </c>
      <c r="D1192" s="1" t="s">
        <v>3494</v>
      </c>
      <c r="E1192" s="266">
        <f>IFERROR(VLOOKUP(B1192,'Сырьё'!$C$6:$E$233,3,FALSE()),IFERROR(VLOOKUP(B1192,'Полупродукты'!$C$6:$E$60,3,FALSE()),0))</f>
        <v>3.2853</v>
      </c>
      <c r="F1192" s="266">
        <f t="shared" si="1"/>
        <v>0.0911605044</v>
      </c>
      <c r="G1192" s="1">
        <v>0.0</v>
      </c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5.0" customHeight="1">
      <c r="A1193" s="1" t="s">
        <v>613</v>
      </c>
      <c r="B1193" s="1" t="s">
        <v>594</v>
      </c>
      <c r="C1193" s="1">
        <v>0.257382</v>
      </c>
      <c r="D1193" s="1" t="s">
        <v>3495</v>
      </c>
      <c r="E1193" s="266">
        <f>IFERROR(VLOOKUP(B1193,'Сырьё'!$C$6:$E$233,3,FALSE()),IFERROR(VLOOKUP(B1193,'Полупродукты'!$C$6:$E$60,3,FALSE()),0))</f>
        <v>1.7145</v>
      </c>
      <c r="F1193" s="266">
        <f t="shared" si="1"/>
        <v>0.441281439</v>
      </c>
      <c r="G1193" s="1">
        <v>0.0</v>
      </c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5.0" customHeight="1">
      <c r="A1194" s="1" t="s">
        <v>613</v>
      </c>
      <c r="B1194" s="1" t="s">
        <v>579</v>
      </c>
      <c r="C1194" s="1">
        <v>0.197003</v>
      </c>
      <c r="D1194" s="1" t="s">
        <v>3496</v>
      </c>
      <c r="E1194" s="266">
        <f>IFERROR(VLOOKUP(B1194,'Сырьё'!$C$6:$E$233,3,FALSE()),IFERROR(VLOOKUP(B1194,'Полупродукты'!$C$6:$E$60,3,FALSE()),0))</f>
        <v>1.2831</v>
      </c>
      <c r="F1194" s="266">
        <f t="shared" si="1"/>
        <v>0.2527745493</v>
      </c>
      <c r="G1194" s="1">
        <v>0.0</v>
      </c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5.0" customHeight="1">
      <c r="A1195" s="1" t="s">
        <v>613</v>
      </c>
      <c r="B1195" s="1" t="s">
        <v>591</v>
      </c>
      <c r="C1195" s="1">
        <v>0.015651</v>
      </c>
      <c r="D1195" s="1" t="s">
        <v>3497</v>
      </c>
      <c r="E1195" s="266">
        <f>IFERROR(VLOOKUP(B1195,'Сырьё'!$C$6:$E$233,3,FALSE()),IFERROR(VLOOKUP(B1195,'Полупродукты'!$C$6:$E$60,3,FALSE()),0))</f>
        <v>1.9734</v>
      </c>
      <c r="F1195" s="266">
        <f t="shared" si="1"/>
        <v>0.0308856834</v>
      </c>
      <c r="G1195" s="1">
        <v>0.0</v>
      </c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5.0" customHeight="1">
      <c r="A1196" s="1" t="s">
        <v>613</v>
      </c>
      <c r="B1196" s="1" t="s">
        <v>532</v>
      </c>
      <c r="C1196" s="1">
        <v>0.005516</v>
      </c>
      <c r="D1196" s="1" t="s">
        <v>3498</v>
      </c>
      <c r="E1196" s="266">
        <f>IFERROR(VLOOKUP(B1196,'Сырьё'!$C$6:$E$233,3,FALSE()),IFERROR(VLOOKUP(B1196,'Полупродукты'!$C$6:$E$60,3,FALSE()),0))</f>
        <v>2.337</v>
      </c>
      <c r="F1196" s="266">
        <f t="shared" si="1"/>
        <v>0.012890892</v>
      </c>
      <c r="G1196" s="1">
        <v>0.0</v>
      </c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5.0" customHeight="1">
      <c r="A1197" s="1" t="s">
        <v>613</v>
      </c>
      <c r="B1197" s="1" t="s">
        <v>520</v>
      </c>
      <c r="C1197" s="1">
        <v>0.001157</v>
      </c>
      <c r="D1197" s="1" t="s">
        <v>3499</v>
      </c>
      <c r="E1197" s="266">
        <f>IFERROR(VLOOKUP(B1197,'Сырьё'!$C$6:$E$233,3,FALSE()),IFERROR(VLOOKUP(B1197,'Полупродукты'!$C$6:$E$60,3,FALSE()),0))</f>
        <v>30.1527</v>
      </c>
      <c r="F1197" s="266">
        <f t="shared" si="1"/>
        <v>0.0348866739</v>
      </c>
      <c r="G1197" s="1">
        <v>0.0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5.0" customHeight="1">
      <c r="A1198" s="1" t="s">
        <v>613</v>
      </c>
      <c r="B1198" s="1" t="s">
        <v>593</v>
      </c>
      <c r="C1198" s="1">
        <v>0.130068</v>
      </c>
      <c r="D1198" s="1" t="s">
        <v>3500</v>
      </c>
      <c r="E1198" s="266">
        <f>IFERROR(VLOOKUP(B1198,'Сырьё'!$C$6:$E$233,3,FALSE()),IFERROR(VLOOKUP(B1198,'Полупродукты'!$C$6:$E$60,3,FALSE()),0))</f>
        <v>1.6575</v>
      </c>
      <c r="F1198" s="266">
        <f t="shared" si="1"/>
        <v>0.21558771</v>
      </c>
      <c r="G1198" s="1">
        <v>0.0</v>
      </c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5.0" customHeight="1">
      <c r="A1199" s="1" t="s">
        <v>613</v>
      </c>
      <c r="B1199" s="1" t="s">
        <v>549</v>
      </c>
      <c r="C1199" s="1">
        <v>0.132612</v>
      </c>
      <c r="D1199" s="1" t="s">
        <v>3501</v>
      </c>
      <c r="E1199" s="266">
        <f>IFERROR(VLOOKUP(B1199,'Сырьё'!$C$6:$E$233,3,FALSE()),IFERROR(VLOOKUP(B1199,'Полупродукты'!$C$6:$E$60,3,FALSE()),0))</f>
        <v>6.519</v>
      </c>
      <c r="F1199" s="266">
        <f t="shared" si="1"/>
        <v>0.864497628</v>
      </c>
      <c r="G1199" s="1">
        <v>0.0</v>
      </c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5.0" customHeight="1">
      <c r="A1200" s="1" t="s">
        <v>613</v>
      </c>
      <c r="B1200" s="1" t="s">
        <v>542</v>
      </c>
      <c r="C1200" s="1">
        <v>0.025235</v>
      </c>
      <c r="D1200" s="1" t="s">
        <v>3502</v>
      </c>
      <c r="E1200" s="266">
        <f>IFERROR(VLOOKUP(B1200,'Сырьё'!$C$6:$E$233,3,FALSE()),IFERROR(VLOOKUP(B1200,'Полупродукты'!$C$6:$E$60,3,FALSE()),0))</f>
        <v>16.0534</v>
      </c>
      <c r="F1200" s="266">
        <f t="shared" si="1"/>
        <v>0.405107549</v>
      </c>
      <c r="G1200" s="1">
        <v>0.0</v>
      </c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5.0" customHeight="1">
      <c r="A1201" s="1" t="s">
        <v>613</v>
      </c>
      <c r="B1201" s="1" t="s">
        <v>541</v>
      </c>
      <c r="C1201" s="1">
        <v>0.003605</v>
      </c>
      <c r="D1201" s="1" t="s">
        <v>3503</v>
      </c>
      <c r="E1201" s="266">
        <f>IFERROR(VLOOKUP(B1201,'Сырьё'!$C$6:$E$233,3,FALSE()),IFERROR(VLOOKUP(B1201,'Полупродукты'!$C$6:$E$60,3,FALSE()),0))</f>
        <v>78.7704</v>
      </c>
      <c r="F1201" s="266">
        <f t="shared" si="1"/>
        <v>0.283967292</v>
      </c>
      <c r="G1201" s="1">
        <v>0.0</v>
      </c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5.0" customHeight="1">
      <c r="A1202" s="1" t="s">
        <v>613</v>
      </c>
      <c r="B1202" s="1" t="s">
        <v>553</v>
      </c>
      <c r="C1202" s="1">
        <v>0.1442</v>
      </c>
      <c r="D1202" s="1" t="s">
        <v>3504</v>
      </c>
      <c r="E1202" s="266">
        <f>IFERROR(VLOOKUP(B1202,'Сырьё'!$C$6:$E$233,3,FALSE()),IFERROR(VLOOKUP(B1202,'Полупродукты'!$C$6:$E$60,3,FALSE()),0))</f>
        <v>3.5357</v>
      </c>
      <c r="F1202" s="266">
        <f t="shared" si="1"/>
        <v>0.50984794</v>
      </c>
      <c r="G1202" s="1">
        <v>0.0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5.0" customHeight="1">
      <c r="A1203" s="1" t="s">
        <v>613</v>
      </c>
      <c r="B1203" s="1" t="s">
        <v>573</v>
      </c>
      <c r="C1203" s="1">
        <v>0.0515</v>
      </c>
      <c r="D1203" s="1" t="s">
        <v>1680</v>
      </c>
      <c r="E1203" s="266">
        <f>IFERROR(VLOOKUP(B1203,'Сырьё'!$C$6:$E$233,3,FALSE()),IFERROR(VLOOKUP(B1203,'Полупродукты'!$C$6:$E$60,3,FALSE()),0))</f>
        <v>4.7016</v>
      </c>
      <c r="F1203" s="266">
        <f t="shared" si="1"/>
        <v>0.2421324</v>
      </c>
      <c r="G1203" s="1">
        <v>0.0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5.0" customHeight="1">
      <c r="A1204" s="1" t="s">
        <v>613</v>
      </c>
      <c r="B1204" s="1" t="s">
        <v>571</v>
      </c>
      <c r="C1204" s="1">
        <v>0.00515</v>
      </c>
      <c r="D1204" s="1" t="s">
        <v>1682</v>
      </c>
      <c r="E1204" s="266">
        <f>IFERROR(VLOOKUP(B1204,'Сырьё'!$C$6:$E$233,3,FALSE()),IFERROR(VLOOKUP(B1204,'Полупродукты'!$C$6:$E$60,3,FALSE()),0))</f>
        <v>14.556</v>
      </c>
      <c r="F1204" s="266">
        <f t="shared" si="1"/>
        <v>0.0749634</v>
      </c>
      <c r="G1204" s="1">
        <v>0.0</v>
      </c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5.0" customHeight="1">
      <c r="A1205" s="1" t="s">
        <v>687</v>
      </c>
      <c r="B1205" s="1" t="s">
        <v>562</v>
      </c>
      <c r="C1205" s="1">
        <v>0.2163</v>
      </c>
      <c r="D1205" s="1" t="s">
        <v>2278</v>
      </c>
      <c r="E1205" s="266">
        <f>IFERROR(VLOOKUP(B1205,'Сырьё'!$C$6:$E$233,3,FALSE()),IFERROR(VLOOKUP(B1205,'Полупродукты'!$C$6:$E$60,3,FALSE()),0))</f>
        <v>19.1461</v>
      </c>
      <c r="F1205" s="266">
        <f t="shared" si="1"/>
        <v>4.14130143</v>
      </c>
      <c r="G1205" s="1">
        <v>0.0</v>
      </c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5.0" customHeight="1">
      <c r="A1206" s="1" t="s">
        <v>687</v>
      </c>
      <c r="B1206" s="1" t="s">
        <v>570</v>
      </c>
      <c r="C1206" s="1">
        <v>0.207524</v>
      </c>
      <c r="D1206" s="1" t="s">
        <v>3505</v>
      </c>
      <c r="E1206" s="266">
        <f>IFERROR(VLOOKUP(B1206,'Сырьё'!$C$6:$E$233,3,FALSE()),IFERROR(VLOOKUP(B1206,'Полупродукты'!$C$6:$E$60,3,FALSE()),0))</f>
        <v>3.3046</v>
      </c>
      <c r="F1206" s="266">
        <f t="shared" si="1"/>
        <v>0.6857838104</v>
      </c>
      <c r="G1206" s="1">
        <v>0.0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5.0" customHeight="1">
      <c r="A1207" s="1" t="s">
        <v>687</v>
      </c>
      <c r="B1207" s="1" t="s">
        <v>594</v>
      </c>
      <c r="C1207" s="1">
        <v>0.181898</v>
      </c>
      <c r="D1207" s="1" t="s">
        <v>3506</v>
      </c>
      <c r="E1207" s="266">
        <f>IFERROR(VLOOKUP(B1207,'Сырьё'!$C$6:$E$233,3,FALSE()),IFERROR(VLOOKUP(B1207,'Полупродукты'!$C$6:$E$60,3,FALSE()),0))</f>
        <v>1.7145</v>
      </c>
      <c r="F1207" s="266">
        <f t="shared" si="1"/>
        <v>0.311864121</v>
      </c>
      <c r="G1207" s="1">
        <v>0.0</v>
      </c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5.0" customHeight="1">
      <c r="A1208" s="1" t="s">
        <v>687</v>
      </c>
      <c r="B1208" s="1" t="s">
        <v>579</v>
      </c>
      <c r="C1208" s="1">
        <v>0.114866</v>
      </c>
      <c r="D1208" s="1" t="s">
        <v>2288</v>
      </c>
      <c r="E1208" s="266">
        <f>IFERROR(VLOOKUP(B1208,'Сырьё'!$C$6:$E$233,3,FALSE()),IFERROR(VLOOKUP(B1208,'Полупродукты'!$C$6:$E$60,3,FALSE()),0))</f>
        <v>1.2831</v>
      </c>
      <c r="F1208" s="266">
        <f t="shared" si="1"/>
        <v>0.1473845646</v>
      </c>
      <c r="G1208" s="1">
        <v>0.0</v>
      </c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5.0" customHeight="1">
      <c r="A1209" s="1" t="s">
        <v>687</v>
      </c>
      <c r="B1209" s="1" t="s">
        <v>591</v>
      </c>
      <c r="C1209" s="1">
        <v>0.020703</v>
      </c>
      <c r="D1209" s="1" t="s">
        <v>3507</v>
      </c>
      <c r="E1209" s="266">
        <f>IFERROR(VLOOKUP(B1209,'Сырьё'!$C$6:$E$233,3,FALSE()),IFERROR(VLOOKUP(B1209,'Полупродукты'!$C$6:$E$60,3,FALSE()),0))</f>
        <v>1.9734</v>
      </c>
      <c r="F1209" s="266">
        <f t="shared" si="1"/>
        <v>0.0408553002</v>
      </c>
      <c r="G1209" s="1">
        <v>0.0</v>
      </c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5.0" customHeight="1">
      <c r="A1210" s="1" t="s">
        <v>687</v>
      </c>
      <c r="B1210" s="1" t="s">
        <v>522</v>
      </c>
      <c r="C1210" s="1">
        <v>1.76E-4</v>
      </c>
      <c r="D1210" s="1" t="s">
        <v>3508</v>
      </c>
      <c r="E1210" s="266">
        <f>IFERROR(VLOOKUP(B1210,'Сырьё'!$C$6:$E$233,3,FALSE()),IFERROR(VLOOKUP(B1210,'Полупродукты'!$C$6:$E$60,3,FALSE()),0))</f>
        <v>3.7834</v>
      </c>
      <c r="F1210" s="266">
        <f t="shared" si="1"/>
        <v>0.0006658784</v>
      </c>
      <c r="G1210" s="1">
        <v>0.0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5.0" customHeight="1">
      <c r="A1211" s="1" t="s">
        <v>687</v>
      </c>
      <c r="B1211" s="1" t="s">
        <v>549</v>
      </c>
      <c r="C1211" s="1">
        <v>0.018025</v>
      </c>
      <c r="D1211" s="1" t="s">
        <v>3509</v>
      </c>
      <c r="E1211" s="266">
        <f>IFERROR(VLOOKUP(B1211,'Сырьё'!$C$6:$E$233,3,FALSE()),IFERROR(VLOOKUP(B1211,'Полупродукты'!$C$6:$E$60,3,FALSE()),0))</f>
        <v>6.519</v>
      </c>
      <c r="F1211" s="266">
        <f t="shared" si="1"/>
        <v>0.117504975</v>
      </c>
      <c r="G1211" s="1">
        <v>0.0</v>
      </c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5.0" customHeight="1">
      <c r="A1212" s="1" t="s">
        <v>687</v>
      </c>
      <c r="B1212" s="1" t="s">
        <v>593</v>
      </c>
      <c r="C1212" s="1">
        <v>0.04705</v>
      </c>
      <c r="D1212" s="1" t="s">
        <v>2290</v>
      </c>
      <c r="E1212" s="266">
        <f>IFERROR(VLOOKUP(B1212,'Сырьё'!$C$6:$E$233,3,FALSE()),IFERROR(VLOOKUP(B1212,'Полупродукты'!$C$6:$E$60,3,FALSE()),0))</f>
        <v>1.6575</v>
      </c>
      <c r="F1212" s="266">
        <f t="shared" si="1"/>
        <v>0.077985375</v>
      </c>
      <c r="G1212" s="1">
        <v>0.0</v>
      </c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5.0" customHeight="1">
      <c r="A1213" s="1" t="s">
        <v>687</v>
      </c>
      <c r="B1213" s="1" t="s">
        <v>532</v>
      </c>
      <c r="C1213" s="1">
        <v>0.00515</v>
      </c>
      <c r="D1213" s="1" t="s">
        <v>2284</v>
      </c>
      <c r="E1213" s="266">
        <f>IFERROR(VLOOKUP(B1213,'Сырьё'!$C$6:$E$233,3,FALSE()),IFERROR(VLOOKUP(B1213,'Полупродукты'!$C$6:$E$60,3,FALSE()),0))</f>
        <v>2.337</v>
      </c>
      <c r="F1213" s="266">
        <f t="shared" si="1"/>
        <v>0.01203555</v>
      </c>
      <c r="G1213" s="1">
        <v>0.0</v>
      </c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5.0" customHeight="1">
      <c r="A1214" s="1" t="s">
        <v>687</v>
      </c>
      <c r="B1214" s="1" t="s">
        <v>576</v>
      </c>
      <c r="C1214" s="1">
        <v>0.00515</v>
      </c>
      <c r="D1214" s="1" t="s">
        <v>2286</v>
      </c>
      <c r="E1214" s="266">
        <f>IFERROR(VLOOKUP(B1214,'Сырьё'!$C$6:$E$233,3,FALSE()),IFERROR(VLOOKUP(B1214,'Полупродукты'!$C$6:$E$60,3,FALSE()),0))</f>
        <v>4.6836</v>
      </c>
      <c r="F1214" s="266">
        <f t="shared" si="1"/>
        <v>0.02412054</v>
      </c>
      <c r="G1214" s="1">
        <v>0.0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5.0" customHeight="1">
      <c r="A1215" s="1" t="s">
        <v>687</v>
      </c>
      <c r="B1215" s="1" t="s">
        <v>571</v>
      </c>
      <c r="C1215" s="1">
        <v>0.0103</v>
      </c>
      <c r="D1215" s="1" t="s">
        <v>2292</v>
      </c>
      <c r="E1215" s="266">
        <f>IFERROR(VLOOKUP(B1215,'Сырьё'!$C$6:$E$233,3,FALSE()),IFERROR(VLOOKUP(B1215,'Полупродукты'!$C$6:$E$60,3,FALSE()),0))</f>
        <v>14.556</v>
      </c>
      <c r="F1215" s="266">
        <f t="shared" si="1"/>
        <v>0.1499268</v>
      </c>
      <c r="G1215" s="1">
        <v>0.0</v>
      </c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5.0" customHeight="1">
      <c r="A1216" s="1" t="s">
        <v>687</v>
      </c>
      <c r="B1216" s="1" t="s">
        <v>390</v>
      </c>
      <c r="C1216" s="1">
        <v>0.206</v>
      </c>
      <c r="D1216" s="1" t="s">
        <v>3510</v>
      </c>
      <c r="E1216" s="266">
        <f>IFERROR(VLOOKUP(B1216,'Сырьё'!$C$6:$E$233,3,FALSE()),IFERROR(VLOOKUP(B1216,'Полупродукты'!$C$6:$E$60,3,FALSE()),0))</f>
        <v>3.5368</v>
      </c>
      <c r="F1216" s="266">
        <f t="shared" si="1"/>
        <v>0.7285808</v>
      </c>
      <c r="G1216" s="1">
        <v>1.0</v>
      </c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5.0" customHeight="1">
      <c r="A1217" s="1" t="s">
        <v>416</v>
      </c>
      <c r="B1217" s="1" t="s">
        <v>416</v>
      </c>
      <c r="C1217" s="1">
        <v>1.0</v>
      </c>
      <c r="D1217" s="1" t="s">
        <v>3511</v>
      </c>
      <c r="E1217" s="266">
        <f>IFERROR(VLOOKUP(B1217,'Сырьё'!$C$6:$E$233,3,FALSE()),IFERROR(VLOOKUP(B1217,'Полупродукты'!$C$6:$E$60,3,FALSE()),0))</f>
        <v>4.2457</v>
      </c>
      <c r="F1217" s="266">
        <f t="shared" si="1"/>
        <v>4.2457</v>
      </c>
      <c r="G1217" s="1">
        <v>1.0</v>
      </c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5.0" customHeight="1">
      <c r="A1218" s="1" t="s">
        <v>424</v>
      </c>
      <c r="B1218" s="1" t="s">
        <v>424</v>
      </c>
      <c r="C1218" s="1">
        <v>1.0</v>
      </c>
      <c r="D1218" s="1" t="s">
        <v>3512</v>
      </c>
      <c r="E1218" s="266">
        <f>IFERROR(VLOOKUP(B1218,'Сырьё'!$C$6:$E$233,3,FALSE()),IFERROR(VLOOKUP(B1218,'Полупродукты'!$C$6:$E$60,3,FALSE()),0))</f>
        <v>2.9153</v>
      </c>
      <c r="F1218" s="266">
        <f t="shared" si="1"/>
        <v>2.9153</v>
      </c>
      <c r="G1218" s="1">
        <v>1.0</v>
      </c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5.0" customHeight="1">
      <c r="A1219" s="1" t="s">
        <v>643</v>
      </c>
      <c r="B1219" s="1" t="s">
        <v>594</v>
      </c>
      <c r="C1219" s="1">
        <v>0.374745</v>
      </c>
      <c r="D1219" s="1" t="s">
        <v>3513</v>
      </c>
      <c r="E1219" s="266">
        <f>IFERROR(VLOOKUP(B1219,'Сырьё'!$C$6:$E$233,3,FALSE()),IFERROR(VLOOKUP(B1219,'Полупродукты'!$C$6:$E$60,3,FALSE()),0))</f>
        <v>1.7145</v>
      </c>
      <c r="F1219" s="266">
        <f t="shared" si="1"/>
        <v>0.6425003025</v>
      </c>
      <c r="G1219" s="1">
        <v>0.0</v>
      </c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5.0" customHeight="1">
      <c r="A1220" s="1" t="s">
        <v>643</v>
      </c>
      <c r="B1220" s="1" t="s">
        <v>549</v>
      </c>
      <c r="C1220" s="1">
        <v>0.065092</v>
      </c>
      <c r="D1220" s="1" t="s">
        <v>3514</v>
      </c>
      <c r="E1220" s="266">
        <f>IFERROR(VLOOKUP(B1220,'Сырьё'!$C$6:$E$233,3,FALSE()),IFERROR(VLOOKUP(B1220,'Полупродукты'!$C$6:$E$60,3,FALSE()),0))</f>
        <v>6.519</v>
      </c>
      <c r="F1220" s="266">
        <f t="shared" si="1"/>
        <v>0.424334748</v>
      </c>
      <c r="G1220" s="1">
        <v>0.0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5.0" customHeight="1">
      <c r="A1221" s="1" t="s">
        <v>643</v>
      </c>
      <c r="B1221" s="1" t="s">
        <v>537</v>
      </c>
      <c r="C1221" s="1">
        <v>0.014595</v>
      </c>
      <c r="D1221" s="1" t="s">
        <v>3515</v>
      </c>
      <c r="E1221" s="266">
        <f>IFERROR(VLOOKUP(B1221,'Сырьё'!$C$6:$E$233,3,FALSE()),IFERROR(VLOOKUP(B1221,'Полупродукты'!$C$6:$E$60,3,FALSE()),0))</f>
        <v>8.8284</v>
      </c>
      <c r="F1221" s="266">
        <f t="shared" si="1"/>
        <v>0.128850498</v>
      </c>
      <c r="G1221" s="1">
        <v>0.0</v>
      </c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5.0" customHeight="1">
      <c r="A1222" s="1" t="s">
        <v>643</v>
      </c>
      <c r="B1222" s="1" t="s">
        <v>556</v>
      </c>
      <c r="C1222" s="1">
        <v>0.12051</v>
      </c>
      <c r="D1222" s="1" t="s">
        <v>3516</v>
      </c>
      <c r="E1222" s="266">
        <f>IFERROR(VLOOKUP(B1222,'Сырьё'!$C$6:$E$233,3,FALSE()),IFERROR(VLOOKUP(B1222,'Полупродукты'!$C$6:$E$60,3,FALSE()),0))</f>
        <v>5.6362</v>
      </c>
      <c r="F1222" s="266">
        <f t="shared" si="1"/>
        <v>0.679218462</v>
      </c>
      <c r="G1222" s="1">
        <v>0.0</v>
      </c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5.0" customHeight="1">
      <c r="A1223" s="1" t="s">
        <v>643</v>
      </c>
      <c r="B1223" s="1" t="s">
        <v>579</v>
      </c>
      <c r="C1223" s="1">
        <v>0.132993</v>
      </c>
      <c r="D1223" s="1" t="s">
        <v>3517</v>
      </c>
      <c r="E1223" s="266">
        <f>IFERROR(VLOOKUP(B1223,'Сырьё'!$C$6:$E$233,3,FALSE()),IFERROR(VLOOKUP(B1223,'Полупродукты'!$C$6:$E$60,3,FALSE()),0))</f>
        <v>1.2831</v>
      </c>
      <c r="F1223" s="266">
        <f t="shared" si="1"/>
        <v>0.1706433183</v>
      </c>
      <c r="G1223" s="1">
        <v>0.0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5.0" customHeight="1">
      <c r="A1224" s="1" t="s">
        <v>643</v>
      </c>
      <c r="B1224" s="1" t="s">
        <v>593</v>
      </c>
      <c r="C1224" s="1">
        <v>0.129059</v>
      </c>
      <c r="D1224" s="1" t="s">
        <v>2374</v>
      </c>
      <c r="E1224" s="266">
        <f>IFERROR(VLOOKUP(B1224,'Сырьё'!$C$6:$E$233,3,FALSE()),IFERROR(VLOOKUP(B1224,'Полупродукты'!$C$6:$E$60,3,FALSE()),0))</f>
        <v>1.6575</v>
      </c>
      <c r="F1224" s="266">
        <f t="shared" si="1"/>
        <v>0.2139152925</v>
      </c>
      <c r="G1224" s="1">
        <v>0.0</v>
      </c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5.0" customHeight="1">
      <c r="A1225" s="1" t="s">
        <v>643</v>
      </c>
      <c r="B1225" s="1" t="s">
        <v>543</v>
      </c>
      <c r="C1225" s="1">
        <v>2.7E-5</v>
      </c>
      <c r="D1225" s="1" t="s">
        <v>3518</v>
      </c>
      <c r="E1225" s="266">
        <f>IFERROR(VLOOKUP(B1225,'Сырьё'!$C$6:$E$233,3,FALSE()),IFERROR(VLOOKUP(B1225,'Полупродукты'!$C$6:$E$60,3,FALSE()),0))</f>
        <v>80.7112</v>
      </c>
      <c r="F1225" s="266">
        <f t="shared" si="1"/>
        <v>0.0021792024</v>
      </c>
      <c r="G1225" s="1">
        <v>0.0</v>
      </c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5.0" customHeight="1">
      <c r="A1226" s="1" t="s">
        <v>643</v>
      </c>
      <c r="B1226" s="1" t="s">
        <v>568</v>
      </c>
      <c r="C1226" s="1">
        <v>0.001232</v>
      </c>
      <c r="D1226" s="1" t="s">
        <v>3519</v>
      </c>
      <c r="E1226" s="266">
        <f>IFERROR(VLOOKUP(B1226,'Сырьё'!$C$6:$E$233,3,FALSE()),IFERROR(VLOOKUP(B1226,'Полупродукты'!$C$6:$E$60,3,FALSE()),0))</f>
        <v>5.1326</v>
      </c>
      <c r="F1226" s="266">
        <f t="shared" si="1"/>
        <v>0.0063233632</v>
      </c>
      <c r="G1226" s="1">
        <v>0.0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5.0" customHeight="1">
      <c r="A1227" s="1" t="s">
        <v>643</v>
      </c>
      <c r="B1227" s="1" t="s">
        <v>520</v>
      </c>
      <c r="C1227" s="1">
        <v>0.003266</v>
      </c>
      <c r="D1227" s="1" t="s">
        <v>3520</v>
      </c>
      <c r="E1227" s="266">
        <f>IFERROR(VLOOKUP(B1227,'Сырьё'!$C$6:$E$233,3,FALSE()),IFERROR(VLOOKUP(B1227,'Полупродукты'!$C$6:$E$60,3,FALSE()),0))</f>
        <v>30.1527</v>
      </c>
      <c r="F1227" s="266">
        <f t="shared" si="1"/>
        <v>0.0984787182</v>
      </c>
      <c r="G1227" s="1">
        <v>0.0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5.0" customHeight="1">
      <c r="A1228" s="1" t="s">
        <v>643</v>
      </c>
      <c r="B1228" s="1" t="s">
        <v>522</v>
      </c>
      <c r="C1228" s="1">
        <v>0.001133</v>
      </c>
      <c r="D1228" s="1" t="s">
        <v>3521</v>
      </c>
      <c r="E1228" s="266">
        <f>IFERROR(VLOOKUP(B1228,'Сырьё'!$C$6:$E$233,3,FALSE()),IFERROR(VLOOKUP(B1228,'Полупродукты'!$C$6:$E$60,3,FALSE()),0))</f>
        <v>3.7834</v>
      </c>
      <c r="F1228" s="266">
        <f t="shared" si="1"/>
        <v>0.0042865922</v>
      </c>
      <c r="G1228" s="1">
        <v>0.0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5.0" customHeight="1">
      <c r="A1229" s="1" t="s">
        <v>643</v>
      </c>
      <c r="B1229" s="1" t="s">
        <v>570</v>
      </c>
      <c r="C1229" s="1">
        <v>0.181584</v>
      </c>
      <c r="D1229" s="1" t="s">
        <v>3522</v>
      </c>
      <c r="E1229" s="266">
        <f>IFERROR(VLOOKUP(B1229,'Сырьё'!$C$6:$E$233,3,FALSE()),IFERROR(VLOOKUP(B1229,'Полупродукты'!$C$6:$E$60,3,FALSE()),0))</f>
        <v>3.3046</v>
      </c>
      <c r="F1229" s="266">
        <f t="shared" si="1"/>
        <v>0.6000624864</v>
      </c>
      <c r="G1229" s="1">
        <v>0.0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5.0" customHeight="1">
      <c r="A1230" s="1" t="s">
        <v>643</v>
      </c>
      <c r="B1230" s="1" t="s">
        <v>591</v>
      </c>
      <c r="C1230" s="1">
        <v>0.018115</v>
      </c>
      <c r="D1230" s="1" t="s">
        <v>3523</v>
      </c>
      <c r="E1230" s="266">
        <f>IFERROR(VLOOKUP(B1230,'Сырьё'!$C$6:$E$233,3,FALSE()),IFERROR(VLOOKUP(B1230,'Полупродукты'!$C$6:$E$60,3,FALSE()),0))</f>
        <v>1.9734</v>
      </c>
      <c r="F1230" s="266">
        <f t="shared" si="1"/>
        <v>0.035748141</v>
      </c>
      <c r="G1230" s="1">
        <v>0.0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5.0" customHeight="1">
      <c r="A1231" s="1" t="s">
        <v>618</v>
      </c>
      <c r="B1231" s="1" t="s">
        <v>579</v>
      </c>
      <c r="C1231" s="1">
        <v>0.168163</v>
      </c>
      <c r="D1231" s="1" t="s">
        <v>3524</v>
      </c>
      <c r="E1231" s="266">
        <f>IFERROR(VLOOKUP(B1231,'Сырьё'!$C$6:$E$233,3,FALSE()),IFERROR(VLOOKUP(B1231,'Полупродукты'!$C$6:$E$60,3,FALSE()),0))</f>
        <v>1.2831</v>
      </c>
      <c r="F1231" s="266">
        <f t="shared" si="1"/>
        <v>0.2157699453</v>
      </c>
      <c r="G1231" s="1">
        <v>0.0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5.0" customHeight="1">
      <c r="A1232" s="1" t="s">
        <v>618</v>
      </c>
      <c r="B1232" s="1" t="s">
        <v>594</v>
      </c>
      <c r="C1232" s="1">
        <v>0.293432</v>
      </c>
      <c r="D1232" s="1" t="s">
        <v>3525</v>
      </c>
      <c r="E1232" s="266">
        <f>IFERROR(VLOOKUP(B1232,'Сырьё'!$C$6:$E$233,3,FALSE()),IFERROR(VLOOKUP(B1232,'Полупродукты'!$C$6:$E$60,3,FALSE()),0))</f>
        <v>1.7145</v>
      </c>
      <c r="F1232" s="266">
        <f t="shared" si="1"/>
        <v>0.503089164</v>
      </c>
      <c r="G1232" s="1">
        <v>0.0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5.0" customHeight="1">
      <c r="A1233" s="1" t="s">
        <v>618</v>
      </c>
      <c r="B1233" s="1" t="s">
        <v>593</v>
      </c>
      <c r="C1233" s="1">
        <v>0.130068</v>
      </c>
      <c r="D1233" s="1" t="s">
        <v>3526</v>
      </c>
      <c r="E1233" s="266">
        <f>IFERROR(VLOOKUP(B1233,'Сырьё'!$C$6:$E$233,3,FALSE()),IFERROR(VLOOKUP(B1233,'Полупродукты'!$C$6:$E$60,3,FALSE()),0))</f>
        <v>1.6575</v>
      </c>
      <c r="F1233" s="266">
        <f t="shared" si="1"/>
        <v>0.21558771</v>
      </c>
      <c r="G1233" s="1">
        <v>0.0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5.0" customHeight="1">
      <c r="A1234" s="1" t="s">
        <v>618</v>
      </c>
      <c r="B1234" s="1" t="s">
        <v>549</v>
      </c>
      <c r="C1234" s="1">
        <v>0.118192</v>
      </c>
      <c r="D1234" s="1" t="s">
        <v>3527</v>
      </c>
      <c r="E1234" s="266">
        <f>IFERROR(VLOOKUP(B1234,'Сырьё'!$C$6:$E$233,3,FALSE()),IFERROR(VLOOKUP(B1234,'Полупродукты'!$C$6:$E$60,3,FALSE()),0))</f>
        <v>6.519</v>
      </c>
      <c r="F1234" s="266">
        <f t="shared" si="1"/>
        <v>0.770493648</v>
      </c>
      <c r="G1234" s="1">
        <v>0.0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5.0" customHeight="1">
      <c r="A1235" s="1" t="s">
        <v>618</v>
      </c>
      <c r="B1235" s="1" t="s">
        <v>554</v>
      </c>
      <c r="C1235" s="1">
        <v>0.18025</v>
      </c>
      <c r="D1235" s="1" t="s">
        <v>3528</v>
      </c>
      <c r="E1235" s="266">
        <f>IFERROR(VLOOKUP(B1235,'Сырьё'!$C$6:$E$233,3,FALSE()),IFERROR(VLOOKUP(B1235,'Полупродукты'!$C$6:$E$60,3,FALSE()),0))</f>
        <v>7.3406</v>
      </c>
      <c r="F1235" s="266">
        <f t="shared" si="1"/>
        <v>1.32314315</v>
      </c>
      <c r="G1235" s="1">
        <v>0.0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5.0" customHeight="1">
      <c r="A1236" s="1" t="s">
        <v>618</v>
      </c>
      <c r="B1236" s="1" t="s">
        <v>520</v>
      </c>
      <c r="C1236" s="1">
        <v>7.02E-4</v>
      </c>
      <c r="D1236" s="1" t="s">
        <v>3529</v>
      </c>
      <c r="E1236" s="266">
        <f>IFERROR(VLOOKUP(B1236,'Сырьё'!$C$6:$E$233,3,FALSE()),IFERROR(VLOOKUP(B1236,'Полупродукты'!$C$6:$E$60,3,FALSE()),0))</f>
        <v>30.1527</v>
      </c>
      <c r="F1236" s="266">
        <f t="shared" si="1"/>
        <v>0.0211671954</v>
      </c>
      <c r="G1236" s="1">
        <v>0.0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5.0" customHeight="1">
      <c r="A1237" s="1" t="s">
        <v>618</v>
      </c>
      <c r="B1237" s="1" t="s">
        <v>570</v>
      </c>
      <c r="C1237" s="1">
        <v>0.036555</v>
      </c>
      <c r="D1237" s="1" t="s">
        <v>3530</v>
      </c>
      <c r="E1237" s="266">
        <f>IFERROR(VLOOKUP(B1237,'Сырьё'!$C$6:$E$233,3,FALSE()),IFERROR(VLOOKUP(B1237,'Полупродукты'!$C$6:$E$60,3,FALSE()),0))</f>
        <v>3.3046</v>
      </c>
      <c r="F1237" s="266">
        <f t="shared" si="1"/>
        <v>0.120799653</v>
      </c>
      <c r="G1237" s="1">
        <v>0.0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5.0" customHeight="1">
      <c r="A1238" s="1" t="s">
        <v>618</v>
      </c>
      <c r="B1238" s="1" t="s">
        <v>569</v>
      </c>
      <c r="C1238" s="1">
        <v>0.027748</v>
      </c>
      <c r="D1238" s="1" t="s">
        <v>3531</v>
      </c>
      <c r="E1238" s="266">
        <f>IFERROR(VLOOKUP(B1238,'Сырьё'!$C$6:$E$233,3,FALSE()),IFERROR(VLOOKUP(B1238,'Полупродукты'!$C$6:$E$60,3,FALSE()),0))</f>
        <v>3.2853</v>
      </c>
      <c r="F1238" s="266">
        <f t="shared" si="1"/>
        <v>0.0911605044</v>
      </c>
      <c r="G1238" s="1">
        <v>0.0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5.0" customHeight="1">
      <c r="A1239" s="1" t="s">
        <v>618</v>
      </c>
      <c r="B1239" s="1" t="s">
        <v>591</v>
      </c>
      <c r="C1239" s="1">
        <v>0.015651</v>
      </c>
      <c r="D1239" s="1" t="s">
        <v>3532</v>
      </c>
      <c r="E1239" s="266">
        <f>IFERROR(VLOOKUP(B1239,'Сырьё'!$C$6:$E$233,3,FALSE()),IFERROR(VLOOKUP(B1239,'Полупродукты'!$C$6:$E$60,3,FALSE()),0))</f>
        <v>1.9734</v>
      </c>
      <c r="F1239" s="266">
        <f t="shared" si="1"/>
        <v>0.0308856834</v>
      </c>
      <c r="G1239" s="1">
        <v>0.0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5.0" customHeight="1">
      <c r="A1240" s="1" t="s">
        <v>618</v>
      </c>
      <c r="B1240" s="1" t="s">
        <v>532</v>
      </c>
      <c r="C1240" s="1">
        <v>0.005516</v>
      </c>
      <c r="D1240" s="1" t="s">
        <v>3533</v>
      </c>
      <c r="E1240" s="266">
        <f>IFERROR(VLOOKUP(B1240,'Сырьё'!$C$6:$E$233,3,FALSE()),IFERROR(VLOOKUP(B1240,'Полупродукты'!$C$6:$E$60,3,FALSE()),0))</f>
        <v>2.337</v>
      </c>
      <c r="F1240" s="266">
        <f t="shared" si="1"/>
        <v>0.012890892</v>
      </c>
      <c r="G1240" s="1">
        <v>0.0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5.0" customHeight="1">
      <c r="A1241" s="1" t="s">
        <v>618</v>
      </c>
      <c r="B1241" s="1" t="s">
        <v>573</v>
      </c>
      <c r="C1241" s="1">
        <v>0.0515</v>
      </c>
      <c r="D1241" s="1" t="s">
        <v>990</v>
      </c>
      <c r="E1241" s="266">
        <f>IFERROR(VLOOKUP(B1241,'Сырьё'!$C$6:$E$233,3,FALSE()),IFERROR(VLOOKUP(B1241,'Полупродукты'!$C$6:$E$60,3,FALSE()),0))</f>
        <v>4.7016</v>
      </c>
      <c r="F1241" s="266">
        <f t="shared" si="1"/>
        <v>0.2421324</v>
      </c>
      <c r="G1241" s="1">
        <v>0.0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5.0" customHeight="1">
      <c r="A1242" s="1" t="s">
        <v>618</v>
      </c>
      <c r="B1242" s="1" t="s">
        <v>571</v>
      </c>
      <c r="C1242" s="1">
        <v>0.00515</v>
      </c>
      <c r="D1242" s="1" t="s">
        <v>992</v>
      </c>
      <c r="E1242" s="266">
        <f>IFERROR(VLOOKUP(B1242,'Сырьё'!$C$6:$E$233,3,FALSE()),IFERROR(VLOOKUP(B1242,'Полупродукты'!$C$6:$E$60,3,FALSE()),0))</f>
        <v>14.556</v>
      </c>
      <c r="F1242" s="266">
        <f t="shared" si="1"/>
        <v>0.0749634</v>
      </c>
      <c r="G1242" s="1">
        <v>0.0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5.0" customHeight="1">
      <c r="A1243" s="1" t="s">
        <v>676</v>
      </c>
      <c r="B1243" s="1" t="s">
        <v>579</v>
      </c>
      <c r="C1243" s="1">
        <v>0.194057</v>
      </c>
      <c r="D1243" s="1" t="s">
        <v>3534</v>
      </c>
      <c r="E1243" s="266">
        <f>IFERROR(VLOOKUP(B1243,'Сырьё'!$C$6:$E$233,3,FALSE()),IFERROR(VLOOKUP(B1243,'Полупродукты'!$C$6:$E$60,3,FALSE()),0))</f>
        <v>1.2831</v>
      </c>
      <c r="F1243" s="266">
        <f t="shared" si="1"/>
        <v>0.2489945367</v>
      </c>
      <c r="G1243" s="1">
        <v>0.0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5.0" customHeight="1">
      <c r="A1244" s="1" t="s">
        <v>676</v>
      </c>
      <c r="B1244" s="1" t="s">
        <v>594</v>
      </c>
      <c r="C1244" s="1">
        <v>0.281896</v>
      </c>
      <c r="D1244" s="1" t="s">
        <v>3535</v>
      </c>
      <c r="E1244" s="266">
        <f>IFERROR(VLOOKUP(B1244,'Сырьё'!$C$6:$E$233,3,FALSE()),IFERROR(VLOOKUP(B1244,'Полупродукты'!$C$6:$E$60,3,FALSE()),0))</f>
        <v>1.7145</v>
      </c>
      <c r="F1244" s="266">
        <f t="shared" si="1"/>
        <v>0.483310692</v>
      </c>
      <c r="G1244" s="1">
        <v>0.0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5.0" customHeight="1">
      <c r="A1245" s="1" t="s">
        <v>676</v>
      </c>
      <c r="B1245" s="1" t="s">
        <v>593</v>
      </c>
      <c r="C1245" s="1">
        <v>0.143366</v>
      </c>
      <c r="D1245" s="1" t="s">
        <v>3536</v>
      </c>
      <c r="E1245" s="266">
        <f>IFERROR(VLOOKUP(B1245,'Сырьё'!$C$6:$E$233,3,FALSE()),IFERROR(VLOOKUP(B1245,'Полупродукты'!$C$6:$E$60,3,FALSE()),0))</f>
        <v>1.6575</v>
      </c>
      <c r="F1245" s="266">
        <f t="shared" si="1"/>
        <v>0.237629145</v>
      </c>
      <c r="G1245" s="1">
        <v>0.0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5.0" customHeight="1">
      <c r="A1246" s="1" t="s">
        <v>676</v>
      </c>
      <c r="B1246" s="1" t="s">
        <v>549</v>
      </c>
      <c r="C1246" s="1">
        <v>0.108923</v>
      </c>
      <c r="D1246" s="1" t="s">
        <v>3537</v>
      </c>
      <c r="E1246" s="266">
        <f>IFERROR(VLOOKUP(B1246,'Сырьё'!$C$6:$E$233,3,FALSE()),IFERROR(VLOOKUP(B1246,'Полупродукты'!$C$6:$E$60,3,FALSE()),0))</f>
        <v>6.519</v>
      </c>
      <c r="F1246" s="266">
        <f t="shared" si="1"/>
        <v>0.710069037</v>
      </c>
      <c r="G1246" s="1">
        <v>0.0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5.0" customHeight="1">
      <c r="A1247" s="1" t="s">
        <v>676</v>
      </c>
      <c r="B1247" s="1" t="s">
        <v>554</v>
      </c>
      <c r="C1247" s="1">
        <v>0.167375</v>
      </c>
      <c r="D1247" s="1" t="s">
        <v>3538</v>
      </c>
      <c r="E1247" s="266">
        <f>IFERROR(VLOOKUP(B1247,'Сырьё'!$C$6:$E$233,3,FALSE()),IFERROR(VLOOKUP(B1247,'Полупродукты'!$C$6:$E$60,3,FALSE()),0))</f>
        <v>7.3406</v>
      </c>
      <c r="F1247" s="266">
        <f t="shared" si="1"/>
        <v>1.228632925</v>
      </c>
      <c r="G1247" s="1">
        <v>0.0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5.0" customHeight="1">
      <c r="A1248" s="1" t="s">
        <v>676</v>
      </c>
      <c r="B1248" s="1" t="s">
        <v>520</v>
      </c>
      <c r="C1248" s="1">
        <v>6.9E-4</v>
      </c>
      <c r="D1248" s="1" t="s">
        <v>3539</v>
      </c>
      <c r="E1248" s="266">
        <f>IFERROR(VLOOKUP(B1248,'Сырьё'!$C$6:$E$233,3,FALSE()),IFERROR(VLOOKUP(B1248,'Полупродукты'!$C$6:$E$60,3,FALSE()),0))</f>
        <v>30.1527</v>
      </c>
      <c r="F1248" s="266">
        <f t="shared" si="1"/>
        <v>0.020805363</v>
      </c>
      <c r="G1248" s="1">
        <v>0.0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5.0" customHeight="1">
      <c r="A1249" s="1" t="s">
        <v>676</v>
      </c>
      <c r="B1249" s="1" t="s">
        <v>585</v>
      </c>
      <c r="C1249" s="1">
        <v>0.037028</v>
      </c>
      <c r="D1249" s="1" t="s">
        <v>3540</v>
      </c>
      <c r="E1249" s="266">
        <f>IFERROR(VLOOKUP(B1249,'Сырьё'!$C$6:$E$233,3,FALSE()),IFERROR(VLOOKUP(B1249,'Полупродукты'!$C$6:$E$60,3,FALSE()),0))</f>
        <v>6.9052</v>
      </c>
      <c r="F1249" s="266">
        <f t="shared" si="1"/>
        <v>0.2556857456</v>
      </c>
      <c r="G1249" s="1">
        <v>0.0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5.0" customHeight="1">
      <c r="A1250" s="1" t="s">
        <v>676</v>
      </c>
      <c r="B1250" s="1" t="s">
        <v>541</v>
      </c>
      <c r="C1250" s="1">
        <v>2.47E-4</v>
      </c>
      <c r="D1250" s="1" t="s">
        <v>3541</v>
      </c>
      <c r="E1250" s="266">
        <f>IFERROR(VLOOKUP(B1250,'Сырьё'!$C$6:$E$233,3,FALSE()),IFERROR(VLOOKUP(B1250,'Полупродукты'!$C$6:$E$60,3,FALSE()),0))</f>
        <v>78.7704</v>
      </c>
      <c r="F1250" s="266">
        <f t="shared" si="1"/>
        <v>0.0194562888</v>
      </c>
      <c r="G1250" s="1">
        <v>0.0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5.0" customHeight="1">
      <c r="A1251" s="1" t="s">
        <v>676</v>
      </c>
      <c r="B1251" s="1" t="s">
        <v>555</v>
      </c>
      <c r="C1251" s="1">
        <v>0.007725</v>
      </c>
      <c r="D1251" s="1" t="s">
        <v>3542</v>
      </c>
      <c r="E1251" s="266">
        <f>IFERROR(VLOOKUP(B1251,'Сырьё'!$C$6:$E$233,3,FALSE()),IFERROR(VLOOKUP(B1251,'Полупродукты'!$C$6:$E$60,3,FALSE()),0))</f>
        <v>8.4</v>
      </c>
      <c r="F1251" s="266">
        <f t="shared" si="1"/>
        <v>0.06489</v>
      </c>
      <c r="G1251" s="1">
        <v>0.0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5.0" customHeight="1">
      <c r="A1252" s="1" t="s">
        <v>676</v>
      </c>
      <c r="B1252" s="1" t="s">
        <v>537</v>
      </c>
      <c r="C1252" s="1">
        <v>9.89E-4</v>
      </c>
      <c r="D1252" s="1" t="s">
        <v>3543</v>
      </c>
      <c r="E1252" s="266">
        <f>IFERROR(VLOOKUP(B1252,'Сырьё'!$C$6:$E$233,3,FALSE()),IFERROR(VLOOKUP(B1252,'Полупродукты'!$C$6:$E$60,3,FALSE()),0))</f>
        <v>8.8284</v>
      </c>
      <c r="F1252" s="266">
        <f t="shared" si="1"/>
        <v>0.0087312876</v>
      </c>
      <c r="G1252" s="1">
        <v>0.0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5.0" customHeight="1">
      <c r="A1253" s="1" t="s">
        <v>676</v>
      </c>
      <c r="B1253" s="1" t="s">
        <v>570</v>
      </c>
      <c r="C1253" s="1">
        <v>0.036555</v>
      </c>
      <c r="D1253" s="1" t="s">
        <v>3544</v>
      </c>
      <c r="E1253" s="266">
        <f>IFERROR(VLOOKUP(B1253,'Сырьё'!$C$6:$E$233,3,FALSE()),IFERROR(VLOOKUP(B1253,'Полупродукты'!$C$6:$E$60,3,FALSE()),0))</f>
        <v>3.3046</v>
      </c>
      <c r="F1253" s="266">
        <f t="shared" si="1"/>
        <v>0.120799653</v>
      </c>
      <c r="G1253" s="1">
        <v>0.0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5.0" customHeight="1">
      <c r="A1254" s="1" t="s">
        <v>676</v>
      </c>
      <c r="B1254" s="1" t="s">
        <v>569</v>
      </c>
      <c r="C1254" s="1">
        <v>0.027748</v>
      </c>
      <c r="D1254" s="1" t="s">
        <v>3545</v>
      </c>
      <c r="E1254" s="266">
        <f>IFERROR(VLOOKUP(B1254,'Сырьё'!$C$6:$E$233,3,FALSE()),IFERROR(VLOOKUP(B1254,'Полупродукты'!$C$6:$E$60,3,FALSE()),0))</f>
        <v>3.2853</v>
      </c>
      <c r="F1254" s="266">
        <f t="shared" si="1"/>
        <v>0.0911605044</v>
      </c>
      <c r="G1254" s="1">
        <v>0.0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5.0" customHeight="1">
      <c r="A1255" s="1" t="s">
        <v>676</v>
      </c>
      <c r="B1255" s="1" t="s">
        <v>591</v>
      </c>
      <c r="C1255" s="1">
        <v>0.015651</v>
      </c>
      <c r="D1255" s="1" t="s">
        <v>3546</v>
      </c>
      <c r="E1255" s="266">
        <f>IFERROR(VLOOKUP(B1255,'Сырьё'!$C$6:$E$233,3,FALSE()),IFERROR(VLOOKUP(B1255,'Полупродукты'!$C$6:$E$60,3,FALSE()),0))</f>
        <v>1.9734</v>
      </c>
      <c r="F1255" s="266">
        <f t="shared" si="1"/>
        <v>0.0308856834</v>
      </c>
      <c r="G1255" s="1">
        <v>0.0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5.0" customHeight="1">
      <c r="A1256" s="1" t="s">
        <v>676</v>
      </c>
      <c r="B1256" s="1" t="s">
        <v>532</v>
      </c>
      <c r="C1256" s="1">
        <v>0.005516</v>
      </c>
      <c r="D1256" s="1" t="s">
        <v>3547</v>
      </c>
      <c r="E1256" s="266">
        <f>IFERROR(VLOOKUP(B1256,'Сырьё'!$C$6:$E$233,3,FALSE()),IFERROR(VLOOKUP(B1256,'Полупродукты'!$C$6:$E$60,3,FALSE()),0))</f>
        <v>2.337</v>
      </c>
      <c r="F1256" s="266">
        <f t="shared" si="1"/>
        <v>0.012890892</v>
      </c>
      <c r="G1256" s="1">
        <v>0.0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5.0" customHeight="1">
      <c r="A1257" s="1" t="s">
        <v>676</v>
      </c>
      <c r="B1257" s="1" t="s">
        <v>571</v>
      </c>
      <c r="C1257" s="1">
        <v>0.00515</v>
      </c>
      <c r="D1257" s="1" t="s">
        <v>2454</v>
      </c>
      <c r="E1257" s="266">
        <f>IFERROR(VLOOKUP(B1257,'Сырьё'!$C$6:$E$233,3,FALSE()),IFERROR(VLOOKUP(B1257,'Полупродукты'!$C$6:$E$60,3,FALSE()),0))</f>
        <v>14.556</v>
      </c>
      <c r="F1257" s="266">
        <f t="shared" si="1"/>
        <v>0.0749634</v>
      </c>
      <c r="G1257" s="1">
        <v>0.0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5.0" customHeight="1">
      <c r="A1258" s="1" t="s">
        <v>676</v>
      </c>
      <c r="B1258" s="1" t="s">
        <v>522</v>
      </c>
      <c r="C1258" s="1">
        <v>0.052529</v>
      </c>
      <c r="D1258" s="1" t="s">
        <v>2695</v>
      </c>
      <c r="E1258" s="266">
        <f>IFERROR(VLOOKUP(B1258,'Сырьё'!$C$6:$E$233,3,FALSE()),IFERROR(VLOOKUP(B1258,'Полупродукты'!$C$6:$E$60,3,FALSE()),0))</f>
        <v>3.7834</v>
      </c>
      <c r="F1258" s="266">
        <f t="shared" si="1"/>
        <v>0.1987382186</v>
      </c>
      <c r="G1258" s="1">
        <v>0.0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5.0" customHeight="1">
      <c r="A1259" s="1" t="s">
        <v>771</v>
      </c>
      <c r="B1259" s="1" t="s">
        <v>594</v>
      </c>
      <c r="C1259" s="1">
        <v>0.412</v>
      </c>
      <c r="D1259" s="1" t="s">
        <v>1978</v>
      </c>
      <c r="E1259" s="266">
        <f>IFERROR(VLOOKUP(B1259,'Сырьё'!$C$6:$E$233,3,FALSE()),IFERROR(VLOOKUP(B1259,'Полупродукты'!$C$6:$E$60,3,FALSE()),0))</f>
        <v>1.7145</v>
      </c>
      <c r="F1259" s="266">
        <f t="shared" si="1"/>
        <v>0.706374</v>
      </c>
      <c r="G1259" s="1">
        <v>0.0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5.0" customHeight="1">
      <c r="A1260" s="1" t="s">
        <v>771</v>
      </c>
      <c r="B1260" s="1" t="s">
        <v>549</v>
      </c>
      <c r="C1260" s="1">
        <v>0.103</v>
      </c>
      <c r="D1260" s="1" t="s">
        <v>1980</v>
      </c>
      <c r="E1260" s="266">
        <f>IFERROR(VLOOKUP(B1260,'Сырьё'!$C$6:$E$233,3,FALSE()),IFERROR(VLOOKUP(B1260,'Полупродукты'!$C$6:$E$60,3,FALSE()),0))</f>
        <v>6.519</v>
      </c>
      <c r="F1260" s="266">
        <f t="shared" si="1"/>
        <v>0.671457</v>
      </c>
      <c r="G1260" s="1">
        <v>0.0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5.0" customHeight="1">
      <c r="A1261" s="1" t="s">
        <v>771</v>
      </c>
      <c r="B1261" s="1" t="s">
        <v>537</v>
      </c>
      <c r="C1261" s="1">
        <v>0.0309</v>
      </c>
      <c r="D1261" s="1" t="s">
        <v>1982</v>
      </c>
      <c r="E1261" s="266">
        <f>IFERROR(VLOOKUP(B1261,'Сырьё'!$C$6:$E$233,3,FALSE()),IFERROR(VLOOKUP(B1261,'Полупродукты'!$C$6:$E$60,3,FALSE()),0))</f>
        <v>8.8284</v>
      </c>
      <c r="F1261" s="266">
        <f t="shared" si="1"/>
        <v>0.27279756</v>
      </c>
      <c r="G1261" s="1">
        <v>0.0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5.0" customHeight="1">
      <c r="A1262" s="1" t="s">
        <v>771</v>
      </c>
      <c r="B1262" s="1" t="s">
        <v>556</v>
      </c>
      <c r="C1262" s="1">
        <v>0.2575</v>
      </c>
      <c r="D1262" s="1" t="s">
        <v>1984</v>
      </c>
      <c r="E1262" s="266">
        <f>IFERROR(VLOOKUP(B1262,'Сырьё'!$C$6:$E$233,3,FALSE()),IFERROR(VLOOKUP(B1262,'Полупродукты'!$C$6:$E$60,3,FALSE()),0))</f>
        <v>5.6362</v>
      </c>
      <c r="F1262" s="266">
        <f t="shared" si="1"/>
        <v>1.4513215</v>
      </c>
      <c r="G1262" s="1">
        <v>0.0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5.0" customHeight="1">
      <c r="A1263" s="1" t="s">
        <v>771</v>
      </c>
      <c r="B1263" s="1" t="s">
        <v>579</v>
      </c>
      <c r="C1263" s="1">
        <v>0.2266</v>
      </c>
      <c r="D1263" s="1" t="s">
        <v>1986</v>
      </c>
      <c r="E1263" s="266">
        <f>IFERROR(VLOOKUP(B1263,'Сырьё'!$C$6:$E$233,3,FALSE()),IFERROR(VLOOKUP(B1263,'Полупродукты'!$C$6:$E$60,3,FALSE()),0))</f>
        <v>1.2831</v>
      </c>
      <c r="F1263" s="266">
        <f t="shared" si="1"/>
        <v>0.29075046</v>
      </c>
      <c r="G1263" s="1">
        <v>0.0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5.0" customHeight="1">
      <c r="A1264" s="1" t="s">
        <v>442</v>
      </c>
      <c r="B1264" s="1" t="s">
        <v>442</v>
      </c>
      <c r="C1264" s="1">
        <v>1.0</v>
      </c>
      <c r="D1264" s="1" t="s">
        <v>3548</v>
      </c>
      <c r="E1264" s="266">
        <f>IFERROR(VLOOKUP(B1264,'Сырьё'!$C$6:$E$233,3,FALSE()),IFERROR(VLOOKUP(B1264,'Полупродукты'!$C$6:$E$60,3,FALSE()),0))</f>
        <v>5.6683</v>
      </c>
      <c r="F1264" s="266">
        <f t="shared" si="1"/>
        <v>5.6683</v>
      </c>
      <c r="G1264" s="1">
        <v>1.0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5.0" customHeight="1">
      <c r="A1265" s="1" t="s">
        <v>635</v>
      </c>
      <c r="B1265" s="1" t="s">
        <v>594</v>
      </c>
      <c r="C1265" s="1">
        <v>0.257382</v>
      </c>
      <c r="D1265" s="1" t="s">
        <v>3549</v>
      </c>
      <c r="E1265" s="266">
        <f>IFERROR(VLOOKUP(B1265,'Сырьё'!$C$6:$E$233,3,FALSE()),IFERROR(VLOOKUP(B1265,'Полупродукты'!$C$6:$E$60,3,FALSE()),0))</f>
        <v>1.7145</v>
      </c>
      <c r="F1265" s="266">
        <f t="shared" si="1"/>
        <v>0.441281439</v>
      </c>
      <c r="G1265" s="1">
        <v>0.0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5.0" customHeight="1">
      <c r="A1266" s="1" t="s">
        <v>635</v>
      </c>
      <c r="B1266" s="1" t="s">
        <v>579</v>
      </c>
      <c r="C1266" s="1">
        <v>0.248915</v>
      </c>
      <c r="D1266" s="1" t="s">
        <v>3550</v>
      </c>
      <c r="E1266" s="266">
        <f>IFERROR(VLOOKUP(B1266,'Сырьё'!$C$6:$E$233,3,FALSE()),IFERROR(VLOOKUP(B1266,'Полупродукты'!$C$6:$E$60,3,FALSE()),0))</f>
        <v>1.2831</v>
      </c>
      <c r="F1266" s="266">
        <f t="shared" si="1"/>
        <v>0.3193828365</v>
      </c>
      <c r="G1266" s="1">
        <v>0.0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5.0" customHeight="1">
      <c r="A1267" s="1" t="s">
        <v>635</v>
      </c>
      <c r="B1267" s="1" t="s">
        <v>593</v>
      </c>
      <c r="C1267" s="1">
        <v>0.144488</v>
      </c>
      <c r="D1267" s="1" t="s">
        <v>3551</v>
      </c>
      <c r="E1267" s="266">
        <f>IFERROR(VLOOKUP(B1267,'Сырьё'!$C$6:$E$233,3,FALSE()),IFERROR(VLOOKUP(B1267,'Полупродукты'!$C$6:$E$60,3,FALSE()),0))</f>
        <v>1.6575</v>
      </c>
      <c r="F1267" s="266">
        <f t="shared" si="1"/>
        <v>0.23948886</v>
      </c>
      <c r="G1267" s="1">
        <v>0.0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5.0" customHeight="1">
      <c r="A1268" s="1" t="s">
        <v>635</v>
      </c>
      <c r="B1268" s="1" t="s">
        <v>585</v>
      </c>
      <c r="C1268" s="1">
        <v>0.069216</v>
      </c>
      <c r="D1268" s="1" t="s">
        <v>3552</v>
      </c>
      <c r="E1268" s="266">
        <f>IFERROR(VLOOKUP(B1268,'Сырьё'!$C$6:$E$233,3,FALSE()),IFERROR(VLOOKUP(B1268,'Полупродукты'!$C$6:$E$60,3,FALSE()),0))</f>
        <v>6.9052</v>
      </c>
      <c r="F1268" s="266">
        <f t="shared" si="1"/>
        <v>0.4779503232</v>
      </c>
      <c r="G1268" s="1">
        <v>0.0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5.0" customHeight="1">
      <c r="A1269" s="1" t="s">
        <v>635</v>
      </c>
      <c r="B1269" s="1" t="s">
        <v>566</v>
      </c>
      <c r="C1269" s="1">
        <v>0.11536</v>
      </c>
      <c r="D1269" s="1" t="s">
        <v>3553</v>
      </c>
      <c r="E1269" s="266">
        <f>IFERROR(VLOOKUP(B1269,'Сырьё'!$C$6:$E$233,3,FALSE()),IFERROR(VLOOKUP(B1269,'Полупродукты'!$C$6:$E$60,3,FALSE()),0))</f>
        <v>0</v>
      </c>
      <c r="F1269" s="266">
        <f t="shared" si="1"/>
        <v>0</v>
      </c>
      <c r="G1269" s="1">
        <v>0.0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5.0" customHeight="1">
      <c r="A1270" s="1" t="s">
        <v>635</v>
      </c>
      <c r="B1270" s="1" t="s">
        <v>549</v>
      </c>
      <c r="C1270" s="1">
        <v>0.054745</v>
      </c>
      <c r="D1270" s="1" t="s">
        <v>3554</v>
      </c>
      <c r="E1270" s="266">
        <f>IFERROR(VLOOKUP(B1270,'Сырьё'!$C$6:$E$233,3,FALSE()),IFERROR(VLOOKUP(B1270,'Полупродукты'!$C$6:$E$60,3,FALSE()),0))</f>
        <v>6.519</v>
      </c>
      <c r="F1270" s="266">
        <f t="shared" si="1"/>
        <v>0.356882655</v>
      </c>
      <c r="G1270" s="1">
        <v>0.0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5.0" customHeight="1">
      <c r="A1271" s="1" t="s">
        <v>635</v>
      </c>
      <c r="B1271" s="1" t="s">
        <v>520</v>
      </c>
      <c r="C1271" s="1">
        <v>8.57E-4</v>
      </c>
      <c r="D1271" s="1" t="s">
        <v>3555</v>
      </c>
      <c r="E1271" s="266">
        <f>IFERROR(VLOOKUP(B1271,'Сырьё'!$C$6:$E$233,3,FALSE()),IFERROR(VLOOKUP(B1271,'Полупродукты'!$C$6:$E$60,3,FALSE()),0))</f>
        <v>30.1527</v>
      </c>
      <c r="F1271" s="266">
        <f t="shared" si="1"/>
        <v>0.0258408639</v>
      </c>
      <c r="G1271" s="1">
        <v>0.0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5.0" customHeight="1">
      <c r="A1272" s="1" t="s">
        <v>635</v>
      </c>
      <c r="B1272" s="1" t="s">
        <v>570</v>
      </c>
      <c r="C1272" s="1">
        <v>0.036555</v>
      </c>
      <c r="D1272" s="1" t="s">
        <v>3556</v>
      </c>
      <c r="E1272" s="266">
        <f>IFERROR(VLOOKUP(B1272,'Сырьё'!$C$6:$E$233,3,FALSE()),IFERROR(VLOOKUP(B1272,'Полупродукты'!$C$6:$E$60,3,FALSE()),0))</f>
        <v>3.3046</v>
      </c>
      <c r="F1272" s="266">
        <f t="shared" si="1"/>
        <v>0.120799653</v>
      </c>
      <c r="G1272" s="1">
        <v>0.0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5.0" customHeight="1">
      <c r="A1273" s="1" t="s">
        <v>635</v>
      </c>
      <c r="B1273" s="1" t="s">
        <v>569</v>
      </c>
      <c r="C1273" s="1">
        <v>0.027748</v>
      </c>
      <c r="D1273" s="1" t="s">
        <v>3557</v>
      </c>
      <c r="E1273" s="266">
        <f>IFERROR(VLOOKUP(B1273,'Сырьё'!$C$6:$E$233,3,FALSE()),IFERROR(VLOOKUP(B1273,'Полупродукты'!$C$6:$E$60,3,FALSE()),0))</f>
        <v>3.2853</v>
      </c>
      <c r="F1273" s="266">
        <f t="shared" si="1"/>
        <v>0.0911605044</v>
      </c>
      <c r="G1273" s="1">
        <v>0.0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5.0" customHeight="1">
      <c r="A1274" s="1" t="s">
        <v>635</v>
      </c>
      <c r="B1274" s="1" t="s">
        <v>591</v>
      </c>
      <c r="C1274" s="1">
        <v>0.015651</v>
      </c>
      <c r="D1274" s="1" t="s">
        <v>3558</v>
      </c>
      <c r="E1274" s="266">
        <f>IFERROR(VLOOKUP(B1274,'Сырьё'!$C$6:$E$233,3,FALSE()),IFERROR(VLOOKUP(B1274,'Полупродукты'!$C$6:$E$60,3,FALSE()),0))</f>
        <v>1.9734</v>
      </c>
      <c r="F1274" s="266">
        <f t="shared" si="1"/>
        <v>0.0308856834</v>
      </c>
      <c r="G1274" s="1">
        <v>0.0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5.0" customHeight="1">
      <c r="A1275" s="1" t="s">
        <v>635</v>
      </c>
      <c r="B1275" s="1" t="s">
        <v>532</v>
      </c>
      <c r="C1275" s="1">
        <v>0.005516</v>
      </c>
      <c r="D1275" s="1" t="s">
        <v>3559</v>
      </c>
      <c r="E1275" s="266">
        <f>IFERROR(VLOOKUP(B1275,'Сырьё'!$C$6:$E$233,3,FALSE()),IFERROR(VLOOKUP(B1275,'Полупродукты'!$C$6:$E$60,3,FALSE()),0))</f>
        <v>2.337</v>
      </c>
      <c r="F1275" s="266">
        <f t="shared" si="1"/>
        <v>0.012890892</v>
      </c>
      <c r="G1275" s="1">
        <v>0.0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5.0" customHeight="1">
      <c r="A1276" s="1" t="s">
        <v>635</v>
      </c>
      <c r="B1276" s="1" t="s">
        <v>573</v>
      </c>
      <c r="C1276" s="1">
        <v>0.0515</v>
      </c>
      <c r="D1276" s="1" t="s">
        <v>1742</v>
      </c>
      <c r="E1276" s="266">
        <f>IFERROR(VLOOKUP(B1276,'Сырьё'!$C$6:$E$233,3,FALSE()),IFERROR(VLOOKUP(B1276,'Полупродукты'!$C$6:$E$60,3,FALSE()),0))</f>
        <v>4.7016</v>
      </c>
      <c r="F1276" s="266">
        <f t="shared" si="1"/>
        <v>0.2421324</v>
      </c>
      <c r="G1276" s="1">
        <v>0.0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5.0" customHeight="1">
      <c r="A1277" s="1" t="s">
        <v>635</v>
      </c>
      <c r="B1277" s="1" t="s">
        <v>571</v>
      </c>
      <c r="C1277" s="1">
        <v>0.00515</v>
      </c>
      <c r="D1277" s="1" t="s">
        <v>1744</v>
      </c>
      <c r="E1277" s="266">
        <f>IFERROR(VLOOKUP(B1277,'Сырьё'!$C$6:$E$233,3,FALSE()),IFERROR(VLOOKUP(B1277,'Полупродукты'!$C$6:$E$60,3,FALSE()),0))</f>
        <v>14.556</v>
      </c>
      <c r="F1277" s="266">
        <f t="shared" si="1"/>
        <v>0.0749634</v>
      </c>
      <c r="G1277" s="1">
        <v>0.0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5.0" customHeight="1">
      <c r="A1278" s="1" t="s">
        <v>421</v>
      </c>
      <c r="B1278" s="1" t="s">
        <v>421</v>
      </c>
      <c r="C1278" s="1">
        <v>1.0</v>
      </c>
      <c r="D1278" s="1" t="s">
        <v>3560</v>
      </c>
      <c r="E1278" s="266">
        <f>IFERROR(VLOOKUP(B1278,'Сырьё'!$C$6:$E$233,3,FALSE()),IFERROR(VLOOKUP(B1278,'Полупродукты'!$C$6:$E$60,3,FALSE()),0))</f>
        <v>2.9515</v>
      </c>
      <c r="F1278" s="266">
        <f t="shared" si="1"/>
        <v>2.9515</v>
      </c>
      <c r="G1278" s="1">
        <v>1.0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15.0" customHeight="1">
      <c r="A1279" s="1" t="s">
        <v>734</v>
      </c>
      <c r="B1279" s="1" t="s">
        <v>549</v>
      </c>
      <c r="C1279" s="1">
        <v>0.099179</v>
      </c>
      <c r="D1279" s="1" t="s">
        <v>3561</v>
      </c>
      <c r="E1279" s="266">
        <f>IFERROR(VLOOKUP(B1279,'Сырьё'!$C$6:$E$233,3,FALSE()),IFERROR(VLOOKUP(B1279,'Полупродукты'!$C$6:$E$60,3,FALSE()),0))</f>
        <v>6.519</v>
      </c>
      <c r="F1279" s="266">
        <f t="shared" si="1"/>
        <v>0.646547901</v>
      </c>
      <c r="G1279" s="1">
        <v>0.0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5.0" customHeight="1">
      <c r="A1280" s="1" t="s">
        <v>734</v>
      </c>
      <c r="B1280" s="1" t="s">
        <v>537</v>
      </c>
      <c r="C1280" s="1">
        <v>0.02437</v>
      </c>
      <c r="D1280" s="1" t="s">
        <v>3562</v>
      </c>
      <c r="E1280" s="266">
        <f>IFERROR(VLOOKUP(B1280,'Сырьё'!$C$6:$E$233,3,FALSE()),IFERROR(VLOOKUP(B1280,'Полупродукты'!$C$6:$E$60,3,FALSE()),0))</f>
        <v>8.8284</v>
      </c>
      <c r="F1280" s="266">
        <f t="shared" si="1"/>
        <v>0.215148108</v>
      </c>
      <c r="G1280" s="1">
        <v>0.0</v>
      </c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5.0" customHeight="1">
      <c r="A1281" s="1" t="s">
        <v>734</v>
      </c>
      <c r="B1281" s="1" t="s">
        <v>594</v>
      </c>
      <c r="C1281" s="1">
        <v>0.441098</v>
      </c>
      <c r="D1281" s="1" t="s">
        <v>3563</v>
      </c>
      <c r="E1281" s="266">
        <f>IFERROR(VLOOKUP(B1281,'Сырьё'!$C$6:$E$233,3,FALSE()),IFERROR(VLOOKUP(B1281,'Полупродукты'!$C$6:$E$60,3,FALSE()),0))</f>
        <v>1.7145</v>
      </c>
      <c r="F1281" s="266">
        <f t="shared" si="1"/>
        <v>0.756262521</v>
      </c>
      <c r="G1281" s="1">
        <v>0.0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5.0" customHeight="1">
      <c r="A1282" s="1" t="s">
        <v>734</v>
      </c>
      <c r="B1282" s="1" t="s">
        <v>541</v>
      </c>
      <c r="C1282" s="1">
        <v>0.0048</v>
      </c>
      <c r="D1282" s="1" t="s">
        <v>3564</v>
      </c>
      <c r="E1282" s="266">
        <f>IFERROR(VLOOKUP(B1282,'Сырьё'!$C$6:$E$233,3,FALSE()),IFERROR(VLOOKUP(B1282,'Полупродукты'!$C$6:$E$60,3,FALSE()),0))</f>
        <v>78.7704</v>
      </c>
      <c r="F1282" s="266">
        <f t="shared" si="1"/>
        <v>0.37809792</v>
      </c>
      <c r="G1282" s="1">
        <v>0.0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5.0" customHeight="1">
      <c r="A1283" s="1" t="s">
        <v>734</v>
      </c>
      <c r="B1283" s="1" t="s">
        <v>554</v>
      </c>
      <c r="C1283" s="1">
        <v>0.268789</v>
      </c>
      <c r="D1283" s="1" t="s">
        <v>3565</v>
      </c>
      <c r="E1283" s="266">
        <f>IFERROR(VLOOKUP(B1283,'Сырьё'!$C$6:$E$233,3,FALSE()),IFERROR(VLOOKUP(B1283,'Полупродукты'!$C$6:$E$60,3,FALSE()),0))</f>
        <v>7.3406</v>
      </c>
      <c r="F1283" s="266">
        <f t="shared" si="1"/>
        <v>1.973072533</v>
      </c>
      <c r="G1283" s="1">
        <v>0.0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5.0" customHeight="1">
      <c r="A1284" s="1" t="s">
        <v>734</v>
      </c>
      <c r="B1284" s="1" t="s">
        <v>579</v>
      </c>
      <c r="C1284" s="1">
        <v>0.137948</v>
      </c>
      <c r="D1284" s="1" t="s">
        <v>3566</v>
      </c>
      <c r="E1284" s="266">
        <f>IFERROR(VLOOKUP(B1284,'Сырьё'!$C$6:$E$233,3,FALSE()),IFERROR(VLOOKUP(B1284,'Полупродукты'!$C$6:$E$60,3,FALSE()),0))</f>
        <v>1.2831</v>
      </c>
      <c r="F1284" s="266">
        <f t="shared" si="1"/>
        <v>0.1770010788</v>
      </c>
      <c r="G1284" s="1">
        <v>0.0</v>
      </c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5.0" customHeight="1">
      <c r="A1285" s="1" t="s">
        <v>734</v>
      </c>
      <c r="B1285" s="1" t="s">
        <v>593</v>
      </c>
      <c r="C1285" s="1">
        <v>0.050728</v>
      </c>
      <c r="D1285" s="1" t="s">
        <v>1022</v>
      </c>
      <c r="E1285" s="266">
        <f>IFERROR(VLOOKUP(B1285,'Сырьё'!$C$6:$E$233,3,FALSE()),IFERROR(VLOOKUP(B1285,'Полупродукты'!$C$6:$E$60,3,FALSE()),0))</f>
        <v>1.6575</v>
      </c>
      <c r="F1285" s="266">
        <f t="shared" si="1"/>
        <v>0.08408166</v>
      </c>
      <c r="G1285" s="1">
        <v>0.0</v>
      </c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5.0" customHeight="1">
      <c r="A1286" s="1" t="s">
        <v>734</v>
      </c>
      <c r="B1286" s="1" t="s">
        <v>556</v>
      </c>
      <c r="C1286" s="1">
        <v>0.00309</v>
      </c>
      <c r="D1286" s="1" t="s">
        <v>3567</v>
      </c>
      <c r="E1286" s="266">
        <f>IFERROR(VLOOKUP(B1286,'Сырьё'!$C$6:$E$233,3,FALSE()),IFERROR(VLOOKUP(B1286,'Полупродукты'!$C$6:$E$60,3,FALSE()),0))</f>
        <v>5.6362</v>
      </c>
      <c r="F1286" s="266">
        <f t="shared" si="1"/>
        <v>0.017415858</v>
      </c>
      <c r="G1286" s="1">
        <v>0.0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5.0" customHeight="1">
      <c r="A1287" s="1" t="s">
        <v>734</v>
      </c>
      <c r="B1287" s="1" t="s">
        <v>520</v>
      </c>
      <c r="C1287" s="1">
        <v>2.1E-5</v>
      </c>
      <c r="D1287" s="1" t="s">
        <v>3568</v>
      </c>
      <c r="E1287" s="266">
        <f>IFERROR(VLOOKUP(B1287,'Сырьё'!$C$6:$E$233,3,FALSE()),IFERROR(VLOOKUP(B1287,'Полупродукты'!$C$6:$E$60,3,FALSE()),0))</f>
        <v>30.1527</v>
      </c>
      <c r="F1287" s="266">
        <f t="shared" si="1"/>
        <v>0.0006332067</v>
      </c>
      <c r="G1287" s="1">
        <v>0.0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5.0" customHeight="1">
      <c r="A1288" s="1" t="s">
        <v>611</v>
      </c>
      <c r="B1288" s="1" t="s">
        <v>594</v>
      </c>
      <c r="C1288" s="1">
        <v>0.228423</v>
      </c>
      <c r="D1288" s="1" t="s">
        <v>3569</v>
      </c>
      <c r="E1288" s="266">
        <f>IFERROR(VLOOKUP(B1288,'Сырьё'!$C$6:$E$233,3,FALSE()),IFERROR(VLOOKUP(B1288,'Полупродукты'!$C$6:$E$60,3,FALSE()),0))</f>
        <v>1.7145</v>
      </c>
      <c r="F1288" s="266">
        <f t="shared" si="1"/>
        <v>0.3916312335</v>
      </c>
      <c r="G1288" s="1">
        <v>0.0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5.0" customHeight="1">
      <c r="A1289" s="1" t="s">
        <v>611</v>
      </c>
      <c r="B1289" s="1" t="s">
        <v>579</v>
      </c>
      <c r="C1289" s="1">
        <v>0.257899</v>
      </c>
      <c r="D1289" s="1" t="s">
        <v>3570</v>
      </c>
      <c r="E1289" s="266">
        <f>IFERROR(VLOOKUP(B1289,'Сырьё'!$C$6:$E$233,3,FALSE()),IFERROR(VLOOKUP(B1289,'Полупродукты'!$C$6:$E$60,3,FALSE()),0))</f>
        <v>1.2831</v>
      </c>
      <c r="F1289" s="266">
        <f t="shared" si="1"/>
        <v>0.3309102069</v>
      </c>
      <c r="G1289" s="1">
        <v>0.0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5.0" customHeight="1">
      <c r="A1290" s="1" t="s">
        <v>611</v>
      </c>
      <c r="B1290" s="1" t="s">
        <v>593</v>
      </c>
      <c r="C1290" s="1">
        <v>0.16273</v>
      </c>
      <c r="D1290" s="1" t="s">
        <v>3571</v>
      </c>
      <c r="E1290" s="266">
        <f>IFERROR(VLOOKUP(B1290,'Сырьё'!$C$6:$E$233,3,FALSE()),IFERROR(VLOOKUP(B1290,'Полупродукты'!$C$6:$E$60,3,FALSE()),0))</f>
        <v>1.6575</v>
      </c>
      <c r="F1290" s="266">
        <f t="shared" si="1"/>
        <v>0.269724975</v>
      </c>
      <c r="G1290" s="1">
        <v>0.0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5.0" customHeight="1">
      <c r="A1291" s="1" t="s">
        <v>611</v>
      </c>
      <c r="B1291" s="1" t="s">
        <v>585</v>
      </c>
      <c r="C1291" s="1">
        <v>0.059276</v>
      </c>
      <c r="D1291" s="1" t="s">
        <v>3572</v>
      </c>
      <c r="E1291" s="266">
        <f>IFERROR(VLOOKUP(B1291,'Сырьё'!$C$6:$E$233,3,FALSE()),IFERROR(VLOOKUP(B1291,'Полупродукты'!$C$6:$E$60,3,FALSE()),0))</f>
        <v>6.9052</v>
      </c>
      <c r="F1291" s="266">
        <f t="shared" si="1"/>
        <v>0.4093126352</v>
      </c>
      <c r="G1291" s="1">
        <v>0.0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5.0" customHeight="1">
      <c r="A1292" s="1" t="s">
        <v>611</v>
      </c>
      <c r="B1292" s="1" t="s">
        <v>541</v>
      </c>
      <c r="C1292" s="1">
        <v>0.003873</v>
      </c>
      <c r="D1292" s="1" t="s">
        <v>3573</v>
      </c>
      <c r="E1292" s="266">
        <f>IFERROR(VLOOKUP(B1292,'Сырьё'!$C$6:$E$233,3,FALSE()),IFERROR(VLOOKUP(B1292,'Полупродукты'!$C$6:$E$60,3,FALSE()),0))</f>
        <v>78.7704</v>
      </c>
      <c r="F1292" s="266">
        <f t="shared" si="1"/>
        <v>0.3050777592</v>
      </c>
      <c r="G1292" s="1">
        <v>0.0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5.0" customHeight="1">
      <c r="A1293" s="1" t="s">
        <v>611</v>
      </c>
      <c r="B1293" s="1" t="s">
        <v>555</v>
      </c>
      <c r="C1293" s="1">
        <v>0.121025</v>
      </c>
      <c r="D1293" s="1" t="s">
        <v>3574</v>
      </c>
      <c r="E1293" s="266">
        <f>IFERROR(VLOOKUP(B1293,'Сырьё'!$C$6:$E$233,3,FALSE()),IFERROR(VLOOKUP(B1293,'Полупродукты'!$C$6:$E$60,3,FALSE()),0))</f>
        <v>8.4</v>
      </c>
      <c r="F1293" s="266">
        <f t="shared" si="1"/>
        <v>1.01661</v>
      </c>
      <c r="G1293" s="1">
        <v>0.0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5.0" customHeight="1">
      <c r="A1294" s="1" t="s">
        <v>611</v>
      </c>
      <c r="B1294" s="1" t="s">
        <v>537</v>
      </c>
      <c r="C1294" s="1">
        <v>0.015491</v>
      </c>
      <c r="D1294" s="1" t="s">
        <v>3575</v>
      </c>
      <c r="E1294" s="266">
        <f>IFERROR(VLOOKUP(B1294,'Сырьё'!$C$6:$E$233,3,FALSE()),IFERROR(VLOOKUP(B1294,'Полупродукты'!$C$6:$E$60,3,FALSE()),0))</f>
        <v>8.8284</v>
      </c>
      <c r="F1294" s="266">
        <f t="shared" si="1"/>
        <v>0.1367607444</v>
      </c>
      <c r="G1294" s="1">
        <v>0.0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5.0" customHeight="1">
      <c r="A1295" s="1" t="s">
        <v>611</v>
      </c>
      <c r="B1295" s="1" t="s">
        <v>570</v>
      </c>
      <c r="C1295" s="1">
        <v>0.069618</v>
      </c>
      <c r="D1295" s="1" t="s">
        <v>3576</v>
      </c>
      <c r="E1295" s="266">
        <f>IFERROR(VLOOKUP(B1295,'Сырьё'!$C$6:$E$233,3,FALSE()),IFERROR(VLOOKUP(B1295,'Полупродукты'!$C$6:$E$60,3,FALSE()),0))</f>
        <v>3.3046</v>
      </c>
      <c r="F1295" s="266">
        <f t="shared" si="1"/>
        <v>0.2300596428</v>
      </c>
      <c r="G1295" s="1">
        <v>0.0</v>
      </c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5.0" customHeight="1">
      <c r="A1296" s="1" t="s">
        <v>611</v>
      </c>
      <c r="B1296" s="1" t="s">
        <v>591</v>
      </c>
      <c r="C1296" s="1">
        <v>0.01589</v>
      </c>
      <c r="D1296" s="1" t="s">
        <v>3577</v>
      </c>
      <c r="E1296" s="266">
        <f>IFERROR(VLOOKUP(B1296,'Сырьё'!$C$6:$E$233,3,FALSE()),IFERROR(VLOOKUP(B1296,'Полупродукты'!$C$6:$E$60,3,FALSE()),0))</f>
        <v>1.9734</v>
      </c>
      <c r="F1296" s="266">
        <f t="shared" si="1"/>
        <v>0.031357326</v>
      </c>
      <c r="G1296" s="1">
        <v>0.0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5.0" customHeight="1">
      <c r="A1297" s="1" t="s">
        <v>611</v>
      </c>
      <c r="B1297" s="1" t="s">
        <v>532</v>
      </c>
      <c r="C1297" s="1">
        <v>0.005531</v>
      </c>
      <c r="D1297" s="1" t="s">
        <v>3578</v>
      </c>
      <c r="E1297" s="266">
        <f>IFERROR(VLOOKUP(B1297,'Сырьё'!$C$6:$E$233,3,FALSE()),IFERROR(VLOOKUP(B1297,'Полупродукты'!$C$6:$E$60,3,FALSE()),0))</f>
        <v>2.337</v>
      </c>
      <c r="F1297" s="266">
        <f t="shared" si="1"/>
        <v>0.012925947</v>
      </c>
      <c r="G1297" s="1">
        <v>0.0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5.0" customHeight="1">
      <c r="A1298" s="1" t="s">
        <v>611</v>
      </c>
      <c r="B1298" s="1" t="s">
        <v>549</v>
      </c>
      <c r="C1298" s="1">
        <v>0.0927</v>
      </c>
      <c r="D1298" s="1" t="s">
        <v>3579</v>
      </c>
      <c r="E1298" s="266">
        <f>IFERROR(VLOOKUP(B1298,'Сырьё'!$C$6:$E$233,3,FALSE()),IFERROR(VLOOKUP(B1298,'Полупродукты'!$C$6:$E$60,3,FALSE()),0))</f>
        <v>6.519</v>
      </c>
      <c r="F1298" s="266">
        <f t="shared" si="1"/>
        <v>0.6043113</v>
      </c>
      <c r="G1298" s="1">
        <v>0.0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5.0" customHeight="1">
      <c r="A1299" s="1" t="s">
        <v>609</v>
      </c>
      <c r="B1299" s="1" t="s">
        <v>579</v>
      </c>
      <c r="C1299" s="1">
        <v>0.5562</v>
      </c>
      <c r="D1299" s="1" t="s">
        <v>3580</v>
      </c>
      <c r="E1299" s="266">
        <f>IFERROR(VLOOKUP(B1299,'Сырьё'!$C$6:$E$233,3,FALSE()),IFERROR(VLOOKUP(B1299,'Полупродукты'!$C$6:$E$60,3,FALSE()),0))</f>
        <v>1.2831</v>
      </c>
      <c r="F1299" s="266">
        <f t="shared" si="1"/>
        <v>0.71366022</v>
      </c>
      <c r="G1299" s="1">
        <v>0.0</v>
      </c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5.0" customHeight="1">
      <c r="A1300" s="1" t="s">
        <v>609</v>
      </c>
      <c r="B1300" s="1" t="s">
        <v>593</v>
      </c>
      <c r="C1300" s="1">
        <v>0.2472</v>
      </c>
      <c r="D1300" s="1" t="s">
        <v>3581</v>
      </c>
      <c r="E1300" s="266">
        <f>IFERROR(VLOOKUP(B1300,'Сырьё'!$C$6:$E$233,3,FALSE()),IFERROR(VLOOKUP(B1300,'Полупродукты'!$C$6:$E$60,3,FALSE()),0))</f>
        <v>1.6575</v>
      </c>
      <c r="F1300" s="266">
        <f t="shared" si="1"/>
        <v>0.409734</v>
      </c>
      <c r="G1300" s="1">
        <v>0.0</v>
      </c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5.0" customHeight="1">
      <c r="A1301" s="1" t="s">
        <v>609</v>
      </c>
      <c r="B1301" s="1" t="s">
        <v>549</v>
      </c>
      <c r="C1301" s="1">
        <v>0.2266</v>
      </c>
      <c r="D1301" s="1" t="s">
        <v>3582</v>
      </c>
      <c r="E1301" s="266">
        <f>IFERROR(VLOOKUP(B1301,'Сырьё'!$C$6:$E$233,3,FALSE()),IFERROR(VLOOKUP(B1301,'Полупродукты'!$C$6:$E$60,3,FALSE()),0))</f>
        <v>6.519</v>
      </c>
      <c r="F1301" s="266">
        <f t="shared" si="1"/>
        <v>1.4772054</v>
      </c>
      <c r="G1301" s="1">
        <v>0.0</v>
      </c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15.0" customHeight="1">
      <c r="A1302" s="1" t="s">
        <v>780</v>
      </c>
      <c r="B1302" s="1" t="s">
        <v>579</v>
      </c>
      <c r="C1302" s="1">
        <v>0.12875</v>
      </c>
      <c r="D1302" s="1" t="s">
        <v>1952</v>
      </c>
      <c r="E1302" s="266">
        <f>IFERROR(VLOOKUP(B1302,'Сырьё'!$C$6:$E$233,3,FALSE()),IFERROR(VLOOKUP(B1302,'Полупродукты'!$C$6:$E$60,3,FALSE()),0))</f>
        <v>1.2831</v>
      </c>
      <c r="F1302" s="266">
        <f t="shared" si="1"/>
        <v>0.165199125</v>
      </c>
      <c r="G1302" s="1">
        <v>0.0</v>
      </c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5.0" customHeight="1">
      <c r="A1303" s="1" t="s">
        <v>780</v>
      </c>
      <c r="B1303" s="1" t="s">
        <v>593</v>
      </c>
      <c r="C1303" s="1">
        <v>0.1854</v>
      </c>
      <c r="D1303" s="1" t="s">
        <v>1954</v>
      </c>
      <c r="E1303" s="266">
        <f>IFERROR(VLOOKUP(B1303,'Сырьё'!$C$6:$E$233,3,FALSE()),IFERROR(VLOOKUP(B1303,'Полупродукты'!$C$6:$E$60,3,FALSE()),0))</f>
        <v>1.6575</v>
      </c>
      <c r="F1303" s="266">
        <f t="shared" si="1"/>
        <v>0.3073005</v>
      </c>
      <c r="G1303" s="1">
        <v>0.0</v>
      </c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5.0" customHeight="1">
      <c r="A1304" s="1" t="s">
        <v>780</v>
      </c>
      <c r="B1304" s="1" t="s">
        <v>594</v>
      </c>
      <c r="C1304" s="1">
        <v>0.09785</v>
      </c>
      <c r="D1304" s="1" t="s">
        <v>1956</v>
      </c>
      <c r="E1304" s="266">
        <f>IFERROR(VLOOKUP(B1304,'Сырьё'!$C$6:$E$233,3,FALSE()),IFERROR(VLOOKUP(B1304,'Полупродукты'!$C$6:$E$60,3,FALSE()),0))</f>
        <v>1.7145</v>
      </c>
      <c r="F1304" s="266">
        <f t="shared" si="1"/>
        <v>0.167763825</v>
      </c>
      <c r="G1304" s="1">
        <v>0.0</v>
      </c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5.0" customHeight="1">
      <c r="A1305" s="1" t="s">
        <v>780</v>
      </c>
      <c r="B1305" s="1" t="s">
        <v>585</v>
      </c>
      <c r="C1305" s="1">
        <v>0.1442</v>
      </c>
      <c r="D1305" s="1" t="s">
        <v>1958</v>
      </c>
      <c r="E1305" s="266">
        <f>IFERROR(VLOOKUP(B1305,'Сырьё'!$C$6:$E$233,3,FALSE()),IFERROR(VLOOKUP(B1305,'Полупродукты'!$C$6:$E$60,3,FALSE()),0))</f>
        <v>6.9052</v>
      </c>
      <c r="F1305" s="266">
        <f t="shared" si="1"/>
        <v>0.99572984</v>
      </c>
      <c r="G1305" s="1">
        <v>0.0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5.0" customHeight="1">
      <c r="A1306" s="1" t="s">
        <v>780</v>
      </c>
      <c r="B1306" s="1" t="s">
        <v>577</v>
      </c>
      <c r="C1306" s="1">
        <v>0.3708</v>
      </c>
      <c r="D1306" s="1" t="s">
        <v>1960</v>
      </c>
      <c r="E1306" s="266">
        <f>IFERROR(VLOOKUP(B1306,'Сырьё'!$C$6:$E$233,3,FALSE()),IFERROR(VLOOKUP(B1306,'Полупродукты'!$C$6:$E$60,3,FALSE()),0))</f>
        <v>2.8015</v>
      </c>
      <c r="F1306" s="266">
        <f t="shared" si="1"/>
        <v>1.0387962</v>
      </c>
      <c r="G1306" s="1">
        <v>0.0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5.0" customHeight="1">
      <c r="A1307" s="1" t="s">
        <v>780</v>
      </c>
      <c r="B1307" s="1" t="s">
        <v>535</v>
      </c>
      <c r="C1307" s="1">
        <v>0.0927</v>
      </c>
      <c r="D1307" s="1" t="s">
        <v>1962</v>
      </c>
      <c r="E1307" s="266">
        <f>IFERROR(VLOOKUP(B1307,'Сырьё'!$C$6:$E$233,3,FALSE()),IFERROR(VLOOKUP(B1307,'Полупродукты'!$C$6:$E$60,3,FALSE()),0))</f>
        <v>1.3268</v>
      </c>
      <c r="F1307" s="266">
        <f t="shared" si="1"/>
        <v>0.12299436</v>
      </c>
      <c r="G1307" s="1">
        <v>0.0</v>
      </c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5.0" customHeight="1">
      <c r="A1308" s="1" t="s">
        <v>686</v>
      </c>
      <c r="B1308" s="1" t="s">
        <v>431</v>
      </c>
      <c r="C1308" s="1">
        <v>0.5665</v>
      </c>
      <c r="D1308" s="1" t="s">
        <v>1282</v>
      </c>
      <c r="E1308" s="266">
        <f>IFERROR(VLOOKUP(B1308,'Сырьё'!$C$6:$E$233,3,FALSE()),IFERROR(VLOOKUP(B1308,'Полупродукты'!$C$6:$E$60,3,FALSE()),0))</f>
        <v>8.7213</v>
      </c>
      <c r="F1308" s="266">
        <f t="shared" si="1"/>
        <v>4.94061645</v>
      </c>
      <c r="G1308" s="1">
        <v>1.0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5.0" customHeight="1">
      <c r="A1309" s="1" t="s">
        <v>686</v>
      </c>
      <c r="B1309" s="1" t="s">
        <v>402</v>
      </c>
      <c r="C1309" s="1">
        <v>0.309</v>
      </c>
      <c r="D1309" s="1" t="s">
        <v>1284</v>
      </c>
      <c r="E1309" s="266">
        <f>IFERROR(VLOOKUP(B1309,'Сырьё'!$C$6:$E$233,3,FALSE()),IFERROR(VLOOKUP(B1309,'Полупродукты'!$C$6:$E$60,3,FALSE()),0))</f>
        <v>0</v>
      </c>
      <c r="F1309" s="266">
        <f t="shared" si="1"/>
        <v>0</v>
      </c>
      <c r="G1309" s="1">
        <v>1.0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5.0" customHeight="1">
      <c r="A1310" s="1" t="s">
        <v>686</v>
      </c>
      <c r="B1310" s="1" t="s">
        <v>594</v>
      </c>
      <c r="C1310" s="1">
        <v>0.069525</v>
      </c>
      <c r="D1310" s="1" t="s">
        <v>3583</v>
      </c>
      <c r="E1310" s="266">
        <f>IFERROR(VLOOKUP(B1310,'Сырьё'!$C$6:$E$233,3,FALSE()),IFERROR(VLOOKUP(B1310,'Полупродукты'!$C$6:$E$60,3,FALSE()),0))</f>
        <v>1.7145</v>
      </c>
      <c r="F1310" s="266">
        <f t="shared" si="1"/>
        <v>0.1192006125</v>
      </c>
      <c r="G1310" s="1">
        <v>0.0</v>
      </c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ht="15.0" customHeight="1">
      <c r="A1311" s="1" t="s">
        <v>686</v>
      </c>
      <c r="B1311" s="1" t="s">
        <v>579</v>
      </c>
      <c r="C1311" s="1">
        <v>0.013905</v>
      </c>
      <c r="D1311" s="1" t="s">
        <v>3584</v>
      </c>
      <c r="E1311" s="266">
        <f>IFERROR(VLOOKUP(B1311,'Сырьё'!$C$6:$E$233,3,FALSE()),IFERROR(VLOOKUP(B1311,'Полупродукты'!$C$6:$E$60,3,FALSE()),0))</f>
        <v>1.2831</v>
      </c>
      <c r="F1311" s="266">
        <f t="shared" si="1"/>
        <v>0.0178415055</v>
      </c>
      <c r="G1311" s="1">
        <v>0.0</v>
      </c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ht="15.0" customHeight="1">
      <c r="A1312" s="1" t="s">
        <v>686</v>
      </c>
      <c r="B1312" s="1" t="s">
        <v>593</v>
      </c>
      <c r="C1312" s="1">
        <v>0.038625</v>
      </c>
      <c r="D1312" s="1" t="s">
        <v>3585</v>
      </c>
      <c r="E1312" s="266">
        <f>IFERROR(VLOOKUP(B1312,'Сырьё'!$C$6:$E$233,3,FALSE()),IFERROR(VLOOKUP(B1312,'Полупродукты'!$C$6:$E$60,3,FALSE()),0))</f>
        <v>1.6575</v>
      </c>
      <c r="F1312" s="266">
        <f t="shared" si="1"/>
        <v>0.0640209375</v>
      </c>
      <c r="G1312" s="1">
        <v>0.0</v>
      </c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ht="15.0" customHeight="1">
      <c r="A1313" s="1" t="s">
        <v>686</v>
      </c>
      <c r="B1313" s="1" t="s">
        <v>549</v>
      </c>
      <c r="C1313" s="1">
        <v>0.032445</v>
      </c>
      <c r="D1313" s="1" t="s">
        <v>3586</v>
      </c>
      <c r="E1313" s="266">
        <f>IFERROR(VLOOKUP(B1313,'Сырьё'!$C$6:$E$233,3,FALSE()),IFERROR(VLOOKUP(B1313,'Полупродукты'!$C$6:$E$60,3,FALSE()),0))</f>
        <v>6.519</v>
      </c>
      <c r="F1313" s="266">
        <f t="shared" si="1"/>
        <v>0.211508955</v>
      </c>
      <c r="G1313" s="1">
        <v>0.0</v>
      </c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ht="15.0" customHeight="1">
      <c r="A1314" s="1" t="s">
        <v>686</v>
      </c>
      <c r="B1314" s="1" t="s">
        <v>520</v>
      </c>
      <c r="C1314" s="1">
        <v>3.43E-4</v>
      </c>
      <c r="D1314" s="1" t="s">
        <v>3587</v>
      </c>
      <c r="E1314" s="266">
        <f>IFERROR(VLOOKUP(B1314,'Сырьё'!$C$6:$E$233,3,FALSE()),IFERROR(VLOOKUP(B1314,'Полупродукты'!$C$6:$E$60,3,FALSE()),0))</f>
        <v>30.1527</v>
      </c>
      <c r="F1314" s="266">
        <f t="shared" si="1"/>
        <v>0.0103423761</v>
      </c>
      <c r="G1314" s="1">
        <v>0.0</v>
      </c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ht="15.0" customHeight="1">
      <c r="A1315" s="1" t="s">
        <v>417</v>
      </c>
      <c r="B1315" s="1" t="s">
        <v>417</v>
      </c>
      <c r="C1315" s="1">
        <v>1.0</v>
      </c>
      <c r="D1315" s="1" t="s">
        <v>3588</v>
      </c>
      <c r="E1315" s="266">
        <f>IFERROR(VLOOKUP(B1315,'Сырьё'!$C$6:$E$233,3,FALSE()),IFERROR(VLOOKUP(B1315,'Полупродукты'!$C$6:$E$60,3,FALSE()),0))</f>
        <v>0</v>
      </c>
      <c r="F1315" s="266">
        <f t="shared" si="1"/>
        <v>0</v>
      </c>
      <c r="G1315" s="1">
        <v>1.0</v>
      </c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ht="15.0" customHeight="1">
      <c r="A1316" s="1" t="s">
        <v>383</v>
      </c>
      <c r="B1316" s="1" t="s">
        <v>579</v>
      </c>
      <c r="C1316" s="1">
        <v>0.204244</v>
      </c>
      <c r="D1316" s="1" t="s">
        <v>1430</v>
      </c>
      <c r="E1316" s="266">
        <f>IFERROR(VLOOKUP(B1316,'Сырьё'!$C$6:$E$233,3,FALSE()),IFERROR(VLOOKUP(B1316,'Полупродукты'!$C$6:$E$60,3,FALSE()),0))</f>
        <v>1.2831</v>
      </c>
      <c r="F1316" s="266">
        <f t="shared" si="1"/>
        <v>0.2620654764</v>
      </c>
      <c r="G1316" s="1">
        <v>0.0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ht="15.0" customHeight="1">
      <c r="A1317" s="1" t="s">
        <v>383</v>
      </c>
      <c r="B1317" s="1" t="s">
        <v>594</v>
      </c>
      <c r="C1317" s="1">
        <v>0.284265</v>
      </c>
      <c r="D1317" s="1" t="s">
        <v>3589</v>
      </c>
      <c r="E1317" s="266">
        <f>IFERROR(VLOOKUP(B1317,'Сырьё'!$C$6:$E$233,3,FALSE()),IFERROR(VLOOKUP(B1317,'Полупродукты'!$C$6:$E$60,3,FALSE()),0))</f>
        <v>1.7145</v>
      </c>
      <c r="F1317" s="266">
        <f t="shared" si="1"/>
        <v>0.4873723425</v>
      </c>
      <c r="G1317" s="1">
        <v>0.0</v>
      </c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ht="15.0" customHeight="1">
      <c r="A1318" s="1" t="s">
        <v>383</v>
      </c>
      <c r="B1318" s="1" t="s">
        <v>593</v>
      </c>
      <c r="C1318" s="1">
        <v>0.118965</v>
      </c>
      <c r="D1318" s="1" t="s">
        <v>3590</v>
      </c>
      <c r="E1318" s="266">
        <f>IFERROR(VLOOKUP(B1318,'Сырьё'!$C$6:$E$233,3,FALSE()),IFERROR(VLOOKUP(B1318,'Полупродукты'!$C$6:$E$60,3,FALSE()),0))</f>
        <v>1.6575</v>
      </c>
      <c r="F1318" s="266">
        <f t="shared" si="1"/>
        <v>0.1971844875</v>
      </c>
      <c r="G1318" s="1">
        <v>0.0</v>
      </c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ht="15.0" customHeight="1">
      <c r="A1319" s="1" t="s">
        <v>383</v>
      </c>
      <c r="B1319" s="1" t="s">
        <v>549</v>
      </c>
      <c r="C1319" s="1">
        <v>0.099086</v>
      </c>
      <c r="D1319" s="1" t="s">
        <v>3591</v>
      </c>
      <c r="E1319" s="266">
        <f>IFERROR(VLOOKUP(B1319,'Сырьё'!$C$6:$E$233,3,FALSE()),IFERROR(VLOOKUP(B1319,'Полупродукты'!$C$6:$E$60,3,FALSE()),0))</f>
        <v>6.519</v>
      </c>
      <c r="F1319" s="266">
        <f t="shared" si="1"/>
        <v>0.645941634</v>
      </c>
      <c r="G1319" s="1">
        <v>0.0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ht="15.0" customHeight="1">
      <c r="A1320" s="1" t="s">
        <v>383</v>
      </c>
      <c r="B1320" s="1" t="s">
        <v>554</v>
      </c>
      <c r="C1320" s="1">
        <v>0.19055</v>
      </c>
      <c r="D1320" s="1" t="s">
        <v>3592</v>
      </c>
      <c r="E1320" s="266">
        <f>IFERROR(VLOOKUP(B1320,'Сырьё'!$C$6:$E$233,3,FALSE()),IFERROR(VLOOKUP(B1320,'Полупродукты'!$C$6:$E$60,3,FALSE()),0))</f>
        <v>7.3406</v>
      </c>
      <c r="F1320" s="266">
        <f t="shared" si="1"/>
        <v>1.39875133</v>
      </c>
      <c r="G1320" s="1">
        <v>0.0</v>
      </c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ht="15.0" customHeight="1">
      <c r="A1321" s="1" t="s">
        <v>383</v>
      </c>
      <c r="B1321" s="1" t="s">
        <v>520</v>
      </c>
      <c r="C1321" s="1">
        <v>7.11E-4</v>
      </c>
      <c r="D1321" s="1" t="s">
        <v>3593</v>
      </c>
      <c r="E1321" s="266">
        <f>IFERROR(VLOOKUP(B1321,'Сырьё'!$C$6:$E$233,3,FALSE()),IFERROR(VLOOKUP(B1321,'Полупродукты'!$C$6:$E$60,3,FALSE()),0))</f>
        <v>30.1527</v>
      </c>
      <c r="F1321" s="266">
        <f t="shared" si="1"/>
        <v>0.0214385697</v>
      </c>
      <c r="G1321" s="1">
        <v>0.0</v>
      </c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ht="15.0" customHeight="1">
      <c r="A1322" s="1" t="s">
        <v>383</v>
      </c>
      <c r="B1322" s="1" t="s">
        <v>570</v>
      </c>
      <c r="C1322" s="1">
        <v>0.036555</v>
      </c>
      <c r="D1322" s="1" t="s">
        <v>3594</v>
      </c>
      <c r="E1322" s="266">
        <f>IFERROR(VLOOKUP(B1322,'Сырьё'!$C$6:$E$233,3,FALSE()),IFERROR(VLOOKUP(B1322,'Полупродукты'!$C$6:$E$60,3,FALSE()),0))</f>
        <v>3.3046</v>
      </c>
      <c r="F1322" s="266">
        <f t="shared" si="1"/>
        <v>0.120799653</v>
      </c>
      <c r="G1322" s="1">
        <v>0.0</v>
      </c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ht="15.0" customHeight="1">
      <c r="A1323" s="1" t="s">
        <v>383</v>
      </c>
      <c r="B1323" s="1" t="s">
        <v>569</v>
      </c>
      <c r="C1323" s="1">
        <v>0.027748</v>
      </c>
      <c r="D1323" s="1" t="s">
        <v>3595</v>
      </c>
      <c r="E1323" s="266">
        <f>IFERROR(VLOOKUP(B1323,'Сырьё'!$C$6:$E$233,3,FALSE()),IFERROR(VLOOKUP(B1323,'Полупродукты'!$C$6:$E$60,3,FALSE()),0))</f>
        <v>3.2853</v>
      </c>
      <c r="F1323" s="266">
        <f t="shared" si="1"/>
        <v>0.0911605044</v>
      </c>
      <c r="G1323" s="1">
        <v>0.0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ht="15.0" customHeight="1">
      <c r="A1324" s="1" t="s">
        <v>383</v>
      </c>
      <c r="B1324" s="1" t="s">
        <v>591</v>
      </c>
      <c r="C1324" s="1">
        <v>0.015651</v>
      </c>
      <c r="D1324" s="1" t="s">
        <v>3596</v>
      </c>
      <c r="E1324" s="266">
        <f>IFERROR(VLOOKUP(B1324,'Сырьё'!$C$6:$E$233,3,FALSE()),IFERROR(VLOOKUP(B1324,'Полупродукты'!$C$6:$E$60,3,FALSE()),0))</f>
        <v>1.9734</v>
      </c>
      <c r="F1324" s="266">
        <f t="shared" si="1"/>
        <v>0.0308856834</v>
      </c>
      <c r="G1324" s="1">
        <v>0.0</v>
      </c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ht="15.0" customHeight="1">
      <c r="A1325" s="1" t="s">
        <v>383</v>
      </c>
      <c r="B1325" s="1" t="s">
        <v>532</v>
      </c>
      <c r="C1325" s="1">
        <v>0.005516</v>
      </c>
      <c r="D1325" s="1" t="s">
        <v>3597</v>
      </c>
      <c r="E1325" s="266">
        <f>IFERROR(VLOOKUP(B1325,'Сырьё'!$C$6:$E$233,3,FALSE()),IFERROR(VLOOKUP(B1325,'Полупродукты'!$C$6:$E$60,3,FALSE()),0))</f>
        <v>2.337</v>
      </c>
      <c r="F1325" s="266">
        <f t="shared" si="1"/>
        <v>0.012890892</v>
      </c>
      <c r="G1325" s="1">
        <v>0.0</v>
      </c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ht="15.0" customHeight="1">
      <c r="A1326" s="1" t="s">
        <v>383</v>
      </c>
      <c r="B1326" s="1" t="s">
        <v>571</v>
      </c>
      <c r="C1326" s="1">
        <v>0.00515</v>
      </c>
      <c r="D1326" s="1" t="s">
        <v>1428</v>
      </c>
      <c r="E1326" s="266">
        <f>IFERROR(VLOOKUP(B1326,'Сырьё'!$C$6:$E$233,3,FALSE()),IFERROR(VLOOKUP(B1326,'Полупродукты'!$C$6:$E$60,3,FALSE()),0))</f>
        <v>14.556</v>
      </c>
      <c r="F1326" s="266">
        <f t="shared" si="1"/>
        <v>0.0749634</v>
      </c>
      <c r="G1326" s="1">
        <v>0.0</v>
      </c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ht="15.0" customHeight="1">
      <c r="A1327" s="1" t="s">
        <v>383</v>
      </c>
      <c r="B1327" s="1" t="s">
        <v>585</v>
      </c>
      <c r="C1327" s="1">
        <v>0.008446</v>
      </c>
      <c r="D1327" s="1" t="s">
        <v>3598</v>
      </c>
      <c r="E1327" s="266">
        <f>IFERROR(VLOOKUP(B1327,'Сырьё'!$C$6:$E$233,3,FALSE()),IFERROR(VLOOKUP(B1327,'Полупродукты'!$C$6:$E$60,3,FALSE()),0))</f>
        <v>6.9052</v>
      </c>
      <c r="F1327" s="266">
        <f t="shared" si="1"/>
        <v>0.0583213192</v>
      </c>
      <c r="G1327" s="1">
        <v>0.0</v>
      </c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ht="15.0" customHeight="1">
      <c r="A1328" s="1" t="s">
        <v>589</v>
      </c>
      <c r="B1328" s="1" t="s">
        <v>589</v>
      </c>
      <c r="C1328" s="1">
        <v>1.0</v>
      </c>
      <c r="D1328" s="1" t="s">
        <v>3599</v>
      </c>
      <c r="E1328" s="266">
        <f>IFERROR(VLOOKUP(B1328,'Сырьё'!$C$6:$E$233,3,FALSE()),IFERROR(VLOOKUP(B1328,'Полупродукты'!$C$6:$E$60,3,FALSE()),0))</f>
        <v>0</v>
      </c>
      <c r="F1328" s="266">
        <f t="shared" si="1"/>
        <v>0</v>
      </c>
      <c r="G1328" s="1">
        <v>0.0</v>
      </c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ht="15.0" customHeight="1">
      <c r="A1329" s="1" t="s">
        <v>381</v>
      </c>
      <c r="B1329" s="1" t="s">
        <v>567</v>
      </c>
      <c r="C1329" s="1">
        <v>0.136912</v>
      </c>
      <c r="D1329" s="1" t="s">
        <v>3600</v>
      </c>
      <c r="E1329" s="266">
        <f>IFERROR(VLOOKUP(B1329,'Сырьё'!$C$6:$E$233,3,FALSE()),IFERROR(VLOOKUP(B1329,'Полупродукты'!$C$6:$E$60,3,FALSE()),0))</f>
        <v>0</v>
      </c>
      <c r="F1329" s="266">
        <f t="shared" si="1"/>
        <v>0</v>
      </c>
      <c r="G1329" s="1">
        <v>0.0</v>
      </c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ht="15.0" customHeight="1">
      <c r="A1330" s="1" t="s">
        <v>381</v>
      </c>
      <c r="B1330" s="1" t="s">
        <v>550</v>
      </c>
      <c r="C1330" s="1">
        <v>0.073975</v>
      </c>
      <c r="D1330" s="1" t="s">
        <v>3601</v>
      </c>
      <c r="E1330" s="266">
        <f>IFERROR(VLOOKUP(B1330,'Сырьё'!$C$6:$E$233,3,FALSE()),IFERROR(VLOOKUP(B1330,'Полупродукты'!$C$6:$E$60,3,FALSE()),0))</f>
        <v>0</v>
      </c>
      <c r="F1330" s="266">
        <f t="shared" si="1"/>
        <v>0</v>
      </c>
      <c r="G1330" s="1">
        <v>0.0</v>
      </c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ht="15.0" customHeight="1">
      <c r="A1331" s="1" t="s">
        <v>381</v>
      </c>
      <c r="B1331" s="1" t="s">
        <v>594</v>
      </c>
      <c r="C1331" s="1">
        <v>0.287258</v>
      </c>
      <c r="D1331" s="1" t="s">
        <v>2664</v>
      </c>
      <c r="E1331" s="266">
        <f>IFERROR(VLOOKUP(B1331,'Сырьё'!$C$6:$E$233,3,FALSE()),IFERROR(VLOOKUP(B1331,'Полупродукты'!$C$6:$E$60,3,FALSE()),0))</f>
        <v>1.7145</v>
      </c>
      <c r="F1331" s="266">
        <f t="shared" si="1"/>
        <v>0.492503841</v>
      </c>
      <c r="G1331" s="1">
        <v>0.0</v>
      </c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ht="15.0" customHeight="1">
      <c r="A1332" s="1" t="s">
        <v>381</v>
      </c>
      <c r="B1332" s="1" t="s">
        <v>579</v>
      </c>
      <c r="C1332" s="1">
        <v>0.2075</v>
      </c>
      <c r="D1332" s="1" t="s">
        <v>3602</v>
      </c>
      <c r="E1332" s="266">
        <f>IFERROR(VLOOKUP(B1332,'Сырьё'!$C$6:$E$233,3,FALSE()),IFERROR(VLOOKUP(B1332,'Полупродукты'!$C$6:$E$60,3,FALSE()),0))</f>
        <v>1.2831</v>
      </c>
      <c r="F1332" s="266">
        <f t="shared" si="1"/>
        <v>0.26624325</v>
      </c>
      <c r="G1332" s="1">
        <v>0.0</v>
      </c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ht="15.0" customHeight="1">
      <c r="A1333" s="1" t="s">
        <v>381</v>
      </c>
      <c r="B1333" s="1" t="s">
        <v>593</v>
      </c>
      <c r="C1333" s="1">
        <v>0.145651</v>
      </c>
      <c r="D1333" s="1" t="s">
        <v>3603</v>
      </c>
      <c r="E1333" s="266">
        <f>IFERROR(VLOOKUP(B1333,'Сырьё'!$C$6:$E$233,3,FALSE()),IFERROR(VLOOKUP(B1333,'Полупродукты'!$C$6:$E$60,3,FALSE()),0))</f>
        <v>1.6575</v>
      </c>
      <c r="F1333" s="266">
        <f t="shared" si="1"/>
        <v>0.2414165325</v>
      </c>
      <c r="G1333" s="1">
        <v>0.0</v>
      </c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ht="15.0" customHeight="1">
      <c r="A1334" s="1" t="s">
        <v>381</v>
      </c>
      <c r="B1334" s="1" t="s">
        <v>570</v>
      </c>
      <c r="C1334" s="1">
        <v>0.036555</v>
      </c>
      <c r="D1334" s="1" t="s">
        <v>3604</v>
      </c>
      <c r="E1334" s="266">
        <f>IFERROR(VLOOKUP(B1334,'Сырьё'!$C$6:$E$233,3,FALSE()),IFERROR(VLOOKUP(B1334,'Полупродукты'!$C$6:$E$60,3,FALSE()),0))</f>
        <v>3.3046</v>
      </c>
      <c r="F1334" s="266">
        <f t="shared" si="1"/>
        <v>0.120799653</v>
      </c>
      <c r="G1334" s="1">
        <v>0.0</v>
      </c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ht="15.0" customHeight="1">
      <c r="A1335" s="1" t="s">
        <v>381</v>
      </c>
      <c r="B1335" s="1" t="s">
        <v>569</v>
      </c>
      <c r="C1335" s="1">
        <v>0.027748</v>
      </c>
      <c r="D1335" s="1" t="s">
        <v>3605</v>
      </c>
      <c r="E1335" s="266">
        <f>IFERROR(VLOOKUP(B1335,'Сырьё'!$C$6:$E$233,3,FALSE()),IFERROR(VLOOKUP(B1335,'Полупродукты'!$C$6:$E$60,3,FALSE()),0))</f>
        <v>3.2853</v>
      </c>
      <c r="F1335" s="266">
        <f t="shared" si="1"/>
        <v>0.0911605044</v>
      </c>
      <c r="G1335" s="1">
        <v>0.0</v>
      </c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ht="15.0" customHeight="1">
      <c r="A1336" s="1" t="s">
        <v>381</v>
      </c>
      <c r="B1336" s="1" t="s">
        <v>591</v>
      </c>
      <c r="C1336" s="1">
        <v>0.015651</v>
      </c>
      <c r="D1336" s="1" t="s">
        <v>3606</v>
      </c>
      <c r="E1336" s="266">
        <f>IFERROR(VLOOKUP(B1336,'Сырьё'!$C$6:$E$233,3,FALSE()),IFERROR(VLOOKUP(B1336,'Полупродукты'!$C$6:$E$60,3,FALSE()),0))</f>
        <v>1.9734</v>
      </c>
      <c r="F1336" s="266">
        <f t="shared" si="1"/>
        <v>0.0308856834</v>
      </c>
      <c r="G1336" s="1">
        <v>0.0</v>
      </c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ht="15.0" customHeight="1">
      <c r="A1337" s="1" t="s">
        <v>381</v>
      </c>
      <c r="B1337" s="1" t="s">
        <v>532</v>
      </c>
      <c r="C1337" s="1">
        <v>0.005516</v>
      </c>
      <c r="D1337" s="1" t="s">
        <v>3607</v>
      </c>
      <c r="E1337" s="266">
        <f>IFERROR(VLOOKUP(B1337,'Сырьё'!$C$6:$E$233,3,FALSE()),IFERROR(VLOOKUP(B1337,'Полупродукты'!$C$6:$E$60,3,FALSE()),0))</f>
        <v>2.337</v>
      </c>
      <c r="F1337" s="266">
        <f t="shared" si="1"/>
        <v>0.012890892</v>
      </c>
      <c r="G1337" s="1">
        <v>0.0</v>
      </c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ht="15.0" customHeight="1">
      <c r="A1338" s="1" t="s">
        <v>381</v>
      </c>
      <c r="B1338" s="1" t="s">
        <v>520</v>
      </c>
      <c r="C1338" s="1">
        <v>5.38E-4</v>
      </c>
      <c r="D1338" s="1" t="s">
        <v>3608</v>
      </c>
      <c r="E1338" s="266">
        <f>IFERROR(VLOOKUP(B1338,'Сырьё'!$C$6:$E$233,3,FALSE()),IFERROR(VLOOKUP(B1338,'Полупродукты'!$C$6:$E$60,3,FALSE()),0))</f>
        <v>30.1527</v>
      </c>
      <c r="F1338" s="266">
        <f t="shared" si="1"/>
        <v>0.0162221526</v>
      </c>
      <c r="G1338" s="1">
        <v>0.0</v>
      </c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ht="15.0" customHeight="1">
      <c r="A1339" s="1" t="s">
        <v>381</v>
      </c>
      <c r="B1339" s="1" t="s">
        <v>549</v>
      </c>
      <c r="C1339" s="1">
        <v>0.059225</v>
      </c>
      <c r="D1339" s="1" t="s">
        <v>3609</v>
      </c>
      <c r="E1339" s="266">
        <f>IFERROR(VLOOKUP(B1339,'Сырьё'!$C$6:$E$233,3,FALSE()),IFERROR(VLOOKUP(B1339,'Полупродукты'!$C$6:$E$60,3,FALSE()),0))</f>
        <v>6.519</v>
      </c>
      <c r="F1339" s="266">
        <f t="shared" si="1"/>
        <v>0.386087775</v>
      </c>
      <c r="G1339" s="1">
        <v>0.0</v>
      </c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ht="15.0" customHeight="1">
      <c r="A1340" s="1" t="s">
        <v>381</v>
      </c>
      <c r="B1340" s="1" t="s">
        <v>522</v>
      </c>
      <c r="C1340" s="1">
        <v>0.051439</v>
      </c>
      <c r="D1340" s="1" t="s">
        <v>976</v>
      </c>
      <c r="E1340" s="266">
        <f>IFERROR(VLOOKUP(B1340,'Сырьё'!$C$6:$E$233,3,FALSE()),IFERROR(VLOOKUP(B1340,'Полупродукты'!$C$6:$E$60,3,FALSE()),0))</f>
        <v>3.7834</v>
      </c>
      <c r="F1340" s="266">
        <f t="shared" si="1"/>
        <v>0.1946143126</v>
      </c>
      <c r="G1340" s="1">
        <v>0.0</v>
      </c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ht="15.0" customHeight="1">
      <c r="A1341" s="1" t="s">
        <v>726</v>
      </c>
      <c r="B1341" s="1" t="s">
        <v>579</v>
      </c>
      <c r="C1341" s="1">
        <v>0.515</v>
      </c>
      <c r="D1341" s="1" t="s">
        <v>2110</v>
      </c>
      <c r="E1341" s="266">
        <f>IFERROR(VLOOKUP(B1341,'Сырьё'!$C$6:$E$233,3,FALSE()),IFERROR(VLOOKUP(B1341,'Полупродукты'!$C$6:$E$60,3,FALSE()),0))</f>
        <v>1.2831</v>
      </c>
      <c r="F1341" s="266">
        <f t="shared" si="1"/>
        <v>0.6607965</v>
      </c>
      <c r="G1341" s="1">
        <v>0.0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ht="15.0" customHeight="1">
      <c r="A1342" s="1" t="s">
        <v>726</v>
      </c>
      <c r="B1342" s="1" t="s">
        <v>539</v>
      </c>
      <c r="C1342" s="1">
        <v>0.515</v>
      </c>
      <c r="D1342" s="1" t="s">
        <v>2112</v>
      </c>
      <c r="E1342" s="266">
        <f>IFERROR(VLOOKUP(B1342,'Сырьё'!$C$6:$E$233,3,FALSE()),IFERROR(VLOOKUP(B1342,'Полупродукты'!$C$6:$E$60,3,FALSE()),0))</f>
        <v>3.2337</v>
      </c>
      <c r="F1342" s="266">
        <f t="shared" si="1"/>
        <v>1.6653555</v>
      </c>
      <c r="G1342" s="1">
        <v>0.0</v>
      </c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ht="15.0" customHeight="1">
      <c r="A1343" s="1" t="s">
        <v>647</v>
      </c>
      <c r="B1343" s="1" t="s">
        <v>434</v>
      </c>
      <c r="C1343" s="1">
        <v>0.721</v>
      </c>
      <c r="D1343" s="1" t="s">
        <v>1568</v>
      </c>
      <c r="E1343" s="266">
        <f>IFERROR(VLOOKUP(B1343,'Сырьё'!$C$6:$E$233,3,FALSE()),IFERROR(VLOOKUP(B1343,'Полупродукты'!$C$6:$E$60,3,FALSE()),0))</f>
        <v>5.6324</v>
      </c>
      <c r="F1343" s="266">
        <f t="shared" si="1"/>
        <v>4.0609604</v>
      </c>
      <c r="G1343" s="1">
        <v>1.0</v>
      </c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ht="15.0" customHeight="1">
      <c r="A1344" s="1" t="s">
        <v>647</v>
      </c>
      <c r="B1344" s="1" t="s">
        <v>570</v>
      </c>
      <c r="C1344" s="1">
        <v>0.155643</v>
      </c>
      <c r="D1344" s="1" t="s">
        <v>3610</v>
      </c>
      <c r="E1344" s="266">
        <f>IFERROR(VLOOKUP(B1344,'Сырьё'!$C$6:$E$233,3,FALSE()),IFERROR(VLOOKUP(B1344,'Полупродукты'!$C$6:$E$60,3,FALSE()),0))</f>
        <v>3.3046</v>
      </c>
      <c r="F1344" s="266">
        <f t="shared" si="1"/>
        <v>0.5143378578</v>
      </c>
      <c r="G1344" s="1">
        <v>0.0</v>
      </c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ht="15.0" customHeight="1">
      <c r="A1345" s="1" t="s">
        <v>647</v>
      </c>
      <c r="B1345" s="1" t="s">
        <v>594</v>
      </c>
      <c r="C1345" s="1">
        <v>0.124527</v>
      </c>
      <c r="D1345" s="1" t="s">
        <v>3611</v>
      </c>
      <c r="E1345" s="266">
        <f>IFERROR(VLOOKUP(B1345,'Сырьё'!$C$6:$E$233,3,FALSE()),IFERROR(VLOOKUP(B1345,'Полупродукты'!$C$6:$E$60,3,FALSE()),0))</f>
        <v>1.7145</v>
      </c>
      <c r="F1345" s="266">
        <f t="shared" si="1"/>
        <v>0.2135015415</v>
      </c>
      <c r="G1345" s="1">
        <v>0.0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ht="15.0" customHeight="1">
      <c r="A1346" s="1" t="s">
        <v>647</v>
      </c>
      <c r="B1346" s="1" t="s">
        <v>579</v>
      </c>
      <c r="C1346" s="1">
        <v>0.015527</v>
      </c>
      <c r="D1346" s="1" t="s">
        <v>3612</v>
      </c>
      <c r="E1346" s="266">
        <f>IFERROR(VLOOKUP(B1346,'Сырьё'!$C$6:$E$233,3,FALSE()),IFERROR(VLOOKUP(B1346,'Полупродукты'!$C$6:$E$60,3,FALSE()),0))</f>
        <v>1.2831</v>
      </c>
      <c r="F1346" s="266">
        <f t="shared" si="1"/>
        <v>0.0199226937</v>
      </c>
      <c r="G1346" s="1">
        <v>0.0</v>
      </c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ht="15.0" customHeight="1">
      <c r="A1347" s="1" t="s">
        <v>647</v>
      </c>
      <c r="B1347" s="1" t="s">
        <v>591</v>
      </c>
      <c r="C1347" s="1">
        <v>0.015527</v>
      </c>
      <c r="D1347" s="1" t="s">
        <v>3613</v>
      </c>
      <c r="E1347" s="266">
        <f>IFERROR(VLOOKUP(B1347,'Сырьё'!$C$6:$E$233,3,FALSE()),IFERROR(VLOOKUP(B1347,'Полупродукты'!$C$6:$E$60,3,FALSE()),0))</f>
        <v>1.9734</v>
      </c>
      <c r="F1347" s="266">
        <f t="shared" si="1"/>
        <v>0.0306409818</v>
      </c>
      <c r="G1347" s="1">
        <v>0.0</v>
      </c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ht="15.0" customHeight="1">
      <c r="A1348" s="1" t="s">
        <v>647</v>
      </c>
      <c r="B1348" s="1" t="s">
        <v>522</v>
      </c>
      <c r="C1348" s="1">
        <v>1.32E-4</v>
      </c>
      <c r="D1348" s="1" t="s">
        <v>3614</v>
      </c>
      <c r="E1348" s="266">
        <f>IFERROR(VLOOKUP(B1348,'Сырьё'!$C$6:$E$233,3,FALSE()),IFERROR(VLOOKUP(B1348,'Полупродукты'!$C$6:$E$60,3,FALSE()),0))</f>
        <v>3.7834</v>
      </c>
      <c r="F1348" s="266">
        <f t="shared" si="1"/>
        <v>0.0004994088</v>
      </c>
      <c r="G1348" s="1">
        <v>0.0</v>
      </c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ht="15.0" customHeight="1">
      <c r="A1349" s="1" t="s">
        <v>435</v>
      </c>
      <c r="B1349" s="1" t="s">
        <v>435</v>
      </c>
      <c r="C1349" s="1">
        <v>1.0</v>
      </c>
      <c r="D1349" s="1" t="s">
        <v>3615</v>
      </c>
      <c r="E1349" s="266">
        <f>IFERROR(VLOOKUP(B1349,'Сырьё'!$C$6:$E$233,3,FALSE()),IFERROR(VLOOKUP(B1349,'Полупродукты'!$C$6:$E$60,3,FALSE()),0))</f>
        <v>4.42</v>
      </c>
      <c r="F1349" s="266">
        <f t="shared" si="1"/>
        <v>4.42</v>
      </c>
      <c r="G1349" s="1">
        <v>1.0</v>
      </c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ht="15.0" customHeight="1">
      <c r="A1350" s="1" t="s">
        <v>748</v>
      </c>
      <c r="B1350" s="1" t="s">
        <v>594</v>
      </c>
      <c r="C1350" s="1">
        <v>0.206</v>
      </c>
      <c r="D1350" s="1" t="s">
        <v>2073</v>
      </c>
      <c r="E1350" s="266">
        <f>IFERROR(VLOOKUP(B1350,'Сырьё'!$C$6:$E$233,3,FALSE()),IFERROR(VLOOKUP(B1350,'Полупродукты'!$C$6:$E$60,3,FALSE()),0))</f>
        <v>1.7145</v>
      </c>
      <c r="F1350" s="266">
        <f t="shared" si="1"/>
        <v>0.353187</v>
      </c>
      <c r="G1350" s="1">
        <v>0.0</v>
      </c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ht="15.0" customHeight="1">
      <c r="A1351" s="1" t="s">
        <v>748</v>
      </c>
      <c r="B1351" s="1" t="s">
        <v>579</v>
      </c>
      <c r="C1351" s="1">
        <v>0.3399</v>
      </c>
      <c r="D1351" s="1" t="s">
        <v>2075</v>
      </c>
      <c r="E1351" s="266">
        <f>IFERROR(VLOOKUP(B1351,'Сырьё'!$C$6:$E$233,3,FALSE()),IFERROR(VLOOKUP(B1351,'Полупродукты'!$C$6:$E$60,3,FALSE()),0))</f>
        <v>1.2831</v>
      </c>
      <c r="F1351" s="266">
        <f t="shared" si="1"/>
        <v>0.43612569</v>
      </c>
      <c r="G1351" s="1">
        <v>0.0</v>
      </c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ht="15.0" customHeight="1">
      <c r="A1352" s="1" t="s">
        <v>748</v>
      </c>
      <c r="B1352" s="1" t="s">
        <v>593</v>
      </c>
      <c r="C1352" s="1">
        <v>0.1545</v>
      </c>
      <c r="D1352" s="1" t="s">
        <v>2077</v>
      </c>
      <c r="E1352" s="266">
        <f>IFERROR(VLOOKUP(B1352,'Сырьё'!$C$6:$E$233,3,FALSE()),IFERROR(VLOOKUP(B1352,'Полупродукты'!$C$6:$E$60,3,FALSE()),0))</f>
        <v>1.6575</v>
      </c>
      <c r="F1352" s="266">
        <f t="shared" si="1"/>
        <v>0.25608375</v>
      </c>
      <c r="G1352" s="1">
        <v>0.0</v>
      </c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ht="15.0" customHeight="1">
      <c r="A1353" s="1" t="s">
        <v>748</v>
      </c>
      <c r="B1353" s="1" t="s">
        <v>585</v>
      </c>
      <c r="C1353" s="1">
        <v>0.1236</v>
      </c>
      <c r="D1353" s="1" t="s">
        <v>2079</v>
      </c>
      <c r="E1353" s="266">
        <f>IFERROR(VLOOKUP(B1353,'Сырьё'!$C$6:$E$233,3,FALSE()),IFERROR(VLOOKUP(B1353,'Полупродукты'!$C$6:$E$60,3,FALSE()),0))</f>
        <v>6.9052</v>
      </c>
      <c r="F1353" s="266">
        <f t="shared" si="1"/>
        <v>0.85348272</v>
      </c>
      <c r="G1353" s="1">
        <v>0.0</v>
      </c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ht="15.0" customHeight="1">
      <c r="A1354" s="1" t="s">
        <v>748</v>
      </c>
      <c r="B1354" s="1" t="s">
        <v>566</v>
      </c>
      <c r="C1354" s="1">
        <v>0.206</v>
      </c>
      <c r="D1354" s="1" t="s">
        <v>2081</v>
      </c>
      <c r="E1354" s="266">
        <f>IFERROR(VLOOKUP(B1354,'Сырьё'!$C$6:$E$233,3,FALSE()),IFERROR(VLOOKUP(B1354,'Полупродукты'!$C$6:$E$60,3,FALSE()),0))</f>
        <v>0</v>
      </c>
      <c r="F1354" s="266">
        <f t="shared" si="1"/>
        <v>0</v>
      </c>
      <c r="G1354" s="1">
        <v>0.0</v>
      </c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ht="15.0" customHeight="1">
      <c r="A1355" s="1" t="s">
        <v>710</v>
      </c>
      <c r="B1355" s="1" t="s">
        <v>579</v>
      </c>
      <c r="C1355" s="1">
        <v>0.2163</v>
      </c>
      <c r="D1355" s="1" t="s">
        <v>3616</v>
      </c>
      <c r="E1355" s="266">
        <f>IFERROR(VLOOKUP(B1355,'Сырьё'!$C$6:$E$233,3,FALSE()),IFERROR(VLOOKUP(B1355,'Полупродукты'!$C$6:$E$60,3,FALSE()),0))</f>
        <v>1.2831</v>
      </c>
      <c r="F1355" s="266">
        <f t="shared" si="1"/>
        <v>0.27753453</v>
      </c>
      <c r="G1355" s="1">
        <v>0.0</v>
      </c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ht="15.0" customHeight="1">
      <c r="A1356" s="1" t="s">
        <v>710</v>
      </c>
      <c r="B1356" s="1" t="s">
        <v>594</v>
      </c>
      <c r="C1356" s="1">
        <v>0.3193</v>
      </c>
      <c r="D1356" s="1" t="s">
        <v>3617</v>
      </c>
      <c r="E1356" s="266">
        <f>IFERROR(VLOOKUP(B1356,'Сырьё'!$C$6:$E$233,3,FALSE()),IFERROR(VLOOKUP(B1356,'Полупродукты'!$C$6:$E$60,3,FALSE()),0))</f>
        <v>1.7145</v>
      </c>
      <c r="F1356" s="266">
        <f t="shared" si="1"/>
        <v>0.54743985</v>
      </c>
      <c r="G1356" s="1">
        <v>0.0</v>
      </c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ht="15.0" customHeight="1">
      <c r="A1357" s="1" t="s">
        <v>710</v>
      </c>
      <c r="B1357" s="1" t="s">
        <v>593</v>
      </c>
      <c r="C1357" s="1">
        <v>0.1545</v>
      </c>
      <c r="D1357" s="1" t="s">
        <v>3618</v>
      </c>
      <c r="E1357" s="266">
        <f>IFERROR(VLOOKUP(B1357,'Сырьё'!$C$6:$E$233,3,FALSE()),IFERROR(VLOOKUP(B1357,'Полупродукты'!$C$6:$E$60,3,FALSE()),0))</f>
        <v>1.6575</v>
      </c>
      <c r="F1357" s="266">
        <f t="shared" si="1"/>
        <v>0.25608375</v>
      </c>
      <c r="G1357" s="1">
        <v>0.0</v>
      </c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ht="15.0" customHeight="1">
      <c r="A1358" s="1" t="s">
        <v>710</v>
      </c>
      <c r="B1358" s="1" t="s">
        <v>549</v>
      </c>
      <c r="C1358" s="1">
        <v>0.1133</v>
      </c>
      <c r="D1358" s="1" t="s">
        <v>3619</v>
      </c>
      <c r="E1358" s="266">
        <f>IFERROR(VLOOKUP(B1358,'Сырьё'!$C$6:$E$233,3,FALSE()),IFERROR(VLOOKUP(B1358,'Полупродукты'!$C$6:$E$60,3,FALSE()),0))</f>
        <v>6.519</v>
      </c>
      <c r="F1358" s="266">
        <f t="shared" si="1"/>
        <v>0.7386027</v>
      </c>
      <c r="G1358" s="1">
        <v>0.0</v>
      </c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ht="15.0" customHeight="1">
      <c r="A1359" s="1" t="s">
        <v>710</v>
      </c>
      <c r="B1359" s="1" t="s">
        <v>556</v>
      </c>
      <c r="C1359" s="1">
        <v>0.2266</v>
      </c>
      <c r="D1359" s="1" t="s">
        <v>3620</v>
      </c>
      <c r="E1359" s="266">
        <f>IFERROR(VLOOKUP(B1359,'Сырьё'!$C$6:$E$233,3,FALSE()),IFERROR(VLOOKUP(B1359,'Полупродукты'!$C$6:$E$60,3,FALSE()),0))</f>
        <v>5.6362</v>
      </c>
      <c r="F1359" s="266">
        <f t="shared" si="1"/>
        <v>1.27716292</v>
      </c>
      <c r="G1359" s="1">
        <v>0.0</v>
      </c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</sheetData>
  <printOptions/>
  <pageMargins bottom="1.0" footer="0.0" header="0.0" left="0.75" right="0.75" top="1.0"/>
  <pageSetup paperSize="9" orientation="portrait"/>
  <drawing r:id="rId1"/>
</worksheet>
</file>