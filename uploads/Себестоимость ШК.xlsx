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18.xml"/>
  <Override ContentType="application/vnd.ms-excel.documenttasks+xml" PartName="/xl/documenttasks/documenttask8.xml"/>
  <Override ContentType="application/vnd.ms-excel.documenttasks+xml" PartName="/xl/documenttasks/documenttask11.xml"/>
  <Override ContentType="application/vnd.ms-excel.documenttasks+xml" PartName="/xl/documenttasks/documenttask5.xml"/>
  <Override ContentType="application/vnd.ms-excel.documenttasks+xml" PartName="/xl/documenttasks/documenttask13.xml"/>
  <Override ContentType="application/vnd.ms-excel.documenttasks+xml" PartName="/xl/documenttasks/documenttask6.xml"/>
  <Override ContentType="application/vnd.ms-excel.documenttasks+xml" PartName="/xl/documenttasks/documenttask16.xml"/>
  <Override ContentType="application/vnd.ms-excel.documenttasks+xml" PartName="/xl/documenttasks/documenttask1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17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14.xml"/>
  <Override ContentType="application/vnd.ms-excel.documenttasks+xml" PartName="/xl/documenttasks/documenttask12.xml"/>
  <Override ContentType="application/vnd.ms-excel.documenttasks+xml" PartName="/xl/documenttasks/documenttask15.xml"/>
  <Override ContentType="application/vnd.ms-excel.documenttasks+xml" PartName="/xl/documenttasks/documenttask10.xml"/>
  <Override ContentType="application/vnd.ms-excel.documenttasks+xml" PartName="/xl/documenttasks/documenttask19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5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12.xml"/>
  <Override ContentType="application/vnd.ms-excel.threadedcomments+xml" PartName="/xl/threadedComments/threadedComment6.xml"/>
  <Override ContentType="application/vnd.ms-excel.threadedcomments+xml" PartName="/xl/threadedComments/threadedComment13.xml"/>
  <Override ContentType="application/vnd.ms-excel.threadedcomments+xml" PartName="/xl/threadedComments/threadedComment1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ms-excel.threadedcomments+xml" PartName="/xl/threadedComments/threadedComment16.xml"/>
  <Override ContentType="application/vnd.ms-excel.threadedcomments+xml" PartName="/xl/threadedComments/threadedComment7.xml"/>
  <Override ContentType="application/vnd.ms-excel.threadedcomments+xml" PartName="/xl/threadedComments/threadedComment14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19.xml"/>
  <Override ContentType="application/vnd.ms-excel.threadedcomments+xml" PartName="/xl/threadedComments/threadedComment17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овы" sheetId="1" r:id="rId5"/>
    <sheet state="visible" name="Курс валют" sheetId="2" r:id="rId6"/>
    <sheet state="visible" name="Формула Среднего" sheetId="3" r:id="rId7"/>
    <sheet state="visible" name="Июнь 2026" sheetId="4" r:id="rId8"/>
    <sheet state="visible" name="Май 2026" sheetId="5" r:id="rId9"/>
    <sheet state="visible" name="Апрель 2026" sheetId="6" r:id="rId10"/>
    <sheet state="visible" name="Март 2026" sheetId="7" r:id="rId11"/>
    <sheet state="visible" name="Февраль 2026" sheetId="8" r:id="rId12"/>
    <sheet state="visible" name="Январь 2026" sheetId="9" r:id="rId13"/>
    <sheet state="visible" name="Декабрь 2025" sheetId="10" r:id="rId14"/>
    <sheet state="visible" name="Ноябрь 2025" sheetId="11" r:id="rId15"/>
    <sheet state="visible" name="СС" sheetId="12" r:id="rId16"/>
    <sheet state="visible" name="Октябрь 2025" sheetId="13" r:id="rId17"/>
    <sheet state="visible" name="Сентябрь 2025" sheetId="14" r:id="rId18"/>
    <sheet state="visible" name="Август 2025" sheetId="15" r:id="rId19"/>
    <sheet state="visible" name="Июль 2025" sheetId="16" r:id="rId20"/>
    <sheet state="visible" name="Июнь 2025" sheetId="17" r:id="rId21"/>
    <sheet state="visible" name="Май 2025" sheetId="18" r:id="rId22"/>
    <sheet state="visible" name="Апрель 2025" sheetId="19" r:id="rId23"/>
    <sheet state="visible" name="Март 2025" sheetId="20" r:id="rId24"/>
    <sheet state="visible" name="Февраль 2025 " sheetId="21" r:id="rId25"/>
    <sheet state="visible" name="Январь 2025" sheetId="22" r:id="rId26"/>
    <sheet state="visible" name="Декабрь 2024" sheetId="23" r:id="rId27"/>
    <sheet state="visible" name="Ноябрь 2024" sheetId="24" r:id="rId28"/>
    <sheet state="visible" name="Октябрь 2024" sheetId="25" r:id="rId29"/>
    <sheet state="visible" name="Сентябрь 2024" sheetId="26" r:id="rId30"/>
  </sheets>
  <definedNames>
    <definedName hidden="1" localSheetId="2" name="_xlnm._FilterDatabase">'Формула Среднего'!$A$1:$V$131</definedName>
    <definedName hidden="1" localSheetId="3" name="_xlnm._FilterDatabase">'Июнь 2026'!$A$1:$AA$972</definedName>
    <definedName hidden="1" localSheetId="4" name="_xlnm._FilterDatabase">'Май 2026'!$A$1:$AA$972</definedName>
    <definedName hidden="1" localSheetId="5" name="_xlnm._FilterDatabase">'Апрель 2026'!$A$1:$AA$964</definedName>
    <definedName hidden="1" localSheetId="6" name="_xlnm._FilterDatabase">'Март 2026'!$A$1:$AA$340</definedName>
    <definedName hidden="1" localSheetId="7" name="_xlnm._FilterDatabase">'Февраль 2026'!$A$1:$AA$967</definedName>
    <definedName hidden="1" localSheetId="8" name="_xlnm._FilterDatabase">'Январь 2026'!$A$1:$AA$965</definedName>
    <definedName hidden="1" localSheetId="9" name="_xlnm._FilterDatabase">'Декабрь 2025'!$A$1:$AA$965</definedName>
    <definedName hidden="1" localSheetId="10" name="_xlnm._FilterDatabase">'Ноябрь 2025'!$A$1:$AA$968</definedName>
    <definedName hidden="1" localSheetId="12" name="_xlnm._FilterDatabase">'Октябрь 2025'!$A$1:$AA$968</definedName>
    <definedName hidden="1" localSheetId="13" name="_xlnm._FilterDatabase">'Сентябрь 2025'!$A$1:$AA$968</definedName>
    <definedName hidden="1" localSheetId="14" name="_xlnm._FilterDatabase">'Август 2025'!$A$1:$AA$968</definedName>
    <definedName hidden="1" localSheetId="15" name="_xlnm._FilterDatabase">'Июль 2025'!$A$1:$AA$968</definedName>
    <definedName hidden="1" localSheetId="16" name="_xlnm._FilterDatabase">'Июнь 2025'!$A$1:$T$84</definedName>
    <definedName hidden="1" localSheetId="17" name="_xlnm._FilterDatabase">'Май 2025'!$A$1:$T$83</definedName>
    <definedName hidden="1" localSheetId="18" name="_xlnm._FilterDatabase">'Апрель 2025'!$A$1:$T$84</definedName>
    <definedName hidden="1" localSheetId="19" name="_xlnm._FilterDatabase">'Март 2025'!$A$1:$T$964</definedName>
    <definedName hidden="1" localSheetId="20" name="_xlnm._FilterDatabase">'Февраль 2025 '!$A$1:$P$962</definedName>
    <definedName hidden="1" localSheetId="21" name="_xlnm._FilterDatabase">'Январь 2025'!$A$1:$P$964</definedName>
    <definedName hidden="1" localSheetId="22" name="_xlnm._FilterDatabase">'Декабрь 2024'!$A$1:$P$963</definedName>
    <definedName hidden="1" localSheetId="23" name="_xlnm._FilterDatabase">'Ноябрь 2024'!$A$1:$P$959</definedName>
    <definedName hidden="1" localSheetId="24" name="_xlnm._FilterDatabase">'Октябрь 2024'!$A$1:$P$958</definedName>
    <definedName hidden="1" localSheetId="25" name="_xlnm._FilterDatabase">'Сентябрь 2024'!$E$1:$E$957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tc={a5283293-123f-4c73-a6ec-ee4a1a0ae8e9}</author>
    <author>tc={b3fb8f0a-b607-4d13-9e00-543a78891448}</author>
    <author>tc={b6a6abcc-d069-4ff0-a119-71fd3cef96d8}</author>
    <author>tc={d988fd3d-3e3f-4e50-81a1-73bae3ea4c1c}</author>
    <author>tc={f52552f2-d8b7-4e5f-b6e1-025a617fc6f6}</author>
  </authors>
  <commentList>
    <comment authorId="0" xr:uid="{a5283293-123f-4c73-a6ec-ee4a1a0ae8e9}" ref="E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PREPOLYMER HC-8419V от SHANGHAI HECHENG POLYMER TECHNOLOGY CO.,LTD. по цене 36 юаней
</t>
      </text>
    </comment>
    <comment authorId="1" xr:uid="{b3fb8f0a-b607-4d13-9e00-543a78891448}" ref="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SHANGHAI FUJIA FINE CHEMICAL CO., LTD полиол Д220 по цене 9,8 юаней
</t>
      </text>
    </comment>
    <comment authorId="2" xr:uid="{b6a6abcc-d069-4ff0-a119-71fd3cef96d8}" ref="E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SHANGHAI FUJIA FINE CHEMICAL CO., LTD полиол Д220 по цене 8,45 юаней
</t>
      </text>
    </comment>
    <comment authorId="3" xr:uid="{d988fd3d-3e3f-4e50-81a1-73bae3ea4c1c}" ref="E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PREPOLYMER Madisonol P5191 от POLYWIN Chemical Shanghai Limited по цене 23,36 юанекй
</t>
      </text>
    </comment>
    <comment authorId="4" xr:uid="{f52552f2-d8b7-4e5f-b6e1-025a617fc6f6}" ref="E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PREPOLYMER Polyurethane Binder от TOP Chemical Co. Ltd по цене 58 юаней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tc={8cac3952-9c2a-4e69-98b1-342236678339}</author>
    <author>tc={bc8693be-3bb9-45e4-a278-3a06aacaa45a}</author>
    <author>tc={e1dcfeac-3466-4799-847f-35ae5762e497}</author>
    <author>tc={f14b9bb8-5b5b-4de3-ae5b-ba777e70ba93}</author>
  </authors>
  <commentList>
    <comment authorId="0" xr:uid="{8cac3952-9c2a-4e69-98b1-342236678339}" ref="E1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д220 SHANGHAI FUJIA FINE CHEMICAL CO., LTD по цене 9,8 юаней
</t>
      </text>
    </comment>
    <comment authorId="1" xr:uid="{bc8693be-3bb9-45e4-a278-3a06aacaa45a}" ref="E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от Авис Кемикал по цене 29,91 юаней с НДС
</t>
      </text>
    </comment>
    <comment authorId="2" xr:uid="{e1dcfeac-3466-4799-847f-35ae5762e497}" ref="E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Д220 от Айронгрупп по цене 4,21 usd с НДС
</t>
      </text>
    </comment>
    <comment authorId="3" xr:uid="{f14b9bb8-5b5b-4de3-ae5b-ba777e70ba93}" ref="E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Wannate MDI 50-F (235kg/drum) Айронгрупп ООО по цене 4,21 usd c НДС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tc={23c61e77-7390-4682-a54f-24beea6eb961}</author>
    <author>tc={29dae2b4-8f4b-4414-9ad3-713510f59c9b}</author>
    <author>tc={445da152-f966-40e7-8753-1f82bf0ad813}</author>
    <author>tc={496770b0-da05-4f6d-9be4-5a6b77763c30}</author>
    <author>tc={55693aeb-068c-408e-871b-ed7258a37e23}</author>
    <author>tc={66214afa-cd7b-4650-9cdf-7c4fab3f0441}</author>
    <author>tc={84d19872-0b9f-4026-a2ae-b8d48cff3747}</author>
    <author>tc={918f3fbe-e18e-4148-9f90-15ff430be92f}</author>
    <author>tc={948ba18a-b74f-4215-88b5-3c803a92e6e7}</author>
    <author>tc={a3a935e2-7707-44cf-b76b-16b158111b2c}</author>
    <author>tc={ac0badb0-6fca-4fb1-ac28-a2ee1a5db2d4}</author>
    <author>tc={c4991ffa-d011-4659-95ce-3e21076670f2}</author>
    <author>tc={cb5cc562-a78c-439e-98dd-e4969d8915f7}</author>
    <author>tc={d2d24c0f-02d8-4279-9d56-5fe21578eef7}</author>
    <author>tc={d6a56b21-0a7e-480c-8bc9-43f4ea256ca0}</author>
    <author>tc={df50922a-c7d2-4d3e-abbc-9a640f080b0e}</author>
    <author>tc={ec8a48f8-4b01-4b57-863f-477554cada59}</author>
    <author>tc={f7c60c0c-f3a2-4f20-b6f8-dc43d47ef6b8}</author>
  </authors>
  <commentList>
    <comment authorId="0" xr:uid="{23c61e77-7390-4682-a54f-24beea6eb961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Лупранат Мипс покупали у Авис Кемикал, выросла цена - 29,91 юаней, было 27,88 юаней
</t>
      </text>
    </comment>
    <comment authorId="1" xr:uid="{29dae2b4-8f4b-4414-9ad3-713510f59c9b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Wannate MDI 50-F (235kg/drum) цена 4,21 usd
</t>
      </text>
    </comment>
    <comment authorId="2" xr:uid="{445da152-f966-40e7-8753-1f82bf0ad813}" ref="E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цена 29,91 юаней
</t>
      </text>
    </comment>
    <comment authorId="3" xr:uid="{496770b0-da05-4f6d-9be4-5a6b77763c30}" ref="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Лупранат Мипс покупали у Авис Кемикал, выросла цена - 29,91 юаней, было 27,88 юаней
</t>
      </text>
    </comment>
    <comment authorId="4" xr:uid="{55693aeb-068c-408e-871b-ed7258a37e23}" ref="E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цена 29,91 юаней
</t>
      </text>
    </comment>
    <comment authorId="5" xr:uid="{66214afa-cd7b-4650-9cdf-7c4fab3f0441}" ref="E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цена 29,91 юаней
</t>
      </text>
    </comment>
    <comment authorId="6" xr:uid="{84d19872-0b9f-4026-a2ae-b8d48cff3747}" ref="E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цена 29,91 юаней
</t>
      </text>
    </comment>
    <comment authorId="7" xr:uid="{918f3fbe-e18e-4148-9f90-15ff430be92f}" ref="E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цена 29,91 юаней
</t>
      </text>
    </comment>
    <comment authorId="8" xr:uid="{948ba18a-b74f-4215-88b5-3c803a92e6e7}" ref="E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Лупранат Мипс покупали у Авис Кемикал, выросла цена - 29,91 юаней, было 27,88 юаней
</t>
      </text>
    </comment>
    <comment authorId="9" xr:uid="{a3a935e2-7707-44cf-b76b-16b158111b2c}" ref="E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Лупранат Мипс покупали у Авис Кемикал, выросла цена - 29,91 юаней, было 27,88 юаней
</t>
      </text>
    </comment>
    <comment authorId="10" xr:uid="{ac0badb0-6fca-4fb1-ac28-a2ee1a5db2d4}" ref="E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цена 29,91 юаней
</t>
      </text>
    </comment>
    <comment authorId="11" xr:uid="{c4991ffa-d011-4659-95ce-3e21076670f2}" ref="E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д220 покупали у Qingdao Jiesisheng Chemical Trading Co., LTD цена 8,23 юаней,
Изоцианат Lupranate MIPS - 29,91 юаней
</t>
      </text>
    </comment>
    <comment authorId="12" xr:uid="{cb5cc562-a78c-439e-98dd-e4969d8915f7}" ref="E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Лупранат Мипс покупали у Авис Кемикал, выросла цена - 29,91 юаней, было 27,88 юаней
</t>
      </text>
    </comment>
    <comment authorId="13" xr:uid="{d2d24c0f-02d8-4279-9d56-5fe21578eef7}" ref="E1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цена 29,91 юаней
</t>
      </text>
    </comment>
    <comment authorId="14" xr:uid="{d6a56b21-0a7e-480c-8bc9-43f4ea256ca0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Лупранат Мипс покупали у Авис Кемикал, выросла цена - 29,91 юаней, было 27,88 юаней
</t>
      </text>
    </comment>
    <comment authorId="15" xr:uid="{df50922a-c7d2-4d3e-abbc-9a640f080b0e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Лупранат Мипс покупали у Авис Кемикал, выросла цена - 29,91 юаней, было 27,88 юаней
</t>
      </text>
    </comment>
    <comment authorId="16" xr:uid="{ec8a48f8-4b01-4b57-863f-477554cada59}" ref="E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цена 29,91 юаней
</t>
      </text>
    </comment>
    <comment authorId="17" xr:uid="{f7c60c0c-f3a2-4f20-b6f8-dc43d47ef6b8}" ref="E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Лупранат Мипс покупали у Авис Кемикал, выросла цена - 29,91 юаней, было 27,88 юаней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tc={002318b4-d9c6-4380-8e23-c2565372be8a}</author>
    <author>tc={0e811d82-e3f8-463e-adff-2413728f68d4}</author>
    <author>tc={22104d6d-1bde-4217-bf93-67b32a826b74}</author>
    <author>tc={47c7f330-3d7e-4eef-82ce-6b085f559f2a}</author>
    <author>tc={4d0e3006-1016-4bcf-bda4-e2a6418b1195}</author>
    <author>tc={513792e1-12bc-4deb-8c7c-bdb93154deed}</author>
    <author>tc={6f9bcf3c-38cf-4a63-a3f0-5f63b0b695f3}</author>
    <author>tc={7df607bb-bb29-4c4c-8635-112196ae605b}</author>
    <author>tc={9c58d9e8-98e2-47d8-8fe6-0f31f40b88b1}</author>
    <author>tc={a8dd793e-c4d1-446b-a82a-f11097dd460f}</author>
    <author>tc={b2d6ef26-d208-4420-b9d2-3cd7c1e0086c}</author>
    <author>tc={c6a2cdb3-ae56-4c3d-be98-ae89d81d7cf9}</author>
  </authors>
  <commentList>
    <comment authorId="0" xr:uid="{002318b4-d9c6-4380-8e23-c2565372be8a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Wannate MDI 50-F (235kg/drum), покупали у TOP Chemical Co. Ltd -цена 18 юаней
</t>
      </text>
    </comment>
    <comment authorId="1" xr:uid="{0e811d82-e3f8-463e-adff-2413728f68d4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Wannate MDI 50-F (235kg/drum), покупали у TOP Chemical Co. Ltd -цена 18 юаней
</t>
      </text>
    </comment>
    <comment authorId="2" xr:uid="{22104d6d-1bde-4217-bf93-67b32a826b74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 Изоцианат Wannate MDI 50-F (235kg/drum), покупали у Вальтер Хеми -цена 30,5 юаней
</t>
      </text>
    </comment>
    <comment authorId="3" xr:uid="{47c7f330-3d7e-4eef-82ce-6b085f559f2a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Lupranate MIPS, покупали у Авис Кемикал -цена 27,88 и Лупранат MI остаток , покупали у TOP Chemical Co. Ltd, цена 18 юаней
</t>
      </text>
    </comment>
    <comment authorId="4" xr:uid="{4d0e3006-1016-4bcf-bda4-e2a6418b1195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 Изоцианат Lupranate MIPS, покупали у Авис Кемикал -цена 27,88 и Лупранат MI остаток , покупали у TOP Chemical Co. Ltd, цена 18 юаней
</t>
      </text>
    </comment>
    <comment authorId="5" xr:uid="{513792e1-12bc-4deb-8c7c-bdb93154deed}" ref="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Wannate MDI 50-F (235kg/drum), покупали у TOP Chemical Co. Ltd -цена 18 юаней
</t>
      </text>
    </comment>
    <comment authorId="6" xr:uid="{6f9bcf3c-38cf-4a63-a3f0-5f63b0b695f3}" ref="E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Wannate MDI 50-F (235kg/drum), покупали у Вальтер Хеми -цена 30,5 юаней
</t>
      </text>
    </comment>
    <comment authorId="7" xr:uid="{7df607bb-bb29-4c4c-8635-112196ae605b}" ref="E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расход полиэфира П11 меньше
</t>
      </text>
    </comment>
    <comment authorId="8" xr:uid="{9c58d9e8-98e2-47d8-8fe6-0f31f40b88b1}" ref="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Wannate MDI 50-F (235kg/drum), покупали у TOP Chemical Co. Ltd -цена 18 юаней
</t>
      </text>
    </comment>
    <comment authorId="9" xr:uid="{a8dd793e-c4d1-446b-a82a-f11097dd460f}" ref="E2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Д220 от ВальтерХеми
</t>
      </text>
    </comment>
    <comment authorId="10" xr:uid="{b2d6ef26-d208-4420-b9d2-3cd7c1e0086c}" ref="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Wannate MDI 50-F (235kg/drum), покупали у TOP Chemical Co. Ltd -цена 18 юаней
</t>
      </text>
    </comment>
    <comment authorId="11" xr:uid="{c6a2cdb3-ae56-4c3d-be98-ae89d81d7cf9}" ref="E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Wannate MDI 50-F (235kg/drum), покупали у TOP Chemical Co. Ltd -цена 18 юаней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tc={011a8b77-a0f7-474b-bf0b-0283181947fc}</author>
    <author>tc={01af6139-b130-4a91-a604-7d4feccff142}</author>
    <author>tc={02cb1bae-4648-411c-9221-ef17c209df58}</author>
    <author>tc={030511db-b9bf-4b6d-807c-dde522715327}</author>
    <author>tc={08684e22-10f9-4b21-b182-832d4e676f19}</author>
    <author>tc={0aa29ffd-4f5a-4622-a952-e376730e2e49}</author>
    <author>tc={0d2df0b7-7d42-4e1a-8aa5-c6b583eaedd8}</author>
    <author>tc={10388585-2bbc-49be-952c-a694ace1786a}</author>
    <author>tc={12a6013d-0ccb-450d-8b45-c624c970ea78}</author>
    <author>tc={1406693e-a371-4172-984a-eba7344bc777}</author>
    <author>tc={15cc5f6b-856f-4594-8143-1ceaeda6b787}</author>
    <author>tc={19655aae-8a39-4b8e-8ff8-ede025901932}</author>
    <author>tc={224525d7-9913-4126-81b2-c0763eb668b2}</author>
    <author>tc={22f32ded-51be-4f5a-acda-c26e3645841e}</author>
    <author>tc={287ec857-0d44-4f33-950b-02c6f06799b1}</author>
    <author>tc={2c05060b-a06a-44eb-b7c6-db90b2f8adaf}</author>
    <author>tc={32f5b9f3-65d3-4347-95e5-52d06c3d50ad}</author>
    <author>tc={3ac23f54-116c-4042-b2f2-b844922c61ff}</author>
    <author>tc={3d76b10c-60d3-4cde-a1f5-11b6af4a7feb}</author>
    <author>tc={41c991cb-6ed2-45d6-ad48-6fd5dd4c2f82}</author>
    <author>tc={48ccd383-ade4-4ea9-817e-f4a2ac5b4096}</author>
    <author>tc={4f22a755-5a69-467a-8444-8e831f5b1b28}</author>
    <author>tc={4f82a804-2db2-4bc1-8106-da12b7b83184}</author>
    <author>tc={634678cc-389b-451a-9d0f-eb7c1d806d17}</author>
    <author>tc={6429c740-4681-474d-80d5-769a44daac4e}</author>
    <author>tc={6a5f9eb1-77a4-4d61-a5ac-0327ca2fe466}</author>
    <author>tc={6c2d8334-12a1-4b2d-ab11-f6fd0406a02b}</author>
    <author>tc={6e571c2e-6926-46d8-92c1-3ef2e1fad444}</author>
    <author>tc={76e76413-a5b9-49a7-b678-bc5270a9f5cb}</author>
    <author>tc={862257c7-09ab-4622-b41f-0b8dcc465c5f}</author>
    <author>tc={8a9904e2-97ee-403b-b9c4-42b16d6f51b7}</author>
    <author>tc={8b18fdea-85eb-4dad-8290-b60523971808}</author>
    <author>tc={99df5ec7-8c35-4e11-9fa2-bcafe1979c1a}</author>
    <author>tc={9be7a3be-6616-41b2-99df-aa796debd21e}</author>
    <author>tc={9c93b7a5-00d1-4cd8-ba51-6980f82da4dd}</author>
    <author>tc={9ea42b84-ed22-482e-8047-55f15d5f1355}</author>
    <author>tc={a18a55d2-d603-44d5-b32a-be4df8d1e2df}</author>
    <author>tc={ae368bf1-47ea-4e47-b04b-a9afe76159a4}</author>
    <author>tc={b097c084-d054-4b80-bcf7-8999a03f3be5}</author>
    <author>tc={bafb52e2-2947-4d90-84ae-93bca16be32f}</author>
    <author>tc={c70bd607-6229-41f0-91bb-13f59de62fcf}</author>
    <author>tc={d19aaba7-2471-4c04-81fa-25f96021669b}</author>
    <author>tc={d2475b9d-b875-48a1-bcbf-c868c51fdd15}</author>
    <author>tc={d24ede1e-5d1f-48c7-8b1b-1470457d58a4}</author>
    <author>tc={d3e5cd29-30f7-4901-bc80-a84593d54de3}</author>
    <author>tc={d6097ec7-601c-4597-84cd-39e2abad8486}</author>
    <author>tc={d70583ca-8eb5-410d-b334-723f1c6abb61}</author>
    <author>tc={dbe6efd7-7aef-45aa-9179-3706fb2f3b46}</author>
    <author>tc={e26c73e3-982d-4ab4-a88f-2ca1e58c7d0b}</author>
    <author>tc={e64e0739-cb71-4c75-a78a-62691c4652bd}</author>
    <author>tc={e7cbdcad-de01-42c7-8006-34fefd5d1e0c}</author>
    <author>tc={e8a67b34-9770-46ad-86c3-d5d55db42700}</author>
    <author>tc={ec9bed1e-23a7-4e02-b90c-1d3b44d6eb97}</author>
    <author>tc={ef605f5b-320e-4323-b08a-97e234164560}</author>
    <author>tc={f03265b2-e903-4756-bd42-ae2b76863c48}</author>
    <author>tc={f250f491-82d5-41c8-b9f5-dc1d1114447a}</author>
    <author>tc={f6b17d92-b1e4-40fd-b00e-0bb8719ad177}</author>
    <author>tc={fa979a76-20ac-4f36-8626-7f165c189d73}</author>
    <author>tc={facee85e-b640-4523-82b4-1dae20ffdbad}</author>
    <author>tc={fcbda363-c5ed-472e-b21c-76543594c47d}</author>
  </authors>
  <commentList>
    <comment authorId="0" ref="E141">
      <text>
        <t xml:space="preserve">MDI от Авис 27,88 юаней  (3,49 евро с НДС)</t>
      </text>
    </comment>
    <comment authorId="1" xr:uid="{011a8b77-a0f7-474b-bf0b-0283181947fc}" ref="E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от Авис Кемикал, пропилен от Интерхиммет
Reply:
	пропиленгликоль 1,14 евро б/ндс, интерхиммет (11,40 юаней с ндс)
</t>
      </text>
    </comment>
    <comment authorId="2" xr:uid="{01af6139-b130-4a91-a604-7d4feccff142}" ref="E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3" xr:uid="{02cb1bae-4648-411c-9221-ef17c209df58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4" xr:uid="{030511db-b9bf-4b6d-807c-dde522715327}" ref="E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 Изоцианат Lupranate MIPS
Reply:
	купили у Авис Кемикал по цене 27.88 юаней
Reply:
	MIPS 2.30 евро б/ндс
</t>
      </text>
    </comment>
    <comment authorId="5" xr:uid="{08684e22-10f9-4b21-b182-832d4e676f19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Касторка в феврале: поступление 26.12: было СВХ сумма 107886,92 руб (0,0534 цента на кг)
</t>
      </text>
    </comment>
    <comment authorId="6" xr:uid="{0aa29ffd-4f5a-4622-a952-e376730e2e49}" ref="E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7" xr:uid="{0d2df0b7-7d42-4e1a-8aa5-c6b583eaedd8}" ref="E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8" xr:uid="{10388585-2bbc-49be-952c-a694ace1786a}" ref="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9" xr:uid="{12a6013d-0ccb-450d-8b45-c624c970ea78}" ref="E8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Lupranate MIPS
</t>
      </text>
    </comment>
    <comment authorId="10" xr:uid="{1406693e-a371-4172-984a-eba7344bc777}" ref="E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 Изоцианат Wannate MDI 50-F (235kg/drum)
Reply:
	купили у Вальтер Хеми по цене 30.5 юаней
</t>
      </text>
    </comment>
    <comment authorId="11" xr:uid="{15cc5f6b-856f-4594-8143-1ceaeda6b787}" ref="E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исп.Изоцианат Lupranate MIPS
</t>
      </text>
    </comment>
    <comment authorId="12" xr:uid="{19655aae-8a39-4b8e-8ff8-ede025901932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13" xr:uid="{224525d7-9913-4126-81b2-c0763eb668b2}" ref="E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исп. Изоцианат Lupranate MIPS
Reply:
	у Авис Кемикал по цене 27.88 юаней
</t>
      </text>
    </comment>
    <comment authorId="14" xr:uid="{22f32ded-51be-4f5a-acda-c26e3645841e}" ref="E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15" xr:uid="{287ec857-0d44-4f33-950b-02c6f06799b1}" ref="E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добавлены бочки, в январе не было
Reply:
	стали выпускать по 2200, на списание добавились все прочие материалы, 2 поддона, 2 фильтра в сумме + бочка 24 евро /2200= 0,09-0,11 евро
</t>
      </text>
    </comment>
    <comment authorId="16" xr:uid="{2c05060b-a06a-44eb-b7c6-db90b2f8adaf}" ref="E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 Изоцианат Lupranate MIPS
Reply:
	купили у Авис Кемикал по цене 27.88 юаней
</t>
      </text>
    </comment>
    <comment authorId="17" xr:uid="{32f5b9f3-65d3-4347-95e5-52d06c3d50ad}" ref="E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Lupranate MIPS
</t>
      </text>
    </comment>
    <comment authorId="18" xr:uid="{3ac23f54-116c-4042-b2f2-b844922c61ff}" ref="E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исп. Изоцианат Lupranate MIPS
Reply:
	купили у Авис Кемикал по цене 27.88 юаней
</t>
      </text>
    </comment>
    <comment authorId="19" xr:uid="{3d76b10c-60d3-4cde-a1f5-11b6af4a7feb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20" xr:uid="{41c991cb-6ed2-45d6-ad48-6fd5dd4c2f82}" ref="E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21" xr:uid="{48ccd383-ade4-4ea9-817e-f4a2ac5b4096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22" xr:uid="{4f22a755-5a69-467a-8444-8e831f5b1b28}" ref="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23" xr:uid="{4f82a804-2db2-4bc1-8106-da12b7b83184}" ref="E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 Изоцианат Wannate MDI 50-F (235kg/drum)
Reply:
	купили у Вальтер Хеми по цене 30.5 юаней
</t>
      </text>
    </comment>
    <comment authorId="24" xr:uid="{634678cc-389b-451a-9d0f-eb7c1d806d17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25" xr:uid="{6429c740-4681-474d-80d5-769a44daac4e}" ref="E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26" xr:uid="{6a5f9eb1-77a4-4d61-a5ac-0327ca2fe466}" ref="E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Lupranate MIPS
</t>
      </text>
    </comment>
    <comment authorId="27" xr:uid="{6c2d8334-12a1-4b2d-ab11-f6fd0406a02b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28" xr:uid="{6e571c2e-6926-46d8-92c1-3ef2e1fad444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29" xr:uid="{76e76413-a5b9-49a7-b678-bc5270a9f5cb}" ref="E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30" xr:uid="{862257c7-09ab-4622-b41f-0b8dcc465c5f}" ref="E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31" xr:uid="{8a9904e2-97ee-403b-b9c4-42b16d6f51b7}" ref="E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32" xr:uid="{8b18fdea-85eb-4dad-8290-b60523971808}" ref="E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33" xr:uid="{99df5ec7-8c35-4e11-9fa2-bcafe1979c1a}" ref="E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от Авис Кемикал, пропилен от Интерхиммет
</t>
      </text>
    </comment>
    <comment authorId="34" xr:uid="{9be7a3be-6616-41b2-99df-aa796debd21e}" ref="E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добавлены бочки
</t>
      </text>
    </comment>
    <comment authorId="35" xr:uid="{9c93b7a5-00d1-4cd8-ba51-6980f82da4dd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36" xr:uid="{9ea42b84-ed22-482e-8047-55f15d5f1355}" ref="E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37" xr:uid="{a18a55d2-d603-44d5-b32a-be4df8d1e2df}" ref="E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38" xr:uid="{ae368bf1-47ea-4e47-b04b-a9afe76159a4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добавлены бочки
</t>
      </text>
    </comment>
    <comment authorId="39" xr:uid="{b097c084-d054-4b80-bcf7-8999a03f3be5}" ref="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40" xr:uid="{bafb52e2-2947-4d90-84ae-93bca16be32f}" ref="E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41" xr:uid="{c70bd607-6229-41f0-91bb-13f59de62fcf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42" xr:uid="{d19aaba7-2471-4c04-81fa-25f96021669b}" ref="E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Lupranate MIPS
Reply:
	купили у Авис Кемикал по цене 27.88 юаней
</t>
      </text>
    </comment>
    <comment authorId="43" xr:uid="{d2475b9d-b875-48a1-bcbf-c868c51fdd15}" ref="E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44" xr:uid="{d24ede1e-5d1f-48c7-8b1b-1470457d58a4}" ref="E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от Авис Кемикал, пропилен от Интерхиммет
Reply:
	полиол Авис 1,40 евро б/ндс (13,69 юаней с ндс)
Reply:
	пропилен гликоль рф интерхиммет, 11,40 юаней с ндс или 1,17 евро б/ндс
</t>
      </text>
    </comment>
    <comment authorId="45" xr:uid="{d3e5cd29-30f7-4901-bc80-a84593d54de3}" ref="E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46" xr:uid="{d6097ec7-601c-4597-84cd-39e2abad8486}" ref="E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47" xr:uid="{d70583ca-8eb5-410d-b334-723f1c6abb61}" ref="E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Изоцианат Lupranate MIPS
</t>
      </text>
    </comment>
    <comment authorId="48" xr:uid="{dbe6efd7-7aef-45aa-9179-3706fb2f3b46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пропиленгликоль ФТ, в остальных производствах от Интерхиммет
</t>
      </text>
    </comment>
    <comment authorId="49" xr:uid="{e26c73e3-982d-4ab4-a88f-2ca1e58c7d0b}" ref="E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50" xr:uid="{e64e0739-cb71-4c75-a78a-62691c4652bd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51" xr:uid="{e7cbdcad-de01-42c7-8006-34fefd5d1e0c}" ref="E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переработка ГП из двух производств с разной рецептурой
</t>
      </text>
    </comment>
    <comment authorId="52" xr:uid="{e8a67b34-9770-46ad-86c3-d5d55db42700}" ref="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53" xr:uid="{ec9bed1e-23a7-4e02-b90c-1d3b44d6eb97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54" xr:uid="{ef605f5b-320e-4323-b08a-97e234164560}" ref="E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55" xr:uid="{f03265b2-e903-4756-bd42-ae2b76863c48}" ref="E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56" xr:uid="{f250f491-82d5-41c8-b9f5-dc1d1114447a}" ref="E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исп. Изоцианат Lupranate MIPS
Reply:
	купили у Авис Кемикал по цене 27.88 юаней
</t>
      </text>
    </comment>
    <comment authorId="57" xr:uid="{f6b17d92-b1e4-40fd-b00e-0bb8719ad177}" ref="E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58" xr:uid="{fa979a76-20ac-4f36-8626-7f165c189d73}" ref="E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59" xr:uid="{facee85e-b640-4523-82b4-1dae20ffdbad}" ref="E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  <comment authorId="60" xr:uid="{fcbda363-c5ed-472e-b21c-76543594c47d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мороженный лупранат ми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tc={6263ad75-bf73-4227-ab9c-ab4540b251ee}</author>
    <author>tc={8d8dd236-1d65-4870-9401-4e3ccb93ee1a}</author>
    <author>tc={b9f4ae87-57e1-44f5-8e41-d475b9c88a68}</author>
    <author>tc={c8799c5d-aa88-444c-90a4-43f3c0d4698f}</author>
    <author>tc={f29ed26b-216b-4fde-ac45-36532a37afb6}</author>
  </authors>
  <commentList>
    <comment authorId="0" xr:uid="{6263ad75-bf73-4227-ab9c-ab4540b251ee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МДИ от Айронгрупп ООО по 4,14 usd
</t>
      </text>
    </comment>
    <comment authorId="1" xr:uid="{8d8dd236-1d65-4870-9401-4e3ccb93ee1a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  D220 162,46 кг от ФТ, 274,940 кг от Авис Кемикал
</t>
      </text>
    </comment>
    <comment authorId="2" xr:uid="{b9f4ae87-57e1-44f5-8e41-d475b9c88a68}" ref="E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Производился в декабре 25, СС 2,59
</t>
      </text>
    </comment>
    <comment authorId="3" xr:uid="{c8799c5d-aa88-444c-90a4-43f3c0d4698f}" ref="E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МДИ от ВальтерХеми по 30,50 юаней
</t>
      </text>
    </comment>
    <comment authorId="4" xr:uid="{f29ed26b-216b-4fde-ac45-36532a37afb6}" ref="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МДИ от ВальтерХеми по 30,50 юаней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tc={049d6b62-37b2-490c-9dda-3cf1bdc26a22}</author>
    <author>tc={0c0d2166-3d88-4ba0-a54e-20fdd38ce858}</author>
    <author>tc={0d4da166-5860-49f6-8925-8d81ba2d1678}</author>
    <author>tc={2417c488-eb16-437a-9836-77f30fa365f8}</author>
    <author>tc={24bf1043-eab1-4585-81ee-37da16fca449}</author>
    <author>tc={26195924-b774-45b0-a0aa-5c9619667afb}</author>
    <author>tc={2fa0642c-2b08-40f7-b341-05bca4c8fbf3}</author>
    <author>tc={36202da5-b088-4d9d-bc34-298fa38f3990}</author>
    <author>tc={4e0558ae-c0e6-4ad2-87d6-bb465f3a450d}</author>
    <author>tc={537abcc7-0385-4332-bc3f-6984fe8591fb}</author>
    <author>tc={5e7410f9-c08d-4006-a377-4aa36eb52b49}</author>
    <author>tc={736570c2-489a-4401-84d7-8c050a55aa3e}</author>
    <author>tc={7544e06c-7e6e-4eec-90e9-ce5fe722495a}</author>
    <author>tc={83fb316d-0ba6-4d16-8654-39adce787e3f}</author>
    <author>tc={84012c38-439b-44c9-af61-6ed87f475e2a}</author>
    <author>tc={9366c81c-7622-4615-b51c-5f70068c6188}</author>
    <author>tc={afd887a0-057e-44ce-8518-f22fb656b405}</author>
    <author>tc={b75521fe-a43c-4f1a-b5bf-b8221e6c37ae}</author>
    <author>tc={c0e17470-4225-4689-9483-83f3a257a17f}</author>
    <author>tc={c2da75ce-5c75-4a12-8dcc-8dff6bbf0b42}</author>
    <author>tc={c59af08a-ba54-4941-8e47-155433c4a497}</author>
    <author>tc={c6c39e9a-4172-4b81-ba59-319771590abd}</author>
    <author>tc={d57d2969-22d9-4419-b9ff-03acd943866a}</author>
    <author>tc={d9521571-fbf4-4c28-971d-ea89ed931edc}</author>
    <author>tc={df549374-13af-4247-8036-156d7b2d6500}</author>
    <author>tc={f6218aa6-1c7e-4dbb-9760-42f87c5c035e}</author>
  </authors>
  <commentList>
    <comment authorId="0" xr:uid="{049d6b62-37b2-490c-9dda-3cf1bdc26a22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Переработка партии 10J25R21, дополнительно использованы расходники (этик., ведра и т д) в сумме на 403,31 евро
Reply:
	Вопрос почему использовано расходников на 70 ведер, должно быть 60
Reply:
	дб 50 ведер
</t>
      </text>
    </comment>
    <comment authorId="1" xr:uid="{0c0d2166-3d88-4ba0-a54e-20fdd38ce858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потери
</t>
      </text>
    </comment>
    <comment authorId="2" xr:uid="{0d4da166-5860-49f6-8925-8d81ba2d1678}" ref="E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переработка (декатализация) 05H2504R0190
</t>
      </text>
    </comment>
    <comment authorId="3" xr:uid="{2417c488-eb16-437a-9836-77f30fa365f8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 R2303 2.24 долл Вальтер (кросс 1,90), в ноябре Polyether polyol G303 1,58 евро
</t>
      </text>
    </comment>
    <comment authorId="4" xr:uid="{24bf1043-eab1-4585-81ee-37da16fca449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потери
</t>
      </text>
    </comment>
    <comment authorId="5" xr:uid="{26195924-b774-45b0-a0aa-5c9619667afb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 R2003 2.24 долл вальтер (кросс 1,90 евро ), в ноябре 1,58 евро
</t>
      </text>
    </comment>
    <comment authorId="6" xr:uid="{2fa0642c-2b08-40f7-b341-05bca4c8fbf3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тестовый продукт+недочет был в формуле, большой расход Этиленгликоля
</t>
      </text>
    </comment>
    <comment authorId="7" xr:uid="{36202da5-b088-4d9d-bc34-298fa38f3990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подмороженный МДИ-50
</t>
      </text>
    </comment>
    <comment authorId="8" xr:uid="{4e0558ae-c0e6-4ad2-87d6-bb465f3a450d}" ref="E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Потери Онгронат 3000, 55 кг
Reply:
	55*3,35 евро /2000=0,09 центов на кг рост.
</t>
      </text>
    </comment>
    <comment authorId="9" xr:uid="{537abcc7-0385-4332-bc3f-6984fe8591fb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подмороженный МДИ-50
</t>
      </text>
    </comment>
    <comment authorId="10" xr:uid="{5e7410f9-c08d-4006-a377-4aa36eb52b49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Производился на MI 3.78
</t>
      </text>
    </comment>
    <comment authorId="11" xr:uid="{736570c2-489a-4401-84d7-8c050a55aa3e}" ref="E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Переработка 525С 5.0 в 6.0 20L2515R0190
</t>
      </text>
    </comment>
    <comment authorId="12" xr:uid="{7544e06c-7e6e-4eec-90e9-ce5fe722495a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осадок мороженого Лупраната MI
</t>
      </text>
    </comment>
    <comment authorId="13" xr:uid="{83fb316d-0ba6-4d16-8654-39adce787e3f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тестовый продукт+недочет был в формуле, большой расход Этиленгликоля
</t>
      </text>
    </comment>
    <comment authorId="14" xr:uid="{84012c38-439b-44c9-af61-6ed87f475e2a}" ref="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Авис 13,69 юаней (кросс 1,65 евро)
</t>
      </text>
    </comment>
    <comment authorId="15" xr:uid="{9366c81c-7622-4615-b51c-5f70068c6188}" ref="E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введен в рецептуру Catalyst COSCAT 83, на остатке 19,96 кг на 26.12.25, не используется Глимо
</t>
      </text>
    </comment>
    <comment authorId="16" xr:uid="{afd887a0-057e-44ce-8518-f22fb656b405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производился из:
Изоцианат Wannate MDI 50-F (235kg/drum) - 4 150,600 кг, цена выше, чем у 
Изоцианат Wannate MDI 50-F (IBC) -1307,9 кг
Reply:
	МДИ 50 от Айрона по 4,14 долл (кросс 3,52 евро) 9 дек 2025
Reply:
	Д220 авис 13,69 юаней (кросс 1,65)
</t>
      </text>
    </comment>
    <comment authorId="17" xr:uid="{b75521fe-a43c-4f1a-b5bf-b8221e6c37ae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осадок мороженого Лупраната MI
Reply:
	30 кг*3,68/1100=0,10 превыш MI
Reply:
	3,18*30/1100=0,08перевыш МI
</t>
      </text>
    </comment>
    <comment authorId="18" xr:uid="{c0e17470-4225-4689-9483-83f3a257a17f}" ref="E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последний раз делали в октябре СС 2,58
</t>
      </text>
    </comment>
    <comment authorId="19" xr:uid="{c2da75ce-5c75-4a12-8dcc-8dff6bbf0b42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Производился на MI 3.78
</t>
      </text>
    </comment>
    <comment authorId="20" xr:uid="{c59af08a-ba54-4941-8e47-155433c4a497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Производился на MI, сс в руб не отличается от ноября, падение курса на +/- 5 руб.
</t>
      </text>
    </comment>
    <comment authorId="21" xr:uid="{c6c39e9a-4172-4b81-ba59-319771590abd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осадок мороженого Лупраната MI
</t>
      </text>
    </comment>
    <comment authorId="22" xr:uid="{d57d2969-22d9-4419-b9ff-03acd943866a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подмороженный МДИ-50
</t>
      </text>
    </comment>
    <comment authorId="23" xr:uid="{d9521571-fbf4-4c28-971d-ea89ed931edc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Производился на MI, сс в руб не отличается от ноября, падение курса на +/- 5 руб.
</t>
      </text>
    </comment>
    <comment authorId="24" xr:uid="{df549374-13af-4247-8036-156d7b2d6500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первый выпуск, состав ...?
</t>
      </text>
    </comment>
    <comment authorId="25" xr:uid="{f6218aa6-1c7e-4dbb-9760-42f87c5c035e}" ref="E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подмороженный МДИ-50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tc={117986e7-bae9-4109-97dc-ead954ae6fbb}</author>
    <author>tc={172981c2-99a6-42f5-ae39-797dcf0fcc93}</author>
    <author>tc={2473c5c6-d76c-4132-b9c5-2e0b90d7cfb9}</author>
    <author>tc={274a31b6-121b-411a-ae92-139fa0d1f3a9}</author>
    <author>tc={2fa5b91a-45c3-43ff-916d-70e5c3135031}</author>
    <author>tc={425f2c0c-b991-406a-918e-bf70f2c0dd51}</author>
    <author>tc={44486eae-dec4-4e77-99a9-2e642aa45158}</author>
    <author>tc={694ed413-9c27-49b0-bb85-ee0b9f60e68e}</author>
    <author>tc={8195d3ce-f2e1-457a-98ca-09b5cf3f903d}</author>
    <author>tc={9c94eaa5-a452-4d1f-ba7a-1e1ad5bb55c0}</author>
    <author>tc={9e0b8099-99c6-45b4-9249-4db63cdc13c5}</author>
    <author>tc={ae5f2532-8a06-456f-aaad-600118c35da6}</author>
    <author>tc={c1509685-39b9-4d8a-8c47-98428d0d4356}</author>
    <author>tc={c1d8dad9-ab21-4707-89b4-63e153bdaa48}</author>
    <author>tc={c54061c3-d366-497c-b15e-2d6ddc49f184}</author>
    <author>tc={c8a1947d-398c-4ff2-82da-3bd2ce1a9c53}</author>
  </authors>
  <commentList>
    <comment authorId="0" ref="E51">
      <text>
        <t xml:space="preserve">MDI 4.14 долл Айрон</t>
      </text>
    </comment>
    <comment authorId="1" xr:uid="{117986e7-bae9-4109-97dc-ead954ae6fbb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РТ 0512 250,14 руб с НДС
Reply:
	в ноябре на G303, в октябре на R2303 Айрон 2,26 долл
</t>
      </text>
    </comment>
    <comment authorId="2" xr:uid="{172981c2-99a6-42f5-ae39-797dcf0fcc93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 Полиол  LE-220A от ФТ
</t>
      </text>
    </comment>
    <comment authorId="3" xr:uid="{2473c5c6-d76c-4132-b9c5-2e0b90d7cfb9}" ref="E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потеря Онгронат 3000 - кристаллизация
</t>
      </text>
    </comment>
    <comment authorId="4" xr:uid="{274a31b6-121b-411a-ae92-139fa0d1f3a9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Авис Д220
Reply:
	Переработка неликвида 521
</t>
      </text>
    </comment>
    <comment authorId="5" xr:uid="{2fa5b91a-45c3-43ff-916d-70e5c3135031}" ref="E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Пропиленгликоль ФТеха
</t>
      </text>
    </comment>
    <comment authorId="6" xr:uid="{425f2c0c-b991-406a-918e-bf70f2c0dd51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 ОПГА 650 330 руб/нсд
Reply:
	В октябре работали на ваноле от Айрона 2,26 долл, в ноябре на 303 от SHANGHAI FUJIA, 8,50 юаней
Помечено как решенное
</t>
      </text>
    </comment>
    <comment authorId="7" xr:uid="{44486eae-dec4-4e77-99a9-2e642aa45158}" ref="E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потеря Онгронат 3000 - кристаллизация
</t>
      </text>
    </comment>
    <comment authorId="8" xr:uid="{694ed413-9c27-49b0-bb85-ee0b9f60e68e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партия на Mips 2.97 евро+2%
Reply:
	Полиол РФ
Reply:
	лупранат MI ФТ
Reply:
	Приверить итоговую СС Лупранат МИ
</t>
      </text>
    </comment>
    <comment authorId="9" xr:uid="{8195d3ce-f2e1-457a-98ca-09b5cf3f903d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Изоционат по 4.0
</t>
      </text>
    </comment>
    <comment authorId="10" xr:uid="{9c94eaa5-a452-4d1f-ba7a-1e1ad5bb55c0}" ref="E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потеря Онгронат 3000 - кристаллизация
</t>
      </text>
    </comment>
    <comment authorId="11" xr:uid="{9e0b8099-99c6-45b4-9249-4db63cdc13c5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Пошел изоционат по 4,20 Айрон
</t>
      </text>
    </comment>
    <comment authorId="12" xr:uid="{ae5f2532-8a06-456f-aaad-600118c35da6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 Полиол D220 от АВИС КЕМИКАЛ
Reply:
	В ноябре изоциант внут рынок, полиол внутр рынок, в октябре полиол ФТ, изоционач MIRACLE (SHANGHAI)
</t>
      </text>
    </comment>
    <comment authorId="13" xr:uid="{c1509685-39b9-4d8a-8c47-98428d0d4356}" ref="E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потеря Онгронат 3000 - кристаллизация
</t>
      </text>
    </comment>
    <comment authorId="14" xr:uid="{c1d8dad9-ab21-4707-89b4-63e153bdaa48}" ref="E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потеря Онгронат 3000 - кристаллизация
</t>
      </text>
    </comment>
    <comment authorId="15" xr:uid="{c54061c3-d366-497c-b15e-2d6ddc49f184}" ref="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потеря Онгронат 3000 - кристаллизация
</t>
      </text>
    </comment>
    <comment authorId="16" xr:uid="{c8a1947d-398c-4ff2-82da-3bd2ce1a9c53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 Полиол D220 от АВИС КЕМИКАЛ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tc={0321487b-d090-4bd4-91b1-a52301e4e5dc}</author>
    <author>tc={31c015d3-dac6-4486-8750-8be559d226a7}</author>
    <author>tc={42a5c1f7-8090-4f64-8ef6-5c86c5580a4c}</author>
    <author>tc={53b4f090-f6c4-40e6-bcf6-099e1a593c57}</author>
    <author>tc={894a5f8c-754b-4e21-8c28-57cfcf20543f}</author>
    <author>tc={99e96090-4ffb-4713-8a6e-48c59547a199}</author>
    <author>tc={acd27229-7d4a-4501-bb2d-f121d737e837}</author>
    <author>tc={bec0ffa2-c276-4cfe-9e54-257482ab758e}</author>
    <author>tc={f0a51068-4fc0-438f-a81f-8ce075abe03f}</author>
  </authors>
  <commentList>
    <comment authorId="0" xr:uid="{0321487b-d090-4bd4-91b1-a52301e4e5dc}" ref="E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Пропиленгликоль ИНТЕРХИММЕТ
</t>
      </text>
    </comment>
    <comment authorId="1" xr:uid="{31c015d3-dac6-4486-8750-8be559d226a7}" ref="E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Израсходован Polyol D220 российс.производителей
</t>
      </text>
    </comment>
    <comment authorId="2" xr:uid="{42a5c1f7-8090-4f64-8ef6-5c86c5580a4c}" ref="E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Полиэфир сложный "Полиэстер" 150А
Reply:
	Это бесплатный образец для тестов ГП для Артфлекс, когда его сработаем, нужно составить акт для поставщика
</t>
      </text>
    </comment>
    <comment authorId="3" xr:uid="{53b4f090-f6c4-40e6-bcf6-099e1a593c57}" ref="E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МДИ MIRACLE (SHANGHAI) NEW MATERIALS CO., LTD
</t>
      </text>
    </comment>
    <comment authorId="4" xr:uid="{894a5f8c-754b-4e21-8c28-57cfcf20543f}" ref="E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LE-220A
Reply:
	Изоцианат Wannate MDI 50-F (IBC) Айрон 3,43 евро
</t>
      </text>
    </comment>
    <comment authorId="5" xr:uid="{99e96090-4ffb-4713-8a6e-48c59547a199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Израсходован  Polyol D220 российс.производителей
</t>
      </text>
    </comment>
    <comment authorId="6" xr:uid="{acd27229-7d4a-4501-bb2d-f121d737e837}" ref="E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купили Изоцианат Wannate MDI 50-F у Айронгрупп
</t>
      </text>
    </comment>
    <comment authorId="7" xr:uid="{bec0ffa2-c276-4cfe-9e54-257482ab758e}" ref="E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остаток МДИ Айрон, остальное MIRACLE (SHANGHAI) NEW MATERIALS CO., LTD
</t>
      </text>
    </comment>
    <comment authorId="8" xr:uid="{f0a51068-4fc0-438f-a81f-8ce075abe03f}" ref="E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Вальтер Хими D220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tc={df9acfeb-d3da-452a-baa9-97d9620562b9}</author>
  </authors>
  <commentList>
    <comment authorId="0" xr:uid="{df9acfeb-d3da-452a-baa9-97d9620562b9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Polyether polyol LE-220A+Пропиленгликоль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tc={0991a78a-6839-4682-915e-83c47c117413}</author>
    <author>tc={2d3c56f6-0530-4249-9504-7925861d04a2}</author>
    <author>tc={96236e40-2d9f-4a80-84e3-adbc1669fce4}</author>
  </authors>
  <commentList>
    <comment authorId="0" xr:uid="{0991a78a-6839-4682-915e-83c47c117413}" ref="E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Puranol Polyether polyol D220 от Русхимсеть - Санкт-Петербург
</t>
      </text>
    </comment>
    <comment authorId="1" xr:uid="{2d3c56f6-0530-4249-9504-7925861d04a2}" ref="E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Polyether polyol LE-220A от Flexo Tech JSC
</t>
      </text>
    </comment>
    <comment authorId="2" xr:uid="{96236e40-2d9f-4a80-84e3-adbc1669fce4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Lupranate MIPS (250кг) в составе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tc={0063d6aa-b43a-4adb-bc84-8c6d7aad8cc5}</author>
    <author>tc={08492691-9495-4561-9992-f79372a567f5}</author>
    <author>tc={1369bc5b-4a4c-4b2a-af34-d98154f22442}</author>
    <author>tc={2f458480-d01b-4578-971f-ff4eae5996f4}</author>
    <author>tc={32846dbb-fd04-4966-b7a7-1575d796cec1}</author>
    <author>tc={360744b9-b314-487c-9080-1c236e82a7b8}</author>
    <author>tc={8a7b52f1-a90c-40fe-af9e-9cda39dab95f}</author>
    <author>tc={bc6b659c-3cb0-4eb3-aae9-61738c27812b}</author>
    <author>tc={ce9c0a51-1a44-4d7f-9d4a-56df1917ef2f}</author>
    <author>tc={d4db9e5c-0339-4840-95ac-0b75875532d6}</author>
    <author>tc={ee3ace07-81d0-40b2-8026-c1b237220aeb}</author>
    <author>tc={efa25f17-990f-4119-9527-b62c7fe30d6b}</author>
  </authors>
  <commentList>
    <comment authorId="0" xr:uid="{0063d6aa-b43a-4adb-bc84-8c6d7aad8cc5}" ref="E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пропиленгликоль из разных поступлений
</t>
      </text>
    </comment>
    <comment authorId="1" xr:uid="{08492691-9495-4561-9992-f79372a567f5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Puranol Polyether polyol D204
</t>
      </text>
    </comment>
    <comment authorId="2" xr:uid="{1369bc5b-4a4c-4b2a-af34-d98154f22442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прошлом месяце использовали Polyether polyol DP-4000E (полиол KUKDO CHEMICAL)* (без тары)
</t>
      </text>
    </comment>
    <comment authorId="3" xr:uid="{2f458480-d01b-4578-971f-ff4eae5996f4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Top Chemical Polyether polyol SE-204 -86,7кг
</t>
      </text>
    </comment>
    <comment authorId="4" xr:uid="{32846dbb-fd04-4966-b7a7-1575d796cec1}" ref="E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Полиол Avisol 220A (куб 1000 кг)
</t>
      </text>
    </comment>
    <comment authorId="5" xr:uid="{360744b9-b314-487c-9080-1c236e82a7b8}" ref="E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Puranol Polyether polyol D220 использовали
</t>
      </text>
    </comment>
    <comment authorId="6" xr:uid="{8a7b52f1-a90c-40fe-af9e-9cda39dab95f}" ref="E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MDI 50-F IBC
</t>
      </text>
    </comment>
    <comment authorId="7" xr:uid="{bc6b659c-3cb0-4eb3-aae9-61738c27812b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д220 от русхимсеть
</t>
      </text>
    </comment>
    <comment authorId="8" xr:uid="{ce9c0a51-1a44-4d7f-9d4a-56df1917ef2f}" ref="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 Полиол Avisol 220A (куб 1000 кг)
</t>
      </text>
    </comment>
    <comment authorId="9" xr:uid="{d4db9e5c-0339-4840-95ac-0b75875532d6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основном использовали Полиол Puranol Polyether polyol D220. изоционата меньшее кол-во, чем в др производствах
</t>
      </text>
    </comment>
    <comment authorId="10" xr:uid="{ee3ace07-81d0-40b2-8026-c1b237220aeb}" ref="E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Изоцианат лупранат MI компонент Б (бочка 225)
</t>
      </text>
    </comment>
    <comment authorId="11" xr:uid="{efa25f17-990f-4119-9527-b62c7fe30d6b}" ref="E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использовали Полиол Avisol 220A (куб 1000 кг)
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tc={884d5f4a-add5-4dc1-96d4-dbfeca5cb6c2}</author>
  </authors>
  <commentList>
    <comment authorId="0" ref="E30">
      <text>
        <t xml:space="preserve">кукдо</t>
      </text>
    </comment>
    <comment authorId="0" ref="E28">
      <text>
        <t xml:space="preserve">кукдо</t>
      </text>
    </comment>
    <comment authorId="0" ref="E25">
      <text>
        <t xml:space="preserve">кукдо</t>
      </text>
    </comment>
    <comment authorId="0" ref="E23">
      <text>
        <t xml:space="preserve">кукдо</t>
      </text>
    </comment>
    <comment authorId="0" ref="E6">
      <text>
        <t xml:space="preserve">добавлен Полиол Puranol Polyether polyol D220</t>
      </text>
    </comment>
    <comment authorId="1" xr:uid="{884d5f4a-add5-4dc1-96d4-dbfeca5cb6c2}" ref="E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уменьшила ОПГА, т.к не шли остатки, на складе 0
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tc={0092eea7-4b5d-41c8-a63c-3d40ae533a70}</author>
  </authors>
  <commentList>
    <comment authorId="0" xr:uid="{0092eea7-4b5d-41c8-a63c-3d40ae533a70}" ref="E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исп полиол д204 (Флексотех)
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tc={e0d07880-aaee-420b-9f25-10038d97e382}</author>
  </authors>
  <commentList>
    <comment authorId="0" xr:uid="{e0d07880-aaee-420b-9f25-10038d97e382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Оплата за сырье eur+5%, eur+2%
Лупранат, D220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tc={1069e47d-6f7c-4a53-aad6-97a9cbeab725}</author>
    <author>tc={cba7c7e1-d559-4676-92af-06404869f1d2}</author>
    <author>tc={db6c4050-4590-4c77-b7fb-7f0733a5e4f3}</author>
    <author>tc={dc3ae072-19bf-4d06-9b13-2195d8769fe5}</author>
  </authors>
  <commentList>
    <comment authorId="0" xr:uid="{1069e47d-6f7c-4a53-aad6-97a9cbeab725}" ref="E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D220+2%
</t>
      </text>
    </comment>
    <comment authorId="1" xr:uid="{cba7c7e1-d559-4676-92af-06404869f1d2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Выпуск на Лупранате
</t>
      </text>
    </comment>
    <comment authorId="2" xr:uid="{db6c4050-4590-4c77-b7fb-7f0733a5e4f3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 50 куплен у самебы 3,11
Reply:
	очень большие транспортные СТЕ Лог инв 5795; 5796
</t>
      </text>
    </comment>
    <comment authorId="3" xr:uid="{dc3ae072-19bf-4d06-9b13-2195d8769fe5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 50, турция 2,95 евро
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tc={0df3772f-6feb-476d-9a0b-d2e2532880b5}</author>
    <author>tc={5b5ebe50-1a04-40fb-8d99-e347141b263c}</author>
    <author>tc={ae1b39da-19ef-43e6-8e6a-157c0333714f}</author>
  </authors>
  <commentList>
    <comment authorId="0" xr:uid="{0df3772f-6feb-476d-9a0b-d2e2532880b5}" ref="E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от интерхиммет 17 000, по 223,70 руб
</t>
      </text>
    </comment>
    <comment authorId="1" xr:uid="{5b5ebe50-1a04-40fb-8d99-e347141b263c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 220 от Интерхим пост 09.12.2024
</t>
      </text>
    </comment>
    <comment authorId="2" xr:uid="{ae1b39da-19ef-43e6-8e6a-157c0333714f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меняем дату производства из-за замены бочек на ведра Презент Упаковка
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tc={7151ac6c-bd23-4209-b8a1-2dd502a0e1a4}</author>
    <author>tc={dc74e030-4aee-44fa-9db9-294e07940383}</author>
  </authors>
  <commentList>
    <comment authorId="0" ref="E5">
      <text>
        <t xml:space="preserve">Ждем док-ты за доставку пол.303</t>
      </text>
    </comment>
    <comment authorId="0" ref="E2">
      <text>
        <t xml:space="preserve">Ждем док-ты за доставку пол.303</t>
      </text>
    </comment>
    <comment authorId="0" ref="H30">
      <text>
        <t xml:space="preserve">Вошел полиол по 1,74 поставки от 2022г,  в связи с переформированием партий 
104,5 кг на выпуск объемом 1100 кг</t>
      </text>
    </comment>
    <comment authorId="0" ref="E8">
      <text>
        <t xml:space="preserve">Ждем док-ты за доставку пол.303</t>
      </text>
    </comment>
    <comment authorId="0" ref="E6">
      <text>
        <t xml:space="preserve">касторка+0,1 цент плюс транспорт.расходы выше</t>
      </text>
    </comment>
    <comment authorId="1" xr:uid="{7151ac6c-bd23-4209-b8a1-2dd502a0e1a4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Полиол Wanol C2040D ( куб 1000 кг ), 
Polyether Polyol Puranol F330N (полиол)
+ Полиол Puranol F 330 N ( куб 1000 кг ) -от декабря 23г
</t>
      </text>
    </comment>
    <comment authorId="2" xr:uid="{dc74e030-4aee-44fa-9db9-294e07940383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переработка старых партий
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tc={1de954a5-2c05-48ab-a9ba-8751230f1df7}</author>
    <author>tc={41da03b7-f836-4b44-b83c-6afacb7b9d11}</author>
    <author>tc={5a836b2d-3e4d-4188-8dc9-b059903e7eb0}</author>
    <author>tc={68c9d17a-7f47-4239-8360-fef1f341095a}</author>
    <author>tc={8431c623-970e-4aa6-9f24-96ed6730248a}</author>
    <author>tc={b3280746-8622-43a8-8e7d-c2e3aef6f50e}</author>
    <author>tc={c280d735-a6e5-4d8b-a2db-79c611386140}</author>
  </authors>
  <commentList>
    <comment authorId="0" ref="E21">
      <text>
        <t xml:space="preserve">шел полиол от русхимсеть и флексотех</t>
      </text>
    </comment>
    <comment authorId="0" ref="E4">
      <text>
        <t xml:space="preserve">Starkbond 2014 RB103 ведро 10 кг
Starkbond 2014 RH202 ведро 10 кг
Starkbond 2014 RB102 ведро 10 кг</t>
      </text>
    </comment>
    <comment authorId="0" ref="E3">
      <text>
        <t xml:space="preserve">Оксана, просьба указывать номенклатуру (можно в примечании) как отражаешь в системе</t>
      </text>
    </comment>
    <comment authorId="1" xr:uid="{1de954a5-2c05-48ab-a9ba-8751230f1df7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Аларм: по 1С выпущено 1200 списано сырья на 2400
</t>
      </text>
    </comment>
    <comment authorId="2" xr:uid="{41da03b7-f836-4b44-b83c-6afacb7b9d11}" ref="E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перевыпуск
</t>
      </text>
    </comment>
    <comment authorId="3" xr:uid="{5a836b2d-3e4d-4188-8dc9-b059903e7eb0}" ref="E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перевыпуск
</t>
      </text>
    </comment>
    <comment authorId="4" xr:uid="{68c9d17a-7f47-4239-8360-fef1f341095a}" ref="E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переделка партий от авг и сент
</t>
      </text>
    </comment>
    <comment authorId="5" xr:uid="{8431c623-970e-4aa6-9f24-96ed6730248a}" ref="E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Розовый
</t>
      </text>
    </comment>
    <comment authorId="6" xr:uid="{b3280746-8622-43a8-8e7d-c2e3aef6f50e}" ref="E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Розовый
</t>
      </text>
    </comment>
    <comment authorId="7" xr:uid="{c280d735-a6e5-4d8b-a2db-79c611386140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MIPS - есть ли наценка?
</t>
      </text>
    </comment>
  </commentList>
</comments>
</file>

<file path=xl/sharedStrings.xml><?xml version="1.0" encoding="utf-8"?>
<sst xmlns="http://schemas.openxmlformats.org/spreadsheetml/2006/main" count="6793" uniqueCount="2359">
  <si>
    <t>пп</t>
  </si>
  <si>
    <t>Дата выпуска продукции</t>
  </si>
  <si>
    <t>курс</t>
  </si>
  <si>
    <t>№ ЗП</t>
  </si>
  <si>
    <t>Продукт</t>
  </si>
  <si>
    <t>Вес готового продукта</t>
  </si>
  <si>
    <t>Израсходовано по факту</t>
  </si>
  <si>
    <t>Израсходовано по факту Polyether Polyol Puranol D220,  LE-220A Пропиленгликоль</t>
  </si>
  <si>
    <t>Потери, кг</t>
  </si>
  <si>
    <t>% потерь</t>
  </si>
  <si>
    <t>СС 1С на дату выпуска, EUR</t>
  </si>
  <si>
    <t>% пропиленгликоля в составе + полиол</t>
  </si>
  <si>
    <t>СС КГ, РУБ, Б/НДС</t>
  </si>
  <si>
    <t>СС Факт , EUR, Б/НДС</t>
  </si>
  <si>
    <t>СС Партии, EUR, Б/НДС</t>
  </si>
  <si>
    <t>СС Партии, РУБ, Б/НДС</t>
  </si>
  <si>
    <t>Примечание</t>
  </si>
  <si>
    <t>01L2503-6</t>
  </si>
  <si>
    <t>клей Starkbond 521 A бочка 220кг</t>
  </si>
  <si>
    <t>03L2501-10</t>
  </si>
  <si>
    <t>04L2501-09</t>
  </si>
  <si>
    <t>05L2501-10</t>
  </si>
  <si>
    <t>06L2501-09</t>
  </si>
  <si>
    <t>07L2501-10</t>
  </si>
  <si>
    <t>08L2501-10</t>
  </si>
  <si>
    <t>09L2502-10</t>
  </si>
  <si>
    <t>10L2501-10</t>
  </si>
  <si>
    <t>EUR</t>
  </si>
  <si>
    <t>RUB</t>
  </si>
  <si>
    <t xml:space="preserve">Продукт </t>
  </si>
  <si>
    <t>Сентябрь 24</t>
  </si>
  <si>
    <t>Октябрь 24</t>
  </si>
  <si>
    <t>Ноябрь 24</t>
  </si>
  <si>
    <t xml:space="preserve">Декабрь 24 </t>
  </si>
  <si>
    <t>Январь 25</t>
  </si>
  <si>
    <t>Февраль 2025</t>
  </si>
  <si>
    <t>Март 25</t>
  </si>
  <si>
    <t>Апрель 25</t>
  </si>
  <si>
    <t>Май 25</t>
  </si>
  <si>
    <t>Июнь 25</t>
  </si>
  <si>
    <t>Июль 25</t>
  </si>
  <si>
    <t>Август 25</t>
  </si>
  <si>
    <t>Сентябрь 25</t>
  </si>
  <si>
    <t>Октябрь 25</t>
  </si>
  <si>
    <t>Ноябрь 25</t>
  </si>
  <si>
    <t>Декабрь 25</t>
  </si>
  <si>
    <t>Январь 26</t>
  </si>
  <si>
    <t>Февраль 26</t>
  </si>
  <si>
    <t>Март 26</t>
  </si>
  <si>
    <t>Апрель 2026</t>
  </si>
  <si>
    <t>Май 2026</t>
  </si>
  <si>
    <t>Июнь 2026</t>
  </si>
  <si>
    <t>Июль 2026</t>
  </si>
  <si>
    <t>Отвердитель Starkbond 521C 10.0 бочка 200кг</t>
  </si>
  <si>
    <t>Отвердитель Starkbond 521C 11.0 бочка 200кг</t>
  </si>
  <si>
    <t>отвердитель Starkbond 746/1 С бочка 200кг</t>
  </si>
  <si>
    <t>Отвердитель Starkbond 525C 2.0 Бочка 200 кг</t>
  </si>
  <si>
    <t>Отвердитель Starkbond 525C 3.0 Бочка 200 кг</t>
  </si>
  <si>
    <t>отвердитель Starkbond 525C v0 (ведро 22 кг)</t>
  </si>
  <si>
    <t>Клей Starkbond 745/41 А (бочка 200 кг)</t>
  </si>
  <si>
    <t>Клей Starkbond 525A бочка 200 кг</t>
  </si>
  <si>
    <t>Клей Starkbond 522A бочка 220 кг</t>
  </si>
  <si>
    <t>Отвердитель Starkbond 747С ведро 5 кг</t>
  </si>
  <si>
    <t>Клей Starkbond 2014 бочка 225кг</t>
  </si>
  <si>
    <t>Клей Starkbond 746A бочка 200 кг</t>
  </si>
  <si>
    <t>Клей Starkbond 745/40А ведро 20 кг, Клей Starkbond 745/41 А (ведро 20кг)</t>
  </si>
  <si>
    <t>клей Starkbond 745/3 А</t>
  </si>
  <si>
    <t>Клей Starkbond 2025 RC7 бочка 225 кг</t>
  </si>
  <si>
    <t>отвердитель Starkbond 521 C 2.2 бочка 200кг</t>
  </si>
  <si>
    <t>отвердитель Starkbond 521 C 3.0 бочка 200кг</t>
  </si>
  <si>
    <t>Отвердитель Starkbond 521C 10.0 ведро 20кг</t>
  </si>
  <si>
    <t>Отвердитель Starkbond 521C бочка 200кг</t>
  </si>
  <si>
    <t>Отвердитель Starkbond 525C 2.0</t>
  </si>
  <si>
    <t>Клей Starkbond 745/41 А (ведро 20кг)</t>
  </si>
  <si>
    <t>Sancon Pro</t>
  </si>
  <si>
    <t>отвердитель Starkbond 525C 3.0 ведро 20кг</t>
  </si>
  <si>
    <t>Клей Starkbond FW-0001 ведро 20 кг</t>
  </si>
  <si>
    <t>Клей Starkbond 523/1A ведро 20 кг</t>
  </si>
  <si>
    <t>Starkbond 2004 бочка 225 кг</t>
  </si>
  <si>
    <t>отвердитель Starkbond 746 С ведро 20кг</t>
  </si>
  <si>
    <t>Образцы</t>
  </si>
  <si>
    <t>клей Starkbond 745/3 А бочка 200кг</t>
  </si>
  <si>
    <t>Клей Starkbond 745/40А ведро 20 кг</t>
  </si>
  <si>
    <t>Клей Starkbond 745/4А (ведро 20кг)</t>
  </si>
  <si>
    <t>Отвердитель Starkbond 745С ведро 20 кг</t>
  </si>
  <si>
    <t>Клей Starkbond 745/40А бочка 200 кг</t>
  </si>
  <si>
    <t>Клей Starkbond 523A бочка 220кг</t>
  </si>
  <si>
    <t>Клей Starkbond 2025 RC7 LV 225 кг</t>
  </si>
  <si>
    <t>SANCOS PRO</t>
  </si>
  <si>
    <t>Клей Starkbond 521A ведро 22 кг</t>
  </si>
  <si>
    <t>Отвердитель Starkbond 521C 10.0 ведро 11кг</t>
  </si>
  <si>
    <t>Клей Starkbond 523/1A бочка 220 кг</t>
  </si>
  <si>
    <t>отвердитель Starkbond 746/1 С ведро 20кг</t>
  </si>
  <si>
    <t>Клей Starkbond 523A 1.0 бочка 220кг</t>
  </si>
  <si>
    <t>Клей Starkbond 746A ведро 20 кг</t>
  </si>
  <si>
    <t>Отвердитель Starkbond 521C ведро 20кг</t>
  </si>
  <si>
    <t>Клей Starkbond 522A ведро 22 кг</t>
  </si>
  <si>
    <t>Starkbond 2014 ведро 20кг</t>
  </si>
  <si>
    <t>Sancos PROPOL 101A бочка 180 кг</t>
  </si>
  <si>
    <t>отвердитель Starkbond 746 С бочка 200 кг</t>
  </si>
  <si>
    <t>Starkbond 2014 ведро 5кг, Клей Starkbond 2025 RC7 ведро 5 кг</t>
  </si>
  <si>
    <t>отвердитель Starkbond 525C VO ведро 20кг</t>
  </si>
  <si>
    <t>отвердитель Starkbond 525C 2.0 ведро 20кг</t>
  </si>
  <si>
    <t>Отвердитель Starkbond 525С 3.1  ведро 20 кг</t>
  </si>
  <si>
    <t>Отвердитель Starkbond 525 C 6.0 бочка 200 кг</t>
  </si>
  <si>
    <t>SANCOS PRO SAFETY 145 M канистра 11,59 кг</t>
  </si>
  <si>
    <t>Отвердитель Starkbond 521C 3.0 бочка 200кг</t>
  </si>
  <si>
    <t>Sancos PRONATE 501B бочка 240 кг</t>
  </si>
  <si>
    <t>SANCOS PRO SAFETY 145 M канистра 23,18 кг</t>
  </si>
  <si>
    <t>Отвердитель Starkbond 525C 3.2 Бочка 200 кг</t>
  </si>
  <si>
    <t>Отвердитель Starkbond 525C 7.0 бочка 120 кг</t>
  </si>
  <si>
    <t>Клей Starkbond 525A 2.0 бочка 200 кг</t>
  </si>
  <si>
    <t>Отвердитель Starkbond 525C 3.21 бочка 200 кг</t>
  </si>
  <si>
    <t>Отвердитель Starkbond 525C 7.0 бочка 200 кг</t>
  </si>
  <si>
    <t>SANCOS PRO SAFETY 345/5 канистра 7,73 кг</t>
  </si>
  <si>
    <t>Отвердитель Starkbond 525C 7.0 ведро 20 кг</t>
  </si>
  <si>
    <t>Клей Starkbond 525A 2.0 ведро 20 кг</t>
  </si>
  <si>
    <t>Starkbond 2015 ведро 10 кг</t>
  </si>
  <si>
    <t>Sancos Pro Safety 165 канистра 14,8 кг</t>
  </si>
  <si>
    <t>Отвердитель Starkbond 747/2C (ведро 10кг)</t>
  </si>
  <si>
    <t>Клей Starkbond 746/3A (ведро 20 кг)</t>
  </si>
  <si>
    <t>Sancos PROPOL 101A бочка 90 кг</t>
  </si>
  <si>
    <t>SANCOS PRO SAFETY 160 канистра 23,18 кг</t>
  </si>
  <si>
    <t>SANCOS PRO SAFETY 345 канистра 23,18 кг</t>
  </si>
  <si>
    <t>SANCOS PRO SAFETY 160 канистра 11,59 кг</t>
  </si>
  <si>
    <t>Отвердитель Starkbond 747/2C ведро 6 кг</t>
  </si>
  <si>
    <t>Sancos Pro Safety 345 канистра 11,59 кг</t>
  </si>
  <si>
    <t>Отвердитель Starkbond 525C 6.0 ведро 20кг</t>
  </si>
  <si>
    <t>Клей Starkbond 2025 RC7 LV 220 кг</t>
  </si>
  <si>
    <t>Sancos Pro Safety 145 канистра 11,59 кг</t>
  </si>
  <si>
    <t>01F2601</t>
  </si>
  <si>
    <t>01F2602</t>
  </si>
  <si>
    <t>01F2603</t>
  </si>
  <si>
    <t>01F2604</t>
  </si>
  <si>
    <t>01F2605</t>
  </si>
  <si>
    <t>01F2606</t>
  </si>
  <si>
    <t>01F2607</t>
  </si>
  <si>
    <t>01F2608</t>
  </si>
  <si>
    <t>01F2609</t>
  </si>
  <si>
    <t>01F2610</t>
  </si>
  <si>
    <t>01F26R11</t>
  </si>
  <si>
    <t>02F2601</t>
  </si>
  <si>
    <t>02F2602</t>
  </si>
  <si>
    <t>02F2603</t>
  </si>
  <si>
    <t>02F2604</t>
  </si>
  <si>
    <t>02F2605</t>
  </si>
  <si>
    <t>02F2606</t>
  </si>
  <si>
    <t>02F2607</t>
  </si>
  <si>
    <t>02F2608</t>
  </si>
  <si>
    <t>02F26R11</t>
  </si>
  <si>
    <t>02F2609</t>
  </si>
  <si>
    <t>02F2610</t>
  </si>
  <si>
    <t>03F2601</t>
  </si>
  <si>
    <t>03F2602</t>
  </si>
  <si>
    <t>03F2603</t>
  </si>
  <si>
    <t>03F26R11</t>
  </si>
  <si>
    <t>2014 (1800) Тестовый Изоцианат COSMONATE PH</t>
  </si>
  <si>
    <t>03F2604</t>
  </si>
  <si>
    <t>03F2605</t>
  </si>
  <si>
    <t>03F2606</t>
  </si>
  <si>
    <t>03F2607</t>
  </si>
  <si>
    <t>03F2608</t>
  </si>
  <si>
    <t>03F2609</t>
  </si>
  <si>
    <t>03F2610</t>
  </si>
  <si>
    <t>04F2601</t>
  </si>
  <si>
    <t>04F2602</t>
  </si>
  <si>
    <t>04F2603</t>
  </si>
  <si>
    <t>04F2604</t>
  </si>
  <si>
    <t>04F2605</t>
  </si>
  <si>
    <t>13А2609</t>
  </si>
  <si>
    <t>Отвердитель Starkbond 521C 11.0 ведро 11кг</t>
  </si>
  <si>
    <t>Акт №44 от 04.06.26 Продление ГП, смена партии 04FP2609</t>
  </si>
  <si>
    <t>04F2606</t>
  </si>
  <si>
    <t>02F26R03</t>
  </si>
  <si>
    <t>Клей Starkbond 746/4А (ведро 20кг)</t>
  </si>
  <si>
    <t>смена номенклатуры</t>
  </si>
  <si>
    <t>04F2607</t>
  </si>
  <si>
    <t>04F2608</t>
  </si>
  <si>
    <t>04F26R11</t>
  </si>
  <si>
    <t>04F2609</t>
  </si>
  <si>
    <t>04F2610</t>
  </si>
  <si>
    <t>25K2501R019</t>
  </si>
  <si>
    <t>Акт №45 продление ГП</t>
  </si>
  <si>
    <t>25K2502R019</t>
  </si>
  <si>
    <t>25K2503R019</t>
  </si>
  <si>
    <t>25K2504R019</t>
  </si>
  <si>
    <t>25K2509R019</t>
  </si>
  <si>
    <t>ШККА-000243</t>
  </si>
  <si>
    <t>Фильтрация Отвердитель Starkbond 521C бочка 200кг - 14B2517EX06R0190, 25K2501EX06R0190</t>
  </si>
  <si>
    <t>05F2601</t>
  </si>
  <si>
    <t>05F2602</t>
  </si>
  <si>
    <t>05F2603</t>
  </si>
  <si>
    <t>05F2604</t>
  </si>
  <si>
    <t>05F2605</t>
  </si>
  <si>
    <t>05F2606</t>
  </si>
  <si>
    <t>05F2607</t>
  </si>
  <si>
    <t>05F26R11</t>
  </si>
  <si>
    <t>05F2608</t>
  </si>
  <si>
    <t>05F2609</t>
  </si>
  <si>
    <t>05F2610</t>
  </si>
  <si>
    <t>06F26R11</t>
  </si>
  <si>
    <t>06F2601</t>
  </si>
  <si>
    <t>06F2602</t>
  </si>
  <si>
    <t>06F2603</t>
  </si>
  <si>
    <t>06F2604</t>
  </si>
  <si>
    <t>06F2605</t>
  </si>
  <si>
    <t>06F2611</t>
  </si>
  <si>
    <t>Клей Starkbond 521A  ведро 22 кг</t>
  </si>
  <si>
    <t>фасовка</t>
  </si>
  <si>
    <t>06F2612</t>
  </si>
  <si>
    <t>Отвердитель Starkbond 525C 6.0  ведро 20кг</t>
  </si>
  <si>
    <t>06F2606</t>
  </si>
  <si>
    <t>06F2607</t>
  </si>
  <si>
    <t>06F2608</t>
  </si>
  <si>
    <t>06F2609</t>
  </si>
  <si>
    <t>06F2610</t>
  </si>
  <si>
    <t>07F26R11</t>
  </si>
  <si>
    <t>07F2601</t>
  </si>
  <si>
    <t>07F2602</t>
  </si>
  <si>
    <t>07F2603</t>
  </si>
  <si>
    <t>07F2604</t>
  </si>
  <si>
    <t>07F2605</t>
  </si>
  <si>
    <t>07F2606</t>
  </si>
  <si>
    <t>07F2607</t>
  </si>
  <si>
    <t>07F2608</t>
  </si>
  <si>
    <t>07F2609</t>
  </si>
  <si>
    <t>07F2610</t>
  </si>
  <si>
    <t>08F26R11</t>
  </si>
  <si>
    <t>08F2601</t>
  </si>
  <si>
    <t>08F2602</t>
  </si>
  <si>
    <t>08F2603</t>
  </si>
  <si>
    <t>08F2604</t>
  </si>
  <si>
    <t>08F2605</t>
  </si>
  <si>
    <t>08F2606</t>
  </si>
  <si>
    <t>08F2607</t>
  </si>
  <si>
    <t>08F2608</t>
  </si>
  <si>
    <t>08F2609</t>
  </si>
  <si>
    <t>08F2610</t>
  </si>
  <si>
    <t>09F26R11</t>
  </si>
  <si>
    <t>09F2601</t>
  </si>
  <si>
    <t>09F2602</t>
  </si>
  <si>
    <t>09F2603</t>
  </si>
  <si>
    <t>09F2604</t>
  </si>
  <si>
    <t>09F2605</t>
  </si>
  <si>
    <t>09F2606</t>
  </si>
  <si>
    <t>18L2506</t>
  </si>
  <si>
    <t>Акт №46 продление ГП</t>
  </si>
  <si>
    <t>09F2607</t>
  </si>
  <si>
    <t>09F2608</t>
  </si>
  <si>
    <t>09F2609</t>
  </si>
  <si>
    <t>09F2610</t>
  </si>
  <si>
    <t>09F2611</t>
  </si>
  <si>
    <t>Клей Starkbond 525A 3.0 ведро 20 кг</t>
  </si>
  <si>
    <t>09F2612</t>
  </si>
  <si>
    <t>Клей Starkbond 525A 4.0 ведро 20 кг</t>
  </si>
  <si>
    <t>09F2613</t>
  </si>
  <si>
    <t>10F26R11</t>
  </si>
  <si>
    <t>10F2601</t>
  </si>
  <si>
    <t>10F2602</t>
  </si>
  <si>
    <t>10F2603</t>
  </si>
  <si>
    <t>10F2604</t>
  </si>
  <si>
    <t>10F2605</t>
  </si>
  <si>
    <t>10F2606</t>
  </si>
  <si>
    <t>10F2607</t>
  </si>
  <si>
    <t>10F2608</t>
  </si>
  <si>
    <t>10F2609</t>
  </si>
  <si>
    <t>10F2610</t>
  </si>
  <si>
    <t>11F2601</t>
  </si>
  <si>
    <t>11F2602</t>
  </si>
  <si>
    <t>11F2603</t>
  </si>
  <si>
    <t>11F2604</t>
  </si>
  <si>
    <t>11F2605</t>
  </si>
  <si>
    <t>11F2606</t>
  </si>
  <si>
    <t>11F2607</t>
  </si>
  <si>
    <t>11F2608</t>
  </si>
  <si>
    <t>11F2609</t>
  </si>
  <si>
    <t>11F2610</t>
  </si>
  <si>
    <t>11F2611</t>
  </si>
  <si>
    <t>521A (55) 11F2611R0190 Образец (PREPOLYMER Polyurethane Binder)</t>
  </si>
  <si>
    <t>11F2612</t>
  </si>
  <si>
    <t>521A (65) 11F2612R0190 Образец (PREPOLYMER HC-8419V)</t>
  </si>
  <si>
    <t>11F2613</t>
  </si>
  <si>
    <t>521A (70) 11F2613R0190 Образец (PREPOLYMER Madisonol P5191)</t>
  </si>
  <si>
    <t>12F2601</t>
  </si>
  <si>
    <t>12F2602</t>
  </si>
  <si>
    <t>12F2603</t>
  </si>
  <si>
    <t>12F2604</t>
  </si>
  <si>
    <t>12F2605</t>
  </si>
  <si>
    <t>12F2606</t>
  </si>
  <si>
    <t>12F2607</t>
  </si>
  <si>
    <t>12F2608</t>
  </si>
  <si>
    <t>12F2609</t>
  </si>
  <si>
    <t>12F2610</t>
  </si>
  <si>
    <t>12F2611</t>
  </si>
  <si>
    <t>13F2601</t>
  </si>
  <si>
    <t>13F2602</t>
  </si>
  <si>
    <t>13F2603</t>
  </si>
  <si>
    <t>13F2604</t>
  </si>
  <si>
    <t>13F2605</t>
  </si>
  <si>
    <t>13F2606</t>
  </si>
  <si>
    <t>13F2607</t>
  </si>
  <si>
    <t>13F2608</t>
  </si>
  <si>
    <t>13F2609</t>
  </si>
  <si>
    <t>13F2610</t>
  </si>
  <si>
    <t>14F2601</t>
  </si>
  <si>
    <t>14F2602</t>
  </si>
  <si>
    <t>14F2603</t>
  </si>
  <si>
    <t>14F2604</t>
  </si>
  <si>
    <t>14F2605</t>
  </si>
  <si>
    <t>14F2606</t>
  </si>
  <si>
    <t>14F2607</t>
  </si>
  <si>
    <t>14F2608</t>
  </si>
  <si>
    <t>14F2609</t>
  </si>
  <si>
    <t>14F2610</t>
  </si>
  <si>
    <t>15F2601</t>
  </si>
  <si>
    <t>15F2602</t>
  </si>
  <si>
    <t>15F2603</t>
  </si>
  <si>
    <t>15F2604</t>
  </si>
  <si>
    <t>15F2605</t>
  </si>
  <si>
    <t>15F2606</t>
  </si>
  <si>
    <t>15F2607</t>
  </si>
  <si>
    <t>15F2608</t>
  </si>
  <si>
    <t>15F2609</t>
  </si>
  <si>
    <t>15F2610</t>
  </si>
  <si>
    <t>16F2601</t>
  </si>
  <si>
    <t>16F2602</t>
  </si>
  <si>
    <t>16F2603</t>
  </si>
  <si>
    <t>16F2604</t>
  </si>
  <si>
    <t>16F2605</t>
  </si>
  <si>
    <t>16F2606</t>
  </si>
  <si>
    <t>01E26R11</t>
  </si>
  <si>
    <t>01E2601</t>
  </si>
  <si>
    <t>01E2602</t>
  </si>
  <si>
    <t>01E2603</t>
  </si>
  <si>
    <t>01E2604</t>
  </si>
  <si>
    <t>01E2605</t>
  </si>
  <si>
    <t>01E2606</t>
  </si>
  <si>
    <t>01E2607</t>
  </si>
  <si>
    <t>01E2608</t>
  </si>
  <si>
    <t>01E2609</t>
  </si>
  <si>
    <t>01E2610</t>
  </si>
  <si>
    <t>02E26R11</t>
  </si>
  <si>
    <t>02E2601</t>
  </si>
  <si>
    <t>02E2602</t>
  </si>
  <si>
    <t>02E2603</t>
  </si>
  <si>
    <t>02E2604</t>
  </si>
  <si>
    <t>02E2605</t>
  </si>
  <si>
    <t>02E2606</t>
  </si>
  <si>
    <t>02E2607</t>
  </si>
  <si>
    <t>02E2608</t>
  </si>
  <si>
    <t>02E2609</t>
  </si>
  <si>
    <t>02E2610</t>
  </si>
  <si>
    <t>03E26R11</t>
  </si>
  <si>
    <t>03E2615</t>
  </si>
  <si>
    <t>03E2601</t>
  </si>
  <si>
    <t>03E2602</t>
  </si>
  <si>
    <t>03E2603</t>
  </si>
  <si>
    <t>03E2604</t>
  </si>
  <si>
    <t>03E2605</t>
  </si>
  <si>
    <t>03E2606</t>
  </si>
  <si>
    <t>03E2607</t>
  </si>
  <si>
    <t>03E2608</t>
  </si>
  <si>
    <t>03E2609</t>
  </si>
  <si>
    <t>03E2610</t>
  </si>
  <si>
    <t>04E26R21</t>
  </si>
  <si>
    <t>04E2601</t>
  </si>
  <si>
    <t>04E2602</t>
  </si>
  <si>
    <t>04E2603</t>
  </si>
  <si>
    <t>04E2604</t>
  </si>
  <si>
    <t>04E2605</t>
  </si>
  <si>
    <t>04E2606</t>
  </si>
  <si>
    <t>04E2607</t>
  </si>
  <si>
    <t>04E2608</t>
  </si>
  <si>
    <t>04E26R11</t>
  </si>
  <si>
    <t>04E2609</t>
  </si>
  <si>
    <t>04E2610</t>
  </si>
  <si>
    <t>05E2601</t>
  </si>
  <si>
    <t>05E2602</t>
  </si>
  <si>
    <t>05E2603</t>
  </si>
  <si>
    <t>05E2604</t>
  </si>
  <si>
    <t>05E2605</t>
  </si>
  <si>
    <t>05E26R21</t>
  </si>
  <si>
    <t>05E26R11</t>
  </si>
  <si>
    <t>05E2606</t>
  </si>
  <si>
    <t>05E2607</t>
  </si>
  <si>
    <t>05E2608</t>
  </si>
  <si>
    <t>05E2609</t>
  </si>
  <si>
    <t>05E2610</t>
  </si>
  <si>
    <t>24K25R21EX06</t>
  </si>
  <si>
    <t>Sancos PRONATE 501B бочка 80 кг</t>
  </si>
  <si>
    <t xml:space="preserve">Акт № 41 о продлении срока годности ГП
</t>
  </si>
  <si>
    <t>22E25R11EX06</t>
  </si>
  <si>
    <t>Starkbond 2004  бочка 225 кг</t>
  </si>
  <si>
    <t>23E25R11EX06</t>
  </si>
  <si>
    <t>21E25R11EX06</t>
  </si>
  <si>
    <t>Starkbond 2015 бочка 220кг</t>
  </si>
  <si>
    <t>04E25R11EX06</t>
  </si>
  <si>
    <t>Клей Starkbond 2025 RC7 LV ведро 20кг</t>
  </si>
  <si>
    <t>04K25R11EX06</t>
  </si>
  <si>
    <t>06E2611</t>
  </si>
  <si>
    <t>SANCOS PRO SAFETY 145 канистра 23,18 кг</t>
  </si>
  <si>
    <t>06E26R11</t>
  </si>
  <si>
    <t>06E26R21</t>
  </si>
  <si>
    <t>07E26R11</t>
  </si>
  <si>
    <t>07E26R21</t>
  </si>
  <si>
    <t>07E2601</t>
  </si>
  <si>
    <t>16C2601</t>
  </si>
  <si>
    <t>SANCOS PRO SAFETY 160 А канистра 11,59 кг</t>
  </si>
  <si>
    <t xml:space="preserve">смена номенклатуры для отгрузки Спецзаказ (заказ клиента ШККА-000196 от 04.05.26) </t>
  </si>
  <si>
    <t>08E2601</t>
  </si>
  <si>
    <t>08E2602</t>
  </si>
  <si>
    <t>08E2603</t>
  </si>
  <si>
    <t>08E2604</t>
  </si>
  <si>
    <t>08E2605</t>
  </si>
  <si>
    <t>08E2606</t>
  </si>
  <si>
    <t>08E26R21</t>
  </si>
  <si>
    <t>08E2607</t>
  </si>
  <si>
    <t>08E2608</t>
  </si>
  <si>
    <t>08E26R11</t>
  </si>
  <si>
    <t>08E2609</t>
  </si>
  <si>
    <t>08E2610</t>
  </si>
  <si>
    <t>09E2611</t>
  </si>
  <si>
    <t>09E2601</t>
  </si>
  <si>
    <t>09E2602</t>
  </si>
  <si>
    <t>09E2603</t>
  </si>
  <si>
    <t>09E2604</t>
  </si>
  <si>
    <t>09E2605</t>
  </si>
  <si>
    <t>09E2606</t>
  </si>
  <si>
    <t>09E2607</t>
  </si>
  <si>
    <t>09E2608</t>
  </si>
  <si>
    <t>09E2609</t>
  </si>
  <si>
    <t>09E2610</t>
  </si>
  <si>
    <t>10E2601</t>
  </si>
  <si>
    <t>10E2602</t>
  </si>
  <si>
    <t>10E2603</t>
  </si>
  <si>
    <t>10E2604</t>
  </si>
  <si>
    <t>10E2605</t>
  </si>
  <si>
    <t>10E2606</t>
  </si>
  <si>
    <t>10E2607</t>
  </si>
  <si>
    <t>10E2608</t>
  </si>
  <si>
    <t>10E2609</t>
  </si>
  <si>
    <t>10E2610</t>
  </si>
  <si>
    <t>11E2601</t>
  </si>
  <si>
    <t>11E2602</t>
  </si>
  <si>
    <t>11E2603</t>
  </si>
  <si>
    <t>11E2604</t>
  </si>
  <si>
    <t>12E2601</t>
  </si>
  <si>
    <t>12E2602</t>
  </si>
  <si>
    <t>12E2603</t>
  </si>
  <si>
    <t>12E2604</t>
  </si>
  <si>
    <t>12E2605</t>
  </si>
  <si>
    <t>12E2606</t>
  </si>
  <si>
    <t>12E2607</t>
  </si>
  <si>
    <t>12E2608</t>
  </si>
  <si>
    <t>13E2601</t>
  </si>
  <si>
    <t>13E2602</t>
  </si>
  <si>
    <t>13E2603</t>
  </si>
  <si>
    <t>13E2604</t>
  </si>
  <si>
    <t>13E2605</t>
  </si>
  <si>
    <t>13E2606</t>
  </si>
  <si>
    <t>13E2612</t>
  </si>
  <si>
    <t>13E2611</t>
  </si>
  <si>
    <t>13E2607</t>
  </si>
  <si>
    <t>13E2608</t>
  </si>
  <si>
    <t>14E2601</t>
  </si>
  <si>
    <t>14E2602</t>
  </si>
  <si>
    <t>14E2603</t>
  </si>
  <si>
    <t>06E25R11EX06R0190</t>
  </si>
  <si>
    <t>Акт № 42 о продлении срока годности ГП адресное хранение</t>
  </si>
  <si>
    <t>27DP2601</t>
  </si>
  <si>
    <t>Акт № 38 о продлении срока годности ГП 27.04.26</t>
  </si>
  <si>
    <t>27DP2601.</t>
  </si>
  <si>
    <t>28I2215EX35R0190</t>
  </si>
  <si>
    <t>Акт №25 от 20.02.26 продление ГП адресного хранения</t>
  </si>
  <si>
    <t>30H2416EX13R0190</t>
  </si>
  <si>
    <t>25F2501EX03R0190</t>
  </si>
  <si>
    <t>Акт № 40 о продлении срока годности ГП 30.04.26</t>
  </si>
  <si>
    <t>15E2501EX03R0190</t>
  </si>
  <si>
    <t>14E2604</t>
  </si>
  <si>
    <t>14E2605</t>
  </si>
  <si>
    <t>14E2606</t>
  </si>
  <si>
    <t>14E2607</t>
  </si>
  <si>
    <t>14E2608</t>
  </si>
  <si>
    <t>14E2609</t>
  </si>
  <si>
    <t>14E2610</t>
  </si>
  <si>
    <t>15E2601</t>
  </si>
  <si>
    <t>15E2611</t>
  </si>
  <si>
    <t>15E2612</t>
  </si>
  <si>
    <t>15E2602</t>
  </si>
  <si>
    <t>15E2603</t>
  </si>
  <si>
    <t>15E2604</t>
  </si>
  <si>
    <t>15E2613</t>
  </si>
  <si>
    <t>15E2614</t>
  </si>
  <si>
    <t>15E2605</t>
  </si>
  <si>
    <t>15E2606</t>
  </si>
  <si>
    <t>15E2607</t>
  </si>
  <si>
    <t>15E2608</t>
  </si>
  <si>
    <t>15E2609</t>
  </si>
  <si>
    <t>15E2610</t>
  </si>
  <si>
    <t>16E2601</t>
  </si>
  <si>
    <t>16E2602</t>
  </si>
  <si>
    <t>16E2603</t>
  </si>
  <si>
    <t>16E2604</t>
  </si>
  <si>
    <t>16E2605</t>
  </si>
  <si>
    <t>16E2606</t>
  </si>
  <si>
    <t>16E2607</t>
  </si>
  <si>
    <t>16E2608</t>
  </si>
  <si>
    <t>16E2609</t>
  </si>
  <si>
    <t>16E2610</t>
  </si>
  <si>
    <t>16E2611</t>
  </si>
  <si>
    <t>16E2612</t>
  </si>
  <si>
    <t>16E2613</t>
  </si>
  <si>
    <t>17E2601</t>
  </si>
  <si>
    <t>17E2602</t>
  </si>
  <si>
    <t>17E2603</t>
  </si>
  <si>
    <t>17E2604</t>
  </si>
  <si>
    <t>17E2605</t>
  </si>
  <si>
    <t>17E2606</t>
  </si>
  <si>
    <t>17E2607</t>
  </si>
  <si>
    <t>17E2608</t>
  </si>
  <si>
    <t>17E2611</t>
  </si>
  <si>
    <t>Фасовка 521А 440кг (15E2608, 15E2607)</t>
  </si>
  <si>
    <t>17E2612</t>
  </si>
  <si>
    <t>Фасовка 525C 6.0 200 (22C2612)</t>
  </si>
  <si>
    <t>19E2601</t>
  </si>
  <si>
    <t>19E2602</t>
  </si>
  <si>
    <t>19E2603</t>
  </si>
  <si>
    <t>19E2604</t>
  </si>
  <si>
    <t>19E2605</t>
  </si>
  <si>
    <t>19E2606</t>
  </si>
  <si>
    <t>20E2601</t>
  </si>
  <si>
    <t>20E2602</t>
  </si>
  <si>
    <t>20E2603</t>
  </si>
  <si>
    <t>20E2604</t>
  </si>
  <si>
    <t>20E2605</t>
  </si>
  <si>
    <t>20E2606</t>
  </si>
  <si>
    <t>21E2601</t>
  </si>
  <si>
    <t>21E2602</t>
  </si>
  <si>
    <t>21E2603</t>
  </si>
  <si>
    <t>21E2604</t>
  </si>
  <si>
    <t>21E26R11</t>
  </si>
  <si>
    <t>21E26R21</t>
  </si>
  <si>
    <t>21E2605</t>
  </si>
  <si>
    <t>21E2606</t>
  </si>
  <si>
    <t>21E2607</t>
  </si>
  <si>
    <t>21E2608</t>
  </si>
  <si>
    <t>22E2601</t>
  </si>
  <si>
    <t>22E2602</t>
  </si>
  <si>
    <t>22E2603</t>
  </si>
  <si>
    <t>22E2604</t>
  </si>
  <si>
    <t>22E2611</t>
  </si>
  <si>
    <t>22E26R21</t>
  </si>
  <si>
    <t>22E2615</t>
  </si>
  <si>
    <t>Фасовка 521С 10.0 - 19C2609</t>
  </si>
  <si>
    <t>22E2612</t>
  </si>
  <si>
    <t>23E2601</t>
  </si>
  <si>
    <t>23E2602</t>
  </si>
  <si>
    <t>23E2603</t>
  </si>
  <si>
    <t>23E2604</t>
  </si>
  <si>
    <t>23E2605</t>
  </si>
  <si>
    <t>23E2606</t>
  </si>
  <si>
    <t>23E2607</t>
  </si>
  <si>
    <t>23E2608</t>
  </si>
  <si>
    <t>24E2601</t>
  </si>
  <si>
    <t>24E2602</t>
  </si>
  <si>
    <t>24E2603</t>
  </si>
  <si>
    <t>24E2604</t>
  </si>
  <si>
    <t>24E2605</t>
  </si>
  <si>
    <t>24E2606</t>
  </si>
  <si>
    <t>24E2607</t>
  </si>
  <si>
    <t>24E2608</t>
  </si>
  <si>
    <t>25E2611</t>
  </si>
  <si>
    <t>745/41A (фасовка в ведра 1800кг) 01E26R11</t>
  </si>
  <si>
    <t>25E2612</t>
  </si>
  <si>
    <t>745/40A (фасовка в ведра) 23D26R21, 01E26R11, 02E26R11</t>
  </si>
  <si>
    <t>26E2601</t>
  </si>
  <si>
    <t>26E2602</t>
  </si>
  <si>
    <t>26E2603</t>
  </si>
  <si>
    <t>26E2604</t>
  </si>
  <si>
    <t>26E2611</t>
  </si>
  <si>
    <t>26E2612</t>
  </si>
  <si>
    <t>26E2605</t>
  </si>
  <si>
    <t>26E2606</t>
  </si>
  <si>
    <t>26E2607</t>
  </si>
  <si>
    <t>26E2608</t>
  </si>
  <si>
    <t>27E2601</t>
  </si>
  <si>
    <t>27E2602</t>
  </si>
  <si>
    <t>27E2603</t>
  </si>
  <si>
    <t>27E2604</t>
  </si>
  <si>
    <t>27E2611</t>
  </si>
  <si>
    <t>Фасовка 521А 440кг (01E2609,14E2605 )</t>
  </si>
  <si>
    <t>27E2605</t>
  </si>
  <si>
    <t>27E2606</t>
  </si>
  <si>
    <t>27E2607</t>
  </si>
  <si>
    <t>27E2608</t>
  </si>
  <si>
    <t>27E2612</t>
  </si>
  <si>
    <t>Фасовка 525C 6.0 200 (22C2614)</t>
  </si>
  <si>
    <t>27E2613</t>
  </si>
  <si>
    <t>Клей Starkbond 525A  ведро 20 кг</t>
  </si>
  <si>
    <t>Фасовка 525А 200 (26B26R11)</t>
  </si>
  <si>
    <t>28E2601</t>
  </si>
  <si>
    <t>28E2602</t>
  </si>
  <si>
    <t>28E2603</t>
  </si>
  <si>
    <t>28E2604</t>
  </si>
  <si>
    <t>28E2605</t>
  </si>
  <si>
    <t>28E2606</t>
  </si>
  <si>
    <t>28E2607</t>
  </si>
  <si>
    <t>28E2608</t>
  </si>
  <si>
    <t>29E2601</t>
  </si>
  <si>
    <t>29E2602</t>
  </si>
  <si>
    <t>29E2603</t>
  </si>
  <si>
    <t>29E2604</t>
  </si>
  <si>
    <t>29E2605</t>
  </si>
  <si>
    <t>29E2606</t>
  </si>
  <si>
    <t>29E2607</t>
  </si>
  <si>
    <t>29E2608</t>
  </si>
  <si>
    <t>29E2609</t>
  </si>
  <si>
    <t>29E2610</t>
  </si>
  <si>
    <t>30E2601</t>
  </si>
  <si>
    <t>30E2602</t>
  </si>
  <si>
    <t>30E2603</t>
  </si>
  <si>
    <t>30E2604</t>
  </si>
  <si>
    <t>30E2605</t>
  </si>
  <si>
    <t>30E2606</t>
  </si>
  <si>
    <t>30E2607</t>
  </si>
  <si>
    <t>30E2608</t>
  </si>
  <si>
    <t>30E2609</t>
  </si>
  <si>
    <t>30E2610</t>
  </si>
  <si>
    <t>31E2611</t>
  </si>
  <si>
    <t>31E2615</t>
  </si>
  <si>
    <t>Отвердитель Starkbond 746/3C ведро 20 кг</t>
  </si>
  <si>
    <t>31E2612</t>
  </si>
  <si>
    <t>31E2613</t>
  </si>
  <si>
    <t>31E2614</t>
  </si>
  <si>
    <t>31E2601</t>
  </si>
  <si>
    <t>31E2602</t>
  </si>
  <si>
    <t>31E2603</t>
  </si>
  <si>
    <t>31E2604</t>
  </si>
  <si>
    <t>01D2612</t>
  </si>
  <si>
    <t>01D2611</t>
  </si>
  <si>
    <t>01D2601</t>
  </si>
  <si>
    <t>01D2602</t>
  </si>
  <si>
    <t>01D2603</t>
  </si>
  <si>
    <t>01D2604</t>
  </si>
  <si>
    <t>01D2605</t>
  </si>
  <si>
    <t>09H25R11.</t>
  </si>
  <si>
    <t>Фасовка 2015- 10кг</t>
  </si>
  <si>
    <t>01D2606</t>
  </si>
  <si>
    <t>01D26R11</t>
  </si>
  <si>
    <t>01D2607</t>
  </si>
  <si>
    <t>01D2608</t>
  </si>
  <si>
    <t>01D2609</t>
  </si>
  <si>
    <t>01D2610</t>
  </si>
  <si>
    <t>02D2601</t>
  </si>
  <si>
    <t>02D2602</t>
  </si>
  <si>
    <t>02D2603</t>
  </si>
  <si>
    <t>02D2604</t>
  </si>
  <si>
    <t>02D2605</t>
  </si>
  <si>
    <t>02D2606</t>
  </si>
  <si>
    <t>02D2607</t>
  </si>
  <si>
    <t>02D2608</t>
  </si>
  <si>
    <t>02D2609</t>
  </si>
  <si>
    <t>02D2610</t>
  </si>
  <si>
    <t>02D26R11</t>
  </si>
  <si>
    <t>03D2601</t>
  </si>
  <si>
    <t>03D2602</t>
  </si>
  <si>
    <t>03D2603</t>
  </si>
  <si>
    <t>03D2604</t>
  </si>
  <si>
    <t>03D2605</t>
  </si>
  <si>
    <t>03D2606</t>
  </si>
  <si>
    <t>03D2607</t>
  </si>
  <si>
    <t>03D2608</t>
  </si>
  <si>
    <t>03D2609</t>
  </si>
  <si>
    <t>03D26R11</t>
  </si>
  <si>
    <t>03D2610</t>
  </si>
  <si>
    <t>04D26R11</t>
  </si>
  <si>
    <t>04D26R21</t>
  </si>
  <si>
    <t>04D2601</t>
  </si>
  <si>
    <t>04D2602</t>
  </si>
  <si>
    <t>04D2603</t>
  </si>
  <si>
    <t>04D2604</t>
  </si>
  <si>
    <t>04D2605</t>
  </si>
  <si>
    <t>04D2606</t>
  </si>
  <si>
    <t>04D2607</t>
  </si>
  <si>
    <t>05D26R11</t>
  </si>
  <si>
    <t>05D2601</t>
  </si>
  <si>
    <t>05D2602</t>
  </si>
  <si>
    <t>05D2603</t>
  </si>
  <si>
    <t>05D2604</t>
  </si>
  <si>
    <t>05D2605</t>
  </si>
  <si>
    <t>05D2606</t>
  </si>
  <si>
    <t>05D2607</t>
  </si>
  <si>
    <t>05D2608</t>
  </si>
  <si>
    <t>05D2609</t>
  </si>
  <si>
    <t>26C2619.</t>
  </si>
  <si>
    <t>Фасовка 521А 220кг 26C2619</t>
  </si>
  <si>
    <t>06D26R11</t>
  </si>
  <si>
    <t>06D2601</t>
  </si>
  <si>
    <t>06D2602</t>
  </si>
  <si>
    <t>521A (1100) из Мутного МИПС</t>
  </si>
  <si>
    <t>07D2601</t>
  </si>
  <si>
    <t>07D2602</t>
  </si>
  <si>
    <t>07D2603</t>
  </si>
  <si>
    <t>07D2604</t>
  </si>
  <si>
    <t>07D2605</t>
  </si>
  <si>
    <t>07D2606</t>
  </si>
  <si>
    <t>07D2607</t>
  </si>
  <si>
    <t>07D2608</t>
  </si>
  <si>
    <t>07D2609</t>
  </si>
  <si>
    <t>07D26R11</t>
  </si>
  <si>
    <t>07D2610</t>
  </si>
  <si>
    <t>08D26R11</t>
  </si>
  <si>
    <t>08D26R21</t>
  </si>
  <si>
    <t>09D26R11</t>
  </si>
  <si>
    <t>09D26R21</t>
  </si>
  <si>
    <t>09D2601</t>
  </si>
  <si>
    <t>10D2601</t>
  </si>
  <si>
    <t>10D2602</t>
  </si>
  <si>
    <t>10D2603</t>
  </si>
  <si>
    <t>10D2604</t>
  </si>
  <si>
    <t>10D2605</t>
  </si>
  <si>
    <t>10D26R11</t>
  </si>
  <si>
    <t>10D2606</t>
  </si>
  <si>
    <t>10D2607</t>
  </si>
  <si>
    <t>10D2608</t>
  </si>
  <si>
    <t>10D2609</t>
  </si>
  <si>
    <t>10D2610</t>
  </si>
  <si>
    <t>11D26R11</t>
  </si>
  <si>
    <t>11D2601</t>
  </si>
  <si>
    <t>11D2602</t>
  </si>
  <si>
    <t>11D2603</t>
  </si>
  <si>
    <t>11D2604</t>
  </si>
  <si>
    <t>11D2605</t>
  </si>
  <si>
    <t>11D2606</t>
  </si>
  <si>
    <t>11D2607</t>
  </si>
  <si>
    <t>11D2608</t>
  </si>
  <si>
    <t>11D2609</t>
  </si>
  <si>
    <t>11D2610</t>
  </si>
  <si>
    <t>12D26R11</t>
  </si>
  <si>
    <t>12D26R21</t>
  </si>
  <si>
    <t>12D2601</t>
  </si>
  <si>
    <t>12D2602</t>
  </si>
  <si>
    <t>12D2603</t>
  </si>
  <si>
    <t>12D2604</t>
  </si>
  <si>
    <t>12D2605</t>
  </si>
  <si>
    <t>12D2606</t>
  </si>
  <si>
    <t>12D2607</t>
  </si>
  <si>
    <t>12D2608</t>
  </si>
  <si>
    <t>12D2609</t>
  </si>
  <si>
    <t>12D2610</t>
  </si>
  <si>
    <t>13D2601</t>
  </si>
  <si>
    <t>13D2602</t>
  </si>
  <si>
    <t>13D2603</t>
  </si>
  <si>
    <t>13D2604</t>
  </si>
  <si>
    <t>13D2605</t>
  </si>
  <si>
    <t>13D26R21</t>
  </si>
  <si>
    <t>13D26R11</t>
  </si>
  <si>
    <t>13D2606</t>
  </si>
  <si>
    <t>14D2601</t>
  </si>
  <si>
    <t>14D2602</t>
  </si>
  <si>
    <t>14D2603</t>
  </si>
  <si>
    <t>14D2604</t>
  </si>
  <si>
    <t>14D2605</t>
  </si>
  <si>
    <t>14D2606</t>
  </si>
  <si>
    <t>14D2607</t>
  </si>
  <si>
    <t>14D2608</t>
  </si>
  <si>
    <t>14D26R21</t>
  </si>
  <si>
    <t>14D2609</t>
  </si>
  <si>
    <t>14D2610</t>
  </si>
  <si>
    <t>15D2601</t>
  </si>
  <si>
    <t>15D2602</t>
  </si>
  <si>
    <t>15D2603</t>
  </si>
  <si>
    <t>15D2604</t>
  </si>
  <si>
    <t>15D2605</t>
  </si>
  <si>
    <t>15D2606</t>
  </si>
  <si>
    <t>15D2607</t>
  </si>
  <si>
    <t>15D2608</t>
  </si>
  <si>
    <t>15D2609</t>
  </si>
  <si>
    <t>15D2610</t>
  </si>
  <si>
    <t>15D26R21</t>
  </si>
  <si>
    <t>16D2606.</t>
  </si>
  <si>
    <t>16D2607</t>
  </si>
  <si>
    <t>16D2608</t>
  </si>
  <si>
    <t>16D2609</t>
  </si>
  <si>
    <t>16D2610</t>
  </si>
  <si>
    <t>16D26R21</t>
  </si>
  <si>
    <t>16D2601</t>
  </si>
  <si>
    <t>16D2602</t>
  </si>
  <si>
    <t>16D2603</t>
  </si>
  <si>
    <t>16D2604</t>
  </si>
  <si>
    <t>16D2605</t>
  </si>
  <si>
    <t>17D2601</t>
  </si>
  <si>
    <t>17D2602</t>
  </si>
  <si>
    <t>17D2603</t>
  </si>
  <si>
    <t>17D2604</t>
  </si>
  <si>
    <t>17D2605</t>
  </si>
  <si>
    <t>17D2606</t>
  </si>
  <si>
    <t>17D2607</t>
  </si>
  <si>
    <t>17D2608</t>
  </si>
  <si>
    <t>17D26R21</t>
  </si>
  <si>
    <t>17D26R11</t>
  </si>
  <si>
    <t>17D2609</t>
  </si>
  <si>
    <t>17D2610</t>
  </si>
  <si>
    <t>17D2611</t>
  </si>
  <si>
    <t>18D26R11</t>
  </si>
  <si>
    <t>18D2601</t>
  </si>
  <si>
    <t>18D2602</t>
  </si>
  <si>
    <t>18D2603</t>
  </si>
  <si>
    <t>18D2604</t>
  </si>
  <si>
    <t>18D2605</t>
  </si>
  <si>
    <t>18D2606</t>
  </si>
  <si>
    <t>18D2607</t>
  </si>
  <si>
    <t>18D2608</t>
  </si>
  <si>
    <t>18D2609</t>
  </si>
  <si>
    <t>18D2610</t>
  </si>
  <si>
    <t>19D26R11</t>
  </si>
  <si>
    <t>19D2601</t>
  </si>
  <si>
    <t>19D2602</t>
  </si>
  <si>
    <t>20D26R11</t>
  </si>
  <si>
    <t>20D26R21</t>
  </si>
  <si>
    <t>21D2611</t>
  </si>
  <si>
    <t>21D2612</t>
  </si>
  <si>
    <t>21D26R11</t>
  </si>
  <si>
    <t>31C2609.</t>
  </si>
  <si>
    <t>Фасовка 521А 220кг  31C2609</t>
  </si>
  <si>
    <t>20C2604.</t>
  </si>
  <si>
    <t>Фасовка 521С 10.0 20C2604</t>
  </si>
  <si>
    <t>21D26R21</t>
  </si>
  <si>
    <t>22D2601</t>
  </si>
  <si>
    <t>22D2602</t>
  </si>
  <si>
    <t>22D2603</t>
  </si>
  <si>
    <t>22D2604</t>
  </si>
  <si>
    <t>22D2605</t>
  </si>
  <si>
    <t>22D2606</t>
  </si>
  <si>
    <t>22D2607</t>
  </si>
  <si>
    <t>22D2608</t>
  </si>
  <si>
    <t>22D26R11.</t>
  </si>
  <si>
    <t>23D2601</t>
  </si>
  <si>
    <t>23D2602</t>
  </si>
  <si>
    <t>23D2603</t>
  </si>
  <si>
    <t>23D2604</t>
  </si>
  <si>
    <t>23D2605</t>
  </si>
  <si>
    <t>23D2606</t>
  </si>
  <si>
    <t>23D2607</t>
  </si>
  <si>
    <t>23D2608</t>
  </si>
  <si>
    <t>23D2609</t>
  </si>
  <si>
    <t>23D2610</t>
  </si>
  <si>
    <t>23D2611</t>
  </si>
  <si>
    <t>23D2612</t>
  </si>
  <si>
    <t>23D26R11</t>
  </si>
  <si>
    <t>23D26R21</t>
  </si>
  <si>
    <t>24D26R11</t>
  </si>
  <si>
    <t>24D26R21</t>
  </si>
  <si>
    <t>24D2601</t>
  </si>
  <si>
    <t>24D26R22</t>
  </si>
  <si>
    <t>24D2602</t>
  </si>
  <si>
    <t>24D2603</t>
  </si>
  <si>
    <t>Sancos PROPOL 101A  бочка 90 кг</t>
  </si>
  <si>
    <t>29C2606.</t>
  </si>
  <si>
    <t>Фасовка 521А 220кг  29C2606</t>
  </si>
  <si>
    <t>25D2601</t>
  </si>
  <si>
    <t>745/40A (фасовка в ведра) 06B26R21, 07B26R21</t>
  </si>
  <si>
    <t>25D26R21</t>
  </si>
  <si>
    <t>25D26R11</t>
  </si>
  <si>
    <t>25D26R12</t>
  </si>
  <si>
    <t>25D2602</t>
  </si>
  <si>
    <t>745/40A (фасовка в ведра) 31C26R11</t>
  </si>
  <si>
    <t>26D26R21</t>
  </si>
  <si>
    <t>26D26R11</t>
  </si>
  <si>
    <t>26D2601</t>
  </si>
  <si>
    <t>26D2602</t>
  </si>
  <si>
    <t>26D2603</t>
  </si>
  <si>
    <t>26D2604</t>
  </si>
  <si>
    <t>26D2605</t>
  </si>
  <si>
    <t>26D2606</t>
  </si>
  <si>
    <t>26D2607</t>
  </si>
  <si>
    <t>26D2608</t>
  </si>
  <si>
    <t>26D2609</t>
  </si>
  <si>
    <t>26D2610</t>
  </si>
  <si>
    <t>27D2601</t>
  </si>
  <si>
    <t>27D2602</t>
  </si>
  <si>
    <t>27D2603</t>
  </si>
  <si>
    <t>27D2604</t>
  </si>
  <si>
    <t>27D2605</t>
  </si>
  <si>
    <t>27D2606</t>
  </si>
  <si>
    <t>27D2607</t>
  </si>
  <si>
    <t>27D2608</t>
  </si>
  <si>
    <t>27D2609</t>
  </si>
  <si>
    <t>27D2610</t>
  </si>
  <si>
    <t>27D2611</t>
  </si>
  <si>
    <t>28D2601</t>
  </si>
  <si>
    <t>28D2602</t>
  </si>
  <si>
    <t>28D2603</t>
  </si>
  <si>
    <t>28D2604</t>
  </si>
  <si>
    <t>28D2605</t>
  </si>
  <si>
    <t>28D2611</t>
  </si>
  <si>
    <t>07C2601.</t>
  </si>
  <si>
    <t>Фасовка 525C 6.0 - 07C2601</t>
  </si>
  <si>
    <t>29D26R11</t>
  </si>
  <si>
    <t>Клей Starkbond 746A  ведро 20 кг</t>
  </si>
  <si>
    <t>29D2601</t>
  </si>
  <si>
    <t>29D2602</t>
  </si>
  <si>
    <t>29D2603</t>
  </si>
  <si>
    <t>29D2604</t>
  </si>
  <si>
    <t>29D2605</t>
  </si>
  <si>
    <t>29D2606</t>
  </si>
  <si>
    <t>29D2607</t>
  </si>
  <si>
    <t>29D2608</t>
  </si>
  <si>
    <t>29D2609</t>
  </si>
  <si>
    <t>29D2610</t>
  </si>
  <si>
    <t>30D2601</t>
  </si>
  <si>
    <t>30D2602</t>
  </si>
  <si>
    <t>30D2603</t>
  </si>
  <si>
    <t>30D2604</t>
  </si>
  <si>
    <t>30D2605</t>
  </si>
  <si>
    <t>30D2606</t>
  </si>
  <si>
    <t>30D2607</t>
  </si>
  <si>
    <t>30D2608</t>
  </si>
  <si>
    <t>30D2609</t>
  </si>
  <si>
    <t>30D2610</t>
  </si>
  <si>
    <t>30D2611</t>
  </si>
  <si>
    <t>20C2606.</t>
  </si>
  <si>
    <t>Фасовка 521С 10.0 20C2606</t>
  </si>
  <si>
    <t>17D2606.</t>
  </si>
  <si>
    <t>Фасовка 521А 220кг 17D2606</t>
  </si>
  <si>
    <t>30D2615</t>
  </si>
  <si>
    <t>отвердитель Starkbond 746 С  ведро 20кг</t>
  </si>
  <si>
    <t>Фасовка 746/1С  в 746С (400) 06C2612</t>
  </si>
  <si>
    <t>01C26R21</t>
  </si>
  <si>
    <t>01C2611</t>
  </si>
  <si>
    <t>01C2601</t>
  </si>
  <si>
    <t>01C2602</t>
  </si>
  <si>
    <t>01C2603</t>
  </si>
  <si>
    <t>01C2604</t>
  </si>
  <si>
    <t>01C2605</t>
  </si>
  <si>
    <t>01C2606</t>
  </si>
  <si>
    <t>01C2607</t>
  </si>
  <si>
    <t>01C2608</t>
  </si>
  <si>
    <t>02C2601</t>
  </si>
  <si>
    <t>02C2602</t>
  </si>
  <si>
    <t>02C2603</t>
  </si>
  <si>
    <t>02C2604</t>
  </si>
  <si>
    <t>02C2605</t>
  </si>
  <si>
    <t>02C2606</t>
  </si>
  <si>
    <t>02C2607</t>
  </si>
  <si>
    <t>02C2608</t>
  </si>
  <si>
    <t>02C2609</t>
  </si>
  <si>
    <t>02C26R11</t>
  </si>
  <si>
    <t>03C2601</t>
  </si>
  <si>
    <t>03C2602</t>
  </si>
  <si>
    <t>03C2603</t>
  </si>
  <si>
    <t>03C2604</t>
  </si>
  <si>
    <t>03C2605</t>
  </si>
  <si>
    <t>03C2606</t>
  </si>
  <si>
    <t>03C2607</t>
  </si>
  <si>
    <t>03C2608</t>
  </si>
  <si>
    <t>03C2609</t>
  </si>
  <si>
    <t>03C2610</t>
  </si>
  <si>
    <t>04C2601</t>
  </si>
  <si>
    <t>04C2602</t>
  </si>
  <si>
    <t>04C2603</t>
  </si>
  <si>
    <t>04C2604</t>
  </si>
  <si>
    <t>04C2605</t>
  </si>
  <si>
    <t>04C2606</t>
  </si>
  <si>
    <t>04C2607</t>
  </si>
  <si>
    <t>04C2608</t>
  </si>
  <si>
    <t>04C2609</t>
  </si>
  <si>
    <t>04C2610</t>
  </si>
  <si>
    <t>05C2601</t>
  </si>
  <si>
    <t>05C2602</t>
  </si>
  <si>
    <t>05C2603</t>
  </si>
  <si>
    <t>05C2604</t>
  </si>
  <si>
    <t>05C2605</t>
  </si>
  <si>
    <t>05C2606</t>
  </si>
  <si>
    <t>05C2611</t>
  </si>
  <si>
    <t>Фасовка 521А 04C2609; 04C2610</t>
  </si>
  <si>
    <t>05C2607</t>
  </si>
  <si>
    <t>05C2608</t>
  </si>
  <si>
    <t>05C2612</t>
  </si>
  <si>
    <t>Фасовка 521С 10.0 18L2509</t>
  </si>
  <si>
    <t>05C2609</t>
  </si>
  <si>
    <t>05C2610</t>
  </si>
  <si>
    <t>06С2605</t>
  </si>
  <si>
    <t>Фасовка 521С 10.0 18L2506</t>
  </si>
  <si>
    <t>06C2611</t>
  </si>
  <si>
    <t>06C2612</t>
  </si>
  <si>
    <t>06C2601</t>
  </si>
  <si>
    <t>06C2602</t>
  </si>
  <si>
    <t>06C2603</t>
  </si>
  <si>
    <t>06C2604</t>
  </si>
  <si>
    <t>07C2601</t>
  </si>
  <si>
    <t>07C2602</t>
  </si>
  <si>
    <t>10C2601</t>
  </si>
  <si>
    <t>10C2602</t>
  </si>
  <si>
    <t>10C2603</t>
  </si>
  <si>
    <t>10C2604</t>
  </si>
  <si>
    <t>10C2605</t>
  </si>
  <si>
    <t>10C2611</t>
  </si>
  <si>
    <t>10C2612</t>
  </si>
  <si>
    <t>10C2606</t>
  </si>
  <si>
    <t>10C2607</t>
  </si>
  <si>
    <t>10C2613</t>
  </si>
  <si>
    <t>10C2608</t>
  </si>
  <si>
    <t>10C2609</t>
  </si>
  <si>
    <t>10C2614</t>
  </si>
  <si>
    <t>10C2610</t>
  </si>
  <si>
    <t>10C2615</t>
  </si>
  <si>
    <t>10C2616</t>
  </si>
  <si>
    <t>11C2601.</t>
  </si>
  <si>
    <t>11C2602</t>
  </si>
  <si>
    <t>11C2603</t>
  </si>
  <si>
    <t>11C2604</t>
  </si>
  <si>
    <t>11C2605</t>
  </si>
  <si>
    <t>11C2606</t>
  </si>
  <si>
    <t>11C2607</t>
  </si>
  <si>
    <t>11C2608</t>
  </si>
  <si>
    <t>11C2609</t>
  </si>
  <si>
    <t>11C2610</t>
  </si>
  <si>
    <t>12C2601</t>
  </si>
  <si>
    <t>Фасовка 521А 440кг 05C2602</t>
  </si>
  <si>
    <t>12C2602</t>
  </si>
  <si>
    <t>Фасовка 521С 10.0  200кг 27A2602</t>
  </si>
  <si>
    <t>12C2603</t>
  </si>
  <si>
    <t>12C26R21</t>
  </si>
  <si>
    <t>13C26R21</t>
  </si>
  <si>
    <t>13C2601</t>
  </si>
  <si>
    <t>13C2602</t>
  </si>
  <si>
    <t>13C2603</t>
  </si>
  <si>
    <t>13C2604</t>
  </si>
  <si>
    <t>13C2605</t>
  </si>
  <si>
    <t>13C2606</t>
  </si>
  <si>
    <t>13C2607</t>
  </si>
  <si>
    <t>13C2608</t>
  </si>
  <si>
    <t>13C2609</t>
  </si>
  <si>
    <t>13C2610</t>
  </si>
  <si>
    <t>14C26R21</t>
  </si>
  <si>
    <t>14C2601</t>
  </si>
  <si>
    <t>14C2602</t>
  </si>
  <si>
    <t>14C2603</t>
  </si>
  <si>
    <t>14C2604</t>
  </si>
  <si>
    <t>14C2605</t>
  </si>
  <si>
    <t>14C2606</t>
  </si>
  <si>
    <t>14C2607</t>
  </si>
  <si>
    <t>14C2608</t>
  </si>
  <si>
    <t>14C2609</t>
  </si>
  <si>
    <t>14C2610</t>
  </si>
  <si>
    <t>15С2601</t>
  </si>
  <si>
    <t>15C26R21</t>
  </si>
  <si>
    <t>17C2601</t>
  </si>
  <si>
    <t>17C2602</t>
  </si>
  <si>
    <t>17C2603</t>
  </si>
  <si>
    <t>17C2604</t>
  </si>
  <si>
    <t>17C2605</t>
  </si>
  <si>
    <t>17C2606</t>
  </si>
  <si>
    <t>17C2607</t>
  </si>
  <si>
    <t>17C2608</t>
  </si>
  <si>
    <t>17C2609</t>
  </si>
  <si>
    <t>17C2610</t>
  </si>
  <si>
    <t>17C2611</t>
  </si>
  <si>
    <t>17C2612</t>
  </si>
  <si>
    <t>17C2613</t>
  </si>
  <si>
    <t>17C2614</t>
  </si>
  <si>
    <t>17C2615</t>
  </si>
  <si>
    <t>17C2616</t>
  </si>
  <si>
    <t>17C2617</t>
  </si>
  <si>
    <t>17C2618</t>
  </si>
  <si>
    <t>18C2601</t>
  </si>
  <si>
    <t>18C2602</t>
  </si>
  <si>
    <t>18C2603</t>
  </si>
  <si>
    <t>18C2604</t>
  </si>
  <si>
    <t>18C2605</t>
  </si>
  <si>
    <t>18C2606</t>
  </si>
  <si>
    <t>18C2611</t>
  </si>
  <si>
    <t>18C2612</t>
  </si>
  <si>
    <t>18C2613</t>
  </si>
  <si>
    <t>18C2614</t>
  </si>
  <si>
    <t>18С2615</t>
  </si>
  <si>
    <t>18С2616</t>
  </si>
  <si>
    <t>18C2607</t>
  </si>
  <si>
    <t>18C2608</t>
  </si>
  <si>
    <t>18C2609</t>
  </si>
  <si>
    <t>18C2610</t>
  </si>
  <si>
    <t>18С2617</t>
  </si>
  <si>
    <t>18С2618</t>
  </si>
  <si>
    <t>18C2619</t>
  </si>
  <si>
    <t>ведро 4 кг + 1 кг образец ОКК</t>
  </si>
  <si>
    <t>19C2601</t>
  </si>
  <si>
    <t>19C2602</t>
  </si>
  <si>
    <t>19C2603</t>
  </si>
  <si>
    <t>19C2604</t>
  </si>
  <si>
    <t>19C2605</t>
  </si>
  <si>
    <t>19C2611</t>
  </si>
  <si>
    <t>19C2612</t>
  </si>
  <si>
    <t>19C2606</t>
  </si>
  <si>
    <t>19C2607</t>
  </si>
  <si>
    <t>19C2608</t>
  </si>
  <si>
    <t>19C2609</t>
  </si>
  <si>
    <t>19C2610</t>
  </si>
  <si>
    <t>19C2613</t>
  </si>
  <si>
    <t>19C2614</t>
  </si>
  <si>
    <t>19B2615</t>
  </si>
  <si>
    <t>перелив</t>
  </si>
  <si>
    <t>20C2601</t>
  </si>
  <si>
    <t>20C2602</t>
  </si>
  <si>
    <t>20C2603</t>
  </si>
  <si>
    <t>20C2604</t>
  </si>
  <si>
    <t>20C2605</t>
  </si>
  <si>
    <t>20C2606</t>
  </si>
  <si>
    <t>20C2607</t>
  </si>
  <si>
    <t>20C2611</t>
  </si>
  <si>
    <t>20C2612</t>
  </si>
  <si>
    <t>20C2613</t>
  </si>
  <si>
    <t>20C2614</t>
  </si>
  <si>
    <t>20C2615</t>
  </si>
  <si>
    <t>20C2616</t>
  </si>
  <si>
    <t>20C2617</t>
  </si>
  <si>
    <t>20C2608</t>
  </si>
  <si>
    <t>20C2609</t>
  </si>
  <si>
    <t>20C2610</t>
  </si>
  <si>
    <t>20C2618</t>
  </si>
  <si>
    <t>20C2619</t>
  </si>
  <si>
    <t>20C2620</t>
  </si>
  <si>
    <t>21C2601</t>
  </si>
  <si>
    <t>21C2602</t>
  </si>
  <si>
    <t>21C2603</t>
  </si>
  <si>
    <t>21C2604.</t>
  </si>
  <si>
    <t>21C2605</t>
  </si>
  <si>
    <t>21C2606</t>
  </si>
  <si>
    <t>21C2607</t>
  </si>
  <si>
    <t>21C2608</t>
  </si>
  <si>
    <t>21C2609</t>
  </si>
  <si>
    <t>21C2610</t>
  </si>
  <si>
    <t>21C2611</t>
  </si>
  <si>
    <t>21C2612</t>
  </si>
  <si>
    <t>21C2613</t>
  </si>
  <si>
    <t>21C2614</t>
  </si>
  <si>
    <t>22C2601</t>
  </si>
  <si>
    <t>22C2602</t>
  </si>
  <si>
    <t>22C2603</t>
  </si>
  <si>
    <t>22C2604</t>
  </si>
  <si>
    <t>22C2605</t>
  </si>
  <si>
    <t>22C2606</t>
  </si>
  <si>
    <t>22C2607</t>
  </si>
  <si>
    <t>22C2608</t>
  </si>
  <si>
    <t>22C2609</t>
  </si>
  <si>
    <t>22C2610</t>
  </si>
  <si>
    <t>22C2611</t>
  </si>
  <si>
    <t>22C2612</t>
  </si>
  <si>
    <t>22C2613</t>
  </si>
  <si>
    <t>22C2614</t>
  </si>
  <si>
    <t>21B2614.</t>
  </si>
  <si>
    <t>фасовка Отвердитель Starkbond 525C 6.0  ведро 20кг 21B2614</t>
  </si>
  <si>
    <t>ШККА-000164</t>
  </si>
  <si>
    <t>смена номенклатуры Клей Starkbond 745/41 А (ведро 20кг) 30K24R02EX09</t>
  </si>
  <si>
    <t>ШККА-000165</t>
  </si>
  <si>
    <t>смена номенклатуры Клей Starkbond 745/40А ведро 20 кг 03K25R11</t>
  </si>
  <si>
    <t>25C2601</t>
  </si>
  <si>
    <t>25C2602</t>
  </si>
  <si>
    <t>25C2603</t>
  </si>
  <si>
    <t>25C2604</t>
  </si>
  <si>
    <t>25C2605</t>
  </si>
  <si>
    <t>25C2606</t>
  </si>
  <si>
    <t>25C2607</t>
  </si>
  <si>
    <t>25C2608</t>
  </si>
  <si>
    <t>25C2609</t>
  </si>
  <si>
    <t>25C2610</t>
  </si>
  <si>
    <t>06C2611.</t>
  </si>
  <si>
    <t>фасовка 06C2611</t>
  </si>
  <si>
    <t>25C2615</t>
  </si>
  <si>
    <t>26C2601</t>
  </si>
  <si>
    <t>26C2602</t>
  </si>
  <si>
    <t>26C2603</t>
  </si>
  <si>
    <t>26C2604</t>
  </si>
  <si>
    <t>26C2605</t>
  </si>
  <si>
    <t>26C2611</t>
  </si>
  <si>
    <t>26C2612</t>
  </si>
  <si>
    <t>26C2613</t>
  </si>
  <si>
    <t>26C2614</t>
  </si>
  <si>
    <t>26C2615</t>
  </si>
  <si>
    <t>26C2616</t>
  </si>
  <si>
    <t>26C2617</t>
  </si>
  <si>
    <t>26C2606</t>
  </si>
  <si>
    <t>26C2607</t>
  </si>
  <si>
    <t>26C2608</t>
  </si>
  <si>
    <t>26C2609</t>
  </si>
  <si>
    <t>26C2610</t>
  </si>
  <si>
    <t>26C2618</t>
  </si>
  <si>
    <t>26C2619</t>
  </si>
  <si>
    <t>26C2620</t>
  </si>
  <si>
    <t>27C2601</t>
  </si>
  <si>
    <t>27C2602</t>
  </si>
  <si>
    <t>27C2603</t>
  </si>
  <si>
    <t>27C2604</t>
  </si>
  <si>
    <t>27C2605</t>
  </si>
  <si>
    <t>27C2606</t>
  </si>
  <si>
    <t>27C2607</t>
  </si>
  <si>
    <t>27C2608</t>
  </si>
  <si>
    <t>27C2609</t>
  </si>
  <si>
    <t>27C2610</t>
  </si>
  <si>
    <t>27C2611</t>
  </si>
  <si>
    <t>27C2612</t>
  </si>
  <si>
    <t>27C2613</t>
  </si>
  <si>
    <t>27C2614</t>
  </si>
  <si>
    <t>27C2615</t>
  </si>
  <si>
    <t>27C2616</t>
  </si>
  <si>
    <t>27C2617</t>
  </si>
  <si>
    <t>27C2618</t>
  </si>
  <si>
    <t>27C2619</t>
  </si>
  <si>
    <t>27C2620</t>
  </si>
  <si>
    <t>28C2601</t>
  </si>
  <si>
    <t>28C2602</t>
  </si>
  <si>
    <t>28C2603</t>
  </si>
  <si>
    <t>28C2604</t>
  </si>
  <si>
    <t>28C2605</t>
  </si>
  <si>
    <t>28C2606</t>
  </si>
  <si>
    <t>28C2607</t>
  </si>
  <si>
    <t>28C2608</t>
  </si>
  <si>
    <t>28C2609</t>
  </si>
  <si>
    <t>28C2610</t>
  </si>
  <si>
    <t>28C26R21.</t>
  </si>
  <si>
    <t>28C2611</t>
  </si>
  <si>
    <t>29C26R11</t>
  </si>
  <si>
    <t>29C2615</t>
  </si>
  <si>
    <t>29C2601</t>
  </si>
  <si>
    <t>29C2602</t>
  </si>
  <si>
    <t>29C2603</t>
  </si>
  <si>
    <t>29C2604</t>
  </si>
  <si>
    <t>29C2605</t>
  </si>
  <si>
    <t>29C2606</t>
  </si>
  <si>
    <t>29C2607</t>
  </si>
  <si>
    <t>29C2608</t>
  </si>
  <si>
    <t>29C2609</t>
  </si>
  <si>
    <t>29C2610</t>
  </si>
  <si>
    <t>30C2601</t>
  </si>
  <si>
    <t>30C2602</t>
  </si>
  <si>
    <t>30C2603</t>
  </si>
  <si>
    <t>30C2604</t>
  </si>
  <si>
    <t>30C2605</t>
  </si>
  <si>
    <t>30C2606</t>
  </si>
  <si>
    <t>30C2607</t>
  </si>
  <si>
    <t>10B2601.</t>
  </si>
  <si>
    <t>Фасовка - Sancos Pro Safety 145 канистра 11,59 кг = 2 шт</t>
  </si>
  <si>
    <t>30C2608</t>
  </si>
  <si>
    <t>30C2609</t>
  </si>
  <si>
    <t>30C2610</t>
  </si>
  <si>
    <t>30C26R11</t>
  </si>
  <si>
    <t>31C2601</t>
  </si>
  <si>
    <t>31C2602</t>
  </si>
  <si>
    <t>31C2603</t>
  </si>
  <si>
    <t>31C2604</t>
  </si>
  <si>
    <t>31C2605</t>
  </si>
  <si>
    <t>31C2606</t>
  </si>
  <si>
    <t>31C2607</t>
  </si>
  <si>
    <t>31C2608</t>
  </si>
  <si>
    <t>31C2609</t>
  </si>
  <si>
    <t>31C2610</t>
  </si>
  <si>
    <t>31C26R11</t>
  </si>
  <si>
    <t>01B26R21</t>
  </si>
  <si>
    <t>01B2601</t>
  </si>
  <si>
    <t>01B2602</t>
  </si>
  <si>
    <t>01B2603</t>
  </si>
  <si>
    <t>01B2604</t>
  </si>
  <si>
    <t>01B2605</t>
  </si>
  <si>
    <t>01B2606</t>
  </si>
  <si>
    <t>01B2607</t>
  </si>
  <si>
    <t>01B2608</t>
  </si>
  <si>
    <t>01B2609</t>
  </si>
  <si>
    <t>01B2610</t>
  </si>
  <si>
    <t>02B26R21</t>
  </si>
  <si>
    <t>02B2601</t>
  </si>
  <si>
    <t>02B2602</t>
  </si>
  <si>
    <t>02B2603</t>
  </si>
  <si>
    <t>02B2604</t>
  </si>
  <si>
    <t>02B2605</t>
  </si>
  <si>
    <t>02B2606</t>
  </si>
  <si>
    <t>02B2607</t>
  </si>
  <si>
    <t>02B2608</t>
  </si>
  <si>
    <t>02B2609</t>
  </si>
  <si>
    <t>02B2610</t>
  </si>
  <si>
    <t>03B2615</t>
  </si>
  <si>
    <t>03B2601</t>
  </si>
  <si>
    <t>03B26R21</t>
  </si>
  <si>
    <t>04B2601</t>
  </si>
  <si>
    <t>мороженый Лупранат</t>
  </si>
  <si>
    <t>04B2602</t>
  </si>
  <si>
    <t>04B2603</t>
  </si>
  <si>
    <t>04B2604</t>
  </si>
  <si>
    <t>04B2611</t>
  </si>
  <si>
    <t>Отвердитель Starkbond 746/2C ведро 6 кг</t>
  </si>
  <si>
    <t>04B2612</t>
  </si>
  <si>
    <t xml:space="preserve">Отвердитель Starkbond 747/2C ведро 6 кг                </t>
  </si>
  <si>
    <t>04B2605</t>
  </si>
  <si>
    <t>04B2606</t>
  </si>
  <si>
    <t>04B2607</t>
  </si>
  <si>
    <t>05B2601</t>
  </si>
  <si>
    <t>05B2602</t>
  </si>
  <si>
    <t>05B2603</t>
  </si>
  <si>
    <t>05B2604</t>
  </si>
  <si>
    <t>05B26R21</t>
  </si>
  <si>
    <t>05B2605</t>
  </si>
  <si>
    <t>05B2606</t>
  </si>
  <si>
    <t>05B2607</t>
  </si>
  <si>
    <t>05B2608</t>
  </si>
  <si>
    <t>05B2615</t>
  </si>
  <si>
    <t>06B2601</t>
  </si>
  <si>
    <t>06B2602</t>
  </si>
  <si>
    <t>06B2603</t>
  </si>
  <si>
    <t>06B2604</t>
  </si>
  <si>
    <t>06B26R21</t>
  </si>
  <si>
    <t>06B2605</t>
  </si>
  <si>
    <t>06B2606</t>
  </si>
  <si>
    <t>06B2607</t>
  </si>
  <si>
    <t>06B2608</t>
  </si>
  <si>
    <t>07B2601</t>
  </si>
  <si>
    <t>07B2602</t>
  </si>
  <si>
    <t>07B2603</t>
  </si>
  <si>
    <t>07B2604</t>
  </si>
  <si>
    <t>07B2605</t>
  </si>
  <si>
    <t>07B2606</t>
  </si>
  <si>
    <t>07B2607</t>
  </si>
  <si>
    <t>07B2608</t>
  </si>
  <si>
    <t>07B26R21</t>
  </si>
  <si>
    <t>08B2601</t>
  </si>
  <si>
    <t>08B2602</t>
  </si>
  <si>
    <t>08B2603</t>
  </si>
  <si>
    <t>08B2604</t>
  </si>
  <si>
    <t>08B2605</t>
  </si>
  <si>
    <t>08B2606</t>
  </si>
  <si>
    <t>08B2607</t>
  </si>
  <si>
    <t>08B2608</t>
  </si>
  <si>
    <t>10B2601</t>
  </si>
  <si>
    <t>13B2601.</t>
  </si>
  <si>
    <t>13B2602</t>
  </si>
  <si>
    <t>13B2603</t>
  </si>
  <si>
    <t>13B2604</t>
  </si>
  <si>
    <t>13B2605</t>
  </si>
  <si>
    <t>13B2606</t>
  </si>
  <si>
    <t>15B2601</t>
  </si>
  <si>
    <t>Лупранат Мипс с осадком</t>
  </si>
  <si>
    <t>15B2602</t>
  </si>
  <si>
    <t>15B2603</t>
  </si>
  <si>
    <t>15B2604</t>
  </si>
  <si>
    <t>16B2601</t>
  </si>
  <si>
    <t>16B2602</t>
  </si>
  <si>
    <t>17B2601</t>
  </si>
  <si>
    <t>17B2602</t>
  </si>
  <si>
    <t>17B2603</t>
  </si>
  <si>
    <t>17B2604</t>
  </si>
  <si>
    <t>17B2605</t>
  </si>
  <si>
    <t>17B2606</t>
  </si>
  <si>
    <t>17B2607</t>
  </si>
  <si>
    <t>18B2601</t>
  </si>
  <si>
    <t>18B2602</t>
  </si>
  <si>
    <t>18B2603</t>
  </si>
  <si>
    <t>18B2604</t>
  </si>
  <si>
    <t>18B2605</t>
  </si>
  <si>
    <t>18B2606</t>
  </si>
  <si>
    <t>18B2607</t>
  </si>
  <si>
    <t>18B2608</t>
  </si>
  <si>
    <t>18B2609</t>
  </si>
  <si>
    <t>18B2610</t>
  </si>
  <si>
    <t>18B2611</t>
  </si>
  <si>
    <t>Клей Starkbond 2014  ведро 20кг</t>
  </si>
  <si>
    <t>Клей Starkbond 2014  ведро 10кг</t>
  </si>
  <si>
    <t>19B2601</t>
  </si>
  <si>
    <t>19B2602</t>
  </si>
  <si>
    <t>19B2603</t>
  </si>
  <si>
    <t>19B2611</t>
  </si>
  <si>
    <t>19B2604</t>
  </si>
  <si>
    <t>19B2605</t>
  </si>
  <si>
    <t>19B2606</t>
  </si>
  <si>
    <t>19B2607</t>
  </si>
  <si>
    <t>19B2608</t>
  </si>
  <si>
    <t>19B2609</t>
  </si>
  <si>
    <t>19B2610</t>
  </si>
  <si>
    <t>19B2612</t>
  </si>
  <si>
    <t>20B2601</t>
  </si>
  <si>
    <t>20B2602</t>
  </si>
  <si>
    <t>20B2603</t>
  </si>
  <si>
    <t>20B2604</t>
  </si>
  <si>
    <t>20B2605</t>
  </si>
  <si>
    <t>20B2611</t>
  </si>
  <si>
    <t>20B2612</t>
  </si>
  <si>
    <t>21B2602</t>
  </si>
  <si>
    <t>Фасовка 746/1С 14A2601</t>
  </si>
  <si>
    <t>21B2603</t>
  </si>
  <si>
    <t>Клей Starkbond 522A  ведро 22 кг</t>
  </si>
  <si>
    <t>Фасовка 522А 13D2412EX16</t>
  </si>
  <si>
    <t>22B2601</t>
  </si>
  <si>
    <t>Отвердитель Starkbond 525C 3.3 бочка 200 кг</t>
  </si>
  <si>
    <t>22B2602</t>
  </si>
  <si>
    <t>22B2603</t>
  </si>
  <si>
    <t>22B2604</t>
  </si>
  <si>
    <t>25B2601</t>
  </si>
  <si>
    <t>25B2602</t>
  </si>
  <si>
    <t>25B2603</t>
  </si>
  <si>
    <t>25B2604</t>
  </si>
  <si>
    <t>25B2605</t>
  </si>
  <si>
    <t>25B2606</t>
  </si>
  <si>
    <t>25B2607</t>
  </si>
  <si>
    <t>25B2608</t>
  </si>
  <si>
    <t>25B2609</t>
  </si>
  <si>
    <t>25B2610</t>
  </si>
  <si>
    <t>26B2601</t>
  </si>
  <si>
    <t>26B2602</t>
  </si>
  <si>
    <t>26B2603</t>
  </si>
  <si>
    <t>26B2604</t>
  </si>
  <si>
    <t>26B2605</t>
  </si>
  <si>
    <t>26B2606</t>
  </si>
  <si>
    <t>26B2607</t>
  </si>
  <si>
    <t>26B2608</t>
  </si>
  <si>
    <t>26B2611</t>
  </si>
  <si>
    <t>525C 6.0 (200) Фасовка 21B2612</t>
  </si>
  <si>
    <t>26B26R11</t>
  </si>
  <si>
    <t>27B2611</t>
  </si>
  <si>
    <t>Фасовка 522А 25B2609, 25B2610</t>
  </si>
  <si>
    <t>27B2612</t>
  </si>
  <si>
    <t>Отвердитель Starkbond 525C 3.3 ведро 20 кг</t>
  </si>
  <si>
    <t>Фасовка 525С 3.3 (27B2612)</t>
  </si>
  <si>
    <t>27B26R21</t>
  </si>
  <si>
    <t>27B2601</t>
  </si>
  <si>
    <t>27B2602</t>
  </si>
  <si>
    <t>27B2603</t>
  </si>
  <si>
    <t>28B26R11</t>
  </si>
  <si>
    <t>28B2611</t>
  </si>
  <si>
    <t>28B2601</t>
  </si>
  <si>
    <t>28B2602</t>
  </si>
  <si>
    <t>28B2603</t>
  </si>
  <si>
    <t>28B2604</t>
  </si>
  <si>
    <t>28B2605</t>
  </si>
  <si>
    <t>28B2606</t>
  </si>
  <si>
    <t>28B2607</t>
  </si>
  <si>
    <t>28B2608</t>
  </si>
  <si>
    <t>12A2601</t>
  </si>
  <si>
    <t>12A2602</t>
  </si>
  <si>
    <t>12A2603</t>
  </si>
  <si>
    <t>12A2604</t>
  </si>
  <si>
    <t>12A2605</t>
  </si>
  <si>
    <t>12A2606</t>
  </si>
  <si>
    <t>12A2607</t>
  </si>
  <si>
    <t>12A2608</t>
  </si>
  <si>
    <t>12A2609</t>
  </si>
  <si>
    <t>12A2610</t>
  </si>
  <si>
    <t>13A2601</t>
  </si>
  <si>
    <t>13A2602</t>
  </si>
  <si>
    <t>13A2603</t>
  </si>
  <si>
    <t>13A2604</t>
  </si>
  <si>
    <t>13A2605</t>
  </si>
  <si>
    <t>13A2606</t>
  </si>
  <si>
    <t>13A2607</t>
  </si>
  <si>
    <t>13A2608</t>
  </si>
  <si>
    <t>13A2609</t>
  </si>
  <si>
    <t>13A2610</t>
  </si>
  <si>
    <t>14A2601</t>
  </si>
  <si>
    <t>14A2602</t>
  </si>
  <si>
    <t>15A26R11</t>
  </si>
  <si>
    <t>16A26R11</t>
  </si>
  <si>
    <t>17A26R11</t>
  </si>
  <si>
    <t>18A2601</t>
  </si>
  <si>
    <t>18A2602</t>
  </si>
  <si>
    <t>18A2603</t>
  </si>
  <si>
    <t>18A2604</t>
  </si>
  <si>
    <t>18A2605</t>
  </si>
  <si>
    <t>18A2606</t>
  </si>
  <si>
    <t>19A2601</t>
  </si>
  <si>
    <t>Отвердитель Starkbond 525C 2.3 бочка 200 кг</t>
  </si>
  <si>
    <t>19A2602</t>
  </si>
  <si>
    <t>19A2615</t>
  </si>
  <si>
    <t>Отвердитель Starkbond 525C 2.0  ведро 20кг</t>
  </si>
  <si>
    <t>525С 2.0 (фасовка)</t>
  </si>
  <si>
    <t>19A2603</t>
  </si>
  <si>
    <t>19A2604</t>
  </si>
  <si>
    <t>19A2605</t>
  </si>
  <si>
    <t>19A2606</t>
  </si>
  <si>
    <t>20A2601</t>
  </si>
  <si>
    <t>20A2602.</t>
  </si>
  <si>
    <t>20A2603</t>
  </si>
  <si>
    <t>20A2604</t>
  </si>
  <si>
    <t>20A2605</t>
  </si>
  <si>
    <t>20A2606</t>
  </si>
  <si>
    <t>20A2607</t>
  </si>
  <si>
    <t>20A2608</t>
  </si>
  <si>
    <t>21A2601</t>
  </si>
  <si>
    <t>21A2602</t>
  </si>
  <si>
    <t>21A2603</t>
  </si>
  <si>
    <t>21A2604</t>
  </si>
  <si>
    <t>21A2605</t>
  </si>
  <si>
    <t>21A2606</t>
  </si>
  <si>
    <t>21A2607</t>
  </si>
  <si>
    <t>21A2608</t>
  </si>
  <si>
    <t>22A26R21</t>
  </si>
  <si>
    <t>23A26R11</t>
  </si>
  <si>
    <t>24A26R21</t>
  </si>
  <si>
    <t>25A2601</t>
  </si>
  <si>
    <t>745/40A (фасовка в ведра) 21L25R21</t>
  </si>
  <si>
    <t>26A2601</t>
  </si>
  <si>
    <t>26A2602</t>
  </si>
  <si>
    <t>26A2603</t>
  </si>
  <si>
    <t>26A2604</t>
  </si>
  <si>
    <t>26A2605</t>
  </si>
  <si>
    <t>26A2615</t>
  </si>
  <si>
    <t>746/1С  25K2511 фасовка</t>
  </si>
  <si>
    <t>26A2606</t>
  </si>
  <si>
    <t>26A2607</t>
  </si>
  <si>
    <t>26A2608</t>
  </si>
  <si>
    <t>26A2616</t>
  </si>
  <si>
    <t>746С  14K2515 фасовка</t>
  </si>
  <si>
    <t>26A2609</t>
  </si>
  <si>
    <t>26A2610</t>
  </si>
  <si>
    <t>27A2601</t>
  </si>
  <si>
    <t>27A2602</t>
  </si>
  <si>
    <t>27A2603</t>
  </si>
  <si>
    <t>27A2611</t>
  </si>
  <si>
    <t>27A2604</t>
  </si>
  <si>
    <t>27A2605</t>
  </si>
  <si>
    <t>27A2612</t>
  </si>
  <si>
    <t>27A2606</t>
  </si>
  <si>
    <t>27A2607</t>
  </si>
  <si>
    <t>27A2608</t>
  </si>
  <si>
    <t>27A2613</t>
  </si>
  <si>
    <t>27A2609</t>
  </si>
  <si>
    <t>27A2610</t>
  </si>
  <si>
    <t>28A2601</t>
  </si>
  <si>
    <t>28A2602</t>
  </si>
  <si>
    <t>28A2603</t>
  </si>
  <si>
    <t>28A2604</t>
  </si>
  <si>
    <t>28A2605</t>
  </si>
  <si>
    <t>28A2606</t>
  </si>
  <si>
    <t>28A2607</t>
  </si>
  <si>
    <t>28A2608</t>
  </si>
  <si>
    <t>28A2609</t>
  </si>
  <si>
    <t>28A2610</t>
  </si>
  <si>
    <t>29A2601</t>
  </si>
  <si>
    <t>29A2602</t>
  </si>
  <si>
    <t>29A2603</t>
  </si>
  <si>
    <t>29A2604</t>
  </si>
  <si>
    <t>29A2605</t>
  </si>
  <si>
    <t>29A2606</t>
  </si>
  <si>
    <t>29A2607</t>
  </si>
  <si>
    <t>29A2608</t>
  </si>
  <si>
    <t>29A2609</t>
  </si>
  <si>
    <t>29A2610</t>
  </si>
  <si>
    <t>29A26R21</t>
  </si>
  <si>
    <t>30A2601</t>
  </si>
  <si>
    <t>30A2602</t>
  </si>
  <si>
    <t>30A2603</t>
  </si>
  <si>
    <t>30A2604</t>
  </si>
  <si>
    <t>30A2605</t>
  </si>
  <si>
    <t>30A26R21</t>
  </si>
  <si>
    <t>31A26R21</t>
  </si>
  <si>
    <t>31A2601</t>
  </si>
  <si>
    <t>31А2602</t>
  </si>
  <si>
    <t>521 C 11.0 розлив по 11 кг</t>
  </si>
  <si>
    <t>01L2501</t>
  </si>
  <si>
    <t>SANCOS PRO SAFETY 345/3 канистра 7,73 кг</t>
  </si>
  <si>
    <t>01L2502</t>
  </si>
  <si>
    <t>02L2501</t>
  </si>
  <si>
    <t>02L2502</t>
  </si>
  <si>
    <t>02L2503</t>
  </si>
  <si>
    <t>02L2504</t>
  </si>
  <si>
    <t>03L2511</t>
  </si>
  <si>
    <t>перелив (04J25R21R0033)</t>
  </si>
  <si>
    <t>04L2511</t>
  </si>
  <si>
    <t>перелив ( 04J25R21R0033)</t>
  </si>
  <si>
    <t>05L2511</t>
  </si>
  <si>
    <t>06L2511</t>
  </si>
  <si>
    <t>09L2501</t>
  </si>
  <si>
    <t xml:space="preserve">Клей Starkbond 522A бочка 220 кг </t>
  </si>
  <si>
    <t>09L2511</t>
  </si>
  <si>
    <t>11L2501-10</t>
  </si>
  <si>
    <t>12L2501-10</t>
  </si>
  <si>
    <t>13L2501-10</t>
  </si>
  <si>
    <t>14L2501-09</t>
  </si>
  <si>
    <t>15L2501-10</t>
  </si>
  <si>
    <t>16L2501-10</t>
  </si>
  <si>
    <t>17L2501</t>
  </si>
  <si>
    <t>17L2502</t>
  </si>
  <si>
    <t>17L2503</t>
  </si>
  <si>
    <t>17L2504</t>
  </si>
  <si>
    <t>17L2505</t>
  </si>
  <si>
    <t>17L2506</t>
  </si>
  <si>
    <t>17L2507</t>
  </si>
  <si>
    <t>17L2508</t>
  </si>
  <si>
    <t>17L2509</t>
  </si>
  <si>
    <t>17L2510</t>
  </si>
  <si>
    <t>17L2511</t>
  </si>
  <si>
    <t>18L2501</t>
  </si>
  <si>
    <t>18L2502</t>
  </si>
  <si>
    <t>18L2503</t>
  </si>
  <si>
    <t>18L2504</t>
  </si>
  <si>
    <t>18L2505</t>
  </si>
  <si>
    <t>18L2507</t>
  </si>
  <si>
    <t>18L2508</t>
  </si>
  <si>
    <t>18L2509</t>
  </si>
  <si>
    <t>18L2510</t>
  </si>
  <si>
    <t>18L2511</t>
  </si>
  <si>
    <t>18L2512</t>
  </si>
  <si>
    <t>18L2515</t>
  </si>
  <si>
    <t>19L2501</t>
  </si>
  <si>
    <t>19L2502</t>
  </si>
  <si>
    <t>19L2503</t>
  </si>
  <si>
    <t>19L2504</t>
  </si>
  <si>
    <t>19L2505</t>
  </si>
  <si>
    <t>19L2506</t>
  </si>
  <si>
    <t>19L2507</t>
  </si>
  <si>
    <t>19L2508</t>
  </si>
  <si>
    <t>19L2509</t>
  </si>
  <si>
    <t>19L2510</t>
  </si>
  <si>
    <t>20L2515</t>
  </si>
  <si>
    <t>Переработка 525С 5.0 в 6.0 20L2515R0190</t>
  </si>
  <si>
    <t>20L2501</t>
  </si>
  <si>
    <t>20L2502</t>
  </si>
  <si>
    <t>20L2503</t>
  </si>
  <si>
    <t>20L2504</t>
  </si>
  <si>
    <t>20L2505</t>
  </si>
  <si>
    <t>20L2506</t>
  </si>
  <si>
    <t>20L2507</t>
  </si>
  <si>
    <t>20L2508</t>
  </si>
  <si>
    <t>20L2509</t>
  </si>
  <si>
    <t>20L2510</t>
  </si>
  <si>
    <t>21L25R21</t>
  </si>
  <si>
    <t>21L2501</t>
  </si>
  <si>
    <t>21L2502</t>
  </si>
  <si>
    <t>21L2503</t>
  </si>
  <si>
    <t>21L2504</t>
  </si>
  <si>
    <t>21L2505</t>
  </si>
  <si>
    <t>21L2506</t>
  </si>
  <si>
    <t>21L2507</t>
  </si>
  <si>
    <t>21L2508</t>
  </si>
  <si>
    <t>22L2501</t>
  </si>
  <si>
    <t>745/41A (фасовка в ведра) 04K25R11</t>
  </si>
  <si>
    <t>22L25R21</t>
  </si>
  <si>
    <t>23L25R21</t>
  </si>
  <si>
    <t>23L2501</t>
  </si>
  <si>
    <t>24L2501</t>
  </si>
  <si>
    <t>24L2502</t>
  </si>
  <si>
    <t>745/40A (фасовка в ведра) R0188</t>
  </si>
  <si>
    <t>25L2501</t>
  </si>
  <si>
    <t>521С 10.0 переработка (декатализация) 05H2504R0190</t>
  </si>
  <si>
    <t>25L2502</t>
  </si>
  <si>
    <t>521С 10.0 переработка (декатализация) 14G2501R0190</t>
  </si>
  <si>
    <t>25L2503</t>
  </si>
  <si>
    <t>521С 10.0 переработка (декатализация) 14G2502R0190</t>
  </si>
  <si>
    <t>25L25R21</t>
  </si>
  <si>
    <t>501B (1920) Китайский полиэфир</t>
  </si>
  <si>
    <t>25L2504</t>
  </si>
  <si>
    <t>Отвердитель Starkbond 521C 11.1 бочка 200кг</t>
  </si>
  <si>
    <t>521C 11.1 (200) Тест 25L2504R0190</t>
  </si>
  <si>
    <t>25L2505</t>
  </si>
  <si>
    <t>Отвердитель Starkbond 521C 10.1 бочка 200кг</t>
  </si>
  <si>
    <t>521C 10.1 (200) Тест 25L2505R0190</t>
  </si>
  <si>
    <t>26L2501</t>
  </si>
  <si>
    <t>26L2502</t>
  </si>
  <si>
    <t>26L2503</t>
  </si>
  <si>
    <t>01K2501-10</t>
  </si>
  <si>
    <t>02K25R11</t>
  </si>
  <si>
    <t>02K2501-10</t>
  </si>
  <si>
    <t>03K25R11</t>
  </si>
  <si>
    <t>03K2501-10</t>
  </si>
  <si>
    <t>04K25R11</t>
  </si>
  <si>
    <t>04K2501</t>
  </si>
  <si>
    <t>05K25R11</t>
  </si>
  <si>
    <t>05K2501-10</t>
  </si>
  <si>
    <t>06K2501</t>
  </si>
  <si>
    <t xml:space="preserve">Тест, мороженый Изоцианат Wannate MDI 50-F (235kg/drum) 0225007200 </t>
  </si>
  <si>
    <t>06K2502-09</t>
  </si>
  <si>
    <t>06K25R11</t>
  </si>
  <si>
    <t>Клей Starkbond 745/41 А (бочка 200 кг)- 3 бочки</t>
  </si>
  <si>
    <t>07K2501-05</t>
  </si>
  <si>
    <t>07K25R11</t>
  </si>
  <si>
    <t>07K2506-10</t>
  </si>
  <si>
    <t>08K2501-10</t>
  </si>
  <si>
    <t>09K2501-10</t>
  </si>
  <si>
    <t>09K2516</t>
  </si>
  <si>
    <t>10K2515</t>
  </si>
  <si>
    <t>10K2510</t>
  </si>
  <si>
    <t>10K25R11</t>
  </si>
  <si>
    <t>10K2501-04</t>
  </si>
  <si>
    <t>08K2427</t>
  </si>
  <si>
    <t>доработка</t>
  </si>
  <si>
    <t>11K2501-10</t>
  </si>
  <si>
    <t>12K2501-10</t>
  </si>
  <si>
    <t>12K25R11</t>
  </si>
  <si>
    <t>13K2501-04</t>
  </si>
  <si>
    <t>13K2510-14</t>
  </si>
  <si>
    <t>14K2501</t>
  </si>
  <si>
    <t>14K2516-19</t>
  </si>
  <si>
    <t>14K2515</t>
  </si>
  <si>
    <t>14K2502-10</t>
  </si>
  <si>
    <t>15K2501-10</t>
  </si>
  <si>
    <t>15K2511-18</t>
  </si>
  <si>
    <t>16K2511-14</t>
  </si>
  <si>
    <t>16K2501-10</t>
  </si>
  <si>
    <t>17K2501-10</t>
  </si>
  <si>
    <t>18K2501</t>
  </si>
  <si>
    <t>19K2510</t>
  </si>
  <si>
    <t>19K2501-08</t>
  </si>
  <si>
    <t>19K2511-16</t>
  </si>
  <si>
    <t>20K2501-16</t>
  </si>
  <si>
    <t>21K2501-09</t>
  </si>
  <si>
    <t>22K2501-10</t>
  </si>
  <si>
    <t>22K25R12</t>
  </si>
  <si>
    <t>23K2501</t>
  </si>
  <si>
    <t>Переработка SANCOS PRO SAFETY 165 – партия 16Н2501  от 16.08.25 – некондиция по воде</t>
  </si>
  <si>
    <t>23K25R12</t>
  </si>
  <si>
    <t>24K25R21</t>
  </si>
  <si>
    <t>Sancos PRONATE 501B бочка 80 кг - 2 бочки</t>
  </si>
  <si>
    <t>23K2501-06</t>
  </si>
  <si>
    <t>24K2510-13</t>
  </si>
  <si>
    <t>25K2501-09AF</t>
  </si>
  <si>
    <t>25K2511-13</t>
  </si>
  <si>
    <t>26K2502</t>
  </si>
  <si>
    <t>26K2501</t>
  </si>
  <si>
    <t>27K2503</t>
  </si>
  <si>
    <t>27K2502</t>
  </si>
  <si>
    <t>27K2504-08</t>
  </si>
  <si>
    <t>27K25R21</t>
  </si>
  <si>
    <t>28K25R21</t>
  </si>
  <si>
    <t>28K2501-09</t>
  </si>
  <si>
    <t>29K25R21</t>
  </si>
  <si>
    <t>29K2501-10</t>
  </si>
  <si>
    <t>30K2501</t>
  </si>
  <si>
    <t>Sancos PROPOL 101A  бочка 60 кг- 120 кг</t>
  </si>
  <si>
    <t>номер заказа</t>
  </si>
  <si>
    <t>дата ТД</t>
  </si>
  <si>
    <t>наименование</t>
  </si>
  <si>
    <t>кол-во</t>
  </si>
  <si>
    <t>Сумма евро с НДС</t>
  </si>
  <si>
    <t>Сумма руб с НДС</t>
  </si>
  <si>
    <t>Себес с НДС, евро</t>
  </si>
  <si>
    <t>ндс</t>
  </si>
  <si>
    <t>Сумма евро без НДС</t>
  </si>
  <si>
    <t>Сумма руб без ндс</t>
  </si>
  <si>
    <t>Себес без НДС, евро</t>
  </si>
  <si>
    <t>ШККА-000109</t>
  </si>
  <si>
    <t>Изоцианат лупранат MI компонент Б (бочка 225)</t>
  </si>
  <si>
    <t>Возмещаемые расходы: Сверхнормативное использование контейнера, Kumport - Новороссийск, LAMU7000547</t>
  </si>
  <si>
    <t>без ндс</t>
  </si>
  <si>
    <t>Транспортно-экспедиционное обслуживание по маршруту FCA Kumport - Новороссийск, MDTRLS2504449, LAMU7000547, Инвйос 2025/R0376 от 14.05.25</t>
  </si>
  <si>
    <t>Комплекс услуг таможенного представителя по таможенному декларированию товаров, ДТ 10317120/190525/5087193, Инвйос 2025/R0376 от 14.05.25</t>
  </si>
  <si>
    <t>Транспортно-экспедиционное обслуживание по маршруту НУТЭП - Склад, LAMU7000547, Инвйос 2025/R0376 от 14.05.25</t>
  </si>
  <si>
    <t>Возмещаемые расходы: Хранение рефрижераторного контейнера, подключенного к электропитанию, с первых суток , LAMU7000547</t>
  </si>
  <si>
    <t>Возмещаемые расходы: Фрахтовая надбавка DTHC (стивидорный сбор порта выгрузки), LAMU7000547</t>
  </si>
  <si>
    <t>Возмещаемые расходы: Агентское вознаграждение (Hamburg Sud), LAMU7000547</t>
  </si>
  <si>
    <t xml:space="preserve">дельта </t>
  </si>
  <si>
    <t>евро</t>
  </si>
  <si>
    <t>Расход на 1100</t>
  </si>
  <si>
    <t>кг</t>
  </si>
  <si>
    <t>НДС на таможне</t>
  </si>
  <si>
    <t>Ошибка в 1С</t>
  </si>
  <si>
    <t>Пошлина</t>
  </si>
  <si>
    <t xml:space="preserve">На кг </t>
  </si>
  <si>
    <t>Таможенный сбор</t>
  </si>
  <si>
    <t>итого по заказу</t>
  </si>
  <si>
    <t>бндс</t>
  </si>
  <si>
    <t xml:space="preserve">Корр по курсу </t>
  </si>
  <si>
    <t>* доп услуги пересчитаны в евро по курсу на 09.07.2025</t>
  </si>
  <si>
    <t>корр на кг</t>
  </si>
  <si>
    <t>Изоцианат Lupranate MI (бочка 225 кг)</t>
  </si>
  <si>
    <t>49 916,25</t>
  </si>
  <si>
    <t>4 646 756,50</t>
  </si>
  <si>
    <t>Транспортно-экспедиционное обслуживание по маршруту FCA Istanbul - Mersin - Новороссийск, ULDMERNVK001004, SEGU9862812 40'RF, Инвойс 2025/R0476 от 23.09.2025</t>
  </si>
  <si>
    <t>Возмещаемые расходы за ТЭУ по оформлению документов: Документационные услуги в импорте/экспорте SEGU9862812</t>
  </si>
  <si>
    <t>Комплекс услуг таможенного представителя по таможенному декларированию товаров, ДТ 10317120/101125/5178711, Инвойс 2025/R0476 от 23.09.2025</t>
  </si>
  <si>
    <t>Возмещаемые услуги за услуги платежного агента SEGU9862812</t>
  </si>
  <si>
    <t>Возмещаемые услуги за организацию хранения груженного станд 40'RF контейнера в импорте (неопасный груз) с 08.11-11.11 SEGU9862812</t>
  </si>
  <si>
    <t>Транспортно-экспедиционное обслуживание по маршруту Новороссийск (НУТЭП) - г.Москва (Склад), SEGU9862812 40'RF, Инвойс 2025/R0476 от 23.09.2025</t>
  </si>
  <si>
    <t>б/ндс</t>
  </si>
  <si>
    <t>* доп услуги пересчитаны в евро по курсу на 02.12.2025</t>
  </si>
  <si>
    <t>дата</t>
  </si>
  <si>
    <t>Изоцианат Wannate MDI 50-F (IBC)</t>
  </si>
  <si>
    <t>106 258,00</t>
  </si>
  <si>
    <t>10 338 790,88</t>
  </si>
  <si>
    <t>Совершение таможенных операций с товарами за один (первый) контейнер в ДТ 10228020/021225/5169698 конт. AVGU7003291</t>
  </si>
  <si>
    <t>Организация перевозок грузов в контейнерах AVGU7003291 AVGU7002192 по маршруту Shanghai, CN – Порт Санкт-Петербург, РФ</t>
  </si>
  <si>
    <t>1 258 203,38</t>
  </si>
  <si>
    <t>Организация перевозок грузов в контейнерах AVGU7003291 AVGU7002192 по маршруту Порт Санкт-Петербург, РФ – МО, пос. Некрасовский, ул. Ушакова, д. 27А, РФ</t>
  </si>
  <si>
    <t>Хранение: Рефрижераторный контейнер ИСО 20'/40' груженый, с 1 дня по день 5 (импорт) AVGU7003291 AVGU7002192</t>
  </si>
  <si>
    <t>Страховая премия по полису № 250070-330-007169 от 17.10.2025</t>
  </si>
  <si>
    <t>Аренда дизель-генераторной устоновки LCLU 9991684 (с 03.12.2025 по 05.12.2025, КРК № AVGU7002192)</t>
  </si>
  <si>
    <t>* доп услуги пересчитаны в евро по курсу на 11.12.2025</t>
  </si>
  <si>
    <t>юани</t>
  </si>
  <si>
    <t>896 760,00</t>
  </si>
  <si>
    <t>Заказ поставщику ШККА-000405 от 15.09.2025 0:00:00</t>
  </si>
  <si>
    <t>курс юани</t>
  </si>
  <si>
    <t>курс Е</t>
  </si>
  <si>
    <t>проверка</t>
  </si>
  <si>
    <t>Списание безналичных ДС ШККА-П002794 от 19.09.2025 17:59:46</t>
  </si>
  <si>
    <t>448 380,00</t>
  </si>
  <si>
    <t>5 230 845,92</t>
  </si>
  <si>
    <t>Списание безналичных ДС ШККА-П002934 от 01.10.2025 23:59:59</t>
  </si>
  <si>
    <t>5 107 944,96</t>
  </si>
  <si>
    <t>Приобретение товаров и услуг ШККА-000638 от 02.12.2025 23:59:59 (вх. коносамент FBLSKX50295 от 16.10.2025)</t>
  </si>
  <si>
    <t xml:space="preserve">Доля рублевых расходов </t>
  </si>
  <si>
    <t xml:space="preserve">Партия в евро </t>
  </si>
  <si>
    <t>Миракл</t>
  </si>
  <si>
    <t>Возмещаемые расходы: Хранение груженого контейнера в Rizhao, FBIU5178415</t>
  </si>
  <si>
    <t>Транспортно-экспедиционное обслуживание по маршруту ПКТ - Москва (Склад), FBIU5178415 40'RF, Инвойс №250417 от 16.07.25</t>
  </si>
  <si>
    <t>Транспортно-экспедиционное обслуживание по маршруту Rizhao - Санкт-Петербург, NNLRZH251605233, FBIU5178415 40'RF, Инвойс №250417 от 16.07.25</t>
  </si>
  <si>
    <t>Возмещаемые расходы: Перемещение контейнера для целей осмотра с использованием инспекционно-досмотрового комплекса (ИДК), FBIU5178415</t>
  </si>
  <si>
    <t>Комплекс услуг таможенного представителя по таможенному декларированию товаров, ДТ 10228020/290825/5127290, Инвойс №250417 от 16.07.25</t>
  </si>
  <si>
    <t>Транспортно-экспедиционное обслуживание по маршруту ПКТ - Москва (Склад), FBIU5182400 40'RF, Инвойс №250417 от 16.07.25</t>
  </si>
  <si>
    <t>Возмещаемые расходы: Хранение: Рефрижераторный контейнер ИСО 20'/40' груженый, с 1 дня по день 5 (импорт), FBIU5182400</t>
  </si>
  <si>
    <t>* доп услуги пересчитаны в евро по курсу на 17.10.25</t>
  </si>
  <si>
    <t>MIRACLE (SHANGHAI) NEW MATERIALS CO., LTD</t>
  </si>
  <si>
    <t>курс на 29.08</t>
  </si>
  <si>
    <t>курс евро на 29.08</t>
  </si>
  <si>
    <t>96 046,72</t>
  </si>
  <si>
    <t>##########</t>
  </si>
  <si>
    <t>Полиол Puranol Polyether polyol G303</t>
  </si>
  <si>
    <t>1 842 001,00</t>
  </si>
  <si>
    <t>Организация перевозки (фрахт) EXW Binzhou - via Qingdao - Vostochniy, DFSU1065714, к/с LED420562, т/х HUA XIN 5 178, прих. 16/08/2025</t>
  </si>
  <si>
    <t>Организация перемещения контейнера в границах Порта для целей взвешивания на Восточный (Россия) 18.08.2025 178HX COC 20'DC DFSU1065714</t>
  </si>
  <si>
    <t>Хранение на АО "ВОСТОЧНЫЙ ПОРТ" с момента окончания льготного периода,178HX, 20'DC с 25.08.2025 по 26.08.2025 DFSU1065714</t>
  </si>
  <si>
    <t>Транспортно-экспедиционные услуги при организации международной перевозки: Взвешивание контейнера согласно реестру контейнеров №ЖТ-719 от 04.09.2025 г.</t>
  </si>
  <si>
    <t>Предоставление транзитных документов в тамож.органы для закрытия доставки при оформлении груза в ЦЭД, DFSU1065714</t>
  </si>
  <si>
    <t>Организация ТЭО М.О. Старая Купавна - М.О. Дмитровский р-н, п. Некрасовский, DFSU1065714</t>
  </si>
  <si>
    <t>Организация перевозки (жд) Владивосток-Москва, DFSU1065714, прих. 10/09/2025</t>
  </si>
  <si>
    <t>Комплекс услуг таможенного представителя по таможенному декларированию товаров, ДТ 10702070/220925/5332413, Инвойс №FJ250729004 от 05.08.2025</t>
  </si>
  <si>
    <t>* доп услуги пересчитаны в евро по курсу на 01.12.2025</t>
  </si>
  <si>
    <t>170 000,00</t>
  </si>
  <si>
    <t>ШККА-000043</t>
  </si>
  <si>
    <t>Возмещаемые расходы: Хранение груженого контейнера в Турции Marport, AMCU9279394</t>
  </si>
  <si>
    <t>Транспортно-экспедиционное обслуживание по маршруту Marport - Новороссийск, ROS32659, AMCU9279394, Инвойс №2025/R0385 от 22.05.2025</t>
  </si>
  <si>
    <t>Комплекс услуг таможенного представителя по таможенному декларированию товаров, ДТ 10317120/120725/5119132, Инвойс №2025/R0385 от 22.05.2025</t>
  </si>
  <si>
    <t>Транспортно-экспедиционное обслуживание по маршруту НУТЭП - Склад, AMCU9279394, Инвойс №2025/R0385 от 22.05.2025</t>
  </si>
  <si>
    <t>Возмещаемые расходы: Хранение рефрижераторного контейнера, подключенного к электропитанию, с первых суток, AMCU9279394</t>
  </si>
  <si>
    <t>Возмещаемые расходы: Хранение груженого контейнера в Турции Marport, APRU5746107</t>
  </si>
  <si>
    <t>Транспортно-экспедиционное обслуживание по маршруту Marport - Новороссийск, ROS32467, APRU5746107, Инвойс 2025/R0384 от 22.05.2025</t>
  </si>
  <si>
    <t>Комплекс услуг таможенного представителя по таможенному декларированию товаров, ДТ 10317120/180625/5106461, Инвойс 2025/R0384 от 22.05.2025</t>
  </si>
  <si>
    <t>Транспортно-экспедиционное обслуживание по маршруту НУТЭП - Склад, APRU5746107, Инвойс 2025/R0384 от 22.05.2025</t>
  </si>
  <si>
    <t>Возмещаемые расходы: Хранение рефрижераторного контейнера, подключенного к электропитанию, с первых суток , APRU5746107</t>
  </si>
  <si>
    <t>Возмещаемые расходы: Хранение рефрижераторного контейнера, подключенного к электропитанию, с первых суток, APRU5792632</t>
  </si>
  <si>
    <t>01J2501-04</t>
  </si>
  <si>
    <t>02J2514</t>
  </si>
  <si>
    <t>перефасовка</t>
  </si>
  <si>
    <t>02J2501-12</t>
  </si>
  <si>
    <t>02J25R21</t>
  </si>
  <si>
    <t>03J2501-08</t>
  </si>
  <si>
    <t>03J2509-12</t>
  </si>
  <si>
    <t>04J25R21</t>
  </si>
  <si>
    <t>04J2501-06</t>
  </si>
  <si>
    <t>04J2507-12</t>
  </si>
  <si>
    <t>05J25R11</t>
  </si>
  <si>
    <t>05J2501-10</t>
  </si>
  <si>
    <t>06J25R11</t>
  </si>
  <si>
    <t>06J2501-10</t>
  </si>
  <si>
    <t>07J2501</t>
  </si>
  <si>
    <t>07J25R11</t>
  </si>
  <si>
    <t>07J2502</t>
  </si>
  <si>
    <t>08J2501-05</t>
  </si>
  <si>
    <t>08J25R11</t>
  </si>
  <si>
    <t>08J2506-10</t>
  </si>
  <si>
    <t>09J25R21</t>
  </si>
  <si>
    <t>09J2501-10</t>
  </si>
  <si>
    <t>10J25R21</t>
  </si>
  <si>
    <t>10J2501-09</t>
  </si>
  <si>
    <t>11J25R21</t>
  </si>
  <si>
    <t>11J2501-10</t>
  </si>
  <si>
    <t>12J2501-10</t>
  </si>
  <si>
    <t>09I2502</t>
  </si>
  <si>
    <t>отвердитель Starkbond 746/1 С  ведро 20кг</t>
  </si>
  <si>
    <t>Клей Starkbond 745/41 А (ведро 20кг)- 200 кг, перелив</t>
  </si>
  <si>
    <t>13J2501-10</t>
  </si>
  <si>
    <t>13J2511</t>
  </si>
  <si>
    <t>14J2501-15</t>
  </si>
  <si>
    <t>15J2501-05</t>
  </si>
  <si>
    <t>15J2506</t>
  </si>
  <si>
    <t>Sancos PROPOL 101A  бочка 90 кг - 540 кг</t>
  </si>
  <si>
    <t>09J5R21</t>
  </si>
  <si>
    <t>16J2501-10</t>
  </si>
  <si>
    <t>17J2501-10</t>
  </si>
  <si>
    <t>18J2501-10</t>
  </si>
  <si>
    <t>18J2511-22</t>
  </si>
  <si>
    <t>19J2501-10</t>
  </si>
  <si>
    <t>19J2511-17</t>
  </si>
  <si>
    <t>20J2501-10</t>
  </si>
  <si>
    <t>20J2511-13</t>
  </si>
  <si>
    <t>21J2501-10</t>
  </si>
  <si>
    <t>21J2511-16</t>
  </si>
  <si>
    <t>22J2515</t>
  </si>
  <si>
    <t>22J2516</t>
  </si>
  <si>
    <t>22J2501-08</t>
  </si>
  <si>
    <t>23J2501-10</t>
  </si>
  <si>
    <t>23J2511-15</t>
  </si>
  <si>
    <t>24J2501-07</t>
  </si>
  <si>
    <t>24J2508</t>
  </si>
  <si>
    <t>24J2509</t>
  </si>
  <si>
    <t>25J2501-03</t>
  </si>
  <si>
    <t>25J2504-09</t>
  </si>
  <si>
    <t>25J2510-14</t>
  </si>
  <si>
    <t>26J2501-14</t>
  </si>
  <si>
    <t>27J2501-14</t>
  </si>
  <si>
    <t>28J2501-08</t>
  </si>
  <si>
    <t>28J2511-16</t>
  </si>
  <si>
    <t>29J2501-08</t>
  </si>
  <si>
    <t>29J2511-14</t>
  </si>
  <si>
    <t>29J2516-17</t>
  </si>
  <si>
    <t>30J2501</t>
  </si>
  <si>
    <t xml:space="preserve">521A бочка 220кг (Тест АФ, замороженный) </t>
  </si>
  <si>
    <t>30J2502</t>
  </si>
  <si>
    <t>тест для АФ</t>
  </si>
  <si>
    <t>30J2507</t>
  </si>
  <si>
    <t>30J2503-06</t>
  </si>
  <si>
    <t>30J2508-12</t>
  </si>
  <si>
    <t>31J2501-10</t>
  </si>
  <si>
    <t>31J2515</t>
  </si>
  <si>
    <t>31J2516</t>
  </si>
  <si>
    <t>% пропиленгликоля в составе</t>
  </si>
  <si>
    <t>01I2501-10</t>
  </si>
  <si>
    <t>02I2503-8</t>
  </si>
  <si>
    <t>28G2501.</t>
  </si>
  <si>
    <t>23G2501.</t>
  </si>
  <si>
    <t>03I2501</t>
  </si>
  <si>
    <t>03I2502-3</t>
  </si>
  <si>
    <t>03I2503</t>
  </si>
  <si>
    <t>Sancos Pro Safety 165 канистра 7,4 кг</t>
  </si>
  <si>
    <t>04I25R21</t>
  </si>
  <si>
    <t>04I2501-10</t>
  </si>
  <si>
    <t>05I25R21</t>
  </si>
  <si>
    <t>Клей Starkbond 745/41 А (бочка 200 кг), Клей Starkbond 745/41 А (ведро 20кг)</t>
  </si>
  <si>
    <t>05I2501-10</t>
  </si>
  <si>
    <t>06I2501-10</t>
  </si>
  <si>
    <t>07I2501-04</t>
  </si>
  <si>
    <t>21H2501.</t>
  </si>
  <si>
    <t>08I2501-06</t>
  </si>
  <si>
    <t>08I2507</t>
  </si>
  <si>
    <t>21H2501..</t>
  </si>
  <si>
    <t>08I25R21</t>
  </si>
  <si>
    <t>09I25R21</t>
  </si>
  <si>
    <t>09I2501-02</t>
  </si>
  <si>
    <t>отвердитель Starkbond 746/1 С  бочка 200кг, отвердитель Starkbond 746/1 С  ведро 20кг</t>
  </si>
  <si>
    <t>09I2501</t>
  </si>
  <si>
    <t>10I25R21</t>
  </si>
  <si>
    <t>10I2501-09</t>
  </si>
  <si>
    <t>11I2506-10</t>
  </si>
  <si>
    <t>12I25R21</t>
  </si>
  <si>
    <t>12I2501-5</t>
  </si>
  <si>
    <t xml:space="preserve"> 12I2510</t>
  </si>
  <si>
    <t>Sancos Pro Safety 165 канистра 14,8 кг, Sancos Pro Safety 165 канистра 7,4 кг</t>
  </si>
  <si>
    <t>13I2501-8</t>
  </si>
  <si>
    <t>13I25R21</t>
  </si>
  <si>
    <t>14I2501-10</t>
  </si>
  <si>
    <t>14I25R11</t>
  </si>
  <si>
    <t>15I2501-10</t>
  </si>
  <si>
    <t>15I2511</t>
  </si>
  <si>
    <t>10I25R21.</t>
  </si>
  <si>
    <t>16I25R21</t>
  </si>
  <si>
    <t>клей Starkbond 745/3 А  бочка 200кг</t>
  </si>
  <si>
    <t>17I25R21</t>
  </si>
  <si>
    <t>17I2501</t>
  </si>
  <si>
    <t>Sancos PROPOL 101A  бочка 180 кг</t>
  </si>
  <si>
    <t>Sancos PROPOL 101A  бочка 90 кг- 720 кг</t>
  </si>
  <si>
    <t>18I2501</t>
  </si>
  <si>
    <t>Sancos Pro Safety 165 канистра 7,4 кг- 44,4 кг</t>
  </si>
  <si>
    <t>18I2502</t>
  </si>
  <si>
    <t>18I2503</t>
  </si>
  <si>
    <t>18I25R21</t>
  </si>
  <si>
    <t>19I2501-10</t>
  </si>
  <si>
    <t>19I25R21</t>
  </si>
  <si>
    <t>20I25R21</t>
  </si>
  <si>
    <t>19H2502.</t>
  </si>
  <si>
    <t>отвердитель Starkbond 521C  6.0 ведро 20кг</t>
  </si>
  <si>
    <t>20I2501-2</t>
  </si>
  <si>
    <t>20I2502</t>
  </si>
  <si>
    <t>21I25R21</t>
  </si>
  <si>
    <t>21I2501-2</t>
  </si>
  <si>
    <t>Отвердитель Starkbond 521C 10.0 бочка 200кг, Отвердитель Starkbond 521C 10.0 ведро 20кг,Отвердитель Starkbond 521C 10.0 ведро 11кг</t>
  </si>
  <si>
    <t>22I25R21</t>
  </si>
  <si>
    <t>22I2501-10</t>
  </si>
  <si>
    <t>22I25R11</t>
  </si>
  <si>
    <t>23I2501-10</t>
  </si>
  <si>
    <t>24I2501-8</t>
  </si>
  <si>
    <t>25I2501-8</t>
  </si>
  <si>
    <t>25I25R11</t>
  </si>
  <si>
    <t>26I25R11</t>
  </si>
  <si>
    <t>26I2501-02</t>
  </si>
  <si>
    <t>26I2503-10</t>
  </si>
  <si>
    <t>27I25R11</t>
  </si>
  <si>
    <t>501B (Китай 7720)</t>
  </si>
  <si>
    <t>27I2501-10</t>
  </si>
  <si>
    <t>27I2511</t>
  </si>
  <si>
    <t>28I25R11</t>
  </si>
  <si>
    <t>28I2501-06</t>
  </si>
  <si>
    <t>29I2501-08</t>
  </si>
  <si>
    <t>30I2501-03</t>
  </si>
  <si>
    <t>30I2510</t>
  </si>
  <si>
    <t>30I2511</t>
  </si>
  <si>
    <t>переработка брака</t>
  </si>
  <si>
    <t>30I2504-08</t>
  </si>
  <si>
    <t>Клей Starkbond 522A  бочка 200 кг</t>
  </si>
  <si>
    <t>Дата передачи материалов</t>
  </si>
  <si>
    <t>01H2501-08</t>
  </si>
  <si>
    <t>01H25R11</t>
  </si>
  <si>
    <t>02H2501-08</t>
  </si>
  <si>
    <t>02H25R11</t>
  </si>
  <si>
    <t>03H2501-08</t>
  </si>
  <si>
    <t>04H2508-1-08</t>
  </si>
  <si>
    <t>05H2501-11</t>
  </si>
  <si>
    <t>Отвердитель Starkbond 521C 10.0 ведро 11кг- 198кг</t>
  </si>
  <si>
    <t>06H2501-10</t>
  </si>
  <si>
    <t>07H25R21</t>
  </si>
  <si>
    <t>07H2501-10</t>
  </si>
  <si>
    <t>08H2501-04</t>
  </si>
  <si>
    <t>08H25R21</t>
  </si>
  <si>
    <t>09H2501-10</t>
  </si>
  <si>
    <t>09H25R11</t>
  </si>
  <si>
    <t>10H2501-08</t>
  </si>
  <si>
    <t>11H25R21</t>
  </si>
  <si>
    <t>11H2501-10</t>
  </si>
  <si>
    <t>12H25R11</t>
  </si>
  <si>
    <t>12H2501-10</t>
  </si>
  <si>
    <t>13H2501-10</t>
  </si>
  <si>
    <t>Отвердитель Starkbond 521C 11.0 ведро 11кг- 198 кг</t>
  </si>
  <si>
    <t>14H2501-10</t>
  </si>
  <si>
    <t>15H25R21</t>
  </si>
  <si>
    <t>15H2501</t>
  </si>
  <si>
    <t>16H25R21</t>
  </si>
  <si>
    <t>16H2501</t>
  </si>
  <si>
    <t>16H2502</t>
  </si>
  <si>
    <t>17H25R21</t>
  </si>
  <si>
    <t>17H2501-10</t>
  </si>
  <si>
    <t>отвердитель Starkbond 521 C 2.2  бочка 200кг</t>
  </si>
  <si>
    <t>18H2501-04</t>
  </si>
  <si>
    <t>18H25R21</t>
  </si>
  <si>
    <t>19H2501-04</t>
  </si>
  <si>
    <t>07H2501</t>
  </si>
  <si>
    <t>20H2501</t>
  </si>
  <si>
    <t>Отвердитель Starkbond 521C 10.0 ведро 11кг- 396кг</t>
  </si>
  <si>
    <t>20H25R11</t>
  </si>
  <si>
    <t>21H2501</t>
  </si>
  <si>
    <t>отвердитель Starkbond 746/1 С  бочка 200кг</t>
  </si>
  <si>
    <t>21H2502-05</t>
  </si>
  <si>
    <t>21H25R21</t>
  </si>
  <si>
    <t>22H2501-08</t>
  </si>
  <si>
    <t>22H25R11</t>
  </si>
  <si>
    <t>23H2501-08</t>
  </si>
  <si>
    <t>24H2501-08</t>
  </si>
  <si>
    <t>25H2501-08</t>
  </si>
  <si>
    <t>26H2501-08</t>
  </si>
  <si>
    <t>27H2501-08</t>
  </si>
  <si>
    <t>28H2511</t>
  </si>
  <si>
    <t>28H25R21</t>
  </si>
  <si>
    <t>28H2501-08</t>
  </si>
  <si>
    <t>отвердитель Starkbond 521 C 3.0  бочка 200кг</t>
  </si>
  <si>
    <t>29H2501-10</t>
  </si>
  <si>
    <t>29H25R21</t>
  </si>
  <si>
    <t>30H2501-02</t>
  </si>
  <si>
    <t>30H2503</t>
  </si>
  <si>
    <t>30H25R21</t>
  </si>
  <si>
    <t>31H25R11</t>
  </si>
  <si>
    <t>31H2501-08</t>
  </si>
  <si>
    <t>Израсходовано по факту Polyether Polyol Puranol D220, Пропиленгликоль</t>
  </si>
  <si>
    <t>01G2501-08</t>
  </si>
  <si>
    <t>01G2509</t>
  </si>
  <si>
    <t>01G25R11</t>
  </si>
  <si>
    <t>01G25R21</t>
  </si>
  <si>
    <t>Клей Starkbond 2014 бочка 220кг</t>
  </si>
  <si>
    <t>02G25R21</t>
  </si>
  <si>
    <t>02G2501-10</t>
  </si>
  <si>
    <t>03G2503</t>
  </si>
  <si>
    <t>переделка партии (некондиция)</t>
  </si>
  <si>
    <t>03G2502</t>
  </si>
  <si>
    <t>03G25R11</t>
  </si>
  <si>
    <t>04G2501</t>
  </si>
  <si>
    <t>04G2502</t>
  </si>
  <si>
    <t>04G25R21</t>
  </si>
  <si>
    <t>04G25R22</t>
  </si>
  <si>
    <t>05G2501-10</t>
  </si>
  <si>
    <t>05G25R21</t>
  </si>
  <si>
    <t>06G2501-10</t>
  </si>
  <si>
    <t>06G25R11</t>
  </si>
  <si>
    <t>07G2501</t>
  </si>
  <si>
    <t>07G25R11</t>
  </si>
  <si>
    <t>08G2501</t>
  </si>
  <si>
    <t>09G25R11</t>
  </si>
  <si>
    <t>09G2501</t>
  </si>
  <si>
    <t>Клей Starkbond 525A*  бочка 220 кг AF</t>
  </si>
  <si>
    <t>09G2502</t>
  </si>
  <si>
    <t>брак</t>
  </si>
  <si>
    <t>09G2503</t>
  </si>
  <si>
    <t>Клей Starkbond 522A  бочка 200 кг (тест PTSI)</t>
  </si>
  <si>
    <t>09G2504-05</t>
  </si>
  <si>
    <t>10G25R11</t>
  </si>
  <si>
    <t>10G2501-05</t>
  </si>
  <si>
    <t>11G2501-05</t>
  </si>
  <si>
    <t>11G25R21</t>
  </si>
  <si>
    <t>11G25R11</t>
  </si>
  <si>
    <t>12G25R11</t>
  </si>
  <si>
    <t>12G25R21</t>
  </si>
  <si>
    <t>12G2501-10</t>
  </si>
  <si>
    <t>13G25R11</t>
  </si>
  <si>
    <t>13G2501-10</t>
  </si>
  <si>
    <t>14G2501-10</t>
  </si>
  <si>
    <t>14G25R11</t>
  </si>
  <si>
    <t>14G25R21</t>
  </si>
  <si>
    <t>15G2501-10</t>
  </si>
  <si>
    <t>15G2511</t>
  </si>
  <si>
    <t>Отвердитель Starkbond 525C 4.0  ведро 20 кг</t>
  </si>
  <si>
    <t>15G25R11</t>
  </si>
  <si>
    <t>16G2501</t>
  </si>
  <si>
    <t>16G25R11</t>
  </si>
  <si>
    <t>16G25R21</t>
  </si>
  <si>
    <t>17G25R11</t>
  </si>
  <si>
    <t>17G2501</t>
  </si>
  <si>
    <t>18G25R11</t>
  </si>
  <si>
    <t>18G25R21</t>
  </si>
  <si>
    <t>18G2501-03</t>
  </si>
  <si>
    <t>19G25R21</t>
  </si>
  <si>
    <t>19G25R11</t>
  </si>
  <si>
    <t>19G2501-08</t>
  </si>
  <si>
    <t>20G25R21</t>
  </si>
  <si>
    <t>20G25R11</t>
  </si>
  <si>
    <t>20G2501-08</t>
  </si>
  <si>
    <t>21G2509</t>
  </si>
  <si>
    <t>21G2501-07</t>
  </si>
  <si>
    <t>21G25R21</t>
  </si>
  <si>
    <t>21G25R11</t>
  </si>
  <si>
    <t>22G2505</t>
  </si>
  <si>
    <t>SANCOS PRO SAFETY 145 M канистра 7,73 кг - по 1 канистре</t>
  </si>
  <si>
    <t>22G25R11</t>
  </si>
  <si>
    <t>22G2501-05</t>
  </si>
  <si>
    <t>22G25R12</t>
  </si>
  <si>
    <t>23G2501</t>
  </si>
  <si>
    <t>Sancos Pro Safety 145 канистра 7.73 кг- 1 канистра</t>
  </si>
  <si>
    <t>23G25R21</t>
  </si>
  <si>
    <t>23G2502</t>
  </si>
  <si>
    <t>23G25R11</t>
  </si>
  <si>
    <t>24G25R11</t>
  </si>
  <si>
    <t>24G25R12</t>
  </si>
  <si>
    <t>24G2501-02</t>
  </si>
  <si>
    <t>24G2503</t>
  </si>
  <si>
    <t>25G25R11</t>
  </si>
  <si>
    <t>25G25R21</t>
  </si>
  <si>
    <t>Sancos Pronatе 501В бочка 60 кг - 1 бочка</t>
  </si>
  <si>
    <t>25G2501</t>
  </si>
  <si>
    <t>Sancos PROPOL 101A  бочка 60 кг- 2 бочки</t>
  </si>
  <si>
    <t>26G2501-08</t>
  </si>
  <si>
    <t>26G25R11</t>
  </si>
  <si>
    <t>Sancos Pronatе 501В бочка 60 кг- 1 бочка</t>
  </si>
  <si>
    <t>26G25R21</t>
  </si>
  <si>
    <t>27G2501-08</t>
  </si>
  <si>
    <t>27G25R11</t>
  </si>
  <si>
    <t>27G25R21</t>
  </si>
  <si>
    <t>28G2501</t>
  </si>
  <si>
    <t>28G2502</t>
  </si>
  <si>
    <t>Sancos PROPOL 101A  бочка 90 кг- 1 бочка</t>
  </si>
  <si>
    <t>28G25R11</t>
  </si>
  <si>
    <t>28G25R21</t>
  </si>
  <si>
    <t>29G2501</t>
  </si>
  <si>
    <t>29G25R11</t>
  </si>
  <si>
    <t>18E2506</t>
  </si>
  <si>
    <t>30G2501-10</t>
  </si>
  <si>
    <t>30G25R11</t>
  </si>
  <si>
    <t>31G25R01</t>
  </si>
  <si>
    <t>SANCOS PRO SAFETY 145 M канистра 7,73 кг- 1 канистра</t>
  </si>
  <si>
    <t>31G25R11</t>
  </si>
  <si>
    <t>31G2501-08</t>
  </si>
  <si>
    <t>30E2504</t>
  </si>
  <si>
    <t>01F2501-10</t>
  </si>
  <si>
    <t>02F2501-10</t>
  </si>
  <si>
    <t>02F25R11</t>
  </si>
  <si>
    <t>03F25R11</t>
  </si>
  <si>
    <t>03F2501</t>
  </si>
  <si>
    <t>04F2501</t>
  </si>
  <si>
    <t>SANCOS PRO SAFETY 145 канистра 23,18 кг, Sancos Pro Safety 145 канистра 7.73 кг</t>
  </si>
  <si>
    <t>04F25R11</t>
  </si>
  <si>
    <t>Sancos Pronatе 501В бочка 60 кг, Sancos PRONATE 501 бочка 240 кг</t>
  </si>
  <si>
    <t>05F2501-10</t>
  </si>
  <si>
    <t>05F25R21</t>
  </si>
  <si>
    <t>05F25R22</t>
  </si>
  <si>
    <t>06F2501-06F2507</t>
  </si>
  <si>
    <t>06F25R11</t>
  </si>
  <si>
    <t>07F2501-10</t>
  </si>
  <si>
    <t>07F25R21</t>
  </si>
  <si>
    <t>07F25R22</t>
  </si>
  <si>
    <t>08F2501-10</t>
  </si>
  <si>
    <t>08F25R21</t>
  </si>
  <si>
    <t>08F25R22</t>
  </si>
  <si>
    <t>09F2501-09</t>
  </si>
  <si>
    <t>09F25R11</t>
  </si>
  <si>
    <t>10F25R11</t>
  </si>
  <si>
    <t>10F2501-08</t>
  </si>
  <si>
    <t>11F25R11</t>
  </si>
  <si>
    <t>11F2501-10</t>
  </si>
  <si>
    <t>12F2501-10</t>
  </si>
  <si>
    <t>12F25R11</t>
  </si>
  <si>
    <t>13F2501-4</t>
  </si>
  <si>
    <t>13F25R11</t>
  </si>
  <si>
    <t>14F2501-10</t>
  </si>
  <si>
    <t>14F25R21</t>
  </si>
  <si>
    <t>Sancos PRONATE 501 бочка 240 кг</t>
  </si>
  <si>
    <t>15F25R21</t>
  </si>
  <si>
    <t>Sancos PRONATE 501 бочка 240 кг, Sancos PRONATE 501B бочка 200 кг</t>
  </si>
  <si>
    <t>15F2501-10</t>
  </si>
  <si>
    <t>16F2501-10</t>
  </si>
  <si>
    <t>16F25R21</t>
  </si>
  <si>
    <t>17F25R01</t>
  </si>
  <si>
    <t>10E25R01</t>
  </si>
  <si>
    <t>08E25R01</t>
  </si>
  <si>
    <t>24D2509</t>
  </si>
  <si>
    <t>18F25R01</t>
  </si>
  <si>
    <t>Sancos PROPOL 101A  бочка 180 кг,90 кг</t>
  </si>
  <si>
    <t>19F2501-6</t>
  </si>
  <si>
    <t>20F2501-4</t>
  </si>
  <si>
    <t>21F2501-10</t>
  </si>
  <si>
    <t>Клей Starkbond 521A  бочка 220кг</t>
  </si>
  <si>
    <t>22F2501-10</t>
  </si>
  <si>
    <t>22F2505</t>
  </si>
  <si>
    <t>23F2501-10</t>
  </si>
  <si>
    <t>23F25R11</t>
  </si>
  <si>
    <t>24F25R11</t>
  </si>
  <si>
    <t>24F2501-3</t>
  </si>
  <si>
    <t>24F2503</t>
  </si>
  <si>
    <t>25F25R11</t>
  </si>
  <si>
    <t>25F2501-4</t>
  </si>
  <si>
    <t>26F2501-4</t>
  </si>
  <si>
    <t>26F25R21</t>
  </si>
  <si>
    <t xml:space="preserve">некондиция, перелит в кубы </t>
  </si>
  <si>
    <t>27F2501</t>
  </si>
  <si>
    <t>27F2502</t>
  </si>
  <si>
    <t>28F25R21</t>
  </si>
  <si>
    <t>29F25R21</t>
  </si>
  <si>
    <t>29F25R22</t>
  </si>
  <si>
    <t>реактор Ушакова</t>
  </si>
  <si>
    <t>бочки 225 кг + 1 ведро 10 кг</t>
  </si>
  <si>
    <t>бочки 225 кг + 1 ведро 20 кг</t>
  </si>
  <si>
    <t xml:space="preserve">в 1С производство от 30.04.25 (для отгрузки клиентам), по факту производили 07.05.25 </t>
  </si>
  <si>
    <t xml:space="preserve">бочки 1800 кг + 10 ведер по 10 кг на тесты </t>
  </si>
  <si>
    <t>реактор Перфотак</t>
  </si>
  <si>
    <t>Отвердитель Starkbond 525C L01 (ведро 20кг)</t>
  </si>
  <si>
    <t>тест</t>
  </si>
  <si>
    <t>Отвердитель Starkbond 525C L02 (ведро 20кг)</t>
  </si>
  <si>
    <t>Отвердитель Starkbond 525C  3.0 Бочка 200 кг</t>
  </si>
  <si>
    <t>Отвердитель Starkbond 525C L00 (ведро 20кг)</t>
  </si>
  <si>
    <t>Отвердитель Starkbond 525 C 4.0 бочка 200 кг</t>
  </si>
  <si>
    <t>Отвердитель Starkbond 525 C 5.0 бочка 200 кг</t>
  </si>
  <si>
    <t>Отвердитель Starkbond 521C 11.0 бочка 200кг, ведро 11 кг</t>
  </si>
  <si>
    <t>SANCOS PRO 101A бочка 180 кг и ведро 10 кг</t>
  </si>
  <si>
    <t>296/1</t>
  </si>
  <si>
    <t>отвердитель Starkbond 521 C 2.2  ведро 11кг</t>
  </si>
  <si>
    <t>перелив из бочки в ведра</t>
  </si>
  <si>
    <t>Sancos Pro Safety 165 канистра 4.93 кг</t>
  </si>
  <si>
    <t>образцы</t>
  </si>
  <si>
    <t>Sancos Pro Safety 145 канистра 2,6 кг</t>
  </si>
  <si>
    <t>Sancos Pro Safety 165 канистра 2,6 кг</t>
  </si>
  <si>
    <t>Клей Starkbond 747 2A ведро 20 кг, Клей Starkbond 746A  ведро 20 кг</t>
  </si>
  <si>
    <t>отвердитель Starkbond 747 1C  ведро 20кг, отвердитель Starkbond 747 2C  ведро 20кг, Клей Starkbond 747 1A ведро 20 кг</t>
  </si>
  <si>
    <t>30E25R11-12</t>
  </si>
  <si>
    <t>30E2506</t>
  </si>
  <si>
    <t>Отвердитель Starkbond 525C 6.0  ведро 10кг</t>
  </si>
  <si>
    <t>образец</t>
  </si>
  <si>
    <t>30E2505</t>
  </si>
  <si>
    <t>Отвердитель Starkbond 525C 4.0  ведро 10кг</t>
  </si>
  <si>
    <t>фильтрация 521A (возврат из Артфлекс)</t>
  </si>
  <si>
    <t>16кг- потери при переливе, смена артикула</t>
  </si>
  <si>
    <t>переработка для Артфлекс</t>
  </si>
  <si>
    <t>Клей Starkbond 531A ведро 20 кг</t>
  </si>
  <si>
    <t>Сухарево, изготавливал Перфотак из нашего сырья</t>
  </si>
  <si>
    <t>ТЕСТ ДЛЯ АРТФЛЕКС С PTSI</t>
  </si>
  <si>
    <t xml:space="preserve">Клей Starkbond 745/41 А (ведро 20кг) </t>
  </si>
  <si>
    <t xml:space="preserve">реактор Перфотак </t>
  </si>
  <si>
    <t>SANCOS PRO (Sancos PRONATE 501B бочка 200 кг)</t>
  </si>
  <si>
    <t>SP 501B	Sancos PRONATE 501B бочка 200 кг- 800кг
SP 501B	Sancos PRONATE 501B ведро 20 кг - 100 кг</t>
  </si>
  <si>
    <t>Отвердитель Starkbond 525C  2.0 Бочка 200 кг</t>
  </si>
  <si>
    <t>смена номенклатуры (отправлено в Принт Дизайн 525С3.0 1000кг, обратно привезли 525С2.0 1000кг)</t>
  </si>
  <si>
    <t xml:space="preserve">смена номенклатуры </t>
  </si>
  <si>
    <t xml:space="preserve">SANCOS PROPOL 101A
</t>
  </si>
  <si>
    <t>Sancos PROPOL 101A  бочка 180 кг, Sancos PROPOL 101A  бочка 90 кг, Sancos PROPOL 101A ведро 20 кг</t>
  </si>
  <si>
    <t xml:space="preserve">Клей Starkbond 521A </t>
  </si>
  <si>
    <t>ведро 22 кг - 1 шт , бочка 220 кг - 8 шт</t>
  </si>
  <si>
    <t>Starkbond 2014  ведро 10 кг</t>
  </si>
  <si>
    <t>SPS 145</t>
  </si>
  <si>
    <t>Sancos Pro Safety 145 канистра 11,59 кг, Sancos Pro Safety 145 канистра 5.795 кг, Sancos Pro Safety 145 канистра 5,15 кг</t>
  </si>
  <si>
    <t>SANCOS PRO SAFETY 145 M канистра 2,58 кг</t>
  </si>
  <si>
    <t>Sancos Pro Safety 165 канистра 5,05 кг</t>
  </si>
  <si>
    <t xml:space="preserve">Клей Starkbond 525A бочка 200 кг </t>
  </si>
  <si>
    <t>Клей Starkbond 2025 RC7 LV ведро 5кг</t>
  </si>
  <si>
    <t>переделка из брака для образцов</t>
  </si>
  <si>
    <t>ведро 10 кг-1, бочка 225кг-10</t>
  </si>
  <si>
    <t>ведро 10 кг- 1, ведро 5 кг-1, бочка 225кг-10</t>
  </si>
  <si>
    <t>ведро 10кг- 1, бочка 225кг -10</t>
  </si>
  <si>
    <t>фактическое производство 29-30.04.25</t>
  </si>
  <si>
    <t>фактическое производство 29-30.04.26</t>
  </si>
  <si>
    <t xml:space="preserve">БРАК НА СКЛАД ГП АРТФЛЕКС ДЛЯ ПЕРЕРАБОТКИ </t>
  </si>
  <si>
    <t xml:space="preserve">Клей Starkbond 2025 RC7 LV </t>
  </si>
  <si>
    <t>Клей Starkbond 2025 RC7 LV 225 кг, Клей Starkbond 2025C RC7 LV  ведро 10 кг</t>
  </si>
  <si>
    <t>фактическое производство 01.05.25 (Моисеенко К.)</t>
  </si>
  <si>
    <t>Клей Starkbond 2025 RC7 LV 225 кг, Клей Starkbond 2025 RC7 LV ведро 20кг, Клей Starkbond 2025 RC7 LV ведро 5кг</t>
  </si>
  <si>
    <t>изготавливали Перфотак из нашего сырья</t>
  </si>
  <si>
    <t xml:space="preserve">Клей Starkbond 745/41 А (бочка 200 кг) </t>
  </si>
  <si>
    <t xml:space="preserve">доработан и выпущен </t>
  </si>
  <si>
    <t>реактор</t>
  </si>
  <si>
    <t>Клей Starkbond 525A  бочка 200 кг</t>
  </si>
  <si>
    <t>крошка</t>
  </si>
  <si>
    <t>перелив (на нашем производстве)</t>
  </si>
  <si>
    <t xml:space="preserve">перелив </t>
  </si>
  <si>
    <t xml:space="preserve">21C2501-04 (MDI)
21C2505 (LUP)
</t>
  </si>
  <si>
    <t>изменение рецептуры на этот акт, файл в 1С</t>
  </si>
  <si>
    <t>Lupranat MI (Лупранат МИ) Компонент Б (бочка 250) - 50 кг осадок замороженного сырья (с последнего поступления)</t>
  </si>
  <si>
    <t>потери выше нормы, MDI частично кристаллизован</t>
  </si>
  <si>
    <t>РЕАКТОР</t>
  </si>
  <si>
    <t>переделка</t>
  </si>
  <si>
    <t>Starkbond 2014  ведро 5кг, Клей Starkbond 2025 RC7  ведро 5 кг</t>
  </si>
  <si>
    <t>изменение артикула ( смена номенклатуры из бракованной ГП)</t>
  </si>
  <si>
    <t>переклейка: Sancos PRONATE 501B бочка 240 кг, Sancos PROPOL 101A  бочка 180 кг, Sancos Pro Safety 165 канистра 14,81 кг, Sancos Pro Safety 145 канистра 21.96 кг</t>
  </si>
  <si>
    <t xml:space="preserve">Клей Starkbond 745/41 А (бочка 200 кг)  </t>
  </si>
  <si>
    <t>1 бочка неполная - 170 кг</t>
  </si>
  <si>
    <t>потери Лупраната - частичная кристаллизация</t>
  </si>
  <si>
    <t>БОЧКИ - 900КГ, ВЕДРА - 5*20КГ</t>
  </si>
  <si>
    <t>сработка старых остатков, сырья из брака</t>
  </si>
  <si>
    <t>смена номенклатуры (обувные системы)</t>
  </si>
  <si>
    <t>ДОП.ПРИЗНАК CYJ25, запись продублирована на стретч пленке, в которую замотаны бочки</t>
  </si>
  <si>
    <t xml:space="preserve">Клей Starkbond 525A  бочка 200 кг </t>
  </si>
  <si>
    <t>MDI-50 осадок в кубе, потери 60кг</t>
  </si>
  <si>
    <t>отвердитель Starkbond 746 С  бочка 200 кг</t>
  </si>
  <si>
    <t xml:space="preserve">реактор </t>
  </si>
  <si>
    <t>51 ведро по 20 кг, 1 ведро - 16 кг</t>
  </si>
  <si>
    <t>перелив 521С10 в ведра</t>
  </si>
  <si>
    <t>ШККА-002276 - доб. Пропиленкарбонат 93 кг</t>
  </si>
  <si>
    <t>ШККА-002275 - доб. Пропиленкарбонат 93 кг</t>
  </si>
  <si>
    <t>ШККА-002274 - доб. Пропиленкарбонат 66 кг</t>
  </si>
  <si>
    <t xml:space="preserve">клей Starkbond 745/3 А  бочка 200кг, Клей Starkbond 745/3А (ведро 20кг)  </t>
  </si>
  <si>
    <t>потери при переливе, фильтрации, расфасовке</t>
  </si>
  <si>
    <t>потери из-за слива из бочек + объем 16 тонн</t>
  </si>
  <si>
    <t>5 партий - из Лупраната, 3 партии - из МДИ 50</t>
  </si>
  <si>
    <t xml:space="preserve">Отвердитель Starkbond 525C  2.0 Бочка 200 кг, отвердитель Starkbond 525C  2.0 ведро 20кг </t>
  </si>
  <si>
    <t>потери при сливе Олигоэфир П-512 (ОПГА-650) из бочек</t>
  </si>
  <si>
    <t xml:space="preserve">Sancon Pro </t>
  </si>
  <si>
    <t>переклейка: Sancos PRONATE 501B бочка 240 кг, Sancos PROPOL 101A  бочка 180 кг, Sancos Pro Safety 165 канистра 14,81 кг</t>
  </si>
  <si>
    <t>потери- застывший старый Лупранат</t>
  </si>
  <si>
    <t>смена номенклатуры - Starkbond 2004  ведро 5 кг, Starkbond 2014  ведро 5кг, Клей Starkbond 2025C RC7  ведро 5 кг - по 25 кг</t>
  </si>
  <si>
    <t>перефильтрация</t>
  </si>
  <si>
    <t>цветной. Мороженный  розовый Лупранат</t>
  </si>
  <si>
    <t>827(2)</t>
  </si>
  <si>
    <t>841(2)</t>
  </si>
  <si>
    <t>845(2)</t>
  </si>
  <si>
    <t>Израсходовано по факту Polyether Polyol Puranol, Пропиленгликоль</t>
  </si>
  <si>
    <t>Клей Starkbond 2014 ведро 10 кг ОБРАЗЦЫ</t>
  </si>
  <si>
    <t>Starkbond 2014 RB101 ведро 10 кг, Starkbond 2014 RC301 ведро 10 кг, Starkbond 2014 RH201 ведро 10 кг</t>
  </si>
  <si>
    <t>Starkbond 2014 RB103 ведро 10 кг, Starkbond 2014 RH202 ведро 10 кг, Starkbond 2014 RB102 ведро 10 кг</t>
  </si>
  <si>
    <t>отвердитель Starkbond 746/1 С  бочка 200кг и ведро 20кг</t>
  </si>
  <si>
    <t>отвердитель Starkbond 746/1 С  ведро 20кг, отвердитель Starkbond 746/1 С  бочка 200кг</t>
  </si>
  <si>
    <t>Клей Starkbond 745/3А (ведро 20кг)</t>
  </si>
  <si>
    <t>довели до кондиции сентябрьскую партию</t>
  </si>
  <si>
    <t xml:space="preserve">Sancos Pro </t>
  </si>
  <si>
    <t xml:space="preserve">ПЕРЕВОД АРТИКУЛОВ </t>
  </si>
  <si>
    <t>Sancos PRONATE 501B бочка 240 кг, Sancos PROPOL 101A  бочка 180 кг, Sancos Pro Safety 165 канистра 14,81 кг, Sancos Pro Safety 145 канистра 21.96 кг</t>
  </si>
  <si>
    <t>отвердитель Starkbond 746/1 С  бочка 200кг, ведро 20 кг</t>
  </si>
  <si>
    <t xml:space="preserve">Клей Starkbond 2025 RC7 </t>
  </si>
  <si>
    <t>Клей Starkbond 2025 RC7 LV 225 кг, Клей Starkbond 2025C RC7  ведро 20 кг</t>
  </si>
  <si>
    <t xml:space="preserve">Клей Starkbond 525A  </t>
  </si>
  <si>
    <t>Клей Starkbond 525A  бочка 220 кг , Клей Starkbond 525A  ведро 22 кг - 20 кг (неполное)</t>
  </si>
  <si>
    <t>из продукта, который был выведен из продажной линейки, сделали ликвидный продукт</t>
  </si>
  <si>
    <t>Лупранат в кубах, розовый</t>
  </si>
  <si>
    <t>Клей Starkbond 525A бочка 220 кг и ведро 22 кг</t>
  </si>
  <si>
    <t>клей Starkbond 745/3 А бочки, ведра</t>
  </si>
  <si>
    <t>отвердитель Starkbond 746/1 С  бочка 180 кг, ведро 20 кг</t>
  </si>
  <si>
    <t>30..09.24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</si>
</sst>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[$ ₽]"/>
    <numFmt numFmtId="165" formatCode="dd.mm.yyyy"/>
    <numFmt numFmtId="166" formatCode="#,##0.00&quot;€&quot;"/>
    <numFmt numFmtId="167" formatCode="d.m.yyyy"/>
    <numFmt numFmtId="168" formatCode="dd.MM.yyyy"/>
    <numFmt numFmtId="169" formatCode="dd.mm.yy"/>
    <numFmt numFmtId="170" formatCode="dd.mm"/>
    <numFmt numFmtId="171" formatCode="d.m.yy"/>
  </numFmts>
  <fonts count="21">
    <font>
      <sz val="10.0"/>
      <color rgb="FF000000"/>
      <name val="Arial"/>
      <scheme val="minor"/>
    </font>
    <font>
      <b/>
      <sz val="8.0"/>
      <color rgb="FF000000"/>
      <name val="Calibri"/>
    </font>
    <font>
      <b/>
      <sz val="8.0"/>
      <color rgb="FF00B0F0"/>
      <name val="Calibri"/>
    </font>
    <font>
      <b/>
      <sz val="8.0"/>
      <color rgb="FFFF0000"/>
      <name val="Calibri"/>
    </font>
    <font>
      <color theme="1"/>
      <name val="Arial"/>
      <scheme val="minor"/>
    </font>
    <font>
      <sz val="8.0"/>
      <color rgb="FF000000"/>
      <name val="Calibri"/>
    </font>
    <font>
      <sz val="8.0"/>
      <color theme="1"/>
      <name val="Calibri"/>
    </font>
    <font>
      <color rgb="FF000000"/>
      <name val="Arial"/>
      <scheme val="minor"/>
    </font>
    <font>
      <sz val="8.0"/>
      <color rgb="FF333333"/>
      <name val="Arial"/>
    </font>
    <font>
      <b/>
      <sz val="10.0"/>
      <color theme="1"/>
      <name val="PT Sans"/>
    </font>
    <font>
      <sz val="10.0"/>
      <color theme="1"/>
      <name val="PT Sans"/>
    </font>
    <font>
      <b/>
      <sz val="8.0"/>
      <color theme="1"/>
      <name val="Calibri"/>
    </font>
    <font>
      <b/>
      <color theme="1"/>
      <name val="Arial"/>
      <scheme val="minor"/>
    </font>
    <font>
      <sz val="8.0"/>
      <color rgb="FFFF0000"/>
      <name val="Calibri"/>
    </font>
    <font>
      <sz val="8.0"/>
      <color rgb="FFFF9900"/>
      <name val="Calibri"/>
    </font>
    <font>
      <sz val="8.0"/>
      <color theme="1"/>
      <name val="Arial"/>
    </font>
    <font>
      <sz val="7.0"/>
      <color theme="1"/>
      <name val="Arial"/>
    </font>
    <font>
      <sz val="8.0"/>
      <color rgb="FF00B0F0"/>
      <name val="Calibri"/>
    </font>
    <font>
      <color theme="5"/>
      <name val="Arial"/>
      <scheme val="minor"/>
    </font>
    <font>
      <sz val="11.0"/>
      <color rgb="FF000000"/>
      <name val="Calibri"/>
    </font>
    <font>
      <sz val="9.0"/>
      <color rgb="FF1F1F1F"/>
      <name val="&quot;Google Sans&quot;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EDEDED"/>
        <bgColor rgb="FFEDEDED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E6B8AF"/>
        <bgColor rgb="FFE6B8AF"/>
      </patternFill>
    </fill>
    <fill>
      <patternFill patternType="solid">
        <fgColor rgb="FFFF00FF"/>
        <bgColor rgb="FFFF00FF"/>
      </patternFill>
    </fill>
    <fill>
      <patternFill patternType="solid">
        <fgColor rgb="FFB4A7D6"/>
        <bgColor rgb="FFB4A7D6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</border>
    <border>
      <right style="thin">
        <color rgb="FF993300"/>
      </right>
      <top style="thin">
        <color rgb="FF9933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993300"/>
      </left>
      <bottom style="thin">
        <color rgb="FF9933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4" fontId="5" numFmtId="165" xfId="0" applyAlignment="1" applyBorder="1" applyFill="1" applyFont="1" applyNumberFormat="1">
      <alignment horizontal="center" readingOrder="0" shrinkToFit="0" vertical="bottom" wrapText="0"/>
    </xf>
    <xf borderId="2" fillId="4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readingOrder="0" vertical="bottom"/>
    </xf>
    <xf borderId="4" fillId="4" fontId="5" numFmtId="0" xfId="0" applyAlignment="1" applyBorder="1" applyFont="1">
      <alignment horizontal="center" readingOrder="0" shrinkToFit="0" vertical="bottom" wrapText="0"/>
    </xf>
    <xf borderId="4" fillId="4" fontId="5" numFmtId="4" xfId="0" applyAlignment="1" applyBorder="1" applyFont="1" applyNumberFormat="1">
      <alignment horizontal="center" readingOrder="0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4" fillId="4" fontId="5" numFmtId="2" xfId="0" applyAlignment="1" applyBorder="1" applyFont="1" applyNumberFormat="1">
      <alignment horizontal="center" readingOrder="0" shrinkToFit="0" vertical="bottom" wrapText="0"/>
    </xf>
    <xf borderId="2" fillId="4" fontId="5" numFmtId="4" xfId="0" applyAlignment="1" applyBorder="1" applyFont="1" applyNumberFormat="1">
      <alignment horizontal="center" readingOrder="0" shrinkToFit="0" vertical="bottom" wrapText="0"/>
    </xf>
    <xf borderId="5" fillId="4" fontId="5" numFmtId="164" xfId="0" applyAlignment="1" applyBorder="1" applyFont="1" applyNumberFormat="1">
      <alignment horizontal="center" readingOrder="0" shrinkToFit="0" wrapText="0"/>
    </xf>
    <xf borderId="4" fillId="4" fontId="5" numFmtId="166" xfId="0" applyAlignment="1" applyBorder="1" applyFont="1" applyNumberFormat="1">
      <alignment horizontal="center" readingOrder="0" shrinkToFit="0" wrapText="0"/>
    </xf>
    <xf borderId="4" fillId="4" fontId="5" numFmtId="164" xfId="0" applyAlignment="1" applyBorder="1" applyFont="1" applyNumberFormat="1">
      <alignment horizontal="center" readingOrder="0" shrinkToFit="0" wrapText="0"/>
    </xf>
    <xf borderId="0" fillId="4" fontId="5" numFmtId="0" xfId="0" applyAlignment="1" applyFont="1">
      <alignment horizontal="center" readingOrder="0" shrinkToFit="0" vertical="bottom" wrapText="0"/>
    </xf>
    <xf borderId="0" fillId="4" fontId="4" numFmtId="0" xfId="0" applyAlignment="1" applyFont="1">
      <alignment readingOrder="0"/>
    </xf>
    <xf borderId="0" fillId="4" fontId="4" numFmtId="0" xfId="0" applyFont="1"/>
    <xf borderId="4" fillId="2" fontId="6" numFmtId="0" xfId="0" applyAlignment="1" applyBorder="1" applyFont="1">
      <alignment horizontal="left" readingOrder="0" shrinkToFit="0" vertical="bottom" wrapText="0"/>
    </xf>
    <xf borderId="4" fillId="4" fontId="1" numFmtId="4" xfId="0" applyAlignment="1" applyBorder="1" applyFont="1" applyNumberFormat="1">
      <alignment horizontal="center" readingOrder="0" shrinkToFit="0" vertical="bottom" wrapText="0"/>
    </xf>
    <xf borderId="4" fillId="5" fontId="6" numFmtId="0" xfId="0" applyAlignment="1" applyBorder="1" applyFill="1" applyFont="1">
      <alignment horizontal="left" readingOrder="0" shrinkToFit="0" vertical="bottom" wrapText="0"/>
    </xf>
    <xf borderId="4" fillId="4" fontId="1" numFmtId="166" xfId="0" applyAlignment="1" applyBorder="1" applyFont="1" applyNumberFormat="1">
      <alignment horizontal="center" readingOrder="0" shrinkToFit="0" wrapText="0"/>
    </xf>
    <xf borderId="6" fillId="4" fontId="5" numFmtId="165" xfId="0" applyAlignment="1" applyBorder="1" applyFont="1" applyNumberFormat="1">
      <alignment horizontal="center" readingOrder="0" shrinkToFit="0" vertical="bottom" wrapText="0"/>
    </xf>
    <xf borderId="0" fillId="4" fontId="1" numFmtId="0" xfId="0" applyAlignment="1" applyFont="1">
      <alignment horizontal="center" readingOrder="0" shrinkToFit="0" vertical="bottom" wrapText="0"/>
    </xf>
    <xf borderId="0" fillId="4" fontId="7" numFmtId="0" xfId="0" applyFont="1"/>
    <xf borderId="4" fillId="5" fontId="5" numFmtId="0" xfId="0" applyAlignment="1" applyBorder="1" applyFont="1">
      <alignment horizontal="left" readingOrder="0"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left" readingOrder="0" shrinkToFit="0" vertical="bottom" wrapText="0"/>
    </xf>
    <xf borderId="7" fillId="4" fontId="8" numFmtId="165" xfId="0" applyAlignment="1" applyBorder="1" applyFont="1" applyNumberFormat="1">
      <alignment horizontal="left" readingOrder="0" shrinkToFit="0" vertical="top" wrapText="0"/>
    </xf>
    <xf borderId="7" fillId="4" fontId="8" numFmtId="0" xfId="0" applyAlignment="1" applyBorder="1" applyFont="1">
      <alignment horizontal="right" readingOrder="0" shrinkToFit="0" vertical="top" wrapText="0"/>
    </xf>
    <xf borderId="7" fillId="4" fontId="8" numFmtId="0" xfId="0" applyAlignment="1" applyBorder="1" applyFont="1">
      <alignment horizontal="left" readingOrder="0" shrinkToFit="0" vertical="top" wrapText="0"/>
    </xf>
    <xf borderId="7" fillId="4" fontId="8" numFmtId="0" xfId="0" applyAlignment="1" applyBorder="1" applyFont="1">
      <alignment horizontal="right" vertical="top"/>
    </xf>
    <xf borderId="7" fillId="4" fontId="8" numFmtId="0" xfId="0" applyAlignment="1" applyBorder="1" applyFont="1">
      <alignment vertical="top"/>
    </xf>
    <xf borderId="7" fillId="4" fontId="8" numFmtId="167" xfId="0" applyAlignment="1" applyBorder="1" applyFont="1" applyNumberFormat="1">
      <alignment horizontal="left" readingOrder="0" shrinkToFit="0" vertical="top" wrapText="0"/>
    </xf>
    <xf borderId="0" fillId="0" fontId="4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10" numFmtId="0" xfId="0" applyFont="1"/>
    <xf borderId="0" fillId="0" fontId="10" numFmtId="2" xfId="0" applyAlignment="1" applyFont="1" applyNumberFormat="1">
      <alignment horizontal="center" vertical="bottom"/>
    </xf>
    <xf borderId="0" fillId="0" fontId="4" numFmtId="0" xfId="0" applyFont="1"/>
    <xf borderId="6" fillId="4" fontId="5" numFmtId="0" xfId="0" applyAlignment="1" applyBorder="1" applyFont="1">
      <alignment readingOrder="0" vertical="bottom"/>
    </xf>
    <xf borderId="6" fillId="4" fontId="6" numFmtId="0" xfId="0" applyAlignment="1" applyBorder="1" applyFont="1">
      <alignment readingOrder="0" shrinkToFit="0" vertical="bottom" wrapText="1"/>
    </xf>
    <xf borderId="1" fillId="4" fontId="5" numFmtId="0" xfId="0" applyAlignment="1" applyBorder="1" applyFont="1">
      <alignment readingOrder="0" vertical="bottom"/>
    </xf>
    <xf borderId="2" fillId="2" fontId="5" numFmtId="0" xfId="0" applyAlignment="1" applyBorder="1" applyFont="1">
      <alignment horizontal="center" readingOrder="0" shrinkToFit="0" vertical="bottom" wrapText="0"/>
    </xf>
    <xf borderId="4" fillId="4" fontId="5" numFmtId="0" xfId="0" applyAlignment="1" applyBorder="1" applyFont="1">
      <alignment horizontal="left" readingOrder="0" vertical="bottom"/>
    </xf>
    <xf borderId="2" fillId="4" fontId="1" numFmtId="0" xfId="0" applyAlignment="1" applyBorder="1" applyFont="1">
      <alignment horizontal="center" readingOrder="0" shrinkToFit="0" vertical="bottom" wrapText="0"/>
    </xf>
    <xf borderId="0" fillId="4" fontId="4" numFmtId="0" xfId="0" applyAlignment="1" applyFont="1">
      <alignment horizontal="center" readingOrder="0" vertical="center"/>
    </xf>
    <xf borderId="4" fillId="4" fontId="11" numFmtId="0" xfId="0" applyAlignment="1" applyBorder="1" applyFont="1">
      <alignment horizontal="center" readingOrder="0" shrinkToFit="0" vertical="bottom" wrapText="0"/>
    </xf>
    <xf borderId="4" fillId="4" fontId="5" numFmtId="0" xfId="0" applyAlignment="1" applyBorder="1" applyFont="1">
      <alignment horizontal="left" readingOrder="0" shrinkToFit="0" vertical="bottom" wrapText="0"/>
    </xf>
    <xf borderId="4" fillId="4" fontId="6" numFmtId="4" xfId="0" applyAlignment="1" applyBorder="1" applyFont="1" applyNumberFormat="1">
      <alignment horizontal="center" readingOrder="0" shrinkToFit="0" vertical="bottom" wrapText="0"/>
    </xf>
    <xf borderId="4" fillId="2" fontId="5" numFmtId="4" xfId="0" applyAlignment="1" applyBorder="1" applyFont="1" applyNumberFormat="1">
      <alignment horizontal="center" readingOrder="0" shrinkToFit="0" vertical="bottom" wrapText="0"/>
    </xf>
    <xf borderId="4" fillId="4" fontId="1" numFmtId="2" xfId="0" applyAlignment="1" applyBorder="1" applyFont="1" applyNumberFormat="1">
      <alignment horizontal="center" readingOrder="0" shrinkToFit="0" vertical="bottom" wrapText="0"/>
    </xf>
    <xf borderId="6" fillId="4" fontId="5" numFmtId="168" xfId="0" applyAlignment="1" applyBorder="1" applyFont="1" applyNumberFormat="1">
      <alignment horizontal="center" readingOrder="0" shrinkToFit="0" vertical="bottom" wrapText="0"/>
    </xf>
    <xf borderId="4" fillId="4" fontId="6" numFmtId="0" xfId="0" applyAlignment="1" applyBorder="1" applyFont="1">
      <alignment readingOrder="0" shrinkToFit="0" vertical="bottom" wrapText="0"/>
    </xf>
    <xf borderId="4" fillId="4" fontId="1" numFmtId="0" xfId="0" applyAlignment="1" applyBorder="1" applyFont="1">
      <alignment horizontal="center"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1" fillId="0" fontId="5" numFmtId="165" xfId="0" applyAlignment="1" applyBorder="1" applyFont="1" applyNumberFormat="1">
      <alignment horizontal="center" readingOrder="0" shrinkToFit="0" vertical="bottom" wrapText="0"/>
    </xf>
    <xf borderId="0" fillId="2" fontId="4" numFmtId="0" xfId="0" applyFont="1"/>
    <xf borderId="0" fillId="0" fontId="12" numFmtId="0" xfId="0" applyFont="1"/>
    <xf borderId="0" fillId="0" fontId="4" numFmtId="4" xfId="0" applyFont="1" applyNumberFormat="1"/>
    <xf borderId="0" fillId="0" fontId="4" numFmtId="164" xfId="0" applyFont="1" applyNumberFormat="1"/>
    <xf borderId="4" fillId="6" fontId="5" numFmtId="0" xfId="0" applyAlignment="1" applyBorder="1" applyFill="1" applyFont="1">
      <alignment horizontal="center" readingOrder="0" shrinkToFit="0" vertical="bottom" wrapText="0"/>
    </xf>
    <xf borderId="4" fillId="4" fontId="5" numFmtId="3" xfId="0" applyAlignment="1" applyBorder="1" applyFont="1" applyNumberFormat="1">
      <alignment horizontal="center" readingOrder="0" shrinkToFit="0" vertical="bottom" wrapText="0"/>
    </xf>
    <xf borderId="4" fillId="4" fontId="5" numFmtId="0" xfId="0" applyAlignment="1" applyBorder="1" applyFont="1">
      <alignment readingOrder="0" vertical="bottom"/>
    </xf>
    <xf borderId="4" fillId="4" fontId="6" numFmtId="0" xfId="0" applyAlignment="1" applyBorder="1" applyFont="1">
      <alignment horizontal="center" readingOrder="0" shrinkToFit="0" vertical="bottom" wrapText="0"/>
    </xf>
    <xf borderId="4" fillId="4" fontId="6" numFmtId="0" xfId="0" applyAlignment="1" applyBorder="1" applyFont="1">
      <alignment horizontal="left" readingOrder="0" shrinkToFit="0" vertical="bottom" wrapText="0"/>
    </xf>
    <xf borderId="0" fillId="4" fontId="1" numFmtId="0" xfId="0" applyAlignment="1" applyFont="1">
      <alignment horizontal="center" shrinkToFit="0" vertical="bottom" wrapText="0"/>
    </xf>
    <xf borderId="0" fillId="4" fontId="5" numFmtId="0" xfId="0" applyAlignment="1" applyFont="1">
      <alignment horizontal="center" shrinkToFit="0" vertical="bottom" wrapText="0"/>
    </xf>
    <xf borderId="0" fillId="4" fontId="12" numFmtId="0" xfId="0" applyFont="1"/>
    <xf borderId="0" fillId="4" fontId="4" numFmtId="4" xfId="0" applyFont="1" applyNumberFormat="1"/>
    <xf borderId="0" fillId="4" fontId="4" numFmtId="164" xfId="0" applyFont="1" applyNumberFormat="1"/>
    <xf borderId="1" fillId="7" fontId="5" numFmtId="165" xfId="0" applyAlignment="1" applyBorder="1" applyFill="1" applyFont="1" applyNumberFormat="1">
      <alignment horizontal="center" readingOrder="0" shrinkToFit="0" vertical="bottom" wrapText="0"/>
    </xf>
    <xf borderId="4" fillId="2" fontId="6" numFmtId="0" xfId="0" applyAlignment="1" applyBorder="1" applyFont="1">
      <alignment horizontal="left" readingOrder="0" shrinkToFit="0" vertical="bottom" wrapText="1"/>
    </xf>
    <xf borderId="1" fillId="8" fontId="5" numFmtId="165" xfId="0" applyAlignment="1" applyBorder="1" applyFill="1" applyFont="1" applyNumberFormat="1">
      <alignment horizontal="center" readingOrder="0" shrinkToFit="0" vertical="bottom" wrapText="0"/>
    </xf>
    <xf borderId="1" fillId="9" fontId="5" numFmtId="165" xfId="0" applyAlignment="1" applyBorder="1" applyFill="1" applyFont="1" applyNumberFormat="1">
      <alignment horizontal="center" readingOrder="0" shrinkToFit="0" vertical="bottom" wrapText="0"/>
    </xf>
    <xf borderId="1" fillId="10" fontId="5" numFmtId="165" xfId="0" applyAlignment="1" applyBorder="1" applyFill="1" applyFont="1" applyNumberFormat="1">
      <alignment horizontal="center" readingOrder="0" shrinkToFit="0" vertical="bottom" wrapText="0"/>
    </xf>
    <xf borderId="1" fillId="10" fontId="13" numFmtId="165" xfId="0" applyAlignment="1" applyBorder="1" applyFont="1" applyNumberFormat="1">
      <alignment horizontal="center" readingOrder="0" shrinkToFit="0" vertical="bottom" wrapText="0"/>
    </xf>
    <xf borderId="1" fillId="5" fontId="5" numFmtId="165" xfId="0" applyAlignment="1" applyBorder="1" applyFont="1" applyNumberFormat="1">
      <alignment horizontal="center" readingOrder="0" shrinkToFit="0" vertical="bottom" wrapText="0"/>
    </xf>
    <xf borderId="1" fillId="4" fontId="13" numFmtId="165" xfId="0" applyAlignment="1" applyBorder="1" applyFont="1" applyNumberFormat="1">
      <alignment horizontal="center" readingOrder="0" shrinkToFit="0" vertical="bottom" wrapText="0"/>
    </xf>
    <xf borderId="1" fillId="4" fontId="14" numFmtId="165" xfId="0" applyAlignment="1" applyBorder="1" applyFont="1" applyNumberFormat="1">
      <alignment horizontal="center" readingOrder="0" shrinkToFit="0" vertical="bottom" wrapText="0"/>
    </xf>
    <xf borderId="1" fillId="11" fontId="5" numFmtId="0" xfId="0" applyAlignment="1" applyBorder="1" applyFill="1" applyFont="1">
      <alignment readingOrder="0" shrinkToFit="0" vertical="bottom" wrapText="0"/>
    </xf>
    <xf borderId="1" fillId="11" fontId="5" numFmtId="0" xfId="0" applyAlignment="1" applyBorder="1" applyFont="1">
      <alignment readingOrder="0" vertical="bottom"/>
    </xf>
    <xf borderId="1" fillId="11" fontId="1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5" fontId="5" numFmtId="165" xfId="0" applyAlignment="1" applyBorder="1" applyFont="1" applyNumberFormat="1">
      <alignment horizontal="right" readingOrder="0" shrinkToFit="0" vertical="bottom" wrapText="0"/>
    </xf>
    <xf borderId="8" fillId="5" fontId="15" numFmtId="0" xfId="0" applyAlignment="1" applyBorder="1" applyFont="1">
      <alignment readingOrder="0" vertical="top"/>
    </xf>
    <xf borderId="1" fillId="0" fontId="5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vertical="bottom"/>
    </xf>
    <xf borderId="1" fillId="0" fontId="5" numFmtId="9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right" readingOrder="0" shrinkToFit="0" vertical="bottom" wrapText="0"/>
    </xf>
    <xf borderId="1" fillId="5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readingOrder="0" shrinkToFit="0" vertical="bottom" wrapText="0"/>
    </xf>
    <xf borderId="0" fillId="10" fontId="5" numFmtId="0" xfId="0" applyAlignment="1" applyFont="1">
      <alignment shrinkToFit="0" vertical="bottom" wrapText="0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169" xfId="0" applyAlignment="1" applyFont="1" applyNumberFormat="1">
      <alignment readingOrder="0"/>
    </xf>
    <xf borderId="0" fillId="0" fontId="5" numFmtId="0" xfId="0" applyAlignment="1" applyFont="1">
      <alignment readingOrder="0" shrinkToFit="0" vertical="bottom" wrapText="0"/>
    </xf>
    <xf borderId="1" fillId="5" fontId="5" numFmtId="167" xfId="0" applyAlignment="1" applyBorder="1" applyFont="1" applyNumberFormat="1">
      <alignment horizontal="right" readingOrder="0" shrinkToFit="0" vertical="bottom" wrapText="0"/>
    </xf>
    <xf borderId="8" fillId="0" fontId="15" numFmtId="0" xfId="0" applyAlignment="1" applyBorder="1" applyFont="1">
      <alignment horizontal="right" readingOrder="0" shrinkToFit="0" vertical="top" wrapText="0"/>
    </xf>
    <xf borderId="0" fillId="0" fontId="8" numFmtId="0" xfId="0" applyAlignment="1" applyFont="1">
      <alignment horizontal="right" readingOrder="0" shrinkToFit="0" vertical="bottom" wrapText="0"/>
    </xf>
    <xf borderId="1" fillId="5" fontId="5" numFmtId="0" xfId="0" applyAlignment="1" applyBorder="1" applyFont="1">
      <alignment readingOrder="0" vertical="bottom"/>
    </xf>
    <xf borderId="8" fillId="0" fontId="15" numFmtId="165" xfId="0" applyAlignment="1" applyBorder="1" applyFont="1" applyNumberFormat="1">
      <alignment readingOrder="0" shrinkToFit="0" vertical="top" wrapText="0"/>
    </xf>
    <xf borderId="9" fillId="0" fontId="15" numFmtId="0" xfId="0" applyAlignment="1" applyBorder="1" applyFont="1">
      <alignment readingOrder="0" vertical="top"/>
    </xf>
    <xf borderId="9" fillId="0" fontId="15" numFmtId="0" xfId="0" applyAlignment="1" applyBorder="1" applyFont="1">
      <alignment horizontal="right" readingOrder="0" shrinkToFit="0" vertical="top" wrapText="0"/>
    </xf>
    <xf borderId="10" fillId="0" fontId="1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11" fillId="0" fontId="15" numFmtId="165" xfId="0" applyAlignment="1" applyBorder="1" applyFont="1" applyNumberFormat="1">
      <alignment readingOrder="0" shrinkToFit="0" vertical="top" wrapText="0"/>
    </xf>
    <xf borderId="1" fillId="0" fontId="15" numFmtId="0" xfId="0" applyAlignment="1" applyBorder="1" applyFont="1">
      <alignment readingOrder="0" vertical="top"/>
    </xf>
    <xf borderId="1" fillId="0" fontId="15" numFmtId="0" xfId="0" applyAlignment="1" applyBorder="1" applyFont="1">
      <alignment horizontal="right" readingOrder="0" shrinkToFit="0" vertical="top" wrapText="0"/>
    </xf>
    <xf borderId="1" fillId="5" fontId="5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13" numFmtId="0" xfId="0" applyAlignment="1" applyFont="1">
      <alignment vertical="bottom"/>
    </xf>
    <xf borderId="1" fillId="0" fontId="16" numFmtId="0" xfId="0" applyAlignment="1" applyBorder="1" applyFont="1">
      <alignment horizontal="right" readingOrder="0" vertical="bottom"/>
    </xf>
    <xf borderId="1" fillId="0" fontId="16" numFmtId="0" xfId="0" applyAlignment="1" applyBorder="1" applyFont="1">
      <alignment horizontal="right" vertical="bottom"/>
    </xf>
    <xf borderId="8" fillId="0" fontId="15" numFmtId="0" xfId="0" applyAlignment="1" applyBorder="1" applyFont="1">
      <alignment horizontal="center" readingOrder="0" vertical="top"/>
    </xf>
    <xf borderId="1" fillId="12" fontId="13" numFmtId="165" xfId="0" applyAlignment="1" applyBorder="1" applyFill="1" applyFont="1" applyNumberFormat="1">
      <alignment horizontal="center" readingOrder="0" shrinkToFit="0" vertical="bottom" wrapText="0"/>
    </xf>
    <xf borderId="6" fillId="12" fontId="13" numFmtId="165" xfId="0" applyAlignment="1" applyBorder="1" applyFont="1" applyNumberFormat="1">
      <alignment horizontal="center" readingOrder="0" shrinkToFit="0" vertical="bottom" wrapText="0"/>
    </xf>
    <xf borderId="4" fillId="13" fontId="5" numFmtId="0" xfId="0" applyAlignment="1" applyBorder="1" applyFill="1" applyFont="1">
      <alignment readingOrder="0" vertical="bottom"/>
    </xf>
    <xf borderId="4" fillId="13" fontId="5" numFmtId="0" xfId="0" applyAlignment="1" applyBorder="1" applyFont="1">
      <alignment horizontal="left" readingOrder="0" shrinkToFit="0" vertical="bottom" wrapText="0"/>
    </xf>
    <xf borderId="4" fillId="13" fontId="6" numFmtId="0" xfId="0" applyAlignment="1" applyBorder="1" applyFont="1">
      <alignment horizontal="left" readingOrder="0" shrinkToFit="0" vertical="bottom" wrapText="0"/>
    </xf>
    <xf borderId="4" fillId="7" fontId="5" numFmtId="2" xfId="0" applyAlignment="1" applyBorder="1" applyFont="1" applyNumberFormat="1">
      <alignment horizontal="center" readingOrder="0" shrinkToFit="0" vertical="bottom" wrapText="0"/>
    </xf>
    <xf borderId="1" fillId="4" fontId="5" numFmtId="169" xfId="0" applyAlignment="1" applyBorder="1" applyFont="1" applyNumberFormat="1">
      <alignment horizontal="center" readingOrder="0" shrinkToFit="0" vertical="bottom" wrapText="0"/>
    </xf>
    <xf borderId="4" fillId="5" fontId="5" numFmtId="0" xfId="0" applyAlignment="1" applyBorder="1" applyFont="1">
      <alignment horizontal="center" readingOrder="0" shrinkToFit="0" vertical="bottom" wrapText="0"/>
    </xf>
    <xf borderId="6" fillId="4" fontId="5" numFmtId="170" xfId="0" applyAlignment="1" applyBorder="1" applyFont="1" applyNumberFormat="1">
      <alignment horizontal="center" readingOrder="0" shrinkToFit="0" vertical="bottom" wrapText="0"/>
    </xf>
    <xf borderId="6" fillId="4" fontId="5" numFmtId="169" xfId="0" applyAlignment="1" applyBorder="1" applyFont="1" applyNumberFormat="1">
      <alignment horizontal="center" readingOrder="0" shrinkToFit="0" vertical="bottom" wrapText="0"/>
    </xf>
    <xf borderId="6" fillId="4" fontId="5" numFmtId="171" xfId="0" applyAlignment="1" applyBorder="1" applyFont="1" applyNumberFormat="1">
      <alignment horizontal="center" readingOrder="0" shrinkToFit="0" vertical="bottom" wrapText="0"/>
    </xf>
    <xf borderId="6" fillId="4" fontId="5" numFmtId="0" xfId="0" applyAlignment="1" applyBorder="1" applyFont="1">
      <alignment horizontal="center" shrinkToFit="0" vertical="bottom" wrapText="0"/>
    </xf>
    <xf borderId="2" fillId="4" fontId="17" numFmtId="0" xfId="0" applyAlignment="1" applyBorder="1" applyFont="1">
      <alignment horizontal="center" readingOrder="0" shrinkToFit="0" vertical="bottom" wrapText="0"/>
    </xf>
    <xf borderId="0" fillId="4" fontId="18" numFmtId="0" xfId="0" applyAlignment="1" applyFont="1">
      <alignment readingOrder="0"/>
    </xf>
    <xf borderId="0" fillId="4" fontId="19" numFmtId="0" xfId="0" applyAlignment="1" applyFont="1">
      <alignment horizontal="center" readingOrder="0" shrinkToFit="0" vertical="bottom" wrapText="0"/>
    </xf>
    <xf borderId="2" fillId="4" fontId="5" numFmtId="0" xfId="0" applyAlignment="1" applyBorder="1" applyFont="1">
      <alignment horizontal="left" readingOrder="0" shrinkToFit="0" vertical="bottom" wrapText="0"/>
    </xf>
    <xf borderId="6" fillId="5" fontId="5" numFmtId="165" xfId="0" applyAlignment="1" applyBorder="1" applyFont="1" applyNumberFormat="1">
      <alignment horizontal="center" readingOrder="0" shrinkToFit="0" vertical="bottom" wrapText="0"/>
    </xf>
    <xf borderId="6" fillId="7" fontId="5" numFmtId="165" xfId="0" applyAlignment="1" applyBorder="1" applyFont="1" applyNumberFormat="1">
      <alignment horizontal="center" readingOrder="0" shrinkToFit="0" vertical="bottom" wrapText="0"/>
    </xf>
    <xf borderId="2" fillId="7" fontId="5" numFmtId="0" xfId="0" applyAlignment="1" applyBorder="1" applyFont="1">
      <alignment horizontal="center" readingOrder="0" shrinkToFit="0" vertical="bottom" wrapText="0"/>
    </xf>
    <xf borderId="4" fillId="7" fontId="5" numFmtId="0" xfId="0" applyAlignment="1" applyBorder="1" applyFont="1">
      <alignment horizontal="center" readingOrder="0" shrinkToFit="0" vertical="bottom" wrapText="0"/>
    </xf>
    <xf borderId="4" fillId="7" fontId="5" numFmtId="0" xfId="0" applyAlignment="1" applyBorder="1" applyFont="1">
      <alignment horizontal="left" readingOrder="0" shrinkToFit="0" vertical="bottom" wrapText="0"/>
    </xf>
    <xf borderId="4" fillId="7" fontId="1" numFmtId="0" xfId="0" applyAlignment="1" applyBorder="1" applyFont="1">
      <alignment horizontal="center" readingOrder="0" shrinkToFit="0" vertical="bottom" wrapText="0"/>
    </xf>
    <xf borderId="2" fillId="7" fontId="5" numFmtId="4" xfId="0" applyAlignment="1" applyBorder="1" applyFont="1" applyNumberFormat="1">
      <alignment horizontal="center" readingOrder="0" shrinkToFit="0" vertical="bottom" wrapText="0"/>
    </xf>
    <xf borderId="5" fillId="7" fontId="5" numFmtId="164" xfId="0" applyAlignment="1" applyBorder="1" applyFont="1" applyNumberFormat="1">
      <alignment horizontal="center" readingOrder="0" shrinkToFit="0" wrapText="0"/>
    </xf>
    <xf borderId="4" fillId="7" fontId="5" numFmtId="166" xfId="0" applyAlignment="1" applyBorder="1" applyFont="1" applyNumberFormat="1">
      <alignment horizontal="center" readingOrder="0" shrinkToFit="0" wrapText="0"/>
    </xf>
    <xf borderId="4" fillId="7" fontId="5" numFmtId="164" xfId="0" applyAlignment="1" applyBorder="1" applyFont="1" applyNumberFormat="1">
      <alignment horizontal="center" readingOrder="0" shrinkToFit="0" wrapText="0"/>
    </xf>
    <xf borderId="0" fillId="7" fontId="5" numFmtId="0" xfId="0" applyAlignment="1" applyFont="1">
      <alignment horizontal="center" shrinkToFit="0" vertical="bottom" wrapText="0"/>
    </xf>
    <xf borderId="0" fillId="7" fontId="4" numFmtId="0" xfId="0" applyFont="1"/>
    <xf borderId="0" fillId="7" fontId="5" numFmtId="0" xfId="0" applyAlignment="1" applyFont="1">
      <alignment horizontal="center" readingOrder="0" shrinkToFit="0" vertical="bottom" wrapText="0"/>
    </xf>
    <xf borderId="4" fillId="14" fontId="5" numFmtId="166" xfId="0" applyAlignment="1" applyBorder="1" applyFill="1" applyFont="1" applyNumberFormat="1">
      <alignment horizontal="center" readingOrder="0" shrinkToFit="0" wrapText="0"/>
    </xf>
    <xf borderId="4" fillId="7" fontId="6" numFmtId="0" xfId="0" applyAlignment="1" applyBorder="1" applyFont="1">
      <alignment readingOrder="0" shrinkToFit="0" vertical="bottom" wrapText="0"/>
    </xf>
    <xf borderId="6" fillId="4" fontId="5" numFmtId="167" xfId="0" applyAlignment="1" applyBorder="1" applyFont="1" applyNumberForma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5" fontId="1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2" fillId="0" fontId="17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2" xfId="0" applyAlignment="1" applyBorder="1" applyFont="1" applyNumberForma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2" fillId="0" fontId="5" numFmtId="4" xfId="0" applyAlignment="1" applyBorder="1" applyFont="1" applyNumberFormat="1">
      <alignment horizontal="center" readingOrder="0" shrinkToFit="0" vertical="bottom" wrapText="0"/>
    </xf>
    <xf borderId="5" fillId="0" fontId="5" numFmtId="164" xfId="0" applyAlignment="1" applyBorder="1" applyFont="1" applyNumberFormat="1">
      <alignment horizontal="center" readingOrder="0" shrinkToFit="0" wrapText="0"/>
    </xf>
    <xf borderId="4" fillId="0" fontId="5" numFmtId="166" xfId="0" applyAlignment="1" applyBorder="1" applyFont="1" applyNumberFormat="1">
      <alignment horizontal="center" readingOrder="0" shrinkToFit="0" wrapText="0"/>
    </xf>
    <xf borderId="4" fillId="0" fontId="5" numFmtId="164" xfId="0" applyAlignment="1" applyBorder="1" applyFont="1" applyNumberFormat="1">
      <alignment horizontal="center" readingOrder="0" shrinkToFit="0" wrapText="0"/>
    </xf>
    <xf borderId="6" fillId="0" fontId="5" numFmtId="165" xfId="0" applyAlignment="1" applyBorder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horizontal="left" readingOrder="0" shrinkToFit="0" vertical="bottom" wrapText="0"/>
    </xf>
    <xf borderId="6" fillId="15" fontId="5" numFmtId="165" xfId="0" applyAlignment="1" applyBorder="1" applyFill="1" applyFont="1" applyNumberFormat="1">
      <alignment horizontal="center" readingOrder="0" shrinkToFit="0" vertical="bottom" wrapText="0"/>
    </xf>
    <xf borderId="1" fillId="15" fontId="5" numFmtId="165" xfId="0" applyAlignment="1" applyBorder="1" applyFont="1" applyNumberFormat="1">
      <alignment horizontal="center" readingOrder="0" shrinkToFit="0" vertical="bottom" wrapText="0"/>
    </xf>
    <xf borderId="2" fillId="15" fontId="17" numFmtId="0" xfId="0" applyAlignment="1" applyBorder="1" applyFont="1">
      <alignment horizontal="center" readingOrder="0" shrinkToFit="0" vertical="bottom" wrapText="0"/>
    </xf>
    <xf borderId="4" fillId="15" fontId="5" numFmtId="0" xfId="0" applyAlignment="1" applyBorder="1" applyFont="1">
      <alignment horizontal="center" readingOrder="0" shrinkToFit="0" vertical="bottom" wrapText="0"/>
    </xf>
    <xf borderId="4" fillId="15" fontId="5" numFmtId="0" xfId="0" applyAlignment="1" applyBorder="1" applyFont="1">
      <alignment horizontal="left" readingOrder="0" shrinkToFit="0" vertical="bottom" wrapText="0"/>
    </xf>
    <xf borderId="4" fillId="15" fontId="1" numFmtId="0" xfId="0" applyAlignment="1" applyBorder="1" applyFont="1">
      <alignment horizontal="center" readingOrder="0" shrinkToFit="0" vertical="bottom" wrapText="0"/>
    </xf>
    <xf borderId="4" fillId="15" fontId="5" numFmtId="2" xfId="0" applyAlignment="1" applyBorder="1" applyFont="1" applyNumberFormat="1">
      <alignment horizontal="center" readingOrder="0" shrinkToFit="0" vertical="bottom" wrapText="0"/>
    </xf>
    <xf borderId="2" fillId="15" fontId="5" numFmtId="4" xfId="0" applyAlignment="1" applyBorder="1" applyFont="1" applyNumberFormat="1">
      <alignment horizontal="center" readingOrder="0" shrinkToFit="0" vertical="bottom" wrapText="0"/>
    </xf>
    <xf borderId="4" fillId="15" fontId="5" numFmtId="166" xfId="0" applyAlignment="1" applyBorder="1" applyFont="1" applyNumberFormat="1">
      <alignment horizontal="center" readingOrder="0" shrinkToFit="0" wrapText="0"/>
    </xf>
    <xf borderId="4" fillId="0" fontId="6" numFmtId="0" xfId="0" applyAlignment="1" applyBorder="1" applyFont="1">
      <alignment horizontal="left" readingOrder="0" shrinkToFit="0" vertical="bottom" wrapText="0"/>
    </xf>
    <xf borderId="4" fillId="0" fontId="11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2" fillId="5" fontId="17" numFmtId="0" xfId="0" applyAlignment="1" applyBorder="1" applyFont="1">
      <alignment horizontal="center" readingOrder="0" shrinkToFit="0" vertical="bottom" wrapText="0"/>
    </xf>
    <xf borderId="4" fillId="16" fontId="5" numFmtId="0" xfId="0" applyAlignment="1" applyBorder="1" applyFill="1" applyFont="1">
      <alignment horizontal="left" readingOrder="0" shrinkToFit="0" vertical="bottom" wrapText="0"/>
    </xf>
    <xf borderId="4" fillId="5" fontId="1" numFmtId="0" xfId="0" applyAlignment="1" applyBorder="1" applyFont="1">
      <alignment horizontal="center" readingOrder="0" shrinkToFit="0" vertical="bottom" wrapText="0"/>
    </xf>
    <xf borderId="4" fillId="5" fontId="5" numFmtId="2" xfId="0" applyAlignment="1" applyBorder="1" applyFont="1" applyNumberFormat="1">
      <alignment horizontal="center" readingOrder="0" shrinkToFit="0" vertical="bottom" wrapText="0"/>
    </xf>
    <xf borderId="2" fillId="5" fontId="5" numFmtId="4" xfId="0" applyAlignment="1" applyBorder="1" applyFont="1" applyNumberFormat="1">
      <alignment horizontal="center" readingOrder="0" shrinkToFit="0" vertical="bottom" wrapText="0"/>
    </xf>
    <xf borderId="4" fillId="17" fontId="5" numFmtId="0" xfId="0" applyAlignment="1" applyBorder="1" applyFill="1" applyFont="1">
      <alignment horizontal="center" readingOrder="0" shrinkToFit="0" vertical="bottom" wrapText="0"/>
    </xf>
    <xf borderId="4" fillId="15" fontId="5" numFmtId="164" xfId="0" applyAlignment="1" applyBorder="1" applyFont="1" applyNumberFormat="1">
      <alignment horizontal="center" readingOrder="0" shrinkToFit="0" wrapText="0"/>
    </xf>
    <xf borderId="4" fillId="0" fontId="6" numFmtId="0" xfId="0" applyAlignment="1" applyBorder="1" applyFont="1">
      <alignment readingOrder="0" shrinkToFit="0" vertical="bottom" wrapText="0"/>
    </xf>
    <xf borderId="4" fillId="15" fontId="6" numFmtId="0" xfId="0" applyAlignment="1" applyBorder="1" applyFont="1">
      <alignment readingOrder="0" shrinkToFit="0" vertical="bottom" wrapText="0"/>
    </xf>
    <xf borderId="4" fillId="12" fontId="6" numFmtId="0" xfId="0" applyAlignment="1" applyBorder="1" applyFont="1">
      <alignment readingOrder="0" shrinkToFit="0" vertical="bottom" wrapText="0"/>
    </xf>
    <xf borderId="4" fillId="16" fontId="6" numFmtId="0" xfId="0" applyAlignment="1" applyBorder="1" applyFont="1">
      <alignment readingOrder="0" shrinkToFit="0" vertical="bottom" wrapText="0"/>
    </xf>
    <xf borderId="6" fillId="0" fontId="5" numFmtId="168" xfId="0" applyAlignment="1" applyBorder="1" applyFont="1" applyNumberFormat="1">
      <alignment horizontal="center" readingOrder="0" shrinkToFit="0" vertical="bottom" wrapText="0"/>
    </xf>
    <xf borderId="6" fillId="0" fontId="5" numFmtId="169" xfId="0" applyAlignment="1" applyBorder="1" applyFont="1" applyNumberFormat="1">
      <alignment horizontal="center" readingOrder="0" shrinkToFit="0" vertical="bottom" wrapText="0"/>
    </xf>
    <xf borderId="6" fillId="0" fontId="5" numFmtId="171" xfId="0" applyAlignment="1" applyBorder="1" applyFont="1" applyNumberFormat="1">
      <alignment horizontal="center" readingOrder="0" shrinkToFit="0" vertical="bottom" wrapText="0"/>
    </xf>
    <xf borderId="1" fillId="4" fontId="20" numFmtId="0" xfId="0" applyAlignment="1" applyBorder="1" applyFont="1">
      <alignment horizontal="left" readingOrder="0"/>
    </xf>
    <xf borderId="6" fillId="0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2" fillId="7" fontId="17" numFmtId="0" xfId="0" applyAlignment="1" applyBorder="1" applyFont="1">
      <alignment horizontal="center" readingOrder="0" shrinkToFit="0" vertical="bottom" wrapText="0"/>
    </xf>
    <xf borderId="4" fillId="7" fontId="6" numFmtId="0" xfId="0" applyAlignment="1" applyBorder="1" applyFont="1">
      <alignment horizontal="left" readingOrder="0" shrinkToFit="0" vertical="bottom" wrapText="0"/>
    </xf>
    <xf borderId="4" fillId="7" fontId="6" numFmtId="0" xfId="0" applyAlignment="1" applyBorder="1" applyFont="1">
      <alignment horizontal="center" readingOrder="0" shrinkToFit="0" vertical="bottom" wrapText="0"/>
    </xf>
    <xf borderId="4" fillId="7" fontId="11" numFmtId="0" xfId="0" applyAlignment="1" applyBorder="1" applyFont="1">
      <alignment horizontal="center" readingOrder="0" shrinkToFit="0" vertical="bottom" wrapText="0"/>
    </xf>
    <xf borderId="0" fillId="7" fontId="1" numFmtId="0" xfId="0" applyAlignment="1" applyFont="1">
      <alignment horizontal="center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ocumenttasks/documenttask13.xml><?xml version="1.0" encoding="utf-8"?>
<Tasks xmlns="http://schemas.microsoft.com/office/tasks/2019/documenttasks"/>
</file>

<file path=xl/documenttasks/documenttask14.xml><?xml version="1.0" encoding="utf-8"?>
<Tasks xmlns="http://schemas.microsoft.com/office/tasks/2019/documenttasks"/>
</file>

<file path=xl/documenttasks/documenttask15.xml><?xml version="1.0" encoding="utf-8"?>
<Tasks xmlns="http://schemas.microsoft.com/office/tasks/2019/documenttasks"/>
</file>

<file path=xl/documenttasks/documenttask16.xml><?xml version="1.0" encoding="utf-8"?>
<Tasks xmlns="http://schemas.microsoft.com/office/tasks/2019/documenttasks"/>
</file>

<file path=xl/documenttasks/documenttask17.xml><?xml version="1.0" encoding="utf-8"?>
<Tasks xmlns="http://schemas.microsoft.com/office/tasks/2019/documenttasks"/>
</file>

<file path=xl/documenttasks/documenttask18.xml><?xml version="1.0" encoding="utf-8"?>
<Tasks xmlns="http://schemas.microsoft.com/office/tasks/2019/documenttasks"/>
</file>

<file path=xl/documenttasks/documenttask19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Юлия Колобова" id="{7f27ce3d-748c-43ac-85b2-9b67c1416a82}" providerId="google-sheets"/>
  <x18tc:person displayName="Анонимный пользователь" id="{e2e77967-4e10-481e-8441-16353543eda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38" dT="2026-06-15T05:35:37.00" personId="{7f27ce3d-748c-43ac-85b2-9b67c1416a82}" id="{d988fd3d-3e3f-4e50-81a1-73bae3ea4c1c}" done="0">
    <x18tc:text xml:space="preserve">PREPOLYMER Madisonol P5191 от POLYWIN Chemical Shanghai Limited по цене 23,36 юанекй</x18tc:text>
  </x18tc:threadedComment>
  <x18tc:threadedComment ref="E137" dT="2026-06-15T05:35:02.00" personId="{7f27ce3d-748c-43ac-85b2-9b67c1416a82}" id="{a5283293-123f-4c73-a6ec-ee4a1a0ae8e9}" done="0">
    <x18tc:text xml:space="preserve">PREPOLYMER HC-8419V от SHANGHAI HECHENG POLYMER TECHNOLOGY CO.,LTD. по цене 36 юаней</x18tc:text>
  </x18tc:threadedComment>
  <x18tc:threadedComment ref="E136" dT="2026-06-15T05:34:15.00" personId="{7f27ce3d-748c-43ac-85b2-9b67c1416a82}" id="{f52552f2-d8b7-4e5f-b6e1-025a617fc6f6}" done="0">
    <x18tc:text xml:space="preserve">PREPOLYMER Polyurethane Binder от TOP Chemical Co. Ltd по цене 58 юаней</x18tc:text>
  </x18tc:threadedComment>
  <x18tc:threadedComment ref="E84" dT="2026-06-08T14:01:47.00" personId="{7f27ce3d-748c-43ac-85b2-9b67c1416a82}" id="{b3fb8f0a-b607-4d13-9e00-543a78891448}" done="0">
    <x18tc:text xml:space="preserve">SHANGHAI FUJIA FINE CHEMICAL CO., LTD полиол Д220 по цене 9,8 юаней</x18tc:text>
  </x18tc:threadedComment>
  <x18tc:threadedComment ref="E90" dT="2026-06-08T14:02:19.00" personId="{7f27ce3d-748c-43ac-85b2-9b67c1416a82}" id="{b6a6abcc-d069-4ff0-a119-71fd3cef96d8}" done="0">
    <x18tc:text xml:space="preserve">SHANGHAI FUJIA FINE CHEMICAL CO., LTD полиол Д220 по цене 8,45 юаней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81" dT="2026-05-18T07:41:28.00" personId="{7f27ce3d-748c-43ac-85b2-9b67c1416a82}" id="{8cac3952-9c2a-4e69-98b1-342236678339}" done="0">
    <x18tc:text xml:space="preserve">полиол д220 SHANGHAI FUJIA FINE CHEMICAL CO., LTD по цене 9,8 юаней</x18tc:text>
  </x18tc:threadedComment>
  <x18tc:threadedComment ref="E206" dT="2026-05-25T07:36:02.00" personId="{7f27ce3d-748c-43ac-85b2-9b67c1416a82}" id="{bc8693be-3bb9-45e4-a278-3a06aacaa45a}" done="0">
    <x18tc:text xml:space="preserve">Изоцианат Lupranate MIPS от Авис Кемикал по цене 29,91 юаней с НДС</x18tc:text>
  </x18tc:threadedComment>
  <x18tc:threadedComment ref="E184" dT="2026-05-20T06:39:08.00" personId="{7f27ce3d-748c-43ac-85b2-9b67c1416a82}" id="{e1dcfeac-3466-4799-847f-35ae5762e497}" done="0">
    <x18tc:text xml:space="preserve">полиол Д220 от Айронгрупп по цене 4,21 usd с НДС</x18tc:text>
  </x18tc:threadedComment>
  <x18tc:threadedComment ref="E214" dT="2026-05-25T07:38:13.00" personId="{7f27ce3d-748c-43ac-85b2-9b67c1416a82}" id="{f14b9bb8-5b5b-4de3-ae5b-ba777e70ba93}" done="0">
    <x18tc:text xml:space="preserve">Изоцианат Wannate MDI 50-F (235kg/drum) Айронгрупп ООО по цене 4,21 usd c НДС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0" dT="2026-04-07T06:55:29.00" personId="{7f27ce3d-748c-43ac-85b2-9b67c1416a82}" id="{c4991ffa-d011-4659-95ce-3e21076670f2}" done="0">
    <x18tc:text xml:space="preserve">полиол д220 покупали у Qingdao Jiesisheng Chemical Trading Co., LTD цена 8,23 юаней,
Изоцианат Lupranate MIPS - 29,91 юаней</x18tc:text>
  </x18tc:threadedComment>
  <x18tc:threadedComment ref="E188" dT="2026-04-23T08:09:49.00" personId="{7f27ce3d-748c-43ac-85b2-9b67c1416a82}" id="{ac0badb0-6fca-4fb1-ac28-a2ee1a5db2d4}" done="0">
    <x18tc:text xml:space="preserve">Изоцианат Lupranate MIPS цена 29,91 юаней</x18tc:text>
  </x18tc:threadedComment>
  <x18tc:threadedComment ref="E53" dT="2026-04-06T08:10:44.00" personId="{7f27ce3d-748c-43ac-85b2-9b67c1416a82}" id="{cb5cc562-a78c-439e-98dd-e4969d8915f7}" done="0">
    <x18tc:text xml:space="preserve">Лупранат Мипс покупали у Авис Кемикал, выросла цена - 29,91 юаней, было 27,88 юаней</x18tc:text>
  </x18tc:threadedComment>
  <x18tc:threadedComment ref="E189" dT="2026-04-23T08:09:55.00" personId="{7f27ce3d-748c-43ac-85b2-9b67c1416a82}" id="{918f3fbe-e18e-4148-9f90-15ff430be92f}" done="0">
    <x18tc:text xml:space="preserve">Изоцианат Lupranate MIPS цена 29,91 юаней</x18tc:text>
  </x18tc:threadedComment>
  <x18tc:threadedComment ref="E52" dT="2026-04-06T08:10:32.00" personId="{7f27ce3d-748c-43ac-85b2-9b67c1416a82}" id="{d6a56b21-0a7e-480c-8bc9-43f4ea256ca0}" done="0">
    <x18tc:text xml:space="preserve">Лупранат Мипс покупали у Авис Кемикал, выросла цена - 29,91 юаней, было 27,88 юаней</x18tc:text>
  </x18tc:threadedComment>
  <x18tc:threadedComment ref="E40" dT="2026-04-23T08:06:39.00" personId="{7f27ce3d-748c-43ac-85b2-9b67c1416a82}" id="{29dae2b4-8f4b-4414-9ad3-713510f59c9b}" done="0">
    <x18tc:text xml:space="preserve">Изоцианат Wannate MDI 50-F (235kg/drum) цена 4,21 usd</x18tc:text>
  </x18tc:threadedComment>
  <x18tc:threadedComment ref="E187" dT="2026-04-23T08:09:15.00" personId="{7f27ce3d-748c-43ac-85b2-9b67c1416a82}" id="{84d19872-0b9f-4026-a2ae-b8d48cff3747}" done="0">
    <x18tc:text xml:space="preserve">Изоцианат Lupranate MIPS цена 29,91 юаней</x18tc:text>
  </x18tc:threadedComment>
  <x18tc:threadedComment ref="E54" dT="2026-04-06T08:10:51.00" personId="{7f27ce3d-748c-43ac-85b2-9b67c1416a82}" id="{23c61e77-7390-4682-a54f-24beea6eb961}" done="0">
    <x18tc:text xml:space="preserve">Лупранат Мипс покупали у Авис Кемикал, выросла цена - 29,91 юаней, было 27,88 юаней</x18tc:text>
  </x18tc:threadedComment>
  <x18tc:threadedComment ref="E49" dT="2026-04-06T08:10:15.00" personId="{7f27ce3d-748c-43ac-85b2-9b67c1416a82}" id="{496770b0-da05-4f6d-9be4-5a6b77763c30}" done="0">
    <x18tc:text xml:space="preserve">Лупранат Мипс покупали у Авис Кемикал, выросла цена - 29,91 юаней, было 27,88 юаней</x18tc:text>
  </x18tc:threadedComment>
  <x18tc:threadedComment ref="E51" dT="2026-04-06T08:10:26.00" personId="{7f27ce3d-748c-43ac-85b2-9b67c1416a82}" id="{df50922a-c7d2-4d3e-abbc-9a640f080b0e}" done="0">
    <x18tc:text xml:space="preserve">Лупранат Мипс покупали у Авис Кемикал, выросла цена - 29,91 юаней, было 27,88 юаней</x18tc:text>
  </x18tc:threadedComment>
  <x18tc:threadedComment ref="E50" dT="2026-04-06T08:10:21.00" personId="{7f27ce3d-748c-43ac-85b2-9b67c1416a82}" id="{948ba18a-b74f-4215-88b5-3c803a92e6e7}" done="0">
    <x18tc:text xml:space="preserve">Лупранат Мипс покупали у Авис Кемикал, выросла цена - 29,91 юаней, было 27,88 юаней</x18tc:text>
  </x18tc:threadedComment>
  <x18tc:threadedComment ref="E56" dT="2026-04-06T08:11:11.00" personId="{7f27ce3d-748c-43ac-85b2-9b67c1416a82}" id="{a3a935e2-7707-44cf-b76b-16b158111b2c}" done="0">
    <x18tc:text xml:space="preserve">Лупранат Мипс покупали у Авис Кемикал, выросла цена - 29,91 юаней, было 27,88 юаней</x18tc:text>
  </x18tc:threadedComment>
  <x18tc:threadedComment ref="E55" dT="2026-04-06T08:10:57.00" personId="{7f27ce3d-748c-43ac-85b2-9b67c1416a82}" id="{f7c60c0c-f3a2-4f20-b6f8-dc43d47ef6b8}" done="0">
    <x18tc:text xml:space="preserve">Лупранат Мипс покупали у Авис Кемикал, выросла цена - 29,91 юаней, было 27,88 юаней</x18tc:text>
  </x18tc:threadedComment>
  <x18tc:threadedComment ref="E193" dT="2026-04-23T08:10:18.00" personId="{7f27ce3d-748c-43ac-85b2-9b67c1416a82}" id="{66214afa-cd7b-4650-9cdf-7c4fab3f0441}" done="0">
    <x18tc:text xml:space="preserve">Изоцианат Lupranate MIPS цена 29,91 юаней</x18tc:text>
  </x18tc:threadedComment>
  <x18tc:threadedComment ref="E194" dT="2026-04-23T08:10:23.00" personId="{7f27ce3d-748c-43ac-85b2-9b67c1416a82}" id="{445da152-f966-40e7-8753-1f82bf0ad813}" done="0">
    <x18tc:text xml:space="preserve">Изоцианат Lupranate MIPS цена 29,91 юаней</x18tc:text>
  </x18tc:threadedComment>
  <x18tc:threadedComment ref="E191" dT="2026-04-23T08:10:04.00" personId="{7f27ce3d-748c-43ac-85b2-9b67c1416a82}" id="{ec8a48f8-4b01-4b57-863f-477554cada59}" done="0">
    <x18tc:text xml:space="preserve">Изоцианат Lupranate MIPS цена 29,91 юаней</x18tc:text>
  </x18tc:threadedComment>
  <x18tc:threadedComment ref="E192" dT="2026-04-23T08:10:14.00" personId="{7f27ce3d-748c-43ac-85b2-9b67c1416a82}" id="{55693aeb-068c-408e-871b-ed7258a37e23}" done="0">
    <x18tc:text xml:space="preserve">Изоцианат Lupranate MIPS цена 29,91 юаней</x18tc:text>
  </x18tc:threadedComment>
  <x18tc:threadedComment ref="E190" dT="2026-04-23T08:09:59.00" personId="{7f27ce3d-748c-43ac-85b2-9b67c1416a82}" id="{d2d24c0f-02d8-4279-9d56-5fe21578eef7}" done="0">
    <x18tc:text xml:space="preserve">Изоцианат Lupranate MIPS цена 29,91 юаней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58" dT="2026-04-02T11:30:45.00" personId="{7f27ce3d-748c-43ac-85b2-9b67c1416a82}" id="{a8dd793e-c4d1-446b-a82a-f11097dd460f}" done="0">
    <x18tc:text xml:space="preserve">полиол Д220 от ВальтерХеми</x18tc:text>
  </x18tc:threadedComment>
  <x18tc:threadedComment ref="E56" dT="2026-03-10T11:52:09.00" personId="{7f27ce3d-748c-43ac-85b2-9b67c1416a82}" id="{7df607bb-bb29-4c4c-8635-112196ae605b}" done="0">
    <x18tc:text xml:space="preserve">расход полиэфира П11 меньше</x18tc:text>
  </x18tc:threadedComment>
  <x18tc:threadedComment ref="E33" dT="2026-03-04T09:02:37.00" personId="{7f27ce3d-748c-43ac-85b2-9b67c1416a82}" id="{4d0e3006-1016-4bcf-bda4-e2a6418b1195}" done="0">
    <x18tc:text xml:space="preserve">использовали Изоцианат Lupranate MIPS, покупали у Авис Кемикал -цена 27,88 и Лупранат MI остаток , покупали у TOP Chemical Co. Ltd, цена 18 юаней</x18tc:text>
  </x18tc:threadedComment>
  <x18tc:threadedComment ref="E41" dT="2026-03-05T10:51:18.00" personId="{7f27ce3d-748c-43ac-85b2-9b67c1416a82}" id="{c6a2cdb3-ae56-4c3d-be98-ae89d81d7cf9}" done="0">
    <x18tc:text xml:space="preserve">использовали Изоцианат Wannate MDI 50-F (235kg/drum), покупали у TOP Chemical Co. Ltd -цена 18 юаней</x18tc:text>
  </x18tc:threadedComment>
  <x18tc:threadedComment ref="E40" dT="2026-03-05T10:51:12.00" personId="{7f27ce3d-748c-43ac-85b2-9b67c1416a82}" id="{0e811d82-e3f8-463e-adff-2413728f68d4}" done="0">
    <x18tc:text xml:space="preserve">использовали Изоцианат Wannate MDI 50-F (235kg/drum), покупали у TOP Chemical Co. Ltd -цена 18 юаней</x18tc:text>
  </x18tc:threadedComment>
  <x18tc:threadedComment ref="E39" dT="2026-03-05T10:51:05.00" personId="{7f27ce3d-748c-43ac-85b2-9b67c1416a82}" id="{513792e1-12bc-4deb-8c7c-bdb93154deed}" done="0">
    <x18tc:text xml:space="preserve">использовали Изоцианат Wannate MDI 50-F (235kg/drum), покупали у TOP Chemical Co. Ltd -цена 18 юаней</x18tc:text>
  </x18tc:threadedComment>
  <x18tc:threadedComment ref="E34" dT="2026-03-04T09:02:56.00" personId="{7f27ce3d-748c-43ac-85b2-9b67c1416a82}" id="{22104d6d-1bde-4217-bf93-67b32a826b74}" done="0">
    <x18tc:text xml:space="preserve">использовали Изоцианат Wannate MDI 50-F (235kg/drum), покупали у Вальтер Хеми -цена 30,5 юаней</x18tc:text>
  </x18tc:threadedComment>
  <x18tc:threadedComment ref="E35" dT="2026-03-04T09:03:03.00" personId="{7f27ce3d-748c-43ac-85b2-9b67c1416a82}" id="{6f9bcf3c-38cf-4a63-a3f0-5f63b0b695f3}" done="0">
    <x18tc:text xml:space="preserve">использовали Изоцианат Wannate MDI 50-F (235kg/drum), покупали у Вальтер Хеми -цена 30,5 юаней</x18tc:text>
  </x18tc:threadedComment>
  <x18tc:threadedComment ref="E37" dT="2026-03-05T10:50:58.00" personId="{7f27ce3d-748c-43ac-85b2-9b67c1416a82}" id="{002318b4-d9c6-4380-8e23-c2565372be8a}" done="0">
    <x18tc:text xml:space="preserve">использовали Изоцианат Wannate MDI 50-F (235kg/drum), покупали у TOP Chemical Co. Ltd -цена 18 юаней</x18tc:text>
  </x18tc:threadedComment>
  <x18tc:threadedComment ref="E42" dT="2026-03-05T10:50:48.00" personId="{7f27ce3d-748c-43ac-85b2-9b67c1416a82}" id="{9c58d9e8-98e2-47d8-8fe6-0f31f40b88b1}" done="0">
    <x18tc:text xml:space="preserve">использовали Изоцианат Wannate MDI 50-F (235kg/drum), покупали у TOP Chemical Co. Ltd -цена 18 юаней</x18tc:text>
  </x18tc:threadedComment>
  <x18tc:threadedComment ref="E38" dT="2026-03-05T10:51:28.00" personId="{7f27ce3d-748c-43ac-85b2-9b67c1416a82}" id="{b2d6ef26-d208-4420-b9d2-3cd7c1e0086c}" done="0">
    <x18tc:text xml:space="preserve">использовали Изоцианат Wannate MDI 50-F (235kg/drum), покупали у TOP Chemical Co. Ltd -цена 18 юаней</x18tc:text>
  </x18tc:threadedComment>
  <x18tc:threadedComment ref="E36" dT="2026-03-05T10:53:26.00" personId="{7f27ce3d-748c-43ac-85b2-9b67c1416a82}" id="{47c7f330-3d7e-4eef-82ce-6b085f559f2a}" done="0">
    <x18tc:text xml:space="preserve">использовали Изоцианат Lupranate MIPS, покупали у Авис Кемикал -цена 27,88 и Лупранат MI остаток , покупали у TOP Chemical Co. Ltd, цена 18 юаней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0" dT="2026-02-18T07:08:12.00" personId="{e2e77967-4e10-481e-8441-16353543edac}" id="{030511db-b9bf-4b6d-807c-dde522715327}" done="0">
    <x18tc:text xml:space="preserve">использовали Изоцианат Lupranate MIPS</x18tc:text>
  </x18tc:threadedComment>
  <x18tc:threadedComment ref="E90" dT="2026-02-19T07:59:14.00" personId="{e2e77967-4e10-481e-8441-16353543edac}" id="{e1c625cb-dfbc-4c3f-9b56-9134655f1ba0}" parentId="{030511db-b9bf-4b6d-807c-dde522715327}">
    <x18tc:text xml:space="preserve">купили у Авис Кемикал по цене 27.88 юаней</x18tc:text>
  </x18tc:threadedComment>
  <x18tc:threadedComment ref="E90" dT="2026-02-19T13:01:04.00" personId="{e2e77967-4e10-481e-8441-16353543edac}" id="{acf9e4d7-df6a-4362-a21f-b276fe719f80}" parentId="{030511db-b9bf-4b6d-807c-dde522715327}">
    <x18tc:text xml:space="preserve">MIPS 2.30 евро б/ндс</x18tc:text>
  </x18tc:threadedComment>
  <x18tc:threadedComment ref="E91" dT="2026-02-18T07:08:24.00" personId="{e2e77967-4e10-481e-8441-16353543edac}" id="{2c05060b-a06a-44eb-b7c6-db90b2f8adaf}" done="0">
    <x18tc:text xml:space="preserve">использовали Изоцианат Lupranate MIPS</x18tc:text>
  </x18tc:threadedComment>
  <x18tc:threadedComment ref="E91" dT="2026-02-19T07:59:27.00" personId="{e2e77967-4e10-481e-8441-16353543edac}" id="{3fd82d53-f173-46eb-8517-8dfa498349dd}" parentId="{2c05060b-a06a-44eb-b7c6-db90b2f8adaf}">
    <x18tc:text xml:space="preserve">купили у Авис Кемикал по цене 27.88 юаней</x18tc:text>
  </x18tc:threadedComment>
  <x18tc:threadedComment ref="E57" dT="2026-02-10T06:06:50.00" personId="{7f27ce3d-748c-43ac-85b2-9b67c1416a82}" id="{3d76b10c-60d3-4cde-a1f5-11b6af4a7feb}" done="0">
    <x18tc:text xml:space="preserve">использовали мороженный лупранат ми</x18tc:text>
  </x18tc:threadedComment>
  <x18tc:threadedComment ref="E63" dT="2026-02-10T06:06:38.00" personId="{7f27ce3d-748c-43ac-85b2-9b67c1416a82}" id="{6429c740-4681-474d-80d5-769a44daac4e}" done="0">
    <x18tc:text xml:space="preserve">использовали мороженный лупранат ми</x18tc:text>
  </x18tc:threadedComment>
  <x18tc:threadedComment ref="E72" dT="2026-02-10T06:06:32.00" personId="{7f27ce3d-748c-43ac-85b2-9b67c1416a82}" id="{0aa29ffd-4f5a-4622-a952-e376730e2e49}" done="0">
    <x18tc:text xml:space="preserve">использовали мороженный лупранат ми</x18tc:text>
  </x18tc:threadedComment>
  <x18tc:threadedComment ref="E56" dT="2026-02-10T06:06:26.00" personId="{7f27ce3d-748c-43ac-85b2-9b67c1416a82}" id="{8a9904e2-97ee-403b-b9c4-42b16d6f51b7}" done="0">
    <x18tc:text xml:space="preserve">использовали мороженный лупранат ми</x18tc:text>
  </x18tc:threadedComment>
  <x18tc:threadedComment ref="E53" dT="2026-02-10T06:06:16.00" personId="{7f27ce3d-748c-43ac-85b2-9b67c1416a82}" id="{9ea42b84-ed22-482e-8047-55f15d5f1355}" done="0">
    <x18tc:text xml:space="preserve">использовали мороженный лупранат ми</x18tc:text>
  </x18tc:threadedComment>
  <x18tc:threadedComment ref="E52" dT="2026-02-10T06:06:10.00" personId="{7f27ce3d-748c-43ac-85b2-9b67c1416a82}" id="{ec9bed1e-23a7-4e02-b90c-1d3b44d6eb97}" done="0">
    <x18tc:text xml:space="preserve">использовали мороженный лупранат ми</x18tc:text>
  </x18tc:threadedComment>
  <x18tc:threadedComment ref="E3" dT="2026-02-02T09:45:58.00" personId="{7f27ce3d-748c-43ac-85b2-9b67c1416a82}" id="{dbe6efd7-7aef-45aa-9179-3706fb2f3b46}" done="0">
    <x18tc:text xml:space="preserve">пропиленгликоль ФТ, в остальных производствах от Интерхиммет</x18tc:text>
  </x18tc:threadedComment>
  <x18tc:threadedComment ref="E85" dT="2026-02-18T07:06:55.00" personId="{e2e77967-4e10-481e-8441-16353543edac}" id="{4f82a804-2db2-4bc1-8106-da12b7b83184}" done="0">
    <x18tc:text xml:space="preserve">использовали Изоцианат Wannate MDI 50-F (235kg/drum)</x18tc:text>
  </x18tc:threadedComment>
  <x18tc:threadedComment ref="E85" dT="2026-02-19T08:00:42.00" personId="{e2e77967-4e10-481e-8441-16353543edac}" id="{ed63c1cd-279e-4c81-b0ca-ce4567fba9e7}" parentId="{4f82a804-2db2-4bc1-8106-da12b7b83184}">
    <x18tc:text xml:space="preserve">купили у Вальтер Хеми по цене 30.5 юаней</x18tc:text>
  </x18tc:threadedComment>
  <x18tc:threadedComment ref="E83" dT="2026-02-18T07:02:53.00" personId="{e2e77967-4e10-481e-8441-16353543edac}" id="{32f5b9f3-65d3-4347-95e5-52d06c3d50ad}" done="0">
    <x18tc:text xml:space="preserve">использовали Изоцианат Lupranate MIPS</x18tc:text>
  </x18tc:threadedComment>
  <x18tc:threadedComment ref="E84" dT="2026-02-18T07:06:47.00" personId="{e2e77967-4e10-481e-8441-16353543edac}" id="{1406693e-a371-4172-984a-eba7344bc777}" done="0">
    <x18tc:text xml:space="preserve">использовали Изоцианат Wannate MDI 50-F (235kg/drum)</x18tc:text>
  </x18tc:threadedComment>
  <x18tc:threadedComment ref="E84" dT="2026-02-19T08:00:18.00" personId="{e2e77967-4e10-481e-8441-16353543edac}" id="{0f9db841-82a4-4426-9615-1c2fbb2d21ca}" parentId="{1406693e-a371-4172-984a-eba7344bc777}">
    <x18tc:text xml:space="preserve">купили у Вальтер Хеми по цене 30.5 юаней</x18tc:text>
  </x18tc:threadedComment>
  <x18tc:threadedComment ref="E129" dT="2026-03-02T07:27:17.00" personId="{e2e77967-4e10-481e-8441-16353543edac}" id="{e7cbdcad-de01-42c7-8006-34fefd5d1e0c}" done="0">
    <x18tc:text xml:space="preserve">переработка ГП из двух производств с разной рецептурой</x18tc:text>
  </x18tc:threadedComment>
  <x18tc:threadedComment ref="E48" dT="2026-02-10T06:17:12.00" personId="{7f27ce3d-748c-43ac-85b2-9b67c1416a82}" id="{fa979a76-20ac-4f36-8626-7f165c189d73}" done="0">
    <x18tc:text xml:space="preserve">использовали мороженный лупранат ми</x18tc:text>
  </x18tc:threadedComment>
  <x18tc:threadedComment ref="E69" dT="2026-02-10T06:08:20.00" personId="{7f27ce3d-748c-43ac-85b2-9b67c1416a82}" id="{f6b17d92-b1e4-40fd-b00e-0bb8719ad177}" done="0">
    <x18tc:text xml:space="preserve">использовали мороженный лупранат ми</x18tc:text>
  </x18tc:threadedComment>
  <x18tc:threadedComment ref="E49" dT="2026-02-10T06:17:06.00" personId="{7f27ce3d-748c-43ac-85b2-9b67c1416a82}" id="{e8a67b34-9770-46ad-86c3-d5d55db42700}" done="0">
    <x18tc:text xml:space="preserve">использовали мороженный лупранат ми</x18tc:text>
  </x18tc:threadedComment>
  <x18tc:threadedComment ref="E68" dT="2026-02-10T06:08:09.00" personId="{7f27ce3d-748c-43ac-85b2-9b67c1416a82}" id="{862257c7-09ab-4622-b41f-0b8dcc465c5f}" done="0">
    <x18tc:text xml:space="preserve">использовали мороженный лупранат ми</x18tc:text>
  </x18tc:threadedComment>
  <x18tc:threadedComment ref="E39" dT="2026-02-10T06:09:24.00" personId="{7f27ce3d-748c-43ac-85b2-9b67c1416a82}" id="{4f22a755-5a69-467a-8444-8e831f5b1b28}" done="0">
    <x18tc:text xml:space="preserve">использовали мороженный лупранат ми</x18tc:text>
  </x18tc:threadedComment>
  <x18tc:threadedComment ref="E70" dT="2026-02-10T06:08:56.00" personId="{7f27ce3d-748c-43ac-85b2-9b67c1416a82}" id="{d3e5cd29-30f7-4901-bc80-a84593d54de3}" done="0">
    <x18tc:text xml:space="preserve">использовали мороженный лупранат ми</x18tc:text>
  </x18tc:threadedComment>
  <x18tc:threadedComment ref="E64" dT="2026-02-10T06:35:11.00" personId="{7f27ce3d-748c-43ac-85b2-9b67c1416a82}" id="{9be7a3be-6616-41b2-99df-aa796debd21e}" done="0">
    <x18tc:text xml:space="preserve">добавлены бочки</x18tc:text>
  </x18tc:threadedComment>
  <x18tc:threadedComment ref="E78" dT="2026-02-18T07:00:06.00" personId="{e2e77967-4e10-481e-8441-16353543edac}" id="{d24ede1e-5d1f-48c7-8b1b-1470457d58a4}" done="0">
    <x18tc:text xml:space="preserve">полиол от Авис Кемикал, пропилен от Интерхиммет</x18tc:text>
  </x18tc:threadedComment>
  <x18tc:threadedComment ref="E78" dT="2026-02-19T13:07:28.00" personId="{e2e77967-4e10-481e-8441-16353543edac}" id="{0a52e64b-f439-4ce8-9330-10e7e0421232}" parentId="{d24ede1e-5d1f-48c7-8b1b-1470457d58a4}">
    <x18tc:text xml:space="preserve">полиол Авис 1,40 евро б/ндс (13,69 юаней с ндс)</x18tc:text>
  </x18tc:threadedComment>
  <x18tc:threadedComment ref="E78" dT="2026-02-19T13:09:22.00" personId="{e2e77967-4e10-481e-8441-16353543edac}" id="{4a320e42-c1bc-4248-a1f5-82a1facac82d}" parentId="{d24ede1e-5d1f-48c7-8b1b-1470457d58a4}">
    <x18tc:text xml:space="preserve">пропилен гликоль рф интерхиммет, 11,40 юаней с ндс или 1,17 евро б/ндс</x18tc:text>
  </x18tc:threadedComment>
  <x18tc:threadedComment ref="E82" dT="2026-02-18T07:02:46.00" personId="{e2e77967-4e10-481e-8441-16353543edac}" id="{6a5f9eb1-77a4-4d61-a5ac-0327ca2fe466}" done="0">
    <x18tc:text xml:space="preserve">использовали Изоцианат Lupranate MIPS</x18tc:text>
  </x18tc:threadedComment>
  <x18tc:threadedComment ref="E89" dT="2026-02-18T07:10:20.00" personId="{e2e77967-4e10-481e-8441-16353543edac}" id="{f250f491-82d5-41c8-b9f5-dc1d1114447a}" done="0">
    <x18tc:text xml:space="preserve">исп. Изоцианат Lupranate MIPS</x18tc:text>
  </x18tc:threadedComment>
  <x18tc:threadedComment ref="E89" dT="2026-02-19T07:59:04.00" personId="{e2e77967-4e10-481e-8441-16353543edac}" id="{3987ad1f-c2f1-4345-9f2d-8c928c013c6e}" parentId="{f250f491-82d5-41c8-b9f5-dc1d1114447a}">
    <x18tc:text xml:space="preserve">купили у Авис Кемикал по цене 27.88 юаней</x18tc:text>
  </x18tc:threadedComment>
  <x18tc:threadedComment ref="E79" dT="2026-02-18T07:00:11.00" personId="{e2e77967-4e10-481e-8441-16353543edac}" id="{99df5ec7-8c35-4e11-9fa2-bcafe1979c1a}" done="0">
    <x18tc:text xml:space="preserve">полиол от Авис Кемикал, пропилен от Интерхиммет</x18tc:text>
  </x18tc:threadedComment>
  <x18tc:threadedComment ref="E80" dT="2026-02-18T07:02:32.00" personId="{e2e77967-4e10-481e-8441-16353543edac}" id="{d70583ca-8eb5-410d-b334-723f1c6abb61}" done="0">
    <x18tc:text xml:space="preserve">использовали Изоцианат Lupranate MIPS</x18tc:text>
  </x18tc:threadedComment>
  <x18tc:threadedComment ref="E87" dT="2026-02-18T07:10:06.00" personId="{e2e77967-4e10-481e-8441-16353543edac}" id="{15cc5f6b-856f-4594-8143-1ceaeda6b787}" done="0">
    <x18tc:text xml:space="preserve">исп.Изоцианат Lupranate MIPS</x18tc:text>
  </x18tc:threadedComment>
  <x18tc:threadedComment ref="E50" dT="2026-02-10T06:17:16.00" personId="{7f27ce3d-748c-43ac-85b2-9b67c1416a82}" id="{76e76413-a5b9-49a7-b678-bc5270a9f5cb}" done="0">
    <x18tc:text xml:space="preserve">использовали мороженный лупранат ми</x18tc:text>
  </x18tc:threadedComment>
  <x18tc:threadedComment ref="E81" dT="2026-02-18T07:02:40.00" personId="{e2e77967-4e10-481e-8441-16353543edac}" id="{12a6013d-0ccb-450d-8b45-c624c970ea78}" done="0">
    <x18tc:text xml:space="preserve">использовали Изоцианат Lupranate MIPS</x18tc:text>
  </x18tc:threadedComment>
  <x18tc:threadedComment ref="E88" dT="2026-02-18T07:10:13.00" personId="{e2e77967-4e10-481e-8441-16353543edac}" id="{3ac23f54-116c-4042-b2f2-b844922c61ff}" done="0">
    <x18tc:text xml:space="preserve">исп. Изоцианат Lupranate MIPS</x18tc:text>
  </x18tc:threadedComment>
  <x18tc:threadedComment ref="E88" dT="2026-02-19T07:58:21.00" personId="{e2e77967-4e10-481e-8441-16353543edac}" id="{5a24f852-8d40-4aba-b341-6ab243e9adbb}" parentId="{3ac23f54-116c-4042-b2f2-b844922c61ff}">
    <x18tc:text xml:space="preserve">купили у Авис Кемикал по цене 27.88 юаней</x18tc:text>
  </x18tc:threadedComment>
  <x18tc:threadedComment ref="E92" dT="2026-02-18T07:08:37.00" personId="{e2e77967-4e10-481e-8441-16353543edac}" id="{d19aaba7-2471-4c04-81fa-25f96021669b}" done="0">
    <x18tc:text xml:space="preserve">использовали Изоцианат Lupranate MIPS</x18tc:text>
  </x18tc:threadedComment>
  <x18tc:threadedComment ref="E92" dT="2026-02-19T07:59:34.00" personId="{e2e77967-4e10-481e-8441-16353543edac}" id="{9a2041e2-4b7d-4617-8a56-edb6b63c2a42}" parentId="{d19aaba7-2471-4c04-81fa-25f96021669b}">
    <x18tc:text xml:space="preserve">купили у Авис Кемикал по цене 27.88 юаней</x18tc:text>
  </x18tc:threadedComment>
  <x18tc:threadedComment ref="E77" dT="2026-02-18T06:58:18.00" personId="{e2e77967-4e10-481e-8441-16353543edac}" id="{011a8b77-a0f7-474b-bf0b-0283181947fc}" done="0">
    <x18tc:text xml:space="preserve">полиол от Авис Кемикал, пропилен от Интерхиммет</x18tc:text>
  </x18tc:threadedComment>
  <x18tc:threadedComment ref="E77" dT="2026-02-19T13:04:37.00" personId="{e2e77967-4e10-481e-8441-16353543edac}" id="{53bbd8ec-bb11-4772-ad75-b714d0c04255}" parentId="{011a8b77-a0f7-474b-bf0b-0283181947fc}">
    <x18tc:text xml:space="preserve">пропиленгликоль 1,14 евро б/ндс, интерхиммет (11,40 юаней с ндс)</x18tc:text>
  </x18tc:threadedComment>
  <x18tc:threadedComment ref="E51" dT="2026-02-10T06:35:03.00" personId="{7f27ce3d-748c-43ac-85b2-9b67c1416a82}" id="{ae368bf1-47ea-4e47-b04b-a9afe76159a4}" done="0">
    <x18tc:text xml:space="preserve">добавлены бочки</x18tc:text>
  </x18tc:threadedComment>
  <x18tc:threadedComment ref="E86" dT="2026-02-18T07:10:00.00" personId="{e2e77967-4e10-481e-8441-16353543edac}" id="{224525d7-9913-4126-81b2-c0763eb668b2}" done="0">
    <x18tc:text xml:space="preserve">исп. Изоцианат Lupranate MIPS</x18tc:text>
  </x18tc:threadedComment>
  <x18tc:threadedComment ref="E86" dT="2026-02-19T07:57:31.00" personId="{e2e77967-4e10-481e-8441-16353543edac}" id="{91b208b0-f9df-487a-91ae-a93e5f08202d}" parentId="{224525d7-9913-4126-81b2-c0763eb668b2}">
    <x18tc:text xml:space="preserve">у Авис Кемикал по цене 27.88 юаней</x18tc:text>
  </x18tc:threadedComment>
  <x18tc:threadedComment ref="E41" dT="2026-02-10T06:34:58.00" personId="{7f27ce3d-748c-43ac-85b2-9b67c1416a82}" id="{287ec857-0d44-4f33-950b-02c6f06799b1}" done="0">
    <x18tc:text xml:space="preserve">добавлены бочки, в январе не было</x18tc:text>
  </x18tc:threadedComment>
  <x18tc:threadedComment ref="E41" dT="2026-02-20T14:02:48.00" personId="{e2e77967-4e10-481e-8441-16353543edac}" id="{2f2af700-f82b-40bb-a032-ed26bcac2a2d}" parentId="{287ec857-0d44-4f33-950b-02c6f06799b1}">
    <x18tc:text xml:space="preserve">стали выпускать по 2200, на списание добавились все прочие материалы, 2 поддона, 2 фильтра в сумме + бочка 24 евро /2200= 0,09-0,11 евро</x18tc:text>
  </x18tc:threadedComment>
  <x18tc:threadedComment ref="E59" dT="2026-02-10T06:07:02.00" personId="{7f27ce3d-748c-43ac-85b2-9b67c1416a82}" id="{a18a55d2-d603-44d5-b32a-be4df8d1e2df}" done="0">
    <x18tc:text xml:space="preserve">использовали мороженный лупранат ми</x18tc:text>
  </x18tc:threadedComment>
  <x18tc:threadedComment ref="E58" dT="2026-02-10T06:06:57.00" personId="{7f27ce3d-748c-43ac-85b2-9b67c1416a82}" id="{bafb52e2-2947-4d90-84ae-93bca16be32f}" done="0">
    <x18tc:text xml:space="preserve">использовали мороженный лупранат ми</x18tc:text>
  </x18tc:threadedComment>
  <x18tc:threadedComment ref="E40" dT="2026-02-10T06:09:30.00" personId="{7f27ce3d-748c-43ac-85b2-9b67c1416a82}" id="{fcbda363-c5ed-472e-b21c-76543594c47d}" done="0">
    <x18tc:text xml:space="preserve">использовали мороженный лупранат ми</x18tc:text>
  </x18tc:threadedComment>
  <x18tc:threadedComment ref="E42" dT="2026-02-10T06:09:49.00" personId="{7f27ce3d-748c-43ac-85b2-9b67c1416a82}" id="{10388585-2bbc-49be-952c-a694ace1786a}" done="0">
    <x18tc:text xml:space="preserve">использовали мороженный лупранат ми</x18tc:text>
  </x18tc:threadedComment>
  <x18tc:threadedComment ref="E43" dT="2026-02-10T06:09:44.00" personId="{7f27ce3d-748c-43ac-85b2-9b67c1416a82}" id="{d6097ec7-601c-4597-84cd-39e2abad8486}" done="0">
    <x18tc:text xml:space="preserve">использовали мороженный лупранат ми</x18tc:text>
  </x18tc:threadedComment>
  <x18tc:threadedComment ref="E45" dT="2026-02-10T06:09:54.00" personId="{7f27ce3d-748c-43ac-85b2-9b67c1416a82}" id="{9c93b7a5-00d1-4cd8-ba51-6980f82da4dd}" done="0">
    <x18tc:text xml:space="preserve">использовали мороженный лупранат ми</x18tc:text>
  </x18tc:threadedComment>
  <x18tc:threadedComment ref="E31" dT="2026-02-10T06:04:41.00" personId="{7f27ce3d-748c-43ac-85b2-9b67c1416a82}" id="{634678cc-389b-451a-9d0f-eb7c1d806d17}" done="0">
    <x18tc:text xml:space="preserve">использовали мороженный лупранат ми</x18tc:text>
  </x18tc:threadedComment>
  <x18tc:threadedComment ref="E14" dT="2026-03-06T13:40:32.00" personId="{e2e77967-4e10-481e-8441-16353543edac}" id="{08684e22-10f9-4b21-b182-832d4e676f19}" done="0">
    <x18tc:text xml:space="preserve">Касторка в феврале: поступление 26.12: было СВХ сумма 107886,92 руб (0,0534 цента на кг)</x18tc:text>
  </x18tc:threadedComment>
  <x18tc:threadedComment ref="E47" dT="2026-02-10T06:17:01.00" personId="{7f27ce3d-748c-43ac-85b2-9b67c1416a82}" id="{19655aae-8a39-4b8e-8ff8-ede025901932}" done="0">
    <x18tc:text xml:space="preserve">использовали мороженный лупранат ми</x18tc:text>
  </x18tc:threadedComment>
  <x18tc:threadedComment ref="E65" dT="2026-02-10T06:08:03.00" personId="{7f27ce3d-748c-43ac-85b2-9b67c1416a82}" id="{0d2df0b7-7d42-4e1a-8aa5-c6b583eaedd8}" done="0">
    <x18tc:text xml:space="preserve">использовали мороженный лупранат ми</x18tc:text>
  </x18tc:threadedComment>
  <x18tc:threadedComment ref="E30" dT="2026-02-10T06:04:35.00" personId="{7f27ce3d-748c-43ac-85b2-9b67c1416a82}" id="{48ccd383-ade4-4ea9-817e-f4a2ac5b4096}" done="0">
    <x18tc:text xml:space="preserve">использовали мороженный лупранат ми</x18tc:text>
  </x18tc:threadedComment>
  <x18tc:threadedComment ref="E44" dT="2026-02-10T06:16:55.00" personId="{7f27ce3d-748c-43ac-85b2-9b67c1416a82}" id="{facee85e-b640-4523-82b4-1dae20ffdbad}" done="0">
    <x18tc:text xml:space="preserve">использовали мороженный лупранат ми</x18tc:text>
  </x18tc:threadedComment>
  <x18tc:threadedComment ref="E67" dT="2026-02-10T06:07:57.00" personId="{7f27ce3d-748c-43ac-85b2-9b67c1416a82}" id="{f03265b2-e903-4756-bd42-ae2b76863c48}" done="0">
    <x18tc:text xml:space="preserve">использовали мороженный лупранат ми</x18tc:text>
  </x18tc:threadedComment>
  <x18tc:threadedComment ref="E29" dT="2026-02-10T06:04:29.00" personId="{7f27ce3d-748c-43ac-85b2-9b67c1416a82}" id="{d2475b9d-b875-48a1-bcbf-c868c51fdd15}" done="0">
    <x18tc:text xml:space="preserve">использовали мороженный лупранат ми</x18tc:text>
  </x18tc:threadedComment>
  <x18tc:threadedComment ref="E62" dT="2026-02-10T06:07:19.00" personId="{7f27ce3d-748c-43ac-85b2-9b67c1416a82}" id="{ef605f5b-320e-4323-b08a-97e234164560}" done="0">
    <x18tc:text xml:space="preserve">использовали мороженный лупранат ми</x18tc:text>
  </x18tc:threadedComment>
  <x18tc:threadedComment ref="E60" dT="2026-02-10T06:07:07.00" personId="{7f27ce3d-748c-43ac-85b2-9b67c1416a82}" id="{22f32ded-51be-4f5a-acda-c26e3645841e}" done="0">
    <x18tc:text xml:space="preserve">использовали мороженный лупранат ми</x18tc:text>
  </x18tc:threadedComment>
  <x18tc:threadedComment ref="E66" dT="2026-02-10T06:07:49.00" personId="{7f27ce3d-748c-43ac-85b2-9b67c1416a82}" id="{e26c73e3-982d-4ab4-a88f-2ca1e58c7d0b}" done="0">
    <x18tc:text xml:space="preserve">использовали мороженный лупранат ми</x18tc:text>
  </x18tc:threadedComment>
  <x18tc:threadedComment ref="E61" dT="2026-02-10T06:07:43.00" personId="{7f27ce3d-748c-43ac-85b2-9b67c1416a82}" id="{41c991cb-6ed2-45d6-ad48-6fd5dd4c2f82}" done="0">
    <x18tc:text xml:space="preserve">использовали мороженный лупранат ми</x18tc:text>
  </x18tc:threadedComment>
  <x18tc:threadedComment ref="E55" dT="2026-02-10T06:06:00.00" personId="{7f27ce3d-748c-43ac-85b2-9b67c1416a82}" id="{8b18fdea-85eb-4dad-8290-b60523971808}" done="0">
    <x18tc:text xml:space="preserve">использовали мороженный лупранат ми</x18tc:text>
  </x18tc:threadedComment>
  <x18tc:threadedComment ref="E28" dT="2026-02-10T06:04:16.00" personId="{7f27ce3d-748c-43ac-85b2-9b67c1416a82}" id="{6e571c2e-6926-46d8-92c1-3ef2e1fad444}" done="0">
    <x18tc:text xml:space="preserve">использовали мороженный лупранат ми</x18tc:text>
  </x18tc:threadedComment>
  <x18tc:threadedComment ref="E54" dT="2026-02-10T06:05:55.00" personId="{7f27ce3d-748c-43ac-85b2-9b67c1416a82}" id="{e64e0739-cb71-4c75-a78a-62691c4652bd}" done="0">
    <x18tc:text xml:space="preserve">использовали мороженный лупранат ми</x18tc:text>
  </x18tc:threadedComment>
  <x18tc:threadedComment ref="E38" dT="2026-02-10T06:05:49.00" personId="{7f27ce3d-748c-43ac-85b2-9b67c1416a82}" id="{b097c084-d054-4b80-bcf7-8999a03f3be5}" done="0">
    <x18tc:text xml:space="preserve">использовали мороженный лупранат ми</x18tc:text>
  </x18tc:threadedComment>
  <x18tc:threadedComment ref="E37" dT="2026-02-10T06:05:43.00" personId="{7f27ce3d-748c-43ac-85b2-9b67c1416a82}" id="{c70bd607-6229-41f0-91bb-13f59de62fcf}" done="0">
    <x18tc:text xml:space="preserve">использовали мороженный лупранат ми</x18tc:text>
  </x18tc:threadedComment>
  <x18tc:threadedComment ref="E36" dT="2026-02-10T06:05:13.00" personId="{7f27ce3d-748c-43ac-85b2-9b67c1416a82}" id="{6c2d8334-12a1-4b2d-ab11-f6fd0406a02b}" done="0">
    <x18tc:text xml:space="preserve">использовали мороженный лупранат ми</x18tc:text>
  </x18tc:threadedComment>
  <x18tc:threadedComment ref="E35" dT="2026-02-10T06:05:02.00" personId="{7f27ce3d-748c-43ac-85b2-9b67c1416a82}" id="{01af6139-b130-4a91-a604-7d4feccff142}" done="0">
    <x18tc:text xml:space="preserve">использовали мороженный лупранат ми</x18tc:text>
  </x18tc:threadedComment>
  <x18tc:threadedComment ref="E34" dT="2026-02-10T06:04:56.00" personId="{7f27ce3d-748c-43ac-85b2-9b67c1416a82}" id="{02cb1bae-4648-411c-9221-ef17c209df58}" done="0">
    <x18tc:text xml:space="preserve">использовали мороженный лупранат ми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9" dT="2026-01-28T13:33:55.00" personId="{e2e77967-4e10-481e-8441-16353543edac}" id="{b9f4ae87-57e1-44f5-8e41-d475b9c88a68}" done="0">
    <x18tc:text xml:space="preserve">Производился в декабре 25, СС 2,59</x18tc:text>
  </x18tc:threadedComment>
  <x18tc:threadedComment ref="E39" dT="2026-01-20T07:23:19.00" personId="{7f27ce3d-748c-43ac-85b2-9b67c1416a82}" id="{f29ed26b-216b-4fde-ac45-36532a37afb6}" done="0">
    <x18tc:text xml:space="preserve">МДИ от ВальтерХеми по 30,50 юаней</x18tc:text>
  </x18tc:threadedComment>
  <x18tc:threadedComment ref="E38" dT="2026-01-20T07:23:27.00" personId="{7f27ce3d-748c-43ac-85b2-9b67c1416a82}" id="{c8799c5d-aa88-444c-90a4-43f3c0d4698f}" done="0">
    <x18tc:text xml:space="preserve">МДИ от ВальтерХеми по 30,50 юаней</x18tc:text>
  </x18tc:threadedComment>
  <x18tc:threadedComment ref="E36" dT="2026-01-20T07:25:14.00" personId="{7f27ce3d-748c-43ac-85b2-9b67c1416a82}" id="{6263ad75-bf73-4227-ab9c-ab4540b251ee}" done="0">
    <x18tc:text xml:space="preserve">МДИ от Айронгрупп ООО по 4,14 usd</x18tc:text>
  </x18tc:threadedComment>
  <x18tc:threadedComment ref="E54" dT="2026-01-22T07:18:56.00" personId="{7f27ce3d-748c-43ac-85b2-9b67c1416a82}" id="{8d8dd236-1d65-4870-9401-4e3ccb93ee1a}" done="0">
    <x18tc:text xml:space="preserve">Полиол  D220 162,46 кг от ФТ, 274,940 кг от Авис Кемикал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2" dT="2025-12-05T06:30:52.00" personId="{e2e77967-4e10-481e-8441-16353543edac}" id="{b75521fe-a43c-4f1a-b5bf-b8221e6c37ae}" done="0">
    <x18tc:text xml:space="preserve">осадок мороженого Лупраната MI</x18tc:text>
  </x18tc:threadedComment>
  <x18tc:threadedComment ref="E12" dT="2025-12-16T14:09:44.00" personId="{e2e77967-4e10-481e-8441-16353543edac}" id="{520136f9-b929-4cdf-a9be-b53bbf1fafbd}" parentId="{b75521fe-a43c-4f1a-b5bf-b8221e6c37ae}">
    <x18tc:text xml:space="preserve">30 кг*3,68/1100=0,10 превыш MI</x18tc:text>
  </x18tc:threadedComment>
  <x18tc:threadedComment ref="E12" dT="2025-12-16T14:38:09.00" personId="{e2e77967-4e10-481e-8441-16353543edac}" id="{2dacc47e-672c-4b75-a249-582b2e2fb2e5}" parentId="{b75521fe-a43c-4f1a-b5bf-b8221e6c37ae}">
    <x18tc:text xml:space="preserve">3,18*30/1100=0,08перевыш МI</x18tc:text>
  </x18tc:threadedComment>
  <x18tc:threadedComment ref="E89" dT="2025-12-26T07:23:55.00" personId="{7f27ce3d-748c-43ac-85b2-9b67c1416a82}" id="{0d4da166-5860-49f6-8925-8d81ba2d1678}" done="0">
    <x18tc:text xml:space="preserve">переработка (декатализация) 05H2504R0190</x18tc:text>
  </x18tc:threadedComment>
  <x18tc:threadedComment ref="E16" dT="2025-12-08T07:04:52.00" personId="{e2e77967-4e10-481e-8441-16353543edac}" id="{c6c39e9a-4172-4b81-ba59-319771590abd}" done="1">
    <x18tc:text xml:space="preserve">осадок мороженого Лупраната MI</x18tc:text>
  </x18tc:threadedComment>
  <x18tc:threadedComment ref="B12" dT="2025-12-16T15:10:57.00" personId="{e2e77967-4e10-481e-8441-16353543edac}" id="{24bf1043-eab1-4585-81ee-37da16fca449}" done="0">
    <x18tc:text xml:space="preserve">потери</x18tc:text>
  </x18tc:threadedComment>
  <x18tc:threadedComment ref="B4" dT="2025-12-16T15:11:40.00" personId="{e2e77967-4e10-481e-8441-16353543edac}" id="{0c0d2166-3d88-4ba0-a54e-20fdd38ce858}" done="0">
    <x18tc:text xml:space="preserve">потери</x18tc:text>
  </x18tc:threadedComment>
  <x18tc:threadedComment ref="E3" dT="2025-12-02T12:22:21.00" personId="{7f27ce3d-748c-43ac-85b2-9b67c1416a82}" id="{83fb316d-0ba6-4d16-8654-39adce787e3f}" done="0">
    <x18tc:text xml:space="preserve">тестовый продукт+недочет был в формуле, большой расход Этиленгликоля</x18tc:text>
  </x18tc:threadedComment>
  <x18tc:threadedComment ref="E76" dT="2025-12-22T13:18:11.00" personId="{e2e77967-4e10-481e-8441-16353543edac}" id="{84012c38-439b-44c9-af61-6ed87f475e2a}" done="0">
    <x18tc:text xml:space="preserve">Полиол Авис 13,69 юаней (кросс 1,65 евро)</x18tc:text>
  </x18tc:threadedComment>
  <x18tc:threadedComment ref="E2" dT="2025-12-02T12:23:14.00" personId="{7f27ce3d-748c-43ac-85b2-9b67c1416a82}" id="{2fa0642c-2b08-40f7-b341-05bca4c8fbf3}" done="0">
    <x18tc:text xml:space="preserve">тестовый продукт+недочет был в формуле, большой расход Этиленгликоля</x18tc:text>
  </x18tc:threadedComment>
  <x18tc:threadedComment ref="E74" dT="2025-12-22T13:32:57.00" personId="{e2e77967-4e10-481e-8441-16353543edac}" id="{4e0558ae-c0e6-4ad2-87d6-bb465f3a450d}" done="0">
    <x18tc:text xml:space="preserve">Потери Онгронат 3000, 55 кг</x18tc:text>
  </x18tc:threadedComment>
  <x18tc:threadedComment ref="E74" dT="2025-12-22T13:34:38.00" personId="{e2e77967-4e10-481e-8441-16353543edac}" id="{ed1cf2b4-b431-489a-aee8-cca57b51014e}" parentId="{4e0558ae-c0e6-4ad2-87d6-bb465f3a450d}">
    <x18tc:text xml:space="preserve">55*3,35 евро /2000=0,09 центов на кг рост.</x18tc:text>
  </x18tc:threadedComment>
  <x18tc:threadedComment ref="E63" dT="2025-12-26T12:27:31.00" personId="{7f27ce3d-748c-43ac-85b2-9b67c1416a82}" id="{736570c2-489a-4401-84d7-8c050a55aa3e}" done="0">
    <x18tc:text xml:space="preserve">Переработка 525С 5.0 в 6.0 20L2515R0190</x18tc:text>
  </x18tc:threadedComment>
  <x18tc:threadedComment ref="E9" dT="2025-12-04T06:17:07.00" personId="{e2e77967-4e10-481e-8441-16353543edac}" id="{7544e06c-7e6e-4eec-90e9-ce5fe722495a}" done="0">
    <x18tc:text xml:space="preserve">осадок мороженого Лупраната MI</x18tc:text>
  </x18tc:threadedComment>
  <x18tc:threadedComment ref="E8" dT="2025-12-05T13:43:07.00" personId="{e2e77967-4e10-481e-8441-16353543edac}" id="{049d6b62-37b2-490c-9dda-3cf1bdc26a22}" done="0">
    <x18tc:text xml:space="preserve">Переработка партии 10J25R21, дополнительно использованы расходники (этик., ведра и т д) в сумме на 403,31 евро</x18tc:text>
  </x18tc:threadedComment>
  <x18tc:threadedComment ref="E8" dT="2025-12-05T13:51:17.00" personId="{e2e77967-4e10-481e-8441-16353543edac}" id="{52178674-eeab-4329-9259-6b84aa39fff6}" parentId="{049d6b62-37b2-490c-9dda-3cf1bdc26a22}">
    <x18tc:text xml:space="preserve">Вопрос почему использовано расходников на 70 ведер, должно быть 60</x18tc:text>
  </x18tc:threadedComment>
  <x18tc:threadedComment ref="E8" dT="2025-12-05T13:52:00.00" personId="{e2e77967-4e10-481e-8441-16353543edac}" id="{da36734d-c68d-4d47-a845-a83d915b0de2}" parentId="{049d6b62-37b2-490c-9dda-3cf1bdc26a22}">
    <x18tc:text xml:space="preserve">дб 50 ведер</x18tc:text>
  </x18tc:threadedComment>
  <x18tc:threadedComment ref="E27" dT="2025-12-16T14:14:51.00" personId="{e2e77967-4e10-481e-8441-16353543edac}" id="{2417c488-eb16-437a-9836-77f30fa365f8}" done="0">
    <x18tc:text xml:space="preserve">исп R2303 2.24 долл Вальтер (кросс 1,90), в ноябре Polyether polyol G303 1,58 евро</x18tc:text>
  </x18tc:threadedComment>
  <x18tc:threadedComment ref="E93" dT="2025-12-26T14:03:31.00" personId="{e2e77967-4e10-481e-8441-16353543edac}" id="{9366c81c-7622-4615-b51c-5f70068c6188}" done="0">
    <x18tc:text xml:space="preserve">введен в рецептуру Catalyst COSCAT 83, на остатке 19,96 кг на 26.12.25, не используется Глимо</x18tc:text>
  </x18tc:threadedComment>
  <x18tc:threadedComment ref="E26" dT="2025-12-15T09:09:54.00" personId="{7f27ce3d-748c-43ac-85b2-9b67c1416a82}" id="{afd887a0-057e-44ce-8518-f22fb656b405}" done="0">
    <x18tc:text xml:space="preserve">производился из:
Изоцианат Wannate MDI 50-F (235kg/drum) - 4 150,600 кг, цена выше, чем у 
Изоцианат Wannate MDI 50-F (IBC) -1307,9 кг</x18tc:text>
  </x18tc:threadedComment>
  <x18tc:threadedComment ref="E26" dT="2025-12-16T13:07:48.00" personId="{e2e77967-4e10-481e-8441-16353543edac}" id="{732419a2-eda8-43aa-8d37-f660d451fe9f}" parentId="{afd887a0-057e-44ce-8518-f22fb656b405}">
    <x18tc:text xml:space="preserve">МДИ 50 от Айрона по 4,14 долл (кросс 3,52 евро) 9 дек 2025</x18tc:text>
  </x18tc:threadedComment>
  <x18tc:threadedComment ref="E26" dT="2025-12-16T13:10:56.00" personId="{e2e77967-4e10-481e-8441-16353543edac}" id="{a9233686-6e35-4292-b733-56bf9e35405a}" parentId="{afd887a0-057e-44ce-8518-f22fb656b405}">
    <x18tc:text xml:space="preserve">Д220 авис 13,69 юаней (кросс 1,65)</x18tc:text>
  </x18tc:threadedComment>
  <x18tc:threadedComment ref="E86" dT="2025-12-24T14:49:39.00" personId="{e2e77967-4e10-481e-8441-16353543edac}" id="{c0e17470-4225-4689-9483-83f3a257a17f}" done="0">
    <x18tc:text xml:space="preserve">последний раз делали в октябре СС 2,58</x18tc:text>
  </x18tc:threadedComment>
  <x18tc:threadedComment ref="E27" dT="2025-12-16T13:45:16.00" personId="{e2e77967-4e10-481e-8441-16353543edac}" id="{26195924-b774-45b0-a0aa-5c9619667afb}" done="1">
    <x18tc:text xml:space="preserve">исп R2003 2.24 долл вальтер (кросс 1,90 евро ), в ноябре 1,58 евро</x18tc:text>
  </x18tc:threadedComment>
  <x18tc:threadedComment ref="E5" dT="2025-12-10T14:13:20.00" personId="{e2e77967-4e10-481e-8441-16353543edac}" id="{c2da75ce-5c75-4a12-8dcc-8dff6bbf0b42}" done="1">
    <x18tc:text xml:space="preserve">Производился на MI 3.78</x18tc:text>
  </x18tc:threadedComment>
  <x18tc:threadedComment ref="E17" dT="2025-12-11T07:46:11.00" personId="{e2e77967-4e10-481e-8441-16353543edac}" id="{f6218aa6-1c7e-4dbb-9760-42f87c5c035e}" done="1">
    <x18tc:text xml:space="preserve">подмороженный МДИ-50</x18tc:text>
  </x18tc:threadedComment>
  <x18tc:threadedComment ref="E13" dT="2025-12-11T07:45:18.00" personId="{e2e77967-4e10-481e-8441-16353543edac}" id="{36202da5-b088-4d9d-bc34-298fa38f3990}" done="1">
    <x18tc:text xml:space="preserve">подмороженный МДИ-50</x18tc:text>
  </x18tc:threadedComment>
  <x18tc:threadedComment ref="E6" dT="2025-12-10T14:13:56.00" personId="{e2e77967-4e10-481e-8441-16353543edac}" id="{5e7410f9-c08d-4006-a377-4aa36eb52b49}" done="1">
    <x18tc:text xml:space="preserve">Производился на MI 3.78</x18tc:text>
  </x18tc:threadedComment>
  <x18tc:threadedComment ref="E5" dT="2025-12-10T14:20:33.00" personId="{e2e77967-4e10-481e-8441-16353543edac}" id="{c59af08a-ba54-4941-8e47-155433c4a497}" done="0">
    <x18tc:text xml:space="preserve">Производился на MI, сс в руб не отличается от ноября, падение курса на +/- 5 руб.</x18tc:text>
  </x18tc:threadedComment>
  <x18tc:threadedComment ref="E6" dT="2025-12-10T14:20:40.00" personId="{e2e77967-4e10-481e-8441-16353543edac}" id="{d9521571-fbf4-4c28-971d-ea89ed931edc}" done="0">
    <x18tc:text xml:space="preserve">Производился на MI, сс в руб не отличается от ноября, падение курса на +/- 5 руб.</x18tc:text>
  </x18tc:threadedComment>
  <x18tc:threadedComment ref="E21" dT="2025-12-11T07:47:16.00" personId="{e2e77967-4e10-481e-8441-16353543edac}" id="{d57d2969-22d9-4419-b9ff-03acd943866a}" done="1">
    <x18tc:text xml:space="preserve">подмороженный МДИ-50</x18tc:text>
  </x18tc:threadedComment>
  <x18tc:threadedComment ref="E20" dT="2025-12-10T14:24:10.00" personId="{e2e77967-4e10-481e-8441-16353543edac}" id="{df549374-13af-4247-8036-156d7b2d6500}" done="0">
    <x18tc:text xml:space="preserve">первый выпуск, состав ...?</x18tc:text>
  </x18tc:threadedComment>
  <x18tc:threadedComment ref="E18" dT="2025-12-11T07:46:33.00" personId="{e2e77967-4e10-481e-8441-16353543edac}" id="{537abcc7-0385-4332-bc3f-6984fe8591fb}" done="1">
    <x18tc:text xml:space="preserve">подмороженный МДИ-50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" dT="2025-11-18T08:32:40.00" personId="{7f27ce3d-748c-43ac-85b2-9b67c1416a82}" id="{172981c2-99a6-42f5-ae39-797dcf0fcc93}" done="0">
    <x18tc:text xml:space="preserve">исп Полиол  LE-220A от ФТ</x18tc:text>
  </x18tc:threadedComment>
  <x18tc:threadedComment ref="E51" dT="2025-11-25T07:41:54.00" personId="{e2e77967-4e10-481e-8441-16353543edac}" id="{274a31b6-121b-411a-ae92-139fa0d1f3a9}" done="0">
    <x18tc:text xml:space="preserve">Авис Д220</x18tc:text>
  </x18tc:threadedComment>
  <x18tc:threadedComment ref="E51" dT="2025-11-25T07:43:07.00" personId="{e2e77967-4e10-481e-8441-16353543edac}" id="{5c043344-a003-4a50-84dd-ebab998f5e8f}" parentId="{274a31b6-121b-411a-ae92-139fa0d1f3a9}">
    <x18tc:text xml:space="preserve">Переработка неликвида 521</x18tc:text>
  </x18tc:threadedComment>
  <x18tc:threadedComment ref="E37" dT="2025-11-18T08:31:34.00" personId="{7f27ce3d-748c-43ac-85b2-9b67c1416a82}" id="{ae5f2532-8a06-456f-aaad-600118c35da6}" done="0">
    <x18tc:text xml:space="preserve">исп Полиол D220 от АВИС КЕМИКАЛ</x18tc:text>
  </x18tc:threadedComment>
  <x18tc:threadedComment ref="E37" dT="2025-12-01T12:58:18.00" personId="{e2e77967-4e10-481e-8441-16353543edac}" id="{93523f5c-7b02-426d-a4fe-80e0bb950256}" parentId="{ae5f2532-8a06-456f-aaad-600118c35da6}">
    <x18tc:text xml:space="preserve">В ноябре изоциант внут рынок, полиол внутр рынок, в октябре полиол ФТ, изоционач MIRACLE (SHANGHAI)</x18tc:text>
  </x18tc:threadedComment>
  <x18tc:threadedComment ref="E60" dT="2025-12-01T06:33:13.00" personId="{e2e77967-4e10-481e-8441-16353543edac}" id="{c1509685-39b9-4d8a-8c47-98428d0d4356}" done="0">
    <x18tc:text xml:space="preserve">потеря Онгронат 3000 - кристаллизация</x18tc:text>
  </x18tc:threadedComment>
  <x18tc:threadedComment ref="E59" dT="2025-11-27T13:39:18.00" personId="{e2e77967-4e10-481e-8441-16353543edac}" id="{44486eae-dec4-4e77-99a9-2e642aa45158}" done="0">
    <x18tc:text xml:space="preserve">потеря Онгронат 3000 - кристаллизация</x18tc:text>
  </x18tc:threadedComment>
  <x18tc:threadedComment ref="E49" dT="2025-11-24T10:25:55.00" personId="{e2e77967-4e10-481e-8441-16353543edac}" id="{c54061c3-d366-497c-b15e-2d6ddc49f184}" done="0">
    <x18tc:text xml:space="preserve">потеря Онгронат 3000 - кристаллизация</x18tc:text>
  </x18tc:threadedComment>
  <x18tc:threadedComment ref="E4" dT="2025-12-01T12:51:40.00" personId="{e2e77967-4e10-481e-8441-16353543edac}" id="{9e0b8099-99c6-45b4-9249-4db63cdc13c5}" done="0">
    <x18tc:text xml:space="preserve">Пошел изоционат по 4,20 Айрон</x18tc:text>
  </x18tc:threadedComment>
  <x18tc:threadedComment ref="E46" dT="2025-11-24T06:39:42.00" personId="{e2e77967-4e10-481e-8441-16353543edac}" id="{2473c5c6-d76c-4132-b9c5-2e0b90d7cfb9}" done="0">
    <x18tc:text xml:space="preserve">потеря Онгронат 3000 - кристаллизация</x18tc:text>
  </x18tc:threadedComment>
  <x18tc:threadedComment ref="E2" dT="2025-12-01T12:52:10.00" personId="{e2e77967-4e10-481e-8441-16353543edac}" id="{8195d3ce-f2e1-457a-98ca-09b5cf3f903d}" done="0">
    <x18tc:text xml:space="preserve">Изоционат по 4.0</x18tc:text>
  </x18tc:threadedComment>
  <x18tc:threadedComment ref="E23" dT="2025-12-01T11:40:14.00" personId="{e2e77967-4e10-481e-8441-16353543edac}" id="{425f2c0c-b991-406a-918e-bf70f2c0dd51}" done="1">
    <x18tc:text xml:space="preserve">На ОПГА 650 330 руб/нсд</x18tc:text>
  </x18tc:threadedComment>
  <x18tc:threadedComment ref="E23" dT="2025-12-01T12:02:06.00" personId="{e2e77967-4e10-481e-8441-16353543edac}" id="{0daae8e0-5e1b-459c-9cb8-b1321003d9b3}" parentId="{425f2c0c-b991-406a-918e-bf70f2c0dd51}">
    <x18tc:text xml:space="preserve">В октябре работали на ваноле от Айрона 2,26 долл, в ноябре на 303 от SHANGHAI FUJIA, 8,50 юаней
Помечено как решенное</x18tc:text>
  </x18tc:threadedComment>
  <x18tc:threadedComment ref="E34" dT="2025-11-18T08:31:09.00" personId="{7f27ce3d-748c-43ac-85b2-9b67c1416a82}" id="{c8a1947d-398c-4ff2-82da-3bd2ce1a9c53}" done="0">
    <x18tc:text xml:space="preserve">исп Полиол D220 от АВИС КЕМИКАЛ</x18tc:text>
  </x18tc:threadedComment>
  <x18tc:threadedComment ref="E28" dT="2025-12-01T11:46:04.00" personId="{e2e77967-4e10-481e-8441-16353543edac}" id="{117986e7-bae9-4109-97dc-ead954ae6fbb}" done="0">
    <x18tc:text xml:space="preserve">на РТ 0512 250,14 руб с НДС</x18tc:text>
  </x18tc:threadedComment>
  <x18tc:threadedComment ref="E28" dT="2025-12-01T12:04:40.00" personId="{e2e77967-4e10-481e-8441-16353543edac}" id="{360b014b-c17e-443e-823b-f338c52ce444}" parentId="{117986e7-bae9-4109-97dc-ead954ae6fbb}">
    <x18tc:text xml:space="preserve">в ноябре на G303, в октябре на R2303 Айрон 2,26 долл</x18tc:text>
  </x18tc:threadedComment>
  <x18tc:threadedComment ref="E48" dT="2025-11-24T06:51:07.00" personId="{e2e77967-4e10-481e-8441-16353543edac}" id="{c1d8dad9-ab21-4707-89b4-63e153bdaa48}" done="0">
    <x18tc:text xml:space="preserve">потеря Онгронат 3000 - кристаллизация</x18tc:text>
  </x18tc:threadedComment>
  <x18tc:threadedComment ref="E57" dT="2025-12-01T12:45:43.00" personId="{e2e77967-4e10-481e-8441-16353543edac}" id="{694ed413-9c27-49b0-bb85-ee0b9f60e68e}" done="0">
    <x18tc:text xml:space="preserve">партия на Mips 2.97 евро+2%</x18tc:text>
  </x18tc:threadedComment>
  <x18tc:threadedComment ref="E57" dT="2025-12-01T12:47:03.00" personId="{e2e77967-4e10-481e-8441-16353543edac}" id="{f28f580e-09f3-4de5-973c-68eded9b3e82}" parentId="{694ed413-9c27-49b0-bb85-ee0b9f60e68e}">
    <x18tc:text xml:space="preserve">Полиол РФ</x18tc:text>
  </x18tc:threadedComment>
  <x18tc:threadedComment ref="E57" dT="2025-12-01T14:54:42.00" personId="{e2e77967-4e10-481e-8441-16353543edac}" id="{dc4ff559-e17b-4b61-b55a-4643142efbb7}" parentId="{694ed413-9c27-49b0-bb85-ee0b9f60e68e}">
    <x18tc:text xml:space="preserve">лупранат MI ФТ</x18tc:text>
  </x18tc:threadedComment>
  <x18tc:threadedComment ref="E57" dT="2025-12-01T15:27:52.00" personId="{e2e77967-4e10-481e-8441-16353543edac}" id="{dfcdb533-b71e-44bb-b2e6-dd6041cf4bb5}" parentId="{694ed413-9c27-49b0-bb85-ee0b9f60e68e}">
    <x18tc:text xml:space="preserve">Приверить итоговую СС Лупранат МИ</x18tc:text>
  </x18tc:threadedComment>
  <x18tc:threadedComment ref="E25" dT="2025-11-12T13:35:53.00" personId="{7f27ce3d-748c-43ac-85b2-9b67c1416a82}" id="{2fa5b91a-45c3-43ff-916d-70e5c3135031}" done="0">
    <x18tc:text xml:space="preserve">Пропиленгликоль ФТеха</x18tc:text>
  </x18tc:threadedComment>
  <x18tc:threadedComment ref="E62" dT="2025-12-01T06:51:45.00" personId="{e2e77967-4e10-481e-8441-16353543edac}" id="{9c94eaa5-a452-4d1f-ba7a-1e1ad5bb55c0}" done="0">
    <x18tc:text xml:space="preserve">потеря Онгронат 3000 - кристаллизация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6" dT="2025-10-30T08:45:55.00" personId="{e2e77967-4e10-481e-8441-16353543edac}" id="{42a5c1f7-8090-4f64-8ef6-5c86c5580a4c}" done="0">
    <x18tc:text xml:space="preserve">Полиэфир сложный "Полиэстер" 150А</x18tc:text>
  </x18tc:threadedComment>
  <x18tc:threadedComment ref="E66" dT="2025-10-31T07:06:53.00" personId="{7f27ce3d-748c-43ac-85b2-9b67c1416a82}" id="{064aad34-512c-48c4-97b9-f4def20045aa}" parentId="{42a5c1f7-8090-4f64-8ef6-5c86c5580a4c}">
    <x18tc:text xml:space="preserve">Это бесплатный образец для тестов ГП для Артфлекс, когда его сработаем, нужно составить акт для поставщика</x18tc:text>
  </x18tc:threadedComment>
  <x18tc:threadedComment ref="E41" dT="2025-10-20T07:54:52.00" personId="{7f27ce3d-748c-43ac-85b2-9b67c1416a82}" id="{53b4f090-f6c4-40e6-bcf6-099e1a593c57}" done="0">
    <x18tc:text xml:space="preserve">МДИ MIRACLE (SHANGHAI) NEW MATERIALS CO., LTD</x18tc:text>
  </x18tc:threadedComment>
  <x18tc:threadedComment ref="E59" dT="2025-10-28T06:50:20.00" personId="{7f27ce3d-748c-43ac-85b2-9b67c1416a82}" id="{894a5f8c-754b-4e21-8c28-57cfcf20543f}" done="0">
    <x18tc:text xml:space="preserve">Полиол LE-220A</x18tc:text>
  </x18tc:threadedComment>
  <x18tc:threadedComment ref="E59" dT="2025-10-28T07:18:35.00" personId="{e2e77967-4e10-481e-8441-16353543edac}" id="{51caa05c-ec5f-4c34-830a-99cdb5837633}" parentId="{894a5f8c-754b-4e21-8c28-57cfcf20543f}">
    <x18tc:text xml:space="preserve">Изоцианат Wannate MDI 50-F (IBC) Айрон 3,43 евро</x18tc:text>
  </x18tc:threadedComment>
  <x18tc:threadedComment ref="E12" dT="2025-10-28T10:05:10.00" personId="{e2e77967-4e10-481e-8441-16353543edac}" id="{0321487b-d090-4bd4-91b1-a52301e4e5dc}" done="0">
    <x18tc:text xml:space="preserve">Пропиленгликоль ИНТЕРХИММЕТ</x18tc:text>
  </x18tc:threadedComment>
  <x18tc:threadedComment ref="E56" dT="2025-10-27T07:58:22.00" personId="{7f27ce3d-748c-43ac-85b2-9b67c1416a82}" id="{31c015d3-dac6-4486-8750-8be559d226a7}" done="0">
    <x18tc:text xml:space="preserve">Израсходован Polyol D220 российс.производителей</x18tc:text>
  </x18tc:threadedComment>
  <x18tc:threadedComment ref="E52" dT="2025-10-27T07:58:12.00" personId="{7f27ce3d-748c-43ac-85b2-9b67c1416a82}" id="{99e96090-4ffb-4713-8a6e-48c59547a199}" done="0">
    <x18tc:text xml:space="preserve">Израсходован  Polyol D220 российс.производителей</x18tc:text>
  </x18tc:threadedComment>
  <x18tc:threadedComment ref="E37" dT="2025-10-17T09:50:40.00" personId="{7f27ce3d-748c-43ac-85b2-9b67c1416a82}" id="{acd27229-7d4a-4501-bb2d-f121d737e837}" done="0">
    <x18tc:text xml:space="preserve">купили Изоцианат Wannate MDI 50-F у Айронгрупп</x18tc:text>
  </x18tc:threadedComment>
  <x18tc:threadedComment ref="E39" dT="2025-10-20T07:54:29.00" personId="{7f27ce3d-748c-43ac-85b2-9b67c1416a82}" id="{bec0ffa2-c276-4cfe-9e54-257482ab758e}" done="0">
    <x18tc:text xml:space="preserve">остаток МДИ Айрон, остальное MIRACLE (SHANGHAI) NEW MATERIALS CO., LTD</x18tc:text>
  </x18tc:threadedComment>
  <x18tc:threadedComment ref="E58" dT="2025-10-27T15:57:54.00" personId="{e2e77967-4e10-481e-8441-16353543edac}" id="{f0a51068-4fc0-438f-a81f-8ce075abe03f}" done="0">
    <x18tc:text xml:space="preserve">Вальтер Хими D220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0" dT="2025-09-15T08:05:45.00" personId="{7f27ce3d-748c-43ac-85b2-9b67c1416a82}" id="{df9acfeb-d3da-452a-baa9-97d9620562b9}" done="0">
    <x18tc:text xml:space="preserve">Полиол Polyether polyol LE-220A+Пропиленгликоль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6" dT="2025-08-11T09:01:48.00" personId="{7f27ce3d-748c-43ac-85b2-9b67c1416a82}" id="{96236e40-2d9f-4a80-84e3-adbc1669fce4}" done="0">
    <x18tc:text xml:space="preserve">Изоцианат Lupranate MIPS (250кг) в составе</x18tc:text>
  </x18tc:threadedComment>
  <x18tc:threadedComment ref="E56" dT="2025-09-01T08:30:27.00" personId="{7f27ce3d-748c-43ac-85b2-9b67c1416a82}" id="{2d3c56f6-0530-4249-9504-7925861d04a2}" done="0">
    <x18tc:text xml:space="preserve">Полиол Polyether polyol LE-220A от Flexo Tech JSC</x18tc:text>
  </x18tc:threadedComment>
  <x18tc:threadedComment ref="E46" dT="2025-09-01T08:33:32.00" personId="{7f27ce3d-748c-43ac-85b2-9b67c1416a82}" id="{0991a78a-6839-4682-915e-83c47c117413}" done="0">
    <x18tc:text xml:space="preserve">Полиол Puranol Polyether polyol D220 от Русхимсеть - Санкт-Петербург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" dT="2025-07-07T12:05:59.00" personId="{7f27ce3d-748c-43ac-85b2-9b67c1416a82}" id="{d4db9e5c-0339-4840-95ac-0b75875532d6}" done="0">
    <x18tc:text xml:space="preserve">в основном использовали Полиол Puranol Polyether polyol D220. изоционата меньшее кол-во, чем в др производствах</x18tc:text>
  </x18tc:threadedComment>
  <x18tc:threadedComment ref="E33" dT="2025-07-14T07:37:45.00" personId="{7f27ce3d-748c-43ac-85b2-9b67c1416a82}" id="{1369bc5b-4a4c-4b2a-af34-d98154f22442}" done="0">
    <x18tc:text xml:space="preserve">в прошлом месяце использовали Polyether polyol DP-4000E (полиол KUKDO CHEMICAL)* (без тары)</x18tc:text>
  </x18tc:threadedComment>
  <x18tc:threadedComment ref="E52" dT="2025-07-22T08:00:56.00" personId="{7f27ce3d-748c-43ac-85b2-9b67c1416a82}" id="{360744b9-b314-487c-9080-1c236e82a7b8}" done="0">
    <x18tc:text xml:space="preserve">Полиол Puranol Polyether polyol D220 использовали</x18tc:text>
  </x18tc:threadedComment>
  <x18tc:threadedComment ref="E32" dT="2025-07-14T08:45:35.00" personId="{7f27ce3d-748c-43ac-85b2-9b67c1416a82}" id="{bc6b659c-3cb0-4eb3-aae9-61738c27812b}" done="0">
    <x18tc:text xml:space="preserve">полиол д220 от русхимсеть</x18tc:text>
  </x18tc:threadedComment>
  <x18tc:threadedComment ref="E23" dT="2025-07-10T07:48:21.00" personId="{7f27ce3d-748c-43ac-85b2-9b67c1416a82}" id="{08492691-9495-4561-9992-f79372a567f5}" done="0">
    <x18tc:text xml:space="preserve">Полиол Puranol Polyether polyol D204</x18tc:text>
  </x18tc:threadedComment>
  <x18tc:threadedComment ref="E40" dT="2025-07-16T08:47:19.00" personId="{7f27ce3d-748c-43ac-85b2-9b67c1416a82}" id="{0063d6aa-b43a-4adb-bc84-8c6d7aad8cc5}" done="0">
    <x18tc:text xml:space="preserve">пропиленгликоль из разных поступлений</x18tc:text>
  </x18tc:threadedComment>
  <x18tc:threadedComment ref="E4" dT="2025-07-14T07:41:17.00" personId="{7f27ce3d-748c-43ac-85b2-9b67c1416a82}" id="{2f458480-d01b-4578-971f-ff4eae5996f4}" done="0">
    <x18tc:text xml:space="preserve">Полиол Top Chemical Polyether polyol SE-204 -86,7кг</x18tc:text>
  </x18tc:threadedComment>
  <x18tc:threadedComment ref="E60" dT="2025-07-23T08:47:09.00" personId="{7f27ce3d-748c-43ac-85b2-9b67c1416a82}" id="{8a7b52f1-a90c-40fe-af9e-9cda39dab95f}" done="0">
    <x18tc:text xml:space="preserve">Изоцианат MDI 50-F IBC</x18tc:text>
  </x18tc:threadedComment>
  <x18tc:threadedComment ref="E62" dT="2025-07-23T08:46:44.00" personId="{7f27ce3d-748c-43ac-85b2-9b67c1416a82}" id="{ee3ace07-81d0-40b2-8026-c1b237220aeb}" done="0">
    <x18tc:text xml:space="preserve">Изоцианат лупранат MI компонент Б (бочка 225)</x18tc:text>
  </x18tc:threadedComment>
  <x18tc:threadedComment ref="E49" dT="2025-07-21T07:23:21.00" personId="{7f27ce3d-748c-43ac-85b2-9b67c1416a82}" id="{ce9c0a51-1a44-4d7f-9d4a-56df1917ef2f}" done="0">
    <x18tc:text xml:space="preserve">использовали Полиол Avisol 220A (куб 1000 кг)</x18tc:text>
  </x18tc:threadedComment>
  <x18tc:threadedComment ref="E51" dT="2025-07-21T07:27:31.00" personId="{7f27ce3d-748c-43ac-85b2-9b67c1416a82}" id="{32846dbb-fd04-4966-b7a7-1575d796cec1}" done="0">
    <x18tc:text xml:space="preserve">использовали Полиол Avisol 220A (куб 1000 кг)</x18tc:text>
  </x18tc:threadedComment>
  <x18tc:threadedComment ref="E54" dT="2025-07-21T07:27:44.00" personId="{7f27ce3d-748c-43ac-85b2-9b67c1416a82}" id="{efa25f17-990f-4119-9527-b62c7fe30d6b}" done="0">
    <x18tc:text xml:space="preserve">использовали Полиол Avisol 220A (куб 1000 кг)</x18tc:text>
  </x18tc:threadedComment>
</x18tc:ThreadedComments>
</file>

<file path=xl/threadedComments/threadedComment1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3" dT="2025-06-27T10:59:34.00" personId="{7f27ce3d-748c-43ac-85b2-9b67c1416a82}" id="{884d5f4a-add5-4dc1-96d4-dbfeca5cb6c2}" done="0">
    <x18tc:text xml:space="preserve">уменьшила ОПГА, т.к не шли остатки, на складе 0</x18tc:text>
  </x18tc:threadedComment>
</x18tc:ThreadedComments>
</file>

<file path=xl/threadedComments/threadedComment1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5" dT="2025-03-24T08:43:57.00" personId="{7f27ce3d-748c-43ac-85b2-9b67c1416a82}" id="{0092eea7-4b5d-41c8-a63c-3d40ae533a70}" done="0">
    <x18tc:text xml:space="preserve">исп полиол д204 (Флексотех)</x18tc:text>
  </x18tc:threadedComment>
</x18tc:ThreadedComments>
</file>

<file path=xl/threadedComments/threadedComment1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4" dT="2025-02-12T10:14:29.00" personId="{e2e77967-4e10-481e-8441-16353543edac}" id="{e0d07880-aaee-420b-9f25-10038d97e382}" done="0">
    <x18tc:text xml:space="preserve">Оплата за сырье eur+5%, eur+2%
Лупранат, D220</x18tc:text>
  </x18tc:threadedComment>
</x18tc:ThreadedComments>
</file>

<file path=xl/threadedComments/threadedComment1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9" dT="2025-02-12T10:27:59.00" personId="{e2e77967-4e10-481e-8441-16353543edac}" id="{1069e47d-6f7c-4a53-aad6-97a9cbeab725}" done="0">
    <x18tc:text xml:space="preserve">D220+2%</x18tc:text>
  </x18tc:threadedComment>
  <x18tc:threadedComment ref="E36" dT="2025-02-12T10:26:27.00" personId="{e2e77967-4e10-481e-8441-16353543edac}" id="{dc3ae072-19bf-4d06-9b13-2195d8769fe5}" done="0">
    <x18tc:text xml:space="preserve">F 50, турция 2,95 евро</x18tc:text>
  </x18tc:threadedComment>
  <x18tc:threadedComment ref="E19" dT="2025-02-12T10:24:59.00" personId="{e2e77967-4e10-481e-8441-16353543edac}" id="{db6c4050-4590-4c77-b7fb-7f0733a5e4f3}" done="0">
    <x18tc:text xml:space="preserve">F 50 куплен у самебы 3,11</x18tc:text>
  </x18tc:threadedComment>
  <x18tc:threadedComment ref="E19" dT="2025-02-12T10:30:43.00" personId="{e2e77967-4e10-481e-8441-16353543edac}" id="{3e3f0635-9cd7-484f-aeac-b89df47e64e0}" parentId="{db6c4050-4590-4c77-b7fb-7f0733a5e4f3}">
    <x18tc:text xml:space="preserve">очень большие транспортные СТЕ Лог инв 5795; 5796</x18tc:text>
  </x18tc:threadedComment>
  <x18tc:threadedComment ref="E23" dT="2025-02-12T10:22:57.00" personId="{e2e77967-4e10-481e-8441-16353543edac}" id="{cba7c7e1-d559-4676-92af-06404869f1d2}" done="0">
    <x18tc:text xml:space="preserve">Выпуск на Лупранате</x18tc:text>
  </x18tc:threadedComment>
</x18tc:ThreadedComments>
</file>

<file path=xl/threadedComments/threadedComment1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57" dT="2025-01-31T14:32:55.00" personId="{e2e77967-4e10-481e-8441-16353543edac}" id="{5b5ebe50-1a04-40fb-8d99-e347141b263c}" done="0">
    <x18tc:text xml:space="preserve">D 220 от Интерхим пост 09.12.2024</x18tc:text>
  </x18tc:threadedComment>
  <x18tc:threadedComment ref="E36" dT="2025-02-12T10:32:28.00" personId="{e2e77967-4e10-481e-8441-16353543edac}" id="{0df3772f-6feb-476d-9a0b-d2e2532880b5}" done="0">
    <x18tc:text xml:space="preserve">полиол от интерхиммет 17 000, по 223,70 руб</x18tc:text>
  </x18tc:threadedComment>
  <x18tc:threadedComment ref="B9" dT="2024-12-05T08:13:35.00" personId="{e2e77967-4e10-481e-8441-16353543edac}" id="{ae1b39da-19ef-43e6-8e6a-157c0333714f}" done="0">
    <x18tc:text xml:space="preserve">меняем дату производства из-за замены бочек на ведра Презент Упаковка</x18tc:text>
  </x18tc:threadedComment>
</x18tc:ThreadedComments>
</file>

<file path=xl/threadedComments/threadedComment1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4-11-06T09:18:33.00" personId="{7f27ce3d-748c-43ac-85b2-9b67c1416a82}" id="{7151ac6c-bd23-4209-b8a1-2dd502a0e1a4}" done="1">
    <x18tc:text xml:space="preserve">Полиол Wanol C2040D ( куб 1000 кг ), 
Polyether Polyol Puranol F330N (полиол)
+ Полиол Puranol F 330 N ( куб 1000 кг ) -от декабря 23г</x18tc:text>
  </x18tc:threadedComment>
  <x18tc:threadedComment ref="E3" dT="2024-11-06T09:29:14.00" personId="{7f27ce3d-748c-43ac-85b2-9b67c1416a82}" id="{dc74e030-4aee-44fa-9db9-294e07940383}" done="0">
    <x18tc:text xml:space="preserve">переработка старых партий</x18tc:text>
  </x18tc:threadedComment>
</x18tc:ThreadedComments>
</file>

<file path=xl/threadedComments/threadedComment1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62" dT="2024-10-29T11:17:43.00" personId="{e2e77967-4e10-481e-8441-16353543edac}" id="{5a836b2d-3e4d-4188-8dc9-b059903e7eb0}" done="0">
    <x18tc:text xml:space="preserve">перевыпуск</x18tc:text>
  </x18tc:threadedComment>
  <x18tc:threadedComment ref="E68" dT="2024-10-29T11:23:46.00" personId="{e2e77967-4e10-481e-8441-16353543edac}" id="{41da03b7-f836-4b44-b83c-6afacb7b9d11}" done="0">
    <x18tc:text xml:space="preserve">перевыпуск</x18tc:text>
  </x18tc:threadedComment>
  <x18tc:threadedComment ref="E49" dT="2024-10-28T13:45:42.00" personId="{e2e77967-4e10-481e-8441-16353543edac}" id="{68c9d17a-7f47-4239-8360-fef1f341095a}" done="0">
    <x18tc:text xml:space="preserve">переделка партий от авг и сент</x18tc:text>
  </x18tc:threadedComment>
  <x18tc:threadedComment ref="E33" dT="2024-10-28T14:11:42.00" personId="{e2e77967-4e10-481e-8441-16353543edac}" id="{1de954a5-2c05-48ab-a9ba-8751230f1df7}" done="0">
    <x18tc:text xml:space="preserve">Аларм: по 1С выпущено 1200 списано сырья на 2400</x18tc:text>
  </x18tc:threadedComment>
  <x18tc:threadedComment ref="E14" dT="2024-10-28T14:02:02.00" personId="{e2e77967-4e10-481e-8441-16353543edac}" id="{c280d735-a6e5-4d8b-a2db-79c611386140}" done="0">
    <x18tc:text xml:space="preserve">MIPS - есть ли наценка?</x18tc:text>
  </x18tc:threadedComment>
  <x18tc:threadedComment ref="E55" dT="2024-10-28T13:57:56.00" personId="{e2e77967-4e10-481e-8441-16353543edac}" id="{8431c623-970e-4aa6-9f24-96ed6730248a}" done="0">
    <x18tc:text xml:space="preserve">Розовый</x18tc:text>
  </x18tc:threadedComment>
  <x18tc:threadedComment ref="E30" dT="2024-10-28T13:57:39.00" personId="{e2e77967-4e10-481e-8441-16353543edac}" id="{b3280746-8622-43a8-8e7d-c2e3aef6f50e}" done="0">
    <x18tc:text xml:space="preserve">Розовый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9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0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1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6.xml"/><Relationship Id="rId5" Type="http://schemas.openxmlformats.org/officeDocument/2006/relationships/vmlDrawing" Target="../drawings/vmlDrawing12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microsoft.com/office/2017/10/relationships/threadedComment" Target="../threadedComments/threadedComment13.xml"/><Relationship Id="rId3" Type="http://schemas.microsoft.com/office/2019/04/relationships/documenttask" Target="../documenttasks/documenttask13.xml"/><Relationship Id="rId4" Type="http://schemas.openxmlformats.org/officeDocument/2006/relationships/drawing" Target="../drawings/drawing17.xml"/><Relationship Id="rId5" Type="http://schemas.openxmlformats.org/officeDocument/2006/relationships/vmlDrawing" Target="../drawings/vmlDrawing13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microsoft.com/office/2017/10/relationships/threadedComment" Target="../threadedComments/threadedComment14.xml"/><Relationship Id="rId3" Type="http://schemas.microsoft.com/office/2019/04/relationships/documenttask" Target="../documenttasks/documenttask14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14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15.xml"/><Relationship Id="rId3" Type="http://schemas.microsoft.com/office/2019/04/relationships/documenttask" Target="../documenttasks/documenttask15.xml"/><Relationship Id="rId4" Type="http://schemas.openxmlformats.org/officeDocument/2006/relationships/drawing" Target="../drawings/drawing21.xml"/><Relationship Id="rId5" Type="http://schemas.openxmlformats.org/officeDocument/2006/relationships/vmlDrawing" Target="../drawings/vmlDrawing15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microsoft.com/office/2017/10/relationships/threadedComment" Target="../threadedComments/threadedComment16.xml"/><Relationship Id="rId3" Type="http://schemas.microsoft.com/office/2019/04/relationships/documenttask" Target="../documenttasks/documenttask16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16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microsoft.com/office/2017/10/relationships/threadedComment" Target="../threadedComments/threadedComment17.xml"/><Relationship Id="rId3" Type="http://schemas.microsoft.com/office/2019/04/relationships/documenttask" Target="../documenttasks/documenttask17.xml"/><Relationship Id="rId4" Type="http://schemas.openxmlformats.org/officeDocument/2006/relationships/drawing" Target="../drawings/drawing23.xml"/><Relationship Id="rId5" Type="http://schemas.openxmlformats.org/officeDocument/2006/relationships/vmlDrawing" Target="../drawings/vmlDrawing17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microsoft.com/office/2017/10/relationships/threadedComment" Target="../threadedComments/threadedComment18.xml"/><Relationship Id="rId3" Type="http://schemas.microsoft.com/office/2019/04/relationships/documenttask" Target="../documenttasks/documenttask18.xml"/><Relationship Id="rId4" Type="http://schemas.openxmlformats.org/officeDocument/2006/relationships/drawing" Target="../drawings/drawing24.xml"/><Relationship Id="rId5" Type="http://schemas.openxmlformats.org/officeDocument/2006/relationships/vmlDrawing" Target="../drawings/vmlDrawing18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microsoft.com/office/2017/10/relationships/threadedComment" Target="../threadedComments/threadedComment19.xml"/><Relationship Id="rId3" Type="http://schemas.microsoft.com/office/2019/04/relationships/documenttask" Target="../documenttasks/documenttask19.xml"/><Relationship Id="rId4" Type="http://schemas.openxmlformats.org/officeDocument/2006/relationships/drawing" Target="../drawings/drawing25.xml"/><Relationship Id="rId5" Type="http://schemas.openxmlformats.org/officeDocument/2006/relationships/vmlDrawing" Target="../drawings/vmlDrawing19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2">
      <c r="A2" s="1" t="s">
        <v>0</v>
      </c>
      <c r="B2" s="1" t="s">
        <v>1</v>
      </c>
      <c r="C2" s="2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4" t="s">
        <v>8</v>
      </c>
      <c r="J2" s="4" t="s">
        <v>9</v>
      </c>
      <c r="K2" s="6" t="s">
        <v>10</v>
      </c>
      <c r="L2" s="7" t="s">
        <v>11</v>
      </c>
      <c r="M2" s="8" t="s">
        <v>12</v>
      </c>
      <c r="N2" s="9" t="s">
        <v>13</v>
      </c>
      <c r="O2" s="9" t="s">
        <v>14</v>
      </c>
      <c r="P2" s="8" t="s">
        <v>15</v>
      </c>
      <c r="R2" s="9" t="s">
        <v>16</v>
      </c>
      <c r="S2" s="10"/>
      <c r="T2" s="10"/>
      <c r="U2" s="10"/>
      <c r="V2" s="10"/>
      <c r="W2" s="10"/>
      <c r="X2" s="10"/>
      <c r="Y2" s="10"/>
      <c r="Z2" s="10"/>
      <c r="AA2" s="10"/>
    </row>
    <row r="3">
      <c r="A3" s="11"/>
      <c r="B3" s="11">
        <v>45992.0</v>
      </c>
      <c r="C3" s="12">
        <f>VLOOKUP(B:B,'Курс валют'!A:D,4,0)</f>
        <v>90.819</v>
      </c>
      <c r="D3" s="13" t="s">
        <v>17</v>
      </c>
      <c r="E3" s="14" t="s">
        <v>18</v>
      </c>
      <c r="F3" s="15">
        <v>4400.0</v>
      </c>
      <c r="G3" s="16">
        <v>4473.24</v>
      </c>
      <c r="H3" s="17">
        <v>78.84</v>
      </c>
      <c r="I3" s="16">
        <f t="shared" ref="I3:I11" si="1">G3-F3</f>
        <v>73.24</v>
      </c>
      <c r="J3" s="18">
        <f t="shared" ref="J3:J11" si="2">I3/F3*100</f>
        <v>1.664545455</v>
      </c>
      <c r="K3" s="17">
        <v>2.57</v>
      </c>
      <c r="L3" s="19">
        <f t="shared" ref="L3:L11" si="3">H3/F3*100</f>
        <v>1.791818182</v>
      </c>
      <c r="M3" s="20">
        <f t="shared" ref="M3:M11" si="4">P3/F3</f>
        <v>228.4578035</v>
      </c>
      <c r="N3" s="21">
        <f t="shared" ref="N3:N11" si="5">(F3*K3-H3*3.04)/F3</f>
        <v>2.515528727</v>
      </c>
      <c r="O3" s="21">
        <f t="shared" ref="O3:O11" si="6">N3*F3</f>
        <v>11068.3264</v>
      </c>
      <c r="P3" s="22">
        <f t="shared" ref="P3:P11" si="7">O3*C3</f>
        <v>1005214.335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45994.0</v>
      </c>
      <c r="C4" s="12">
        <f>VLOOKUP(B:B,'Курс валют'!A:D,4,0)</f>
        <v>89.8514</v>
      </c>
      <c r="D4" s="13" t="s">
        <v>19</v>
      </c>
      <c r="E4" s="26" t="s">
        <v>18</v>
      </c>
      <c r="F4" s="15">
        <v>11000.0</v>
      </c>
      <c r="G4" s="15">
        <v>11333.1</v>
      </c>
      <c r="H4" s="17">
        <v>197.1</v>
      </c>
      <c r="I4" s="15">
        <f t="shared" si="1"/>
        <v>333.1</v>
      </c>
      <c r="J4" s="18">
        <f t="shared" si="2"/>
        <v>3.028181818</v>
      </c>
      <c r="K4" s="17">
        <v>2.61</v>
      </c>
      <c r="L4" s="19">
        <f t="shared" si="3"/>
        <v>1.791818182</v>
      </c>
      <c r="M4" s="20">
        <f t="shared" si="4"/>
        <v>229.6178339</v>
      </c>
      <c r="N4" s="21">
        <f t="shared" si="5"/>
        <v>2.555528727</v>
      </c>
      <c r="O4" s="21">
        <f t="shared" si="6"/>
        <v>28110.816</v>
      </c>
      <c r="P4" s="22">
        <f t="shared" si="7"/>
        <v>2525796.173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45995.0</v>
      </c>
      <c r="C5" s="12">
        <f>VLOOKUP(B:B,'Курс валют'!A:D,4,0)</f>
        <v>90.5903</v>
      </c>
      <c r="D5" s="13" t="s">
        <v>20</v>
      </c>
      <c r="E5" s="26" t="s">
        <v>18</v>
      </c>
      <c r="F5" s="15">
        <v>9900.0</v>
      </c>
      <c r="G5" s="15">
        <v>9965.8</v>
      </c>
      <c r="H5" s="27">
        <v>177.39</v>
      </c>
      <c r="I5" s="15">
        <f t="shared" si="1"/>
        <v>65.8</v>
      </c>
      <c r="J5" s="18">
        <f t="shared" si="2"/>
        <v>0.6646464646</v>
      </c>
      <c r="K5" s="17">
        <v>2.57</v>
      </c>
      <c r="L5" s="19">
        <f t="shared" si="3"/>
        <v>1.791818182</v>
      </c>
      <c r="M5" s="20">
        <f t="shared" si="4"/>
        <v>227.8825021</v>
      </c>
      <c r="N5" s="21">
        <f t="shared" si="5"/>
        <v>2.515528727</v>
      </c>
      <c r="O5" s="21">
        <f t="shared" si="6"/>
        <v>24903.7344</v>
      </c>
      <c r="P5" s="22">
        <f t="shared" si="7"/>
        <v>2256036.77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45996.0</v>
      </c>
      <c r="C6" s="12">
        <f>VLOOKUP(B:B,'Курс валют'!A:D,4,0)</f>
        <v>89.9011</v>
      </c>
      <c r="D6" s="13" t="s">
        <v>21</v>
      </c>
      <c r="E6" s="28" t="s">
        <v>18</v>
      </c>
      <c r="F6" s="15">
        <v>11000.0</v>
      </c>
      <c r="G6" s="15">
        <v>11093.1</v>
      </c>
      <c r="H6" s="17">
        <v>4072.29</v>
      </c>
      <c r="I6" s="15">
        <f t="shared" si="1"/>
        <v>93.1</v>
      </c>
      <c r="J6" s="18">
        <f t="shared" si="2"/>
        <v>0.8463636364</v>
      </c>
      <c r="K6" s="17">
        <v>3.57</v>
      </c>
      <c r="L6" s="19">
        <f t="shared" si="3"/>
        <v>37.02081818</v>
      </c>
      <c r="M6" s="20">
        <f t="shared" si="4"/>
        <v>219.7692738</v>
      </c>
      <c r="N6" s="29">
        <f t="shared" si="5"/>
        <v>2.444567127</v>
      </c>
      <c r="O6" s="21">
        <f t="shared" si="6"/>
        <v>26890.2384</v>
      </c>
      <c r="P6" s="22">
        <f t="shared" si="7"/>
        <v>2417462.011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45997.0</v>
      </c>
      <c r="C7" s="12">
        <f>VLOOKUP(B:B,'Курс валют'!A:D,4,0)</f>
        <v>88.7028</v>
      </c>
      <c r="D7" s="13" t="s">
        <v>22</v>
      </c>
      <c r="E7" s="28" t="s">
        <v>18</v>
      </c>
      <c r="F7" s="15">
        <v>9900.0</v>
      </c>
      <c r="G7" s="15">
        <v>9983.8</v>
      </c>
      <c r="H7" s="17">
        <v>4532.49</v>
      </c>
      <c r="I7" s="15">
        <f t="shared" si="1"/>
        <v>83.8</v>
      </c>
      <c r="J7" s="18">
        <f t="shared" si="2"/>
        <v>0.8464646465</v>
      </c>
      <c r="K7" s="17">
        <v>3.84</v>
      </c>
      <c r="L7" s="19">
        <f t="shared" si="3"/>
        <v>45.78272727</v>
      </c>
      <c r="M7" s="20">
        <f t="shared" si="4"/>
        <v>217.1626465</v>
      </c>
      <c r="N7" s="29">
        <f t="shared" si="5"/>
        <v>2.448205091</v>
      </c>
      <c r="O7" s="21">
        <f t="shared" si="6"/>
        <v>24237.2304</v>
      </c>
      <c r="P7" s="22">
        <f t="shared" si="7"/>
        <v>2149910.201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45998.0</v>
      </c>
      <c r="C8" s="12">
        <f>VLOOKUP(B:B,'Курс валют'!A:D,4,0)</f>
        <v>88.7028</v>
      </c>
      <c r="D8" s="13" t="s">
        <v>23</v>
      </c>
      <c r="E8" s="28" t="s">
        <v>18</v>
      </c>
      <c r="F8" s="15">
        <v>11000.0</v>
      </c>
      <c r="G8" s="15">
        <v>11093.1</v>
      </c>
      <c r="H8" s="17">
        <v>5036.1</v>
      </c>
      <c r="I8" s="15">
        <f t="shared" si="1"/>
        <v>93.1</v>
      </c>
      <c r="J8" s="18">
        <f t="shared" si="2"/>
        <v>0.8463636364</v>
      </c>
      <c r="K8" s="17">
        <v>3.52</v>
      </c>
      <c r="L8" s="19">
        <f t="shared" si="3"/>
        <v>45.78272727</v>
      </c>
      <c r="M8" s="20">
        <f t="shared" si="4"/>
        <v>188.7777505</v>
      </c>
      <c r="N8" s="29">
        <f t="shared" si="5"/>
        <v>2.128205091</v>
      </c>
      <c r="O8" s="21">
        <f t="shared" si="6"/>
        <v>23410.256</v>
      </c>
      <c r="P8" s="22">
        <f t="shared" si="7"/>
        <v>2076555.256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30"/>
      <c r="B9" s="11">
        <v>45999.0</v>
      </c>
      <c r="C9" s="12">
        <f>VLOOKUP(B:B,'Курс валют'!A:D,4,0)</f>
        <v>88.7028</v>
      </c>
      <c r="D9" s="13" t="s">
        <v>24</v>
      </c>
      <c r="E9" s="28" t="s">
        <v>18</v>
      </c>
      <c r="F9" s="15">
        <v>11000.0</v>
      </c>
      <c r="G9" s="15">
        <v>11093.1</v>
      </c>
      <c r="H9" s="17">
        <f>5036.1-96.88</f>
        <v>4939.22</v>
      </c>
      <c r="I9" s="15">
        <f t="shared" si="1"/>
        <v>93.1</v>
      </c>
      <c r="J9" s="18">
        <f t="shared" si="2"/>
        <v>0.8463636364</v>
      </c>
      <c r="K9" s="17">
        <v>3.5</v>
      </c>
      <c r="L9" s="19">
        <f t="shared" si="3"/>
        <v>44.902</v>
      </c>
      <c r="M9" s="20">
        <f t="shared" si="4"/>
        <v>189.378633</v>
      </c>
      <c r="N9" s="21">
        <f t="shared" si="5"/>
        <v>2.1349792</v>
      </c>
      <c r="O9" s="21">
        <f t="shared" si="6"/>
        <v>23484.7712</v>
      </c>
      <c r="P9" s="22">
        <f t="shared" si="7"/>
        <v>2083164.963</v>
      </c>
      <c r="R9" s="31"/>
      <c r="S9" s="24"/>
      <c r="T9" s="32"/>
      <c r="U9" s="32"/>
      <c r="V9" s="32"/>
      <c r="W9" s="32"/>
      <c r="X9" s="32"/>
      <c r="Y9" s="32"/>
      <c r="Z9" s="32"/>
      <c r="AA9" s="32"/>
    </row>
    <row r="10">
      <c r="A10" s="30"/>
      <c r="B10" s="11">
        <v>46000.0</v>
      </c>
      <c r="C10" s="12">
        <f>VLOOKUP(B:B,'Курс валют'!A:D,4,0)</f>
        <v>89.7054</v>
      </c>
      <c r="D10" s="13" t="s">
        <v>25</v>
      </c>
      <c r="E10" s="33" t="s">
        <v>18</v>
      </c>
      <c r="F10" s="15">
        <v>9900.0</v>
      </c>
      <c r="G10" s="15">
        <v>9988.3</v>
      </c>
      <c r="H10" s="34">
        <v>1868.79</v>
      </c>
      <c r="I10" s="15">
        <f t="shared" si="1"/>
        <v>88.3</v>
      </c>
      <c r="J10" s="18">
        <f t="shared" si="2"/>
        <v>0.8919191919</v>
      </c>
      <c r="K10" s="17">
        <v>2.71</v>
      </c>
      <c r="L10" s="19">
        <f t="shared" si="3"/>
        <v>18.87666667</v>
      </c>
      <c r="M10" s="20">
        <f t="shared" si="4"/>
        <v>191.6241304</v>
      </c>
      <c r="N10" s="21">
        <f t="shared" si="5"/>
        <v>2.136149333</v>
      </c>
      <c r="O10" s="21">
        <f t="shared" si="6"/>
        <v>21147.8784</v>
      </c>
      <c r="P10" s="22">
        <f t="shared" si="7"/>
        <v>1897078.891</v>
      </c>
      <c r="R10" s="23"/>
      <c r="S10" s="24"/>
      <c r="T10" s="32"/>
      <c r="U10" s="32"/>
      <c r="V10" s="32"/>
      <c r="W10" s="32"/>
      <c r="X10" s="32"/>
      <c r="Y10" s="32"/>
      <c r="Z10" s="32"/>
      <c r="AA10" s="32"/>
    </row>
    <row r="11">
      <c r="A11" s="30"/>
      <c r="B11" s="11">
        <v>46001.0</v>
      </c>
      <c r="C11" s="12">
        <f>VLOOKUP(B:B,'Курс валют'!A:D,4,0)</f>
        <v>89.4267</v>
      </c>
      <c r="D11" s="13" t="s">
        <v>26</v>
      </c>
      <c r="E11" s="35" t="s">
        <v>18</v>
      </c>
      <c r="F11" s="15">
        <v>11000.0</v>
      </c>
      <c r="G11" s="15">
        <v>11118.1</v>
      </c>
      <c r="H11" s="17">
        <v>5031.1</v>
      </c>
      <c r="I11" s="15">
        <f t="shared" si="1"/>
        <v>118.1</v>
      </c>
      <c r="J11" s="18">
        <f t="shared" si="2"/>
        <v>1.073636364</v>
      </c>
      <c r="K11" s="17">
        <v>3.52</v>
      </c>
      <c r="L11" s="19">
        <f t="shared" si="3"/>
        <v>45.73727273</v>
      </c>
      <c r="M11" s="20">
        <f t="shared" si="4"/>
        <v>190.4419296</v>
      </c>
      <c r="N11" s="21">
        <f t="shared" si="5"/>
        <v>2.129586909</v>
      </c>
      <c r="O11" s="21">
        <f t="shared" si="6"/>
        <v>23425.456</v>
      </c>
      <c r="P11" s="22">
        <f t="shared" si="7"/>
        <v>2094861.226</v>
      </c>
      <c r="R11" s="31"/>
      <c r="S11" s="24"/>
      <c r="T11" s="32"/>
      <c r="U11" s="32"/>
      <c r="V11" s="32"/>
      <c r="W11" s="32"/>
      <c r="X11" s="32"/>
      <c r="Y11" s="32"/>
      <c r="Z11" s="32"/>
      <c r="AA11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36">
        <v>45536.0</v>
      </c>
      <c r="B1" s="37">
        <v>1.0</v>
      </c>
      <c r="C1" s="38" t="s">
        <v>27</v>
      </c>
      <c r="D1" s="37">
        <v>100.7622</v>
      </c>
      <c r="E1" s="38" t="s">
        <v>28</v>
      </c>
    </row>
    <row r="2" hidden="1">
      <c r="A2" s="36">
        <v>45537.0</v>
      </c>
      <c r="B2" s="37">
        <v>1.0</v>
      </c>
      <c r="C2" s="38" t="s">
        <v>27</v>
      </c>
      <c r="D2" s="37">
        <v>100.7622</v>
      </c>
      <c r="E2" s="38" t="s">
        <v>28</v>
      </c>
    </row>
    <row r="3" hidden="1">
      <c r="A3" s="36">
        <v>45538.0</v>
      </c>
      <c r="B3" s="37">
        <v>1.0</v>
      </c>
      <c r="C3" s="38" t="s">
        <v>27</v>
      </c>
      <c r="D3" s="37">
        <v>99.2613</v>
      </c>
      <c r="E3" s="38" t="s">
        <v>28</v>
      </c>
    </row>
    <row r="4" hidden="1">
      <c r="A4" s="36">
        <v>45539.0</v>
      </c>
      <c r="B4" s="37">
        <v>1.0</v>
      </c>
      <c r="C4" s="38" t="s">
        <v>27</v>
      </c>
      <c r="D4" s="37">
        <v>97.8121</v>
      </c>
      <c r="E4" s="38" t="s">
        <v>28</v>
      </c>
    </row>
    <row r="5" hidden="1">
      <c r="A5" s="36">
        <v>45540.0</v>
      </c>
      <c r="B5" s="37">
        <v>1.0</v>
      </c>
      <c r="C5" s="38" t="s">
        <v>27</v>
      </c>
      <c r="D5" s="37">
        <v>98.0725</v>
      </c>
      <c r="E5" s="38" t="s">
        <v>28</v>
      </c>
    </row>
    <row r="6" hidden="1">
      <c r="A6" s="36">
        <v>45541.0</v>
      </c>
      <c r="B6" s="37">
        <v>1.0</v>
      </c>
      <c r="C6" s="38" t="s">
        <v>27</v>
      </c>
      <c r="D6" s="37">
        <v>99.1927</v>
      </c>
      <c r="E6" s="38" t="s">
        <v>28</v>
      </c>
    </row>
    <row r="7" hidden="1">
      <c r="A7" s="36">
        <v>45542.0</v>
      </c>
      <c r="B7" s="37">
        <v>1.0</v>
      </c>
      <c r="C7" s="38" t="s">
        <v>27</v>
      </c>
      <c r="D7" s="37">
        <v>99.7156</v>
      </c>
      <c r="E7" s="38" t="s">
        <v>28</v>
      </c>
    </row>
    <row r="8" hidden="1">
      <c r="A8" s="36">
        <v>45543.0</v>
      </c>
      <c r="B8" s="37">
        <v>1.0</v>
      </c>
      <c r="C8" s="38" t="s">
        <v>27</v>
      </c>
      <c r="D8" s="37">
        <v>99.7156</v>
      </c>
      <c r="E8" s="38" t="s">
        <v>28</v>
      </c>
    </row>
    <row r="9" hidden="1">
      <c r="A9" s="36">
        <v>45544.0</v>
      </c>
      <c r="B9" s="37">
        <v>1.0</v>
      </c>
      <c r="C9" s="38" t="s">
        <v>27</v>
      </c>
      <c r="D9" s="37">
        <v>99.7156</v>
      </c>
      <c r="E9" s="38" t="s">
        <v>28</v>
      </c>
    </row>
    <row r="10" hidden="1">
      <c r="A10" s="36">
        <v>45545.0</v>
      </c>
      <c r="B10" s="37">
        <v>1.0</v>
      </c>
      <c r="C10" s="38" t="s">
        <v>27</v>
      </c>
      <c r="D10" s="37">
        <v>99.9067</v>
      </c>
      <c r="E10" s="38" t="s">
        <v>28</v>
      </c>
    </row>
    <row r="11" hidden="1">
      <c r="A11" s="36">
        <v>45546.0</v>
      </c>
      <c r="B11" s="37">
        <v>1.0</v>
      </c>
      <c r="C11" s="38" t="s">
        <v>27</v>
      </c>
      <c r="D11" s="37">
        <v>100.4995</v>
      </c>
      <c r="E11" s="38" t="s">
        <v>28</v>
      </c>
    </row>
    <row r="12" hidden="1">
      <c r="A12" s="36">
        <v>45547.0</v>
      </c>
      <c r="B12" s="37">
        <v>1.0</v>
      </c>
      <c r="C12" s="38" t="s">
        <v>27</v>
      </c>
      <c r="D12" s="37">
        <v>100.7421</v>
      </c>
      <c r="E12" s="38" t="s">
        <v>28</v>
      </c>
    </row>
    <row r="13" hidden="1">
      <c r="A13" s="36">
        <v>45548.0</v>
      </c>
      <c r="B13" s="37">
        <v>1.0</v>
      </c>
      <c r="C13" s="38" t="s">
        <v>27</v>
      </c>
      <c r="D13" s="37">
        <v>100.3907</v>
      </c>
      <c r="E13" s="38" t="s">
        <v>28</v>
      </c>
    </row>
    <row r="14" hidden="1">
      <c r="A14" s="36">
        <v>45549.0</v>
      </c>
      <c r="B14" s="37">
        <v>1.0</v>
      </c>
      <c r="C14" s="38" t="s">
        <v>27</v>
      </c>
      <c r="D14" s="37">
        <v>100.7958</v>
      </c>
      <c r="E14" s="38" t="s">
        <v>28</v>
      </c>
    </row>
    <row r="15" hidden="1">
      <c r="A15" s="36">
        <v>45550.0</v>
      </c>
      <c r="B15" s="37">
        <v>1.0</v>
      </c>
      <c r="C15" s="38" t="s">
        <v>27</v>
      </c>
      <c r="D15" s="37">
        <v>100.7958</v>
      </c>
      <c r="E15" s="38" t="s">
        <v>28</v>
      </c>
    </row>
    <row r="16" hidden="1">
      <c r="A16" s="36">
        <v>45551.0</v>
      </c>
      <c r="B16" s="37">
        <v>1.0</v>
      </c>
      <c r="C16" s="38" t="s">
        <v>27</v>
      </c>
      <c r="D16" s="37">
        <v>100.7958</v>
      </c>
      <c r="E16" s="38" t="s">
        <v>28</v>
      </c>
    </row>
    <row r="17" hidden="1">
      <c r="A17" s="36">
        <v>45552.0</v>
      </c>
      <c r="B17" s="37">
        <v>1.0</v>
      </c>
      <c r="C17" s="38" t="s">
        <v>27</v>
      </c>
      <c r="D17" s="37">
        <v>101.2789</v>
      </c>
      <c r="E17" s="38" t="s">
        <v>28</v>
      </c>
    </row>
    <row r="18" hidden="1">
      <c r="A18" s="36">
        <v>45553.0</v>
      </c>
      <c r="B18" s="37">
        <v>1.0</v>
      </c>
      <c r="C18" s="38" t="s">
        <v>27</v>
      </c>
      <c r="D18" s="37">
        <v>101.5057</v>
      </c>
      <c r="E18" s="38" t="s">
        <v>28</v>
      </c>
    </row>
    <row r="19" hidden="1">
      <c r="A19" s="36">
        <v>45554.0</v>
      </c>
      <c r="B19" s="37">
        <v>1.0</v>
      </c>
      <c r="C19" s="38" t="s">
        <v>27</v>
      </c>
      <c r="D19" s="37">
        <v>102.039</v>
      </c>
      <c r="E19" s="38" t="s">
        <v>28</v>
      </c>
    </row>
    <row r="20" hidden="1">
      <c r="A20" s="36">
        <v>45555.0</v>
      </c>
      <c r="B20" s="37">
        <v>1.0</v>
      </c>
      <c r="C20" s="38" t="s">
        <v>27</v>
      </c>
      <c r="D20" s="37">
        <v>103.249</v>
      </c>
      <c r="E20" s="38" t="s">
        <v>28</v>
      </c>
    </row>
    <row r="21" hidden="1">
      <c r="A21" s="36">
        <v>45556.0</v>
      </c>
      <c r="B21" s="37">
        <v>1.0</v>
      </c>
      <c r="C21" s="38" t="s">
        <v>27</v>
      </c>
      <c r="D21" s="37">
        <v>103.3773</v>
      </c>
      <c r="E21" s="38" t="s">
        <v>28</v>
      </c>
    </row>
    <row r="22" hidden="1">
      <c r="A22" s="36">
        <v>45557.0</v>
      </c>
      <c r="B22" s="37">
        <v>1.0</v>
      </c>
      <c r="C22" s="38" t="s">
        <v>27</v>
      </c>
      <c r="D22" s="37">
        <v>103.3773</v>
      </c>
      <c r="E22" s="38" t="s">
        <v>28</v>
      </c>
    </row>
    <row r="23" hidden="1">
      <c r="A23" s="36">
        <v>45558.0</v>
      </c>
      <c r="B23" s="37">
        <v>1.0</v>
      </c>
      <c r="C23" s="38" t="s">
        <v>27</v>
      </c>
      <c r="D23" s="37">
        <v>103.3773</v>
      </c>
      <c r="E23" s="38" t="s">
        <v>28</v>
      </c>
    </row>
    <row r="24" hidden="1">
      <c r="A24" s="36">
        <v>45559.0</v>
      </c>
      <c r="B24" s="37">
        <v>1.0</v>
      </c>
      <c r="C24" s="38" t="s">
        <v>27</v>
      </c>
      <c r="D24" s="37">
        <v>103.2191</v>
      </c>
      <c r="E24" s="38" t="s">
        <v>28</v>
      </c>
    </row>
    <row r="25" hidden="1">
      <c r="A25" s="36">
        <v>45560.0</v>
      </c>
      <c r="B25" s="37">
        <v>1.0</v>
      </c>
      <c r="C25" s="38" t="s">
        <v>27</v>
      </c>
      <c r="D25" s="37">
        <v>103.41</v>
      </c>
      <c r="E25" s="38" t="s">
        <v>28</v>
      </c>
    </row>
    <row r="26" hidden="1">
      <c r="A26" s="36">
        <v>45561.0</v>
      </c>
      <c r="B26" s="37">
        <v>1.0</v>
      </c>
      <c r="C26" s="38" t="s">
        <v>27</v>
      </c>
      <c r="D26" s="37">
        <v>103.4758</v>
      </c>
      <c r="E26" s="38" t="s">
        <v>28</v>
      </c>
    </row>
    <row r="27" hidden="1">
      <c r="A27" s="36">
        <v>45562.0</v>
      </c>
      <c r="B27" s="37">
        <v>1.0</v>
      </c>
      <c r="C27" s="38" t="s">
        <v>27</v>
      </c>
      <c r="D27" s="37">
        <v>103.1931</v>
      </c>
      <c r="E27" s="38" t="s">
        <v>28</v>
      </c>
    </row>
    <row r="28" hidden="1">
      <c r="A28" s="36">
        <v>45565.0</v>
      </c>
      <c r="B28" s="37">
        <v>1.0</v>
      </c>
      <c r="C28" s="38" t="s">
        <v>27</v>
      </c>
      <c r="D28" s="37">
        <v>103.4694</v>
      </c>
      <c r="E28" s="38" t="s">
        <v>28</v>
      </c>
    </row>
    <row r="29" hidden="1">
      <c r="A29" s="36">
        <v>45566.0</v>
      </c>
      <c r="B29" s="37">
        <v>1.0</v>
      </c>
      <c r="C29" s="38" t="s">
        <v>27</v>
      </c>
      <c r="D29" s="37">
        <v>104.1735</v>
      </c>
      <c r="E29" s="38" t="s">
        <v>28</v>
      </c>
    </row>
    <row r="30" hidden="1">
      <c r="A30" s="36">
        <v>45567.0</v>
      </c>
      <c r="B30" s="37">
        <v>1.0</v>
      </c>
      <c r="C30" s="38" t="s">
        <v>27</v>
      </c>
      <c r="D30" s="37">
        <v>103.6502</v>
      </c>
      <c r="E30" s="38" t="s">
        <v>28</v>
      </c>
    </row>
    <row r="31" hidden="1">
      <c r="A31" s="36">
        <v>45568.0</v>
      </c>
      <c r="B31" s="37">
        <v>1.0</v>
      </c>
      <c r="C31" s="38" t="s">
        <v>27</v>
      </c>
      <c r="D31" s="37">
        <v>104.4481</v>
      </c>
      <c r="E31" s="38" t="s">
        <v>28</v>
      </c>
    </row>
    <row r="32" hidden="1">
      <c r="A32" s="36">
        <v>45569.0</v>
      </c>
      <c r="B32" s="37">
        <v>1.0</v>
      </c>
      <c r="C32" s="38" t="s">
        <v>27</v>
      </c>
      <c r="D32" s="37">
        <v>104.8664</v>
      </c>
      <c r="E32" s="38" t="s">
        <v>28</v>
      </c>
    </row>
    <row r="33" hidden="1">
      <c r="A33" s="36">
        <v>45570.0</v>
      </c>
      <c r="B33" s="37">
        <v>1.0</v>
      </c>
      <c r="C33" s="38" t="s">
        <v>27</v>
      </c>
      <c r="D33" s="37">
        <v>104.7424</v>
      </c>
      <c r="E33" s="38" t="s">
        <v>28</v>
      </c>
    </row>
    <row r="34" hidden="1">
      <c r="A34" s="36">
        <v>45571.0</v>
      </c>
      <c r="B34" s="37">
        <v>1.0</v>
      </c>
      <c r="C34" s="38" t="s">
        <v>27</v>
      </c>
      <c r="D34" s="37">
        <v>104.7424</v>
      </c>
      <c r="E34" s="38" t="s">
        <v>28</v>
      </c>
    </row>
    <row r="35" hidden="1">
      <c r="A35" s="36">
        <v>45572.0</v>
      </c>
      <c r="B35" s="37">
        <v>1.0</v>
      </c>
      <c r="C35" s="38" t="s">
        <v>27</v>
      </c>
      <c r="D35" s="37">
        <v>104.7424</v>
      </c>
      <c r="E35" s="38" t="s">
        <v>28</v>
      </c>
    </row>
    <row r="36" hidden="1">
      <c r="A36" s="36">
        <v>45573.0</v>
      </c>
      <c r="B36" s="37">
        <v>1.0</v>
      </c>
      <c r="C36" s="38" t="s">
        <v>27</v>
      </c>
      <c r="D36" s="37">
        <v>105.3069</v>
      </c>
      <c r="E36" s="38" t="s">
        <v>28</v>
      </c>
    </row>
    <row r="37" hidden="1">
      <c r="A37" s="36">
        <v>45574.0</v>
      </c>
      <c r="B37" s="37">
        <v>1.0</v>
      </c>
      <c r="C37" s="38" t="s">
        <v>27</v>
      </c>
      <c r="D37" s="37">
        <v>105.6891</v>
      </c>
      <c r="E37" s="38" t="s">
        <v>28</v>
      </c>
    </row>
    <row r="38" hidden="1">
      <c r="A38" s="36">
        <v>45575.0</v>
      </c>
      <c r="B38" s="37">
        <v>1.0</v>
      </c>
      <c r="C38" s="38" t="s">
        <v>27</v>
      </c>
      <c r="D38" s="37">
        <v>106.4175</v>
      </c>
      <c r="E38" s="38" t="s">
        <v>28</v>
      </c>
    </row>
    <row r="39" hidden="1">
      <c r="A39" s="36">
        <v>45576.0</v>
      </c>
      <c r="B39" s="37">
        <v>1.0</v>
      </c>
      <c r="C39" s="38" t="s">
        <v>27</v>
      </c>
      <c r="D39" s="37">
        <v>106.5074</v>
      </c>
      <c r="E39" s="38" t="s">
        <v>28</v>
      </c>
    </row>
    <row r="40" hidden="1">
      <c r="A40" s="36">
        <v>45577.0</v>
      </c>
      <c r="B40" s="37">
        <v>1.0</v>
      </c>
      <c r="C40" s="38" t="s">
        <v>27</v>
      </c>
      <c r="D40" s="37">
        <v>105.1095</v>
      </c>
      <c r="E40" s="38" t="s">
        <v>28</v>
      </c>
    </row>
    <row r="41" hidden="1">
      <c r="A41" s="36">
        <v>45578.0</v>
      </c>
      <c r="B41" s="37">
        <v>1.0</v>
      </c>
      <c r="C41" s="38" t="s">
        <v>27</v>
      </c>
      <c r="D41" s="37">
        <v>105.1095</v>
      </c>
      <c r="E41" s="38" t="s">
        <v>28</v>
      </c>
    </row>
    <row r="42" hidden="1">
      <c r="A42" s="36">
        <v>45579.0</v>
      </c>
      <c r="B42" s="37">
        <v>1.0</v>
      </c>
      <c r="C42" s="38" t="s">
        <v>27</v>
      </c>
      <c r="D42" s="37">
        <v>105.1095</v>
      </c>
      <c r="E42" s="38" t="s">
        <v>28</v>
      </c>
    </row>
    <row r="43" hidden="1">
      <c r="A43" s="36">
        <v>45580.0</v>
      </c>
      <c r="B43" s="37">
        <v>1.0</v>
      </c>
      <c r="C43" s="38" t="s">
        <v>27</v>
      </c>
      <c r="D43" s="37">
        <v>105.4854</v>
      </c>
      <c r="E43" s="38" t="s">
        <v>28</v>
      </c>
    </row>
    <row r="44" hidden="1">
      <c r="A44" s="36">
        <v>45581.0</v>
      </c>
      <c r="B44" s="37">
        <v>1.0</v>
      </c>
      <c r="C44" s="38" t="s">
        <v>27</v>
      </c>
      <c r="D44" s="37">
        <v>105.6757</v>
      </c>
      <c r="E44" s="38" t="s">
        <v>28</v>
      </c>
    </row>
    <row r="45" hidden="1">
      <c r="A45" s="36">
        <v>45582.0</v>
      </c>
      <c r="B45" s="37">
        <v>1.0</v>
      </c>
      <c r="C45" s="38" t="s">
        <v>27</v>
      </c>
      <c r="D45" s="37">
        <v>106.0844</v>
      </c>
      <c r="E45" s="38" t="s">
        <v>28</v>
      </c>
    </row>
    <row r="46" hidden="1">
      <c r="A46" s="36">
        <v>45583.0</v>
      </c>
      <c r="B46" s="37">
        <v>1.0</v>
      </c>
      <c r="C46" s="38" t="s">
        <v>27</v>
      </c>
      <c r="D46" s="37">
        <v>105.756</v>
      </c>
      <c r="E46" s="38" t="s">
        <v>28</v>
      </c>
    </row>
    <row r="47" hidden="1">
      <c r="A47" s="36">
        <v>45584.0</v>
      </c>
      <c r="B47" s="37">
        <v>1.0</v>
      </c>
      <c r="C47" s="38" t="s">
        <v>27</v>
      </c>
      <c r="D47" s="37">
        <v>104.8565</v>
      </c>
      <c r="E47" s="38" t="s">
        <v>28</v>
      </c>
    </row>
    <row r="48" hidden="1">
      <c r="A48" s="36">
        <v>45585.0</v>
      </c>
      <c r="B48" s="37">
        <v>1.0</v>
      </c>
      <c r="C48" s="38" t="s">
        <v>27</v>
      </c>
      <c r="D48" s="37">
        <v>104.8565</v>
      </c>
      <c r="E48" s="38" t="s">
        <v>28</v>
      </c>
    </row>
    <row r="49" hidden="1">
      <c r="A49" s="36">
        <v>45586.0</v>
      </c>
      <c r="B49" s="39">
        <v>1.0</v>
      </c>
      <c r="C49" s="40" t="s">
        <v>27</v>
      </c>
      <c r="D49" s="37">
        <v>104.8565</v>
      </c>
      <c r="E49" s="40" t="s">
        <v>28</v>
      </c>
    </row>
    <row r="50" hidden="1">
      <c r="A50" s="36">
        <v>45587.0</v>
      </c>
      <c r="B50" s="39">
        <v>1.0</v>
      </c>
      <c r="C50" s="40" t="s">
        <v>27</v>
      </c>
      <c r="D50" s="37">
        <v>104.4016</v>
      </c>
      <c r="E50" s="40" t="s">
        <v>28</v>
      </c>
    </row>
    <row r="51" hidden="1">
      <c r="A51" s="36">
        <v>45588.0</v>
      </c>
      <c r="B51" s="39">
        <v>1.0</v>
      </c>
      <c r="C51" s="40" t="s">
        <v>27</v>
      </c>
      <c r="D51" s="37">
        <v>104.866</v>
      </c>
      <c r="E51" s="40" t="s">
        <v>28</v>
      </c>
    </row>
    <row r="52" hidden="1">
      <c r="A52" s="41">
        <v>45589.0</v>
      </c>
      <c r="B52" s="37">
        <v>1.0</v>
      </c>
      <c r="C52" s="38" t="s">
        <v>27</v>
      </c>
      <c r="D52" s="37">
        <v>104.3815</v>
      </c>
      <c r="E52" s="38" t="s">
        <v>28</v>
      </c>
    </row>
    <row r="53" hidden="1">
      <c r="A53" s="41">
        <v>45590.0</v>
      </c>
      <c r="B53" s="37">
        <v>1.0</v>
      </c>
      <c r="C53" s="38" t="s">
        <v>27</v>
      </c>
      <c r="D53" s="37">
        <v>104.5139</v>
      </c>
      <c r="E53" s="38" t="s">
        <v>28</v>
      </c>
    </row>
    <row r="54" hidden="1">
      <c r="A54" s="41">
        <v>45591.0</v>
      </c>
      <c r="B54" s="37">
        <v>1.0</v>
      </c>
      <c r="C54" s="38" t="s">
        <v>27</v>
      </c>
      <c r="D54" s="37">
        <v>104.8094</v>
      </c>
      <c r="E54" s="38" t="s">
        <v>28</v>
      </c>
    </row>
    <row r="55" hidden="1">
      <c r="A55" s="41">
        <v>45592.0</v>
      </c>
      <c r="B55" s="37">
        <v>1.0</v>
      </c>
      <c r="C55" s="38" t="s">
        <v>27</v>
      </c>
      <c r="D55" s="37">
        <v>104.8094</v>
      </c>
      <c r="E55" s="38" t="s">
        <v>28</v>
      </c>
    </row>
    <row r="56" hidden="1">
      <c r="A56" s="41">
        <v>45593.0</v>
      </c>
      <c r="B56" s="37">
        <v>1.0</v>
      </c>
      <c r="C56" s="38" t="s">
        <v>27</v>
      </c>
      <c r="D56" s="37">
        <v>104.8094</v>
      </c>
      <c r="E56" s="38" t="s">
        <v>28</v>
      </c>
    </row>
    <row r="57" hidden="1">
      <c r="A57" s="41">
        <v>45594.0</v>
      </c>
      <c r="B57" s="37">
        <v>1.0</v>
      </c>
      <c r="C57" s="38" t="s">
        <v>27</v>
      </c>
      <c r="D57" s="37">
        <v>105.2229</v>
      </c>
      <c r="E57" s="38" t="s">
        <v>28</v>
      </c>
    </row>
    <row r="58" hidden="1">
      <c r="A58" s="41">
        <v>45595.0</v>
      </c>
      <c r="B58" s="37">
        <v>1.0</v>
      </c>
      <c r="C58" s="38" t="s">
        <v>27</v>
      </c>
      <c r="D58" s="37">
        <v>105.4375</v>
      </c>
      <c r="E58" s="38" t="s">
        <v>28</v>
      </c>
    </row>
    <row r="59" hidden="1">
      <c r="A59" s="41">
        <v>45596.0</v>
      </c>
      <c r="B59" s="37">
        <v>1.0</v>
      </c>
      <c r="C59" s="38" t="s">
        <v>27</v>
      </c>
      <c r="D59" s="37">
        <v>105.2211</v>
      </c>
      <c r="E59" s="38" t="s">
        <v>28</v>
      </c>
    </row>
    <row r="60" hidden="1">
      <c r="A60" s="36">
        <v>45597.0</v>
      </c>
      <c r="B60" s="37">
        <v>1.0</v>
      </c>
      <c r="C60" s="38" t="s">
        <v>27</v>
      </c>
      <c r="D60" s="37">
        <v>105.5231</v>
      </c>
      <c r="E60" s="38" t="s">
        <v>28</v>
      </c>
    </row>
    <row r="61" hidden="1">
      <c r="A61" s="36">
        <v>45598.0</v>
      </c>
      <c r="B61" s="37">
        <v>1.0</v>
      </c>
      <c r="C61" s="38" t="s">
        <v>27</v>
      </c>
      <c r="D61" s="37">
        <v>105.8415</v>
      </c>
      <c r="E61" s="38" t="s">
        <v>28</v>
      </c>
    </row>
    <row r="62" hidden="1">
      <c r="A62" s="36">
        <v>45599.0</v>
      </c>
      <c r="B62" s="37">
        <v>1.0</v>
      </c>
      <c r="C62" s="38" t="s">
        <v>27</v>
      </c>
      <c r="D62" s="37">
        <v>106.1426</v>
      </c>
      <c r="E62" s="38" t="s">
        <v>28</v>
      </c>
    </row>
    <row r="63" hidden="1">
      <c r="A63" s="36">
        <v>45600.0</v>
      </c>
      <c r="B63" s="37">
        <v>1.0</v>
      </c>
      <c r="C63" s="38" t="s">
        <v>27</v>
      </c>
      <c r="D63" s="37">
        <v>106.1426</v>
      </c>
      <c r="E63" s="38" t="s">
        <v>28</v>
      </c>
    </row>
    <row r="64" hidden="1">
      <c r="A64" s="36">
        <v>45601.0</v>
      </c>
      <c r="B64" s="37">
        <v>1.0</v>
      </c>
      <c r="C64" s="38" t="s">
        <v>27</v>
      </c>
      <c r="D64" s="37">
        <v>106.1426</v>
      </c>
      <c r="E64" s="38" t="s">
        <v>28</v>
      </c>
    </row>
    <row r="65" hidden="1">
      <c r="A65" s="36">
        <v>45602.0</v>
      </c>
      <c r="B65" s="37">
        <v>1.0</v>
      </c>
      <c r="C65" s="38" t="s">
        <v>27</v>
      </c>
      <c r="D65" s="37">
        <v>106.8883</v>
      </c>
      <c r="E65" s="38" t="s">
        <v>28</v>
      </c>
    </row>
    <row r="66" hidden="1">
      <c r="A66" s="36">
        <v>45603.0</v>
      </c>
      <c r="B66" s="37">
        <v>1.0</v>
      </c>
      <c r="C66" s="38" t="s">
        <v>27</v>
      </c>
      <c r="D66" s="37">
        <v>105.7086</v>
      </c>
      <c r="E66" s="38" t="s">
        <v>28</v>
      </c>
    </row>
    <row r="67" hidden="1">
      <c r="A67" s="36">
        <v>45604.0</v>
      </c>
      <c r="B67" s="37">
        <v>1.0</v>
      </c>
      <c r="C67" s="38" t="s">
        <v>27</v>
      </c>
      <c r="D67" s="37">
        <v>105.5679</v>
      </c>
      <c r="E67" s="38" t="s">
        <v>28</v>
      </c>
    </row>
    <row r="68" hidden="1">
      <c r="A68" s="36">
        <v>45605.0</v>
      </c>
      <c r="B68" s="37">
        <v>1.0</v>
      </c>
      <c r="C68" s="38" t="s">
        <v>27</v>
      </c>
      <c r="D68" s="37">
        <v>105.451</v>
      </c>
      <c r="E68" s="38" t="s">
        <v>28</v>
      </c>
    </row>
    <row r="69" hidden="1">
      <c r="A69" s="36">
        <v>45606.0</v>
      </c>
      <c r="B69" s="37">
        <v>1.0</v>
      </c>
      <c r="C69" s="38" t="s">
        <v>27</v>
      </c>
      <c r="D69" s="37">
        <v>105.451</v>
      </c>
      <c r="E69" s="38" t="s">
        <v>28</v>
      </c>
    </row>
    <row r="70" hidden="1">
      <c r="A70" s="36">
        <v>45607.0</v>
      </c>
      <c r="B70" s="37">
        <v>1.0</v>
      </c>
      <c r="C70" s="38" t="s">
        <v>27</v>
      </c>
      <c r="D70" s="37">
        <v>105.451</v>
      </c>
      <c r="E70" s="38" t="s">
        <v>28</v>
      </c>
    </row>
    <row r="71" hidden="1">
      <c r="A71" s="36">
        <v>45608.0</v>
      </c>
      <c r="B71" s="37">
        <v>1.0</v>
      </c>
      <c r="C71" s="38" t="s">
        <v>27</v>
      </c>
      <c r="D71" s="37">
        <v>104.8522</v>
      </c>
      <c r="E71" s="38" t="s">
        <v>28</v>
      </c>
    </row>
    <row r="72" hidden="1">
      <c r="A72" s="36">
        <v>45609.0</v>
      </c>
      <c r="B72" s="37">
        <v>1.0</v>
      </c>
      <c r="C72" s="38" t="s">
        <v>27</v>
      </c>
      <c r="D72" s="37">
        <v>104.2533</v>
      </c>
      <c r="E72" s="38" t="s">
        <v>28</v>
      </c>
    </row>
    <row r="73" hidden="1">
      <c r="A73" s="36">
        <v>45610.0</v>
      </c>
      <c r="B73" s="37">
        <v>1.0</v>
      </c>
      <c r="C73" s="38" t="s">
        <v>27</v>
      </c>
      <c r="D73" s="37">
        <v>104.2901</v>
      </c>
      <c r="E73" s="38" t="s">
        <v>28</v>
      </c>
    </row>
    <row r="74" hidden="1">
      <c r="A74" s="36">
        <v>45611.0</v>
      </c>
      <c r="B74" s="37">
        <v>1.0</v>
      </c>
      <c r="C74" s="38" t="s">
        <v>27</v>
      </c>
      <c r="D74" s="37">
        <v>104.5016</v>
      </c>
      <c r="E74" s="38" t="s">
        <v>28</v>
      </c>
    </row>
    <row r="75" hidden="1">
      <c r="A75" s="36">
        <v>45612.0</v>
      </c>
      <c r="B75" s="37">
        <v>1.0</v>
      </c>
      <c r="C75" s="38" t="s">
        <v>27</v>
      </c>
      <c r="D75" s="37">
        <v>105.7072</v>
      </c>
      <c r="E75" s="38" t="s">
        <v>28</v>
      </c>
    </row>
    <row r="76" hidden="1">
      <c r="A76" s="36">
        <v>45613.0</v>
      </c>
      <c r="B76" s="37">
        <v>1.0</v>
      </c>
      <c r="C76" s="38" t="s">
        <v>27</v>
      </c>
      <c r="D76" s="37">
        <v>105.7072</v>
      </c>
      <c r="E76" s="38" t="s">
        <v>28</v>
      </c>
    </row>
    <row r="77" hidden="1">
      <c r="A77" s="36">
        <v>45614.0</v>
      </c>
      <c r="B77" s="37">
        <v>1.0</v>
      </c>
      <c r="C77" s="38" t="s">
        <v>27</v>
      </c>
      <c r="D77" s="37">
        <v>105.7072</v>
      </c>
      <c r="E77" s="38" t="s">
        <v>28</v>
      </c>
    </row>
    <row r="78" hidden="1">
      <c r="A78" s="36">
        <v>45615.0</v>
      </c>
      <c r="B78" s="37">
        <v>1.0</v>
      </c>
      <c r="C78" s="38" t="s">
        <v>27</v>
      </c>
      <c r="D78" s="37">
        <v>105.4606</v>
      </c>
      <c r="E78" s="38" t="s">
        <v>28</v>
      </c>
    </row>
    <row r="79" hidden="1">
      <c r="A79" s="36">
        <v>45616.0</v>
      </c>
      <c r="B79" s="37">
        <v>1.0</v>
      </c>
      <c r="C79" s="38" t="s">
        <v>27</v>
      </c>
      <c r="D79" s="37">
        <v>105.7338</v>
      </c>
      <c r="E79" s="38" t="s">
        <v>28</v>
      </c>
    </row>
    <row r="80" hidden="1">
      <c r="A80" s="36">
        <v>45617.0</v>
      </c>
      <c r="B80" s="37">
        <v>1.0</v>
      </c>
      <c r="C80" s="38" t="s">
        <v>27</v>
      </c>
      <c r="D80" s="37">
        <v>105.809</v>
      </c>
      <c r="E80" s="38" t="s">
        <v>28</v>
      </c>
    </row>
    <row r="81" hidden="1">
      <c r="A81" s="36">
        <v>45618.0</v>
      </c>
      <c r="B81" s="37">
        <v>1.0</v>
      </c>
      <c r="C81" s="38" t="s">
        <v>27</v>
      </c>
      <c r="D81" s="37">
        <v>106.0762</v>
      </c>
      <c r="E81" s="38" t="s">
        <v>28</v>
      </c>
    </row>
    <row r="82" hidden="1">
      <c r="A82" s="36">
        <v>45619.0</v>
      </c>
      <c r="B82" s="37">
        <v>1.0</v>
      </c>
      <c r="C82" s="38" t="s">
        <v>27</v>
      </c>
      <c r="D82" s="37">
        <v>107.4252</v>
      </c>
      <c r="E82" s="38" t="s">
        <v>28</v>
      </c>
    </row>
    <row r="83" hidden="1">
      <c r="A83" s="36">
        <v>45620.0</v>
      </c>
      <c r="B83" s="37">
        <v>1.0</v>
      </c>
      <c r="C83" s="38" t="s">
        <v>27</v>
      </c>
      <c r="D83" s="37">
        <v>107.4252</v>
      </c>
      <c r="E83" s="38" t="s">
        <v>28</v>
      </c>
    </row>
    <row r="84" hidden="1">
      <c r="A84" s="36">
        <v>45621.0</v>
      </c>
      <c r="B84" s="37">
        <v>1.0</v>
      </c>
      <c r="C84" s="38" t="s">
        <v>27</v>
      </c>
      <c r="D84" s="37">
        <v>107.4252</v>
      </c>
      <c r="E84" s="38" t="s">
        <v>28</v>
      </c>
    </row>
    <row r="85" hidden="1">
      <c r="A85" s="36">
        <v>45622.0</v>
      </c>
      <c r="B85" s="37">
        <v>1.0</v>
      </c>
      <c r="C85" s="38" t="s">
        <v>27</v>
      </c>
      <c r="D85" s="37">
        <v>108.8705</v>
      </c>
      <c r="E85" s="38" t="s">
        <v>28</v>
      </c>
    </row>
    <row r="86" hidden="1">
      <c r="A86" s="36">
        <v>45623.0</v>
      </c>
      <c r="B86" s="37">
        <v>1.0</v>
      </c>
      <c r="C86" s="38" t="s">
        <v>27</v>
      </c>
      <c r="D86" s="37">
        <v>110.4943</v>
      </c>
      <c r="E86" s="38" t="s">
        <v>28</v>
      </c>
    </row>
    <row r="87" hidden="1">
      <c r="A87" s="36">
        <v>45624.0</v>
      </c>
      <c r="B87" s="37">
        <v>1.0</v>
      </c>
      <c r="C87" s="38" t="s">
        <v>27</v>
      </c>
      <c r="D87" s="37">
        <v>113.0947</v>
      </c>
      <c r="E87" s="38" t="s">
        <v>28</v>
      </c>
    </row>
    <row r="88" hidden="1">
      <c r="A88" s="36">
        <v>45625.0</v>
      </c>
      <c r="B88" s="37">
        <v>1.0</v>
      </c>
      <c r="C88" s="38" t="s">
        <v>27</v>
      </c>
      <c r="D88" s="37">
        <v>116.141</v>
      </c>
      <c r="E88" s="38" t="s">
        <v>28</v>
      </c>
    </row>
    <row r="89" hidden="1">
      <c r="A89" s="36">
        <v>45626.0</v>
      </c>
      <c r="B89" s="37">
        <v>1.0</v>
      </c>
      <c r="C89" s="38" t="s">
        <v>27</v>
      </c>
      <c r="D89" s="37">
        <v>114.3149</v>
      </c>
      <c r="E89" s="38" t="s">
        <v>28</v>
      </c>
    </row>
    <row r="90" hidden="1">
      <c r="A90" s="36">
        <v>45627.0</v>
      </c>
      <c r="B90" s="37">
        <v>1.0</v>
      </c>
      <c r="C90" s="38" t="s">
        <v>27</v>
      </c>
      <c r="D90" s="37">
        <v>114.3149</v>
      </c>
      <c r="E90" s="38" t="s">
        <v>28</v>
      </c>
    </row>
    <row r="91" hidden="1">
      <c r="A91" s="36">
        <v>45628.0</v>
      </c>
      <c r="B91" s="37">
        <v>1.0</v>
      </c>
      <c r="C91" s="38" t="s">
        <v>27</v>
      </c>
      <c r="D91" s="37">
        <v>114.3149</v>
      </c>
      <c r="E91" s="38" t="s">
        <v>28</v>
      </c>
    </row>
    <row r="92" hidden="1">
      <c r="A92" s="36">
        <v>45629.0</v>
      </c>
      <c r="B92" s="37">
        <v>1.0</v>
      </c>
      <c r="C92" s="38" t="s">
        <v>27</v>
      </c>
      <c r="D92" s="37">
        <v>112.8019</v>
      </c>
      <c r="E92" s="38" t="s">
        <v>28</v>
      </c>
    </row>
    <row r="93" hidden="1">
      <c r="A93" s="36">
        <v>45630.0</v>
      </c>
      <c r="B93" s="37">
        <v>1.0</v>
      </c>
      <c r="C93" s="38" t="s">
        <v>27</v>
      </c>
      <c r="D93" s="37">
        <v>112.02</v>
      </c>
      <c r="E93" s="38" t="s">
        <v>28</v>
      </c>
    </row>
    <row r="94" hidden="1">
      <c r="A94" s="36">
        <v>45631.0</v>
      </c>
      <c r="B94" s="37">
        <v>1.0</v>
      </c>
      <c r="C94" s="38" t="s">
        <v>27</v>
      </c>
      <c r="D94" s="37">
        <v>110.2041</v>
      </c>
      <c r="E94" s="38" t="s">
        <v>28</v>
      </c>
    </row>
    <row r="95" hidden="1">
      <c r="A95" s="36">
        <v>45632.0</v>
      </c>
      <c r="B95" s="37">
        <v>1.0</v>
      </c>
      <c r="C95" s="38" t="s">
        <v>27</v>
      </c>
      <c r="D95" s="37">
        <v>109.7802</v>
      </c>
      <c r="E95" s="38" t="s">
        <v>28</v>
      </c>
    </row>
    <row r="96" hidden="1">
      <c r="A96" s="36">
        <v>45633.0</v>
      </c>
      <c r="B96" s="37">
        <v>1.0</v>
      </c>
      <c r="C96" s="38" t="s">
        <v>27</v>
      </c>
      <c r="D96" s="37">
        <v>106.304</v>
      </c>
      <c r="E96" s="38" t="s">
        <v>28</v>
      </c>
    </row>
    <row r="97" hidden="1">
      <c r="A97" s="36">
        <v>45634.0</v>
      </c>
      <c r="B97" s="37">
        <v>1.0</v>
      </c>
      <c r="C97" s="38" t="s">
        <v>27</v>
      </c>
      <c r="D97" s="37">
        <v>106.304</v>
      </c>
      <c r="E97" s="38" t="s">
        <v>28</v>
      </c>
    </row>
    <row r="98" hidden="1">
      <c r="A98" s="36">
        <v>45635.0</v>
      </c>
      <c r="B98" s="37">
        <v>1.0</v>
      </c>
      <c r="C98" s="38" t="s">
        <v>27</v>
      </c>
      <c r="D98" s="37">
        <v>106.304</v>
      </c>
      <c r="E98" s="38" t="s">
        <v>28</v>
      </c>
    </row>
    <row r="99" hidden="1">
      <c r="A99" s="36">
        <v>45636.0</v>
      </c>
      <c r="B99" s="37">
        <v>1.0</v>
      </c>
      <c r="C99" s="38" t="s">
        <v>27</v>
      </c>
      <c r="D99" s="37">
        <v>105.0996</v>
      </c>
      <c r="E99" s="38" t="s">
        <v>28</v>
      </c>
    </row>
    <row r="100" hidden="1">
      <c r="A100" s="36">
        <v>45637.0</v>
      </c>
      <c r="B100" s="37">
        <v>1.0</v>
      </c>
      <c r="C100" s="38" t="s">
        <v>27</v>
      </c>
      <c r="D100" s="37">
        <v>106.2024</v>
      </c>
      <c r="E100" s="38" t="s">
        <v>28</v>
      </c>
    </row>
    <row r="101" hidden="1">
      <c r="A101" s="36">
        <v>45638.0</v>
      </c>
      <c r="B101" s="37">
        <v>1.0</v>
      </c>
      <c r="C101" s="38" t="s">
        <v>27</v>
      </c>
      <c r="D101" s="37">
        <v>108.5588</v>
      </c>
      <c r="E101" s="38" t="s">
        <v>28</v>
      </c>
    </row>
    <row r="102" hidden="1">
      <c r="A102" s="36">
        <v>45639.0</v>
      </c>
      <c r="B102" s="37">
        <v>1.0</v>
      </c>
      <c r="C102" s="38" t="s">
        <v>27</v>
      </c>
      <c r="D102" s="37">
        <v>110.4804</v>
      </c>
      <c r="E102" s="38" t="s">
        <v>28</v>
      </c>
    </row>
    <row r="103" hidden="1">
      <c r="A103" s="36">
        <v>45640.0</v>
      </c>
      <c r="B103" s="37">
        <v>1.0</v>
      </c>
      <c r="C103" s="38" t="s">
        <v>27</v>
      </c>
      <c r="D103" s="37">
        <v>109.0126</v>
      </c>
      <c r="E103" s="38" t="s">
        <v>28</v>
      </c>
    </row>
    <row r="104" hidden="1">
      <c r="A104" s="36">
        <v>45641.0</v>
      </c>
      <c r="B104" s="37">
        <v>1.0</v>
      </c>
      <c r="C104" s="38" t="s">
        <v>27</v>
      </c>
      <c r="D104" s="37">
        <v>109.0126</v>
      </c>
      <c r="E104" s="38" t="s">
        <v>28</v>
      </c>
    </row>
    <row r="105" hidden="1">
      <c r="A105" s="36">
        <v>45642.0</v>
      </c>
      <c r="B105" s="37">
        <v>1.0</v>
      </c>
      <c r="C105" s="38" t="s">
        <v>27</v>
      </c>
      <c r="D105" s="37">
        <v>109.0126</v>
      </c>
      <c r="E105" s="38" t="s">
        <v>28</v>
      </c>
    </row>
    <row r="106" hidden="1">
      <c r="A106" s="36">
        <v>45643.0</v>
      </c>
      <c r="B106" s="37">
        <v>1.0</v>
      </c>
      <c r="C106" s="38" t="s">
        <v>27</v>
      </c>
      <c r="D106" s="37">
        <v>108.7016</v>
      </c>
      <c r="E106" s="38" t="s">
        <v>28</v>
      </c>
    </row>
    <row r="107" hidden="1">
      <c r="A107" s="36">
        <v>45644.0</v>
      </c>
      <c r="B107" s="37">
        <v>1.0</v>
      </c>
      <c r="C107" s="38" t="s">
        <v>27</v>
      </c>
      <c r="D107" s="37">
        <v>108.3444</v>
      </c>
      <c r="E107" s="38" t="s">
        <v>28</v>
      </c>
    </row>
    <row r="108" hidden="1">
      <c r="A108" s="36">
        <v>45645.0</v>
      </c>
      <c r="B108" s="37">
        <v>1.0</v>
      </c>
      <c r="C108" s="38" t="s">
        <v>27</v>
      </c>
      <c r="D108" s="37">
        <v>108.5083</v>
      </c>
      <c r="E108" s="38" t="s">
        <v>28</v>
      </c>
    </row>
    <row r="109" hidden="1">
      <c r="A109" s="36">
        <v>45646.0</v>
      </c>
      <c r="B109" s="37">
        <v>1.0</v>
      </c>
      <c r="C109" s="38" t="s">
        <v>27</v>
      </c>
      <c r="D109" s="37">
        <v>107.9576</v>
      </c>
      <c r="E109" s="38" t="s">
        <v>28</v>
      </c>
    </row>
    <row r="110" hidden="1">
      <c r="A110" s="36">
        <v>45647.0</v>
      </c>
      <c r="B110" s="37">
        <v>1.0</v>
      </c>
      <c r="C110" s="38" t="s">
        <v>27</v>
      </c>
      <c r="D110" s="37">
        <v>106.5444</v>
      </c>
      <c r="E110" s="38" t="s">
        <v>28</v>
      </c>
    </row>
    <row r="111" hidden="1">
      <c r="A111" s="36">
        <v>45648.0</v>
      </c>
      <c r="B111" s="37">
        <v>1.0</v>
      </c>
      <c r="C111" s="38" t="s">
        <v>27</v>
      </c>
      <c r="D111" s="37">
        <v>106.5444</v>
      </c>
      <c r="E111" s="38" t="s">
        <v>28</v>
      </c>
    </row>
    <row r="112" hidden="1">
      <c r="A112" s="36">
        <v>45649.0</v>
      </c>
      <c r="B112" s="37">
        <v>1.0</v>
      </c>
      <c r="C112" s="38" t="s">
        <v>27</v>
      </c>
      <c r="D112" s="37">
        <v>106.5444</v>
      </c>
      <c r="E112" s="38" t="s">
        <v>28</v>
      </c>
    </row>
    <row r="113" hidden="1">
      <c r="A113" s="36">
        <v>45650.0</v>
      </c>
      <c r="B113" s="37">
        <v>1.0</v>
      </c>
      <c r="C113" s="38" t="s">
        <v>27</v>
      </c>
      <c r="D113" s="37">
        <v>105.2512</v>
      </c>
      <c r="E113" s="38" t="s">
        <v>28</v>
      </c>
    </row>
    <row r="114" hidden="1">
      <c r="A114" s="36">
        <v>45651.0</v>
      </c>
      <c r="B114" s="37">
        <v>1.0</v>
      </c>
      <c r="C114" s="38" t="s">
        <v>27</v>
      </c>
      <c r="D114" s="37">
        <v>104.231</v>
      </c>
      <c r="E114" s="38" t="s">
        <v>28</v>
      </c>
    </row>
    <row r="115" hidden="1">
      <c r="A115" s="36">
        <v>45652.0</v>
      </c>
      <c r="B115" s="37">
        <v>1.0</v>
      </c>
      <c r="C115" s="38" t="s">
        <v>27</v>
      </c>
      <c r="D115" s="37">
        <v>103.9416</v>
      </c>
      <c r="E115" s="38" t="s">
        <v>28</v>
      </c>
    </row>
    <row r="116" hidden="1">
      <c r="A116" s="36">
        <v>45653.0</v>
      </c>
      <c r="B116" s="37">
        <v>1.0</v>
      </c>
      <c r="C116" s="38" t="s">
        <v>27</v>
      </c>
      <c r="D116" s="37">
        <v>103.2997</v>
      </c>
      <c r="E116" s="38" t="s">
        <v>28</v>
      </c>
    </row>
    <row r="117" hidden="1">
      <c r="A117" s="36">
        <v>45654.0</v>
      </c>
      <c r="B117" s="37">
        <v>1.0</v>
      </c>
      <c r="C117" s="38" t="s">
        <v>27</v>
      </c>
      <c r="D117" s="42">
        <v>105.9522</v>
      </c>
      <c r="E117" s="38" t="s">
        <v>28</v>
      </c>
    </row>
    <row r="118" hidden="1">
      <c r="A118" s="41">
        <v>45655.0</v>
      </c>
      <c r="B118" s="37">
        <v>1.0</v>
      </c>
      <c r="C118" s="38" t="s">
        <v>27</v>
      </c>
      <c r="D118" s="37">
        <v>106.1028</v>
      </c>
      <c r="E118" s="38" t="s">
        <v>28</v>
      </c>
    </row>
    <row r="119" hidden="1">
      <c r="A119" s="41">
        <v>45656.0</v>
      </c>
      <c r="B119" s="37">
        <v>1.0</v>
      </c>
      <c r="C119" s="38" t="s">
        <v>27</v>
      </c>
      <c r="D119" s="37">
        <v>106.1028</v>
      </c>
      <c r="E119" s="38" t="s">
        <v>28</v>
      </c>
    </row>
    <row r="120" hidden="1">
      <c r="A120" s="41">
        <v>45657.0</v>
      </c>
      <c r="B120" s="37">
        <v>1.0</v>
      </c>
      <c r="C120" s="38" t="s">
        <v>27</v>
      </c>
      <c r="D120" s="37">
        <v>106.1028</v>
      </c>
      <c r="E120" s="38" t="s">
        <v>28</v>
      </c>
    </row>
    <row r="121">
      <c r="A121" s="36">
        <v>45658.0</v>
      </c>
      <c r="B121" s="37">
        <v>1.0</v>
      </c>
      <c r="C121" s="38" t="s">
        <v>27</v>
      </c>
      <c r="D121" s="37">
        <v>106.1028</v>
      </c>
      <c r="E121" s="38" t="s">
        <v>28</v>
      </c>
    </row>
    <row r="122">
      <c r="A122" s="36">
        <v>45659.0</v>
      </c>
      <c r="B122" s="37">
        <v>1.0</v>
      </c>
      <c r="C122" s="38" t="s">
        <v>27</v>
      </c>
      <c r="D122" s="37">
        <v>106.1028</v>
      </c>
      <c r="E122" s="38" t="s">
        <v>28</v>
      </c>
    </row>
    <row r="123">
      <c r="A123" s="36">
        <v>45660.0</v>
      </c>
      <c r="B123" s="37">
        <v>1.0</v>
      </c>
      <c r="C123" s="38" t="s">
        <v>27</v>
      </c>
      <c r="D123" s="37">
        <v>106.1028</v>
      </c>
      <c r="E123" s="38" t="s">
        <v>28</v>
      </c>
    </row>
    <row r="124">
      <c r="A124" s="36">
        <v>45661.0</v>
      </c>
      <c r="B124" s="37">
        <v>1.0</v>
      </c>
      <c r="C124" s="38" t="s">
        <v>27</v>
      </c>
      <c r="D124" s="37">
        <v>106.1028</v>
      </c>
      <c r="E124" s="38" t="s">
        <v>28</v>
      </c>
    </row>
    <row r="125">
      <c r="A125" s="36">
        <v>45662.0</v>
      </c>
      <c r="B125" s="37">
        <v>1.0</v>
      </c>
      <c r="C125" s="38" t="s">
        <v>27</v>
      </c>
      <c r="D125" s="37">
        <v>106.1028</v>
      </c>
      <c r="E125" s="38" t="s">
        <v>28</v>
      </c>
    </row>
    <row r="126">
      <c r="A126" s="36">
        <v>45663.0</v>
      </c>
      <c r="B126" s="37">
        <v>1.0</v>
      </c>
      <c r="C126" s="38" t="s">
        <v>27</v>
      </c>
      <c r="D126" s="37">
        <v>106.1028</v>
      </c>
      <c r="E126" s="38" t="s">
        <v>28</v>
      </c>
    </row>
    <row r="127">
      <c r="A127" s="36">
        <v>45664.0</v>
      </c>
      <c r="B127" s="37">
        <v>1.0</v>
      </c>
      <c r="C127" s="38" t="s">
        <v>27</v>
      </c>
      <c r="D127" s="37">
        <v>106.1028</v>
      </c>
      <c r="E127" s="38" t="s">
        <v>28</v>
      </c>
    </row>
    <row r="128">
      <c r="A128" s="36">
        <v>45665.0</v>
      </c>
      <c r="B128" s="37">
        <v>1.0</v>
      </c>
      <c r="C128" s="38" t="s">
        <v>27</v>
      </c>
      <c r="D128" s="37">
        <v>106.1028</v>
      </c>
      <c r="E128" s="38" t="s">
        <v>28</v>
      </c>
    </row>
    <row r="129">
      <c r="A129" s="36">
        <v>45666.0</v>
      </c>
      <c r="B129" s="37">
        <v>1.0</v>
      </c>
      <c r="C129" s="38" t="s">
        <v>27</v>
      </c>
      <c r="D129" s="37">
        <v>106.1028</v>
      </c>
      <c r="E129" s="38" t="s">
        <v>28</v>
      </c>
    </row>
    <row r="130">
      <c r="A130" s="36">
        <v>45667.0</v>
      </c>
      <c r="B130" s="37">
        <v>1.0</v>
      </c>
      <c r="C130" s="38" t="s">
        <v>27</v>
      </c>
      <c r="D130" s="37">
        <v>105.0893</v>
      </c>
      <c r="E130" s="38" t="s">
        <v>28</v>
      </c>
    </row>
    <row r="131">
      <c r="A131" s="36">
        <v>45668.0</v>
      </c>
      <c r="B131" s="37">
        <v>1.0</v>
      </c>
      <c r="C131" s="38" t="s">
        <v>27</v>
      </c>
      <c r="D131" s="37">
        <v>105.0464</v>
      </c>
      <c r="E131" s="38" t="s">
        <v>28</v>
      </c>
    </row>
    <row r="132">
      <c r="A132" s="36">
        <v>45669.0</v>
      </c>
      <c r="B132" s="37">
        <v>1.0</v>
      </c>
      <c r="C132" s="38" t="s">
        <v>27</v>
      </c>
      <c r="D132" s="37">
        <v>105.0464</v>
      </c>
      <c r="E132" s="38" t="s">
        <v>28</v>
      </c>
    </row>
    <row r="133">
      <c r="A133" s="36">
        <v>45670.0</v>
      </c>
      <c r="B133" s="37">
        <v>1.0</v>
      </c>
      <c r="C133" s="38" t="s">
        <v>27</v>
      </c>
      <c r="D133" s="37">
        <v>105.0464</v>
      </c>
      <c r="E133" s="38" t="s">
        <v>28</v>
      </c>
    </row>
    <row r="134">
      <c r="A134" s="36">
        <v>45671.0</v>
      </c>
      <c r="B134" s="37">
        <v>1.0</v>
      </c>
      <c r="C134" s="38" t="s">
        <v>27</v>
      </c>
      <c r="D134" s="37">
        <v>104.8556</v>
      </c>
      <c r="E134" s="38" t="s">
        <v>28</v>
      </c>
    </row>
    <row r="135">
      <c r="A135" s="36">
        <v>45672.0</v>
      </c>
      <c r="B135" s="37">
        <v>1.0</v>
      </c>
      <c r="C135" s="38" t="s">
        <v>27</v>
      </c>
      <c r="D135" s="37">
        <v>106.2493</v>
      </c>
      <c r="E135" s="38" t="s">
        <v>28</v>
      </c>
    </row>
    <row r="136">
      <c r="A136" s="36">
        <v>45673.0</v>
      </c>
      <c r="B136" s="37">
        <v>1.0</v>
      </c>
      <c r="C136" s="38" t="s">
        <v>27</v>
      </c>
      <c r="D136" s="37">
        <v>106.0971</v>
      </c>
      <c r="E136" s="38" t="s">
        <v>28</v>
      </c>
    </row>
    <row r="137">
      <c r="A137" s="36">
        <v>45674.0</v>
      </c>
      <c r="B137" s="37">
        <v>1.0</v>
      </c>
      <c r="C137" s="38" t="s">
        <v>27</v>
      </c>
      <c r="D137" s="37">
        <v>105.8072</v>
      </c>
      <c r="E137" s="38" t="s">
        <v>28</v>
      </c>
    </row>
    <row r="138">
      <c r="A138" s="36">
        <v>45675.0</v>
      </c>
      <c r="B138" s="37">
        <v>1.0</v>
      </c>
      <c r="C138" s="38" t="s">
        <v>27</v>
      </c>
      <c r="D138" s="37">
        <v>104.8609</v>
      </c>
      <c r="E138" s="38" t="s">
        <v>28</v>
      </c>
    </row>
    <row r="139">
      <c r="A139" s="36">
        <v>45676.0</v>
      </c>
      <c r="B139" s="37">
        <v>1.0</v>
      </c>
      <c r="C139" s="38" t="s">
        <v>27</v>
      </c>
      <c r="D139" s="37">
        <v>104.8609</v>
      </c>
      <c r="E139" s="38" t="s">
        <v>28</v>
      </c>
    </row>
    <row r="140">
      <c r="A140" s="36">
        <v>45677.0</v>
      </c>
      <c r="B140" s="37">
        <v>1.0</v>
      </c>
      <c r="C140" s="38" t="s">
        <v>27</v>
      </c>
      <c r="D140" s="37">
        <v>104.8609</v>
      </c>
      <c r="E140" s="38" t="s">
        <v>28</v>
      </c>
    </row>
    <row r="141">
      <c r="A141" s="36">
        <v>45678.0</v>
      </c>
      <c r="B141" s="37">
        <v>1.0</v>
      </c>
      <c r="C141" s="38" t="s">
        <v>27</v>
      </c>
      <c r="D141" s="37">
        <v>105.0457</v>
      </c>
      <c r="E141" s="38" t="s">
        <v>28</v>
      </c>
    </row>
    <row r="142">
      <c r="A142" s="36">
        <v>45679.0</v>
      </c>
      <c r="B142" s="37">
        <v>1.0</v>
      </c>
      <c r="C142" s="38" t="s">
        <v>27</v>
      </c>
      <c r="D142" s="37">
        <v>103.2856</v>
      </c>
      <c r="E142" s="38" t="s">
        <v>28</v>
      </c>
    </row>
    <row r="143">
      <c r="A143" s="36">
        <v>45680.0</v>
      </c>
      <c r="B143" s="37">
        <v>1.0</v>
      </c>
      <c r="C143" s="38" t="s">
        <v>27</v>
      </c>
      <c r="D143" s="37">
        <v>103.2419</v>
      </c>
      <c r="E143" s="38" t="s">
        <v>28</v>
      </c>
    </row>
    <row r="144">
      <c r="A144" s="36">
        <v>45681.0</v>
      </c>
      <c r="B144" s="37">
        <v>1.0</v>
      </c>
      <c r="C144" s="38" t="s">
        <v>27</v>
      </c>
      <c r="D144" s="37">
        <v>103.6612</v>
      </c>
      <c r="E144" s="38" t="s">
        <v>28</v>
      </c>
    </row>
    <row r="145">
      <c r="A145" s="36">
        <v>45682.0</v>
      </c>
      <c r="B145" s="37">
        <v>1.0</v>
      </c>
      <c r="C145" s="38" t="s">
        <v>27</v>
      </c>
      <c r="D145" s="37">
        <v>103.187</v>
      </c>
      <c r="E145" s="38" t="s">
        <v>28</v>
      </c>
    </row>
    <row r="146">
      <c r="A146" s="36">
        <v>45683.0</v>
      </c>
      <c r="B146" s="37">
        <v>1.0</v>
      </c>
      <c r="C146" s="38" t="s">
        <v>27</v>
      </c>
      <c r="D146" s="37">
        <v>103.187</v>
      </c>
      <c r="E146" s="38" t="s">
        <v>28</v>
      </c>
    </row>
    <row r="147">
      <c r="A147" s="36">
        <v>45684.0</v>
      </c>
      <c r="B147" s="37">
        <v>1.0</v>
      </c>
      <c r="C147" s="38" t="s">
        <v>27</v>
      </c>
      <c r="D147" s="37">
        <v>103.187</v>
      </c>
      <c r="E147" s="38" t="s">
        <v>28</v>
      </c>
    </row>
    <row r="148">
      <c r="A148" s="36">
        <v>45685.0</v>
      </c>
      <c r="B148" s="37">
        <v>1.0</v>
      </c>
      <c r="C148" s="38" t="s">
        <v>27</v>
      </c>
      <c r="D148" s="37">
        <v>102.746</v>
      </c>
      <c r="E148" s="38" t="s">
        <v>28</v>
      </c>
    </row>
    <row r="149">
      <c r="A149" s="36">
        <v>45686.0</v>
      </c>
      <c r="B149" s="37">
        <v>1.0</v>
      </c>
      <c r="C149" s="38" t="s">
        <v>27</v>
      </c>
      <c r="D149" s="37">
        <v>101.5957</v>
      </c>
      <c r="E149" s="38" t="s">
        <v>28</v>
      </c>
    </row>
    <row r="150">
      <c r="A150" s="36">
        <v>45687.0</v>
      </c>
      <c r="B150" s="37">
        <v>1.0</v>
      </c>
      <c r="C150" s="38" t="s">
        <v>27</v>
      </c>
      <c r="D150" s="37">
        <v>102.4041</v>
      </c>
      <c r="E150" s="38" t="s">
        <v>28</v>
      </c>
    </row>
    <row r="151">
      <c r="A151" s="36">
        <v>45688.0</v>
      </c>
      <c r="B151" s="37">
        <v>1.0</v>
      </c>
      <c r="C151" s="38" t="s">
        <v>27</v>
      </c>
      <c r="D151" s="37">
        <v>102.7782</v>
      </c>
      <c r="E151" s="38" t="s">
        <v>28</v>
      </c>
    </row>
    <row r="152">
      <c r="A152" s="36">
        <v>45689.0</v>
      </c>
      <c r="B152" s="37">
        <v>1.0</v>
      </c>
      <c r="C152" s="38" t="s">
        <v>27</v>
      </c>
      <c r="D152" s="37">
        <v>102.1301</v>
      </c>
      <c r="E152" s="38" t="s">
        <v>28</v>
      </c>
    </row>
    <row r="153">
      <c r="A153" s="36">
        <v>45690.0</v>
      </c>
      <c r="B153" s="37">
        <v>1.0</v>
      </c>
      <c r="C153" s="38" t="s">
        <v>27</v>
      </c>
      <c r="D153" s="37">
        <v>102.1301</v>
      </c>
      <c r="E153" s="38" t="s">
        <v>28</v>
      </c>
    </row>
    <row r="154">
      <c r="A154" s="36">
        <v>45691.0</v>
      </c>
      <c r="B154" s="37">
        <v>1.0</v>
      </c>
      <c r="C154" s="38" t="s">
        <v>27</v>
      </c>
      <c r="D154" s="37">
        <v>102.1301</v>
      </c>
      <c r="E154" s="38" t="s">
        <v>28</v>
      </c>
    </row>
    <row r="155">
      <c r="A155" s="36">
        <v>45692.0</v>
      </c>
      <c r="B155" s="37">
        <v>1.0</v>
      </c>
      <c r="C155" s="38" t="s">
        <v>27</v>
      </c>
      <c r="D155" s="37">
        <v>102.491</v>
      </c>
      <c r="E155" s="38" t="s">
        <v>28</v>
      </c>
    </row>
    <row r="156">
      <c r="A156" s="36">
        <v>45693.0</v>
      </c>
      <c r="B156" s="37">
        <v>1.0</v>
      </c>
      <c r="C156" s="38" t="s">
        <v>27</v>
      </c>
      <c r="D156" s="37">
        <v>102.6852</v>
      </c>
      <c r="E156" s="38" t="s">
        <v>28</v>
      </c>
    </row>
    <row r="157">
      <c r="A157" s="36">
        <v>45694.0</v>
      </c>
      <c r="B157" s="37">
        <v>1.0</v>
      </c>
      <c r="C157" s="38" t="s">
        <v>27</v>
      </c>
      <c r="D157" s="37">
        <v>102.9215</v>
      </c>
      <c r="E157" s="38" t="s">
        <v>28</v>
      </c>
    </row>
    <row r="158">
      <c r="A158" s="36">
        <v>45695.0</v>
      </c>
      <c r="B158" s="37">
        <v>1.0</v>
      </c>
      <c r="C158" s="38" t="s">
        <v>27</v>
      </c>
      <c r="D158" s="37">
        <v>100.6751</v>
      </c>
      <c r="E158" s="38" t="s">
        <v>28</v>
      </c>
    </row>
    <row r="159">
      <c r="A159" s="36">
        <v>45696.0</v>
      </c>
      <c r="B159" s="37">
        <v>1.0</v>
      </c>
      <c r="C159" s="38" t="s">
        <v>27</v>
      </c>
      <c r="D159" s="37">
        <v>101.2243</v>
      </c>
      <c r="E159" s="38" t="s">
        <v>28</v>
      </c>
    </row>
    <row r="160">
      <c r="A160" s="36">
        <v>45697.0</v>
      </c>
      <c r="B160" s="37">
        <v>1.0</v>
      </c>
      <c r="C160" s="38" t="s">
        <v>27</v>
      </c>
      <c r="D160" s="37">
        <v>101.2243</v>
      </c>
      <c r="E160" s="38" t="s">
        <v>28</v>
      </c>
    </row>
    <row r="161">
      <c r="A161" s="36">
        <v>45698.0</v>
      </c>
      <c r="B161" s="37">
        <v>1.0</v>
      </c>
      <c r="C161" s="38" t="s">
        <v>27</v>
      </c>
      <c r="D161" s="37">
        <v>101.2243</v>
      </c>
      <c r="E161" s="38" t="s">
        <v>28</v>
      </c>
    </row>
    <row r="162">
      <c r="A162" s="36">
        <v>45699.0</v>
      </c>
      <c r="B162" s="37">
        <v>1.0</v>
      </c>
      <c r="C162" s="38" t="s">
        <v>27</v>
      </c>
      <c r="D162" s="37">
        <v>100.4991</v>
      </c>
      <c r="E162" s="38" t="s">
        <v>28</v>
      </c>
    </row>
    <row r="163">
      <c r="A163" s="36">
        <v>45700.0</v>
      </c>
      <c r="B163" s="37">
        <v>1.0</v>
      </c>
      <c r="C163" s="38" t="s">
        <v>27</v>
      </c>
      <c r="D163" s="37">
        <v>99.1953</v>
      </c>
      <c r="E163" s="38" t="s">
        <v>28</v>
      </c>
    </row>
    <row r="164">
      <c r="A164" s="36">
        <v>45701.0</v>
      </c>
      <c r="B164" s="37">
        <v>1.0</v>
      </c>
      <c r="C164" s="38" t="s">
        <v>27</v>
      </c>
      <c r="D164" s="37">
        <v>98.0119</v>
      </c>
      <c r="E164" s="38" t="s">
        <v>28</v>
      </c>
    </row>
    <row r="165">
      <c r="A165" s="36">
        <v>45702.0</v>
      </c>
      <c r="B165" s="37">
        <v>1.0</v>
      </c>
      <c r="C165" s="38" t="s">
        <v>27</v>
      </c>
      <c r="D165" s="37">
        <v>94.9221</v>
      </c>
      <c r="E165" s="38" t="s">
        <v>28</v>
      </c>
    </row>
    <row r="166">
      <c r="A166" s="36">
        <v>45703.0</v>
      </c>
      <c r="B166" s="37">
        <v>1.0</v>
      </c>
      <c r="C166" s="38" t="s">
        <v>27</v>
      </c>
      <c r="D166" s="37">
        <v>94.8876</v>
      </c>
      <c r="E166" s="38" t="s">
        <v>28</v>
      </c>
    </row>
    <row r="167">
      <c r="A167" s="36">
        <v>45704.0</v>
      </c>
      <c r="B167" s="37">
        <v>1.0</v>
      </c>
      <c r="C167" s="38" t="s">
        <v>27</v>
      </c>
      <c r="D167" s="37">
        <v>94.8876</v>
      </c>
      <c r="E167" s="38" t="s">
        <v>28</v>
      </c>
    </row>
    <row r="168">
      <c r="A168" s="36">
        <v>45705.0</v>
      </c>
      <c r="B168" s="37">
        <v>1.0</v>
      </c>
      <c r="C168" s="38" t="s">
        <v>27</v>
      </c>
      <c r="D168" s="37">
        <v>94.8876</v>
      </c>
      <c r="E168" s="38" t="s">
        <v>28</v>
      </c>
    </row>
    <row r="169">
      <c r="A169" s="36">
        <v>45706.0</v>
      </c>
      <c r="B169" s="37">
        <v>1.0</v>
      </c>
      <c r="C169" s="38" t="s">
        <v>27</v>
      </c>
      <c r="D169" s="37">
        <v>95.8048</v>
      </c>
      <c r="E169" s="38" t="s">
        <v>28</v>
      </c>
    </row>
    <row r="170">
      <c r="A170" s="36">
        <v>45707.0</v>
      </c>
      <c r="B170" s="37">
        <v>1.0</v>
      </c>
      <c r="C170" s="38" t="s">
        <v>27</v>
      </c>
      <c r="D170" s="37">
        <v>95.6693</v>
      </c>
      <c r="E170" s="38" t="s">
        <v>28</v>
      </c>
    </row>
    <row r="171">
      <c r="A171" s="36">
        <v>45708.0</v>
      </c>
      <c r="B171" s="37">
        <v>1.0</v>
      </c>
      <c r="C171" s="38" t="s">
        <v>27</v>
      </c>
      <c r="D171" s="37">
        <v>94.0834</v>
      </c>
      <c r="E171" s="38" t="s">
        <v>28</v>
      </c>
    </row>
    <row r="172">
      <c r="A172" s="36">
        <v>45709.0</v>
      </c>
      <c r="B172" s="37">
        <v>1.0</v>
      </c>
      <c r="C172" s="38" t="s">
        <v>27</v>
      </c>
      <c r="D172" s="37">
        <v>92.4831</v>
      </c>
      <c r="E172" s="38" t="s">
        <v>28</v>
      </c>
    </row>
    <row r="173">
      <c r="A173" s="36">
        <v>45710.0</v>
      </c>
      <c r="B173" s="37">
        <v>1.0</v>
      </c>
      <c r="C173" s="38" t="s">
        <v>27</v>
      </c>
      <c r="D173" s="37">
        <v>92.0152</v>
      </c>
      <c r="E173" s="38" t="s">
        <v>28</v>
      </c>
    </row>
    <row r="174">
      <c r="A174" s="36">
        <v>45711.0</v>
      </c>
      <c r="B174" s="37">
        <v>1.0</v>
      </c>
      <c r="C174" s="38" t="s">
        <v>27</v>
      </c>
      <c r="D174" s="37">
        <v>92.0152</v>
      </c>
      <c r="E174" s="38" t="s">
        <v>28</v>
      </c>
    </row>
    <row r="175">
      <c r="A175" s="36">
        <v>45712.0</v>
      </c>
      <c r="B175" s="37">
        <v>1.0</v>
      </c>
      <c r="C175" s="38" t="s">
        <v>27</v>
      </c>
      <c r="D175" s="37">
        <v>92.0152</v>
      </c>
      <c r="E175" s="38" t="s">
        <v>28</v>
      </c>
    </row>
    <row r="176">
      <c r="A176" s="36">
        <v>45713.0</v>
      </c>
      <c r="B176" s="37">
        <v>1.0</v>
      </c>
      <c r="C176" s="38" t="s">
        <v>27</v>
      </c>
      <c r="D176" s="37">
        <v>92.5162</v>
      </c>
      <c r="E176" s="38" t="s">
        <v>28</v>
      </c>
    </row>
    <row r="177">
      <c r="A177" s="36">
        <v>45714.0</v>
      </c>
      <c r="B177" s="37">
        <v>1.0</v>
      </c>
      <c r="C177" s="38" t="s">
        <v>27</v>
      </c>
      <c r="D177" s="37">
        <v>90.9403</v>
      </c>
      <c r="E177" s="38" t="s">
        <v>28</v>
      </c>
    </row>
    <row r="178">
      <c r="A178" s="36">
        <v>45715.0</v>
      </c>
      <c r="B178" s="37">
        <v>1.0</v>
      </c>
      <c r="C178" s="38" t="s">
        <v>27</v>
      </c>
      <c r="D178" s="37">
        <v>90.1826</v>
      </c>
      <c r="E178" s="38" t="s">
        <v>28</v>
      </c>
    </row>
    <row r="179">
      <c r="A179" s="36">
        <v>45716.0</v>
      </c>
      <c r="B179" s="37">
        <v>1.0</v>
      </c>
      <c r="C179" s="38" t="s">
        <v>27</v>
      </c>
      <c r="D179" s="37">
        <v>92.0362</v>
      </c>
      <c r="E179" s="38" t="s">
        <v>28</v>
      </c>
    </row>
    <row r="180">
      <c r="A180" s="36">
        <v>45717.0</v>
      </c>
      <c r="B180" s="37">
        <v>1.0</v>
      </c>
      <c r="C180" s="38" t="s">
        <v>27</v>
      </c>
      <c r="D180" s="37">
        <v>91.5655</v>
      </c>
      <c r="E180" s="38" t="s">
        <v>28</v>
      </c>
    </row>
    <row r="181">
      <c r="A181" s="36">
        <v>45718.0</v>
      </c>
      <c r="B181" s="37">
        <v>1.0</v>
      </c>
      <c r="C181" s="38" t="s">
        <v>27</v>
      </c>
      <c r="D181" s="37">
        <v>91.5655</v>
      </c>
      <c r="E181" s="38" t="s">
        <v>28</v>
      </c>
    </row>
    <row r="182">
      <c r="A182" s="36">
        <v>45719.0</v>
      </c>
      <c r="B182" s="37">
        <v>1.0</v>
      </c>
      <c r="C182" s="38" t="s">
        <v>27</v>
      </c>
      <c r="D182" s="37">
        <v>91.5655</v>
      </c>
      <c r="E182" s="38" t="s">
        <v>28</v>
      </c>
    </row>
    <row r="183">
      <c r="A183" s="36">
        <v>45720.0</v>
      </c>
      <c r="B183" s="37">
        <v>1.0</v>
      </c>
      <c r="C183" s="38" t="s">
        <v>27</v>
      </c>
      <c r="D183" s="37">
        <v>92.853</v>
      </c>
      <c r="E183" s="38" t="s">
        <v>28</v>
      </c>
    </row>
    <row r="184">
      <c r="A184" s="36">
        <v>45721.0</v>
      </c>
      <c r="B184" s="37">
        <v>1.0</v>
      </c>
      <c r="C184" s="38" t="s">
        <v>27</v>
      </c>
      <c r="D184" s="37">
        <v>93.9034</v>
      </c>
      <c r="E184" s="38" t="s">
        <v>28</v>
      </c>
    </row>
    <row r="185">
      <c r="A185" s="36">
        <v>45722.0</v>
      </c>
      <c r="B185" s="37">
        <v>1.0</v>
      </c>
      <c r="C185" s="38" t="s">
        <v>27</v>
      </c>
      <c r="D185" s="37">
        <v>95.7035</v>
      </c>
      <c r="E185" s="38" t="s">
        <v>28</v>
      </c>
    </row>
    <row r="186">
      <c r="A186" s="36">
        <v>45723.0</v>
      </c>
      <c r="B186" s="37">
        <v>1.0</v>
      </c>
      <c r="C186" s="38" t="s">
        <v>27</v>
      </c>
      <c r="D186" s="37">
        <v>96.5975</v>
      </c>
      <c r="E186" s="38" t="s">
        <v>28</v>
      </c>
    </row>
    <row r="187">
      <c r="A187" s="36">
        <v>45724.0</v>
      </c>
      <c r="B187" s="37">
        <v>1.0</v>
      </c>
      <c r="C187" s="38" t="s">
        <v>27</v>
      </c>
      <c r="D187" s="37">
        <v>96.8609</v>
      </c>
      <c r="E187" s="38" t="s">
        <v>28</v>
      </c>
    </row>
    <row r="188">
      <c r="A188" s="36">
        <v>45725.0</v>
      </c>
      <c r="B188" s="37">
        <v>1.0</v>
      </c>
      <c r="C188" s="38" t="s">
        <v>27</v>
      </c>
      <c r="D188" s="37">
        <v>96.8609</v>
      </c>
      <c r="E188" s="38" t="s">
        <v>28</v>
      </c>
    </row>
    <row r="189">
      <c r="A189" s="36">
        <v>45726.0</v>
      </c>
      <c r="B189" s="37">
        <v>1.0</v>
      </c>
      <c r="C189" s="38" t="s">
        <v>27</v>
      </c>
      <c r="D189" s="37">
        <v>96.8609</v>
      </c>
      <c r="E189" s="38" t="s">
        <v>28</v>
      </c>
    </row>
    <row r="190">
      <c r="A190" s="36">
        <v>45727.0</v>
      </c>
      <c r="B190" s="37">
        <v>1.0</v>
      </c>
      <c r="C190" s="38" t="s">
        <v>27</v>
      </c>
      <c r="D190" s="37">
        <v>95.4443</v>
      </c>
      <c r="E190" s="38" t="s">
        <v>28</v>
      </c>
    </row>
    <row r="191">
      <c r="A191" s="36">
        <v>45728.0</v>
      </c>
      <c r="B191" s="37">
        <v>1.0</v>
      </c>
      <c r="C191" s="38" t="s">
        <v>27</v>
      </c>
      <c r="D191" s="37">
        <v>93.6639</v>
      </c>
      <c r="E191" s="38" t="s">
        <v>28</v>
      </c>
    </row>
    <row r="192">
      <c r="A192" s="36">
        <v>45729.0</v>
      </c>
      <c r="B192" s="37">
        <v>1.0</v>
      </c>
      <c r="C192" s="38" t="s">
        <v>27</v>
      </c>
      <c r="D192" s="37">
        <v>93.971</v>
      </c>
      <c r="E192" s="38" t="s">
        <v>28</v>
      </c>
    </row>
    <row r="193">
      <c r="A193" s="36">
        <v>45730.0</v>
      </c>
      <c r="B193" s="37">
        <v>1.0</v>
      </c>
      <c r="C193" s="38" t="s">
        <v>27</v>
      </c>
      <c r="D193" s="37">
        <v>94.2559</v>
      </c>
      <c r="E193" s="38" t="s">
        <v>28</v>
      </c>
    </row>
    <row r="194">
      <c r="A194" s="36">
        <v>45731.0</v>
      </c>
      <c r="B194" s="37">
        <v>1.0</v>
      </c>
      <c r="C194" s="38" t="s">
        <v>27</v>
      </c>
      <c r="D194" s="37">
        <v>93.6087</v>
      </c>
      <c r="E194" s="38" t="s">
        <v>28</v>
      </c>
    </row>
    <row r="195">
      <c r="A195" s="36">
        <v>45732.0</v>
      </c>
      <c r="B195" s="37">
        <v>1.0</v>
      </c>
      <c r="C195" s="38" t="s">
        <v>27</v>
      </c>
      <c r="D195" s="37">
        <v>93.6087</v>
      </c>
      <c r="E195" s="38" t="s">
        <v>28</v>
      </c>
    </row>
    <row r="196">
      <c r="A196" s="36">
        <v>45733.0</v>
      </c>
      <c r="B196" s="37">
        <v>1.0</v>
      </c>
      <c r="C196" s="38" t="s">
        <v>27</v>
      </c>
      <c r="D196" s="37">
        <v>93.6087</v>
      </c>
      <c r="E196" s="38" t="s">
        <v>28</v>
      </c>
    </row>
    <row r="197">
      <c r="A197" s="36">
        <v>45734.0</v>
      </c>
      <c r="B197" s="37">
        <v>1.0</v>
      </c>
      <c r="C197" s="38" t="s">
        <v>27</v>
      </c>
      <c r="D197" s="37">
        <v>90.8443</v>
      </c>
      <c r="E197" s="38" t="s">
        <v>28</v>
      </c>
    </row>
    <row r="198">
      <c r="A198" s="36">
        <v>45735.0</v>
      </c>
      <c r="B198" s="37">
        <v>1.0</v>
      </c>
      <c r="C198" s="38" t="s">
        <v>27</v>
      </c>
      <c r="D198" s="37">
        <v>87.5697</v>
      </c>
      <c r="E198" s="38" t="s">
        <v>28</v>
      </c>
    </row>
    <row r="199">
      <c r="A199" s="36">
        <v>45736.0</v>
      </c>
      <c r="B199" s="37">
        <v>1.0</v>
      </c>
      <c r="C199" s="38" t="s">
        <v>27</v>
      </c>
      <c r="D199" s="37">
        <v>90.8257</v>
      </c>
      <c r="E199" s="38" t="s">
        <v>28</v>
      </c>
    </row>
    <row r="200">
      <c r="A200" s="36">
        <v>45737.0</v>
      </c>
      <c r="B200" s="37">
        <v>1.0</v>
      </c>
      <c r="C200" s="38" t="s">
        <v>27</v>
      </c>
      <c r="D200" s="37">
        <v>92.4633</v>
      </c>
      <c r="E200" s="38" t="s">
        <v>28</v>
      </c>
    </row>
    <row r="201">
      <c r="A201" s="36">
        <v>45738.0</v>
      </c>
      <c r="B201" s="37">
        <v>1.0</v>
      </c>
      <c r="C201" s="38" t="s">
        <v>27</v>
      </c>
      <c r="D201" s="37">
        <v>91.4262</v>
      </c>
      <c r="E201" s="38" t="s">
        <v>28</v>
      </c>
    </row>
    <row r="202">
      <c r="A202" s="36">
        <v>45739.0</v>
      </c>
      <c r="B202" s="37">
        <v>1.0</v>
      </c>
      <c r="C202" s="38" t="s">
        <v>27</v>
      </c>
      <c r="D202" s="37">
        <v>91.4262</v>
      </c>
      <c r="E202" s="38" t="s">
        <v>28</v>
      </c>
    </row>
    <row r="203">
      <c r="A203" s="36">
        <v>45740.0</v>
      </c>
      <c r="B203" s="37">
        <v>1.0</v>
      </c>
      <c r="C203" s="38" t="s">
        <v>27</v>
      </c>
      <c r="D203" s="37">
        <v>91.4262</v>
      </c>
      <c r="E203" s="38" t="s">
        <v>28</v>
      </c>
    </row>
    <row r="204">
      <c r="A204" s="36">
        <v>45741.0</v>
      </c>
      <c r="B204" s="37">
        <v>1.0</v>
      </c>
      <c r="C204" s="38" t="s">
        <v>27</v>
      </c>
      <c r="D204" s="37">
        <v>91.5252</v>
      </c>
      <c r="E204" s="38" t="s">
        <v>28</v>
      </c>
    </row>
    <row r="205">
      <c r="A205" s="36">
        <v>45742.0</v>
      </c>
      <c r="B205" s="37">
        <v>1.0</v>
      </c>
      <c r="C205" s="38" t="s">
        <v>27</v>
      </c>
      <c r="D205" s="37">
        <v>92.3409</v>
      </c>
      <c r="E205" s="38" t="s">
        <v>28</v>
      </c>
    </row>
    <row r="206">
      <c r="A206" s="36">
        <v>45743.0</v>
      </c>
      <c r="B206" s="37">
        <v>1.0</v>
      </c>
      <c r="C206" s="38" t="s">
        <v>27</v>
      </c>
      <c r="D206" s="37">
        <v>92.0029</v>
      </c>
      <c r="E206" s="38" t="s">
        <v>28</v>
      </c>
    </row>
    <row r="207">
      <c r="A207" s="36">
        <v>45744.0</v>
      </c>
      <c r="B207" s="37">
        <v>1.0</v>
      </c>
      <c r="C207" s="38" t="s">
        <v>27</v>
      </c>
      <c r="D207" s="37">
        <v>90.5441</v>
      </c>
      <c r="E207" s="38" t="s">
        <v>28</v>
      </c>
    </row>
    <row r="208">
      <c r="A208" s="36">
        <v>45745.0</v>
      </c>
      <c r="B208" s="37">
        <v>1.0</v>
      </c>
      <c r="C208" s="38" t="s">
        <v>27</v>
      </c>
      <c r="D208" s="37">
        <v>89.6553</v>
      </c>
      <c r="E208" s="38" t="s">
        <v>28</v>
      </c>
    </row>
    <row r="209">
      <c r="A209" s="36">
        <v>45746.0</v>
      </c>
      <c r="B209" s="37">
        <v>1.0</v>
      </c>
      <c r="C209" s="38" t="s">
        <v>27</v>
      </c>
      <c r="D209" s="37">
        <v>89.6553</v>
      </c>
      <c r="E209" s="38" t="s">
        <v>28</v>
      </c>
    </row>
    <row r="210">
      <c r="A210" s="36">
        <v>45747.0</v>
      </c>
      <c r="B210" s="37">
        <v>1.0</v>
      </c>
      <c r="C210" s="38" t="s">
        <v>27</v>
      </c>
      <c r="D210" s="37">
        <v>89.6553</v>
      </c>
      <c r="E210" s="38" t="s">
        <v>28</v>
      </c>
    </row>
    <row r="211">
      <c r="A211" s="36">
        <v>45748.0</v>
      </c>
      <c r="B211" s="37">
        <v>1.0</v>
      </c>
      <c r="C211" s="38" t="s">
        <v>27</v>
      </c>
      <c r="D211" s="37">
        <v>92.4276</v>
      </c>
      <c r="E211" s="38" t="s">
        <v>28</v>
      </c>
    </row>
    <row r="212">
      <c r="A212" s="36">
        <v>45749.0</v>
      </c>
      <c r="B212" s="37">
        <v>1.0</v>
      </c>
      <c r="C212" s="38" t="s">
        <v>27</v>
      </c>
      <c r="D212" s="37">
        <v>91.9643</v>
      </c>
      <c r="E212" s="38" t="s">
        <v>28</v>
      </c>
    </row>
    <row r="213">
      <c r="A213" s="36">
        <v>45750.0</v>
      </c>
      <c r="B213" s="37">
        <v>1.0</v>
      </c>
      <c r="C213" s="38" t="s">
        <v>27</v>
      </c>
      <c r="D213" s="37">
        <v>91.2044</v>
      </c>
      <c r="E213" s="38" t="s">
        <v>28</v>
      </c>
    </row>
    <row r="214">
      <c r="A214" s="36">
        <v>45751.0</v>
      </c>
      <c r="B214" s="37">
        <v>1.0</v>
      </c>
      <c r="C214" s="38" t="s">
        <v>27</v>
      </c>
      <c r="D214" s="37">
        <v>93.1608</v>
      </c>
      <c r="E214" s="38" t="s">
        <v>28</v>
      </c>
    </row>
    <row r="215">
      <c r="A215" s="36">
        <v>45752.0</v>
      </c>
      <c r="B215" s="37">
        <v>1.0</v>
      </c>
      <c r="C215" s="38" t="s">
        <v>27</v>
      </c>
      <c r="D215" s="37">
        <v>92.9855</v>
      </c>
      <c r="E215" s="38" t="s">
        <v>28</v>
      </c>
    </row>
    <row r="216">
      <c r="A216" s="36">
        <v>45753.0</v>
      </c>
      <c r="B216" s="37">
        <v>1.0</v>
      </c>
      <c r="C216" s="38" t="s">
        <v>27</v>
      </c>
      <c r="D216" s="37">
        <v>92.9855</v>
      </c>
      <c r="E216" s="38" t="s">
        <v>28</v>
      </c>
    </row>
    <row r="217">
      <c r="A217" s="36">
        <v>45754.0</v>
      </c>
      <c r="B217" s="37">
        <v>1.0</v>
      </c>
      <c r="C217" s="38" t="s">
        <v>27</v>
      </c>
      <c r="D217" s="37">
        <v>92.9855</v>
      </c>
      <c r="E217" s="38" t="s">
        <v>28</v>
      </c>
    </row>
    <row r="218">
      <c r="A218" s="36">
        <v>45755.0</v>
      </c>
      <c r="B218" s="37">
        <v>1.0</v>
      </c>
      <c r="C218" s="38" t="s">
        <v>27</v>
      </c>
      <c r="D218" s="37">
        <v>94.7742</v>
      </c>
      <c r="E218" s="38" t="s">
        <v>28</v>
      </c>
    </row>
    <row r="219">
      <c r="A219" s="36">
        <v>45756.0</v>
      </c>
      <c r="B219" s="37">
        <v>1.0</v>
      </c>
      <c r="C219" s="38" t="s">
        <v>27</v>
      </c>
      <c r="D219" s="37">
        <v>93.7755</v>
      </c>
      <c r="E219" s="38" t="s">
        <v>28</v>
      </c>
    </row>
    <row r="220">
      <c r="A220" s="36">
        <v>45757.0</v>
      </c>
      <c r="B220" s="37">
        <v>1.0</v>
      </c>
      <c r="C220" s="38" t="s">
        <v>27</v>
      </c>
      <c r="D220" s="37">
        <v>95.091</v>
      </c>
      <c r="E220" s="38" t="s">
        <v>28</v>
      </c>
    </row>
    <row r="221">
      <c r="A221" s="36">
        <v>45758.0</v>
      </c>
      <c r="B221" s="37">
        <v>1.0</v>
      </c>
      <c r="C221" s="38" t="s">
        <v>27</v>
      </c>
      <c r="D221" s="37">
        <v>94.6036</v>
      </c>
      <c r="E221" s="38" t="s">
        <v>28</v>
      </c>
    </row>
    <row r="222">
      <c r="A222" s="36">
        <v>45759.0</v>
      </c>
      <c r="B222" s="37">
        <v>1.0</v>
      </c>
      <c r="C222" s="38" t="s">
        <v>27</v>
      </c>
      <c r="D222" s="37">
        <v>96.2163</v>
      </c>
      <c r="E222" s="38" t="s">
        <v>28</v>
      </c>
    </row>
    <row r="223">
      <c r="A223" s="36">
        <v>45760.0</v>
      </c>
      <c r="B223" s="37">
        <v>1.0</v>
      </c>
      <c r="C223" s="38" t="s">
        <v>27</v>
      </c>
      <c r="D223" s="37">
        <v>96.2163</v>
      </c>
      <c r="E223" s="38" t="s">
        <v>28</v>
      </c>
    </row>
    <row r="224">
      <c r="A224" s="36">
        <v>45761.0</v>
      </c>
      <c r="B224" s="37">
        <v>1.0</v>
      </c>
      <c r="C224" s="38" t="s">
        <v>27</v>
      </c>
      <c r="D224" s="37">
        <v>96.2163</v>
      </c>
      <c r="E224" s="38" t="s">
        <v>28</v>
      </c>
    </row>
    <row r="225">
      <c r="A225" s="36">
        <v>45762.0</v>
      </c>
      <c r="B225" s="37">
        <v>1.0</v>
      </c>
      <c r="C225" s="38" t="s">
        <v>27</v>
      </c>
      <c r="D225" s="37">
        <v>94.1635</v>
      </c>
      <c r="E225" s="38" t="s">
        <v>28</v>
      </c>
    </row>
    <row r="226">
      <c r="A226" s="36">
        <v>45763.0</v>
      </c>
      <c r="B226" s="37">
        <v>1.0</v>
      </c>
      <c r="C226" s="38" t="s">
        <v>27</v>
      </c>
      <c r="D226" s="37">
        <v>93.6844</v>
      </c>
      <c r="E226" s="38" t="s">
        <v>28</v>
      </c>
    </row>
    <row r="227">
      <c r="A227" s="36">
        <v>45764.0</v>
      </c>
      <c r="B227" s="37">
        <v>1.0</v>
      </c>
      <c r="C227" s="38" t="s">
        <v>27</v>
      </c>
      <c r="D227" s="37">
        <v>93.3356</v>
      </c>
      <c r="E227" s="38" t="s">
        <v>28</v>
      </c>
    </row>
    <row r="228">
      <c r="A228" s="36">
        <v>45765.0</v>
      </c>
      <c r="B228" s="37">
        <v>1.0</v>
      </c>
      <c r="C228" s="38" t="s">
        <v>27</v>
      </c>
      <c r="D228" s="37">
        <v>93.2513</v>
      </c>
      <c r="E228" s="38" t="s">
        <v>28</v>
      </c>
    </row>
    <row r="229">
      <c r="A229" s="36">
        <v>45766.0</v>
      </c>
      <c r="B229" s="37">
        <v>1.0</v>
      </c>
      <c r="C229" s="38" t="s">
        <v>27</v>
      </c>
      <c r="D229" s="37">
        <v>92.2232</v>
      </c>
      <c r="E229" s="38" t="s">
        <v>28</v>
      </c>
    </row>
    <row r="230">
      <c r="A230" s="36">
        <v>45767.0</v>
      </c>
      <c r="B230" s="37">
        <v>1.0</v>
      </c>
      <c r="C230" s="38" t="s">
        <v>27</v>
      </c>
      <c r="D230" s="37">
        <v>92.2232</v>
      </c>
      <c r="E230" s="38" t="s">
        <v>28</v>
      </c>
    </row>
    <row r="231">
      <c r="A231" s="36">
        <v>45768.0</v>
      </c>
      <c r="B231" s="37">
        <v>1.0</v>
      </c>
      <c r="C231" s="38" t="s">
        <v>27</v>
      </c>
      <c r="D231" s="37">
        <v>92.2232</v>
      </c>
      <c r="E231" s="38" t="s">
        <v>28</v>
      </c>
    </row>
    <row r="232">
      <c r="A232" s="36">
        <v>45769.0</v>
      </c>
      <c r="B232" s="37">
        <v>1.0</v>
      </c>
      <c r="C232" s="38" t="s">
        <v>27</v>
      </c>
      <c r="D232" s="37">
        <v>93.6714</v>
      </c>
      <c r="E232" s="38" t="s">
        <v>28</v>
      </c>
    </row>
    <row r="233">
      <c r="A233" s="36">
        <v>45770.0</v>
      </c>
      <c r="B233" s="37">
        <v>1.0</v>
      </c>
      <c r="C233" s="38" t="s">
        <v>27</v>
      </c>
      <c r="D233" s="37">
        <v>94.04</v>
      </c>
      <c r="E233" s="38" t="s">
        <v>28</v>
      </c>
    </row>
    <row r="234">
      <c r="A234" s="36">
        <v>45771.0</v>
      </c>
      <c r="B234" s="37">
        <v>1.0</v>
      </c>
      <c r="C234" s="38" t="s">
        <v>27</v>
      </c>
      <c r="D234" s="37">
        <v>94.5723</v>
      </c>
      <c r="E234" s="38" t="s">
        <v>28</v>
      </c>
    </row>
    <row r="235">
      <c r="A235" s="36">
        <v>45772.0</v>
      </c>
      <c r="B235" s="37">
        <v>1.0</v>
      </c>
      <c r="C235" s="38" t="s">
        <v>27</v>
      </c>
      <c r="D235" s="37">
        <v>94.7129</v>
      </c>
      <c r="E235" s="38" t="s">
        <v>28</v>
      </c>
    </row>
    <row r="236">
      <c r="A236" s="36">
        <v>45773.0</v>
      </c>
      <c r="B236" s="37">
        <v>1.0</v>
      </c>
      <c r="C236" s="38" t="s">
        <v>27</v>
      </c>
      <c r="D236" s="37">
        <v>94.3593</v>
      </c>
      <c r="E236" s="38" t="s">
        <v>28</v>
      </c>
    </row>
    <row r="237">
      <c r="A237" s="36">
        <v>45774.0</v>
      </c>
      <c r="B237" s="37">
        <v>1.0</v>
      </c>
      <c r="C237" s="38" t="s">
        <v>27</v>
      </c>
      <c r="D237" s="37">
        <v>94.3593</v>
      </c>
      <c r="E237" s="38" t="s">
        <v>28</v>
      </c>
    </row>
    <row r="238">
      <c r="A238" s="36">
        <v>45775.0</v>
      </c>
      <c r="B238" s="37">
        <v>1.0</v>
      </c>
      <c r="C238" s="38" t="s">
        <v>27</v>
      </c>
      <c r="D238" s="37">
        <v>94.3593</v>
      </c>
      <c r="E238" s="38" t="s">
        <v>28</v>
      </c>
    </row>
    <row r="239">
      <c r="A239" s="36">
        <v>45776.0</v>
      </c>
      <c r="B239" s="37">
        <v>1.0</v>
      </c>
      <c r="C239" s="38" t="s">
        <v>27</v>
      </c>
      <c r="D239" s="37">
        <v>93.1801</v>
      </c>
      <c r="E239" s="38" t="s">
        <v>28</v>
      </c>
    </row>
    <row r="240">
      <c r="A240" s="36">
        <v>45777.0</v>
      </c>
      <c r="B240" s="37">
        <v>1.0</v>
      </c>
      <c r="C240" s="38" t="s">
        <v>27</v>
      </c>
      <c r="D240" s="37">
        <v>93.173</v>
      </c>
      <c r="E240" s="38" t="s">
        <v>28</v>
      </c>
    </row>
    <row r="241">
      <c r="A241" s="36">
        <v>45778.0</v>
      </c>
      <c r="B241" s="37">
        <v>1.0</v>
      </c>
      <c r="C241" s="38" t="s">
        <v>27</v>
      </c>
      <c r="D241" s="37">
        <v>92.837</v>
      </c>
      <c r="E241" s="38" t="s">
        <v>28</v>
      </c>
    </row>
    <row r="242">
      <c r="A242" s="36">
        <v>45779.0</v>
      </c>
      <c r="B242" s="37">
        <v>1.0</v>
      </c>
      <c r="C242" s="38" t="s">
        <v>27</v>
      </c>
      <c r="D242" s="37">
        <v>92.837</v>
      </c>
      <c r="E242" s="38" t="s">
        <v>28</v>
      </c>
    </row>
    <row r="243">
      <c r="A243" s="36">
        <v>45780.0</v>
      </c>
      <c r="B243" s="37">
        <v>1.0</v>
      </c>
      <c r="C243" s="38" t="s">
        <v>27</v>
      </c>
      <c r="D243" s="37">
        <v>92.837</v>
      </c>
      <c r="E243" s="38" t="s">
        <v>28</v>
      </c>
    </row>
    <row r="244">
      <c r="A244" s="36">
        <v>45781.0</v>
      </c>
      <c r="B244" s="37">
        <v>1.0</v>
      </c>
      <c r="C244" s="38" t="s">
        <v>27</v>
      </c>
      <c r="D244" s="37">
        <v>92.837</v>
      </c>
      <c r="E244" s="38" t="s">
        <v>28</v>
      </c>
    </row>
    <row r="245">
      <c r="A245" s="36">
        <v>45782.0</v>
      </c>
      <c r="B245" s="37">
        <v>1.0</v>
      </c>
      <c r="C245" s="38" t="s">
        <v>27</v>
      </c>
      <c r="D245" s="37">
        <v>92.837</v>
      </c>
      <c r="E245" s="38" t="s">
        <v>28</v>
      </c>
    </row>
    <row r="246">
      <c r="A246" s="36">
        <v>45783.0</v>
      </c>
      <c r="B246" s="37">
        <v>1.0</v>
      </c>
      <c r="C246" s="38" t="s">
        <v>27</v>
      </c>
      <c r="D246" s="37">
        <v>92.9082</v>
      </c>
      <c r="E246" s="38" t="s">
        <v>28</v>
      </c>
    </row>
    <row r="247">
      <c r="A247" s="36">
        <v>45784.0</v>
      </c>
      <c r="B247" s="37">
        <v>1.0</v>
      </c>
      <c r="C247" s="38" t="s">
        <v>27</v>
      </c>
      <c r="D247" s="37">
        <v>91.9169</v>
      </c>
      <c r="E247" s="38" t="s">
        <v>28</v>
      </c>
    </row>
    <row r="248">
      <c r="A248" s="36">
        <v>45785.0</v>
      </c>
      <c r="B248" s="37">
        <v>1.0</v>
      </c>
      <c r="C248" s="38" t="s">
        <v>27</v>
      </c>
      <c r="D248" s="37">
        <v>92.1439</v>
      </c>
      <c r="E248" s="38" t="s">
        <v>28</v>
      </c>
    </row>
    <row r="249">
      <c r="A249" s="36">
        <v>45786.0</v>
      </c>
      <c r="B249" s="37">
        <v>1.0</v>
      </c>
      <c r="C249" s="38" t="s">
        <v>27</v>
      </c>
      <c r="D249" s="37">
        <v>92.1439</v>
      </c>
      <c r="E249" s="38" t="s">
        <v>28</v>
      </c>
    </row>
    <row r="250">
      <c r="A250" s="36">
        <v>45787.0</v>
      </c>
      <c r="B250" s="37">
        <v>1.0</v>
      </c>
      <c r="C250" s="38" t="s">
        <v>27</v>
      </c>
      <c r="D250" s="37">
        <v>92.1439</v>
      </c>
      <c r="E250" s="38" t="s">
        <v>28</v>
      </c>
    </row>
    <row r="251">
      <c r="A251" s="36">
        <v>45788.0</v>
      </c>
      <c r="B251" s="37">
        <v>1.0</v>
      </c>
      <c r="C251" s="38" t="s">
        <v>27</v>
      </c>
      <c r="D251" s="37">
        <v>92.1439</v>
      </c>
      <c r="E251" s="38" t="s">
        <v>28</v>
      </c>
    </row>
    <row r="252">
      <c r="A252" s="36">
        <v>45789.0</v>
      </c>
      <c r="B252" s="37">
        <v>1.0</v>
      </c>
      <c r="C252" s="38" t="s">
        <v>27</v>
      </c>
      <c r="D252" s="37">
        <v>92.1439</v>
      </c>
      <c r="E252" s="38" t="s">
        <v>28</v>
      </c>
    </row>
    <row r="253">
      <c r="A253" s="36">
        <v>45790.0</v>
      </c>
      <c r="B253" s="37">
        <v>1.0</v>
      </c>
      <c r="C253" s="38" t="s">
        <v>27</v>
      </c>
      <c r="D253" s="37">
        <v>90.1117</v>
      </c>
      <c r="E253" s="38" t="s">
        <v>28</v>
      </c>
    </row>
    <row r="254">
      <c r="A254" s="36">
        <v>45791.0</v>
      </c>
      <c r="B254" s="37">
        <v>1.0</v>
      </c>
      <c r="C254" s="38" t="s">
        <v>27</v>
      </c>
      <c r="D254" s="37">
        <v>89.6956</v>
      </c>
      <c r="E254" s="38" t="s">
        <v>28</v>
      </c>
    </row>
    <row r="255">
      <c r="A255" s="36">
        <v>45792.0</v>
      </c>
      <c r="B255" s="37">
        <v>1.0</v>
      </c>
      <c r="C255" s="38" t="s">
        <v>27</v>
      </c>
      <c r="D255" s="37">
        <v>90.3821</v>
      </c>
      <c r="E255" s="38" t="s">
        <v>28</v>
      </c>
    </row>
    <row r="256">
      <c r="A256" s="36">
        <v>45793.0</v>
      </c>
      <c r="B256" s="37">
        <v>1.0</v>
      </c>
      <c r="C256" s="38" t="s">
        <v>27</v>
      </c>
      <c r="D256" s="37">
        <v>90.1011</v>
      </c>
      <c r="E256" s="38" t="s">
        <v>28</v>
      </c>
    </row>
    <row r="257">
      <c r="A257" s="36">
        <v>45794.0</v>
      </c>
      <c r="B257" s="37">
        <v>1.0</v>
      </c>
      <c r="C257" s="38" t="s">
        <v>27</v>
      </c>
      <c r="D257" s="37">
        <v>90.7062</v>
      </c>
      <c r="E257" s="38" t="s">
        <v>28</v>
      </c>
    </row>
    <row r="258">
      <c r="A258" s="36">
        <v>45795.0</v>
      </c>
      <c r="B258" s="37">
        <v>1.0</v>
      </c>
      <c r="C258" s="38" t="s">
        <v>27</v>
      </c>
      <c r="D258" s="37">
        <v>90.7062</v>
      </c>
      <c r="E258" s="38" t="s">
        <v>28</v>
      </c>
    </row>
    <row r="259">
      <c r="A259" s="36">
        <v>45796.0</v>
      </c>
      <c r="B259" s="37">
        <v>1.0</v>
      </c>
      <c r="C259" s="38" t="s">
        <v>27</v>
      </c>
      <c r="D259" s="37">
        <v>90.7062</v>
      </c>
      <c r="E259" s="38" t="s">
        <v>28</v>
      </c>
    </row>
    <row r="260">
      <c r="A260" s="36">
        <v>45797.0</v>
      </c>
      <c r="B260" s="37">
        <v>1.0</v>
      </c>
      <c r="C260" s="38" t="s">
        <v>27</v>
      </c>
      <c r="D260" s="37">
        <v>90.5098</v>
      </c>
      <c r="E260" s="38" t="s">
        <v>28</v>
      </c>
    </row>
    <row r="261">
      <c r="A261" s="36">
        <v>45798.0</v>
      </c>
      <c r="B261" s="37">
        <v>1.0</v>
      </c>
      <c r="C261" s="38" t="s">
        <v>27</v>
      </c>
      <c r="D261" s="37">
        <v>89.9679</v>
      </c>
      <c r="E261" s="38" t="s">
        <v>28</v>
      </c>
    </row>
    <row r="262">
      <c r="A262" s="36">
        <v>45799.0</v>
      </c>
      <c r="B262" s="37">
        <v>1.0</v>
      </c>
      <c r="C262" s="38" t="s">
        <v>27</v>
      </c>
      <c r="D262" s="37">
        <v>91.299</v>
      </c>
      <c r="E262" s="38" t="s">
        <v>28</v>
      </c>
    </row>
    <row r="263">
      <c r="A263" s="36">
        <v>45800.0</v>
      </c>
      <c r="B263" s="37">
        <v>1.0</v>
      </c>
      <c r="C263" s="38" t="s">
        <v>27</v>
      </c>
      <c r="D263" s="37">
        <v>90.2004</v>
      </c>
      <c r="E263" s="38" t="s">
        <v>28</v>
      </c>
    </row>
    <row r="264">
      <c r="A264" s="36">
        <v>45801.0</v>
      </c>
      <c r="B264" s="37">
        <v>1.0</v>
      </c>
      <c r="C264" s="38" t="s">
        <v>27</v>
      </c>
      <c r="D264" s="37">
        <v>90.5207</v>
      </c>
      <c r="E264" s="38" t="s">
        <v>28</v>
      </c>
    </row>
    <row r="265">
      <c r="A265" s="36">
        <v>45802.0</v>
      </c>
      <c r="B265" s="37">
        <v>1.0</v>
      </c>
      <c r="C265" s="38" t="s">
        <v>27</v>
      </c>
      <c r="D265" s="37">
        <v>90.5207</v>
      </c>
      <c r="E265" s="38" t="s">
        <v>28</v>
      </c>
    </row>
    <row r="266">
      <c r="A266" s="36">
        <v>45803.0</v>
      </c>
      <c r="B266" s="37">
        <v>1.0</v>
      </c>
      <c r="C266" s="38" t="s">
        <v>27</v>
      </c>
      <c r="D266" s="37">
        <v>90.5207</v>
      </c>
      <c r="E266" s="38" t="s">
        <v>28</v>
      </c>
    </row>
    <row r="267">
      <c r="A267" s="36">
        <v>45804.0</v>
      </c>
      <c r="B267" s="37">
        <v>1.0</v>
      </c>
      <c r="C267" s="38" t="s">
        <v>27</v>
      </c>
      <c r="D267" s="37">
        <v>90.4644</v>
      </c>
      <c r="E267" s="38" t="s">
        <v>28</v>
      </c>
    </row>
    <row r="268">
      <c r="A268" s="36">
        <v>45805.0</v>
      </c>
      <c r="B268" s="37">
        <v>1.0</v>
      </c>
      <c r="C268" s="38" t="s">
        <v>27</v>
      </c>
      <c r="D268" s="37">
        <v>90.9007</v>
      </c>
      <c r="E268" s="38" t="s">
        <v>28</v>
      </c>
    </row>
    <row r="269">
      <c r="A269" s="36">
        <v>45806.0</v>
      </c>
      <c r="B269" s="37">
        <v>1.0</v>
      </c>
      <c r="C269" s="38" t="s">
        <v>27</v>
      </c>
      <c r="D269" s="37">
        <v>90.3365</v>
      </c>
      <c r="E269" s="38" t="s">
        <v>28</v>
      </c>
    </row>
    <row r="270">
      <c r="A270" s="36">
        <v>45807.0</v>
      </c>
      <c r="B270" s="37">
        <v>1.0</v>
      </c>
      <c r="C270" s="38" t="s">
        <v>27</v>
      </c>
      <c r="D270" s="37">
        <v>88.9481</v>
      </c>
      <c r="E270" s="38" t="s">
        <v>28</v>
      </c>
    </row>
    <row r="271">
      <c r="A271" s="36">
        <v>45808.0</v>
      </c>
      <c r="B271" s="37">
        <v>1.0</v>
      </c>
      <c r="C271" s="38" t="s">
        <v>27</v>
      </c>
      <c r="D271" s="37">
        <v>89.2512</v>
      </c>
      <c r="E271" s="38" t="s">
        <v>28</v>
      </c>
    </row>
    <row r="272">
      <c r="A272" s="36">
        <v>45809.0</v>
      </c>
      <c r="B272" s="37">
        <v>1.0</v>
      </c>
      <c r="C272" s="38" t="s">
        <v>27</v>
      </c>
      <c r="D272" s="37">
        <v>89.2512</v>
      </c>
      <c r="E272" s="38" t="s">
        <v>28</v>
      </c>
    </row>
    <row r="273">
      <c r="A273" s="36">
        <v>45810.0</v>
      </c>
      <c r="B273" s="37">
        <v>1.0</v>
      </c>
      <c r="C273" s="38" t="s">
        <v>27</v>
      </c>
      <c r="D273" s="37">
        <v>89.2512</v>
      </c>
      <c r="E273" s="38" t="s">
        <v>28</v>
      </c>
    </row>
    <row r="274">
      <c r="A274" s="36">
        <v>45811.0</v>
      </c>
      <c r="B274" s="37">
        <v>1.0</v>
      </c>
      <c r="C274" s="38" t="s">
        <v>27</v>
      </c>
      <c r="D274" s="37">
        <v>90.377</v>
      </c>
      <c r="E274" s="38" t="s">
        <v>28</v>
      </c>
    </row>
    <row r="275">
      <c r="A275" s="36">
        <v>45812.0</v>
      </c>
      <c r="B275" s="37">
        <v>1.0</v>
      </c>
      <c r="C275" s="38" t="s">
        <v>27</v>
      </c>
      <c r="D275" s="37">
        <v>89.9267</v>
      </c>
      <c r="E275" s="38" t="s">
        <v>28</v>
      </c>
    </row>
    <row r="276">
      <c r="A276" s="36">
        <v>45813.0</v>
      </c>
      <c r="B276" s="37">
        <v>1.0</v>
      </c>
      <c r="C276" s="38" t="s">
        <v>27</v>
      </c>
      <c r="D276" s="37">
        <v>89.3108</v>
      </c>
      <c r="E276" s="38" t="s">
        <v>28</v>
      </c>
    </row>
    <row r="277">
      <c r="A277" s="36">
        <v>45814.0</v>
      </c>
      <c r="B277" s="37">
        <v>1.0</v>
      </c>
      <c r="C277" s="38" t="s">
        <v>27</v>
      </c>
      <c r="D277" s="37">
        <v>90.6635</v>
      </c>
      <c r="E277" s="38" t="s">
        <v>28</v>
      </c>
    </row>
    <row r="278">
      <c r="A278" s="36">
        <v>45815.0</v>
      </c>
      <c r="B278" s="37">
        <v>1.0</v>
      </c>
      <c r="C278" s="38" t="s">
        <v>27</v>
      </c>
      <c r="D278" s="37">
        <v>90.3954</v>
      </c>
      <c r="E278" s="38" t="s">
        <v>28</v>
      </c>
    </row>
    <row r="279">
      <c r="A279" s="36">
        <v>45816.0</v>
      </c>
      <c r="B279" s="37">
        <v>1.0</v>
      </c>
      <c r="C279" s="38" t="s">
        <v>27</v>
      </c>
      <c r="D279" s="37">
        <v>90.3954</v>
      </c>
      <c r="E279" s="38" t="s">
        <v>28</v>
      </c>
    </row>
    <row r="280">
      <c r="A280" s="36">
        <v>45817.0</v>
      </c>
      <c r="B280" s="37">
        <v>1.0</v>
      </c>
      <c r="C280" s="38" t="s">
        <v>27</v>
      </c>
      <c r="D280" s="37">
        <v>90.3954</v>
      </c>
      <c r="E280" s="38" t="s">
        <v>28</v>
      </c>
    </row>
    <row r="281">
      <c r="A281" s="36">
        <v>45818.0</v>
      </c>
      <c r="B281" s="37">
        <v>1.0</v>
      </c>
      <c r="C281" s="38" t="s">
        <v>27</v>
      </c>
      <c r="D281" s="37">
        <v>90.3666</v>
      </c>
      <c r="E281" s="38" t="s">
        <v>28</v>
      </c>
    </row>
    <row r="282">
      <c r="A282" s="36">
        <v>45819.0</v>
      </c>
      <c r="B282" s="37">
        <v>1.0</v>
      </c>
      <c r="C282" s="38" t="s">
        <v>27</v>
      </c>
      <c r="D282" s="37">
        <v>89.7918</v>
      </c>
      <c r="E282" s="38" t="s">
        <v>28</v>
      </c>
    </row>
    <row r="283">
      <c r="A283" s="36">
        <v>45820.0</v>
      </c>
      <c r="B283" s="37">
        <v>1.0</v>
      </c>
      <c r="C283" s="38" t="s">
        <v>27</v>
      </c>
      <c r="D283" s="37">
        <v>90.0068</v>
      </c>
      <c r="E283" s="38" t="s">
        <v>28</v>
      </c>
    </row>
    <row r="284">
      <c r="A284" s="36">
        <v>45821.0</v>
      </c>
      <c r="B284" s="37">
        <v>1.0</v>
      </c>
      <c r="C284" s="38" t="s">
        <v>27</v>
      </c>
      <c r="D284" s="37">
        <v>90.0068</v>
      </c>
      <c r="E284" s="38" t="s">
        <v>28</v>
      </c>
    </row>
    <row r="285">
      <c r="A285" s="36">
        <v>45822.0</v>
      </c>
      <c r="B285" s="37">
        <v>1.0</v>
      </c>
      <c r="C285" s="38" t="s">
        <v>27</v>
      </c>
      <c r="D285" s="37">
        <v>90.0068</v>
      </c>
      <c r="E285" s="38" t="s">
        <v>28</v>
      </c>
    </row>
    <row r="286">
      <c r="A286" s="36">
        <v>45823.0</v>
      </c>
      <c r="B286" s="37">
        <v>1.0</v>
      </c>
      <c r="C286" s="38" t="s">
        <v>27</v>
      </c>
      <c r="D286" s="37">
        <v>90.0068</v>
      </c>
      <c r="E286" s="38" t="s">
        <v>28</v>
      </c>
    </row>
    <row r="287">
      <c r="A287" s="36">
        <v>45824.0</v>
      </c>
      <c r="B287" s="37">
        <v>1.0</v>
      </c>
      <c r="C287" s="38" t="s">
        <v>27</v>
      </c>
      <c r="D287" s="37">
        <v>90.0068</v>
      </c>
      <c r="E287" s="38" t="s">
        <v>28</v>
      </c>
    </row>
    <row r="288">
      <c r="A288" s="36">
        <v>45825.0</v>
      </c>
      <c r="B288" s="37">
        <v>1.0</v>
      </c>
      <c r="C288" s="38" t="s">
        <v>27</v>
      </c>
      <c r="D288" s="37">
        <v>90.9438</v>
      </c>
      <c r="E288" s="38" t="s">
        <v>28</v>
      </c>
    </row>
    <row r="289">
      <c r="A289" s="36">
        <v>45826.0</v>
      </c>
      <c r="B289" s="37">
        <v>1.0</v>
      </c>
      <c r="C289" s="38" t="s">
        <v>27</v>
      </c>
      <c r="D289" s="37">
        <v>90.7548</v>
      </c>
      <c r="E289" s="38" t="s">
        <v>28</v>
      </c>
    </row>
    <row r="290">
      <c r="A290" s="36">
        <v>45827.0</v>
      </c>
      <c r="B290" s="37">
        <v>1.0</v>
      </c>
      <c r="C290" s="38" t="s">
        <v>27</v>
      </c>
      <c r="D290" s="37">
        <v>90.3093</v>
      </c>
      <c r="E290" s="38" t="s">
        <v>28</v>
      </c>
    </row>
    <row r="291">
      <c r="A291" s="36">
        <v>45828.0</v>
      </c>
      <c r="B291" s="37">
        <v>1.0</v>
      </c>
      <c r="C291" s="38" t="s">
        <v>27</v>
      </c>
      <c r="D291" s="37">
        <v>89.838</v>
      </c>
      <c r="E291" s="38" t="s">
        <v>28</v>
      </c>
    </row>
    <row r="292">
      <c r="A292" s="36">
        <v>45829.0</v>
      </c>
      <c r="B292" s="37">
        <v>1.0</v>
      </c>
      <c r="C292" s="38" t="s">
        <v>27</v>
      </c>
      <c r="D292" s="37">
        <v>90.1356</v>
      </c>
      <c r="E292" s="38" t="s">
        <v>28</v>
      </c>
    </row>
    <row r="293">
      <c r="A293" s="36">
        <v>45830.0</v>
      </c>
      <c r="B293" s="37">
        <v>1.0</v>
      </c>
      <c r="C293" s="38" t="s">
        <v>27</v>
      </c>
      <c r="D293" s="37">
        <v>90.1356</v>
      </c>
      <c r="E293" s="38" t="s">
        <v>28</v>
      </c>
    </row>
    <row r="294">
      <c r="A294" s="36">
        <v>45831.0</v>
      </c>
      <c r="B294" s="37">
        <v>1.0</v>
      </c>
      <c r="C294" s="38" t="s">
        <v>27</v>
      </c>
      <c r="D294" s="37">
        <v>90.1356</v>
      </c>
      <c r="E294" s="38" t="s">
        <v>28</v>
      </c>
    </row>
    <row r="295">
      <c r="A295" s="36">
        <v>45832.0</v>
      </c>
      <c r="B295" s="37">
        <v>1.0</v>
      </c>
      <c r="C295" s="38" t="s">
        <v>27</v>
      </c>
      <c r="D295" s="37">
        <v>89.8388</v>
      </c>
      <c r="E295" s="38" t="s">
        <v>28</v>
      </c>
    </row>
    <row r="296">
      <c r="A296" s="36">
        <v>45833.0</v>
      </c>
      <c r="B296" s="37">
        <v>1.0</v>
      </c>
      <c r="C296" s="38" t="s">
        <v>27</v>
      </c>
      <c r="D296" s="37">
        <v>91.737</v>
      </c>
      <c r="E296" s="38" t="s">
        <v>28</v>
      </c>
    </row>
    <row r="297">
      <c r="A297" s="36">
        <v>45834.0</v>
      </c>
      <c r="B297" s="37">
        <v>1.0</v>
      </c>
      <c r="C297" s="38" t="s">
        <v>27</v>
      </c>
      <c r="D297" s="37">
        <v>91.0599</v>
      </c>
      <c r="E297" s="38" t="s">
        <v>28</v>
      </c>
    </row>
    <row r="298">
      <c r="A298" s="36">
        <v>45835.0</v>
      </c>
      <c r="B298" s="37">
        <v>1.0</v>
      </c>
      <c r="C298" s="38" t="s">
        <v>27</v>
      </c>
      <c r="D298" s="37">
        <v>91.6601</v>
      </c>
      <c r="E298" s="38" t="s">
        <v>28</v>
      </c>
    </row>
    <row r="299">
      <c r="A299" s="36">
        <v>45836.0</v>
      </c>
      <c r="B299" s="37">
        <v>1.0</v>
      </c>
      <c r="C299" s="38" t="s">
        <v>27</v>
      </c>
      <c r="D299" s="37">
        <v>92.2785</v>
      </c>
      <c r="E299" s="38" t="s">
        <v>28</v>
      </c>
    </row>
    <row r="300">
      <c r="A300" s="36">
        <v>45837.0</v>
      </c>
      <c r="B300" s="37">
        <v>1.0</v>
      </c>
      <c r="C300" s="38" t="s">
        <v>27</v>
      </c>
      <c r="D300" s="37">
        <v>92.2785</v>
      </c>
      <c r="E300" s="38" t="s">
        <v>28</v>
      </c>
    </row>
    <row r="301">
      <c r="A301" s="36">
        <v>45838.0</v>
      </c>
      <c r="B301" s="37">
        <v>1.0</v>
      </c>
      <c r="C301" s="38" t="s">
        <v>27</v>
      </c>
      <c r="D301" s="37">
        <v>92.2785</v>
      </c>
      <c r="E301" s="38" t="s">
        <v>28</v>
      </c>
    </row>
    <row r="302">
      <c r="A302" s="36">
        <v>45839.0</v>
      </c>
      <c r="B302" s="37">
        <v>1.0</v>
      </c>
      <c r="C302" s="38" t="s">
        <v>27</v>
      </c>
      <c r="D302" s="37">
        <v>92.2672</v>
      </c>
      <c r="E302" s="38" t="s">
        <v>28</v>
      </c>
    </row>
    <row r="303">
      <c r="A303" s="36">
        <v>45840.0</v>
      </c>
      <c r="B303" s="37">
        <v>1.0</v>
      </c>
      <c r="C303" s="38" t="s">
        <v>27</v>
      </c>
      <c r="D303" s="37">
        <v>92.744</v>
      </c>
      <c r="E303" s="38" t="s">
        <v>28</v>
      </c>
    </row>
    <row r="304">
      <c r="A304" s="36">
        <v>45841.0</v>
      </c>
      <c r="B304" s="37">
        <v>1.0</v>
      </c>
      <c r="C304" s="38" t="s">
        <v>27</v>
      </c>
      <c r="D304" s="37">
        <v>92.6774</v>
      </c>
      <c r="E304" s="38" t="s">
        <v>28</v>
      </c>
    </row>
    <row r="305">
      <c r="A305" s="36">
        <v>45842.0</v>
      </c>
      <c r="B305" s="37">
        <v>1.0</v>
      </c>
      <c r="C305" s="38" t="s">
        <v>27</v>
      </c>
      <c r="D305" s="37">
        <v>93.1277</v>
      </c>
      <c r="E305" s="38" t="s">
        <v>28</v>
      </c>
    </row>
    <row r="306">
      <c r="A306" s="36">
        <v>45843.0</v>
      </c>
      <c r="B306" s="37">
        <v>1.0</v>
      </c>
      <c r="C306" s="38" t="s">
        <v>27</v>
      </c>
      <c r="D306" s="37">
        <v>93.0103</v>
      </c>
      <c r="E306" s="38" t="s">
        <v>28</v>
      </c>
    </row>
    <row r="307">
      <c r="A307" s="36">
        <v>45844.0</v>
      </c>
      <c r="B307" s="37">
        <v>1.0</v>
      </c>
      <c r="C307" s="38" t="s">
        <v>27</v>
      </c>
      <c r="D307" s="37">
        <v>93.0103</v>
      </c>
      <c r="E307" s="38" t="s">
        <v>28</v>
      </c>
    </row>
    <row r="308">
      <c r="A308" s="36">
        <v>45845.0</v>
      </c>
      <c r="B308" s="37">
        <v>1.0</v>
      </c>
      <c r="C308" s="38" t="s">
        <v>27</v>
      </c>
      <c r="D308" s="37">
        <v>93.0103</v>
      </c>
      <c r="E308" s="38" t="s">
        <v>28</v>
      </c>
    </row>
    <row r="309">
      <c r="A309" s="36">
        <v>45846.0</v>
      </c>
      <c r="B309" s="37">
        <v>1.0</v>
      </c>
      <c r="C309" s="38" t="s">
        <v>27</v>
      </c>
      <c r="D309" s="37">
        <v>92.4138</v>
      </c>
      <c r="E309" s="38" t="s">
        <v>28</v>
      </c>
    </row>
    <row r="310">
      <c r="A310" s="36">
        <v>45847.0</v>
      </c>
      <c r="B310" s="37">
        <v>1.0</v>
      </c>
      <c r="C310" s="38" t="s">
        <v>27</v>
      </c>
      <c r="D310" s="37">
        <v>91.9667</v>
      </c>
      <c r="E310" s="38" t="s">
        <v>28</v>
      </c>
    </row>
    <row r="311">
      <c r="A311" s="36">
        <v>45848.0</v>
      </c>
      <c r="B311" s="37">
        <v>1.0</v>
      </c>
      <c r="C311" s="38" t="s">
        <v>27</v>
      </c>
      <c r="D311" s="37">
        <v>91.4175</v>
      </c>
      <c r="E311" s="38" t="s">
        <v>28</v>
      </c>
    </row>
    <row r="312">
      <c r="A312" s="36">
        <v>45849.0</v>
      </c>
      <c r="B312" s="37">
        <v>1.0</v>
      </c>
      <c r="C312" s="38" t="s">
        <v>27</v>
      </c>
      <c r="D312" s="37">
        <v>91.4992</v>
      </c>
      <c r="E312" s="38" t="s">
        <v>28</v>
      </c>
    </row>
    <row r="313">
      <c r="A313" s="36">
        <v>45850.0</v>
      </c>
      <c r="B313" s="37">
        <v>1.0</v>
      </c>
      <c r="C313" s="38" t="s">
        <v>27</v>
      </c>
      <c r="D313" s="37">
        <v>91.1201</v>
      </c>
      <c r="E313" s="38" t="s">
        <v>28</v>
      </c>
    </row>
    <row r="314">
      <c r="A314" s="36">
        <v>45851.0</v>
      </c>
      <c r="B314" s="37">
        <v>1.0</v>
      </c>
      <c r="C314" s="38" t="s">
        <v>27</v>
      </c>
      <c r="D314" s="37">
        <v>91.1201</v>
      </c>
      <c r="E314" s="38" t="s">
        <v>28</v>
      </c>
    </row>
    <row r="315">
      <c r="A315" s="36">
        <v>45852.0</v>
      </c>
      <c r="B315" s="37">
        <v>1.0</v>
      </c>
      <c r="C315" s="38" t="s">
        <v>27</v>
      </c>
      <c r="D315" s="37">
        <v>91.1201</v>
      </c>
      <c r="E315" s="38" t="s">
        <v>28</v>
      </c>
    </row>
    <row r="316">
      <c r="A316" s="36">
        <v>45853.0</v>
      </c>
      <c r="B316" s="37">
        <v>1.0</v>
      </c>
      <c r="C316" s="38" t="s">
        <v>27</v>
      </c>
      <c r="D316" s="37">
        <v>91.7738</v>
      </c>
      <c r="E316" s="38" t="s">
        <v>28</v>
      </c>
    </row>
    <row r="317">
      <c r="A317" s="36">
        <v>45854.0</v>
      </c>
      <c r="B317" s="37">
        <v>1.0</v>
      </c>
      <c r="C317" s="38" t="s">
        <v>27</v>
      </c>
      <c r="D317" s="37">
        <v>91.1531</v>
      </c>
      <c r="E317" s="38" t="s">
        <v>28</v>
      </c>
    </row>
    <row r="318">
      <c r="A318" s="36">
        <v>45855.0</v>
      </c>
      <c r="B318" s="37">
        <v>1.0</v>
      </c>
      <c r="C318" s="38" t="s">
        <v>27</v>
      </c>
      <c r="D318" s="37">
        <v>90.5635</v>
      </c>
      <c r="E318" s="38" t="s">
        <v>28</v>
      </c>
    </row>
    <row r="319">
      <c r="A319" s="36">
        <v>45856.0</v>
      </c>
      <c r="B319" s="37">
        <v>1.0</v>
      </c>
      <c r="C319" s="38" t="s">
        <v>27</v>
      </c>
      <c r="D319" s="37">
        <v>90.9716</v>
      </c>
      <c r="E319" s="38" t="s">
        <v>28</v>
      </c>
    </row>
    <row r="320">
      <c r="A320" s="36">
        <v>45857.0</v>
      </c>
      <c r="B320" s="37">
        <v>1.0</v>
      </c>
      <c r="C320" s="38" t="s">
        <v>27</v>
      </c>
      <c r="D320" s="37">
        <v>91.0821</v>
      </c>
      <c r="E320" s="38" t="s">
        <v>28</v>
      </c>
    </row>
    <row r="321">
      <c r="A321" s="36">
        <v>45858.0</v>
      </c>
      <c r="B321" s="37">
        <v>1.0</v>
      </c>
      <c r="C321" s="38" t="s">
        <v>27</v>
      </c>
      <c r="D321" s="37">
        <v>91.0821</v>
      </c>
      <c r="E321" s="38" t="s">
        <v>28</v>
      </c>
    </row>
    <row r="322">
      <c r="A322" s="36">
        <v>45859.0</v>
      </c>
      <c r="B322" s="37">
        <v>1.0</v>
      </c>
      <c r="C322" s="38" t="s">
        <v>27</v>
      </c>
      <c r="D322" s="37">
        <v>91.0821</v>
      </c>
      <c r="E322" s="38" t="s">
        <v>28</v>
      </c>
    </row>
    <row r="323">
      <c r="A323" s="36">
        <v>45860.0</v>
      </c>
      <c r="B323" s="37">
        <v>1.0</v>
      </c>
      <c r="C323" s="38" t="s">
        <v>27</v>
      </c>
      <c r="D323" s="37">
        <v>91.5138</v>
      </c>
      <c r="E323" s="38" t="s">
        <v>28</v>
      </c>
    </row>
    <row r="324">
      <c r="A324" s="36">
        <v>45861.0</v>
      </c>
      <c r="B324" s="37">
        <v>1.0</v>
      </c>
      <c r="C324" s="38" t="s">
        <v>27</v>
      </c>
      <c r="D324" s="37">
        <v>91.7782</v>
      </c>
      <c r="E324" s="38" t="s">
        <v>28</v>
      </c>
    </row>
    <row r="325">
      <c r="A325" s="36">
        <v>45862.0</v>
      </c>
      <c r="B325" s="37">
        <v>1.0</v>
      </c>
      <c r="C325" s="38" t="s">
        <v>27</v>
      </c>
      <c r="D325" s="37">
        <v>91.7897</v>
      </c>
      <c r="E325" s="38" t="s">
        <v>28</v>
      </c>
    </row>
    <row r="326">
      <c r="A326" s="36">
        <v>45863.0</v>
      </c>
      <c r="B326" s="37">
        <v>1.0</v>
      </c>
      <c r="C326" s="38" t="s">
        <v>27</v>
      </c>
      <c r="D326" s="37">
        <v>93.3362</v>
      </c>
      <c r="E326" s="38" t="s">
        <v>28</v>
      </c>
    </row>
    <row r="327">
      <c r="A327" s="36">
        <v>45864.0</v>
      </c>
      <c r="B327" s="37">
        <v>1.0</v>
      </c>
      <c r="C327" s="38" t="s">
        <v>27</v>
      </c>
      <c r="D327" s="37">
        <v>93.3508</v>
      </c>
      <c r="E327" s="38" t="s">
        <v>28</v>
      </c>
    </row>
    <row r="328">
      <c r="A328" s="36">
        <v>45865.0</v>
      </c>
      <c r="B328" s="37">
        <v>1.0</v>
      </c>
      <c r="C328" s="38" t="s">
        <v>27</v>
      </c>
      <c r="D328" s="37">
        <v>93.3508</v>
      </c>
      <c r="E328" s="38" t="s">
        <v>28</v>
      </c>
    </row>
    <row r="329">
      <c r="A329" s="36">
        <v>45866.0</v>
      </c>
      <c r="B329" s="37">
        <v>1.0</v>
      </c>
      <c r="C329" s="38" t="s">
        <v>27</v>
      </c>
      <c r="D329" s="37">
        <v>93.3508</v>
      </c>
      <c r="E329" s="38" t="s">
        <v>28</v>
      </c>
    </row>
    <row r="330">
      <c r="A330" s="36">
        <v>45867.0</v>
      </c>
      <c r="B330" s="37">
        <v>1.0</v>
      </c>
      <c r="C330" s="38" t="s">
        <v>27</v>
      </c>
      <c r="D330" s="37">
        <v>93.206</v>
      </c>
      <c r="E330" s="38" t="s">
        <v>28</v>
      </c>
    </row>
    <row r="331">
      <c r="A331" s="36">
        <v>45868.0</v>
      </c>
      <c r="B331" s="37">
        <v>1.0</v>
      </c>
      <c r="C331" s="38" t="s">
        <v>27</v>
      </c>
      <c r="D331" s="37">
        <v>94.9976</v>
      </c>
      <c r="E331" s="38" t="s">
        <v>28</v>
      </c>
    </row>
    <row r="332">
      <c r="A332" s="36">
        <v>45869.0</v>
      </c>
      <c r="B332" s="37">
        <v>1.0</v>
      </c>
      <c r="C332" s="38" t="s">
        <v>27</v>
      </c>
      <c r="D332" s="37">
        <v>94.9514</v>
      </c>
      <c r="E332" s="38" t="s">
        <v>28</v>
      </c>
    </row>
    <row r="333">
      <c r="A333" s="36">
        <v>45870.0</v>
      </c>
      <c r="B333" s="37">
        <v>1.0</v>
      </c>
      <c r="C333" s="38" t="s">
        <v>27</v>
      </c>
      <c r="D333" s="37">
        <v>91.8751</v>
      </c>
      <c r="E333" s="38" t="s">
        <v>28</v>
      </c>
    </row>
    <row r="334">
      <c r="A334" s="36">
        <v>45871.0</v>
      </c>
      <c r="B334" s="37">
        <v>1.0</v>
      </c>
      <c r="C334" s="38" t="s">
        <v>27</v>
      </c>
      <c r="D334" s="37">
        <v>91.7056</v>
      </c>
      <c r="E334" s="38" t="s">
        <v>28</v>
      </c>
    </row>
    <row r="335">
      <c r="A335" s="36">
        <v>45872.0</v>
      </c>
      <c r="B335" s="37">
        <v>1.0</v>
      </c>
      <c r="C335" s="38" t="s">
        <v>27</v>
      </c>
      <c r="D335" s="37">
        <v>91.7056</v>
      </c>
      <c r="E335" s="38" t="s">
        <v>28</v>
      </c>
    </row>
    <row r="336">
      <c r="A336" s="36">
        <v>45873.0</v>
      </c>
      <c r="B336" s="37">
        <v>1.0</v>
      </c>
      <c r="C336" s="38" t="s">
        <v>27</v>
      </c>
      <c r="D336" s="37">
        <v>91.7056</v>
      </c>
      <c r="E336" s="38" t="s">
        <v>28</v>
      </c>
    </row>
    <row r="337">
      <c r="A337" s="36">
        <v>45874.0</v>
      </c>
      <c r="B337" s="37">
        <v>1.0</v>
      </c>
      <c r="C337" s="38" t="s">
        <v>27</v>
      </c>
      <c r="D337" s="37">
        <v>92.3252</v>
      </c>
      <c r="E337" s="38" t="s">
        <v>28</v>
      </c>
    </row>
    <row r="338">
      <c r="A338" s="36">
        <v>45875.0</v>
      </c>
      <c r="B338" s="37">
        <v>1.0</v>
      </c>
      <c r="C338" s="38" t="s">
        <v>27</v>
      </c>
      <c r="D338" s="37">
        <v>92.5094</v>
      </c>
      <c r="E338" s="38" t="s">
        <v>28</v>
      </c>
    </row>
    <row r="339">
      <c r="A339" s="36">
        <v>45876.0</v>
      </c>
      <c r="B339" s="37">
        <v>1.0</v>
      </c>
      <c r="C339" s="38" t="s">
        <v>27</v>
      </c>
      <c r="D339" s="37">
        <v>93.0072</v>
      </c>
      <c r="E339" s="38" t="s">
        <v>28</v>
      </c>
    </row>
    <row r="340">
      <c r="A340" s="36">
        <v>45877.0</v>
      </c>
      <c r="B340" s="37">
        <v>1.0</v>
      </c>
      <c r="C340" s="38" t="s">
        <v>27</v>
      </c>
      <c r="D340" s="37">
        <v>92.6636</v>
      </c>
      <c r="E340" s="38" t="s">
        <v>28</v>
      </c>
    </row>
    <row r="341">
      <c r="A341" s="36">
        <v>45878.0</v>
      </c>
      <c r="B341" s="37">
        <v>1.0</v>
      </c>
      <c r="C341" s="38" t="s">
        <v>27</v>
      </c>
      <c r="D341" s="37">
        <v>92.88</v>
      </c>
      <c r="E341" s="38" t="s">
        <v>28</v>
      </c>
    </row>
    <row r="342">
      <c r="A342" s="36">
        <v>45879.0</v>
      </c>
      <c r="B342" s="37">
        <v>1.0</v>
      </c>
      <c r="C342" s="38" t="s">
        <v>27</v>
      </c>
      <c r="D342" s="37">
        <v>92.88</v>
      </c>
      <c r="E342" s="38" t="s">
        <v>28</v>
      </c>
    </row>
    <row r="343">
      <c r="A343" s="36">
        <v>45880.0</v>
      </c>
      <c r="B343" s="37">
        <v>1.0</v>
      </c>
      <c r="C343" s="38" t="s">
        <v>27</v>
      </c>
      <c r="D343" s="37">
        <v>92.88</v>
      </c>
      <c r="E343" s="38" t="s">
        <v>28</v>
      </c>
    </row>
    <row r="344">
      <c r="A344" s="36">
        <v>45881.0</v>
      </c>
      <c r="B344" s="37">
        <v>1.0</v>
      </c>
      <c r="C344" s="38" t="s">
        <v>27</v>
      </c>
      <c r="D344" s="37">
        <v>92.9485</v>
      </c>
      <c r="E344" s="38" t="s">
        <v>28</v>
      </c>
    </row>
    <row r="345">
      <c r="A345" s="36">
        <v>45882.0</v>
      </c>
      <c r="B345" s="37">
        <v>1.0</v>
      </c>
      <c r="C345" s="38" t="s">
        <v>27</v>
      </c>
      <c r="D345" s="37">
        <v>92.8583</v>
      </c>
      <c r="E345" s="38" t="s">
        <v>28</v>
      </c>
    </row>
    <row r="346">
      <c r="A346" s="36">
        <v>45883.0</v>
      </c>
      <c r="B346" s="37">
        <v>1.0</v>
      </c>
      <c r="C346" s="38" t="s">
        <v>27</v>
      </c>
      <c r="D346" s="37">
        <v>93.3875</v>
      </c>
      <c r="E346" s="38" t="s">
        <v>28</v>
      </c>
    </row>
    <row r="347">
      <c r="A347" s="36">
        <v>45884.0</v>
      </c>
      <c r="B347" s="37">
        <v>1.0</v>
      </c>
      <c r="C347" s="38" t="s">
        <v>27</v>
      </c>
      <c r="D347" s="37">
        <v>93.0588</v>
      </c>
      <c r="E347" s="38" t="s">
        <v>28</v>
      </c>
    </row>
    <row r="348">
      <c r="A348" s="36">
        <v>45885.0</v>
      </c>
      <c r="B348" s="37">
        <v>1.0</v>
      </c>
      <c r="C348" s="38" t="s">
        <v>27</v>
      </c>
      <c r="D348" s="37">
        <v>93.7094</v>
      </c>
      <c r="E348" s="38" t="s">
        <v>28</v>
      </c>
    </row>
    <row r="349">
      <c r="A349" s="36">
        <v>45886.0</v>
      </c>
      <c r="B349" s="37">
        <v>1.0</v>
      </c>
      <c r="C349" s="38" t="s">
        <v>27</v>
      </c>
      <c r="D349" s="37">
        <v>93.7094</v>
      </c>
      <c r="E349" s="38" t="s">
        <v>28</v>
      </c>
    </row>
    <row r="350">
      <c r="A350" s="36">
        <v>45887.0</v>
      </c>
      <c r="B350" s="37">
        <v>1.0</v>
      </c>
      <c r="C350" s="38" t="s">
        <v>27</v>
      </c>
      <c r="D350" s="37">
        <v>93.7094</v>
      </c>
      <c r="E350" s="38" t="s">
        <v>28</v>
      </c>
    </row>
    <row r="351">
      <c r="A351" s="36">
        <v>45888.0</v>
      </c>
      <c r="B351" s="37">
        <v>1.0</v>
      </c>
      <c r="C351" s="38" t="s">
        <v>27</v>
      </c>
      <c r="D351" s="37">
        <v>94.0884</v>
      </c>
      <c r="E351" s="38" t="s">
        <v>28</v>
      </c>
    </row>
    <row r="352">
      <c r="A352" s="36">
        <v>45889.0</v>
      </c>
      <c r="B352" s="37">
        <v>1.0</v>
      </c>
      <c r="C352" s="38" t="s">
        <v>27</v>
      </c>
      <c r="D352" s="37">
        <v>93.5604</v>
      </c>
      <c r="E352" s="38" t="s">
        <v>28</v>
      </c>
    </row>
    <row r="353">
      <c r="A353" s="36">
        <v>45890.0</v>
      </c>
      <c r="B353" s="37">
        <v>1.0</v>
      </c>
      <c r="C353" s="38" t="s">
        <v>27</v>
      </c>
      <c r="D353" s="37">
        <v>93.4791</v>
      </c>
      <c r="E353" s="38" t="s">
        <v>28</v>
      </c>
    </row>
    <row r="354">
      <c r="A354" s="36">
        <v>45891.0</v>
      </c>
      <c r="B354" s="37">
        <v>1.0</v>
      </c>
      <c r="C354" s="38" t="s">
        <v>27</v>
      </c>
      <c r="D354" s="37">
        <v>93.5049</v>
      </c>
      <c r="E354" s="38" t="s">
        <v>28</v>
      </c>
    </row>
    <row r="355">
      <c r="A355" s="36">
        <v>45892.0</v>
      </c>
      <c r="B355" s="37">
        <v>1.0</v>
      </c>
      <c r="C355" s="38" t="s">
        <v>27</v>
      </c>
      <c r="D355" s="37">
        <v>93.6274</v>
      </c>
      <c r="E355" s="38" t="s">
        <v>28</v>
      </c>
    </row>
    <row r="356">
      <c r="A356" s="36">
        <v>45893.0</v>
      </c>
      <c r="B356" s="37">
        <v>1.0</v>
      </c>
      <c r="C356" s="38" t="s">
        <v>27</v>
      </c>
      <c r="D356" s="37">
        <v>93.6274</v>
      </c>
      <c r="E356" s="38" t="s">
        <v>28</v>
      </c>
    </row>
    <row r="357">
      <c r="A357" s="36">
        <v>45894.0</v>
      </c>
      <c r="B357" s="37">
        <v>1.0</v>
      </c>
      <c r="C357" s="38" t="s">
        <v>27</v>
      </c>
      <c r="D357" s="37">
        <v>93.6274</v>
      </c>
      <c r="E357" s="38" t="s">
        <v>28</v>
      </c>
    </row>
    <row r="358">
      <c r="A358" s="36">
        <v>45895.0</v>
      </c>
      <c r="B358" s="37">
        <v>1.0</v>
      </c>
      <c r="C358" s="38" t="s">
        <v>27</v>
      </c>
      <c r="D358" s="37">
        <v>94.4622</v>
      </c>
      <c r="E358" s="38" t="s">
        <v>28</v>
      </c>
    </row>
    <row r="359">
      <c r="A359" s="36">
        <v>45896.0</v>
      </c>
      <c r="B359" s="37">
        <v>1.0</v>
      </c>
      <c r="C359" s="38" t="s">
        <v>27</v>
      </c>
      <c r="D359" s="37">
        <v>93.3684</v>
      </c>
      <c r="E359" s="38" t="s">
        <v>28</v>
      </c>
    </row>
    <row r="360">
      <c r="A360" s="36">
        <v>45897.0</v>
      </c>
      <c r="B360" s="37">
        <v>1.0</v>
      </c>
      <c r="C360" s="38" t="s">
        <v>27</v>
      </c>
      <c r="D360" s="37">
        <v>93.3428</v>
      </c>
      <c r="E360" s="38" t="s">
        <v>28</v>
      </c>
    </row>
    <row r="361">
      <c r="A361" s="36">
        <v>45898.0</v>
      </c>
      <c r="B361" s="37">
        <v>1.0</v>
      </c>
      <c r="C361" s="38" t="s">
        <v>27</v>
      </c>
      <c r="D361" s="37">
        <v>93.4891</v>
      </c>
      <c r="E361" s="38" t="s">
        <v>28</v>
      </c>
    </row>
    <row r="362">
      <c r="A362" s="36">
        <v>45899.0</v>
      </c>
      <c r="B362" s="37">
        <v>1.0</v>
      </c>
      <c r="C362" s="38" t="s">
        <v>27</v>
      </c>
      <c r="D362" s="37">
        <v>94.0479</v>
      </c>
      <c r="E362" s="38" t="s">
        <v>28</v>
      </c>
    </row>
    <row r="363">
      <c r="A363" s="36">
        <v>45900.0</v>
      </c>
      <c r="B363" s="37">
        <v>1.0</v>
      </c>
      <c r="C363" s="38" t="s">
        <v>27</v>
      </c>
      <c r="D363" s="37">
        <v>94.0479</v>
      </c>
      <c r="E363" s="38" t="s">
        <v>28</v>
      </c>
    </row>
    <row r="364">
      <c r="A364" s="36">
        <v>45901.0</v>
      </c>
      <c r="B364" s="37">
        <v>1.0</v>
      </c>
      <c r="C364" s="38" t="s">
        <v>27</v>
      </c>
      <c r="D364" s="37">
        <v>94.0479</v>
      </c>
      <c r="E364" s="38" t="s">
        <v>28</v>
      </c>
    </row>
    <row r="365">
      <c r="A365" s="36">
        <v>45902.0</v>
      </c>
      <c r="B365" s="37">
        <v>1.0</v>
      </c>
      <c r="C365" s="38" t="s">
        <v>27</v>
      </c>
      <c r="D365" s="37">
        <v>94.3841</v>
      </c>
      <c r="E365" s="38" t="s">
        <v>28</v>
      </c>
    </row>
    <row r="366">
      <c r="A366" s="36">
        <v>45903.0</v>
      </c>
      <c r="B366" s="37">
        <v>1.0</v>
      </c>
      <c r="C366" s="38" t="s">
        <v>27</v>
      </c>
      <c r="D366" s="37">
        <v>93.8373</v>
      </c>
      <c r="E366" s="38" t="s">
        <v>28</v>
      </c>
    </row>
    <row r="367">
      <c r="A367" s="36">
        <v>45904.0</v>
      </c>
      <c r="B367" s="37">
        <v>1.0</v>
      </c>
      <c r="C367" s="38" t="s">
        <v>27</v>
      </c>
      <c r="D367" s="37">
        <v>94.2539</v>
      </c>
      <c r="E367" s="38" t="s">
        <v>28</v>
      </c>
    </row>
    <row r="368">
      <c r="A368" s="36">
        <v>45905.0</v>
      </c>
      <c r="B368" s="37">
        <v>1.0</v>
      </c>
      <c r="C368" s="38" t="s">
        <v>27</v>
      </c>
      <c r="D368" s="37">
        <v>94.7754</v>
      </c>
      <c r="E368" s="38" t="s">
        <v>28</v>
      </c>
    </row>
    <row r="369">
      <c r="A369" s="36">
        <v>45906.0</v>
      </c>
      <c r="B369" s="37">
        <v>1.0</v>
      </c>
      <c r="C369" s="38" t="s">
        <v>27</v>
      </c>
      <c r="D369" s="37">
        <v>95.4792</v>
      </c>
      <c r="E369" s="38" t="s">
        <v>28</v>
      </c>
    </row>
    <row r="370">
      <c r="A370" s="36">
        <v>45907.0</v>
      </c>
      <c r="B370" s="37">
        <v>1.0</v>
      </c>
      <c r="C370" s="38" t="s">
        <v>27</v>
      </c>
      <c r="D370" s="37">
        <v>95.4792</v>
      </c>
      <c r="E370" s="38" t="s">
        <v>28</v>
      </c>
    </row>
    <row r="371">
      <c r="A371" s="36">
        <v>45908.0</v>
      </c>
      <c r="B371" s="37">
        <v>1.0</v>
      </c>
      <c r="C371" s="38" t="s">
        <v>27</v>
      </c>
      <c r="D371" s="37">
        <v>95.4792</v>
      </c>
      <c r="E371" s="38" t="s">
        <v>28</v>
      </c>
    </row>
    <row r="372">
      <c r="A372" s="36">
        <v>45909.0</v>
      </c>
      <c r="B372" s="37">
        <v>1.0</v>
      </c>
      <c r="C372" s="38" t="s">
        <v>27</v>
      </c>
      <c r="D372" s="37">
        <v>96.5691</v>
      </c>
      <c r="E372" s="38" t="s">
        <v>28</v>
      </c>
    </row>
    <row r="373">
      <c r="A373" s="36">
        <v>45910.0</v>
      </c>
      <c r="B373" s="37">
        <v>1.0</v>
      </c>
      <c r="C373" s="38" t="s">
        <v>27</v>
      </c>
      <c r="D373" s="37">
        <v>98.0336</v>
      </c>
      <c r="E373" s="38" t="s">
        <v>28</v>
      </c>
    </row>
    <row r="374">
      <c r="A374" s="36">
        <v>45911.0</v>
      </c>
      <c r="B374" s="37">
        <v>1.0</v>
      </c>
      <c r="C374" s="38" t="s">
        <v>27</v>
      </c>
      <c r="D374" s="37">
        <v>99.8246</v>
      </c>
      <c r="E374" s="38" t="s">
        <v>28</v>
      </c>
    </row>
    <row r="375">
      <c r="A375" s="36">
        <v>45912.0</v>
      </c>
      <c r="B375" s="37">
        <v>1.0</v>
      </c>
      <c r="C375" s="38" t="s">
        <v>27</v>
      </c>
      <c r="D375" s="37">
        <v>99.7367</v>
      </c>
      <c r="E375" s="38" t="s">
        <v>28</v>
      </c>
    </row>
    <row r="376">
      <c r="A376" s="36">
        <v>45913.0</v>
      </c>
      <c r="B376" s="37">
        <v>1.0</v>
      </c>
      <c r="C376" s="38" t="s">
        <v>27</v>
      </c>
      <c r="D376" s="37">
        <v>99.3304</v>
      </c>
      <c r="E376" s="38" t="s">
        <v>28</v>
      </c>
    </row>
    <row r="377">
      <c r="A377" s="36">
        <v>45914.0</v>
      </c>
      <c r="B377" s="37">
        <v>1.0</v>
      </c>
      <c r="C377" s="38" t="s">
        <v>27</v>
      </c>
      <c r="D377" s="37">
        <v>99.3304</v>
      </c>
      <c r="E377" s="38" t="s">
        <v>28</v>
      </c>
    </row>
    <row r="378">
      <c r="A378" s="36">
        <v>45915.0</v>
      </c>
      <c r="B378" s="37">
        <v>1.0</v>
      </c>
      <c r="C378" s="38" t="s">
        <v>27</v>
      </c>
      <c r="D378" s="37">
        <v>99.3304</v>
      </c>
      <c r="E378" s="38" t="s">
        <v>28</v>
      </c>
    </row>
    <row r="379">
      <c r="A379" s="36">
        <v>45916.0</v>
      </c>
      <c r="B379" s="37">
        <v>1.0</v>
      </c>
      <c r="C379" s="38" t="s">
        <v>27</v>
      </c>
      <c r="D379" s="37">
        <v>97.4502</v>
      </c>
      <c r="E379" s="38" t="s">
        <v>28</v>
      </c>
    </row>
    <row r="380">
      <c r="A380" s="36">
        <v>45917.0</v>
      </c>
      <c r="B380" s="37">
        <v>1.0</v>
      </c>
      <c r="C380" s="38" t="s">
        <v>27</v>
      </c>
      <c r="D380" s="37">
        <v>97.8903</v>
      </c>
      <c r="E380" s="38" t="s">
        <v>28</v>
      </c>
    </row>
    <row r="381">
      <c r="A381" s="36">
        <v>45918.0</v>
      </c>
      <c r="B381" s="37">
        <v>1.0</v>
      </c>
      <c r="C381" s="38" t="s">
        <v>27</v>
      </c>
      <c r="D381" s="37">
        <v>98.2994</v>
      </c>
      <c r="E381" s="38" t="s">
        <v>28</v>
      </c>
    </row>
    <row r="382">
      <c r="A382" s="36">
        <v>45919.0</v>
      </c>
      <c r="B382" s="37">
        <v>1.0</v>
      </c>
      <c r="C382" s="38" t="s">
        <v>27</v>
      </c>
      <c r="D382" s="37">
        <v>98.9773</v>
      </c>
      <c r="E382" s="38" t="s">
        <v>28</v>
      </c>
    </row>
    <row r="383">
      <c r="A383" s="36">
        <v>45920.0</v>
      </c>
      <c r="B383" s="37">
        <v>1.0</v>
      </c>
      <c r="C383" s="38" t="s">
        <v>27</v>
      </c>
      <c r="D383" s="37">
        <v>98.8845</v>
      </c>
      <c r="E383" s="38" t="s">
        <v>28</v>
      </c>
    </row>
    <row r="384">
      <c r="A384" s="36">
        <v>45921.0</v>
      </c>
      <c r="B384" s="37">
        <v>1.0</v>
      </c>
      <c r="C384" s="38" t="s">
        <v>27</v>
      </c>
      <c r="D384" s="37">
        <v>98.8845</v>
      </c>
      <c r="E384" s="38" t="s">
        <v>28</v>
      </c>
    </row>
    <row r="385">
      <c r="A385" s="36">
        <v>45922.0</v>
      </c>
      <c r="B385" s="37">
        <v>1.0</v>
      </c>
      <c r="C385" s="38" t="s">
        <v>27</v>
      </c>
      <c r="D385" s="37">
        <v>98.8845</v>
      </c>
      <c r="E385" s="38" t="s">
        <v>28</v>
      </c>
    </row>
    <row r="386">
      <c r="A386" s="36">
        <v>45923.0</v>
      </c>
      <c r="B386" s="37">
        <v>1.0</v>
      </c>
      <c r="C386" s="38" t="s">
        <v>27</v>
      </c>
      <c r="D386" s="37">
        <v>98.9638</v>
      </c>
      <c r="E386" s="38" t="s">
        <v>28</v>
      </c>
    </row>
    <row r="387">
      <c r="A387" s="36">
        <v>45924.0</v>
      </c>
      <c r="B387" s="37">
        <v>1.0</v>
      </c>
      <c r="C387" s="38" t="s">
        <v>27</v>
      </c>
      <c r="D387" s="37">
        <v>99.0363</v>
      </c>
      <c r="E387" s="38" t="s">
        <v>28</v>
      </c>
    </row>
    <row r="388">
      <c r="A388" s="36">
        <v>45925.0</v>
      </c>
      <c r="B388" s="37">
        <v>1.0</v>
      </c>
      <c r="C388" s="38" t="s">
        <v>27</v>
      </c>
      <c r="D388" s="37">
        <v>98.6015</v>
      </c>
      <c r="E388" s="38" t="s">
        <v>28</v>
      </c>
    </row>
    <row r="389">
      <c r="A389" s="36">
        <v>45926.0</v>
      </c>
      <c r="B389" s="37">
        <v>1.0</v>
      </c>
      <c r="C389" s="38" t="s">
        <v>27</v>
      </c>
      <c r="D389" s="37">
        <v>98.1542</v>
      </c>
      <c r="E389" s="38" t="s">
        <v>28</v>
      </c>
    </row>
    <row r="390">
      <c r="A390" s="36">
        <v>45927.0</v>
      </c>
      <c r="B390" s="37">
        <v>1.0</v>
      </c>
      <c r="C390" s="38" t="s">
        <v>27</v>
      </c>
      <c r="D390" s="37">
        <v>97.6823</v>
      </c>
      <c r="E390" s="38" t="s">
        <v>28</v>
      </c>
    </row>
    <row r="391">
      <c r="A391" s="36">
        <v>45928.0</v>
      </c>
      <c r="B391" s="37">
        <v>1.0</v>
      </c>
      <c r="C391" s="38" t="s">
        <v>27</v>
      </c>
      <c r="D391" s="37">
        <v>97.6823</v>
      </c>
      <c r="E391" s="38" t="s">
        <v>28</v>
      </c>
    </row>
    <row r="392">
      <c r="A392" s="36">
        <v>45929.0</v>
      </c>
      <c r="B392" s="37">
        <v>1.0</v>
      </c>
      <c r="C392" s="38" t="s">
        <v>27</v>
      </c>
      <c r="D392" s="37">
        <v>97.6823</v>
      </c>
      <c r="E392" s="38" t="s">
        <v>28</v>
      </c>
    </row>
    <row r="393">
      <c r="A393" s="36">
        <v>45930.0</v>
      </c>
      <c r="B393" s="37">
        <v>1.0</v>
      </c>
      <c r="C393" s="38" t="s">
        <v>27</v>
      </c>
      <c r="D393" s="37">
        <v>97.141</v>
      </c>
      <c r="E393" s="38" t="s">
        <v>28</v>
      </c>
    </row>
    <row r="394">
      <c r="A394" s="36">
        <v>45931.0</v>
      </c>
      <c r="B394" s="37">
        <v>1.0</v>
      </c>
      <c r="C394" s="38" t="s">
        <v>27</v>
      </c>
      <c r="D394" s="37">
        <v>96.8644</v>
      </c>
      <c r="E394" s="38" t="s">
        <v>28</v>
      </c>
    </row>
    <row r="395">
      <c r="A395" s="36">
        <v>45932.0</v>
      </c>
      <c r="B395" s="37">
        <v>1.0</v>
      </c>
      <c r="C395" s="38" t="s">
        <v>27</v>
      </c>
      <c r="D395" s="37">
        <v>95.6382</v>
      </c>
      <c r="E395" s="38" t="s">
        <v>28</v>
      </c>
    </row>
    <row r="396">
      <c r="A396" s="36">
        <v>45933.0</v>
      </c>
      <c r="B396" s="37">
        <v>1.0</v>
      </c>
      <c r="C396" s="38" t="s">
        <v>27</v>
      </c>
      <c r="D396" s="37">
        <v>95.3411</v>
      </c>
      <c r="E396" s="38" t="s">
        <v>28</v>
      </c>
    </row>
    <row r="397">
      <c r="A397" s="36">
        <v>45934.0</v>
      </c>
      <c r="B397" s="37">
        <v>1.0</v>
      </c>
      <c r="C397" s="38" t="s">
        <v>27</v>
      </c>
      <c r="D397" s="37">
        <v>96.0525</v>
      </c>
      <c r="E397" s="38" t="s">
        <v>28</v>
      </c>
    </row>
    <row r="398">
      <c r="A398" s="36">
        <v>45935.0</v>
      </c>
      <c r="B398" s="37">
        <v>1.0</v>
      </c>
      <c r="C398" s="38" t="s">
        <v>27</v>
      </c>
      <c r="D398" s="37">
        <v>96.0525</v>
      </c>
      <c r="E398" s="38" t="s">
        <v>28</v>
      </c>
    </row>
    <row r="399">
      <c r="A399" s="36">
        <v>45936.0</v>
      </c>
      <c r="B399" s="37">
        <v>1.0</v>
      </c>
      <c r="C399" s="38" t="s">
        <v>27</v>
      </c>
      <c r="D399" s="37">
        <v>96.0525</v>
      </c>
      <c r="E399" s="38" t="s">
        <v>28</v>
      </c>
    </row>
    <row r="400">
      <c r="A400" s="36">
        <v>45937.0</v>
      </c>
      <c r="B400" s="37">
        <v>1.0</v>
      </c>
      <c r="C400" s="38" t="s">
        <v>27</v>
      </c>
      <c r="D400" s="37">
        <v>96.8345</v>
      </c>
      <c r="E400" s="38" t="s">
        <v>28</v>
      </c>
    </row>
    <row r="401">
      <c r="A401" s="36">
        <v>45938.0</v>
      </c>
      <c r="B401" s="37">
        <v>1.0</v>
      </c>
      <c r="C401" s="38" t="s">
        <v>27</v>
      </c>
      <c r="D401" s="37">
        <v>95.6722</v>
      </c>
      <c r="E401" s="38" t="s">
        <v>28</v>
      </c>
    </row>
    <row r="402">
      <c r="A402" s="36">
        <v>45939.0</v>
      </c>
      <c r="B402" s="37">
        <v>1.0</v>
      </c>
      <c r="C402" s="38" t="s">
        <v>27</v>
      </c>
      <c r="D402" s="37">
        <v>94.9351</v>
      </c>
      <c r="E402" s="38" t="s">
        <v>28</v>
      </c>
    </row>
    <row r="403">
      <c r="A403" s="36">
        <v>45940.0</v>
      </c>
      <c r="B403" s="37">
        <v>1.0</v>
      </c>
      <c r="C403" s="38" t="s">
        <v>27</v>
      </c>
      <c r="D403" s="37">
        <v>94.703</v>
      </c>
      <c r="E403" s="38" t="s">
        <v>28</v>
      </c>
    </row>
    <row r="404">
      <c r="A404" s="36">
        <v>45941.0</v>
      </c>
      <c r="B404" s="37">
        <v>1.0</v>
      </c>
      <c r="C404" s="38" t="s">
        <v>27</v>
      </c>
      <c r="D404" s="37">
        <v>94.0491</v>
      </c>
      <c r="E404" s="38" t="s">
        <v>28</v>
      </c>
    </row>
    <row r="405">
      <c r="A405" s="36">
        <v>45942.0</v>
      </c>
      <c r="B405" s="37">
        <v>1.0</v>
      </c>
      <c r="C405" s="38" t="s">
        <v>27</v>
      </c>
      <c r="D405" s="37">
        <v>94.0491</v>
      </c>
      <c r="E405" s="38" t="s">
        <v>28</v>
      </c>
    </row>
    <row r="406">
      <c r="A406" s="36">
        <v>45943.0</v>
      </c>
      <c r="B406" s="37">
        <v>1.0</v>
      </c>
      <c r="C406" s="38" t="s">
        <v>27</v>
      </c>
      <c r="D406" s="37">
        <v>94.0491</v>
      </c>
      <c r="E406" s="38" t="s">
        <v>28</v>
      </c>
    </row>
    <row r="407">
      <c r="A407" s="36">
        <v>45944.0</v>
      </c>
      <c r="B407" s="37">
        <v>1.0</v>
      </c>
      <c r="C407" s="38" t="s">
        <v>27</v>
      </c>
      <c r="D407" s="37">
        <v>93.9181</v>
      </c>
      <c r="E407" s="38" t="s">
        <v>28</v>
      </c>
    </row>
    <row r="408">
      <c r="A408" s="36">
        <v>45945.0</v>
      </c>
      <c r="B408" s="37">
        <v>1.0</v>
      </c>
      <c r="C408" s="38" t="s">
        <v>27</v>
      </c>
      <c r="D408" s="37">
        <v>92.6816</v>
      </c>
      <c r="E408" s="38" t="s">
        <v>28</v>
      </c>
    </row>
    <row r="409">
      <c r="A409" s="36">
        <v>45946.0</v>
      </c>
      <c r="B409" s="37">
        <v>1.0</v>
      </c>
      <c r="C409" s="38" t="s">
        <v>27</v>
      </c>
      <c r="D409" s="37">
        <v>91.7258</v>
      </c>
      <c r="E409" s="38" t="s">
        <v>28</v>
      </c>
    </row>
    <row r="410">
      <c r="A410" s="36">
        <v>45947.0</v>
      </c>
      <c r="B410" s="37">
        <v>1.0</v>
      </c>
      <c r="C410" s="38" t="s">
        <v>27</v>
      </c>
      <c r="D410" s="37">
        <v>92.0834</v>
      </c>
      <c r="E410" s="38" t="s">
        <v>28</v>
      </c>
    </row>
    <row r="411">
      <c r="A411" s="36">
        <v>45948.0</v>
      </c>
      <c r="B411" s="37">
        <v>1.0</v>
      </c>
      <c r="C411" s="38" t="s">
        <v>27</v>
      </c>
      <c r="D411" s="37">
        <v>94.5835</v>
      </c>
      <c r="E411" s="38" t="s">
        <v>28</v>
      </c>
    </row>
    <row r="412">
      <c r="A412" s="36">
        <v>45949.0</v>
      </c>
      <c r="B412" s="37">
        <v>1.0</v>
      </c>
      <c r="C412" s="38" t="s">
        <v>27</v>
      </c>
      <c r="D412" s="37">
        <v>94.5835</v>
      </c>
      <c r="E412" s="38" t="s">
        <v>28</v>
      </c>
    </row>
    <row r="413">
      <c r="A413" s="36">
        <v>45950.0</v>
      </c>
      <c r="B413" s="37">
        <v>1.0</v>
      </c>
      <c r="C413" s="38" t="s">
        <v>27</v>
      </c>
      <c r="D413" s="37">
        <v>94.5835</v>
      </c>
      <c r="E413" s="38" t="s">
        <v>28</v>
      </c>
    </row>
    <row r="414">
      <c r="A414" s="36">
        <v>45951.0</v>
      </c>
      <c r="B414" s="37">
        <v>1.0</v>
      </c>
      <c r="C414" s="38" t="s">
        <v>27</v>
      </c>
      <c r="D414" s="37">
        <v>94.3845</v>
      </c>
      <c r="E414" s="38" t="s">
        <v>28</v>
      </c>
    </row>
    <row r="415">
      <c r="A415" s="36">
        <v>45952.0</v>
      </c>
      <c r="B415" s="37">
        <v>1.0</v>
      </c>
      <c r="C415" s="38" t="s">
        <v>27</v>
      </c>
      <c r="D415" s="37">
        <v>94.6656</v>
      </c>
      <c r="E415" s="38" t="s">
        <v>28</v>
      </c>
    </row>
    <row r="416">
      <c r="A416" s="36">
        <v>45953.0</v>
      </c>
      <c r="B416" s="37">
        <v>1.0</v>
      </c>
      <c r="C416" s="38" t="s">
        <v>27</v>
      </c>
      <c r="D416" s="37">
        <v>94.7543</v>
      </c>
      <c r="E416" s="38" t="s">
        <v>28</v>
      </c>
    </row>
    <row r="417">
      <c r="A417" s="36">
        <v>45954.0</v>
      </c>
      <c r="B417" s="37">
        <v>1.0</v>
      </c>
      <c r="C417" s="38" t="s">
        <v>27</v>
      </c>
      <c r="D417" s="37">
        <v>94.3889</v>
      </c>
      <c r="E417" s="38" t="s">
        <v>28</v>
      </c>
    </row>
    <row r="418">
      <c r="A418" s="36">
        <v>45955.0</v>
      </c>
      <c r="B418" s="37">
        <v>1.0</v>
      </c>
      <c r="C418" s="38" t="s">
        <v>27</v>
      </c>
      <c r="D418" s="37">
        <v>94.082</v>
      </c>
      <c r="E418" s="38" t="s">
        <v>28</v>
      </c>
    </row>
    <row r="419">
      <c r="A419" s="36">
        <v>45956.0</v>
      </c>
      <c r="B419" s="37">
        <v>1.0</v>
      </c>
      <c r="C419" s="38" t="s">
        <v>27</v>
      </c>
      <c r="D419" s="37">
        <v>94.082</v>
      </c>
      <c r="E419" s="38" t="s">
        <v>28</v>
      </c>
    </row>
    <row r="420">
      <c r="A420" s="36">
        <v>45957.0</v>
      </c>
      <c r="B420" s="37">
        <v>1.0</v>
      </c>
      <c r="C420" s="38" t="s">
        <v>27</v>
      </c>
      <c r="D420" s="37">
        <v>94.082</v>
      </c>
      <c r="E420" s="38" t="s">
        <v>28</v>
      </c>
    </row>
    <row r="421">
      <c r="A421" s="36">
        <v>45958.0</v>
      </c>
      <c r="B421" s="37">
        <v>1.0</v>
      </c>
      <c r="C421" s="38" t="s">
        <v>27</v>
      </c>
      <c r="D421" s="37">
        <v>92.0233</v>
      </c>
      <c r="E421" s="38" t="s">
        <v>28</v>
      </c>
    </row>
    <row r="422">
      <c r="A422" s="36">
        <v>45959.0</v>
      </c>
      <c r="B422" s="37">
        <v>1.0</v>
      </c>
      <c r="C422" s="38" t="s">
        <v>27</v>
      </c>
      <c r="D422" s="37">
        <v>92.9395</v>
      </c>
      <c r="E422" s="38" t="s">
        <v>28</v>
      </c>
    </row>
    <row r="423">
      <c r="A423" s="36">
        <v>45960.0</v>
      </c>
      <c r="B423" s="37">
        <v>1.0</v>
      </c>
      <c r="C423" s="38" t="s">
        <v>27</v>
      </c>
      <c r="D423" s="37">
        <v>92.2466</v>
      </c>
      <c r="E423" s="38" t="s">
        <v>28</v>
      </c>
    </row>
    <row r="424">
      <c r="A424" s="36">
        <v>45961.0</v>
      </c>
      <c r="B424" s="37">
        <v>1.0</v>
      </c>
      <c r="C424" s="38" t="s">
        <v>27</v>
      </c>
      <c r="D424" s="37">
        <v>93.3894</v>
      </c>
      <c r="E424" s="38" t="s">
        <v>28</v>
      </c>
    </row>
    <row r="425">
      <c r="A425" s="36">
        <v>45962.0</v>
      </c>
      <c r="B425" s="37">
        <v>1.0</v>
      </c>
      <c r="C425" s="38" t="s">
        <v>27</v>
      </c>
      <c r="D425" s="37">
        <v>93.3893</v>
      </c>
      <c r="E425" s="38" t="s">
        <v>28</v>
      </c>
    </row>
    <row r="426">
      <c r="A426" s="36">
        <v>45963.0</v>
      </c>
      <c r="B426" s="37">
        <v>1.0</v>
      </c>
      <c r="C426" s="38" t="s">
        <v>27</v>
      </c>
      <c r="D426" s="37">
        <v>93.3848</v>
      </c>
      <c r="E426" s="38" t="s">
        <v>28</v>
      </c>
    </row>
    <row r="427">
      <c r="A427" s="36">
        <v>45964.0</v>
      </c>
      <c r="B427" s="37">
        <v>1.0</v>
      </c>
      <c r="C427" s="38" t="s">
        <v>27</v>
      </c>
      <c r="D427" s="37">
        <v>93.3848</v>
      </c>
      <c r="E427" s="38" t="s">
        <v>28</v>
      </c>
    </row>
    <row r="428">
      <c r="A428" s="36">
        <v>45965.0</v>
      </c>
      <c r="B428" s="37">
        <v>1.0</v>
      </c>
      <c r="C428" s="38" t="s">
        <v>27</v>
      </c>
      <c r="D428" s="37">
        <v>93.3848</v>
      </c>
      <c r="E428" s="38" t="s">
        <v>28</v>
      </c>
    </row>
    <row r="429">
      <c r="A429" s="36">
        <v>45966.0</v>
      </c>
      <c r="B429" s="37">
        <v>1.0</v>
      </c>
      <c r="C429" s="38" t="s">
        <v>27</v>
      </c>
      <c r="D429" s="37">
        <v>93.3848</v>
      </c>
      <c r="E429" s="38" t="s">
        <v>28</v>
      </c>
    </row>
    <row r="430">
      <c r="A430" s="36">
        <v>45967.0</v>
      </c>
      <c r="B430" s="37">
        <v>1.0</v>
      </c>
      <c r="C430" s="38" t="s">
        <v>27</v>
      </c>
      <c r="D430" s="37">
        <v>93.5131</v>
      </c>
      <c r="E430" s="38" t="s">
        <v>28</v>
      </c>
    </row>
    <row r="431">
      <c r="A431" s="36">
        <v>45968.0</v>
      </c>
      <c r="B431" s="37">
        <v>1.0</v>
      </c>
      <c r="C431" s="38" t="s">
        <v>27</v>
      </c>
      <c r="D431" s="37">
        <v>93.7641</v>
      </c>
      <c r="E431" s="38" t="s">
        <v>28</v>
      </c>
    </row>
    <row r="432">
      <c r="A432" s="36">
        <v>45969.0</v>
      </c>
      <c r="B432" s="37">
        <v>1.0</v>
      </c>
      <c r="C432" s="38" t="s">
        <v>27</v>
      </c>
      <c r="D432" s="37">
        <v>93.8365</v>
      </c>
      <c r="E432" s="38" t="s">
        <v>28</v>
      </c>
    </row>
    <row r="433">
      <c r="A433" s="36">
        <v>45970.0</v>
      </c>
      <c r="B433" s="37">
        <v>1.0</v>
      </c>
      <c r="C433" s="38" t="s">
        <v>27</v>
      </c>
      <c r="D433" s="37">
        <v>93.8365</v>
      </c>
      <c r="E433" s="38" t="s">
        <v>28</v>
      </c>
    </row>
    <row r="434">
      <c r="A434" s="36">
        <v>45971.0</v>
      </c>
      <c r="B434" s="37">
        <v>1.0</v>
      </c>
      <c r="C434" s="38" t="s">
        <v>27</v>
      </c>
      <c r="D434" s="37">
        <v>93.8365</v>
      </c>
      <c r="E434" s="38" t="s">
        <v>28</v>
      </c>
    </row>
    <row r="435">
      <c r="A435" s="36">
        <v>45972.0</v>
      </c>
      <c r="B435" s="37">
        <v>1.0</v>
      </c>
      <c r="C435" s="38" t="s">
        <v>27</v>
      </c>
      <c r="D435" s="37">
        <v>93.9287</v>
      </c>
      <c r="E435" s="38" t="s">
        <v>28</v>
      </c>
    </row>
    <row r="436">
      <c r="A436" s="36">
        <v>45973.0</v>
      </c>
      <c r="B436" s="37">
        <v>1.0</v>
      </c>
      <c r="C436" s="38" t="s">
        <v>27</v>
      </c>
      <c r="D436" s="37">
        <v>94.1954</v>
      </c>
      <c r="E436" s="38" t="s">
        <v>28</v>
      </c>
    </row>
    <row r="437">
      <c r="A437" s="36">
        <v>45974.0</v>
      </c>
      <c r="B437" s="37">
        <v>1.0</v>
      </c>
      <c r="C437" s="38" t="s">
        <v>27</v>
      </c>
      <c r="D437" s="37">
        <v>94.1893</v>
      </c>
      <c r="E437" s="38" t="s">
        <v>28</v>
      </c>
    </row>
    <row r="438">
      <c r="A438" s="36">
        <v>45975.0</v>
      </c>
      <c r="B438" s="37">
        <v>1.0</v>
      </c>
      <c r="C438" s="38" t="s">
        <v>27</v>
      </c>
      <c r="D438" s="37">
        <v>93.6953</v>
      </c>
      <c r="E438" s="38" t="s">
        <v>28</v>
      </c>
    </row>
    <row r="439">
      <c r="A439" s="36">
        <v>45976.0</v>
      </c>
      <c r="B439" s="37">
        <v>1.0</v>
      </c>
      <c r="C439" s="38" t="s">
        <v>27</v>
      </c>
      <c r="D439" s="37">
        <v>95.0987</v>
      </c>
      <c r="E439" s="38" t="s">
        <v>28</v>
      </c>
    </row>
    <row r="440">
      <c r="A440" s="36">
        <v>45977.0</v>
      </c>
      <c r="B440" s="37">
        <v>1.0</v>
      </c>
      <c r="C440" s="38" t="s">
        <v>27</v>
      </c>
      <c r="D440" s="37">
        <v>95.0987</v>
      </c>
      <c r="E440" s="38" t="s">
        <v>28</v>
      </c>
    </row>
    <row r="441">
      <c r="A441" s="36">
        <v>45978.0</v>
      </c>
      <c r="B441" s="37">
        <v>1.0</v>
      </c>
      <c r="C441" s="38" t="s">
        <v>27</v>
      </c>
      <c r="D441" s="37">
        <v>95.0987</v>
      </c>
      <c r="E441" s="38" t="s">
        <v>28</v>
      </c>
    </row>
    <row r="442">
      <c r="A442" s="36">
        <v>45979.0</v>
      </c>
      <c r="B442" s="37">
        <v>1.0</v>
      </c>
      <c r="C442" s="38" t="s">
        <v>27</v>
      </c>
      <c r="D442" s="37">
        <v>96.3063</v>
      </c>
      <c r="E442" s="38" t="s">
        <v>28</v>
      </c>
    </row>
    <row r="443">
      <c r="A443" s="36">
        <v>45980.0</v>
      </c>
      <c r="B443" s="37">
        <v>1.0</v>
      </c>
      <c r="C443" s="38" t="s">
        <v>27</v>
      </c>
      <c r="D443" s="37">
        <v>93.9295</v>
      </c>
      <c r="E443" s="38" t="s">
        <v>28</v>
      </c>
    </row>
    <row r="444">
      <c r="A444" s="36">
        <v>45981.0</v>
      </c>
      <c r="B444" s="37">
        <v>1.0</v>
      </c>
      <c r="C444" s="38" t="s">
        <v>27</v>
      </c>
      <c r="D444" s="37">
        <v>93.7804</v>
      </c>
      <c r="E444" s="38" t="s">
        <v>28</v>
      </c>
    </row>
    <row r="445">
      <c r="A445" s="36">
        <v>45982.0</v>
      </c>
      <c r="B445" s="37">
        <v>1.0</v>
      </c>
      <c r="C445" s="38" t="s">
        <v>27</v>
      </c>
      <c r="D445" s="37">
        <v>92.6047</v>
      </c>
      <c r="E445" s="38" t="s">
        <v>28</v>
      </c>
    </row>
    <row r="446">
      <c r="A446" s="36">
        <v>45983.0</v>
      </c>
      <c r="B446" s="37">
        <v>1.0</v>
      </c>
      <c r="C446" s="38" t="s">
        <v>27</v>
      </c>
      <c r="D446" s="37">
        <v>90.5625</v>
      </c>
      <c r="E446" s="38" t="s">
        <v>28</v>
      </c>
    </row>
    <row r="447">
      <c r="A447" s="36">
        <v>45984.0</v>
      </c>
      <c r="B447" s="37">
        <v>1.0</v>
      </c>
      <c r="C447" s="38" t="s">
        <v>27</v>
      </c>
      <c r="D447" s="37">
        <v>90.5625</v>
      </c>
      <c r="E447" s="38" t="s">
        <v>28</v>
      </c>
    </row>
    <row r="448">
      <c r="A448" s="36">
        <v>45985.0</v>
      </c>
      <c r="B448" s="37">
        <v>1.0</v>
      </c>
      <c r="C448" s="38" t="s">
        <v>27</v>
      </c>
      <c r="D448" s="37">
        <v>90.5625</v>
      </c>
      <c r="E448" s="38" t="s">
        <v>28</v>
      </c>
    </row>
    <row r="449">
      <c r="A449" s="36">
        <v>45986.0</v>
      </c>
      <c r="B449" s="37">
        <v>1.0</v>
      </c>
      <c r="C449" s="38" t="s">
        <v>27</v>
      </c>
      <c r="D449" s="37">
        <v>91.3672</v>
      </c>
      <c r="E449" s="38" t="s">
        <v>28</v>
      </c>
    </row>
    <row r="450">
      <c r="A450" s="36">
        <v>45987.0</v>
      </c>
      <c r="B450" s="37">
        <v>1.0</v>
      </c>
      <c r="C450" s="38" t="s">
        <v>27</v>
      </c>
      <c r="D450" s="37">
        <v>90.9698</v>
      </c>
      <c r="E450" s="38" t="s">
        <v>28</v>
      </c>
    </row>
    <row r="451">
      <c r="A451" s="36">
        <v>45988.0</v>
      </c>
      <c r="B451" s="37">
        <v>1.0</v>
      </c>
      <c r="C451" s="38" t="s">
        <v>27</v>
      </c>
      <c r="D451" s="37">
        <v>91.5047</v>
      </c>
      <c r="E451" s="38" t="s">
        <v>28</v>
      </c>
    </row>
    <row r="452">
      <c r="A452" s="36">
        <v>45989.0</v>
      </c>
      <c r="B452" s="37">
        <v>1.0</v>
      </c>
      <c r="C452" s="38" t="s">
        <v>27</v>
      </c>
      <c r="D452" s="37">
        <v>90.788</v>
      </c>
      <c r="E452" s="38" t="s">
        <v>28</v>
      </c>
    </row>
    <row r="453">
      <c r="A453" s="36">
        <v>45990.0</v>
      </c>
      <c r="B453" s="37">
        <v>1.0</v>
      </c>
      <c r="C453" s="38" t="s">
        <v>27</v>
      </c>
      <c r="D453" s="37">
        <v>90.819</v>
      </c>
      <c r="E453" s="38" t="s">
        <v>28</v>
      </c>
    </row>
    <row r="454">
      <c r="A454" s="36">
        <v>45991.0</v>
      </c>
      <c r="B454" s="37">
        <v>1.0</v>
      </c>
      <c r="C454" s="38" t="s">
        <v>27</v>
      </c>
      <c r="D454" s="37">
        <v>90.819</v>
      </c>
      <c r="E454" s="38" t="s">
        <v>28</v>
      </c>
    </row>
    <row r="455">
      <c r="A455" s="36">
        <v>45992.0</v>
      </c>
      <c r="B455" s="37">
        <v>1.0</v>
      </c>
      <c r="C455" s="38" t="s">
        <v>27</v>
      </c>
      <c r="D455" s="37">
        <v>90.819</v>
      </c>
      <c r="E455" s="38" t="s">
        <v>28</v>
      </c>
    </row>
    <row r="456">
      <c r="A456" s="36">
        <v>45993.0</v>
      </c>
      <c r="B456" s="37">
        <v>1.0</v>
      </c>
      <c r="C456" s="38" t="s">
        <v>27</v>
      </c>
      <c r="D456" s="37">
        <v>90.3438</v>
      </c>
      <c r="E456" s="38" t="s">
        <v>28</v>
      </c>
    </row>
    <row r="457">
      <c r="A457" s="36">
        <v>45994.0</v>
      </c>
      <c r="B457" s="37">
        <v>1.0</v>
      </c>
      <c r="C457" s="38" t="s">
        <v>27</v>
      </c>
      <c r="D457" s="37">
        <v>89.8514</v>
      </c>
      <c r="E457" s="38" t="s">
        <v>28</v>
      </c>
    </row>
    <row r="458">
      <c r="A458" s="36">
        <v>45995.0</v>
      </c>
      <c r="B458" s="37">
        <v>1.0</v>
      </c>
      <c r="C458" s="38" t="s">
        <v>27</v>
      </c>
      <c r="D458" s="37">
        <v>90.5903</v>
      </c>
      <c r="E458" s="38" t="s">
        <v>28</v>
      </c>
    </row>
    <row r="459">
      <c r="A459" s="36">
        <v>45996.0</v>
      </c>
      <c r="B459" s="37">
        <v>1.0</v>
      </c>
      <c r="C459" s="38" t="s">
        <v>27</v>
      </c>
      <c r="D459" s="37">
        <v>89.9011</v>
      </c>
      <c r="E459" s="38" t="s">
        <v>28</v>
      </c>
    </row>
    <row r="460">
      <c r="A460" s="36">
        <v>45997.0</v>
      </c>
      <c r="B460" s="37">
        <v>1.0</v>
      </c>
      <c r="C460" s="38" t="s">
        <v>27</v>
      </c>
      <c r="D460" s="37">
        <v>88.7028</v>
      </c>
      <c r="E460" s="38" t="s">
        <v>28</v>
      </c>
    </row>
    <row r="461">
      <c r="A461" s="36">
        <v>45998.0</v>
      </c>
      <c r="B461" s="37">
        <v>1.0</v>
      </c>
      <c r="C461" s="38" t="s">
        <v>27</v>
      </c>
      <c r="D461" s="37">
        <v>88.7028</v>
      </c>
      <c r="E461" s="38" t="s">
        <v>28</v>
      </c>
      <c r="F461" s="42">
        <v>93.5626</v>
      </c>
    </row>
    <row r="462">
      <c r="A462" s="36">
        <v>45999.0</v>
      </c>
      <c r="B462" s="37">
        <v>1.0</v>
      </c>
      <c r="C462" s="38" t="s">
        <v>27</v>
      </c>
      <c r="D462" s="37">
        <v>88.7028</v>
      </c>
      <c r="E462" s="38" t="s">
        <v>28</v>
      </c>
    </row>
    <row r="463">
      <c r="A463" s="36">
        <v>46000.0</v>
      </c>
      <c r="B463" s="37">
        <v>1.0</v>
      </c>
      <c r="C463" s="38" t="s">
        <v>27</v>
      </c>
      <c r="D463" s="37">
        <v>89.7054</v>
      </c>
      <c r="E463" s="38" t="s">
        <v>28</v>
      </c>
    </row>
    <row r="464">
      <c r="A464" s="36">
        <v>46001.0</v>
      </c>
      <c r="B464" s="37">
        <v>1.0</v>
      </c>
      <c r="C464" s="38" t="s">
        <v>27</v>
      </c>
      <c r="D464" s="37">
        <v>89.4267</v>
      </c>
      <c r="E464" s="38" t="s">
        <v>28</v>
      </c>
    </row>
    <row r="465">
      <c r="A465" s="36">
        <v>46002.0</v>
      </c>
      <c r="B465" s="37">
        <v>1.0</v>
      </c>
      <c r="C465" s="38" t="s">
        <v>27</v>
      </c>
      <c r="D465" s="37">
        <v>91.3806</v>
      </c>
      <c r="E465" s="38" t="s">
        <v>28</v>
      </c>
    </row>
    <row r="466">
      <c r="A466" s="36">
        <v>46003.0</v>
      </c>
      <c r="B466" s="37">
        <v>1.0</v>
      </c>
      <c r="C466" s="38" t="s">
        <v>27</v>
      </c>
      <c r="D466" s="37">
        <v>92.9384</v>
      </c>
      <c r="E466" s="38" t="s">
        <v>28</v>
      </c>
    </row>
    <row r="467">
      <c r="A467" s="36">
        <v>46004.0</v>
      </c>
      <c r="B467" s="37">
        <v>1.0</v>
      </c>
      <c r="C467" s="38" t="s">
        <v>27</v>
      </c>
      <c r="D467" s="37">
        <v>93.5626</v>
      </c>
      <c r="E467" s="38" t="s">
        <v>28</v>
      </c>
    </row>
    <row r="468">
      <c r="A468" s="36">
        <v>46005.0</v>
      </c>
      <c r="B468" s="37">
        <v>1.0</v>
      </c>
      <c r="C468" s="38" t="s">
        <v>27</v>
      </c>
      <c r="D468" s="37">
        <v>93.5626</v>
      </c>
      <c r="E468" s="38" t="s">
        <v>28</v>
      </c>
    </row>
    <row r="469">
      <c r="A469" s="36">
        <v>46006.0</v>
      </c>
      <c r="B469" s="37">
        <v>1.0</v>
      </c>
      <c r="C469" s="38" t="s">
        <v>27</v>
      </c>
      <c r="D469" s="37">
        <v>93.5626</v>
      </c>
      <c r="E469" s="38" t="s">
        <v>28</v>
      </c>
    </row>
    <row r="470">
      <c r="A470" s="36">
        <v>46007.0</v>
      </c>
      <c r="B470" s="37">
        <v>1.0</v>
      </c>
      <c r="C470" s="38" t="s">
        <v>27</v>
      </c>
      <c r="D470" s="37">
        <v>93.2274</v>
      </c>
      <c r="E470" s="38" t="s">
        <v>28</v>
      </c>
    </row>
    <row r="471">
      <c r="A471" s="36">
        <v>46008.0</v>
      </c>
      <c r="B471" s="37">
        <v>1.0</v>
      </c>
      <c r="C471" s="38" t="s">
        <v>27</v>
      </c>
      <c r="D471" s="37">
        <v>93.8054</v>
      </c>
      <c r="E471" s="38" t="s">
        <v>28</v>
      </c>
    </row>
    <row r="472">
      <c r="A472" s="36">
        <v>46009.0</v>
      </c>
      <c r="B472" s="37">
        <v>1.0</v>
      </c>
      <c r="C472" s="38" t="s">
        <v>27</v>
      </c>
      <c r="D472" s="37">
        <v>94.1478</v>
      </c>
      <c r="E472" s="38" t="s">
        <v>28</v>
      </c>
    </row>
    <row r="473">
      <c r="A473" s="36">
        <v>46010.0</v>
      </c>
      <c r="B473" s="37">
        <v>1.0</v>
      </c>
      <c r="C473" s="38" t="s">
        <v>27</v>
      </c>
      <c r="D473" s="37">
        <v>94.2524</v>
      </c>
      <c r="E473" s="38" t="s">
        <v>28</v>
      </c>
    </row>
    <row r="474">
      <c r="A474" s="36">
        <v>46011.0</v>
      </c>
      <c r="B474" s="37">
        <v>1.0</v>
      </c>
      <c r="C474" s="38" t="s">
        <v>27</v>
      </c>
      <c r="D474" s="37">
        <v>94.512</v>
      </c>
      <c r="E474" s="38" t="s">
        <v>28</v>
      </c>
    </row>
    <row r="475">
      <c r="A475" s="36">
        <v>46012.0</v>
      </c>
      <c r="B475" s="37">
        <v>1.0</v>
      </c>
      <c r="C475" s="38" t="s">
        <v>27</v>
      </c>
      <c r="D475" s="37">
        <v>94.512</v>
      </c>
      <c r="E475" s="38" t="s">
        <v>28</v>
      </c>
    </row>
    <row r="476">
      <c r="A476" s="36">
        <v>46013.0</v>
      </c>
      <c r="B476" s="37">
        <v>1.0</v>
      </c>
      <c r="C476" s="38" t="s">
        <v>27</v>
      </c>
      <c r="D476" s="37">
        <v>94.512</v>
      </c>
      <c r="E476" s="38" t="s">
        <v>28</v>
      </c>
    </row>
    <row r="477">
      <c r="A477" s="36">
        <v>46014.0</v>
      </c>
      <c r="B477" s="37">
        <v>1.0</v>
      </c>
      <c r="C477" s="38" t="s">
        <v>27</v>
      </c>
      <c r="D477" s="37">
        <v>92.8621</v>
      </c>
      <c r="E477" s="38" t="s">
        <v>28</v>
      </c>
    </row>
    <row r="478">
      <c r="A478" s="36">
        <v>46015.0</v>
      </c>
      <c r="B478" s="37">
        <v>1.0</v>
      </c>
      <c r="C478" s="38" t="s">
        <v>27</v>
      </c>
      <c r="D478" s="37">
        <v>92.8137</v>
      </c>
      <c r="E478" s="38" t="s">
        <v>28</v>
      </c>
    </row>
    <row r="479">
      <c r="A479" s="36">
        <v>46016.0</v>
      </c>
      <c r="B479" s="37">
        <v>1.0</v>
      </c>
      <c r="C479" s="38" t="s">
        <v>27</v>
      </c>
      <c r="D479" s="37">
        <v>92.4742</v>
      </c>
      <c r="E479" s="38" t="s">
        <v>28</v>
      </c>
    </row>
    <row r="480">
      <c r="A480" s="36">
        <v>46017.0</v>
      </c>
      <c r="B480" s="37">
        <v>1.0</v>
      </c>
      <c r="C480" s="38" t="s">
        <v>27</v>
      </c>
      <c r="D480" s="37">
        <v>91.8902</v>
      </c>
      <c r="E480" s="38" t="s">
        <v>28</v>
      </c>
    </row>
    <row r="481">
      <c r="A481" s="36">
        <v>46018.0</v>
      </c>
      <c r="B481" s="37">
        <v>1.0</v>
      </c>
      <c r="C481" s="38" t="s">
        <v>27</v>
      </c>
      <c r="D481" s="37">
        <v>91.2066</v>
      </c>
      <c r="E481" s="38" t="s">
        <v>28</v>
      </c>
    </row>
    <row r="482">
      <c r="A482" s="36">
        <v>46019.0</v>
      </c>
      <c r="B482" s="37">
        <v>1.0</v>
      </c>
      <c r="C482" s="38" t="s">
        <v>27</v>
      </c>
      <c r="D482" s="37">
        <v>91.2066</v>
      </c>
      <c r="E482" s="38" t="s">
        <v>28</v>
      </c>
    </row>
    <row r="483">
      <c r="A483" s="36">
        <v>46020.0</v>
      </c>
      <c r="B483" s="37">
        <v>1.0</v>
      </c>
      <c r="C483" s="38" t="s">
        <v>27</v>
      </c>
      <c r="D483" s="37">
        <v>91.2066</v>
      </c>
      <c r="E483" s="38" t="s">
        <v>28</v>
      </c>
    </row>
    <row r="484">
      <c r="A484" s="36">
        <v>46021.0</v>
      </c>
      <c r="B484" s="37">
        <v>1.0</v>
      </c>
      <c r="C484" s="38" t="s">
        <v>27</v>
      </c>
      <c r="D484" s="37">
        <v>91.4775</v>
      </c>
      <c r="E484" s="38" t="s">
        <v>28</v>
      </c>
    </row>
    <row r="485">
      <c r="A485" s="36">
        <v>46022.0</v>
      </c>
      <c r="B485" s="37">
        <v>1.0</v>
      </c>
      <c r="C485" s="38" t="s">
        <v>27</v>
      </c>
      <c r="D485" s="37">
        <v>92.0938</v>
      </c>
      <c r="E485" s="38" t="s">
        <v>28</v>
      </c>
    </row>
    <row r="486">
      <c r="A486" s="36">
        <v>46023.0</v>
      </c>
      <c r="B486" s="37">
        <v>1.0</v>
      </c>
      <c r="C486" s="38" t="s">
        <v>27</v>
      </c>
      <c r="D486" s="37">
        <v>92.0938</v>
      </c>
      <c r="E486" s="38" t="s">
        <v>28</v>
      </c>
    </row>
    <row r="487">
      <c r="A487" s="36">
        <v>46024.0</v>
      </c>
      <c r="B487" s="37">
        <v>1.0</v>
      </c>
      <c r="C487" s="38" t="s">
        <v>27</v>
      </c>
      <c r="D487" s="37">
        <v>92.0938</v>
      </c>
      <c r="E487" s="38" t="s">
        <v>28</v>
      </c>
    </row>
    <row r="488">
      <c r="A488" s="36">
        <v>46025.0</v>
      </c>
      <c r="B488" s="37">
        <v>1.0</v>
      </c>
      <c r="C488" s="38" t="s">
        <v>27</v>
      </c>
      <c r="D488" s="37">
        <v>92.0938</v>
      </c>
      <c r="E488" s="38" t="s">
        <v>28</v>
      </c>
    </row>
    <row r="489">
      <c r="A489" s="36">
        <v>46026.0</v>
      </c>
      <c r="B489" s="37">
        <v>1.0</v>
      </c>
      <c r="C489" s="38" t="s">
        <v>27</v>
      </c>
      <c r="D489" s="37">
        <v>92.0938</v>
      </c>
      <c r="E489" s="38" t="s">
        <v>28</v>
      </c>
    </row>
    <row r="490">
      <c r="A490" s="36">
        <v>46027.0</v>
      </c>
      <c r="B490" s="37">
        <v>1.0</v>
      </c>
      <c r="C490" s="38" t="s">
        <v>27</v>
      </c>
      <c r="D490" s="37">
        <v>92.0938</v>
      </c>
      <c r="E490" s="38" t="s">
        <v>28</v>
      </c>
    </row>
    <row r="491">
      <c r="A491" s="36">
        <v>46028.0</v>
      </c>
      <c r="B491" s="37">
        <v>1.0</v>
      </c>
      <c r="C491" s="38" t="s">
        <v>27</v>
      </c>
      <c r="D491" s="37">
        <v>92.0938</v>
      </c>
      <c r="E491" s="38" t="s">
        <v>28</v>
      </c>
    </row>
    <row r="492">
      <c r="A492" s="36">
        <v>46029.0</v>
      </c>
      <c r="B492" s="37">
        <v>1.0</v>
      </c>
      <c r="C492" s="38" t="s">
        <v>27</v>
      </c>
      <c r="D492" s="37">
        <v>92.0938</v>
      </c>
      <c r="E492" s="38" t="s">
        <v>28</v>
      </c>
    </row>
    <row r="493">
      <c r="A493" s="36">
        <v>46030.0</v>
      </c>
      <c r="B493" s="37">
        <v>1.0</v>
      </c>
      <c r="C493" s="38" t="s">
        <v>27</v>
      </c>
      <c r="D493" s="37">
        <v>92.0938</v>
      </c>
      <c r="E493" s="38" t="s">
        <v>28</v>
      </c>
    </row>
    <row r="494">
      <c r="A494" s="36">
        <v>46031.0</v>
      </c>
      <c r="B494" s="37">
        <v>1.0</v>
      </c>
      <c r="C494" s="38" t="s">
        <v>27</v>
      </c>
      <c r="D494" s="37">
        <v>92.0938</v>
      </c>
      <c r="E494" s="38" t="s">
        <v>28</v>
      </c>
    </row>
    <row r="495">
      <c r="A495" s="36">
        <v>46032.0</v>
      </c>
      <c r="B495" s="37">
        <v>1.0</v>
      </c>
      <c r="C495" s="38" t="s">
        <v>27</v>
      </c>
      <c r="D495" s="37">
        <v>92.0938</v>
      </c>
      <c r="E495" s="38" t="s">
        <v>28</v>
      </c>
    </row>
    <row r="496">
      <c r="A496" s="36">
        <v>46033.0</v>
      </c>
      <c r="B496" s="37">
        <v>1.0</v>
      </c>
      <c r="C496" s="38" t="s">
        <v>27</v>
      </c>
      <c r="D496" s="37">
        <v>92.0938</v>
      </c>
      <c r="E496" s="38" t="s">
        <v>28</v>
      </c>
    </row>
    <row r="497">
      <c r="A497" s="36">
        <v>46034.0</v>
      </c>
      <c r="B497" s="37">
        <v>1.0</v>
      </c>
      <c r="C497" s="38" t="s">
        <v>27</v>
      </c>
      <c r="D497" s="37">
        <v>92.0938</v>
      </c>
      <c r="E497" s="38" t="s">
        <v>28</v>
      </c>
    </row>
    <row r="498">
      <c r="A498" s="36">
        <v>46035.0</v>
      </c>
      <c r="B498" s="37">
        <v>1.0</v>
      </c>
      <c r="C498" s="38" t="s">
        <v>27</v>
      </c>
      <c r="D498" s="37">
        <v>91.9668</v>
      </c>
      <c r="E498" s="38" t="s">
        <v>28</v>
      </c>
    </row>
    <row r="499">
      <c r="A499" s="36">
        <v>46036.0</v>
      </c>
      <c r="B499" s="37">
        <v>1.0</v>
      </c>
      <c r="C499" s="38" t="s">
        <v>27</v>
      </c>
      <c r="D499" s="37">
        <v>92.3973</v>
      </c>
      <c r="E499" s="38" t="s">
        <v>28</v>
      </c>
    </row>
    <row r="500">
      <c r="A500" s="36">
        <v>46037.0</v>
      </c>
      <c r="B500" s="37">
        <v>1.0</v>
      </c>
      <c r="C500" s="38" t="s">
        <v>27</v>
      </c>
      <c r="D500" s="37">
        <v>92.1964</v>
      </c>
      <c r="E500" s="38" t="s">
        <v>28</v>
      </c>
    </row>
    <row r="501">
      <c r="A501" s="36">
        <v>46038.0</v>
      </c>
      <c r="B501" s="37">
        <v>1.0</v>
      </c>
      <c r="C501" s="38" t="s">
        <v>27</v>
      </c>
      <c r="D501" s="37">
        <v>91.8123</v>
      </c>
      <c r="E501" s="38" t="s">
        <v>28</v>
      </c>
    </row>
    <row r="502">
      <c r="A502" s="36">
        <v>46039.0</v>
      </c>
      <c r="B502" s="37">
        <v>1.0</v>
      </c>
      <c r="C502" s="38" t="s">
        <v>27</v>
      </c>
      <c r="D502" s="37">
        <v>90.5366</v>
      </c>
      <c r="E502" s="38" t="s">
        <v>28</v>
      </c>
    </row>
    <row r="503">
      <c r="A503" s="36">
        <v>46040.0</v>
      </c>
      <c r="B503" s="37">
        <v>1.0</v>
      </c>
      <c r="C503" s="38" t="s">
        <v>27</v>
      </c>
      <c r="D503" s="37">
        <v>90.5366</v>
      </c>
      <c r="E503" s="38" t="s">
        <v>28</v>
      </c>
    </row>
    <row r="504">
      <c r="A504" s="36">
        <v>46041.0</v>
      </c>
      <c r="B504" s="37">
        <v>1.0</v>
      </c>
      <c r="C504" s="38" t="s">
        <v>27</v>
      </c>
      <c r="D504" s="37">
        <v>90.5366</v>
      </c>
      <c r="E504" s="38" t="s">
        <v>28</v>
      </c>
    </row>
    <row r="505">
      <c r="A505" s="36">
        <v>46042.0</v>
      </c>
      <c r="B505" s="37">
        <v>1.0</v>
      </c>
      <c r="C505" s="38" t="s">
        <v>27</v>
      </c>
      <c r="D505" s="37">
        <v>90.1611</v>
      </c>
      <c r="E505" s="38" t="s">
        <v>28</v>
      </c>
    </row>
    <row r="506">
      <c r="A506" s="36">
        <v>46043.0</v>
      </c>
      <c r="B506" s="37">
        <v>1.0</v>
      </c>
      <c r="C506" s="38" t="s">
        <v>27</v>
      </c>
      <c r="D506" s="37">
        <v>91.1954</v>
      </c>
      <c r="E506" s="38" t="s">
        <v>28</v>
      </c>
    </row>
    <row r="507">
      <c r="A507" s="36">
        <v>46044.0</v>
      </c>
      <c r="B507" s="37">
        <v>1.0</v>
      </c>
      <c r="C507" s="38" t="s">
        <v>27</v>
      </c>
      <c r="D507" s="37">
        <v>90.7211</v>
      </c>
      <c r="E507" s="38" t="s">
        <v>28</v>
      </c>
    </row>
    <row r="508">
      <c r="A508" s="36">
        <v>46045.0</v>
      </c>
      <c r="B508" s="37">
        <v>1.0</v>
      </c>
      <c r="C508" s="38" t="s">
        <v>27</v>
      </c>
      <c r="D508" s="37">
        <v>88.7898</v>
      </c>
      <c r="E508" s="38" t="s">
        <v>28</v>
      </c>
    </row>
    <row r="509">
      <c r="A509" s="36">
        <v>46046.0</v>
      </c>
      <c r="B509" s="37">
        <v>1.0</v>
      </c>
      <c r="C509" s="38" t="s">
        <v>27</v>
      </c>
      <c r="D509" s="37">
        <v>89.0589</v>
      </c>
      <c r="E509" s="38" t="s">
        <v>28</v>
      </c>
    </row>
    <row r="510">
      <c r="A510" s="36">
        <v>46047.0</v>
      </c>
      <c r="B510" s="37">
        <v>1.0</v>
      </c>
      <c r="C510" s="38" t="s">
        <v>27</v>
      </c>
      <c r="D510" s="37">
        <v>89.0589</v>
      </c>
      <c r="E510" s="38" t="s">
        <v>28</v>
      </c>
    </row>
    <row r="511">
      <c r="A511" s="36">
        <v>46048.0</v>
      </c>
      <c r="B511" s="37">
        <v>1.0</v>
      </c>
      <c r="C511" s="38" t="s">
        <v>27</v>
      </c>
      <c r="D511" s="37">
        <v>89.0589</v>
      </c>
      <c r="E511" s="38" t="s">
        <v>28</v>
      </c>
    </row>
    <row r="512">
      <c r="A512" s="36">
        <v>46049.0</v>
      </c>
      <c r="B512" s="37">
        <v>1.0</v>
      </c>
      <c r="C512" s="38" t="s">
        <v>27</v>
      </c>
      <c r="D512" s="37">
        <v>90.2877</v>
      </c>
      <c r="E512" s="38" t="s">
        <v>28</v>
      </c>
    </row>
    <row r="513">
      <c r="A513" s="36">
        <v>46050.0</v>
      </c>
      <c r="B513" s="37">
        <v>1.0</v>
      </c>
      <c r="C513" s="38" t="s">
        <v>27</v>
      </c>
      <c r="D513" s="37">
        <v>90.9329</v>
      </c>
      <c r="E513" s="38" t="s">
        <v>28</v>
      </c>
    </row>
    <row r="514">
      <c r="A514" s="36">
        <v>46051.0</v>
      </c>
      <c r="B514" s="37">
        <v>1.0</v>
      </c>
      <c r="C514" s="38" t="s">
        <v>27</v>
      </c>
      <c r="D514" s="37">
        <v>91.2988</v>
      </c>
      <c r="E514" s="38" t="s">
        <v>28</v>
      </c>
    </row>
    <row r="515">
      <c r="A515" s="36">
        <v>46052.0</v>
      </c>
      <c r="B515" s="37">
        <v>1.0</v>
      </c>
      <c r="C515" s="38" t="s">
        <v>27</v>
      </c>
      <c r="D515" s="37">
        <v>90.9751</v>
      </c>
      <c r="E515" s="38" t="s">
        <v>28</v>
      </c>
    </row>
    <row r="516">
      <c r="A516" s="36">
        <v>46053.0</v>
      </c>
      <c r="B516" s="37">
        <v>1.0</v>
      </c>
      <c r="C516" s="38" t="s">
        <v>27</v>
      </c>
      <c r="D516" s="37">
        <v>90.468</v>
      </c>
      <c r="E516" s="38" t="s">
        <v>28</v>
      </c>
    </row>
    <row r="517">
      <c r="A517" s="36">
        <v>46054.0</v>
      </c>
      <c r="B517" s="37">
        <v>1.0</v>
      </c>
      <c r="C517" s="38" t="s">
        <v>27</v>
      </c>
      <c r="D517" s="37">
        <v>90.468</v>
      </c>
      <c r="E517" s="38" t="s">
        <v>28</v>
      </c>
    </row>
    <row r="518">
      <c r="A518" s="36">
        <v>46055.0</v>
      </c>
      <c r="B518" s="37">
        <v>1.0</v>
      </c>
      <c r="C518" s="38" t="s">
        <v>27</v>
      </c>
      <c r="D518" s="37">
        <v>90.468</v>
      </c>
      <c r="E518" s="38" t="s">
        <v>28</v>
      </c>
    </row>
    <row r="519">
      <c r="A519" s="36">
        <v>46056.0</v>
      </c>
      <c r="B519" s="37">
        <v>1.0</v>
      </c>
      <c r="C519" s="38" t="s">
        <v>27</v>
      </c>
      <c r="D519" s="37">
        <v>91.247</v>
      </c>
      <c r="E519" s="38" t="s">
        <v>28</v>
      </c>
    </row>
    <row r="520">
      <c r="A520" s="36">
        <v>46057.0</v>
      </c>
      <c r="B520" s="37">
        <v>1.0</v>
      </c>
      <c r="C520" s="38" t="s">
        <v>27</v>
      </c>
      <c r="D520" s="37">
        <v>90.7178</v>
      </c>
      <c r="E520" s="38" t="s">
        <v>28</v>
      </c>
    </row>
    <row r="521">
      <c r="A521" s="36">
        <v>46058.0</v>
      </c>
      <c r="B521" s="37">
        <v>1.0</v>
      </c>
      <c r="C521" s="38" t="s">
        <v>27</v>
      </c>
      <c r="D521" s="37">
        <v>91.1138</v>
      </c>
      <c r="E521" s="38" t="s">
        <v>28</v>
      </c>
    </row>
    <row r="522">
      <c r="A522" s="36">
        <v>46059.0</v>
      </c>
      <c r="B522" s="37">
        <v>1.0</v>
      </c>
      <c r="C522" s="38" t="s">
        <v>27</v>
      </c>
      <c r="D522" s="37">
        <v>90.2881</v>
      </c>
      <c r="E522" s="38" t="s">
        <v>28</v>
      </c>
    </row>
    <row r="523">
      <c r="A523" s="36">
        <v>46060.0</v>
      </c>
      <c r="B523" s="37">
        <v>1.0</v>
      </c>
      <c r="C523" s="38" t="s">
        <v>27</v>
      </c>
      <c r="D523" s="37">
        <v>91.0451</v>
      </c>
      <c r="E523" s="38" t="s">
        <v>28</v>
      </c>
    </row>
    <row r="524">
      <c r="A524" s="36">
        <v>46061.0</v>
      </c>
      <c r="B524" s="37">
        <v>1.0</v>
      </c>
      <c r="C524" s="38" t="s">
        <v>27</v>
      </c>
      <c r="D524" s="37">
        <v>91.0451</v>
      </c>
      <c r="E524" s="38" t="s">
        <v>28</v>
      </c>
    </row>
    <row r="525">
      <c r="A525" s="36">
        <v>46062.0</v>
      </c>
      <c r="B525" s="37">
        <v>1.0</v>
      </c>
      <c r="C525" s="38" t="s">
        <v>27</v>
      </c>
      <c r="D525" s="37">
        <v>91.0451</v>
      </c>
      <c r="E525" s="38" t="s">
        <v>28</v>
      </c>
    </row>
    <row r="526">
      <c r="A526" s="36">
        <v>46063.0</v>
      </c>
      <c r="B526" s="37">
        <v>1.0</v>
      </c>
      <c r="C526" s="38" t="s">
        <v>27</v>
      </c>
      <c r="D526" s="37">
        <v>92.0136</v>
      </c>
      <c r="E526" s="38" t="s">
        <v>28</v>
      </c>
    </row>
    <row r="527">
      <c r="A527" s="36">
        <v>46064.0</v>
      </c>
      <c r="B527" s="37">
        <v>1.0</v>
      </c>
      <c r="C527" s="38" t="s">
        <v>27</v>
      </c>
      <c r="D527" s="37">
        <v>91.9429</v>
      </c>
      <c r="E527" s="38" t="s">
        <v>28</v>
      </c>
    </row>
    <row r="528">
      <c r="A528" s="36">
        <v>46065.0</v>
      </c>
      <c r="B528" s="37">
        <v>1.0</v>
      </c>
      <c r="C528" s="38" t="s">
        <v>27</v>
      </c>
      <c r="D528" s="37">
        <v>92.475</v>
      </c>
      <c r="E528" s="38" t="s">
        <v>28</v>
      </c>
    </row>
    <row r="529">
      <c r="A529" s="36">
        <v>46066.0</v>
      </c>
      <c r="B529" s="37">
        <v>1.0</v>
      </c>
      <c r="C529" s="38" t="s">
        <v>27</v>
      </c>
      <c r="D529" s="37">
        <v>91.7113</v>
      </c>
      <c r="E529" s="38" t="s">
        <v>28</v>
      </c>
    </row>
    <row r="530">
      <c r="A530" s="36">
        <v>46067.0</v>
      </c>
      <c r="B530" s="37">
        <v>1.0</v>
      </c>
      <c r="C530" s="38" t="s">
        <v>27</v>
      </c>
      <c r="D530" s="37">
        <v>91.5575</v>
      </c>
      <c r="E530" s="38" t="s">
        <v>28</v>
      </c>
    </row>
    <row r="531">
      <c r="A531" s="36">
        <v>46068.0</v>
      </c>
      <c r="B531" s="37">
        <v>1.0</v>
      </c>
      <c r="C531" s="38" t="s">
        <v>27</v>
      </c>
      <c r="D531" s="37">
        <v>91.5575</v>
      </c>
      <c r="E531" s="38" t="s">
        <v>28</v>
      </c>
    </row>
    <row r="532">
      <c r="A532" s="36">
        <v>46069.0</v>
      </c>
      <c r="B532" s="37">
        <v>1.0</v>
      </c>
      <c r="C532" s="38" t="s">
        <v>27</v>
      </c>
      <c r="D532" s="37">
        <v>91.5575</v>
      </c>
      <c r="E532" s="38" t="s">
        <v>28</v>
      </c>
    </row>
    <row r="533">
      <c r="A533" s="36">
        <v>46070.0</v>
      </c>
      <c r="B533" s="37">
        <v>1.0</v>
      </c>
      <c r="C533" s="38" t="s">
        <v>27</v>
      </c>
      <c r="D533" s="37">
        <v>91.0368</v>
      </c>
      <c r="E533" s="38" t="s">
        <v>28</v>
      </c>
    </row>
    <row r="534">
      <c r="A534" s="36">
        <v>46071.0</v>
      </c>
      <c r="B534" s="37">
        <v>1.0</v>
      </c>
      <c r="C534" s="38" t="s">
        <v>27</v>
      </c>
      <c r="D534" s="37">
        <v>90.8658</v>
      </c>
      <c r="E534" s="38" t="s">
        <v>28</v>
      </c>
    </row>
    <row r="535">
      <c r="A535" s="36">
        <v>46072.0</v>
      </c>
      <c r="B535" s="37">
        <v>1.0</v>
      </c>
      <c r="C535" s="38" t="s">
        <v>27</v>
      </c>
      <c r="D535" s="37">
        <v>90.2683</v>
      </c>
      <c r="E535" s="38" t="s">
        <v>28</v>
      </c>
    </row>
    <row r="536">
      <c r="A536" s="36">
        <v>46073.0</v>
      </c>
      <c r="B536" s="37">
        <v>1.0</v>
      </c>
      <c r="C536" s="38" t="s">
        <v>27</v>
      </c>
      <c r="D536" s="37">
        <v>90.1669</v>
      </c>
      <c r="E536" s="38" t="s">
        <v>28</v>
      </c>
    </row>
    <row r="537">
      <c r="A537" s="36">
        <v>46074.0</v>
      </c>
      <c r="B537" s="37">
        <v>1.0</v>
      </c>
      <c r="C537" s="38" t="s">
        <v>27</v>
      </c>
      <c r="D537" s="37">
        <v>90.2833</v>
      </c>
      <c r="E537" s="38" t="s">
        <v>28</v>
      </c>
    </row>
    <row r="538">
      <c r="A538" s="36">
        <v>46075.0</v>
      </c>
      <c r="B538" s="37">
        <v>1.0</v>
      </c>
      <c r="C538" s="38" t="s">
        <v>27</v>
      </c>
      <c r="D538" s="37">
        <v>90.2833</v>
      </c>
      <c r="E538" s="38" t="s">
        <v>28</v>
      </c>
    </row>
    <row r="539">
      <c r="A539" s="36">
        <v>46076.0</v>
      </c>
      <c r="B539" s="37">
        <v>1.0</v>
      </c>
      <c r="C539" s="38" t="s">
        <v>27</v>
      </c>
      <c r="D539" s="37">
        <v>90.2833</v>
      </c>
      <c r="E539" s="38" t="s">
        <v>28</v>
      </c>
    </row>
    <row r="540">
      <c r="A540" s="36">
        <v>46077.0</v>
      </c>
      <c r="B540" s="37">
        <v>1.0</v>
      </c>
      <c r="C540" s="38" t="s">
        <v>27</v>
      </c>
      <c r="D540" s="37">
        <v>90.2833</v>
      </c>
      <c r="E540" s="38" t="s">
        <v>28</v>
      </c>
    </row>
    <row r="541">
      <c r="A541" s="36">
        <v>46078.0</v>
      </c>
      <c r="B541" s="37">
        <v>1.0</v>
      </c>
      <c r="C541" s="38" t="s">
        <v>27</v>
      </c>
      <c r="D541" s="37">
        <v>90.5821</v>
      </c>
      <c r="E541" s="38" t="s">
        <v>28</v>
      </c>
    </row>
    <row r="542">
      <c r="A542" s="36">
        <v>46079.0</v>
      </c>
      <c r="B542" s="37">
        <v>1.0</v>
      </c>
      <c r="C542" s="38" t="s">
        <v>27</v>
      </c>
      <c r="D542" s="37">
        <v>90.3211</v>
      </c>
      <c r="E542" s="38" t="s">
        <v>28</v>
      </c>
    </row>
    <row r="543">
      <c r="A543" s="36">
        <v>46080.0</v>
      </c>
      <c r="B543" s="37">
        <v>1.0</v>
      </c>
      <c r="C543" s="38" t="s">
        <v>27</v>
      </c>
      <c r="D543" s="37">
        <v>91.0281</v>
      </c>
      <c r="E543" s="38" t="s">
        <v>28</v>
      </c>
    </row>
    <row r="544">
      <c r="A544" s="36">
        <v>46081.0</v>
      </c>
      <c r="B544" s="37">
        <v>1.0</v>
      </c>
      <c r="C544" s="38" t="s">
        <v>27</v>
      </c>
      <c r="D544" s="37">
        <v>91.2965</v>
      </c>
      <c r="E544" s="38" t="s">
        <v>28</v>
      </c>
    </row>
    <row r="545">
      <c r="A545" s="36">
        <v>46082.0</v>
      </c>
      <c r="B545" s="37">
        <v>1.0</v>
      </c>
      <c r="C545" s="38" t="s">
        <v>27</v>
      </c>
      <c r="D545" s="37">
        <v>91.2965</v>
      </c>
      <c r="E545" s="38" t="s">
        <v>28</v>
      </c>
    </row>
    <row r="546">
      <c r="A546" s="36">
        <v>46083.0</v>
      </c>
      <c r="B546" s="37">
        <v>1.0</v>
      </c>
      <c r="C546" s="38" t="s">
        <v>27</v>
      </c>
      <c r="D546" s="37">
        <v>91.2965</v>
      </c>
      <c r="E546" s="38" t="s">
        <v>28</v>
      </c>
    </row>
    <row r="547">
      <c r="A547" s="36">
        <v>46084.0</v>
      </c>
      <c r="B547" s="37">
        <v>1.0</v>
      </c>
      <c r="C547" s="38" t="s">
        <v>27</v>
      </c>
      <c r="D547" s="37">
        <v>90.7307</v>
      </c>
      <c r="E547" s="38" t="s">
        <v>28</v>
      </c>
    </row>
    <row r="548">
      <c r="A548" s="36">
        <v>46085.0</v>
      </c>
      <c r="B548" s="37">
        <v>1.0</v>
      </c>
      <c r="C548" s="38" t="s">
        <v>27</v>
      </c>
      <c r="D548" s="37">
        <v>90.3098</v>
      </c>
      <c r="E548" s="38" t="s">
        <v>28</v>
      </c>
    </row>
    <row r="549">
      <c r="A549" s="36">
        <v>46086.0</v>
      </c>
      <c r="B549" s="37">
        <v>1.0</v>
      </c>
      <c r="C549" s="38" t="s">
        <v>27</v>
      </c>
      <c r="D549" s="37">
        <v>90.7458</v>
      </c>
      <c r="E549" s="38" t="s">
        <v>28</v>
      </c>
    </row>
    <row r="550">
      <c r="A550" s="36">
        <v>46087.0</v>
      </c>
      <c r="B550" s="37">
        <v>1.0</v>
      </c>
      <c r="C550" s="38" t="s">
        <v>27</v>
      </c>
      <c r="D550" s="37">
        <v>90.7926</v>
      </c>
      <c r="E550" s="38" t="s">
        <v>28</v>
      </c>
    </row>
    <row r="551">
      <c r="A551" s="36">
        <v>46088.0</v>
      </c>
      <c r="B551" s="37">
        <v>1.0</v>
      </c>
      <c r="C551" s="38" t="s">
        <v>27</v>
      </c>
      <c r="D551" s="37">
        <v>91.8391</v>
      </c>
      <c r="E551" s="38" t="s">
        <v>28</v>
      </c>
    </row>
    <row r="552">
      <c r="A552" s="36">
        <v>46089.0</v>
      </c>
      <c r="B552" s="37">
        <v>1.0</v>
      </c>
      <c r="C552" s="38" t="s">
        <v>27</v>
      </c>
      <c r="D552" s="37">
        <v>91.8391</v>
      </c>
      <c r="E552" s="38" t="s">
        <v>28</v>
      </c>
    </row>
    <row r="553">
      <c r="A553" s="36">
        <v>46090.0</v>
      </c>
      <c r="B553" s="37">
        <v>1.0</v>
      </c>
      <c r="C553" s="38" t="s">
        <v>27</v>
      </c>
      <c r="D553" s="37">
        <v>91.8391</v>
      </c>
      <c r="E553" s="38" t="s">
        <v>28</v>
      </c>
    </row>
    <row r="554">
      <c r="A554" s="36">
        <v>46091.0</v>
      </c>
      <c r="B554" s="37">
        <v>1.0</v>
      </c>
      <c r="C554" s="38" t="s">
        <v>27</v>
      </c>
      <c r="D554" s="37">
        <v>91.8391</v>
      </c>
      <c r="E554" s="38" t="s">
        <v>28</v>
      </c>
    </row>
    <row r="555">
      <c r="A555" s="36">
        <v>46092.0</v>
      </c>
      <c r="B555" s="37">
        <v>1.0</v>
      </c>
      <c r="C555" s="38" t="s">
        <v>27</v>
      </c>
      <c r="D555" s="37">
        <v>91.8979</v>
      </c>
      <c r="E555" s="38" t="s">
        <v>28</v>
      </c>
    </row>
    <row r="556">
      <c r="A556" s="36">
        <v>46093.0</v>
      </c>
      <c r="B556" s="37">
        <v>1.0</v>
      </c>
      <c r="C556" s="38" t="s">
        <v>27</v>
      </c>
      <c r="D556" s="37">
        <v>91.9378</v>
      </c>
      <c r="E556" s="38" t="s">
        <v>28</v>
      </c>
    </row>
    <row r="557">
      <c r="A557" s="36">
        <v>46094.0</v>
      </c>
      <c r="B557" s="37">
        <v>1.0</v>
      </c>
      <c r="C557" s="38" t="s">
        <v>27</v>
      </c>
      <c r="D557" s="37">
        <v>91.3893</v>
      </c>
      <c r="E557" s="38" t="s">
        <v>28</v>
      </c>
    </row>
    <row r="558">
      <c r="A558" s="36">
        <v>46095.0</v>
      </c>
      <c r="B558" s="37">
        <v>1.0</v>
      </c>
      <c r="C558" s="38" t="s">
        <v>27</v>
      </c>
      <c r="D558" s="37">
        <v>91.9847</v>
      </c>
      <c r="E558" s="38" t="s">
        <v>28</v>
      </c>
    </row>
    <row r="559">
      <c r="A559" s="36">
        <v>46096.0</v>
      </c>
      <c r="B559" s="37">
        <v>1.0</v>
      </c>
      <c r="C559" s="38" t="s">
        <v>27</v>
      </c>
      <c r="D559" s="37">
        <v>91.9847</v>
      </c>
      <c r="E559" s="38" t="s">
        <v>28</v>
      </c>
    </row>
    <row r="560">
      <c r="A560" s="36">
        <v>46097.0</v>
      </c>
      <c r="B560" s="37">
        <v>1.0</v>
      </c>
      <c r="C560" s="38" t="s">
        <v>27</v>
      </c>
      <c r="D560" s="37">
        <v>91.9847</v>
      </c>
      <c r="E560" s="38" t="s">
        <v>28</v>
      </c>
    </row>
    <row r="561">
      <c r="A561" s="36">
        <v>46098.0</v>
      </c>
      <c r="B561" s="37">
        <v>1.0</v>
      </c>
      <c r="C561" s="38" t="s">
        <v>27</v>
      </c>
      <c r="D561" s="37">
        <v>92.6555</v>
      </c>
      <c r="E561" s="38" t="s">
        <v>28</v>
      </c>
    </row>
    <row r="562">
      <c r="A562" s="36">
        <v>46099.0</v>
      </c>
      <c r="B562" s="37">
        <v>1.0</v>
      </c>
      <c r="C562" s="38" t="s">
        <v>27</v>
      </c>
      <c r="D562" s="37">
        <v>93.1557</v>
      </c>
      <c r="E562" s="38" t="s">
        <v>28</v>
      </c>
    </row>
    <row r="563">
      <c r="A563" s="36">
        <v>46100.0</v>
      </c>
      <c r="B563" s="37">
        <v>1.0</v>
      </c>
      <c r="C563" s="38" t="s">
        <v>27</v>
      </c>
      <c r="D563" s="37">
        <v>94.6663</v>
      </c>
      <c r="E563" s="38" t="s">
        <v>28</v>
      </c>
    </row>
    <row r="564">
      <c r="A564" s="36">
        <v>46101.0</v>
      </c>
      <c r="B564" s="37">
        <v>1.0</v>
      </c>
      <c r="C564" s="38" t="s">
        <v>27</v>
      </c>
      <c r="D564" s="37">
        <v>96.9155</v>
      </c>
      <c r="E564" s="38" t="s">
        <v>28</v>
      </c>
    </row>
    <row r="565">
      <c r="A565" s="36">
        <v>46102.0</v>
      </c>
      <c r="B565" s="37">
        <v>1.0</v>
      </c>
      <c r="C565" s="38" t="s">
        <v>27</v>
      </c>
      <c r="D565" s="37">
        <v>97.2886</v>
      </c>
      <c r="E565" s="38" t="s">
        <v>28</v>
      </c>
    </row>
    <row r="566">
      <c r="A566" s="36">
        <v>46103.0</v>
      </c>
      <c r="B566" s="37">
        <v>1.0</v>
      </c>
      <c r="C566" s="38" t="s">
        <v>27</v>
      </c>
      <c r="D566" s="37">
        <v>97.2886</v>
      </c>
      <c r="E566" s="38" t="s">
        <v>28</v>
      </c>
    </row>
    <row r="567">
      <c r="A567" s="36">
        <v>46104.0</v>
      </c>
      <c r="B567" s="37">
        <v>1.0</v>
      </c>
      <c r="C567" s="38" t="s">
        <v>27</v>
      </c>
      <c r="D567" s="37">
        <v>97.2886</v>
      </c>
      <c r="E567" s="38" t="s">
        <v>28</v>
      </c>
    </row>
    <row r="568">
      <c r="A568" s="36">
        <v>46105.0</v>
      </c>
      <c r="B568" s="37">
        <v>1.0</v>
      </c>
      <c r="C568" s="38" t="s">
        <v>27</v>
      </c>
      <c r="D568" s="37">
        <v>94.7264</v>
      </c>
      <c r="E568" s="38" t="s">
        <v>28</v>
      </c>
    </row>
    <row r="569">
      <c r="A569" s="36">
        <v>46106.0</v>
      </c>
      <c r="B569" s="37">
        <v>1.0</v>
      </c>
      <c r="C569" s="38" t="s">
        <v>27</v>
      </c>
      <c r="D569" s="37">
        <v>93.9247</v>
      </c>
      <c r="E569" s="38" t="s">
        <v>28</v>
      </c>
    </row>
    <row r="570">
      <c r="A570" s="36">
        <v>46107.0</v>
      </c>
      <c r="B570" s="37">
        <v>1.0</v>
      </c>
      <c r="C570" s="38" t="s">
        <v>27</v>
      </c>
      <c r="D570" s="37">
        <v>93.8097</v>
      </c>
      <c r="E570" s="38" t="s">
        <v>28</v>
      </c>
    </row>
    <row r="571">
      <c r="A571" s="36">
        <v>46108.0</v>
      </c>
      <c r="B571" s="37">
        <v>1.0</v>
      </c>
      <c r="C571" s="38" t="s">
        <v>27</v>
      </c>
      <c r="D571" s="37">
        <v>95.0038</v>
      </c>
      <c r="E571" s="38" t="s">
        <v>28</v>
      </c>
    </row>
    <row r="572">
      <c r="A572" s="36">
        <v>46109.0</v>
      </c>
      <c r="B572" s="37">
        <v>1.0</v>
      </c>
      <c r="C572" s="38" t="s">
        <v>27</v>
      </c>
      <c r="D572" s="37">
        <v>93.4247</v>
      </c>
      <c r="E572" s="38" t="s">
        <v>28</v>
      </c>
    </row>
    <row r="573">
      <c r="A573" s="36">
        <v>46110.0</v>
      </c>
      <c r="B573" s="37">
        <v>1.0</v>
      </c>
      <c r="C573" s="38" t="s">
        <v>27</v>
      </c>
      <c r="D573" s="37">
        <v>93.4247</v>
      </c>
      <c r="E573" s="38" t="s">
        <v>28</v>
      </c>
    </row>
    <row r="574">
      <c r="A574" s="36">
        <v>46111.0</v>
      </c>
      <c r="B574" s="37">
        <v>1.0</v>
      </c>
      <c r="C574" s="38" t="s">
        <v>27</v>
      </c>
      <c r="D574" s="37">
        <v>93.4247</v>
      </c>
      <c r="E574" s="38" t="s">
        <v>28</v>
      </c>
    </row>
    <row r="575">
      <c r="A575" s="36">
        <v>46112.0</v>
      </c>
      <c r="B575" s="37">
        <v>1.0</v>
      </c>
      <c r="C575" s="38" t="s">
        <v>27</v>
      </c>
      <c r="D575" s="37">
        <v>93.4369</v>
      </c>
      <c r="E575" s="38" t="s">
        <v>28</v>
      </c>
    </row>
    <row r="576">
      <c r="A576" s="36">
        <v>46113.0</v>
      </c>
      <c r="B576" s="37">
        <v>1.0</v>
      </c>
      <c r="C576" s="38" t="s">
        <v>27</v>
      </c>
      <c r="D576" s="37">
        <v>93.2739</v>
      </c>
      <c r="E576" s="38" t="s">
        <v>28</v>
      </c>
    </row>
    <row r="577">
      <c r="A577" s="36">
        <v>46114.0</v>
      </c>
      <c r="B577" s="37">
        <v>1.0</v>
      </c>
      <c r="C577" s="38" t="s">
        <v>27</v>
      </c>
      <c r="D577" s="37">
        <v>93.4443</v>
      </c>
      <c r="E577" s="38" t="s">
        <v>28</v>
      </c>
    </row>
    <row r="578">
      <c r="A578" s="36">
        <v>46115.0</v>
      </c>
      <c r="B578" s="37">
        <v>1.0</v>
      </c>
      <c r="C578" s="38" t="s">
        <v>27</v>
      </c>
      <c r="D578" s="37">
        <v>92.7326</v>
      </c>
      <c r="E578" s="38" t="s">
        <v>28</v>
      </c>
    </row>
    <row r="579">
      <c r="A579" s="36">
        <v>46116.0</v>
      </c>
      <c r="B579" s="37">
        <v>1.0</v>
      </c>
      <c r="C579" s="38" t="s">
        <v>27</v>
      </c>
      <c r="D579" s="37">
        <v>92.1915</v>
      </c>
      <c r="E579" s="38" t="s">
        <v>28</v>
      </c>
    </row>
    <row r="580">
      <c r="A580" s="36">
        <v>46117.0</v>
      </c>
      <c r="B580" s="37">
        <v>1.0</v>
      </c>
      <c r="C580" s="38" t="s">
        <v>27</v>
      </c>
      <c r="D580" s="37">
        <v>92.1915</v>
      </c>
      <c r="E580" s="38" t="s">
        <v>28</v>
      </c>
    </row>
    <row r="581">
      <c r="A581" s="36">
        <v>46118.0</v>
      </c>
      <c r="B581" s="37">
        <v>1.0</v>
      </c>
      <c r="C581" s="38" t="s">
        <v>27</v>
      </c>
      <c r="D581" s="37">
        <v>92.1915</v>
      </c>
      <c r="E581" s="38" t="s">
        <v>28</v>
      </c>
    </row>
    <row r="582">
      <c r="A582" s="36">
        <v>46119.0</v>
      </c>
      <c r="B582" s="37">
        <v>1.0</v>
      </c>
      <c r="C582" s="38" t="s">
        <v>27</v>
      </c>
      <c r="D582" s="37">
        <v>91.0034</v>
      </c>
      <c r="E582" s="38" t="s">
        <v>28</v>
      </c>
    </row>
    <row r="583">
      <c r="A583" s="36">
        <v>46120.0</v>
      </c>
      <c r="B583" s="37">
        <v>1.0</v>
      </c>
      <c r="C583" s="38" t="s">
        <v>27</v>
      </c>
      <c r="D583" s="37">
        <v>91.0279</v>
      </c>
      <c r="E583" s="38" t="s">
        <v>28</v>
      </c>
    </row>
    <row r="584">
      <c r="A584" s="36">
        <v>46121.0</v>
      </c>
      <c r="B584" s="37">
        <v>1.0</v>
      </c>
      <c r="C584" s="38" t="s">
        <v>27</v>
      </c>
      <c r="D584" s="37">
        <v>91.5641</v>
      </c>
      <c r="E584" s="38" t="s">
        <v>28</v>
      </c>
    </row>
    <row r="585">
      <c r="A585" s="36">
        <v>46122.0</v>
      </c>
      <c r="B585" s="37">
        <v>1.0</v>
      </c>
      <c r="C585" s="38" t="s">
        <v>27</v>
      </c>
      <c r="D585" s="37">
        <v>90.8813</v>
      </c>
      <c r="E585" s="38" t="s">
        <v>28</v>
      </c>
    </row>
    <row r="586">
      <c r="A586" s="36">
        <v>46123.0</v>
      </c>
      <c r="B586" s="37">
        <v>1.0</v>
      </c>
      <c r="C586" s="38" t="s">
        <v>27</v>
      </c>
      <c r="D586" s="37">
        <v>90.012</v>
      </c>
      <c r="E586" s="38" t="s">
        <v>28</v>
      </c>
    </row>
    <row r="587">
      <c r="A587" s="36">
        <v>46124.0</v>
      </c>
      <c r="B587" s="37">
        <v>1.0</v>
      </c>
      <c r="C587" s="38" t="s">
        <v>27</v>
      </c>
      <c r="D587" s="37">
        <v>90.012</v>
      </c>
      <c r="E587" s="38" t="s">
        <v>28</v>
      </c>
    </row>
    <row r="588">
      <c r="A588" s="36">
        <v>46125.0</v>
      </c>
      <c r="B588" s="37">
        <v>1.0</v>
      </c>
      <c r="C588" s="38" t="s">
        <v>27</v>
      </c>
      <c r="D588" s="37">
        <v>90.012</v>
      </c>
      <c r="E588" s="38" t="s">
        <v>28</v>
      </c>
    </row>
    <row r="589">
      <c r="A589" s="36">
        <v>46126.0</v>
      </c>
      <c r="B589" s="37">
        <v>1.0</v>
      </c>
      <c r="C589" s="38" t="s">
        <v>27</v>
      </c>
      <c r="D589" s="37">
        <v>89.1373</v>
      </c>
      <c r="E589" s="38" t="s">
        <v>28</v>
      </c>
    </row>
    <row r="590">
      <c r="A590" s="36">
        <v>46127.0</v>
      </c>
      <c r="B590" s="37">
        <v>1.0</v>
      </c>
      <c r="C590" s="38" t="s">
        <v>27</v>
      </c>
      <c r="D590" s="37">
        <v>89.2556</v>
      </c>
      <c r="E590" s="38" t="s">
        <v>28</v>
      </c>
    </row>
    <row r="591">
      <c r="A591" s="36">
        <v>46128.0</v>
      </c>
      <c r="B591" s="37">
        <v>1.0</v>
      </c>
      <c r="C591" s="38" t="s">
        <v>27</v>
      </c>
      <c r="D591" s="37">
        <v>88.7303</v>
      </c>
      <c r="E591" s="38" t="s">
        <v>28</v>
      </c>
    </row>
    <row r="592">
      <c r="A592" s="36">
        <v>46129.0</v>
      </c>
      <c r="B592" s="37">
        <v>1.0</v>
      </c>
      <c r="C592" s="38" t="s">
        <v>27</v>
      </c>
      <c r="D592" s="37">
        <v>89.4113</v>
      </c>
      <c r="E592" s="38" t="s">
        <v>28</v>
      </c>
    </row>
    <row r="593">
      <c r="A593" s="36">
        <v>46130.0</v>
      </c>
      <c r="B593" s="37">
        <v>1.0</v>
      </c>
      <c r="C593" s="38" t="s">
        <v>27</v>
      </c>
      <c r="D593" s="37">
        <v>89.6256</v>
      </c>
      <c r="E593" s="38" t="s">
        <v>28</v>
      </c>
    </row>
    <row r="594">
      <c r="A594" s="36">
        <v>46131.0</v>
      </c>
      <c r="B594" s="37">
        <v>1.0</v>
      </c>
      <c r="C594" s="38" t="s">
        <v>27</v>
      </c>
      <c r="D594" s="37">
        <v>89.6256</v>
      </c>
      <c r="E594" s="38" t="s">
        <v>28</v>
      </c>
    </row>
    <row r="595">
      <c r="A595" s="36">
        <v>46132.0</v>
      </c>
      <c r="B595" s="37">
        <v>1.0</v>
      </c>
      <c r="C595" s="38" t="s">
        <v>27</v>
      </c>
      <c r="D595" s="37">
        <v>89.6256</v>
      </c>
      <c r="E595" s="38" t="s">
        <v>28</v>
      </c>
    </row>
    <row r="596">
      <c r="A596" s="36">
        <v>46133.0</v>
      </c>
      <c r="B596" s="37">
        <v>1.0</v>
      </c>
      <c r="C596" s="38" t="s">
        <v>27</v>
      </c>
      <c r="D596" s="37">
        <v>88.3769</v>
      </c>
      <c r="E596" s="38" t="s">
        <v>28</v>
      </c>
    </row>
    <row r="597">
      <c r="A597" s="36">
        <v>46134.0</v>
      </c>
      <c r="B597" s="37">
        <v>1.0</v>
      </c>
      <c r="C597" s="38" t="s">
        <v>27</v>
      </c>
      <c r="D597" s="37">
        <v>87.7659</v>
      </c>
      <c r="E597" s="38" t="s">
        <v>28</v>
      </c>
    </row>
    <row r="598">
      <c r="A598" s="36">
        <v>46135.0</v>
      </c>
      <c r="B598" s="37">
        <v>1.0</v>
      </c>
      <c r="C598" s="38" t="s">
        <v>27</v>
      </c>
      <c r="D598" s="37">
        <v>87.9733</v>
      </c>
      <c r="E598" s="38" t="s">
        <v>28</v>
      </c>
    </row>
    <row r="599">
      <c r="A599" s="36">
        <v>46136.0</v>
      </c>
      <c r="B599" s="37">
        <v>1.0</v>
      </c>
      <c r="C599" s="38" t="s">
        <v>27</v>
      </c>
      <c r="D599" s="37">
        <v>87.5261</v>
      </c>
      <c r="E599" s="38" t="s">
        <v>28</v>
      </c>
    </row>
    <row r="600">
      <c r="A600" s="36">
        <v>46137.0</v>
      </c>
      <c r="B600" s="37">
        <v>1.0</v>
      </c>
      <c r="C600" s="38" t="s">
        <v>27</v>
      </c>
      <c r="D600" s="37">
        <v>88.2826</v>
      </c>
      <c r="E600" s="38" t="s">
        <v>28</v>
      </c>
    </row>
    <row r="601">
      <c r="A601" s="36">
        <v>46138.0</v>
      </c>
      <c r="B601" s="37">
        <v>1.0</v>
      </c>
      <c r="C601" s="38" t="s">
        <v>27</v>
      </c>
      <c r="D601" s="37">
        <v>88.2826</v>
      </c>
      <c r="E601" s="38" t="s">
        <v>28</v>
      </c>
    </row>
    <row r="602">
      <c r="A602" s="36">
        <v>46139.0</v>
      </c>
      <c r="B602" s="37">
        <v>1.0</v>
      </c>
      <c r="C602" s="38" t="s">
        <v>27</v>
      </c>
      <c r="D602" s="37">
        <v>88.2826</v>
      </c>
      <c r="E602" s="38" t="s">
        <v>28</v>
      </c>
    </row>
    <row r="603">
      <c r="A603" s="36">
        <v>46140.0</v>
      </c>
      <c r="B603" s="37">
        <v>1.0</v>
      </c>
      <c r="C603" s="38" t="s">
        <v>27</v>
      </c>
      <c r="D603" s="37">
        <v>87.8826</v>
      </c>
      <c r="E603" s="38" t="s">
        <v>28</v>
      </c>
    </row>
    <row r="604">
      <c r="A604" s="36">
        <v>46141.0</v>
      </c>
      <c r="B604" s="37">
        <v>1.0</v>
      </c>
      <c r="C604" s="38" t="s">
        <v>27</v>
      </c>
      <c r="D604" s="37">
        <v>87.5928</v>
      </c>
      <c r="E604" s="38" t="s">
        <v>28</v>
      </c>
    </row>
    <row r="605">
      <c r="A605" s="36">
        <v>46142.0</v>
      </c>
      <c r="B605" s="37">
        <v>1.0</v>
      </c>
      <c r="C605" s="38" t="s">
        <v>27</v>
      </c>
      <c r="D605" s="37">
        <v>87.7771</v>
      </c>
      <c r="E605" s="38" t="s">
        <v>28</v>
      </c>
    </row>
    <row r="606">
      <c r="A606" s="36">
        <v>46143.0</v>
      </c>
      <c r="B606" s="37">
        <v>1.0</v>
      </c>
      <c r="C606" s="38" t="s">
        <v>27</v>
      </c>
      <c r="D606" s="37">
        <v>88.6429</v>
      </c>
      <c r="E606" s="38" t="s">
        <v>28</v>
      </c>
    </row>
    <row r="607">
      <c r="A607" s="36">
        <v>46144.0</v>
      </c>
      <c r="B607" s="37">
        <v>1.0</v>
      </c>
      <c r="C607" s="38" t="s">
        <v>27</v>
      </c>
      <c r="D607" s="37">
        <v>88.6429</v>
      </c>
      <c r="E607" s="38" t="s">
        <v>28</v>
      </c>
    </row>
    <row r="608">
      <c r="A608" s="36">
        <v>46145.0</v>
      </c>
      <c r="B608" s="37">
        <v>1.0</v>
      </c>
      <c r="C608" s="38" t="s">
        <v>27</v>
      </c>
      <c r="D608" s="37">
        <v>88.6429</v>
      </c>
      <c r="E608" s="38" t="s">
        <v>28</v>
      </c>
    </row>
    <row r="609">
      <c r="A609" s="36">
        <v>46146.0</v>
      </c>
      <c r="B609" s="37">
        <v>1.0</v>
      </c>
      <c r="C609" s="38" t="s">
        <v>27</v>
      </c>
      <c r="D609" s="37">
        <v>88.6429</v>
      </c>
      <c r="E609" s="38" t="s">
        <v>28</v>
      </c>
    </row>
    <row r="610">
      <c r="A610" s="36">
        <v>46147.0</v>
      </c>
      <c r="B610" s="37">
        <v>1.0</v>
      </c>
      <c r="C610" s="38" t="s">
        <v>27</v>
      </c>
      <c r="D610" s="37">
        <v>88.2651</v>
      </c>
      <c r="E610" s="38" t="s">
        <v>28</v>
      </c>
    </row>
    <row r="611">
      <c r="A611" s="36">
        <v>46148.0</v>
      </c>
      <c r="B611" s="37">
        <v>1.0</v>
      </c>
      <c r="C611" s="38" t="s">
        <v>27</v>
      </c>
      <c r="D611" s="37">
        <v>88.3463</v>
      </c>
      <c r="E611" s="38" t="s">
        <v>28</v>
      </c>
    </row>
    <row r="612">
      <c r="A612" s="36">
        <v>46149.0</v>
      </c>
      <c r="B612" s="37">
        <v>1.0</v>
      </c>
      <c r="C612" s="38" t="s">
        <v>27</v>
      </c>
      <c r="D612" s="37">
        <v>88.06</v>
      </c>
      <c r="E612" s="38" t="s">
        <v>28</v>
      </c>
    </row>
    <row r="613">
      <c r="A613" s="36">
        <v>46150.0</v>
      </c>
      <c r="B613" s="37">
        <v>1.0</v>
      </c>
      <c r="C613" s="38" t="s">
        <v>27</v>
      </c>
      <c r="D613" s="37">
        <v>87.8897</v>
      </c>
      <c r="E613" s="38" t="s">
        <v>28</v>
      </c>
    </row>
    <row r="614">
      <c r="A614" s="36">
        <v>46151.0</v>
      </c>
      <c r="B614" s="37">
        <v>1.0</v>
      </c>
      <c r="C614" s="38" t="s">
        <v>27</v>
      </c>
      <c r="D614" s="37">
        <v>88.549</v>
      </c>
      <c r="E614" s="38" t="s">
        <v>28</v>
      </c>
    </row>
    <row r="615">
      <c r="A615" s="36">
        <v>46152.0</v>
      </c>
      <c r="B615" s="37">
        <v>1.0</v>
      </c>
      <c r="C615" s="38" t="s">
        <v>27</v>
      </c>
      <c r="D615" s="37">
        <v>88.549</v>
      </c>
      <c r="E615" s="38" t="s">
        <v>28</v>
      </c>
    </row>
    <row r="616">
      <c r="A616" s="36">
        <v>46153.0</v>
      </c>
      <c r="B616" s="37">
        <v>1.0</v>
      </c>
      <c r="C616" s="38" t="s">
        <v>27</v>
      </c>
      <c r="D616" s="37">
        <v>88.549</v>
      </c>
      <c r="E616" s="38" t="s">
        <v>28</v>
      </c>
    </row>
    <row r="617">
      <c r="A617" s="36">
        <v>46154.0</v>
      </c>
      <c r="B617" s="37">
        <v>1.0</v>
      </c>
      <c r="C617" s="38" t="s">
        <v>27</v>
      </c>
      <c r="D617" s="37">
        <v>88.549</v>
      </c>
      <c r="E617" s="38" t="s">
        <v>28</v>
      </c>
    </row>
    <row r="618">
      <c r="A618" s="36">
        <v>46155.0</v>
      </c>
      <c r="B618" s="37">
        <v>1.0</v>
      </c>
      <c r="C618" s="38" t="s">
        <v>27</v>
      </c>
      <c r="D618" s="37">
        <v>87.3791</v>
      </c>
      <c r="E618" s="38" t="s">
        <v>28</v>
      </c>
    </row>
    <row r="619">
      <c r="A619" s="36">
        <v>46156.0</v>
      </c>
      <c r="B619" s="37">
        <v>1.0</v>
      </c>
      <c r="C619" s="38" t="s">
        <v>27</v>
      </c>
      <c r="D619" s="37">
        <v>85.9017</v>
      </c>
      <c r="E619" s="38" t="s">
        <v>28</v>
      </c>
    </row>
    <row r="620">
      <c r="A620" s="36">
        <v>46157.0</v>
      </c>
      <c r="B620" s="37">
        <v>1.0</v>
      </c>
      <c r="C620" s="38" t="s">
        <v>27</v>
      </c>
      <c r="D620" s="37">
        <v>86.2899</v>
      </c>
      <c r="E620" s="38" t="s">
        <v>28</v>
      </c>
    </row>
    <row r="621">
      <c r="A621" s="36">
        <v>46158.0</v>
      </c>
      <c r="B621" s="37">
        <v>1.0</v>
      </c>
      <c r="C621" s="38" t="s">
        <v>27</v>
      </c>
      <c r="D621" s="37">
        <v>85.183</v>
      </c>
      <c r="E621" s="38" t="s">
        <v>28</v>
      </c>
    </row>
    <row r="622">
      <c r="A622" s="36">
        <v>46159.0</v>
      </c>
      <c r="B622" s="37">
        <v>1.0</v>
      </c>
      <c r="C622" s="38" t="s">
        <v>27</v>
      </c>
      <c r="D622" s="37">
        <v>85.183</v>
      </c>
      <c r="E622" s="38" t="s">
        <v>28</v>
      </c>
    </row>
    <row r="623">
      <c r="A623" s="36">
        <v>46160.0</v>
      </c>
      <c r="B623" s="37">
        <v>1.0</v>
      </c>
      <c r="C623" s="38" t="s">
        <v>27</v>
      </c>
      <c r="D623" s="37">
        <v>85.183</v>
      </c>
      <c r="E623" s="38" t="s">
        <v>28</v>
      </c>
    </row>
    <row r="624">
      <c r="A624" s="36">
        <v>46161.0</v>
      </c>
      <c r="B624" s="37">
        <v>1.0</v>
      </c>
      <c r="C624" s="38" t="s">
        <v>27</v>
      </c>
      <c r="D624" s="37">
        <v>84.0742</v>
      </c>
      <c r="E624" s="38" t="s">
        <v>28</v>
      </c>
    </row>
    <row r="625">
      <c r="A625" s="36">
        <v>46162.0</v>
      </c>
      <c r="B625" s="37">
        <v>1.0</v>
      </c>
      <c r="C625" s="38" t="s">
        <v>27</v>
      </c>
      <c r="D625" s="37">
        <v>82.7871</v>
      </c>
      <c r="E625" s="38" t="s">
        <v>28</v>
      </c>
    </row>
    <row r="626">
      <c r="A626" s="36">
        <v>46163.0</v>
      </c>
      <c r="B626" s="37">
        <v>1.0</v>
      </c>
      <c r="C626" s="38" t="s">
        <v>27</v>
      </c>
      <c r="D626" s="37">
        <v>81.9823</v>
      </c>
      <c r="E626" s="38" t="s">
        <v>28</v>
      </c>
    </row>
    <row r="627">
      <c r="A627" s="36">
        <v>46164.0</v>
      </c>
      <c r="B627" s="37">
        <v>1.0</v>
      </c>
      <c r="C627" s="38" t="s">
        <v>27</v>
      </c>
      <c r="D627" s="37">
        <v>83.2746</v>
      </c>
      <c r="E627" s="38" t="s">
        <v>28</v>
      </c>
    </row>
    <row r="628">
      <c r="A628" s="36">
        <v>46165.0</v>
      </c>
      <c r="B628" s="37">
        <v>1.0</v>
      </c>
      <c r="C628" s="38" t="s">
        <v>27</v>
      </c>
      <c r="D628" s="37">
        <v>82.5445</v>
      </c>
      <c r="E628" s="38" t="s">
        <v>28</v>
      </c>
    </row>
    <row r="629">
      <c r="A629" s="36">
        <v>46166.0</v>
      </c>
      <c r="B629" s="37">
        <v>1.0</v>
      </c>
      <c r="C629" s="38" t="s">
        <v>27</v>
      </c>
      <c r="D629" s="37">
        <v>82.5445</v>
      </c>
      <c r="E629" s="38" t="s">
        <v>28</v>
      </c>
    </row>
    <row r="630">
      <c r="A630" s="36">
        <v>46167.0</v>
      </c>
      <c r="B630" s="37">
        <v>1.0</v>
      </c>
      <c r="C630" s="38" t="s">
        <v>27</v>
      </c>
      <c r="D630" s="37">
        <v>82.5445</v>
      </c>
      <c r="E630" s="38" t="s">
        <v>28</v>
      </c>
    </row>
    <row r="631">
      <c r="A631" s="36">
        <v>46168.0</v>
      </c>
      <c r="B631" s="37">
        <v>1.0</v>
      </c>
      <c r="C631" s="38" t="s">
        <v>27</v>
      </c>
      <c r="D631" s="37">
        <v>85.4493</v>
      </c>
      <c r="E631" s="38" t="s">
        <v>28</v>
      </c>
    </row>
    <row r="632">
      <c r="A632" s="36">
        <v>46169.0</v>
      </c>
      <c r="B632" s="37">
        <v>1.0</v>
      </c>
      <c r="C632" s="38" t="s">
        <v>27</v>
      </c>
      <c r="D632" s="37">
        <v>83.2975</v>
      </c>
      <c r="E632" s="38" t="s">
        <v>28</v>
      </c>
    </row>
    <row r="633">
      <c r="A633" s="36">
        <v>46170.0</v>
      </c>
      <c r="B633" s="37">
        <v>1.0</v>
      </c>
      <c r="C633" s="38" t="s">
        <v>27</v>
      </c>
      <c r="D633" s="37">
        <v>82.7224</v>
      </c>
      <c r="E633" s="38" t="s">
        <v>28</v>
      </c>
    </row>
    <row r="634">
      <c r="A634" s="36">
        <v>46171.0</v>
      </c>
      <c r="B634" s="37">
        <v>1.0</v>
      </c>
      <c r="C634" s="38" t="s">
        <v>27</v>
      </c>
      <c r="D634" s="37">
        <v>83.6892</v>
      </c>
      <c r="E634" s="38" t="s">
        <v>28</v>
      </c>
    </row>
    <row r="635">
      <c r="A635" s="36">
        <v>46172.0</v>
      </c>
      <c r="B635" s="37">
        <v>1.0</v>
      </c>
      <c r="C635" s="38" t="s">
        <v>27</v>
      </c>
      <c r="D635" s="37">
        <v>82.6369</v>
      </c>
      <c r="E635" s="38" t="s">
        <v>28</v>
      </c>
    </row>
    <row r="636">
      <c r="A636" s="36">
        <v>46173.0</v>
      </c>
      <c r="B636" s="37">
        <v>1.0</v>
      </c>
      <c r="C636" s="38" t="s">
        <v>27</v>
      </c>
      <c r="D636" s="37">
        <v>82.6369</v>
      </c>
      <c r="E636" s="38" t="s">
        <v>28</v>
      </c>
    </row>
    <row r="637">
      <c r="A637" s="36">
        <v>46174.0</v>
      </c>
      <c r="B637" s="37">
        <v>1.0</v>
      </c>
      <c r="C637" s="38" t="s">
        <v>27</v>
      </c>
      <c r="D637" s="37">
        <v>82.6369</v>
      </c>
      <c r="E637" s="38" t="s">
        <v>28</v>
      </c>
    </row>
    <row r="638">
      <c r="A638" s="36">
        <v>46175.0</v>
      </c>
      <c r="B638" s="37">
        <v>1.0</v>
      </c>
      <c r="C638" s="38" t="s">
        <v>27</v>
      </c>
      <c r="D638" s="37">
        <v>86.2499</v>
      </c>
      <c r="E638" s="38" t="s">
        <v>28</v>
      </c>
    </row>
    <row r="639">
      <c r="A639" s="36">
        <v>46176.0</v>
      </c>
      <c r="B639" s="37">
        <v>1.0</v>
      </c>
      <c r="C639" s="38" t="s">
        <v>27</v>
      </c>
      <c r="D639" s="37">
        <v>84.6096</v>
      </c>
      <c r="E639" s="38" t="s">
        <v>28</v>
      </c>
    </row>
    <row r="640">
      <c r="A640" s="36">
        <v>46177.0</v>
      </c>
      <c r="B640" s="37">
        <v>1.0</v>
      </c>
      <c r="C640" s="38" t="s">
        <v>27</v>
      </c>
      <c r="D640" s="37">
        <v>85.1243</v>
      </c>
      <c r="E640" s="38" t="s">
        <v>28</v>
      </c>
    </row>
    <row r="641">
      <c r="A641" s="36">
        <v>46178.0</v>
      </c>
      <c r="B641" s="37">
        <v>1.0</v>
      </c>
      <c r="C641" s="38" t="s">
        <v>27</v>
      </c>
      <c r="D641" s="37">
        <v>86.2712</v>
      </c>
      <c r="E641" s="38" t="s">
        <v>28</v>
      </c>
    </row>
    <row r="642">
      <c r="A642" s="36">
        <v>46179.0</v>
      </c>
      <c r="B642" s="37">
        <v>1.0</v>
      </c>
      <c r="C642" s="38" t="s">
        <v>27</v>
      </c>
      <c r="D642" s="37">
        <v>85.5582</v>
      </c>
      <c r="E642" s="38" t="s">
        <v>28</v>
      </c>
    </row>
    <row r="643">
      <c r="A643" s="36">
        <v>46180.0</v>
      </c>
      <c r="B643" s="37">
        <v>1.0</v>
      </c>
      <c r="C643" s="38" t="s">
        <v>27</v>
      </c>
      <c r="D643" s="37">
        <v>85.5582</v>
      </c>
      <c r="E643" s="38" t="s">
        <v>28</v>
      </c>
    </row>
    <row r="644">
      <c r="A644" s="36">
        <v>46181.0</v>
      </c>
      <c r="B644" s="37">
        <v>1.0</v>
      </c>
      <c r="C644" s="38" t="s">
        <v>27</v>
      </c>
      <c r="D644" s="37">
        <v>85.5582</v>
      </c>
      <c r="E644" s="38" t="s">
        <v>28</v>
      </c>
    </row>
    <row r="645">
      <c r="A645" s="36">
        <v>46182.0</v>
      </c>
      <c r="B645" s="37">
        <v>1.0</v>
      </c>
      <c r="C645" s="38" t="s">
        <v>27</v>
      </c>
      <c r="D645" s="37">
        <v>85.2798</v>
      </c>
      <c r="E645" s="38" t="s">
        <v>28</v>
      </c>
    </row>
    <row r="646">
      <c r="A646" s="36">
        <v>46183.0</v>
      </c>
      <c r="B646" s="37">
        <v>1.0</v>
      </c>
      <c r="C646" s="38" t="s">
        <v>27</v>
      </c>
      <c r="D646" s="37">
        <v>82.7785</v>
      </c>
      <c r="E646" s="38" t="s">
        <v>28</v>
      </c>
    </row>
    <row r="647">
      <c r="A647" s="36">
        <v>46184.0</v>
      </c>
      <c r="B647" s="37">
        <v>1.0</v>
      </c>
      <c r="C647" s="38" t="s">
        <v>27</v>
      </c>
      <c r="D647" s="37">
        <v>83.0816</v>
      </c>
      <c r="E647" s="38" t="s">
        <v>28</v>
      </c>
    </row>
    <row r="648">
      <c r="A648" s="36">
        <v>46185.0</v>
      </c>
      <c r="B648" s="37">
        <v>1.0</v>
      </c>
      <c r="C648" s="38" t="s">
        <v>27</v>
      </c>
      <c r="D648" s="37">
        <v>82.9743</v>
      </c>
      <c r="E648" s="38" t="s">
        <v>28</v>
      </c>
    </row>
    <row r="649">
      <c r="A649" s="36">
        <v>46186.0</v>
      </c>
      <c r="B649" s="37">
        <v>1.0</v>
      </c>
      <c r="C649" s="38" t="s">
        <v>27</v>
      </c>
      <c r="D649" s="37">
        <v>82.9743</v>
      </c>
      <c r="E649" s="38" t="s">
        <v>28</v>
      </c>
    </row>
    <row r="650">
      <c r="A650" s="36">
        <v>46187.0</v>
      </c>
      <c r="B650" s="37">
        <v>1.0</v>
      </c>
      <c r="C650" s="38" t="s">
        <v>27</v>
      </c>
      <c r="D650" s="37">
        <v>82.9743</v>
      </c>
      <c r="E650" s="38" t="s">
        <v>28</v>
      </c>
    </row>
    <row r="651">
      <c r="A651" s="36">
        <v>46188.0</v>
      </c>
      <c r="B651" s="37">
        <v>1.0</v>
      </c>
      <c r="C651" s="38" t="s">
        <v>27</v>
      </c>
      <c r="D651" s="37">
        <v>82.9743</v>
      </c>
      <c r="E651" s="38" t="s">
        <v>28</v>
      </c>
    </row>
    <row r="652">
      <c r="A652" s="36">
        <v>46189.0</v>
      </c>
      <c r="B652" s="37">
        <v>1.0</v>
      </c>
      <c r="C652" s="38" t="s">
        <v>27</v>
      </c>
      <c r="D652" s="37">
        <v>83.8044</v>
      </c>
      <c r="E652" s="38" t="s">
        <v>28</v>
      </c>
    </row>
    <row r="653">
      <c r="A653" s="36">
        <v>46190.0</v>
      </c>
      <c r="B653" s="37">
        <v>1.0</v>
      </c>
      <c r="C653" s="38" t="s">
        <v>27</v>
      </c>
      <c r="D653" s="37"/>
      <c r="E653" s="38" t="s">
        <v>28</v>
      </c>
    </row>
    <row r="654">
      <c r="A654" s="36">
        <v>46191.0</v>
      </c>
      <c r="B654" s="37">
        <v>1.0</v>
      </c>
      <c r="C654" s="38" t="s">
        <v>27</v>
      </c>
      <c r="D654" s="37"/>
      <c r="E654" s="38" t="s">
        <v>28</v>
      </c>
    </row>
    <row r="655">
      <c r="A655" s="36">
        <v>46192.0</v>
      </c>
      <c r="B655" s="37">
        <v>1.0</v>
      </c>
      <c r="C655" s="38" t="s">
        <v>27</v>
      </c>
      <c r="D655" s="37"/>
      <c r="E655" s="38" t="s">
        <v>28</v>
      </c>
    </row>
    <row r="656">
      <c r="A656" s="36">
        <v>46193.0</v>
      </c>
      <c r="B656" s="37">
        <v>1.0</v>
      </c>
      <c r="C656" s="38" t="s">
        <v>27</v>
      </c>
      <c r="D656" s="37"/>
      <c r="E656" s="38" t="s">
        <v>28</v>
      </c>
    </row>
    <row r="657">
      <c r="A657" s="36">
        <v>46194.0</v>
      </c>
      <c r="B657" s="37">
        <v>1.0</v>
      </c>
      <c r="C657" s="38" t="s">
        <v>27</v>
      </c>
      <c r="D657" s="37"/>
      <c r="E657" s="38" t="s">
        <v>28</v>
      </c>
    </row>
    <row r="658">
      <c r="A658" s="36">
        <v>46195.0</v>
      </c>
      <c r="B658" s="37">
        <v>1.0</v>
      </c>
      <c r="C658" s="38" t="s">
        <v>27</v>
      </c>
      <c r="D658" s="37"/>
      <c r="E658" s="38" t="s">
        <v>28</v>
      </c>
    </row>
    <row r="659">
      <c r="A659" s="36">
        <v>46196.0</v>
      </c>
      <c r="B659" s="37">
        <v>1.0</v>
      </c>
      <c r="C659" s="38" t="s">
        <v>27</v>
      </c>
      <c r="D659" s="37"/>
      <c r="E659" s="38" t="s">
        <v>28</v>
      </c>
    </row>
    <row r="660">
      <c r="A660" s="36">
        <v>46197.0</v>
      </c>
      <c r="B660" s="37">
        <v>1.0</v>
      </c>
      <c r="C660" s="38" t="s">
        <v>27</v>
      </c>
      <c r="D660" s="37"/>
      <c r="E660" s="38" t="s">
        <v>28</v>
      </c>
    </row>
    <row r="661">
      <c r="A661" s="36">
        <v>46198.0</v>
      </c>
      <c r="B661" s="37">
        <v>1.0</v>
      </c>
      <c r="C661" s="38" t="s">
        <v>27</v>
      </c>
      <c r="D661" s="37"/>
      <c r="E661" s="38" t="s">
        <v>28</v>
      </c>
    </row>
    <row r="662">
      <c r="A662" s="36">
        <v>46199.0</v>
      </c>
      <c r="B662" s="37">
        <v>1.0</v>
      </c>
      <c r="C662" s="38" t="s">
        <v>27</v>
      </c>
      <c r="D662" s="37"/>
      <c r="E662" s="38" t="s">
        <v>28</v>
      </c>
    </row>
    <row r="663">
      <c r="E663" s="38" t="s">
        <v>28</v>
      </c>
    </row>
    <row r="664">
      <c r="E664" s="38" t="s">
        <v>28</v>
      </c>
    </row>
    <row r="665">
      <c r="E665" s="38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8.75"/>
    <col customWidth="1" min="2" max="2" width="15.63"/>
  </cols>
  <sheetData>
    <row r="1">
      <c r="A1" s="43" t="s">
        <v>29</v>
      </c>
      <c r="B1" s="44" t="s">
        <v>30</v>
      </c>
      <c r="C1" s="44" t="s">
        <v>31</v>
      </c>
      <c r="D1" s="45" t="s">
        <v>32</v>
      </c>
      <c r="E1" s="44" t="s">
        <v>33</v>
      </c>
      <c r="F1" s="45" t="s">
        <v>34</v>
      </c>
      <c r="G1" s="45" t="s">
        <v>35</v>
      </c>
      <c r="H1" s="45" t="s">
        <v>36</v>
      </c>
      <c r="I1" s="44" t="s">
        <v>37</v>
      </c>
      <c r="J1" s="44" t="s">
        <v>38</v>
      </c>
      <c r="K1" s="44" t="s">
        <v>39</v>
      </c>
      <c r="L1" s="44" t="s">
        <v>40</v>
      </c>
      <c r="M1" s="44" t="s">
        <v>41</v>
      </c>
      <c r="N1" s="44" t="s">
        <v>42</v>
      </c>
      <c r="O1" s="44" t="s">
        <v>43</v>
      </c>
      <c r="P1" s="44" t="s">
        <v>44</v>
      </c>
      <c r="Q1" s="44" t="s">
        <v>45</v>
      </c>
      <c r="R1" s="44" t="s">
        <v>46</v>
      </c>
      <c r="S1" s="44" t="s">
        <v>47</v>
      </c>
      <c r="T1" s="44" t="s">
        <v>48</v>
      </c>
      <c r="U1" s="46" t="s">
        <v>49</v>
      </c>
      <c r="V1" s="46" t="s">
        <v>50</v>
      </c>
      <c r="W1" s="46" t="s">
        <v>51</v>
      </c>
      <c r="X1" s="46" t="s">
        <v>52</v>
      </c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>
      <c r="A2" s="48" t="s">
        <v>53</v>
      </c>
      <c r="B2" s="49">
        <f>IFERROR(AVERAGEIFS('Сентябрь 2024'!$K:$K,'Сентябрь 2024'!$E:$E,$A:$A),"-")</f>
        <v>1.946</v>
      </c>
      <c r="C2" s="49">
        <f>IFERROR(AVERAGEIFS('Октябрь 2024'!$K:$K,'Октябрь 2024'!$E:$E,$A:$A),"-")</f>
        <v>2.77</v>
      </c>
      <c r="D2" s="49">
        <f>IFERROR(AVERAGEIFS('Ноябрь 2024'!$K:$K,'Ноябрь 2024'!$E:$E,$A:$A),"-")</f>
        <v>1.973333333</v>
      </c>
      <c r="E2" s="49" t="str">
        <f>IFERROR(AVERAGEIFS('Декабрь 2024'!$K:$K,'Декабрь 2024'!$E:$E,$A:$A),"-")</f>
        <v>-</v>
      </c>
      <c r="F2" s="49">
        <f>IFERROR(AVERAGEIFS('Январь 2025'!$K:$K,'Январь 2025'!$E:$E,$A:$A),"-")</f>
        <v>2.085384615</v>
      </c>
      <c r="G2" s="49">
        <f>IFERROR(AVERAGEIFS('Февраль 2025 '!K:K,'Февраль 2025 '!E:E,A:A),"-")</f>
        <v>2.02</v>
      </c>
      <c r="H2" s="49">
        <f>IFERROR(AVERAGEIFS('Март 2025'!$K:$K,'Март 2025'!$E:$E,$A:$A),"-")</f>
        <v>2.011666667</v>
      </c>
      <c r="I2" s="49">
        <f>IFERROR(AVERAGEIFS('Апрель 2025'!$K:$K,'Апрель 2025'!$E:$E,$A:$A),"-")</f>
        <v>1.936666667</v>
      </c>
      <c r="J2" s="49">
        <f>IFERROR(AVERAGEIFS('Май 2025'!$K:$K,'Май 2025'!$E:$E,$A:$A),"-")</f>
        <v>1.882857143</v>
      </c>
      <c r="K2" s="49">
        <f>IFERROR(AVERAGEIFS('Июнь 2025'!$K:$K,'Июнь 2025'!$E:$E,$A:$A),"-")</f>
        <v>1.863333333</v>
      </c>
      <c r="L2" s="49">
        <f>IFERROR(AVERAGEIFS('Июль 2025'!$K:$K,'Июль 2025'!$E:$E,$A:$A),"-")</f>
        <v>2.2175</v>
      </c>
      <c r="M2" s="49">
        <f>IFERROR(AVERAGEIFS('Август 2025'!$K:$K,'Август 2025'!$E:$E,$A:$A),"-")</f>
        <v>1.876666667</v>
      </c>
      <c r="N2" s="49">
        <f>IFERROR(AVERAGEIFS('Сентябрь 2025'!$K:$K,'Сентябрь 2025'!$E:$E,$A:$A),"-")</f>
        <v>2.02</v>
      </c>
      <c r="O2" s="49">
        <f>IFERROR(AVERAGEIFS('Октябрь 2025'!$K:$K,'Октябрь 2025'!$E:$E,$A:$A),"-")</f>
        <v>1.902857143</v>
      </c>
      <c r="P2" s="49">
        <f>IFERROR(AVERAGEIFS('Ноябрь 2025'!$K:$K,'Ноябрь 2025'!$E:$E,$A:$A),"-")</f>
        <v>1.933333333</v>
      </c>
      <c r="Q2" s="49">
        <f>IFERROR(AVERAGEIFS('Декабрь 2025'!$K:$K,'Декабрь 2025'!$E:$E,$A:$A),"-")</f>
        <v>1.918461538</v>
      </c>
      <c r="R2" s="49">
        <f>IFERROR(AVERAGEIFS('Январь 2026'!$K:$K,'Январь 2026'!$E:$E,$A:$A),"-")</f>
        <v>1.97</v>
      </c>
      <c r="S2" s="49">
        <f>IFERROR(AVERAGEIFS('Февраль 2026'!$K:$K,'Февраль 2026'!$E:$E,$A:$A),"-")</f>
        <v>1.95</v>
      </c>
      <c r="T2" s="49">
        <f>IFERROR(AVERAGEIFS('Март 2026'!$K:$K,'Март 2026'!$E:$E,$A:$A),"-")</f>
        <v>1.961666667</v>
      </c>
      <c r="U2" s="49">
        <f>IFERROR(AVERAGEIFS('Апрель 2026'!$K:$K,'Апрель 2026'!$E:$E,$A:$A),"-")</f>
        <v>1.886</v>
      </c>
      <c r="V2" s="49" t="str">
        <f>IFERROR(AVERAGEIFS('Май 2026'!$K:$K,'Май 2026'!$E:$E,$A:$A),"-")</f>
        <v>-</v>
      </c>
      <c r="W2" s="49" t="str">
        <f t="shared" ref="W2:W109" si="1">IFERROR(AVERAGEIFS('Июнь 2026'!$K:$K,'Июнь 2026'!$E:$E,$A:$A),"-")</f>
        <v>-</v>
      </c>
      <c r="X2" s="49" t="str">
        <f t="shared" ref="X2:X109" si="2">IFERROR(AVERAGEIFS('Июль 2026'!$K:$K,'Июль 2026'!$E:$E,$A:$A),"-")</f>
        <v>-</v>
      </c>
      <c r="Y2" s="48"/>
      <c r="Z2" s="48"/>
      <c r="AA2" s="48"/>
      <c r="AB2" s="48"/>
      <c r="AC2" s="48"/>
      <c r="AD2" s="48"/>
      <c r="AE2" s="48"/>
      <c r="AF2" s="48"/>
      <c r="AG2" s="48"/>
      <c r="AH2" s="48"/>
    </row>
    <row r="3">
      <c r="A3" s="48" t="s">
        <v>18</v>
      </c>
      <c r="B3" s="49">
        <f>IFERROR(AVERAGEIFS('Сентябрь 2024'!$K:$K,'Сентябрь 2024'!$E:$E,$A:$A),"-")</f>
        <v>3.998125</v>
      </c>
      <c r="C3" s="49">
        <f>IFERROR(AVERAGEIFS('Октябрь 2024'!$K:$K,'Октябрь 2024'!$E:$E,$A:$A),"-")</f>
        <v>4.01</v>
      </c>
      <c r="D3" s="49">
        <f>IFERROR(AVERAGEIFS('Ноябрь 2024'!$K:$K,'Ноябрь 2024'!$E:$E,$A:$A),"-")</f>
        <v>3.805625</v>
      </c>
      <c r="E3" s="49">
        <f>IFERROR(AVERAGEIFS('Декабрь 2024'!$K:$K,'Декабрь 2024'!$E:$E,$A:$A),"-")</f>
        <v>3.58625</v>
      </c>
      <c r="F3" s="49">
        <f>IFERROR(AVERAGEIFS('Январь 2025'!$K:$K,'Январь 2025'!$E:$E,$A:$A),"-")</f>
        <v>3.698181818</v>
      </c>
      <c r="G3" s="49">
        <f>IFERROR(AVERAGEIFS('Февраль 2025 '!K:K,'Февраль 2025 '!E:E,A:A),"-")</f>
        <v>3.719333333</v>
      </c>
      <c r="H3" s="49">
        <f>IFERROR(AVERAGEIFS('Март 2025'!$K:$K,'Март 2025'!$E:$E,$A:$A),"-")</f>
        <v>2.786923077</v>
      </c>
      <c r="I3" s="49">
        <f>IFERROR(AVERAGEIFS('Апрель 2025'!$K:$K,'Апрель 2025'!$E:$E,$A:$A),"-")</f>
        <v>2.788125</v>
      </c>
      <c r="J3" s="49">
        <f>IFERROR(AVERAGEIFS('Май 2025'!$K:$K,'Май 2025'!$E:$E,$A:$A),"-")</f>
        <v>3.124666667</v>
      </c>
      <c r="K3" s="49">
        <f>IFERROR(AVERAGEIFS('Июнь 2025'!$K:$K,'Июнь 2025'!$E:$E,$A:$A),"-")</f>
        <v>3.763333333</v>
      </c>
      <c r="L3" s="49">
        <f>IFERROR(AVERAGEIFS('Июль 2025'!$K:$K,'Июль 2025'!$E:$E,$A:$A),"-")</f>
        <v>2.487142857</v>
      </c>
      <c r="M3" s="49">
        <f>IFERROR(AVERAGEIFS('Август 2025'!$K:$K,'Август 2025'!$E:$E,$A:$A),"-")</f>
        <v>2.6475</v>
      </c>
      <c r="N3" s="49">
        <f>IFERROR(AVERAGEIFS('Сентябрь 2025'!$K:$K,'Сентябрь 2025'!$E:$E,$A:$A),"-")</f>
        <v>3.625714286</v>
      </c>
      <c r="O3" s="49">
        <f>IFERROR(AVERAGEIFS('Октябрь 2025'!$K:$K,'Октябрь 2025'!$E:$E,$A:$A),"-")</f>
        <v>3.308823529</v>
      </c>
      <c r="P3" s="49">
        <f>IFERROR(AVERAGEIFS('Ноябрь 2025'!$K:$K,'Ноябрь 2025'!$E:$E,$A:$A),"-")</f>
        <v>3.036153846</v>
      </c>
      <c r="Q3" s="49">
        <f>IFERROR(AVERAGEIFS('Декабрь 2025'!$K:$K,'Декабрь 2025'!$E:$E,$A:$A),"-")</f>
        <v>3.423529412</v>
      </c>
      <c r="R3" s="49" t="str">
        <f>IFERROR(AVERAGEIFS('Январь 2026'!$K:$K,'Январь 2026'!$E:$E,$A:$A),"-")</f>
        <v>-</v>
      </c>
      <c r="S3" s="49">
        <f>IFERROR(AVERAGEIFS('Февраль 2026'!$K:$K,'Февраль 2026'!$E:$E,$A:$A),"-")</f>
        <v>3.113095238</v>
      </c>
      <c r="T3" s="49">
        <f>IFERROR(AVERAGEIFS('Март 2026'!$K:$K,'Март 2026'!$E:$E,$A:$A),"-")</f>
        <v>2.914553571</v>
      </c>
      <c r="U3" s="49">
        <f>IFERROR(AVERAGEIFS('Апрель 2026'!$K:$K,'Апрель 2026'!$E:$E,$A:$A),"-")</f>
        <v>6.410724638</v>
      </c>
      <c r="V3" s="49">
        <f>IFERROR(AVERAGEIFS('Май 2026'!$K:$K,'Май 2026'!$E:$E,$A:$A),"-")</f>
        <v>5.202346939</v>
      </c>
      <c r="W3" s="49" t="str">
        <f t="shared" si="1"/>
        <v>-</v>
      </c>
      <c r="X3" s="49" t="str">
        <f t="shared" si="2"/>
        <v>-</v>
      </c>
      <c r="Y3" s="48"/>
      <c r="Z3" s="48"/>
      <c r="AA3" s="48"/>
      <c r="AB3" s="48"/>
      <c r="AC3" s="48"/>
      <c r="AD3" s="48"/>
      <c r="AE3" s="48"/>
      <c r="AF3" s="48"/>
      <c r="AG3" s="48"/>
      <c r="AH3" s="48"/>
    </row>
    <row r="4" ht="15.0" customHeight="1">
      <c r="A4" s="48" t="s">
        <v>54</v>
      </c>
      <c r="B4" s="49">
        <f>IFERROR(AVERAGEIFS('Сентябрь 2024'!$K:$K,'Сентябрь 2024'!$E:$E,$A:$A),"-")</f>
        <v>1.94</v>
      </c>
      <c r="C4" s="49">
        <f>IFERROR(AVERAGEIFS('Октябрь 2024'!$K:$K,'Октябрь 2024'!$E:$E,$A:$A),"-")</f>
        <v>1.99</v>
      </c>
      <c r="D4" s="49">
        <f>IFERROR(AVERAGEIFS('Ноябрь 2024'!$K:$K,'Ноябрь 2024'!$E:$E,$A:$A),"-")</f>
        <v>1.996666667</v>
      </c>
      <c r="E4" s="49" t="str">
        <f>IFERROR(AVERAGEIFS('Декабрь 2024'!$K:$K,'Декабрь 2024'!$E:$E,$A:$A),"-")</f>
        <v>-</v>
      </c>
      <c r="F4" s="49">
        <f>IFERROR(AVERAGEIFS('Январь 2025'!$K:$K,'Январь 2025'!$E:$E,$A:$A),"-")</f>
        <v>2.18</v>
      </c>
      <c r="G4" s="49" t="str">
        <f>IFERROR(AVERAGEIFS('Февраль 2025 '!K:K,'Февраль 2025 '!E:E,A:A),"-")</f>
        <v>-</v>
      </c>
      <c r="H4" s="49">
        <f>IFERROR(AVERAGEIFS('Март 2025'!$K:$K,'Март 2025'!$E:$E,$A:$A),"-")</f>
        <v>2.18</v>
      </c>
      <c r="I4" s="49">
        <f>IFERROR(AVERAGEIFS('Апрель 2025'!$K:$K,'Апрель 2025'!$E:$E,$A:$A),"-")</f>
        <v>2.03</v>
      </c>
      <c r="J4" s="49" t="str">
        <f>IFERROR(AVERAGEIFS('Май 2025'!$K:$K,'Май 2025'!$E:$E,$A:$A),"-")</f>
        <v>-</v>
      </c>
      <c r="K4" s="49">
        <f>IFERROR(AVERAGEIFS('Июнь 2025'!$K:$K,'Июнь 2025'!$E:$E,$A:$A),"-")</f>
        <v>1.89</v>
      </c>
      <c r="L4" s="49">
        <f>IFERROR(AVERAGEIFS('Июль 2025'!$K:$K,'Июль 2025'!$E:$E,$A:$A),"-")</f>
        <v>1.99</v>
      </c>
      <c r="M4" s="49">
        <f>IFERROR(AVERAGEIFS('Август 2025'!$K:$K,'Август 2025'!$E:$E,$A:$A),"-")</f>
        <v>1.99</v>
      </c>
      <c r="N4" s="49">
        <f>IFERROR(AVERAGEIFS('Сентябрь 2025'!$K:$K,'Сентябрь 2025'!$E:$E,$A:$A),"-")</f>
        <v>1.926666667</v>
      </c>
      <c r="O4" s="49">
        <f>IFERROR(AVERAGEIFS('Октябрь 2025'!$K:$K,'Октябрь 2025'!$E:$E,$A:$A),"-")</f>
        <v>1.89375</v>
      </c>
      <c r="P4" s="49">
        <f>IFERROR(AVERAGEIFS('Ноябрь 2025'!$K:$K,'Ноябрь 2025'!$E:$E,$A:$A),"-")</f>
        <v>1.91</v>
      </c>
      <c r="Q4" s="49">
        <f>IFERROR(AVERAGEIFS('Декабрь 2025'!$K:$K,'Декабрь 2025'!$E:$E,$A:$A),"-")</f>
        <v>2.047857143</v>
      </c>
      <c r="R4" s="49">
        <f>IFERROR(AVERAGEIFS('Январь 2026'!$K:$K,'Январь 2026'!$E:$E,$A:$A),"-")</f>
        <v>2.001</v>
      </c>
      <c r="S4" s="49" t="str">
        <f>IFERROR(AVERAGEIFS('Февраль 2026'!$K:$K,'Февраль 2026'!$E:$E,$A:$A),"-")</f>
        <v>-</v>
      </c>
      <c r="T4" s="49">
        <f>IFERROR(AVERAGEIFS('Март 2026'!$K:$K,'Март 2026'!$E:$E,$A:$A),"-")</f>
        <v>1.972166667</v>
      </c>
      <c r="U4" s="49">
        <f>IFERROR(AVERAGEIFS('Апрель 2026'!$K:$K,'Апрель 2026'!$E:$E,$A:$A),"-")</f>
        <v>1.891142857</v>
      </c>
      <c r="V4" s="49">
        <f>IFERROR(AVERAGEIFS('Май 2026'!$K:$K,'Май 2026'!$E:$E,$A:$A),"-")</f>
        <v>1.910769231</v>
      </c>
      <c r="W4" s="49" t="str">
        <f t="shared" si="1"/>
        <v>-</v>
      </c>
      <c r="X4" s="49" t="str">
        <f t="shared" si="2"/>
        <v>-</v>
      </c>
      <c r="Y4" s="48"/>
      <c r="Z4" s="48"/>
      <c r="AA4" s="48"/>
      <c r="AB4" s="48"/>
      <c r="AC4" s="48"/>
      <c r="AD4" s="48"/>
      <c r="AE4" s="48"/>
      <c r="AF4" s="48"/>
      <c r="AG4" s="48"/>
      <c r="AH4" s="48"/>
    </row>
    <row r="5">
      <c r="A5" s="48" t="s">
        <v>55</v>
      </c>
      <c r="B5" s="49" t="str">
        <f>IFERROR(AVERAGEIFS('Сентябрь 2024'!$K:$K,'Сентябрь 2024'!$E:$E,$A:$A),"-")</f>
        <v>-</v>
      </c>
      <c r="C5" s="49" t="str">
        <f>IFERROR(AVERAGEIFS('Октябрь 2024'!$K:$K,'Октябрь 2024'!$E:$E,$A:$A),"-")</f>
        <v>-</v>
      </c>
      <c r="D5" s="49" t="str">
        <f>IFERROR(AVERAGEIFS('Ноябрь 2024'!$K:$K,'Ноябрь 2024'!$E:$E,$A:$A),"-")</f>
        <v>-</v>
      </c>
      <c r="E5" s="49" t="str">
        <f>IFERROR(AVERAGEIFS('Декабрь 2024'!$K:$K,'Декабрь 2024'!$E:$E,$A:$A),"-")</f>
        <v>-</v>
      </c>
      <c r="F5" s="49" t="str">
        <f>IFERROR(AVERAGEIFS('Январь 2025'!$K:$K,'Январь 2025'!$E:$E,$A:$A),"-")</f>
        <v>-</v>
      </c>
      <c r="G5" s="49">
        <f>IFERROR(AVERAGEIFS('Февраль 2025 '!K:K,'Февраль 2025 '!E:E,A:A),"-")</f>
        <v>2.62</v>
      </c>
      <c r="H5" s="49">
        <f>IFERROR(AVERAGEIFS('Март 2025'!$K:$K,'Март 2025'!$E:$E,$A:$A),"-")</f>
        <v>2.715</v>
      </c>
      <c r="I5" s="49" t="str">
        <f>IFERROR(AVERAGEIFS('Апрель 2025'!$K:$K,'Апрель 2025'!$E:$E,$A:$A),"-")</f>
        <v>-</v>
      </c>
      <c r="J5" s="49" t="str">
        <f>IFERROR(AVERAGEIFS('Май 2025'!$K:$K,'Май 2025'!$E:$E,$A:$A),"-")</f>
        <v>-</v>
      </c>
      <c r="K5" s="49" t="str">
        <f>IFERROR(AVERAGEIFS('Июнь 2025'!$K:$K,'Июнь 2025'!$E:$E,$A:$A),"-")</f>
        <v>-</v>
      </c>
      <c r="L5" s="49" t="str">
        <f>IFERROR(AVERAGEIFS('Июль 2025'!$K:$K,'Июль 2025'!$E:$E,$A:$A),"-")</f>
        <v>-</v>
      </c>
      <c r="M5" s="49" t="str">
        <f>IFERROR(AVERAGEIFS('Август 2025'!$K:$K,'Август 2025'!$E:$E,$A:$A),"-")</f>
        <v>-</v>
      </c>
      <c r="N5" s="49">
        <f>IFERROR(AVERAGEIFS('Сентябрь 2025'!$K:$K,'Сентябрь 2025'!$E:$E,$A:$A),"-")</f>
        <v>2.69</v>
      </c>
      <c r="O5" s="49">
        <f>IFERROR(AVERAGEIFS('Октябрь 2025'!$K:$K,'Октябрь 2025'!$E:$E,$A:$A),"-")</f>
        <v>2.6</v>
      </c>
      <c r="P5" s="49">
        <f>IFERROR(AVERAGEIFS('Ноябрь 2025'!$K:$K,'Ноябрь 2025'!$E:$E,$A:$A),"-")</f>
        <v>2.68</v>
      </c>
      <c r="Q5" s="49" t="str">
        <f>IFERROR(AVERAGEIFS('Декабрь 2025'!$K:$K,'Декабрь 2025'!$E:$E,$A:$A),"-")</f>
        <v>-</v>
      </c>
      <c r="R5" s="49">
        <f>IFERROR(AVERAGEIFS('Январь 2026'!$K:$K,'Январь 2026'!$E:$E,$A:$A),"-")</f>
        <v>2.74</v>
      </c>
      <c r="S5" s="49" t="str">
        <f>IFERROR(AVERAGEIFS('Февраль 2026'!$K:$K,'Февраль 2026'!$E:$E,$A:$A),"-")</f>
        <v>-</v>
      </c>
      <c r="T5" s="49">
        <f>IFERROR(AVERAGEIFS('Март 2026'!$K:$K,'Март 2026'!$E:$E,$A:$A),"-")</f>
        <v>2.75</v>
      </c>
      <c r="U5" s="49">
        <f>IFERROR(AVERAGEIFS('Апрель 2026'!$K:$K,'Апрель 2026'!$E:$E,$A:$A),"-")</f>
        <v>2.765</v>
      </c>
      <c r="V5" s="49">
        <f>IFERROR(AVERAGEIFS('Май 2026'!$K:$K,'Май 2026'!$E:$E,$A:$A),"-")</f>
        <v>2.78</v>
      </c>
      <c r="W5" s="49" t="str">
        <f t="shared" si="1"/>
        <v>-</v>
      </c>
      <c r="X5" s="49" t="str">
        <f t="shared" si="2"/>
        <v>-</v>
      </c>
      <c r="Y5" s="48"/>
      <c r="Z5" s="48"/>
      <c r="AA5" s="48"/>
      <c r="AB5" s="48"/>
      <c r="AC5" s="48"/>
      <c r="AD5" s="48"/>
      <c r="AE5" s="48"/>
      <c r="AF5" s="48"/>
      <c r="AG5" s="48"/>
      <c r="AH5" s="48"/>
    </row>
    <row r="6">
      <c r="A6" s="48" t="s">
        <v>56</v>
      </c>
      <c r="B6" s="49">
        <f>IFERROR(AVERAGEIFS('Сентябрь 2024'!$K:$K,'Сентябрь 2024'!$E:$E,$A:$A),"-")</f>
        <v>3.42</v>
      </c>
      <c r="C6" s="49">
        <f>IFERROR(AVERAGEIFS('Октябрь 2024'!$K:$K,'Октябрь 2024'!$E:$E,$A:$A),"-")</f>
        <v>3.33</v>
      </c>
      <c r="D6" s="49">
        <f>IFERROR(AVERAGEIFS('Ноябрь 2024'!$K:$K,'Ноябрь 2024'!$E:$E,$A:$A),"-")</f>
        <v>3.22</v>
      </c>
      <c r="E6" s="49" t="str">
        <f>IFERROR(AVERAGEIFS('Декабрь 2024'!$K:$K,'Декабрь 2024'!$E:$E,$A:$A),"-")</f>
        <v>-</v>
      </c>
      <c r="F6" s="49" t="str">
        <f>IFERROR(AVERAGEIFS('Январь 2025'!$K:$K,'Январь 2025'!$E:$E,$A:$A),"-")</f>
        <v>-</v>
      </c>
      <c r="G6" s="49">
        <f>IFERROR(AVERAGEIFS('Февраль 2025 '!K:K,'Февраль 2025 '!E:E,A:A),"-")</f>
        <v>3.19</v>
      </c>
      <c r="H6" s="49">
        <f>IFERROR(AVERAGEIFS('Март 2025'!$K:$K,'Март 2025'!$E:$E,$A:$A),"-")</f>
        <v>3.185</v>
      </c>
      <c r="I6" s="49" t="str">
        <f>IFERROR(AVERAGEIFS('Апрель 2025'!$K:$K,'Апрель 2025'!$E:$E,$A:$A),"-")</f>
        <v>-</v>
      </c>
      <c r="J6" s="49" t="str">
        <f>IFERROR(AVERAGEIFS('Май 2025'!$K:$K,'Май 2025'!$E:$E,$A:$A),"-")</f>
        <v>-</v>
      </c>
      <c r="K6" s="49" t="str">
        <f>IFERROR(AVERAGEIFS('Июнь 2025'!$K:$K,'Июнь 2025'!$E:$E,$A:$A),"-")</f>
        <v>-</v>
      </c>
      <c r="L6" s="49" t="str">
        <f>IFERROR(AVERAGEIFS('Июль 2025'!$K:$K,'Июль 2025'!$E:$E,$A:$A),"-")</f>
        <v>-</v>
      </c>
      <c r="M6" s="49" t="str">
        <f>IFERROR(AVERAGEIFS('Август 2025'!$K:$K,'Август 2025'!$E:$E,$A:$A),"-")</f>
        <v>-</v>
      </c>
      <c r="N6" s="49" t="str">
        <f>IFERROR(AVERAGEIFS('Сентябрь 2025'!$K:$K,'Сентябрь 2025'!$E:$E,$A:$A),"-")</f>
        <v>-</v>
      </c>
      <c r="O6" s="49" t="str">
        <f>IFERROR(AVERAGEIFS('Октябрь 2025'!$K:$K,'Октябрь 2025'!$E:$E,$A:$A),"-")</f>
        <v>-</v>
      </c>
      <c r="P6" s="49" t="str">
        <f>IFERROR(AVERAGEIFS('Ноябрь 2025'!$K:$K,'Ноябрь 2025'!$E:$E,$A:$A),"-")</f>
        <v>-</v>
      </c>
      <c r="Q6" s="49" t="str">
        <f>IFERROR(AVERAGEIFS('Декабрь 2025'!$K:$K,'Декабрь 2025'!$E:$E,$A:$A),"-")</f>
        <v>-</v>
      </c>
      <c r="R6" s="49" t="str">
        <f>IFERROR(AVERAGEIFS('Январь 2026'!$K:$K,'Январь 2026'!$E:$E,$A:$A),"-")</f>
        <v>-</v>
      </c>
      <c r="S6" s="49" t="str">
        <f>IFERROR(AVERAGEIFS('Февраль 2026'!$K:$K,'Февраль 2026'!$E:$E,$A:$A),"-")</f>
        <v>-</v>
      </c>
      <c r="T6" s="49" t="str">
        <f>IFERROR(AVERAGEIFS('Март 2026'!$K:$K,'Март 2026'!$E:$E,$A:$A),"-")</f>
        <v>-</v>
      </c>
      <c r="U6" s="49" t="str">
        <f>IFERROR(AVERAGEIFS('Апрель 2026'!$K:$K,'Апрель 2026'!$E:$E,$A:$A),"-")</f>
        <v>-</v>
      </c>
      <c r="V6" s="49" t="str">
        <f>IFERROR(AVERAGEIFS('Май 2026'!$K:$K,'Май 2026'!$E:$E,$A:$A),"-")</f>
        <v>-</v>
      </c>
      <c r="W6" s="49" t="str">
        <f t="shared" si="1"/>
        <v>-</v>
      </c>
      <c r="X6" s="49" t="str">
        <f t="shared" si="2"/>
        <v>-</v>
      </c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7">
      <c r="A7" s="48" t="s">
        <v>57</v>
      </c>
      <c r="B7" s="49" t="str">
        <f>IFERROR(AVERAGEIFS('Сентябрь 2024'!$K:$K,'Сентябрь 2024'!$E:$E,$A:$A),"-")</f>
        <v>-</v>
      </c>
      <c r="C7" s="49" t="str">
        <f>IFERROR(AVERAGEIFS('Октябрь 2024'!$K:$K,'Октябрь 2024'!$E:$E,$A:$A),"-")</f>
        <v>-</v>
      </c>
      <c r="D7" s="49" t="str">
        <f>IFERROR(AVERAGEIFS('Ноябрь 2024'!$K:$K,'Ноябрь 2024'!$E:$E,$A:$A),"-")</f>
        <v>-</v>
      </c>
      <c r="E7" s="49" t="str">
        <f>IFERROR(AVERAGEIFS('Декабрь 2024'!$K:$K,'Декабрь 2024'!$E:$E,$A:$A),"-")</f>
        <v>-</v>
      </c>
      <c r="F7" s="49">
        <f>IFERROR(AVERAGEIFS('Январь 2025'!$K:$K,'Январь 2025'!$E:$E,$A:$A),"-")</f>
        <v>3.01</v>
      </c>
      <c r="G7" s="49" t="str">
        <f>IFERROR(AVERAGEIFS('Февраль 2025 '!K:K,'Февраль 2025 '!E:E,A:A),"-")</f>
        <v>-</v>
      </c>
      <c r="H7" s="49">
        <f>IFERROR(AVERAGEIFS('Март 2025'!$K:$K,'Март 2025'!$E:$E,$A:$A),"-")</f>
        <v>2.9</v>
      </c>
      <c r="I7" s="49" t="str">
        <f>IFERROR(AVERAGEIFS('Апрель 2025'!$K:$K,'Апрель 2025'!$E:$E,$A:$A),"-")</f>
        <v>-</v>
      </c>
      <c r="J7" s="49">
        <f>IFERROR(AVERAGEIFS('Май 2025'!$K:$K,'Май 2025'!$E:$E,$A:$A),"-")</f>
        <v>3.225</v>
      </c>
      <c r="K7" s="49">
        <f>IFERROR(AVERAGEIFS('Июнь 2025'!$K:$K,'Июнь 2025'!$E:$E,$A:$A),"-")</f>
        <v>2.713333333</v>
      </c>
      <c r="L7" s="49">
        <f>IFERROR(AVERAGEIFS('Июль 2025'!$K:$K,'Июль 2025'!$E:$E,$A:$A),"-")</f>
        <v>2.593333333</v>
      </c>
      <c r="M7" s="49" t="str">
        <f>IFERROR(AVERAGEIFS('Август 2025'!$K:$K,'Август 2025'!$E:$E,$A:$A),"-")</f>
        <v>-</v>
      </c>
      <c r="N7" s="49" t="str">
        <f>IFERROR(AVERAGEIFS('Сентябрь 2025'!$K:$K,'Сентябрь 2025'!$E:$E,$A:$A),"-")</f>
        <v>-</v>
      </c>
      <c r="O7" s="49" t="str">
        <f>IFERROR(AVERAGEIFS('Октябрь 2025'!$K:$K,'Октябрь 2025'!$E:$E,$A:$A),"-")</f>
        <v>-</v>
      </c>
      <c r="P7" s="49" t="str">
        <f>IFERROR(AVERAGEIFS('Ноябрь 2025'!$K:$K,'Ноябрь 2025'!$E:$E,$A:$A),"-")</f>
        <v>-</v>
      </c>
      <c r="Q7" s="49">
        <f>IFERROR(AVERAGEIFS('Декабрь 2025'!$K:$K,'Декабрь 2025'!$E:$E,$A:$A),"-")</f>
        <v>2.53</v>
      </c>
      <c r="R7" s="49" t="str">
        <f>IFERROR(AVERAGEIFS('Январь 2026'!$K:$K,'Январь 2026'!$E:$E,$A:$A),"-")</f>
        <v>-</v>
      </c>
      <c r="S7" s="49" t="str">
        <f>IFERROR(AVERAGEIFS('Февраль 2026'!$K:$K,'Февраль 2026'!$E:$E,$A:$A),"-")</f>
        <v>-</v>
      </c>
      <c r="T7" s="49" t="str">
        <f>IFERROR(AVERAGEIFS('Март 2026'!$K:$K,'Март 2026'!$E:$E,$A:$A),"-")</f>
        <v>-</v>
      </c>
      <c r="U7" s="49" t="str">
        <f>IFERROR(AVERAGEIFS('Апрель 2026'!$K:$K,'Апрель 2026'!$E:$E,$A:$A),"-")</f>
        <v>-</v>
      </c>
      <c r="V7" s="49">
        <f>IFERROR(AVERAGEIFS('Май 2026'!$K:$K,'Май 2026'!$E:$E,$A:$A),"-")</f>
        <v>2.5725</v>
      </c>
      <c r="W7" s="49" t="str">
        <f t="shared" si="1"/>
        <v>-</v>
      </c>
      <c r="X7" s="49" t="str">
        <f t="shared" si="2"/>
        <v>-</v>
      </c>
      <c r="Y7" s="48"/>
      <c r="Z7" s="48"/>
      <c r="AA7" s="48"/>
      <c r="AB7" s="48"/>
      <c r="AC7" s="48"/>
      <c r="AD7" s="48"/>
      <c r="AE7" s="48"/>
      <c r="AF7" s="48"/>
      <c r="AG7" s="48"/>
      <c r="AH7" s="48"/>
    </row>
    <row r="8">
      <c r="A8" s="48" t="s">
        <v>58</v>
      </c>
      <c r="B8" s="49" t="str">
        <f>IFERROR(AVERAGEIFS('Сентябрь 2024'!$K:$K,'Сентябрь 2024'!$E:$E,$A:$A),"-")</f>
        <v>-</v>
      </c>
      <c r="C8" s="49" t="str">
        <f>IFERROR(AVERAGEIFS('Октябрь 2024'!$K:$K,'Октябрь 2024'!$E:$E,$A:$A),"-")</f>
        <v>-</v>
      </c>
      <c r="D8" s="49" t="str">
        <f>IFERROR(AVERAGEIFS('Ноябрь 2024'!$K:$K,'Ноябрь 2024'!$E:$E,$A:$A),"-")</f>
        <v>-</v>
      </c>
      <c r="E8" s="49" t="str">
        <f>IFERROR(AVERAGEIFS('Декабрь 2024'!$K:$K,'Декабрь 2024'!$E:$E,$A:$A),"-")</f>
        <v>-</v>
      </c>
      <c r="F8" s="49" t="str">
        <f>IFERROR(AVERAGEIFS('Январь 2025'!$K:$K,'Январь 2025'!$E:$E,$A:$A),"-")</f>
        <v>-</v>
      </c>
      <c r="G8" s="49" t="str">
        <f>IFERROR(AVERAGEIFS('Февраль 2025 '!K:K,'Февраль 2025 '!E:E,A:A),"-")</f>
        <v>-</v>
      </c>
      <c r="H8" s="49">
        <f>IFERROR(AVERAGEIFS('Март 2025'!$K:$K,'Март 2025'!$E:$E,$A:$A),"-")</f>
        <v>2.86</v>
      </c>
      <c r="I8" s="49" t="str">
        <f>IFERROR(AVERAGEIFS('Апрель 2025'!$K:$K,'Апрель 2025'!$E:$E,$A:$A),"-")</f>
        <v>-</v>
      </c>
      <c r="J8" s="49" t="str">
        <f>IFERROR(AVERAGEIFS('Май 2025'!$K:$K,'Май 2025'!$E:$E,$A:$A),"-")</f>
        <v>-</v>
      </c>
      <c r="K8" s="49" t="str">
        <f>IFERROR(AVERAGEIFS('Июнь 2025'!$K:$K,'Июнь 2025'!$E:$E,$A:$A),"-")</f>
        <v>-</v>
      </c>
      <c r="L8" s="49" t="str">
        <f>IFERROR(AVERAGEIFS('Июль 2025'!$K:$K,'Июль 2025'!$E:$E,$A:$A),"-")</f>
        <v>-</v>
      </c>
      <c r="M8" s="49" t="str">
        <f>IFERROR(AVERAGEIFS('Август 2025'!$K:$K,'Август 2025'!$E:$E,$A:$A),"-")</f>
        <v>-</v>
      </c>
      <c r="N8" s="49" t="str">
        <f>IFERROR(AVERAGEIFS('Сентябрь 2025'!$K:$K,'Сентябрь 2025'!$E:$E,$A:$A),"-")</f>
        <v>-</v>
      </c>
      <c r="O8" s="49" t="str">
        <f>IFERROR(AVERAGEIFS('Октябрь 2025'!$K:$K,'Октябрь 2025'!$E:$E,$A:$A),"-")</f>
        <v>-</v>
      </c>
      <c r="P8" s="49" t="str">
        <f>IFERROR(AVERAGEIFS('Ноябрь 2025'!$K:$K,'Ноябрь 2025'!$E:$E,$A:$A),"-")</f>
        <v>-</v>
      </c>
      <c r="Q8" s="49" t="str">
        <f>IFERROR(AVERAGEIFS('Декабрь 2025'!$K:$K,'Декабрь 2025'!$E:$E,$A:$A),"-")</f>
        <v>-</v>
      </c>
      <c r="R8" s="49" t="str">
        <f>IFERROR(AVERAGEIFS('Январь 2026'!$K:$K,'Январь 2026'!$E:$E,$A:$A),"-")</f>
        <v>-</v>
      </c>
      <c r="S8" s="49" t="str">
        <f>IFERROR(AVERAGEIFS('Февраль 2026'!$K:$K,'Февраль 2026'!$E:$E,$A:$A),"-")</f>
        <v>-</v>
      </c>
      <c r="T8" s="49" t="str">
        <f>IFERROR(AVERAGEIFS('Март 2026'!$K:$K,'Март 2026'!$E:$E,$A:$A),"-")</f>
        <v>-</v>
      </c>
      <c r="U8" s="49" t="str">
        <f>IFERROR(AVERAGEIFS('Апрель 2026'!$K:$K,'Апрель 2026'!$E:$E,$A:$A),"-")</f>
        <v>-</v>
      </c>
      <c r="V8" s="49" t="str">
        <f>IFERROR(AVERAGEIFS('Май 2026'!$K:$K,'Май 2026'!$E:$E,$A:$A),"-")</f>
        <v>-</v>
      </c>
      <c r="W8" s="49" t="str">
        <f t="shared" si="1"/>
        <v>-</v>
      </c>
      <c r="X8" s="49" t="str">
        <f t="shared" si="2"/>
        <v>-</v>
      </c>
      <c r="Y8" s="48"/>
      <c r="Z8" s="48"/>
      <c r="AA8" s="48"/>
      <c r="AB8" s="48"/>
      <c r="AC8" s="48"/>
      <c r="AD8" s="48"/>
      <c r="AE8" s="48"/>
      <c r="AF8" s="48"/>
      <c r="AG8" s="48"/>
      <c r="AH8" s="48"/>
    </row>
    <row r="9">
      <c r="A9" s="48" t="s">
        <v>59</v>
      </c>
      <c r="B9" s="49">
        <f>IFERROR(AVERAGEIFS('Сентябрь 2024'!$K:$K,'Сентябрь 2024'!$E:$E,$A:$A),"-")</f>
        <v>3.24625</v>
      </c>
      <c r="C9" s="49" t="str">
        <f>IFERROR(AVERAGEIFS('Октябрь 2024'!$K:$K,'Октябрь 2024'!$E:$E,$A:$A),"-")</f>
        <v>-</v>
      </c>
      <c r="D9" s="49">
        <f>IFERROR(AVERAGEIFS('Ноябрь 2024'!$K:$K,'Ноябрь 2024'!$E:$E,$A:$A),"-")</f>
        <v>3.03</v>
      </c>
      <c r="E9" s="49" t="str">
        <f>IFERROR(AVERAGEIFS('Декабрь 2024'!$K:$K,'Декабрь 2024'!$E:$E,$A:$A),"-")</f>
        <v>-</v>
      </c>
      <c r="F9" s="49" t="str">
        <f>IFERROR(AVERAGEIFS('Январь 2025'!$K:$K,'Январь 2025'!$E:$E,$A:$A),"-")</f>
        <v>-</v>
      </c>
      <c r="G9" s="49">
        <f>IFERROR(AVERAGEIFS('Февраль 2025 '!K:K,'Февраль 2025 '!E:E,A:A),"-")</f>
        <v>3.07</v>
      </c>
      <c r="H9" s="49">
        <f>IFERROR(AVERAGEIFS('Март 2025'!$K:$K,'Март 2025'!$E:$E,$A:$A),"-")</f>
        <v>3.12</v>
      </c>
      <c r="I9" s="49">
        <f>IFERROR(AVERAGEIFS('Апрель 2025'!$K:$K,'Апрель 2025'!$E:$E,$A:$A),"-")</f>
        <v>3.176666667</v>
      </c>
      <c r="J9" s="49">
        <f>IFERROR(AVERAGEIFS('Май 2025'!$K:$K,'Май 2025'!$E:$E,$A:$A),"-")</f>
        <v>3.15625</v>
      </c>
      <c r="K9" s="49" t="str">
        <f>IFERROR(AVERAGEIFS('Июнь 2025'!$K:$K,'Июнь 2025'!$E:$E,$A:$A),"-")</f>
        <v>-</v>
      </c>
      <c r="L9" s="49" t="str">
        <f>IFERROR(AVERAGEIFS('Июль 2025'!$K:$K,'Июль 2025'!$E:$E,$A:$A),"-")</f>
        <v>-</v>
      </c>
      <c r="M9" s="49">
        <f>IFERROR(AVERAGEIFS('Август 2025'!$K:$K,'Август 2025'!$E:$E,$A:$A),"-")</f>
        <v>2.3375</v>
      </c>
      <c r="N9" s="49">
        <f>IFERROR(AVERAGEIFS('Сентябрь 2025'!$K:$K,'Сентябрь 2025'!$E:$E,$A:$A),"-")</f>
        <v>2.48</v>
      </c>
      <c r="O9" s="49">
        <f>IFERROR(AVERAGEIFS('Октябрь 2025'!$K:$K,'Октябрь 2025'!$E:$E,$A:$A),"-")</f>
        <v>2.296</v>
      </c>
      <c r="P9" s="49">
        <f>IFERROR(AVERAGEIFS('Ноябрь 2025'!$K:$K,'Ноябрь 2025'!$E:$E,$A:$A),"-")</f>
        <v>2.3</v>
      </c>
      <c r="Q9" s="49">
        <f>IFERROR(AVERAGEIFS('Декабрь 2025'!$K:$K,'Декабрь 2025'!$E:$E,$A:$A),"-")</f>
        <v>2.38</v>
      </c>
      <c r="R9" s="49">
        <f>IFERROR(AVERAGEIFS('Январь 2026'!$K:$K,'Январь 2026'!$E:$E,$A:$A),"-")</f>
        <v>2.24</v>
      </c>
      <c r="S9" s="49">
        <f>IFERROR(AVERAGEIFS('Февраль 2026'!$K:$K,'Февраль 2026'!$E:$E,$A:$A),"-")</f>
        <v>2.343333333</v>
      </c>
      <c r="T9" s="49">
        <f>IFERROR(AVERAGEIFS('Март 2026'!$K:$K,'Март 2026'!$E:$E,$A:$A),"-")</f>
        <v>2.37</v>
      </c>
      <c r="U9" s="49">
        <f>IFERROR(AVERAGEIFS('Апрель 2026'!$K:$K,'Апрель 2026'!$E:$E,$A:$A),"-")</f>
        <v>2.36</v>
      </c>
      <c r="V9" s="49">
        <f>IFERROR(AVERAGEIFS('Май 2026'!$K:$K,'Май 2026'!$E:$E,$A:$A),"-")</f>
        <v>2.43</v>
      </c>
      <c r="W9" s="49" t="str">
        <f t="shared" si="1"/>
        <v>-</v>
      </c>
      <c r="X9" s="49" t="str">
        <f t="shared" si="2"/>
        <v>-</v>
      </c>
      <c r="Y9" s="48"/>
      <c r="Z9" s="48"/>
      <c r="AA9" s="48"/>
      <c r="AB9" s="48"/>
      <c r="AC9" s="48"/>
      <c r="AD9" s="48"/>
      <c r="AE9" s="48"/>
      <c r="AF9" s="48"/>
      <c r="AG9" s="48"/>
      <c r="AH9" s="48"/>
    </row>
    <row r="10">
      <c r="A10" s="48" t="s">
        <v>60</v>
      </c>
      <c r="B10" s="49" t="str">
        <f>IFERROR(AVERAGEIFS('Сентябрь 2024'!$K:$K,'Сентябрь 2024'!$E:$E,$A:$A),"-")</f>
        <v>-</v>
      </c>
      <c r="C10" s="49" t="str">
        <f>IFERROR(AVERAGEIFS('Октябрь 2024'!$K:$K,'Октябрь 2024'!$E:$E,$A:$A),"-")</f>
        <v>-</v>
      </c>
      <c r="D10" s="49" t="str">
        <f>IFERROR(AVERAGEIFS('Ноябрь 2024'!$K:$K,'Ноябрь 2024'!$E:$E,$A:$A),"-")</f>
        <v>-</v>
      </c>
      <c r="E10" s="49" t="str">
        <f>IFERROR(AVERAGEIFS('Декабрь 2024'!$K:$K,'Декабрь 2024'!$E:$E,$A:$A),"-")</f>
        <v>-</v>
      </c>
      <c r="F10" s="49">
        <f>IFERROR(AVERAGEIFS('Январь 2025'!$K:$K,'Январь 2025'!$E:$E,$A:$A),"-")</f>
        <v>3.91</v>
      </c>
      <c r="G10" s="49" t="str">
        <f>IFERROR(AVERAGEIFS('Февраль 2025 '!K:K,'Февраль 2025 '!E:E,A:A),"-")</f>
        <v>-</v>
      </c>
      <c r="H10" s="49" t="str">
        <f>IFERROR(AVERAGEIFS('Март 2025'!$K:$K,'Март 2025'!$E:$E,$A:$A),"-")</f>
        <v>-</v>
      </c>
      <c r="I10" s="49">
        <f>IFERROR(AVERAGEIFS('Апрель 2025'!$K:$K,'Апрель 2025'!$E:$E,$A:$A),"-")</f>
        <v>2.78</v>
      </c>
      <c r="J10" s="49">
        <f>IFERROR(AVERAGEIFS('Май 2025'!$K:$K,'Май 2025'!$E:$E,$A:$A),"-")</f>
        <v>2.66875</v>
      </c>
      <c r="K10" s="49">
        <f>IFERROR(AVERAGEIFS('Июнь 2025'!$K:$K,'Июнь 2025'!$E:$E,$A:$A),"-")</f>
        <v>3.798571429</v>
      </c>
      <c r="L10" s="49">
        <f>IFERROR(AVERAGEIFS('Июль 2025'!$K:$K,'Июль 2025'!$E:$E,$A:$A),"-")</f>
        <v>3.085555556</v>
      </c>
      <c r="M10" s="49" t="str">
        <f>IFERROR(AVERAGEIFS('Август 2025'!$K:$K,'Август 2025'!$E:$E,$A:$A),"-")</f>
        <v>-</v>
      </c>
      <c r="N10" s="49" t="str">
        <f>IFERROR(AVERAGEIFS('Сентябрь 2025'!$K:$K,'Сентябрь 2025'!$E:$E,$A:$A),"-")</f>
        <v>-</v>
      </c>
      <c r="O10" s="49" t="str">
        <f>IFERROR(AVERAGEIFS('Октябрь 2025'!$K:$K,'Октябрь 2025'!$E:$E,$A:$A),"-")</f>
        <v>-</v>
      </c>
      <c r="P10" s="49" t="str">
        <f>IFERROR(AVERAGEIFS('Ноябрь 2025'!$K:$K,'Ноябрь 2025'!$E:$E,$A:$A),"-")</f>
        <v>-</v>
      </c>
      <c r="Q10" s="49" t="str">
        <f>IFERROR(AVERAGEIFS('Декабрь 2025'!$K:$K,'Декабрь 2025'!$E:$E,$A:$A),"-")</f>
        <v>-</v>
      </c>
      <c r="R10" s="49" t="str">
        <f>IFERROR(AVERAGEIFS('Январь 2026'!$K:$K,'Январь 2026'!$E:$E,$A:$A),"-")</f>
        <v>-</v>
      </c>
      <c r="S10" s="49">
        <f>IFERROR(AVERAGEIFS('Февраль 2026'!$K:$K,'Февраль 2026'!$E:$E,$A:$A),"-")</f>
        <v>2.44</v>
      </c>
      <c r="T10" s="49" t="str">
        <f>IFERROR(AVERAGEIFS('Март 2026'!$K:$K,'Март 2026'!$E:$E,$A:$A),"-")</f>
        <v>-</v>
      </c>
      <c r="U10" s="49" t="str">
        <f>IFERROR(AVERAGEIFS('Апрель 2026'!$K:$K,'Апрель 2026'!$E:$E,$A:$A),"-")</f>
        <v>-</v>
      </c>
      <c r="V10" s="49">
        <f>IFERROR(AVERAGEIFS('Май 2026'!$K:$K,'Май 2026'!$E:$E,$A:$A),"-")</f>
        <v>2.6</v>
      </c>
      <c r="W10" s="49" t="str">
        <f t="shared" si="1"/>
        <v>-</v>
      </c>
      <c r="X10" s="49" t="str">
        <f t="shared" si="2"/>
        <v>-</v>
      </c>
      <c r="Y10" s="48"/>
      <c r="Z10" s="48"/>
      <c r="AA10" s="48"/>
      <c r="AB10" s="48"/>
      <c r="AC10" s="48"/>
      <c r="AD10" s="48"/>
      <c r="AE10" s="48"/>
      <c r="AF10" s="48"/>
      <c r="AG10" s="48"/>
      <c r="AH10" s="48"/>
    </row>
    <row r="11">
      <c r="A11" s="48" t="s">
        <v>61</v>
      </c>
      <c r="B11" s="49">
        <f>IFERROR(AVERAGEIFS('Сентябрь 2024'!$K:$K,'Сентябрь 2024'!$E:$E,$A:$A),"-")</f>
        <v>3.86</v>
      </c>
      <c r="C11" s="49" t="str">
        <f>IFERROR(AVERAGEIFS('Октябрь 2024'!$K:$K,'Октябрь 2024'!$E:$E,$A:$A),"-")</f>
        <v>-</v>
      </c>
      <c r="D11" s="49">
        <f>IFERROR(AVERAGEIFS('Ноябрь 2024'!$K:$K,'Ноябрь 2024'!$E:$E,$A:$A),"-")</f>
        <v>3.721666667</v>
      </c>
      <c r="E11" s="49">
        <f>IFERROR(AVERAGEIFS('Декабрь 2024'!$K:$K,'Декабрь 2024'!$E:$E,$A:$A),"-")</f>
        <v>3.598</v>
      </c>
      <c r="F11" s="49" t="str">
        <f>IFERROR(AVERAGEIFS('Январь 2025'!$K:$K,'Январь 2025'!$E:$E,$A:$A),"-")</f>
        <v>-</v>
      </c>
      <c r="G11" s="49">
        <f>IFERROR(AVERAGEIFS('Февраль 2025 '!K:K,'Февраль 2025 '!E:E,A:A),"-")</f>
        <v>3.063333333</v>
      </c>
      <c r="H11" s="49" t="str">
        <f>IFERROR(AVERAGEIFS('Март 2025'!$K:$K,'Март 2025'!$E:$E,$A:$A),"-")</f>
        <v>-</v>
      </c>
      <c r="I11" s="49">
        <f>IFERROR(AVERAGEIFS('Апрель 2025'!$K:$K,'Апрель 2025'!$E:$E,$A:$A),"-")</f>
        <v>2.85</v>
      </c>
      <c r="J11" s="49" t="str">
        <f>IFERROR(AVERAGEIFS('Май 2025'!$K:$K,'Май 2025'!$E:$E,$A:$A),"-")</f>
        <v>-</v>
      </c>
      <c r="K11" s="49">
        <f>IFERROR(AVERAGEIFS('Июнь 2025'!$K:$K,'Июнь 2025'!$E:$E,$A:$A),"-")</f>
        <v>3.756666667</v>
      </c>
      <c r="L11" s="49">
        <f>IFERROR(AVERAGEIFS('Июль 2025'!$K:$K,'Июль 2025'!$E:$E,$A:$A),"-")</f>
        <v>2.62</v>
      </c>
      <c r="M11" s="49">
        <f>IFERROR(AVERAGEIFS('Август 2025'!$K:$K,'Август 2025'!$E:$E,$A:$A),"-")</f>
        <v>2.612857143</v>
      </c>
      <c r="N11" s="49">
        <f>IFERROR(AVERAGEIFS('Сентябрь 2025'!$K:$K,'Сентябрь 2025'!$E:$E,$A:$A),"-")</f>
        <v>3.086666667</v>
      </c>
      <c r="O11" s="49">
        <f>IFERROR(AVERAGEIFS('Октябрь 2025'!$K:$K,'Октябрь 2025'!$E:$E,$A:$A),"-")</f>
        <v>3.0075</v>
      </c>
      <c r="P11" s="49">
        <f>IFERROR(AVERAGEIFS('Ноябрь 2025'!$K:$K,'Ноябрь 2025'!$E:$E,$A:$A),"-")</f>
        <v>2.893333333</v>
      </c>
      <c r="Q11" s="49">
        <f>IFERROR(AVERAGEIFS('Декабрь 2025'!$K:$K,'Декабрь 2025'!$E:$E,$A:$A),"-")</f>
        <v>3.2975</v>
      </c>
      <c r="R11" s="49">
        <f>IFERROR(AVERAGEIFS('Январь 2026'!$K:$K,'Январь 2026'!$E:$E,$A:$A),"-")</f>
        <v>3.7175</v>
      </c>
      <c r="S11" s="49">
        <f>IFERROR(AVERAGEIFS('Февраль 2026'!$K:$K,'Февраль 2026'!$E:$E,$A:$A),"-")</f>
        <v>2.317241379</v>
      </c>
      <c r="T11" s="49">
        <f>IFERROR(AVERAGEIFS('Март 2026'!$K:$K,'Март 2026'!$E:$E,$A:$A),"-")</f>
        <v>3.198461538</v>
      </c>
      <c r="U11" s="49">
        <f>IFERROR(AVERAGEIFS('Апрель 2026'!$K:$K,'Апрель 2026'!$E:$E,$A:$A),"-")</f>
        <v>2.444166667</v>
      </c>
      <c r="V11" s="49">
        <f>IFERROR(AVERAGEIFS('Май 2026'!$K:$K,'Май 2026'!$E:$E,$A:$A),"-")</f>
        <v>2.466129032</v>
      </c>
      <c r="W11" s="49" t="str">
        <f t="shared" si="1"/>
        <v>-</v>
      </c>
      <c r="X11" s="49" t="str">
        <f t="shared" si="2"/>
        <v>-</v>
      </c>
      <c r="Y11" s="48"/>
      <c r="Z11" s="48"/>
      <c r="AA11" s="48"/>
      <c r="AB11" s="48"/>
      <c r="AC11" s="48"/>
      <c r="AD11" s="48"/>
      <c r="AE11" s="48"/>
      <c r="AF11" s="48"/>
      <c r="AG11" s="48"/>
      <c r="AH11" s="48"/>
    </row>
    <row r="12">
      <c r="A12" s="48" t="s">
        <v>62</v>
      </c>
      <c r="B12" s="49" t="str">
        <f>IFERROR(AVERAGEIFS('Сентябрь 2024'!$K:$K,'Сентябрь 2024'!$E:$E,$A:$A),"-")</f>
        <v>-</v>
      </c>
      <c r="C12" s="49" t="str">
        <f>IFERROR(AVERAGEIFS('Октябрь 2024'!$K:$K,'Октябрь 2024'!$E:$E,$A:$A),"-")</f>
        <v>-</v>
      </c>
      <c r="D12" s="49" t="str">
        <f>IFERROR(AVERAGEIFS('Ноябрь 2024'!$K:$K,'Ноябрь 2024'!$E:$E,$A:$A),"-")</f>
        <v>-</v>
      </c>
      <c r="E12" s="49" t="str">
        <f>IFERROR(AVERAGEIFS('Декабрь 2024'!$K:$K,'Декабрь 2024'!$E:$E,$A:$A),"-")</f>
        <v>-</v>
      </c>
      <c r="F12" s="49" t="str">
        <f>IFERROR(AVERAGEIFS('Январь 2025'!$K:$K,'Январь 2025'!$E:$E,$A:$A),"-")</f>
        <v>-</v>
      </c>
      <c r="G12" s="49" t="str">
        <f>IFERROR(AVERAGEIFS('Февраль 2025 '!K:K,'Февраль 2025 '!E:E,A:A),"-")</f>
        <v>-</v>
      </c>
      <c r="H12" s="49">
        <f>IFERROR(AVERAGEIFS('Март 2025'!$K:$K,'Март 2025'!$E:$E,$A:$A),"-")</f>
        <v>3.17</v>
      </c>
      <c r="I12" s="49" t="str">
        <f>IFERROR(AVERAGEIFS('Апрель 2025'!$K:$K,'Апрель 2025'!$E:$E,$A:$A),"-")</f>
        <v>-</v>
      </c>
      <c r="J12" s="49" t="str">
        <f>IFERROR(AVERAGEIFS('Май 2025'!$K:$K,'Май 2025'!$E:$E,$A:$A),"-")</f>
        <v>-</v>
      </c>
      <c r="K12" s="49" t="str">
        <f>IFERROR(AVERAGEIFS('Июнь 2025'!$K:$K,'Июнь 2025'!$E:$E,$A:$A),"-")</f>
        <v>-</v>
      </c>
      <c r="L12" s="49" t="str">
        <f>IFERROR(AVERAGEIFS('Июль 2025'!$K:$K,'Июль 2025'!$E:$E,$A:$A),"-")</f>
        <v>-</v>
      </c>
      <c r="M12" s="49" t="str">
        <f>IFERROR(AVERAGEIFS('Август 2025'!$K:$K,'Август 2025'!$E:$E,$A:$A),"-")</f>
        <v>-</v>
      </c>
      <c r="N12" s="49" t="str">
        <f>IFERROR(AVERAGEIFS('Сентябрь 2025'!$K:$K,'Сентябрь 2025'!$E:$E,$A:$A),"-")</f>
        <v>-</v>
      </c>
      <c r="O12" s="49" t="str">
        <f>IFERROR(AVERAGEIFS('Октябрь 2025'!$K:$K,'Октябрь 2025'!$E:$E,$A:$A),"-")</f>
        <v>-</v>
      </c>
      <c r="P12" s="49" t="str">
        <f>IFERROR(AVERAGEIFS('Ноябрь 2025'!$K:$K,'Ноябрь 2025'!$E:$E,$A:$A),"-")</f>
        <v>-</v>
      </c>
      <c r="Q12" s="49" t="str">
        <f>IFERROR(AVERAGEIFS('Декабрь 2025'!$K:$K,'Декабрь 2025'!$E:$E,$A:$A),"-")</f>
        <v>-</v>
      </c>
      <c r="R12" s="49" t="str">
        <f>IFERROR(AVERAGEIFS('Январь 2026'!$K:$K,'Январь 2026'!$E:$E,$A:$A),"-")</f>
        <v>-</v>
      </c>
      <c r="S12" s="49" t="str">
        <f>IFERROR(AVERAGEIFS('Февраль 2026'!$K:$K,'Февраль 2026'!$E:$E,$A:$A),"-")</f>
        <v>-</v>
      </c>
      <c r="T12" s="49" t="str">
        <f>IFERROR(AVERAGEIFS('Март 2026'!$K:$K,'Март 2026'!$E:$E,$A:$A),"-")</f>
        <v>-</v>
      </c>
      <c r="U12" s="49" t="str">
        <f>IFERROR(AVERAGEIFS('Апрель 2026'!$K:$K,'Апрель 2026'!$E:$E,$A:$A),"-")</f>
        <v>-</v>
      </c>
      <c r="V12" s="49" t="str">
        <f>IFERROR(AVERAGEIFS('Май 2026'!$K:$K,'Май 2026'!$E:$E,$A:$A),"-")</f>
        <v>-</v>
      </c>
      <c r="W12" s="49" t="str">
        <f t="shared" si="1"/>
        <v>-</v>
      </c>
      <c r="X12" s="49" t="str">
        <f t="shared" si="2"/>
        <v>-</v>
      </c>
      <c r="Y12" s="48"/>
      <c r="Z12" s="48"/>
      <c r="AA12" s="48"/>
      <c r="AB12" s="48"/>
      <c r="AC12" s="48"/>
      <c r="AD12" s="48"/>
      <c r="AE12" s="48"/>
      <c r="AF12" s="48"/>
      <c r="AG12" s="48"/>
      <c r="AH12" s="48"/>
    </row>
    <row r="13">
      <c r="A13" s="48" t="s">
        <v>63</v>
      </c>
      <c r="B13" s="49">
        <f>IFERROR(AVERAGEIFS('Сентябрь 2024'!$K:$K,'Сентябрь 2024'!$E:$E,$A:$A),"-")</f>
        <v>3.235333333</v>
      </c>
      <c r="C13" s="49">
        <f>IFERROR(AVERAGEIFS('Октябрь 2024'!$K:$K,'Октябрь 2024'!$E:$E,$A:$A),"-")</f>
        <v>3.349411765</v>
      </c>
      <c r="D13" s="49">
        <f>IFERROR(AVERAGEIFS('Ноябрь 2024'!$K:$K,'Ноябрь 2024'!$E:$E,$A:$A),"-")</f>
        <v>3.147777778</v>
      </c>
      <c r="E13" s="49">
        <f>IFERROR(AVERAGEIFS('Декабрь 2024'!$K:$K,'Декабрь 2024'!$E:$E,$A:$A),"-")</f>
        <v>2.76</v>
      </c>
      <c r="F13" s="49">
        <f>IFERROR(AVERAGEIFS('Январь 2025'!$K:$K,'Январь 2025'!$E:$E,$A:$A),"-")</f>
        <v>3.18</v>
      </c>
      <c r="G13" s="49">
        <f>IFERROR(AVERAGEIFS('Февраль 2025 '!K:K,'Февраль 2025 '!E:E,A:A),"-")</f>
        <v>3.322307692</v>
      </c>
      <c r="H13" s="49">
        <f>IFERROR(AVERAGEIFS('Март 2025'!$K:$K,'Март 2025'!$E:$E,$A:$A),"-")</f>
        <v>2.50875</v>
      </c>
      <c r="I13" s="49">
        <f>IFERROR(AVERAGEIFS('Апрель 2025'!$K:$K,'Апрель 2025'!$E:$E,$A:$A),"-")</f>
        <v>2.171428571</v>
      </c>
      <c r="J13" s="49">
        <f>IFERROR(AVERAGEIFS('Май 2025'!$K:$K,'Май 2025'!$E:$E,$A:$A),"-")</f>
        <v>2.696666667</v>
      </c>
      <c r="K13" s="49" t="str">
        <f>IFERROR(AVERAGEIFS('Июнь 2025'!$K:$K,'Июнь 2025'!$E:$E,$A:$A),"-")</f>
        <v>-</v>
      </c>
      <c r="L13" s="49">
        <f>IFERROR(AVERAGEIFS('Июль 2025'!$K:$K,'Июль 2025'!$E:$E,$A:$A),"-")</f>
        <v>2.508235294</v>
      </c>
      <c r="M13" s="49">
        <f>IFERROR(AVERAGEIFS('Август 2025'!$K:$K,'Август 2025'!$E:$E,$A:$A),"-")</f>
        <v>2.4675</v>
      </c>
      <c r="N13" s="49">
        <f>IFERROR(AVERAGEIFS('Сентябрь 2025'!$K:$K,'Сентябрь 2025'!$E:$E,$A:$A),"-")</f>
        <v>3.186666667</v>
      </c>
      <c r="O13" s="49">
        <f>IFERROR(AVERAGEIFS('Октябрь 2025'!$K:$K,'Октябрь 2025'!$E:$E,$A:$A),"-")</f>
        <v>3.1</v>
      </c>
      <c r="P13" s="49">
        <f>IFERROR(AVERAGEIFS('Ноябрь 2025'!$K:$K,'Ноябрь 2025'!$E:$E,$A:$A),"-")</f>
        <v>3.075</v>
      </c>
      <c r="Q13" s="49" t="str">
        <f>IFERROR(AVERAGEIFS('Декабрь 2025'!$K:$K,'Декабрь 2025'!$E:$E,$A:$A),"-")</f>
        <v>-</v>
      </c>
      <c r="R13" s="49" t="str">
        <f>IFERROR(AVERAGEIFS('Январь 2026'!$K:$K,'Январь 2026'!$E:$E,$A:$A),"-")</f>
        <v>-</v>
      </c>
      <c r="S13" s="49">
        <f>IFERROR(AVERAGEIFS('Февраль 2026'!$K:$K,'Февраль 2026'!$E:$E,$A:$A),"-")</f>
        <v>3.29</v>
      </c>
      <c r="T13" s="49" t="str">
        <f>IFERROR(AVERAGEIFS('Март 2026'!$K:$K,'Март 2026'!$E:$E,$A:$A),"-")</f>
        <v>-</v>
      </c>
      <c r="U13" s="49">
        <f>IFERROR(AVERAGEIFS('Апрель 2026'!$K:$K,'Апрель 2026'!$E:$E,$A:$A),"-")</f>
        <v>1.955833333</v>
      </c>
      <c r="V13" s="49">
        <f>IFERROR(AVERAGEIFS('Май 2026'!$K:$K,'Май 2026'!$E:$E,$A:$A),"-")</f>
        <v>2.092</v>
      </c>
      <c r="W13" s="49" t="str">
        <f t="shared" si="1"/>
        <v>-</v>
      </c>
      <c r="X13" s="49" t="str">
        <f t="shared" si="2"/>
        <v>-</v>
      </c>
      <c r="Y13" s="48"/>
      <c r="Z13" s="48"/>
      <c r="AA13" s="48"/>
      <c r="AB13" s="48"/>
      <c r="AC13" s="48"/>
      <c r="AD13" s="48"/>
      <c r="AE13" s="48"/>
      <c r="AF13" s="48"/>
      <c r="AG13" s="48"/>
      <c r="AH13" s="48"/>
    </row>
    <row r="14">
      <c r="A14" s="48" t="s">
        <v>64</v>
      </c>
      <c r="B14" s="49" t="str">
        <f>IFERROR(AVERAGEIFS('Сентябрь 2024'!$K:$K,'Сентябрь 2024'!$E:$E,$A:$A),"-")</f>
        <v>-</v>
      </c>
      <c r="C14" s="49" t="str">
        <f>IFERROR(AVERAGEIFS('Октябрь 2024'!$K:$K,'Октябрь 2024'!$E:$E,$A:$A),"-")</f>
        <v>-</v>
      </c>
      <c r="D14" s="49" t="str">
        <f>IFERROR(AVERAGEIFS('Ноябрь 2024'!$K:$K,'Ноябрь 2024'!$E:$E,$A:$A),"-")</f>
        <v>-</v>
      </c>
      <c r="E14" s="49" t="str">
        <f>IFERROR(AVERAGEIFS('Декабрь 2024'!$K:$K,'Декабрь 2024'!$E:$E,$A:$A),"-")</f>
        <v>-</v>
      </c>
      <c r="F14" s="49" t="str">
        <f>IFERROR(AVERAGEIFS('Январь 2025'!$K:$K,'Январь 2025'!$E:$E,$A:$A),"-")</f>
        <v>-</v>
      </c>
      <c r="G14" s="49" t="str">
        <f>IFERROR(AVERAGEIFS('Февраль 2025 '!K:K,'Февраль 2025 '!E:E,A:A),"-")</f>
        <v>-</v>
      </c>
      <c r="H14" s="49">
        <f>IFERROR(AVERAGEIFS('Март 2025'!$K:$K,'Март 2025'!$E:$E,$A:$A),"-")</f>
        <v>2.49</v>
      </c>
      <c r="I14" s="49" t="str">
        <f>IFERROR(AVERAGEIFS('Апрель 2025'!$K:$K,'Апрель 2025'!$E:$E,$A:$A),"-")</f>
        <v>-</v>
      </c>
      <c r="J14" s="49">
        <f>IFERROR(AVERAGEIFS('Май 2025'!$K:$K,'Май 2025'!$E:$E,$A:$A),"-")</f>
        <v>2.59</v>
      </c>
      <c r="K14" s="49">
        <f>IFERROR(AVERAGEIFS('Июнь 2025'!$K:$K,'Июнь 2025'!$E:$E,$A:$A),"-")</f>
        <v>2.65</v>
      </c>
      <c r="L14" s="49">
        <f>IFERROR(AVERAGEIFS('Июль 2025'!$K:$K,'Июль 2025'!$E:$E,$A:$A),"-")</f>
        <v>2.645</v>
      </c>
      <c r="M14" s="49">
        <f>IFERROR(AVERAGEIFS('Август 2025'!$K:$K,'Август 2025'!$E:$E,$A:$A),"-")</f>
        <v>2.55</v>
      </c>
      <c r="N14" s="49">
        <f>IFERROR(AVERAGEIFS('Сентябрь 2025'!$K:$K,'Сентябрь 2025'!$E:$E,$A:$A),"-")</f>
        <v>2.41125</v>
      </c>
      <c r="O14" s="49" t="str">
        <f>IFERROR(AVERAGEIFS('Октябрь 2025'!$K:$K,'Октябрь 2025'!$E:$E,$A:$A),"-")</f>
        <v>-</v>
      </c>
      <c r="P14" s="49">
        <f>IFERROR(AVERAGEIFS('Ноябрь 2025'!$K:$K,'Ноябрь 2025'!$E:$E,$A:$A),"-")</f>
        <v>2.575</v>
      </c>
      <c r="Q14" s="49" t="str">
        <f>IFERROR(AVERAGEIFS('Декабрь 2025'!$K:$K,'Декабрь 2025'!$E:$E,$A:$A),"-")</f>
        <v>-</v>
      </c>
      <c r="R14" s="49">
        <f>IFERROR(AVERAGEIFS('Январь 2026'!$K:$K,'Январь 2026'!$E:$E,$A:$A),"-")</f>
        <v>2.493333333</v>
      </c>
      <c r="S14" s="49">
        <f>IFERROR(AVERAGEIFS('Февраль 2026'!$K:$K,'Февраль 2026'!$E:$E,$A:$A),"-")</f>
        <v>2.465</v>
      </c>
      <c r="T14" s="49">
        <f>IFERROR(AVERAGEIFS('Март 2026'!$K:$K,'Март 2026'!$E:$E,$A:$A),"-")</f>
        <v>2.45</v>
      </c>
      <c r="U14" s="49">
        <f>IFERROR(AVERAGEIFS('Апрель 2026'!$K:$K,'Апрель 2026'!$E:$E,$A:$A),"-")</f>
        <v>2.45</v>
      </c>
      <c r="V14" s="49" t="str">
        <f>IFERROR(AVERAGEIFS('Май 2026'!$K:$K,'Май 2026'!$E:$E,$A:$A),"-")</f>
        <v>-</v>
      </c>
      <c r="W14" s="49" t="str">
        <f t="shared" si="1"/>
        <v>-</v>
      </c>
      <c r="X14" s="49" t="str">
        <f t="shared" si="2"/>
        <v>-</v>
      </c>
      <c r="Y14" s="48"/>
      <c r="Z14" s="48"/>
      <c r="AA14" s="48"/>
      <c r="AB14" s="48"/>
      <c r="AC14" s="48"/>
      <c r="AD14" s="48"/>
      <c r="AE14" s="48"/>
      <c r="AF14" s="48"/>
      <c r="AG14" s="48"/>
      <c r="AH14" s="48"/>
    </row>
    <row r="15">
      <c r="A15" s="48" t="s">
        <v>65</v>
      </c>
      <c r="B15" s="49" t="str">
        <f>IFERROR(AVERAGEIFS('Сентябрь 2024'!$K:$K,'Сентябрь 2024'!$E:$E,$A:$A),"-")</f>
        <v>-</v>
      </c>
      <c r="C15" s="49" t="str">
        <f>IFERROR(AVERAGEIFS('Октябрь 2024'!$K:$K,'Октябрь 2024'!$E:$E,$A:$A),"-")</f>
        <v>-</v>
      </c>
      <c r="D15" s="49" t="str">
        <f>IFERROR(AVERAGEIFS('Ноябрь 2024'!$K:$K,'Ноябрь 2024'!$E:$E,$A:$A),"-")</f>
        <v>-</v>
      </c>
      <c r="E15" s="49" t="str">
        <f>IFERROR(AVERAGEIFS('Декабрь 2024'!$K:$K,'Декабрь 2024'!$E:$E,$A:$A),"-")</f>
        <v>-</v>
      </c>
      <c r="F15" s="49" t="str">
        <f>IFERROR(AVERAGEIFS('Январь 2025'!$K:$K,'Январь 2025'!$E:$E,$A:$A),"-")</f>
        <v>-</v>
      </c>
      <c r="G15" s="49" t="str">
        <f>IFERROR(AVERAGEIFS('Февраль 2025 '!K:K,'Февраль 2025 '!E:E,A:A),"-")</f>
        <v>-</v>
      </c>
      <c r="H15" s="49">
        <f>IFERROR(AVERAGEIFS('Март 2025'!$K:$K,'Март 2025'!$E:$E,$A:$A),"-")</f>
        <v>3.34</v>
      </c>
      <c r="I15" s="49" t="str">
        <f>IFERROR(AVERAGEIFS('Апрель 2025'!$K:$K,'Апрель 2025'!$E:$E,$A:$A),"-")</f>
        <v>-</v>
      </c>
      <c r="J15" s="49" t="str">
        <f>IFERROR(AVERAGEIFS('Май 2025'!$K:$K,'Май 2025'!$E:$E,$A:$A),"-")</f>
        <v>-</v>
      </c>
      <c r="K15" s="49" t="str">
        <f>IFERROR(AVERAGEIFS('Июнь 2025'!$K:$K,'Июнь 2025'!$E:$E,$A:$A),"-")</f>
        <v>-</v>
      </c>
      <c r="L15" s="49" t="str">
        <f>IFERROR(AVERAGEIFS('Июль 2025'!$K:$K,'Июль 2025'!$E:$E,$A:$A),"-")</f>
        <v>-</v>
      </c>
      <c r="M15" s="49" t="str">
        <f>IFERROR(AVERAGEIFS('Август 2025'!$K:$K,'Август 2025'!$E:$E,$A:$A),"-")</f>
        <v>-</v>
      </c>
      <c r="N15" s="49" t="str">
        <f>IFERROR(AVERAGEIFS('Сентябрь 2025'!$K:$K,'Сентябрь 2025'!$E:$E,$A:$A),"-")</f>
        <v>-</v>
      </c>
      <c r="O15" s="49" t="str">
        <f>IFERROR(AVERAGEIFS('Октябрь 2025'!$K:$K,'Октябрь 2025'!$E:$E,$A:$A),"-")</f>
        <v>-</v>
      </c>
      <c r="P15" s="49" t="str">
        <f>IFERROR(AVERAGEIFS('Ноябрь 2025'!$K:$K,'Ноябрь 2025'!$E:$E,$A:$A),"-")</f>
        <v>-</v>
      </c>
      <c r="Q15" s="49" t="str">
        <f>IFERROR(AVERAGEIFS('Декабрь 2025'!$K:$K,'Декабрь 2025'!$E:$E,$A:$A),"-")</f>
        <v>-</v>
      </c>
      <c r="R15" s="49" t="str">
        <f>IFERROR(AVERAGEIFS('Январь 2026'!$K:$K,'Январь 2026'!$E:$E,$A:$A),"-")</f>
        <v>-</v>
      </c>
      <c r="S15" s="49" t="str">
        <f>IFERROR(AVERAGEIFS('Февраль 2026'!$K:$K,'Февраль 2026'!$E:$E,$A:$A),"-")</f>
        <v>-</v>
      </c>
      <c r="T15" s="49" t="str">
        <f>IFERROR(AVERAGEIFS('Март 2026'!$K:$K,'Март 2026'!$E:$E,$A:$A),"-")</f>
        <v>-</v>
      </c>
      <c r="U15" s="49" t="str">
        <f>IFERROR(AVERAGEIFS('Апрель 2026'!$K:$K,'Апрель 2026'!$E:$E,$A:$A),"-")</f>
        <v>-</v>
      </c>
      <c r="V15" s="49" t="str">
        <f>IFERROR(AVERAGEIFS('Май 2026'!$K:$K,'Май 2026'!$E:$E,$A:$A),"-")</f>
        <v>-</v>
      </c>
      <c r="W15" s="49" t="str">
        <f t="shared" si="1"/>
        <v>-</v>
      </c>
      <c r="X15" s="49" t="str">
        <f t="shared" si="2"/>
        <v>-</v>
      </c>
      <c r="Y15" s="48"/>
      <c r="Z15" s="48"/>
      <c r="AA15" s="48"/>
      <c r="AB15" s="48"/>
      <c r="AC15" s="48"/>
      <c r="AD15" s="48"/>
      <c r="AE15" s="48"/>
      <c r="AF15" s="48"/>
      <c r="AG15" s="48"/>
      <c r="AH15" s="48"/>
    </row>
    <row r="16">
      <c r="A16" s="48" t="s">
        <v>66</v>
      </c>
      <c r="B16" s="49" t="str">
        <f>IFERROR(AVERAGEIFS('Сентябрь 2024'!$K:$K,'Сентябрь 2024'!$E:$E,$A:$A),"-")</f>
        <v>-</v>
      </c>
      <c r="C16" s="49" t="str">
        <f>IFERROR(AVERAGEIFS('Октябрь 2024'!$K:$K,'Октябрь 2024'!$E:$E,$A:$A),"-")</f>
        <v>-</v>
      </c>
      <c r="D16" s="49">
        <f>IFERROR(AVERAGEIFS('Ноябрь 2024'!$K:$K,'Ноябрь 2024'!$E:$E,$A:$A),"-")</f>
        <v>2.9</v>
      </c>
      <c r="E16" s="49" t="str">
        <f>IFERROR(AVERAGEIFS('Декабрь 2024'!$K:$K,'Декабрь 2024'!$E:$E,$A:$A),"-")</f>
        <v>-</v>
      </c>
      <c r="F16" s="49" t="str">
        <f>IFERROR(AVERAGEIFS('Январь 2025'!$K:$K,'Январь 2025'!$E:$E,$A:$A),"-")</f>
        <v>-</v>
      </c>
      <c r="G16" s="49" t="str">
        <f>IFERROR(AVERAGEIFS('Февраль 2025 '!K:K,'Февраль 2025 '!E:E,A:A),"-")</f>
        <v>-</v>
      </c>
      <c r="H16" s="49" t="str">
        <f>IFERROR(AVERAGEIFS('Март 2025'!$K:$K,'Март 2025'!$E:$E,$A:$A),"-")</f>
        <v>-</v>
      </c>
      <c r="I16" s="49" t="str">
        <f>IFERROR(AVERAGEIFS('Апрель 2025'!$K:$K,'Апрель 2025'!$E:$E,$A:$A),"-")</f>
        <v>-</v>
      </c>
      <c r="J16" s="49" t="str">
        <f>IFERROR(AVERAGEIFS('Май 2025'!$K:$K,'Май 2025'!$E:$E,$A:$A),"-")</f>
        <v>-</v>
      </c>
      <c r="K16" s="49" t="str">
        <f>IFERROR(AVERAGEIFS('Июнь 2025'!$K:$K,'Июнь 2025'!$E:$E,$A:$A),"-")</f>
        <v>-</v>
      </c>
      <c r="L16" s="49" t="str">
        <f>IFERROR(AVERAGEIFS('Июль 2025'!$K:$K,'Июль 2025'!$E:$E,$A:$A),"-")</f>
        <v>-</v>
      </c>
      <c r="M16" s="49" t="str">
        <f>IFERROR(AVERAGEIFS('Август 2025'!$K:$K,'Август 2025'!$E:$E,$A:$A),"-")</f>
        <v>-</v>
      </c>
      <c r="N16" s="49" t="str">
        <f>IFERROR(AVERAGEIFS('Сентябрь 2025'!$K:$K,'Сентябрь 2025'!$E:$E,$A:$A),"-")</f>
        <v>-</v>
      </c>
      <c r="O16" s="49" t="str">
        <f>IFERROR(AVERAGEIFS('Октябрь 2025'!$K:$K,'Октябрь 2025'!$E:$E,$A:$A),"-")</f>
        <v>-</v>
      </c>
      <c r="P16" s="49" t="str">
        <f>IFERROR(AVERAGEIFS('Ноябрь 2025'!$K:$K,'Ноябрь 2025'!$E:$E,$A:$A),"-")</f>
        <v>-</v>
      </c>
      <c r="Q16" s="49" t="str">
        <f>IFERROR(AVERAGEIFS('Декабрь 2025'!$K:$K,'Декабрь 2025'!$E:$E,$A:$A),"-")</f>
        <v>-</v>
      </c>
      <c r="R16" s="49" t="str">
        <f>IFERROR(AVERAGEIFS('Январь 2026'!$K:$K,'Январь 2026'!$E:$E,$A:$A),"-")</f>
        <v>-</v>
      </c>
      <c r="S16" s="49" t="str">
        <f>IFERROR(AVERAGEIFS('Февраль 2026'!$K:$K,'Февраль 2026'!$E:$E,$A:$A),"-")</f>
        <v>-</v>
      </c>
      <c r="T16" s="49" t="str">
        <f>IFERROR(AVERAGEIFS('Март 2026'!$K:$K,'Март 2026'!$E:$E,$A:$A),"-")</f>
        <v>-</v>
      </c>
      <c r="U16" s="49" t="str">
        <f>IFERROR(AVERAGEIFS('Апрель 2026'!$K:$K,'Апрель 2026'!$E:$E,$A:$A),"-")</f>
        <v>-</v>
      </c>
      <c r="V16" s="49" t="str">
        <f>IFERROR(AVERAGEIFS('Май 2026'!$K:$K,'Май 2026'!$E:$E,$A:$A),"-")</f>
        <v>-</v>
      </c>
      <c r="W16" s="49" t="str">
        <f t="shared" si="1"/>
        <v>-</v>
      </c>
      <c r="X16" s="49" t="str">
        <f t="shared" si="2"/>
        <v>-</v>
      </c>
      <c r="Y16" s="48"/>
      <c r="Z16" s="48"/>
      <c r="AA16" s="48"/>
      <c r="AB16" s="48"/>
      <c r="AC16" s="48"/>
      <c r="AD16" s="48"/>
      <c r="AE16" s="48"/>
      <c r="AF16" s="48"/>
      <c r="AG16" s="48"/>
      <c r="AH16" s="48"/>
    </row>
    <row r="17">
      <c r="A17" s="48" t="s">
        <v>67</v>
      </c>
      <c r="B17" s="49" t="str">
        <f>IFERROR(AVERAGEIFS('Сентябрь 2024'!$K:$K,'Сентябрь 2024'!$E:$E,$A:$A),"-")</f>
        <v>-</v>
      </c>
      <c r="C17" s="49">
        <f>IFERROR(AVERAGEIFS('Октябрь 2024'!$K:$K,'Октябрь 2024'!$E:$E,$A:$A),"-")</f>
        <v>2.26</v>
      </c>
      <c r="D17" s="49">
        <f>IFERROR(AVERAGEIFS('Ноябрь 2024'!$K:$K,'Ноябрь 2024'!$E:$E,$A:$A),"-")</f>
        <v>2.3625</v>
      </c>
      <c r="E17" s="49">
        <f>IFERROR(AVERAGEIFS('Декабрь 2024'!$K:$K,'Декабрь 2024'!$E:$E,$A:$A),"-")</f>
        <v>2.226666667</v>
      </c>
      <c r="F17" s="49" t="str">
        <f>IFERROR(AVERAGEIFS('Январь 2025'!$K:$K,'Январь 2025'!$E:$E,$A:$A),"-")</f>
        <v>-</v>
      </c>
      <c r="G17" s="49" t="str">
        <f>IFERROR(AVERAGEIFS('Февраль 2025 '!K:K,'Февраль 2025 '!E:E,A:A),"-")</f>
        <v>-</v>
      </c>
      <c r="H17" s="49" t="str">
        <f>IFERROR(AVERAGEIFS('Март 2025'!$K:$K,'Март 2025'!$E:$E,$A:$A),"-")</f>
        <v>-</v>
      </c>
      <c r="I17" s="49" t="str">
        <f>IFERROR(AVERAGEIFS('Апрель 2025'!$K:$K,'Апрель 2025'!$E:$E,$A:$A),"-")</f>
        <v>-</v>
      </c>
      <c r="J17" s="49" t="str">
        <f>IFERROR(AVERAGEIFS('Май 2025'!$K:$K,'Май 2025'!$E:$E,$A:$A),"-")</f>
        <v>-</v>
      </c>
      <c r="K17" s="49" t="str">
        <f>IFERROR(AVERAGEIFS('Июнь 2025'!$K:$K,'Июнь 2025'!$E:$E,$A:$A),"-")</f>
        <v>-</v>
      </c>
      <c r="L17" s="49" t="str">
        <f>IFERROR(AVERAGEIFS('Июль 2025'!$K:$K,'Июль 2025'!$E:$E,$A:$A),"-")</f>
        <v>-</v>
      </c>
      <c r="M17" s="49" t="str">
        <f>IFERROR(AVERAGEIFS('Август 2025'!$K:$K,'Август 2025'!$E:$E,$A:$A),"-")</f>
        <v>-</v>
      </c>
      <c r="N17" s="49" t="str">
        <f>IFERROR(AVERAGEIFS('Сентябрь 2025'!$K:$K,'Сентябрь 2025'!$E:$E,$A:$A),"-")</f>
        <v>-</v>
      </c>
      <c r="O17" s="49" t="str">
        <f>IFERROR(AVERAGEIFS('Октябрь 2025'!$K:$K,'Октябрь 2025'!$E:$E,$A:$A),"-")</f>
        <v>-</v>
      </c>
      <c r="P17" s="49" t="str">
        <f>IFERROR(AVERAGEIFS('Ноябрь 2025'!$K:$K,'Ноябрь 2025'!$E:$E,$A:$A),"-")</f>
        <v>-</v>
      </c>
      <c r="Q17" s="49" t="str">
        <f>IFERROR(AVERAGEIFS('Декабрь 2025'!$K:$K,'Декабрь 2025'!$E:$E,$A:$A),"-")</f>
        <v>-</v>
      </c>
      <c r="R17" s="49" t="str">
        <f>IFERROR(AVERAGEIFS('Январь 2026'!$K:$K,'Январь 2026'!$E:$E,$A:$A),"-")</f>
        <v>-</v>
      </c>
      <c r="S17" s="49" t="str">
        <f>IFERROR(AVERAGEIFS('Февраль 2026'!$K:$K,'Февраль 2026'!$E:$E,$A:$A),"-")</f>
        <v>-</v>
      </c>
      <c r="T17" s="49" t="str">
        <f>IFERROR(AVERAGEIFS('Март 2026'!$K:$K,'Март 2026'!$E:$E,$A:$A),"-")</f>
        <v>-</v>
      </c>
      <c r="U17" s="49" t="str">
        <f>IFERROR(AVERAGEIFS('Апрель 2026'!$K:$K,'Апрель 2026'!$E:$E,$A:$A),"-")</f>
        <v>-</v>
      </c>
      <c r="V17" s="49" t="str">
        <f>IFERROR(AVERAGEIFS('Май 2026'!$K:$K,'Май 2026'!$E:$E,$A:$A),"-")</f>
        <v>-</v>
      </c>
      <c r="W17" s="49" t="str">
        <f t="shared" si="1"/>
        <v>-</v>
      </c>
      <c r="X17" s="49" t="str">
        <f t="shared" si="2"/>
        <v>-</v>
      </c>
      <c r="Y17" s="48"/>
      <c r="Z17" s="48"/>
      <c r="AA17" s="48"/>
      <c r="AB17" s="48"/>
      <c r="AC17" s="48"/>
      <c r="AD17" s="48"/>
      <c r="AE17" s="48"/>
      <c r="AF17" s="48"/>
      <c r="AG17" s="48"/>
      <c r="AH17" s="48"/>
    </row>
    <row r="18">
      <c r="A18" s="48" t="s">
        <v>68</v>
      </c>
      <c r="B18" s="49" t="str">
        <f>IFERROR(AVERAGEIFS('Сентябрь 2024'!$K:$K,'Сентябрь 2024'!$E:$E,$A:$A),"-")</f>
        <v>-</v>
      </c>
      <c r="C18" s="49">
        <f>IFERROR(AVERAGEIFS('Октябрь 2024'!$K:$K,'Октябрь 2024'!$E:$E,$A:$A),"-")</f>
        <v>2.62</v>
      </c>
      <c r="D18" s="49">
        <f>IFERROR(AVERAGEIFS('Ноябрь 2024'!$K:$K,'Ноябрь 2024'!$E:$E,$A:$A),"-")</f>
        <v>2.26</v>
      </c>
      <c r="E18" s="49">
        <f>IFERROR(AVERAGEIFS('Декабрь 2024'!$K:$K,'Декабрь 2024'!$E:$E,$A:$A),"-")</f>
        <v>2.34</v>
      </c>
      <c r="F18" s="49" t="str">
        <f>IFERROR(AVERAGEIFS('Январь 2025'!$K:$K,'Январь 2025'!$E:$E,$A:$A),"-")</f>
        <v>-</v>
      </c>
      <c r="G18" s="49">
        <f>IFERROR(AVERAGEIFS('Февраль 2025 '!K:K,'Февраль 2025 '!E:E,A:A),"-")</f>
        <v>2.38</v>
      </c>
      <c r="H18" s="49" t="str">
        <f>IFERROR(AVERAGEIFS('Март 2025'!$K:$K,'Март 2025'!$E:$E,$A:$A),"-")</f>
        <v>-</v>
      </c>
      <c r="I18" s="49">
        <f>IFERROR(AVERAGEIFS('Апрель 2025'!$K:$K,'Апрель 2025'!$E:$E,$A:$A),"-")</f>
        <v>2.27</v>
      </c>
      <c r="J18" s="49" t="str">
        <f>IFERROR(AVERAGEIFS('Май 2025'!$K:$K,'Май 2025'!$E:$E,$A:$A),"-")</f>
        <v>-</v>
      </c>
      <c r="K18" s="49" t="str">
        <f>IFERROR(AVERAGEIFS('Июнь 2025'!$K:$K,'Июнь 2025'!$E:$E,$A:$A),"-")</f>
        <v>-</v>
      </c>
      <c r="L18" s="49" t="str">
        <f>IFERROR(AVERAGEIFS('Июль 2025'!$K:$K,'Июль 2025'!$E:$E,$A:$A),"-")</f>
        <v>-</v>
      </c>
      <c r="M18" s="49" t="str">
        <f>IFERROR(AVERAGEIFS('Август 2025'!$K:$K,'Август 2025'!$E:$E,$A:$A),"-")</f>
        <v>-</v>
      </c>
      <c r="N18" s="49" t="str">
        <f>IFERROR(AVERAGEIFS('Сентябрь 2025'!$K:$K,'Сентябрь 2025'!$E:$E,$A:$A),"-")</f>
        <v>-</v>
      </c>
      <c r="O18" s="49">
        <f>IFERROR(AVERAGEIFS('Октябрь 2025'!$K:$K,'Октябрь 2025'!$E:$E,$A:$A),"-")</f>
        <v>2.06</v>
      </c>
      <c r="P18" s="49">
        <f>IFERROR(AVERAGEIFS('Ноябрь 2025'!$K:$K,'Ноябрь 2025'!$E:$E,$A:$A),"-")</f>
        <v>2.2125</v>
      </c>
      <c r="Q18" s="49" t="str">
        <f>IFERROR(AVERAGEIFS('Декабрь 2025'!$K:$K,'Декабрь 2025'!$E:$E,$A:$A),"-")</f>
        <v>-</v>
      </c>
      <c r="R18" s="49" t="str">
        <f>IFERROR(AVERAGEIFS('Январь 2026'!$K:$K,'Январь 2026'!$E:$E,$A:$A),"-")</f>
        <v>-</v>
      </c>
      <c r="S18" s="49" t="str">
        <f>IFERROR(AVERAGEIFS('Февраль 2026'!$K:$K,'Февраль 2026'!$E:$E,$A:$A),"-")</f>
        <v>-</v>
      </c>
      <c r="T18" s="49">
        <f>IFERROR(AVERAGEIFS('Март 2026'!$K:$K,'Март 2026'!$E:$E,$A:$A),"-")</f>
        <v>1.991875</v>
      </c>
      <c r="U18" s="49">
        <f>IFERROR(AVERAGEIFS('Апрель 2026'!$K:$K,'Апрель 2026'!$E:$E,$A:$A),"-")</f>
        <v>1.91</v>
      </c>
      <c r="V18" s="49" t="str">
        <f>IFERROR(AVERAGEIFS('Май 2026'!$K:$K,'Май 2026'!$E:$E,$A:$A),"-")</f>
        <v>-</v>
      </c>
      <c r="W18" s="49" t="str">
        <f t="shared" si="1"/>
        <v>-</v>
      </c>
      <c r="X18" s="49" t="str">
        <f t="shared" si="2"/>
        <v>-</v>
      </c>
      <c r="Y18" s="48"/>
      <c r="Z18" s="48"/>
      <c r="AA18" s="48"/>
      <c r="AB18" s="48"/>
      <c r="AC18" s="48"/>
      <c r="AD18" s="48"/>
      <c r="AE18" s="48"/>
      <c r="AF18" s="48"/>
      <c r="AG18" s="48"/>
      <c r="AH18" s="48"/>
    </row>
    <row r="19">
      <c r="A19" s="48" t="s">
        <v>69</v>
      </c>
      <c r="B19" s="49" t="str">
        <f>IFERROR(AVERAGEIFS('Сентябрь 2024'!$K:$K,'Сентябрь 2024'!$E:$E,$A:$A),"-")</f>
        <v>-</v>
      </c>
      <c r="C19" s="49">
        <f>IFERROR(AVERAGEIFS('Октябрь 2024'!$K:$K,'Октябрь 2024'!$E:$E,$A:$A),"-")</f>
        <v>2.1175</v>
      </c>
      <c r="D19" s="49">
        <f>IFERROR(AVERAGEIFS('Ноябрь 2024'!$K:$K,'Ноябрь 2024'!$E:$E,$A:$A),"-")</f>
        <v>2.16</v>
      </c>
      <c r="E19" s="49">
        <f>IFERROR(AVERAGEIFS('Декабрь 2024'!$K:$K,'Декабрь 2024'!$E:$E,$A:$A),"-")</f>
        <v>2.285</v>
      </c>
      <c r="F19" s="49" t="str">
        <f>IFERROR(AVERAGEIFS('Январь 2025'!$K:$K,'Январь 2025'!$E:$E,$A:$A),"-")</f>
        <v>-</v>
      </c>
      <c r="G19" s="49">
        <f>IFERROR(AVERAGEIFS('Февраль 2025 '!K:K,'Февраль 2025 '!E:E,A:A),"-")</f>
        <v>2.28</v>
      </c>
      <c r="H19" s="49" t="str">
        <f>IFERROR(AVERAGEIFS('Март 2025'!$K:$K,'Март 2025'!$E:$E,$A:$A),"-")</f>
        <v>-</v>
      </c>
      <c r="I19" s="49" t="str">
        <f>IFERROR(AVERAGEIFS('Апрель 2025'!$K:$K,'Апрель 2025'!$E:$E,$A:$A),"-")</f>
        <v>-</v>
      </c>
      <c r="J19" s="49" t="str">
        <f>IFERROR(AVERAGEIFS('Май 2025'!$K:$K,'Май 2025'!$E:$E,$A:$A),"-")</f>
        <v>-</v>
      </c>
      <c r="K19" s="49" t="str">
        <f>IFERROR(AVERAGEIFS('Июнь 2025'!$K:$K,'Июнь 2025'!$E:$E,$A:$A),"-")</f>
        <v>-</v>
      </c>
      <c r="L19" s="49" t="str">
        <f>IFERROR(AVERAGEIFS('Июль 2025'!$K:$K,'Июль 2025'!$E:$E,$A:$A),"-")</f>
        <v>-</v>
      </c>
      <c r="M19" s="49" t="str">
        <f>IFERROR(AVERAGEIFS('Август 2025'!$K:$K,'Август 2025'!$E:$E,$A:$A),"-")</f>
        <v>-</v>
      </c>
      <c r="N19" s="49" t="str">
        <f>IFERROR(AVERAGEIFS('Сентябрь 2025'!$K:$K,'Сентябрь 2025'!$E:$E,$A:$A),"-")</f>
        <v>-</v>
      </c>
      <c r="O19" s="49">
        <f>IFERROR(AVERAGEIFS('Октябрь 2025'!$K:$K,'Октябрь 2025'!$E:$E,$A:$A),"-")</f>
        <v>1.915</v>
      </c>
      <c r="P19" s="49" t="str">
        <f>IFERROR(AVERAGEIFS('Ноябрь 2025'!$K:$K,'Ноябрь 2025'!$E:$E,$A:$A),"-")</f>
        <v>-</v>
      </c>
      <c r="Q19" s="49" t="str">
        <f>IFERROR(AVERAGEIFS('Декабрь 2025'!$K:$K,'Декабрь 2025'!$E:$E,$A:$A),"-")</f>
        <v>-</v>
      </c>
      <c r="R19" s="49" t="str">
        <f>IFERROR(AVERAGEIFS('Январь 2026'!$K:$K,'Январь 2026'!$E:$E,$A:$A),"-")</f>
        <v>-</v>
      </c>
      <c r="S19" s="49" t="str">
        <f>IFERROR(AVERAGEIFS('Февраль 2026'!$K:$K,'Февраль 2026'!$E:$E,$A:$A),"-")</f>
        <v>-</v>
      </c>
      <c r="T19" s="49" t="str">
        <f>IFERROR(AVERAGEIFS('Март 2026'!$K:$K,'Март 2026'!$E:$E,$A:$A),"-")</f>
        <v>-</v>
      </c>
      <c r="U19" s="49" t="str">
        <f>IFERROR(AVERAGEIFS('Апрель 2026'!$K:$K,'Апрель 2026'!$E:$E,$A:$A),"-")</f>
        <v>-</v>
      </c>
      <c r="V19" s="49" t="str">
        <f>IFERROR(AVERAGEIFS('Май 2026'!$K:$K,'Май 2026'!$E:$E,$A:$A),"-")</f>
        <v>-</v>
      </c>
      <c r="W19" s="49" t="str">
        <f t="shared" si="1"/>
        <v>-</v>
      </c>
      <c r="X19" s="49" t="str">
        <f t="shared" si="2"/>
        <v>-</v>
      </c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>
      <c r="A20" s="48" t="s">
        <v>70</v>
      </c>
      <c r="B20" s="49" t="str">
        <f>IFERROR(AVERAGEIFS('Сентябрь 2024'!$K:$K,'Сентябрь 2024'!$E:$E,$A:$A),"-")</f>
        <v>-</v>
      </c>
      <c r="C20" s="49" t="str">
        <f>IFERROR(AVERAGEIFS('Октябрь 2024'!$K:$K,'Октябрь 2024'!$E:$E,$A:$A),"-")</f>
        <v>-</v>
      </c>
      <c r="D20" s="49">
        <f>IFERROR(AVERAGEIFS('Ноябрь 2024'!$K:$K,'Ноябрь 2024'!$E:$E,$A:$A),"-")</f>
        <v>2.18</v>
      </c>
      <c r="E20" s="49" t="str">
        <f>IFERROR(AVERAGEIFS('Декабрь 2024'!$K:$K,'Декабрь 2024'!$E:$E,$A:$A),"-")</f>
        <v>-</v>
      </c>
      <c r="F20" s="49" t="str">
        <f>IFERROR(AVERAGEIFS('Январь 2025'!$K:$K,'Январь 2025'!$E:$E,$A:$A),"-")</f>
        <v>-</v>
      </c>
      <c r="G20" s="49" t="str">
        <f>IFERROR(AVERAGEIFS('Февраль 2025 '!K:K,'Февраль 2025 '!E:E,A:A),"-")</f>
        <v>-</v>
      </c>
      <c r="H20" s="49" t="str">
        <f>IFERROR(AVERAGEIFS('Март 2025'!$K:$K,'Март 2025'!$E:$E,$A:$A),"-")</f>
        <v>-</v>
      </c>
      <c r="I20" s="49" t="str">
        <f>IFERROR(AVERAGEIFS('Апрель 2025'!$K:$K,'Апрель 2025'!$E:$E,$A:$A),"-")</f>
        <v>-</v>
      </c>
      <c r="J20" s="49" t="str">
        <f>IFERROR(AVERAGEIFS('Май 2025'!$K:$K,'Май 2025'!$E:$E,$A:$A),"-")</f>
        <v>-</v>
      </c>
      <c r="K20" s="49">
        <f>IFERROR(AVERAGEIFS('Июнь 2025'!$K:$K,'Июнь 2025'!$E:$E,$A:$A),"-")</f>
        <v>0.3</v>
      </c>
      <c r="L20" s="49" t="str">
        <f>IFERROR(AVERAGEIFS('Июль 2025'!$K:$K,'Июль 2025'!$E:$E,$A:$A),"-")</f>
        <v>-</v>
      </c>
      <c r="M20" s="49" t="str">
        <f>IFERROR(AVERAGEIFS('Август 2025'!$K:$K,'Август 2025'!$E:$E,$A:$A),"-")</f>
        <v>-</v>
      </c>
      <c r="N20" s="49" t="str">
        <f>IFERROR(AVERAGEIFS('Сентябрь 2025'!$K:$K,'Сентябрь 2025'!$E:$E,$A:$A),"-")</f>
        <v>-</v>
      </c>
      <c r="O20" s="49" t="str">
        <f>IFERROR(AVERAGEIFS('Октябрь 2025'!$K:$K,'Октябрь 2025'!$E:$E,$A:$A),"-")</f>
        <v>-</v>
      </c>
      <c r="P20" s="49" t="str">
        <f>IFERROR(AVERAGEIFS('Ноябрь 2025'!$K:$K,'Ноябрь 2025'!$E:$E,$A:$A),"-")</f>
        <v>-</v>
      </c>
      <c r="Q20" s="49" t="str">
        <f>IFERROR(AVERAGEIFS('Декабрь 2025'!$K:$K,'Декабрь 2025'!$E:$E,$A:$A),"-")</f>
        <v>-</v>
      </c>
      <c r="R20" s="49" t="str">
        <f>IFERROR(AVERAGEIFS('Январь 2026'!$K:$K,'Январь 2026'!$E:$E,$A:$A),"-")</f>
        <v>-</v>
      </c>
      <c r="S20" s="49" t="str">
        <f>IFERROR(AVERAGEIFS('Февраль 2026'!$K:$K,'Февраль 2026'!$E:$E,$A:$A),"-")</f>
        <v>-</v>
      </c>
      <c r="T20" s="49">
        <f>IFERROR(AVERAGEIFS('Март 2026'!$K:$K,'Март 2026'!$E:$E,$A:$A),"-")</f>
        <v>2.21</v>
      </c>
      <c r="U20" s="49" t="str">
        <f>IFERROR(AVERAGEIFS('Апрель 2026'!$K:$K,'Апрель 2026'!$E:$E,$A:$A),"-")</f>
        <v>-</v>
      </c>
      <c r="V20" s="49">
        <f>IFERROR(AVERAGEIFS('Май 2026'!$K:$K,'Май 2026'!$E:$E,$A:$A),"-")</f>
        <v>2.2</v>
      </c>
      <c r="W20" s="49" t="str">
        <f t="shared" si="1"/>
        <v>-</v>
      </c>
      <c r="X20" s="49" t="str">
        <f t="shared" si="2"/>
        <v>-</v>
      </c>
      <c r="Y20" s="48"/>
      <c r="Z20" s="48"/>
      <c r="AA20" s="48"/>
      <c r="AB20" s="48"/>
      <c r="AC20" s="48"/>
      <c r="AD20" s="48"/>
      <c r="AE20" s="48"/>
      <c r="AF20" s="48"/>
      <c r="AG20" s="48"/>
      <c r="AH20" s="48"/>
    </row>
    <row r="21">
      <c r="A21" s="48" t="s">
        <v>71</v>
      </c>
      <c r="B21" s="49" t="str">
        <f>IFERROR(AVERAGEIFS('Сентябрь 2024'!$K:$K,'Сентябрь 2024'!$E:$E,$A:$A),"-")</f>
        <v>-</v>
      </c>
      <c r="C21" s="49" t="str">
        <f>IFERROR(AVERAGEIFS('Октябрь 2024'!$K:$K,'Октябрь 2024'!$E:$E,$A:$A),"-")</f>
        <v>-</v>
      </c>
      <c r="D21" s="49">
        <f>IFERROR(AVERAGEIFS('Ноябрь 2024'!$K:$K,'Ноябрь 2024'!$E:$E,$A:$A),"-")</f>
        <v>2.18</v>
      </c>
      <c r="E21" s="49">
        <f>IFERROR(AVERAGEIFS('Декабрь 2024'!$K:$K,'Декабрь 2024'!$E:$E,$A:$A),"-")</f>
        <v>2.3025</v>
      </c>
      <c r="F21" s="49" t="str">
        <f>IFERROR(AVERAGEIFS('Январь 2025'!$K:$K,'Январь 2025'!$E:$E,$A:$A),"-")</f>
        <v>-</v>
      </c>
      <c r="G21" s="49">
        <f>IFERROR(AVERAGEIFS('Февраль 2025 '!K:K,'Февраль 2025 '!E:E,A:A),"-")</f>
        <v>2.32</v>
      </c>
      <c r="H21" s="49">
        <f>IFERROR(AVERAGEIFS('Март 2025'!$K:$K,'Март 2025'!$E:$E,$A:$A),"-")</f>
        <v>2.21</v>
      </c>
      <c r="I21" s="49">
        <f>IFERROR(AVERAGEIFS('Апрель 2025'!$K:$K,'Апрель 2025'!$E:$E,$A:$A),"-")</f>
        <v>2.315</v>
      </c>
      <c r="J21" s="49" t="str">
        <f>IFERROR(AVERAGEIFS('Май 2025'!$K:$K,'Май 2025'!$E:$E,$A:$A),"-")</f>
        <v>-</v>
      </c>
      <c r="K21" s="49">
        <f>IFERROR(AVERAGEIFS('Июнь 2025'!$K:$K,'Июнь 2025'!$E:$E,$A:$A),"-")</f>
        <v>2.22</v>
      </c>
      <c r="L21" s="49" t="str">
        <f>IFERROR(AVERAGEIFS('Июль 2025'!$K:$K,'Июль 2025'!$E:$E,$A:$A),"-")</f>
        <v>-</v>
      </c>
      <c r="M21" s="49" t="str">
        <f>IFERROR(AVERAGEIFS('Август 2025'!$K:$K,'Август 2025'!$E:$E,$A:$A),"-")</f>
        <v>-</v>
      </c>
      <c r="N21" s="49" t="str">
        <f>IFERROR(AVERAGEIFS('Сентябрь 2025'!$K:$K,'Сентябрь 2025'!$E:$E,$A:$A),"-")</f>
        <v>-</v>
      </c>
      <c r="O21" s="49">
        <f>IFERROR(AVERAGEIFS('Октябрь 2025'!$K:$K,'Октябрь 2025'!$E:$E,$A:$A),"-")</f>
        <v>1.91</v>
      </c>
      <c r="P21" s="49">
        <f>IFERROR(AVERAGEIFS('Ноябрь 2025'!$K:$K,'Ноябрь 2025'!$E:$E,$A:$A),"-")</f>
        <v>2.12</v>
      </c>
      <c r="Q21" s="49">
        <f>IFERROR(AVERAGEIFS('Декабрь 2025'!$K:$K,'Декабрь 2025'!$E:$E,$A:$A),"-")</f>
        <v>2.21</v>
      </c>
      <c r="R21" s="49">
        <f>IFERROR(AVERAGEIFS('Январь 2026'!$K:$K,'Январь 2026'!$E:$E,$A:$A),"-")</f>
        <v>2.152</v>
      </c>
      <c r="S21" s="49" t="str">
        <f>IFERROR(AVERAGEIFS('Февраль 2026'!$K:$K,'Февраль 2026'!$E:$E,$A:$A),"-")</f>
        <v>-</v>
      </c>
      <c r="T21" s="49">
        <f>IFERROR(AVERAGEIFS('Март 2026'!$K:$K,'Март 2026'!$E:$E,$A:$A),"-")</f>
        <v>1.95</v>
      </c>
      <c r="U21" s="49">
        <f>IFERROR(AVERAGEIFS('Апрель 2026'!$K:$K,'Апрель 2026'!$E:$E,$A:$A),"-")</f>
        <v>1.851333333</v>
      </c>
      <c r="V21" s="49">
        <f>IFERROR(AVERAGEIFS('Май 2026'!$K:$K,'Май 2026'!$E:$E,$A:$A),"-")</f>
        <v>1.98</v>
      </c>
      <c r="W21" s="49" t="str">
        <f t="shared" si="1"/>
        <v>-</v>
      </c>
      <c r="X21" s="49" t="str">
        <f t="shared" si="2"/>
        <v>-</v>
      </c>
      <c r="Y21" s="48"/>
      <c r="Z21" s="48"/>
      <c r="AA21" s="48"/>
      <c r="AB21" s="48"/>
      <c r="AC21" s="48"/>
      <c r="AD21" s="48"/>
      <c r="AE21" s="48"/>
      <c r="AF21" s="48"/>
      <c r="AG21" s="48"/>
      <c r="AH21" s="48"/>
    </row>
    <row r="22">
      <c r="A22" s="48" t="s">
        <v>72</v>
      </c>
      <c r="B22" s="49" t="str">
        <f>IFERROR(AVERAGEIFS('Сентябрь 2024'!$K:$K,'Сентябрь 2024'!$E:$E,$A:$A),"-")</f>
        <v>-</v>
      </c>
      <c r="C22" s="49" t="str">
        <f>IFERROR(AVERAGEIFS('Октябрь 2024'!$K:$K,'Октябрь 2024'!$E:$E,$A:$A),"-")</f>
        <v>-</v>
      </c>
      <c r="D22" s="49">
        <f>IFERROR(AVERAGEIFS('Ноябрь 2024'!$K:$K,'Ноябрь 2024'!$E:$E,$A:$A),"-")</f>
        <v>3.23</v>
      </c>
      <c r="E22" s="49" t="str">
        <f>IFERROR(AVERAGEIFS('Декабрь 2024'!$K:$K,'Декабрь 2024'!$E:$E,$A:$A),"-")</f>
        <v>-</v>
      </c>
      <c r="F22" s="49" t="str">
        <f>IFERROR(AVERAGEIFS('Январь 2025'!$K:$K,'Январь 2025'!$E:$E,$A:$A),"-")</f>
        <v>-</v>
      </c>
      <c r="G22" s="49" t="str">
        <f>IFERROR(AVERAGEIFS('Февраль 2025 '!K:K,'Февраль 2025 '!E:E,A:A),"-")</f>
        <v>-</v>
      </c>
      <c r="H22" s="49" t="str">
        <f>IFERROR(AVERAGEIFS('Март 2025'!$K:$K,'Март 2025'!$E:$E,$A:$A),"-")</f>
        <v>-</v>
      </c>
      <c r="I22" s="49" t="str">
        <f>IFERROR(AVERAGEIFS('Апрель 2025'!$K:$K,'Апрель 2025'!$E:$E,$A:$A),"-")</f>
        <v>-</v>
      </c>
      <c r="J22" s="49" t="str">
        <f>IFERROR(AVERAGEIFS('Май 2025'!$K:$K,'Май 2025'!$E:$E,$A:$A),"-")</f>
        <v>-</v>
      </c>
      <c r="K22" s="49" t="str">
        <f>IFERROR(AVERAGEIFS('Июнь 2025'!$K:$K,'Июнь 2025'!$E:$E,$A:$A),"-")</f>
        <v>-</v>
      </c>
      <c r="L22" s="49" t="str">
        <f>IFERROR(AVERAGEIFS('Июль 2025'!$K:$K,'Июль 2025'!$E:$E,$A:$A),"-")</f>
        <v>-</v>
      </c>
      <c r="M22" s="49" t="str">
        <f>IFERROR(AVERAGEIFS('Август 2025'!$K:$K,'Август 2025'!$E:$E,$A:$A),"-")</f>
        <v>-</v>
      </c>
      <c r="N22" s="49" t="str">
        <f>IFERROR(AVERAGEIFS('Сентябрь 2025'!$K:$K,'Сентябрь 2025'!$E:$E,$A:$A),"-")</f>
        <v>-</v>
      </c>
      <c r="O22" s="49" t="str">
        <f>IFERROR(AVERAGEIFS('Октябрь 2025'!$K:$K,'Октябрь 2025'!$E:$E,$A:$A),"-")</f>
        <v>-</v>
      </c>
      <c r="P22" s="49" t="str">
        <f>IFERROR(AVERAGEIFS('Ноябрь 2025'!$K:$K,'Ноябрь 2025'!$E:$E,$A:$A),"-")</f>
        <v>-</v>
      </c>
      <c r="Q22" s="49" t="str">
        <f>IFERROR(AVERAGEIFS('Декабрь 2025'!$K:$K,'Декабрь 2025'!$E:$E,$A:$A),"-")</f>
        <v>-</v>
      </c>
      <c r="R22" s="49" t="str">
        <f>IFERROR(AVERAGEIFS('Январь 2026'!$K:$K,'Январь 2026'!$E:$E,$A:$A),"-")</f>
        <v>-</v>
      </c>
      <c r="S22" s="49" t="str">
        <f>IFERROR(AVERAGEIFS('Февраль 2026'!$K:$K,'Февраль 2026'!$E:$E,$A:$A),"-")</f>
        <v>-</v>
      </c>
      <c r="T22" s="49" t="str">
        <f>IFERROR(AVERAGEIFS('Март 2026'!$K:$K,'Март 2026'!$E:$E,$A:$A),"-")</f>
        <v>-</v>
      </c>
      <c r="U22" s="49" t="str">
        <f>IFERROR(AVERAGEIFS('Апрель 2026'!$K:$K,'Апрель 2026'!$E:$E,$A:$A),"-")</f>
        <v>-</v>
      </c>
      <c r="V22" s="49" t="str">
        <f>IFERROR(AVERAGEIFS('Май 2026'!$K:$K,'Май 2026'!$E:$E,$A:$A),"-")</f>
        <v>-</v>
      </c>
      <c r="W22" s="49" t="str">
        <f t="shared" si="1"/>
        <v>-</v>
      </c>
      <c r="X22" s="49" t="str">
        <f t="shared" si="2"/>
        <v>-</v>
      </c>
      <c r="Y22" s="48"/>
      <c r="Z22" s="48"/>
      <c r="AA22" s="48"/>
      <c r="AB22" s="48"/>
      <c r="AC22" s="48"/>
      <c r="AD22" s="48"/>
      <c r="AE22" s="48"/>
      <c r="AF22" s="48"/>
      <c r="AG22" s="48"/>
      <c r="AH22" s="48"/>
    </row>
    <row r="23">
      <c r="A23" s="48" t="s">
        <v>73</v>
      </c>
      <c r="B23" s="49" t="str">
        <f>IFERROR(AVERAGEIFS('Сентябрь 2024'!$K:$K,'Сентябрь 2024'!$E:$E,$A:$A),"-")</f>
        <v>-</v>
      </c>
      <c r="C23" s="49" t="str">
        <f>IFERROR(AVERAGEIFS('Октябрь 2024'!$K:$K,'Октябрь 2024'!$E:$E,$A:$A),"-")</f>
        <v>-</v>
      </c>
      <c r="D23" s="49">
        <f>IFERROR(AVERAGEIFS('Ноябрь 2024'!$K:$K,'Ноябрь 2024'!$E:$E,$A:$A),"-")</f>
        <v>4.25</v>
      </c>
      <c r="E23" s="49" t="str">
        <f>IFERROR(AVERAGEIFS('Декабрь 2024'!$K:$K,'Декабрь 2024'!$E:$E,$A:$A),"-")</f>
        <v>-</v>
      </c>
      <c r="F23" s="49" t="str">
        <f>IFERROR(AVERAGEIFS('Январь 2025'!$K:$K,'Январь 2025'!$E:$E,$A:$A),"-")</f>
        <v>-</v>
      </c>
      <c r="G23" s="49" t="str">
        <f>IFERROR(AVERAGEIFS('Февраль 2025 '!K:K,'Февраль 2025 '!E:E,A:A),"-")</f>
        <v>-</v>
      </c>
      <c r="H23" s="49" t="str">
        <f>IFERROR(AVERAGEIFS('Март 2025'!$K:$K,'Март 2025'!$E:$E,$A:$A),"-")</f>
        <v>-</v>
      </c>
      <c r="I23" s="49">
        <f>IFERROR(AVERAGEIFS('Апрель 2025'!$K:$K,'Апрель 2025'!$E:$E,$A:$A),"-")</f>
        <v>3.29</v>
      </c>
      <c r="J23" s="49" t="str">
        <f>IFERROR(AVERAGEIFS('Май 2025'!$K:$K,'Май 2025'!$E:$E,$A:$A),"-")</f>
        <v>-</v>
      </c>
      <c r="K23" s="49">
        <f>IFERROR(AVERAGEIFS('Июнь 2025'!$K:$K,'Июнь 2025'!$E:$E,$A:$A),"-")</f>
        <v>0.34</v>
      </c>
      <c r="L23" s="49" t="str">
        <f>IFERROR(AVERAGEIFS('Июль 2025'!$K:$K,'Июль 2025'!$E:$E,$A:$A),"-")</f>
        <v>-</v>
      </c>
      <c r="M23" s="49">
        <f>IFERROR(AVERAGEIFS('Август 2025'!$K:$K,'Август 2025'!$E:$E,$A:$A),"-")</f>
        <v>3.43</v>
      </c>
      <c r="N23" s="49">
        <f>IFERROR(AVERAGEIFS('Сентябрь 2025'!$K:$K,'Сентябрь 2025'!$E:$E,$A:$A),"-")</f>
        <v>2.605</v>
      </c>
      <c r="O23" s="49">
        <f>IFERROR(AVERAGEIFS('Октябрь 2025'!$K:$K,'Октябрь 2025'!$E:$E,$A:$A),"-")</f>
        <v>2.505</v>
      </c>
      <c r="P23" s="49">
        <f>IFERROR(AVERAGEIFS('Ноябрь 2025'!$K:$K,'Ноябрь 2025'!$E:$E,$A:$A),"-")</f>
        <v>2.42</v>
      </c>
      <c r="Q23" s="49">
        <f>IFERROR(AVERAGEIFS('Декабрь 2025'!$K:$K,'Декабрь 2025'!$E:$E,$A:$A),"-")</f>
        <v>2.615</v>
      </c>
      <c r="R23" s="49" t="str">
        <f>IFERROR(AVERAGEIFS('Январь 2026'!$K:$K,'Январь 2026'!$E:$E,$A:$A),"-")</f>
        <v>-</v>
      </c>
      <c r="S23" s="49" t="str">
        <f>IFERROR(AVERAGEIFS('Февраль 2026'!$K:$K,'Февраль 2026'!$E:$E,$A:$A),"-")</f>
        <v>-</v>
      </c>
      <c r="T23" s="49">
        <f>IFERROR(AVERAGEIFS('Март 2026'!$K:$K,'Март 2026'!$E:$E,$A:$A),"-")</f>
        <v>2.69</v>
      </c>
      <c r="U23" s="49">
        <f>IFERROR(AVERAGEIFS('Апрель 2026'!$K:$K,'Апрель 2026'!$E:$E,$A:$A),"-")</f>
        <v>2.63</v>
      </c>
      <c r="V23" s="49">
        <f>IFERROR(AVERAGEIFS('Май 2026'!$K:$K,'Май 2026'!$E:$E,$A:$A),"-")</f>
        <v>2.575</v>
      </c>
      <c r="W23" s="49" t="str">
        <f t="shared" si="1"/>
        <v>-</v>
      </c>
      <c r="X23" s="49" t="str">
        <f t="shared" si="2"/>
        <v>-</v>
      </c>
      <c r="Y23" s="48"/>
      <c r="Z23" s="48"/>
      <c r="AA23" s="48"/>
      <c r="AB23" s="48"/>
      <c r="AC23" s="48"/>
      <c r="AD23" s="48"/>
      <c r="AE23" s="48"/>
      <c r="AF23" s="48"/>
      <c r="AG23" s="48"/>
      <c r="AH23" s="48"/>
    </row>
    <row r="24">
      <c r="A24" s="48" t="s">
        <v>74</v>
      </c>
      <c r="B24" s="49" t="str">
        <f>IFERROR(AVERAGEIFS('Сентябрь 2024'!$K:$K,'Сентябрь 2024'!$E:$E,$A:$A),"-")</f>
        <v>-</v>
      </c>
      <c r="C24" s="49" t="str">
        <f>IFERROR(AVERAGEIFS('Октябрь 2024'!$K:$K,'Октябрь 2024'!$E:$E,$A:$A),"-")</f>
        <v>-</v>
      </c>
      <c r="D24" s="49" t="str">
        <f>IFERROR(AVERAGEIFS('Ноябрь 2024'!$K:$K,'Ноябрь 2024'!$E:$E,$A:$A),"-")</f>
        <v>-</v>
      </c>
      <c r="E24" s="49" t="str">
        <f>IFERROR(AVERAGEIFS('Декабрь 2024'!$K:$K,'Декабрь 2024'!$E:$E,$A:$A),"-")</f>
        <v>-</v>
      </c>
      <c r="F24" s="49" t="str">
        <f>IFERROR(AVERAGEIFS('Январь 2025'!$K:$K,'Январь 2025'!$E:$E,$A:$A),"-")</f>
        <v>-</v>
      </c>
      <c r="G24" s="49" t="str">
        <f>IFERROR(AVERAGEIFS('Февраль 2025 '!K:K,'Февраль 2025 '!E:E,A:A),"-")</f>
        <v>-</v>
      </c>
      <c r="H24" s="49" t="str">
        <f>IFERROR(AVERAGEIFS('Март 2025'!$K:$K,'Март 2025'!$E:$E,$A:$A),"-")</f>
        <v>-</v>
      </c>
      <c r="I24" s="49" t="str">
        <f>IFERROR(AVERAGEIFS('Апрель 2025'!$K:$K,'Апрель 2025'!$E:$E,$A:$A),"-")</f>
        <v>-</v>
      </c>
      <c r="J24" s="49" t="str">
        <f>IFERROR(AVERAGEIFS('Май 2025'!$K:$K,'Май 2025'!$E:$E,$A:$A),"-")</f>
        <v>-</v>
      </c>
      <c r="K24" s="49" t="str">
        <f>IFERROR(AVERAGEIFS('Июнь 2025'!$K:$K,'Июнь 2025'!$E:$E,$A:$A),"-")</f>
        <v>-</v>
      </c>
      <c r="L24" s="49" t="str">
        <f>IFERROR(AVERAGEIFS('Июль 2025'!$K:$K,'Июль 2025'!$E:$E,$A:$A),"-")</f>
        <v>-</v>
      </c>
      <c r="M24" s="49" t="str">
        <f>IFERROR(AVERAGEIFS('Август 2025'!$K:$K,'Август 2025'!$E:$E,$A:$A),"-")</f>
        <v>-</v>
      </c>
      <c r="N24" s="49" t="str">
        <f>IFERROR(AVERAGEIFS('Сентябрь 2025'!$K:$K,'Сентябрь 2025'!$E:$E,$A:$A),"-")</f>
        <v>-</v>
      </c>
      <c r="O24" s="49" t="str">
        <f>IFERROR(AVERAGEIFS('Октябрь 2025'!$K:$K,'Октябрь 2025'!$E:$E,$A:$A),"-")</f>
        <v>-</v>
      </c>
      <c r="P24" s="49" t="str">
        <f>IFERROR(AVERAGEIFS('Ноябрь 2025'!$K:$K,'Ноябрь 2025'!$E:$E,$A:$A),"-")</f>
        <v>-</v>
      </c>
      <c r="Q24" s="49" t="str">
        <f>IFERROR(AVERAGEIFS('Декабрь 2025'!$K:$K,'Декабрь 2025'!$E:$E,$A:$A),"-")</f>
        <v>-</v>
      </c>
      <c r="R24" s="49" t="str">
        <f>IFERROR(AVERAGEIFS('Январь 2026'!$K:$K,'Январь 2026'!$E:$E,$A:$A),"-")</f>
        <v>-</v>
      </c>
      <c r="S24" s="49" t="str">
        <f>IFERROR(AVERAGEIFS('Февраль 2026'!$K:$K,'Февраль 2026'!$E:$E,$A:$A),"-")</f>
        <v>-</v>
      </c>
      <c r="T24" s="49" t="str">
        <f>IFERROR(AVERAGEIFS('Март 2026'!$K:$K,'Март 2026'!$E:$E,$A:$A),"-")</f>
        <v>-</v>
      </c>
      <c r="U24" s="49" t="str">
        <f>IFERROR(AVERAGEIFS('Апрель 2026'!$K:$K,'Апрель 2026'!$E:$E,$A:$A),"-")</f>
        <v>-</v>
      </c>
      <c r="V24" s="49" t="str">
        <f>IFERROR(AVERAGEIFS('Май 2026'!$K:$K,'Май 2026'!$E:$E,$A:$A),"-")</f>
        <v>-</v>
      </c>
      <c r="W24" s="49" t="str">
        <f t="shared" si="1"/>
        <v>-</v>
      </c>
      <c r="X24" s="49" t="str">
        <f t="shared" si="2"/>
        <v>-</v>
      </c>
      <c r="Y24" s="48"/>
      <c r="Z24" s="48"/>
      <c r="AA24" s="48"/>
      <c r="AB24" s="48"/>
      <c r="AC24" s="48"/>
      <c r="AD24" s="48"/>
      <c r="AE24" s="48"/>
      <c r="AF24" s="48"/>
      <c r="AG24" s="48"/>
      <c r="AH24" s="48"/>
    </row>
    <row r="25">
      <c r="A25" s="48" t="s">
        <v>75</v>
      </c>
      <c r="B25" s="49">
        <f>IFERROR(AVERAGEIFS('Сентябрь 2024'!$K:$K,'Сентябрь 2024'!$E:$E,$A:$A),"-")</f>
        <v>3.46</v>
      </c>
      <c r="C25" s="49" t="str">
        <f>IFERROR(AVERAGEIFS('Октябрь 2024'!$K:$K,'Октябрь 2024'!$E:$E,$A:$A),"-")</f>
        <v>-</v>
      </c>
      <c r="D25" s="49">
        <f>IFERROR(AVERAGEIFS('Ноябрь 2024'!$K:$K,'Ноябрь 2024'!$E:$E,$A:$A),"-")</f>
        <v>3.14</v>
      </c>
      <c r="E25" s="49" t="str">
        <f>IFERROR(AVERAGEIFS('Декабрь 2024'!$K:$K,'Декабрь 2024'!$E:$E,$A:$A),"-")</f>
        <v>-</v>
      </c>
      <c r="F25" s="49">
        <f>IFERROR(AVERAGEIFS('Январь 2025'!$K:$K,'Январь 2025'!$E:$E,$A:$A),"-")</f>
        <v>3.24</v>
      </c>
      <c r="G25" s="49" t="str">
        <f>IFERROR(AVERAGEIFS('Февраль 2025 '!K:K,'Февраль 2025 '!E:E,A:A),"-")</f>
        <v>-</v>
      </c>
      <c r="H25" s="49" t="str">
        <f>IFERROR(AVERAGEIFS('Март 2025'!$K:$K,'Март 2025'!$E:$E,$A:$A),"-")</f>
        <v>-</v>
      </c>
      <c r="I25" s="49" t="str">
        <f>IFERROR(AVERAGEIFS('Апрель 2025'!$K:$K,'Апрель 2025'!$E:$E,$A:$A),"-")</f>
        <v>-</v>
      </c>
      <c r="J25" s="49" t="str">
        <f>IFERROR(AVERAGEIFS('Май 2025'!$K:$K,'Май 2025'!$E:$E,$A:$A),"-")</f>
        <v>-</v>
      </c>
      <c r="K25" s="49" t="str">
        <f>IFERROR(AVERAGEIFS('Июнь 2025'!$K:$K,'Июнь 2025'!$E:$E,$A:$A),"-")</f>
        <v>-</v>
      </c>
      <c r="L25" s="49" t="str">
        <f>IFERROR(AVERAGEIFS('Июль 2025'!$K:$K,'Июль 2025'!$E:$E,$A:$A),"-")</f>
        <v>-</v>
      </c>
      <c r="M25" s="49" t="str">
        <f>IFERROR(AVERAGEIFS('Август 2025'!$K:$K,'Август 2025'!$E:$E,$A:$A),"-")</f>
        <v>-</v>
      </c>
      <c r="N25" s="49" t="str">
        <f>IFERROR(AVERAGEIFS('Сентябрь 2025'!$K:$K,'Сентябрь 2025'!$E:$E,$A:$A),"-")</f>
        <v>-</v>
      </c>
      <c r="O25" s="49" t="str">
        <f>IFERROR(AVERAGEIFS('Октябрь 2025'!$K:$K,'Октябрь 2025'!$E:$E,$A:$A),"-")</f>
        <v>-</v>
      </c>
      <c r="P25" s="49" t="str">
        <f>IFERROR(AVERAGEIFS('Ноябрь 2025'!$K:$K,'Ноябрь 2025'!$E:$E,$A:$A),"-")</f>
        <v>-</v>
      </c>
      <c r="Q25" s="49" t="str">
        <f>IFERROR(AVERAGEIFS('Декабрь 2025'!$K:$K,'Декабрь 2025'!$E:$E,$A:$A),"-")</f>
        <v>-</v>
      </c>
      <c r="R25" s="49" t="str">
        <f>IFERROR(AVERAGEIFS('Январь 2026'!$K:$K,'Январь 2026'!$E:$E,$A:$A),"-")</f>
        <v>-</v>
      </c>
      <c r="S25" s="49" t="str">
        <f>IFERROR(AVERAGEIFS('Февраль 2026'!$K:$K,'Февраль 2026'!$E:$E,$A:$A),"-")</f>
        <v>-</v>
      </c>
      <c r="T25" s="49" t="str">
        <f>IFERROR(AVERAGEIFS('Март 2026'!$K:$K,'Март 2026'!$E:$E,$A:$A),"-")</f>
        <v>-</v>
      </c>
      <c r="U25" s="49" t="str">
        <f>IFERROR(AVERAGEIFS('Апрель 2026'!$K:$K,'Апрель 2026'!$E:$E,$A:$A),"-")</f>
        <v>-</v>
      </c>
      <c r="V25" s="49" t="str">
        <f>IFERROR(AVERAGEIFS('Май 2026'!$K:$K,'Май 2026'!$E:$E,$A:$A),"-")</f>
        <v>-</v>
      </c>
      <c r="W25" s="49" t="str">
        <f t="shared" si="1"/>
        <v>-</v>
      </c>
      <c r="X25" s="49" t="str">
        <f t="shared" si="2"/>
        <v>-</v>
      </c>
      <c r="Y25" s="48"/>
      <c r="Z25" s="48"/>
      <c r="AA25" s="48"/>
      <c r="AB25" s="48"/>
      <c r="AC25" s="48"/>
      <c r="AD25" s="48"/>
      <c r="AE25" s="48"/>
      <c r="AF25" s="48"/>
      <c r="AG25" s="48"/>
      <c r="AH25" s="48"/>
    </row>
    <row r="26">
      <c r="A26" s="48" t="s">
        <v>76</v>
      </c>
      <c r="B26" s="49" t="str">
        <f>IFERROR(AVERAGEIFS('Сентябрь 2024'!$K:$K,'Сентябрь 2024'!$E:$E,$A:$A),"-")</f>
        <v>-</v>
      </c>
      <c r="C26" s="49" t="str">
        <f>IFERROR(AVERAGEIFS('Октябрь 2024'!$K:$K,'Октябрь 2024'!$E:$E,$A:$A),"-")</f>
        <v>-</v>
      </c>
      <c r="D26" s="49">
        <f>IFERROR(AVERAGEIFS('Ноябрь 2024'!$K:$K,'Ноябрь 2024'!$E:$E,$A:$A),"-")</f>
        <v>2.82</v>
      </c>
      <c r="E26" s="49" t="str">
        <f>IFERROR(AVERAGEIFS('Декабрь 2024'!$K:$K,'Декабрь 2024'!$E:$E,$A:$A),"-")</f>
        <v>-</v>
      </c>
      <c r="F26" s="49" t="str">
        <f>IFERROR(AVERAGEIFS('Январь 2025'!$K:$K,'Январь 2025'!$E:$E,$A:$A),"-")</f>
        <v>-</v>
      </c>
      <c r="G26" s="49" t="str">
        <f>IFERROR(AVERAGEIFS('Февраль 2025 '!K:K,'Февраль 2025 '!E:E,A:A),"-")</f>
        <v>-</v>
      </c>
      <c r="H26" s="49" t="str">
        <f>IFERROR(AVERAGEIFS('Март 2025'!$K:$K,'Март 2025'!$E:$E,$A:$A),"-")</f>
        <v>-</v>
      </c>
      <c r="I26" s="49" t="str">
        <f>IFERROR(AVERAGEIFS('Апрель 2025'!$K:$K,'Апрель 2025'!$E:$E,$A:$A),"-")</f>
        <v>-</v>
      </c>
      <c r="J26" s="49" t="str">
        <f>IFERROR(AVERAGEIFS('Май 2025'!$K:$K,'Май 2025'!$E:$E,$A:$A),"-")</f>
        <v>-</v>
      </c>
      <c r="K26" s="49" t="str">
        <f>IFERROR(AVERAGEIFS('Июнь 2025'!$K:$K,'Июнь 2025'!$E:$E,$A:$A),"-")</f>
        <v>-</v>
      </c>
      <c r="L26" s="49" t="str">
        <f>IFERROR(AVERAGEIFS('Июль 2025'!$K:$K,'Июль 2025'!$E:$E,$A:$A),"-")</f>
        <v>-</v>
      </c>
      <c r="M26" s="49" t="str">
        <f>IFERROR(AVERAGEIFS('Август 2025'!$K:$K,'Август 2025'!$E:$E,$A:$A),"-")</f>
        <v>-</v>
      </c>
      <c r="N26" s="49" t="str">
        <f>IFERROR(AVERAGEIFS('Сентябрь 2025'!$K:$K,'Сентябрь 2025'!$E:$E,$A:$A),"-")</f>
        <v>-</v>
      </c>
      <c r="O26" s="49" t="str">
        <f>IFERROR(AVERAGEIFS('Октябрь 2025'!$K:$K,'Октябрь 2025'!$E:$E,$A:$A),"-")</f>
        <v>-</v>
      </c>
      <c r="P26" s="49" t="str">
        <f>IFERROR(AVERAGEIFS('Ноябрь 2025'!$K:$K,'Ноябрь 2025'!$E:$E,$A:$A),"-")</f>
        <v>-</v>
      </c>
      <c r="Q26" s="49" t="str">
        <f>IFERROR(AVERAGEIFS('Декабрь 2025'!$K:$K,'Декабрь 2025'!$E:$E,$A:$A),"-")</f>
        <v>-</v>
      </c>
      <c r="R26" s="49" t="str">
        <f>IFERROR(AVERAGEIFS('Январь 2026'!$K:$K,'Январь 2026'!$E:$E,$A:$A),"-")</f>
        <v>-</v>
      </c>
      <c r="S26" s="49" t="str">
        <f>IFERROR(AVERAGEIFS('Февраль 2026'!$K:$K,'Февраль 2026'!$E:$E,$A:$A),"-")</f>
        <v>-</v>
      </c>
      <c r="T26" s="49" t="str">
        <f>IFERROR(AVERAGEIFS('Март 2026'!$K:$K,'Март 2026'!$E:$E,$A:$A),"-")</f>
        <v>-</v>
      </c>
      <c r="U26" s="49" t="str">
        <f>IFERROR(AVERAGEIFS('Апрель 2026'!$K:$K,'Апрель 2026'!$E:$E,$A:$A),"-")</f>
        <v>-</v>
      </c>
      <c r="V26" s="49" t="str">
        <f>IFERROR(AVERAGEIFS('Май 2026'!$K:$K,'Май 2026'!$E:$E,$A:$A),"-")</f>
        <v>-</v>
      </c>
      <c r="W26" s="49" t="str">
        <f t="shared" si="1"/>
        <v>-</v>
      </c>
      <c r="X26" s="49" t="str">
        <f t="shared" si="2"/>
        <v>-</v>
      </c>
      <c r="Y26" s="48"/>
      <c r="Z26" s="48"/>
      <c r="AA26" s="48"/>
      <c r="AB26" s="48"/>
      <c r="AC26" s="48"/>
      <c r="AD26" s="48"/>
      <c r="AE26" s="48"/>
      <c r="AF26" s="48"/>
      <c r="AG26" s="48"/>
      <c r="AH26" s="48"/>
    </row>
    <row r="27">
      <c r="A27" s="48" t="s">
        <v>77</v>
      </c>
      <c r="B27" s="49" t="str">
        <f>IFERROR(AVERAGEIFS('Сентябрь 2024'!$K:$K,'Сентябрь 2024'!$E:$E,$A:$A),"-")</f>
        <v>-</v>
      </c>
      <c r="C27" s="49" t="str">
        <f>IFERROR(AVERAGEIFS('Октябрь 2024'!$K:$K,'Октябрь 2024'!$E:$E,$A:$A),"-")</f>
        <v>-</v>
      </c>
      <c r="D27" s="49">
        <f>IFERROR(AVERAGEIFS('Ноябрь 2024'!$K:$K,'Ноябрь 2024'!$E:$E,$A:$A),"-")</f>
        <v>4.96</v>
      </c>
      <c r="E27" s="49" t="str">
        <f>IFERROR(AVERAGEIFS('Декабрь 2024'!$K:$K,'Декабрь 2024'!$E:$E,$A:$A),"-")</f>
        <v>-</v>
      </c>
      <c r="F27" s="49" t="str">
        <f>IFERROR(AVERAGEIFS('Январь 2025'!$K:$K,'Январь 2025'!$E:$E,$A:$A),"-")</f>
        <v>-</v>
      </c>
      <c r="G27" s="49" t="str">
        <f>IFERROR(AVERAGEIFS('Февраль 2025 '!K:K,'Февраль 2025 '!E:E,A:A),"-")</f>
        <v>-</v>
      </c>
      <c r="H27" s="49" t="str">
        <f>IFERROR(AVERAGEIFS('Март 2025'!$K:$K,'Март 2025'!$E:$E,$A:$A),"-")</f>
        <v>-</v>
      </c>
      <c r="I27" s="49" t="str">
        <f>IFERROR(AVERAGEIFS('Апрель 2025'!$K:$K,'Апрель 2025'!$E:$E,$A:$A),"-")</f>
        <v>-</v>
      </c>
      <c r="J27" s="49" t="str">
        <f>IFERROR(AVERAGEIFS('Май 2025'!$K:$K,'Май 2025'!$E:$E,$A:$A),"-")</f>
        <v>-</v>
      </c>
      <c r="K27" s="49" t="str">
        <f>IFERROR(AVERAGEIFS('Июнь 2025'!$K:$K,'Июнь 2025'!$E:$E,$A:$A),"-")</f>
        <v>-</v>
      </c>
      <c r="L27" s="49" t="str">
        <f>IFERROR(AVERAGEIFS('Июль 2025'!$K:$K,'Июль 2025'!$E:$E,$A:$A),"-")</f>
        <v>-</v>
      </c>
      <c r="M27" s="49" t="str">
        <f>IFERROR(AVERAGEIFS('Август 2025'!$K:$K,'Август 2025'!$E:$E,$A:$A),"-")</f>
        <v>-</v>
      </c>
      <c r="N27" s="49" t="str">
        <f>IFERROR(AVERAGEIFS('Сентябрь 2025'!$K:$K,'Сентябрь 2025'!$E:$E,$A:$A),"-")</f>
        <v>-</v>
      </c>
      <c r="O27" s="49" t="str">
        <f>IFERROR(AVERAGEIFS('Октябрь 2025'!$K:$K,'Октябрь 2025'!$E:$E,$A:$A),"-")</f>
        <v>-</v>
      </c>
      <c r="P27" s="49" t="str">
        <f>IFERROR(AVERAGEIFS('Ноябрь 2025'!$K:$K,'Ноябрь 2025'!$E:$E,$A:$A),"-")</f>
        <v>-</v>
      </c>
      <c r="Q27" s="49" t="str">
        <f>IFERROR(AVERAGEIFS('Декабрь 2025'!$K:$K,'Декабрь 2025'!$E:$E,$A:$A),"-")</f>
        <v>-</v>
      </c>
      <c r="R27" s="49" t="str">
        <f>IFERROR(AVERAGEIFS('Январь 2026'!$K:$K,'Январь 2026'!$E:$E,$A:$A),"-")</f>
        <v>-</v>
      </c>
      <c r="S27" s="49" t="str">
        <f>IFERROR(AVERAGEIFS('Февраль 2026'!$K:$K,'Февраль 2026'!$E:$E,$A:$A),"-")</f>
        <v>-</v>
      </c>
      <c r="T27" s="49" t="str">
        <f>IFERROR(AVERAGEIFS('Март 2026'!$K:$K,'Март 2026'!$E:$E,$A:$A),"-")</f>
        <v>-</v>
      </c>
      <c r="U27" s="49" t="str">
        <f>IFERROR(AVERAGEIFS('Апрель 2026'!$K:$K,'Апрель 2026'!$E:$E,$A:$A),"-")</f>
        <v>-</v>
      </c>
      <c r="V27" s="49" t="str">
        <f>IFERROR(AVERAGEIFS('Май 2026'!$K:$K,'Май 2026'!$E:$E,$A:$A),"-")</f>
        <v>-</v>
      </c>
      <c r="W27" s="49" t="str">
        <f t="shared" si="1"/>
        <v>-</v>
      </c>
      <c r="X27" s="49" t="str">
        <f t="shared" si="2"/>
        <v>-</v>
      </c>
      <c r="Y27" s="48"/>
      <c r="Z27" s="48"/>
      <c r="AA27" s="48"/>
      <c r="AB27" s="48"/>
      <c r="AC27" s="48"/>
      <c r="AD27" s="48"/>
      <c r="AE27" s="48"/>
      <c r="AF27" s="48"/>
      <c r="AG27" s="48"/>
      <c r="AH27" s="48"/>
    </row>
    <row r="28">
      <c r="A28" s="48" t="s">
        <v>78</v>
      </c>
      <c r="B28" s="49">
        <f>IFERROR(AVERAGEIFS('Сентябрь 2024'!$K:$K,'Сентябрь 2024'!$E:$E,$A:$A),"-")</f>
        <v>3.793333333</v>
      </c>
      <c r="C28" s="49" t="str">
        <f>IFERROR(AVERAGEIFS('Октябрь 2024'!$K:$K,'Октябрь 2024'!$E:$E,$A:$A),"-")</f>
        <v>-</v>
      </c>
      <c r="D28" s="49" t="str">
        <f>IFERROR(AVERAGEIFS('Ноябрь 2024'!$K:$K,'Ноябрь 2024'!$E:$E,$A:$A),"-")</f>
        <v>-</v>
      </c>
      <c r="E28" s="49" t="str">
        <f>IFERROR(AVERAGEIFS('Декабрь 2024'!$K:$K,'Декабрь 2024'!$E:$E,$A:$A),"-")</f>
        <v>-</v>
      </c>
      <c r="F28" s="49" t="str">
        <f>IFERROR(AVERAGEIFS('Январь 2025'!$K:$K,'Январь 2025'!$E:$E,$A:$A),"-")</f>
        <v>-</v>
      </c>
      <c r="G28" s="49" t="str">
        <f>IFERROR(AVERAGEIFS('Февраль 2025 '!K:K,'Февраль 2025 '!E:E,A:A),"-")</f>
        <v>-</v>
      </c>
      <c r="H28" s="49" t="str">
        <f>IFERROR(AVERAGEIFS('Март 2025'!$K:$K,'Март 2025'!$E:$E,$A:$A),"-")</f>
        <v>-</v>
      </c>
      <c r="I28" s="49" t="str">
        <f>IFERROR(AVERAGEIFS('Апрель 2025'!$K:$K,'Апрель 2025'!$E:$E,$A:$A),"-")</f>
        <v>-</v>
      </c>
      <c r="J28" s="49" t="str">
        <f>IFERROR(AVERAGEIFS('Май 2025'!$K:$K,'Май 2025'!$E:$E,$A:$A),"-")</f>
        <v>-</v>
      </c>
      <c r="K28" s="49" t="str">
        <f>IFERROR(AVERAGEIFS('Июнь 2025'!$K:$K,'Июнь 2025'!$E:$E,$A:$A),"-")</f>
        <v>-</v>
      </c>
      <c r="L28" s="49" t="str">
        <f>IFERROR(AVERAGEIFS('Июль 2025'!$K:$K,'Июль 2025'!$E:$E,$A:$A),"-")</f>
        <v>-</v>
      </c>
      <c r="M28" s="49" t="str">
        <f>IFERROR(AVERAGEIFS('Август 2025'!$K:$K,'Август 2025'!$E:$E,$A:$A),"-")</f>
        <v>-</v>
      </c>
      <c r="N28" s="49" t="str">
        <f>IFERROR(AVERAGEIFS('Сентябрь 2025'!$K:$K,'Сентябрь 2025'!$E:$E,$A:$A),"-")</f>
        <v>-</v>
      </c>
      <c r="O28" s="49" t="str">
        <f>IFERROR(AVERAGEIFS('Октябрь 2025'!$K:$K,'Октябрь 2025'!$E:$E,$A:$A),"-")</f>
        <v>-</v>
      </c>
      <c r="P28" s="49" t="str">
        <f>IFERROR(AVERAGEIFS('Ноябрь 2025'!$K:$K,'Ноябрь 2025'!$E:$E,$A:$A),"-")</f>
        <v>-</v>
      </c>
      <c r="Q28" s="49" t="str">
        <f>IFERROR(AVERAGEIFS('Декабрь 2025'!$K:$K,'Декабрь 2025'!$E:$E,$A:$A),"-")</f>
        <v>-</v>
      </c>
      <c r="R28" s="49" t="str">
        <f>IFERROR(AVERAGEIFS('Январь 2026'!$K:$K,'Январь 2026'!$E:$E,$A:$A),"-")</f>
        <v>-</v>
      </c>
      <c r="S28" s="49" t="str">
        <f>IFERROR(AVERAGEIFS('Февраль 2026'!$K:$K,'Февраль 2026'!$E:$E,$A:$A),"-")</f>
        <v>-</v>
      </c>
      <c r="T28" s="49" t="str">
        <f>IFERROR(AVERAGEIFS('Март 2026'!$K:$K,'Март 2026'!$E:$E,$A:$A),"-")</f>
        <v>-</v>
      </c>
      <c r="U28" s="49" t="str">
        <f>IFERROR(AVERAGEIFS('Апрель 2026'!$K:$K,'Апрель 2026'!$E:$E,$A:$A),"-")</f>
        <v>-</v>
      </c>
      <c r="V28" s="49" t="str">
        <f>IFERROR(AVERAGEIFS('Май 2026'!$K:$K,'Май 2026'!$E:$E,$A:$A),"-")</f>
        <v>-</v>
      </c>
      <c r="W28" s="49" t="str">
        <f t="shared" si="1"/>
        <v>-</v>
      </c>
      <c r="X28" s="49" t="str">
        <f t="shared" si="2"/>
        <v>-</v>
      </c>
      <c r="Y28" s="48"/>
      <c r="Z28" s="48"/>
      <c r="AA28" s="48"/>
      <c r="AB28" s="48"/>
      <c r="AC28" s="48"/>
      <c r="AD28" s="48"/>
      <c r="AE28" s="48"/>
      <c r="AF28" s="48"/>
      <c r="AG28" s="48"/>
      <c r="AH28" s="48"/>
    </row>
    <row r="29">
      <c r="A29" s="48" t="s">
        <v>79</v>
      </c>
      <c r="B29" s="49">
        <f>IFERROR(AVERAGEIFS('Сентябрь 2024'!$K:$K,'Сентябрь 2024'!$E:$E,$A:$A),"-")</f>
        <v>2.83</v>
      </c>
      <c r="C29" s="49" t="str">
        <f>IFERROR(AVERAGEIFS('Октябрь 2024'!$K:$K,'Октябрь 2024'!$E:$E,$A:$A),"-")</f>
        <v>-</v>
      </c>
      <c r="D29" s="49" t="str">
        <f>IFERROR(AVERAGEIFS('Ноябрь 2024'!$K:$K,'Ноябрь 2024'!$E:$E,$A:$A),"-")</f>
        <v>-</v>
      </c>
      <c r="E29" s="49" t="str">
        <f>IFERROR(AVERAGEIFS('Декабрь 2024'!$K:$K,'Декабрь 2024'!$E:$E,$A:$A),"-")</f>
        <v>-</v>
      </c>
      <c r="F29" s="49" t="str">
        <f>IFERROR(AVERAGEIFS('Январь 2025'!$K:$K,'Январь 2025'!$E:$E,$A:$A),"-")</f>
        <v>-</v>
      </c>
      <c r="G29" s="49" t="str">
        <f>IFERROR(AVERAGEIFS('Февраль 2025 '!K:K,'Февраль 2025 '!E:E,A:A),"-")</f>
        <v>-</v>
      </c>
      <c r="H29" s="49" t="str">
        <f>IFERROR(AVERAGEIFS('Март 2025'!$K:$K,'Март 2025'!$E:$E,$A:$A),"-")</f>
        <v>-</v>
      </c>
      <c r="I29" s="49" t="str">
        <f>IFERROR(AVERAGEIFS('Апрель 2025'!$K:$K,'Апрель 2025'!$E:$E,$A:$A),"-")</f>
        <v>-</v>
      </c>
      <c r="J29" s="49" t="str">
        <f>IFERROR(AVERAGEIFS('Май 2025'!$K:$K,'Май 2025'!$E:$E,$A:$A),"-")</f>
        <v>-</v>
      </c>
      <c r="K29" s="49" t="str">
        <f>IFERROR(AVERAGEIFS('Июнь 2025'!$K:$K,'Июнь 2025'!$E:$E,$A:$A),"-")</f>
        <v>-</v>
      </c>
      <c r="L29" s="49" t="str">
        <f>IFERROR(AVERAGEIFS('Июль 2025'!$K:$K,'Июль 2025'!$E:$E,$A:$A),"-")</f>
        <v>-</v>
      </c>
      <c r="M29" s="49" t="str">
        <f>IFERROR(AVERAGEIFS('Август 2025'!$K:$K,'Август 2025'!$E:$E,$A:$A),"-")</f>
        <v>-</v>
      </c>
      <c r="N29" s="49" t="str">
        <f>IFERROR(AVERAGEIFS('Сентябрь 2025'!$K:$K,'Сентябрь 2025'!$E:$E,$A:$A),"-")</f>
        <v>-</v>
      </c>
      <c r="O29" s="49" t="str">
        <f>IFERROR(AVERAGEIFS('Октябрь 2025'!$K:$K,'Октябрь 2025'!$E:$E,$A:$A),"-")</f>
        <v>-</v>
      </c>
      <c r="P29" s="49" t="str">
        <f>IFERROR(AVERAGEIFS('Ноябрь 2025'!$K:$K,'Ноябрь 2025'!$E:$E,$A:$A),"-")</f>
        <v>-</v>
      </c>
      <c r="Q29" s="49" t="str">
        <f>IFERROR(AVERAGEIFS('Декабрь 2025'!$K:$K,'Декабрь 2025'!$E:$E,$A:$A),"-")</f>
        <v>-</v>
      </c>
      <c r="R29" s="49" t="str">
        <f>IFERROR(AVERAGEIFS('Январь 2026'!$K:$K,'Январь 2026'!$E:$E,$A:$A),"-")</f>
        <v>-</v>
      </c>
      <c r="S29" s="49" t="str">
        <f>IFERROR(AVERAGEIFS('Февраль 2026'!$K:$K,'Февраль 2026'!$E:$E,$A:$A),"-")</f>
        <v>-</v>
      </c>
      <c r="T29" s="49" t="str">
        <f>IFERROR(AVERAGEIFS('Март 2026'!$K:$K,'Март 2026'!$E:$E,$A:$A),"-")</f>
        <v>-</v>
      </c>
      <c r="U29" s="49" t="str">
        <f>IFERROR(AVERAGEIFS('Апрель 2026'!$K:$K,'Апрель 2026'!$E:$E,$A:$A),"-")</f>
        <v>-</v>
      </c>
      <c r="V29" s="49" t="str">
        <f>IFERROR(AVERAGEIFS('Май 2026'!$K:$K,'Май 2026'!$E:$E,$A:$A),"-")</f>
        <v>-</v>
      </c>
      <c r="W29" s="49" t="str">
        <f t="shared" si="1"/>
        <v>-</v>
      </c>
      <c r="X29" s="49" t="str">
        <f t="shared" si="2"/>
        <v>-</v>
      </c>
      <c r="Y29" s="48"/>
      <c r="Z29" s="48"/>
      <c r="AA29" s="48"/>
      <c r="AB29" s="48"/>
      <c r="AC29" s="48"/>
      <c r="AD29" s="48"/>
      <c r="AE29" s="48"/>
      <c r="AF29" s="48"/>
      <c r="AG29" s="48"/>
      <c r="AH29" s="48"/>
    </row>
    <row r="30">
      <c r="A30" s="48" t="s">
        <v>80</v>
      </c>
      <c r="B30" s="49" t="str">
        <f>IFERROR(AVERAGEIFS('Сентябрь 2024'!$K:$K,'Сентябрь 2024'!$E:$E,$A:$A),"-")</f>
        <v>-</v>
      </c>
      <c r="C30" s="49" t="str">
        <f>IFERROR(AVERAGEIFS('Октябрь 2024'!$K:$K,'Октябрь 2024'!$E:$E,$A:$A),"-")</f>
        <v>-</v>
      </c>
      <c r="D30" s="49">
        <f>IFERROR(AVERAGEIFS('Ноябрь 2024'!$K:$K,'Ноябрь 2024'!$E:$E,$A:$A),"-")</f>
        <v>2.42</v>
      </c>
      <c r="E30" s="49" t="str">
        <f>IFERROR(AVERAGEIFS('Декабрь 2024'!$K:$K,'Декабрь 2024'!$E:$E,$A:$A),"-")</f>
        <v>-</v>
      </c>
      <c r="F30" s="49" t="str">
        <f>IFERROR(AVERAGEIFS('Январь 2025'!$K:$K,'Январь 2025'!$E:$E,$A:$A),"-")</f>
        <v>-</v>
      </c>
      <c r="G30" s="49" t="str">
        <f>IFERROR(AVERAGEIFS('Февраль 2025 '!K:K,'Февраль 2025 '!E:E,A:A),"-")</f>
        <v>-</v>
      </c>
      <c r="H30" s="49" t="str">
        <f>IFERROR(AVERAGEIFS('Март 2025'!$K:$K,'Март 2025'!$E:$E,$A:$A),"-")</f>
        <v>-</v>
      </c>
      <c r="I30" s="49" t="str">
        <f>IFERROR(AVERAGEIFS('Апрель 2025'!$K:$K,'Апрель 2025'!$E:$E,$A:$A),"-")</f>
        <v>-</v>
      </c>
      <c r="J30" s="49" t="str">
        <f>IFERROR(AVERAGEIFS('Май 2025'!$K:$K,'Май 2025'!$E:$E,$A:$A),"-")</f>
        <v>-</v>
      </c>
      <c r="K30" s="49" t="str">
        <f>IFERROR(AVERAGEIFS('Июнь 2025'!$K:$K,'Июнь 2025'!$E:$E,$A:$A),"-")</f>
        <v>-</v>
      </c>
      <c r="L30" s="49" t="str">
        <f>IFERROR(AVERAGEIFS('Июль 2025'!$K:$K,'Июль 2025'!$E:$E,$A:$A),"-")</f>
        <v>-</v>
      </c>
      <c r="M30" s="49" t="str">
        <f>IFERROR(AVERAGEIFS('Август 2025'!$K:$K,'Август 2025'!$E:$E,$A:$A),"-")</f>
        <v>-</v>
      </c>
      <c r="N30" s="49" t="str">
        <f>IFERROR(AVERAGEIFS('Сентябрь 2025'!$K:$K,'Сентябрь 2025'!$E:$E,$A:$A),"-")</f>
        <v>-</v>
      </c>
      <c r="O30" s="49" t="str">
        <f>IFERROR(AVERAGEIFS('Октябрь 2025'!$K:$K,'Октябрь 2025'!$E:$E,$A:$A),"-")</f>
        <v>-</v>
      </c>
      <c r="P30" s="49" t="str">
        <f>IFERROR(AVERAGEIFS('Ноябрь 2025'!$K:$K,'Ноябрь 2025'!$E:$E,$A:$A),"-")</f>
        <v>-</v>
      </c>
      <c r="Q30" s="49" t="str">
        <f>IFERROR(AVERAGEIFS('Декабрь 2025'!$K:$K,'Декабрь 2025'!$E:$E,$A:$A),"-")</f>
        <v>-</v>
      </c>
      <c r="R30" s="49" t="str">
        <f>IFERROR(AVERAGEIFS('Январь 2026'!$K:$K,'Январь 2026'!$E:$E,$A:$A),"-")</f>
        <v>-</v>
      </c>
      <c r="S30" s="49" t="str">
        <f>IFERROR(AVERAGEIFS('Февраль 2026'!$K:$K,'Февраль 2026'!$E:$E,$A:$A),"-")</f>
        <v>-</v>
      </c>
      <c r="T30" s="49" t="str">
        <f>IFERROR(AVERAGEIFS('Март 2026'!$K:$K,'Март 2026'!$E:$E,$A:$A),"-")</f>
        <v>-</v>
      </c>
      <c r="U30" s="49" t="str">
        <f>IFERROR(AVERAGEIFS('Апрель 2026'!$K:$K,'Апрель 2026'!$E:$E,$A:$A),"-")</f>
        <v>-</v>
      </c>
      <c r="V30" s="49" t="str">
        <f>IFERROR(AVERAGEIFS('Май 2026'!$K:$K,'Май 2026'!$E:$E,$A:$A),"-")</f>
        <v>-</v>
      </c>
      <c r="W30" s="49" t="str">
        <f t="shared" si="1"/>
        <v>-</v>
      </c>
      <c r="X30" s="49" t="str">
        <f t="shared" si="2"/>
        <v>-</v>
      </c>
      <c r="Y30" s="48"/>
      <c r="Z30" s="48"/>
      <c r="AA30" s="48"/>
      <c r="AB30" s="48"/>
      <c r="AC30" s="48"/>
      <c r="AD30" s="48"/>
      <c r="AE30" s="48"/>
      <c r="AF30" s="48"/>
      <c r="AG30" s="48"/>
      <c r="AH30" s="48"/>
    </row>
    <row r="31">
      <c r="A31" s="48" t="s">
        <v>81</v>
      </c>
      <c r="B31" s="49">
        <f>IFERROR(AVERAGEIFS('Сентябрь 2024'!$K:$K,'Сентябрь 2024'!$E:$E,$A:$A),"-")</f>
        <v>2.77</v>
      </c>
      <c r="C31" s="49" t="str">
        <f>IFERROR(AVERAGEIFS('Октябрь 2024'!$K:$K,'Октябрь 2024'!$E:$E,$A:$A),"-")</f>
        <v>-</v>
      </c>
      <c r="D31" s="49" t="str">
        <f>IFERROR(AVERAGEIFS('Ноябрь 2024'!$K:$K,'Ноябрь 2024'!$E:$E,$A:$A),"-")</f>
        <v>-</v>
      </c>
      <c r="E31" s="49" t="str">
        <f>IFERROR(AVERAGEIFS('Декабрь 2024'!$K:$K,'Декабрь 2024'!$E:$E,$A:$A),"-")</f>
        <v>-</v>
      </c>
      <c r="F31" s="49" t="str">
        <f>IFERROR(AVERAGEIFS('Январь 2025'!$K:$K,'Январь 2025'!$E:$E,$A:$A),"-")</f>
        <v>-</v>
      </c>
      <c r="G31" s="49" t="str">
        <f>IFERROR(AVERAGEIFS('Февраль 2025 '!K:K,'Февраль 2025 '!E:E,A:A),"-")</f>
        <v>-</v>
      </c>
      <c r="H31" s="49" t="str">
        <f>IFERROR(AVERAGEIFS('Март 2025'!$K:$K,'Март 2025'!$E:$E,$A:$A),"-")</f>
        <v>-</v>
      </c>
      <c r="I31" s="49" t="str">
        <f>IFERROR(AVERAGEIFS('Апрель 2025'!$K:$K,'Апрель 2025'!$E:$E,$A:$A),"-")</f>
        <v>-</v>
      </c>
      <c r="J31" s="49" t="str">
        <f>IFERROR(AVERAGEIFS('Май 2025'!$K:$K,'Май 2025'!$E:$E,$A:$A),"-")</f>
        <v>-</v>
      </c>
      <c r="K31" s="49" t="str">
        <f>IFERROR(AVERAGEIFS('Июнь 2025'!$K:$K,'Июнь 2025'!$E:$E,$A:$A),"-")</f>
        <v>-</v>
      </c>
      <c r="L31" s="49" t="str">
        <f>IFERROR(AVERAGEIFS('Июль 2025'!$K:$K,'Июль 2025'!$E:$E,$A:$A),"-")</f>
        <v>-</v>
      </c>
      <c r="M31" s="49" t="str">
        <f>IFERROR(AVERAGEIFS('Август 2025'!$K:$K,'Август 2025'!$E:$E,$A:$A),"-")</f>
        <v>-</v>
      </c>
      <c r="N31" s="49" t="str">
        <f>IFERROR(AVERAGEIFS('Сентябрь 2025'!$K:$K,'Сентябрь 2025'!$E:$E,$A:$A),"-")</f>
        <v>-</v>
      </c>
      <c r="O31" s="49" t="str">
        <f>IFERROR(AVERAGEIFS('Октябрь 2025'!$K:$K,'Октябрь 2025'!$E:$E,$A:$A),"-")</f>
        <v>-</v>
      </c>
      <c r="P31" s="49">
        <f>IFERROR(AVERAGEIFS('Ноябрь 2025'!$K:$K,'Ноябрь 2025'!$E:$E,$A:$A),"-")</f>
        <v>2.33</v>
      </c>
      <c r="Q31" s="49">
        <f>IFERROR(AVERAGEIFS('Декабрь 2025'!$K:$K,'Декабрь 2025'!$E:$E,$A:$A),"-")</f>
        <v>2.36</v>
      </c>
      <c r="R31" s="49">
        <f>IFERROR(AVERAGEIFS('Январь 2026'!$K:$K,'Январь 2026'!$E:$E,$A:$A),"-")</f>
        <v>2.32</v>
      </c>
      <c r="S31" s="49" t="str">
        <f>IFERROR(AVERAGEIFS('Февраль 2026'!$K:$K,'Февраль 2026'!$E:$E,$A:$A),"-")</f>
        <v>-</v>
      </c>
      <c r="T31" s="49">
        <f>IFERROR(AVERAGEIFS('Март 2026'!$K:$K,'Март 2026'!$E:$E,$A:$A),"-")</f>
        <v>2.36</v>
      </c>
      <c r="U31" s="49">
        <f>IFERROR(AVERAGEIFS('Апрель 2026'!$K:$K,'Апрель 2026'!$E:$E,$A:$A),"-")</f>
        <v>2.33</v>
      </c>
      <c r="V31" s="49" t="str">
        <f>IFERROR(AVERAGEIFS('Май 2026'!$K:$K,'Май 2026'!$E:$E,$A:$A),"-")</f>
        <v>-</v>
      </c>
      <c r="W31" s="49" t="str">
        <f t="shared" si="1"/>
        <v>-</v>
      </c>
      <c r="X31" s="49" t="str">
        <f t="shared" si="2"/>
        <v>-</v>
      </c>
      <c r="Y31" s="48"/>
      <c r="Z31" s="48"/>
      <c r="AA31" s="48"/>
      <c r="AB31" s="48"/>
      <c r="AC31" s="48"/>
      <c r="AD31" s="48"/>
      <c r="AE31" s="48"/>
      <c r="AF31" s="48"/>
      <c r="AG31" s="48"/>
      <c r="AH31" s="48"/>
    </row>
    <row r="32">
      <c r="A32" s="48" t="s">
        <v>82</v>
      </c>
      <c r="B32" s="49" t="str">
        <f>IFERROR(AVERAGEIFS('Сентябрь 2024'!$K:$K,'Сентябрь 2024'!$E:$E,$A:$A),"-")</f>
        <v>-</v>
      </c>
      <c r="C32" s="49">
        <f>IFERROR(AVERAGEIFS('Октябрь 2024'!$K:$K,'Октябрь 2024'!$E:$E,$A:$A),"-")</f>
        <v>3.5</v>
      </c>
      <c r="D32" s="49">
        <f>IFERROR(AVERAGEIFS('Ноябрь 2024'!$K:$K,'Ноябрь 2024'!$E:$E,$A:$A),"-")</f>
        <v>3.08</v>
      </c>
      <c r="E32" s="49">
        <f>IFERROR(AVERAGEIFS('Декабрь 2024'!$K:$K,'Декабрь 2024'!$E:$E,$A:$A),"-")</f>
        <v>2.48</v>
      </c>
      <c r="F32" s="49" t="str">
        <f>IFERROR(AVERAGEIFS('Январь 2025'!$K:$K,'Январь 2025'!$E:$E,$A:$A),"-")</f>
        <v>-</v>
      </c>
      <c r="G32" s="49" t="str">
        <f>IFERROR(AVERAGEIFS('Февраль 2025 '!K:K,'Февраль 2025 '!E:E,A:A),"-")</f>
        <v>-</v>
      </c>
      <c r="H32" s="49">
        <f>IFERROR(AVERAGEIFS('Март 2025'!$K:$K,'Март 2025'!$E:$E,$A:$A),"-")</f>
        <v>3.43</v>
      </c>
      <c r="I32" s="49" t="str">
        <f>IFERROR(AVERAGEIFS('Апрель 2025'!$K:$K,'Апрель 2025'!$E:$E,$A:$A),"-")</f>
        <v>-</v>
      </c>
      <c r="J32" s="49" t="str">
        <f>IFERROR(AVERAGEIFS('Май 2025'!$K:$K,'Май 2025'!$E:$E,$A:$A),"-")</f>
        <v>-</v>
      </c>
      <c r="K32" s="49" t="str">
        <f>IFERROR(AVERAGEIFS('Июнь 2025'!$K:$K,'Июнь 2025'!$E:$E,$A:$A),"-")</f>
        <v>-</v>
      </c>
      <c r="L32" s="49" t="str">
        <f>IFERROR(AVERAGEIFS('Июль 2025'!$K:$K,'Июль 2025'!$E:$E,$A:$A),"-")</f>
        <v>-</v>
      </c>
      <c r="M32" s="49" t="str">
        <f>IFERROR(AVERAGEIFS('Август 2025'!$K:$K,'Август 2025'!$E:$E,$A:$A),"-")</f>
        <v>-</v>
      </c>
      <c r="N32" s="49" t="str">
        <f>IFERROR(AVERAGEIFS('Сентябрь 2025'!$K:$K,'Сентябрь 2025'!$E:$E,$A:$A),"-")</f>
        <v>-</v>
      </c>
      <c r="O32" s="49">
        <f>IFERROR(AVERAGEIFS('Октябрь 2025'!$K:$K,'Октябрь 2025'!$E:$E,$A:$A),"-")</f>
        <v>2.51</v>
      </c>
      <c r="P32" s="49" t="str">
        <f>IFERROR(AVERAGEIFS('Ноябрь 2025'!$K:$K,'Ноябрь 2025'!$E:$E,$A:$A),"-")</f>
        <v>-</v>
      </c>
      <c r="Q32" s="49">
        <f>IFERROR(AVERAGEIFS('Декабрь 2025'!$K:$K,'Декабрь 2025'!$E:$E,$A:$A),"-")</f>
        <v>2.575</v>
      </c>
      <c r="R32" s="49">
        <f>IFERROR(AVERAGEIFS('Январь 2026'!$K:$K,'Январь 2026'!$E:$E,$A:$A),"-")</f>
        <v>2.69</v>
      </c>
      <c r="S32" s="49" t="str">
        <f>IFERROR(AVERAGEIFS('Февраль 2026'!$K:$K,'Февраль 2026'!$E:$E,$A:$A),"-")</f>
        <v>-</v>
      </c>
      <c r="T32" s="49">
        <f>IFERROR(AVERAGEIFS('Март 2026'!$K:$K,'Март 2026'!$E:$E,$A:$A),"-")</f>
        <v>2.62</v>
      </c>
      <c r="U32" s="49">
        <f>IFERROR(AVERAGEIFS('Апрель 2026'!$K:$K,'Апрель 2026'!$E:$E,$A:$A),"-")</f>
        <v>2.64</v>
      </c>
      <c r="V32" s="49">
        <f>IFERROR(AVERAGEIFS('Май 2026'!$K:$K,'Май 2026'!$E:$E,$A:$A),"-")</f>
        <v>2.72</v>
      </c>
      <c r="W32" s="49" t="str">
        <f t="shared" si="1"/>
        <v>-</v>
      </c>
      <c r="X32" s="49" t="str">
        <f t="shared" si="2"/>
        <v>-</v>
      </c>
      <c r="Y32" s="48"/>
      <c r="Z32" s="48"/>
      <c r="AA32" s="48"/>
      <c r="AB32" s="48"/>
      <c r="AC32" s="48"/>
      <c r="AD32" s="48"/>
      <c r="AE32" s="48"/>
      <c r="AF32" s="48"/>
      <c r="AG32" s="48"/>
      <c r="AH32" s="48"/>
    </row>
    <row r="33">
      <c r="A33" s="48" t="s">
        <v>83</v>
      </c>
      <c r="B33" s="49" t="str">
        <f>IFERROR(AVERAGEIFS('Сентябрь 2024'!$K:$K,'Сентябрь 2024'!$E:$E,$A:$A),"-")</f>
        <v>-</v>
      </c>
      <c r="C33" s="49" t="str">
        <f>IFERROR(AVERAGEIFS('Октябрь 2024'!$K:$K,'Октябрь 2024'!$E:$E,$A:$A),"-")</f>
        <v>-</v>
      </c>
      <c r="D33" s="49">
        <f>IFERROR(AVERAGEIFS('Ноябрь 2024'!$K:$K,'Ноябрь 2024'!$E:$E,$A:$A),"-")</f>
        <v>3.37</v>
      </c>
      <c r="E33" s="49" t="str">
        <f>IFERROR(AVERAGEIFS('Декабрь 2024'!$K:$K,'Декабрь 2024'!$E:$E,$A:$A),"-")</f>
        <v>-</v>
      </c>
      <c r="F33" s="49" t="str">
        <f>IFERROR(AVERAGEIFS('Январь 2025'!$K:$K,'Январь 2025'!$E:$E,$A:$A),"-")</f>
        <v>-</v>
      </c>
      <c r="G33" s="49" t="str">
        <f>IFERROR(AVERAGEIFS('Февраль 2025 '!K:K,'Февраль 2025 '!E:E,A:A),"-")</f>
        <v>-</v>
      </c>
      <c r="H33" s="49" t="str">
        <f>IFERROR(AVERAGEIFS('Март 2025'!$K:$K,'Март 2025'!$E:$E,$A:$A),"-")</f>
        <v>-</v>
      </c>
      <c r="I33" s="49" t="str">
        <f>IFERROR(AVERAGEIFS('Апрель 2025'!$K:$K,'Апрель 2025'!$E:$E,$A:$A),"-")</f>
        <v>-</v>
      </c>
      <c r="J33" s="49" t="str">
        <f>IFERROR(AVERAGEIFS('Май 2025'!$K:$K,'Май 2025'!$E:$E,$A:$A),"-")</f>
        <v>-</v>
      </c>
      <c r="K33" s="49" t="str">
        <f>IFERROR(AVERAGEIFS('Июнь 2025'!$K:$K,'Июнь 2025'!$E:$E,$A:$A),"-")</f>
        <v>-</v>
      </c>
      <c r="L33" s="49" t="str">
        <f>IFERROR(AVERAGEIFS('Июль 2025'!$K:$K,'Июль 2025'!$E:$E,$A:$A),"-")</f>
        <v>-</v>
      </c>
      <c r="M33" s="49" t="str">
        <f>IFERROR(AVERAGEIFS('Август 2025'!$K:$K,'Август 2025'!$E:$E,$A:$A),"-")</f>
        <v>-</v>
      </c>
      <c r="N33" s="49" t="str">
        <f>IFERROR(AVERAGEIFS('Сентябрь 2025'!$K:$K,'Сентябрь 2025'!$E:$E,$A:$A),"-")</f>
        <v>-</v>
      </c>
      <c r="O33" s="49" t="str">
        <f>IFERROR(AVERAGEIFS('Октябрь 2025'!$K:$K,'Октябрь 2025'!$E:$E,$A:$A),"-")</f>
        <v>-</v>
      </c>
      <c r="P33" s="49" t="str">
        <f>IFERROR(AVERAGEIFS('Ноябрь 2025'!$K:$K,'Ноябрь 2025'!$E:$E,$A:$A),"-")</f>
        <v>-</v>
      </c>
      <c r="Q33" s="49" t="str">
        <f>IFERROR(AVERAGEIFS('Декабрь 2025'!$K:$K,'Декабрь 2025'!$E:$E,$A:$A),"-")</f>
        <v>-</v>
      </c>
      <c r="R33" s="49" t="str">
        <f>IFERROR(AVERAGEIFS('Январь 2026'!$K:$K,'Январь 2026'!$E:$E,$A:$A),"-")</f>
        <v>-</v>
      </c>
      <c r="S33" s="49" t="str">
        <f>IFERROR(AVERAGEIFS('Февраль 2026'!$K:$K,'Февраль 2026'!$E:$E,$A:$A),"-")</f>
        <v>-</v>
      </c>
      <c r="T33" s="49" t="str">
        <f>IFERROR(AVERAGEIFS('Март 2026'!$K:$K,'Март 2026'!$E:$E,$A:$A),"-")</f>
        <v>-</v>
      </c>
      <c r="U33" s="49" t="str">
        <f>IFERROR(AVERAGEIFS('Апрель 2026'!$K:$K,'Апрель 2026'!$E:$E,$A:$A),"-")</f>
        <v>-</v>
      </c>
      <c r="V33" s="49" t="str">
        <f>IFERROR(AVERAGEIFS('Май 2026'!$K:$K,'Май 2026'!$E:$E,$A:$A),"-")</f>
        <v>-</v>
      </c>
      <c r="W33" s="49" t="str">
        <f t="shared" si="1"/>
        <v>-</v>
      </c>
      <c r="X33" s="49" t="str">
        <f t="shared" si="2"/>
        <v>-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</row>
    <row r="34">
      <c r="A34" s="48" t="s">
        <v>84</v>
      </c>
      <c r="B34" s="49" t="str">
        <f>IFERROR(AVERAGEIFS('Сентябрь 2024'!$K:$K,'Сентябрь 2024'!$E:$E,$A:$A),"-")</f>
        <v>-</v>
      </c>
      <c r="C34" s="49" t="str">
        <f>IFERROR(AVERAGEIFS('Октябрь 2024'!$K:$K,'Октябрь 2024'!$E:$E,$A:$A),"-")</f>
        <v>-</v>
      </c>
      <c r="D34" s="49">
        <f>IFERROR(AVERAGEIFS('Ноябрь 2024'!$K:$K,'Ноябрь 2024'!$E:$E,$A:$A),"-")</f>
        <v>2.59</v>
      </c>
      <c r="E34" s="49" t="str">
        <f>IFERROR(AVERAGEIFS('Декабрь 2024'!$K:$K,'Декабрь 2024'!$E:$E,$A:$A),"-")</f>
        <v>-</v>
      </c>
      <c r="F34" s="49" t="str">
        <f>IFERROR(AVERAGEIFS('Январь 2025'!$K:$K,'Январь 2025'!$E:$E,$A:$A),"-")</f>
        <v>-</v>
      </c>
      <c r="G34" s="49" t="str">
        <f>IFERROR(AVERAGEIFS('Февраль 2025 '!K:K,'Февраль 2025 '!E:E,A:A),"-")</f>
        <v>-</v>
      </c>
      <c r="H34" s="49" t="str">
        <f>IFERROR(AVERAGEIFS('Март 2025'!$K:$K,'Март 2025'!$E:$E,$A:$A),"-")</f>
        <v>-</v>
      </c>
      <c r="I34" s="49" t="str">
        <f>IFERROR(AVERAGEIFS('Апрель 2025'!$K:$K,'Апрель 2025'!$E:$E,$A:$A),"-")</f>
        <v>-</v>
      </c>
      <c r="J34" s="49" t="str">
        <f>IFERROR(AVERAGEIFS('Май 2025'!$K:$K,'Май 2025'!$E:$E,$A:$A),"-")</f>
        <v>-</v>
      </c>
      <c r="K34" s="49" t="str">
        <f>IFERROR(AVERAGEIFS('Июнь 2025'!$K:$K,'Июнь 2025'!$E:$E,$A:$A),"-")</f>
        <v>-</v>
      </c>
      <c r="L34" s="49" t="str">
        <f>IFERROR(AVERAGEIFS('Июль 2025'!$K:$K,'Июль 2025'!$E:$E,$A:$A),"-")</f>
        <v>-</v>
      </c>
      <c r="M34" s="49" t="str">
        <f>IFERROR(AVERAGEIFS('Август 2025'!$K:$K,'Август 2025'!$E:$E,$A:$A),"-")</f>
        <v>-</v>
      </c>
      <c r="N34" s="49" t="str">
        <f>IFERROR(AVERAGEIFS('Сентябрь 2025'!$K:$K,'Сентябрь 2025'!$E:$E,$A:$A),"-")</f>
        <v>-</v>
      </c>
      <c r="O34" s="49" t="str">
        <f>IFERROR(AVERAGEIFS('Октябрь 2025'!$K:$K,'Октябрь 2025'!$E:$E,$A:$A),"-")</f>
        <v>-</v>
      </c>
      <c r="P34" s="49" t="str">
        <f>IFERROR(AVERAGEIFS('Ноябрь 2025'!$K:$K,'Ноябрь 2025'!$E:$E,$A:$A),"-")</f>
        <v>-</v>
      </c>
      <c r="Q34" s="49" t="str">
        <f>IFERROR(AVERAGEIFS('Декабрь 2025'!$K:$K,'Декабрь 2025'!$E:$E,$A:$A),"-")</f>
        <v>-</v>
      </c>
      <c r="R34" s="49" t="str">
        <f>IFERROR(AVERAGEIFS('Январь 2026'!$K:$K,'Январь 2026'!$E:$E,$A:$A),"-")</f>
        <v>-</v>
      </c>
      <c r="S34" s="49" t="str">
        <f>IFERROR(AVERAGEIFS('Февраль 2026'!$K:$K,'Февраль 2026'!$E:$E,$A:$A),"-")</f>
        <v>-</v>
      </c>
      <c r="T34" s="49" t="str">
        <f>IFERROR(AVERAGEIFS('Март 2026'!$K:$K,'Март 2026'!$E:$E,$A:$A),"-")</f>
        <v>-</v>
      </c>
      <c r="U34" s="49" t="str">
        <f>IFERROR(AVERAGEIFS('Апрель 2026'!$K:$K,'Апрель 2026'!$E:$E,$A:$A),"-")</f>
        <v>-</v>
      </c>
      <c r="V34" s="49" t="str">
        <f>IFERROR(AVERAGEIFS('Май 2026'!$K:$K,'Май 2026'!$E:$E,$A:$A),"-")</f>
        <v>-</v>
      </c>
      <c r="W34" s="49" t="str">
        <f t="shared" si="1"/>
        <v>-</v>
      </c>
      <c r="X34" s="49" t="str">
        <f t="shared" si="2"/>
        <v>-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</row>
    <row r="35">
      <c r="A35" s="48" t="s">
        <v>85</v>
      </c>
      <c r="B35" s="49" t="str">
        <f>IFERROR(AVERAGEIFS('Сентябрь 2024'!$K:$K,'Сентябрь 2024'!$E:$E,$A:$A),"-")</f>
        <v>-</v>
      </c>
      <c r="C35" s="49" t="str">
        <f>IFERROR(AVERAGEIFS('Октябрь 2024'!$K:$K,'Октябрь 2024'!$E:$E,$A:$A),"-")</f>
        <v>-</v>
      </c>
      <c r="D35" s="49">
        <f>IFERROR(AVERAGEIFS('Ноябрь 2024'!$K:$K,'Ноябрь 2024'!$E:$E,$A:$A),"-")</f>
        <v>3.21</v>
      </c>
      <c r="E35" s="49" t="str">
        <f>IFERROR(AVERAGEIFS('Декабрь 2024'!$K:$K,'Декабрь 2024'!$E:$E,$A:$A),"-")</f>
        <v>-</v>
      </c>
      <c r="F35" s="49" t="str">
        <f>IFERROR(AVERAGEIFS('Январь 2025'!$K:$K,'Январь 2025'!$E:$E,$A:$A),"-")</f>
        <v>-</v>
      </c>
      <c r="G35" s="49" t="str">
        <f>IFERROR(AVERAGEIFS('Февраль 2025 '!K:K,'Февраль 2025 '!E:E,A:A),"-")</f>
        <v>-</v>
      </c>
      <c r="H35" s="49" t="str">
        <f>IFERROR(AVERAGEIFS('Март 2025'!$K:$K,'Март 2025'!$E:$E,$A:$A),"-")</f>
        <v>-</v>
      </c>
      <c r="I35" s="49" t="str">
        <f>IFERROR(AVERAGEIFS('Апрель 2025'!$K:$K,'Апрель 2025'!$E:$E,$A:$A),"-")</f>
        <v>-</v>
      </c>
      <c r="J35" s="49" t="str">
        <f>IFERROR(AVERAGEIFS('Май 2025'!$K:$K,'Май 2025'!$E:$E,$A:$A),"-")</f>
        <v>-</v>
      </c>
      <c r="K35" s="49" t="str">
        <f>IFERROR(AVERAGEIFS('Июнь 2025'!$K:$K,'Июнь 2025'!$E:$E,$A:$A),"-")</f>
        <v>-</v>
      </c>
      <c r="L35" s="49" t="str">
        <f>IFERROR(AVERAGEIFS('Июль 2025'!$K:$K,'Июль 2025'!$E:$E,$A:$A),"-")</f>
        <v>-</v>
      </c>
      <c r="M35" s="49" t="str">
        <f>IFERROR(AVERAGEIFS('Август 2025'!$K:$K,'Август 2025'!$E:$E,$A:$A),"-")</f>
        <v>-</v>
      </c>
      <c r="N35" s="49" t="str">
        <f>IFERROR(AVERAGEIFS('Сентябрь 2025'!$K:$K,'Сентябрь 2025'!$E:$E,$A:$A),"-")</f>
        <v>-</v>
      </c>
      <c r="O35" s="49" t="str">
        <f>IFERROR(AVERAGEIFS('Октябрь 2025'!$K:$K,'Октябрь 2025'!$E:$E,$A:$A),"-")</f>
        <v>-</v>
      </c>
      <c r="P35" s="49" t="str">
        <f>IFERROR(AVERAGEIFS('Ноябрь 2025'!$K:$K,'Ноябрь 2025'!$E:$E,$A:$A),"-")</f>
        <v>-</v>
      </c>
      <c r="Q35" s="49" t="str">
        <f>IFERROR(AVERAGEIFS('Декабрь 2025'!$K:$K,'Декабрь 2025'!$E:$E,$A:$A),"-")</f>
        <v>-</v>
      </c>
      <c r="R35" s="49" t="str">
        <f>IFERROR(AVERAGEIFS('Январь 2026'!$K:$K,'Январь 2026'!$E:$E,$A:$A),"-")</f>
        <v>-</v>
      </c>
      <c r="S35" s="49" t="str">
        <f>IFERROR(AVERAGEIFS('Февраль 2026'!$K:$K,'Февраль 2026'!$E:$E,$A:$A),"-")</f>
        <v>-</v>
      </c>
      <c r="T35" s="49" t="str">
        <f>IFERROR(AVERAGEIFS('Март 2026'!$K:$K,'Март 2026'!$E:$E,$A:$A),"-")</f>
        <v>-</v>
      </c>
      <c r="U35" s="49" t="str">
        <f>IFERROR(AVERAGEIFS('Апрель 2026'!$K:$K,'Апрель 2026'!$E:$E,$A:$A),"-")</f>
        <v>-</v>
      </c>
      <c r="V35" s="49" t="str">
        <f>IFERROR(AVERAGEIFS('Май 2026'!$K:$K,'Май 2026'!$E:$E,$A:$A),"-")</f>
        <v>-</v>
      </c>
      <c r="W35" s="49" t="str">
        <f t="shared" si="1"/>
        <v>-</v>
      </c>
      <c r="X35" s="49" t="str">
        <f t="shared" si="2"/>
        <v>-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</row>
    <row r="36">
      <c r="A36" s="48" t="s">
        <v>86</v>
      </c>
      <c r="B36" s="49" t="str">
        <f>IFERROR(AVERAGEIFS('Сентябрь 2024'!$K:$K,'Сентябрь 2024'!$E:$E,$A:$A),"-")</f>
        <v>-</v>
      </c>
      <c r="C36" s="49" t="str">
        <f>IFERROR(AVERAGEIFS('Октябрь 2024'!$K:$K,'Октябрь 2024'!$E:$E,$A:$A),"-")</f>
        <v>-</v>
      </c>
      <c r="D36" s="49" t="str">
        <f>IFERROR(AVERAGEIFS('Ноябрь 2024'!$K:$K,'Ноябрь 2024'!$E:$E,$A:$A),"-")</f>
        <v>-</v>
      </c>
      <c r="E36" s="49">
        <f>IFERROR(AVERAGEIFS('Декабрь 2024'!$K:$K,'Декабрь 2024'!$E:$E,$A:$A),"-")</f>
        <v>3.81</v>
      </c>
      <c r="F36" s="49" t="str">
        <f>IFERROR(AVERAGEIFS('Январь 2025'!$K:$K,'Январь 2025'!$E:$E,$A:$A),"-")</f>
        <v>-</v>
      </c>
      <c r="G36" s="49" t="str">
        <f>IFERROR(AVERAGEIFS('Февраль 2025 '!K:K,'Февраль 2025 '!E:E,A:A),"-")</f>
        <v>-</v>
      </c>
      <c r="H36" s="49" t="str">
        <f>IFERROR(AVERAGEIFS('Март 2025'!$K:$K,'Март 2025'!$E:$E,$A:$A),"-")</f>
        <v>-</v>
      </c>
      <c r="I36" s="49" t="str">
        <f>IFERROR(AVERAGEIFS('Апрель 2025'!$K:$K,'Апрель 2025'!$E:$E,$A:$A),"-")</f>
        <v>-</v>
      </c>
      <c r="J36" s="49" t="str">
        <f>IFERROR(AVERAGEIFS('Май 2025'!$K:$K,'Май 2025'!$E:$E,$A:$A),"-")</f>
        <v>-</v>
      </c>
      <c r="K36" s="49" t="str">
        <f>IFERROR(AVERAGEIFS('Июнь 2025'!$K:$K,'Июнь 2025'!$E:$E,$A:$A),"-")</f>
        <v>-</v>
      </c>
      <c r="L36" s="49" t="str">
        <f>IFERROR(AVERAGEIFS('Июль 2025'!$K:$K,'Июль 2025'!$E:$E,$A:$A),"-")</f>
        <v>-</v>
      </c>
      <c r="M36" s="49" t="str">
        <f>IFERROR(AVERAGEIFS('Август 2025'!$K:$K,'Август 2025'!$E:$E,$A:$A),"-")</f>
        <v>-</v>
      </c>
      <c r="N36" s="49" t="str">
        <f>IFERROR(AVERAGEIFS('Сентябрь 2025'!$K:$K,'Сентябрь 2025'!$E:$E,$A:$A),"-")</f>
        <v>-</v>
      </c>
      <c r="O36" s="49" t="str">
        <f>IFERROR(AVERAGEIFS('Октябрь 2025'!$K:$K,'Октябрь 2025'!$E:$E,$A:$A),"-")</f>
        <v>-</v>
      </c>
      <c r="P36" s="49" t="str">
        <f>IFERROR(AVERAGEIFS('Ноябрь 2025'!$K:$K,'Ноябрь 2025'!$E:$E,$A:$A),"-")</f>
        <v>-</v>
      </c>
      <c r="Q36" s="49" t="str">
        <f>IFERROR(AVERAGEIFS('Декабрь 2025'!$K:$K,'Декабрь 2025'!$E:$E,$A:$A),"-")</f>
        <v>-</v>
      </c>
      <c r="R36" s="49" t="str">
        <f>IFERROR(AVERAGEIFS('Январь 2026'!$K:$K,'Январь 2026'!$E:$E,$A:$A),"-")</f>
        <v>-</v>
      </c>
      <c r="S36" s="49" t="str">
        <f>IFERROR(AVERAGEIFS('Февраль 2026'!$K:$K,'Февраль 2026'!$E:$E,$A:$A),"-")</f>
        <v>-</v>
      </c>
      <c r="T36" s="49" t="str">
        <f>IFERROR(AVERAGEIFS('Март 2026'!$K:$K,'Март 2026'!$E:$E,$A:$A),"-")</f>
        <v>-</v>
      </c>
      <c r="U36" s="49" t="str">
        <f>IFERROR(AVERAGEIFS('Апрель 2026'!$K:$K,'Апрель 2026'!$E:$E,$A:$A),"-")</f>
        <v>-</v>
      </c>
      <c r="V36" s="49" t="str">
        <f>IFERROR(AVERAGEIFS('Май 2026'!$K:$K,'Май 2026'!$E:$E,$A:$A),"-")</f>
        <v>-</v>
      </c>
      <c r="W36" s="49" t="str">
        <f t="shared" si="1"/>
        <v>-</v>
      </c>
      <c r="X36" s="49" t="str">
        <f t="shared" si="2"/>
        <v>-</v>
      </c>
      <c r="Y36" s="48"/>
      <c r="Z36" s="48"/>
      <c r="AA36" s="48"/>
      <c r="AB36" s="48"/>
      <c r="AC36" s="48"/>
      <c r="AD36" s="48"/>
      <c r="AE36" s="48"/>
      <c r="AF36" s="48"/>
      <c r="AG36" s="48"/>
      <c r="AH36" s="48"/>
    </row>
    <row r="37">
      <c r="A37" s="48" t="s">
        <v>87</v>
      </c>
      <c r="B37" s="49" t="str">
        <f>IFERROR(AVERAGEIFS('Сентябрь 2024'!$K:$K,'Сентябрь 2024'!$E:$E,$A:$A),"-")</f>
        <v>-</v>
      </c>
      <c r="C37" s="49" t="str">
        <f>IFERROR(AVERAGEIFS('Октябрь 2024'!$K:$K,'Октябрь 2024'!$E:$E,$A:$A),"-")</f>
        <v>-</v>
      </c>
      <c r="D37" s="49" t="str">
        <f>IFERROR(AVERAGEIFS('Ноябрь 2024'!$K:$K,'Ноябрь 2024'!$E:$E,$A:$A),"-")</f>
        <v>-</v>
      </c>
      <c r="E37" s="49">
        <f>IFERROR(AVERAGEIFS('Декабрь 2024'!$K:$K,'Декабрь 2024'!$E:$E,$A:$A),"-")</f>
        <v>2.142727273</v>
      </c>
      <c r="F37" s="49" t="str">
        <f>IFERROR(AVERAGEIFS('Январь 2025'!$K:$K,'Январь 2025'!$E:$E,$A:$A),"-")</f>
        <v>-</v>
      </c>
      <c r="G37" s="49" t="str">
        <f>IFERROR(AVERAGEIFS('Февраль 2025 '!K:K,'Февраль 2025 '!E:E,A:A),"-")</f>
        <v>-</v>
      </c>
      <c r="H37" s="49" t="str">
        <f>IFERROR(AVERAGEIFS('Март 2025'!$K:$K,'Март 2025'!$E:$E,$A:$A),"-")</f>
        <v>-</v>
      </c>
      <c r="I37" s="49" t="str">
        <f>IFERROR(AVERAGEIFS('Апрель 2025'!$K:$K,'Апрель 2025'!$E:$E,$A:$A),"-")</f>
        <v>-</v>
      </c>
      <c r="J37" s="49">
        <f>IFERROR(AVERAGEIFS('Май 2025'!$K:$K,'Май 2025'!$E:$E,$A:$A),"-")</f>
        <v>1.986</v>
      </c>
      <c r="K37" s="49" t="str">
        <f>IFERROR(AVERAGEIFS('Июнь 2025'!$K:$K,'Июнь 2025'!$E:$E,$A:$A),"-")</f>
        <v>-</v>
      </c>
      <c r="L37" s="49" t="str">
        <f>IFERROR(AVERAGEIFS('Июль 2025'!$K:$K,'Июль 2025'!$E:$E,$A:$A),"-")</f>
        <v>-</v>
      </c>
      <c r="M37" s="49" t="str">
        <f>IFERROR(AVERAGEIFS('Август 2025'!$K:$K,'Август 2025'!$E:$E,$A:$A),"-")</f>
        <v>-</v>
      </c>
      <c r="N37" s="49" t="str">
        <f>IFERROR(AVERAGEIFS('Сентябрь 2025'!$K:$K,'Сентябрь 2025'!$E:$E,$A:$A),"-")</f>
        <v>-</v>
      </c>
      <c r="O37" s="49" t="str">
        <f>IFERROR(AVERAGEIFS('Октябрь 2025'!$K:$K,'Октябрь 2025'!$E:$E,$A:$A),"-")</f>
        <v>-</v>
      </c>
      <c r="P37" s="49" t="str">
        <f>IFERROR(AVERAGEIFS('Ноябрь 2025'!$K:$K,'Ноябрь 2025'!$E:$E,$A:$A),"-")</f>
        <v>-</v>
      </c>
      <c r="Q37" s="49" t="str">
        <f>IFERROR(AVERAGEIFS('Декабрь 2025'!$K:$K,'Декабрь 2025'!$E:$E,$A:$A),"-")</f>
        <v>-</v>
      </c>
      <c r="R37" s="49" t="str">
        <f>IFERROR(AVERAGEIFS('Январь 2026'!$K:$K,'Январь 2026'!$E:$E,$A:$A),"-")</f>
        <v>-</v>
      </c>
      <c r="S37" s="49" t="str">
        <f>IFERROR(AVERAGEIFS('Февраль 2026'!$K:$K,'Февраль 2026'!$E:$E,$A:$A),"-")</f>
        <v>-</v>
      </c>
      <c r="T37" s="49" t="str">
        <f>IFERROR(AVERAGEIFS('Март 2026'!$K:$K,'Март 2026'!$E:$E,$A:$A),"-")</f>
        <v>-</v>
      </c>
      <c r="U37" s="49" t="str">
        <f>IFERROR(AVERAGEIFS('Апрель 2026'!$K:$K,'Апрель 2026'!$E:$E,$A:$A),"-")</f>
        <v>-</v>
      </c>
      <c r="V37" s="49" t="str">
        <f>IFERROR(AVERAGEIFS('Май 2026'!$K:$K,'Май 2026'!$E:$E,$A:$A),"-")</f>
        <v>-</v>
      </c>
      <c r="W37" s="49" t="str">
        <f t="shared" si="1"/>
        <v>-</v>
      </c>
      <c r="X37" s="49" t="str">
        <f t="shared" si="2"/>
        <v>-</v>
      </c>
      <c r="Y37" s="48"/>
      <c r="Z37" s="48"/>
      <c r="AA37" s="48"/>
      <c r="AB37" s="48"/>
      <c r="AC37" s="48"/>
      <c r="AD37" s="48"/>
      <c r="AE37" s="48"/>
      <c r="AF37" s="48"/>
      <c r="AG37" s="48"/>
      <c r="AH37" s="48"/>
    </row>
    <row r="38">
      <c r="A38" s="48" t="s">
        <v>88</v>
      </c>
      <c r="B38" s="49" t="str">
        <f>IFERROR(AVERAGEIFS('Сентябрь 2024'!$K:$K,'Сентябрь 2024'!$E:$E,$A:$A),"-")</f>
        <v>-</v>
      </c>
      <c r="C38" s="49" t="str">
        <f>IFERROR(AVERAGEIFS('Октябрь 2024'!$K:$K,'Октябрь 2024'!$E:$E,$A:$A),"-")</f>
        <v>-</v>
      </c>
      <c r="D38" s="49" t="str">
        <f>IFERROR(AVERAGEIFS('Ноябрь 2024'!$K:$K,'Ноябрь 2024'!$E:$E,$A:$A),"-")</f>
        <v>-</v>
      </c>
      <c r="E38" s="49">
        <f>IFERROR(AVERAGEIFS('Декабрь 2024'!$K:$K,'Декабрь 2024'!$E:$E,$A:$A),"-")</f>
        <v>2.49</v>
      </c>
      <c r="F38" s="49">
        <f>IFERROR(AVERAGEIFS('Январь 2025'!$K:$K,'Январь 2025'!$E:$E,$A:$A),"-")</f>
        <v>2.51</v>
      </c>
      <c r="G38" s="49">
        <f>IFERROR(AVERAGEIFS('Февраль 2025 '!K:K,'Февраль 2025 '!E:E,A:A),"-")</f>
        <v>2.54</v>
      </c>
      <c r="H38" s="49" t="str">
        <f>IFERROR(AVERAGEIFS('Март 2025'!$K:$K,'Март 2025'!$E:$E,$A:$A),"-")</f>
        <v>-</v>
      </c>
      <c r="I38" s="49" t="str">
        <f>IFERROR(AVERAGEIFS('Апрель 2025'!$K:$K,'Апрель 2025'!$E:$E,$A:$A),"-")</f>
        <v>-</v>
      </c>
      <c r="J38" s="49" t="str">
        <f>IFERROR(AVERAGEIFS('Май 2025'!$K:$K,'Май 2025'!$E:$E,$A:$A),"-")</f>
        <v>-</v>
      </c>
      <c r="K38" s="49" t="str">
        <f>IFERROR(AVERAGEIFS('Июнь 2025'!$K:$K,'Июнь 2025'!$E:$E,$A:$A),"-")</f>
        <v>-</v>
      </c>
      <c r="L38" s="49" t="str">
        <f>IFERROR(AVERAGEIFS('Июль 2025'!$K:$K,'Июль 2025'!$E:$E,$A:$A),"-")</f>
        <v>-</v>
      </c>
      <c r="M38" s="49" t="str">
        <f>IFERROR(AVERAGEIFS('Август 2025'!$K:$K,'Август 2025'!$E:$E,$A:$A),"-")</f>
        <v>-</v>
      </c>
      <c r="N38" s="49" t="str">
        <f>IFERROR(AVERAGEIFS('Сентябрь 2025'!$K:$K,'Сентябрь 2025'!$E:$E,$A:$A),"-")</f>
        <v>-</v>
      </c>
      <c r="O38" s="49" t="str">
        <f>IFERROR(AVERAGEIFS('Октябрь 2025'!$K:$K,'Октябрь 2025'!$E:$E,$A:$A),"-")</f>
        <v>-</v>
      </c>
      <c r="P38" s="49" t="str">
        <f>IFERROR(AVERAGEIFS('Ноябрь 2025'!$K:$K,'Ноябрь 2025'!$E:$E,$A:$A),"-")</f>
        <v>-</v>
      </c>
      <c r="Q38" s="49" t="str">
        <f>IFERROR(AVERAGEIFS('Декабрь 2025'!$K:$K,'Декабрь 2025'!$E:$E,$A:$A),"-")</f>
        <v>-</v>
      </c>
      <c r="R38" s="49" t="str">
        <f>IFERROR(AVERAGEIFS('Январь 2026'!$K:$K,'Январь 2026'!$E:$E,$A:$A),"-")</f>
        <v>-</v>
      </c>
      <c r="S38" s="49" t="str">
        <f>IFERROR(AVERAGEIFS('Февраль 2026'!$K:$K,'Февраль 2026'!$E:$E,$A:$A),"-")</f>
        <v>-</v>
      </c>
      <c r="T38" s="49" t="str">
        <f>IFERROR(AVERAGEIFS('Март 2026'!$K:$K,'Март 2026'!$E:$E,$A:$A),"-")</f>
        <v>-</v>
      </c>
      <c r="U38" s="49" t="str">
        <f>IFERROR(AVERAGEIFS('Апрель 2026'!$K:$K,'Апрель 2026'!$E:$E,$A:$A),"-")</f>
        <v>-</v>
      </c>
      <c r="V38" s="49" t="str">
        <f>IFERROR(AVERAGEIFS('Май 2026'!$K:$K,'Май 2026'!$E:$E,$A:$A),"-")</f>
        <v>-</v>
      </c>
      <c r="W38" s="49" t="str">
        <f t="shared" si="1"/>
        <v>-</v>
      </c>
      <c r="X38" s="49" t="str">
        <f t="shared" si="2"/>
        <v>-</v>
      </c>
      <c r="Y38" s="48"/>
      <c r="Z38" s="48"/>
      <c r="AA38" s="48"/>
      <c r="AB38" s="48"/>
      <c r="AC38" s="48"/>
      <c r="AD38" s="48"/>
      <c r="AE38" s="48"/>
      <c r="AF38" s="48"/>
      <c r="AG38" s="48"/>
      <c r="AH38" s="48"/>
    </row>
    <row r="39">
      <c r="A39" s="48" t="s">
        <v>89</v>
      </c>
      <c r="B39" s="49">
        <f>IFERROR(AVERAGEIFS('Сентябрь 2024'!$K:$K,'Сентябрь 2024'!$E:$E,$A:$A),"-")</f>
        <v>4.09</v>
      </c>
      <c r="C39" s="49" t="str">
        <f>IFERROR(AVERAGEIFS('Октябрь 2024'!$K:$K,'Октябрь 2024'!$E:$E,$A:$A),"-")</f>
        <v>-</v>
      </c>
      <c r="D39" s="49" t="str">
        <f>IFERROR(AVERAGEIFS('Ноябрь 2024'!$K:$K,'Ноябрь 2024'!$E:$E,$A:$A),"-")</f>
        <v>-</v>
      </c>
      <c r="E39" s="49" t="str">
        <f>IFERROR(AVERAGEIFS('Декабрь 2024'!$K:$K,'Декабрь 2024'!$E:$E,$A:$A),"-")</f>
        <v>-</v>
      </c>
      <c r="F39" s="49" t="str">
        <f>IFERROR(AVERAGEIFS('Январь 2025'!$K:$K,'Январь 2025'!$E:$E,$A:$A),"-")</f>
        <v>-</v>
      </c>
      <c r="G39" s="49" t="str">
        <f>IFERROR(AVERAGEIFS('Февраль 2025 '!K:K,'Февраль 2025 '!E:E,A:A),"-")</f>
        <v>-</v>
      </c>
      <c r="H39" s="49" t="str">
        <f>IFERROR(AVERAGEIFS('Март 2025'!$K:$K,'Март 2025'!$E:$E,$A:$A),"-")</f>
        <v>-</v>
      </c>
      <c r="I39" s="49">
        <f>IFERROR(AVERAGEIFS('Апрель 2025'!$K:$K,'Апрель 2025'!$E:$E,$A:$A),"-")</f>
        <v>2.91</v>
      </c>
      <c r="J39" s="49" t="str">
        <f>IFERROR(AVERAGEIFS('Май 2025'!$K:$K,'Май 2025'!$E:$E,$A:$A),"-")</f>
        <v>-</v>
      </c>
      <c r="K39" s="49" t="str">
        <f>IFERROR(AVERAGEIFS('Июнь 2025'!$K:$K,'Июнь 2025'!$E:$E,$A:$A),"-")</f>
        <v>-</v>
      </c>
      <c r="L39" s="49" t="str">
        <f>IFERROR(AVERAGEIFS('Июль 2025'!$K:$K,'Июль 2025'!$E:$E,$A:$A),"-")</f>
        <v>-</v>
      </c>
      <c r="M39" s="49" t="str">
        <f>IFERROR(AVERAGEIFS('Август 2025'!$K:$K,'Август 2025'!$E:$E,$A:$A),"-")</f>
        <v>-</v>
      </c>
      <c r="N39" s="49" t="str">
        <f>IFERROR(AVERAGEIFS('Сентябрь 2025'!$K:$K,'Сентябрь 2025'!$E:$E,$A:$A),"-")</f>
        <v>-</v>
      </c>
      <c r="O39" s="49" t="str">
        <f>IFERROR(AVERAGEIFS('Октябрь 2025'!$K:$K,'Октябрь 2025'!$E:$E,$A:$A),"-")</f>
        <v>-</v>
      </c>
      <c r="P39" s="49" t="str">
        <f>IFERROR(AVERAGEIFS('Ноябрь 2025'!$K:$K,'Ноябрь 2025'!$E:$E,$A:$A),"-")</f>
        <v>-</v>
      </c>
      <c r="Q39" s="49" t="str">
        <f>IFERROR(AVERAGEIFS('Декабрь 2025'!$K:$K,'Декабрь 2025'!$E:$E,$A:$A),"-")</f>
        <v>-</v>
      </c>
      <c r="R39" s="49" t="str">
        <f>IFERROR(AVERAGEIFS('Январь 2026'!$K:$K,'Январь 2026'!$E:$E,$A:$A),"-")</f>
        <v>-</v>
      </c>
      <c r="S39" s="49" t="str">
        <f>IFERROR(AVERAGEIFS('Февраль 2026'!$K:$K,'Февраль 2026'!$E:$E,$A:$A),"-")</f>
        <v>-</v>
      </c>
      <c r="T39" s="49" t="str">
        <f>IFERROR(AVERAGEIFS('Март 2026'!$K:$K,'Март 2026'!$E:$E,$A:$A),"-")</f>
        <v>-</v>
      </c>
      <c r="U39" s="49" t="str">
        <f>IFERROR(AVERAGEIFS('Апрель 2026'!$K:$K,'Апрель 2026'!$E:$E,$A:$A),"-")</f>
        <v>-</v>
      </c>
      <c r="V39" s="49" t="str">
        <f>IFERROR(AVERAGEIFS('Май 2026'!$K:$K,'Май 2026'!$E:$E,$A:$A),"-")</f>
        <v>-</v>
      </c>
      <c r="W39" s="49" t="str">
        <f t="shared" si="1"/>
        <v>-</v>
      </c>
      <c r="X39" s="49" t="str">
        <f t="shared" si="2"/>
        <v>-</v>
      </c>
      <c r="Y39" s="48"/>
      <c r="Z39" s="48"/>
      <c r="AA39" s="48"/>
      <c r="AB39" s="48"/>
      <c r="AC39" s="48"/>
      <c r="AD39" s="48"/>
      <c r="AE39" s="48"/>
      <c r="AF39" s="48"/>
      <c r="AG39" s="48"/>
      <c r="AH39" s="48"/>
    </row>
    <row r="40">
      <c r="A40" s="48" t="s">
        <v>90</v>
      </c>
      <c r="B40" s="49">
        <f>IFERROR(AVERAGEIFS('Сентябрь 2024'!$K:$K,'Сентябрь 2024'!$E:$E,$A:$A),"-")</f>
        <v>2.26</v>
      </c>
      <c r="C40" s="49" t="str">
        <f>IFERROR(AVERAGEIFS('Октябрь 2024'!$K:$K,'Октябрь 2024'!$E:$E,$A:$A),"-")</f>
        <v>-</v>
      </c>
      <c r="D40" s="49" t="str">
        <f>IFERROR(AVERAGEIFS('Ноябрь 2024'!$K:$K,'Ноябрь 2024'!$E:$E,$A:$A),"-")</f>
        <v>-</v>
      </c>
      <c r="E40" s="49">
        <f>IFERROR(AVERAGEIFS('Декабрь 2024'!$K:$K,'Декабрь 2024'!$E:$E,$A:$A),"-")</f>
        <v>2.3</v>
      </c>
      <c r="F40" s="49">
        <f>IFERROR(AVERAGEIFS('Январь 2025'!$K:$K,'Январь 2025'!$E:$E,$A:$A),"-")</f>
        <v>2.36</v>
      </c>
      <c r="G40" s="49" t="str">
        <f>IFERROR(AVERAGEIFS('Февраль 2025 '!K:K,'Февраль 2025 '!E:E,A:A),"-")</f>
        <v>-</v>
      </c>
      <c r="H40" s="49" t="str">
        <f>IFERROR(AVERAGEIFS('Март 2025'!$K:$K,'Март 2025'!$E:$E,$A:$A),"-")</f>
        <v>-</v>
      </c>
      <c r="I40" s="49">
        <f>IFERROR(AVERAGEIFS('Апрель 2025'!$K:$K,'Апрель 2025'!$E:$E,$A:$A),"-")</f>
        <v>2.27</v>
      </c>
      <c r="J40" s="49" t="str">
        <f>IFERROR(AVERAGEIFS('Май 2025'!$K:$K,'Май 2025'!$E:$E,$A:$A),"-")</f>
        <v>-</v>
      </c>
      <c r="K40" s="49" t="str">
        <f>IFERROR(AVERAGEIFS('Июнь 2025'!$K:$K,'Июнь 2025'!$E:$E,$A:$A),"-")</f>
        <v>-</v>
      </c>
      <c r="L40" s="49">
        <f>IFERROR(AVERAGEIFS('Июль 2025'!$K:$K,'Июль 2025'!$E:$E,$A:$A),"-")</f>
        <v>2.21</v>
      </c>
      <c r="M40" s="49" t="str">
        <f>IFERROR(AVERAGEIFS('Август 2025'!$K:$K,'Август 2025'!$E:$E,$A:$A),"-")</f>
        <v>-</v>
      </c>
      <c r="N40" s="49" t="str">
        <f>IFERROR(AVERAGEIFS('Сентябрь 2025'!$K:$K,'Сентябрь 2025'!$E:$E,$A:$A),"-")</f>
        <v>-</v>
      </c>
      <c r="O40" s="49" t="str">
        <f>IFERROR(AVERAGEIFS('Октябрь 2025'!$K:$K,'Октябрь 2025'!$E:$E,$A:$A),"-")</f>
        <v>-</v>
      </c>
      <c r="P40" s="49" t="str">
        <f>IFERROR(AVERAGEIFS('Ноябрь 2025'!$K:$K,'Ноябрь 2025'!$E:$E,$A:$A),"-")</f>
        <v>-</v>
      </c>
      <c r="Q40" s="49" t="str">
        <f>IFERROR(AVERAGEIFS('Декабрь 2025'!$K:$K,'Декабрь 2025'!$E:$E,$A:$A),"-")</f>
        <v>-</v>
      </c>
      <c r="R40" s="49" t="str">
        <f>IFERROR(AVERAGEIFS('Январь 2026'!$K:$K,'Январь 2026'!$E:$E,$A:$A),"-")</f>
        <v>-</v>
      </c>
      <c r="S40" s="49" t="str">
        <f>IFERROR(AVERAGEIFS('Февраль 2026'!$K:$K,'Февраль 2026'!$E:$E,$A:$A),"-")</f>
        <v>-</v>
      </c>
      <c r="T40" s="49" t="str">
        <f>IFERROR(AVERAGEIFS('Март 2026'!$K:$K,'Март 2026'!$E:$E,$A:$A),"-")</f>
        <v>-</v>
      </c>
      <c r="U40" s="49">
        <f>IFERROR(AVERAGEIFS('Апрель 2026'!$K:$K,'Апрель 2026'!$E:$E,$A:$A),"-")</f>
        <v>2.32</v>
      </c>
      <c r="V40" s="49" t="str">
        <f>IFERROR(AVERAGEIFS('Май 2026'!$K:$K,'Май 2026'!$E:$E,$A:$A),"-")</f>
        <v>-</v>
      </c>
      <c r="W40" s="49" t="str">
        <f t="shared" si="1"/>
        <v>-</v>
      </c>
      <c r="X40" s="49" t="str">
        <f t="shared" si="2"/>
        <v>-</v>
      </c>
      <c r="Y40" s="48"/>
      <c r="Z40" s="48"/>
      <c r="AA40" s="48"/>
      <c r="AB40" s="48"/>
      <c r="AC40" s="48"/>
      <c r="AD40" s="48"/>
      <c r="AE40" s="48"/>
      <c r="AF40" s="48"/>
      <c r="AG40" s="48"/>
      <c r="AH40" s="48"/>
    </row>
    <row r="41">
      <c r="A41" s="48" t="s">
        <v>91</v>
      </c>
      <c r="B41" s="49" t="str">
        <f>IFERROR(AVERAGEIFS('Сентябрь 2024'!$K:$K,'Сентябрь 2024'!$E:$E,$A:$A),"-")</f>
        <v>-</v>
      </c>
      <c r="C41" s="49" t="str">
        <f>IFERROR(AVERAGEIFS('Октябрь 2024'!$K:$K,'Октябрь 2024'!$E:$E,$A:$A),"-")</f>
        <v>-</v>
      </c>
      <c r="D41" s="49" t="str">
        <f>IFERROR(AVERAGEIFS('Ноябрь 2024'!$K:$K,'Ноябрь 2024'!$E:$E,$A:$A),"-")</f>
        <v>-</v>
      </c>
      <c r="E41" s="49">
        <f>IFERROR(AVERAGEIFS('Декабрь 2024'!$K:$K,'Декабрь 2024'!$E:$E,$A:$A),"-")</f>
        <v>2.9</v>
      </c>
      <c r="F41" s="49" t="str">
        <f>IFERROR(AVERAGEIFS('Январь 2025'!$K:$K,'Январь 2025'!$E:$E,$A:$A),"-")</f>
        <v>-</v>
      </c>
      <c r="G41" s="49" t="str">
        <f>IFERROR(AVERAGEIFS('Февраль 2025 '!K:K,'Февраль 2025 '!E:E,A:A),"-")</f>
        <v>-</v>
      </c>
      <c r="H41" s="49" t="str">
        <f>IFERROR(AVERAGEIFS('Март 2025'!$K:$K,'Март 2025'!$E:$E,$A:$A),"-")</f>
        <v>-</v>
      </c>
      <c r="I41" s="49" t="str">
        <f>IFERROR(AVERAGEIFS('Апрель 2025'!$K:$K,'Апрель 2025'!$E:$E,$A:$A),"-")</f>
        <v>-</v>
      </c>
      <c r="J41" s="49" t="str">
        <f>IFERROR(AVERAGEIFS('Май 2025'!$K:$K,'Май 2025'!$E:$E,$A:$A),"-")</f>
        <v>-</v>
      </c>
      <c r="K41" s="49" t="str">
        <f>IFERROR(AVERAGEIFS('Июнь 2025'!$K:$K,'Июнь 2025'!$E:$E,$A:$A),"-")</f>
        <v>-</v>
      </c>
      <c r="L41" s="49" t="str">
        <f>IFERROR(AVERAGEIFS('Июль 2025'!$K:$K,'Июль 2025'!$E:$E,$A:$A),"-")</f>
        <v>-</v>
      </c>
      <c r="M41" s="49" t="str">
        <f>IFERROR(AVERAGEIFS('Август 2025'!$K:$K,'Август 2025'!$E:$E,$A:$A),"-")</f>
        <v>-</v>
      </c>
      <c r="N41" s="49" t="str">
        <f>IFERROR(AVERAGEIFS('Сентябрь 2025'!$K:$K,'Сентябрь 2025'!$E:$E,$A:$A),"-")</f>
        <v>-</v>
      </c>
      <c r="O41" s="49" t="str">
        <f>IFERROR(AVERAGEIFS('Октябрь 2025'!$K:$K,'Октябрь 2025'!$E:$E,$A:$A),"-")</f>
        <v>-</v>
      </c>
      <c r="P41" s="49" t="str">
        <f>IFERROR(AVERAGEIFS('Ноябрь 2025'!$K:$K,'Ноябрь 2025'!$E:$E,$A:$A),"-")</f>
        <v>-</v>
      </c>
      <c r="Q41" s="49" t="str">
        <f>IFERROR(AVERAGEIFS('Декабрь 2025'!$K:$K,'Декабрь 2025'!$E:$E,$A:$A),"-")</f>
        <v>-</v>
      </c>
      <c r="R41" s="49" t="str">
        <f>IFERROR(AVERAGEIFS('Январь 2026'!$K:$K,'Январь 2026'!$E:$E,$A:$A),"-")</f>
        <v>-</v>
      </c>
      <c r="S41" s="49" t="str">
        <f>IFERROR(AVERAGEIFS('Февраль 2026'!$K:$K,'Февраль 2026'!$E:$E,$A:$A),"-")</f>
        <v>-</v>
      </c>
      <c r="T41" s="49" t="str">
        <f>IFERROR(AVERAGEIFS('Март 2026'!$K:$K,'Март 2026'!$E:$E,$A:$A),"-")</f>
        <v>-</v>
      </c>
      <c r="U41" s="49" t="str">
        <f>IFERROR(AVERAGEIFS('Апрель 2026'!$K:$K,'Апрель 2026'!$E:$E,$A:$A),"-")</f>
        <v>-</v>
      </c>
      <c r="V41" s="49" t="str">
        <f>IFERROR(AVERAGEIFS('Май 2026'!$K:$K,'Май 2026'!$E:$E,$A:$A),"-")</f>
        <v>-</v>
      </c>
      <c r="W41" s="49" t="str">
        <f t="shared" si="1"/>
        <v>-</v>
      </c>
      <c r="X41" s="49" t="str">
        <f t="shared" si="2"/>
        <v>-</v>
      </c>
      <c r="Y41" s="48"/>
      <c r="Z41" s="48"/>
      <c r="AA41" s="48"/>
      <c r="AB41" s="48"/>
      <c r="AC41" s="48"/>
      <c r="AD41" s="48"/>
      <c r="AE41" s="48"/>
      <c r="AF41" s="48"/>
      <c r="AG41" s="48"/>
      <c r="AH41" s="48"/>
    </row>
    <row r="42">
      <c r="A42" s="48" t="s">
        <v>92</v>
      </c>
      <c r="B42" s="49">
        <f>IFERROR(AVERAGEIFS('Сентябрь 2024'!$K:$K,'Сентябрь 2024'!$E:$E,$A:$A),"-")</f>
        <v>2.7775</v>
      </c>
      <c r="C42" s="49" t="str">
        <f>IFERROR(AVERAGEIFS('Октябрь 2024'!$K:$K,'Октябрь 2024'!$E:$E,$A:$A),"-")</f>
        <v>-</v>
      </c>
      <c r="D42" s="49" t="str">
        <f>IFERROR(AVERAGEIFS('Ноябрь 2024'!$K:$K,'Ноябрь 2024'!$E:$E,$A:$A),"-")</f>
        <v>-</v>
      </c>
      <c r="E42" s="49" t="str">
        <f>IFERROR(AVERAGEIFS('Декабрь 2024'!$K:$K,'Декабрь 2024'!$E:$E,$A:$A),"-")</f>
        <v>-</v>
      </c>
      <c r="F42" s="49" t="str">
        <f>IFERROR(AVERAGEIFS('Январь 2025'!$K:$K,'Январь 2025'!$E:$E,$A:$A),"-")</f>
        <v>-</v>
      </c>
      <c r="G42" s="49" t="str">
        <f>IFERROR(AVERAGEIFS('Февраль 2025 '!K:K,'Февраль 2025 '!E:E,A:A),"-")</f>
        <v>-</v>
      </c>
      <c r="H42" s="49" t="str">
        <f>IFERROR(AVERAGEIFS('Март 2025'!$K:$K,'Март 2025'!$E:$E,$A:$A),"-")</f>
        <v>-</v>
      </c>
      <c r="I42" s="49" t="str">
        <f>IFERROR(AVERAGEIFS('Апрель 2025'!$K:$K,'Апрель 2025'!$E:$E,$A:$A),"-")</f>
        <v>-</v>
      </c>
      <c r="J42" s="49" t="str">
        <f>IFERROR(AVERAGEIFS('Май 2025'!$K:$K,'Май 2025'!$E:$E,$A:$A),"-")</f>
        <v>-</v>
      </c>
      <c r="K42" s="49" t="str">
        <f>IFERROR(AVERAGEIFS('Июнь 2025'!$K:$K,'Июнь 2025'!$E:$E,$A:$A),"-")</f>
        <v>-</v>
      </c>
      <c r="L42" s="49" t="str">
        <f>IFERROR(AVERAGEIFS('Июль 2025'!$K:$K,'Июль 2025'!$E:$E,$A:$A),"-")</f>
        <v>-</v>
      </c>
      <c r="M42" s="49" t="str">
        <f>IFERROR(AVERAGEIFS('Август 2025'!$K:$K,'Август 2025'!$E:$E,$A:$A),"-")</f>
        <v>-</v>
      </c>
      <c r="N42" s="49">
        <f>IFERROR(AVERAGEIFS('Сентябрь 2025'!$K:$K,'Сентябрь 2025'!$E:$E,$A:$A),"-")</f>
        <v>2.97</v>
      </c>
      <c r="O42" s="49">
        <f>IFERROR(AVERAGEIFS('Октябрь 2025'!$K:$K,'Октябрь 2025'!$E:$E,$A:$A),"-")</f>
        <v>2.75</v>
      </c>
      <c r="P42" s="49" t="str">
        <f>IFERROR(AVERAGEIFS('Ноябрь 2025'!$K:$K,'Ноябрь 2025'!$E:$E,$A:$A),"-")</f>
        <v>-</v>
      </c>
      <c r="Q42" s="49">
        <f>IFERROR(AVERAGEIFS('Декабрь 2025'!$K:$K,'Декабрь 2025'!$E:$E,$A:$A),"-")</f>
        <v>2.85</v>
      </c>
      <c r="R42" s="49">
        <f>IFERROR(AVERAGEIFS('Январь 2026'!$K:$K,'Январь 2026'!$E:$E,$A:$A),"-")</f>
        <v>2.96</v>
      </c>
      <c r="S42" s="49">
        <f>IFERROR(AVERAGEIFS('Февраль 2026'!$K:$K,'Февраль 2026'!$E:$E,$A:$A),"-")</f>
        <v>2.84</v>
      </c>
      <c r="T42" s="49">
        <f>IFERROR(AVERAGEIFS('Март 2026'!$K:$K,'Март 2026'!$E:$E,$A:$A),"-")</f>
        <v>2.98</v>
      </c>
      <c r="U42" s="49">
        <f>IFERROR(AVERAGEIFS('Апрель 2026'!$K:$K,'Апрель 2026'!$E:$E,$A:$A),"-")</f>
        <v>2.79</v>
      </c>
      <c r="V42" s="49">
        <f>IFERROR(AVERAGEIFS('Май 2026'!$K:$K,'Май 2026'!$E:$E,$A:$A),"-")</f>
        <v>2.82</v>
      </c>
      <c r="W42" s="49" t="str">
        <f t="shared" si="1"/>
        <v>-</v>
      </c>
      <c r="X42" s="49" t="str">
        <f t="shared" si="2"/>
        <v>-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</row>
    <row r="43">
      <c r="A43" s="48" t="s">
        <v>93</v>
      </c>
      <c r="B43" s="49" t="str">
        <f>IFERROR(AVERAGEIFS('Сентябрь 2024'!$K:$K,'Сентябрь 2024'!$E:$E,$A:$A),"-")</f>
        <v>-</v>
      </c>
      <c r="C43" s="49" t="str">
        <f>IFERROR(AVERAGEIFS('Октябрь 2024'!$K:$K,'Октябрь 2024'!$E:$E,$A:$A),"-")</f>
        <v>-</v>
      </c>
      <c r="D43" s="49" t="str">
        <f>IFERROR(AVERAGEIFS('Ноябрь 2024'!$K:$K,'Ноябрь 2024'!$E:$E,$A:$A),"-")</f>
        <v>-</v>
      </c>
      <c r="E43" s="49">
        <f>IFERROR(AVERAGEIFS('Декабрь 2024'!$K:$K,'Декабрь 2024'!$E:$E,$A:$A),"-")</f>
        <v>3.65</v>
      </c>
      <c r="F43" s="49" t="str">
        <f>IFERROR(AVERAGEIFS('Январь 2025'!$K:$K,'Январь 2025'!$E:$E,$A:$A),"-")</f>
        <v>-</v>
      </c>
      <c r="G43" s="49" t="str">
        <f>IFERROR(AVERAGEIFS('Февраль 2025 '!K:K,'Февраль 2025 '!E:E,A:A),"-")</f>
        <v>-</v>
      </c>
      <c r="H43" s="49" t="str">
        <f>IFERROR(AVERAGEIFS('Март 2025'!$K:$K,'Март 2025'!$E:$E,$A:$A),"-")</f>
        <v>-</v>
      </c>
      <c r="I43" s="49" t="str">
        <f>IFERROR(AVERAGEIFS('Апрель 2025'!$K:$K,'Апрель 2025'!$E:$E,$A:$A),"-")</f>
        <v>-</v>
      </c>
      <c r="J43" s="49" t="str">
        <f>IFERROR(AVERAGEIFS('Май 2025'!$K:$K,'Май 2025'!$E:$E,$A:$A),"-")</f>
        <v>-</v>
      </c>
      <c r="K43" s="49" t="str">
        <f>IFERROR(AVERAGEIFS('Июнь 2025'!$K:$K,'Июнь 2025'!$E:$E,$A:$A),"-")</f>
        <v>-</v>
      </c>
      <c r="L43" s="49" t="str">
        <f>IFERROR(AVERAGEIFS('Июль 2025'!$K:$K,'Июль 2025'!$E:$E,$A:$A),"-")</f>
        <v>-</v>
      </c>
      <c r="M43" s="49" t="str">
        <f>IFERROR(AVERAGEIFS('Август 2025'!$K:$K,'Август 2025'!$E:$E,$A:$A),"-")</f>
        <v>-</v>
      </c>
      <c r="N43" s="49" t="str">
        <f>IFERROR(AVERAGEIFS('Сентябрь 2025'!$K:$K,'Сентябрь 2025'!$E:$E,$A:$A),"-")</f>
        <v>-</v>
      </c>
      <c r="O43" s="49" t="str">
        <f>IFERROR(AVERAGEIFS('Октябрь 2025'!$K:$K,'Октябрь 2025'!$E:$E,$A:$A),"-")</f>
        <v>-</v>
      </c>
      <c r="P43" s="49" t="str">
        <f>IFERROR(AVERAGEIFS('Ноябрь 2025'!$K:$K,'Ноябрь 2025'!$E:$E,$A:$A),"-")</f>
        <v>-</v>
      </c>
      <c r="Q43" s="49" t="str">
        <f>IFERROR(AVERAGEIFS('Декабрь 2025'!$K:$K,'Декабрь 2025'!$E:$E,$A:$A),"-")</f>
        <v>-</v>
      </c>
      <c r="R43" s="49" t="str">
        <f>IFERROR(AVERAGEIFS('Январь 2026'!$K:$K,'Январь 2026'!$E:$E,$A:$A),"-")</f>
        <v>-</v>
      </c>
      <c r="S43" s="49" t="str">
        <f>IFERROR(AVERAGEIFS('Февраль 2026'!$K:$K,'Февраль 2026'!$E:$E,$A:$A),"-")</f>
        <v>-</v>
      </c>
      <c r="T43" s="49" t="str">
        <f>IFERROR(AVERAGEIFS('Март 2026'!$K:$K,'Март 2026'!$E:$E,$A:$A),"-")</f>
        <v>-</v>
      </c>
      <c r="U43" s="49" t="str">
        <f>IFERROR(AVERAGEIFS('Апрель 2026'!$K:$K,'Апрель 2026'!$E:$E,$A:$A),"-")</f>
        <v>-</v>
      </c>
      <c r="V43" s="49" t="str">
        <f>IFERROR(AVERAGEIFS('Май 2026'!$K:$K,'Май 2026'!$E:$E,$A:$A),"-")</f>
        <v>-</v>
      </c>
      <c r="W43" s="49" t="str">
        <f t="shared" si="1"/>
        <v>-</v>
      </c>
      <c r="X43" s="49" t="str">
        <f t="shared" si="2"/>
        <v>-</v>
      </c>
      <c r="Y43" s="48"/>
      <c r="Z43" s="48"/>
      <c r="AA43" s="48"/>
      <c r="AB43" s="48"/>
      <c r="AC43" s="48"/>
      <c r="AD43" s="48"/>
      <c r="AE43" s="48"/>
      <c r="AF43" s="48"/>
      <c r="AG43" s="48"/>
      <c r="AH43" s="48"/>
    </row>
    <row r="44">
      <c r="A44" s="48" t="s">
        <v>94</v>
      </c>
      <c r="B44" s="49" t="str">
        <f>IFERROR(AVERAGEIFS('Сентябрь 2024'!$K:$K,'Сентябрь 2024'!$E:$E,$A:$A),"-")</f>
        <v>-</v>
      </c>
      <c r="C44" s="49" t="str">
        <f>IFERROR(AVERAGEIFS('Октябрь 2024'!$K:$K,'Октябрь 2024'!$E:$E,$A:$A),"-")</f>
        <v>-</v>
      </c>
      <c r="D44" s="49" t="str">
        <f>IFERROR(AVERAGEIFS('Ноябрь 2024'!$K:$K,'Ноябрь 2024'!$E:$E,$A:$A),"-")</f>
        <v>-</v>
      </c>
      <c r="E44" s="49" t="str">
        <f>IFERROR(AVERAGEIFS('Декабрь 2024'!$K:$K,'Декабрь 2024'!$E:$E,$A:$A),"-")</f>
        <v>-</v>
      </c>
      <c r="F44" s="49" t="str">
        <f>IFERROR(AVERAGEIFS('Январь 2025'!$K:$K,'Январь 2025'!$E:$E,$A:$A),"-")</f>
        <v>-</v>
      </c>
      <c r="G44" s="49" t="str">
        <f>IFERROR(AVERAGEIFS('Февраль 2025 '!K:K,'Февраль 2025 '!E:E,A:A),"-")</f>
        <v>-</v>
      </c>
      <c r="H44" s="49" t="str">
        <f>IFERROR(AVERAGEIFS('Март 2025'!$K:$K,'Март 2025'!$E:$E,$A:$A),"-")</f>
        <v>-</v>
      </c>
      <c r="I44" s="49" t="str">
        <f>IFERROR(AVERAGEIFS('Апрель 2025'!$K:$K,'Апрель 2025'!$E:$E,$A:$A),"-")</f>
        <v>-</v>
      </c>
      <c r="J44" s="49" t="str">
        <f>IFERROR(AVERAGEIFS('Май 2025'!$K:$K,'Май 2025'!$E:$E,$A:$A),"-")</f>
        <v>-</v>
      </c>
      <c r="K44" s="49" t="str">
        <f>IFERROR(AVERAGEIFS('Июнь 2025'!$K:$K,'Июнь 2025'!$E:$E,$A:$A),"-")</f>
        <v>-</v>
      </c>
      <c r="L44" s="49" t="str">
        <f>IFERROR(AVERAGEIFS('Июль 2025'!$K:$K,'Июль 2025'!$E:$E,$A:$A),"-")</f>
        <v>-</v>
      </c>
      <c r="M44" s="49" t="str">
        <f>IFERROR(AVERAGEIFS('Август 2025'!$K:$K,'Август 2025'!$E:$E,$A:$A),"-")</f>
        <v>-</v>
      </c>
      <c r="N44" s="49" t="str">
        <f>IFERROR(AVERAGEIFS('Сентябрь 2025'!$K:$K,'Сентябрь 2025'!$E:$E,$A:$A),"-")</f>
        <v>-</v>
      </c>
      <c r="O44" s="49" t="str">
        <f>IFERROR(AVERAGEIFS('Октябрь 2025'!$K:$K,'Октябрь 2025'!$E:$E,$A:$A),"-")</f>
        <v>-</v>
      </c>
      <c r="P44" s="49" t="str">
        <f>IFERROR(AVERAGEIFS('Ноябрь 2025'!$K:$K,'Ноябрь 2025'!$E:$E,$A:$A),"-")</f>
        <v>-</v>
      </c>
      <c r="Q44" s="49" t="str">
        <f>IFERROR(AVERAGEIFS('Декабрь 2025'!$K:$K,'Декабрь 2025'!$E:$E,$A:$A),"-")</f>
        <v>-</v>
      </c>
      <c r="R44" s="49" t="str">
        <f>IFERROR(AVERAGEIFS('Январь 2026'!$K:$K,'Январь 2026'!$E:$E,$A:$A),"-")</f>
        <v>-</v>
      </c>
      <c r="S44" s="49" t="str">
        <f>IFERROR(AVERAGEIFS('Февраль 2026'!$K:$K,'Февраль 2026'!$E:$E,$A:$A),"-")</f>
        <v>-</v>
      </c>
      <c r="T44" s="49" t="str">
        <f>IFERROR(AVERAGEIFS('Март 2026'!$K:$K,'Март 2026'!$E:$E,$A:$A),"-")</f>
        <v>-</v>
      </c>
      <c r="U44" s="49" t="str">
        <f>IFERROR(AVERAGEIFS('Апрель 2026'!$K:$K,'Апрель 2026'!$E:$E,$A:$A),"-")</f>
        <v>-</v>
      </c>
      <c r="V44" s="49" t="str">
        <f>IFERROR(AVERAGEIFS('Май 2026'!$K:$K,'Май 2026'!$E:$E,$A:$A),"-")</f>
        <v>-</v>
      </c>
      <c r="W44" s="49" t="str">
        <f t="shared" si="1"/>
        <v>-</v>
      </c>
      <c r="X44" s="49" t="str">
        <f t="shared" si="2"/>
        <v>-</v>
      </c>
      <c r="Y44" s="48"/>
      <c r="Z44" s="48"/>
      <c r="AA44" s="48"/>
      <c r="AB44" s="48"/>
      <c r="AC44" s="48"/>
      <c r="AD44" s="48"/>
      <c r="AE44" s="48"/>
      <c r="AF44" s="48"/>
      <c r="AG44" s="48"/>
      <c r="AH44" s="48"/>
    </row>
    <row r="45">
      <c r="A45" s="50" t="s">
        <v>95</v>
      </c>
      <c r="B45" s="49" t="str">
        <f>IFERROR(AVERAGEIFS('Сентябрь 2024'!$K:$K,'Сентябрь 2024'!$E:$E,$A:$A),"-")</f>
        <v>-</v>
      </c>
      <c r="C45" s="49" t="str">
        <f>IFERROR(AVERAGEIFS('Октябрь 2024'!$K:$K,'Октябрь 2024'!$E:$E,$A:$A),"-")</f>
        <v>-</v>
      </c>
      <c r="D45" s="49" t="str">
        <f>IFERROR(AVERAGEIFS('Ноябрь 2024'!$K:$K,'Ноябрь 2024'!$E:$E,$A:$A),"-")</f>
        <v>-</v>
      </c>
      <c r="E45" s="49">
        <f>IFERROR(AVERAGEIFS('Декабрь 2024'!$K:$K,'Декабрь 2024'!$E:$E,$A:$A),"-")</f>
        <v>2.12</v>
      </c>
      <c r="F45" s="49" t="str">
        <f>IFERROR(AVERAGEIFS('Январь 2025'!$K:$K,'Январь 2025'!$E:$E,$A:$A),"-")</f>
        <v>-</v>
      </c>
      <c r="G45" s="49" t="str">
        <f>IFERROR(AVERAGEIFS('Февраль 2025 '!K:K,'Февраль 2025 '!E:E,A:A),"-")</f>
        <v>-</v>
      </c>
      <c r="H45" s="49" t="str">
        <f>IFERROR(AVERAGEIFS('Март 2025'!$K:$K,'Март 2025'!$E:$E,$A:$A),"-")</f>
        <v>-</v>
      </c>
      <c r="I45" s="49" t="str">
        <f>IFERROR(AVERAGEIFS('Апрель 2025'!$K:$K,'Апрель 2025'!$E:$E,$A:$A),"-")</f>
        <v>-</v>
      </c>
      <c r="J45" s="49" t="str">
        <f>IFERROR(AVERAGEIFS('Май 2025'!$K:$K,'Май 2025'!$E:$E,$A:$A),"-")</f>
        <v>-</v>
      </c>
      <c r="K45" s="49" t="str">
        <f>IFERROR(AVERAGEIFS('Июнь 2025'!$K:$K,'Июнь 2025'!$E:$E,$A:$A),"-")</f>
        <v>-</v>
      </c>
      <c r="L45" s="49" t="str">
        <f>IFERROR(AVERAGEIFS('Июль 2025'!$K:$K,'Июль 2025'!$E:$E,$A:$A),"-")</f>
        <v>-</v>
      </c>
      <c r="M45" s="49" t="str">
        <f>IFERROR(AVERAGEIFS('Август 2025'!$K:$K,'Август 2025'!$E:$E,$A:$A),"-")</f>
        <v>-</v>
      </c>
      <c r="N45" s="49" t="str">
        <f>IFERROR(AVERAGEIFS('Сентябрь 2025'!$K:$K,'Сентябрь 2025'!$E:$E,$A:$A),"-")</f>
        <v>-</v>
      </c>
      <c r="O45" s="49" t="str">
        <f>IFERROR(AVERAGEIFS('Октябрь 2025'!$K:$K,'Октябрь 2025'!$E:$E,$A:$A),"-")</f>
        <v>-</v>
      </c>
      <c r="P45" s="49" t="str">
        <f>IFERROR(AVERAGEIFS('Ноябрь 2025'!$K:$K,'Ноябрь 2025'!$E:$E,$A:$A),"-")</f>
        <v>-</v>
      </c>
      <c r="Q45" s="49" t="str">
        <f>IFERROR(AVERAGEIFS('Декабрь 2025'!$K:$K,'Декабрь 2025'!$E:$E,$A:$A),"-")</f>
        <v>-</v>
      </c>
      <c r="R45" s="49">
        <f>IFERROR(AVERAGEIFS('Январь 2026'!$K:$K,'Январь 2026'!$E:$E,$A:$A),"-")</f>
        <v>2.4</v>
      </c>
      <c r="S45" s="49" t="str">
        <f>IFERROR(AVERAGEIFS('Февраль 2026'!$K:$K,'Февраль 2026'!$E:$E,$A:$A),"-")</f>
        <v>-</v>
      </c>
      <c r="T45" s="49" t="str">
        <f>IFERROR(AVERAGEIFS('Март 2026'!$K:$K,'Март 2026'!$E:$E,$A:$A),"-")</f>
        <v>-</v>
      </c>
      <c r="U45" s="49" t="str">
        <f>IFERROR(AVERAGEIFS('Апрель 2026'!$K:$K,'Апрель 2026'!$E:$E,$A:$A),"-")</f>
        <v>-</v>
      </c>
      <c r="V45" s="49" t="str">
        <f>IFERROR(AVERAGEIFS('Май 2026'!$K:$K,'Май 2026'!$E:$E,$A:$A),"-")</f>
        <v>-</v>
      </c>
      <c r="W45" s="49" t="str">
        <f t="shared" si="1"/>
        <v>-</v>
      </c>
      <c r="X45" s="49" t="str">
        <f t="shared" si="2"/>
        <v>-</v>
      </c>
      <c r="Y45" s="48"/>
      <c r="Z45" s="48"/>
      <c r="AA45" s="48"/>
      <c r="AB45" s="48"/>
      <c r="AC45" s="48"/>
      <c r="AD45" s="48"/>
      <c r="AE45" s="48"/>
      <c r="AF45" s="48"/>
      <c r="AG45" s="48"/>
      <c r="AH45" s="48"/>
    </row>
    <row r="46">
      <c r="A46" s="50" t="s">
        <v>96</v>
      </c>
      <c r="B46" s="49" t="str">
        <f>IFERROR(AVERAGEIFS('Сентябрь 2024'!$K:$K,'Сентябрь 2024'!$E:$E,$A:$A),"-")</f>
        <v>-</v>
      </c>
      <c r="C46" s="49">
        <f>IFERROR(AVERAGEIFS('Октябрь 2024'!$K:$K,'Октябрь 2024'!$E:$E,$A:$A),"-")</f>
        <v>4.04</v>
      </c>
      <c r="D46" s="49" t="str">
        <f>IFERROR(AVERAGEIFS('Ноябрь 2024'!$K:$K,'Ноябрь 2024'!$E:$E,$A:$A),"-")</f>
        <v>-</v>
      </c>
      <c r="E46" s="49" t="str">
        <f>IFERROR(AVERAGEIFS('Декабрь 2024'!$K:$K,'Декабрь 2024'!$E:$E,$A:$A),"-")</f>
        <v>-</v>
      </c>
      <c r="F46" s="49">
        <f>IFERROR(AVERAGEIFS('Январь 2025'!$K:$K,'Январь 2025'!$E:$E,$A:$A),"-")</f>
        <v>3.4</v>
      </c>
      <c r="G46" s="49" t="str">
        <f>IFERROR(AVERAGEIFS('Февраль 2025 '!K:K,'Февраль 2025 '!E:E,A:A),"-")</f>
        <v>-</v>
      </c>
      <c r="H46" s="49" t="str">
        <f>IFERROR(AVERAGEIFS('Март 2025'!$K:$K,'Март 2025'!$E:$E,$A:$A),"-")</f>
        <v>-</v>
      </c>
      <c r="I46" s="49" t="str">
        <f>IFERROR(AVERAGEIFS('Апрель 2025'!$K:$K,'Апрель 2025'!$E:$E,$A:$A),"-")</f>
        <v>-</v>
      </c>
      <c r="J46" s="49" t="str">
        <f>IFERROR(AVERAGEIFS('Май 2025'!$K:$K,'Май 2025'!$E:$E,$A:$A),"-")</f>
        <v>-</v>
      </c>
      <c r="K46" s="49" t="str">
        <f>IFERROR(AVERAGEIFS('Июнь 2025'!$K:$K,'Июнь 2025'!$E:$E,$A:$A),"-")</f>
        <v>-</v>
      </c>
      <c r="L46" s="49" t="str">
        <f>IFERROR(AVERAGEIFS('Июль 2025'!$K:$K,'Июль 2025'!$E:$E,$A:$A),"-")</f>
        <v>-</v>
      </c>
      <c r="M46" s="49" t="str">
        <f>IFERROR(AVERAGEIFS('Август 2025'!$K:$K,'Август 2025'!$E:$E,$A:$A),"-")</f>
        <v>-</v>
      </c>
      <c r="N46" s="49" t="str">
        <f>IFERROR(AVERAGEIFS('Сентябрь 2025'!$K:$K,'Сентябрь 2025'!$E:$E,$A:$A),"-")</f>
        <v>-</v>
      </c>
      <c r="O46" s="49" t="str">
        <f>IFERROR(AVERAGEIFS('Октябрь 2025'!$K:$K,'Октябрь 2025'!$E:$E,$A:$A),"-")</f>
        <v>-</v>
      </c>
      <c r="P46" s="49" t="str">
        <f>IFERROR(AVERAGEIFS('Ноябрь 2025'!$K:$K,'Ноябрь 2025'!$E:$E,$A:$A),"-")</f>
        <v>-</v>
      </c>
      <c r="Q46" s="49" t="str">
        <f>IFERROR(AVERAGEIFS('Декабрь 2025'!$K:$K,'Декабрь 2025'!$E:$E,$A:$A),"-")</f>
        <v>-</v>
      </c>
      <c r="R46" s="49" t="str">
        <f>IFERROR(AVERAGEIFS('Январь 2026'!$K:$K,'Январь 2026'!$E:$E,$A:$A),"-")</f>
        <v>-</v>
      </c>
      <c r="S46" s="49" t="str">
        <f>IFERROR(AVERAGEIFS('Февраль 2026'!$K:$K,'Февраль 2026'!$E:$E,$A:$A),"-")</f>
        <v>-</v>
      </c>
      <c r="T46" s="49" t="str">
        <f>IFERROR(AVERAGEIFS('Март 2026'!$K:$K,'Март 2026'!$E:$E,$A:$A),"-")</f>
        <v>-</v>
      </c>
      <c r="U46" s="49" t="str">
        <f>IFERROR(AVERAGEIFS('Апрель 2026'!$K:$K,'Апрель 2026'!$E:$E,$A:$A),"-")</f>
        <v>-</v>
      </c>
      <c r="V46" s="49" t="str">
        <f>IFERROR(AVERAGEIFS('Май 2026'!$K:$K,'Май 2026'!$E:$E,$A:$A),"-")</f>
        <v>-</v>
      </c>
      <c r="W46" s="49" t="str">
        <f t="shared" si="1"/>
        <v>-</v>
      </c>
      <c r="X46" s="49" t="str">
        <f t="shared" si="2"/>
        <v>-</v>
      </c>
      <c r="Y46" s="48"/>
      <c r="Z46" s="48"/>
      <c r="AA46" s="48"/>
      <c r="AB46" s="48"/>
      <c r="AC46" s="48"/>
      <c r="AD46" s="48"/>
      <c r="AE46" s="48"/>
      <c r="AF46" s="48"/>
      <c r="AG46" s="48"/>
      <c r="AH46" s="48"/>
    </row>
    <row r="47">
      <c r="A47" s="50" t="s">
        <v>97</v>
      </c>
      <c r="B47" s="49" t="str">
        <f>IFERROR(AVERAGEIFS('Сентябрь 2024'!$K:$K,'Сентябрь 2024'!$E:$E,$A:$A),"-")</f>
        <v>-</v>
      </c>
      <c r="C47" s="49" t="str">
        <f>IFERROR(AVERAGEIFS('Октябрь 2024'!$K:$K,'Октябрь 2024'!$E:$E,$A:$A),"-")</f>
        <v>-</v>
      </c>
      <c r="D47" s="49" t="str">
        <f>IFERROR(AVERAGEIFS('Ноябрь 2024'!$K:$K,'Ноябрь 2024'!$E:$E,$A:$A),"-")</f>
        <v>-</v>
      </c>
      <c r="E47" s="49" t="str">
        <f>IFERROR(AVERAGEIFS('Декабрь 2024'!$K:$K,'Декабрь 2024'!$E:$E,$A:$A),"-")</f>
        <v>-</v>
      </c>
      <c r="F47" s="49">
        <f>IFERROR(AVERAGEIFS('Январь 2025'!$K:$K,'Январь 2025'!$E:$E,$A:$A),"-")</f>
        <v>3.41</v>
      </c>
      <c r="G47" s="49" t="str">
        <f>IFERROR(AVERAGEIFS('Февраль 2025 '!K:K,'Февраль 2025 '!E:E,A:A),"-")</f>
        <v>-</v>
      </c>
      <c r="H47" s="49" t="str">
        <f>IFERROR(AVERAGEIFS('Март 2025'!$K:$K,'Март 2025'!$E:$E,$A:$A),"-")</f>
        <v>-</v>
      </c>
      <c r="I47" s="49" t="str">
        <f>IFERROR(AVERAGEIFS('Апрель 2025'!$K:$K,'Апрель 2025'!$E:$E,$A:$A),"-")</f>
        <v>-</v>
      </c>
      <c r="J47" s="49" t="str">
        <f>IFERROR(AVERAGEIFS('Май 2025'!$K:$K,'Май 2025'!$E:$E,$A:$A),"-")</f>
        <v>-</v>
      </c>
      <c r="K47" s="49" t="str">
        <f>IFERROR(AVERAGEIFS('Июнь 2025'!$K:$K,'Июнь 2025'!$E:$E,$A:$A),"-")</f>
        <v>-</v>
      </c>
      <c r="L47" s="49" t="str">
        <f>IFERROR(AVERAGEIFS('Июль 2025'!$K:$K,'Июль 2025'!$E:$E,$A:$A),"-")</f>
        <v>-</v>
      </c>
      <c r="M47" s="49" t="str">
        <f>IFERROR(AVERAGEIFS('Август 2025'!$K:$K,'Август 2025'!$E:$E,$A:$A),"-")</f>
        <v>-</v>
      </c>
      <c r="N47" s="49" t="str">
        <f>IFERROR(AVERAGEIFS('Сентябрь 2025'!$K:$K,'Сентябрь 2025'!$E:$E,$A:$A),"-")</f>
        <v>-</v>
      </c>
      <c r="O47" s="49" t="str">
        <f>IFERROR(AVERAGEIFS('Октябрь 2025'!$K:$K,'Октябрь 2025'!$E:$E,$A:$A),"-")</f>
        <v>-</v>
      </c>
      <c r="P47" s="49" t="str">
        <f>IFERROR(AVERAGEIFS('Ноябрь 2025'!$K:$K,'Ноябрь 2025'!$E:$E,$A:$A),"-")</f>
        <v>-</v>
      </c>
      <c r="Q47" s="49" t="str">
        <f>IFERROR(AVERAGEIFS('Декабрь 2025'!$K:$K,'Декабрь 2025'!$E:$E,$A:$A),"-")</f>
        <v>-</v>
      </c>
      <c r="R47" s="49" t="str">
        <f>IFERROR(AVERAGEIFS('Январь 2026'!$K:$K,'Январь 2026'!$E:$E,$A:$A),"-")</f>
        <v>-</v>
      </c>
      <c r="S47" s="49" t="str">
        <f>IFERROR(AVERAGEIFS('Февраль 2026'!$K:$K,'Февраль 2026'!$E:$E,$A:$A),"-")</f>
        <v>-</v>
      </c>
      <c r="T47" s="49" t="str">
        <f>IFERROR(AVERAGEIFS('Март 2026'!$K:$K,'Март 2026'!$E:$E,$A:$A),"-")</f>
        <v>-</v>
      </c>
      <c r="U47" s="49" t="str">
        <f>IFERROR(AVERAGEIFS('Апрель 2026'!$K:$K,'Апрель 2026'!$E:$E,$A:$A),"-")</f>
        <v>-</v>
      </c>
      <c r="V47" s="49" t="str">
        <f>IFERROR(AVERAGEIFS('Май 2026'!$K:$K,'Май 2026'!$E:$E,$A:$A),"-")</f>
        <v>-</v>
      </c>
      <c r="W47" s="49" t="str">
        <f t="shared" si="1"/>
        <v>-</v>
      </c>
      <c r="X47" s="49" t="str">
        <f t="shared" si="2"/>
        <v>-</v>
      </c>
      <c r="Y47" s="48"/>
      <c r="Z47" s="48"/>
      <c r="AA47" s="48"/>
      <c r="AB47" s="48"/>
      <c r="AC47" s="48"/>
      <c r="AD47" s="48"/>
      <c r="AE47" s="48"/>
      <c r="AF47" s="48"/>
      <c r="AG47" s="48"/>
      <c r="AH47" s="48"/>
    </row>
    <row r="48">
      <c r="A48" s="50" t="s">
        <v>98</v>
      </c>
      <c r="B48" s="49" t="str">
        <f>IFERROR(AVERAGEIFS('Сентябрь 2024'!$K:$K,'Сентябрь 2024'!$E:$E,$A:$A),"-")</f>
        <v>-</v>
      </c>
      <c r="C48" s="49" t="str">
        <f>IFERROR(AVERAGEIFS('Октябрь 2024'!$K:$K,'Октябрь 2024'!$E:$E,$A:$A),"-")</f>
        <v>-</v>
      </c>
      <c r="D48" s="49" t="str">
        <f>IFERROR(AVERAGEIFS('Ноябрь 2024'!$K:$K,'Ноябрь 2024'!$E:$E,$A:$A),"-")</f>
        <v>-</v>
      </c>
      <c r="E48" s="49" t="str">
        <f>IFERROR(AVERAGEIFS('Декабрь 2024'!$K:$K,'Декабрь 2024'!$E:$E,$A:$A),"-")</f>
        <v>-</v>
      </c>
      <c r="F48" s="49" t="str">
        <f>IFERROR(AVERAGEIFS('Январь 2025'!$K:$K,'Январь 2025'!$E:$E,$A:$A),"-")</f>
        <v>-</v>
      </c>
      <c r="G48" s="49" t="str">
        <f>IFERROR(AVERAGEIFS('Февраль 2025 '!K:K,'Февраль 2025 '!E:E,A:A),"-")</f>
        <v>-</v>
      </c>
      <c r="H48" s="49" t="str">
        <f>IFERROR(AVERAGEIFS('Март 2025'!$K:$K,'Март 2025'!$E:$E,$A:$A),"-")</f>
        <v>-</v>
      </c>
      <c r="I48" s="49" t="str">
        <f>IFERROR(AVERAGEIFS('Апрель 2025'!$K:$K,'Апрель 2025'!$E:$E,$A:$A),"-")</f>
        <v>-</v>
      </c>
      <c r="J48" s="49" t="str">
        <f>IFERROR(AVERAGEIFS('Май 2025'!$K:$K,'Май 2025'!$E:$E,$A:$A),"-")</f>
        <v>-</v>
      </c>
      <c r="K48" s="49" t="str">
        <f>IFERROR(AVERAGEIFS('Июнь 2025'!$K:$K,'Июнь 2025'!$E:$E,$A:$A),"-")</f>
        <v>-</v>
      </c>
      <c r="L48" s="49" t="str">
        <f>IFERROR(AVERAGEIFS('Июль 2025'!$K:$K,'Июль 2025'!$E:$E,$A:$A),"-")</f>
        <v>-</v>
      </c>
      <c r="M48" s="49" t="str">
        <f>IFERROR(AVERAGEIFS('Август 2025'!$K:$K,'Август 2025'!$E:$E,$A:$A),"-")</f>
        <v>-</v>
      </c>
      <c r="N48" s="49" t="str">
        <f>IFERROR(AVERAGEIFS('Сентябрь 2025'!$K:$K,'Сентябрь 2025'!$E:$E,$A:$A),"-")</f>
        <v>-</v>
      </c>
      <c r="O48" s="49">
        <f>IFERROR(AVERAGEIFS('Октябрь 2025'!$K:$K,'Октябрь 2025'!$E:$E,$A:$A),"-")</f>
        <v>2.04</v>
      </c>
      <c r="P48" s="49">
        <f>IFERROR(AVERAGEIFS('Ноябрь 2025'!$K:$K,'Ноябрь 2025'!$E:$E,$A:$A),"-")</f>
        <v>2.045</v>
      </c>
      <c r="Q48" s="49">
        <f>IFERROR(AVERAGEIFS('Декабрь 2025'!$K:$K,'Декабрь 2025'!$E:$E,$A:$A),"-")</f>
        <v>2</v>
      </c>
      <c r="R48" s="49">
        <f>IFERROR(AVERAGEIFS('Январь 2026'!$K:$K,'Январь 2026'!$E:$E,$A:$A),"-")</f>
        <v>2.05</v>
      </c>
      <c r="S48" s="49">
        <f>IFERROR(AVERAGEIFS('Февраль 2026'!$K:$K,'Февраль 2026'!$E:$E,$A:$A),"-")</f>
        <v>2.02</v>
      </c>
      <c r="T48" s="49">
        <f>IFERROR(AVERAGEIFS('Март 2026'!$K:$K,'Март 2026'!$E:$E,$A:$A),"-")</f>
        <v>2.04</v>
      </c>
      <c r="U48" s="49">
        <f>IFERROR(AVERAGEIFS('Апрель 2026'!$K:$K,'Апрель 2026'!$E:$E,$A:$A),"-")</f>
        <v>2.115</v>
      </c>
      <c r="V48" s="49">
        <f>IFERROR(AVERAGEIFS('Май 2026'!$K:$K,'Май 2026'!$E:$E,$A:$A),"-")</f>
        <v>2.3</v>
      </c>
      <c r="W48" s="49" t="str">
        <f t="shared" si="1"/>
        <v>-</v>
      </c>
      <c r="X48" s="49" t="str">
        <f t="shared" si="2"/>
        <v>-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</row>
    <row r="49">
      <c r="A49" s="50" t="s">
        <v>99</v>
      </c>
      <c r="B49" s="49">
        <f>IFERROR(AVERAGEIFS('Сентябрь 2024'!$K:$K,'Сентябрь 2024'!$E:$E,$A:$A),"-")</f>
        <v>2.54</v>
      </c>
      <c r="C49" s="49" t="str">
        <f>IFERROR(AVERAGEIFS('Октябрь 2024'!$K:$K,'Октябрь 2024'!$E:$E,$A:$A),"-")</f>
        <v>-</v>
      </c>
      <c r="D49" s="49" t="str">
        <f>IFERROR(AVERAGEIFS('Ноябрь 2024'!$K:$K,'Ноябрь 2024'!$E:$E,$A:$A),"-")</f>
        <v>-</v>
      </c>
      <c r="E49" s="49" t="str">
        <f>IFERROR(AVERAGEIFS('Декабрь 2024'!$K:$K,'Декабрь 2024'!$E:$E,$A:$A),"-")</f>
        <v>-</v>
      </c>
      <c r="F49" s="49" t="str">
        <f>IFERROR(AVERAGEIFS('Январь 2025'!$K:$K,'Январь 2025'!$E:$E,$A:$A),"-")</f>
        <v>-</v>
      </c>
      <c r="G49" s="49" t="str">
        <f>IFERROR(AVERAGEIFS('Февраль 2025 '!K:K,'Февраль 2025 '!E:E,A:A),"-")</f>
        <v>-</v>
      </c>
      <c r="H49" s="49" t="str">
        <f>IFERROR(AVERAGEIFS('Март 2025'!$K:$K,'Март 2025'!$E:$E,$A:$A),"-")</f>
        <v>-</v>
      </c>
      <c r="I49" s="49" t="str">
        <f>IFERROR(AVERAGEIFS('Апрель 2025'!$K:$K,'Апрель 2025'!$E:$E,$A:$A),"-")</f>
        <v>-</v>
      </c>
      <c r="J49" s="49" t="str">
        <f>IFERROR(AVERAGEIFS('Май 2025'!$K:$K,'Май 2025'!$E:$E,$A:$A),"-")</f>
        <v>-</v>
      </c>
      <c r="K49" s="49" t="str">
        <f>IFERROR(AVERAGEIFS('Июнь 2025'!$K:$K,'Июнь 2025'!$E:$E,$A:$A),"-")</f>
        <v>-</v>
      </c>
      <c r="L49" s="49" t="str">
        <f>IFERROR(AVERAGEIFS('Июль 2025'!$K:$K,'Июль 2025'!$E:$E,$A:$A),"-")</f>
        <v>-</v>
      </c>
      <c r="M49" s="49" t="str">
        <f>IFERROR(AVERAGEIFS('Август 2025'!$K:$K,'Август 2025'!$E:$E,$A:$A),"-")</f>
        <v>-</v>
      </c>
      <c r="N49" s="49" t="str">
        <f>IFERROR(AVERAGEIFS('Сентябрь 2025'!$K:$K,'Сентябрь 2025'!$E:$E,$A:$A),"-")</f>
        <v>-</v>
      </c>
      <c r="O49" s="49" t="str">
        <f>IFERROR(AVERAGEIFS('Октябрь 2025'!$K:$K,'Октябрь 2025'!$E:$E,$A:$A),"-")</f>
        <v>-</v>
      </c>
      <c r="P49" s="49" t="str">
        <f>IFERROR(AVERAGEIFS('Ноябрь 2025'!$K:$K,'Ноябрь 2025'!$E:$E,$A:$A),"-")</f>
        <v>-</v>
      </c>
      <c r="Q49" s="49" t="str">
        <f>IFERROR(AVERAGEIFS('Декабрь 2025'!$K:$K,'Декабрь 2025'!$E:$E,$A:$A),"-")</f>
        <v>-</v>
      </c>
      <c r="R49" s="49" t="str">
        <f>IFERROR(AVERAGEIFS('Январь 2026'!$K:$K,'Январь 2026'!$E:$E,$A:$A),"-")</f>
        <v>-</v>
      </c>
      <c r="S49" s="49" t="str">
        <f>IFERROR(AVERAGEIFS('Февраль 2026'!$K:$K,'Февраль 2026'!$E:$E,$A:$A),"-")</f>
        <v>-</v>
      </c>
      <c r="T49" s="49" t="str">
        <f>IFERROR(AVERAGEIFS('Март 2026'!$K:$K,'Март 2026'!$E:$E,$A:$A),"-")</f>
        <v>-</v>
      </c>
      <c r="U49" s="49" t="str">
        <f>IFERROR(AVERAGEIFS('Апрель 2026'!$K:$K,'Апрель 2026'!$E:$E,$A:$A),"-")</f>
        <v>-</v>
      </c>
      <c r="V49" s="49" t="str">
        <f>IFERROR(AVERAGEIFS('Май 2026'!$K:$K,'Май 2026'!$E:$E,$A:$A),"-")</f>
        <v>-</v>
      </c>
      <c r="W49" s="49" t="str">
        <f t="shared" si="1"/>
        <v>-</v>
      </c>
      <c r="X49" s="49" t="str">
        <f t="shared" si="2"/>
        <v>-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</row>
    <row r="50">
      <c r="A50" s="50" t="s">
        <v>100</v>
      </c>
      <c r="B50" s="49" t="str">
        <f>IFERROR(AVERAGEIFS('Сентябрь 2024'!$K:$K,'Сентябрь 2024'!$E:$E,$A:$A),"-")</f>
        <v>-</v>
      </c>
      <c r="C50" s="49" t="str">
        <f>IFERROR(AVERAGEIFS('Октябрь 2024'!$K:$K,'Октябрь 2024'!$E:$E,$A:$A),"-")</f>
        <v>-</v>
      </c>
      <c r="D50" s="49" t="str">
        <f>IFERROR(AVERAGEIFS('Ноябрь 2024'!$K:$K,'Ноябрь 2024'!$E:$E,$A:$A),"-")</f>
        <v>-</v>
      </c>
      <c r="E50" s="49" t="str">
        <f>IFERROR(AVERAGEIFS('Декабрь 2024'!$K:$K,'Декабрь 2024'!$E:$E,$A:$A),"-")</f>
        <v>-</v>
      </c>
      <c r="F50" s="49" t="str">
        <f>IFERROR(AVERAGEIFS('Январь 2025'!$K:$K,'Январь 2025'!$E:$E,$A:$A),"-")</f>
        <v>-</v>
      </c>
      <c r="G50" s="49" t="str">
        <f>IFERROR(AVERAGEIFS('Февраль 2025 '!K:K,'Февраль 2025 '!E:E,A:A),"-")</f>
        <v>-</v>
      </c>
      <c r="H50" s="49" t="str">
        <f>IFERROR(AVERAGEIFS('Март 2025'!$K:$K,'Март 2025'!$E:$E,$A:$A),"-")</f>
        <v>-</v>
      </c>
      <c r="I50" s="49" t="str">
        <f>IFERROR(AVERAGEIFS('Апрель 2025'!$K:$K,'Апрель 2025'!$E:$E,$A:$A),"-")</f>
        <v>-</v>
      </c>
      <c r="J50" s="49" t="str">
        <f>IFERROR(AVERAGEIFS('Май 2025'!$K:$K,'Май 2025'!$E:$E,$A:$A),"-")</f>
        <v>-</v>
      </c>
      <c r="K50" s="49" t="str">
        <f>IFERROR(AVERAGEIFS('Июнь 2025'!$K:$K,'Июнь 2025'!$E:$E,$A:$A),"-")</f>
        <v>-</v>
      </c>
      <c r="L50" s="49" t="str">
        <f>IFERROR(AVERAGEIFS('Июль 2025'!$K:$K,'Июль 2025'!$E:$E,$A:$A),"-")</f>
        <v>-</v>
      </c>
      <c r="M50" s="49" t="str">
        <f>IFERROR(AVERAGEIFS('Август 2025'!$K:$K,'Август 2025'!$E:$E,$A:$A),"-")</f>
        <v>-</v>
      </c>
      <c r="N50" s="49" t="str">
        <f>IFERROR(AVERAGEIFS('Сентябрь 2025'!$K:$K,'Сентябрь 2025'!$E:$E,$A:$A),"-")</f>
        <v>-</v>
      </c>
      <c r="O50" s="49" t="str">
        <f>IFERROR(AVERAGEIFS('Октябрь 2025'!$K:$K,'Октябрь 2025'!$E:$E,$A:$A),"-")</f>
        <v>-</v>
      </c>
      <c r="P50" s="49" t="str">
        <f>IFERROR(AVERAGEIFS('Ноябрь 2025'!$K:$K,'Ноябрь 2025'!$E:$E,$A:$A),"-")</f>
        <v>-</v>
      </c>
      <c r="Q50" s="49" t="str">
        <f>IFERROR(AVERAGEIFS('Декабрь 2025'!$K:$K,'Декабрь 2025'!$E:$E,$A:$A),"-")</f>
        <v>-</v>
      </c>
      <c r="R50" s="49" t="str">
        <f>IFERROR(AVERAGEIFS('Январь 2026'!$K:$K,'Январь 2026'!$E:$E,$A:$A),"-")</f>
        <v>-</v>
      </c>
      <c r="S50" s="49" t="str">
        <f>IFERROR(AVERAGEIFS('Февраль 2026'!$K:$K,'Февраль 2026'!$E:$E,$A:$A),"-")</f>
        <v>-</v>
      </c>
      <c r="T50" s="49" t="str">
        <f>IFERROR(AVERAGEIFS('Март 2026'!$K:$K,'Март 2026'!$E:$E,$A:$A),"-")</f>
        <v>-</v>
      </c>
      <c r="U50" s="49" t="str">
        <f>IFERROR(AVERAGEIFS('Апрель 2026'!$K:$K,'Апрель 2026'!$E:$E,$A:$A),"-")</f>
        <v>-</v>
      </c>
      <c r="V50" s="49" t="str">
        <f>IFERROR(AVERAGEIFS('Май 2026'!$K:$K,'Май 2026'!$E:$E,$A:$A),"-")</f>
        <v>-</v>
      </c>
      <c r="W50" s="49" t="str">
        <f t="shared" si="1"/>
        <v>-</v>
      </c>
      <c r="X50" s="49" t="str">
        <f t="shared" si="2"/>
        <v>-</v>
      </c>
      <c r="Y50" s="48"/>
      <c r="Z50" s="48"/>
      <c r="AA50" s="48"/>
      <c r="AB50" s="48"/>
      <c r="AC50" s="48"/>
      <c r="AD50" s="48"/>
      <c r="AE50" s="48"/>
      <c r="AF50" s="48"/>
      <c r="AG50" s="48"/>
      <c r="AH50" s="48"/>
    </row>
    <row r="51">
      <c r="A51" s="50" t="s">
        <v>101</v>
      </c>
      <c r="B51" s="49" t="str">
        <f>IFERROR(AVERAGEIFS('Сентябрь 2024'!$K:$K,'Сентябрь 2024'!$E:$E,$A:$A),"-")</f>
        <v>-</v>
      </c>
      <c r="C51" s="49" t="str">
        <f>IFERROR(AVERAGEIFS('Октябрь 2024'!$K:$K,'Октябрь 2024'!$E:$E,$A:$A),"-")</f>
        <v>-</v>
      </c>
      <c r="D51" s="49" t="str">
        <f>IFERROR(AVERAGEIFS('Ноябрь 2024'!$K:$K,'Ноябрь 2024'!$E:$E,$A:$A),"-")</f>
        <v>-</v>
      </c>
      <c r="E51" s="49" t="str">
        <f>IFERROR(AVERAGEIFS('Декабрь 2024'!$K:$K,'Декабрь 2024'!$E:$E,$A:$A),"-")</f>
        <v>-</v>
      </c>
      <c r="F51" s="49" t="str">
        <f>IFERROR(AVERAGEIFS('Январь 2025'!$K:$K,'Январь 2025'!$E:$E,$A:$A),"-")</f>
        <v>-</v>
      </c>
      <c r="G51" s="49">
        <f>IFERROR(AVERAGEIFS('Февраль 2025 '!K:K,'Февраль 2025 '!E:E,A:A),"-")</f>
        <v>3.86</v>
      </c>
      <c r="H51" s="49" t="str">
        <f>IFERROR(AVERAGEIFS('Март 2025'!$K:$K,'Март 2025'!$E:$E,$A:$A),"-")</f>
        <v>-</v>
      </c>
      <c r="I51" s="49" t="str">
        <f>IFERROR(AVERAGEIFS('Апрель 2025'!$K:$K,'Апрель 2025'!$E:$E,$A:$A),"-")</f>
        <v>-</v>
      </c>
      <c r="J51" s="49" t="str">
        <f>IFERROR(AVERAGEIFS('Май 2025'!$K:$K,'Май 2025'!$E:$E,$A:$A),"-")</f>
        <v>-</v>
      </c>
      <c r="K51" s="49" t="str">
        <f>IFERROR(AVERAGEIFS('Июнь 2025'!$K:$K,'Июнь 2025'!$E:$E,$A:$A),"-")</f>
        <v>-</v>
      </c>
      <c r="L51" s="49" t="str">
        <f>IFERROR(AVERAGEIFS('Июль 2025'!$K:$K,'Июль 2025'!$E:$E,$A:$A),"-")</f>
        <v>-</v>
      </c>
      <c r="M51" s="49" t="str">
        <f>IFERROR(AVERAGEIFS('Август 2025'!$K:$K,'Август 2025'!$E:$E,$A:$A),"-")</f>
        <v>-</v>
      </c>
      <c r="N51" s="49" t="str">
        <f>IFERROR(AVERAGEIFS('Сентябрь 2025'!$K:$K,'Сентябрь 2025'!$E:$E,$A:$A),"-")</f>
        <v>-</v>
      </c>
      <c r="O51" s="49" t="str">
        <f>IFERROR(AVERAGEIFS('Октябрь 2025'!$K:$K,'Октябрь 2025'!$E:$E,$A:$A),"-")</f>
        <v>-</v>
      </c>
      <c r="P51" s="49" t="str">
        <f>IFERROR(AVERAGEIFS('Ноябрь 2025'!$K:$K,'Ноябрь 2025'!$E:$E,$A:$A),"-")</f>
        <v>-</v>
      </c>
      <c r="Q51" s="49" t="str">
        <f>IFERROR(AVERAGEIFS('Декабрь 2025'!$K:$K,'Декабрь 2025'!$E:$E,$A:$A),"-")</f>
        <v>-</v>
      </c>
      <c r="R51" s="49" t="str">
        <f>IFERROR(AVERAGEIFS('Январь 2026'!$K:$K,'Январь 2026'!$E:$E,$A:$A),"-")</f>
        <v>-</v>
      </c>
      <c r="S51" s="49" t="str">
        <f>IFERROR(AVERAGEIFS('Февраль 2026'!$K:$K,'Февраль 2026'!$E:$E,$A:$A),"-")</f>
        <v>-</v>
      </c>
      <c r="T51" s="49" t="str">
        <f>IFERROR(AVERAGEIFS('Март 2026'!$K:$K,'Март 2026'!$E:$E,$A:$A),"-")</f>
        <v>-</v>
      </c>
      <c r="U51" s="49" t="str">
        <f>IFERROR(AVERAGEIFS('Апрель 2026'!$K:$K,'Апрель 2026'!$E:$E,$A:$A),"-")</f>
        <v>-</v>
      </c>
      <c r="V51" s="49" t="str">
        <f>IFERROR(AVERAGEIFS('Май 2026'!$K:$K,'Май 2026'!$E:$E,$A:$A),"-")</f>
        <v>-</v>
      </c>
      <c r="W51" s="49" t="str">
        <f t="shared" si="1"/>
        <v>-</v>
      </c>
      <c r="X51" s="49" t="str">
        <f t="shared" si="2"/>
        <v>-</v>
      </c>
      <c r="Y51" s="48"/>
      <c r="Z51" s="48"/>
      <c r="AA51" s="48"/>
      <c r="AB51" s="48"/>
      <c r="AC51" s="48"/>
      <c r="AD51" s="48"/>
      <c r="AE51" s="48"/>
      <c r="AF51" s="48"/>
      <c r="AG51" s="48"/>
      <c r="AH51" s="48"/>
    </row>
    <row r="52">
      <c r="A52" s="50" t="s">
        <v>102</v>
      </c>
      <c r="B52" s="49">
        <f>IFERROR(AVERAGEIFS('Сентябрь 2024'!$K:$K,'Сентябрь 2024'!$E:$E,$A:$A),"-")</f>
        <v>3.94</v>
      </c>
      <c r="C52" s="49" t="str">
        <f>IFERROR(AVERAGEIFS('Октябрь 2024'!$K:$K,'Октябрь 2024'!$E:$E,$A:$A),"-")</f>
        <v>-</v>
      </c>
      <c r="D52" s="49" t="str">
        <f>IFERROR(AVERAGEIFS('Ноябрь 2024'!$K:$K,'Ноябрь 2024'!$E:$E,$A:$A),"-")</f>
        <v>-</v>
      </c>
      <c r="E52" s="49" t="str">
        <f>IFERROR(AVERAGEIFS('Декабрь 2024'!$K:$K,'Декабрь 2024'!$E:$E,$A:$A),"-")</f>
        <v>-</v>
      </c>
      <c r="F52" s="49" t="str">
        <f>IFERROR(AVERAGEIFS('Январь 2025'!$K:$K,'Январь 2025'!$E:$E,$A:$A),"-")</f>
        <v>-</v>
      </c>
      <c r="G52" s="49">
        <f>IFERROR(AVERAGEIFS('Февраль 2025 '!K:K,'Февраль 2025 '!E:E,A:A),"-")</f>
        <v>3.34</v>
      </c>
      <c r="H52" s="49" t="str">
        <f>IFERROR(AVERAGEIFS('Март 2025'!$K:$K,'Март 2025'!$E:$E,$A:$A),"-")</f>
        <v>-</v>
      </c>
      <c r="I52" s="49" t="str">
        <f>IFERROR(AVERAGEIFS('Апрель 2025'!$K:$K,'Апрель 2025'!$E:$E,$A:$A),"-")</f>
        <v>-</v>
      </c>
      <c r="J52" s="49" t="str">
        <f>IFERROR(AVERAGEIFS('Май 2025'!$K:$K,'Май 2025'!$E:$E,$A:$A),"-")</f>
        <v>-</v>
      </c>
      <c r="K52" s="49" t="str">
        <f>IFERROR(AVERAGEIFS('Июнь 2025'!$K:$K,'Июнь 2025'!$E:$E,$A:$A),"-")</f>
        <v>-</v>
      </c>
      <c r="L52" s="49" t="str">
        <f>IFERROR(AVERAGEIFS('Июль 2025'!$K:$K,'Июль 2025'!$E:$E,$A:$A),"-")</f>
        <v>-</v>
      </c>
      <c r="M52" s="49" t="str">
        <f>IFERROR(AVERAGEIFS('Август 2025'!$K:$K,'Август 2025'!$E:$E,$A:$A),"-")</f>
        <v>-</v>
      </c>
      <c r="N52" s="49" t="str">
        <f>IFERROR(AVERAGEIFS('Сентябрь 2025'!$K:$K,'Сентябрь 2025'!$E:$E,$A:$A),"-")</f>
        <v>-</v>
      </c>
      <c r="O52" s="49" t="str">
        <f>IFERROR(AVERAGEIFS('Октябрь 2025'!$K:$K,'Октябрь 2025'!$E:$E,$A:$A),"-")</f>
        <v>-</v>
      </c>
      <c r="P52" s="49" t="str">
        <f>IFERROR(AVERAGEIFS('Ноябрь 2025'!$K:$K,'Ноябрь 2025'!$E:$E,$A:$A),"-")</f>
        <v>-</v>
      </c>
      <c r="Q52" s="49" t="str">
        <f>IFERROR(AVERAGEIFS('Декабрь 2025'!$K:$K,'Декабрь 2025'!$E:$E,$A:$A),"-")</f>
        <v>-</v>
      </c>
      <c r="R52" s="49" t="str">
        <f>IFERROR(AVERAGEIFS('Январь 2026'!$K:$K,'Январь 2026'!$E:$E,$A:$A),"-")</f>
        <v>-</v>
      </c>
      <c r="S52" s="49" t="str">
        <f>IFERROR(AVERAGEIFS('Февраль 2026'!$K:$K,'Февраль 2026'!$E:$E,$A:$A),"-")</f>
        <v>-</v>
      </c>
      <c r="T52" s="49" t="str">
        <f>IFERROR(AVERAGEIFS('Март 2026'!$K:$K,'Март 2026'!$E:$E,$A:$A),"-")</f>
        <v>-</v>
      </c>
      <c r="U52" s="49" t="str">
        <f>IFERROR(AVERAGEIFS('Апрель 2026'!$K:$K,'Апрель 2026'!$E:$E,$A:$A),"-")</f>
        <v>-</v>
      </c>
      <c r="V52" s="49" t="str">
        <f>IFERROR(AVERAGEIFS('Май 2026'!$K:$K,'Май 2026'!$E:$E,$A:$A),"-")</f>
        <v>-</v>
      </c>
      <c r="W52" s="49" t="str">
        <f t="shared" si="1"/>
        <v>-</v>
      </c>
      <c r="X52" s="49" t="str">
        <f t="shared" si="2"/>
        <v>-</v>
      </c>
      <c r="Y52" s="48"/>
      <c r="Z52" s="48"/>
      <c r="AA52" s="48"/>
      <c r="AB52" s="48"/>
      <c r="AC52" s="48"/>
      <c r="AD52" s="48"/>
      <c r="AE52" s="48"/>
      <c r="AF52" s="48"/>
      <c r="AG52" s="48"/>
      <c r="AH52" s="48"/>
    </row>
    <row r="53">
      <c r="A53" s="48" t="s">
        <v>103</v>
      </c>
      <c r="B53" s="49" t="str">
        <f>IFERROR(AVERAGEIFS('Сентябрь 2024'!$K:$K,'Сентябрь 2024'!$E:$E,$A:$A),"-")</f>
        <v>-</v>
      </c>
      <c r="C53" s="49" t="str">
        <f>IFERROR(AVERAGEIFS('Октябрь 2024'!$K:$K,'Октябрь 2024'!$E:$E,$A:$A),"-")</f>
        <v>-</v>
      </c>
      <c r="D53" s="49" t="str">
        <f>IFERROR(AVERAGEIFS('Ноябрь 2024'!$K:$K,'Ноябрь 2024'!$E:$E,$A:$A),"-")</f>
        <v>-</v>
      </c>
      <c r="E53" s="49" t="str">
        <f>IFERROR(AVERAGEIFS('Декабрь 2024'!$K:$K,'Декабрь 2024'!$E:$E,$A:$A),"-")</f>
        <v>-</v>
      </c>
      <c r="F53" s="49" t="str">
        <f>IFERROR(AVERAGEIFS('Январь 2025'!$K:$K,'Январь 2025'!$E:$E,$A:$A),"-")</f>
        <v>-</v>
      </c>
      <c r="G53" s="49" t="str">
        <f>IFERROR(AVERAGEIFS('Февраль 2025 '!K:K,'Февраль 2025 '!E:E,A:A),"-")</f>
        <v>-</v>
      </c>
      <c r="H53" s="49" t="str">
        <f>IFERROR(AVERAGEIFS('Март 2025'!$K:$K,'Март 2025'!$E:$E,$A:$A),"-")</f>
        <v>-</v>
      </c>
      <c r="I53" s="49">
        <f>IFERROR(AVERAGEIFS('Апрель 2025'!$K:$K,'Апрель 2025'!$E:$E,$A:$A),"-")</f>
        <v>3.67</v>
      </c>
      <c r="J53" s="49" t="str">
        <f>IFERROR(AVERAGEIFS('Май 2025'!$K:$K,'Май 2025'!$E:$E,$A:$A),"-")</f>
        <v>-</v>
      </c>
      <c r="K53" s="49" t="str">
        <f>IFERROR(AVERAGEIFS('Июнь 2025'!$K:$K,'Июнь 2025'!$E:$E,$A:$A),"-")</f>
        <v>-</v>
      </c>
      <c r="L53" s="49" t="str">
        <f>IFERROR(AVERAGEIFS('Июль 2025'!$K:$K,'Июль 2025'!$E:$E,$A:$A),"-")</f>
        <v>-</v>
      </c>
      <c r="M53" s="49" t="str">
        <f>IFERROR(AVERAGEIFS('Август 2025'!$K:$K,'Август 2025'!$E:$E,$A:$A),"-")</f>
        <v>-</v>
      </c>
      <c r="N53" s="49" t="str">
        <f>IFERROR(AVERAGEIFS('Сентябрь 2025'!$K:$K,'Сентябрь 2025'!$E:$E,$A:$A),"-")</f>
        <v>-</v>
      </c>
      <c r="O53" s="49" t="str">
        <f>IFERROR(AVERAGEIFS('Октябрь 2025'!$K:$K,'Октябрь 2025'!$E:$E,$A:$A),"-")</f>
        <v>-</v>
      </c>
      <c r="P53" s="49" t="str">
        <f>IFERROR(AVERAGEIFS('Ноябрь 2025'!$K:$K,'Ноябрь 2025'!$E:$E,$A:$A),"-")</f>
        <v>-</v>
      </c>
      <c r="Q53" s="49" t="str">
        <f>IFERROR(AVERAGEIFS('Декабрь 2025'!$K:$K,'Декабрь 2025'!$E:$E,$A:$A),"-")</f>
        <v>-</v>
      </c>
      <c r="R53" s="49" t="str">
        <f>IFERROR(AVERAGEIFS('Январь 2026'!$K:$K,'Январь 2026'!$E:$E,$A:$A),"-")</f>
        <v>-</v>
      </c>
      <c r="S53" s="49" t="str">
        <f>IFERROR(AVERAGEIFS('Февраль 2026'!$K:$K,'Февраль 2026'!$E:$E,$A:$A),"-")</f>
        <v>-</v>
      </c>
      <c r="T53" s="49" t="str">
        <f>IFERROR(AVERAGEIFS('Март 2026'!$K:$K,'Март 2026'!$E:$E,$A:$A),"-")</f>
        <v>-</v>
      </c>
      <c r="U53" s="49" t="str">
        <f>IFERROR(AVERAGEIFS('Апрель 2026'!$K:$K,'Апрель 2026'!$E:$E,$A:$A),"-")</f>
        <v>-</v>
      </c>
      <c r="V53" s="49" t="str">
        <f>IFERROR(AVERAGEIFS('Май 2026'!$K:$K,'Май 2026'!$E:$E,$A:$A),"-")</f>
        <v>-</v>
      </c>
      <c r="W53" s="49" t="str">
        <f t="shared" si="1"/>
        <v>-</v>
      </c>
      <c r="X53" s="49" t="str">
        <f t="shared" si="2"/>
        <v>-</v>
      </c>
      <c r="Y53" s="48"/>
      <c r="Z53" s="48"/>
      <c r="AA53" s="48"/>
      <c r="AB53" s="48"/>
      <c r="AC53" s="48"/>
      <c r="AD53" s="48"/>
      <c r="AE53" s="48"/>
      <c r="AF53" s="48"/>
      <c r="AG53" s="48"/>
      <c r="AH53" s="48"/>
    </row>
    <row r="54">
      <c r="A54" s="26" t="s">
        <v>54</v>
      </c>
      <c r="B54" s="49">
        <f>IFERROR(AVERAGEIFS('Сентябрь 2024'!$K:$K,'Сентябрь 2024'!$E:$E,$A:$A),"-")</f>
        <v>1.94</v>
      </c>
      <c r="C54" s="49">
        <f>IFERROR(AVERAGEIFS('Октябрь 2024'!$K:$K,'Октябрь 2024'!$E:$E,$A:$A),"-")</f>
        <v>1.99</v>
      </c>
      <c r="D54" s="49">
        <f>IFERROR(AVERAGEIFS('Ноябрь 2024'!$K:$K,'Ноябрь 2024'!$E:$E,$A:$A),"-")</f>
        <v>1.996666667</v>
      </c>
      <c r="E54" s="49" t="str">
        <f>IFERROR(AVERAGEIFS('Декабрь 2024'!$K:$K,'Декабрь 2024'!$E:$E,$A:$A),"-")</f>
        <v>-</v>
      </c>
      <c r="F54" s="49">
        <f>IFERROR(AVERAGEIFS('Январь 2025'!$K:$K,'Январь 2025'!$E:$E,$A:$A),"-")</f>
        <v>2.18</v>
      </c>
      <c r="G54" s="49" t="str">
        <f>IFERROR(AVERAGEIFS('Февраль 2025 '!K:K,'Февраль 2025 '!E:E,A:A),"-")</f>
        <v>-</v>
      </c>
      <c r="H54" s="49">
        <f>IFERROR(AVERAGEIFS('Март 2025'!$K:$K,'Март 2025'!$E:$E,$A:$A),"-")</f>
        <v>2.18</v>
      </c>
      <c r="I54" s="49">
        <f>IFERROR(AVERAGEIFS('Апрель 2025'!$K:$K,'Апрель 2025'!$E:$E,$A:$A),"-")</f>
        <v>2.03</v>
      </c>
      <c r="J54" s="49" t="str">
        <f>IFERROR(AVERAGEIFS('Май 2025'!$K:$K,'Май 2025'!$E:$E,$A:$A),"-")</f>
        <v>-</v>
      </c>
      <c r="K54" s="49">
        <f>IFERROR(AVERAGEIFS('Июнь 2025'!$K:$K,'Июнь 2025'!$E:$E,$A:$A),"-")</f>
        <v>1.89</v>
      </c>
      <c r="L54" s="49">
        <f>IFERROR(AVERAGEIFS('Июль 2025'!$K:$K,'Июль 2025'!$E:$E,$A:$A),"-")</f>
        <v>1.99</v>
      </c>
      <c r="M54" s="49">
        <f>IFERROR(AVERAGEIFS('Август 2025'!$K:$K,'Август 2025'!$E:$E,$A:$A),"-")</f>
        <v>1.99</v>
      </c>
      <c r="N54" s="49">
        <f>IFERROR(AVERAGEIFS('Сентябрь 2025'!$K:$K,'Сентябрь 2025'!$E:$E,$A:$A),"-")</f>
        <v>1.926666667</v>
      </c>
      <c r="O54" s="49">
        <f>IFERROR(AVERAGEIFS('Октябрь 2025'!$K:$K,'Октябрь 2025'!$E:$E,$A:$A),"-")</f>
        <v>1.89375</v>
      </c>
      <c r="P54" s="49">
        <f>IFERROR(AVERAGEIFS('Ноябрь 2025'!$K:$K,'Ноябрь 2025'!$E:$E,$A:$A),"-")</f>
        <v>1.91</v>
      </c>
      <c r="Q54" s="49">
        <f>IFERROR(AVERAGEIFS('Декабрь 2025'!$K:$K,'Декабрь 2025'!$E:$E,$A:$A),"-")</f>
        <v>2.047857143</v>
      </c>
      <c r="R54" s="49">
        <f>IFERROR(AVERAGEIFS('Январь 2026'!$K:$K,'Январь 2026'!$E:$E,$A:$A),"-")</f>
        <v>2.001</v>
      </c>
      <c r="S54" s="49" t="str">
        <f>IFERROR(AVERAGEIFS('Февраль 2026'!$K:$K,'Февраль 2026'!$E:$E,$A:$A),"-")</f>
        <v>-</v>
      </c>
      <c r="T54" s="49">
        <f>IFERROR(AVERAGEIFS('Март 2026'!$K:$K,'Март 2026'!$E:$E,$A:$A),"-")</f>
        <v>1.972166667</v>
      </c>
      <c r="U54" s="49">
        <f>IFERROR(AVERAGEIFS('Апрель 2026'!$K:$K,'Апрель 2026'!$E:$E,$A:$A),"-")</f>
        <v>1.891142857</v>
      </c>
      <c r="V54" s="49">
        <f>IFERROR(AVERAGEIFS('Май 2026'!$K:$K,'Май 2026'!$E:$E,$A:$A),"-")</f>
        <v>1.910769231</v>
      </c>
      <c r="W54" s="49" t="str">
        <f t="shared" si="1"/>
        <v>-</v>
      </c>
      <c r="X54" s="49" t="str">
        <f t="shared" si="2"/>
        <v>-</v>
      </c>
      <c r="Y54" s="48"/>
      <c r="Z54" s="48"/>
      <c r="AA54" s="48"/>
      <c r="AB54" s="48"/>
      <c r="AC54" s="48"/>
      <c r="AD54" s="48"/>
      <c r="AE54" s="48"/>
      <c r="AF54" s="48"/>
      <c r="AG54" s="48"/>
      <c r="AH54" s="48"/>
    </row>
    <row r="55">
      <c r="A55" s="51" t="s">
        <v>104</v>
      </c>
      <c r="B55" s="49" t="str">
        <f>IFERROR(AVERAGEIFS('Сентябрь 2024'!$K:$K,'Сентябрь 2024'!$E:$E,$A:$A),"-")</f>
        <v>-</v>
      </c>
      <c r="C55" s="49" t="str">
        <f>IFERROR(AVERAGEIFS('Октябрь 2024'!$K:$K,'Октябрь 2024'!$E:$E,$A:$A),"-")</f>
        <v>-</v>
      </c>
      <c r="D55" s="49" t="str">
        <f>IFERROR(AVERAGEIFS('Ноябрь 2024'!$K:$K,'Ноябрь 2024'!$E:$E,$A:$A),"-")</f>
        <v>-</v>
      </c>
      <c r="E55" s="49" t="str">
        <f>IFERROR(AVERAGEIFS('Декабрь 2024'!$K:$K,'Декабрь 2024'!$E:$E,$A:$A),"-")</f>
        <v>-</v>
      </c>
      <c r="F55" s="49" t="str">
        <f>IFERROR(AVERAGEIFS('Январь 2025'!$K:$K,'Январь 2025'!$E:$E,$A:$A),"-")</f>
        <v>-</v>
      </c>
      <c r="G55" s="49" t="str">
        <f>IFERROR(AVERAGEIFS('Февраль 2025 '!K:K,'Февраль 2025 '!E:E,A:A),"-")</f>
        <v>-</v>
      </c>
      <c r="H55" s="49" t="str">
        <f>IFERROR(AVERAGEIFS('Март 2025'!$K:$K,'Март 2025'!$E:$E,$A:$A),"-")</f>
        <v>-</v>
      </c>
      <c r="I55" s="49" t="str">
        <f>IFERROR(AVERAGEIFS('Апрель 2025'!$K:$K,'Апрель 2025'!$E:$E,$A:$A),"-")</f>
        <v>-</v>
      </c>
      <c r="J55" s="49">
        <f>IFERROR(AVERAGEIFS('Май 2025'!$K:$K,'Май 2025'!$E:$E,$A:$A),"-")</f>
        <v>3.45</v>
      </c>
      <c r="K55" s="49">
        <f>IFERROR(AVERAGEIFS('Июнь 2025'!$K:$K,'Июнь 2025'!$E:$E,$A:$A),"-")</f>
        <v>2.73</v>
      </c>
      <c r="L55" s="49">
        <f>IFERROR(AVERAGEIFS('Июль 2025'!$K:$K,'Июль 2025'!$E:$E,$A:$A),"-")</f>
        <v>2.81</v>
      </c>
      <c r="M55" s="49">
        <f>IFERROR(AVERAGEIFS('Август 2025'!$K:$K,'Август 2025'!$E:$E,$A:$A),"-")</f>
        <v>2.805</v>
      </c>
      <c r="N55" s="49" t="str">
        <f>IFERROR(AVERAGEIFS('Сентябрь 2025'!$K:$K,'Сентябрь 2025'!$E:$E,$A:$A),"-")</f>
        <v>-</v>
      </c>
      <c r="O55" s="49">
        <f>IFERROR(AVERAGEIFS('Октябрь 2025'!$K:$K,'Октябрь 2025'!$E:$E,$A:$A),"-")</f>
        <v>2.7</v>
      </c>
      <c r="P55" s="49">
        <f>IFERROR(AVERAGEIFS('Ноябрь 2025'!$K:$K,'Ноябрь 2025'!$E:$E,$A:$A),"-")</f>
        <v>2.64</v>
      </c>
      <c r="Q55" s="49">
        <f>IFERROR(AVERAGEIFS('Декабрь 2025'!$K:$K,'Декабрь 2025'!$E:$E,$A:$A),"-")</f>
        <v>3.18</v>
      </c>
      <c r="R55" s="49">
        <f>IFERROR(AVERAGEIFS('Январь 2026'!$K:$K,'Январь 2026'!$E:$E,$A:$A),"-")</f>
        <v>2.518571429</v>
      </c>
      <c r="S55" s="49">
        <f>IFERROR(AVERAGEIFS('Февраль 2026'!$K:$K,'Февраль 2026'!$E:$E,$A:$A),"-")</f>
        <v>2.535</v>
      </c>
      <c r="T55" s="49">
        <f>IFERROR(AVERAGEIFS('Март 2026'!$K:$K,'Март 2026'!$E:$E,$A:$A),"-")</f>
        <v>2.550714286</v>
      </c>
      <c r="U55" s="49" t="str">
        <f>IFERROR(AVERAGEIFS('Апрель 2026'!$K:$K,'Апрель 2026'!$E:$E,$A:$A),"-")</f>
        <v>-</v>
      </c>
      <c r="V55" s="49">
        <f>IFERROR(AVERAGEIFS('Май 2026'!$K:$K,'Май 2026'!$E:$E,$A:$A),"-")</f>
        <v>2.5575</v>
      </c>
      <c r="W55" s="49" t="str">
        <f t="shared" si="1"/>
        <v>-</v>
      </c>
      <c r="X55" s="49" t="str">
        <f t="shared" si="2"/>
        <v>-</v>
      </c>
      <c r="Y55" s="48"/>
      <c r="Z55" s="48"/>
      <c r="AA55" s="48"/>
      <c r="AB55" s="48"/>
      <c r="AC55" s="48"/>
      <c r="AD55" s="48"/>
      <c r="AE55" s="48"/>
      <c r="AF55" s="48"/>
      <c r="AG55" s="48"/>
      <c r="AH55" s="48"/>
    </row>
    <row r="56">
      <c r="A56" s="51" t="s">
        <v>105</v>
      </c>
      <c r="B56" s="49" t="str">
        <f>IFERROR(AVERAGEIFS('Сентябрь 2024'!$K:$K,'Сентябрь 2024'!$E:$E,$A:$A),"-")</f>
        <v>-</v>
      </c>
      <c r="C56" s="49" t="str">
        <f>IFERROR(AVERAGEIFS('Октябрь 2024'!$K:$K,'Октябрь 2024'!$E:$E,$A:$A),"-")</f>
        <v>-</v>
      </c>
      <c r="D56" s="49" t="str">
        <f>IFERROR(AVERAGEIFS('Ноябрь 2024'!$K:$K,'Ноябрь 2024'!$E:$E,$A:$A),"-")</f>
        <v>-</v>
      </c>
      <c r="E56" s="49" t="str">
        <f>IFERROR(AVERAGEIFS('Декабрь 2024'!$K:$K,'Декабрь 2024'!$E:$E,$A:$A),"-")</f>
        <v>-</v>
      </c>
      <c r="F56" s="49" t="str">
        <f>IFERROR(AVERAGEIFS('Январь 2025'!$K:$K,'Январь 2025'!$E:$E,$A:$A),"-")</f>
        <v>-</v>
      </c>
      <c r="G56" s="49" t="str">
        <f>IFERROR(AVERAGEIFS('Февраль 2025 '!K:K,'Февраль 2025 '!E:E,A:A),"-")</f>
        <v>-</v>
      </c>
      <c r="H56" s="49" t="str">
        <f>IFERROR(AVERAGEIFS('Март 2025'!$K:$K,'Март 2025'!$E:$E,$A:$A),"-")</f>
        <v>-</v>
      </c>
      <c r="I56" s="49">
        <f>IFERROR(AVERAGEIFS('Апрель 2025'!$K:$K,'Апрель 2025'!$E:$E,$A:$A),"-")</f>
        <v>1.2</v>
      </c>
      <c r="J56" s="49" t="str">
        <f>IFERROR(AVERAGEIFS('Май 2025'!$K:$K,'Май 2025'!$E:$E,$A:$A),"-")</f>
        <v>-</v>
      </c>
      <c r="K56" s="49" t="str">
        <f>IFERROR(AVERAGEIFS('Июнь 2025'!$K:$K,'Июнь 2025'!$E:$E,$A:$A),"-")</f>
        <v>-</v>
      </c>
      <c r="L56" s="49">
        <f>IFERROR(AVERAGEIFS('Июль 2025'!$K:$K,'Июль 2025'!$E:$E,$A:$A),"-")</f>
        <v>2.125</v>
      </c>
      <c r="M56" s="49" t="str">
        <f>IFERROR(AVERAGEIFS('Август 2025'!$K:$K,'Август 2025'!$E:$E,$A:$A),"-")</f>
        <v>-</v>
      </c>
      <c r="N56" s="49" t="str">
        <f>IFERROR(AVERAGEIFS('Сентябрь 2025'!$K:$K,'Сентябрь 2025'!$E:$E,$A:$A),"-")</f>
        <v>-</v>
      </c>
      <c r="O56" s="49">
        <f>IFERROR(AVERAGEIFS('Октябрь 2025'!$K:$K,'Октябрь 2025'!$E:$E,$A:$A),"-")</f>
        <v>1.65</v>
      </c>
      <c r="P56" s="49" t="str">
        <f>IFERROR(AVERAGEIFS('Ноябрь 2025'!$K:$K,'Ноябрь 2025'!$E:$E,$A:$A),"-")</f>
        <v>-</v>
      </c>
      <c r="Q56" s="49" t="str">
        <f>IFERROR(AVERAGEIFS('Декабрь 2025'!$K:$K,'Декабрь 2025'!$E:$E,$A:$A),"-")</f>
        <v>-</v>
      </c>
      <c r="R56" s="49" t="str">
        <f>IFERROR(AVERAGEIFS('Январь 2026'!$K:$K,'Январь 2026'!$E:$E,$A:$A),"-")</f>
        <v>-</v>
      </c>
      <c r="S56" s="49" t="str">
        <f>IFERROR(AVERAGEIFS('Февраль 2026'!$K:$K,'Февраль 2026'!$E:$E,$A:$A),"-")</f>
        <v>-</v>
      </c>
      <c r="T56" s="49">
        <f>IFERROR(AVERAGEIFS('Март 2026'!$K:$K,'Март 2026'!$E:$E,$A:$A),"-")</f>
        <v>2.08</v>
      </c>
      <c r="U56" s="49" t="str">
        <f>IFERROR(AVERAGEIFS('Апрель 2026'!$K:$K,'Апрель 2026'!$E:$E,$A:$A),"-")</f>
        <v>-</v>
      </c>
      <c r="V56" s="49" t="str">
        <f>IFERROR(AVERAGEIFS('Май 2026'!$K:$K,'Май 2026'!$E:$E,$A:$A),"-")</f>
        <v>-</v>
      </c>
      <c r="W56" s="49" t="str">
        <f t="shared" si="1"/>
        <v>-</v>
      </c>
      <c r="X56" s="49" t="str">
        <f t="shared" si="2"/>
        <v>-</v>
      </c>
      <c r="Y56" s="48"/>
      <c r="Z56" s="48"/>
      <c r="AA56" s="48"/>
      <c r="AB56" s="48"/>
      <c r="AC56" s="48"/>
      <c r="AD56" s="48"/>
      <c r="AE56" s="48"/>
      <c r="AF56" s="48"/>
      <c r="AG56" s="48"/>
      <c r="AH56" s="48"/>
    </row>
    <row r="57">
      <c r="A57" s="51" t="s">
        <v>106</v>
      </c>
      <c r="B57" s="49" t="str">
        <f>IFERROR(AVERAGEIFS('Сентябрь 2024'!$K:$K,'Сентябрь 2024'!$E:$E,$A:$A),"-")</f>
        <v>-</v>
      </c>
      <c r="C57" s="49" t="str">
        <f>IFERROR(AVERAGEIFS('Октябрь 2024'!$K:$K,'Октябрь 2024'!$E:$E,$A:$A),"-")</f>
        <v>-</v>
      </c>
      <c r="D57" s="49" t="str">
        <f>IFERROR(AVERAGEIFS('Ноябрь 2024'!$K:$K,'Ноябрь 2024'!$E:$E,$A:$A),"-")</f>
        <v>-</v>
      </c>
      <c r="E57" s="49" t="str">
        <f>IFERROR(AVERAGEIFS('Декабрь 2024'!$K:$K,'Декабрь 2024'!$E:$E,$A:$A),"-")</f>
        <v>-</v>
      </c>
      <c r="F57" s="49" t="str">
        <f>IFERROR(AVERAGEIFS('Январь 2025'!$K:$K,'Январь 2025'!$E:$E,$A:$A),"-")</f>
        <v>-</v>
      </c>
      <c r="G57" s="49" t="str">
        <f>IFERROR(AVERAGEIFS('Февраль 2025 '!K:K,'Февраль 2025 '!E:E,A:A),"-")</f>
        <v>-</v>
      </c>
      <c r="H57" s="49" t="str">
        <f>IFERROR(AVERAGEIFS('Март 2025'!$K:$K,'Март 2025'!$E:$E,$A:$A),"-")</f>
        <v>-</v>
      </c>
      <c r="I57" s="49" t="str">
        <f>IFERROR(AVERAGEIFS('Апрель 2025'!$K:$K,'Апрель 2025'!$E:$E,$A:$A),"-")</f>
        <v>-</v>
      </c>
      <c r="J57" s="49" t="str">
        <f>IFERROR(AVERAGEIFS('Май 2025'!$K:$K,'Май 2025'!$E:$E,$A:$A),"-")</f>
        <v>-</v>
      </c>
      <c r="K57" s="49" t="str">
        <f>IFERROR(AVERAGEIFS('Июнь 2025'!$K:$K,'Июнь 2025'!$E:$E,$A:$A),"-")</f>
        <v>-</v>
      </c>
      <c r="L57" s="49" t="str">
        <f>IFERROR(AVERAGEIFS('Июль 2025'!$K:$K,'Июль 2025'!$E:$E,$A:$A),"-")</f>
        <v>-</v>
      </c>
      <c r="M57" s="49" t="str">
        <f>IFERROR(AVERAGEIFS('Август 2025'!$K:$K,'Август 2025'!$E:$E,$A:$A),"-")</f>
        <v>-</v>
      </c>
      <c r="N57" s="49" t="str">
        <f>IFERROR(AVERAGEIFS('Сентябрь 2025'!$K:$K,'Сентябрь 2025'!$E:$E,$A:$A),"-")</f>
        <v>-</v>
      </c>
      <c r="O57" s="49">
        <f>IFERROR(AVERAGEIFS('Октябрь 2025'!$K:$K,'Октябрь 2025'!$E:$E,$A:$A),"-")</f>
        <v>2</v>
      </c>
      <c r="P57" s="49">
        <f>IFERROR(AVERAGEIFS('Ноябрь 2025'!$K:$K,'Ноябрь 2025'!$E:$E,$A:$A),"-")</f>
        <v>2.16</v>
      </c>
      <c r="Q57" s="49" t="str">
        <f>IFERROR(AVERAGEIFS('Декабрь 2025'!$K:$K,'Декабрь 2025'!$E:$E,$A:$A),"-")</f>
        <v>-</v>
      </c>
      <c r="R57" s="49">
        <f>IFERROR(AVERAGEIFS('Январь 2026'!$K:$K,'Январь 2026'!$E:$E,$A:$A),"-")</f>
        <v>2.1695</v>
      </c>
      <c r="S57" s="49">
        <f>IFERROR(AVERAGEIFS('Февраль 2026'!$K:$K,'Февраль 2026'!$E:$E,$A:$A),"-")</f>
        <v>1.952</v>
      </c>
      <c r="T57" s="49">
        <f>IFERROR(AVERAGEIFS('Март 2026'!$K:$K,'Март 2026'!$E:$E,$A:$A),"-")</f>
        <v>1.944166667</v>
      </c>
      <c r="U57" s="49">
        <f>IFERROR(AVERAGEIFS('Апрель 2026'!$K:$K,'Апрель 2026'!$E:$E,$A:$A),"-")</f>
        <v>1.852</v>
      </c>
      <c r="V57" s="49">
        <f>IFERROR(AVERAGEIFS('Май 2026'!$K:$K,'Май 2026'!$E:$E,$A:$A),"-")</f>
        <v>1.843333333</v>
      </c>
      <c r="W57" s="49" t="str">
        <f t="shared" si="1"/>
        <v>-</v>
      </c>
      <c r="X57" s="49" t="str">
        <f t="shared" si="2"/>
        <v>-</v>
      </c>
      <c r="Y57" s="48"/>
      <c r="Z57" s="48"/>
      <c r="AA57" s="48"/>
      <c r="AB57" s="48"/>
      <c r="AC57" s="48"/>
      <c r="AD57" s="48"/>
      <c r="AE57" s="48"/>
      <c r="AF57" s="48"/>
      <c r="AG57" s="48"/>
      <c r="AH57" s="48"/>
    </row>
    <row r="58">
      <c r="A58" s="51" t="s">
        <v>68</v>
      </c>
      <c r="B58" s="49" t="str">
        <f>IFERROR(AVERAGEIFS('Сентябрь 2024'!$K:$K,'Сентябрь 2024'!$E:$E,$A:$A),"-")</f>
        <v>-</v>
      </c>
      <c r="C58" s="49">
        <f>IFERROR(AVERAGEIFS('Октябрь 2024'!$K:$K,'Октябрь 2024'!$E:$E,$A:$A),"-")</f>
        <v>2.62</v>
      </c>
      <c r="D58" s="49">
        <f>IFERROR(AVERAGEIFS('Ноябрь 2024'!$K:$K,'Ноябрь 2024'!$E:$E,$A:$A),"-")</f>
        <v>2.26</v>
      </c>
      <c r="E58" s="49">
        <f>IFERROR(AVERAGEIFS('Декабрь 2024'!$K:$K,'Декабрь 2024'!$E:$E,$A:$A),"-")</f>
        <v>2.34</v>
      </c>
      <c r="F58" s="49" t="str">
        <f>IFERROR(AVERAGEIFS('Январь 2025'!$K:$K,'Январь 2025'!$E:$E,$A:$A),"-")</f>
        <v>-</v>
      </c>
      <c r="G58" s="49">
        <f>IFERROR(AVERAGEIFS('Февраль 2025 '!K:K,'Февраль 2025 '!E:E,A:A),"-")</f>
        <v>2.38</v>
      </c>
      <c r="H58" s="49" t="str">
        <f>IFERROR(AVERAGEIFS('Март 2025'!$K:$K,'Март 2025'!$E:$E,$A:$A),"-")</f>
        <v>-</v>
      </c>
      <c r="I58" s="49">
        <f>IFERROR(AVERAGEIFS('Апрель 2025'!$K:$K,'Апрель 2025'!$E:$E,$A:$A),"-")</f>
        <v>2.27</v>
      </c>
      <c r="J58" s="49" t="str">
        <f>IFERROR(AVERAGEIFS('Май 2025'!$K:$K,'Май 2025'!$E:$E,$A:$A),"-")</f>
        <v>-</v>
      </c>
      <c r="K58" s="49" t="str">
        <f>IFERROR(AVERAGEIFS('Июнь 2025'!$K:$K,'Июнь 2025'!$E:$E,$A:$A),"-")</f>
        <v>-</v>
      </c>
      <c r="L58" s="49" t="str">
        <f>IFERROR(AVERAGEIFS('Июль 2025'!$K:$K,'Июль 2025'!$E:$E,$A:$A),"-")</f>
        <v>-</v>
      </c>
      <c r="M58" s="49" t="str">
        <f>IFERROR(AVERAGEIFS('Август 2025'!$K:$K,'Август 2025'!$E:$E,$A:$A),"-")</f>
        <v>-</v>
      </c>
      <c r="N58" s="49" t="str">
        <f>IFERROR(AVERAGEIFS('Сентябрь 2025'!$K:$K,'Сентябрь 2025'!$E:$E,$A:$A),"-")</f>
        <v>-</v>
      </c>
      <c r="O58" s="49">
        <f>IFERROR(AVERAGEIFS('Октябрь 2025'!$K:$K,'Октябрь 2025'!$E:$E,$A:$A),"-")</f>
        <v>2.06</v>
      </c>
      <c r="P58" s="49">
        <f>IFERROR(AVERAGEIFS('Ноябрь 2025'!$K:$K,'Ноябрь 2025'!$E:$E,$A:$A),"-")</f>
        <v>2.2125</v>
      </c>
      <c r="Q58" s="49" t="str">
        <f>IFERROR(AVERAGEIFS('Декабрь 2025'!$K:$K,'Декабрь 2025'!$E:$E,$A:$A),"-")</f>
        <v>-</v>
      </c>
      <c r="R58" s="49" t="str">
        <f>IFERROR(AVERAGEIFS('Январь 2026'!$K:$K,'Январь 2026'!$E:$E,$A:$A),"-")</f>
        <v>-</v>
      </c>
      <c r="S58" s="49" t="str">
        <f>IFERROR(AVERAGEIFS('Февраль 2026'!$K:$K,'Февраль 2026'!$E:$E,$A:$A),"-")</f>
        <v>-</v>
      </c>
      <c r="T58" s="49">
        <f>IFERROR(AVERAGEIFS('Март 2026'!$K:$K,'Март 2026'!$E:$E,$A:$A),"-")</f>
        <v>1.991875</v>
      </c>
      <c r="U58" s="49">
        <f>IFERROR(AVERAGEIFS('Апрель 2026'!$K:$K,'Апрель 2026'!$E:$E,$A:$A),"-")</f>
        <v>1.91</v>
      </c>
      <c r="V58" s="49" t="str">
        <f>IFERROR(AVERAGEIFS('Май 2026'!$K:$K,'Май 2026'!$E:$E,$A:$A),"-")</f>
        <v>-</v>
      </c>
      <c r="W58" s="49" t="str">
        <f t="shared" si="1"/>
        <v>-</v>
      </c>
      <c r="X58" s="49" t="str">
        <f t="shared" si="2"/>
        <v>-</v>
      </c>
      <c r="Y58" s="48"/>
      <c r="Z58" s="48"/>
      <c r="AA58" s="48"/>
      <c r="AB58" s="48"/>
      <c r="AC58" s="48"/>
      <c r="AD58" s="48"/>
      <c r="AE58" s="48"/>
      <c r="AF58" s="48"/>
      <c r="AG58" s="48"/>
      <c r="AH58" s="48"/>
    </row>
    <row r="59">
      <c r="A59" s="51" t="s">
        <v>107</v>
      </c>
      <c r="B59" s="49" t="str">
        <f>IFERROR(AVERAGEIFS('Сентябрь 2024'!$K:$K,'Сентябрь 2024'!$E:$E,$A:$A),"-")</f>
        <v>-</v>
      </c>
      <c r="C59" s="49" t="str">
        <f>IFERROR(AVERAGEIFS('Октябрь 2024'!$K:$K,'Октябрь 2024'!$E:$E,$A:$A),"-")</f>
        <v>-</v>
      </c>
      <c r="D59" s="49" t="str">
        <f>IFERROR(AVERAGEIFS('Ноябрь 2024'!$K:$K,'Ноябрь 2024'!$E:$E,$A:$A),"-")</f>
        <v>-</v>
      </c>
      <c r="E59" s="49" t="str">
        <f>IFERROR(AVERAGEIFS('Декабрь 2024'!$K:$K,'Декабрь 2024'!$E:$E,$A:$A),"-")</f>
        <v>-</v>
      </c>
      <c r="F59" s="49" t="str">
        <f>IFERROR(AVERAGEIFS('Январь 2025'!$K:$K,'Январь 2025'!$E:$E,$A:$A),"-")</f>
        <v>-</v>
      </c>
      <c r="G59" s="49" t="str">
        <f>IFERROR(AVERAGEIFS('Февраль 2025 '!K:K,'Февраль 2025 '!E:E,A:A),"-")</f>
        <v>-</v>
      </c>
      <c r="H59" s="49" t="str">
        <f>IFERROR(AVERAGEIFS('Март 2025'!$K:$K,'Март 2025'!$E:$E,$A:$A),"-")</f>
        <v>-</v>
      </c>
      <c r="I59" s="49" t="str">
        <f>IFERROR(AVERAGEIFS('Апрель 2025'!$K:$K,'Апрель 2025'!$E:$E,$A:$A),"-")</f>
        <v>-</v>
      </c>
      <c r="J59" s="49" t="str">
        <f>IFERROR(AVERAGEIFS('Май 2025'!$K:$K,'Май 2025'!$E:$E,$A:$A),"-")</f>
        <v>-</v>
      </c>
      <c r="K59" s="49" t="str">
        <f>IFERROR(AVERAGEIFS('Июнь 2025'!$K:$K,'Июнь 2025'!$E:$E,$A:$A),"-")</f>
        <v>-</v>
      </c>
      <c r="L59" s="49">
        <f>IFERROR(AVERAGEIFS('Июль 2025'!$K:$K,'Июль 2025'!$E:$E,$A:$A),"-")</f>
        <v>2.74875</v>
      </c>
      <c r="M59" s="49">
        <f>IFERROR(AVERAGEIFS('Август 2025'!$K:$K,'Август 2025'!$E:$E,$A:$A),"-")</f>
        <v>2.65</v>
      </c>
      <c r="N59" s="49">
        <f>IFERROR(AVERAGEIFS('Сентябрь 2025'!$K:$K,'Сентябрь 2025'!$E:$E,$A:$A),"-")</f>
        <v>2.643333333</v>
      </c>
      <c r="O59" s="49">
        <f>IFERROR(AVERAGEIFS('Октябрь 2025'!$K:$K,'Октябрь 2025'!$E:$E,$A:$A),"-")</f>
        <v>2.636666667</v>
      </c>
      <c r="P59" s="49">
        <f>IFERROR(AVERAGEIFS('Ноябрь 2025'!$K:$K,'Ноябрь 2025'!$E:$E,$A:$A),"-")</f>
        <v>2.7</v>
      </c>
      <c r="Q59" s="49">
        <f>IFERROR(AVERAGEIFS('Декабрь 2025'!$K:$K,'Декабрь 2025'!$E:$E,$A:$A),"-")</f>
        <v>2.66</v>
      </c>
      <c r="R59" s="49">
        <f>IFERROR(AVERAGEIFS('Январь 2026'!$K:$K,'Январь 2026'!$E:$E,$A:$A),"-")</f>
        <v>2.72</v>
      </c>
      <c r="S59" s="49">
        <f>IFERROR(AVERAGEIFS('Февраль 2026'!$K:$K,'Февраль 2026'!$E:$E,$A:$A),"-")</f>
        <v>2.73</v>
      </c>
      <c r="T59" s="49">
        <f>IFERROR(AVERAGEIFS('Март 2026'!$K:$K,'Март 2026'!$E:$E,$A:$A),"-")</f>
        <v>2.68</v>
      </c>
      <c r="U59" s="49">
        <f>IFERROR(AVERAGEIFS('Апрель 2026'!$K:$K,'Апрель 2026'!$E:$E,$A:$A),"-")</f>
        <v>2.6425</v>
      </c>
      <c r="V59" s="49">
        <f>IFERROR(AVERAGEIFS('Май 2026'!$K:$K,'Май 2026'!$E:$E,$A:$A),"-")</f>
        <v>2.632</v>
      </c>
      <c r="W59" s="49" t="str">
        <f t="shared" si="1"/>
        <v>-</v>
      </c>
      <c r="X59" s="49" t="str">
        <f t="shared" si="2"/>
        <v>-</v>
      </c>
      <c r="Y59" s="48"/>
      <c r="Z59" s="48"/>
      <c r="AA59" s="48"/>
      <c r="AB59" s="48"/>
      <c r="AC59" s="48"/>
      <c r="AD59" s="48"/>
      <c r="AE59" s="48"/>
      <c r="AF59" s="48"/>
      <c r="AG59" s="48"/>
      <c r="AH59" s="48"/>
    </row>
    <row r="60">
      <c r="A60" s="51" t="s">
        <v>108</v>
      </c>
      <c r="B60" s="49" t="str">
        <f>IFERROR(AVERAGEIFS('Сентябрь 2024'!$K:$K,'Сентябрь 2024'!$E:$E,$A:$A),"-")</f>
        <v>-</v>
      </c>
      <c r="C60" s="49" t="str">
        <f>IFERROR(AVERAGEIFS('Октябрь 2024'!$K:$K,'Октябрь 2024'!$E:$E,$A:$A),"-")</f>
        <v>-</v>
      </c>
      <c r="D60" s="49" t="str">
        <f>IFERROR(AVERAGEIFS('Ноябрь 2024'!$K:$K,'Ноябрь 2024'!$E:$E,$A:$A),"-")</f>
        <v>-</v>
      </c>
      <c r="E60" s="49" t="str">
        <f>IFERROR(AVERAGEIFS('Декабрь 2024'!$K:$K,'Декабрь 2024'!$E:$E,$A:$A),"-")</f>
        <v>-</v>
      </c>
      <c r="F60" s="49" t="str">
        <f>IFERROR(AVERAGEIFS('Январь 2025'!$K:$K,'Январь 2025'!$E:$E,$A:$A),"-")</f>
        <v>-</v>
      </c>
      <c r="G60" s="49" t="str">
        <f>IFERROR(AVERAGEIFS('Февраль 2025 '!K:K,'Февраль 2025 '!E:E,A:A),"-")</f>
        <v>-</v>
      </c>
      <c r="H60" s="49" t="str">
        <f>IFERROR(AVERAGEIFS('Март 2025'!$K:$K,'Март 2025'!$E:$E,$A:$A),"-")</f>
        <v>-</v>
      </c>
      <c r="I60" s="49" t="str">
        <f>IFERROR(AVERAGEIFS('Апрель 2025'!$K:$K,'Апрель 2025'!$E:$E,$A:$A),"-")</f>
        <v>-</v>
      </c>
      <c r="J60" s="49" t="str">
        <f>IFERROR(AVERAGEIFS('Май 2025'!$K:$K,'Май 2025'!$E:$E,$A:$A),"-")</f>
        <v>-</v>
      </c>
      <c r="K60" s="49">
        <f>IFERROR(AVERAGEIFS('Июнь 2025'!$K:$K,'Июнь 2025'!$E:$E,$A:$A),"-")</f>
        <v>2.64</v>
      </c>
      <c r="L60" s="49" t="str">
        <f>IFERROR(AVERAGEIFS('Июль 2025'!$K:$K,'Июль 2025'!$E:$E,$A:$A),"-")</f>
        <v>-</v>
      </c>
      <c r="M60" s="49" t="str">
        <f>IFERROR(AVERAGEIFS('Август 2025'!$K:$K,'Август 2025'!$E:$E,$A:$A),"-")</f>
        <v>-</v>
      </c>
      <c r="N60" s="49">
        <f>IFERROR(AVERAGEIFS('Сентябрь 2025'!$K:$K,'Сентябрь 2025'!$E:$E,$A:$A),"-")</f>
        <v>1.63</v>
      </c>
      <c r="O60" s="49">
        <f>IFERROR(AVERAGEIFS('Октябрь 2025'!$K:$K,'Октябрь 2025'!$E:$E,$A:$A),"-")</f>
        <v>2.05</v>
      </c>
      <c r="P60" s="49" t="str">
        <f>IFERROR(AVERAGEIFS('Ноябрь 2025'!$K:$K,'Ноябрь 2025'!$E:$E,$A:$A),"-")</f>
        <v>-</v>
      </c>
      <c r="Q60" s="49" t="str">
        <f>IFERROR(AVERAGEIFS('Декабрь 2025'!$K:$K,'Декабрь 2025'!$E:$E,$A:$A),"-")</f>
        <v>-</v>
      </c>
      <c r="R60" s="49" t="str">
        <f>IFERROR(AVERAGEIFS('Январь 2026'!$K:$K,'Январь 2026'!$E:$E,$A:$A),"-")</f>
        <v>-</v>
      </c>
      <c r="S60" s="49">
        <f>IFERROR(AVERAGEIFS('Февраль 2026'!$K:$K,'Февраль 2026'!$E:$E,$A:$A),"-")</f>
        <v>2.4</v>
      </c>
      <c r="T60" s="49" t="str">
        <f>IFERROR(AVERAGEIFS('Март 2026'!$K:$K,'Март 2026'!$E:$E,$A:$A),"-")</f>
        <v>-</v>
      </c>
      <c r="U60" s="49">
        <f>IFERROR(AVERAGEIFS('Апрель 2026'!$K:$K,'Апрель 2026'!$E:$E,$A:$A),"-")</f>
        <v>2.26</v>
      </c>
      <c r="V60" s="49" t="str">
        <f>IFERROR(AVERAGEIFS('Май 2026'!$K:$K,'Май 2026'!$E:$E,$A:$A),"-")</f>
        <v>-</v>
      </c>
      <c r="W60" s="49" t="str">
        <f t="shared" si="1"/>
        <v>-</v>
      </c>
      <c r="X60" s="49" t="str">
        <f t="shared" si="2"/>
        <v>-</v>
      </c>
      <c r="Y60" s="48"/>
      <c r="Z60" s="48"/>
      <c r="AA60" s="48"/>
      <c r="AB60" s="48"/>
      <c r="AC60" s="48"/>
      <c r="AD60" s="48"/>
      <c r="AE60" s="48"/>
      <c r="AF60" s="48"/>
      <c r="AG60" s="48"/>
      <c r="AH60" s="48"/>
    </row>
    <row r="61">
      <c r="A61" s="51" t="s">
        <v>92</v>
      </c>
      <c r="B61" s="49">
        <f>IFERROR(AVERAGEIFS('Сентябрь 2024'!$K:$K,'Сентябрь 2024'!$E:$E,$A:$A),"-")</f>
        <v>2.7775</v>
      </c>
      <c r="C61" s="49" t="str">
        <f>IFERROR(AVERAGEIFS('Октябрь 2024'!$K:$K,'Октябрь 2024'!$E:$E,$A:$A),"-")</f>
        <v>-</v>
      </c>
      <c r="D61" s="49" t="str">
        <f>IFERROR(AVERAGEIFS('Ноябрь 2024'!$K:$K,'Ноябрь 2024'!$E:$E,$A:$A),"-")</f>
        <v>-</v>
      </c>
      <c r="E61" s="49" t="str">
        <f>IFERROR(AVERAGEIFS('Декабрь 2024'!$K:$K,'Декабрь 2024'!$E:$E,$A:$A),"-")</f>
        <v>-</v>
      </c>
      <c r="F61" s="49" t="str">
        <f>IFERROR(AVERAGEIFS('Январь 2025'!$K:$K,'Январь 2025'!$E:$E,$A:$A),"-")</f>
        <v>-</v>
      </c>
      <c r="G61" s="49" t="str">
        <f>IFERROR(AVERAGEIFS('Февраль 2025 '!K:K,'Февраль 2025 '!E:E,A:A),"-")</f>
        <v>-</v>
      </c>
      <c r="H61" s="49" t="str">
        <f>IFERROR(AVERAGEIFS('Март 2025'!$K:$K,'Март 2025'!$E:$E,$A:$A),"-")</f>
        <v>-</v>
      </c>
      <c r="I61" s="49" t="str">
        <f>IFERROR(AVERAGEIFS('Апрель 2025'!$K:$K,'Апрель 2025'!$E:$E,$A:$A),"-")</f>
        <v>-</v>
      </c>
      <c r="J61" s="49" t="str">
        <f>IFERROR(AVERAGEIFS('Май 2025'!$K:$K,'Май 2025'!$E:$E,$A:$A),"-")</f>
        <v>-</v>
      </c>
      <c r="K61" s="49" t="str">
        <f>IFERROR(AVERAGEIFS('Июнь 2025'!$K:$K,'Июнь 2025'!$E:$E,$A:$A),"-")</f>
        <v>-</v>
      </c>
      <c r="L61" s="49" t="str">
        <f>IFERROR(AVERAGEIFS('Июль 2025'!$K:$K,'Июль 2025'!$E:$E,$A:$A),"-")</f>
        <v>-</v>
      </c>
      <c r="M61" s="49" t="str">
        <f>IFERROR(AVERAGEIFS('Август 2025'!$K:$K,'Август 2025'!$E:$E,$A:$A),"-")</f>
        <v>-</v>
      </c>
      <c r="N61" s="49">
        <f>IFERROR(AVERAGEIFS('Сентябрь 2025'!$K:$K,'Сентябрь 2025'!$E:$E,$A:$A),"-")</f>
        <v>2.97</v>
      </c>
      <c r="O61" s="49">
        <f>IFERROR(AVERAGEIFS('Октябрь 2025'!$K:$K,'Октябрь 2025'!$E:$E,$A:$A),"-")</f>
        <v>2.75</v>
      </c>
      <c r="P61" s="49" t="str">
        <f>IFERROR(AVERAGEIFS('Ноябрь 2025'!$K:$K,'Ноябрь 2025'!$E:$E,$A:$A),"-")</f>
        <v>-</v>
      </c>
      <c r="Q61" s="49">
        <f>IFERROR(AVERAGEIFS('Декабрь 2025'!$K:$K,'Декабрь 2025'!$E:$E,$A:$A),"-")</f>
        <v>2.85</v>
      </c>
      <c r="R61" s="49">
        <f>IFERROR(AVERAGEIFS('Январь 2026'!$K:$K,'Январь 2026'!$E:$E,$A:$A),"-")</f>
        <v>2.96</v>
      </c>
      <c r="S61" s="49">
        <f>IFERROR(AVERAGEIFS('Февраль 2026'!$K:$K,'Февраль 2026'!$E:$E,$A:$A),"-")</f>
        <v>2.84</v>
      </c>
      <c r="T61" s="49">
        <f>IFERROR(AVERAGEIFS('Март 2026'!$K:$K,'Март 2026'!$E:$E,$A:$A),"-")</f>
        <v>2.98</v>
      </c>
      <c r="U61" s="49">
        <f>IFERROR(AVERAGEIFS('Апрель 2026'!$K:$K,'Апрель 2026'!$E:$E,$A:$A),"-")</f>
        <v>2.79</v>
      </c>
      <c r="V61" s="49">
        <f>IFERROR(AVERAGEIFS('Май 2026'!$K:$K,'Май 2026'!$E:$E,$A:$A),"-")</f>
        <v>2.82</v>
      </c>
      <c r="W61" s="49" t="str">
        <f t="shared" si="1"/>
        <v>-</v>
      </c>
      <c r="X61" s="49" t="str">
        <f t="shared" si="2"/>
        <v>-</v>
      </c>
      <c r="Y61" s="48"/>
      <c r="Z61" s="48"/>
      <c r="AA61" s="48"/>
      <c r="AB61" s="48"/>
      <c r="AC61" s="48"/>
      <c r="AD61" s="48"/>
      <c r="AE61" s="48"/>
      <c r="AF61" s="48"/>
      <c r="AG61" s="48"/>
      <c r="AH61" s="48"/>
    </row>
    <row r="62">
      <c r="A62" s="51" t="s">
        <v>98</v>
      </c>
      <c r="B62" s="49" t="str">
        <f>IFERROR(AVERAGEIFS('Сентябрь 2024'!$K:$K,'Сентябрь 2024'!$E:$E,$A:$A),"-")</f>
        <v>-</v>
      </c>
      <c r="C62" s="49" t="str">
        <f>IFERROR(AVERAGEIFS('Октябрь 2024'!$K:$K,'Октябрь 2024'!$E:$E,$A:$A),"-")</f>
        <v>-</v>
      </c>
      <c r="D62" s="49" t="str">
        <f>IFERROR(AVERAGEIFS('Ноябрь 2024'!$K:$K,'Ноябрь 2024'!$E:$E,$A:$A),"-")</f>
        <v>-</v>
      </c>
      <c r="E62" s="49" t="str">
        <f>IFERROR(AVERAGEIFS('Декабрь 2024'!$K:$K,'Декабрь 2024'!$E:$E,$A:$A),"-")</f>
        <v>-</v>
      </c>
      <c r="F62" s="49" t="str">
        <f>IFERROR(AVERAGEIFS('Январь 2025'!$K:$K,'Январь 2025'!$E:$E,$A:$A),"-")</f>
        <v>-</v>
      </c>
      <c r="G62" s="49" t="str">
        <f>IFERROR(AVERAGEIFS('Февраль 2025 '!K:K,'Февраль 2025 '!E:E,A:A),"-")</f>
        <v>-</v>
      </c>
      <c r="H62" s="49" t="str">
        <f>IFERROR(AVERAGEIFS('Март 2025'!$K:$K,'Март 2025'!$E:$E,$A:$A),"-")</f>
        <v>-</v>
      </c>
      <c r="I62" s="49" t="str">
        <f>IFERROR(AVERAGEIFS('Апрель 2025'!$K:$K,'Апрель 2025'!$E:$E,$A:$A),"-")</f>
        <v>-</v>
      </c>
      <c r="J62" s="49" t="str">
        <f>IFERROR(AVERAGEIFS('Май 2025'!$K:$K,'Май 2025'!$E:$E,$A:$A),"-")</f>
        <v>-</v>
      </c>
      <c r="K62" s="49" t="str">
        <f>IFERROR(AVERAGEIFS('Июнь 2025'!$K:$K,'Июнь 2025'!$E:$E,$A:$A),"-")</f>
        <v>-</v>
      </c>
      <c r="L62" s="49" t="str">
        <f>IFERROR(AVERAGEIFS('Июль 2025'!$K:$K,'Июль 2025'!$E:$E,$A:$A),"-")</f>
        <v>-</v>
      </c>
      <c r="M62" s="49" t="str">
        <f>IFERROR(AVERAGEIFS('Август 2025'!$K:$K,'Август 2025'!$E:$E,$A:$A),"-")</f>
        <v>-</v>
      </c>
      <c r="N62" s="49" t="str">
        <f>IFERROR(AVERAGEIFS('Сентябрь 2025'!$K:$K,'Сентябрь 2025'!$E:$E,$A:$A),"-")</f>
        <v>-</v>
      </c>
      <c r="O62" s="49">
        <f>IFERROR(AVERAGEIFS('Октябрь 2025'!$K:$K,'Октябрь 2025'!$E:$E,$A:$A),"-")</f>
        <v>2.04</v>
      </c>
      <c r="P62" s="49">
        <f>IFERROR(AVERAGEIFS('Ноябрь 2025'!$K:$K,'Ноябрь 2025'!$E:$E,$A:$A),"-")</f>
        <v>2.045</v>
      </c>
      <c r="Q62" s="49">
        <f>IFERROR(AVERAGEIFS('Декабрь 2025'!$K:$K,'Декабрь 2025'!$E:$E,$A:$A),"-")</f>
        <v>2</v>
      </c>
      <c r="R62" s="49">
        <f>IFERROR(AVERAGEIFS('Январь 2026'!$K:$K,'Январь 2026'!$E:$E,$A:$A),"-")</f>
        <v>2.05</v>
      </c>
      <c r="S62" s="49">
        <f>IFERROR(AVERAGEIFS('Февраль 2026'!$K:$K,'Февраль 2026'!$E:$E,$A:$A),"-")</f>
        <v>2.02</v>
      </c>
      <c r="T62" s="49">
        <f>IFERROR(AVERAGEIFS('Март 2026'!$K:$K,'Март 2026'!$E:$E,$A:$A),"-")</f>
        <v>2.04</v>
      </c>
      <c r="U62" s="49">
        <f>IFERROR(AVERAGEIFS('Апрель 2026'!$K:$K,'Апрель 2026'!$E:$E,$A:$A),"-")</f>
        <v>2.115</v>
      </c>
      <c r="V62" s="49">
        <f>IFERROR(AVERAGEIFS('Май 2026'!$K:$K,'Май 2026'!$E:$E,$A:$A),"-")</f>
        <v>2.3</v>
      </c>
      <c r="W62" s="49" t="str">
        <f t="shared" si="1"/>
        <v>-</v>
      </c>
      <c r="X62" s="49" t="str">
        <f t="shared" si="2"/>
        <v>-</v>
      </c>
      <c r="Y62" s="48"/>
      <c r="Z62" s="48"/>
      <c r="AA62" s="48"/>
      <c r="AB62" s="48"/>
      <c r="AC62" s="48"/>
      <c r="AD62" s="48"/>
      <c r="AE62" s="48"/>
      <c r="AF62" s="48"/>
      <c r="AG62" s="48"/>
      <c r="AH62" s="48"/>
    </row>
    <row r="63">
      <c r="A63" s="51" t="s">
        <v>55</v>
      </c>
      <c r="B63" s="49" t="str">
        <f>IFERROR(AVERAGEIFS('Сентябрь 2024'!$K:$K,'Сентябрь 2024'!$E:$E,$A:$A),"-")</f>
        <v>-</v>
      </c>
      <c r="C63" s="49" t="str">
        <f>IFERROR(AVERAGEIFS('Октябрь 2024'!$K:$K,'Октябрь 2024'!$E:$E,$A:$A),"-")</f>
        <v>-</v>
      </c>
      <c r="D63" s="49" t="str">
        <f>IFERROR(AVERAGEIFS('Ноябрь 2024'!$K:$K,'Ноябрь 2024'!$E:$E,$A:$A),"-")</f>
        <v>-</v>
      </c>
      <c r="E63" s="49" t="str">
        <f>IFERROR(AVERAGEIFS('Декабрь 2024'!$K:$K,'Декабрь 2024'!$E:$E,$A:$A),"-")</f>
        <v>-</v>
      </c>
      <c r="F63" s="49" t="str">
        <f>IFERROR(AVERAGEIFS('Январь 2025'!$K:$K,'Январь 2025'!$E:$E,$A:$A),"-")</f>
        <v>-</v>
      </c>
      <c r="G63" s="49">
        <f>IFERROR(AVERAGEIFS('Февраль 2025 '!K:K,'Февраль 2025 '!E:E,A:A),"-")</f>
        <v>2.62</v>
      </c>
      <c r="H63" s="49">
        <f>IFERROR(AVERAGEIFS('Март 2025'!$K:$K,'Март 2025'!$E:$E,$A:$A),"-")</f>
        <v>2.715</v>
      </c>
      <c r="I63" s="49" t="str">
        <f>IFERROR(AVERAGEIFS('Апрель 2025'!$K:$K,'Апрель 2025'!$E:$E,$A:$A),"-")</f>
        <v>-</v>
      </c>
      <c r="J63" s="49" t="str">
        <f>IFERROR(AVERAGEIFS('Май 2025'!$K:$K,'Май 2025'!$E:$E,$A:$A),"-")</f>
        <v>-</v>
      </c>
      <c r="K63" s="49" t="str">
        <f>IFERROR(AVERAGEIFS('Июнь 2025'!$K:$K,'Июнь 2025'!$E:$E,$A:$A),"-")</f>
        <v>-</v>
      </c>
      <c r="L63" s="49" t="str">
        <f>IFERROR(AVERAGEIFS('Июль 2025'!$K:$K,'Июль 2025'!$E:$E,$A:$A),"-")</f>
        <v>-</v>
      </c>
      <c r="M63" s="49" t="str">
        <f>IFERROR(AVERAGEIFS('Август 2025'!$K:$K,'Август 2025'!$E:$E,$A:$A),"-")</f>
        <v>-</v>
      </c>
      <c r="N63" s="49">
        <f>IFERROR(AVERAGEIFS('Сентябрь 2025'!$K:$K,'Сентябрь 2025'!$E:$E,$A:$A),"-")</f>
        <v>2.69</v>
      </c>
      <c r="O63" s="49">
        <f>IFERROR(AVERAGEIFS('Октябрь 2025'!$K:$K,'Октябрь 2025'!$E:$E,$A:$A),"-")</f>
        <v>2.6</v>
      </c>
      <c r="P63" s="49">
        <f>IFERROR(AVERAGEIFS('Ноябрь 2025'!$K:$K,'Ноябрь 2025'!$E:$E,$A:$A),"-")</f>
        <v>2.68</v>
      </c>
      <c r="Q63" s="49" t="str">
        <f>IFERROR(AVERAGEIFS('Декабрь 2025'!$K:$K,'Декабрь 2025'!$E:$E,$A:$A),"-")</f>
        <v>-</v>
      </c>
      <c r="R63" s="49">
        <f>IFERROR(AVERAGEIFS('Январь 2026'!$K:$K,'Январь 2026'!$E:$E,$A:$A),"-")</f>
        <v>2.74</v>
      </c>
      <c r="S63" s="49" t="str">
        <f>IFERROR(AVERAGEIFS('Февраль 2026'!$K:$K,'Февраль 2026'!$E:$E,$A:$A),"-")</f>
        <v>-</v>
      </c>
      <c r="T63" s="49">
        <f>IFERROR(AVERAGEIFS('Март 2026'!$K:$K,'Март 2026'!$E:$E,$A:$A),"-")</f>
        <v>2.75</v>
      </c>
      <c r="U63" s="49">
        <f>IFERROR(AVERAGEIFS('Апрель 2026'!$K:$K,'Апрель 2026'!$E:$E,$A:$A),"-")</f>
        <v>2.765</v>
      </c>
      <c r="V63" s="49">
        <f>IFERROR(AVERAGEIFS('Май 2026'!$K:$K,'Май 2026'!$E:$E,$A:$A),"-")</f>
        <v>2.78</v>
      </c>
      <c r="W63" s="49" t="str">
        <f t="shared" si="1"/>
        <v>-</v>
      </c>
      <c r="X63" s="49" t="str">
        <f t="shared" si="2"/>
        <v>-</v>
      </c>
      <c r="Y63" s="48"/>
      <c r="Z63" s="48"/>
      <c r="AA63" s="48"/>
      <c r="AB63" s="48"/>
      <c r="AC63" s="48"/>
      <c r="AD63" s="48"/>
      <c r="AE63" s="48"/>
      <c r="AF63" s="48"/>
      <c r="AG63" s="48"/>
      <c r="AH63" s="48"/>
    </row>
    <row r="64">
      <c r="A64" s="51" t="s">
        <v>69</v>
      </c>
      <c r="B64" s="49" t="str">
        <f>IFERROR(AVERAGEIFS('Сентябрь 2024'!$K:$K,'Сентябрь 2024'!$E:$E,$A:$A),"-")</f>
        <v>-</v>
      </c>
      <c r="C64" s="49">
        <f>IFERROR(AVERAGEIFS('Октябрь 2024'!$K:$K,'Октябрь 2024'!$E:$E,$A:$A),"-")</f>
        <v>2.1175</v>
      </c>
      <c r="D64" s="49">
        <f>IFERROR(AVERAGEIFS('Ноябрь 2024'!$K:$K,'Ноябрь 2024'!$E:$E,$A:$A),"-")</f>
        <v>2.16</v>
      </c>
      <c r="E64" s="49">
        <f>IFERROR(AVERAGEIFS('Декабрь 2024'!$K:$K,'Декабрь 2024'!$E:$E,$A:$A),"-")</f>
        <v>2.285</v>
      </c>
      <c r="F64" s="49" t="str">
        <f>IFERROR(AVERAGEIFS('Январь 2025'!$K:$K,'Январь 2025'!$E:$E,$A:$A),"-")</f>
        <v>-</v>
      </c>
      <c r="G64" s="49">
        <f>IFERROR(AVERAGEIFS('Февраль 2025 '!K:K,'Февраль 2025 '!E:E,A:A),"-")</f>
        <v>2.28</v>
      </c>
      <c r="H64" s="49" t="str">
        <f>IFERROR(AVERAGEIFS('Март 2025'!$K:$K,'Март 2025'!$E:$E,$A:$A),"-")</f>
        <v>-</v>
      </c>
      <c r="I64" s="49" t="str">
        <f>IFERROR(AVERAGEIFS('Апрель 2025'!$K:$K,'Апрель 2025'!$E:$E,$A:$A),"-")</f>
        <v>-</v>
      </c>
      <c r="J64" s="49" t="str">
        <f>IFERROR(AVERAGEIFS('Май 2025'!$K:$K,'Май 2025'!$E:$E,$A:$A),"-")</f>
        <v>-</v>
      </c>
      <c r="K64" s="49" t="str">
        <f>IFERROR(AVERAGEIFS('Июнь 2025'!$K:$K,'Июнь 2025'!$E:$E,$A:$A),"-")</f>
        <v>-</v>
      </c>
      <c r="L64" s="49" t="str">
        <f>IFERROR(AVERAGEIFS('Июль 2025'!$K:$K,'Июль 2025'!$E:$E,$A:$A),"-")</f>
        <v>-</v>
      </c>
      <c r="M64" s="49" t="str">
        <f>IFERROR(AVERAGEIFS('Август 2025'!$K:$K,'Август 2025'!$E:$E,$A:$A),"-")</f>
        <v>-</v>
      </c>
      <c r="N64" s="49" t="str">
        <f>IFERROR(AVERAGEIFS('Сентябрь 2025'!$K:$K,'Сентябрь 2025'!$E:$E,$A:$A),"-")</f>
        <v>-</v>
      </c>
      <c r="O64" s="49">
        <f>IFERROR(AVERAGEIFS('Октябрь 2025'!$K:$K,'Октябрь 2025'!$E:$E,$A:$A),"-")</f>
        <v>1.915</v>
      </c>
      <c r="P64" s="49" t="str">
        <f>IFERROR(AVERAGEIFS('Ноябрь 2025'!$K:$K,'Ноябрь 2025'!$E:$E,$A:$A),"-")</f>
        <v>-</v>
      </c>
      <c r="Q64" s="49" t="str">
        <f>IFERROR(AVERAGEIFS('Декабрь 2025'!$K:$K,'Декабрь 2025'!$E:$E,$A:$A),"-")</f>
        <v>-</v>
      </c>
      <c r="R64" s="49" t="str">
        <f>IFERROR(AVERAGEIFS('Январь 2026'!$K:$K,'Январь 2026'!$E:$E,$A:$A),"-")</f>
        <v>-</v>
      </c>
      <c r="S64" s="49" t="str">
        <f>IFERROR(AVERAGEIFS('Февраль 2026'!$K:$K,'Февраль 2026'!$E:$E,$A:$A),"-")</f>
        <v>-</v>
      </c>
      <c r="T64" s="49" t="str">
        <f>IFERROR(AVERAGEIFS('Март 2026'!$K:$K,'Март 2026'!$E:$E,$A:$A),"-")</f>
        <v>-</v>
      </c>
      <c r="U64" s="49" t="str">
        <f>IFERROR(AVERAGEIFS('Апрель 2026'!$K:$K,'Апрель 2026'!$E:$E,$A:$A),"-")</f>
        <v>-</v>
      </c>
      <c r="V64" s="49" t="str">
        <f>IFERROR(AVERAGEIFS('Май 2026'!$K:$K,'Май 2026'!$E:$E,$A:$A),"-")</f>
        <v>-</v>
      </c>
      <c r="W64" s="49" t="str">
        <f t="shared" si="1"/>
        <v>-</v>
      </c>
      <c r="X64" s="49" t="str">
        <f t="shared" si="2"/>
        <v>-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</row>
    <row r="65">
      <c r="A65" s="35" t="s">
        <v>109</v>
      </c>
      <c r="B65" s="49" t="str">
        <f>IFERROR(AVERAGEIFS('Сентябрь 2024'!$K:$K,'Сентябрь 2024'!$E:$E,$A:$A),"-")</f>
        <v>-</v>
      </c>
      <c r="C65" s="49" t="str">
        <f>IFERROR(AVERAGEIFS('Октябрь 2024'!$K:$K,'Октябрь 2024'!$E:$E,$A:$A),"-")</f>
        <v>-</v>
      </c>
      <c r="D65" s="49" t="str">
        <f>IFERROR(AVERAGEIFS('Ноябрь 2024'!$K:$K,'Ноябрь 2024'!$E:$E,$A:$A),"-")</f>
        <v>-</v>
      </c>
      <c r="E65" s="49" t="str">
        <f>IFERROR(AVERAGEIFS('Декабрь 2024'!$K:$K,'Декабрь 2024'!$E:$E,$A:$A),"-")</f>
        <v>-</v>
      </c>
      <c r="F65" s="49" t="str">
        <f>IFERROR(AVERAGEIFS('Январь 2025'!$K:$K,'Январь 2025'!$E:$E,$A:$A),"-")</f>
        <v>-</v>
      </c>
      <c r="G65" s="49" t="str">
        <f>IFERROR(AVERAGEIFS('Февраль 2025 '!K:K,'Февраль 2025 '!E:E,A:A),"-")</f>
        <v>-</v>
      </c>
      <c r="H65" s="49" t="str">
        <f>IFERROR(AVERAGEIFS('Март 2025'!$K:$K,'Март 2025'!$E:$E,$A:$A),"-")</f>
        <v>-</v>
      </c>
      <c r="I65" s="49" t="str">
        <f>IFERROR(AVERAGEIFS('Апрель 2025'!$K:$K,'Апрель 2025'!$E:$E,$A:$A),"-")</f>
        <v>-</v>
      </c>
      <c r="J65" s="49" t="str">
        <f>IFERROR(AVERAGEIFS('Май 2025'!$K:$K,'Май 2025'!$E:$E,$A:$A),"-")</f>
        <v>-</v>
      </c>
      <c r="K65" s="49" t="str">
        <f>IFERROR(AVERAGEIFS('Июнь 2025'!$K:$K,'Июнь 2025'!$E:$E,$A:$A),"-")</f>
        <v>-</v>
      </c>
      <c r="L65" s="49" t="str">
        <f>IFERROR(AVERAGEIFS('Июль 2025'!$K:$K,'Июль 2025'!$E:$E,$A:$A),"-")</f>
        <v>-</v>
      </c>
      <c r="M65" s="49" t="str">
        <f>IFERROR(AVERAGEIFS('Август 2025'!$K:$K,'Август 2025'!$E:$E,$A:$A),"-")</f>
        <v>-</v>
      </c>
      <c r="N65" s="49" t="str">
        <f>IFERROR(AVERAGEIFS('Сентябрь 2025'!$K:$K,'Сентябрь 2025'!$E:$E,$A:$A),"-")</f>
        <v>-</v>
      </c>
      <c r="O65" s="49" t="str">
        <f>IFERROR(AVERAGEIFS('Октябрь 2025'!$K:$K,'Октябрь 2025'!$E:$E,$A:$A),"-")</f>
        <v>-</v>
      </c>
      <c r="P65" s="49">
        <f>IFERROR(AVERAGEIFS('Ноябрь 2025'!$K:$K,'Ноябрь 2025'!$E:$E,$A:$A),"-")</f>
        <v>2.54</v>
      </c>
      <c r="Q65" s="49" t="str">
        <f>IFERROR(AVERAGEIFS('Декабрь 2025'!$K:$K,'Декабрь 2025'!$E:$E,$A:$A),"-")</f>
        <v>-</v>
      </c>
      <c r="R65" s="49" t="str">
        <f>IFERROR(AVERAGEIFS('Январь 2026'!$K:$K,'Январь 2026'!$E:$E,$A:$A),"-")</f>
        <v>-</v>
      </c>
      <c r="S65" s="49" t="str">
        <f>IFERROR(AVERAGEIFS('Февраль 2026'!$K:$K,'Февраль 2026'!$E:$E,$A:$A),"-")</f>
        <v>-</v>
      </c>
      <c r="T65" s="49" t="str">
        <f>IFERROR(AVERAGEIFS('Март 2026'!$K:$K,'Март 2026'!$E:$E,$A:$A),"-")</f>
        <v>-</v>
      </c>
      <c r="U65" s="49" t="str">
        <f>IFERROR(AVERAGEIFS('Апрель 2026'!$K:$K,'Апрель 2026'!$E:$E,$A:$A),"-")</f>
        <v>-</v>
      </c>
      <c r="V65" s="49" t="str">
        <f>IFERROR(AVERAGEIFS('Май 2026'!$K:$K,'Май 2026'!$E:$E,$A:$A),"-")</f>
        <v>-</v>
      </c>
      <c r="W65" s="49" t="str">
        <f t="shared" si="1"/>
        <v>-</v>
      </c>
      <c r="X65" s="49" t="str">
        <f t="shared" si="2"/>
        <v>-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</row>
    <row r="66">
      <c r="A66" s="52" t="s">
        <v>110</v>
      </c>
      <c r="B66" s="49" t="str">
        <f>IFERROR(AVERAGEIFS('Сентябрь 2024'!$K:$K,'Сентябрь 2024'!$E:$E,$A:$A),"-")</f>
        <v>-</v>
      </c>
      <c r="C66" s="49" t="str">
        <f>IFERROR(AVERAGEIFS('Октябрь 2024'!$K:$K,'Октябрь 2024'!$E:$E,$A:$A),"-")</f>
        <v>-</v>
      </c>
      <c r="D66" s="49" t="str">
        <f>IFERROR(AVERAGEIFS('Ноябрь 2024'!$K:$K,'Ноябрь 2024'!$E:$E,$A:$A),"-")</f>
        <v>-</v>
      </c>
      <c r="E66" s="49" t="str">
        <f>IFERROR(AVERAGEIFS('Декабрь 2024'!$K:$K,'Декабрь 2024'!$E:$E,$A:$A),"-")</f>
        <v>-</v>
      </c>
      <c r="F66" s="49" t="str">
        <f>IFERROR(AVERAGEIFS('Январь 2025'!$K:$K,'Январь 2025'!$E:$E,$A:$A),"-")</f>
        <v>-</v>
      </c>
      <c r="G66" s="49" t="str">
        <f>IFERROR(AVERAGEIFS('Февраль 2025 '!K:K,'Февраль 2025 '!E:E,A:A),"-")</f>
        <v>-</v>
      </c>
      <c r="H66" s="49" t="str">
        <f>IFERROR(AVERAGEIFS('Март 2025'!$K:$K,'Март 2025'!$E:$E,$A:$A),"-")</f>
        <v>-</v>
      </c>
      <c r="I66" s="49" t="str">
        <f>IFERROR(AVERAGEIFS('Апрель 2025'!$K:$K,'Апрель 2025'!$E:$E,$A:$A),"-")</f>
        <v>-</v>
      </c>
      <c r="J66" s="49" t="str">
        <f>IFERROR(AVERAGEIFS('Май 2025'!$K:$K,'Май 2025'!$E:$E,$A:$A),"-")</f>
        <v>-</v>
      </c>
      <c r="K66" s="49" t="str">
        <f>IFERROR(AVERAGEIFS('Июнь 2025'!$K:$K,'Июнь 2025'!$E:$E,$A:$A),"-")</f>
        <v>-</v>
      </c>
      <c r="L66" s="49" t="str">
        <f>IFERROR(AVERAGEIFS('Июль 2025'!$K:$K,'Июль 2025'!$E:$E,$A:$A),"-")</f>
        <v>-</v>
      </c>
      <c r="M66" s="49" t="str">
        <f>IFERROR(AVERAGEIFS('Август 2025'!$K:$K,'Август 2025'!$E:$E,$A:$A),"-")</f>
        <v>-</v>
      </c>
      <c r="N66" s="49" t="str">
        <f>IFERROR(AVERAGEIFS('Сентябрь 2025'!$K:$K,'Сентябрь 2025'!$E:$E,$A:$A),"-")</f>
        <v>-</v>
      </c>
      <c r="O66" s="49" t="str">
        <f>IFERROR(AVERAGEIFS('Октябрь 2025'!$K:$K,'Октябрь 2025'!$E:$E,$A:$A),"-")</f>
        <v>-</v>
      </c>
      <c r="P66" s="49">
        <f>IFERROR(AVERAGEIFS('Ноябрь 2025'!$K:$K,'Ноябрь 2025'!$E:$E,$A:$A),"-")</f>
        <v>2.67</v>
      </c>
      <c r="Q66" s="49" t="str">
        <f>IFERROR(AVERAGEIFS('Декабрь 2025'!$K:$K,'Декабрь 2025'!$E:$E,$A:$A),"-")</f>
        <v>-</v>
      </c>
      <c r="R66" s="49" t="str">
        <f>IFERROR(AVERAGEIFS('Январь 2026'!$K:$K,'Январь 2026'!$E:$E,$A:$A),"-")</f>
        <v>-</v>
      </c>
      <c r="S66" s="49" t="str">
        <f>IFERROR(AVERAGEIFS('Февраль 2026'!$K:$K,'Февраль 2026'!$E:$E,$A:$A),"-")</f>
        <v>-</v>
      </c>
      <c r="T66" s="49" t="str">
        <f>IFERROR(AVERAGEIFS('Март 2026'!$K:$K,'Март 2026'!$E:$E,$A:$A),"-")</f>
        <v>-</v>
      </c>
      <c r="U66" s="49" t="str">
        <f>IFERROR(AVERAGEIFS('Апрель 2026'!$K:$K,'Апрель 2026'!$E:$E,$A:$A),"-")</f>
        <v>-</v>
      </c>
      <c r="V66" s="49" t="str">
        <f>IFERROR(AVERAGEIFS('Май 2026'!$K:$K,'Май 2026'!$E:$E,$A:$A),"-")</f>
        <v>-</v>
      </c>
      <c r="W66" s="49" t="str">
        <f t="shared" si="1"/>
        <v>-</v>
      </c>
      <c r="X66" s="49" t="str">
        <f t="shared" si="2"/>
        <v>-</v>
      </c>
      <c r="Y66" s="48"/>
      <c r="Z66" s="48"/>
      <c r="AA66" s="48"/>
      <c r="AB66" s="48"/>
      <c r="AC66" s="48"/>
      <c r="AD66" s="48"/>
      <c r="AE66" s="48"/>
      <c r="AF66" s="48"/>
      <c r="AG66" s="48"/>
      <c r="AH66" s="48"/>
    </row>
    <row r="67">
      <c r="A67" s="35" t="s">
        <v>111</v>
      </c>
      <c r="B67" s="49" t="str">
        <f>IFERROR(AVERAGEIFS('Сентябрь 2024'!$K:$K,'Сентябрь 2024'!$E:$E,$A:$A),"-")</f>
        <v>-</v>
      </c>
      <c r="C67" s="49" t="str">
        <f>IFERROR(AVERAGEIFS('Октябрь 2024'!$K:$K,'Октябрь 2024'!$E:$E,$A:$A),"-")</f>
        <v>-</v>
      </c>
      <c r="D67" s="49" t="str">
        <f>IFERROR(AVERAGEIFS('Ноябрь 2024'!$K:$K,'Ноябрь 2024'!$E:$E,$A:$A),"-")</f>
        <v>-</v>
      </c>
      <c r="E67" s="49" t="str">
        <f>IFERROR(AVERAGEIFS('Декабрь 2024'!$K:$K,'Декабрь 2024'!$E:$E,$A:$A),"-")</f>
        <v>-</v>
      </c>
      <c r="F67" s="49" t="str">
        <f>IFERROR(AVERAGEIFS('Январь 2025'!$K:$K,'Январь 2025'!$E:$E,$A:$A),"-")</f>
        <v>-</v>
      </c>
      <c r="G67" s="49" t="str">
        <f>IFERROR(AVERAGEIFS('Февраль 2025 '!K:K,'Февраль 2025 '!E:E,A:A),"-")</f>
        <v>-</v>
      </c>
      <c r="H67" s="49" t="str">
        <f>IFERROR(AVERAGEIFS('Март 2025'!$K:$K,'Март 2025'!$E:$E,$A:$A),"-")</f>
        <v>-</v>
      </c>
      <c r="I67" s="49" t="str">
        <f>IFERROR(AVERAGEIFS('Апрель 2025'!$K:$K,'Апрель 2025'!$E:$E,$A:$A),"-")</f>
        <v>-</v>
      </c>
      <c r="J67" s="49" t="str">
        <f>IFERROR(AVERAGEIFS('Май 2025'!$K:$K,'Май 2025'!$E:$E,$A:$A),"-")</f>
        <v>-</v>
      </c>
      <c r="K67" s="49" t="str">
        <f>IFERROR(AVERAGEIFS('Июнь 2025'!$K:$K,'Июнь 2025'!$E:$E,$A:$A),"-")</f>
        <v>-</v>
      </c>
      <c r="L67" s="49" t="str">
        <f>IFERROR(AVERAGEIFS('Июль 2025'!$K:$K,'Июль 2025'!$E:$E,$A:$A),"-")</f>
        <v>-</v>
      </c>
      <c r="M67" s="49" t="str">
        <f>IFERROR(AVERAGEIFS('Август 2025'!$K:$K,'Август 2025'!$E:$E,$A:$A),"-")</f>
        <v>-</v>
      </c>
      <c r="N67" s="49" t="str">
        <f>IFERROR(AVERAGEIFS('Сентябрь 2025'!$K:$K,'Сентябрь 2025'!$E:$E,$A:$A),"-")</f>
        <v>-</v>
      </c>
      <c r="O67" s="49" t="str">
        <f>IFERROR(AVERAGEIFS('Октябрь 2025'!$K:$K,'Октябрь 2025'!$E:$E,$A:$A),"-")</f>
        <v>-</v>
      </c>
      <c r="P67" s="49">
        <f>IFERROR(AVERAGEIFS('Ноябрь 2025'!$K:$K,'Ноябрь 2025'!$E:$E,$A:$A),"-")</f>
        <v>3.34</v>
      </c>
      <c r="Q67" s="49">
        <f>IFERROR(AVERAGEIFS('Декабрь 2025'!$K:$K,'Декабрь 2025'!$E:$E,$A:$A),"-")</f>
        <v>2.63</v>
      </c>
      <c r="R67" s="49" t="str">
        <f>IFERROR(AVERAGEIFS('Январь 2026'!$K:$K,'Январь 2026'!$E:$E,$A:$A),"-")</f>
        <v>-</v>
      </c>
      <c r="S67" s="49" t="str">
        <f>IFERROR(AVERAGEIFS('Февраль 2026'!$K:$K,'Февраль 2026'!$E:$E,$A:$A),"-")</f>
        <v>-</v>
      </c>
      <c r="T67" s="49" t="str">
        <f>IFERROR(AVERAGEIFS('Март 2026'!$K:$K,'Март 2026'!$E:$E,$A:$A),"-")</f>
        <v>-</v>
      </c>
      <c r="U67" s="49" t="str">
        <f>IFERROR(AVERAGEIFS('Апрель 2026'!$K:$K,'Апрель 2026'!$E:$E,$A:$A),"-")</f>
        <v>-</v>
      </c>
      <c r="V67" s="49" t="str">
        <f>IFERROR(AVERAGEIFS('Май 2026'!$K:$K,'Май 2026'!$E:$E,$A:$A),"-")</f>
        <v>-</v>
      </c>
      <c r="W67" s="49" t="str">
        <f t="shared" si="1"/>
        <v>-</v>
      </c>
      <c r="X67" s="49" t="str">
        <f t="shared" si="2"/>
        <v>-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</row>
    <row r="68">
      <c r="A68" s="35" t="s">
        <v>112</v>
      </c>
      <c r="B68" s="49" t="str">
        <f>IFERROR(AVERAGEIFS('Сентябрь 2024'!$K:$K,'Сентябрь 2024'!$E:$E,$A:$A),"-")</f>
        <v>-</v>
      </c>
      <c r="C68" s="49" t="str">
        <f>IFERROR(AVERAGEIFS('Октябрь 2024'!$K:$K,'Октябрь 2024'!$E:$E,$A:$A),"-")</f>
        <v>-</v>
      </c>
      <c r="D68" s="49" t="str">
        <f>IFERROR(AVERAGEIFS('Ноябрь 2024'!$K:$K,'Ноябрь 2024'!$E:$E,$A:$A),"-")</f>
        <v>-</v>
      </c>
      <c r="E68" s="49" t="str">
        <f>IFERROR(AVERAGEIFS('Декабрь 2024'!$K:$K,'Декабрь 2024'!$E:$E,$A:$A),"-")</f>
        <v>-</v>
      </c>
      <c r="F68" s="49" t="str">
        <f>IFERROR(AVERAGEIFS('Январь 2025'!$K:$K,'Январь 2025'!$E:$E,$A:$A),"-")</f>
        <v>-</v>
      </c>
      <c r="G68" s="49" t="str">
        <f>IFERROR(AVERAGEIFS('Февраль 2025 '!K:K,'Февраль 2025 '!E:E,A:A),"-")</f>
        <v>-</v>
      </c>
      <c r="H68" s="49" t="str">
        <f>IFERROR(AVERAGEIFS('Март 2025'!$K:$K,'Март 2025'!$E:$E,$A:$A),"-")</f>
        <v>-</v>
      </c>
      <c r="I68" s="49" t="str">
        <f>IFERROR(AVERAGEIFS('Апрель 2025'!$K:$K,'Апрель 2025'!$E:$E,$A:$A),"-")</f>
        <v>-</v>
      </c>
      <c r="J68" s="49" t="str">
        <f>IFERROR(AVERAGEIFS('Май 2025'!$K:$K,'Май 2025'!$E:$E,$A:$A),"-")</f>
        <v>-</v>
      </c>
      <c r="K68" s="49" t="str">
        <f>IFERROR(AVERAGEIFS('Июнь 2025'!$K:$K,'Июнь 2025'!$E:$E,$A:$A),"-")</f>
        <v>-</v>
      </c>
      <c r="L68" s="49" t="str">
        <f>IFERROR(AVERAGEIFS('Июль 2025'!$K:$K,'Июль 2025'!$E:$E,$A:$A),"-")</f>
        <v>-</v>
      </c>
      <c r="M68" s="49" t="str">
        <f>IFERROR(AVERAGEIFS('Август 2025'!$K:$K,'Август 2025'!$E:$E,$A:$A),"-")</f>
        <v>-</v>
      </c>
      <c r="N68" s="49" t="str">
        <f>IFERROR(AVERAGEIFS('Сентябрь 2025'!$K:$K,'Сентябрь 2025'!$E:$E,$A:$A),"-")</f>
        <v>-</v>
      </c>
      <c r="O68" s="49" t="str">
        <f>IFERROR(AVERAGEIFS('Октябрь 2025'!$K:$K,'Октябрь 2025'!$E:$E,$A:$A),"-")</f>
        <v>-</v>
      </c>
      <c r="P68" s="49" t="str">
        <f>IFERROR(AVERAGEIFS('Ноябрь 2025'!$K:$K,'Ноябрь 2025'!$E:$E,$A:$A),"-")</f>
        <v>-</v>
      </c>
      <c r="Q68" s="49">
        <f>IFERROR(AVERAGEIFS('Декабрь 2025'!$K:$K,'Декабрь 2025'!$E:$E,$A:$A),"-")</f>
        <v>2.76</v>
      </c>
      <c r="R68" s="49" t="str">
        <f>IFERROR(AVERAGEIFS('Январь 2026'!$K:$K,'Январь 2026'!$E:$E,$A:$A),"-")</f>
        <v>-</v>
      </c>
      <c r="S68" s="49" t="str">
        <f>IFERROR(AVERAGEIFS('Февраль 2026'!$K:$K,'Февраль 2026'!$E:$E,$A:$A),"-")</f>
        <v>-</v>
      </c>
      <c r="T68" s="49" t="str">
        <f>IFERROR(AVERAGEIFS('Март 2026'!$K:$K,'Март 2026'!$E:$E,$A:$A),"-")</f>
        <v>-</v>
      </c>
      <c r="U68" s="49" t="str">
        <f>IFERROR(AVERAGEIFS('Апрель 2026'!$K:$K,'Апрель 2026'!$E:$E,$A:$A),"-")</f>
        <v>-</v>
      </c>
      <c r="V68" s="49" t="str">
        <f>IFERROR(AVERAGEIFS('Май 2026'!$K:$K,'Май 2026'!$E:$E,$A:$A),"-")</f>
        <v>-</v>
      </c>
      <c r="W68" s="49" t="str">
        <f t="shared" si="1"/>
        <v>-</v>
      </c>
      <c r="X68" s="49" t="str">
        <f t="shared" si="2"/>
        <v>-</v>
      </c>
      <c r="Y68" s="48"/>
      <c r="Z68" s="48"/>
      <c r="AA68" s="48"/>
      <c r="AB68" s="48"/>
      <c r="AC68" s="48"/>
      <c r="AD68" s="48"/>
      <c r="AE68" s="48"/>
      <c r="AF68" s="48"/>
      <c r="AG68" s="48"/>
      <c r="AH68" s="48"/>
    </row>
    <row r="69">
      <c r="A69" s="35" t="s">
        <v>113</v>
      </c>
      <c r="B69" s="49" t="str">
        <f>IFERROR(AVERAGEIFS('Сентябрь 2024'!$K:$K,'Сентябрь 2024'!$E:$E,$A:$A),"-")</f>
        <v>-</v>
      </c>
      <c r="C69" s="49" t="str">
        <f>IFERROR(AVERAGEIFS('Октябрь 2024'!$K:$K,'Октябрь 2024'!$E:$E,$A:$A),"-")</f>
        <v>-</v>
      </c>
      <c r="D69" s="49" t="str">
        <f>IFERROR(AVERAGEIFS('Ноябрь 2024'!$K:$K,'Ноябрь 2024'!$E:$E,$A:$A),"-")</f>
        <v>-</v>
      </c>
      <c r="E69" s="49" t="str">
        <f>IFERROR(AVERAGEIFS('Декабрь 2024'!$K:$K,'Декабрь 2024'!$E:$E,$A:$A),"-")</f>
        <v>-</v>
      </c>
      <c r="F69" s="49" t="str">
        <f>IFERROR(AVERAGEIFS('Январь 2025'!$K:$K,'Январь 2025'!$E:$E,$A:$A),"-")</f>
        <v>-</v>
      </c>
      <c r="G69" s="49" t="str">
        <f>IFERROR(AVERAGEIFS('Февраль 2025 '!K:K,'Февраль 2025 '!E:E,A:A),"-")</f>
        <v>-</v>
      </c>
      <c r="H69" s="49" t="str">
        <f>IFERROR(AVERAGEIFS('Март 2025'!$K:$K,'Март 2025'!$E:$E,$A:$A),"-")</f>
        <v>-</v>
      </c>
      <c r="I69" s="49" t="str">
        <f>IFERROR(AVERAGEIFS('Апрель 2025'!$K:$K,'Апрель 2025'!$E:$E,$A:$A),"-")</f>
        <v>-</v>
      </c>
      <c r="J69" s="49" t="str">
        <f>IFERROR(AVERAGEIFS('Май 2025'!$K:$K,'Май 2025'!$E:$E,$A:$A),"-")</f>
        <v>-</v>
      </c>
      <c r="K69" s="49" t="str">
        <f>IFERROR(AVERAGEIFS('Июнь 2025'!$K:$K,'Июнь 2025'!$E:$E,$A:$A),"-")</f>
        <v>-</v>
      </c>
      <c r="L69" s="49" t="str">
        <f>IFERROR(AVERAGEIFS('Июль 2025'!$K:$K,'Июль 2025'!$E:$E,$A:$A),"-")</f>
        <v>-</v>
      </c>
      <c r="M69" s="49" t="str">
        <f>IFERROR(AVERAGEIFS('Август 2025'!$K:$K,'Август 2025'!$E:$E,$A:$A),"-")</f>
        <v>-</v>
      </c>
      <c r="N69" s="49" t="str">
        <f>IFERROR(AVERAGEIFS('Сентябрь 2025'!$K:$K,'Сентябрь 2025'!$E:$E,$A:$A),"-")</f>
        <v>-</v>
      </c>
      <c r="O69" s="49" t="str">
        <f>IFERROR(AVERAGEIFS('Октябрь 2025'!$K:$K,'Октябрь 2025'!$E:$E,$A:$A),"-")</f>
        <v>-</v>
      </c>
      <c r="P69" s="49" t="str">
        <f>IFERROR(AVERAGEIFS('Ноябрь 2025'!$K:$K,'Ноябрь 2025'!$E:$E,$A:$A),"-")</f>
        <v>-</v>
      </c>
      <c r="Q69" s="49">
        <f>IFERROR(AVERAGEIFS('Декабрь 2025'!$K:$K,'Декабрь 2025'!$E:$E,$A:$A),"-")</f>
        <v>2.43</v>
      </c>
      <c r="R69" s="49" t="str">
        <f>IFERROR(AVERAGEIFS('Январь 2026'!$K:$K,'Январь 2026'!$E:$E,$A:$A),"-")</f>
        <v>-</v>
      </c>
      <c r="S69" s="49" t="str">
        <f>IFERROR(AVERAGEIFS('Февраль 2026'!$K:$K,'Февраль 2026'!$E:$E,$A:$A),"-")</f>
        <v>-</v>
      </c>
      <c r="T69" s="49" t="str">
        <f>IFERROR(AVERAGEIFS('Март 2026'!$K:$K,'Март 2026'!$E:$E,$A:$A),"-")</f>
        <v>-</v>
      </c>
      <c r="U69" s="49" t="str">
        <f>IFERROR(AVERAGEIFS('Апрель 2026'!$K:$K,'Апрель 2026'!$E:$E,$A:$A),"-")</f>
        <v>-</v>
      </c>
      <c r="V69" s="49" t="str">
        <f>IFERROR(AVERAGEIFS('Май 2026'!$K:$K,'Май 2026'!$E:$E,$A:$A),"-")</f>
        <v>-</v>
      </c>
      <c r="W69" s="49" t="str">
        <f t="shared" si="1"/>
        <v>-</v>
      </c>
      <c r="X69" s="49" t="str">
        <f t="shared" si="2"/>
        <v>-</v>
      </c>
      <c r="Y69" s="48"/>
      <c r="Z69" s="48"/>
      <c r="AA69" s="48"/>
      <c r="AB69" s="48"/>
      <c r="AC69" s="48"/>
      <c r="AD69" s="48"/>
      <c r="AE69" s="48"/>
      <c r="AF69" s="48"/>
      <c r="AG69" s="48"/>
      <c r="AH69" s="48"/>
    </row>
    <row r="70">
      <c r="A70" s="14" t="s">
        <v>114</v>
      </c>
      <c r="B70" s="49" t="str">
        <f>IFERROR(AVERAGEIFS('Сентябрь 2024'!$K:$K,'Сентябрь 2024'!$E:$E,$A:$A),"-")</f>
        <v>-</v>
      </c>
      <c r="C70" s="49" t="str">
        <f>IFERROR(AVERAGEIFS('Октябрь 2024'!$K:$K,'Октябрь 2024'!$E:$E,$A:$A),"-")</f>
        <v>-</v>
      </c>
      <c r="D70" s="49" t="str">
        <f>IFERROR(AVERAGEIFS('Ноябрь 2024'!$K:$K,'Ноябрь 2024'!$E:$E,$A:$A),"-")</f>
        <v>-</v>
      </c>
      <c r="E70" s="49" t="str">
        <f>IFERROR(AVERAGEIFS('Декабрь 2024'!$K:$K,'Декабрь 2024'!$E:$E,$A:$A),"-")</f>
        <v>-</v>
      </c>
      <c r="F70" s="49" t="str">
        <f>IFERROR(AVERAGEIFS('Январь 2025'!$K:$K,'Январь 2025'!$E:$E,$A:$A),"-")</f>
        <v>-</v>
      </c>
      <c r="G70" s="49" t="str">
        <f>IFERROR(AVERAGEIFS('Февраль 2025 '!K:K,'Февраль 2025 '!E:E,A:A),"-")</f>
        <v>-</v>
      </c>
      <c r="H70" s="49" t="str">
        <f>IFERROR(AVERAGEIFS('Март 2025'!$K:$K,'Март 2025'!$E:$E,$A:$A),"-")</f>
        <v>-</v>
      </c>
      <c r="I70" s="49" t="str">
        <f>IFERROR(AVERAGEIFS('Апрель 2025'!$K:$K,'Апрель 2025'!$E:$E,$A:$A),"-")</f>
        <v>-</v>
      </c>
      <c r="J70" s="49" t="str">
        <f>IFERROR(AVERAGEIFS('Май 2025'!$K:$K,'Май 2025'!$E:$E,$A:$A),"-")</f>
        <v>-</v>
      </c>
      <c r="K70" s="49" t="str">
        <f>IFERROR(AVERAGEIFS('Июнь 2025'!$K:$K,'Июнь 2025'!$E:$E,$A:$A),"-")</f>
        <v>-</v>
      </c>
      <c r="L70" s="49" t="str">
        <f>IFERROR(AVERAGEIFS('Июль 2025'!$K:$K,'Июль 2025'!$E:$E,$A:$A),"-")</f>
        <v>-</v>
      </c>
      <c r="M70" s="49" t="str">
        <f>IFERROR(AVERAGEIFS('Август 2025'!$K:$K,'Август 2025'!$E:$E,$A:$A),"-")</f>
        <v>-</v>
      </c>
      <c r="N70" s="49" t="str">
        <f>IFERROR(AVERAGEIFS('Сентябрь 2025'!$K:$K,'Сентябрь 2025'!$E:$E,$A:$A),"-")</f>
        <v>-</v>
      </c>
      <c r="O70" s="49" t="str">
        <f>IFERROR(AVERAGEIFS('Октябрь 2025'!$K:$K,'Октябрь 2025'!$E:$E,$A:$A),"-")</f>
        <v>-</v>
      </c>
      <c r="P70" s="49" t="str">
        <f>IFERROR(AVERAGEIFS('Ноябрь 2025'!$K:$K,'Ноябрь 2025'!$E:$E,$A:$A),"-")</f>
        <v>-</v>
      </c>
      <c r="Q70" s="49">
        <f>IFERROR(AVERAGEIFS('Декабрь 2025'!$K:$K,'Декабрь 2025'!$E:$E,$A:$A),"-")</f>
        <v>5.44</v>
      </c>
      <c r="R70" s="49" t="str">
        <f>IFERROR(AVERAGEIFS('Январь 2026'!$K:$K,'Январь 2026'!$E:$E,$A:$A),"-")</f>
        <v>-</v>
      </c>
      <c r="S70" s="49" t="str">
        <f>IFERROR(AVERAGEIFS('Февраль 2026'!$K:$K,'Февраль 2026'!$E:$E,$A:$A),"-")</f>
        <v>-</v>
      </c>
      <c r="T70" s="49" t="str">
        <f>IFERROR(AVERAGEIFS('Март 2026'!$K:$K,'Март 2026'!$E:$E,$A:$A),"-")</f>
        <v>-</v>
      </c>
      <c r="U70" s="49" t="str">
        <f>IFERROR(AVERAGEIFS('Апрель 2026'!$K:$K,'Апрель 2026'!$E:$E,$A:$A),"-")</f>
        <v>-</v>
      </c>
      <c r="V70" s="49" t="str">
        <f>IFERROR(AVERAGEIFS('Май 2026'!$K:$K,'Май 2026'!$E:$E,$A:$A),"-")</f>
        <v>-</v>
      </c>
      <c r="W70" s="49" t="str">
        <f t="shared" si="1"/>
        <v>-</v>
      </c>
      <c r="X70" s="49" t="str">
        <f t="shared" si="2"/>
        <v>-</v>
      </c>
      <c r="Y70" s="48"/>
      <c r="Z70" s="48"/>
      <c r="AA70" s="48"/>
      <c r="AB70" s="48"/>
      <c r="AC70" s="48"/>
      <c r="AD70" s="48"/>
      <c r="AE70" s="48"/>
      <c r="AF70" s="48"/>
      <c r="AG70" s="48"/>
      <c r="AH70" s="48"/>
    </row>
    <row r="71">
      <c r="A71" s="53" t="s">
        <v>115</v>
      </c>
      <c r="B71" s="49" t="str">
        <f>IFERROR(AVERAGEIFS('Сентябрь 2024'!$K:$K,'Сентябрь 2024'!$E:$E,$A:$A),"-")</f>
        <v>-</v>
      </c>
      <c r="C71" s="49" t="str">
        <f>IFERROR(AVERAGEIFS('Октябрь 2024'!$K:$K,'Октябрь 2024'!$E:$E,$A:$A),"-")</f>
        <v>-</v>
      </c>
      <c r="D71" s="49" t="str">
        <f>IFERROR(AVERAGEIFS('Ноябрь 2024'!$K:$K,'Ноябрь 2024'!$E:$E,$A:$A),"-")</f>
        <v>-</v>
      </c>
      <c r="E71" s="49" t="str">
        <f>IFERROR(AVERAGEIFS('Декабрь 2024'!$K:$K,'Декабрь 2024'!$E:$E,$A:$A),"-")</f>
        <v>-</v>
      </c>
      <c r="F71" s="49" t="str">
        <f>IFERROR(AVERAGEIFS('Январь 2025'!$K:$K,'Январь 2025'!$E:$E,$A:$A),"-")</f>
        <v>-</v>
      </c>
      <c r="G71" s="49" t="str">
        <f>IFERROR(AVERAGEIFS('Февраль 2025 '!K:K,'Февраль 2025 '!E:E,A:A),"-")</f>
        <v>-</v>
      </c>
      <c r="H71" s="49" t="str">
        <f>IFERROR(AVERAGEIFS('Март 2025'!$K:$K,'Март 2025'!$E:$E,$A:$A),"-")</f>
        <v>-</v>
      </c>
      <c r="I71" s="49" t="str">
        <f>IFERROR(AVERAGEIFS('Апрель 2025'!$K:$K,'Апрель 2025'!$E:$E,$A:$A),"-")</f>
        <v>-</v>
      </c>
      <c r="J71" s="49" t="str">
        <f>IFERROR(AVERAGEIFS('Май 2025'!$K:$K,'Май 2025'!$E:$E,$A:$A),"-")</f>
        <v>-</v>
      </c>
      <c r="K71" s="49" t="str">
        <f>IFERROR(AVERAGEIFS('Июнь 2025'!$K:$K,'Июнь 2025'!$E:$E,$A:$A),"-")</f>
        <v>-</v>
      </c>
      <c r="L71" s="49" t="str">
        <f>IFERROR(AVERAGEIFS('Июль 2025'!$K:$K,'Июль 2025'!$E:$E,$A:$A),"-")</f>
        <v>-</v>
      </c>
      <c r="M71" s="49" t="str">
        <f>IFERROR(AVERAGEIFS('Август 2025'!$K:$K,'Август 2025'!$E:$E,$A:$A),"-")</f>
        <v>-</v>
      </c>
      <c r="N71" s="49" t="str">
        <f>IFERROR(AVERAGEIFS('Сентябрь 2025'!$K:$K,'Сентябрь 2025'!$E:$E,$A:$A),"-")</f>
        <v>-</v>
      </c>
      <c r="O71" s="49" t="str">
        <f>IFERROR(AVERAGEIFS('Октябрь 2025'!$K:$K,'Октябрь 2025'!$E:$E,$A:$A),"-")</f>
        <v>-</v>
      </c>
      <c r="P71" s="49" t="str">
        <f>IFERROR(AVERAGEIFS('Ноябрь 2025'!$K:$K,'Ноябрь 2025'!$E:$E,$A:$A),"-")</f>
        <v>-</v>
      </c>
      <c r="Q71" s="49" t="str">
        <f>IFERROR(AVERAGEIFS('Декабрь 2025'!$K:$K,'Декабрь 2025'!$E:$E,$A:$A),"-")</f>
        <v>-</v>
      </c>
      <c r="R71" s="49" t="str">
        <f>IFERROR(AVERAGEIFS('Январь 2026'!$K:$K,'Январь 2026'!$E:$E,$A:$A),"-")</f>
        <v>-</v>
      </c>
      <c r="S71" s="49" t="str">
        <f>IFERROR(AVERAGEIFS('Февраль 2026'!$K:$K,'Февраль 2026'!$E:$E,$A:$A),"-")</f>
        <v>-</v>
      </c>
      <c r="T71" s="49">
        <f>IFERROR(AVERAGEIFS('Март 2026'!$K:$K,'Март 2026'!$E:$E,$A:$A),"-")</f>
        <v>2.99</v>
      </c>
      <c r="U71" s="49">
        <f>IFERROR(AVERAGEIFS('Апрель 2026'!$K:$K,'Апрель 2026'!$E:$E,$A:$A),"-")</f>
        <v>2.975</v>
      </c>
      <c r="V71" s="49" t="str">
        <f>IFERROR(AVERAGEIFS('Май 2026'!$K:$K,'Май 2026'!$E:$E,$A:$A),"-")</f>
        <v>-</v>
      </c>
      <c r="W71" s="49" t="str">
        <f t="shared" si="1"/>
        <v>-</v>
      </c>
      <c r="X71" s="49" t="str">
        <f t="shared" si="2"/>
        <v>-</v>
      </c>
      <c r="Y71" s="48"/>
      <c r="Z71" s="48"/>
      <c r="AA71" s="48"/>
      <c r="AB71" s="48"/>
      <c r="AC71" s="48"/>
      <c r="AD71" s="48"/>
      <c r="AE71" s="48"/>
      <c r="AF71" s="48"/>
      <c r="AG71" s="48"/>
      <c r="AH71" s="48"/>
    </row>
    <row r="72">
      <c r="A72" s="51" t="s">
        <v>116</v>
      </c>
      <c r="B72" s="49" t="str">
        <f>IFERROR(AVERAGEIFS('Сентябрь 2024'!$K:$K,'Сентябрь 2024'!$E:$E,$A:$A),"-")</f>
        <v>-</v>
      </c>
      <c r="C72" s="49" t="str">
        <f>IFERROR(AVERAGEIFS('Октябрь 2024'!$K:$K,'Октябрь 2024'!$E:$E,$A:$A),"-")</f>
        <v>-</v>
      </c>
      <c r="D72" s="49" t="str">
        <f>IFERROR(AVERAGEIFS('Ноябрь 2024'!$K:$K,'Ноябрь 2024'!$E:$E,$A:$A),"-")</f>
        <v>-</v>
      </c>
      <c r="E72" s="49" t="str">
        <f>IFERROR(AVERAGEIFS('Декабрь 2024'!$K:$K,'Декабрь 2024'!$E:$E,$A:$A),"-")</f>
        <v>-</v>
      </c>
      <c r="F72" s="49" t="str">
        <f>IFERROR(AVERAGEIFS('Январь 2025'!$K:$K,'Январь 2025'!$E:$E,$A:$A),"-")</f>
        <v>-</v>
      </c>
      <c r="G72" s="49" t="str">
        <f>IFERROR(AVERAGEIFS('Февраль 2025 '!K:K,'Февраль 2025 '!E:E,A:A),"-")</f>
        <v>-</v>
      </c>
      <c r="H72" s="49" t="str">
        <f>IFERROR(AVERAGEIFS('Март 2025'!$K:$K,'Март 2025'!$E:$E,$A:$A),"-")</f>
        <v>-</v>
      </c>
      <c r="I72" s="49" t="str">
        <f>IFERROR(AVERAGEIFS('Апрель 2025'!$K:$K,'Апрель 2025'!$E:$E,$A:$A),"-")</f>
        <v>-</v>
      </c>
      <c r="J72" s="49" t="str">
        <f>IFERROR(AVERAGEIFS('Май 2025'!$K:$K,'Май 2025'!$E:$E,$A:$A),"-")</f>
        <v>-</v>
      </c>
      <c r="K72" s="49" t="str">
        <f>IFERROR(AVERAGEIFS('Июнь 2025'!$K:$K,'Июнь 2025'!$E:$E,$A:$A),"-")</f>
        <v>-</v>
      </c>
      <c r="L72" s="49" t="str">
        <f>IFERROR(AVERAGEIFS('Июль 2025'!$K:$K,'Июль 2025'!$E:$E,$A:$A),"-")</f>
        <v>-</v>
      </c>
      <c r="M72" s="49" t="str">
        <f>IFERROR(AVERAGEIFS('Август 2025'!$K:$K,'Август 2025'!$E:$E,$A:$A),"-")</f>
        <v>-</v>
      </c>
      <c r="N72" s="49" t="str">
        <f>IFERROR(AVERAGEIFS('Сентябрь 2025'!$K:$K,'Сентябрь 2025'!$E:$E,$A:$A),"-")</f>
        <v>-</v>
      </c>
      <c r="O72" s="49" t="str">
        <f>IFERROR(AVERAGEIFS('Октябрь 2025'!$K:$K,'Октябрь 2025'!$E:$E,$A:$A),"-")</f>
        <v>-</v>
      </c>
      <c r="P72" s="49" t="str">
        <f>IFERROR(AVERAGEIFS('Ноябрь 2025'!$K:$K,'Ноябрь 2025'!$E:$E,$A:$A),"-")</f>
        <v>-</v>
      </c>
      <c r="Q72" s="49" t="str">
        <f>IFERROR(AVERAGEIFS('Декабрь 2025'!$K:$K,'Декабрь 2025'!$E:$E,$A:$A),"-")</f>
        <v>-</v>
      </c>
      <c r="R72" s="49" t="str">
        <f>IFERROR(AVERAGEIFS('Январь 2026'!$K:$K,'Январь 2026'!$E:$E,$A:$A),"-")</f>
        <v>-</v>
      </c>
      <c r="S72" s="49">
        <f>IFERROR(AVERAGEIFS('Февраль 2026'!$K:$K,'Февраль 2026'!$E:$E,$A:$A),"-")</f>
        <v>2.56</v>
      </c>
      <c r="T72" s="49">
        <f>IFERROR(AVERAGEIFS('Март 2026'!$K:$K,'Март 2026'!$E:$E,$A:$A),"-")</f>
        <v>2.63</v>
      </c>
      <c r="U72" s="49">
        <f>IFERROR(AVERAGEIFS('Апрель 2026'!$K:$K,'Апрель 2026'!$E:$E,$A:$A),"-")</f>
        <v>2.7</v>
      </c>
      <c r="V72" s="49" t="str">
        <f>IFERROR(AVERAGEIFS('Май 2026'!$K:$K,'Май 2026'!$E:$E,$A:$A),"-")</f>
        <v>-</v>
      </c>
      <c r="W72" s="49" t="str">
        <f t="shared" si="1"/>
        <v>-</v>
      </c>
      <c r="X72" s="49" t="str">
        <f t="shared" si="2"/>
        <v>-</v>
      </c>
      <c r="Y72" s="48"/>
      <c r="Z72" s="48"/>
      <c r="AA72" s="48"/>
      <c r="AB72" s="48"/>
      <c r="AC72" s="48"/>
      <c r="AD72" s="48"/>
      <c r="AE72" s="48"/>
      <c r="AF72" s="48"/>
      <c r="AG72" s="48"/>
      <c r="AH72" s="48"/>
    </row>
    <row r="73">
      <c r="A73" s="51" t="s">
        <v>117</v>
      </c>
      <c r="B73" s="49" t="str">
        <f>IFERROR(AVERAGEIFS('Сентябрь 2024'!$K:$K,'Сентябрь 2024'!$E:$E,$A:$A),"-")</f>
        <v>-</v>
      </c>
      <c r="C73" s="49" t="str">
        <f>IFERROR(AVERAGEIFS('Октябрь 2024'!$K:$K,'Октябрь 2024'!$E:$E,$A:$A),"-")</f>
        <v>-</v>
      </c>
      <c r="D73" s="49" t="str">
        <f>IFERROR(AVERAGEIFS('Ноябрь 2024'!$K:$K,'Ноябрь 2024'!$E:$E,$A:$A),"-")</f>
        <v>-</v>
      </c>
      <c r="E73" s="49" t="str">
        <f>IFERROR(AVERAGEIFS('Декабрь 2024'!$K:$K,'Декабрь 2024'!$E:$E,$A:$A),"-")</f>
        <v>-</v>
      </c>
      <c r="F73" s="49" t="str">
        <f>IFERROR(AVERAGEIFS('Январь 2025'!$K:$K,'Январь 2025'!$E:$E,$A:$A),"-")</f>
        <v>-</v>
      </c>
      <c r="G73" s="49" t="str">
        <f>IFERROR(AVERAGEIFS('Февраль 2025 '!K:K,'Февраль 2025 '!E:E,A:A),"-")</f>
        <v>-</v>
      </c>
      <c r="H73" s="49" t="str">
        <f>IFERROR(AVERAGEIFS('Март 2025'!$K:$K,'Март 2025'!$E:$E,$A:$A),"-")</f>
        <v>-</v>
      </c>
      <c r="I73" s="49" t="str">
        <f>IFERROR(AVERAGEIFS('Апрель 2025'!$K:$K,'Апрель 2025'!$E:$E,$A:$A),"-")</f>
        <v>-</v>
      </c>
      <c r="J73" s="49" t="str">
        <f>IFERROR(AVERAGEIFS('Май 2025'!$K:$K,'Май 2025'!$E:$E,$A:$A),"-")</f>
        <v>-</v>
      </c>
      <c r="K73" s="49" t="str">
        <f>IFERROR(AVERAGEIFS('Июнь 2025'!$K:$K,'Июнь 2025'!$E:$E,$A:$A),"-")</f>
        <v>-</v>
      </c>
      <c r="L73" s="49" t="str">
        <f>IFERROR(AVERAGEIFS('Июль 2025'!$K:$K,'Июль 2025'!$E:$E,$A:$A),"-")</f>
        <v>-</v>
      </c>
      <c r="M73" s="49" t="str">
        <f>IFERROR(AVERAGEIFS('Август 2025'!$K:$K,'Август 2025'!$E:$E,$A:$A),"-")</f>
        <v>-</v>
      </c>
      <c r="N73" s="49" t="str">
        <f>IFERROR(AVERAGEIFS('Сентябрь 2025'!$K:$K,'Сентябрь 2025'!$E:$E,$A:$A),"-")</f>
        <v>-</v>
      </c>
      <c r="O73" s="49" t="str">
        <f>IFERROR(AVERAGEIFS('Октябрь 2025'!$K:$K,'Октябрь 2025'!$E:$E,$A:$A),"-")</f>
        <v>-</v>
      </c>
      <c r="P73" s="49" t="str">
        <f>IFERROR(AVERAGEIFS('Ноябрь 2025'!$K:$K,'Ноябрь 2025'!$E:$E,$A:$A),"-")</f>
        <v>-</v>
      </c>
      <c r="Q73" s="49" t="str">
        <f>IFERROR(AVERAGEIFS('Декабрь 2025'!$K:$K,'Декабрь 2025'!$E:$E,$A:$A),"-")</f>
        <v>-</v>
      </c>
      <c r="R73" s="49" t="str">
        <f>IFERROR(AVERAGEIFS('Январь 2026'!$K:$K,'Январь 2026'!$E:$E,$A:$A),"-")</f>
        <v>-</v>
      </c>
      <c r="S73" s="49" t="str">
        <f>IFERROR(AVERAGEIFS('Февраль 2026'!$K:$K,'Февраль 2026'!$E:$E,$A:$A),"-")</f>
        <v>-</v>
      </c>
      <c r="T73" s="49" t="str">
        <f>IFERROR(AVERAGEIFS('Март 2026'!$K:$K,'Март 2026'!$E:$E,$A:$A),"-")</f>
        <v>-</v>
      </c>
      <c r="U73" s="49">
        <f>IFERROR(AVERAGEIFS('Апрель 2026'!$K:$K,'Апрель 2026'!$E:$E,$A:$A),"-")</f>
        <v>3.08</v>
      </c>
      <c r="V73" s="49" t="str">
        <f>IFERROR(AVERAGEIFS('Май 2026'!$K:$K,'Май 2026'!$E:$E,$A:$A),"-")</f>
        <v>-</v>
      </c>
      <c r="W73" s="49" t="str">
        <f t="shared" si="1"/>
        <v>-</v>
      </c>
      <c r="X73" s="49" t="str">
        <f t="shared" si="2"/>
        <v>-</v>
      </c>
      <c r="Y73" s="48"/>
      <c r="Z73" s="48"/>
      <c r="AA73" s="48"/>
      <c r="AB73" s="48"/>
      <c r="AC73" s="48"/>
      <c r="AD73" s="48"/>
      <c r="AE73" s="48"/>
      <c r="AF73" s="48"/>
      <c r="AG73" s="48"/>
      <c r="AH73" s="48"/>
    </row>
    <row r="74">
      <c r="A74" s="51" t="s">
        <v>118</v>
      </c>
      <c r="B74" s="49" t="str">
        <f>IFERROR(AVERAGEIFS('Сентябрь 2024'!$K:$K,'Сентябрь 2024'!$E:$E,$A:$A),"-")</f>
        <v>-</v>
      </c>
      <c r="C74" s="49" t="str">
        <f>IFERROR(AVERAGEIFS('Октябрь 2024'!$K:$K,'Октябрь 2024'!$E:$E,$A:$A),"-")</f>
        <v>-</v>
      </c>
      <c r="D74" s="49" t="str">
        <f>IFERROR(AVERAGEIFS('Ноябрь 2024'!$K:$K,'Ноябрь 2024'!$E:$E,$A:$A),"-")</f>
        <v>-</v>
      </c>
      <c r="E74" s="49" t="str">
        <f>IFERROR(AVERAGEIFS('Декабрь 2024'!$K:$K,'Декабрь 2024'!$E:$E,$A:$A),"-")</f>
        <v>-</v>
      </c>
      <c r="F74" s="49" t="str">
        <f>IFERROR(AVERAGEIFS('Январь 2025'!$K:$K,'Январь 2025'!$E:$E,$A:$A),"-")</f>
        <v>-</v>
      </c>
      <c r="G74" s="49" t="str">
        <f>IFERROR(AVERAGEIFS('Февраль 2025 '!K:K,'Февраль 2025 '!E:E,A:A),"-")</f>
        <v>-</v>
      </c>
      <c r="H74" s="49" t="str">
        <f>IFERROR(AVERAGEIFS('Март 2025'!$K:$K,'Март 2025'!$E:$E,$A:$A),"-")</f>
        <v>-</v>
      </c>
      <c r="I74" s="49" t="str">
        <f>IFERROR(AVERAGEIFS('Апрель 2025'!$K:$K,'Апрель 2025'!$E:$E,$A:$A),"-")</f>
        <v>-</v>
      </c>
      <c r="J74" s="49" t="str">
        <f>IFERROR(AVERAGEIFS('Май 2025'!$K:$K,'Май 2025'!$E:$E,$A:$A),"-")</f>
        <v>-</v>
      </c>
      <c r="K74" s="49">
        <f>IFERROR(AVERAGEIFS('Июнь 2025'!$K:$K,'Июнь 2025'!$E:$E,$A:$A),"-")</f>
        <v>2.59</v>
      </c>
      <c r="L74" s="49">
        <f>IFERROR(AVERAGEIFS('Июль 2025'!$K:$K,'Июль 2025'!$E:$E,$A:$A),"-")</f>
        <v>1.73</v>
      </c>
      <c r="M74" s="49">
        <f>IFERROR(AVERAGEIFS('Август 2025'!$K:$K,'Август 2025'!$E:$E,$A:$A),"-")</f>
        <v>1.44</v>
      </c>
      <c r="N74" s="49">
        <f>IFERROR(AVERAGEIFS('Сентябрь 2025'!$K:$K,'Сентябрь 2025'!$E:$E,$A:$A),"-")</f>
        <v>1.526666667</v>
      </c>
      <c r="O74" s="49" t="str">
        <f>IFERROR(AVERAGEIFS('Октябрь 2025'!$K:$K,'Октябрь 2025'!$E:$E,$A:$A),"-")</f>
        <v>-</v>
      </c>
      <c r="P74" s="49">
        <f>IFERROR(AVERAGEIFS('Ноябрь 2025'!$K:$K,'Ноябрь 2025'!$E:$E,$A:$A),"-")</f>
        <v>1.44</v>
      </c>
      <c r="Q74" s="49" t="str">
        <f>IFERROR(AVERAGEIFS('Декабрь 2025'!$K:$K,'Декабрь 2025'!$E:$E,$A:$A),"-")</f>
        <v>-</v>
      </c>
      <c r="R74" s="49" t="str">
        <f>IFERROR(AVERAGEIFS('Январь 2026'!$K:$K,'Январь 2026'!$E:$E,$A:$A),"-")</f>
        <v>-</v>
      </c>
      <c r="S74" s="49" t="str">
        <f>IFERROR(AVERAGEIFS('Февраль 2026'!$K:$K,'Февраль 2026'!$E:$E,$A:$A),"-")</f>
        <v>-</v>
      </c>
      <c r="T74" s="49">
        <f>IFERROR(AVERAGEIFS('Март 2026'!$K:$K,'Март 2026'!$E:$E,$A:$A),"-")</f>
        <v>1.83</v>
      </c>
      <c r="U74" s="49">
        <f>IFERROR(AVERAGEIFS('Апрель 2026'!$K:$K,'Апрель 2026'!$E:$E,$A:$A),"-")</f>
        <v>1.8</v>
      </c>
      <c r="V74" s="49" t="str">
        <f>IFERROR(AVERAGEIFS('Май 2026'!$K:$K,'Май 2026'!$E:$E,$A:$A),"-")</f>
        <v>-</v>
      </c>
      <c r="W74" s="49" t="str">
        <f t="shared" si="1"/>
        <v>-</v>
      </c>
      <c r="X74" s="49" t="str">
        <f t="shared" si="2"/>
        <v>-</v>
      </c>
      <c r="Y74" s="48"/>
      <c r="Z74" s="48"/>
      <c r="AA74" s="48"/>
      <c r="AB74" s="48"/>
      <c r="AC74" s="48"/>
      <c r="AD74" s="48"/>
      <c r="AE74" s="48"/>
      <c r="AF74" s="48"/>
      <c r="AG74" s="48"/>
      <c r="AH74" s="48"/>
    </row>
    <row r="75">
      <c r="A75" s="51" t="s">
        <v>119</v>
      </c>
      <c r="B75" s="49" t="str">
        <f>IFERROR(AVERAGEIFS('Сентябрь 2024'!$K:$K,'Сентябрь 2024'!$E:$E,$A:$A),"-")</f>
        <v>-</v>
      </c>
      <c r="C75" s="49" t="str">
        <f>IFERROR(AVERAGEIFS('Октябрь 2024'!$K:$K,'Октябрь 2024'!$E:$E,$A:$A),"-")</f>
        <v>-</v>
      </c>
      <c r="D75" s="49" t="str">
        <f>IFERROR(AVERAGEIFS('Ноябрь 2024'!$K:$K,'Ноябрь 2024'!$E:$E,$A:$A),"-")</f>
        <v>-</v>
      </c>
      <c r="E75" s="49" t="str">
        <f>IFERROR(AVERAGEIFS('Декабрь 2024'!$K:$K,'Декабрь 2024'!$E:$E,$A:$A),"-")</f>
        <v>-</v>
      </c>
      <c r="F75" s="49" t="str">
        <f>IFERROR(AVERAGEIFS('Январь 2025'!$K:$K,'Январь 2025'!$E:$E,$A:$A),"-")</f>
        <v>-</v>
      </c>
      <c r="G75" s="49" t="str">
        <f>IFERROR(AVERAGEIFS('Февраль 2025 '!K:K,'Февраль 2025 '!E:E,A:A),"-")</f>
        <v>-</v>
      </c>
      <c r="H75" s="49" t="str">
        <f>IFERROR(AVERAGEIFS('Март 2025'!$K:$K,'Март 2025'!$E:$E,$A:$A),"-")</f>
        <v>-</v>
      </c>
      <c r="I75" s="49" t="str">
        <f>IFERROR(AVERAGEIFS('Апрель 2025'!$K:$K,'Апрель 2025'!$E:$E,$A:$A),"-")</f>
        <v>-</v>
      </c>
      <c r="J75" s="49" t="str">
        <f>IFERROR(AVERAGEIFS('Май 2025'!$K:$K,'Май 2025'!$E:$E,$A:$A),"-")</f>
        <v>-</v>
      </c>
      <c r="K75" s="49" t="str">
        <f>IFERROR(AVERAGEIFS('Июнь 2025'!$K:$K,'Июнь 2025'!$E:$E,$A:$A),"-")</f>
        <v>-</v>
      </c>
      <c r="L75" s="49" t="str">
        <f>IFERROR(AVERAGEIFS('Июль 2025'!$K:$K,'Июль 2025'!$E:$E,$A:$A),"-")</f>
        <v>-</v>
      </c>
      <c r="M75" s="49" t="str">
        <f>IFERROR(AVERAGEIFS('Август 2025'!$K:$K,'Август 2025'!$E:$E,$A:$A),"-")</f>
        <v>-</v>
      </c>
      <c r="N75" s="49" t="str">
        <f>IFERROR(AVERAGEIFS('Сентябрь 2025'!$K:$K,'Сентябрь 2025'!$E:$E,$A:$A),"-")</f>
        <v>-</v>
      </c>
      <c r="O75" s="49" t="str">
        <f>IFERROR(AVERAGEIFS('Октябрь 2025'!$K:$K,'Октябрь 2025'!$E:$E,$A:$A),"-")</f>
        <v>-</v>
      </c>
      <c r="P75" s="49" t="str">
        <f>IFERROR(AVERAGEIFS('Ноябрь 2025'!$K:$K,'Ноябрь 2025'!$E:$E,$A:$A),"-")</f>
        <v>-</v>
      </c>
      <c r="Q75" s="49" t="str">
        <f>IFERROR(AVERAGEIFS('Декабрь 2025'!$K:$K,'Декабрь 2025'!$E:$E,$A:$A),"-")</f>
        <v>-</v>
      </c>
      <c r="R75" s="49" t="str">
        <f>IFERROR(AVERAGEIFS('Январь 2026'!$K:$K,'Январь 2026'!$E:$E,$A:$A),"-")</f>
        <v>-</v>
      </c>
      <c r="S75" s="49" t="str">
        <f>IFERROR(AVERAGEIFS('Февраль 2026'!$K:$K,'Февраль 2026'!$E:$E,$A:$A),"-")</f>
        <v>-</v>
      </c>
      <c r="T75" s="49" t="str">
        <f>IFERROR(AVERAGEIFS('Март 2026'!$K:$K,'Март 2026'!$E:$E,$A:$A),"-")</f>
        <v>-</v>
      </c>
      <c r="U75" s="49">
        <f>IFERROR(AVERAGEIFS('Апрель 2026'!$K:$K,'Апрель 2026'!$E:$E,$A:$A),"-")</f>
        <v>2.31</v>
      </c>
      <c r="V75" s="49" t="str">
        <f>IFERROR(AVERAGEIFS('Май 2026'!$K:$K,'Май 2026'!$E:$E,$A:$A),"-")</f>
        <v>-</v>
      </c>
      <c r="W75" s="49" t="str">
        <f t="shared" si="1"/>
        <v>-</v>
      </c>
      <c r="X75" s="49" t="str">
        <f t="shared" si="2"/>
        <v>-</v>
      </c>
      <c r="Y75" s="48"/>
      <c r="Z75" s="48"/>
      <c r="AA75" s="48"/>
      <c r="AB75" s="48"/>
      <c r="AC75" s="48"/>
      <c r="AD75" s="48"/>
      <c r="AE75" s="48"/>
      <c r="AF75" s="48"/>
      <c r="AG75" s="48"/>
      <c r="AH75" s="48"/>
    </row>
    <row r="76">
      <c r="A76" s="51" t="s">
        <v>120</v>
      </c>
      <c r="B76" s="49" t="str">
        <f>IFERROR(AVERAGEIFS('Сентябрь 2024'!$K:$K,'Сентябрь 2024'!$E:$E,$A:$A),"-")</f>
        <v>-</v>
      </c>
      <c r="C76" s="49" t="str">
        <f>IFERROR(AVERAGEIFS('Октябрь 2024'!$K:$K,'Октябрь 2024'!$E:$E,$A:$A),"-")</f>
        <v>-</v>
      </c>
      <c r="D76" s="49" t="str">
        <f>IFERROR(AVERAGEIFS('Ноябрь 2024'!$K:$K,'Ноябрь 2024'!$E:$E,$A:$A),"-")</f>
        <v>-</v>
      </c>
      <c r="E76" s="49" t="str">
        <f>IFERROR(AVERAGEIFS('Декабрь 2024'!$K:$K,'Декабрь 2024'!$E:$E,$A:$A),"-")</f>
        <v>-</v>
      </c>
      <c r="F76" s="49" t="str">
        <f>IFERROR(AVERAGEIFS('Январь 2025'!$K:$K,'Январь 2025'!$E:$E,$A:$A),"-")</f>
        <v>-</v>
      </c>
      <c r="G76" s="49" t="str">
        <f>IFERROR(AVERAGEIFS('Февраль 2025 '!K:K,'Февраль 2025 '!E:E,A:A),"-")</f>
        <v>-</v>
      </c>
      <c r="H76" s="49" t="str">
        <f>IFERROR(AVERAGEIFS('Март 2025'!$K:$K,'Март 2025'!$E:$E,$A:$A),"-")</f>
        <v>-</v>
      </c>
      <c r="I76" s="49" t="str">
        <f>IFERROR(AVERAGEIFS('Апрель 2025'!$K:$K,'Апрель 2025'!$E:$E,$A:$A),"-")</f>
        <v>-</v>
      </c>
      <c r="J76" s="49" t="str">
        <f>IFERROR(AVERAGEIFS('Май 2025'!$K:$K,'Май 2025'!$E:$E,$A:$A),"-")</f>
        <v>-</v>
      </c>
      <c r="K76" s="49" t="str">
        <f>IFERROR(AVERAGEIFS('Июнь 2025'!$K:$K,'Июнь 2025'!$E:$E,$A:$A),"-")</f>
        <v>-</v>
      </c>
      <c r="L76" s="49" t="str">
        <f>IFERROR(AVERAGEIFS('Июль 2025'!$K:$K,'Июль 2025'!$E:$E,$A:$A),"-")</f>
        <v>-</v>
      </c>
      <c r="M76" s="49" t="str">
        <f>IFERROR(AVERAGEIFS('Август 2025'!$K:$K,'Август 2025'!$E:$E,$A:$A),"-")</f>
        <v>-</v>
      </c>
      <c r="N76" s="49" t="str">
        <f>IFERROR(AVERAGEIFS('Сентябрь 2025'!$K:$K,'Сентябрь 2025'!$E:$E,$A:$A),"-")</f>
        <v>-</v>
      </c>
      <c r="O76" s="49" t="str">
        <f>IFERROR(AVERAGEIFS('Октябрь 2025'!$K:$K,'Октябрь 2025'!$E:$E,$A:$A),"-")</f>
        <v>-</v>
      </c>
      <c r="P76" s="49" t="str">
        <f>IFERROR(AVERAGEIFS('Ноябрь 2025'!$K:$K,'Ноябрь 2025'!$E:$E,$A:$A),"-")</f>
        <v>-</v>
      </c>
      <c r="Q76" s="49" t="str">
        <f>IFERROR(AVERAGEIFS('Декабрь 2025'!$K:$K,'Декабрь 2025'!$E:$E,$A:$A),"-")</f>
        <v>-</v>
      </c>
      <c r="R76" s="49" t="str">
        <f>IFERROR(AVERAGEIFS('Январь 2026'!$K:$K,'Январь 2026'!$E:$E,$A:$A),"-")</f>
        <v>-</v>
      </c>
      <c r="S76" s="49" t="str">
        <f>IFERROR(AVERAGEIFS('Февраль 2026'!$K:$K,'Февраль 2026'!$E:$E,$A:$A),"-")</f>
        <v>-</v>
      </c>
      <c r="T76" s="49" t="str">
        <f>IFERROR(AVERAGEIFS('Март 2026'!$K:$K,'Март 2026'!$E:$E,$A:$A),"-")</f>
        <v>-</v>
      </c>
      <c r="U76" s="49">
        <f>IFERROR(AVERAGEIFS('Апрель 2026'!$K:$K,'Апрель 2026'!$E:$E,$A:$A),"-")</f>
        <v>3.55</v>
      </c>
      <c r="V76" s="49">
        <f>IFERROR(AVERAGEIFS('Май 2026'!$K:$K,'Май 2026'!$E:$E,$A:$A),"-")</f>
        <v>3.93</v>
      </c>
      <c r="W76" s="49" t="str">
        <f t="shared" si="1"/>
        <v>-</v>
      </c>
      <c r="X76" s="49" t="str">
        <f t="shared" si="2"/>
        <v>-</v>
      </c>
      <c r="Y76" s="48"/>
      <c r="Z76" s="48"/>
      <c r="AA76" s="48"/>
      <c r="AB76" s="48"/>
      <c r="AC76" s="48"/>
      <c r="AD76" s="48"/>
      <c r="AE76" s="48"/>
      <c r="AF76" s="48"/>
      <c r="AG76" s="48"/>
      <c r="AH76" s="48"/>
    </row>
    <row r="77">
      <c r="A77" s="51" t="s">
        <v>121</v>
      </c>
      <c r="B77" s="49" t="str">
        <f>IFERROR(AVERAGEIFS('Сентябрь 2024'!$K:$K,'Сентябрь 2024'!$E:$E,$A:$A),"-")</f>
        <v>-</v>
      </c>
      <c r="C77" s="49" t="str">
        <f>IFERROR(AVERAGEIFS('Октябрь 2024'!$K:$K,'Октябрь 2024'!$E:$E,$A:$A),"-")</f>
        <v>-</v>
      </c>
      <c r="D77" s="49" t="str">
        <f>IFERROR(AVERAGEIFS('Ноябрь 2024'!$K:$K,'Ноябрь 2024'!$E:$E,$A:$A),"-")</f>
        <v>-</v>
      </c>
      <c r="E77" s="49" t="str">
        <f>IFERROR(AVERAGEIFS('Декабрь 2024'!$K:$K,'Декабрь 2024'!$E:$E,$A:$A),"-")</f>
        <v>-</v>
      </c>
      <c r="F77" s="49" t="str">
        <f>IFERROR(AVERAGEIFS('Январь 2025'!$K:$K,'Январь 2025'!$E:$E,$A:$A),"-")</f>
        <v>-</v>
      </c>
      <c r="G77" s="49" t="str">
        <f>IFERROR(AVERAGEIFS('Февраль 2025 '!K:K,'Февраль 2025 '!E:E,A:A),"-")</f>
        <v>-</v>
      </c>
      <c r="H77" s="49" t="str">
        <f>IFERROR(AVERAGEIFS('Март 2025'!$K:$K,'Март 2025'!$E:$E,$A:$A),"-")</f>
        <v>-</v>
      </c>
      <c r="I77" s="49" t="str">
        <f>IFERROR(AVERAGEIFS('Апрель 2025'!$K:$K,'Апрель 2025'!$E:$E,$A:$A),"-")</f>
        <v>-</v>
      </c>
      <c r="J77" s="49" t="str">
        <f>IFERROR(AVERAGEIFS('Май 2025'!$K:$K,'Май 2025'!$E:$E,$A:$A),"-")</f>
        <v>-</v>
      </c>
      <c r="K77" s="49" t="str">
        <f>IFERROR(AVERAGEIFS('Июнь 2025'!$K:$K,'Июнь 2025'!$E:$E,$A:$A),"-")</f>
        <v>-</v>
      </c>
      <c r="L77" s="49" t="str">
        <f>IFERROR(AVERAGEIFS('Июль 2025'!$K:$K,'Июль 2025'!$E:$E,$A:$A),"-")</f>
        <v>-</v>
      </c>
      <c r="M77" s="49" t="str">
        <f>IFERROR(AVERAGEIFS('Август 2025'!$K:$K,'Август 2025'!$E:$E,$A:$A),"-")</f>
        <v>-</v>
      </c>
      <c r="N77" s="49" t="str">
        <f>IFERROR(AVERAGEIFS('Сентябрь 2025'!$K:$K,'Сентябрь 2025'!$E:$E,$A:$A),"-")</f>
        <v>-</v>
      </c>
      <c r="O77" s="49" t="str">
        <f>IFERROR(AVERAGEIFS('Октябрь 2025'!$K:$K,'Октябрь 2025'!$E:$E,$A:$A),"-")</f>
        <v>-</v>
      </c>
      <c r="P77" s="49" t="str">
        <f>IFERROR(AVERAGEIFS('Ноябрь 2025'!$K:$K,'Ноябрь 2025'!$E:$E,$A:$A),"-")</f>
        <v>-</v>
      </c>
      <c r="Q77" s="49" t="str">
        <f>IFERROR(AVERAGEIFS('Декабрь 2025'!$K:$K,'Декабрь 2025'!$E:$E,$A:$A),"-")</f>
        <v>-</v>
      </c>
      <c r="R77" s="49" t="str">
        <f>IFERROR(AVERAGEIFS('Январь 2026'!$K:$K,'Январь 2026'!$E:$E,$A:$A),"-")</f>
        <v>-</v>
      </c>
      <c r="S77" s="49" t="str">
        <f>IFERROR(AVERAGEIFS('Февраль 2026'!$K:$K,'Февраль 2026'!$E:$E,$A:$A),"-")</f>
        <v>-</v>
      </c>
      <c r="T77" s="49" t="str">
        <f>IFERROR(AVERAGEIFS('Март 2026'!$K:$K,'Март 2026'!$E:$E,$A:$A),"-")</f>
        <v>-</v>
      </c>
      <c r="U77" s="49" t="str">
        <f>IFERROR(AVERAGEIFS('Апрель 2026'!$K:$K,'Апрель 2026'!$E:$E,$A:$A),"-")</f>
        <v>-</v>
      </c>
      <c r="V77" s="49" t="str">
        <f>IFERROR(AVERAGEIFS('Май 2026'!$K:$K,'Май 2026'!$E:$E,$A:$A),"-")</f>
        <v>-</v>
      </c>
      <c r="W77" s="49" t="str">
        <f t="shared" si="1"/>
        <v>-</v>
      </c>
      <c r="X77" s="49" t="str">
        <f t="shared" si="2"/>
        <v>-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</row>
    <row r="78">
      <c r="A78" s="51" t="s">
        <v>122</v>
      </c>
      <c r="B78" s="49" t="str">
        <f>IFERROR(AVERAGEIFS('Сентябрь 2024'!$K:$K,'Сентябрь 2024'!$E:$E,$A:$A),"-")</f>
        <v>-</v>
      </c>
      <c r="C78" s="49" t="str">
        <f>IFERROR(AVERAGEIFS('Октябрь 2024'!$K:$K,'Октябрь 2024'!$E:$E,$A:$A),"-")</f>
        <v>-</v>
      </c>
      <c r="D78" s="49" t="str">
        <f>IFERROR(AVERAGEIFS('Ноябрь 2024'!$K:$K,'Ноябрь 2024'!$E:$E,$A:$A),"-")</f>
        <v>-</v>
      </c>
      <c r="E78" s="49" t="str">
        <f>IFERROR(AVERAGEIFS('Декабрь 2024'!$K:$K,'Декабрь 2024'!$E:$E,$A:$A),"-")</f>
        <v>-</v>
      </c>
      <c r="F78" s="49" t="str">
        <f>IFERROR(AVERAGEIFS('Январь 2025'!$K:$K,'Январь 2025'!$E:$E,$A:$A),"-")</f>
        <v>-</v>
      </c>
      <c r="G78" s="49" t="str">
        <f>IFERROR(AVERAGEIFS('Февраль 2025 '!K:K,'Февраль 2025 '!E:E,A:A),"-")</f>
        <v>-</v>
      </c>
      <c r="H78" s="49" t="str">
        <f>IFERROR(AVERAGEIFS('Март 2025'!$K:$K,'Март 2025'!$E:$E,$A:$A),"-")</f>
        <v>-</v>
      </c>
      <c r="I78" s="49" t="str">
        <f>IFERROR(AVERAGEIFS('Апрель 2025'!$K:$K,'Апрель 2025'!$E:$E,$A:$A),"-")</f>
        <v>-</v>
      </c>
      <c r="J78" s="49" t="str">
        <f>IFERROR(AVERAGEIFS('Май 2025'!$K:$K,'Май 2025'!$E:$E,$A:$A),"-")</f>
        <v>-</v>
      </c>
      <c r="K78" s="49">
        <f>IFERROR(AVERAGEIFS('Июнь 2025'!$K:$K,'Июнь 2025'!$E:$E,$A:$A),"-")</f>
        <v>2.52</v>
      </c>
      <c r="L78" s="49" t="str">
        <f>IFERROR(AVERAGEIFS('Июль 2025'!$K:$K,'Июль 2025'!$E:$E,$A:$A),"-")</f>
        <v>-</v>
      </c>
      <c r="M78" s="49" t="str">
        <f>IFERROR(AVERAGEIFS('Август 2025'!$K:$K,'Август 2025'!$E:$E,$A:$A),"-")</f>
        <v>-</v>
      </c>
      <c r="N78" s="49" t="str">
        <f>IFERROR(AVERAGEIFS('Сентябрь 2025'!$K:$K,'Сентябрь 2025'!$E:$E,$A:$A),"-")</f>
        <v>-</v>
      </c>
      <c r="O78" s="49">
        <f>IFERROR(AVERAGEIFS('Октябрь 2025'!$K:$K,'Октябрь 2025'!$E:$E,$A:$A),"-")</f>
        <v>1.98</v>
      </c>
      <c r="P78" s="49" t="str">
        <f>IFERROR(AVERAGEIFS('Ноябрь 2025'!$K:$K,'Ноябрь 2025'!$E:$E,$A:$A),"-")</f>
        <v>-</v>
      </c>
      <c r="Q78" s="49" t="str">
        <f>IFERROR(AVERAGEIFS('Декабрь 2025'!$K:$K,'Декабрь 2025'!$E:$E,$A:$A),"-")</f>
        <v>-</v>
      </c>
      <c r="R78" s="49" t="str">
        <f>IFERROR(AVERAGEIFS('Январь 2026'!$K:$K,'Январь 2026'!$E:$E,$A:$A),"-")</f>
        <v>-</v>
      </c>
      <c r="S78" s="49">
        <f>IFERROR(AVERAGEIFS('Февраль 2026'!$K:$K,'Февраль 2026'!$E:$E,$A:$A),"-")</f>
        <v>2.06</v>
      </c>
      <c r="T78" s="49">
        <f>IFERROR(AVERAGEIFS('Март 2026'!$K:$K,'Март 2026'!$E:$E,$A:$A),"-")</f>
        <v>2.01</v>
      </c>
      <c r="U78" s="49">
        <f>IFERROR(AVERAGEIFS('Апрель 2026'!$K:$K,'Апрель 2026'!$E:$E,$A:$A),"-")</f>
        <v>2.03</v>
      </c>
      <c r="V78" s="49" t="str">
        <f>IFERROR(AVERAGEIFS('Май 2026'!$K:$K,'Май 2026'!$E:$E,$A:$A),"-")</f>
        <v>-</v>
      </c>
      <c r="W78" s="49" t="str">
        <f t="shared" si="1"/>
        <v>-</v>
      </c>
      <c r="X78" s="49" t="str">
        <f t="shared" si="2"/>
        <v>-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</row>
    <row r="79">
      <c r="A79" s="51" t="s">
        <v>123</v>
      </c>
      <c r="B79" s="49" t="str">
        <f>IFERROR(AVERAGEIFS('Сентябрь 2024'!$K:$K,'Сентябрь 2024'!$E:$E,$A:$A),"-")</f>
        <v>-</v>
      </c>
      <c r="C79" s="49" t="str">
        <f>IFERROR(AVERAGEIFS('Октябрь 2024'!$K:$K,'Октябрь 2024'!$E:$E,$A:$A),"-")</f>
        <v>-</v>
      </c>
      <c r="D79" s="49" t="str">
        <f>IFERROR(AVERAGEIFS('Ноябрь 2024'!$K:$K,'Ноябрь 2024'!$E:$E,$A:$A),"-")</f>
        <v>-</v>
      </c>
      <c r="E79" s="49" t="str">
        <f>IFERROR(AVERAGEIFS('Декабрь 2024'!$K:$K,'Декабрь 2024'!$E:$E,$A:$A),"-")</f>
        <v>-</v>
      </c>
      <c r="F79" s="49" t="str">
        <f>IFERROR(AVERAGEIFS('Январь 2025'!$K:$K,'Январь 2025'!$E:$E,$A:$A),"-")</f>
        <v>-</v>
      </c>
      <c r="G79" s="49" t="str">
        <f>IFERROR(AVERAGEIFS('Февраль 2025 '!K:K,'Февраль 2025 '!E:E,A:A),"-")</f>
        <v>-</v>
      </c>
      <c r="H79" s="49" t="str">
        <f>IFERROR(AVERAGEIFS('Март 2025'!$K:$K,'Март 2025'!$E:$E,$A:$A),"-")</f>
        <v>-</v>
      </c>
      <c r="I79" s="49" t="str">
        <f>IFERROR(AVERAGEIFS('Апрель 2025'!$K:$K,'Апрель 2025'!$E:$E,$A:$A),"-")</f>
        <v>-</v>
      </c>
      <c r="J79" s="49" t="str">
        <f>IFERROR(AVERAGEIFS('Май 2025'!$K:$K,'Май 2025'!$E:$E,$A:$A),"-")</f>
        <v>-</v>
      </c>
      <c r="K79" s="49" t="str">
        <f>IFERROR(AVERAGEIFS('Июнь 2025'!$K:$K,'Июнь 2025'!$E:$E,$A:$A),"-")</f>
        <v>-</v>
      </c>
      <c r="L79" s="49" t="str">
        <f>IFERROR(AVERAGEIFS('Июль 2025'!$K:$K,'Июль 2025'!$E:$E,$A:$A),"-")</f>
        <v>-</v>
      </c>
      <c r="M79" s="49" t="str">
        <f>IFERROR(AVERAGEIFS('Август 2025'!$K:$K,'Август 2025'!$E:$E,$A:$A),"-")</f>
        <v>-</v>
      </c>
      <c r="N79" s="49" t="str">
        <f>IFERROR(AVERAGEIFS('Сентябрь 2025'!$K:$K,'Сентябрь 2025'!$E:$E,$A:$A),"-")</f>
        <v>-</v>
      </c>
      <c r="O79" s="49" t="str">
        <f>IFERROR(AVERAGEIFS('Октябрь 2025'!$K:$K,'Октябрь 2025'!$E:$E,$A:$A),"-")</f>
        <v>-</v>
      </c>
      <c r="P79" s="49" t="str">
        <f>IFERROR(AVERAGEIFS('Ноябрь 2025'!$K:$K,'Ноябрь 2025'!$E:$E,$A:$A),"-")</f>
        <v>-</v>
      </c>
      <c r="Q79" s="49" t="str">
        <f>IFERROR(AVERAGEIFS('Декабрь 2025'!$K:$K,'Декабрь 2025'!$E:$E,$A:$A),"-")</f>
        <v>-</v>
      </c>
      <c r="R79" s="49" t="str">
        <f>IFERROR(AVERAGEIFS('Январь 2026'!$K:$K,'Январь 2026'!$E:$E,$A:$A),"-")</f>
        <v>-</v>
      </c>
      <c r="S79" s="49" t="str">
        <f>IFERROR(AVERAGEIFS('Февраль 2026'!$K:$K,'Февраль 2026'!$E:$E,$A:$A),"-")</f>
        <v>-</v>
      </c>
      <c r="T79" s="49">
        <f>IFERROR(AVERAGEIFS('Март 2026'!$K:$K,'Март 2026'!$E:$E,$A:$A),"-")</f>
        <v>2.4</v>
      </c>
      <c r="U79" s="49" t="str">
        <f>IFERROR(AVERAGEIFS('Апрель 2026'!$K:$K,'Апрель 2026'!$E:$E,$A:$A),"-")</f>
        <v>-</v>
      </c>
      <c r="V79" s="49" t="str">
        <f>IFERROR(AVERAGEIFS('Май 2026'!$K:$K,'Май 2026'!$E:$E,$A:$A),"-")</f>
        <v>-</v>
      </c>
      <c r="W79" s="49" t="str">
        <f t="shared" si="1"/>
        <v>-</v>
      </c>
      <c r="X79" s="49" t="str">
        <f t="shared" si="2"/>
        <v>-</v>
      </c>
      <c r="Y79" s="48"/>
      <c r="Z79" s="48"/>
      <c r="AA79" s="48"/>
      <c r="AB79" s="48"/>
      <c r="AC79" s="48"/>
      <c r="AD79" s="48"/>
      <c r="AE79" s="48"/>
      <c r="AF79" s="48"/>
      <c r="AG79" s="48"/>
      <c r="AH79" s="48"/>
    </row>
    <row r="80">
      <c r="A80" s="51" t="s">
        <v>124</v>
      </c>
      <c r="B80" s="49" t="str">
        <f>IFERROR(AVERAGEIFS('Сентябрь 2024'!$K:$K,'Сентябрь 2024'!$E:$E,$A:$A),"-")</f>
        <v>-</v>
      </c>
      <c r="C80" s="49" t="str">
        <f>IFERROR(AVERAGEIFS('Октябрь 2024'!$K:$K,'Октябрь 2024'!$E:$E,$A:$A),"-")</f>
        <v>-</v>
      </c>
      <c r="D80" s="49" t="str">
        <f>IFERROR(AVERAGEIFS('Ноябрь 2024'!$K:$K,'Ноябрь 2024'!$E:$E,$A:$A),"-")</f>
        <v>-</v>
      </c>
      <c r="E80" s="49" t="str">
        <f>IFERROR(AVERAGEIFS('Декабрь 2024'!$K:$K,'Декабрь 2024'!$E:$E,$A:$A),"-")</f>
        <v>-</v>
      </c>
      <c r="F80" s="49" t="str">
        <f>IFERROR(AVERAGEIFS('Январь 2025'!$K:$K,'Январь 2025'!$E:$E,$A:$A),"-")</f>
        <v>-</v>
      </c>
      <c r="G80" s="49" t="str">
        <f>IFERROR(AVERAGEIFS('Февраль 2025 '!K:K,'Февраль 2025 '!E:E,A:A),"-")</f>
        <v>-</v>
      </c>
      <c r="H80" s="49" t="str">
        <f>IFERROR(AVERAGEIFS('Март 2025'!$K:$K,'Март 2025'!$E:$E,$A:$A),"-")</f>
        <v>-</v>
      </c>
      <c r="I80" s="49" t="str">
        <f>IFERROR(AVERAGEIFS('Апрель 2025'!$K:$K,'Апрель 2025'!$E:$E,$A:$A),"-")</f>
        <v>-</v>
      </c>
      <c r="J80" s="49" t="str">
        <f>IFERROR(AVERAGEIFS('Май 2025'!$K:$K,'Май 2025'!$E:$E,$A:$A),"-")</f>
        <v>-</v>
      </c>
      <c r="K80" s="49" t="str">
        <f>IFERROR(AVERAGEIFS('Июнь 2025'!$K:$K,'Июнь 2025'!$E:$E,$A:$A),"-")</f>
        <v>-</v>
      </c>
      <c r="L80" s="49" t="str">
        <f>IFERROR(AVERAGEIFS('Июль 2025'!$K:$K,'Июль 2025'!$E:$E,$A:$A),"-")</f>
        <v>-</v>
      </c>
      <c r="M80" s="49" t="str">
        <f>IFERROR(AVERAGEIFS('Август 2025'!$K:$K,'Август 2025'!$E:$E,$A:$A),"-")</f>
        <v>-</v>
      </c>
      <c r="N80" s="49" t="str">
        <f>IFERROR(AVERAGEIFS('Сентябрь 2025'!$K:$K,'Сентябрь 2025'!$E:$E,$A:$A),"-")</f>
        <v>-</v>
      </c>
      <c r="O80" s="49" t="str">
        <f>IFERROR(AVERAGEIFS('Октябрь 2025'!$K:$K,'Октябрь 2025'!$E:$E,$A:$A),"-")</f>
        <v>-</v>
      </c>
      <c r="P80" s="49" t="str">
        <f>IFERROR(AVERAGEIFS('Ноябрь 2025'!$K:$K,'Ноябрь 2025'!$E:$E,$A:$A),"-")</f>
        <v>-</v>
      </c>
      <c r="Q80" s="49" t="str">
        <f>IFERROR(AVERAGEIFS('Декабрь 2025'!$K:$K,'Декабрь 2025'!$E:$E,$A:$A),"-")</f>
        <v>-</v>
      </c>
      <c r="R80" s="49" t="str">
        <f>IFERROR(AVERAGEIFS('Январь 2026'!$K:$K,'Январь 2026'!$E:$E,$A:$A),"-")</f>
        <v>-</v>
      </c>
      <c r="S80" s="49" t="str">
        <f>IFERROR(AVERAGEIFS('Февраль 2026'!$K:$K,'Февраль 2026'!$E:$E,$A:$A),"-")</f>
        <v>-</v>
      </c>
      <c r="T80" s="49">
        <f>IFERROR(AVERAGEIFS('Март 2026'!$K:$K,'Март 2026'!$E:$E,$A:$A),"-")</f>
        <v>2.01</v>
      </c>
      <c r="U80" s="49" t="str">
        <f>IFERROR(AVERAGEIFS('Апрель 2026'!$K:$K,'Апрель 2026'!$E:$E,$A:$A),"-")</f>
        <v>-</v>
      </c>
      <c r="V80" s="49" t="str">
        <f>IFERROR(AVERAGEIFS('Май 2026'!$K:$K,'Май 2026'!$E:$E,$A:$A),"-")</f>
        <v>-</v>
      </c>
      <c r="W80" s="49" t="str">
        <f t="shared" si="1"/>
        <v>-</v>
      </c>
      <c r="X80" s="49" t="str">
        <f t="shared" si="2"/>
        <v>-</v>
      </c>
      <c r="Y80" s="48"/>
      <c r="Z80" s="48"/>
      <c r="AA80" s="48"/>
      <c r="AB80" s="48"/>
      <c r="AC80" s="48"/>
      <c r="AD80" s="48"/>
      <c r="AE80" s="48"/>
      <c r="AF80" s="48"/>
      <c r="AG80" s="48"/>
      <c r="AH80" s="48"/>
    </row>
    <row r="81">
      <c r="A81" s="51" t="s">
        <v>125</v>
      </c>
      <c r="B81" s="49" t="str">
        <f>IFERROR(AVERAGEIFS('Сентябрь 2024'!$K:$K,'Сентябрь 2024'!$E:$E,$A:$A),"-")</f>
        <v>-</v>
      </c>
      <c r="C81" s="49" t="str">
        <f>IFERROR(AVERAGEIFS('Октябрь 2024'!$K:$K,'Октябрь 2024'!$E:$E,$A:$A),"-")</f>
        <v>-</v>
      </c>
      <c r="D81" s="49" t="str">
        <f>IFERROR(AVERAGEIFS('Ноябрь 2024'!$K:$K,'Ноябрь 2024'!$E:$E,$A:$A),"-")</f>
        <v>-</v>
      </c>
      <c r="E81" s="49" t="str">
        <f>IFERROR(AVERAGEIFS('Декабрь 2024'!$K:$K,'Декабрь 2024'!$E:$E,$A:$A),"-")</f>
        <v>-</v>
      </c>
      <c r="F81" s="49" t="str">
        <f>IFERROR(AVERAGEIFS('Январь 2025'!$K:$K,'Январь 2025'!$E:$E,$A:$A),"-")</f>
        <v>-</v>
      </c>
      <c r="G81" s="49" t="str">
        <f>IFERROR(AVERAGEIFS('Февраль 2025 '!K:K,'Февраль 2025 '!E:E,A:A),"-")</f>
        <v>-</v>
      </c>
      <c r="H81" s="49" t="str">
        <f>IFERROR(AVERAGEIFS('Март 2025'!$K:$K,'Март 2025'!$E:$E,$A:$A),"-")</f>
        <v>-</v>
      </c>
      <c r="I81" s="49" t="str">
        <f>IFERROR(AVERAGEIFS('Апрель 2025'!$K:$K,'Апрель 2025'!$E:$E,$A:$A),"-")</f>
        <v>-</v>
      </c>
      <c r="J81" s="49" t="str">
        <f>IFERROR(AVERAGEIFS('Май 2025'!$K:$K,'Май 2025'!$E:$E,$A:$A),"-")</f>
        <v>-</v>
      </c>
      <c r="K81" s="49" t="str">
        <f>IFERROR(AVERAGEIFS('Июнь 2025'!$K:$K,'Июнь 2025'!$E:$E,$A:$A),"-")</f>
        <v>-</v>
      </c>
      <c r="L81" s="49" t="str">
        <f>IFERROR(AVERAGEIFS('Июль 2025'!$K:$K,'Июль 2025'!$E:$E,$A:$A),"-")</f>
        <v>-</v>
      </c>
      <c r="M81" s="49" t="str">
        <f>IFERROR(AVERAGEIFS('Август 2025'!$K:$K,'Август 2025'!$E:$E,$A:$A),"-")</f>
        <v>-</v>
      </c>
      <c r="N81" s="49" t="str">
        <f>IFERROR(AVERAGEIFS('Сентябрь 2025'!$K:$K,'Сентябрь 2025'!$E:$E,$A:$A),"-")</f>
        <v>-</v>
      </c>
      <c r="O81" s="49" t="str">
        <f>IFERROR(AVERAGEIFS('Октябрь 2025'!$K:$K,'Октябрь 2025'!$E:$E,$A:$A),"-")</f>
        <v>-</v>
      </c>
      <c r="P81" s="49" t="str">
        <f>IFERROR(AVERAGEIFS('Ноябрь 2025'!$K:$K,'Ноябрь 2025'!$E:$E,$A:$A),"-")</f>
        <v>-</v>
      </c>
      <c r="Q81" s="49" t="str">
        <f>IFERROR(AVERAGEIFS('Декабрь 2025'!$K:$K,'Декабрь 2025'!$E:$E,$A:$A),"-")</f>
        <v>-</v>
      </c>
      <c r="R81" s="49" t="str">
        <f>IFERROR(AVERAGEIFS('Январь 2026'!$K:$K,'Январь 2026'!$E:$E,$A:$A),"-")</f>
        <v>-</v>
      </c>
      <c r="S81" s="49" t="str">
        <f>IFERROR(AVERAGEIFS('Февраль 2026'!$K:$K,'Февраль 2026'!$E:$E,$A:$A),"-")</f>
        <v>-</v>
      </c>
      <c r="T81" s="49">
        <f>IFERROR(AVERAGEIFS('Март 2026'!$K:$K,'Март 2026'!$E:$E,$A:$A),"-")</f>
        <v>3.35</v>
      </c>
      <c r="U81" s="49" t="str">
        <f>IFERROR(AVERAGEIFS('Апрель 2026'!$K:$K,'Апрель 2026'!$E:$E,$A:$A),"-")</f>
        <v>-</v>
      </c>
      <c r="V81" s="49">
        <f>IFERROR(AVERAGEIFS('Май 2026'!$K:$K,'Май 2026'!$E:$E,$A:$A),"-")</f>
        <v>3.61</v>
      </c>
      <c r="W81" s="49" t="str">
        <f t="shared" si="1"/>
        <v>-</v>
      </c>
      <c r="X81" s="49" t="str">
        <f t="shared" si="2"/>
        <v>-</v>
      </c>
      <c r="Y81" s="48"/>
      <c r="Z81" s="48"/>
      <c r="AA81" s="48"/>
      <c r="AB81" s="48"/>
      <c r="AC81" s="48"/>
      <c r="AD81" s="48"/>
      <c r="AE81" s="48"/>
      <c r="AF81" s="48"/>
      <c r="AG81" s="48"/>
      <c r="AH81" s="48"/>
    </row>
    <row r="82">
      <c r="A82" s="51" t="s">
        <v>126</v>
      </c>
      <c r="B82" s="49" t="str">
        <f>IFERROR(AVERAGEIFS('Сентябрь 2024'!$K:$K,'Сентябрь 2024'!$E:$E,$A:$A),"-")</f>
        <v>-</v>
      </c>
      <c r="C82" s="49" t="str">
        <f>IFERROR(AVERAGEIFS('Октябрь 2024'!$K:$K,'Октябрь 2024'!$E:$E,$A:$A),"-")</f>
        <v>-</v>
      </c>
      <c r="D82" s="49" t="str">
        <f>IFERROR(AVERAGEIFS('Ноябрь 2024'!$K:$K,'Ноябрь 2024'!$E:$E,$A:$A),"-")</f>
        <v>-</v>
      </c>
      <c r="E82" s="49" t="str">
        <f>IFERROR(AVERAGEIFS('Декабрь 2024'!$K:$K,'Декабрь 2024'!$E:$E,$A:$A),"-")</f>
        <v>-</v>
      </c>
      <c r="F82" s="49" t="str">
        <f>IFERROR(AVERAGEIFS('Январь 2025'!$K:$K,'Январь 2025'!$E:$E,$A:$A),"-")</f>
        <v>-</v>
      </c>
      <c r="G82" s="49" t="str">
        <f>IFERROR(AVERAGEIFS('Февраль 2025 '!K:K,'Февраль 2025 '!E:E,A:A),"-")</f>
        <v>-</v>
      </c>
      <c r="H82" s="49" t="str">
        <f>IFERROR(AVERAGEIFS('Март 2025'!$K:$K,'Март 2025'!$E:$E,$A:$A),"-")</f>
        <v>-</v>
      </c>
      <c r="I82" s="49" t="str">
        <f>IFERROR(AVERAGEIFS('Апрель 2025'!$K:$K,'Апрель 2025'!$E:$E,$A:$A),"-")</f>
        <v>-</v>
      </c>
      <c r="J82" s="49" t="str">
        <f>IFERROR(AVERAGEIFS('Май 2025'!$K:$K,'Май 2025'!$E:$E,$A:$A),"-")</f>
        <v>-</v>
      </c>
      <c r="K82" s="49" t="str">
        <f>IFERROR(AVERAGEIFS('Июнь 2025'!$K:$K,'Июнь 2025'!$E:$E,$A:$A),"-")</f>
        <v>-</v>
      </c>
      <c r="L82" s="49" t="str">
        <f>IFERROR(AVERAGEIFS('Июль 2025'!$K:$K,'Июль 2025'!$E:$E,$A:$A),"-")</f>
        <v>-</v>
      </c>
      <c r="M82" s="49" t="str">
        <f>IFERROR(AVERAGEIFS('Август 2025'!$K:$K,'Август 2025'!$E:$E,$A:$A),"-")</f>
        <v>-</v>
      </c>
      <c r="N82" s="49" t="str">
        <f>IFERROR(AVERAGEIFS('Сентябрь 2025'!$K:$K,'Сентябрь 2025'!$E:$E,$A:$A),"-")</f>
        <v>-</v>
      </c>
      <c r="O82" s="49" t="str">
        <f>IFERROR(AVERAGEIFS('Октябрь 2025'!$K:$K,'Октябрь 2025'!$E:$E,$A:$A),"-")</f>
        <v>-</v>
      </c>
      <c r="P82" s="49" t="str">
        <f>IFERROR(AVERAGEIFS('Ноябрь 2025'!$K:$K,'Ноябрь 2025'!$E:$E,$A:$A),"-")</f>
        <v>-</v>
      </c>
      <c r="Q82" s="49" t="str">
        <f>IFERROR(AVERAGEIFS('Декабрь 2025'!$K:$K,'Декабрь 2025'!$E:$E,$A:$A),"-")</f>
        <v>-</v>
      </c>
      <c r="R82" s="49" t="str">
        <f>IFERROR(AVERAGEIFS('Январь 2026'!$K:$K,'Январь 2026'!$E:$E,$A:$A),"-")</f>
        <v>-</v>
      </c>
      <c r="S82" s="49" t="str">
        <f>IFERROR(AVERAGEIFS('Февраль 2026'!$K:$K,'Февраль 2026'!$E:$E,$A:$A),"-")</f>
        <v>-</v>
      </c>
      <c r="T82" s="49">
        <f>IFERROR(AVERAGEIFS('Март 2026'!$K:$K,'Март 2026'!$E:$E,$A:$A),"-")</f>
        <v>2.08</v>
      </c>
      <c r="U82" s="49" t="str">
        <f>IFERROR(AVERAGEIFS('Апрель 2026'!$K:$K,'Апрель 2026'!$E:$E,$A:$A),"-")</f>
        <v>-</v>
      </c>
      <c r="V82" s="49" t="str">
        <f>IFERROR(AVERAGEIFS('Май 2026'!$K:$K,'Май 2026'!$E:$E,$A:$A),"-")</f>
        <v>-</v>
      </c>
      <c r="W82" s="49" t="str">
        <f t="shared" si="1"/>
        <v>-</v>
      </c>
      <c r="X82" s="49" t="str">
        <f t="shared" si="2"/>
        <v>-</v>
      </c>
      <c r="Y82" s="48"/>
      <c r="Z82" s="48"/>
      <c r="AA82" s="48"/>
      <c r="AB82" s="48"/>
      <c r="AC82" s="48"/>
      <c r="AD82" s="48"/>
      <c r="AE82" s="48"/>
      <c r="AF82" s="48"/>
      <c r="AG82" s="48"/>
      <c r="AH82" s="48"/>
    </row>
    <row r="83">
      <c r="A83" s="51" t="s">
        <v>127</v>
      </c>
      <c r="B83" s="49" t="str">
        <f>IFERROR(AVERAGEIFS('Сентябрь 2024'!$K:$K,'Сентябрь 2024'!$E:$E,$A:$A),"-")</f>
        <v>-</v>
      </c>
      <c r="C83" s="49" t="str">
        <f>IFERROR(AVERAGEIFS('Октябрь 2024'!$K:$K,'Октябрь 2024'!$E:$E,$A:$A),"-")</f>
        <v>-</v>
      </c>
      <c r="D83" s="49" t="str">
        <f>IFERROR(AVERAGEIFS('Ноябрь 2024'!$K:$K,'Ноябрь 2024'!$E:$E,$A:$A),"-")</f>
        <v>-</v>
      </c>
      <c r="E83" s="49" t="str">
        <f>IFERROR(AVERAGEIFS('Декабрь 2024'!$K:$K,'Декабрь 2024'!$E:$E,$A:$A),"-")</f>
        <v>-</v>
      </c>
      <c r="F83" s="49" t="str">
        <f>IFERROR(AVERAGEIFS('Январь 2025'!$K:$K,'Январь 2025'!$E:$E,$A:$A),"-")</f>
        <v>-</v>
      </c>
      <c r="G83" s="49" t="str">
        <f>IFERROR(AVERAGEIFS('Февраль 2025 '!K:K,'Февраль 2025 '!E:E,A:A),"-")</f>
        <v>-</v>
      </c>
      <c r="H83" s="49" t="str">
        <f>IFERROR(AVERAGEIFS('Март 2025'!$K:$K,'Март 2025'!$E:$E,$A:$A),"-")</f>
        <v>-</v>
      </c>
      <c r="I83" s="49" t="str">
        <f>IFERROR(AVERAGEIFS('Апрель 2025'!$K:$K,'Апрель 2025'!$E:$E,$A:$A),"-")</f>
        <v>-</v>
      </c>
      <c r="J83" s="49" t="str">
        <f>IFERROR(AVERAGEIFS('Май 2025'!$K:$K,'Май 2025'!$E:$E,$A:$A),"-")</f>
        <v>-</v>
      </c>
      <c r="K83" s="49" t="str">
        <f>IFERROR(AVERAGEIFS('Июнь 2025'!$K:$K,'Июнь 2025'!$E:$E,$A:$A),"-")</f>
        <v>-</v>
      </c>
      <c r="L83" s="49" t="str">
        <f>IFERROR(AVERAGEIFS('Июль 2025'!$K:$K,'Июль 2025'!$E:$E,$A:$A),"-")</f>
        <v>-</v>
      </c>
      <c r="M83" s="49" t="str">
        <f>IFERROR(AVERAGEIFS('Август 2025'!$K:$K,'Август 2025'!$E:$E,$A:$A),"-")</f>
        <v>-</v>
      </c>
      <c r="N83" s="49" t="str">
        <f>IFERROR(AVERAGEIFS('Сентябрь 2025'!$K:$K,'Сентябрь 2025'!$E:$E,$A:$A),"-")</f>
        <v>-</v>
      </c>
      <c r="O83" s="49" t="str">
        <f>IFERROR(AVERAGEIFS('Октябрь 2025'!$K:$K,'Октябрь 2025'!$E:$E,$A:$A),"-")</f>
        <v>-</v>
      </c>
      <c r="P83" s="49" t="str">
        <f>IFERROR(AVERAGEIFS('Ноябрь 2025'!$K:$K,'Ноябрь 2025'!$E:$E,$A:$A),"-")</f>
        <v>-</v>
      </c>
      <c r="Q83" s="49" t="str">
        <f>IFERROR(AVERAGEIFS('Декабрь 2025'!$K:$K,'Декабрь 2025'!$E:$E,$A:$A),"-")</f>
        <v>-</v>
      </c>
      <c r="R83" s="49" t="str">
        <f>IFERROR(AVERAGEIFS('Январь 2026'!$K:$K,'Январь 2026'!$E:$E,$A:$A),"-")</f>
        <v>-</v>
      </c>
      <c r="S83" s="49" t="str">
        <f>IFERROR(AVERAGEIFS('Февраль 2026'!$K:$K,'Февраль 2026'!$E:$E,$A:$A),"-")</f>
        <v>-</v>
      </c>
      <c r="T83" s="49" t="str">
        <f>IFERROR(AVERAGEIFS('Март 2026'!$K:$K,'Март 2026'!$E:$E,$A:$A),"-")</f>
        <v>-</v>
      </c>
      <c r="U83" s="49" t="str">
        <f>IFERROR(AVERAGEIFS('Апрель 2026'!$K:$K,'Апрель 2026'!$E:$E,$A:$A),"-")</f>
        <v>-</v>
      </c>
      <c r="V83" s="49" t="str">
        <f>IFERROR(AVERAGEIFS('Май 2026'!$K:$K,'Май 2026'!$E:$E,$A:$A),"-")</f>
        <v>-</v>
      </c>
      <c r="W83" s="49" t="str">
        <f t="shared" si="1"/>
        <v>-</v>
      </c>
      <c r="X83" s="49" t="str">
        <f t="shared" si="2"/>
        <v>-</v>
      </c>
      <c r="Y83" s="48"/>
      <c r="Z83" s="48"/>
      <c r="AA83" s="48"/>
      <c r="AB83" s="48"/>
      <c r="AC83" s="48"/>
      <c r="AD83" s="48"/>
      <c r="AE83" s="48"/>
      <c r="AF83" s="48"/>
      <c r="AG83" s="48"/>
      <c r="AH83" s="48"/>
    </row>
    <row r="84">
      <c r="A84" s="51" t="s">
        <v>128</v>
      </c>
      <c r="B84" s="49" t="str">
        <f>IFERROR(AVERAGEIFS('Сентябрь 2024'!$K:$K,'Сентябрь 2024'!$E:$E,$A:$A),"-")</f>
        <v>-</v>
      </c>
      <c r="C84" s="49" t="str">
        <f>IFERROR(AVERAGEIFS('Октябрь 2024'!$K:$K,'Октябрь 2024'!$E:$E,$A:$A),"-")</f>
        <v>-</v>
      </c>
      <c r="D84" s="49" t="str">
        <f>IFERROR(AVERAGEIFS('Ноябрь 2024'!$K:$K,'Ноябрь 2024'!$E:$E,$A:$A),"-")</f>
        <v>-</v>
      </c>
      <c r="E84" s="49" t="str">
        <f>IFERROR(AVERAGEIFS('Декабрь 2024'!$K:$K,'Декабрь 2024'!$E:$E,$A:$A),"-")</f>
        <v>-</v>
      </c>
      <c r="F84" s="49" t="str">
        <f>IFERROR(AVERAGEIFS('Январь 2025'!$K:$K,'Январь 2025'!$E:$E,$A:$A),"-")</f>
        <v>-</v>
      </c>
      <c r="G84" s="49" t="str">
        <f>IFERROR(AVERAGEIFS('Февраль 2025 '!K:K,'Февраль 2025 '!E:E,A:A),"-")</f>
        <v>-</v>
      </c>
      <c r="H84" s="49" t="str">
        <f>IFERROR(AVERAGEIFS('Март 2025'!$K:$K,'Март 2025'!$E:$E,$A:$A),"-")</f>
        <v>-</v>
      </c>
      <c r="I84" s="49" t="str">
        <f>IFERROR(AVERAGEIFS('Апрель 2025'!$K:$K,'Апрель 2025'!$E:$E,$A:$A),"-")</f>
        <v>-</v>
      </c>
      <c r="J84" s="49" t="str">
        <f>IFERROR(AVERAGEIFS('Май 2025'!$K:$K,'Май 2025'!$E:$E,$A:$A),"-")</f>
        <v>-</v>
      </c>
      <c r="K84" s="49">
        <f>IFERROR(AVERAGEIFS('Июнь 2025'!$K:$K,'Июнь 2025'!$E:$E,$A:$A),"-")</f>
        <v>2.385</v>
      </c>
      <c r="L84" s="49">
        <f>IFERROR(AVERAGEIFS('Июль 2025'!$K:$K,'Июль 2025'!$E:$E,$A:$A),"-")</f>
        <v>1.96</v>
      </c>
      <c r="M84" s="49">
        <f>IFERROR(AVERAGEIFS('Август 2025'!$K:$K,'Август 2025'!$E:$E,$A:$A),"-")</f>
        <v>1.99</v>
      </c>
      <c r="N84" s="49" t="str">
        <f>IFERROR(AVERAGEIFS('Сентябрь 2025'!$K:$K,'Сентябрь 2025'!$E:$E,$A:$A),"-")</f>
        <v>-</v>
      </c>
      <c r="O84" s="49" t="str">
        <f>IFERROR(AVERAGEIFS('Октябрь 2025'!$K:$K,'Октябрь 2025'!$E:$E,$A:$A),"-")</f>
        <v>-</v>
      </c>
      <c r="P84" s="49" t="str">
        <f>IFERROR(AVERAGEIFS('Ноябрь 2025'!$K:$K,'Ноябрь 2025'!$E:$E,$A:$A),"-")</f>
        <v>-</v>
      </c>
      <c r="Q84" s="49" t="str">
        <f>IFERROR(AVERAGEIFS('Декабрь 2025'!$K:$K,'Декабрь 2025'!$E:$E,$A:$A),"-")</f>
        <v>-</v>
      </c>
      <c r="R84" s="49" t="str">
        <f>IFERROR(AVERAGEIFS('Январь 2026'!$K:$K,'Январь 2026'!$E:$E,$A:$A),"-")</f>
        <v>-</v>
      </c>
      <c r="S84" s="49" t="str">
        <f>IFERROR(AVERAGEIFS('Февраль 2026'!$K:$K,'Февраль 2026'!$E:$E,$A:$A),"-")</f>
        <v>-</v>
      </c>
      <c r="T84" s="49">
        <f>IFERROR(AVERAGEIFS('Март 2026'!$K:$K,'Март 2026'!$E:$E,$A:$A),"-")</f>
        <v>2</v>
      </c>
      <c r="U84" s="49">
        <f>IFERROR(AVERAGEIFS('Апрель 2026'!$K:$K,'Апрель 2026'!$E:$E,$A:$A),"-")</f>
        <v>1.867</v>
      </c>
      <c r="V84" s="49">
        <f>IFERROR(AVERAGEIFS('Май 2026'!$K:$K,'Май 2026'!$E:$E,$A:$A),"-")</f>
        <v>1.82</v>
      </c>
      <c r="W84" s="49" t="str">
        <f t="shared" si="1"/>
        <v>-</v>
      </c>
      <c r="X84" s="49" t="str">
        <f t="shared" si="2"/>
        <v>-</v>
      </c>
      <c r="Y84" s="48"/>
      <c r="Z84" s="48"/>
      <c r="AA84" s="48"/>
      <c r="AB84" s="48"/>
      <c r="AC84" s="48"/>
      <c r="AD84" s="48"/>
      <c r="AE84" s="48"/>
      <c r="AF84" s="48"/>
      <c r="AG84" s="48"/>
      <c r="AH84" s="48"/>
    </row>
    <row r="85">
      <c r="A85" s="51" t="s">
        <v>129</v>
      </c>
      <c r="B85" s="49" t="str">
        <f>IFERROR(AVERAGEIFS('Сентябрь 2024'!$K:$K,'Сентябрь 2024'!$E:$E,$A:$A),"-")</f>
        <v>-</v>
      </c>
      <c r="C85" s="49" t="str">
        <f>IFERROR(AVERAGEIFS('Октябрь 2024'!$K:$K,'Октябрь 2024'!$E:$E,$A:$A),"-")</f>
        <v>-</v>
      </c>
      <c r="D85" s="49" t="str">
        <f>IFERROR(AVERAGEIFS('Ноябрь 2024'!$K:$K,'Ноябрь 2024'!$E:$E,$A:$A),"-")</f>
        <v>-</v>
      </c>
      <c r="E85" s="49" t="str">
        <f>IFERROR(AVERAGEIFS('Декабрь 2024'!$K:$K,'Декабрь 2024'!$E:$E,$A:$A),"-")</f>
        <v>-</v>
      </c>
      <c r="F85" s="49" t="str">
        <f>IFERROR(AVERAGEIFS('Январь 2025'!$K:$K,'Январь 2025'!$E:$E,$A:$A),"-")</f>
        <v>-</v>
      </c>
      <c r="G85" s="49" t="str">
        <f>IFERROR(AVERAGEIFS('Февраль 2025 '!K:K,'Февраль 2025 '!E:E,A:A),"-")</f>
        <v>-</v>
      </c>
      <c r="H85" s="49" t="str">
        <f>IFERROR(AVERAGEIFS('Март 2025'!$K:$K,'Март 2025'!$E:$E,$A:$A),"-")</f>
        <v>-</v>
      </c>
      <c r="I85" s="49" t="str">
        <f>IFERROR(AVERAGEIFS('Апрель 2025'!$K:$K,'Апрель 2025'!$E:$E,$A:$A),"-")</f>
        <v>-</v>
      </c>
      <c r="J85" s="49" t="str">
        <f>IFERROR(AVERAGEIFS('Май 2025'!$K:$K,'Май 2025'!$E:$E,$A:$A),"-")</f>
        <v>-</v>
      </c>
      <c r="K85" s="49" t="str">
        <f>IFERROR(AVERAGEIFS('Июнь 2025'!$K:$K,'Июнь 2025'!$E:$E,$A:$A),"-")</f>
        <v>-</v>
      </c>
      <c r="L85" s="49" t="str">
        <f>IFERROR(AVERAGEIFS('Июль 2025'!$K:$K,'Июль 2025'!$E:$E,$A:$A),"-")</f>
        <v>-</v>
      </c>
      <c r="M85" s="49" t="str">
        <f>IFERROR(AVERAGEIFS('Август 2025'!$K:$K,'Август 2025'!$E:$E,$A:$A),"-")</f>
        <v>-</v>
      </c>
      <c r="N85" s="49">
        <f>IFERROR(AVERAGEIFS('Сентябрь 2025'!$K:$K,'Сентябрь 2025'!$E:$E,$A:$A),"-")</f>
        <v>1.48</v>
      </c>
      <c r="O85" s="49" t="str">
        <f>IFERROR(AVERAGEIFS('Октябрь 2025'!$K:$K,'Октябрь 2025'!$E:$E,$A:$A),"-")</f>
        <v>-</v>
      </c>
      <c r="P85" s="49" t="str">
        <f>IFERROR(AVERAGEIFS('Ноябрь 2025'!$K:$K,'Ноябрь 2025'!$E:$E,$A:$A),"-")</f>
        <v>-</v>
      </c>
      <c r="Q85" s="49" t="str">
        <f>IFERROR(AVERAGEIFS('Декабрь 2025'!$K:$K,'Декабрь 2025'!$E:$E,$A:$A),"-")</f>
        <v>-</v>
      </c>
      <c r="R85" s="49" t="str">
        <f>IFERROR(AVERAGEIFS('Январь 2026'!$K:$K,'Январь 2026'!$E:$E,$A:$A),"-")</f>
        <v>-</v>
      </c>
      <c r="S85" s="49" t="str">
        <f>IFERROR(AVERAGEIFS('Февраль 2026'!$K:$K,'Февраль 2026'!$E:$E,$A:$A),"-")</f>
        <v>-</v>
      </c>
      <c r="T85" s="49">
        <f>IFERROR(AVERAGEIFS('Март 2026'!$K:$K,'Март 2026'!$E:$E,$A:$A),"-")</f>
        <v>1.98</v>
      </c>
      <c r="U85" s="49" t="str">
        <f>IFERROR(AVERAGEIFS('Апрель 2026'!$K:$K,'Апрель 2026'!$E:$E,$A:$A),"-")</f>
        <v>-</v>
      </c>
      <c r="V85" s="49" t="str">
        <f>IFERROR(AVERAGEIFS('Май 2026'!$K:$K,'Май 2026'!$E:$E,$A:$A),"-")</f>
        <v>-</v>
      </c>
      <c r="W85" s="49" t="str">
        <f t="shared" si="1"/>
        <v>-</v>
      </c>
      <c r="X85" s="49" t="str">
        <f t="shared" si="2"/>
        <v>-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</row>
    <row r="86">
      <c r="B86" s="49" t="str">
        <f>IFERROR(AVERAGEIFS('Сентябрь 2024'!$K:$K,'Сентябрь 2024'!$E:$E,$A:$A),"-")</f>
        <v>-</v>
      </c>
      <c r="C86" s="49" t="str">
        <f>IFERROR(AVERAGEIFS('Октябрь 2024'!$K:$K,'Октябрь 2024'!$E:$E,$A:$A),"-")</f>
        <v>-</v>
      </c>
      <c r="D86" s="49" t="str">
        <f>IFERROR(AVERAGEIFS('Ноябрь 2024'!$K:$K,'Ноябрь 2024'!$E:$E,$A:$A),"-")</f>
        <v>-</v>
      </c>
      <c r="E86" s="49" t="str">
        <f>IFERROR(AVERAGEIFS('Декабрь 2024'!$K:$K,'Декабрь 2024'!$E:$E,$A:$A),"-")</f>
        <v>-</v>
      </c>
      <c r="F86" s="49" t="str">
        <f>IFERROR(AVERAGEIFS('Январь 2025'!$K:$K,'Январь 2025'!$E:$E,$A:$A),"-")</f>
        <v>-</v>
      </c>
      <c r="G86" s="49" t="str">
        <f>IFERROR(AVERAGEIFS('Февраль 2025 '!K:K,'Февраль 2025 '!E:E,A:A),"-")</f>
        <v>-</v>
      </c>
      <c r="H86" s="49" t="str">
        <f>IFERROR(AVERAGEIFS('Март 2025'!$K:$K,'Март 2025'!$E:$E,$A:$A),"-")</f>
        <v>-</v>
      </c>
      <c r="I86" s="49" t="str">
        <f>IFERROR(AVERAGEIFS('Апрель 2025'!$K:$K,'Апрель 2025'!$E:$E,$A:$A),"-")</f>
        <v>-</v>
      </c>
      <c r="J86" s="49" t="str">
        <f>IFERROR(AVERAGEIFS('Май 2025'!$K:$K,'Май 2025'!$E:$E,$A:$A),"-")</f>
        <v>-</v>
      </c>
      <c r="K86" s="49" t="str">
        <f>IFERROR(AVERAGEIFS('Июнь 2025'!$K:$K,'Июнь 2025'!$E:$E,$A:$A),"-")</f>
        <v>-</v>
      </c>
      <c r="L86" s="49" t="str">
        <f>IFERROR(AVERAGEIFS('Июль 2025'!$K:$K,'Июль 2025'!$E:$E,$A:$A),"-")</f>
        <v>-</v>
      </c>
      <c r="M86" s="49" t="str">
        <f>IFERROR(AVERAGEIFS('Август 2025'!$K:$K,'Август 2025'!$E:$E,$A:$A),"-")</f>
        <v>-</v>
      </c>
      <c r="N86" s="49" t="str">
        <f>IFERROR(AVERAGEIFS('Сентябрь 2025'!$K:$K,'Сентябрь 2025'!$E:$E,$A:$A),"-")</f>
        <v>-</v>
      </c>
      <c r="O86" s="49" t="str">
        <f>IFERROR(AVERAGEIFS('Октябрь 2025'!$K:$K,'Октябрь 2025'!$E:$E,$A:$A),"-")</f>
        <v>-</v>
      </c>
      <c r="P86" s="49" t="str">
        <f>IFERROR(AVERAGEIFS('Ноябрь 2025'!$K:$K,'Ноябрь 2025'!$E:$E,$A:$A),"-")</f>
        <v>-</v>
      </c>
      <c r="Q86" s="49" t="str">
        <f>IFERROR(AVERAGEIFS('Декабрь 2025'!$K:$K,'Декабрь 2025'!$E:$E,$A:$A),"-")</f>
        <v>-</v>
      </c>
      <c r="R86" s="49" t="str">
        <f>IFERROR(AVERAGEIFS('Январь 2026'!$K:$K,'Январь 2026'!$E:$E,$A:$A),"-")</f>
        <v>-</v>
      </c>
      <c r="S86" s="49" t="str">
        <f>IFERROR(AVERAGEIFS('Февраль 2026'!$K:$K,'Февраль 2026'!$E:$E,$A:$A),"-")</f>
        <v>-</v>
      </c>
      <c r="T86" s="49" t="str">
        <f>IFERROR(AVERAGEIFS('Март 2026'!$K:$K,'Март 2026'!$E:$E,$A:$A),"-")</f>
        <v>-</v>
      </c>
      <c r="U86" s="49" t="str">
        <f>IFERROR(AVERAGEIFS('Апрель 2026'!$K:$K,'Апрель 2026'!$E:$E,$A:$A),"-")</f>
        <v>-</v>
      </c>
      <c r="V86" s="49" t="str">
        <f>IFERROR(AVERAGEIFS('Май 2026'!$K:$K,'Май 2026'!$E:$E,$A:$A),"-")</f>
        <v>-</v>
      </c>
      <c r="W86" s="49" t="str">
        <f t="shared" si="1"/>
        <v>-</v>
      </c>
      <c r="X86" s="49" t="str">
        <f t="shared" si="2"/>
        <v>-</v>
      </c>
      <c r="Y86" s="48"/>
      <c r="Z86" s="48"/>
      <c r="AA86" s="48"/>
      <c r="AB86" s="48"/>
      <c r="AC86" s="48"/>
      <c r="AD86" s="48"/>
      <c r="AE86" s="48"/>
      <c r="AF86" s="48"/>
      <c r="AG86" s="48"/>
      <c r="AH86" s="48"/>
    </row>
    <row r="87">
      <c r="B87" s="49" t="str">
        <f>IFERROR(AVERAGEIFS('Сентябрь 2024'!$K:$K,'Сентябрь 2024'!$E:$E,$A:$A),"-")</f>
        <v>-</v>
      </c>
      <c r="C87" s="49" t="str">
        <f>IFERROR(AVERAGEIFS('Октябрь 2024'!$K:$K,'Октябрь 2024'!$E:$E,$A:$A),"-")</f>
        <v>-</v>
      </c>
      <c r="D87" s="49" t="str">
        <f>IFERROR(AVERAGEIFS('Ноябрь 2024'!$K:$K,'Ноябрь 2024'!$E:$E,$A:$A),"-")</f>
        <v>-</v>
      </c>
      <c r="E87" s="49" t="str">
        <f>IFERROR(AVERAGEIFS('Декабрь 2024'!$K:$K,'Декабрь 2024'!$E:$E,$A:$A),"-")</f>
        <v>-</v>
      </c>
      <c r="F87" s="49" t="str">
        <f>IFERROR(AVERAGEIFS('Январь 2025'!$K:$K,'Январь 2025'!$E:$E,$A:$A),"-")</f>
        <v>-</v>
      </c>
      <c r="G87" s="49" t="str">
        <f>IFERROR(AVERAGEIFS('Февраль 2025 '!K:K,'Февраль 2025 '!E:E,A:A),"-")</f>
        <v>-</v>
      </c>
      <c r="H87" s="49" t="str">
        <f>IFERROR(AVERAGEIFS('Март 2025'!$K:$K,'Март 2025'!$E:$E,$A:$A),"-")</f>
        <v>-</v>
      </c>
      <c r="I87" s="49" t="str">
        <f>IFERROR(AVERAGEIFS('Апрель 2025'!$K:$K,'Апрель 2025'!$E:$E,$A:$A),"-")</f>
        <v>-</v>
      </c>
      <c r="J87" s="49" t="str">
        <f>IFERROR(AVERAGEIFS('Май 2025'!$K:$K,'Май 2025'!$E:$E,$A:$A),"-")</f>
        <v>-</v>
      </c>
      <c r="K87" s="49" t="str">
        <f>IFERROR(AVERAGEIFS('Июнь 2025'!$K:$K,'Июнь 2025'!$E:$E,$A:$A),"-")</f>
        <v>-</v>
      </c>
      <c r="L87" s="49" t="str">
        <f>IFERROR(AVERAGEIFS('Июль 2025'!$K:$K,'Июль 2025'!$E:$E,$A:$A),"-")</f>
        <v>-</v>
      </c>
      <c r="M87" s="49" t="str">
        <f>IFERROR(AVERAGEIFS('Август 2025'!$K:$K,'Август 2025'!$E:$E,$A:$A),"-")</f>
        <v>-</v>
      </c>
      <c r="N87" s="49" t="str">
        <f>IFERROR(AVERAGEIFS('Сентябрь 2025'!$K:$K,'Сентябрь 2025'!$E:$E,$A:$A),"-")</f>
        <v>-</v>
      </c>
      <c r="O87" s="49" t="str">
        <f>IFERROR(AVERAGEIFS('Октябрь 2025'!$K:$K,'Октябрь 2025'!$E:$E,$A:$A),"-")</f>
        <v>-</v>
      </c>
      <c r="P87" s="49" t="str">
        <f>IFERROR(AVERAGEIFS('Ноябрь 2025'!$K:$K,'Ноябрь 2025'!$E:$E,$A:$A),"-")</f>
        <v>-</v>
      </c>
      <c r="Q87" s="49" t="str">
        <f>IFERROR(AVERAGEIFS('Декабрь 2025'!$K:$K,'Декабрь 2025'!$E:$E,$A:$A),"-")</f>
        <v>-</v>
      </c>
      <c r="R87" s="49" t="str">
        <f>IFERROR(AVERAGEIFS('Январь 2026'!$K:$K,'Январь 2026'!$E:$E,$A:$A),"-")</f>
        <v>-</v>
      </c>
      <c r="S87" s="49" t="str">
        <f>IFERROR(AVERAGEIFS('Февраль 2026'!$K:$K,'Февраль 2026'!$E:$E,$A:$A),"-")</f>
        <v>-</v>
      </c>
      <c r="T87" s="49" t="str">
        <f>IFERROR(AVERAGEIFS('Март 2026'!$K:$K,'Март 2026'!$E:$E,$A:$A),"-")</f>
        <v>-</v>
      </c>
      <c r="U87" s="49" t="str">
        <f>IFERROR(AVERAGEIFS('Апрель 2026'!$K:$K,'Апрель 2026'!$E:$E,$A:$A),"-")</f>
        <v>-</v>
      </c>
      <c r="V87" s="49" t="str">
        <f>IFERROR(AVERAGEIFS('Май 2026'!$K:$K,'Май 2026'!$E:$E,$A:$A),"-")</f>
        <v>-</v>
      </c>
      <c r="W87" s="49" t="str">
        <f t="shared" si="1"/>
        <v>-</v>
      </c>
      <c r="X87" s="49" t="str">
        <f t="shared" si="2"/>
        <v>-</v>
      </c>
      <c r="Y87" s="48"/>
      <c r="Z87" s="48"/>
      <c r="AA87" s="48"/>
      <c r="AB87" s="48"/>
      <c r="AC87" s="48"/>
      <c r="AD87" s="48"/>
      <c r="AE87" s="48"/>
      <c r="AF87" s="48"/>
      <c r="AG87" s="48"/>
      <c r="AH87" s="48"/>
    </row>
    <row r="88">
      <c r="B88" s="49" t="str">
        <f>IFERROR(AVERAGEIFS('Сентябрь 2024'!$K:$K,'Сентябрь 2024'!$E:$E,$A:$A),"-")</f>
        <v>-</v>
      </c>
      <c r="C88" s="49" t="str">
        <f>IFERROR(AVERAGEIFS('Октябрь 2024'!$K:$K,'Октябрь 2024'!$E:$E,$A:$A),"-")</f>
        <v>-</v>
      </c>
      <c r="D88" s="49" t="str">
        <f>IFERROR(AVERAGEIFS('Ноябрь 2024'!$K:$K,'Ноябрь 2024'!$E:$E,$A:$A),"-")</f>
        <v>-</v>
      </c>
      <c r="E88" s="49" t="str">
        <f>IFERROR(AVERAGEIFS('Декабрь 2024'!$K:$K,'Декабрь 2024'!$E:$E,$A:$A),"-")</f>
        <v>-</v>
      </c>
      <c r="F88" s="49" t="str">
        <f>IFERROR(AVERAGEIFS('Январь 2025'!$K:$K,'Январь 2025'!$E:$E,$A:$A),"-")</f>
        <v>-</v>
      </c>
      <c r="G88" s="49" t="str">
        <f>IFERROR(AVERAGEIFS('Февраль 2025 '!K:K,'Февраль 2025 '!E:E,A:A),"-")</f>
        <v>-</v>
      </c>
      <c r="H88" s="49" t="str">
        <f>IFERROR(AVERAGEIFS('Март 2025'!$K:$K,'Март 2025'!$E:$E,$A:$A),"-")</f>
        <v>-</v>
      </c>
      <c r="I88" s="49" t="str">
        <f>IFERROR(AVERAGEIFS('Апрель 2025'!$K:$K,'Апрель 2025'!$E:$E,$A:$A),"-")</f>
        <v>-</v>
      </c>
      <c r="J88" s="49" t="str">
        <f>IFERROR(AVERAGEIFS('Май 2025'!$K:$K,'Май 2025'!$E:$E,$A:$A),"-")</f>
        <v>-</v>
      </c>
      <c r="K88" s="49" t="str">
        <f>IFERROR(AVERAGEIFS('Июнь 2025'!$K:$K,'Июнь 2025'!$E:$E,$A:$A),"-")</f>
        <v>-</v>
      </c>
      <c r="L88" s="49" t="str">
        <f>IFERROR(AVERAGEIFS('Июль 2025'!$K:$K,'Июль 2025'!$E:$E,$A:$A),"-")</f>
        <v>-</v>
      </c>
      <c r="M88" s="49" t="str">
        <f>IFERROR(AVERAGEIFS('Август 2025'!$K:$K,'Август 2025'!$E:$E,$A:$A),"-")</f>
        <v>-</v>
      </c>
      <c r="N88" s="49" t="str">
        <f>IFERROR(AVERAGEIFS('Сентябрь 2025'!$K:$K,'Сентябрь 2025'!$E:$E,$A:$A),"-")</f>
        <v>-</v>
      </c>
      <c r="O88" s="49" t="str">
        <f>IFERROR(AVERAGEIFS('Октябрь 2025'!$K:$K,'Октябрь 2025'!$E:$E,$A:$A),"-")</f>
        <v>-</v>
      </c>
      <c r="P88" s="49" t="str">
        <f>IFERROR(AVERAGEIFS('Ноябрь 2025'!$K:$K,'Ноябрь 2025'!$E:$E,$A:$A),"-")</f>
        <v>-</v>
      </c>
      <c r="Q88" s="49" t="str">
        <f>IFERROR(AVERAGEIFS('Декабрь 2025'!$K:$K,'Декабрь 2025'!$E:$E,$A:$A),"-")</f>
        <v>-</v>
      </c>
      <c r="R88" s="49" t="str">
        <f>IFERROR(AVERAGEIFS('Январь 2026'!$K:$K,'Январь 2026'!$E:$E,$A:$A),"-")</f>
        <v>-</v>
      </c>
      <c r="S88" s="49" t="str">
        <f>IFERROR(AVERAGEIFS('Февраль 2026'!$K:$K,'Февраль 2026'!$E:$E,$A:$A),"-")</f>
        <v>-</v>
      </c>
      <c r="T88" s="49" t="str">
        <f>IFERROR(AVERAGEIFS('Март 2026'!$K:$K,'Март 2026'!$E:$E,$A:$A),"-")</f>
        <v>-</v>
      </c>
      <c r="U88" s="49" t="str">
        <f>IFERROR(AVERAGEIFS('Апрель 2026'!$K:$K,'Апрель 2026'!$E:$E,$A:$A),"-")</f>
        <v>-</v>
      </c>
      <c r="V88" s="49" t="str">
        <f>IFERROR(AVERAGEIFS('Май 2026'!$K:$K,'Май 2026'!$E:$E,$A:$A),"-")</f>
        <v>-</v>
      </c>
      <c r="W88" s="49" t="str">
        <f t="shared" si="1"/>
        <v>-</v>
      </c>
      <c r="X88" s="49" t="str">
        <f t="shared" si="2"/>
        <v>-</v>
      </c>
      <c r="Y88" s="48"/>
      <c r="Z88" s="48"/>
      <c r="AA88" s="48"/>
      <c r="AB88" s="48"/>
      <c r="AC88" s="48"/>
      <c r="AD88" s="48"/>
      <c r="AE88" s="48"/>
      <c r="AF88" s="48"/>
      <c r="AG88" s="48"/>
      <c r="AH88" s="48"/>
    </row>
    <row r="89">
      <c r="B89" s="49" t="str">
        <f>IFERROR(AVERAGEIFS('Сентябрь 2024'!$K:$K,'Сентябрь 2024'!$E:$E,$A:$A),"-")</f>
        <v>-</v>
      </c>
      <c r="C89" s="49" t="str">
        <f>IFERROR(AVERAGEIFS('Октябрь 2024'!$K:$K,'Октябрь 2024'!$E:$E,$A:$A),"-")</f>
        <v>-</v>
      </c>
      <c r="D89" s="49" t="str">
        <f>IFERROR(AVERAGEIFS('Ноябрь 2024'!$K:$K,'Ноябрь 2024'!$E:$E,$A:$A),"-")</f>
        <v>-</v>
      </c>
      <c r="E89" s="49" t="str">
        <f>IFERROR(AVERAGEIFS('Декабрь 2024'!$K:$K,'Декабрь 2024'!$E:$E,$A:$A),"-")</f>
        <v>-</v>
      </c>
      <c r="F89" s="49" t="str">
        <f>IFERROR(AVERAGEIFS('Январь 2025'!$K:$K,'Январь 2025'!$E:$E,$A:$A),"-")</f>
        <v>-</v>
      </c>
      <c r="G89" s="49" t="str">
        <f>IFERROR(AVERAGEIFS('Февраль 2025 '!K:K,'Февраль 2025 '!E:E,A:A),"-")</f>
        <v>-</v>
      </c>
      <c r="H89" s="49" t="str">
        <f>IFERROR(AVERAGEIFS('Март 2025'!$K:$K,'Март 2025'!$E:$E,$A:$A),"-")</f>
        <v>-</v>
      </c>
      <c r="I89" s="49" t="str">
        <f>IFERROR(AVERAGEIFS('Апрель 2025'!$K:$K,'Апрель 2025'!$E:$E,$A:$A),"-")</f>
        <v>-</v>
      </c>
      <c r="J89" s="49" t="str">
        <f>IFERROR(AVERAGEIFS('Май 2025'!$K:$K,'Май 2025'!$E:$E,$A:$A),"-")</f>
        <v>-</v>
      </c>
      <c r="K89" s="49" t="str">
        <f>IFERROR(AVERAGEIFS('Июнь 2025'!$K:$K,'Июнь 2025'!$E:$E,$A:$A),"-")</f>
        <v>-</v>
      </c>
      <c r="L89" s="49" t="str">
        <f>IFERROR(AVERAGEIFS('Июль 2025'!$K:$K,'Июль 2025'!$E:$E,$A:$A),"-")</f>
        <v>-</v>
      </c>
      <c r="M89" s="49" t="str">
        <f>IFERROR(AVERAGEIFS('Август 2025'!$K:$K,'Август 2025'!$E:$E,$A:$A),"-")</f>
        <v>-</v>
      </c>
      <c r="N89" s="49" t="str">
        <f>IFERROR(AVERAGEIFS('Сентябрь 2025'!$K:$K,'Сентябрь 2025'!$E:$E,$A:$A),"-")</f>
        <v>-</v>
      </c>
      <c r="O89" s="49" t="str">
        <f>IFERROR(AVERAGEIFS('Октябрь 2025'!$K:$K,'Октябрь 2025'!$E:$E,$A:$A),"-")</f>
        <v>-</v>
      </c>
      <c r="P89" s="49" t="str">
        <f>IFERROR(AVERAGEIFS('Ноябрь 2025'!$K:$K,'Ноябрь 2025'!$E:$E,$A:$A),"-")</f>
        <v>-</v>
      </c>
      <c r="Q89" s="49" t="str">
        <f>IFERROR(AVERAGEIFS('Декабрь 2025'!$K:$K,'Декабрь 2025'!$E:$E,$A:$A),"-")</f>
        <v>-</v>
      </c>
      <c r="R89" s="49" t="str">
        <f>IFERROR(AVERAGEIFS('Январь 2026'!$K:$K,'Январь 2026'!$E:$E,$A:$A),"-")</f>
        <v>-</v>
      </c>
      <c r="S89" s="49" t="str">
        <f>IFERROR(AVERAGEIFS('Февраль 2026'!$K:$K,'Февраль 2026'!$E:$E,$A:$A),"-")</f>
        <v>-</v>
      </c>
      <c r="T89" s="49" t="str">
        <f>IFERROR(AVERAGEIFS('Март 2026'!$K:$K,'Март 2026'!$E:$E,$A:$A),"-")</f>
        <v>-</v>
      </c>
      <c r="U89" s="49" t="str">
        <f>IFERROR(AVERAGEIFS('Апрель 2026'!$K:$K,'Апрель 2026'!$E:$E,$A:$A),"-")</f>
        <v>-</v>
      </c>
      <c r="V89" s="49" t="str">
        <f>IFERROR(AVERAGEIFS('Май 2026'!$K:$K,'Май 2026'!$E:$E,$A:$A),"-")</f>
        <v>-</v>
      </c>
      <c r="W89" s="49" t="str">
        <f t="shared" si="1"/>
        <v>-</v>
      </c>
      <c r="X89" s="49" t="str">
        <f t="shared" si="2"/>
        <v>-</v>
      </c>
      <c r="Y89" s="48"/>
      <c r="Z89" s="48"/>
      <c r="AA89" s="48"/>
      <c r="AB89" s="48"/>
      <c r="AC89" s="48"/>
      <c r="AD89" s="48"/>
      <c r="AE89" s="48"/>
      <c r="AF89" s="48"/>
      <c r="AG89" s="48"/>
      <c r="AH89" s="48"/>
    </row>
    <row r="90">
      <c r="B90" s="49" t="str">
        <f>IFERROR(AVERAGEIFS('Сентябрь 2024'!$K:$K,'Сентябрь 2024'!$E:$E,$A:$A),"-")</f>
        <v>-</v>
      </c>
      <c r="C90" s="49" t="str">
        <f>IFERROR(AVERAGEIFS('Октябрь 2024'!$K:$K,'Октябрь 2024'!$E:$E,$A:$A),"-")</f>
        <v>-</v>
      </c>
      <c r="D90" s="49" t="str">
        <f>IFERROR(AVERAGEIFS('Ноябрь 2024'!$K:$K,'Ноябрь 2024'!$E:$E,$A:$A),"-")</f>
        <v>-</v>
      </c>
      <c r="E90" s="49" t="str">
        <f>IFERROR(AVERAGEIFS('Декабрь 2024'!$K:$K,'Декабрь 2024'!$E:$E,$A:$A),"-")</f>
        <v>-</v>
      </c>
      <c r="F90" s="49" t="str">
        <f>IFERROR(AVERAGEIFS('Январь 2025'!$K:$K,'Январь 2025'!$E:$E,$A:$A),"-")</f>
        <v>-</v>
      </c>
      <c r="G90" s="49" t="str">
        <f>IFERROR(AVERAGEIFS('Февраль 2025 '!K:K,'Февраль 2025 '!E:E,A:A),"-")</f>
        <v>-</v>
      </c>
      <c r="H90" s="49" t="str">
        <f>IFERROR(AVERAGEIFS('Март 2025'!$K:$K,'Март 2025'!$E:$E,$A:$A),"-")</f>
        <v>-</v>
      </c>
      <c r="I90" s="49" t="str">
        <f>IFERROR(AVERAGEIFS('Апрель 2025'!$K:$K,'Апрель 2025'!$E:$E,$A:$A),"-")</f>
        <v>-</v>
      </c>
      <c r="J90" s="49" t="str">
        <f>IFERROR(AVERAGEIFS('Май 2025'!$K:$K,'Май 2025'!$E:$E,$A:$A),"-")</f>
        <v>-</v>
      </c>
      <c r="K90" s="49" t="str">
        <f>IFERROR(AVERAGEIFS('Июнь 2025'!$K:$K,'Июнь 2025'!$E:$E,$A:$A),"-")</f>
        <v>-</v>
      </c>
      <c r="L90" s="49" t="str">
        <f>IFERROR(AVERAGEIFS('Июль 2025'!$K:$K,'Июль 2025'!$E:$E,$A:$A),"-")</f>
        <v>-</v>
      </c>
      <c r="M90" s="49" t="str">
        <f>IFERROR(AVERAGEIFS('Август 2025'!$K:$K,'Август 2025'!$E:$E,$A:$A),"-")</f>
        <v>-</v>
      </c>
      <c r="N90" s="49" t="str">
        <f>IFERROR(AVERAGEIFS('Сентябрь 2025'!$K:$K,'Сентябрь 2025'!$E:$E,$A:$A),"-")</f>
        <v>-</v>
      </c>
      <c r="O90" s="49" t="str">
        <f>IFERROR(AVERAGEIFS('Октябрь 2025'!$K:$K,'Октябрь 2025'!$E:$E,$A:$A),"-")</f>
        <v>-</v>
      </c>
      <c r="P90" s="49" t="str">
        <f>IFERROR(AVERAGEIFS('Ноябрь 2025'!$K:$K,'Ноябрь 2025'!$E:$E,$A:$A),"-")</f>
        <v>-</v>
      </c>
      <c r="Q90" s="49" t="str">
        <f>IFERROR(AVERAGEIFS('Декабрь 2025'!$K:$K,'Декабрь 2025'!$E:$E,$A:$A),"-")</f>
        <v>-</v>
      </c>
      <c r="R90" s="49" t="str">
        <f>IFERROR(AVERAGEIFS('Январь 2026'!$K:$K,'Январь 2026'!$E:$E,$A:$A),"-")</f>
        <v>-</v>
      </c>
      <c r="S90" s="49" t="str">
        <f>IFERROR(AVERAGEIFS('Февраль 2026'!$K:$K,'Февраль 2026'!$E:$E,$A:$A),"-")</f>
        <v>-</v>
      </c>
      <c r="T90" s="49" t="str">
        <f>IFERROR(AVERAGEIFS('Март 2026'!$K:$K,'Март 2026'!$E:$E,$A:$A),"-")</f>
        <v>-</v>
      </c>
      <c r="U90" s="49" t="str">
        <f>IFERROR(AVERAGEIFS('Апрель 2026'!$K:$K,'Апрель 2026'!$E:$E,$A:$A),"-")</f>
        <v>-</v>
      </c>
      <c r="V90" s="49" t="str">
        <f>IFERROR(AVERAGEIFS('Май 2026'!$K:$K,'Май 2026'!$E:$E,$A:$A),"-")</f>
        <v>-</v>
      </c>
      <c r="W90" s="49" t="str">
        <f t="shared" si="1"/>
        <v>-</v>
      </c>
      <c r="X90" s="49" t="str">
        <f t="shared" si="2"/>
        <v>-</v>
      </c>
      <c r="Y90" s="48"/>
      <c r="Z90" s="48"/>
      <c r="AA90" s="48"/>
      <c r="AB90" s="48"/>
      <c r="AC90" s="48"/>
      <c r="AD90" s="48"/>
      <c r="AE90" s="48"/>
      <c r="AF90" s="48"/>
      <c r="AG90" s="48"/>
      <c r="AH90" s="48"/>
    </row>
    <row r="91">
      <c r="B91" s="49" t="str">
        <f>IFERROR(AVERAGEIFS('Сентябрь 2024'!$K:$K,'Сентябрь 2024'!$E:$E,$A:$A),"-")</f>
        <v>-</v>
      </c>
      <c r="C91" s="49" t="str">
        <f>IFERROR(AVERAGEIFS('Октябрь 2024'!$K:$K,'Октябрь 2024'!$E:$E,$A:$A),"-")</f>
        <v>-</v>
      </c>
      <c r="D91" s="49" t="str">
        <f>IFERROR(AVERAGEIFS('Ноябрь 2024'!$K:$K,'Ноябрь 2024'!$E:$E,$A:$A),"-")</f>
        <v>-</v>
      </c>
      <c r="E91" s="49" t="str">
        <f>IFERROR(AVERAGEIFS('Декабрь 2024'!$K:$K,'Декабрь 2024'!$E:$E,$A:$A),"-")</f>
        <v>-</v>
      </c>
      <c r="F91" s="49" t="str">
        <f>IFERROR(AVERAGEIFS('Январь 2025'!$K:$K,'Январь 2025'!$E:$E,$A:$A),"-")</f>
        <v>-</v>
      </c>
      <c r="G91" s="49" t="str">
        <f>IFERROR(AVERAGEIFS('Февраль 2025 '!K:K,'Февраль 2025 '!E:E,A:A),"-")</f>
        <v>-</v>
      </c>
      <c r="H91" s="49" t="str">
        <f>IFERROR(AVERAGEIFS('Март 2025'!$K:$K,'Март 2025'!$E:$E,$A:$A),"-")</f>
        <v>-</v>
      </c>
      <c r="I91" s="49" t="str">
        <f>IFERROR(AVERAGEIFS('Апрель 2025'!$K:$K,'Апрель 2025'!$E:$E,$A:$A),"-")</f>
        <v>-</v>
      </c>
      <c r="J91" s="49" t="str">
        <f>IFERROR(AVERAGEIFS('Май 2025'!$K:$K,'Май 2025'!$E:$E,$A:$A),"-")</f>
        <v>-</v>
      </c>
      <c r="K91" s="49" t="str">
        <f>IFERROR(AVERAGEIFS('Июнь 2025'!$K:$K,'Июнь 2025'!$E:$E,$A:$A),"-")</f>
        <v>-</v>
      </c>
      <c r="L91" s="49" t="str">
        <f>IFERROR(AVERAGEIFS('Июль 2025'!$K:$K,'Июль 2025'!$E:$E,$A:$A),"-")</f>
        <v>-</v>
      </c>
      <c r="M91" s="49" t="str">
        <f>IFERROR(AVERAGEIFS('Август 2025'!$K:$K,'Август 2025'!$E:$E,$A:$A),"-")</f>
        <v>-</v>
      </c>
      <c r="N91" s="49" t="str">
        <f>IFERROR(AVERAGEIFS('Сентябрь 2025'!$K:$K,'Сентябрь 2025'!$E:$E,$A:$A),"-")</f>
        <v>-</v>
      </c>
      <c r="O91" s="49" t="str">
        <f>IFERROR(AVERAGEIFS('Октябрь 2025'!$K:$K,'Октябрь 2025'!$E:$E,$A:$A),"-")</f>
        <v>-</v>
      </c>
      <c r="P91" s="49" t="str">
        <f>IFERROR(AVERAGEIFS('Ноябрь 2025'!$K:$K,'Ноябрь 2025'!$E:$E,$A:$A),"-")</f>
        <v>-</v>
      </c>
      <c r="Q91" s="49" t="str">
        <f>IFERROR(AVERAGEIFS('Декабрь 2025'!$K:$K,'Декабрь 2025'!$E:$E,$A:$A),"-")</f>
        <v>-</v>
      </c>
      <c r="R91" s="49" t="str">
        <f>IFERROR(AVERAGEIFS('Январь 2026'!$K:$K,'Январь 2026'!$E:$E,$A:$A),"-")</f>
        <v>-</v>
      </c>
      <c r="S91" s="49" t="str">
        <f>IFERROR(AVERAGEIFS('Февраль 2026'!$K:$K,'Февраль 2026'!$E:$E,$A:$A),"-")</f>
        <v>-</v>
      </c>
      <c r="T91" s="49" t="str">
        <f>IFERROR(AVERAGEIFS('Март 2026'!$K:$K,'Март 2026'!$E:$E,$A:$A),"-")</f>
        <v>-</v>
      </c>
      <c r="U91" s="49" t="str">
        <f>IFERROR(AVERAGEIFS('Апрель 2026'!$K:$K,'Апрель 2026'!$E:$E,$A:$A),"-")</f>
        <v>-</v>
      </c>
      <c r="V91" s="49" t="str">
        <f>IFERROR(AVERAGEIFS('Май 2026'!$K:$K,'Май 2026'!$E:$E,$A:$A),"-")</f>
        <v>-</v>
      </c>
      <c r="W91" s="49" t="str">
        <f t="shared" si="1"/>
        <v>-</v>
      </c>
      <c r="X91" s="49" t="str">
        <f t="shared" si="2"/>
        <v>-</v>
      </c>
      <c r="Y91" s="48"/>
      <c r="Z91" s="48"/>
      <c r="AA91" s="48"/>
      <c r="AB91" s="48"/>
      <c r="AC91" s="48"/>
      <c r="AD91" s="48"/>
      <c r="AE91" s="48"/>
      <c r="AF91" s="48"/>
      <c r="AG91" s="48"/>
      <c r="AH91" s="48"/>
    </row>
    <row r="92">
      <c r="B92" s="49" t="str">
        <f>IFERROR(AVERAGEIFS('Сентябрь 2024'!$K:$K,'Сентябрь 2024'!$E:$E,$A:$A),"-")</f>
        <v>-</v>
      </c>
      <c r="C92" s="49" t="str">
        <f>IFERROR(AVERAGEIFS('Октябрь 2024'!$K:$K,'Октябрь 2024'!$E:$E,$A:$A),"-")</f>
        <v>-</v>
      </c>
      <c r="D92" s="49" t="str">
        <f>IFERROR(AVERAGEIFS('Ноябрь 2024'!$K:$K,'Ноябрь 2024'!$E:$E,$A:$A),"-")</f>
        <v>-</v>
      </c>
      <c r="E92" s="49" t="str">
        <f>IFERROR(AVERAGEIFS('Декабрь 2024'!$K:$K,'Декабрь 2024'!$E:$E,$A:$A),"-")</f>
        <v>-</v>
      </c>
      <c r="F92" s="49" t="str">
        <f>IFERROR(AVERAGEIFS('Январь 2025'!$K:$K,'Январь 2025'!$E:$E,$A:$A),"-")</f>
        <v>-</v>
      </c>
      <c r="G92" s="49" t="str">
        <f>IFERROR(AVERAGEIFS('Февраль 2025 '!K:K,'Февраль 2025 '!E:E,A:A),"-")</f>
        <v>-</v>
      </c>
      <c r="H92" s="49" t="str">
        <f>IFERROR(AVERAGEIFS('Март 2025'!$K:$K,'Март 2025'!$E:$E,$A:$A),"-")</f>
        <v>-</v>
      </c>
      <c r="I92" s="49" t="str">
        <f>IFERROR(AVERAGEIFS('Апрель 2025'!$K:$K,'Апрель 2025'!$E:$E,$A:$A),"-")</f>
        <v>-</v>
      </c>
      <c r="J92" s="49" t="str">
        <f>IFERROR(AVERAGEIFS('Май 2025'!$K:$K,'Май 2025'!$E:$E,$A:$A),"-")</f>
        <v>-</v>
      </c>
      <c r="K92" s="49" t="str">
        <f>IFERROR(AVERAGEIFS('Июнь 2025'!$K:$K,'Июнь 2025'!$E:$E,$A:$A),"-")</f>
        <v>-</v>
      </c>
      <c r="L92" s="49" t="str">
        <f>IFERROR(AVERAGEIFS('Июль 2025'!$K:$K,'Июль 2025'!$E:$E,$A:$A),"-")</f>
        <v>-</v>
      </c>
      <c r="M92" s="49" t="str">
        <f>IFERROR(AVERAGEIFS('Август 2025'!$K:$K,'Август 2025'!$E:$E,$A:$A),"-")</f>
        <v>-</v>
      </c>
      <c r="N92" s="49" t="str">
        <f>IFERROR(AVERAGEIFS('Сентябрь 2025'!$K:$K,'Сентябрь 2025'!$E:$E,$A:$A),"-")</f>
        <v>-</v>
      </c>
      <c r="O92" s="49" t="str">
        <f>IFERROR(AVERAGEIFS('Октябрь 2025'!$K:$K,'Октябрь 2025'!$E:$E,$A:$A),"-")</f>
        <v>-</v>
      </c>
      <c r="P92" s="49" t="str">
        <f>IFERROR(AVERAGEIFS('Ноябрь 2025'!$K:$K,'Ноябрь 2025'!$E:$E,$A:$A),"-")</f>
        <v>-</v>
      </c>
      <c r="Q92" s="49" t="str">
        <f>IFERROR(AVERAGEIFS('Декабрь 2025'!$K:$K,'Декабрь 2025'!$E:$E,$A:$A),"-")</f>
        <v>-</v>
      </c>
      <c r="R92" s="49" t="str">
        <f>IFERROR(AVERAGEIFS('Январь 2026'!$K:$K,'Январь 2026'!$E:$E,$A:$A),"-")</f>
        <v>-</v>
      </c>
      <c r="S92" s="49" t="str">
        <f>IFERROR(AVERAGEIFS('Февраль 2026'!$K:$K,'Февраль 2026'!$E:$E,$A:$A),"-")</f>
        <v>-</v>
      </c>
      <c r="T92" s="49" t="str">
        <f>IFERROR(AVERAGEIFS('Март 2026'!$K:$K,'Март 2026'!$E:$E,$A:$A),"-")</f>
        <v>-</v>
      </c>
      <c r="U92" s="49" t="str">
        <f>IFERROR(AVERAGEIFS('Апрель 2026'!$K:$K,'Апрель 2026'!$E:$E,$A:$A),"-")</f>
        <v>-</v>
      </c>
      <c r="V92" s="49" t="str">
        <f>IFERROR(AVERAGEIFS('Май 2026'!$K:$K,'Май 2026'!$E:$E,$A:$A),"-")</f>
        <v>-</v>
      </c>
      <c r="W92" s="49" t="str">
        <f t="shared" si="1"/>
        <v>-</v>
      </c>
      <c r="X92" s="49" t="str">
        <f t="shared" si="2"/>
        <v>-</v>
      </c>
      <c r="Y92" s="48"/>
      <c r="Z92" s="48"/>
      <c r="AA92" s="48"/>
      <c r="AB92" s="48"/>
      <c r="AC92" s="48"/>
      <c r="AD92" s="48"/>
      <c r="AE92" s="48"/>
      <c r="AF92" s="48"/>
      <c r="AG92" s="48"/>
      <c r="AH92" s="48"/>
    </row>
    <row r="93">
      <c r="B93" s="49" t="str">
        <f>IFERROR(AVERAGEIFS('Сентябрь 2024'!$K:$K,'Сентябрь 2024'!$E:$E,$A:$A),"-")</f>
        <v>-</v>
      </c>
      <c r="C93" s="49" t="str">
        <f>IFERROR(AVERAGEIFS('Октябрь 2024'!$K:$K,'Октябрь 2024'!$E:$E,$A:$A),"-")</f>
        <v>-</v>
      </c>
      <c r="D93" s="49" t="str">
        <f>IFERROR(AVERAGEIFS('Ноябрь 2024'!$K:$K,'Ноябрь 2024'!$E:$E,$A:$A),"-")</f>
        <v>-</v>
      </c>
      <c r="E93" s="49" t="str">
        <f>IFERROR(AVERAGEIFS('Декабрь 2024'!$K:$K,'Декабрь 2024'!$E:$E,$A:$A),"-")</f>
        <v>-</v>
      </c>
      <c r="F93" s="49" t="str">
        <f>IFERROR(AVERAGEIFS('Январь 2025'!$K:$K,'Январь 2025'!$E:$E,$A:$A),"-")</f>
        <v>-</v>
      </c>
      <c r="G93" s="49" t="str">
        <f>IFERROR(AVERAGEIFS('Февраль 2025 '!K:K,'Февраль 2025 '!E:E,A:A),"-")</f>
        <v>-</v>
      </c>
      <c r="H93" s="49" t="str">
        <f>IFERROR(AVERAGEIFS('Март 2025'!$K:$K,'Март 2025'!$E:$E,$A:$A),"-")</f>
        <v>-</v>
      </c>
      <c r="I93" s="49" t="str">
        <f>IFERROR(AVERAGEIFS('Апрель 2025'!$K:$K,'Апрель 2025'!$E:$E,$A:$A),"-")</f>
        <v>-</v>
      </c>
      <c r="J93" s="49" t="str">
        <f>IFERROR(AVERAGEIFS('Май 2025'!$K:$K,'Май 2025'!$E:$E,$A:$A),"-")</f>
        <v>-</v>
      </c>
      <c r="K93" s="49" t="str">
        <f>IFERROR(AVERAGEIFS('Июнь 2025'!$K:$K,'Июнь 2025'!$E:$E,$A:$A),"-")</f>
        <v>-</v>
      </c>
      <c r="L93" s="49" t="str">
        <f>IFERROR(AVERAGEIFS('Июль 2025'!$K:$K,'Июль 2025'!$E:$E,$A:$A),"-")</f>
        <v>-</v>
      </c>
      <c r="M93" s="49" t="str">
        <f>IFERROR(AVERAGEIFS('Август 2025'!$K:$K,'Август 2025'!$E:$E,$A:$A),"-")</f>
        <v>-</v>
      </c>
      <c r="N93" s="49" t="str">
        <f>IFERROR(AVERAGEIFS('Сентябрь 2025'!$K:$K,'Сентябрь 2025'!$E:$E,$A:$A),"-")</f>
        <v>-</v>
      </c>
      <c r="O93" s="49" t="str">
        <f>IFERROR(AVERAGEIFS('Октябрь 2025'!$K:$K,'Октябрь 2025'!$E:$E,$A:$A),"-")</f>
        <v>-</v>
      </c>
      <c r="P93" s="49" t="str">
        <f>IFERROR(AVERAGEIFS('Ноябрь 2025'!$K:$K,'Ноябрь 2025'!$E:$E,$A:$A),"-")</f>
        <v>-</v>
      </c>
      <c r="Q93" s="49" t="str">
        <f>IFERROR(AVERAGEIFS('Декабрь 2025'!$K:$K,'Декабрь 2025'!$E:$E,$A:$A),"-")</f>
        <v>-</v>
      </c>
      <c r="R93" s="49" t="str">
        <f>IFERROR(AVERAGEIFS('Январь 2026'!$K:$K,'Январь 2026'!$E:$E,$A:$A),"-")</f>
        <v>-</v>
      </c>
      <c r="S93" s="49" t="str">
        <f>IFERROR(AVERAGEIFS('Февраль 2026'!$K:$K,'Февраль 2026'!$E:$E,$A:$A),"-")</f>
        <v>-</v>
      </c>
      <c r="T93" s="49" t="str">
        <f>IFERROR(AVERAGEIFS('Март 2026'!$K:$K,'Март 2026'!$E:$E,$A:$A),"-")</f>
        <v>-</v>
      </c>
      <c r="U93" s="49" t="str">
        <f>IFERROR(AVERAGEIFS('Апрель 2026'!$K:$K,'Апрель 2026'!$E:$E,$A:$A),"-")</f>
        <v>-</v>
      </c>
      <c r="V93" s="49" t="str">
        <f>IFERROR(AVERAGEIFS('Май 2026'!$K:$K,'Май 2026'!$E:$E,$A:$A),"-")</f>
        <v>-</v>
      </c>
      <c r="W93" s="49" t="str">
        <f t="shared" si="1"/>
        <v>-</v>
      </c>
      <c r="X93" s="49" t="str">
        <f t="shared" si="2"/>
        <v>-</v>
      </c>
      <c r="Y93" s="48"/>
      <c r="Z93" s="48"/>
      <c r="AA93" s="48"/>
      <c r="AB93" s="48"/>
      <c r="AC93" s="48"/>
      <c r="AD93" s="48"/>
      <c r="AE93" s="48"/>
      <c r="AF93" s="48"/>
      <c r="AG93" s="48"/>
      <c r="AH93" s="48"/>
    </row>
    <row r="94">
      <c r="B94" s="49" t="str">
        <f>IFERROR(AVERAGEIFS('Сентябрь 2024'!$K:$K,'Сентябрь 2024'!$E:$E,$A:$A),"-")</f>
        <v>-</v>
      </c>
      <c r="C94" s="49" t="str">
        <f>IFERROR(AVERAGEIFS('Октябрь 2024'!$K:$K,'Октябрь 2024'!$E:$E,$A:$A),"-")</f>
        <v>-</v>
      </c>
      <c r="D94" s="49" t="str">
        <f>IFERROR(AVERAGEIFS('Ноябрь 2024'!$K:$K,'Ноябрь 2024'!$E:$E,$A:$A),"-")</f>
        <v>-</v>
      </c>
      <c r="E94" s="49" t="str">
        <f>IFERROR(AVERAGEIFS('Декабрь 2024'!$K:$K,'Декабрь 2024'!$E:$E,$A:$A),"-")</f>
        <v>-</v>
      </c>
      <c r="F94" s="49" t="str">
        <f>IFERROR(AVERAGEIFS('Январь 2025'!$K:$K,'Январь 2025'!$E:$E,$A:$A),"-")</f>
        <v>-</v>
      </c>
      <c r="G94" s="49" t="str">
        <f>IFERROR(AVERAGEIFS('Февраль 2025 '!K:K,'Февраль 2025 '!E:E,A:A),"-")</f>
        <v>-</v>
      </c>
      <c r="H94" s="49" t="str">
        <f>IFERROR(AVERAGEIFS('Март 2025'!$K:$K,'Март 2025'!$E:$E,$A:$A),"-")</f>
        <v>-</v>
      </c>
      <c r="I94" s="49" t="str">
        <f>IFERROR(AVERAGEIFS('Апрель 2025'!$K:$K,'Апрель 2025'!$E:$E,$A:$A),"-")</f>
        <v>-</v>
      </c>
      <c r="J94" s="49" t="str">
        <f>IFERROR(AVERAGEIFS('Май 2025'!$K:$K,'Май 2025'!$E:$E,$A:$A),"-")</f>
        <v>-</v>
      </c>
      <c r="K94" s="49" t="str">
        <f>IFERROR(AVERAGEIFS('Июнь 2025'!$K:$K,'Июнь 2025'!$E:$E,$A:$A),"-")</f>
        <v>-</v>
      </c>
      <c r="L94" s="49" t="str">
        <f>IFERROR(AVERAGEIFS('Июль 2025'!$K:$K,'Июль 2025'!$E:$E,$A:$A),"-")</f>
        <v>-</v>
      </c>
      <c r="M94" s="49" t="str">
        <f>IFERROR(AVERAGEIFS('Август 2025'!$K:$K,'Август 2025'!$E:$E,$A:$A),"-")</f>
        <v>-</v>
      </c>
      <c r="N94" s="49" t="str">
        <f>IFERROR(AVERAGEIFS('Сентябрь 2025'!$K:$K,'Сентябрь 2025'!$E:$E,$A:$A),"-")</f>
        <v>-</v>
      </c>
      <c r="O94" s="49" t="str">
        <f>IFERROR(AVERAGEIFS('Октябрь 2025'!$K:$K,'Октябрь 2025'!$E:$E,$A:$A),"-")</f>
        <v>-</v>
      </c>
      <c r="P94" s="49" t="str">
        <f>IFERROR(AVERAGEIFS('Ноябрь 2025'!$K:$K,'Ноябрь 2025'!$E:$E,$A:$A),"-")</f>
        <v>-</v>
      </c>
      <c r="Q94" s="49" t="str">
        <f>IFERROR(AVERAGEIFS('Декабрь 2025'!$K:$K,'Декабрь 2025'!$E:$E,$A:$A),"-")</f>
        <v>-</v>
      </c>
      <c r="R94" s="49" t="str">
        <f>IFERROR(AVERAGEIFS('Январь 2026'!$K:$K,'Январь 2026'!$E:$E,$A:$A),"-")</f>
        <v>-</v>
      </c>
      <c r="S94" s="49" t="str">
        <f>IFERROR(AVERAGEIFS('Февраль 2026'!$K:$K,'Февраль 2026'!$E:$E,$A:$A),"-")</f>
        <v>-</v>
      </c>
      <c r="T94" s="49" t="str">
        <f>IFERROR(AVERAGEIFS('Март 2026'!$K:$K,'Март 2026'!$E:$E,$A:$A),"-")</f>
        <v>-</v>
      </c>
      <c r="U94" s="49" t="str">
        <f>IFERROR(AVERAGEIFS('Апрель 2026'!$K:$K,'Апрель 2026'!$E:$E,$A:$A),"-")</f>
        <v>-</v>
      </c>
      <c r="V94" s="49" t="str">
        <f>IFERROR(AVERAGEIFS('Май 2026'!$K:$K,'Май 2026'!$E:$E,$A:$A),"-")</f>
        <v>-</v>
      </c>
      <c r="W94" s="49" t="str">
        <f t="shared" si="1"/>
        <v>-</v>
      </c>
      <c r="X94" s="49" t="str">
        <f t="shared" si="2"/>
        <v>-</v>
      </c>
      <c r="Y94" s="48"/>
      <c r="Z94" s="48"/>
      <c r="AA94" s="48"/>
      <c r="AB94" s="48"/>
      <c r="AC94" s="48"/>
      <c r="AD94" s="48"/>
      <c r="AE94" s="48"/>
      <c r="AF94" s="48"/>
      <c r="AG94" s="48"/>
      <c r="AH94" s="48"/>
    </row>
    <row r="95">
      <c r="B95" s="49" t="str">
        <f>IFERROR(AVERAGEIFS('Сентябрь 2024'!$K:$K,'Сентябрь 2024'!$E:$E,$A:$A),"-")</f>
        <v>-</v>
      </c>
      <c r="C95" s="49" t="str">
        <f>IFERROR(AVERAGEIFS('Октябрь 2024'!$K:$K,'Октябрь 2024'!$E:$E,$A:$A),"-")</f>
        <v>-</v>
      </c>
      <c r="D95" s="49" t="str">
        <f>IFERROR(AVERAGEIFS('Ноябрь 2024'!$K:$K,'Ноябрь 2024'!$E:$E,$A:$A),"-")</f>
        <v>-</v>
      </c>
      <c r="E95" s="49" t="str">
        <f>IFERROR(AVERAGEIFS('Декабрь 2024'!$K:$K,'Декабрь 2024'!$E:$E,$A:$A),"-")</f>
        <v>-</v>
      </c>
      <c r="F95" s="49" t="str">
        <f>IFERROR(AVERAGEIFS('Январь 2025'!$K:$K,'Январь 2025'!$E:$E,$A:$A),"-")</f>
        <v>-</v>
      </c>
      <c r="G95" s="49" t="str">
        <f>IFERROR(AVERAGEIFS('Февраль 2025 '!K:K,'Февраль 2025 '!E:E,A:A),"-")</f>
        <v>-</v>
      </c>
      <c r="H95" s="49" t="str">
        <f>IFERROR(AVERAGEIFS('Март 2025'!$K:$K,'Март 2025'!$E:$E,$A:$A),"-")</f>
        <v>-</v>
      </c>
      <c r="I95" s="49" t="str">
        <f>IFERROR(AVERAGEIFS('Апрель 2025'!$K:$K,'Апрель 2025'!$E:$E,$A:$A),"-")</f>
        <v>-</v>
      </c>
      <c r="J95" s="49" t="str">
        <f>IFERROR(AVERAGEIFS('Май 2025'!$K:$K,'Май 2025'!$E:$E,$A:$A),"-")</f>
        <v>-</v>
      </c>
      <c r="K95" s="49" t="str">
        <f>IFERROR(AVERAGEIFS('Июнь 2025'!$K:$K,'Июнь 2025'!$E:$E,$A:$A),"-")</f>
        <v>-</v>
      </c>
      <c r="L95" s="49" t="str">
        <f>IFERROR(AVERAGEIFS('Июль 2025'!$K:$K,'Июль 2025'!$E:$E,$A:$A),"-")</f>
        <v>-</v>
      </c>
      <c r="M95" s="49" t="str">
        <f>IFERROR(AVERAGEIFS('Август 2025'!$K:$K,'Август 2025'!$E:$E,$A:$A),"-")</f>
        <v>-</v>
      </c>
      <c r="N95" s="49" t="str">
        <f>IFERROR(AVERAGEIFS('Сентябрь 2025'!$K:$K,'Сентябрь 2025'!$E:$E,$A:$A),"-")</f>
        <v>-</v>
      </c>
      <c r="O95" s="49" t="str">
        <f>IFERROR(AVERAGEIFS('Октябрь 2025'!$K:$K,'Октябрь 2025'!$E:$E,$A:$A),"-")</f>
        <v>-</v>
      </c>
      <c r="P95" s="49" t="str">
        <f>IFERROR(AVERAGEIFS('Ноябрь 2025'!$K:$K,'Ноябрь 2025'!$E:$E,$A:$A),"-")</f>
        <v>-</v>
      </c>
      <c r="Q95" s="49" t="str">
        <f>IFERROR(AVERAGEIFS('Декабрь 2025'!$K:$K,'Декабрь 2025'!$E:$E,$A:$A),"-")</f>
        <v>-</v>
      </c>
      <c r="R95" s="49" t="str">
        <f>IFERROR(AVERAGEIFS('Январь 2026'!$K:$K,'Январь 2026'!$E:$E,$A:$A),"-")</f>
        <v>-</v>
      </c>
      <c r="S95" s="49" t="str">
        <f>IFERROR(AVERAGEIFS('Февраль 2026'!$K:$K,'Февраль 2026'!$E:$E,$A:$A),"-")</f>
        <v>-</v>
      </c>
      <c r="T95" s="49" t="str">
        <f>IFERROR(AVERAGEIFS('Март 2026'!$K:$K,'Март 2026'!$E:$E,$A:$A),"-")</f>
        <v>-</v>
      </c>
      <c r="U95" s="49" t="str">
        <f>IFERROR(AVERAGEIFS('Апрель 2026'!$K:$K,'Апрель 2026'!$E:$E,$A:$A),"-")</f>
        <v>-</v>
      </c>
      <c r="V95" s="49" t="str">
        <f>IFERROR(AVERAGEIFS('Май 2026'!$K:$K,'Май 2026'!$E:$E,$A:$A),"-")</f>
        <v>-</v>
      </c>
      <c r="W95" s="49" t="str">
        <f t="shared" si="1"/>
        <v>-</v>
      </c>
      <c r="X95" s="49" t="str">
        <f t="shared" si="2"/>
        <v>-</v>
      </c>
      <c r="Y95" s="48"/>
      <c r="Z95" s="48"/>
      <c r="AA95" s="48"/>
      <c r="AB95" s="48"/>
      <c r="AC95" s="48"/>
      <c r="AD95" s="48"/>
      <c r="AE95" s="48"/>
      <c r="AF95" s="48"/>
      <c r="AG95" s="48"/>
      <c r="AH95" s="48"/>
    </row>
    <row r="96">
      <c r="B96" s="49" t="str">
        <f>IFERROR(AVERAGEIFS('Сентябрь 2024'!$K:$K,'Сентябрь 2024'!$E:$E,$A:$A),"-")</f>
        <v>-</v>
      </c>
      <c r="C96" s="49" t="str">
        <f>IFERROR(AVERAGEIFS('Октябрь 2024'!$K:$K,'Октябрь 2024'!$E:$E,$A:$A),"-")</f>
        <v>-</v>
      </c>
      <c r="D96" s="49" t="str">
        <f>IFERROR(AVERAGEIFS('Ноябрь 2024'!$K:$K,'Ноябрь 2024'!$E:$E,$A:$A),"-")</f>
        <v>-</v>
      </c>
      <c r="E96" s="49" t="str">
        <f>IFERROR(AVERAGEIFS('Декабрь 2024'!$K:$K,'Декабрь 2024'!$E:$E,$A:$A),"-")</f>
        <v>-</v>
      </c>
      <c r="F96" s="49" t="str">
        <f>IFERROR(AVERAGEIFS('Январь 2025'!$K:$K,'Январь 2025'!$E:$E,$A:$A),"-")</f>
        <v>-</v>
      </c>
      <c r="G96" s="49" t="str">
        <f>IFERROR(AVERAGEIFS('Февраль 2025 '!K:K,'Февраль 2025 '!E:E,A:A),"-")</f>
        <v>-</v>
      </c>
      <c r="H96" s="49" t="str">
        <f>IFERROR(AVERAGEIFS('Март 2025'!$K:$K,'Март 2025'!$E:$E,$A:$A),"-")</f>
        <v>-</v>
      </c>
      <c r="I96" s="49" t="str">
        <f>IFERROR(AVERAGEIFS('Апрель 2025'!$K:$K,'Апрель 2025'!$E:$E,$A:$A),"-")</f>
        <v>-</v>
      </c>
      <c r="J96" s="49" t="str">
        <f>IFERROR(AVERAGEIFS('Май 2025'!$K:$K,'Май 2025'!$E:$E,$A:$A),"-")</f>
        <v>-</v>
      </c>
      <c r="K96" s="49" t="str">
        <f>IFERROR(AVERAGEIFS('Июнь 2025'!$K:$K,'Июнь 2025'!$E:$E,$A:$A),"-")</f>
        <v>-</v>
      </c>
      <c r="L96" s="49" t="str">
        <f>IFERROR(AVERAGEIFS('Июль 2025'!$K:$K,'Июль 2025'!$E:$E,$A:$A),"-")</f>
        <v>-</v>
      </c>
      <c r="M96" s="49" t="str">
        <f>IFERROR(AVERAGEIFS('Август 2025'!$K:$K,'Август 2025'!$E:$E,$A:$A),"-")</f>
        <v>-</v>
      </c>
      <c r="N96" s="49" t="str">
        <f>IFERROR(AVERAGEIFS('Сентябрь 2025'!$K:$K,'Сентябрь 2025'!$E:$E,$A:$A),"-")</f>
        <v>-</v>
      </c>
      <c r="O96" s="49" t="str">
        <f>IFERROR(AVERAGEIFS('Октябрь 2025'!$K:$K,'Октябрь 2025'!$E:$E,$A:$A),"-")</f>
        <v>-</v>
      </c>
      <c r="P96" s="49" t="str">
        <f>IFERROR(AVERAGEIFS('Ноябрь 2025'!$K:$K,'Ноябрь 2025'!$E:$E,$A:$A),"-")</f>
        <v>-</v>
      </c>
      <c r="Q96" s="49" t="str">
        <f>IFERROR(AVERAGEIFS('Декабрь 2025'!$K:$K,'Декабрь 2025'!$E:$E,$A:$A),"-")</f>
        <v>-</v>
      </c>
      <c r="R96" s="49" t="str">
        <f>IFERROR(AVERAGEIFS('Январь 2026'!$K:$K,'Январь 2026'!$E:$E,$A:$A),"-")</f>
        <v>-</v>
      </c>
      <c r="S96" s="49" t="str">
        <f>IFERROR(AVERAGEIFS('Февраль 2026'!$K:$K,'Февраль 2026'!$E:$E,$A:$A),"-")</f>
        <v>-</v>
      </c>
      <c r="T96" s="49" t="str">
        <f>IFERROR(AVERAGEIFS('Март 2026'!$K:$K,'Март 2026'!$E:$E,$A:$A),"-")</f>
        <v>-</v>
      </c>
      <c r="U96" s="49" t="str">
        <f>IFERROR(AVERAGEIFS('Апрель 2026'!$K:$K,'Апрель 2026'!$E:$E,$A:$A),"-")</f>
        <v>-</v>
      </c>
      <c r="V96" s="49" t="str">
        <f t="shared" ref="V96:V123" si="3">IFERROR(AVERAGEIFS('Май 2026'!$K:$K,'Май 2026'!$E:$E,$A:$A),"-")</f>
        <v>-</v>
      </c>
      <c r="W96" s="49" t="str">
        <f t="shared" si="1"/>
        <v>-</v>
      </c>
      <c r="X96" s="49" t="str">
        <f t="shared" si="2"/>
        <v>-</v>
      </c>
      <c r="Y96" s="48"/>
      <c r="Z96" s="48"/>
      <c r="AA96" s="48"/>
      <c r="AB96" s="48"/>
      <c r="AC96" s="48"/>
      <c r="AD96" s="48"/>
      <c r="AE96" s="48"/>
      <c r="AF96" s="48"/>
      <c r="AG96" s="48"/>
      <c r="AH96" s="48"/>
    </row>
    <row r="97">
      <c r="B97" s="49" t="str">
        <f>IFERROR(AVERAGEIFS('Сентябрь 2024'!$K:$K,'Сентябрь 2024'!$E:$E,$A:$A),"-")</f>
        <v>-</v>
      </c>
      <c r="C97" s="49" t="str">
        <f>IFERROR(AVERAGEIFS('Октябрь 2024'!$K:$K,'Октябрь 2024'!$E:$E,$A:$A),"-")</f>
        <v>-</v>
      </c>
      <c r="D97" s="49" t="str">
        <f>IFERROR(AVERAGEIFS('Ноябрь 2024'!$K:$K,'Ноябрь 2024'!$E:$E,$A:$A),"-")</f>
        <v>-</v>
      </c>
      <c r="E97" s="49" t="str">
        <f>IFERROR(AVERAGEIFS('Декабрь 2024'!$K:$K,'Декабрь 2024'!$E:$E,$A:$A),"-")</f>
        <v>-</v>
      </c>
      <c r="F97" s="49" t="str">
        <f>IFERROR(AVERAGEIFS('Январь 2025'!$K:$K,'Январь 2025'!$E:$E,$A:$A),"-")</f>
        <v>-</v>
      </c>
      <c r="G97" s="49" t="str">
        <f>IFERROR(AVERAGEIFS('Февраль 2025 '!K:K,'Февраль 2025 '!E:E,A:A),"-")</f>
        <v>-</v>
      </c>
      <c r="H97" s="49" t="str">
        <f>IFERROR(AVERAGEIFS('Март 2025'!$K:$K,'Март 2025'!$E:$E,$A:$A),"-")</f>
        <v>-</v>
      </c>
      <c r="I97" s="49" t="str">
        <f>IFERROR(AVERAGEIFS('Апрель 2025'!$K:$K,'Апрель 2025'!$E:$E,$A:$A),"-")</f>
        <v>-</v>
      </c>
      <c r="J97" s="49" t="str">
        <f>IFERROR(AVERAGEIFS('Май 2025'!$K:$K,'Май 2025'!$E:$E,$A:$A),"-")</f>
        <v>-</v>
      </c>
      <c r="K97" s="49" t="str">
        <f>IFERROR(AVERAGEIFS('Июнь 2025'!$K:$K,'Июнь 2025'!$E:$E,$A:$A),"-")</f>
        <v>-</v>
      </c>
      <c r="L97" s="49" t="str">
        <f>IFERROR(AVERAGEIFS('Июль 2025'!$K:$K,'Июль 2025'!$E:$E,$A:$A),"-")</f>
        <v>-</v>
      </c>
      <c r="M97" s="49" t="str">
        <f>IFERROR(AVERAGEIFS('Август 2025'!$K:$K,'Август 2025'!$E:$E,$A:$A),"-")</f>
        <v>-</v>
      </c>
      <c r="N97" s="49" t="str">
        <f>IFERROR(AVERAGEIFS('Сентябрь 2025'!$K:$K,'Сентябрь 2025'!$E:$E,$A:$A),"-")</f>
        <v>-</v>
      </c>
      <c r="O97" s="49" t="str">
        <f>IFERROR(AVERAGEIFS('Октябрь 2025'!$K:$K,'Октябрь 2025'!$E:$E,$A:$A),"-")</f>
        <v>-</v>
      </c>
      <c r="P97" s="49" t="str">
        <f>IFERROR(AVERAGEIFS('Ноябрь 2025'!$K:$K,'Ноябрь 2025'!$E:$E,$A:$A),"-")</f>
        <v>-</v>
      </c>
      <c r="Q97" s="49" t="str">
        <f>IFERROR(AVERAGEIFS('Декабрь 2025'!$K:$K,'Декабрь 2025'!$E:$E,$A:$A),"-")</f>
        <v>-</v>
      </c>
      <c r="R97" s="49" t="str">
        <f>IFERROR(AVERAGEIFS('Январь 2026'!$K:$K,'Январь 2026'!$E:$E,$A:$A),"-")</f>
        <v>-</v>
      </c>
      <c r="S97" s="49" t="str">
        <f>IFERROR(AVERAGEIFS('Февраль 2026'!$K:$K,'Февраль 2026'!$E:$E,$A:$A),"-")</f>
        <v>-</v>
      </c>
      <c r="T97" s="49" t="str">
        <f>IFERROR(AVERAGEIFS('Март 2026'!$K:$K,'Март 2026'!$E:$E,$A:$A),"-")</f>
        <v>-</v>
      </c>
      <c r="U97" s="49" t="str">
        <f>IFERROR(AVERAGEIFS('Апрель 2026'!$K:$K,'Апрель 2026'!$E:$E,$A:$A),"-")</f>
        <v>-</v>
      </c>
      <c r="V97" s="49" t="str">
        <f t="shared" si="3"/>
        <v>-</v>
      </c>
      <c r="W97" s="49" t="str">
        <f t="shared" si="1"/>
        <v>-</v>
      </c>
      <c r="X97" s="49" t="str">
        <f t="shared" si="2"/>
        <v>-</v>
      </c>
      <c r="Y97" s="48"/>
      <c r="Z97" s="48"/>
      <c r="AA97" s="48"/>
      <c r="AB97" s="48"/>
      <c r="AC97" s="48"/>
      <c r="AD97" s="48"/>
      <c r="AE97" s="48"/>
      <c r="AF97" s="48"/>
      <c r="AG97" s="48"/>
      <c r="AH97" s="48"/>
    </row>
    <row r="98">
      <c r="B98" s="49" t="str">
        <f>IFERROR(AVERAGEIFS('Сентябрь 2024'!$K:$K,'Сентябрь 2024'!$E:$E,$A:$A),"-")</f>
        <v>-</v>
      </c>
      <c r="C98" s="49" t="str">
        <f>IFERROR(AVERAGEIFS('Октябрь 2024'!$K:$K,'Октябрь 2024'!$E:$E,$A:$A),"-")</f>
        <v>-</v>
      </c>
      <c r="D98" s="49" t="str">
        <f>IFERROR(AVERAGEIFS('Ноябрь 2024'!$K:$K,'Ноябрь 2024'!$E:$E,$A:$A),"-")</f>
        <v>-</v>
      </c>
      <c r="E98" s="49" t="str">
        <f>IFERROR(AVERAGEIFS('Декабрь 2024'!$K:$K,'Декабрь 2024'!$E:$E,$A:$A),"-")</f>
        <v>-</v>
      </c>
      <c r="F98" s="49" t="str">
        <f>IFERROR(AVERAGEIFS('Январь 2025'!$K:$K,'Январь 2025'!$E:$E,$A:$A),"-")</f>
        <v>-</v>
      </c>
      <c r="G98" s="49" t="str">
        <f>IFERROR(AVERAGEIFS('Февраль 2025 '!K:K,'Февраль 2025 '!E:E,A:A),"-")</f>
        <v>-</v>
      </c>
      <c r="H98" s="49" t="str">
        <f>IFERROR(AVERAGEIFS('Март 2025'!$K:$K,'Март 2025'!$E:$E,$A:$A),"-")</f>
        <v>-</v>
      </c>
      <c r="I98" s="49" t="str">
        <f>IFERROR(AVERAGEIFS('Апрель 2025'!$K:$K,'Апрель 2025'!$E:$E,$A:$A),"-")</f>
        <v>-</v>
      </c>
      <c r="J98" s="49" t="str">
        <f>IFERROR(AVERAGEIFS('Май 2025'!$K:$K,'Май 2025'!$E:$E,$A:$A),"-")</f>
        <v>-</v>
      </c>
      <c r="K98" s="49" t="str">
        <f>IFERROR(AVERAGEIFS('Июнь 2025'!$K:$K,'Июнь 2025'!$E:$E,$A:$A),"-")</f>
        <v>-</v>
      </c>
      <c r="L98" s="49" t="str">
        <f>IFERROR(AVERAGEIFS('Июль 2025'!$K:$K,'Июль 2025'!$E:$E,$A:$A),"-")</f>
        <v>-</v>
      </c>
      <c r="M98" s="49" t="str">
        <f>IFERROR(AVERAGEIFS('Август 2025'!$K:$K,'Август 2025'!$E:$E,$A:$A),"-")</f>
        <v>-</v>
      </c>
      <c r="N98" s="49" t="str">
        <f>IFERROR(AVERAGEIFS('Сентябрь 2025'!$K:$K,'Сентябрь 2025'!$E:$E,$A:$A),"-")</f>
        <v>-</v>
      </c>
      <c r="O98" s="49" t="str">
        <f>IFERROR(AVERAGEIFS('Октябрь 2025'!$K:$K,'Октябрь 2025'!$E:$E,$A:$A),"-")</f>
        <v>-</v>
      </c>
      <c r="P98" s="49" t="str">
        <f>IFERROR(AVERAGEIFS('Ноябрь 2025'!$K:$K,'Ноябрь 2025'!$E:$E,$A:$A),"-")</f>
        <v>-</v>
      </c>
      <c r="Q98" s="49" t="str">
        <f>IFERROR(AVERAGEIFS('Декабрь 2025'!$K:$K,'Декабрь 2025'!$E:$E,$A:$A),"-")</f>
        <v>-</v>
      </c>
      <c r="R98" s="49" t="str">
        <f>IFERROR(AVERAGEIFS('Январь 2026'!$K:$K,'Январь 2026'!$E:$E,$A:$A),"-")</f>
        <v>-</v>
      </c>
      <c r="S98" s="49" t="str">
        <f>IFERROR(AVERAGEIFS('Февраль 2026'!$K:$K,'Февраль 2026'!$E:$E,$A:$A),"-")</f>
        <v>-</v>
      </c>
      <c r="T98" s="49" t="str">
        <f>IFERROR(AVERAGEIFS('Март 2026'!$K:$K,'Март 2026'!$E:$E,$A:$A),"-")</f>
        <v>-</v>
      </c>
      <c r="U98" s="49" t="str">
        <f>IFERROR(AVERAGEIFS('Апрель 2026'!$K:$K,'Апрель 2026'!$E:$E,$A:$A),"-")</f>
        <v>-</v>
      </c>
      <c r="V98" s="49" t="str">
        <f t="shared" si="3"/>
        <v>-</v>
      </c>
      <c r="W98" s="49" t="str">
        <f t="shared" si="1"/>
        <v>-</v>
      </c>
      <c r="X98" s="49" t="str">
        <f t="shared" si="2"/>
        <v>-</v>
      </c>
      <c r="Y98" s="48"/>
      <c r="Z98" s="48"/>
      <c r="AA98" s="48"/>
      <c r="AB98" s="48"/>
      <c r="AC98" s="48"/>
      <c r="AD98" s="48"/>
      <c r="AE98" s="48"/>
      <c r="AF98" s="48"/>
      <c r="AG98" s="48"/>
      <c r="AH98" s="48"/>
    </row>
    <row r="99">
      <c r="B99" s="49" t="str">
        <f>IFERROR(AVERAGEIFS('Сентябрь 2024'!$K:$K,'Сентябрь 2024'!$E:$E,$A:$A),"-")</f>
        <v>-</v>
      </c>
      <c r="C99" s="49" t="str">
        <f>IFERROR(AVERAGEIFS('Октябрь 2024'!$K:$K,'Октябрь 2024'!$E:$E,$A:$A),"-")</f>
        <v>-</v>
      </c>
      <c r="D99" s="49" t="str">
        <f>IFERROR(AVERAGEIFS('Ноябрь 2024'!$K:$K,'Ноябрь 2024'!$E:$E,$A:$A),"-")</f>
        <v>-</v>
      </c>
      <c r="E99" s="49" t="str">
        <f>IFERROR(AVERAGEIFS('Декабрь 2024'!$K:$K,'Декабрь 2024'!$E:$E,$A:$A),"-")</f>
        <v>-</v>
      </c>
      <c r="F99" s="49" t="str">
        <f>IFERROR(AVERAGEIFS('Январь 2025'!$K:$K,'Январь 2025'!$E:$E,$A:$A),"-")</f>
        <v>-</v>
      </c>
      <c r="G99" s="49" t="str">
        <f>IFERROR(AVERAGEIFS('Февраль 2025 '!K:K,'Февраль 2025 '!E:E,A:A),"-")</f>
        <v>-</v>
      </c>
      <c r="H99" s="49" t="str">
        <f>IFERROR(AVERAGEIFS('Март 2025'!$K:$K,'Март 2025'!$E:$E,$A:$A),"-")</f>
        <v>-</v>
      </c>
      <c r="I99" s="49" t="str">
        <f>IFERROR(AVERAGEIFS('Апрель 2025'!$K:$K,'Апрель 2025'!$E:$E,$A:$A),"-")</f>
        <v>-</v>
      </c>
      <c r="J99" s="49" t="str">
        <f>IFERROR(AVERAGEIFS('Май 2025'!$K:$K,'Май 2025'!$E:$E,$A:$A),"-")</f>
        <v>-</v>
      </c>
      <c r="K99" s="49" t="str">
        <f>IFERROR(AVERAGEIFS('Июнь 2025'!$K:$K,'Июнь 2025'!$E:$E,$A:$A),"-")</f>
        <v>-</v>
      </c>
      <c r="L99" s="49" t="str">
        <f>IFERROR(AVERAGEIFS('Июль 2025'!$K:$K,'Июль 2025'!$E:$E,$A:$A),"-")</f>
        <v>-</v>
      </c>
      <c r="M99" s="49" t="str">
        <f>IFERROR(AVERAGEIFS('Август 2025'!$K:$K,'Август 2025'!$E:$E,$A:$A),"-")</f>
        <v>-</v>
      </c>
      <c r="N99" s="49" t="str">
        <f>IFERROR(AVERAGEIFS('Сентябрь 2025'!$K:$K,'Сентябрь 2025'!$E:$E,$A:$A),"-")</f>
        <v>-</v>
      </c>
      <c r="O99" s="49" t="str">
        <f>IFERROR(AVERAGEIFS('Октябрь 2025'!$K:$K,'Октябрь 2025'!$E:$E,$A:$A),"-")</f>
        <v>-</v>
      </c>
      <c r="P99" s="49" t="str">
        <f>IFERROR(AVERAGEIFS('Ноябрь 2025'!$K:$K,'Ноябрь 2025'!$E:$E,$A:$A),"-")</f>
        <v>-</v>
      </c>
      <c r="Q99" s="49" t="str">
        <f>IFERROR(AVERAGEIFS('Декабрь 2025'!$K:$K,'Декабрь 2025'!$E:$E,$A:$A),"-")</f>
        <v>-</v>
      </c>
      <c r="R99" s="49" t="str">
        <f>IFERROR(AVERAGEIFS('Январь 2026'!$K:$K,'Январь 2026'!$E:$E,$A:$A),"-")</f>
        <v>-</v>
      </c>
      <c r="S99" s="49" t="str">
        <f>IFERROR(AVERAGEIFS('Февраль 2026'!$K:$K,'Февраль 2026'!$E:$E,$A:$A),"-")</f>
        <v>-</v>
      </c>
      <c r="T99" s="49" t="str">
        <f>IFERROR(AVERAGEIFS('Март 2026'!$K:$K,'Март 2026'!$E:$E,$A:$A),"-")</f>
        <v>-</v>
      </c>
      <c r="U99" s="49" t="str">
        <f>IFERROR(AVERAGEIFS('Апрель 2026'!$K:$K,'Апрель 2026'!$E:$E,$A:$A),"-")</f>
        <v>-</v>
      </c>
      <c r="V99" s="49" t="str">
        <f t="shared" si="3"/>
        <v>-</v>
      </c>
      <c r="W99" s="49" t="str">
        <f t="shared" si="1"/>
        <v>-</v>
      </c>
      <c r="X99" s="49" t="str">
        <f t="shared" si="2"/>
        <v>-</v>
      </c>
      <c r="Y99" s="48"/>
      <c r="Z99" s="48"/>
      <c r="AA99" s="48"/>
      <c r="AB99" s="48"/>
      <c r="AC99" s="48"/>
      <c r="AD99" s="48"/>
      <c r="AE99" s="48"/>
      <c r="AF99" s="48"/>
      <c r="AG99" s="48"/>
      <c r="AH99" s="48"/>
    </row>
    <row r="100">
      <c r="B100" s="49" t="str">
        <f>IFERROR(AVERAGEIFS('Сентябрь 2024'!$K:$K,'Сентябрь 2024'!$E:$E,$A:$A),"-")</f>
        <v>-</v>
      </c>
      <c r="C100" s="49" t="str">
        <f>IFERROR(AVERAGEIFS('Октябрь 2024'!$K:$K,'Октябрь 2024'!$E:$E,$A:$A),"-")</f>
        <v>-</v>
      </c>
      <c r="D100" s="49" t="str">
        <f>IFERROR(AVERAGEIFS('Ноябрь 2024'!$K:$K,'Ноябрь 2024'!$E:$E,$A:$A),"-")</f>
        <v>-</v>
      </c>
      <c r="E100" s="49" t="str">
        <f>IFERROR(AVERAGEIFS('Декабрь 2024'!$K:$K,'Декабрь 2024'!$E:$E,$A:$A),"-")</f>
        <v>-</v>
      </c>
      <c r="F100" s="49" t="str">
        <f>IFERROR(AVERAGEIFS('Январь 2025'!$K:$K,'Январь 2025'!$E:$E,$A:$A),"-")</f>
        <v>-</v>
      </c>
      <c r="G100" s="49" t="str">
        <f>IFERROR(AVERAGEIFS('Февраль 2025 '!K:K,'Февраль 2025 '!E:E,A:A),"-")</f>
        <v>-</v>
      </c>
      <c r="H100" s="49" t="str">
        <f>IFERROR(AVERAGEIFS('Март 2025'!$K:$K,'Март 2025'!$E:$E,$A:$A),"-")</f>
        <v>-</v>
      </c>
      <c r="I100" s="49" t="str">
        <f>IFERROR(AVERAGEIFS('Апрель 2025'!$K:$K,'Апрель 2025'!$E:$E,$A:$A),"-")</f>
        <v>-</v>
      </c>
      <c r="J100" s="49" t="str">
        <f>IFERROR(AVERAGEIFS('Май 2025'!$K:$K,'Май 2025'!$E:$E,$A:$A),"-")</f>
        <v>-</v>
      </c>
      <c r="K100" s="49" t="str">
        <f>IFERROR(AVERAGEIFS('Июнь 2025'!$K:$K,'Июнь 2025'!$E:$E,$A:$A),"-")</f>
        <v>-</v>
      </c>
      <c r="L100" s="49" t="str">
        <f>IFERROR(AVERAGEIFS('Июль 2025'!$K:$K,'Июль 2025'!$E:$E,$A:$A),"-")</f>
        <v>-</v>
      </c>
      <c r="M100" s="49" t="str">
        <f>IFERROR(AVERAGEIFS('Август 2025'!$K:$K,'Август 2025'!$E:$E,$A:$A),"-")</f>
        <v>-</v>
      </c>
      <c r="N100" s="49" t="str">
        <f>IFERROR(AVERAGEIFS('Сентябрь 2025'!$K:$K,'Сентябрь 2025'!$E:$E,$A:$A),"-")</f>
        <v>-</v>
      </c>
      <c r="O100" s="49" t="str">
        <f>IFERROR(AVERAGEIFS('Октябрь 2025'!$K:$K,'Октябрь 2025'!$E:$E,$A:$A),"-")</f>
        <v>-</v>
      </c>
      <c r="P100" s="49" t="str">
        <f>IFERROR(AVERAGEIFS('Ноябрь 2025'!$K:$K,'Ноябрь 2025'!$E:$E,$A:$A),"-")</f>
        <v>-</v>
      </c>
      <c r="Q100" s="49" t="str">
        <f>IFERROR(AVERAGEIFS('Декабрь 2025'!$K:$K,'Декабрь 2025'!$E:$E,$A:$A),"-")</f>
        <v>-</v>
      </c>
      <c r="R100" s="49" t="str">
        <f>IFERROR(AVERAGEIFS('Январь 2026'!$K:$K,'Январь 2026'!$E:$E,$A:$A),"-")</f>
        <v>-</v>
      </c>
      <c r="S100" s="49" t="str">
        <f>IFERROR(AVERAGEIFS('Февраль 2026'!$K:$K,'Февраль 2026'!$E:$E,$A:$A),"-")</f>
        <v>-</v>
      </c>
      <c r="T100" s="49" t="str">
        <f>IFERROR(AVERAGEIFS('Март 2026'!$K:$K,'Март 2026'!$E:$E,$A:$A),"-")</f>
        <v>-</v>
      </c>
      <c r="U100" s="49" t="str">
        <f>IFERROR(AVERAGEIFS('Апрель 2026'!$K:$K,'Апрель 2026'!$E:$E,$A:$A),"-")</f>
        <v>-</v>
      </c>
      <c r="V100" s="49" t="str">
        <f t="shared" si="3"/>
        <v>-</v>
      </c>
      <c r="W100" s="49" t="str">
        <f t="shared" si="1"/>
        <v>-</v>
      </c>
      <c r="X100" s="49" t="str">
        <f t="shared" si="2"/>
        <v>-</v>
      </c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</row>
    <row r="101">
      <c r="B101" s="49" t="str">
        <f>IFERROR(AVERAGEIFS('Сентябрь 2024'!$K:$K,'Сентябрь 2024'!$E:$E,$A:$A),"-")</f>
        <v>-</v>
      </c>
      <c r="C101" s="49" t="str">
        <f>IFERROR(AVERAGEIFS('Октябрь 2024'!$K:$K,'Октябрь 2024'!$E:$E,$A:$A),"-")</f>
        <v>-</v>
      </c>
      <c r="D101" s="49" t="str">
        <f>IFERROR(AVERAGEIFS('Ноябрь 2024'!$K:$K,'Ноябрь 2024'!$E:$E,$A:$A),"-")</f>
        <v>-</v>
      </c>
      <c r="E101" s="49" t="str">
        <f>IFERROR(AVERAGEIFS('Декабрь 2024'!$K:$K,'Декабрь 2024'!$E:$E,$A:$A),"-")</f>
        <v>-</v>
      </c>
      <c r="F101" s="49" t="str">
        <f>IFERROR(AVERAGEIFS('Январь 2025'!$K:$K,'Январь 2025'!$E:$E,$A:$A),"-")</f>
        <v>-</v>
      </c>
      <c r="G101" s="49" t="str">
        <f>IFERROR(AVERAGEIFS('Февраль 2025 '!K:K,'Февраль 2025 '!E:E,A:A),"-")</f>
        <v>-</v>
      </c>
      <c r="H101" s="49" t="str">
        <f>IFERROR(AVERAGEIFS('Март 2025'!$K:$K,'Март 2025'!$E:$E,$A:$A),"-")</f>
        <v>-</v>
      </c>
      <c r="I101" s="49" t="str">
        <f>IFERROR(AVERAGEIFS('Апрель 2025'!$K:$K,'Апрель 2025'!$E:$E,$A:$A),"-")</f>
        <v>-</v>
      </c>
      <c r="J101" s="49" t="str">
        <f>IFERROR(AVERAGEIFS('Май 2025'!$K:$K,'Май 2025'!$E:$E,$A:$A),"-")</f>
        <v>-</v>
      </c>
      <c r="K101" s="49" t="str">
        <f>IFERROR(AVERAGEIFS('Июнь 2025'!$K:$K,'Июнь 2025'!$E:$E,$A:$A),"-")</f>
        <v>-</v>
      </c>
      <c r="L101" s="49" t="str">
        <f>IFERROR(AVERAGEIFS('Июль 2025'!$K:$K,'Июль 2025'!$E:$E,$A:$A),"-")</f>
        <v>-</v>
      </c>
      <c r="M101" s="49" t="str">
        <f>IFERROR(AVERAGEIFS('Август 2025'!$K:$K,'Август 2025'!$E:$E,$A:$A),"-")</f>
        <v>-</v>
      </c>
      <c r="N101" s="49" t="str">
        <f>IFERROR(AVERAGEIFS('Сентябрь 2025'!$K:$K,'Сентябрь 2025'!$E:$E,$A:$A),"-")</f>
        <v>-</v>
      </c>
      <c r="O101" s="49" t="str">
        <f>IFERROR(AVERAGEIFS('Октябрь 2025'!$K:$K,'Октябрь 2025'!$E:$E,$A:$A),"-")</f>
        <v>-</v>
      </c>
      <c r="P101" s="49" t="str">
        <f>IFERROR(AVERAGEIFS('Ноябрь 2025'!$K:$K,'Ноябрь 2025'!$E:$E,$A:$A),"-")</f>
        <v>-</v>
      </c>
      <c r="Q101" s="49" t="str">
        <f>IFERROR(AVERAGEIFS('Декабрь 2025'!$K:$K,'Декабрь 2025'!$E:$E,$A:$A),"-")</f>
        <v>-</v>
      </c>
      <c r="R101" s="49" t="str">
        <f>IFERROR(AVERAGEIFS('Январь 2026'!$K:$K,'Январь 2026'!$E:$E,$A:$A),"-")</f>
        <v>-</v>
      </c>
      <c r="S101" s="49" t="str">
        <f>IFERROR(AVERAGEIFS('Февраль 2026'!$K:$K,'Февраль 2026'!$E:$E,$A:$A),"-")</f>
        <v>-</v>
      </c>
      <c r="T101" s="49" t="str">
        <f>IFERROR(AVERAGEIFS('Март 2026'!$K:$K,'Март 2026'!$E:$E,$A:$A),"-")</f>
        <v>-</v>
      </c>
      <c r="U101" s="49" t="str">
        <f>IFERROR(AVERAGEIFS('Апрель 2026'!$K:$K,'Апрель 2026'!$E:$E,$A:$A),"-")</f>
        <v>-</v>
      </c>
      <c r="V101" s="49" t="str">
        <f t="shared" si="3"/>
        <v>-</v>
      </c>
      <c r="W101" s="49" t="str">
        <f t="shared" si="1"/>
        <v>-</v>
      </c>
      <c r="X101" s="49" t="str">
        <f t="shared" si="2"/>
        <v>-</v>
      </c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</row>
    <row r="102">
      <c r="B102" s="49" t="str">
        <f>IFERROR(AVERAGEIFS('Сентябрь 2024'!$K:$K,'Сентябрь 2024'!$E:$E,$A:$A),"-")</f>
        <v>-</v>
      </c>
      <c r="C102" s="49" t="str">
        <f>IFERROR(AVERAGEIFS('Октябрь 2024'!$K:$K,'Октябрь 2024'!$E:$E,$A:$A),"-")</f>
        <v>-</v>
      </c>
      <c r="D102" s="49" t="str">
        <f>IFERROR(AVERAGEIFS('Ноябрь 2024'!$K:$K,'Ноябрь 2024'!$E:$E,$A:$A),"-")</f>
        <v>-</v>
      </c>
      <c r="E102" s="49" t="str">
        <f>IFERROR(AVERAGEIFS('Декабрь 2024'!$K:$K,'Декабрь 2024'!$E:$E,$A:$A),"-")</f>
        <v>-</v>
      </c>
      <c r="F102" s="49" t="str">
        <f>IFERROR(AVERAGEIFS('Январь 2025'!$K:$K,'Январь 2025'!$E:$E,$A:$A),"-")</f>
        <v>-</v>
      </c>
      <c r="G102" s="49" t="str">
        <f>IFERROR(AVERAGEIFS('Февраль 2025 '!K:K,'Февраль 2025 '!E:E,A:A),"-")</f>
        <v>-</v>
      </c>
      <c r="H102" s="49" t="str">
        <f>IFERROR(AVERAGEIFS('Март 2025'!$K:$K,'Март 2025'!$E:$E,$A:$A),"-")</f>
        <v>-</v>
      </c>
      <c r="I102" s="49" t="str">
        <f>IFERROR(AVERAGEIFS('Апрель 2025'!$K:$K,'Апрель 2025'!$E:$E,$A:$A),"-")</f>
        <v>-</v>
      </c>
      <c r="J102" s="49" t="str">
        <f>IFERROR(AVERAGEIFS('Май 2025'!$K:$K,'Май 2025'!$E:$E,$A:$A),"-")</f>
        <v>-</v>
      </c>
      <c r="K102" s="49" t="str">
        <f>IFERROR(AVERAGEIFS('Июнь 2025'!$K:$K,'Июнь 2025'!$E:$E,$A:$A),"-")</f>
        <v>-</v>
      </c>
      <c r="L102" s="49" t="str">
        <f>IFERROR(AVERAGEIFS('Июль 2025'!$K:$K,'Июль 2025'!$E:$E,$A:$A),"-")</f>
        <v>-</v>
      </c>
      <c r="M102" s="49" t="str">
        <f>IFERROR(AVERAGEIFS('Август 2025'!$K:$K,'Август 2025'!$E:$E,$A:$A),"-")</f>
        <v>-</v>
      </c>
      <c r="N102" s="49" t="str">
        <f>IFERROR(AVERAGEIFS('Сентябрь 2025'!$K:$K,'Сентябрь 2025'!$E:$E,$A:$A),"-")</f>
        <v>-</v>
      </c>
      <c r="O102" s="49" t="str">
        <f>IFERROR(AVERAGEIFS('Октябрь 2025'!$K:$K,'Октябрь 2025'!$E:$E,$A:$A),"-")</f>
        <v>-</v>
      </c>
      <c r="P102" s="49" t="str">
        <f>IFERROR(AVERAGEIFS('Ноябрь 2025'!$K:$K,'Ноябрь 2025'!$E:$E,$A:$A),"-")</f>
        <v>-</v>
      </c>
      <c r="Q102" s="49" t="str">
        <f>IFERROR(AVERAGEIFS('Декабрь 2025'!$K:$K,'Декабрь 2025'!$E:$E,$A:$A),"-")</f>
        <v>-</v>
      </c>
      <c r="R102" s="49" t="str">
        <f>IFERROR(AVERAGEIFS('Январь 2026'!$K:$K,'Январь 2026'!$E:$E,$A:$A),"-")</f>
        <v>-</v>
      </c>
      <c r="S102" s="49" t="str">
        <f>IFERROR(AVERAGEIFS('Февраль 2026'!$K:$K,'Февраль 2026'!$E:$E,$A:$A),"-")</f>
        <v>-</v>
      </c>
      <c r="T102" s="49" t="str">
        <f>IFERROR(AVERAGEIFS('Март 2026'!$K:$K,'Март 2026'!$E:$E,$A:$A),"-")</f>
        <v>-</v>
      </c>
      <c r="U102" s="49" t="str">
        <f>IFERROR(AVERAGEIFS('Апрель 2026'!$K:$K,'Апрель 2026'!$E:$E,$A:$A),"-")</f>
        <v>-</v>
      </c>
      <c r="V102" s="49" t="str">
        <f t="shared" si="3"/>
        <v>-</v>
      </c>
      <c r="W102" s="49" t="str">
        <f t="shared" si="1"/>
        <v>-</v>
      </c>
      <c r="X102" s="49" t="str">
        <f t="shared" si="2"/>
        <v>-</v>
      </c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</row>
    <row r="103">
      <c r="B103" s="49" t="str">
        <f>IFERROR(AVERAGEIFS('Сентябрь 2024'!$K:$K,'Сентябрь 2024'!$E:$E,$A:$A),"-")</f>
        <v>-</v>
      </c>
      <c r="C103" s="49" t="str">
        <f>IFERROR(AVERAGEIFS('Октябрь 2024'!$K:$K,'Октябрь 2024'!$E:$E,$A:$A),"-")</f>
        <v>-</v>
      </c>
      <c r="D103" s="49" t="str">
        <f>IFERROR(AVERAGEIFS('Ноябрь 2024'!$K:$K,'Ноябрь 2024'!$E:$E,$A:$A),"-")</f>
        <v>-</v>
      </c>
      <c r="E103" s="49" t="str">
        <f>IFERROR(AVERAGEIFS('Декабрь 2024'!$K:$K,'Декабрь 2024'!$E:$E,$A:$A),"-")</f>
        <v>-</v>
      </c>
      <c r="F103" s="49" t="str">
        <f>IFERROR(AVERAGEIFS('Январь 2025'!$K:$K,'Январь 2025'!$E:$E,$A:$A),"-")</f>
        <v>-</v>
      </c>
      <c r="G103" s="49" t="str">
        <f>IFERROR(AVERAGEIFS('Февраль 2025 '!K:K,'Февраль 2025 '!E:E,A:A),"-")</f>
        <v>-</v>
      </c>
      <c r="H103" s="49" t="str">
        <f>IFERROR(AVERAGEIFS('Март 2025'!$K:$K,'Март 2025'!$E:$E,$A:$A),"-")</f>
        <v>-</v>
      </c>
      <c r="I103" s="49" t="str">
        <f>IFERROR(AVERAGEIFS('Апрель 2025'!$K:$K,'Апрель 2025'!$E:$E,$A:$A),"-")</f>
        <v>-</v>
      </c>
      <c r="J103" s="49" t="str">
        <f>IFERROR(AVERAGEIFS('Май 2025'!$K:$K,'Май 2025'!$E:$E,$A:$A),"-")</f>
        <v>-</v>
      </c>
      <c r="K103" s="49" t="str">
        <f>IFERROR(AVERAGEIFS('Июнь 2025'!$K:$K,'Июнь 2025'!$E:$E,$A:$A),"-")</f>
        <v>-</v>
      </c>
      <c r="L103" s="49" t="str">
        <f>IFERROR(AVERAGEIFS('Июль 2025'!$K:$K,'Июль 2025'!$E:$E,$A:$A),"-")</f>
        <v>-</v>
      </c>
      <c r="M103" s="49" t="str">
        <f>IFERROR(AVERAGEIFS('Август 2025'!$K:$K,'Август 2025'!$E:$E,$A:$A),"-")</f>
        <v>-</v>
      </c>
      <c r="N103" s="49" t="str">
        <f>IFERROR(AVERAGEIFS('Сентябрь 2025'!$K:$K,'Сентябрь 2025'!$E:$E,$A:$A),"-")</f>
        <v>-</v>
      </c>
      <c r="O103" s="49" t="str">
        <f>IFERROR(AVERAGEIFS('Октябрь 2025'!$K:$K,'Октябрь 2025'!$E:$E,$A:$A),"-")</f>
        <v>-</v>
      </c>
      <c r="P103" s="49" t="str">
        <f>IFERROR(AVERAGEIFS('Ноябрь 2025'!$K:$K,'Ноябрь 2025'!$E:$E,$A:$A),"-")</f>
        <v>-</v>
      </c>
      <c r="Q103" s="49" t="str">
        <f>IFERROR(AVERAGEIFS('Декабрь 2025'!$K:$K,'Декабрь 2025'!$E:$E,$A:$A),"-")</f>
        <v>-</v>
      </c>
      <c r="R103" s="49" t="str">
        <f>IFERROR(AVERAGEIFS('Январь 2026'!$K:$K,'Январь 2026'!$E:$E,$A:$A),"-")</f>
        <v>-</v>
      </c>
      <c r="S103" s="49" t="str">
        <f>IFERROR(AVERAGEIFS('Февраль 2026'!$K:$K,'Февраль 2026'!$E:$E,$A:$A),"-")</f>
        <v>-</v>
      </c>
      <c r="T103" s="49" t="str">
        <f>IFERROR(AVERAGEIFS('Март 2026'!$K:$K,'Март 2026'!$E:$E,$A:$A),"-")</f>
        <v>-</v>
      </c>
      <c r="U103" s="49" t="str">
        <f>IFERROR(AVERAGEIFS('Апрель 2026'!$K:$K,'Апрель 2026'!$E:$E,$A:$A),"-")</f>
        <v>-</v>
      </c>
      <c r="V103" s="49" t="str">
        <f t="shared" si="3"/>
        <v>-</v>
      </c>
      <c r="W103" s="49" t="str">
        <f t="shared" si="1"/>
        <v>-</v>
      </c>
      <c r="X103" s="49" t="str">
        <f t="shared" si="2"/>
        <v>-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</row>
    <row r="104">
      <c r="B104" s="49" t="str">
        <f>IFERROR(AVERAGEIFS('Сентябрь 2024'!$K:$K,'Сентябрь 2024'!$E:$E,$A:$A),"-")</f>
        <v>-</v>
      </c>
      <c r="C104" s="49" t="str">
        <f>IFERROR(AVERAGEIFS('Октябрь 2024'!$K:$K,'Октябрь 2024'!$E:$E,$A:$A),"-")</f>
        <v>-</v>
      </c>
      <c r="D104" s="49" t="str">
        <f>IFERROR(AVERAGEIFS('Ноябрь 2024'!$K:$K,'Ноябрь 2024'!$E:$E,$A:$A),"-")</f>
        <v>-</v>
      </c>
      <c r="E104" s="49" t="str">
        <f>IFERROR(AVERAGEIFS('Декабрь 2024'!$K:$K,'Декабрь 2024'!$E:$E,$A:$A),"-")</f>
        <v>-</v>
      </c>
      <c r="F104" s="49" t="str">
        <f>IFERROR(AVERAGEIFS('Январь 2025'!$K:$K,'Январь 2025'!$E:$E,$A:$A),"-")</f>
        <v>-</v>
      </c>
      <c r="G104" s="49" t="str">
        <f>IFERROR(AVERAGEIFS('Февраль 2025 '!K:K,'Февраль 2025 '!E:E,A:A),"-")</f>
        <v>-</v>
      </c>
      <c r="H104" s="49" t="str">
        <f>IFERROR(AVERAGEIFS('Март 2025'!$K:$K,'Март 2025'!$E:$E,$A:$A),"-")</f>
        <v>-</v>
      </c>
      <c r="I104" s="49" t="str">
        <f>IFERROR(AVERAGEIFS('Апрель 2025'!$K:$K,'Апрель 2025'!$E:$E,$A:$A),"-")</f>
        <v>-</v>
      </c>
      <c r="J104" s="49" t="str">
        <f>IFERROR(AVERAGEIFS('Май 2025'!$K:$K,'Май 2025'!$E:$E,$A:$A),"-")</f>
        <v>-</v>
      </c>
      <c r="K104" s="49" t="str">
        <f>IFERROR(AVERAGEIFS('Июнь 2025'!$K:$K,'Июнь 2025'!$E:$E,$A:$A),"-")</f>
        <v>-</v>
      </c>
      <c r="L104" s="49" t="str">
        <f>IFERROR(AVERAGEIFS('Июль 2025'!$K:$K,'Июль 2025'!$E:$E,$A:$A),"-")</f>
        <v>-</v>
      </c>
      <c r="M104" s="49" t="str">
        <f>IFERROR(AVERAGEIFS('Август 2025'!$K:$K,'Август 2025'!$E:$E,$A:$A),"-")</f>
        <v>-</v>
      </c>
      <c r="N104" s="49" t="str">
        <f>IFERROR(AVERAGEIFS('Сентябрь 2025'!$K:$K,'Сентябрь 2025'!$E:$E,$A:$A),"-")</f>
        <v>-</v>
      </c>
      <c r="O104" s="49" t="str">
        <f>IFERROR(AVERAGEIFS('Октябрь 2025'!$K:$K,'Октябрь 2025'!$E:$E,$A:$A),"-")</f>
        <v>-</v>
      </c>
      <c r="P104" s="49" t="str">
        <f>IFERROR(AVERAGEIFS('Ноябрь 2025'!$K:$K,'Ноябрь 2025'!$E:$E,$A:$A),"-")</f>
        <v>-</v>
      </c>
      <c r="Q104" s="49" t="str">
        <f>IFERROR(AVERAGEIFS('Декабрь 2025'!$K:$K,'Декабрь 2025'!$E:$E,$A:$A),"-")</f>
        <v>-</v>
      </c>
      <c r="R104" s="49" t="str">
        <f>IFERROR(AVERAGEIFS('Январь 2026'!$K:$K,'Январь 2026'!$E:$E,$A:$A),"-")</f>
        <v>-</v>
      </c>
      <c r="S104" s="49" t="str">
        <f>IFERROR(AVERAGEIFS('Февраль 2026'!$K:$K,'Февраль 2026'!$E:$E,$A:$A),"-")</f>
        <v>-</v>
      </c>
      <c r="T104" s="49" t="str">
        <f>IFERROR(AVERAGEIFS('Март 2026'!$K:$K,'Март 2026'!$E:$E,$A:$A),"-")</f>
        <v>-</v>
      </c>
      <c r="U104" s="49" t="str">
        <f>IFERROR(AVERAGEIFS('Апрель 2026'!$K:$K,'Апрель 2026'!$E:$E,$A:$A),"-")</f>
        <v>-</v>
      </c>
      <c r="V104" s="49" t="str">
        <f t="shared" si="3"/>
        <v>-</v>
      </c>
      <c r="W104" s="49" t="str">
        <f t="shared" si="1"/>
        <v>-</v>
      </c>
      <c r="X104" s="49" t="str">
        <f t="shared" si="2"/>
        <v>-</v>
      </c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</row>
    <row r="105">
      <c r="B105" s="49" t="str">
        <f>IFERROR(AVERAGEIFS('Сентябрь 2024'!$K:$K,'Сентябрь 2024'!$E:$E,$A:$A),"-")</f>
        <v>-</v>
      </c>
      <c r="C105" s="49" t="str">
        <f>IFERROR(AVERAGEIFS('Октябрь 2024'!$K:$K,'Октябрь 2024'!$E:$E,$A:$A),"-")</f>
        <v>-</v>
      </c>
      <c r="D105" s="49" t="str">
        <f>IFERROR(AVERAGEIFS('Ноябрь 2024'!$K:$K,'Ноябрь 2024'!$E:$E,$A:$A),"-")</f>
        <v>-</v>
      </c>
      <c r="E105" s="49" t="str">
        <f>IFERROR(AVERAGEIFS('Декабрь 2024'!$K:$K,'Декабрь 2024'!$E:$E,$A:$A),"-")</f>
        <v>-</v>
      </c>
      <c r="F105" s="49" t="str">
        <f>IFERROR(AVERAGEIFS('Январь 2025'!$K:$K,'Январь 2025'!$E:$E,$A:$A),"-")</f>
        <v>-</v>
      </c>
      <c r="G105" s="49" t="str">
        <f>IFERROR(AVERAGEIFS('Февраль 2025 '!K:K,'Февраль 2025 '!E:E,A:A),"-")</f>
        <v>-</v>
      </c>
      <c r="H105" s="49" t="str">
        <f>IFERROR(AVERAGEIFS('Март 2025'!$K:$K,'Март 2025'!$E:$E,$A:$A),"-")</f>
        <v>-</v>
      </c>
      <c r="I105" s="49" t="str">
        <f>IFERROR(AVERAGEIFS('Апрель 2025'!$K:$K,'Апрель 2025'!$E:$E,$A:$A),"-")</f>
        <v>-</v>
      </c>
      <c r="J105" s="49" t="str">
        <f>IFERROR(AVERAGEIFS('Май 2025'!$K:$K,'Май 2025'!$E:$E,$A:$A),"-")</f>
        <v>-</v>
      </c>
      <c r="K105" s="49" t="str">
        <f>IFERROR(AVERAGEIFS('Июнь 2025'!$K:$K,'Июнь 2025'!$E:$E,$A:$A),"-")</f>
        <v>-</v>
      </c>
      <c r="L105" s="49" t="str">
        <f>IFERROR(AVERAGEIFS('Июль 2025'!$K:$K,'Июль 2025'!$E:$E,$A:$A),"-")</f>
        <v>-</v>
      </c>
      <c r="M105" s="49" t="str">
        <f>IFERROR(AVERAGEIFS('Август 2025'!$K:$K,'Август 2025'!$E:$E,$A:$A),"-")</f>
        <v>-</v>
      </c>
      <c r="N105" s="49" t="str">
        <f>IFERROR(AVERAGEIFS('Сентябрь 2025'!$K:$K,'Сентябрь 2025'!$E:$E,$A:$A),"-")</f>
        <v>-</v>
      </c>
      <c r="O105" s="49" t="str">
        <f>IFERROR(AVERAGEIFS('Октябрь 2025'!$K:$K,'Октябрь 2025'!$E:$E,$A:$A),"-")</f>
        <v>-</v>
      </c>
      <c r="P105" s="49" t="str">
        <f>IFERROR(AVERAGEIFS('Ноябрь 2025'!$K:$K,'Ноябрь 2025'!$E:$E,$A:$A),"-")</f>
        <v>-</v>
      </c>
      <c r="Q105" s="49" t="str">
        <f>IFERROR(AVERAGEIFS('Декабрь 2025'!$K:$K,'Декабрь 2025'!$E:$E,$A:$A),"-")</f>
        <v>-</v>
      </c>
      <c r="R105" s="49" t="str">
        <f>IFERROR(AVERAGEIFS('Январь 2026'!$K:$K,'Январь 2026'!$E:$E,$A:$A),"-")</f>
        <v>-</v>
      </c>
      <c r="S105" s="49" t="str">
        <f>IFERROR(AVERAGEIFS('Февраль 2026'!$K:$K,'Февраль 2026'!$E:$E,$A:$A),"-")</f>
        <v>-</v>
      </c>
      <c r="T105" s="49" t="str">
        <f>IFERROR(AVERAGEIFS('Март 2026'!$K:$K,'Март 2026'!$E:$E,$A:$A),"-")</f>
        <v>-</v>
      </c>
      <c r="U105" s="49" t="str">
        <f>IFERROR(AVERAGEIFS('Апрель 2026'!$K:$K,'Апрель 2026'!$E:$E,$A:$A),"-")</f>
        <v>-</v>
      </c>
      <c r="V105" s="49" t="str">
        <f t="shared" si="3"/>
        <v>-</v>
      </c>
      <c r="W105" s="49" t="str">
        <f t="shared" si="1"/>
        <v>-</v>
      </c>
      <c r="X105" s="49" t="str">
        <f t="shared" si="2"/>
        <v>-</v>
      </c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</row>
    <row r="106">
      <c r="B106" s="49" t="str">
        <f>IFERROR(AVERAGEIFS('Сентябрь 2024'!$K:$K,'Сентябрь 2024'!$E:$E,$A:$A),"-")</f>
        <v>-</v>
      </c>
      <c r="C106" s="49" t="str">
        <f>IFERROR(AVERAGEIFS('Октябрь 2024'!$K:$K,'Октябрь 2024'!$E:$E,$A:$A),"-")</f>
        <v>-</v>
      </c>
      <c r="D106" s="49" t="str">
        <f>IFERROR(AVERAGEIFS('Ноябрь 2024'!$K:$K,'Ноябрь 2024'!$E:$E,$A:$A),"-")</f>
        <v>-</v>
      </c>
      <c r="E106" s="49" t="str">
        <f>IFERROR(AVERAGEIFS('Декабрь 2024'!$K:$K,'Декабрь 2024'!$E:$E,$A:$A),"-")</f>
        <v>-</v>
      </c>
      <c r="F106" s="49" t="str">
        <f>IFERROR(AVERAGEIFS('Январь 2025'!$K:$K,'Январь 2025'!$E:$E,$A:$A),"-")</f>
        <v>-</v>
      </c>
      <c r="G106" s="49" t="str">
        <f>IFERROR(AVERAGEIFS('Февраль 2025 '!K:K,'Февраль 2025 '!E:E,A:A),"-")</f>
        <v>-</v>
      </c>
      <c r="H106" s="49" t="str">
        <f>IFERROR(AVERAGEIFS('Март 2025'!$K:$K,'Март 2025'!$E:$E,$A:$A),"-")</f>
        <v>-</v>
      </c>
      <c r="I106" s="49" t="str">
        <f>IFERROR(AVERAGEIFS('Апрель 2025'!$K:$K,'Апрель 2025'!$E:$E,$A:$A),"-")</f>
        <v>-</v>
      </c>
      <c r="J106" s="49" t="str">
        <f>IFERROR(AVERAGEIFS('Май 2025'!$K:$K,'Май 2025'!$E:$E,$A:$A),"-")</f>
        <v>-</v>
      </c>
      <c r="K106" s="49" t="str">
        <f>IFERROR(AVERAGEIFS('Июнь 2025'!$K:$K,'Июнь 2025'!$E:$E,$A:$A),"-")</f>
        <v>-</v>
      </c>
      <c r="L106" s="49" t="str">
        <f>IFERROR(AVERAGEIFS('Июль 2025'!$K:$K,'Июль 2025'!$E:$E,$A:$A),"-")</f>
        <v>-</v>
      </c>
      <c r="M106" s="49" t="str">
        <f>IFERROR(AVERAGEIFS('Август 2025'!$K:$K,'Август 2025'!$E:$E,$A:$A),"-")</f>
        <v>-</v>
      </c>
      <c r="N106" s="49" t="str">
        <f>IFERROR(AVERAGEIFS('Сентябрь 2025'!$K:$K,'Сентябрь 2025'!$E:$E,$A:$A),"-")</f>
        <v>-</v>
      </c>
      <c r="O106" s="49" t="str">
        <f>IFERROR(AVERAGEIFS('Октябрь 2025'!$K:$K,'Октябрь 2025'!$E:$E,$A:$A),"-")</f>
        <v>-</v>
      </c>
      <c r="P106" s="49" t="str">
        <f>IFERROR(AVERAGEIFS('Ноябрь 2025'!$K:$K,'Ноябрь 2025'!$E:$E,$A:$A),"-")</f>
        <v>-</v>
      </c>
      <c r="Q106" s="49" t="str">
        <f>IFERROR(AVERAGEIFS('Декабрь 2025'!$K:$K,'Декабрь 2025'!$E:$E,$A:$A),"-")</f>
        <v>-</v>
      </c>
      <c r="R106" s="49" t="str">
        <f>IFERROR(AVERAGEIFS('Январь 2026'!$K:$K,'Январь 2026'!$E:$E,$A:$A),"-")</f>
        <v>-</v>
      </c>
      <c r="S106" s="49" t="str">
        <f>IFERROR(AVERAGEIFS('Февраль 2026'!$K:$K,'Февраль 2026'!$E:$E,$A:$A),"-")</f>
        <v>-</v>
      </c>
      <c r="T106" s="49" t="str">
        <f>IFERROR(AVERAGEIFS('Март 2026'!$K:$K,'Март 2026'!$E:$E,$A:$A),"-")</f>
        <v>-</v>
      </c>
      <c r="U106" s="49" t="str">
        <f>IFERROR(AVERAGEIFS('Апрель 2026'!$K:$K,'Апрель 2026'!$E:$E,$A:$A),"-")</f>
        <v>-</v>
      </c>
      <c r="V106" s="49" t="str">
        <f t="shared" si="3"/>
        <v>-</v>
      </c>
      <c r="W106" s="49" t="str">
        <f t="shared" si="1"/>
        <v>-</v>
      </c>
      <c r="X106" s="49" t="str">
        <f t="shared" si="2"/>
        <v>-</v>
      </c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</row>
    <row r="107">
      <c r="B107" s="49" t="str">
        <f>IFERROR(AVERAGEIFS('Сентябрь 2024'!$K:$K,'Сентябрь 2024'!$E:$E,$A:$A),"-")</f>
        <v>-</v>
      </c>
      <c r="C107" s="49" t="str">
        <f>IFERROR(AVERAGEIFS('Октябрь 2024'!$K:$K,'Октябрь 2024'!$E:$E,$A:$A),"-")</f>
        <v>-</v>
      </c>
      <c r="D107" s="49" t="str">
        <f>IFERROR(AVERAGEIFS('Ноябрь 2024'!$K:$K,'Ноябрь 2024'!$E:$E,$A:$A),"-")</f>
        <v>-</v>
      </c>
      <c r="E107" s="49" t="str">
        <f>IFERROR(AVERAGEIFS('Декабрь 2024'!$K:$K,'Декабрь 2024'!$E:$E,$A:$A),"-")</f>
        <v>-</v>
      </c>
      <c r="F107" s="49" t="str">
        <f>IFERROR(AVERAGEIFS('Январь 2025'!$K:$K,'Январь 2025'!$E:$E,$A:$A),"-")</f>
        <v>-</v>
      </c>
      <c r="G107" s="49" t="str">
        <f>IFERROR(AVERAGEIFS('Февраль 2025 '!K:K,'Февраль 2025 '!E:E,A:A),"-")</f>
        <v>-</v>
      </c>
      <c r="H107" s="49" t="str">
        <f>IFERROR(AVERAGEIFS('Март 2025'!$K:$K,'Март 2025'!$E:$E,$A:$A),"-")</f>
        <v>-</v>
      </c>
      <c r="I107" s="49" t="str">
        <f>IFERROR(AVERAGEIFS('Апрель 2025'!$K:$K,'Апрель 2025'!$E:$E,$A:$A),"-")</f>
        <v>-</v>
      </c>
      <c r="J107" s="49" t="str">
        <f>IFERROR(AVERAGEIFS('Май 2025'!$K:$K,'Май 2025'!$E:$E,$A:$A),"-")</f>
        <v>-</v>
      </c>
      <c r="K107" s="49" t="str">
        <f>IFERROR(AVERAGEIFS('Июнь 2025'!$K:$K,'Июнь 2025'!$E:$E,$A:$A),"-")</f>
        <v>-</v>
      </c>
      <c r="L107" s="49" t="str">
        <f>IFERROR(AVERAGEIFS('Июль 2025'!$K:$K,'Июль 2025'!$E:$E,$A:$A),"-")</f>
        <v>-</v>
      </c>
      <c r="M107" s="49" t="str">
        <f>IFERROR(AVERAGEIFS('Август 2025'!$K:$K,'Август 2025'!$E:$E,$A:$A),"-")</f>
        <v>-</v>
      </c>
      <c r="N107" s="49" t="str">
        <f>IFERROR(AVERAGEIFS('Сентябрь 2025'!$K:$K,'Сентябрь 2025'!$E:$E,$A:$A),"-")</f>
        <v>-</v>
      </c>
      <c r="O107" s="49" t="str">
        <f>IFERROR(AVERAGEIFS('Октябрь 2025'!$K:$K,'Октябрь 2025'!$E:$E,$A:$A),"-")</f>
        <v>-</v>
      </c>
      <c r="P107" s="49" t="str">
        <f>IFERROR(AVERAGEIFS('Ноябрь 2025'!$K:$K,'Ноябрь 2025'!$E:$E,$A:$A),"-")</f>
        <v>-</v>
      </c>
      <c r="Q107" s="49" t="str">
        <f>IFERROR(AVERAGEIFS('Декабрь 2025'!$K:$K,'Декабрь 2025'!$E:$E,$A:$A),"-")</f>
        <v>-</v>
      </c>
      <c r="R107" s="49" t="str">
        <f>IFERROR(AVERAGEIFS('Январь 2026'!$K:$K,'Январь 2026'!$E:$E,$A:$A),"-")</f>
        <v>-</v>
      </c>
      <c r="S107" s="49" t="str">
        <f>IFERROR(AVERAGEIFS('Февраль 2026'!$K:$K,'Февраль 2026'!$E:$E,$A:$A),"-")</f>
        <v>-</v>
      </c>
      <c r="T107" s="49" t="str">
        <f>IFERROR(AVERAGEIFS('Март 2026'!$K:$K,'Март 2026'!$E:$E,$A:$A),"-")</f>
        <v>-</v>
      </c>
      <c r="U107" s="49" t="str">
        <f>IFERROR(AVERAGEIFS('Апрель 2026'!$K:$K,'Апрель 2026'!$E:$E,$A:$A),"-")</f>
        <v>-</v>
      </c>
      <c r="V107" s="49" t="str">
        <f t="shared" si="3"/>
        <v>-</v>
      </c>
      <c r="W107" s="49" t="str">
        <f t="shared" si="1"/>
        <v>-</v>
      </c>
      <c r="X107" s="49" t="str">
        <f t="shared" si="2"/>
        <v>-</v>
      </c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</row>
    <row r="108">
      <c r="B108" s="49" t="str">
        <f>IFERROR(AVERAGEIFS('Сентябрь 2024'!$K:$K,'Сентябрь 2024'!$E:$E,$A:$A),"-")</f>
        <v>-</v>
      </c>
      <c r="C108" s="49" t="str">
        <f>IFERROR(AVERAGEIFS('Октябрь 2024'!$K:$K,'Октябрь 2024'!$E:$E,$A:$A),"-")</f>
        <v>-</v>
      </c>
      <c r="D108" s="49" t="str">
        <f>IFERROR(AVERAGEIFS('Ноябрь 2024'!$K:$K,'Ноябрь 2024'!$E:$E,$A:$A),"-")</f>
        <v>-</v>
      </c>
      <c r="E108" s="49" t="str">
        <f>IFERROR(AVERAGEIFS('Декабрь 2024'!$K:$K,'Декабрь 2024'!$E:$E,$A:$A),"-")</f>
        <v>-</v>
      </c>
      <c r="F108" s="49" t="str">
        <f>IFERROR(AVERAGEIFS('Январь 2025'!$K:$K,'Январь 2025'!$E:$E,$A:$A),"-")</f>
        <v>-</v>
      </c>
      <c r="G108" s="49" t="str">
        <f>IFERROR(AVERAGEIFS('Февраль 2025 '!K:K,'Февраль 2025 '!E:E,A:A),"-")</f>
        <v>-</v>
      </c>
      <c r="H108" s="49" t="str">
        <f>IFERROR(AVERAGEIFS('Март 2025'!$K:$K,'Март 2025'!$E:$E,$A:$A),"-")</f>
        <v>-</v>
      </c>
      <c r="I108" s="49" t="str">
        <f>IFERROR(AVERAGEIFS('Апрель 2025'!$K:$K,'Апрель 2025'!$E:$E,$A:$A),"-")</f>
        <v>-</v>
      </c>
      <c r="J108" s="49" t="str">
        <f>IFERROR(AVERAGEIFS('Май 2025'!$K:$K,'Май 2025'!$E:$E,$A:$A),"-")</f>
        <v>-</v>
      </c>
      <c r="K108" s="49" t="str">
        <f>IFERROR(AVERAGEIFS('Июнь 2025'!$K:$K,'Июнь 2025'!$E:$E,$A:$A),"-")</f>
        <v>-</v>
      </c>
      <c r="L108" s="49" t="str">
        <f>IFERROR(AVERAGEIFS('Июль 2025'!$K:$K,'Июль 2025'!$E:$E,$A:$A),"-")</f>
        <v>-</v>
      </c>
      <c r="M108" s="49" t="str">
        <f>IFERROR(AVERAGEIFS('Август 2025'!$K:$K,'Август 2025'!$E:$E,$A:$A),"-")</f>
        <v>-</v>
      </c>
      <c r="N108" s="49" t="str">
        <f>IFERROR(AVERAGEIFS('Сентябрь 2025'!$K:$K,'Сентябрь 2025'!$E:$E,$A:$A),"-")</f>
        <v>-</v>
      </c>
      <c r="O108" s="49" t="str">
        <f>IFERROR(AVERAGEIFS('Октябрь 2025'!$K:$K,'Октябрь 2025'!$E:$E,$A:$A),"-")</f>
        <v>-</v>
      </c>
      <c r="P108" s="49" t="str">
        <f>IFERROR(AVERAGEIFS('Ноябрь 2025'!$K:$K,'Ноябрь 2025'!$E:$E,$A:$A),"-")</f>
        <v>-</v>
      </c>
      <c r="Q108" s="49" t="str">
        <f>IFERROR(AVERAGEIFS('Декабрь 2025'!$K:$K,'Декабрь 2025'!$E:$E,$A:$A),"-")</f>
        <v>-</v>
      </c>
      <c r="R108" s="49" t="str">
        <f>IFERROR(AVERAGEIFS('Январь 2026'!$K:$K,'Январь 2026'!$E:$E,$A:$A),"-")</f>
        <v>-</v>
      </c>
      <c r="S108" s="49" t="str">
        <f>IFERROR(AVERAGEIFS('Февраль 2026'!$K:$K,'Февраль 2026'!$E:$E,$A:$A),"-")</f>
        <v>-</v>
      </c>
      <c r="T108" s="49" t="str">
        <f>IFERROR(AVERAGEIFS('Март 2026'!$K:$K,'Март 2026'!$E:$E,$A:$A),"-")</f>
        <v>-</v>
      </c>
      <c r="U108" s="49" t="str">
        <f>IFERROR(AVERAGEIFS('Апрель 2026'!$K:$K,'Апрель 2026'!$E:$E,$A:$A),"-")</f>
        <v>-</v>
      </c>
      <c r="V108" s="49" t="str">
        <f t="shared" si="3"/>
        <v>-</v>
      </c>
      <c r="W108" s="49" t="str">
        <f t="shared" si="1"/>
        <v>-</v>
      </c>
      <c r="X108" s="49" t="str">
        <f t="shared" si="2"/>
        <v>-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</row>
    <row r="109">
      <c r="B109" s="49" t="str">
        <f>IFERROR(AVERAGEIFS('Сентябрь 2024'!$K:$K,'Сентябрь 2024'!$E:$E,$A:$A),"-")</f>
        <v>-</v>
      </c>
      <c r="C109" s="49" t="str">
        <f>IFERROR(AVERAGEIFS('Октябрь 2024'!$K:$K,'Октябрь 2024'!$E:$E,$A:$A),"-")</f>
        <v>-</v>
      </c>
      <c r="D109" s="49" t="str">
        <f>IFERROR(AVERAGEIFS('Ноябрь 2024'!$K:$K,'Ноябрь 2024'!$E:$E,$A:$A),"-")</f>
        <v>-</v>
      </c>
      <c r="E109" s="49" t="str">
        <f>IFERROR(AVERAGEIFS('Декабрь 2024'!$K:$K,'Декабрь 2024'!$E:$E,$A:$A),"-")</f>
        <v>-</v>
      </c>
      <c r="F109" s="49" t="str">
        <f>IFERROR(AVERAGEIFS('Январь 2025'!$K:$K,'Январь 2025'!$E:$E,$A:$A),"-")</f>
        <v>-</v>
      </c>
      <c r="G109" s="49" t="str">
        <f>IFERROR(AVERAGEIFS('Февраль 2025 '!K:K,'Февраль 2025 '!E:E,A:A),"-")</f>
        <v>-</v>
      </c>
      <c r="H109" s="49" t="str">
        <f>IFERROR(AVERAGEIFS('Март 2025'!$K:$K,'Март 2025'!$E:$E,$A:$A),"-")</f>
        <v>-</v>
      </c>
      <c r="I109" s="49" t="str">
        <f>IFERROR(AVERAGEIFS('Апрель 2025'!$K:$K,'Апрель 2025'!$E:$E,$A:$A),"-")</f>
        <v>-</v>
      </c>
      <c r="J109" s="49" t="str">
        <f>IFERROR(AVERAGEIFS('Май 2025'!$K:$K,'Май 2025'!$E:$E,$A:$A),"-")</f>
        <v>-</v>
      </c>
      <c r="K109" s="49" t="str">
        <f>IFERROR(AVERAGEIFS('Июнь 2025'!$K:$K,'Июнь 2025'!$E:$E,$A:$A),"-")</f>
        <v>-</v>
      </c>
      <c r="L109" s="49" t="str">
        <f>IFERROR(AVERAGEIFS('Июль 2025'!$K:$K,'Июль 2025'!$E:$E,$A:$A),"-")</f>
        <v>-</v>
      </c>
      <c r="M109" s="49" t="str">
        <f>IFERROR(AVERAGEIFS('Август 2025'!$K:$K,'Август 2025'!$E:$E,$A:$A),"-")</f>
        <v>-</v>
      </c>
      <c r="N109" s="49" t="str">
        <f>IFERROR(AVERAGEIFS('Сентябрь 2025'!$K:$K,'Сентябрь 2025'!$E:$E,$A:$A),"-")</f>
        <v>-</v>
      </c>
      <c r="O109" s="49" t="str">
        <f>IFERROR(AVERAGEIFS('Октябрь 2025'!$K:$K,'Октябрь 2025'!$E:$E,$A:$A),"-")</f>
        <v>-</v>
      </c>
      <c r="P109" s="49" t="str">
        <f>IFERROR(AVERAGEIFS('Ноябрь 2025'!$K:$K,'Ноябрь 2025'!$E:$E,$A:$A),"-")</f>
        <v>-</v>
      </c>
      <c r="Q109" s="49" t="str">
        <f>IFERROR(AVERAGEIFS('Декабрь 2025'!$K:$K,'Декабрь 2025'!$E:$E,$A:$A),"-")</f>
        <v>-</v>
      </c>
      <c r="R109" s="49" t="str">
        <f>IFERROR(AVERAGEIFS('Январь 2026'!$K:$K,'Январь 2026'!$E:$E,$A:$A),"-")</f>
        <v>-</v>
      </c>
      <c r="S109" s="49" t="str">
        <f>IFERROR(AVERAGEIFS('Февраль 2026'!$K:$K,'Февраль 2026'!$E:$E,$A:$A),"-")</f>
        <v>-</v>
      </c>
      <c r="T109" s="49" t="str">
        <f>IFERROR(AVERAGEIFS('Март 2026'!$K:$K,'Март 2026'!$E:$E,$A:$A),"-")</f>
        <v>-</v>
      </c>
      <c r="U109" s="49" t="str">
        <f>IFERROR(AVERAGEIFS('Апрель 2026'!$K:$K,'Апрель 2026'!$E:$E,$A:$A),"-")</f>
        <v>-</v>
      </c>
      <c r="V109" s="49" t="str">
        <f t="shared" si="3"/>
        <v>-</v>
      </c>
      <c r="W109" s="49" t="str">
        <f t="shared" si="1"/>
        <v>-</v>
      </c>
      <c r="X109" s="49" t="str">
        <f t="shared" si="2"/>
        <v>-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</row>
    <row r="110">
      <c r="B110" s="49" t="str">
        <f>IFERROR(AVERAGEIFS('Сентябрь 2024'!$K:$K,'Сентябрь 2024'!$E:$E,$A:$A),"-")</f>
        <v>-</v>
      </c>
      <c r="C110" s="49" t="str">
        <f>IFERROR(AVERAGEIFS('Октябрь 2024'!$K:$K,'Октябрь 2024'!$E:$E,$A:$A),"-")</f>
        <v>-</v>
      </c>
      <c r="D110" s="49" t="str">
        <f>IFERROR(AVERAGEIFS('Ноябрь 2024'!$K:$K,'Ноябрь 2024'!$E:$E,$A:$A),"-")</f>
        <v>-</v>
      </c>
      <c r="E110" s="49" t="str">
        <f>IFERROR(AVERAGEIFS('Декабрь 2024'!$K:$K,'Декабрь 2024'!$E:$E,$A:$A),"-")</f>
        <v>-</v>
      </c>
      <c r="F110" s="49" t="str">
        <f>IFERROR(AVERAGEIFS('Январь 2025'!$K:$K,'Январь 2025'!$E:$E,$A:$A),"-")</f>
        <v>-</v>
      </c>
      <c r="G110" s="49" t="str">
        <f>IFERROR(AVERAGEIFS('Февраль 2025 '!K:K,'Февраль 2025 '!E:E,A:A),"-")</f>
        <v>-</v>
      </c>
      <c r="H110" s="49" t="str">
        <f>IFERROR(AVERAGEIFS('Март 2025'!$K:$K,'Март 2025'!$E:$E,$A:$A),"-")</f>
        <v>-</v>
      </c>
      <c r="I110" s="49" t="str">
        <f>IFERROR(AVERAGEIFS('Апрель 2025'!$K:$K,'Апрель 2025'!$E:$E,$A:$A),"-")</f>
        <v>-</v>
      </c>
      <c r="J110" s="49" t="str">
        <f>IFERROR(AVERAGEIFS('Май 2025'!$K:$K,'Май 2025'!$E:$E,$A:$A),"-")</f>
        <v>-</v>
      </c>
      <c r="K110" s="49" t="str">
        <f>IFERROR(AVERAGEIFS('Июнь 2025'!$K:$K,'Июнь 2025'!$E:$E,$A:$A),"-")</f>
        <v>-</v>
      </c>
      <c r="L110" s="49" t="str">
        <f>IFERROR(AVERAGEIFS('Июль 2025'!$K:$K,'Июль 2025'!$E:$E,$A:$A),"-")</f>
        <v>-</v>
      </c>
      <c r="M110" s="49" t="str">
        <f>IFERROR(AVERAGEIFS('Август 2025'!$K:$K,'Август 2025'!$E:$E,$A:$A),"-")</f>
        <v>-</v>
      </c>
      <c r="N110" s="49" t="str">
        <f>IFERROR(AVERAGEIFS('Сентябрь 2025'!$K:$K,'Сентябрь 2025'!$E:$E,$A:$A),"-")</f>
        <v>-</v>
      </c>
      <c r="O110" s="49" t="str">
        <f>IFERROR(AVERAGEIFS('Октябрь 2025'!$K:$K,'Октябрь 2025'!$E:$E,$A:$A),"-")</f>
        <v>-</v>
      </c>
      <c r="P110" s="49" t="str">
        <f>IFERROR(AVERAGEIFS('Ноябрь 2025'!$K:$K,'Ноябрь 2025'!$E:$E,$A:$A),"-")</f>
        <v>-</v>
      </c>
      <c r="Q110" s="49" t="str">
        <f>IFERROR(AVERAGEIFS('Декабрь 2025'!$K:$K,'Декабрь 2025'!$E:$E,$A:$A),"-")</f>
        <v>-</v>
      </c>
      <c r="R110" s="49" t="str">
        <f>IFERROR(AVERAGEIFS('Январь 2026'!$K:$K,'Январь 2026'!$E:$E,$A:$A),"-")</f>
        <v>-</v>
      </c>
      <c r="S110" s="49" t="str">
        <f>IFERROR(AVERAGEIFS('Февраль 2026'!$K:$K,'Февраль 2026'!$E:$E,$A:$A),"-")</f>
        <v>-</v>
      </c>
      <c r="T110" s="49" t="str">
        <f>IFERROR(AVERAGEIFS('Март 2026'!$K:$K,'Март 2026'!$E:$E,$A:$A),"-")</f>
        <v>-</v>
      </c>
      <c r="U110" s="49" t="str">
        <f>IFERROR(AVERAGEIFS('Апрель 2026'!$K:$K,'Апрель 2026'!$E:$E,$A:$A),"-")</f>
        <v>-</v>
      </c>
      <c r="V110" s="49" t="str">
        <f t="shared" si="3"/>
        <v>-</v>
      </c>
      <c r="W110" s="49" t="str">
        <f t="shared" ref="W110:X110" si="4">IFERROR(AVERAGEIFS('Май 2026'!$K:$K,'Май 2026'!$E:$E,$A:$A),"-")</f>
        <v>-</v>
      </c>
      <c r="X110" s="49" t="str">
        <f t="shared" si="4"/>
        <v>-</v>
      </c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</row>
    <row r="111">
      <c r="B111" s="49" t="str">
        <f>IFERROR(AVERAGEIFS('Сентябрь 2024'!$K:$K,'Сентябрь 2024'!$E:$E,$A:$A),"-")</f>
        <v>-</v>
      </c>
      <c r="C111" s="49" t="str">
        <f>IFERROR(AVERAGEIFS('Октябрь 2024'!$K:$K,'Октябрь 2024'!$E:$E,$A:$A),"-")</f>
        <v>-</v>
      </c>
      <c r="D111" s="49" t="str">
        <f>IFERROR(AVERAGEIFS('Ноябрь 2024'!$K:$K,'Ноябрь 2024'!$E:$E,$A:$A),"-")</f>
        <v>-</v>
      </c>
      <c r="E111" s="49" t="str">
        <f>IFERROR(AVERAGEIFS('Декабрь 2024'!$K:$K,'Декабрь 2024'!$E:$E,$A:$A),"-")</f>
        <v>-</v>
      </c>
      <c r="F111" s="49" t="str">
        <f>IFERROR(AVERAGEIFS('Январь 2025'!$K:$K,'Январь 2025'!$E:$E,$A:$A),"-")</f>
        <v>-</v>
      </c>
      <c r="G111" s="49" t="str">
        <f>IFERROR(AVERAGEIFS('Февраль 2025 '!K:K,'Февраль 2025 '!E:E,A:A),"-")</f>
        <v>-</v>
      </c>
      <c r="H111" s="49" t="str">
        <f>IFERROR(AVERAGEIFS('Март 2025'!$K:$K,'Март 2025'!$E:$E,$A:$A),"-")</f>
        <v>-</v>
      </c>
      <c r="I111" s="49" t="str">
        <f>IFERROR(AVERAGEIFS('Апрель 2025'!$K:$K,'Апрель 2025'!$E:$E,$A:$A),"-")</f>
        <v>-</v>
      </c>
      <c r="J111" s="49" t="str">
        <f>IFERROR(AVERAGEIFS('Май 2025'!$K:$K,'Май 2025'!$E:$E,$A:$A),"-")</f>
        <v>-</v>
      </c>
      <c r="K111" s="49" t="str">
        <f>IFERROR(AVERAGEIFS('Июнь 2025'!$K:$K,'Июнь 2025'!$E:$E,$A:$A),"-")</f>
        <v>-</v>
      </c>
      <c r="L111" s="49" t="str">
        <f>IFERROR(AVERAGEIFS('Июль 2025'!$K:$K,'Июль 2025'!$E:$E,$A:$A),"-")</f>
        <v>-</v>
      </c>
      <c r="M111" s="49" t="str">
        <f>IFERROR(AVERAGEIFS('Август 2025'!$K:$K,'Август 2025'!$E:$E,$A:$A),"-")</f>
        <v>-</v>
      </c>
      <c r="N111" s="49" t="str">
        <f>IFERROR(AVERAGEIFS('Сентябрь 2025'!$K:$K,'Сентябрь 2025'!$E:$E,$A:$A),"-")</f>
        <v>-</v>
      </c>
      <c r="O111" s="49" t="str">
        <f>IFERROR(AVERAGEIFS('Октябрь 2025'!$K:$K,'Октябрь 2025'!$E:$E,$A:$A),"-")</f>
        <v>-</v>
      </c>
      <c r="P111" s="49" t="str">
        <f>IFERROR(AVERAGEIFS('Ноябрь 2025'!$K:$K,'Ноябрь 2025'!$E:$E,$A:$A),"-")</f>
        <v>-</v>
      </c>
      <c r="Q111" s="49" t="str">
        <f>IFERROR(AVERAGEIFS('Декабрь 2025'!$K:$K,'Декабрь 2025'!$E:$E,$A:$A),"-")</f>
        <v>-</v>
      </c>
      <c r="R111" s="49" t="str">
        <f>IFERROR(AVERAGEIFS('Январь 2026'!$K:$K,'Январь 2026'!$E:$E,$A:$A),"-")</f>
        <v>-</v>
      </c>
      <c r="S111" s="49" t="str">
        <f>IFERROR(AVERAGEIFS('Февраль 2026'!$K:$K,'Февраль 2026'!$E:$E,$A:$A),"-")</f>
        <v>-</v>
      </c>
      <c r="T111" s="49" t="str">
        <f>IFERROR(AVERAGEIFS('Март 2026'!$K:$K,'Март 2026'!$E:$E,$A:$A),"-")</f>
        <v>-</v>
      </c>
      <c r="U111" s="49" t="str">
        <f>IFERROR(AVERAGEIFS('Апрель 2026'!$K:$K,'Апрель 2026'!$E:$E,$A:$A),"-")</f>
        <v>-</v>
      </c>
      <c r="V111" s="49" t="str">
        <f t="shared" si="3"/>
        <v>-</v>
      </c>
      <c r="W111" s="49" t="str">
        <f t="shared" ref="W111:X111" si="5">IFERROR(AVERAGEIFS('Май 2026'!$K:$K,'Май 2026'!$E:$E,$A:$A),"-")</f>
        <v>-</v>
      </c>
      <c r="X111" s="49" t="str">
        <f t="shared" si="5"/>
        <v>-</v>
      </c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</row>
    <row r="112">
      <c r="B112" s="49" t="str">
        <f>IFERROR(AVERAGEIFS('Сентябрь 2024'!$K:$K,'Сентябрь 2024'!$E:$E,$A:$A),"-")</f>
        <v>-</v>
      </c>
      <c r="C112" s="49" t="str">
        <f>IFERROR(AVERAGEIFS('Октябрь 2024'!$K:$K,'Октябрь 2024'!$E:$E,$A:$A),"-")</f>
        <v>-</v>
      </c>
      <c r="D112" s="49" t="str">
        <f>IFERROR(AVERAGEIFS('Ноябрь 2024'!$K:$K,'Ноябрь 2024'!$E:$E,$A:$A),"-")</f>
        <v>-</v>
      </c>
      <c r="E112" s="49" t="str">
        <f>IFERROR(AVERAGEIFS('Декабрь 2024'!$K:$K,'Декабрь 2024'!$E:$E,$A:$A),"-")</f>
        <v>-</v>
      </c>
      <c r="F112" s="49" t="str">
        <f>IFERROR(AVERAGEIFS('Январь 2025'!$K:$K,'Январь 2025'!$E:$E,$A:$A),"-")</f>
        <v>-</v>
      </c>
      <c r="G112" s="49" t="str">
        <f>IFERROR(AVERAGEIFS('Февраль 2025 '!K:K,'Февраль 2025 '!E:E,A:A),"-")</f>
        <v>-</v>
      </c>
      <c r="H112" s="49" t="str">
        <f>IFERROR(AVERAGEIFS('Март 2025'!$K:$K,'Март 2025'!$E:$E,$A:$A),"-")</f>
        <v>-</v>
      </c>
      <c r="I112" s="49" t="str">
        <f>IFERROR(AVERAGEIFS('Апрель 2025'!$K:$K,'Апрель 2025'!$E:$E,$A:$A),"-")</f>
        <v>-</v>
      </c>
      <c r="J112" s="49" t="str">
        <f>IFERROR(AVERAGEIFS('Май 2025'!$K:$K,'Май 2025'!$E:$E,$A:$A),"-")</f>
        <v>-</v>
      </c>
      <c r="K112" s="49" t="str">
        <f>IFERROR(AVERAGEIFS('Июнь 2025'!$K:$K,'Июнь 2025'!$E:$E,$A:$A),"-")</f>
        <v>-</v>
      </c>
      <c r="L112" s="49" t="str">
        <f>IFERROR(AVERAGEIFS('Июль 2025'!$K:$K,'Июль 2025'!$E:$E,$A:$A),"-")</f>
        <v>-</v>
      </c>
      <c r="M112" s="49" t="str">
        <f>IFERROR(AVERAGEIFS('Август 2025'!$K:$K,'Август 2025'!$E:$E,$A:$A),"-")</f>
        <v>-</v>
      </c>
      <c r="N112" s="49" t="str">
        <f>IFERROR(AVERAGEIFS('Сентябрь 2025'!$K:$K,'Сентябрь 2025'!$E:$E,$A:$A),"-")</f>
        <v>-</v>
      </c>
      <c r="O112" s="49" t="str">
        <f>IFERROR(AVERAGEIFS('Октябрь 2025'!$K:$K,'Октябрь 2025'!$E:$E,$A:$A),"-")</f>
        <v>-</v>
      </c>
      <c r="P112" s="49" t="str">
        <f>IFERROR(AVERAGEIFS('Ноябрь 2025'!$K:$K,'Ноябрь 2025'!$E:$E,$A:$A),"-")</f>
        <v>-</v>
      </c>
      <c r="Q112" s="49" t="str">
        <f>IFERROR(AVERAGEIFS('Декабрь 2025'!$K:$K,'Декабрь 2025'!$E:$E,$A:$A),"-")</f>
        <v>-</v>
      </c>
      <c r="R112" s="49" t="str">
        <f>IFERROR(AVERAGEIFS('Январь 2026'!$K:$K,'Январь 2026'!$E:$E,$A:$A),"-")</f>
        <v>-</v>
      </c>
      <c r="S112" s="49" t="str">
        <f>IFERROR(AVERAGEIFS('Февраль 2026'!$K:$K,'Февраль 2026'!$E:$E,$A:$A),"-")</f>
        <v>-</v>
      </c>
      <c r="T112" s="49" t="str">
        <f>IFERROR(AVERAGEIFS('Март 2026'!$K:$K,'Март 2026'!$E:$E,$A:$A),"-")</f>
        <v>-</v>
      </c>
      <c r="U112" s="49" t="str">
        <f>IFERROR(AVERAGEIFS('Апрель 2026'!$K:$K,'Апрель 2026'!$E:$E,$A:$A),"-")</f>
        <v>-</v>
      </c>
      <c r="V112" s="49" t="str">
        <f t="shared" si="3"/>
        <v>-</v>
      </c>
      <c r="W112" s="49" t="str">
        <f t="shared" ref="W112:X112" si="6">IFERROR(AVERAGEIFS('Май 2026'!$K:$K,'Май 2026'!$E:$E,$A:$A),"-")</f>
        <v>-</v>
      </c>
      <c r="X112" s="49" t="str">
        <f t="shared" si="6"/>
        <v>-</v>
      </c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</row>
    <row r="113">
      <c r="B113" s="49" t="str">
        <f>IFERROR(AVERAGEIFS('Сентябрь 2024'!$K:$K,'Сентябрь 2024'!$E:$E,$A:$A),"-")</f>
        <v>-</v>
      </c>
      <c r="C113" s="49" t="str">
        <f>IFERROR(AVERAGEIFS('Октябрь 2024'!$K:$K,'Октябрь 2024'!$E:$E,$A:$A),"-")</f>
        <v>-</v>
      </c>
      <c r="D113" s="49" t="str">
        <f>IFERROR(AVERAGEIFS('Ноябрь 2024'!$K:$K,'Ноябрь 2024'!$E:$E,$A:$A),"-")</f>
        <v>-</v>
      </c>
      <c r="E113" s="49" t="str">
        <f>IFERROR(AVERAGEIFS('Декабрь 2024'!$K:$K,'Декабрь 2024'!$E:$E,$A:$A),"-")</f>
        <v>-</v>
      </c>
      <c r="F113" s="49" t="str">
        <f>IFERROR(AVERAGEIFS('Январь 2025'!$K:$K,'Январь 2025'!$E:$E,$A:$A),"-")</f>
        <v>-</v>
      </c>
      <c r="G113" s="49" t="str">
        <f>IFERROR(AVERAGEIFS('Февраль 2025 '!K:K,'Февраль 2025 '!E:E,A:A),"-")</f>
        <v>-</v>
      </c>
      <c r="H113" s="49" t="str">
        <f>IFERROR(AVERAGEIFS('Март 2025'!$K:$K,'Март 2025'!$E:$E,$A:$A),"-")</f>
        <v>-</v>
      </c>
      <c r="I113" s="49" t="str">
        <f>IFERROR(AVERAGEIFS('Апрель 2025'!$K:$K,'Апрель 2025'!$E:$E,$A:$A),"-")</f>
        <v>-</v>
      </c>
      <c r="J113" s="49" t="str">
        <f>IFERROR(AVERAGEIFS('Май 2025'!$K:$K,'Май 2025'!$E:$E,$A:$A),"-")</f>
        <v>-</v>
      </c>
      <c r="K113" s="49" t="str">
        <f>IFERROR(AVERAGEIFS('Июнь 2025'!$K:$K,'Июнь 2025'!$E:$E,$A:$A),"-")</f>
        <v>-</v>
      </c>
      <c r="L113" s="49" t="str">
        <f>IFERROR(AVERAGEIFS('Июль 2025'!$K:$K,'Июль 2025'!$E:$E,$A:$A),"-")</f>
        <v>-</v>
      </c>
      <c r="M113" s="49" t="str">
        <f>IFERROR(AVERAGEIFS('Август 2025'!$K:$K,'Август 2025'!$E:$E,$A:$A),"-")</f>
        <v>-</v>
      </c>
      <c r="N113" s="49" t="str">
        <f>IFERROR(AVERAGEIFS('Сентябрь 2025'!$K:$K,'Сентябрь 2025'!$E:$E,$A:$A),"-")</f>
        <v>-</v>
      </c>
      <c r="O113" s="49" t="str">
        <f>IFERROR(AVERAGEIFS('Октябрь 2025'!$K:$K,'Октябрь 2025'!$E:$E,$A:$A),"-")</f>
        <v>-</v>
      </c>
      <c r="P113" s="49" t="str">
        <f>IFERROR(AVERAGEIFS('Ноябрь 2025'!$K:$K,'Ноябрь 2025'!$E:$E,$A:$A),"-")</f>
        <v>-</v>
      </c>
      <c r="Q113" s="49" t="str">
        <f>IFERROR(AVERAGEIFS('Декабрь 2025'!$K:$K,'Декабрь 2025'!$E:$E,$A:$A),"-")</f>
        <v>-</v>
      </c>
      <c r="R113" s="49" t="str">
        <f>IFERROR(AVERAGEIFS('Январь 2026'!$K:$K,'Январь 2026'!$E:$E,$A:$A),"-")</f>
        <v>-</v>
      </c>
      <c r="S113" s="49" t="str">
        <f>IFERROR(AVERAGEIFS('Февраль 2026'!$K:$K,'Февраль 2026'!$E:$E,$A:$A),"-")</f>
        <v>-</v>
      </c>
      <c r="T113" s="49" t="str">
        <f>IFERROR(AVERAGEIFS('Март 2026'!$K:$K,'Март 2026'!$E:$E,$A:$A),"-")</f>
        <v>-</v>
      </c>
      <c r="U113" s="49" t="str">
        <f>IFERROR(AVERAGEIFS('Апрель 2026'!$K:$K,'Апрель 2026'!$E:$E,$A:$A),"-")</f>
        <v>-</v>
      </c>
      <c r="V113" s="49" t="str">
        <f t="shared" si="3"/>
        <v>-</v>
      </c>
      <c r="W113" s="49" t="str">
        <f t="shared" ref="W113:X113" si="7">IFERROR(AVERAGEIFS('Май 2026'!$K:$K,'Май 2026'!$E:$E,$A:$A),"-")</f>
        <v>-</v>
      </c>
      <c r="X113" s="49" t="str">
        <f t="shared" si="7"/>
        <v>-</v>
      </c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</row>
    <row r="114">
      <c r="B114" s="49" t="str">
        <f>IFERROR(AVERAGEIFS('Сентябрь 2024'!$K:$K,'Сентябрь 2024'!$E:$E,$A:$A),"-")</f>
        <v>-</v>
      </c>
      <c r="C114" s="49" t="str">
        <f>IFERROR(AVERAGEIFS('Октябрь 2024'!$K:$K,'Октябрь 2024'!$E:$E,$A:$A),"-")</f>
        <v>-</v>
      </c>
      <c r="D114" s="49" t="str">
        <f>IFERROR(AVERAGEIFS('Ноябрь 2024'!$K:$K,'Ноябрь 2024'!$E:$E,$A:$A),"-")</f>
        <v>-</v>
      </c>
      <c r="E114" s="49" t="str">
        <f>IFERROR(AVERAGEIFS('Декабрь 2024'!$K:$K,'Декабрь 2024'!$E:$E,$A:$A),"-")</f>
        <v>-</v>
      </c>
      <c r="F114" s="49" t="str">
        <f>IFERROR(AVERAGEIFS('Январь 2025'!$K:$K,'Январь 2025'!$E:$E,$A:$A),"-")</f>
        <v>-</v>
      </c>
      <c r="G114" s="49" t="str">
        <f>IFERROR(AVERAGEIFS('Февраль 2025 '!K:K,'Февраль 2025 '!E:E,A:A),"-")</f>
        <v>-</v>
      </c>
      <c r="H114" s="49" t="str">
        <f>IFERROR(AVERAGEIFS('Март 2025'!$K:$K,'Март 2025'!$E:$E,$A:$A),"-")</f>
        <v>-</v>
      </c>
      <c r="I114" s="49" t="str">
        <f>IFERROR(AVERAGEIFS('Апрель 2025'!$K:$K,'Апрель 2025'!$E:$E,$A:$A),"-")</f>
        <v>-</v>
      </c>
      <c r="J114" s="49" t="str">
        <f>IFERROR(AVERAGEIFS('Май 2025'!$K:$K,'Май 2025'!$E:$E,$A:$A),"-")</f>
        <v>-</v>
      </c>
      <c r="K114" s="49" t="str">
        <f>IFERROR(AVERAGEIFS('Июнь 2025'!$K:$K,'Июнь 2025'!$E:$E,$A:$A),"-")</f>
        <v>-</v>
      </c>
      <c r="L114" s="49" t="str">
        <f>IFERROR(AVERAGEIFS('Июль 2025'!$K:$K,'Июль 2025'!$E:$E,$A:$A),"-")</f>
        <v>-</v>
      </c>
      <c r="M114" s="49" t="str">
        <f>IFERROR(AVERAGEIFS('Август 2025'!$K:$K,'Август 2025'!$E:$E,$A:$A),"-")</f>
        <v>-</v>
      </c>
      <c r="N114" s="49" t="str">
        <f>IFERROR(AVERAGEIFS('Сентябрь 2025'!$K:$K,'Сентябрь 2025'!$E:$E,$A:$A),"-")</f>
        <v>-</v>
      </c>
      <c r="O114" s="49" t="str">
        <f>IFERROR(AVERAGEIFS('Октябрь 2025'!$K:$K,'Октябрь 2025'!$E:$E,$A:$A),"-")</f>
        <v>-</v>
      </c>
      <c r="P114" s="49" t="str">
        <f>IFERROR(AVERAGEIFS('Ноябрь 2025'!$K:$K,'Ноябрь 2025'!$E:$E,$A:$A),"-")</f>
        <v>-</v>
      </c>
      <c r="Q114" s="49" t="str">
        <f>IFERROR(AVERAGEIFS('Декабрь 2025'!$K:$K,'Декабрь 2025'!$E:$E,$A:$A),"-")</f>
        <v>-</v>
      </c>
      <c r="R114" s="49" t="str">
        <f>IFERROR(AVERAGEIFS('Январь 2026'!$K:$K,'Январь 2026'!$E:$E,$A:$A),"-")</f>
        <v>-</v>
      </c>
      <c r="S114" s="49" t="str">
        <f>IFERROR(AVERAGEIFS('Февраль 2026'!$K:$K,'Февраль 2026'!$E:$E,$A:$A),"-")</f>
        <v>-</v>
      </c>
      <c r="T114" s="49" t="str">
        <f>IFERROR(AVERAGEIFS('Март 2026'!$K:$K,'Март 2026'!$E:$E,$A:$A),"-")</f>
        <v>-</v>
      </c>
      <c r="U114" s="49" t="str">
        <f>IFERROR(AVERAGEIFS('Апрель 2026'!$K:$K,'Апрель 2026'!$E:$E,$A:$A),"-")</f>
        <v>-</v>
      </c>
      <c r="V114" s="49" t="str">
        <f t="shared" si="3"/>
        <v>-</v>
      </c>
      <c r="W114" s="49" t="str">
        <f t="shared" ref="W114:X114" si="8">IFERROR(AVERAGEIFS('Май 2026'!$K:$K,'Май 2026'!$E:$E,$A:$A),"-")</f>
        <v>-</v>
      </c>
      <c r="X114" s="49" t="str">
        <f t="shared" si="8"/>
        <v>-</v>
      </c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</row>
    <row r="115">
      <c r="B115" s="49" t="str">
        <f>IFERROR(AVERAGEIFS('Сентябрь 2024'!$K:$K,'Сентябрь 2024'!$E:$E,$A:$A),"-")</f>
        <v>-</v>
      </c>
      <c r="C115" s="49" t="str">
        <f>IFERROR(AVERAGEIFS('Октябрь 2024'!$K:$K,'Октябрь 2024'!$E:$E,$A:$A),"-")</f>
        <v>-</v>
      </c>
      <c r="D115" s="49" t="str">
        <f>IFERROR(AVERAGEIFS('Ноябрь 2024'!$K:$K,'Ноябрь 2024'!$E:$E,$A:$A),"-")</f>
        <v>-</v>
      </c>
      <c r="E115" s="49" t="str">
        <f>IFERROR(AVERAGEIFS('Декабрь 2024'!$K:$K,'Декабрь 2024'!$E:$E,$A:$A),"-")</f>
        <v>-</v>
      </c>
      <c r="F115" s="49" t="str">
        <f>IFERROR(AVERAGEIFS('Январь 2025'!$K:$K,'Январь 2025'!$E:$E,$A:$A),"-")</f>
        <v>-</v>
      </c>
      <c r="G115" s="49" t="str">
        <f>IFERROR(AVERAGEIFS('Февраль 2025 '!K:K,'Февраль 2025 '!E:E,A:A),"-")</f>
        <v>-</v>
      </c>
      <c r="H115" s="49" t="str">
        <f>IFERROR(AVERAGEIFS('Март 2025'!$K:$K,'Март 2025'!$E:$E,$A:$A),"-")</f>
        <v>-</v>
      </c>
      <c r="I115" s="49" t="str">
        <f>IFERROR(AVERAGEIFS('Апрель 2025'!$K:$K,'Апрель 2025'!$E:$E,$A:$A),"-")</f>
        <v>-</v>
      </c>
      <c r="J115" s="49" t="str">
        <f>IFERROR(AVERAGEIFS('Май 2025'!$K:$K,'Май 2025'!$E:$E,$A:$A),"-")</f>
        <v>-</v>
      </c>
      <c r="K115" s="49" t="str">
        <f>IFERROR(AVERAGEIFS('Июнь 2025'!$K:$K,'Июнь 2025'!$E:$E,$A:$A),"-")</f>
        <v>-</v>
      </c>
      <c r="L115" s="49" t="str">
        <f>IFERROR(AVERAGEIFS('Июль 2025'!$K:$K,'Июль 2025'!$E:$E,$A:$A),"-")</f>
        <v>-</v>
      </c>
      <c r="M115" s="49" t="str">
        <f>IFERROR(AVERAGEIFS('Август 2025'!$K:$K,'Август 2025'!$E:$E,$A:$A),"-")</f>
        <v>-</v>
      </c>
      <c r="N115" s="49" t="str">
        <f>IFERROR(AVERAGEIFS('Сентябрь 2025'!$K:$K,'Сентябрь 2025'!$E:$E,$A:$A),"-")</f>
        <v>-</v>
      </c>
      <c r="O115" s="49" t="str">
        <f>IFERROR(AVERAGEIFS('Октябрь 2025'!$K:$K,'Октябрь 2025'!$E:$E,$A:$A),"-")</f>
        <v>-</v>
      </c>
      <c r="P115" s="49" t="str">
        <f>IFERROR(AVERAGEIFS('Ноябрь 2025'!$K:$K,'Ноябрь 2025'!$E:$E,$A:$A),"-")</f>
        <v>-</v>
      </c>
      <c r="Q115" s="49" t="str">
        <f>IFERROR(AVERAGEIFS('Декабрь 2025'!$K:$K,'Декабрь 2025'!$E:$E,$A:$A),"-")</f>
        <v>-</v>
      </c>
      <c r="R115" s="49" t="str">
        <f>IFERROR(AVERAGEIFS('Январь 2026'!$K:$K,'Январь 2026'!$E:$E,$A:$A),"-")</f>
        <v>-</v>
      </c>
      <c r="S115" s="49" t="str">
        <f>IFERROR(AVERAGEIFS('Февраль 2026'!$K:$K,'Февраль 2026'!$E:$E,$A:$A),"-")</f>
        <v>-</v>
      </c>
      <c r="T115" s="49" t="str">
        <f>IFERROR(AVERAGEIFS('Март 2026'!$K:$K,'Март 2026'!$E:$E,$A:$A),"-")</f>
        <v>-</v>
      </c>
      <c r="U115" s="49" t="str">
        <f>IFERROR(AVERAGEIFS('Апрель 2026'!$K:$K,'Апрель 2026'!$E:$E,$A:$A),"-")</f>
        <v>-</v>
      </c>
      <c r="V115" s="49" t="str">
        <f t="shared" si="3"/>
        <v>-</v>
      </c>
      <c r="W115" s="49" t="str">
        <f t="shared" ref="W115:X115" si="9">IFERROR(AVERAGEIFS('Май 2026'!$K:$K,'Май 2026'!$E:$E,$A:$A),"-")</f>
        <v>-</v>
      </c>
      <c r="X115" s="49" t="str">
        <f t="shared" si="9"/>
        <v>-</v>
      </c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</row>
    <row r="116">
      <c r="B116" s="49" t="str">
        <f>IFERROR(AVERAGEIFS('Сентябрь 2024'!$K:$K,'Сентябрь 2024'!$E:$E,$A:$A),"-")</f>
        <v>-</v>
      </c>
      <c r="C116" s="49" t="str">
        <f>IFERROR(AVERAGEIFS('Октябрь 2024'!$K:$K,'Октябрь 2024'!$E:$E,$A:$A),"-")</f>
        <v>-</v>
      </c>
      <c r="D116" s="49" t="str">
        <f>IFERROR(AVERAGEIFS('Ноябрь 2024'!$K:$K,'Ноябрь 2024'!$E:$E,$A:$A),"-")</f>
        <v>-</v>
      </c>
      <c r="E116" s="49" t="str">
        <f>IFERROR(AVERAGEIFS('Декабрь 2024'!$K:$K,'Декабрь 2024'!$E:$E,$A:$A),"-")</f>
        <v>-</v>
      </c>
      <c r="F116" s="49" t="str">
        <f>IFERROR(AVERAGEIFS('Январь 2025'!$K:$K,'Январь 2025'!$E:$E,$A:$A),"-")</f>
        <v>-</v>
      </c>
      <c r="G116" s="49" t="str">
        <f>IFERROR(AVERAGEIFS('Февраль 2025 '!K:K,'Февраль 2025 '!E:E,A:A),"-")</f>
        <v>-</v>
      </c>
      <c r="H116" s="49" t="str">
        <f>IFERROR(AVERAGEIFS('Март 2025'!$K:$K,'Март 2025'!$E:$E,$A:$A),"-")</f>
        <v>-</v>
      </c>
      <c r="I116" s="49" t="str">
        <f>IFERROR(AVERAGEIFS('Апрель 2025'!$K:$K,'Апрель 2025'!$E:$E,$A:$A),"-")</f>
        <v>-</v>
      </c>
      <c r="J116" s="49" t="str">
        <f>IFERROR(AVERAGEIFS('Май 2025'!$K:$K,'Май 2025'!$E:$E,$A:$A),"-")</f>
        <v>-</v>
      </c>
      <c r="K116" s="49" t="str">
        <f>IFERROR(AVERAGEIFS('Июнь 2025'!$K:$K,'Июнь 2025'!$E:$E,$A:$A),"-")</f>
        <v>-</v>
      </c>
      <c r="L116" s="49" t="str">
        <f>IFERROR(AVERAGEIFS('Июль 2025'!$K:$K,'Июль 2025'!$E:$E,$A:$A),"-")</f>
        <v>-</v>
      </c>
      <c r="M116" s="49" t="str">
        <f>IFERROR(AVERAGEIFS('Август 2025'!$K:$K,'Август 2025'!$E:$E,$A:$A),"-")</f>
        <v>-</v>
      </c>
      <c r="N116" s="49" t="str">
        <f>IFERROR(AVERAGEIFS('Сентябрь 2025'!$K:$K,'Сентябрь 2025'!$E:$E,$A:$A),"-")</f>
        <v>-</v>
      </c>
      <c r="O116" s="49" t="str">
        <f>IFERROR(AVERAGEIFS('Октябрь 2025'!$K:$K,'Октябрь 2025'!$E:$E,$A:$A),"-")</f>
        <v>-</v>
      </c>
      <c r="P116" s="49" t="str">
        <f>IFERROR(AVERAGEIFS('Ноябрь 2025'!$K:$K,'Ноябрь 2025'!$E:$E,$A:$A),"-")</f>
        <v>-</v>
      </c>
      <c r="Q116" s="49" t="str">
        <f>IFERROR(AVERAGEIFS('Декабрь 2025'!$K:$K,'Декабрь 2025'!$E:$E,$A:$A),"-")</f>
        <v>-</v>
      </c>
      <c r="R116" s="49" t="str">
        <f>IFERROR(AVERAGEIFS('Январь 2026'!$K:$K,'Январь 2026'!$E:$E,$A:$A),"-")</f>
        <v>-</v>
      </c>
      <c r="S116" s="49" t="str">
        <f>IFERROR(AVERAGEIFS('Февраль 2026'!$K:$K,'Февраль 2026'!$E:$E,$A:$A),"-")</f>
        <v>-</v>
      </c>
      <c r="T116" s="49" t="str">
        <f>IFERROR(AVERAGEIFS('Март 2026'!$K:$K,'Март 2026'!$E:$E,$A:$A),"-")</f>
        <v>-</v>
      </c>
      <c r="U116" s="49" t="str">
        <f>IFERROR(AVERAGEIFS('Апрель 2026'!$K:$K,'Апрель 2026'!$E:$E,$A:$A),"-")</f>
        <v>-</v>
      </c>
      <c r="V116" s="49" t="str">
        <f t="shared" si="3"/>
        <v>-</v>
      </c>
      <c r="W116" s="49" t="str">
        <f t="shared" ref="W116:X116" si="10">IFERROR(AVERAGEIFS('Май 2026'!$K:$K,'Май 2026'!$E:$E,$A:$A),"-")</f>
        <v>-</v>
      </c>
      <c r="X116" s="49" t="str">
        <f t="shared" si="10"/>
        <v>-</v>
      </c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</row>
    <row r="117">
      <c r="B117" s="49" t="str">
        <f>IFERROR(AVERAGEIFS('Сентябрь 2024'!$K:$K,'Сентябрь 2024'!$E:$E,$A:$A),"-")</f>
        <v>-</v>
      </c>
      <c r="C117" s="49" t="str">
        <f>IFERROR(AVERAGEIFS('Октябрь 2024'!$K:$K,'Октябрь 2024'!$E:$E,$A:$A),"-")</f>
        <v>-</v>
      </c>
      <c r="D117" s="49" t="str">
        <f>IFERROR(AVERAGEIFS('Ноябрь 2024'!$K:$K,'Ноябрь 2024'!$E:$E,$A:$A),"-")</f>
        <v>-</v>
      </c>
      <c r="E117" s="49" t="str">
        <f>IFERROR(AVERAGEIFS('Декабрь 2024'!$K:$K,'Декабрь 2024'!$E:$E,$A:$A),"-")</f>
        <v>-</v>
      </c>
      <c r="F117" s="49" t="str">
        <f>IFERROR(AVERAGEIFS('Январь 2025'!$K:$K,'Январь 2025'!$E:$E,$A:$A),"-")</f>
        <v>-</v>
      </c>
      <c r="G117" s="49" t="str">
        <f>IFERROR(AVERAGEIFS('Февраль 2025 '!K:K,'Февраль 2025 '!E:E,A:A),"-")</f>
        <v>-</v>
      </c>
      <c r="H117" s="49" t="str">
        <f>IFERROR(AVERAGEIFS('Март 2025'!$K:$K,'Март 2025'!$E:$E,$A:$A),"-")</f>
        <v>-</v>
      </c>
      <c r="I117" s="49" t="str">
        <f>IFERROR(AVERAGEIFS('Апрель 2025'!$K:$K,'Апрель 2025'!$E:$E,$A:$A),"-")</f>
        <v>-</v>
      </c>
      <c r="J117" s="49" t="str">
        <f>IFERROR(AVERAGEIFS('Май 2025'!$K:$K,'Май 2025'!$E:$E,$A:$A),"-")</f>
        <v>-</v>
      </c>
      <c r="K117" s="49" t="str">
        <f>IFERROR(AVERAGEIFS('Июнь 2025'!$K:$K,'Июнь 2025'!$E:$E,$A:$A),"-")</f>
        <v>-</v>
      </c>
      <c r="L117" s="49" t="str">
        <f>IFERROR(AVERAGEIFS('Июль 2025'!$K:$K,'Июль 2025'!$E:$E,$A:$A),"-")</f>
        <v>-</v>
      </c>
      <c r="M117" s="49" t="str">
        <f>IFERROR(AVERAGEIFS('Август 2025'!$K:$K,'Август 2025'!$E:$E,$A:$A),"-")</f>
        <v>-</v>
      </c>
      <c r="N117" s="49" t="str">
        <f>IFERROR(AVERAGEIFS('Сентябрь 2025'!$K:$K,'Сентябрь 2025'!$E:$E,$A:$A),"-")</f>
        <v>-</v>
      </c>
      <c r="O117" s="49" t="str">
        <f>IFERROR(AVERAGEIFS('Октябрь 2025'!$K:$K,'Октябрь 2025'!$E:$E,$A:$A),"-")</f>
        <v>-</v>
      </c>
      <c r="P117" s="49" t="str">
        <f>IFERROR(AVERAGEIFS('Ноябрь 2025'!$K:$K,'Ноябрь 2025'!$E:$E,$A:$A),"-")</f>
        <v>-</v>
      </c>
      <c r="Q117" s="49" t="str">
        <f>IFERROR(AVERAGEIFS('Декабрь 2025'!$K:$K,'Декабрь 2025'!$E:$E,$A:$A),"-")</f>
        <v>-</v>
      </c>
      <c r="R117" s="49" t="str">
        <f>IFERROR(AVERAGEIFS('Январь 2026'!$K:$K,'Январь 2026'!$E:$E,$A:$A),"-")</f>
        <v>-</v>
      </c>
      <c r="S117" s="49" t="str">
        <f>IFERROR(AVERAGEIFS('Февраль 2026'!$K:$K,'Февраль 2026'!$E:$E,$A:$A),"-")</f>
        <v>-</v>
      </c>
      <c r="T117" s="49" t="str">
        <f>IFERROR(AVERAGEIFS('Март 2026'!$K:$K,'Март 2026'!$E:$E,$A:$A),"-")</f>
        <v>-</v>
      </c>
      <c r="U117" s="49" t="str">
        <f>IFERROR(AVERAGEIFS('Апрель 2026'!$K:$K,'Апрель 2026'!$E:$E,$A:$A),"-")</f>
        <v>-</v>
      </c>
      <c r="V117" s="49" t="str">
        <f t="shared" si="3"/>
        <v>-</v>
      </c>
      <c r="W117" s="49" t="str">
        <f t="shared" ref="W117:X117" si="11">IFERROR(AVERAGEIFS('Май 2026'!$K:$K,'Май 2026'!$E:$E,$A:$A),"-")</f>
        <v>-</v>
      </c>
      <c r="X117" s="49" t="str">
        <f t="shared" si="11"/>
        <v>-</v>
      </c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</row>
    <row r="118">
      <c r="B118" s="49" t="str">
        <f>IFERROR(AVERAGEIFS('Сентябрь 2024'!$K:$K,'Сентябрь 2024'!$E:$E,$A:$A),"-")</f>
        <v>-</v>
      </c>
      <c r="C118" s="49" t="str">
        <f>IFERROR(AVERAGEIFS('Октябрь 2024'!$K:$K,'Октябрь 2024'!$E:$E,$A:$A),"-")</f>
        <v>-</v>
      </c>
      <c r="D118" s="49" t="str">
        <f>IFERROR(AVERAGEIFS('Ноябрь 2024'!$K:$K,'Ноябрь 2024'!$E:$E,$A:$A),"-")</f>
        <v>-</v>
      </c>
      <c r="E118" s="49" t="str">
        <f>IFERROR(AVERAGEIFS('Декабрь 2024'!$K:$K,'Декабрь 2024'!$E:$E,$A:$A),"-")</f>
        <v>-</v>
      </c>
      <c r="F118" s="49" t="str">
        <f>IFERROR(AVERAGEIFS('Январь 2025'!$K:$K,'Январь 2025'!$E:$E,$A:$A),"-")</f>
        <v>-</v>
      </c>
      <c r="G118" s="49" t="str">
        <f>IFERROR(AVERAGEIFS('Февраль 2025 '!K:K,'Февраль 2025 '!E:E,A:A),"-")</f>
        <v>-</v>
      </c>
      <c r="H118" s="49" t="str">
        <f>IFERROR(AVERAGEIFS('Март 2025'!$K:$K,'Март 2025'!$E:$E,$A:$A),"-")</f>
        <v>-</v>
      </c>
      <c r="I118" s="49" t="str">
        <f>IFERROR(AVERAGEIFS('Апрель 2025'!$K:$K,'Апрель 2025'!$E:$E,$A:$A),"-")</f>
        <v>-</v>
      </c>
      <c r="J118" s="49" t="str">
        <f>IFERROR(AVERAGEIFS('Май 2025'!$K:$K,'Май 2025'!$E:$E,$A:$A),"-")</f>
        <v>-</v>
      </c>
      <c r="K118" s="49" t="str">
        <f>IFERROR(AVERAGEIFS('Июнь 2025'!$K:$K,'Июнь 2025'!$E:$E,$A:$A),"-")</f>
        <v>-</v>
      </c>
      <c r="L118" s="49" t="str">
        <f>IFERROR(AVERAGEIFS('Июль 2025'!$K:$K,'Июль 2025'!$E:$E,$A:$A),"-")</f>
        <v>-</v>
      </c>
      <c r="M118" s="49" t="str">
        <f>IFERROR(AVERAGEIFS('Август 2025'!$K:$K,'Август 2025'!$E:$E,$A:$A),"-")</f>
        <v>-</v>
      </c>
      <c r="N118" s="49" t="str">
        <f>IFERROR(AVERAGEIFS('Сентябрь 2025'!$K:$K,'Сентябрь 2025'!$E:$E,$A:$A),"-")</f>
        <v>-</v>
      </c>
      <c r="O118" s="49" t="str">
        <f>IFERROR(AVERAGEIFS('Октябрь 2025'!$K:$K,'Октябрь 2025'!$E:$E,$A:$A),"-")</f>
        <v>-</v>
      </c>
      <c r="P118" s="49" t="str">
        <f>IFERROR(AVERAGEIFS('Ноябрь 2025'!$K:$K,'Ноябрь 2025'!$E:$E,$A:$A),"-")</f>
        <v>-</v>
      </c>
      <c r="Q118" s="49" t="str">
        <f>IFERROR(AVERAGEIFS('Декабрь 2025'!$K:$K,'Декабрь 2025'!$E:$E,$A:$A),"-")</f>
        <v>-</v>
      </c>
      <c r="R118" s="49" t="str">
        <f>IFERROR(AVERAGEIFS('Январь 2026'!$K:$K,'Январь 2026'!$E:$E,$A:$A),"-")</f>
        <v>-</v>
      </c>
      <c r="S118" s="49" t="str">
        <f>IFERROR(AVERAGEIFS('Февраль 2026'!$K:$K,'Февраль 2026'!$E:$E,$A:$A),"-")</f>
        <v>-</v>
      </c>
      <c r="T118" s="49" t="str">
        <f>IFERROR(AVERAGEIFS('Март 2026'!$K:$K,'Март 2026'!$E:$E,$A:$A),"-")</f>
        <v>-</v>
      </c>
      <c r="U118" s="49" t="str">
        <f>IFERROR(AVERAGEIFS('Апрель 2026'!$K:$K,'Апрель 2026'!$E:$E,$A:$A),"-")</f>
        <v>-</v>
      </c>
      <c r="V118" s="49" t="str">
        <f t="shared" si="3"/>
        <v>-</v>
      </c>
      <c r="W118" s="49" t="str">
        <f t="shared" ref="W118:X118" si="12">IFERROR(AVERAGEIFS('Май 2026'!$K:$K,'Май 2026'!$E:$E,$A:$A),"-")</f>
        <v>-</v>
      </c>
      <c r="X118" s="49" t="str">
        <f t="shared" si="12"/>
        <v>-</v>
      </c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</row>
    <row r="119">
      <c r="B119" s="49" t="str">
        <f>IFERROR(AVERAGEIFS('Сентябрь 2024'!$K:$K,'Сентябрь 2024'!$E:$E,$A:$A),"-")</f>
        <v>-</v>
      </c>
      <c r="C119" s="49" t="str">
        <f>IFERROR(AVERAGEIFS('Октябрь 2024'!$K:$K,'Октябрь 2024'!$E:$E,$A:$A),"-")</f>
        <v>-</v>
      </c>
      <c r="D119" s="49" t="str">
        <f>IFERROR(AVERAGEIFS('Ноябрь 2024'!$K:$K,'Ноябрь 2024'!$E:$E,$A:$A),"-")</f>
        <v>-</v>
      </c>
      <c r="E119" s="49" t="str">
        <f>IFERROR(AVERAGEIFS('Декабрь 2024'!$K:$K,'Декабрь 2024'!$E:$E,$A:$A),"-")</f>
        <v>-</v>
      </c>
      <c r="F119" s="49" t="str">
        <f>IFERROR(AVERAGEIFS('Январь 2025'!$K:$K,'Январь 2025'!$E:$E,$A:$A),"-")</f>
        <v>-</v>
      </c>
      <c r="G119" s="49" t="str">
        <f>IFERROR(AVERAGEIFS('Февраль 2025 '!K:K,'Февраль 2025 '!E:E,A:A),"-")</f>
        <v>-</v>
      </c>
      <c r="H119" s="49" t="str">
        <f>IFERROR(AVERAGEIFS('Март 2025'!$K:$K,'Март 2025'!$E:$E,$A:$A),"-")</f>
        <v>-</v>
      </c>
      <c r="I119" s="49" t="str">
        <f>IFERROR(AVERAGEIFS('Апрель 2025'!$K:$K,'Апрель 2025'!$E:$E,$A:$A),"-")</f>
        <v>-</v>
      </c>
      <c r="J119" s="49" t="str">
        <f>IFERROR(AVERAGEIFS('Май 2025'!$K:$K,'Май 2025'!$E:$E,$A:$A),"-")</f>
        <v>-</v>
      </c>
      <c r="K119" s="49" t="str">
        <f>IFERROR(AVERAGEIFS('Июнь 2025'!$K:$K,'Июнь 2025'!$E:$E,$A:$A),"-")</f>
        <v>-</v>
      </c>
      <c r="L119" s="49" t="str">
        <f>IFERROR(AVERAGEIFS('Июль 2025'!$K:$K,'Июль 2025'!$E:$E,$A:$A),"-")</f>
        <v>-</v>
      </c>
      <c r="M119" s="49" t="str">
        <f>IFERROR(AVERAGEIFS('Август 2025'!$K:$K,'Август 2025'!$E:$E,$A:$A),"-")</f>
        <v>-</v>
      </c>
      <c r="N119" s="49" t="str">
        <f>IFERROR(AVERAGEIFS('Сентябрь 2025'!$K:$K,'Сентябрь 2025'!$E:$E,$A:$A),"-")</f>
        <v>-</v>
      </c>
      <c r="O119" s="49" t="str">
        <f>IFERROR(AVERAGEIFS('Октябрь 2025'!$K:$K,'Октябрь 2025'!$E:$E,$A:$A),"-")</f>
        <v>-</v>
      </c>
      <c r="P119" s="49" t="str">
        <f>IFERROR(AVERAGEIFS('Ноябрь 2025'!$K:$K,'Ноябрь 2025'!$E:$E,$A:$A),"-")</f>
        <v>-</v>
      </c>
      <c r="Q119" s="49" t="str">
        <f>IFERROR(AVERAGEIFS('Декабрь 2025'!$K:$K,'Декабрь 2025'!$E:$E,$A:$A),"-")</f>
        <v>-</v>
      </c>
      <c r="R119" s="49" t="str">
        <f>IFERROR(AVERAGEIFS('Январь 2026'!$K:$K,'Январь 2026'!$E:$E,$A:$A),"-")</f>
        <v>-</v>
      </c>
      <c r="S119" s="49" t="str">
        <f>IFERROR(AVERAGEIFS('Февраль 2026'!$K:$K,'Февраль 2026'!$E:$E,$A:$A),"-")</f>
        <v>-</v>
      </c>
      <c r="T119" s="49" t="str">
        <f>IFERROR(AVERAGEIFS('Март 2026'!$K:$K,'Март 2026'!$E:$E,$A:$A),"-")</f>
        <v>-</v>
      </c>
      <c r="U119" s="49" t="str">
        <f>IFERROR(AVERAGEIFS('Апрель 2026'!$K:$K,'Апрель 2026'!$E:$E,$A:$A),"-")</f>
        <v>-</v>
      </c>
      <c r="V119" s="49" t="str">
        <f t="shared" si="3"/>
        <v>-</v>
      </c>
      <c r="W119" s="49" t="str">
        <f t="shared" ref="W119:X119" si="13">IFERROR(AVERAGEIFS('Май 2026'!$K:$K,'Май 2026'!$E:$E,$A:$A),"-")</f>
        <v>-</v>
      </c>
      <c r="X119" s="49" t="str">
        <f t="shared" si="13"/>
        <v>-</v>
      </c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</row>
    <row r="120">
      <c r="B120" s="49" t="str">
        <f>IFERROR(AVERAGEIFS('Сентябрь 2024'!$K:$K,'Сентябрь 2024'!$E:$E,$A:$A),"-")</f>
        <v>-</v>
      </c>
      <c r="C120" s="49" t="str">
        <f>IFERROR(AVERAGEIFS('Октябрь 2024'!$K:$K,'Октябрь 2024'!$E:$E,$A:$A),"-")</f>
        <v>-</v>
      </c>
      <c r="D120" s="49" t="str">
        <f>IFERROR(AVERAGEIFS('Ноябрь 2024'!$K:$K,'Ноябрь 2024'!$E:$E,$A:$A),"-")</f>
        <v>-</v>
      </c>
      <c r="E120" s="49" t="str">
        <f>IFERROR(AVERAGEIFS('Декабрь 2024'!$K:$K,'Декабрь 2024'!$E:$E,$A:$A),"-")</f>
        <v>-</v>
      </c>
      <c r="F120" s="49" t="str">
        <f>IFERROR(AVERAGEIFS('Январь 2025'!$K:$K,'Январь 2025'!$E:$E,$A:$A),"-")</f>
        <v>-</v>
      </c>
      <c r="G120" s="49" t="str">
        <f>IFERROR(AVERAGEIFS('Февраль 2025 '!K:K,'Февраль 2025 '!E:E,A:A),"-")</f>
        <v>-</v>
      </c>
      <c r="H120" s="49" t="str">
        <f>IFERROR(AVERAGEIFS('Март 2025'!$K:$K,'Март 2025'!$E:$E,$A:$A),"-")</f>
        <v>-</v>
      </c>
      <c r="I120" s="49" t="str">
        <f>IFERROR(AVERAGEIFS('Апрель 2025'!$K:$K,'Апрель 2025'!$E:$E,$A:$A),"-")</f>
        <v>-</v>
      </c>
      <c r="J120" s="49" t="str">
        <f>IFERROR(AVERAGEIFS('Май 2025'!$K:$K,'Май 2025'!$E:$E,$A:$A),"-")</f>
        <v>-</v>
      </c>
      <c r="K120" s="49" t="str">
        <f>IFERROR(AVERAGEIFS('Июнь 2025'!$K:$K,'Июнь 2025'!$E:$E,$A:$A),"-")</f>
        <v>-</v>
      </c>
      <c r="L120" s="49" t="str">
        <f>IFERROR(AVERAGEIFS('Июль 2025'!$K:$K,'Июль 2025'!$E:$E,$A:$A),"-")</f>
        <v>-</v>
      </c>
      <c r="M120" s="49" t="str">
        <f>IFERROR(AVERAGEIFS('Август 2025'!$K:$K,'Август 2025'!$E:$E,$A:$A),"-")</f>
        <v>-</v>
      </c>
      <c r="N120" s="49" t="str">
        <f>IFERROR(AVERAGEIFS('Сентябрь 2025'!$K:$K,'Сентябрь 2025'!$E:$E,$A:$A),"-")</f>
        <v>-</v>
      </c>
      <c r="O120" s="49" t="str">
        <f>IFERROR(AVERAGEIFS('Октябрь 2025'!$K:$K,'Октябрь 2025'!$E:$E,$A:$A),"-")</f>
        <v>-</v>
      </c>
      <c r="P120" s="49" t="str">
        <f>IFERROR(AVERAGEIFS('Ноябрь 2025'!$K:$K,'Ноябрь 2025'!$E:$E,$A:$A),"-")</f>
        <v>-</v>
      </c>
      <c r="Q120" s="49" t="str">
        <f>IFERROR(AVERAGEIFS('Декабрь 2025'!$K:$K,'Декабрь 2025'!$E:$E,$A:$A),"-")</f>
        <v>-</v>
      </c>
      <c r="R120" s="49" t="str">
        <f>IFERROR(AVERAGEIFS('Январь 2026'!$K:$K,'Январь 2026'!$E:$E,$A:$A),"-")</f>
        <v>-</v>
      </c>
      <c r="S120" s="49" t="str">
        <f>IFERROR(AVERAGEIFS('Февраль 2026'!$K:$K,'Февраль 2026'!$E:$E,$A:$A),"-")</f>
        <v>-</v>
      </c>
      <c r="T120" s="49" t="str">
        <f>IFERROR(AVERAGEIFS('Март 2026'!$K:$K,'Март 2026'!$E:$E,$A:$A),"-")</f>
        <v>-</v>
      </c>
      <c r="U120" s="49" t="str">
        <f>IFERROR(AVERAGEIFS('Апрель 2026'!$K:$K,'Апрель 2026'!$E:$E,$A:$A),"-")</f>
        <v>-</v>
      </c>
      <c r="V120" s="49" t="str">
        <f t="shared" si="3"/>
        <v>-</v>
      </c>
      <c r="W120" s="49" t="str">
        <f t="shared" ref="W120:X120" si="14">IFERROR(AVERAGEIFS('Май 2026'!$K:$K,'Май 2026'!$E:$E,$A:$A),"-")</f>
        <v>-</v>
      </c>
      <c r="X120" s="49" t="str">
        <f t="shared" si="14"/>
        <v>-</v>
      </c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</row>
    <row r="121">
      <c r="B121" s="49" t="str">
        <f>IFERROR(AVERAGEIFS('Сентябрь 2024'!$K:$K,'Сентябрь 2024'!$E:$E,$A:$A),"-")</f>
        <v>-</v>
      </c>
      <c r="C121" s="49" t="str">
        <f>IFERROR(AVERAGEIFS('Октябрь 2024'!$K:$K,'Октябрь 2024'!$E:$E,$A:$A),"-")</f>
        <v>-</v>
      </c>
      <c r="D121" s="49" t="str">
        <f>IFERROR(AVERAGEIFS('Ноябрь 2024'!$K:$K,'Ноябрь 2024'!$E:$E,$A:$A),"-")</f>
        <v>-</v>
      </c>
      <c r="E121" s="49" t="str">
        <f>IFERROR(AVERAGEIFS('Декабрь 2024'!$K:$K,'Декабрь 2024'!$E:$E,$A:$A),"-")</f>
        <v>-</v>
      </c>
      <c r="F121" s="49" t="str">
        <f>IFERROR(AVERAGEIFS('Январь 2025'!$K:$K,'Январь 2025'!$E:$E,$A:$A),"-")</f>
        <v>-</v>
      </c>
      <c r="G121" s="49" t="str">
        <f>IFERROR(AVERAGEIFS('Февраль 2025 '!K:K,'Февраль 2025 '!E:E,A:A),"-")</f>
        <v>-</v>
      </c>
      <c r="H121" s="49" t="str">
        <f>IFERROR(AVERAGEIFS('Март 2025'!$K:$K,'Март 2025'!$E:$E,$A:$A),"-")</f>
        <v>-</v>
      </c>
      <c r="I121" s="49" t="str">
        <f>IFERROR(AVERAGEIFS('Апрель 2025'!$K:$K,'Апрель 2025'!$E:$E,$A:$A),"-")</f>
        <v>-</v>
      </c>
      <c r="J121" s="49" t="str">
        <f>IFERROR(AVERAGEIFS('Май 2025'!$K:$K,'Май 2025'!$E:$E,$A:$A),"-")</f>
        <v>-</v>
      </c>
      <c r="K121" s="49" t="str">
        <f>IFERROR(AVERAGEIFS('Июнь 2025'!$K:$K,'Июнь 2025'!$E:$E,$A:$A),"-")</f>
        <v>-</v>
      </c>
      <c r="L121" s="49" t="str">
        <f>IFERROR(AVERAGEIFS('Июль 2025'!$K:$K,'Июль 2025'!$E:$E,$A:$A),"-")</f>
        <v>-</v>
      </c>
      <c r="M121" s="49" t="str">
        <f>IFERROR(AVERAGEIFS('Август 2025'!$K:$K,'Август 2025'!$E:$E,$A:$A),"-")</f>
        <v>-</v>
      </c>
      <c r="N121" s="49" t="str">
        <f>IFERROR(AVERAGEIFS('Сентябрь 2025'!$K:$K,'Сентябрь 2025'!$E:$E,$A:$A),"-")</f>
        <v>-</v>
      </c>
      <c r="O121" s="49" t="str">
        <f>IFERROR(AVERAGEIFS('Октябрь 2025'!$K:$K,'Октябрь 2025'!$E:$E,$A:$A),"-")</f>
        <v>-</v>
      </c>
      <c r="P121" s="49" t="str">
        <f>IFERROR(AVERAGEIFS('Ноябрь 2025'!$K:$K,'Ноябрь 2025'!$E:$E,$A:$A),"-")</f>
        <v>-</v>
      </c>
      <c r="Q121" s="49" t="str">
        <f>IFERROR(AVERAGEIFS('Декабрь 2025'!$K:$K,'Декабрь 2025'!$E:$E,$A:$A),"-")</f>
        <v>-</v>
      </c>
      <c r="R121" s="49" t="str">
        <f>IFERROR(AVERAGEIFS('Январь 2026'!$K:$K,'Январь 2026'!$E:$E,$A:$A),"-")</f>
        <v>-</v>
      </c>
      <c r="S121" s="49" t="str">
        <f>IFERROR(AVERAGEIFS('Февраль 2026'!$K:$K,'Февраль 2026'!$E:$E,$A:$A),"-")</f>
        <v>-</v>
      </c>
      <c r="T121" s="49" t="str">
        <f>IFERROR(AVERAGEIFS('Март 2026'!$K:$K,'Март 2026'!$E:$E,$A:$A),"-")</f>
        <v>-</v>
      </c>
      <c r="U121" s="49" t="str">
        <f>IFERROR(AVERAGEIFS('Апрель 2026'!$K:$K,'Апрель 2026'!$E:$E,$A:$A),"-")</f>
        <v>-</v>
      </c>
      <c r="V121" s="49" t="str">
        <f t="shared" si="3"/>
        <v>-</v>
      </c>
      <c r="W121" s="49" t="str">
        <f t="shared" ref="W121:X121" si="15">IFERROR(AVERAGEIFS('Май 2026'!$K:$K,'Май 2026'!$E:$E,$A:$A),"-")</f>
        <v>-</v>
      </c>
      <c r="X121" s="49" t="str">
        <f t="shared" si="15"/>
        <v>-</v>
      </c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</row>
    <row r="122">
      <c r="B122" s="49" t="str">
        <f>IFERROR(AVERAGEIFS('Сентябрь 2024'!$K:$K,'Сентябрь 2024'!$E:$E,$A:$A),"-")</f>
        <v>-</v>
      </c>
      <c r="C122" s="49" t="str">
        <f>IFERROR(AVERAGEIFS('Октябрь 2024'!$K:$K,'Октябрь 2024'!$E:$E,$A:$A),"-")</f>
        <v>-</v>
      </c>
      <c r="D122" s="49" t="str">
        <f>IFERROR(AVERAGEIFS('Ноябрь 2024'!$K:$K,'Ноябрь 2024'!$E:$E,$A:$A),"-")</f>
        <v>-</v>
      </c>
      <c r="E122" s="49" t="str">
        <f>IFERROR(AVERAGEIFS('Декабрь 2024'!$K:$K,'Декабрь 2024'!$E:$E,$A:$A),"-")</f>
        <v>-</v>
      </c>
      <c r="F122" s="49" t="str">
        <f>IFERROR(AVERAGEIFS('Январь 2025'!$K:$K,'Январь 2025'!$E:$E,$A:$A),"-")</f>
        <v>-</v>
      </c>
      <c r="G122" s="49" t="str">
        <f>IFERROR(AVERAGEIFS('Февраль 2025 '!K:K,'Февраль 2025 '!E:E,A:A),"-")</f>
        <v>-</v>
      </c>
      <c r="H122" s="49" t="str">
        <f>IFERROR(AVERAGEIFS('Март 2025'!$K:$K,'Март 2025'!$E:$E,$A:$A),"-")</f>
        <v>-</v>
      </c>
      <c r="I122" s="49" t="str">
        <f>IFERROR(AVERAGEIFS('Апрель 2025'!$K:$K,'Апрель 2025'!$E:$E,$A:$A),"-")</f>
        <v>-</v>
      </c>
      <c r="J122" s="49" t="str">
        <f>IFERROR(AVERAGEIFS('Май 2025'!$K:$K,'Май 2025'!$E:$E,$A:$A),"-")</f>
        <v>-</v>
      </c>
      <c r="K122" s="49" t="str">
        <f>IFERROR(AVERAGEIFS('Июнь 2025'!$K:$K,'Июнь 2025'!$E:$E,$A:$A),"-")</f>
        <v>-</v>
      </c>
      <c r="L122" s="49" t="str">
        <f>IFERROR(AVERAGEIFS('Июль 2025'!$K:$K,'Июль 2025'!$E:$E,$A:$A),"-")</f>
        <v>-</v>
      </c>
      <c r="M122" s="49" t="str">
        <f>IFERROR(AVERAGEIFS('Август 2025'!$K:$K,'Август 2025'!$E:$E,$A:$A),"-")</f>
        <v>-</v>
      </c>
      <c r="N122" s="49" t="str">
        <f>IFERROR(AVERAGEIFS('Сентябрь 2025'!$K:$K,'Сентябрь 2025'!$E:$E,$A:$A),"-")</f>
        <v>-</v>
      </c>
      <c r="O122" s="49" t="str">
        <f>IFERROR(AVERAGEIFS('Октябрь 2025'!$K:$K,'Октябрь 2025'!$E:$E,$A:$A),"-")</f>
        <v>-</v>
      </c>
      <c r="P122" s="49" t="str">
        <f>IFERROR(AVERAGEIFS('Ноябрь 2025'!$K:$K,'Ноябрь 2025'!$E:$E,$A:$A),"-")</f>
        <v>-</v>
      </c>
      <c r="Q122" s="49" t="str">
        <f>IFERROR(AVERAGEIFS('Декабрь 2025'!$K:$K,'Декабрь 2025'!$E:$E,$A:$A),"-")</f>
        <v>-</v>
      </c>
      <c r="R122" s="49" t="str">
        <f>IFERROR(AVERAGEIFS('Январь 2026'!$K:$K,'Январь 2026'!$E:$E,$A:$A),"-")</f>
        <v>-</v>
      </c>
      <c r="S122" s="49" t="str">
        <f>IFERROR(AVERAGEIFS('Февраль 2026'!$K:$K,'Февраль 2026'!$E:$E,$A:$A),"-")</f>
        <v>-</v>
      </c>
      <c r="T122" s="49" t="str">
        <f>IFERROR(AVERAGEIFS('Март 2026'!$K:$K,'Март 2026'!$E:$E,$A:$A),"-")</f>
        <v>-</v>
      </c>
      <c r="U122" s="49" t="str">
        <f>IFERROR(AVERAGEIFS('Апрель 2026'!$K:$K,'Апрель 2026'!$E:$E,$A:$A),"-")</f>
        <v>-</v>
      </c>
      <c r="V122" s="49" t="str">
        <f t="shared" si="3"/>
        <v>-</v>
      </c>
      <c r="W122" s="49" t="str">
        <f t="shared" ref="W122:X122" si="16">IFERROR(AVERAGEIFS('Май 2026'!$K:$K,'Май 2026'!$E:$E,$A:$A),"-")</f>
        <v>-</v>
      </c>
      <c r="X122" s="49" t="str">
        <f t="shared" si="16"/>
        <v>-</v>
      </c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</row>
    <row r="123">
      <c r="B123" s="49" t="str">
        <f>IFERROR(AVERAGEIFS('Сентябрь 2024'!$K:$K,'Сентябрь 2024'!$E:$E,$A:$A),"-")</f>
        <v>-</v>
      </c>
      <c r="C123" s="49" t="str">
        <f>IFERROR(AVERAGEIFS('Октябрь 2024'!$K:$K,'Октябрь 2024'!$E:$E,$A:$A),"-")</f>
        <v>-</v>
      </c>
      <c r="D123" s="49" t="str">
        <f>IFERROR(AVERAGEIFS('Ноябрь 2024'!$K:$K,'Ноябрь 2024'!$E:$E,$A:$A),"-")</f>
        <v>-</v>
      </c>
      <c r="E123" s="49" t="str">
        <f>IFERROR(AVERAGEIFS('Декабрь 2024'!$K:$K,'Декабрь 2024'!$E:$E,$A:$A),"-")</f>
        <v>-</v>
      </c>
      <c r="F123" s="49" t="str">
        <f>IFERROR(AVERAGEIFS('Январь 2025'!$K:$K,'Январь 2025'!$E:$E,$A:$A),"-")</f>
        <v>-</v>
      </c>
      <c r="G123" s="49" t="str">
        <f>IFERROR(AVERAGEIFS('Февраль 2025 '!K:K,'Февраль 2025 '!E:E,A:A),"-")</f>
        <v>-</v>
      </c>
      <c r="H123" s="49" t="str">
        <f>IFERROR(AVERAGEIFS('Март 2025'!$K:$K,'Март 2025'!$E:$E,$A:$A),"-")</f>
        <v>-</v>
      </c>
      <c r="I123" s="49" t="str">
        <f>IFERROR(AVERAGEIFS('Апрель 2025'!$K:$K,'Апрель 2025'!$E:$E,$A:$A),"-")</f>
        <v>-</v>
      </c>
      <c r="J123" s="49" t="str">
        <f>IFERROR(AVERAGEIFS('Май 2025'!$K:$K,'Май 2025'!$E:$E,$A:$A),"-")</f>
        <v>-</v>
      </c>
      <c r="K123" s="49" t="str">
        <f>IFERROR(AVERAGEIFS('Июнь 2025'!$K:$K,'Июнь 2025'!$E:$E,$A:$A),"-")</f>
        <v>-</v>
      </c>
      <c r="L123" s="49" t="str">
        <f>IFERROR(AVERAGEIFS('Июль 2025'!$K:$K,'Июль 2025'!$E:$E,$A:$A),"-")</f>
        <v>-</v>
      </c>
      <c r="M123" s="49" t="str">
        <f>IFERROR(AVERAGEIFS('Август 2025'!$K:$K,'Август 2025'!$E:$E,$A:$A),"-")</f>
        <v>-</v>
      </c>
      <c r="N123" s="49" t="str">
        <f>IFERROR(AVERAGEIFS('Сентябрь 2025'!$K:$K,'Сентябрь 2025'!$E:$E,$A:$A),"-")</f>
        <v>-</v>
      </c>
      <c r="O123" s="49" t="str">
        <f>IFERROR(AVERAGEIFS('Октябрь 2025'!$K:$K,'Октябрь 2025'!$E:$E,$A:$A),"-")</f>
        <v>-</v>
      </c>
      <c r="P123" s="49" t="str">
        <f>IFERROR(AVERAGEIFS('Ноябрь 2025'!$K:$K,'Ноябрь 2025'!$E:$E,$A:$A),"-")</f>
        <v>-</v>
      </c>
      <c r="Q123" s="49" t="str">
        <f>IFERROR(AVERAGEIFS('Декабрь 2025'!$K:$K,'Декабрь 2025'!$E:$E,$A:$A),"-")</f>
        <v>-</v>
      </c>
      <c r="R123" s="49" t="str">
        <f>IFERROR(AVERAGEIFS('Январь 2026'!$K:$K,'Январь 2026'!$E:$E,$A:$A),"-")</f>
        <v>-</v>
      </c>
      <c r="S123" s="49" t="str">
        <f>IFERROR(AVERAGEIFS('Февраль 2026'!$K:$K,'Февраль 2026'!$E:$E,$A:$A),"-")</f>
        <v>-</v>
      </c>
      <c r="T123" s="49" t="str">
        <f>IFERROR(AVERAGEIFS('Март 2026'!$K:$K,'Март 2026'!$E:$E,$A:$A),"-")</f>
        <v>-</v>
      </c>
      <c r="U123" s="49" t="str">
        <f>IFERROR(AVERAGEIFS('Апрель 2026'!$K:$K,'Апрель 2026'!$E:$E,$A:$A),"-")</f>
        <v>-</v>
      </c>
      <c r="V123" s="49" t="str">
        <f t="shared" si="3"/>
        <v>-</v>
      </c>
      <c r="W123" s="49" t="str">
        <f t="shared" ref="W123:X123" si="17">IFERROR(AVERAGEIFS('Май 2026'!$K:$K,'Май 2026'!$E:$E,$A:$A),"-")</f>
        <v>-</v>
      </c>
      <c r="X123" s="49" t="str">
        <f t="shared" si="17"/>
        <v>-</v>
      </c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</row>
    <row r="124">
      <c r="B124" s="49" t="str">
        <f>IFERROR(AVERAGEIFS('Сентябрь 2024'!$K:$K,'Сентябрь 2024'!$E:$E,$A:$A),"-")</f>
        <v>-</v>
      </c>
      <c r="C124" s="49" t="str">
        <f>IFERROR(AVERAGEIFS('Октябрь 2024'!$K:$K,'Октябрь 2024'!$E:$E,$A:$A),"-")</f>
        <v>-</v>
      </c>
      <c r="D124" s="49" t="str">
        <f>IFERROR(AVERAGEIFS('Ноябрь 2024'!$K:$K,'Ноябрь 2024'!$E:$E,$A:$A),"-")</f>
        <v>-</v>
      </c>
      <c r="E124" s="49" t="str">
        <f>IFERROR(AVERAGEIFS('Декабрь 2024'!$K:$K,'Декабрь 2024'!$E:$E,$A:$A),"-")</f>
        <v>-</v>
      </c>
      <c r="F124" s="49" t="str">
        <f>IFERROR(AVERAGEIFS('Январь 2025'!$K:$K,'Январь 2025'!$E:$E,$A:$A),"-")</f>
        <v>-</v>
      </c>
      <c r="G124" s="49" t="str">
        <f>IFERROR(AVERAGEIFS('Февраль 2025 '!K:K,'Февраль 2025 '!E:E,A:A),"-")</f>
        <v>-</v>
      </c>
      <c r="H124" s="49" t="str">
        <f>IFERROR(AVERAGEIFS('Март 2025'!$K:$K,'Март 2025'!$E:$E,$A:$A),"-")</f>
        <v>-</v>
      </c>
      <c r="I124" s="49" t="str">
        <f>IFERROR(AVERAGEIFS('Апрель 2025'!$K:$K,'Апрель 2025'!$E:$E,$A:$A),"-")</f>
        <v>-</v>
      </c>
      <c r="J124" s="49" t="str">
        <f>IFERROR(AVERAGEIFS('Май 2025'!$K:$K,'Май 2025'!$E:$E,$A:$A),"-")</f>
        <v>-</v>
      </c>
      <c r="K124" s="49" t="str">
        <f>IFERROR(AVERAGEIFS('Июнь 2025'!$K:$K,'Июнь 2025'!$E:$E,$A:$A),"-")</f>
        <v>-</v>
      </c>
      <c r="L124" s="49" t="str">
        <f>IFERROR(AVERAGEIFS('Июль 2025'!$K:$K,'Июль 2025'!$E:$E,$A:$A),"-")</f>
        <v>-</v>
      </c>
      <c r="M124" s="49" t="str">
        <f>IFERROR(AVERAGEIFS('Август 2025'!$K:$K,'Август 2025'!$E:$E,$A:$A),"-")</f>
        <v>-</v>
      </c>
      <c r="N124" s="49" t="str">
        <f>IFERROR(AVERAGEIFS('Сентябрь 2025'!$K:$K,'Сентябрь 2025'!$E:$E,$A:$A),"-")</f>
        <v>-</v>
      </c>
      <c r="O124" s="49" t="str">
        <f>IFERROR(AVERAGEIFS('Октябрь 2025'!$K:$K,'Октябрь 2025'!$E:$E,$A:$A),"-")</f>
        <v>-</v>
      </c>
      <c r="P124" s="49" t="str">
        <f>IFERROR(AVERAGEIFS('Ноябрь 2025'!$K:$K,'Ноябрь 2025'!$E:$E,$A:$A),"-")</f>
        <v>-</v>
      </c>
      <c r="Q124" s="49" t="str">
        <f>IFERROR(AVERAGEIFS('Декабрь 2025'!$K:$K,'Декабрь 2025'!$E:$E,$A:$A),"-")</f>
        <v>-</v>
      </c>
      <c r="R124" s="49" t="str">
        <f>IFERROR(AVERAGEIFS('Январь 2026'!$K:$K,'Январь 2026'!$E:$E,$A:$A),"-")</f>
        <v>-</v>
      </c>
      <c r="S124" s="49" t="str">
        <f>IFERROR(AVERAGEIFS('Февраль 2026'!$K:$K,'Февраль 2026'!$E:$E,$A:$A),"-")</f>
        <v>-</v>
      </c>
      <c r="T124" s="49" t="str">
        <f>IFERROR(AVERAGEIFS('Март 2026'!$K:$K,'Март 2026'!$E:$E,$A:$A),"-")</f>
        <v>-</v>
      </c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</row>
    <row r="125">
      <c r="B125" s="49" t="str">
        <f>IFERROR(AVERAGEIFS('Сентябрь 2024'!$K:$K,'Сентябрь 2024'!$E:$E,$A:$A),"-")</f>
        <v>-</v>
      </c>
      <c r="C125" s="49" t="str">
        <f>IFERROR(AVERAGEIFS('Октябрь 2024'!$K:$K,'Октябрь 2024'!$E:$E,$A:$A),"-")</f>
        <v>-</v>
      </c>
      <c r="D125" s="49" t="str">
        <f>IFERROR(AVERAGEIFS('Ноябрь 2024'!$K:$K,'Ноябрь 2024'!$E:$E,$A:$A),"-")</f>
        <v>-</v>
      </c>
      <c r="E125" s="49" t="str">
        <f>IFERROR(AVERAGEIFS('Декабрь 2024'!$K:$K,'Декабрь 2024'!$E:$E,$A:$A),"-")</f>
        <v>-</v>
      </c>
      <c r="F125" s="49" t="str">
        <f>IFERROR(AVERAGEIFS('Январь 2025'!$K:$K,'Январь 2025'!$E:$E,$A:$A),"-")</f>
        <v>-</v>
      </c>
      <c r="G125" s="49" t="str">
        <f>IFERROR(AVERAGEIFS('Февраль 2025 '!K:K,'Февраль 2025 '!E:E,A:A),"-")</f>
        <v>-</v>
      </c>
      <c r="H125" s="49" t="str">
        <f>IFERROR(AVERAGEIFS('Март 2025'!$K:$K,'Март 2025'!$E:$E,$A:$A),"-")</f>
        <v>-</v>
      </c>
      <c r="I125" s="49" t="str">
        <f>IFERROR(AVERAGEIFS('Апрель 2025'!$K:$K,'Апрель 2025'!$E:$E,$A:$A),"-")</f>
        <v>-</v>
      </c>
      <c r="J125" s="49" t="str">
        <f>IFERROR(AVERAGEIFS('Май 2025'!$K:$K,'Май 2025'!$E:$E,$A:$A),"-")</f>
        <v>-</v>
      </c>
      <c r="K125" s="49" t="str">
        <f>IFERROR(AVERAGEIFS('Июнь 2025'!$K:$K,'Июнь 2025'!$E:$E,$A:$A),"-")</f>
        <v>-</v>
      </c>
      <c r="L125" s="49" t="str">
        <f>IFERROR(AVERAGEIFS('Июль 2025'!$K:$K,'Июль 2025'!$E:$E,$A:$A),"-")</f>
        <v>-</v>
      </c>
      <c r="M125" s="49" t="str">
        <f>IFERROR(AVERAGEIFS('Август 2025'!$K:$K,'Август 2025'!$E:$E,$A:$A),"-")</f>
        <v>-</v>
      </c>
      <c r="N125" s="49" t="str">
        <f>IFERROR(AVERAGEIFS('Сентябрь 2025'!$K:$K,'Сентябрь 2025'!$E:$E,$A:$A),"-")</f>
        <v>-</v>
      </c>
      <c r="O125" s="49" t="str">
        <f>IFERROR(AVERAGEIFS('Октябрь 2025'!$K:$K,'Октябрь 2025'!$E:$E,$A:$A),"-")</f>
        <v>-</v>
      </c>
      <c r="P125" s="49" t="str">
        <f>IFERROR(AVERAGEIFS('Ноябрь 2025'!$K:$K,'Ноябрь 2025'!$E:$E,$A:$A),"-")</f>
        <v>-</v>
      </c>
      <c r="Q125" s="49" t="str">
        <f>IFERROR(AVERAGEIFS('Декабрь 2025'!$K:$K,'Декабрь 2025'!$E:$E,$A:$A),"-")</f>
        <v>-</v>
      </c>
      <c r="R125" s="49" t="str">
        <f>IFERROR(AVERAGEIFS('Январь 2026'!$K:$K,'Январь 2026'!$E:$E,$A:$A),"-")</f>
        <v>-</v>
      </c>
      <c r="S125" s="49" t="str">
        <f>IFERROR(AVERAGEIFS('Февраль 2026'!$K:$K,'Февраль 2026'!$E:$E,$A:$A),"-")</f>
        <v>-</v>
      </c>
      <c r="T125" s="49" t="str">
        <f>IFERROR(AVERAGEIFS('Март 2026'!$K:$K,'Март 2026'!$E:$E,$A:$A),"-")</f>
        <v>-</v>
      </c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</row>
    <row r="126">
      <c r="B126" s="49" t="str">
        <f>IFERROR(AVERAGEIFS('Сентябрь 2024'!$K:$K,'Сентябрь 2024'!$E:$E,$A:$A),"-")</f>
        <v>-</v>
      </c>
      <c r="C126" s="49" t="str">
        <f>IFERROR(AVERAGEIFS('Октябрь 2024'!$K:$K,'Октябрь 2024'!$E:$E,$A:$A),"-")</f>
        <v>-</v>
      </c>
      <c r="D126" s="49" t="str">
        <f>IFERROR(AVERAGEIFS('Ноябрь 2024'!$K:$K,'Ноябрь 2024'!$E:$E,$A:$A),"-")</f>
        <v>-</v>
      </c>
      <c r="E126" s="49" t="str">
        <f>IFERROR(AVERAGEIFS('Декабрь 2024'!$K:$K,'Декабрь 2024'!$E:$E,$A:$A),"-")</f>
        <v>-</v>
      </c>
      <c r="F126" s="49" t="str">
        <f>IFERROR(AVERAGEIFS('Январь 2025'!$K:$K,'Январь 2025'!$E:$E,$A:$A),"-")</f>
        <v>-</v>
      </c>
      <c r="G126" s="49" t="str">
        <f>IFERROR(AVERAGEIFS('Февраль 2025 '!K:K,'Февраль 2025 '!E:E,A:A),"-")</f>
        <v>-</v>
      </c>
      <c r="H126" s="49" t="str">
        <f>IFERROR(AVERAGEIFS('Март 2025'!$K:$K,'Март 2025'!$E:$E,$A:$A),"-")</f>
        <v>-</v>
      </c>
      <c r="I126" s="49" t="str">
        <f>IFERROR(AVERAGEIFS('Апрель 2025'!$K:$K,'Апрель 2025'!$E:$E,$A:$A),"-")</f>
        <v>-</v>
      </c>
      <c r="J126" s="49" t="str">
        <f>IFERROR(AVERAGEIFS('Май 2025'!$K:$K,'Май 2025'!$E:$E,$A:$A),"-")</f>
        <v>-</v>
      </c>
      <c r="K126" s="49" t="str">
        <f>IFERROR(AVERAGEIFS('Июнь 2025'!$K:$K,'Июнь 2025'!$E:$E,$A:$A),"-")</f>
        <v>-</v>
      </c>
      <c r="L126" s="49" t="str">
        <f>IFERROR(AVERAGEIFS('Июль 2025'!$K:$K,'Июль 2025'!$E:$E,$A:$A),"-")</f>
        <v>-</v>
      </c>
      <c r="M126" s="49" t="str">
        <f>IFERROR(AVERAGEIFS('Август 2025'!$K:$K,'Август 2025'!$E:$E,$A:$A),"-")</f>
        <v>-</v>
      </c>
      <c r="N126" s="49" t="str">
        <f>IFERROR(AVERAGEIFS('Сентябрь 2025'!$K:$K,'Сентябрь 2025'!$E:$E,$A:$A),"-")</f>
        <v>-</v>
      </c>
      <c r="O126" s="49" t="str">
        <f>IFERROR(AVERAGEIFS('Октябрь 2025'!$K:$K,'Октябрь 2025'!$E:$E,$A:$A),"-")</f>
        <v>-</v>
      </c>
      <c r="P126" s="49" t="str">
        <f>IFERROR(AVERAGEIFS('Ноябрь 2025'!$K:$K,'Ноябрь 2025'!$E:$E,$A:$A),"-")</f>
        <v>-</v>
      </c>
      <c r="Q126" s="49" t="str">
        <f>IFERROR(AVERAGEIFS('Декабрь 2025'!$K:$K,'Декабрь 2025'!$E:$E,$A:$A),"-")</f>
        <v>-</v>
      </c>
      <c r="R126" s="49" t="str">
        <f>IFERROR(AVERAGEIFS('Январь 2026'!$K:$K,'Январь 2026'!$E:$E,$A:$A),"-")</f>
        <v>-</v>
      </c>
      <c r="S126" s="49" t="str">
        <f>IFERROR(AVERAGEIFS('Февраль 2026'!$K:$K,'Февраль 2026'!$E:$E,$A:$A),"-")</f>
        <v>-</v>
      </c>
      <c r="T126" s="49" t="str">
        <f>IFERROR(AVERAGEIFS('Март 2026'!$K:$K,'Март 2026'!$E:$E,$A:$A),"-")</f>
        <v>-</v>
      </c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</row>
    <row r="127">
      <c r="B127" s="49" t="str">
        <f>IFERROR(AVERAGEIFS('Сентябрь 2024'!$K:$K,'Сентябрь 2024'!$E:$E,$A:$A),"-")</f>
        <v>-</v>
      </c>
      <c r="C127" s="49" t="str">
        <f>IFERROR(AVERAGEIFS('Октябрь 2024'!$K:$K,'Октябрь 2024'!$E:$E,$A:$A),"-")</f>
        <v>-</v>
      </c>
      <c r="D127" s="49" t="str">
        <f>IFERROR(AVERAGEIFS('Ноябрь 2024'!$K:$K,'Ноябрь 2024'!$E:$E,$A:$A),"-")</f>
        <v>-</v>
      </c>
      <c r="E127" s="49" t="str">
        <f>IFERROR(AVERAGEIFS('Декабрь 2024'!$K:$K,'Декабрь 2024'!$E:$E,$A:$A),"-")</f>
        <v>-</v>
      </c>
      <c r="F127" s="49" t="str">
        <f>IFERROR(AVERAGEIFS('Январь 2025'!$K:$K,'Январь 2025'!$E:$E,$A:$A),"-")</f>
        <v>-</v>
      </c>
      <c r="G127" s="49" t="str">
        <f>IFERROR(AVERAGEIFS('Февраль 2025 '!K:K,'Февраль 2025 '!E:E,A:A),"-")</f>
        <v>-</v>
      </c>
      <c r="H127" s="49" t="str">
        <f>IFERROR(AVERAGEIFS('Март 2025'!$K:$K,'Март 2025'!$E:$E,$A:$A),"-")</f>
        <v>-</v>
      </c>
      <c r="I127" s="49" t="str">
        <f>IFERROR(AVERAGEIFS('Апрель 2025'!$K:$K,'Апрель 2025'!$E:$E,$A:$A),"-")</f>
        <v>-</v>
      </c>
      <c r="J127" s="49" t="str">
        <f>IFERROR(AVERAGEIFS('Май 2025'!$K:$K,'Май 2025'!$E:$E,$A:$A),"-")</f>
        <v>-</v>
      </c>
      <c r="K127" s="49" t="str">
        <f>IFERROR(AVERAGEIFS('Июнь 2025'!$K:$K,'Июнь 2025'!$E:$E,$A:$A),"-")</f>
        <v>-</v>
      </c>
      <c r="L127" s="49" t="str">
        <f>IFERROR(AVERAGEIFS('Июль 2025'!$K:$K,'Июль 2025'!$E:$E,$A:$A),"-")</f>
        <v>-</v>
      </c>
      <c r="M127" s="49" t="str">
        <f>IFERROR(AVERAGEIFS('Август 2025'!$K:$K,'Август 2025'!$E:$E,$A:$A),"-")</f>
        <v>-</v>
      </c>
      <c r="N127" s="49" t="str">
        <f>IFERROR(AVERAGEIFS('Сентябрь 2025'!$K:$K,'Сентябрь 2025'!$E:$E,$A:$A),"-")</f>
        <v>-</v>
      </c>
      <c r="O127" s="49" t="str">
        <f>IFERROR(AVERAGEIFS('Октябрь 2025'!$K:$K,'Октябрь 2025'!$E:$E,$A:$A),"-")</f>
        <v>-</v>
      </c>
      <c r="P127" s="49" t="str">
        <f>IFERROR(AVERAGEIFS('Ноябрь 2025'!$K:$K,'Ноябрь 2025'!$E:$E,$A:$A),"-")</f>
        <v>-</v>
      </c>
      <c r="Q127" s="49" t="str">
        <f>IFERROR(AVERAGEIFS('Декабрь 2025'!$K:$K,'Декабрь 2025'!$E:$E,$A:$A),"-")</f>
        <v>-</v>
      </c>
      <c r="R127" s="49" t="str">
        <f>IFERROR(AVERAGEIFS('Январь 2026'!$K:$K,'Январь 2026'!$E:$E,$A:$A),"-")</f>
        <v>-</v>
      </c>
      <c r="S127" s="49" t="str">
        <f>IFERROR(AVERAGEIFS('Февраль 2026'!$K:$K,'Февраль 2026'!$E:$E,$A:$A),"-")</f>
        <v>-</v>
      </c>
      <c r="T127" s="49" t="str">
        <f>IFERROR(AVERAGEIFS('Март 2026'!$K:$K,'Март 2026'!$E:$E,$A:$A),"-")</f>
        <v>-</v>
      </c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</row>
    <row r="128">
      <c r="B128" s="49" t="str">
        <f>IFERROR(AVERAGEIFS('Сентябрь 2024'!$K:$K,'Сентябрь 2024'!$E:$E,$A:$A),"-")</f>
        <v>-</v>
      </c>
      <c r="C128" s="49" t="str">
        <f>IFERROR(AVERAGEIFS('Октябрь 2024'!$K:$K,'Октябрь 2024'!$E:$E,$A:$A),"-")</f>
        <v>-</v>
      </c>
      <c r="D128" s="49" t="str">
        <f>IFERROR(AVERAGEIFS('Ноябрь 2024'!$K:$K,'Ноябрь 2024'!$E:$E,$A:$A),"-")</f>
        <v>-</v>
      </c>
      <c r="E128" s="49" t="str">
        <f>IFERROR(AVERAGEIFS('Декабрь 2024'!$K:$K,'Декабрь 2024'!$E:$E,$A:$A),"-")</f>
        <v>-</v>
      </c>
      <c r="F128" s="49" t="str">
        <f>IFERROR(AVERAGEIFS('Январь 2025'!$K:$K,'Январь 2025'!$E:$E,$A:$A),"-")</f>
        <v>-</v>
      </c>
      <c r="G128" s="49" t="str">
        <f>IFERROR(AVERAGEIFS('Февраль 2025 '!K:K,'Февраль 2025 '!E:E,A:A),"-")</f>
        <v>-</v>
      </c>
      <c r="H128" s="49" t="str">
        <f>IFERROR(AVERAGEIFS('Март 2025'!$K:$K,'Март 2025'!$E:$E,$A:$A),"-")</f>
        <v>-</v>
      </c>
      <c r="I128" s="49" t="str">
        <f>IFERROR(AVERAGEIFS('Апрель 2025'!$K:$K,'Апрель 2025'!$E:$E,$A:$A),"-")</f>
        <v>-</v>
      </c>
      <c r="J128" s="49" t="str">
        <f>IFERROR(AVERAGEIFS('Май 2025'!$K:$K,'Май 2025'!$E:$E,$A:$A),"-")</f>
        <v>-</v>
      </c>
      <c r="K128" s="49" t="str">
        <f>IFERROR(AVERAGEIFS('Июнь 2025'!$K:$K,'Июнь 2025'!$E:$E,$A:$A),"-")</f>
        <v>-</v>
      </c>
      <c r="L128" s="49" t="str">
        <f>IFERROR(AVERAGEIFS('Июль 2025'!$K:$K,'Июль 2025'!$E:$E,$A:$A),"-")</f>
        <v>-</v>
      </c>
      <c r="M128" s="49" t="str">
        <f>IFERROR(AVERAGEIFS('Август 2025'!$K:$K,'Август 2025'!$E:$E,$A:$A),"-")</f>
        <v>-</v>
      </c>
      <c r="N128" s="49" t="str">
        <f>IFERROR(AVERAGEIFS('Сентябрь 2025'!$K:$K,'Сентябрь 2025'!$E:$E,$A:$A),"-")</f>
        <v>-</v>
      </c>
      <c r="O128" s="49" t="str">
        <f>IFERROR(AVERAGEIFS('Октябрь 2025'!$K:$K,'Октябрь 2025'!$E:$E,$A:$A),"-")</f>
        <v>-</v>
      </c>
      <c r="P128" s="49" t="str">
        <f>IFERROR(AVERAGEIFS('Ноябрь 2025'!$K:$K,'Ноябрь 2025'!$E:$E,$A:$A),"-")</f>
        <v>-</v>
      </c>
      <c r="Q128" s="49" t="str">
        <f>IFERROR(AVERAGEIFS('Декабрь 2025'!$K:$K,'Декабрь 2025'!$E:$E,$A:$A),"-")</f>
        <v>-</v>
      </c>
      <c r="R128" s="49" t="str">
        <f>IFERROR(AVERAGEIFS('Январь 2026'!$K:$K,'Январь 2026'!$E:$E,$A:$A),"-")</f>
        <v>-</v>
      </c>
      <c r="S128" s="49" t="str">
        <f>IFERROR(AVERAGEIFS('Февраль 2026'!$K:$K,'Февраль 2026'!$E:$E,$A:$A),"-")</f>
        <v>-</v>
      </c>
      <c r="T128" s="49" t="str">
        <f>IFERROR(AVERAGEIFS('Март 2026'!$K:$K,'Март 2026'!$E:$E,$A:$A),"-")</f>
        <v>-</v>
      </c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</row>
    <row r="129">
      <c r="B129" s="49" t="str">
        <f>IFERROR(AVERAGEIFS('Сентябрь 2024'!$K:$K,'Сентябрь 2024'!$E:$E,$A:$A),"-")</f>
        <v>-</v>
      </c>
      <c r="C129" s="49" t="str">
        <f>IFERROR(AVERAGEIFS('Октябрь 2024'!$K:$K,'Октябрь 2024'!$E:$E,$A:$A),"-")</f>
        <v>-</v>
      </c>
      <c r="D129" s="49" t="str">
        <f>IFERROR(AVERAGEIFS('Ноябрь 2024'!$K:$K,'Ноябрь 2024'!$E:$E,$A:$A),"-")</f>
        <v>-</v>
      </c>
      <c r="E129" s="49" t="str">
        <f>IFERROR(AVERAGEIFS('Декабрь 2024'!$K:$K,'Декабрь 2024'!$E:$E,$A:$A),"-")</f>
        <v>-</v>
      </c>
      <c r="F129" s="49" t="str">
        <f>IFERROR(AVERAGEIFS('Январь 2025'!$K:$K,'Январь 2025'!$E:$E,$A:$A),"-")</f>
        <v>-</v>
      </c>
      <c r="G129" s="49" t="str">
        <f>IFERROR(AVERAGEIFS('Февраль 2025 '!K:K,'Февраль 2025 '!E:E,A:A),"-")</f>
        <v>-</v>
      </c>
      <c r="H129" s="49" t="str">
        <f>IFERROR(AVERAGEIFS('Март 2025'!$K:$K,'Март 2025'!$E:$E,$A:$A),"-")</f>
        <v>-</v>
      </c>
      <c r="I129" s="49" t="str">
        <f>IFERROR(AVERAGEIFS('Апрель 2025'!$K:$K,'Апрель 2025'!$E:$E,$A:$A),"-")</f>
        <v>-</v>
      </c>
      <c r="J129" s="49" t="str">
        <f>IFERROR(AVERAGEIFS('Май 2025'!$K:$K,'Май 2025'!$E:$E,$A:$A),"-")</f>
        <v>-</v>
      </c>
      <c r="K129" s="49" t="str">
        <f>IFERROR(AVERAGEIFS('Июнь 2025'!$K:$K,'Июнь 2025'!$E:$E,$A:$A),"-")</f>
        <v>-</v>
      </c>
      <c r="L129" s="49" t="str">
        <f>IFERROR(AVERAGEIFS('Июль 2025'!$K:$K,'Июль 2025'!$E:$E,$A:$A),"-")</f>
        <v>-</v>
      </c>
      <c r="M129" s="49" t="str">
        <f>IFERROR(AVERAGEIFS('Август 2025'!$K:$K,'Август 2025'!$E:$E,$A:$A),"-")</f>
        <v>-</v>
      </c>
      <c r="N129" s="49" t="str">
        <f>IFERROR(AVERAGEIFS('Сентябрь 2025'!$K:$K,'Сентябрь 2025'!$E:$E,$A:$A),"-")</f>
        <v>-</v>
      </c>
      <c r="O129" s="49" t="str">
        <f>IFERROR(AVERAGEIFS('Октябрь 2025'!$K:$K,'Октябрь 2025'!$E:$E,$A:$A),"-")</f>
        <v>-</v>
      </c>
      <c r="P129" s="49" t="str">
        <f>IFERROR(AVERAGEIFS('Ноябрь 2025'!$K:$K,'Ноябрь 2025'!$E:$E,$A:$A),"-")</f>
        <v>-</v>
      </c>
      <c r="Q129" s="49" t="str">
        <f>IFERROR(AVERAGEIFS('Декабрь 2025'!$K:$K,'Декабрь 2025'!$E:$E,$A:$A),"-")</f>
        <v>-</v>
      </c>
      <c r="R129" s="49" t="str">
        <f>IFERROR(AVERAGEIFS('Январь 2026'!$K:$K,'Январь 2026'!$E:$E,$A:$A),"-")</f>
        <v>-</v>
      </c>
      <c r="S129" s="49" t="str">
        <f>IFERROR(AVERAGEIFS('Февраль 2026'!$K:$K,'Февраль 2026'!$E:$E,$A:$A),"-")</f>
        <v>-</v>
      </c>
      <c r="T129" s="49" t="str">
        <f>IFERROR(AVERAGEIFS('Март 2026'!$K:$K,'Март 2026'!$E:$E,$A:$A),"-")</f>
        <v>-</v>
      </c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</row>
    <row r="130">
      <c r="B130" s="49" t="str">
        <f>IFERROR(AVERAGEIFS('Сентябрь 2024'!$K:$K,'Сентябрь 2024'!$E:$E,$A:$A),"-")</f>
        <v>-</v>
      </c>
      <c r="C130" s="49" t="str">
        <f>IFERROR(AVERAGEIFS('Октябрь 2024'!$K:$K,'Октябрь 2024'!$E:$E,$A:$A),"-")</f>
        <v>-</v>
      </c>
      <c r="D130" s="49" t="str">
        <f>IFERROR(AVERAGEIFS('Ноябрь 2024'!$K:$K,'Ноябрь 2024'!$E:$E,$A:$A),"-")</f>
        <v>-</v>
      </c>
      <c r="E130" s="49" t="str">
        <f>IFERROR(AVERAGEIFS('Декабрь 2024'!$K:$K,'Декабрь 2024'!$E:$E,$A:$A),"-")</f>
        <v>-</v>
      </c>
      <c r="F130" s="49" t="str">
        <f>IFERROR(AVERAGEIFS('Январь 2025'!$K:$K,'Январь 2025'!$E:$E,$A:$A),"-")</f>
        <v>-</v>
      </c>
      <c r="G130" s="49" t="str">
        <f>IFERROR(AVERAGEIFS('Февраль 2025 '!K:K,'Февраль 2025 '!E:E,A:A),"-")</f>
        <v>-</v>
      </c>
      <c r="H130" s="49" t="str">
        <f>IFERROR(AVERAGEIFS('Март 2025'!$K:$K,'Март 2025'!$E:$E,$A:$A),"-")</f>
        <v>-</v>
      </c>
      <c r="I130" s="49" t="str">
        <f>IFERROR(AVERAGEIFS('Апрель 2025'!$K:$K,'Апрель 2025'!$E:$E,$A:$A),"-")</f>
        <v>-</v>
      </c>
      <c r="J130" s="49" t="str">
        <f>IFERROR(AVERAGEIFS('Май 2025'!$K:$K,'Май 2025'!$E:$E,$A:$A),"-")</f>
        <v>-</v>
      </c>
      <c r="K130" s="49" t="str">
        <f>IFERROR(AVERAGEIFS('Июнь 2025'!$K:$K,'Июнь 2025'!$E:$E,$A:$A),"-")</f>
        <v>-</v>
      </c>
      <c r="L130" s="49" t="str">
        <f>IFERROR(AVERAGEIFS('Июль 2025'!$K:$K,'Июль 2025'!$E:$E,$A:$A),"-")</f>
        <v>-</v>
      </c>
      <c r="M130" s="49" t="str">
        <f>IFERROR(AVERAGEIFS('Август 2025'!$K:$K,'Август 2025'!$E:$E,$A:$A),"-")</f>
        <v>-</v>
      </c>
      <c r="N130" s="49" t="str">
        <f>IFERROR(AVERAGEIFS('Сентябрь 2025'!$K:$K,'Сентябрь 2025'!$E:$E,$A:$A),"-")</f>
        <v>-</v>
      </c>
      <c r="O130" s="49" t="str">
        <f>IFERROR(AVERAGEIFS('Октябрь 2025'!$K:$K,'Октябрь 2025'!$E:$E,$A:$A),"-")</f>
        <v>-</v>
      </c>
      <c r="P130" s="49" t="str">
        <f>IFERROR(AVERAGEIFS('Ноябрь 2025'!$K:$K,'Ноябрь 2025'!$E:$E,$A:$A),"-")</f>
        <v>-</v>
      </c>
      <c r="Q130" s="49" t="str">
        <f>IFERROR(AVERAGEIFS('Декабрь 2025'!$K:$K,'Декабрь 2025'!$E:$E,$A:$A),"-")</f>
        <v>-</v>
      </c>
      <c r="R130" s="49" t="str">
        <f>IFERROR(AVERAGEIFS('Январь 2026'!$K:$K,'Январь 2026'!$E:$E,$A:$A),"-")</f>
        <v>-</v>
      </c>
      <c r="S130" s="49" t="str">
        <f>IFERROR(AVERAGEIFS('Февраль 2026'!$K:$K,'Февраль 2026'!$E:$E,$A:$A),"-")</f>
        <v>-</v>
      </c>
      <c r="T130" s="49" t="str">
        <f>IFERROR(AVERAGEIFS('Март 2026'!$K:$K,'Март 2026'!$E:$E,$A:$A),"-")</f>
        <v>-</v>
      </c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</row>
    <row r="131">
      <c r="B131" s="49" t="str">
        <f>IFERROR(AVERAGEIFS('Сентябрь 2024'!$K:$K,'Сентябрь 2024'!$E:$E,$A:$A),"-")</f>
        <v>-</v>
      </c>
      <c r="C131" s="49" t="str">
        <f>IFERROR(AVERAGEIFS('Октябрь 2024'!$K:$K,'Октябрь 2024'!$E:$E,$A:$A),"-")</f>
        <v>-</v>
      </c>
      <c r="D131" s="49" t="str">
        <f>IFERROR(AVERAGEIFS('Ноябрь 2024'!$K:$K,'Ноябрь 2024'!$E:$E,$A:$A),"-")</f>
        <v>-</v>
      </c>
      <c r="E131" s="49" t="str">
        <f>IFERROR(AVERAGEIFS('Декабрь 2024'!$K:$K,'Декабрь 2024'!$E:$E,$A:$A),"-")</f>
        <v>-</v>
      </c>
      <c r="F131" s="49" t="str">
        <f>IFERROR(AVERAGEIFS('Январь 2025'!$K:$K,'Январь 2025'!$E:$E,$A:$A),"-")</f>
        <v>-</v>
      </c>
      <c r="G131" s="49" t="str">
        <f>IFERROR(AVERAGEIFS('Февраль 2025 '!K:K,'Февраль 2025 '!E:E,A:A),"-")</f>
        <v>-</v>
      </c>
      <c r="H131" s="49" t="str">
        <f>IFERROR(AVERAGEIFS('Март 2025'!$K:$K,'Март 2025'!$E:$E,$A:$A),"-")</f>
        <v>-</v>
      </c>
      <c r="I131" s="49" t="str">
        <f>IFERROR(AVERAGEIFS('Апрель 2025'!$K:$K,'Апрель 2025'!$E:$E,$A:$A),"-")</f>
        <v>-</v>
      </c>
      <c r="J131" s="49" t="str">
        <f>IFERROR(AVERAGEIFS('Май 2025'!$K:$K,'Май 2025'!$E:$E,$A:$A),"-")</f>
        <v>-</v>
      </c>
      <c r="K131" s="49" t="str">
        <f>IFERROR(AVERAGEIFS('Июнь 2025'!$K:$K,'Июнь 2025'!$E:$E,$A:$A),"-")</f>
        <v>-</v>
      </c>
      <c r="L131" s="49" t="str">
        <f>IFERROR(AVERAGEIFS('Июль 2025'!$K:$K,'Июль 2025'!$E:$E,$A:$A),"-")</f>
        <v>-</v>
      </c>
      <c r="M131" s="49" t="str">
        <f>IFERROR(AVERAGEIFS('Август 2025'!$K:$K,'Август 2025'!$E:$E,$A:$A),"-")</f>
        <v>-</v>
      </c>
      <c r="N131" s="49" t="str">
        <f>IFERROR(AVERAGEIFS('Сентябрь 2025'!$K:$K,'Сентябрь 2025'!$E:$E,$A:$A),"-")</f>
        <v>-</v>
      </c>
      <c r="O131" s="49" t="str">
        <f>IFERROR(AVERAGEIFS('Октябрь 2025'!$K:$K,'Октябрь 2025'!$E:$E,$A:$A),"-")</f>
        <v>-</v>
      </c>
      <c r="P131" s="49" t="str">
        <f>IFERROR(AVERAGEIFS('Ноябрь 2025'!$K:$K,'Ноябрь 2025'!$E:$E,$A:$A),"-")</f>
        <v>-</v>
      </c>
      <c r="Q131" s="49" t="str">
        <f>IFERROR(AVERAGEIFS('Декабрь 2025'!$K:$K,'Декабрь 2025'!$E:$E,$A:$A),"-")</f>
        <v>-</v>
      </c>
      <c r="R131" s="49" t="str">
        <f>IFERROR(AVERAGEIFS('Январь 2026'!$K:$K,'Январь 2026'!$E:$E,$A:$A),"-")</f>
        <v>-</v>
      </c>
      <c r="S131" s="49" t="str">
        <f>IFERROR(AVERAGEIFS('Февраль 2026'!$K:$K,'Февраль 2026'!$E:$E,$A:$A),"-")</f>
        <v>-</v>
      </c>
      <c r="T131" s="49" t="str">
        <f>IFERROR(AVERAGEIFS('Март 2026'!$K:$K,'Март 2026'!$E:$E,$A:$A),"-")</f>
        <v>-</v>
      </c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</row>
    <row r="132"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</row>
    <row r="133"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</row>
    <row r="134"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</row>
    <row r="135"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</row>
    <row r="136"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</row>
    <row r="137"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</row>
    <row r="138"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</row>
    <row r="139"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</row>
    <row r="140"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</row>
    <row r="141"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</row>
    <row r="142"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</row>
    <row r="143"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</row>
    <row r="144"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</row>
    <row r="145"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</row>
    <row r="146"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</row>
    <row r="147"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</row>
    <row r="148"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</row>
    <row r="149"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</row>
    <row r="150"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</row>
    <row r="151"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</row>
    <row r="152"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</row>
    <row r="153"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</row>
    <row r="154"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</row>
    <row r="155"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</row>
    <row r="156"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</row>
    <row r="157"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</row>
    <row r="158"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</row>
    <row r="159"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</row>
    <row r="160"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</row>
    <row r="161"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</row>
    <row r="162"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</row>
    <row r="163"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</row>
    <row r="164"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</row>
    <row r="165"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</row>
    <row r="166"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</row>
    <row r="167"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</row>
    <row r="168"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</row>
    <row r="169"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</row>
    <row r="170"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</row>
    <row r="171"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</row>
    <row r="172"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</row>
    <row r="173"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</row>
    <row r="174"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</row>
    <row r="175"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</row>
    <row r="176"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</row>
    <row r="177"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</row>
    <row r="178"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</row>
    <row r="179"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</row>
    <row r="180"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</row>
    <row r="181"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</row>
    <row r="182"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</row>
    <row r="183"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</row>
    <row r="184"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</row>
    <row r="185"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</row>
    <row r="186"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</row>
    <row r="187"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</row>
    <row r="188"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</row>
    <row r="189"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</row>
    <row r="190"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</row>
    <row r="191"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</row>
    <row r="192"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</row>
    <row r="193"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</row>
    <row r="194"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</row>
    <row r="195"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</row>
    <row r="196"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</row>
    <row r="197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</row>
    <row r="198"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</row>
    <row r="199"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</row>
    <row r="200"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</row>
    <row r="201"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</row>
    <row r="202"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</row>
    <row r="203"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</row>
    <row r="204"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</row>
    <row r="205"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</row>
    <row r="206"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</row>
    <row r="207"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</row>
    <row r="208"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</row>
    <row r="209"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</row>
    <row r="210"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</row>
    <row r="211"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</row>
    <row r="212"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</row>
    <row r="213"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</row>
    <row r="214"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</row>
    <row r="215"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</row>
    <row r="216"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</row>
    <row r="217"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</row>
    <row r="218"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</row>
    <row r="219"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</row>
    <row r="220"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</row>
    <row r="221"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</row>
    <row r="222"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</row>
    <row r="223"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</row>
    <row r="224"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</row>
    <row r="225"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</row>
    <row r="226"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</row>
    <row r="227"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</row>
    <row r="228"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</row>
    <row r="229"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</row>
    <row r="230"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</row>
    <row r="231"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</row>
    <row r="232"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</row>
    <row r="233"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</row>
    <row r="234"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</row>
    <row r="235"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</row>
    <row r="236"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</row>
    <row r="237"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</row>
    <row r="238"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</row>
    <row r="239"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</row>
    <row r="240"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</row>
    <row r="241"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</row>
    <row r="242"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</row>
    <row r="243"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</row>
    <row r="244"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</row>
    <row r="245"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</row>
    <row r="246"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</row>
    <row r="247"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</row>
    <row r="248"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</row>
    <row r="249"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</row>
    <row r="250"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</row>
    <row r="251"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</row>
    <row r="252"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</row>
    <row r="253"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</row>
    <row r="254"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</row>
    <row r="255"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</row>
    <row r="256"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</row>
    <row r="257"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</row>
    <row r="258"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</row>
    <row r="259"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</row>
    <row r="260"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</row>
    <row r="261"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</row>
    <row r="262"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</row>
    <row r="263"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</row>
    <row r="264"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</row>
    <row r="265"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</row>
    <row r="266"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</row>
    <row r="267"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</row>
    <row r="268"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</row>
    <row r="269"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</row>
    <row r="270"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</row>
    <row r="271"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</row>
    <row r="272"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</row>
    <row r="273"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</row>
    <row r="274"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</row>
    <row r="275"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</row>
    <row r="276"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</row>
    <row r="277"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</row>
    <row r="278"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</row>
    <row r="279"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</row>
    <row r="280"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</row>
    <row r="281"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</row>
    <row r="282"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</row>
    <row r="283"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</row>
    <row r="284"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</row>
    <row r="285"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</row>
    <row r="286"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</row>
    <row r="287"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</row>
    <row r="288"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</row>
    <row r="289"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</row>
    <row r="290"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</row>
    <row r="291"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</row>
    <row r="292"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</row>
    <row r="293"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</row>
    <row r="294"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</row>
    <row r="295"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</row>
    <row r="296"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</row>
    <row r="297"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</row>
    <row r="298"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</row>
    <row r="299"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</row>
    <row r="300"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</row>
    <row r="301"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</row>
    <row r="302"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</row>
    <row r="303"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</row>
    <row r="304"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</row>
    <row r="305"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</row>
    <row r="306"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</row>
    <row r="307"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</row>
    <row r="308"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</row>
    <row r="309"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</row>
    <row r="310"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</row>
    <row r="311"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</row>
    <row r="312"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</row>
    <row r="313"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</row>
    <row r="314"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</row>
    <row r="315"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</row>
    <row r="316"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</row>
    <row r="317"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</row>
    <row r="318"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</row>
    <row r="319"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</row>
    <row r="320"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</row>
    <row r="321"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</row>
    <row r="322"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</row>
    <row r="323"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</row>
    <row r="324"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</row>
    <row r="325"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</row>
    <row r="326"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</row>
    <row r="327"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</row>
    <row r="328"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</row>
    <row r="329"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</row>
    <row r="330"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</row>
    <row r="331"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</row>
    <row r="332"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</row>
    <row r="333"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</row>
    <row r="334"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</row>
    <row r="335"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</row>
    <row r="336"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</row>
    <row r="337"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</row>
    <row r="338"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</row>
    <row r="339"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</row>
    <row r="340"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</row>
    <row r="341"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</row>
    <row r="342"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</row>
    <row r="343"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</row>
    <row r="344"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</row>
    <row r="345"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</row>
    <row r="346"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</row>
    <row r="347"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</row>
    <row r="348"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</row>
    <row r="349"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</row>
    <row r="350"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</row>
    <row r="351"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</row>
    <row r="352"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</row>
    <row r="353"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</row>
    <row r="354"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</row>
    <row r="355"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</row>
    <row r="356"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</row>
    <row r="357"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</row>
    <row r="358"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</row>
    <row r="359"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</row>
    <row r="360"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</row>
    <row r="361"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</row>
    <row r="362"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</row>
    <row r="363"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</row>
    <row r="364"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</row>
    <row r="365"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</row>
    <row r="366"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</row>
    <row r="367"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</row>
    <row r="368"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</row>
    <row r="369"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</row>
    <row r="370"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</row>
    <row r="371"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</row>
    <row r="372"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</row>
    <row r="373"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</row>
    <row r="374"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</row>
    <row r="375"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</row>
    <row r="376"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</row>
    <row r="377"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</row>
    <row r="378"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</row>
    <row r="379"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</row>
    <row r="380"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</row>
    <row r="381"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</row>
    <row r="382"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</row>
    <row r="383"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</row>
    <row r="384"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</row>
    <row r="385"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</row>
    <row r="386"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</row>
    <row r="387"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</row>
    <row r="388"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</row>
    <row r="389"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</row>
    <row r="390"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</row>
    <row r="391"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</row>
    <row r="392"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</row>
    <row r="393"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</row>
    <row r="394"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</row>
    <row r="395"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</row>
    <row r="396"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</row>
    <row r="397"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</row>
    <row r="398"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</row>
    <row r="399"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</row>
    <row r="400"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</row>
    <row r="401"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</row>
    <row r="402"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</row>
    <row r="403"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</row>
    <row r="404"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</row>
    <row r="405"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</row>
    <row r="406"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</row>
    <row r="407"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</row>
    <row r="408"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</row>
    <row r="409"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</row>
    <row r="410"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</row>
    <row r="411"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</row>
    <row r="412"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</row>
    <row r="413"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</row>
    <row r="414"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</row>
    <row r="415"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</row>
    <row r="416"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</row>
    <row r="417"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</row>
    <row r="418"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</row>
    <row r="419"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</row>
    <row r="420"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</row>
    <row r="421"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</row>
    <row r="422"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</row>
    <row r="423"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</row>
    <row r="424"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</row>
    <row r="425"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</row>
    <row r="426"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</row>
    <row r="427"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</row>
    <row r="428"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</row>
    <row r="429"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</row>
    <row r="430"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</row>
    <row r="431"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</row>
    <row r="432"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</row>
    <row r="433"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</row>
    <row r="434"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</row>
    <row r="435"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</row>
    <row r="436"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</row>
    <row r="437"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</row>
    <row r="438"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</row>
    <row r="439"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</row>
    <row r="440"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</row>
    <row r="441"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</row>
    <row r="442"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</row>
    <row r="443"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</row>
    <row r="444"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</row>
    <row r="445"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</row>
    <row r="446"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</row>
    <row r="447"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</row>
    <row r="448"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</row>
    <row r="449"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</row>
    <row r="450"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</row>
    <row r="451"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</row>
    <row r="452"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</row>
    <row r="453"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</row>
    <row r="454"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</row>
    <row r="455"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</row>
    <row r="456"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</row>
    <row r="457"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</row>
    <row r="458"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</row>
    <row r="459"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</row>
    <row r="460"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</row>
    <row r="461"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</row>
    <row r="462"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</row>
    <row r="463"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</row>
    <row r="464"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</row>
    <row r="465"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</row>
    <row r="466"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</row>
    <row r="467"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</row>
    <row r="468"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</row>
    <row r="469"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</row>
    <row r="470"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</row>
    <row r="471"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</row>
    <row r="472"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</row>
    <row r="473"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</row>
    <row r="474"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</row>
    <row r="475"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</row>
    <row r="476"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</row>
    <row r="477"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</row>
    <row r="478"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</row>
    <row r="479"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</row>
    <row r="480"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</row>
    <row r="481"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</row>
    <row r="482"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</row>
    <row r="483"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</row>
    <row r="484"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</row>
    <row r="485"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</row>
    <row r="486"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</row>
    <row r="487"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</row>
    <row r="488"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</row>
    <row r="489"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</row>
    <row r="490"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</row>
    <row r="491"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</row>
    <row r="492"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</row>
    <row r="493"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</row>
    <row r="494"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</row>
    <row r="495"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</row>
    <row r="496"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</row>
    <row r="497"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</row>
    <row r="498"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</row>
    <row r="499"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</row>
    <row r="500"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</row>
    <row r="501"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</row>
    <row r="502"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</row>
    <row r="503"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</row>
    <row r="504"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</row>
    <row r="505"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</row>
    <row r="506"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</row>
    <row r="507"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</row>
    <row r="508"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</row>
    <row r="509"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</row>
    <row r="510"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</row>
    <row r="511"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</row>
    <row r="512"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</row>
    <row r="513"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</row>
    <row r="514"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</row>
    <row r="515"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</row>
    <row r="516"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</row>
    <row r="517"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</row>
    <row r="518"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</row>
    <row r="519"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</row>
    <row r="520"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</row>
    <row r="521"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</row>
    <row r="522"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</row>
    <row r="523"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</row>
    <row r="524"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</row>
    <row r="525"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</row>
    <row r="526"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</row>
    <row r="527"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</row>
    <row r="528"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</row>
    <row r="529"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</row>
    <row r="530"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</row>
    <row r="531"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</row>
    <row r="532"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</row>
    <row r="533"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</row>
    <row r="534"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</row>
    <row r="535"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</row>
    <row r="536"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</row>
    <row r="537"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</row>
    <row r="538"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</row>
    <row r="539"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</row>
    <row r="540"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</row>
    <row r="541"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</row>
    <row r="542"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</row>
    <row r="543"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</row>
    <row r="544"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</row>
    <row r="545"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</row>
    <row r="546"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</row>
    <row r="547"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</row>
    <row r="548"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</row>
    <row r="549"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</row>
    <row r="550"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</row>
    <row r="551"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</row>
    <row r="552"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</row>
    <row r="553"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</row>
    <row r="554"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</row>
    <row r="555"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</row>
    <row r="556"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</row>
    <row r="557"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</row>
    <row r="558"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</row>
    <row r="559"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</row>
    <row r="560"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</row>
    <row r="561"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</row>
    <row r="562"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</row>
    <row r="563"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</row>
    <row r="564"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</row>
    <row r="565"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</row>
    <row r="566"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</row>
    <row r="567"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</row>
    <row r="568"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</row>
    <row r="569"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</row>
    <row r="570"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</row>
    <row r="571"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</row>
    <row r="572"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</row>
    <row r="573"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</row>
    <row r="574"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</row>
    <row r="575"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</row>
    <row r="576"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</row>
    <row r="577"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</row>
    <row r="578"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</row>
    <row r="579"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</row>
    <row r="580"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</row>
    <row r="581"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</row>
    <row r="582"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</row>
    <row r="583"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</row>
    <row r="584"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</row>
    <row r="585"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</row>
    <row r="586"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</row>
    <row r="587"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</row>
    <row r="588"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</row>
    <row r="589"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</row>
    <row r="590"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</row>
    <row r="591"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</row>
    <row r="592"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</row>
    <row r="593"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</row>
    <row r="594"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</row>
    <row r="595"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</row>
    <row r="596"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</row>
    <row r="597"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</row>
    <row r="598"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</row>
    <row r="599"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</row>
    <row r="600"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</row>
    <row r="601"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</row>
    <row r="602"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</row>
    <row r="603"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</row>
    <row r="604"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</row>
    <row r="605"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</row>
    <row r="606"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</row>
    <row r="607"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</row>
    <row r="608"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</row>
    <row r="609"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</row>
    <row r="610"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</row>
    <row r="611"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</row>
    <row r="612"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</row>
    <row r="613"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</row>
    <row r="614"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</row>
    <row r="615"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</row>
    <row r="616"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</row>
    <row r="617"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</row>
    <row r="618"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</row>
    <row r="619"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</row>
    <row r="620"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</row>
    <row r="621"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</row>
    <row r="622"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</row>
    <row r="623"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</row>
    <row r="624"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</row>
    <row r="625"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</row>
    <row r="626"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</row>
    <row r="627"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</row>
    <row r="628"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</row>
    <row r="629"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</row>
    <row r="630"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</row>
    <row r="631"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</row>
    <row r="632"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</row>
    <row r="633"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</row>
    <row r="634"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</row>
    <row r="635"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</row>
    <row r="636"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</row>
    <row r="637"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</row>
    <row r="638"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</row>
    <row r="639"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</row>
    <row r="640"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</row>
    <row r="641"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</row>
    <row r="642"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</row>
    <row r="643"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</row>
    <row r="644"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</row>
    <row r="645"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</row>
    <row r="646"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</row>
    <row r="647"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</row>
    <row r="648"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</row>
    <row r="649"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</row>
    <row r="650"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</row>
    <row r="651"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</row>
    <row r="652"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</row>
    <row r="653"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</row>
    <row r="654"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</row>
    <row r="655"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</row>
    <row r="656"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</row>
    <row r="657"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</row>
    <row r="658"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</row>
    <row r="659"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</row>
    <row r="660"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</row>
    <row r="661"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</row>
    <row r="662"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</row>
    <row r="663"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</row>
    <row r="664"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</row>
    <row r="665"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</row>
    <row r="666"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</row>
    <row r="667"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</row>
    <row r="668"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</row>
    <row r="669"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</row>
    <row r="670"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</row>
    <row r="671"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</row>
    <row r="672"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</row>
    <row r="673"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</row>
    <row r="674"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</row>
    <row r="675"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</row>
    <row r="676"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</row>
    <row r="677"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</row>
    <row r="678"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</row>
    <row r="679"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</row>
    <row r="680"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</row>
    <row r="681"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</row>
    <row r="682"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</row>
    <row r="683"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</row>
    <row r="684"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</row>
    <row r="685"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</row>
    <row r="686"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</row>
    <row r="687"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</row>
    <row r="688"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</row>
    <row r="689"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</row>
    <row r="690"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</row>
    <row r="691"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</row>
    <row r="692"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</row>
    <row r="693"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</row>
    <row r="694"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</row>
    <row r="695"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</row>
    <row r="696"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</row>
    <row r="697"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</row>
    <row r="698"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</row>
    <row r="699"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</row>
    <row r="700"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</row>
    <row r="701"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</row>
    <row r="702"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</row>
    <row r="703"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</row>
    <row r="704"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</row>
    <row r="705"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</row>
    <row r="706"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</row>
    <row r="707"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</row>
    <row r="708"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</row>
    <row r="709"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</row>
    <row r="710"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</row>
    <row r="711"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</row>
    <row r="712"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</row>
    <row r="713"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</row>
    <row r="714"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</row>
    <row r="715"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</row>
    <row r="716"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</row>
    <row r="717"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</row>
    <row r="718"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</row>
    <row r="719"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</row>
    <row r="720"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</row>
    <row r="721"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</row>
    <row r="722"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</row>
    <row r="723"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</row>
    <row r="724"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</row>
    <row r="725"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</row>
    <row r="726"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</row>
    <row r="727"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</row>
    <row r="728"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</row>
    <row r="729"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</row>
    <row r="730"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</row>
    <row r="731"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</row>
    <row r="732"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</row>
    <row r="733"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</row>
    <row r="734"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</row>
    <row r="735"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</row>
    <row r="736"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</row>
    <row r="737"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</row>
    <row r="738"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</row>
    <row r="739"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</row>
    <row r="740"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</row>
    <row r="741"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</row>
    <row r="742"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</row>
    <row r="743"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</row>
    <row r="744"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</row>
    <row r="745"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</row>
    <row r="746"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</row>
    <row r="747"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</row>
    <row r="748"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</row>
    <row r="749"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</row>
    <row r="750"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</row>
    <row r="751"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</row>
    <row r="752"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</row>
    <row r="753"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</row>
    <row r="754"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</row>
    <row r="755"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</row>
    <row r="756"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</row>
    <row r="757"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</row>
    <row r="758"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</row>
    <row r="759"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</row>
    <row r="760"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</row>
    <row r="761"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</row>
    <row r="762"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</row>
    <row r="763"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</row>
    <row r="764"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</row>
    <row r="765"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</row>
    <row r="766"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</row>
    <row r="767"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</row>
    <row r="768"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</row>
    <row r="769"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</row>
    <row r="770"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</row>
    <row r="771"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</row>
    <row r="772"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</row>
    <row r="773"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</row>
    <row r="774"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</row>
    <row r="775"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</row>
    <row r="776"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</row>
    <row r="777"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</row>
    <row r="778"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</row>
    <row r="779"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</row>
    <row r="780"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</row>
    <row r="781"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</row>
    <row r="782"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</row>
    <row r="783"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</row>
    <row r="784"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</row>
    <row r="785"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</row>
    <row r="786"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</row>
    <row r="787"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</row>
    <row r="788"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</row>
    <row r="789"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</row>
    <row r="790"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</row>
    <row r="791"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</row>
    <row r="792"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</row>
    <row r="793"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</row>
    <row r="794"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</row>
    <row r="795"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</row>
    <row r="796"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</row>
    <row r="797"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</row>
    <row r="798"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</row>
    <row r="799"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</row>
    <row r="800"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</row>
    <row r="801"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</row>
    <row r="802"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</row>
    <row r="803"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</row>
    <row r="804"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</row>
    <row r="805"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</row>
    <row r="806"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</row>
    <row r="807"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</row>
    <row r="808"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</row>
    <row r="809"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</row>
    <row r="810"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</row>
    <row r="811"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</row>
    <row r="812"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</row>
    <row r="813"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</row>
    <row r="814"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</row>
    <row r="815"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</row>
    <row r="816"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</row>
    <row r="817"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</row>
    <row r="818"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</row>
    <row r="819"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</row>
    <row r="820"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</row>
    <row r="821"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</row>
    <row r="822"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</row>
    <row r="823"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</row>
    <row r="824"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</row>
    <row r="825"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</row>
    <row r="826"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</row>
    <row r="827"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</row>
    <row r="828"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</row>
    <row r="829"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</row>
    <row r="830"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</row>
    <row r="831"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</row>
    <row r="832"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</row>
    <row r="833"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</row>
    <row r="834"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</row>
    <row r="835"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</row>
    <row r="836"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</row>
    <row r="837"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</row>
    <row r="838"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</row>
    <row r="839"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</row>
    <row r="840"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</row>
    <row r="841"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</row>
    <row r="842"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</row>
    <row r="843"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</row>
    <row r="844"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</row>
    <row r="845"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</row>
    <row r="846"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</row>
    <row r="847"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</row>
    <row r="848"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</row>
    <row r="849"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</row>
    <row r="850"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</row>
    <row r="851"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</row>
    <row r="852"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</row>
    <row r="853"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</row>
    <row r="854"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</row>
    <row r="855"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</row>
    <row r="856"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</row>
    <row r="857"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</row>
    <row r="858"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</row>
    <row r="859"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</row>
    <row r="860"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</row>
    <row r="861"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</row>
    <row r="862"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</row>
    <row r="863"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</row>
    <row r="864"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</row>
    <row r="865"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</row>
    <row r="866"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</row>
    <row r="867"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</row>
    <row r="868"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</row>
    <row r="869"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</row>
    <row r="870"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</row>
    <row r="871"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</row>
    <row r="872"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</row>
    <row r="873"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</row>
    <row r="874"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</row>
    <row r="875"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</row>
    <row r="876"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</row>
    <row r="877"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</row>
    <row r="878"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</row>
    <row r="879"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</row>
    <row r="880"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</row>
    <row r="881"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</row>
    <row r="882"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</row>
    <row r="883"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</row>
    <row r="884"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</row>
    <row r="885"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</row>
    <row r="886"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</row>
    <row r="887"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</row>
    <row r="888"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</row>
    <row r="889"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</row>
    <row r="890"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</row>
    <row r="891"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</row>
    <row r="892"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</row>
    <row r="893"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</row>
    <row r="894"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</row>
    <row r="895"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</row>
    <row r="896"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</row>
    <row r="897"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</row>
    <row r="898"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</row>
    <row r="899"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</row>
    <row r="900"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</row>
    <row r="901"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</row>
    <row r="902"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</row>
    <row r="903"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</row>
    <row r="904"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</row>
    <row r="905"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</row>
    <row r="906"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</row>
    <row r="907"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</row>
    <row r="908"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</row>
    <row r="909"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</row>
    <row r="910"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</row>
    <row r="911"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</row>
    <row r="912"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</row>
    <row r="913"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</row>
    <row r="914"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</row>
    <row r="915"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</row>
    <row r="916"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</row>
    <row r="917"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</row>
    <row r="918"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</row>
    <row r="919"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</row>
    <row r="920"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</row>
    <row r="921"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</row>
    <row r="922"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</row>
    <row r="923"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</row>
    <row r="924"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</row>
    <row r="925"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</row>
    <row r="926"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</row>
    <row r="927"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</row>
    <row r="928"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</row>
    <row r="929"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</row>
    <row r="930"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</row>
    <row r="931"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</row>
    <row r="932"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</row>
    <row r="933"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</row>
    <row r="934"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</row>
    <row r="935"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</row>
    <row r="936"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</row>
    <row r="937"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</row>
    <row r="938"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</row>
    <row r="939"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</row>
    <row r="940"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</row>
    <row r="941"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</row>
    <row r="942"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</row>
    <row r="943"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</row>
    <row r="944"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</row>
    <row r="945"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</row>
    <row r="946"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</row>
    <row r="947"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</row>
    <row r="948"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</row>
    <row r="949"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</row>
    <row r="950"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</row>
    <row r="951"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</row>
    <row r="952"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</row>
    <row r="953"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</row>
    <row r="954"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</row>
    <row r="955"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</row>
    <row r="956"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</row>
    <row r="957"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</row>
    <row r="958"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</row>
    <row r="959"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</row>
    <row r="960"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</row>
    <row r="961"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</row>
    <row r="962"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</row>
    <row r="963"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</row>
    <row r="964"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</row>
    <row r="965"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</row>
    <row r="966"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</row>
    <row r="967"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</row>
    <row r="968"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</row>
    <row r="969"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</row>
    <row r="970"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</row>
    <row r="971"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</row>
    <row r="972"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</row>
    <row r="973"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</row>
    <row r="974"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</row>
    <row r="975"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</row>
    <row r="976"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</row>
    <row r="977"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</row>
    <row r="978"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</row>
    <row r="979"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</row>
    <row r="980"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</row>
  </sheetData>
  <autoFilter ref="$A$1:$V$131"/>
  <conditionalFormatting sqref="A1 A45:A52 A55:A64 A66 A71:A980">
    <cfRule type="notContainsBlanks" dxfId="0" priority="1">
      <formula>LEN(TRIM(A1))&gt;0</formula>
    </cfRule>
  </conditionalFormatting>
  <conditionalFormatting sqref="A1:A53 A55:A64 A66 A71:A980">
    <cfRule type="notContainsBlanks" dxfId="0" priority="2">
      <formula>LEN(TRIM(A1))&gt;0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1">
        <v>46174.0</v>
      </c>
      <c r="C2" s="12">
        <f>VLOOKUP(B:B,'Курс валют'!A:D,4,0)</f>
        <v>82.6369</v>
      </c>
      <c r="D2" s="54" t="s">
        <v>130</v>
      </c>
      <c r="E2" s="55" t="s">
        <v>106</v>
      </c>
      <c r="F2" s="12">
        <v>800.0</v>
      </c>
      <c r="G2" s="19">
        <v>805.0</v>
      </c>
      <c r="H2" s="17">
        <v>0.0</v>
      </c>
      <c r="I2" s="16">
        <f t="shared" ref="I2:I24" si="1">G2-F2</f>
        <v>5</v>
      </c>
      <c r="J2" s="18">
        <f t="shared" ref="J2:J347" si="2">I2/F2*100</f>
        <v>0.625</v>
      </c>
      <c r="K2" s="56">
        <v>1.85</v>
      </c>
      <c r="L2" s="19">
        <f t="shared" ref="L2:L347" si="3">H2/F2*100</f>
        <v>0</v>
      </c>
      <c r="M2" s="20">
        <f t="shared" ref="M2:M347" si="4">P2/F2</f>
        <v>152.878265</v>
      </c>
      <c r="N2" s="21">
        <f>(F2*K2-H2*3.04)/F2</f>
        <v>1.85</v>
      </c>
      <c r="O2" s="21">
        <f t="shared" ref="O2:O347" si="5">N2*F2</f>
        <v>1480</v>
      </c>
      <c r="P2" s="22">
        <f t="shared" ref="P2:P347" si="6">O2*C2</f>
        <v>122302.612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/>
      <c r="B3" s="11">
        <v>46174.0</v>
      </c>
      <c r="C3" s="12">
        <f>VLOOKUP(B:B,'Курс валют'!A:D,4,0)</f>
        <v>82.6369</v>
      </c>
      <c r="D3" s="54" t="s">
        <v>131</v>
      </c>
      <c r="E3" s="55" t="s">
        <v>106</v>
      </c>
      <c r="F3" s="12">
        <v>800.0</v>
      </c>
      <c r="G3" s="19">
        <v>805.0</v>
      </c>
      <c r="H3" s="17">
        <v>0.0</v>
      </c>
      <c r="I3" s="16">
        <f t="shared" si="1"/>
        <v>5</v>
      </c>
      <c r="J3" s="18">
        <f t="shared" si="2"/>
        <v>0.625</v>
      </c>
      <c r="K3" s="17">
        <v>1.84</v>
      </c>
      <c r="L3" s="19">
        <f t="shared" si="3"/>
        <v>0</v>
      </c>
      <c r="M3" s="20">
        <f t="shared" si="4"/>
        <v>152.051896</v>
      </c>
      <c r="N3" s="21">
        <f t="shared" ref="N3:N12" si="7">(F3*K3-H3*30.4)/F3</f>
        <v>1.84</v>
      </c>
      <c r="O3" s="21">
        <f t="shared" si="5"/>
        <v>1472</v>
      </c>
      <c r="P3" s="22">
        <f t="shared" si="6"/>
        <v>121641.5168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46174.0</v>
      </c>
      <c r="C4" s="12">
        <f>VLOOKUP(B:B,'Курс валют'!A:D,4,0)</f>
        <v>82.6369</v>
      </c>
      <c r="D4" s="54" t="s">
        <v>132</v>
      </c>
      <c r="E4" s="55" t="s">
        <v>106</v>
      </c>
      <c r="F4" s="12">
        <v>800.0</v>
      </c>
      <c r="G4" s="19">
        <v>805.0</v>
      </c>
      <c r="H4" s="17">
        <v>0.0</v>
      </c>
      <c r="I4" s="16">
        <f t="shared" si="1"/>
        <v>5</v>
      </c>
      <c r="J4" s="18">
        <f t="shared" si="2"/>
        <v>0.625</v>
      </c>
      <c r="K4" s="17">
        <v>1.84</v>
      </c>
      <c r="L4" s="19">
        <f t="shared" si="3"/>
        <v>0</v>
      </c>
      <c r="M4" s="20">
        <f t="shared" si="4"/>
        <v>152.051896</v>
      </c>
      <c r="N4" s="21">
        <f t="shared" si="7"/>
        <v>1.84</v>
      </c>
      <c r="O4" s="21">
        <f t="shared" si="5"/>
        <v>1472</v>
      </c>
      <c r="P4" s="22">
        <f t="shared" si="6"/>
        <v>121641.5168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46174.0</v>
      </c>
      <c r="C5" s="12">
        <f>VLOOKUP(B:B,'Курс валют'!A:D,4,0)</f>
        <v>82.6369</v>
      </c>
      <c r="D5" s="54" t="s">
        <v>133</v>
      </c>
      <c r="E5" s="55" t="s">
        <v>106</v>
      </c>
      <c r="F5" s="12">
        <v>800.0</v>
      </c>
      <c r="G5" s="19">
        <v>805.0</v>
      </c>
      <c r="H5" s="17">
        <v>0.0</v>
      </c>
      <c r="I5" s="16">
        <f t="shared" si="1"/>
        <v>5</v>
      </c>
      <c r="J5" s="18">
        <f t="shared" si="2"/>
        <v>0.625</v>
      </c>
      <c r="K5" s="17">
        <v>1.84</v>
      </c>
      <c r="L5" s="19">
        <f t="shared" si="3"/>
        <v>0</v>
      </c>
      <c r="M5" s="20">
        <f t="shared" si="4"/>
        <v>152.051896</v>
      </c>
      <c r="N5" s="21">
        <f t="shared" si="7"/>
        <v>1.84</v>
      </c>
      <c r="O5" s="21">
        <f t="shared" si="5"/>
        <v>1472</v>
      </c>
      <c r="P5" s="22">
        <f t="shared" si="6"/>
        <v>121641.5168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46174.0</v>
      </c>
      <c r="C6" s="12">
        <f>VLOOKUP(B:B,'Курс валют'!A:D,4,0)</f>
        <v>82.6369</v>
      </c>
      <c r="D6" s="54" t="s">
        <v>134</v>
      </c>
      <c r="E6" s="55" t="s">
        <v>106</v>
      </c>
      <c r="F6" s="12">
        <v>800.0</v>
      </c>
      <c r="G6" s="19">
        <v>805.0</v>
      </c>
      <c r="H6" s="17">
        <v>0.0</v>
      </c>
      <c r="I6" s="16">
        <f t="shared" si="1"/>
        <v>5</v>
      </c>
      <c r="J6" s="18">
        <f t="shared" si="2"/>
        <v>0.625</v>
      </c>
      <c r="K6" s="17">
        <v>1.83</v>
      </c>
      <c r="L6" s="19">
        <f t="shared" si="3"/>
        <v>0</v>
      </c>
      <c r="M6" s="20">
        <f t="shared" si="4"/>
        <v>151.225527</v>
      </c>
      <c r="N6" s="21">
        <f t="shared" si="7"/>
        <v>1.83</v>
      </c>
      <c r="O6" s="21">
        <f t="shared" si="5"/>
        <v>1464</v>
      </c>
      <c r="P6" s="22">
        <f t="shared" si="6"/>
        <v>120980.4216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46174.0</v>
      </c>
      <c r="C7" s="12">
        <f>VLOOKUP(B:B,'Курс валют'!A:D,4,0)</f>
        <v>82.6369</v>
      </c>
      <c r="D7" s="54" t="s">
        <v>135</v>
      </c>
      <c r="E7" s="55" t="s">
        <v>106</v>
      </c>
      <c r="F7" s="12">
        <v>800.0</v>
      </c>
      <c r="G7" s="19">
        <v>805.0</v>
      </c>
      <c r="H7" s="17">
        <v>0.0</v>
      </c>
      <c r="I7" s="16">
        <f t="shared" si="1"/>
        <v>5</v>
      </c>
      <c r="J7" s="18">
        <f t="shared" si="2"/>
        <v>0.625</v>
      </c>
      <c r="K7" s="17">
        <v>1.84</v>
      </c>
      <c r="L7" s="19">
        <f t="shared" si="3"/>
        <v>0</v>
      </c>
      <c r="M7" s="20">
        <f t="shared" si="4"/>
        <v>152.051896</v>
      </c>
      <c r="N7" s="21">
        <f t="shared" si="7"/>
        <v>1.84</v>
      </c>
      <c r="O7" s="21">
        <f t="shared" si="5"/>
        <v>1472</v>
      </c>
      <c r="P7" s="22">
        <f t="shared" si="6"/>
        <v>121641.5168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46174.0</v>
      </c>
      <c r="C8" s="12">
        <f>VLOOKUP(B:B,'Курс валют'!A:D,4,0)</f>
        <v>82.6369</v>
      </c>
      <c r="D8" s="54" t="s">
        <v>136</v>
      </c>
      <c r="E8" s="55" t="s">
        <v>106</v>
      </c>
      <c r="F8" s="12">
        <v>800.0</v>
      </c>
      <c r="G8" s="19">
        <v>805.0</v>
      </c>
      <c r="H8" s="17">
        <v>0.0</v>
      </c>
      <c r="I8" s="16">
        <f t="shared" si="1"/>
        <v>5</v>
      </c>
      <c r="J8" s="18">
        <f t="shared" si="2"/>
        <v>0.625</v>
      </c>
      <c r="K8" s="17">
        <v>1.83</v>
      </c>
      <c r="L8" s="19">
        <f t="shared" si="3"/>
        <v>0</v>
      </c>
      <c r="M8" s="20">
        <f t="shared" si="4"/>
        <v>151.225527</v>
      </c>
      <c r="N8" s="21">
        <f t="shared" si="7"/>
        <v>1.83</v>
      </c>
      <c r="O8" s="21">
        <f t="shared" si="5"/>
        <v>1464</v>
      </c>
      <c r="P8" s="22">
        <f t="shared" si="6"/>
        <v>120980.4216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11"/>
      <c r="B9" s="11">
        <v>46174.0</v>
      </c>
      <c r="C9" s="12">
        <f>VLOOKUP(B:B,'Курс валют'!A:D,4,0)</f>
        <v>82.6369</v>
      </c>
      <c r="D9" s="54" t="s">
        <v>137</v>
      </c>
      <c r="E9" s="55" t="s">
        <v>106</v>
      </c>
      <c r="F9" s="12">
        <v>800.0</v>
      </c>
      <c r="G9" s="19">
        <v>805.0</v>
      </c>
      <c r="H9" s="17">
        <v>0.0</v>
      </c>
      <c r="I9" s="16">
        <f t="shared" si="1"/>
        <v>5</v>
      </c>
      <c r="J9" s="18">
        <f t="shared" si="2"/>
        <v>0.625</v>
      </c>
      <c r="K9" s="17">
        <v>1.84</v>
      </c>
      <c r="L9" s="19">
        <f t="shared" si="3"/>
        <v>0</v>
      </c>
      <c r="M9" s="20">
        <f t="shared" si="4"/>
        <v>152.051896</v>
      </c>
      <c r="N9" s="21">
        <f t="shared" si="7"/>
        <v>1.84</v>
      </c>
      <c r="O9" s="21">
        <f t="shared" si="5"/>
        <v>1472</v>
      </c>
      <c r="P9" s="22">
        <f t="shared" si="6"/>
        <v>121641.5168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11"/>
      <c r="B10" s="11">
        <v>46174.0</v>
      </c>
      <c r="C10" s="12">
        <f>VLOOKUP(B:B,'Курс валют'!A:D,4,0)</f>
        <v>82.6369</v>
      </c>
      <c r="D10" s="54" t="s">
        <v>138</v>
      </c>
      <c r="E10" s="55" t="s">
        <v>106</v>
      </c>
      <c r="F10" s="12">
        <v>800.0</v>
      </c>
      <c r="G10" s="19">
        <v>805.0</v>
      </c>
      <c r="H10" s="17">
        <v>0.0</v>
      </c>
      <c r="I10" s="16">
        <f t="shared" si="1"/>
        <v>5</v>
      </c>
      <c r="J10" s="18">
        <f t="shared" si="2"/>
        <v>0.625</v>
      </c>
      <c r="K10" s="17">
        <v>1.84</v>
      </c>
      <c r="L10" s="19">
        <f t="shared" si="3"/>
        <v>0</v>
      </c>
      <c r="M10" s="20">
        <f t="shared" si="4"/>
        <v>152.051896</v>
      </c>
      <c r="N10" s="21">
        <f t="shared" si="7"/>
        <v>1.84</v>
      </c>
      <c r="O10" s="21">
        <f t="shared" si="5"/>
        <v>1472</v>
      </c>
      <c r="P10" s="22">
        <f t="shared" si="6"/>
        <v>121641.5168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/>
      <c r="B11" s="11">
        <v>46174.0</v>
      </c>
      <c r="C11" s="12">
        <f>VLOOKUP(B:B,'Курс валют'!A:D,4,0)</f>
        <v>82.6369</v>
      </c>
      <c r="D11" s="54" t="s">
        <v>139</v>
      </c>
      <c r="E11" s="55" t="s">
        <v>106</v>
      </c>
      <c r="F11" s="12">
        <v>800.0</v>
      </c>
      <c r="G11" s="19">
        <v>805.0</v>
      </c>
      <c r="H11" s="17">
        <v>0.0</v>
      </c>
      <c r="I11" s="16">
        <f t="shared" si="1"/>
        <v>5</v>
      </c>
      <c r="J11" s="18">
        <f t="shared" si="2"/>
        <v>0.625</v>
      </c>
      <c r="K11" s="17">
        <v>1.83</v>
      </c>
      <c r="L11" s="19">
        <f t="shared" si="3"/>
        <v>0</v>
      </c>
      <c r="M11" s="20">
        <f t="shared" si="4"/>
        <v>151.225527</v>
      </c>
      <c r="N11" s="21">
        <f t="shared" si="7"/>
        <v>1.83</v>
      </c>
      <c r="O11" s="21">
        <f t="shared" si="5"/>
        <v>1464</v>
      </c>
      <c r="P11" s="22">
        <f t="shared" si="6"/>
        <v>120980.4216</v>
      </c>
      <c r="R11" s="23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/>
      <c r="B12" s="11">
        <v>46174.0</v>
      </c>
      <c r="C12" s="12">
        <f>VLOOKUP(B:B,'Курс валют'!A:D,4,0)</f>
        <v>82.6369</v>
      </c>
      <c r="D12" s="13" t="s">
        <v>140</v>
      </c>
      <c r="E12" s="14" t="s">
        <v>59</v>
      </c>
      <c r="F12" s="15">
        <v>2000.0</v>
      </c>
      <c r="G12" s="16">
        <v>2033.55</v>
      </c>
      <c r="H12" s="17">
        <v>0.0</v>
      </c>
      <c r="I12" s="16">
        <f t="shared" si="1"/>
        <v>33.55</v>
      </c>
      <c r="J12" s="18">
        <f t="shared" si="2"/>
        <v>1.6775</v>
      </c>
      <c r="K12" s="17">
        <v>2.43</v>
      </c>
      <c r="L12" s="19">
        <f t="shared" si="3"/>
        <v>0</v>
      </c>
      <c r="M12" s="20">
        <f t="shared" si="4"/>
        <v>200.807667</v>
      </c>
      <c r="N12" s="21">
        <f t="shared" si="7"/>
        <v>2.43</v>
      </c>
      <c r="O12" s="21">
        <f t="shared" si="5"/>
        <v>4860</v>
      </c>
      <c r="P12" s="22">
        <f t="shared" si="6"/>
        <v>401615.334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/>
      <c r="B13" s="11">
        <v>46175.0</v>
      </c>
      <c r="C13" s="12">
        <f>VLOOKUP(B:B,'Курс валют'!A:D,4,0)</f>
        <v>86.2499</v>
      </c>
      <c r="D13" s="13" t="s">
        <v>141</v>
      </c>
      <c r="E13" s="14" t="s">
        <v>54</v>
      </c>
      <c r="F13" s="15">
        <v>800.0</v>
      </c>
      <c r="G13" s="16">
        <v>806.14</v>
      </c>
      <c r="H13" s="17">
        <v>0.0</v>
      </c>
      <c r="I13" s="16">
        <f t="shared" si="1"/>
        <v>6.14</v>
      </c>
      <c r="J13" s="18">
        <f t="shared" si="2"/>
        <v>0.7675</v>
      </c>
      <c r="K13" s="17">
        <v>1.93</v>
      </c>
      <c r="L13" s="19">
        <f t="shared" si="3"/>
        <v>0</v>
      </c>
      <c r="M13" s="20">
        <f t="shared" si="4"/>
        <v>166.462307</v>
      </c>
      <c r="N13" s="29">
        <f>(F13*K13-H13*3.04)/F13</f>
        <v>1.93</v>
      </c>
      <c r="O13" s="21">
        <f t="shared" si="5"/>
        <v>1544</v>
      </c>
      <c r="P13" s="22">
        <f t="shared" si="6"/>
        <v>133169.8456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/>
      <c r="B14" s="11">
        <v>46175.0</v>
      </c>
      <c r="C14" s="12">
        <f>VLOOKUP(B:B,'Курс валют'!A:D,4,0)</f>
        <v>86.2499</v>
      </c>
      <c r="D14" s="13" t="s">
        <v>142</v>
      </c>
      <c r="E14" s="14" t="s">
        <v>54</v>
      </c>
      <c r="F14" s="15">
        <v>800.0</v>
      </c>
      <c r="G14" s="16">
        <v>806.14</v>
      </c>
      <c r="H14" s="17">
        <v>0.0</v>
      </c>
      <c r="I14" s="16">
        <f t="shared" si="1"/>
        <v>6.14</v>
      </c>
      <c r="J14" s="18">
        <f t="shared" si="2"/>
        <v>0.7675</v>
      </c>
      <c r="K14" s="17">
        <v>1.92</v>
      </c>
      <c r="L14" s="19">
        <f t="shared" si="3"/>
        <v>0</v>
      </c>
      <c r="M14" s="20">
        <f t="shared" si="4"/>
        <v>165.599808</v>
      </c>
      <c r="N14" s="21">
        <f t="shared" ref="N14:N23" si="8">(F14*K14-H14*30.4)/F14</f>
        <v>1.92</v>
      </c>
      <c r="O14" s="21">
        <f t="shared" si="5"/>
        <v>1536</v>
      </c>
      <c r="P14" s="22">
        <f t="shared" si="6"/>
        <v>132479.8464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/>
      <c r="B15" s="11">
        <v>46175.0</v>
      </c>
      <c r="C15" s="12">
        <f>VLOOKUP(B:B,'Курс валют'!A:D,4,0)</f>
        <v>86.2499</v>
      </c>
      <c r="D15" s="13" t="s">
        <v>143</v>
      </c>
      <c r="E15" s="14" t="s">
        <v>54</v>
      </c>
      <c r="F15" s="15">
        <v>800.0</v>
      </c>
      <c r="G15" s="16">
        <v>806.14</v>
      </c>
      <c r="H15" s="17">
        <v>0.0</v>
      </c>
      <c r="I15" s="16">
        <f t="shared" si="1"/>
        <v>6.14</v>
      </c>
      <c r="J15" s="18">
        <f t="shared" si="2"/>
        <v>0.7675</v>
      </c>
      <c r="K15" s="17">
        <v>1.92</v>
      </c>
      <c r="L15" s="19">
        <f t="shared" si="3"/>
        <v>0</v>
      </c>
      <c r="M15" s="20">
        <f t="shared" si="4"/>
        <v>165.599808</v>
      </c>
      <c r="N15" s="21">
        <f t="shared" si="8"/>
        <v>1.92</v>
      </c>
      <c r="O15" s="21">
        <f t="shared" si="5"/>
        <v>1536</v>
      </c>
      <c r="P15" s="22">
        <f t="shared" si="6"/>
        <v>132479.8464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11"/>
      <c r="B16" s="11">
        <v>46175.0</v>
      </c>
      <c r="C16" s="12">
        <f>VLOOKUP(B:B,'Курс валют'!A:D,4,0)</f>
        <v>86.2499</v>
      </c>
      <c r="D16" s="13" t="s">
        <v>144</v>
      </c>
      <c r="E16" s="14" t="s">
        <v>54</v>
      </c>
      <c r="F16" s="15">
        <v>800.0</v>
      </c>
      <c r="G16" s="16">
        <v>806.14</v>
      </c>
      <c r="H16" s="17">
        <v>0.0</v>
      </c>
      <c r="I16" s="16">
        <f t="shared" si="1"/>
        <v>6.14</v>
      </c>
      <c r="J16" s="18">
        <f t="shared" si="2"/>
        <v>0.7675</v>
      </c>
      <c r="K16" s="17">
        <v>1.93</v>
      </c>
      <c r="L16" s="19">
        <f t="shared" si="3"/>
        <v>0</v>
      </c>
      <c r="M16" s="20">
        <f t="shared" si="4"/>
        <v>166.462307</v>
      </c>
      <c r="N16" s="21">
        <f t="shared" si="8"/>
        <v>1.93</v>
      </c>
      <c r="O16" s="21">
        <f t="shared" si="5"/>
        <v>1544</v>
      </c>
      <c r="P16" s="22">
        <f t="shared" si="6"/>
        <v>133169.8456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>
      <c r="A17" s="11"/>
      <c r="B17" s="11">
        <v>46175.0</v>
      </c>
      <c r="C17" s="12">
        <f>VLOOKUP(B:B,'Курс валют'!A:D,4,0)</f>
        <v>86.2499</v>
      </c>
      <c r="D17" s="13" t="s">
        <v>145</v>
      </c>
      <c r="E17" s="14" t="s">
        <v>54</v>
      </c>
      <c r="F17" s="15">
        <v>800.0</v>
      </c>
      <c r="G17" s="16">
        <v>806.14</v>
      </c>
      <c r="H17" s="17">
        <v>0.0</v>
      </c>
      <c r="I17" s="16">
        <f t="shared" si="1"/>
        <v>6.14</v>
      </c>
      <c r="J17" s="18">
        <f t="shared" si="2"/>
        <v>0.7675</v>
      </c>
      <c r="K17" s="17">
        <v>1.93</v>
      </c>
      <c r="L17" s="19">
        <f t="shared" si="3"/>
        <v>0</v>
      </c>
      <c r="M17" s="20">
        <f t="shared" si="4"/>
        <v>166.462307</v>
      </c>
      <c r="N17" s="21">
        <f t="shared" si="8"/>
        <v>1.93</v>
      </c>
      <c r="O17" s="21">
        <f t="shared" si="5"/>
        <v>1544</v>
      </c>
      <c r="P17" s="22">
        <f t="shared" si="6"/>
        <v>133169.8456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/>
      <c r="B18" s="11">
        <v>46175.0</v>
      </c>
      <c r="C18" s="12">
        <f>VLOOKUP(B:B,'Курс валют'!A:D,4,0)</f>
        <v>86.2499</v>
      </c>
      <c r="D18" s="13" t="s">
        <v>146</v>
      </c>
      <c r="E18" s="14" t="s">
        <v>54</v>
      </c>
      <c r="F18" s="15">
        <v>800.0</v>
      </c>
      <c r="G18" s="16">
        <v>806.14</v>
      </c>
      <c r="H18" s="17">
        <v>0.0</v>
      </c>
      <c r="I18" s="16">
        <f t="shared" si="1"/>
        <v>6.14</v>
      </c>
      <c r="J18" s="18">
        <f t="shared" si="2"/>
        <v>0.7675</v>
      </c>
      <c r="K18" s="17">
        <v>1.91</v>
      </c>
      <c r="L18" s="19">
        <f t="shared" si="3"/>
        <v>0</v>
      </c>
      <c r="M18" s="20">
        <f t="shared" si="4"/>
        <v>164.737309</v>
      </c>
      <c r="N18" s="21">
        <f t="shared" si="8"/>
        <v>1.91</v>
      </c>
      <c r="O18" s="21">
        <f t="shared" si="5"/>
        <v>1528</v>
      </c>
      <c r="P18" s="22">
        <f t="shared" si="6"/>
        <v>131789.8472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46175.0</v>
      </c>
      <c r="C19" s="12">
        <f>VLOOKUP(B:B,'Курс валют'!A:D,4,0)</f>
        <v>86.2499</v>
      </c>
      <c r="D19" s="13" t="s">
        <v>147</v>
      </c>
      <c r="E19" s="14" t="s">
        <v>54</v>
      </c>
      <c r="F19" s="15">
        <v>800.0</v>
      </c>
      <c r="G19" s="16">
        <v>806.14</v>
      </c>
      <c r="H19" s="17">
        <v>0.0</v>
      </c>
      <c r="I19" s="16">
        <f t="shared" si="1"/>
        <v>6.14</v>
      </c>
      <c r="J19" s="18">
        <f t="shared" si="2"/>
        <v>0.7675</v>
      </c>
      <c r="K19" s="17">
        <v>1.91</v>
      </c>
      <c r="L19" s="19">
        <f t="shared" si="3"/>
        <v>0</v>
      </c>
      <c r="M19" s="20">
        <f t="shared" si="4"/>
        <v>164.737309</v>
      </c>
      <c r="N19" s="21">
        <f t="shared" si="8"/>
        <v>1.91</v>
      </c>
      <c r="O19" s="21">
        <f t="shared" si="5"/>
        <v>1528</v>
      </c>
      <c r="P19" s="22">
        <f t="shared" si="6"/>
        <v>131789.8472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>
      <c r="A20" s="30"/>
      <c r="B20" s="11">
        <v>46175.0</v>
      </c>
      <c r="C20" s="12">
        <f>VLOOKUP(B:B,'Курс валют'!A:D,4,0)</f>
        <v>86.2499</v>
      </c>
      <c r="D20" s="13" t="s">
        <v>148</v>
      </c>
      <c r="E20" s="14" t="s">
        <v>54</v>
      </c>
      <c r="F20" s="15">
        <v>800.0</v>
      </c>
      <c r="G20" s="16">
        <v>806.14</v>
      </c>
      <c r="H20" s="17">
        <v>0.0</v>
      </c>
      <c r="I20" s="16">
        <f t="shared" si="1"/>
        <v>6.14</v>
      </c>
      <c r="J20" s="18">
        <f t="shared" si="2"/>
        <v>0.7675</v>
      </c>
      <c r="K20" s="17">
        <v>1.91</v>
      </c>
      <c r="L20" s="19">
        <f t="shared" si="3"/>
        <v>0</v>
      </c>
      <c r="M20" s="20">
        <f t="shared" si="4"/>
        <v>164.737309</v>
      </c>
      <c r="N20" s="21">
        <f t="shared" si="8"/>
        <v>1.91</v>
      </c>
      <c r="O20" s="21">
        <f t="shared" si="5"/>
        <v>1528</v>
      </c>
      <c r="P20" s="22">
        <f t="shared" si="6"/>
        <v>131789.8472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>
      <c r="A21" s="30"/>
      <c r="B21" s="11">
        <v>46175.0</v>
      </c>
      <c r="C21" s="12">
        <f>VLOOKUP(B:B,'Курс валют'!A:D,4,0)</f>
        <v>86.2499</v>
      </c>
      <c r="D21" s="13" t="s">
        <v>149</v>
      </c>
      <c r="E21" s="14" t="s">
        <v>59</v>
      </c>
      <c r="F21" s="15">
        <v>2000.0</v>
      </c>
      <c r="G21" s="16">
        <v>2033.55</v>
      </c>
      <c r="H21" s="17">
        <v>0.0</v>
      </c>
      <c r="I21" s="16">
        <f t="shared" si="1"/>
        <v>33.55</v>
      </c>
      <c r="J21" s="18">
        <f t="shared" si="2"/>
        <v>1.6775</v>
      </c>
      <c r="K21" s="17">
        <v>2.44</v>
      </c>
      <c r="L21" s="19">
        <f t="shared" si="3"/>
        <v>0</v>
      </c>
      <c r="M21" s="20">
        <f t="shared" si="4"/>
        <v>210.449756</v>
      </c>
      <c r="N21" s="21">
        <f t="shared" si="8"/>
        <v>2.44</v>
      </c>
      <c r="O21" s="21">
        <f t="shared" si="5"/>
        <v>4880</v>
      </c>
      <c r="P21" s="22">
        <f t="shared" si="6"/>
        <v>420899.512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/>
      <c r="B22" s="11">
        <v>46175.0</v>
      </c>
      <c r="C22" s="12">
        <f>VLOOKUP(B:B,'Курс валют'!A:D,4,0)</f>
        <v>86.2499</v>
      </c>
      <c r="D22" s="13" t="s">
        <v>150</v>
      </c>
      <c r="E22" s="14" t="s">
        <v>54</v>
      </c>
      <c r="F22" s="15">
        <v>800.0</v>
      </c>
      <c r="G22" s="16">
        <v>806.14</v>
      </c>
      <c r="H22" s="17">
        <v>0.0</v>
      </c>
      <c r="I22" s="16">
        <f t="shared" si="1"/>
        <v>6.14</v>
      </c>
      <c r="J22" s="18">
        <f t="shared" si="2"/>
        <v>0.7675</v>
      </c>
      <c r="K22" s="17">
        <v>1.91</v>
      </c>
      <c r="L22" s="19">
        <f t="shared" si="3"/>
        <v>0</v>
      </c>
      <c r="M22" s="20">
        <f t="shared" si="4"/>
        <v>164.737309</v>
      </c>
      <c r="N22" s="21">
        <f t="shared" si="8"/>
        <v>1.91</v>
      </c>
      <c r="O22" s="21">
        <f t="shared" si="5"/>
        <v>1528</v>
      </c>
      <c r="P22" s="22">
        <f t="shared" si="6"/>
        <v>131789.8472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>
      <c r="A23" s="30"/>
      <c r="B23" s="11">
        <v>46175.0</v>
      </c>
      <c r="C23" s="12">
        <f>VLOOKUP(B:B,'Курс валют'!A:D,4,0)</f>
        <v>86.2499</v>
      </c>
      <c r="D23" s="13" t="s">
        <v>151</v>
      </c>
      <c r="E23" s="14" t="s">
        <v>54</v>
      </c>
      <c r="F23" s="15">
        <v>800.0</v>
      </c>
      <c r="G23" s="16">
        <v>806.14</v>
      </c>
      <c r="H23" s="17">
        <v>0.0</v>
      </c>
      <c r="I23" s="16">
        <f t="shared" si="1"/>
        <v>6.14</v>
      </c>
      <c r="J23" s="18">
        <f t="shared" si="2"/>
        <v>0.7675</v>
      </c>
      <c r="K23" s="17">
        <v>1.92</v>
      </c>
      <c r="L23" s="19">
        <f t="shared" si="3"/>
        <v>0</v>
      </c>
      <c r="M23" s="20">
        <f t="shared" si="4"/>
        <v>165.599808</v>
      </c>
      <c r="N23" s="21">
        <f t="shared" si="8"/>
        <v>1.92</v>
      </c>
      <c r="O23" s="21">
        <f t="shared" si="5"/>
        <v>1536</v>
      </c>
      <c r="P23" s="22">
        <f t="shared" si="6"/>
        <v>132479.8464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>
      <c r="A24" s="30"/>
      <c r="B24" s="11">
        <v>46176.0</v>
      </c>
      <c r="C24" s="12">
        <f>VLOOKUP(B:B,'Курс валют'!A:D,4,0)</f>
        <v>84.6096</v>
      </c>
      <c r="D24" s="13" t="s">
        <v>152</v>
      </c>
      <c r="E24" s="14" t="s">
        <v>54</v>
      </c>
      <c r="F24" s="15">
        <v>800.0</v>
      </c>
      <c r="G24" s="16">
        <v>807.54</v>
      </c>
      <c r="H24" s="17">
        <v>0.0</v>
      </c>
      <c r="I24" s="16">
        <f t="shared" si="1"/>
        <v>7.54</v>
      </c>
      <c r="J24" s="18">
        <f t="shared" si="2"/>
        <v>0.9425</v>
      </c>
      <c r="K24" s="17">
        <v>1.92</v>
      </c>
      <c r="L24" s="19">
        <f t="shared" si="3"/>
        <v>0</v>
      </c>
      <c r="M24" s="20">
        <f t="shared" si="4"/>
        <v>162.450432</v>
      </c>
      <c r="N24" s="21">
        <f t="shared" ref="N24:N36" si="9">(F24*K24-H24*3.04)/F24</f>
        <v>1.92</v>
      </c>
      <c r="O24" s="21">
        <f t="shared" si="5"/>
        <v>1536</v>
      </c>
      <c r="P24" s="22">
        <f t="shared" si="6"/>
        <v>129960.3456</v>
      </c>
      <c r="R24" s="23"/>
      <c r="S24" s="24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46176.0</v>
      </c>
      <c r="C25" s="12">
        <f>VLOOKUP(B:B,'Курс валют'!A:D,4,0)</f>
        <v>84.6096</v>
      </c>
      <c r="D25" s="13" t="s">
        <v>153</v>
      </c>
      <c r="E25" s="14" t="s">
        <v>54</v>
      </c>
      <c r="F25" s="15">
        <v>800.0</v>
      </c>
      <c r="G25" s="16">
        <v>807.54</v>
      </c>
      <c r="H25" s="17">
        <v>0.0</v>
      </c>
      <c r="I25" s="15">
        <v>2.5</v>
      </c>
      <c r="J25" s="18">
        <f t="shared" si="2"/>
        <v>0.3125</v>
      </c>
      <c r="K25" s="17">
        <v>1.92</v>
      </c>
      <c r="L25" s="19">
        <f t="shared" si="3"/>
        <v>0</v>
      </c>
      <c r="M25" s="20">
        <f t="shared" si="4"/>
        <v>162.450432</v>
      </c>
      <c r="N25" s="21">
        <f t="shared" si="9"/>
        <v>1.92</v>
      </c>
      <c r="O25" s="21">
        <f t="shared" si="5"/>
        <v>1536</v>
      </c>
      <c r="P25" s="22">
        <f t="shared" si="6"/>
        <v>129960.3456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46176.0</v>
      </c>
      <c r="C26" s="12">
        <f>VLOOKUP(B:B,'Курс валют'!A:D,4,0)</f>
        <v>84.6096</v>
      </c>
      <c r="D26" s="13" t="s">
        <v>154</v>
      </c>
      <c r="E26" s="14" t="s">
        <v>54</v>
      </c>
      <c r="F26" s="15">
        <v>800.0</v>
      </c>
      <c r="G26" s="16">
        <v>807.54</v>
      </c>
      <c r="H26" s="17">
        <v>0.0</v>
      </c>
      <c r="I26" s="16">
        <f t="shared" ref="I26:I347" si="10">G26-F26</f>
        <v>7.54</v>
      </c>
      <c r="J26" s="18">
        <f t="shared" si="2"/>
        <v>0.9425</v>
      </c>
      <c r="K26" s="17">
        <v>1.92</v>
      </c>
      <c r="L26" s="19">
        <f t="shared" si="3"/>
        <v>0</v>
      </c>
      <c r="M26" s="20">
        <f t="shared" si="4"/>
        <v>162.450432</v>
      </c>
      <c r="N26" s="21">
        <f t="shared" si="9"/>
        <v>1.92</v>
      </c>
      <c r="O26" s="21">
        <f t="shared" si="5"/>
        <v>1536</v>
      </c>
      <c r="P26" s="22">
        <f t="shared" si="6"/>
        <v>129960.3456</v>
      </c>
      <c r="R26" s="23"/>
      <c r="S26" s="24"/>
      <c r="T26" s="25"/>
      <c r="U26" s="25"/>
      <c r="V26" s="25"/>
      <c r="W26" s="25"/>
      <c r="X26" s="25"/>
      <c r="Y26" s="25"/>
      <c r="Z26" s="25"/>
      <c r="AA26" s="25"/>
    </row>
    <row r="27">
      <c r="A27" s="30"/>
      <c r="B27" s="11">
        <v>46176.0</v>
      </c>
      <c r="C27" s="12">
        <f>VLOOKUP(B:B,'Курс валют'!A:D,4,0)</f>
        <v>84.6096</v>
      </c>
      <c r="D27" s="13" t="s">
        <v>155</v>
      </c>
      <c r="E27" s="26" t="s">
        <v>63</v>
      </c>
      <c r="F27" s="15">
        <v>1800.0</v>
      </c>
      <c r="G27" s="16">
        <v>1841.1</v>
      </c>
      <c r="H27" s="17">
        <v>0.0</v>
      </c>
      <c r="I27" s="16">
        <f t="shared" si="10"/>
        <v>41.1</v>
      </c>
      <c r="J27" s="18">
        <f t="shared" si="2"/>
        <v>2.283333333</v>
      </c>
      <c r="K27" s="17"/>
      <c r="L27" s="19">
        <f t="shared" si="3"/>
        <v>0</v>
      </c>
      <c r="M27" s="20">
        <f t="shared" si="4"/>
        <v>0</v>
      </c>
      <c r="N27" s="21">
        <f t="shared" si="9"/>
        <v>0</v>
      </c>
      <c r="O27" s="21">
        <f t="shared" si="5"/>
        <v>0</v>
      </c>
      <c r="P27" s="22">
        <f t="shared" si="6"/>
        <v>0</v>
      </c>
      <c r="R27" s="23" t="s">
        <v>156</v>
      </c>
      <c r="S27" s="25"/>
      <c r="T27" s="25"/>
      <c r="U27" s="25"/>
      <c r="V27" s="25"/>
      <c r="W27" s="25"/>
      <c r="X27" s="25"/>
      <c r="Y27" s="25"/>
      <c r="Z27" s="25"/>
      <c r="AA27" s="25"/>
    </row>
    <row r="28" ht="15.0" customHeight="1">
      <c r="A28" s="30"/>
      <c r="B28" s="11">
        <v>46176.0</v>
      </c>
      <c r="C28" s="12">
        <f>VLOOKUP(B:B,'Курс валют'!A:D,4,0)</f>
        <v>84.6096</v>
      </c>
      <c r="D28" s="13" t="s">
        <v>157</v>
      </c>
      <c r="E28" s="26" t="s">
        <v>54</v>
      </c>
      <c r="F28" s="15">
        <v>800.0</v>
      </c>
      <c r="G28" s="16">
        <v>807.54</v>
      </c>
      <c r="H28" s="17">
        <v>0.0</v>
      </c>
      <c r="I28" s="16">
        <f t="shared" si="10"/>
        <v>7.54</v>
      </c>
      <c r="J28" s="18">
        <f t="shared" si="2"/>
        <v>0.9425</v>
      </c>
      <c r="K28" s="17">
        <v>1.92</v>
      </c>
      <c r="L28" s="19">
        <f t="shared" si="3"/>
        <v>0</v>
      </c>
      <c r="M28" s="20">
        <f t="shared" si="4"/>
        <v>162.450432</v>
      </c>
      <c r="N28" s="21">
        <f t="shared" si="9"/>
        <v>1.92</v>
      </c>
      <c r="O28" s="21">
        <f t="shared" si="5"/>
        <v>1536</v>
      </c>
      <c r="P28" s="22">
        <f t="shared" si="6"/>
        <v>129960.3456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46176.0</v>
      </c>
      <c r="C29" s="12">
        <f>VLOOKUP(B:B,'Курс валют'!A:D,4,0)</f>
        <v>84.6096</v>
      </c>
      <c r="D29" s="13" t="s">
        <v>158</v>
      </c>
      <c r="E29" s="26" t="s">
        <v>54</v>
      </c>
      <c r="F29" s="15">
        <v>800.0</v>
      </c>
      <c r="G29" s="16">
        <v>807.54</v>
      </c>
      <c r="H29" s="17">
        <v>0.0</v>
      </c>
      <c r="I29" s="16">
        <f t="shared" si="10"/>
        <v>7.54</v>
      </c>
      <c r="J29" s="18">
        <f t="shared" si="2"/>
        <v>0.9425</v>
      </c>
      <c r="K29" s="17">
        <v>1.92</v>
      </c>
      <c r="L29" s="19">
        <f t="shared" si="3"/>
        <v>0</v>
      </c>
      <c r="M29" s="20">
        <f t="shared" si="4"/>
        <v>162.450432</v>
      </c>
      <c r="N29" s="21">
        <f t="shared" si="9"/>
        <v>1.92</v>
      </c>
      <c r="O29" s="21">
        <f t="shared" si="5"/>
        <v>1536</v>
      </c>
      <c r="P29" s="22">
        <f t="shared" si="6"/>
        <v>129960.3456</v>
      </c>
      <c r="R29" s="23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46176.0</v>
      </c>
      <c r="C30" s="12">
        <f>VLOOKUP(B:B,'Курс валют'!A:D,4,0)</f>
        <v>84.6096</v>
      </c>
      <c r="D30" s="13" t="s">
        <v>159</v>
      </c>
      <c r="E30" s="26" t="s">
        <v>54</v>
      </c>
      <c r="F30" s="15">
        <v>800.0</v>
      </c>
      <c r="G30" s="16">
        <v>807.54</v>
      </c>
      <c r="H30" s="17">
        <v>0.0</v>
      </c>
      <c r="I30" s="16">
        <f t="shared" si="10"/>
        <v>7.54</v>
      </c>
      <c r="J30" s="18">
        <f t="shared" si="2"/>
        <v>0.9425</v>
      </c>
      <c r="K30" s="17">
        <v>1.92</v>
      </c>
      <c r="L30" s="19">
        <f t="shared" si="3"/>
        <v>0</v>
      </c>
      <c r="M30" s="20">
        <f t="shared" si="4"/>
        <v>162.450432</v>
      </c>
      <c r="N30" s="21">
        <f t="shared" si="9"/>
        <v>1.92</v>
      </c>
      <c r="O30" s="21">
        <f t="shared" si="5"/>
        <v>1536</v>
      </c>
      <c r="P30" s="22">
        <f t="shared" si="6"/>
        <v>129960.3456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46176.0</v>
      </c>
      <c r="C31" s="12">
        <f>VLOOKUP(B:B,'Курс валют'!A:D,4,0)</f>
        <v>84.6096</v>
      </c>
      <c r="D31" s="13" t="s">
        <v>160</v>
      </c>
      <c r="E31" s="26" t="s">
        <v>54</v>
      </c>
      <c r="F31" s="15">
        <v>800.0</v>
      </c>
      <c r="G31" s="16">
        <v>807.54</v>
      </c>
      <c r="H31" s="17">
        <v>0.0</v>
      </c>
      <c r="I31" s="16">
        <f t="shared" si="10"/>
        <v>7.54</v>
      </c>
      <c r="J31" s="18">
        <f t="shared" si="2"/>
        <v>0.9425</v>
      </c>
      <c r="K31" s="17">
        <v>1.92</v>
      </c>
      <c r="L31" s="19">
        <f t="shared" si="3"/>
        <v>0</v>
      </c>
      <c r="M31" s="20">
        <f t="shared" si="4"/>
        <v>162.450432</v>
      </c>
      <c r="N31" s="21">
        <f t="shared" si="9"/>
        <v>1.92</v>
      </c>
      <c r="O31" s="21">
        <f t="shared" si="5"/>
        <v>1536</v>
      </c>
      <c r="P31" s="22">
        <f t="shared" si="6"/>
        <v>129960.3456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46176.0</v>
      </c>
      <c r="C32" s="12">
        <f>VLOOKUP(B:B,'Курс валют'!A:D,4,0)</f>
        <v>84.6096</v>
      </c>
      <c r="D32" s="13" t="s">
        <v>161</v>
      </c>
      <c r="E32" s="26" t="s">
        <v>54</v>
      </c>
      <c r="F32" s="15">
        <v>800.0</v>
      </c>
      <c r="G32" s="16">
        <v>807.54</v>
      </c>
      <c r="H32" s="17">
        <v>0.0</v>
      </c>
      <c r="I32" s="16">
        <f t="shared" si="10"/>
        <v>7.54</v>
      </c>
      <c r="J32" s="18">
        <f t="shared" si="2"/>
        <v>0.9425</v>
      </c>
      <c r="K32" s="17">
        <v>1.92</v>
      </c>
      <c r="L32" s="19">
        <f t="shared" si="3"/>
        <v>0</v>
      </c>
      <c r="M32" s="20">
        <f t="shared" si="4"/>
        <v>162.450432</v>
      </c>
      <c r="N32" s="21">
        <f t="shared" si="9"/>
        <v>1.92</v>
      </c>
      <c r="O32" s="21">
        <f t="shared" si="5"/>
        <v>1536</v>
      </c>
      <c r="P32" s="22">
        <f t="shared" si="6"/>
        <v>129960.3456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46176.0</v>
      </c>
      <c r="C33" s="12">
        <f>VLOOKUP(B:B,'Курс валют'!A:D,4,0)</f>
        <v>84.6096</v>
      </c>
      <c r="D33" s="13" t="s">
        <v>162</v>
      </c>
      <c r="E33" s="26" t="s">
        <v>54</v>
      </c>
      <c r="F33" s="15">
        <v>800.0</v>
      </c>
      <c r="G33" s="16">
        <v>807.54</v>
      </c>
      <c r="H33" s="17">
        <v>0.0</v>
      </c>
      <c r="I33" s="16">
        <f t="shared" si="10"/>
        <v>7.54</v>
      </c>
      <c r="J33" s="18">
        <f t="shared" si="2"/>
        <v>0.9425</v>
      </c>
      <c r="K33" s="17">
        <v>1.92</v>
      </c>
      <c r="L33" s="19">
        <f t="shared" si="3"/>
        <v>0</v>
      </c>
      <c r="M33" s="20">
        <f t="shared" si="4"/>
        <v>162.450432</v>
      </c>
      <c r="N33" s="21">
        <f t="shared" si="9"/>
        <v>1.92</v>
      </c>
      <c r="O33" s="21">
        <f t="shared" si="5"/>
        <v>1536</v>
      </c>
      <c r="P33" s="22">
        <f t="shared" si="6"/>
        <v>129960.3456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46176.0</v>
      </c>
      <c r="C34" s="12">
        <f>VLOOKUP(B:B,'Курс валют'!A:D,4,0)</f>
        <v>84.6096</v>
      </c>
      <c r="D34" s="13" t="s">
        <v>163</v>
      </c>
      <c r="E34" s="26" t="s">
        <v>54</v>
      </c>
      <c r="F34" s="15">
        <v>800.0</v>
      </c>
      <c r="G34" s="16">
        <v>807.54</v>
      </c>
      <c r="H34" s="17">
        <v>0.0</v>
      </c>
      <c r="I34" s="16">
        <f t="shared" si="10"/>
        <v>7.54</v>
      </c>
      <c r="J34" s="18">
        <f t="shared" si="2"/>
        <v>0.9425</v>
      </c>
      <c r="K34" s="17">
        <v>1.92</v>
      </c>
      <c r="L34" s="19">
        <f t="shared" si="3"/>
        <v>0</v>
      </c>
      <c r="M34" s="20">
        <f t="shared" si="4"/>
        <v>162.450432</v>
      </c>
      <c r="N34" s="21">
        <f t="shared" si="9"/>
        <v>1.92</v>
      </c>
      <c r="O34" s="21">
        <f t="shared" si="5"/>
        <v>1536</v>
      </c>
      <c r="P34" s="22">
        <f t="shared" si="6"/>
        <v>129960.3456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46177.0</v>
      </c>
      <c r="C35" s="12">
        <f>VLOOKUP(B:B,'Курс валют'!A:D,4,0)</f>
        <v>85.1243</v>
      </c>
      <c r="D35" s="13" t="s">
        <v>164</v>
      </c>
      <c r="E35" s="26" t="s">
        <v>53</v>
      </c>
      <c r="F35" s="15">
        <v>800.0</v>
      </c>
      <c r="G35" s="16">
        <v>806.62</v>
      </c>
      <c r="H35" s="17">
        <v>0.0</v>
      </c>
      <c r="I35" s="16">
        <f t="shared" si="10"/>
        <v>6.62</v>
      </c>
      <c r="J35" s="18">
        <f t="shared" si="2"/>
        <v>0.8275</v>
      </c>
      <c r="K35" s="17">
        <v>1.9</v>
      </c>
      <c r="L35" s="19">
        <f t="shared" si="3"/>
        <v>0</v>
      </c>
      <c r="M35" s="20">
        <f t="shared" si="4"/>
        <v>161.73617</v>
      </c>
      <c r="N35" s="21">
        <f t="shared" si="9"/>
        <v>1.9</v>
      </c>
      <c r="O35" s="21">
        <f t="shared" si="5"/>
        <v>1520</v>
      </c>
      <c r="P35" s="22">
        <f t="shared" si="6"/>
        <v>129388.936</v>
      </c>
      <c r="R35" s="23"/>
      <c r="S35" s="57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46177.0</v>
      </c>
      <c r="C36" s="12">
        <f>VLOOKUP(B:B,'Курс валют'!A:D,4,0)</f>
        <v>85.1243</v>
      </c>
      <c r="D36" s="13" t="s">
        <v>165</v>
      </c>
      <c r="E36" s="26" t="s">
        <v>53</v>
      </c>
      <c r="F36" s="15">
        <v>800.0</v>
      </c>
      <c r="G36" s="16">
        <v>806.62</v>
      </c>
      <c r="H36" s="17">
        <v>0.0</v>
      </c>
      <c r="I36" s="16">
        <f t="shared" si="10"/>
        <v>6.62</v>
      </c>
      <c r="J36" s="18">
        <f t="shared" si="2"/>
        <v>0.8275</v>
      </c>
      <c r="K36" s="58">
        <v>1.89</v>
      </c>
      <c r="L36" s="19">
        <f t="shared" si="3"/>
        <v>0</v>
      </c>
      <c r="M36" s="20">
        <f t="shared" si="4"/>
        <v>160.884927</v>
      </c>
      <c r="N36" s="21">
        <f t="shared" si="9"/>
        <v>1.89</v>
      </c>
      <c r="O36" s="21">
        <f t="shared" si="5"/>
        <v>1512</v>
      </c>
      <c r="P36" s="22">
        <f t="shared" si="6"/>
        <v>128707.9416</v>
      </c>
      <c r="R36" s="23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46177.0</v>
      </c>
      <c r="C37" s="12">
        <f>VLOOKUP(B:B,'Курс валют'!A:D,4,0)</f>
        <v>85.1243</v>
      </c>
      <c r="D37" s="13" t="s">
        <v>166</v>
      </c>
      <c r="E37" s="26" t="s">
        <v>53</v>
      </c>
      <c r="F37" s="15">
        <v>800.0</v>
      </c>
      <c r="G37" s="16">
        <v>806.62</v>
      </c>
      <c r="H37" s="17">
        <v>0.0</v>
      </c>
      <c r="I37" s="16">
        <f t="shared" si="10"/>
        <v>6.62</v>
      </c>
      <c r="J37" s="18">
        <f t="shared" si="2"/>
        <v>0.8275</v>
      </c>
      <c r="K37" s="58">
        <v>1.89</v>
      </c>
      <c r="L37" s="19">
        <f t="shared" si="3"/>
        <v>0</v>
      </c>
      <c r="M37" s="20">
        <f t="shared" si="4"/>
        <v>160.884927</v>
      </c>
      <c r="N37" s="21">
        <f>(F37*K37-H37*22.5)/F37</f>
        <v>1.89</v>
      </c>
      <c r="O37" s="21">
        <f t="shared" si="5"/>
        <v>1512</v>
      </c>
      <c r="P37" s="22">
        <f t="shared" si="6"/>
        <v>128707.9416</v>
      </c>
      <c r="R37" s="23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46177.0</v>
      </c>
      <c r="C38" s="12">
        <f>VLOOKUP(B:B,'Курс валют'!A:D,4,0)</f>
        <v>85.1243</v>
      </c>
      <c r="D38" s="13" t="s">
        <v>167</v>
      </c>
      <c r="E38" s="26" t="s">
        <v>53</v>
      </c>
      <c r="F38" s="15">
        <v>800.0</v>
      </c>
      <c r="G38" s="16">
        <v>806.62</v>
      </c>
      <c r="H38" s="17">
        <v>0.0</v>
      </c>
      <c r="I38" s="16">
        <f t="shared" si="10"/>
        <v>6.62</v>
      </c>
      <c r="J38" s="18">
        <f t="shared" si="2"/>
        <v>0.8275</v>
      </c>
      <c r="K38" s="58">
        <v>1.89</v>
      </c>
      <c r="L38" s="19">
        <f t="shared" si="3"/>
        <v>0</v>
      </c>
      <c r="M38" s="20">
        <f t="shared" si="4"/>
        <v>160.884927</v>
      </c>
      <c r="N38" s="21">
        <f t="shared" ref="N38:N262" si="11">(F38*K38-H38*3.04)/F38</f>
        <v>1.89</v>
      </c>
      <c r="O38" s="21">
        <f t="shared" si="5"/>
        <v>1512</v>
      </c>
      <c r="P38" s="22">
        <f t="shared" si="6"/>
        <v>128707.9416</v>
      </c>
      <c r="R38" s="23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46177.0</v>
      </c>
      <c r="C39" s="12">
        <f>VLOOKUP(B:B,'Курс валют'!A:D,4,0)</f>
        <v>85.1243</v>
      </c>
      <c r="D39" s="13" t="s">
        <v>168</v>
      </c>
      <c r="E39" s="26" t="s">
        <v>53</v>
      </c>
      <c r="F39" s="15">
        <v>800.0</v>
      </c>
      <c r="G39" s="16">
        <v>806.62</v>
      </c>
      <c r="H39" s="17">
        <v>0.0</v>
      </c>
      <c r="I39" s="16">
        <f t="shared" si="10"/>
        <v>6.62</v>
      </c>
      <c r="J39" s="18">
        <f t="shared" si="2"/>
        <v>0.8275</v>
      </c>
      <c r="K39" s="58">
        <v>1.9</v>
      </c>
      <c r="L39" s="19">
        <f t="shared" si="3"/>
        <v>0</v>
      </c>
      <c r="M39" s="20">
        <f t="shared" si="4"/>
        <v>161.73617</v>
      </c>
      <c r="N39" s="21">
        <f t="shared" si="11"/>
        <v>1.9</v>
      </c>
      <c r="O39" s="21">
        <f t="shared" si="5"/>
        <v>1520</v>
      </c>
      <c r="P39" s="22">
        <f t="shared" si="6"/>
        <v>129388.936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11">
        <v>46177.0</v>
      </c>
      <c r="C40" s="12">
        <f>VLOOKUP(B:B,'Курс валют'!A:D,4,0)</f>
        <v>85.1243</v>
      </c>
      <c r="D40" s="13" t="s">
        <v>169</v>
      </c>
      <c r="E40" s="59" t="s">
        <v>170</v>
      </c>
      <c r="F40" s="15">
        <v>99.0</v>
      </c>
      <c r="G40" s="60">
        <v>99.0</v>
      </c>
      <c r="H40" s="17">
        <v>0.0</v>
      </c>
      <c r="I40" s="16">
        <f t="shared" si="10"/>
        <v>0</v>
      </c>
      <c r="J40" s="18">
        <f t="shared" si="2"/>
        <v>0</v>
      </c>
      <c r="K40" s="58">
        <v>2.42</v>
      </c>
      <c r="L40" s="19">
        <f t="shared" si="3"/>
        <v>0</v>
      </c>
      <c r="M40" s="20">
        <f t="shared" si="4"/>
        <v>206.000806</v>
      </c>
      <c r="N40" s="21">
        <f t="shared" si="11"/>
        <v>2.42</v>
      </c>
      <c r="O40" s="21">
        <f t="shared" si="5"/>
        <v>239.58</v>
      </c>
      <c r="P40" s="22">
        <f t="shared" si="6"/>
        <v>20394.07979</v>
      </c>
      <c r="R40" s="23" t="s">
        <v>171</v>
      </c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11">
        <v>46177.0</v>
      </c>
      <c r="C41" s="12">
        <f>VLOOKUP(B:B,'Курс валют'!A:D,4,0)</f>
        <v>85.1243</v>
      </c>
      <c r="D41" s="13" t="s">
        <v>172</v>
      </c>
      <c r="E41" s="59" t="s">
        <v>53</v>
      </c>
      <c r="F41" s="15">
        <v>800.0</v>
      </c>
      <c r="G41" s="60">
        <v>806.62</v>
      </c>
      <c r="H41" s="17">
        <v>0.0</v>
      </c>
      <c r="I41" s="16">
        <f t="shared" si="10"/>
        <v>6.62</v>
      </c>
      <c r="J41" s="18">
        <f t="shared" si="2"/>
        <v>0.8275</v>
      </c>
      <c r="K41" s="58">
        <v>1.89</v>
      </c>
      <c r="L41" s="19">
        <f t="shared" si="3"/>
        <v>0</v>
      </c>
      <c r="M41" s="20">
        <f t="shared" si="4"/>
        <v>160.884927</v>
      </c>
      <c r="N41" s="21">
        <f t="shared" si="11"/>
        <v>1.89</v>
      </c>
      <c r="O41" s="21">
        <f t="shared" si="5"/>
        <v>1512</v>
      </c>
      <c r="P41" s="22">
        <f t="shared" si="6"/>
        <v>128707.9416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46177.0</v>
      </c>
      <c r="C42" s="12">
        <f>VLOOKUP(B:B,'Курс валют'!A:D,4,0)</f>
        <v>85.1243</v>
      </c>
      <c r="D42" s="13" t="s">
        <v>173</v>
      </c>
      <c r="E42" s="59" t="s">
        <v>174</v>
      </c>
      <c r="F42" s="15">
        <v>40.0</v>
      </c>
      <c r="G42" s="60">
        <v>40.0</v>
      </c>
      <c r="H42" s="17">
        <v>0.0</v>
      </c>
      <c r="I42" s="16">
        <f t="shared" si="10"/>
        <v>0</v>
      </c>
      <c r="J42" s="18">
        <f t="shared" si="2"/>
        <v>0</v>
      </c>
      <c r="K42" s="58">
        <v>3.32</v>
      </c>
      <c r="L42" s="19">
        <f t="shared" si="3"/>
        <v>0</v>
      </c>
      <c r="M42" s="20">
        <f t="shared" si="4"/>
        <v>282.612676</v>
      </c>
      <c r="N42" s="21">
        <f t="shared" si="11"/>
        <v>3.32</v>
      </c>
      <c r="O42" s="21">
        <f t="shared" si="5"/>
        <v>132.8</v>
      </c>
      <c r="P42" s="22">
        <f t="shared" si="6"/>
        <v>11304.50704</v>
      </c>
      <c r="R42" s="23" t="s">
        <v>175</v>
      </c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11">
        <v>46177.0</v>
      </c>
      <c r="C43" s="12">
        <f>VLOOKUP(B:B,'Курс валют'!A:D,4,0)</f>
        <v>85.1243</v>
      </c>
      <c r="D43" s="13" t="s">
        <v>176</v>
      </c>
      <c r="E43" s="59" t="s">
        <v>53</v>
      </c>
      <c r="F43" s="15">
        <v>800.0</v>
      </c>
      <c r="G43" s="60">
        <v>806.62</v>
      </c>
      <c r="H43" s="17">
        <v>0.0</v>
      </c>
      <c r="I43" s="16">
        <f t="shared" si="10"/>
        <v>6.62</v>
      </c>
      <c r="J43" s="18">
        <f t="shared" si="2"/>
        <v>0.8275</v>
      </c>
      <c r="K43" s="58">
        <v>1.89</v>
      </c>
      <c r="L43" s="19">
        <f t="shared" si="3"/>
        <v>0</v>
      </c>
      <c r="M43" s="20">
        <f t="shared" si="4"/>
        <v>160.884927</v>
      </c>
      <c r="N43" s="21">
        <f t="shared" si="11"/>
        <v>1.89</v>
      </c>
      <c r="O43" s="21">
        <f t="shared" si="5"/>
        <v>1512</v>
      </c>
      <c r="P43" s="22">
        <f t="shared" si="6"/>
        <v>128707.9416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46177.0</v>
      </c>
      <c r="C44" s="12">
        <f>VLOOKUP(B:B,'Курс валют'!A:D,4,0)</f>
        <v>85.1243</v>
      </c>
      <c r="D44" s="13" t="s">
        <v>177</v>
      </c>
      <c r="E44" s="59" t="s">
        <v>53</v>
      </c>
      <c r="F44" s="15">
        <v>800.0</v>
      </c>
      <c r="G44" s="60">
        <v>806.62</v>
      </c>
      <c r="H44" s="17">
        <v>0.0</v>
      </c>
      <c r="I44" s="16">
        <f t="shared" si="10"/>
        <v>6.62</v>
      </c>
      <c r="J44" s="18">
        <f t="shared" si="2"/>
        <v>0.8275</v>
      </c>
      <c r="K44" s="58">
        <v>1.89</v>
      </c>
      <c r="L44" s="19">
        <f t="shared" si="3"/>
        <v>0</v>
      </c>
      <c r="M44" s="20">
        <f t="shared" si="4"/>
        <v>160.884927</v>
      </c>
      <c r="N44" s="21">
        <f t="shared" si="11"/>
        <v>1.89</v>
      </c>
      <c r="O44" s="21">
        <f t="shared" si="5"/>
        <v>1512</v>
      </c>
      <c r="P44" s="22">
        <f t="shared" si="6"/>
        <v>128707.9416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46177.0</v>
      </c>
      <c r="C45" s="12">
        <f>VLOOKUP(B:B,'Курс валют'!A:D,4,0)</f>
        <v>85.1243</v>
      </c>
      <c r="D45" s="13" t="s">
        <v>178</v>
      </c>
      <c r="E45" s="59" t="s">
        <v>63</v>
      </c>
      <c r="F45" s="15">
        <v>2250.0</v>
      </c>
      <c r="G45" s="60">
        <v>2295.4</v>
      </c>
      <c r="H45" s="17">
        <v>0.0</v>
      </c>
      <c r="I45" s="16">
        <f t="shared" si="10"/>
        <v>45.4</v>
      </c>
      <c r="J45" s="18">
        <f t="shared" si="2"/>
        <v>2.017777778</v>
      </c>
      <c r="K45" s="17">
        <v>2.18</v>
      </c>
      <c r="L45" s="19">
        <f t="shared" si="3"/>
        <v>0</v>
      </c>
      <c r="M45" s="20">
        <f t="shared" si="4"/>
        <v>185.570974</v>
      </c>
      <c r="N45" s="21">
        <f t="shared" si="11"/>
        <v>2.18</v>
      </c>
      <c r="O45" s="21">
        <f t="shared" si="5"/>
        <v>4905</v>
      </c>
      <c r="P45" s="22">
        <f t="shared" si="6"/>
        <v>417534.6915</v>
      </c>
      <c r="R45" s="23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46177.0</v>
      </c>
      <c r="C46" s="12">
        <f>VLOOKUP(B:B,'Курс валют'!A:D,4,0)</f>
        <v>85.1243</v>
      </c>
      <c r="D46" s="13" t="s">
        <v>179</v>
      </c>
      <c r="E46" s="59" t="s">
        <v>53</v>
      </c>
      <c r="F46" s="15">
        <v>800.0</v>
      </c>
      <c r="G46" s="60">
        <v>806.62</v>
      </c>
      <c r="H46" s="17">
        <v>0.0</v>
      </c>
      <c r="I46" s="16">
        <f t="shared" si="10"/>
        <v>6.62</v>
      </c>
      <c r="J46" s="18">
        <f t="shared" si="2"/>
        <v>0.8275</v>
      </c>
      <c r="K46" s="58">
        <v>1.9</v>
      </c>
      <c r="L46" s="19">
        <f t="shared" si="3"/>
        <v>0</v>
      </c>
      <c r="M46" s="20">
        <f t="shared" si="4"/>
        <v>161.73617</v>
      </c>
      <c r="N46" s="21">
        <f t="shared" si="11"/>
        <v>1.9</v>
      </c>
      <c r="O46" s="21">
        <f t="shared" si="5"/>
        <v>1520</v>
      </c>
      <c r="P46" s="22">
        <f t="shared" si="6"/>
        <v>129388.936</v>
      </c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46177.0</v>
      </c>
      <c r="C47" s="12">
        <f>VLOOKUP(B:B,'Курс валют'!A:D,4,0)</f>
        <v>85.1243</v>
      </c>
      <c r="D47" s="13" t="s">
        <v>180</v>
      </c>
      <c r="E47" s="59" t="s">
        <v>53</v>
      </c>
      <c r="F47" s="15">
        <v>800.0</v>
      </c>
      <c r="G47" s="60">
        <v>806.62</v>
      </c>
      <c r="H47" s="17">
        <v>0.0</v>
      </c>
      <c r="I47" s="16">
        <f t="shared" si="10"/>
        <v>6.62</v>
      </c>
      <c r="J47" s="18">
        <f t="shared" si="2"/>
        <v>0.8275</v>
      </c>
      <c r="K47" s="58">
        <v>1.89</v>
      </c>
      <c r="L47" s="19">
        <f t="shared" si="3"/>
        <v>0</v>
      </c>
      <c r="M47" s="20">
        <f t="shared" si="4"/>
        <v>160.884927</v>
      </c>
      <c r="N47" s="21">
        <f t="shared" si="11"/>
        <v>1.89</v>
      </c>
      <c r="O47" s="21">
        <f t="shared" si="5"/>
        <v>1512</v>
      </c>
      <c r="P47" s="22">
        <f t="shared" si="6"/>
        <v>128707.9416</v>
      </c>
      <c r="R47" s="23"/>
      <c r="S47" s="24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46178.0</v>
      </c>
      <c r="C48" s="12">
        <f>VLOOKUP(B:B,'Курс валют'!A:D,4,0)</f>
        <v>86.2712</v>
      </c>
      <c r="D48" s="13" t="s">
        <v>181</v>
      </c>
      <c r="E48" s="59" t="s">
        <v>71</v>
      </c>
      <c r="F48" s="15">
        <v>200.0</v>
      </c>
      <c r="G48" s="61">
        <v>200.0</v>
      </c>
      <c r="H48" s="17">
        <v>0.0</v>
      </c>
      <c r="I48" s="16">
        <f t="shared" si="10"/>
        <v>0</v>
      </c>
      <c r="J48" s="18">
        <f t="shared" si="2"/>
        <v>0</v>
      </c>
      <c r="K48" s="17">
        <v>2.3</v>
      </c>
      <c r="L48" s="19">
        <f t="shared" si="3"/>
        <v>0</v>
      </c>
      <c r="M48" s="20">
        <f t="shared" si="4"/>
        <v>198.42376</v>
      </c>
      <c r="N48" s="21">
        <f t="shared" si="11"/>
        <v>2.3</v>
      </c>
      <c r="O48" s="21">
        <f t="shared" si="5"/>
        <v>460</v>
      </c>
      <c r="P48" s="22">
        <f t="shared" si="6"/>
        <v>39684.752</v>
      </c>
      <c r="R48" s="23" t="s">
        <v>182</v>
      </c>
      <c r="S48" s="24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46178.0</v>
      </c>
      <c r="C49" s="12">
        <f>VLOOKUP(B:B,'Курс валют'!A:D,4,0)</f>
        <v>86.2712</v>
      </c>
      <c r="D49" s="13" t="s">
        <v>183</v>
      </c>
      <c r="E49" s="59" t="s">
        <v>71</v>
      </c>
      <c r="F49" s="15">
        <v>200.0</v>
      </c>
      <c r="G49" s="61">
        <v>200.0</v>
      </c>
      <c r="H49" s="17">
        <v>0.0</v>
      </c>
      <c r="I49" s="16">
        <f t="shared" si="10"/>
        <v>0</v>
      </c>
      <c r="J49" s="18">
        <f t="shared" si="2"/>
        <v>0</v>
      </c>
      <c r="K49" s="17">
        <v>2.3</v>
      </c>
      <c r="L49" s="19">
        <f t="shared" si="3"/>
        <v>0</v>
      </c>
      <c r="M49" s="20">
        <f t="shared" si="4"/>
        <v>198.42376</v>
      </c>
      <c r="N49" s="21">
        <f t="shared" si="11"/>
        <v>2.3</v>
      </c>
      <c r="O49" s="21">
        <f t="shared" si="5"/>
        <v>460</v>
      </c>
      <c r="P49" s="22">
        <f t="shared" si="6"/>
        <v>39684.752</v>
      </c>
      <c r="R49" s="23" t="s">
        <v>182</v>
      </c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46178.0</v>
      </c>
      <c r="C50" s="12">
        <f>VLOOKUP(B:B,'Курс валют'!A:D,4,0)</f>
        <v>86.2712</v>
      </c>
      <c r="D50" s="13" t="s">
        <v>184</v>
      </c>
      <c r="E50" s="59" t="s">
        <v>71</v>
      </c>
      <c r="F50" s="15">
        <v>200.0</v>
      </c>
      <c r="G50" s="61">
        <v>200.0</v>
      </c>
      <c r="H50" s="17">
        <v>0.0</v>
      </c>
      <c r="I50" s="16">
        <f t="shared" si="10"/>
        <v>0</v>
      </c>
      <c r="J50" s="18">
        <f t="shared" si="2"/>
        <v>0</v>
      </c>
      <c r="K50" s="17">
        <v>2.3</v>
      </c>
      <c r="L50" s="19">
        <f t="shared" si="3"/>
        <v>0</v>
      </c>
      <c r="M50" s="20">
        <f t="shared" si="4"/>
        <v>198.42376</v>
      </c>
      <c r="N50" s="21">
        <f t="shared" si="11"/>
        <v>2.3</v>
      </c>
      <c r="O50" s="21">
        <f t="shared" si="5"/>
        <v>460</v>
      </c>
      <c r="P50" s="22">
        <f t="shared" si="6"/>
        <v>39684.752</v>
      </c>
      <c r="R50" s="23" t="s">
        <v>182</v>
      </c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46178.0</v>
      </c>
      <c r="C51" s="12">
        <f>VLOOKUP(B:B,'Курс валют'!A:D,4,0)</f>
        <v>86.2712</v>
      </c>
      <c r="D51" s="13" t="s">
        <v>185</v>
      </c>
      <c r="E51" s="59" t="s">
        <v>71</v>
      </c>
      <c r="F51" s="15">
        <v>200.0</v>
      </c>
      <c r="G51" s="61">
        <v>200.0</v>
      </c>
      <c r="H51" s="17">
        <v>0.0</v>
      </c>
      <c r="I51" s="16">
        <f t="shared" si="10"/>
        <v>0</v>
      </c>
      <c r="J51" s="18">
        <f t="shared" si="2"/>
        <v>0</v>
      </c>
      <c r="K51" s="17">
        <v>2.3</v>
      </c>
      <c r="L51" s="19">
        <f t="shared" si="3"/>
        <v>0</v>
      </c>
      <c r="M51" s="20">
        <f t="shared" si="4"/>
        <v>198.42376</v>
      </c>
      <c r="N51" s="21">
        <f t="shared" si="11"/>
        <v>2.3</v>
      </c>
      <c r="O51" s="21">
        <f t="shared" si="5"/>
        <v>460</v>
      </c>
      <c r="P51" s="22">
        <f t="shared" si="6"/>
        <v>39684.752</v>
      </c>
      <c r="R51" s="23" t="s">
        <v>182</v>
      </c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46178.0</v>
      </c>
      <c r="C52" s="12">
        <f>VLOOKUP(B:B,'Курс валют'!A:D,4,0)</f>
        <v>86.2712</v>
      </c>
      <c r="D52" s="13" t="s">
        <v>186</v>
      </c>
      <c r="E52" s="59" t="s">
        <v>71</v>
      </c>
      <c r="F52" s="15">
        <v>200.0</v>
      </c>
      <c r="G52" s="61">
        <v>200.0</v>
      </c>
      <c r="H52" s="17">
        <v>0.0</v>
      </c>
      <c r="I52" s="16">
        <f t="shared" si="10"/>
        <v>0</v>
      </c>
      <c r="J52" s="18">
        <f t="shared" si="2"/>
        <v>0</v>
      </c>
      <c r="K52" s="17">
        <v>2.3</v>
      </c>
      <c r="L52" s="19">
        <f t="shared" si="3"/>
        <v>0</v>
      </c>
      <c r="M52" s="20">
        <f t="shared" si="4"/>
        <v>198.42376</v>
      </c>
      <c r="N52" s="21">
        <f t="shared" si="11"/>
        <v>2.3</v>
      </c>
      <c r="O52" s="21">
        <f t="shared" si="5"/>
        <v>460</v>
      </c>
      <c r="P52" s="22">
        <f t="shared" si="6"/>
        <v>39684.752</v>
      </c>
      <c r="R52" s="23" t="s">
        <v>182</v>
      </c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46178.0</v>
      </c>
      <c r="C53" s="12">
        <f>VLOOKUP(B:B,'Курс валют'!A:D,4,0)</f>
        <v>86.2712</v>
      </c>
      <c r="D53" s="13" t="s">
        <v>187</v>
      </c>
      <c r="E53" s="59" t="s">
        <v>71</v>
      </c>
      <c r="F53" s="15">
        <v>971.0</v>
      </c>
      <c r="G53" s="61">
        <v>1000.0</v>
      </c>
      <c r="H53" s="17">
        <v>0.0</v>
      </c>
      <c r="I53" s="16">
        <f t="shared" si="10"/>
        <v>29</v>
      </c>
      <c r="J53" s="18">
        <f t="shared" si="2"/>
        <v>2.98661174</v>
      </c>
      <c r="K53" s="62">
        <v>2.49</v>
      </c>
      <c r="L53" s="19">
        <f t="shared" si="3"/>
        <v>0</v>
      </c>
      <c r="M53" s="20">
        <f t="shared" si="4"/>
        <v>214.815288</v>
      </c>
      <c r="N53" s="21">
        <f t="shared" si="11"/>
        <v>2.49</v>
      </c>
      <c r="O53" s="21">
        <f t="shared" si="5"/>
        <v>2417.79</v>
      </c>
      <c r="P53" s="22">
        <f t="shared" si="6"/>
        <v>208585.6446</v>
      </c>
      <c r="R53" s="23" t="s">
        <v>188</v>
      </c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46178.0</v>
      </c>
      <c r="C54" s="12">
        <f>VLOOKUP(B:B,'Курс валют'!A:D,4,0)</f>
        <v>86.2712</v>
      </c>
      <c r="D54" s="13" t="s">
        <v>189</v>
      </c>
      <c r="E54" s="59" t="s">
        <v>18</v>
      </c>
      <c r="F54" s="15">
        <v>1100.0</v>
      </c>
      <c r="G54" s="61">
        <v>1108.5</v>
      </c>
      <c r="H54" s="58">
        <v>0.0</v>
      </c>
      <c r="I54" s="16">
        <f t="shared" si="10"/>
        <v>8.5</v>
      </c>
      <c r="J54" s="18">
        <f t="shared" si="2"/>
        <v>0.7727272727</v>
      </c>
      <c r="K54" s="62">
        <v>2.81</v>
      </c>
      <c r="L54" s="19">
        <f t="shared" si="3"/>
        <v>0</v>
      </c>
      <c r="M54" s="20">
        <f t="shared" si="4"/>
        <v>242.422072</v>
      </c>
      <c r="N54" s="21">
        <f t="shared" si="11"/>
        <v>2.81</v>
      </c>
      <c r="O54" s="21">
        <f t="shared" si="5"/>
        <v>3091</v>
      </c>
      <c r="P54" s="22">
        <f t="shared" si="6"/>
        <v>266664.2792</v>
      </c>
      <c r="R54" s="23"/>
      <c r="S54" s="24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46178.0</v>
      </c>
      <c r="C55" s="12">
        <f>VLOOKUP(B:B,'Курс валют'!A:D,4,0)</f>
        <v>86.2712</v>
      </c>
      <c r="D55" s="13" t="s">
        <v>190</v>
      </c>
      <c r="E55" s="59" t="s">
        <v>18</v>
      </c>
      <c r="F55" s="15">
        <v>1100.0</v>
      </c>
      <c r="G55" s="61">
        <v>1108.5</v>
      </c>
      <c r="H55" s="17">
        <v>0.0</v>
      </c>
      <c r="I55" s="16">
        <f t="shared" si="10"/>
        <v>8.5</v>
      </c>
      <c r="J55" s="18">
        <f t="shared" si="2"/>
        <v>0.7727272727</v>
      </c>
      <c r="K55" s="17">
        <v>2.41</v>
      </c>
      <c r="L55" s="19">
        <f t="shared" si="3"/>
        <v>0</v>
      </c>
      <c r="M55" s="20">
        <f t="shared" si="4"/>
        <v>207.913592</v>
      </c>
      <c r="N55" s="21">
        <f t="shared" si="11"/>
        <v>2.41</v>
      </c>
      <c r="O55" s="21">
        <f t="shared" si="5"/>
        <v>2651</v>
      </c>
      <c r="P55" s="22">
        <f t="shared" si="6"/>
        <v>228704.9512</v>
      </c>
      <c r="R55" s="23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46178.0</v>
      </c>
      <c r="C56" s="12">
        <f>VLOOKUP(B:B,'Курс валют'!A:D,4,0)</f>
        <v>86.2712</v>
      </c>
      <c r="D56" s="13" t="s">
        <v>191</v>
      </c>
      <c r="E56" s="59" t="s">
        <v>18</v>
      </c>
      <c r="F56" s="15">
        <v>1100.0</v>
      </c>
      <c r="G56" s="61">
        <v>1108.5</v>
      </c>
      <c r="H56" s="58">
        <v>0.0</v>
      </c>
      <c r="I56" s="16">
        <f t="shared" si="10"/>
        <v>8.5</v>
      </c>
      <c r="J56" s="18">
        <f t="shared" si="2"/>
        <v>0.7727272727</v>
      </c>
      <c r="K56" s="17">
        <v>2.41</v>
      </c>
      <c r="L56" s="19">
        <f t="shared" si="3"/>
        <v>0</v>
      </c>
      <c r="M56" s="20">
        <f t="shared" si="4"/>
        <v>207.913592</v>
      </c>
      <c r="N56" s="21">
        <f t="shared" si="11"/>
        <v>2.41</v>
      </c>
      <c r="O56" s="21">
        <f t="shared" si="5"/>
        <v>2651</v>
      </c>
      <c r="P56" s="22">
        <f t="shared" si="6"/>
        <v>228704.9512</v>
      </c>
      <c r="R56" s="23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>
        <v>46178.0</v>
      </c>
      <c r="C57" s="12">
        <f>VLOOKUP(B:B,'Курс валют'!A:D,4,0)</f>
        <v>86.2712</v>
      </c>
      <c r="D57" s="13" t="s">
        <v>192</v>
      </c>
      <c r="E57" s="59" t="s">
        <v>18</v>
      </c>
      <c r="F57" s="15">
        <v>1100.0</v>
      </c>
      <c r="G57" s="61">
        <v>1108.5</v>
      </c>
      <c r="H57" s="17">
        <v>0.0</v>
      </c>
      <c r="I57" s="16">
        <f t="shared" si="10"/>
        <v>8.5</v>
      </c>
      <c r="J57" s="18">
        <f t="shared" si="2"/>
        <v>0.7727272727</v>
      </c>
      <c r="K57" s="17">
        <v>2.41</v>
      </c>
      <c r="L57" s="19">
        <f t="shared" si="3"/>
        <v>0</v>
      </c>
      <c r="M57" s="20">
        <f t="shared" si="4"/>
        <v>207.913592</v>
      </c>
      <c r="N57" s="21">
        <f t="shared" si="11"/>
        <v>2.41</v>
      </c>
      <c r="O57" s="21">
        <f t="shared" si="5"/>
        <v>2651</v>
      </c>
      <c r="P57" s="22">
        <f t="shared" si="6"/>
        <v>228704.9512</v>
      </c>
      <c r="R57" s="23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>
        <v>46178.0</v>
      </c>
      <c r="C58" s="12">
        <f>VLOOKUP(B:B,'Курс валют'!A:D,4,0)</f>
        <v>86.2712</v>
      </c>
      <c r="D58" s="13" t="s">
        <v>193</v>
      </c>
      <c r="E58" s="59" t="s">
        <v>18</v>
      </c>
      <c r="F58" s="15">
        <v>1100.0</v>
      </c>
      <c r="G58" s="61">
        <v>1108.5</v>
      </c>
      <c r="H58" s="58">
        <v>0.0</v>
      </c>
      <c r="I58" s="16">
        <f t="shared" si="10"/>
        <v>8.5</v>
      </c>
      <c r="J58" s="18">
        <f t="shared" si="2"/>
        <v>0.7727272727</v>
      </c>
      <c r="K58" s="17">
        <v>2.41</v>
      </c>
      <c r="L58" s="19">
        <f t="shared" si="3"/>
        <v>0</v>
      </c>
      <c r="M58" s="20">
        <f t="shared" si="4"/>
        <v>207.913592</v>
      </c>
      <c r="N58" s="21">
        <f t="shared" si="11"/>
        <v>2.41</v>
      </c>
      <c r="O58" s="21">
        <f t="shared" si="5"/>
        <v>2651</v>
      </c>
      <c r="P58" s="22">
        <f t="shared" si="6"/>
        <v>228704.9512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>
        <v>46178.0</v>
      </c>
      <c r="C59" s="12">
        <f>VLOOKUP(B:B,'Курс валют'!A:D,4,0)</f>
        <v>86.2712</v>
      </c>
      <c r="D59" s="15" t="s">
        <v>194</v>
      </c>
      <c r="E59" s="59" t="s">
        <v>18</v>
      </c>
      <c r="F59" s="15">
        <v>1100.0</v>
      </c>
      <c r="G59" s="61">
        <v>1108.5</v>
      </c>
      <c r="H59" s="17">
        <v>0.0</v>
      </c>
      <c r="I59" s="16">
        <f t="shared" si="10"/>
        <v>8.5</v>
      </c>
      <c r="J59" s="18">
        <f t="shared" si="2"/>
        <v>0.7727272727</v>
      </c>
      <c r="K59" s="17">
        <v>2.41</v>
      </c>
      <c r="L59" s="19">
        <f t="shared" si="3"/>
        <v>0</v>
      </c>
      <c r="M59" s="20">
        <f t="shared" si="4"/>
        <v>207.913592</v>
      </c>
      <c r="N59" s="21">
        <f t="shared" si="11"/>
        <v>2.41</v>
      </c>
      <c r="O59" s="21">
        <f t="shared" si="5"/>
        <v>2651</v>
      </c>
      <c r="P59" s="22">
        <f t="shared" si="6"/>
        <v>228704.9512</v>
      </c>
      <c r="R59" s="23"/>
      <c r="S59" s="24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>
        <v>46178.0</v>
      </c>
      <c r="C60" s="12">
        <f>VLOOKUP(B:B,'Курс валют'!A:D,4,0)</f>
        <v>86.2712</v>
      </c>
      <c r="D60" s="15" t="s">
        <v>195</v>
      </c>
      <c r="E60" s="59" t="s">
        <v>18</v>
      </c>
      <c r="F60" s="15">
        <v>1100.0</v>
      </c>
      <c r="G60" s="61">
        <v>1108.5</v>
      </c>
      <c r="H60" s="58">
        <v>0.0</v>
      </c>
      <c r="I60" s="16">
        <f t="shared" si="10"/>
        <v>8.5</v>
      </c>
      <c r="J60" s="18">
        <f t="shared" si="2"/>
        <v>0.7727272727</v>
      </c>
      <c r="K60" s="17">
        <v>2.41</v>
      </c>
      <c r="L60" s="19">
        <f t="shared" si="3"/>
        <v>0</v>
      </c>
      <c r="M60" s="20">
        <f t="shared" si="4"/>
        <v>207.913592</v>
      </c>
      <c r="N60" s="21">
        <f t="shared" si="11"/>
        <v>2.41</v>
      </c>
      <c r="O60" s="21">
        <f t="shared" si="5"/>
        <v>2651</v>
      </c>
      <c r="P60" s="22">
        <f t="shared" si="6"/>
        <v>228704.9512</v>
      </c>
      <c r="R60" s="23"/>
      <c r="S60" s="24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46178.0</v>
      </c>
      <c r="C61" s="12">
        <f>VLOOKUP(B:B,'Курс валют'!A:D,4,0)</f>
        <v>86.2712</v>
      </c>
      <c r="D61" s="15" t="s">
        <v>196</v>
      </c>
      <c r="E61" s="59" t="s">
        <v>63</v>
      </c>
      <c r="F61" s="15">
        <v>2250.0</v>
      </c>
      <c r="G61" s="61">
        <v>2295.4</v>
      </c>
      <c r="H61" s="17">
        <v>0.0</v>
      </c>
      <c r="I61" s="16">
        <f t="shared" si="10"/>
        <v>45.4</v>
      </c>
      <c r="J61" s="18">
        <f t="shared" si="2"/>
        <v>2.017777778</v>
      </c>
      <c r="K61" s="17">
        <v>2.16</v>
      </c>
      <c r="L61" s="19">
        <f t="shared" si="3"/>
        <v>0</v>
      </c>
      <c r="M61" s="20">
        <f t="shared" si="4"/>
        <v>186.345792</v>
      </c>
      <c r="N61" s="21">
        <f t="shared" si="11"/>
        <v>2.16</v>
      </c>
      <c r="O61" s="21">
        <f t="shared" si="5"/>
        <v>4860</v>
      </c>
      <c r="P61" s="22">
        <f t="shared" si="6"/>
        <v>419278.032</v>
      </c>
      <c r="R61" s="23"/>
      <c r="S61" s="24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>
        <v>46178.0</v>
      </c>
      <c r="C62" s="12">
        <f>VLOOKUP(B:B,'Курс валют'!A:D,4,0)</f>
        <v>86.2712</v>
      </c>
      <c r="D62" s="15" t="s">
        <v>197</v>
      </c>
      <c r="E62" s="59" t="s">
        <v>18</v>
      </c>
      <c r="F62" s="15">
        <v>1100.0</v>
      </c>
      <c r="G62" s="61">
        <v>1108.5</v>
      </c>
      <c r="H62" s="58">
        <v>0.0</v>
      </c>
      <c r="I62" s="16">
        <f t="shared" si="10"/>
        <v>8.5</v>
      </c>
      <c r="J62" s="18">
        <f t="shared" si="2"/>
        <v>0.7727272727</v>
      </c>
      <c r="K62" s="17">
        <v>2.41</v>
      </c>
      <c r="L62" s="19">
        <f t="shared" si="3"/>
        <v>0</v>
      </c>
      <c r="M62" s="20">
        <f t="shared" si="4"/>
        <v>207.913592</v>
      </c>
      <c r="N62" s="21">
        <f t="shared" si="11"/>
        <v>2.41</v>
      </c>
      <c r="O62" s="21">
        <f t="shared" si="5"/>
        <v>2651</v>
      </c>
      <c r="P62" s="22">
        <f t="shared" si="6"/>
        <v>228704.9512</v>
      </c>
      <c r="R62" s="23"/>
      <c r="S62" s="24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>
        <v>46178.0</v>
      </c>
      <c r="C63" s="12">
        <f>VLOOKUP(B:B,'Курс валют'!A:D,4,0)</f>
        <v>86.2712</v>
      </c>
      <c r="D63" s="15" t="s">
        <v>198</v>
      </c>
      <c r="E63" s="59" t="s">
        <v>18</v>
      </c>
      <c r="F63" s="15">
        <v>1100.0</v>
      </c>
      <c r="G63" s="61">
        <v>1108.5</v>
      </c>
      <c r="H63" s="17">
        <v>0.0</v>
      </c>
      <c r="I63" s="16">
        <f t="shared" si="10"/>
        <v>8.5</v>
      </c>
      <c r="J63" s="18">
        <f t="shared" si="2"/>
        <v>0.7727272727</v>
      </c>
      <c r="K63" s="17">
        <v>2.41</v>
      </c>
      <c r="L63" s="19">
        <f t="shared" si="3"/>
        <v>0</v>
      </c>
      <c r="M63" s="20">
        <f t="shared" si="4"/>
        <v>207.913592</v>
      </c>
      <c r="N63" s="21">
        <f t="shared" si="11"/>
        <v>2.41</v>
      </c>
      <c r="O63" s="21">
        <f t="shared" si="5"/>
        <v>2651</v>
      </c>
      <c r="P63" s="22">
        <f t="shared" si="6"/>
        <v>228704.9512</v>
      </c>
      <c r="R63" s="23"/>
      <c r="S63" s="24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>
        <v>46178.0</v>
      </c>
      <c r="C64" s="12">
        <f>VLOOKUP(B:B,'Курс валют'!A:D,4,0)</f>
        <v>86.2712</v>
      </c>
      <c r="D64" s="15" t="s">
        <v>199</v>
      </c>
      <c r="E64" s="59" t="s">
        <v>18</v>
      </c>
      <c r="F64" s="15">
        <v>1100.0</v>
      </c>
      <c r="G64" s="61">
        <v>1108.5</v>
      </c>
      <c r="H64" s="58">
        <v>0.0</v>
      </c>
      <c r="I64" s="16">
        <f t="shared" si="10"/>
        <v>8.5</v>
      </c>
      <c r="J64" s="18">
        <f t="shared" si="2"/>
        <v>0.7727272727</v>
      </c>
      <c r="K64" s="17">
        <v>2.41</v>
      </c>
      <c r="L64" s="19">
        <f t="shared" si="3"/>
        <v>0</v>
      </c>
      <c r="M64" s="20">
        <f t="shared" si="4"/>
        <v>207.913592</v>
      </c>
      <c r="N64" s="21">
        <f t="shared" si="11"/>
        <v>2.41</v>
      </c>
      <c r="O64" s="21">
        <f t="shared" si="5"/>
        <v>2651</v>
      </c>
      <c r="P64" s="22">
        <f t="shared" si="6"/>
        <v>228704.9512</v>
      </c>
      <c r="R64" s="23"/>
      <c r="S64" s="24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>
        <v>46179.0</v>
      </c>
      <c r="C65" s="12">
        <f>VLOOKUP(B:B,'Курс валют'!A:D,4,0)</f>
        <v>85.5582</v>
      </c>
      <c r="D65" s="15" t="s">
        <v>200</v>
      </c>
      <c r="E65" s="59" t="s">
        <v>63</v>
      </c>
      <c r="F65" s="15">
        <v>2250.0</v>
      </c>
      <c r="G65" s="61">
        <v>2295.4</v>
      </c>
      <c r="H65" s="27">
        <v>0.0</v>
      </c>
      <c r="I65" s="16">
        <f t="shared" si="10"/>
        <v>45.4</v>
      </c>
      <c r="J65" s="18">
        <f t="shared" si="2"/>
        <v>2.017777778</v>
      </c>
      <c r="K65" s="17">
        <v>2.16</v>
      </c>
      <c r="L65" s="19">
        <f t="shared" si="3"/>
        <v>0</v>
      </c>
      <c r="M65" s="20">
        <f t="shared" si="4"/>
        <v>184.805712</v>
      </c>
      <c r="N65" s="21">
        <f t="shared" si="11"/>
        <v>2.16</v>
      </c>
      <c r="O65" s="21">
        <f t="shared" si="5"/>
        <v>4860</v>
      </c>
      <c r="P65" s="22">
        <f t="shared" si="6"/>
        <v>415812.852</v>
      </c>
      <c r="R65" s="23"/>
      <c r="S65" s="24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>
        <v>46179.0</v>
      </c>
      <c r="C66" s="12">
        <f>VLOOKUP(B:B,'Курс валют'!A:D,4,0)</f>
        <v>85.5582</v>
      </c>
      <c r="D66" s="15" t="s">
        <v>201</v>
      </c>
      <c r="E66" s="59" t="s">
        <v>18</v>
      </c>
      <c r="F66" s="15">
        <v>1100.0</v>
      </c>
      <c r="G66" s="61">
        <v>1108.5</v>
      </c>
      <c r="H66" s="58">
        <v>0.0</v>
      </c>
      <c r="I66" s="16">
        <f t="shared" si="10"/>
        <v>8.5</v>
      </c>
      <c r="J66" s="18">
        <f t="shared" si="2"/>
        <v>0.7727272727</v>
      </c>
      <c r="K66" s="17">
        <v>2.41</v>
      </c>
      <c r="L66" s="19">
        <f t="shared" si="3"/>
        <v>0</v>
      </c>
      <c r="M66" s="20">
        <f t="shared" si="4"/>
        <v>206.195262</v>
      </c>
      <c r="N66" s="21">
        <f t="shared" si="11"/>
        <v>2.41</v>
      </c>
      <c r="O66" s="21">
        <f t="shared" si="5"/>
        <v>2651</v>
      </c>
      <c r="P66" s="22">
        <f t="shared" si="6"/>
        <v>226814.7882</v>
      </c>
      <c r="R66" s="23"/>
      <c r="S66" s="24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>
        <v>46179.0</v>
      </c>
      <c r="C67" s="12">
        <f>VLOOKUP(B:B,'Курс валют'!A:D,4,0)</f>
        <v>85.5582</v>
      </c>
      <c r="D67" s="15" t="s">
        <v>202</v>
      </c>
      <c r="E67" s="59" t="s">
        <v>18</v>
      </c>
      <c r="F67" s="15">
        <v>1100.0</v>
      </c>
      <c r="G67" s="61">
        <v>1108.5</v>
      </c>
      <c r="H67" s="58">
        <v>0.0</v>
      </c>
      <c r="I67" s="16">
        <f t="shared" si="10"/>
        <v>8.5</v>
      </c>
      <c r="J67" s="18">
        <f t="shared" si="2"/>
        <v>0.7727272727</v>
      </c>
      <c r="K67" s="17">
        <v>2.41</v>
      </c>
      <c r="L67" s="19">
        <f t="shared" si="3"/>
        <v>0</v>
      </c>
      <c r="M67" s="20">
        <f t="shared" si="4"/>
        <v>206.195262</v>
      </c>
      <c r="N67" s="21">
        <f t="shared" si="11"/>
        <v>2.41</v>
      </c>
      <c r="O67" s="21">
        <f t="shared" si="5"/>
        <v>2651</v>
      </c>
      <c r="P67" s="22">
        <f t="shared" si="6"/>
        <v>226814.7882</v>
      </c>
      <c r="R67" s="23"/>
      <c r="S67" s="24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>
        <v>46179.0</v>
      </c>
      <c r="C68" s="12">
        <f>VLOOKUP(B:B,'Курс валют'!A:D,4,0)</f>
        <v>85.5582</v>
      </c>
      <c r="D68" s="15" t="s">
        <v>203</v>
      </c>
      <c r="E68" s="59" t="s">
        <v>18</v>
      </c>
      <c r="F68" s="15">
        <v>1100.0</v>
      </c>
      <c r="G68" s="61">
        <v>1108.5</v>
      </c>
      <c r="H68" s="58">
        <v>0.0</v>
      </c>
      <c r="I68" s="16">
        <f t="shared" si="10"/>
        <v>8.5</v>
      </c>
      <c r="J68" s="18">
        <f t="shared" si="2"/>
        <v>0.7727272727</v>
      </c>
      <c r="K68" s="17">
        <v>2.41</v>
      </c>
      <c r="L68" s="19">
        <f t="shared" si="3"/>
        <v>0</v>
      </c>
      <c r="M68" s="20">
        <f t="shared" si="4"/>
        <v>206.195262</v>
      </c>
      <c r="N68" s="21">
        <f t="shared" si="11"/>
        <v>2.41</v>
      </c>
      <c r="O68" s="21">
        <f t="shared" si="5"/>
        <v>2651</v>
      </c>
      <c r="P68" s="22">
        <f t="shared" si="6"/>
        <v>226814.7882</v>
      </c>
      <c r="R68" s="23"/>
      <c r="S68" s="24"/>
      <c r="T68" s="25"/>
      <c r="U68" s="25"/>
      <c r="V68" s="25"/>
      <c r="W68" s="25"/>
      <c r="X68" s="25"/>
      <c r="Y68" s="25"/>
      <c r="Z68" s="25"/>
      <c r="AA68" s="25"/>
    </row>
    <row r="69">
      <c r="A69" s="30"/>
      <c r="B69" s="11">
        <v>46179.0</v>
      </c>
      <c r="C69" s="12">
        <f>VLOOKUP(B:B,'Курс валют'!A:D,4,0)</f>
        <v>85.5582</v>
      </c>
      <c r="D69" s="15" t="s">
        <v>204</v>
      </c>
      <c r="E69" s="59" t="s">
        <v>18</v>
      </c>
      <c r="F69" s="15">
        <v>1100.0</v>
      </c>
      <c r="G69" s="61">
        <v>1108.5</v>
      </c>
      <c r="H69" s="58">
        <v>0.0</v>
      </c>
      <c r="I69" s="16">
        <f t="shared" si="10"/>
        <v>8.5</v>
      </c>
      <c r="J69" s="18">
        <f t="shared" si="2"/>
        <v>0.7727272727</v>
      </c>
      <c r="K69" s="17">
        <v>2.41</v>
      </c>
      <c r="L69" s="19">
        <f t="shared" si="3"/>
        <v>0</v>
      </c>
      <c r="M69" s="20">
        <f t="shared" si="4"/>
        <v>206.195262</v>
      </c>
      <c r="N69" s="21">
        <f t="shared" si="11"/>
        <v>2.41</v>
      </c>
      <c r="O69" s="21">
        <f t="shared" si="5"/>
        <v>2651</v>
      </c>
      <c r="P69" s="22">
        <f t="shared" si="6"/>
        <v>226814.7882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/>
      <c r="B70" s="11">
        <v>46179.0</v>
      </c>
      <c r="C70" s="12">
        <f>VLOOKUP(B:B,'Курс валют'!A:D,4,0)</f>
        <v>85.5582</v>
      </c>
      <c r="D70" s="15" t="s">
        <v>205</v>
      </c>
      <c r="E70" s="59" t="s">
        <v>18</v>
      </c>
      <c r="F70" s="15">
        <v>1100.0</v>
      </c>
      <c r="G70" s="61">
        <v>1108.5</v>
      </c>
      <c r="H70" s="58">
        <v>0.0</v>
      </c>
      <c r="I70" s="16">
        <f t="shared" si="10"/>
        <v>8.5</v>
      </c>
      <c r="J70" s="18">
        <f t="shared" si="2"/>
        <v>0.7727272727</v>
      </c>
      <c r="K70" s="17">
        <v>2.41</v>
      </c>
      <c r="L70" s="19">
        <f t="shared" si="3"/>
        <v>0</v>
      </c>
      <c r="M70" s="20">
        <f t="shared" si="4"/>
        <v>206.195262</v>
      </c>
      <c r="N70" s="21">
        <f t="shared" si="11"/>
        <v>2.41</v>
      </c>
      <c r="O70" s="21">
        <f t="shared" si="5"/>
        <v>2651</v>
      </c>
      <c r="P70" s="22">
        <f t="shared" si="6"/>
        <v>226814.7882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30"/>
      <c r="B71" s="11">
        <v>46179.0</v>
      </c>
      <c r="C71" s="12">
        <f>VLOOKUP(B:B,'Курс валют'!A:D,4,0)</f>
        <v>85.5582</v>
      </c>
      <c r="D71" s="15" t="s">
        <v>206</v>
      </c>
      <c r="E71" s="59" t="s">
        <v>207</v>
      </c>
      <c r="F71" s="15">
        <v>220.0</v>
      </c>
      <c r="G71" s="61">
        <v>220.0</v>
      </c>
      <c r="H71" s="58">
        <v>0.0</v>
      </c>
      <c r="I71" s="16">
        <f t="shared" si="10"/>
        <v>0</v>
      </c>
      <c r="J71" s="18">
        <f t="shared" si="2"/>
        <v>0</v>
      </c>
      <c r="K71" s="17">
        <v>2.61</v>
      </c>
      <c r="L71" s="19">
        <f t="shared" si="3"/>
        <v>0</v>
      </c>
      <c r="M71" s="20">
        <f t="shared" si="4"/>
        <v>223.306902</v>
      </c>
      <c r="N71" s="21">
        <f t="shared" si="11"/>
        <v>2.61</v>
      </c>
      <c r="O71" s="21">
        <f t="shared" si="5"/>
        <v>574.2</v>
      </c>
      <c r="P71" s="22">
        <f t="shared" si="6"/>
        <v>49127.51844</v>
      </c>
      <c r="R71" s="23" t="s">
        <v>208</v>
      </c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30"/>
      <c r="B72" s="11">
        <v>46179.0</v>
      </c>
      <c r="C72" s="12">
        <f>VLOOKUP(B:B,'Курс валют'!A:D,4,0)</f>
        <v>85.5582</v>
      </c>
      <c r="D72" s="15" t="s">
        <v>209</v>
      </c>
      <c r="E72" s="59" t="s">
        <v>210</v>
      </c>
      <c r="F72" s="15">
        <v>200.0</v>
      </c>
      <c r="G72" s="61">
        <v>200.0</v>
      </c>
      <c r="H72" s="58">
        <v>0.0</v>
      </c>
      <c r="I72" s="16">
        <f t="shared" si="10"/>
        <v>0</v>
      </c>
      <c r="J72" s="18">
        <f t="shared" si="2"/>
        <v>0</v>
      </c>
      <c r="K72" s="17">
        <v>2.85</v>
      </c>
      <c r="L72" s="19">
        <f t="shared" si="3"/>
        <v>0</v>
      </c>
      <c r="M72" s="20">
        <f t="shared" si="4"/>
        <v>243.84087</v>
      </c>
      <c r="N72" s="21">
        <f t="shared" si="11"/>
        <v>2.85</v>
      </c>
      <c r="O72" s="21">
        <f t="shared" si="5"/>
        <v>570</v>
      </c>
      <c r="P72" s="22">
        <f t="shared" si="6"/>
        <v>48768.174</v>
      </c>
      <c r="R72" s="23" t="s">
        <v>208</v>
      </c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30"/>
      <c r="B73" s="11">
        <v>46179.0</v>
      </c>
      <c r="C73" s="12">
        <f>VLOOKUP(B:B,'Курс валют'!A:D,4,0)</f>
        <v>85.5582</v>
      </c>
      <c r="D73" s="15" t="s">
        <v>211</v>
      </c>
      <c r="E73" s="59" t="s">
        <v>18</v>
      </c>
      <c r="F73" s="15">
        <v>1100.0</v>
      </c>
      <c r="G73" s="61">
        <v>1108.5</v>
      </c>
      <c r="H73" s="58">
        <v>0.0</v>
      </c>
      <c r="I73" s="16">
        <f t="shared" si="10"/>
        <v>8.5</v>
      </c>
      <c r="J73" s="18">
        <f t="shared" si="2"/>
        <v>0.7727272727</v>
      </c>
      <c r="K73" s="17">
        <v>2.41</v>
      </c>
      <c r="L73" s="19">
        <f t="shared" si="3"/>
        <v>0</v>
      </c>
      <c r="M73" s="20">
        <f t="shared" si="4"/>
        <v>206.195262</v>
      </c>
      <c r="N73" s="21">
        <f t="shared" si="11"/>
        <v>2.41</v>
      </c>
      <c r="O73" s="21">
        <f t="shared" si="5"/>
        <v>2651</v>
      </c>
      <c r="P73" s="22">
        <f t="shared" si="6"/>
        <v>226814.7882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30"/>
      <c r="B74" s="11">
        <v>46179.0</v>
      </c>
      <c r="C74" s="12">
        <f>VLOOKUP(B:B,'Курс валют'!A:D,4,0)</f>
        <v>85.5582</v>
      </c>
      <c r="D74" s="15" t="s">
        <v>212</v>
      </c>
      <c r="E74" s="59" t="s">
        <v>18</v>
      </c>
      <c r="F74" s="15">
        <v>1100.0</v>
      </c>
      <c r="G74" s="61">
        <v>1108.5</v>
      </c>
      <c r="H74" s="58">
        <v>0.0</v>
      </c>
      <c r="I74" s="16">
        <f t="shared" si="10"/>
        <v>8.5</v>
      </c>
      <c r="J74" s="18">
        <f t="shared" si="2"/>
        <v>0.7727272727</v>
      </c>
      <c r="K74" s="17">
        <v>2.41</v>
      </c>
      <c r="L74" s="19">
        <f t="shared" si="3"/>
        <v>0</v>
      </c>
      <c r="M74" s="20">
        <f t="shared" si="4"/>
        <v>206.195262</v>
      </c>
      <c r="N74" s="21">
        <f t="shared" si="11"/>
        <v>2.41</v>
      </c>
      <c r="O74" s="21">
        <f t="shared" si="5"/>
        <v>2651</v>
      </c>
      <c r="P74" s="22">
        <f t="shared" si="6"/>
        <v>226814.7882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30"/>
      <c r="B75" s="11">
        <v>46179.0</v>
      </c>
      <c r="C75" s="12">
        <f>VLOOKUP(B:B,'Курс валют'!A:D,4,0)</f>
        <v>85.5582</v>
      </c>
      <c r="D75" s="15" t="s">
        <v>213</v>
      </c>
      <c r="E75" s="59" t="s">
        <v>18</v>
      </c>
      <c r="F75" s="15">
        <v>1100.0</v>
      </c>
      <c r="G75" s="61">
        <v>1108.5</v>
      </c>
      <c r="H75" s="58">
        <v>0.0</v>
      </c>
      <c r="I75" s="16">
        <f t="shared" si="10"/>
        <v>8.5</v>
      </c>
      <c r="J75" s="18">
        <f t="shared" si="2"/>
        <v>0.7727272727</v>
      </c>
      <c r="K75" s="17">
        <v>2.41</v>
      </c>
      <c r="L75" s="19">
        <f t="shared" si="3"/>
        <v>0</v>
      </c>
      <c r="M75" s="20">
        <f t="shared" si="4"/>
        <v>206.195262</v>
      </c>
      <c r="N75" s="21">
        <f t="shared" si="11"/>
        <v>2.41</v>
      </c>
      <c r="O75" s="21">
        <f t="shared" si="5"/>
        <v>2651</v>
      </c>
      <c r="P75" s="22">
        <f t="shared" si="6"/>
        <v>226814.7882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30"/>
      <c r="B76" s="11">
        <v>46179.0</v>
      </c>
      <c r="C76" s="12">
        <f>VLOOKUP(B:B,'Курс валют'!A:D,4,0)</f>
        <v>85.5582</v>
      </c>
      <c r="D76" s="15" t="s">
        <v>214</v>
      </c>
      <c r="E76" s="59" t="s">
        <v>18</v>
      </c>
      <c r="F76" s="15">
        <v>1100.0</v>
      </c>
      <c r="G76" s="61">
        <v>1108.5</v>
      </c>
      <c r="H76" s="58">
        <v>0.0</v>
      </c>
      <c r="I76" s="16">
        <f t="shared" si="10"/>
        <v>8.5</v>
      </c>
      <c r="J76" s="18">
        <f t="shared" si="2"/>
        <v>0.7727272727</v>
      </c>
      <c r="K76" s="17">
        <v>2.41</v>
      </c>
      <c r="L76" s="19">
        <f t="shared" si="3"/>
        <v>0</v>
      </c>
      <c r="M76" s="20">
        <f t="shared" si="4"/>
        <v>206.195262</v>
      </c>
      <c r="N76" s="21">
        <f t="shared" si="11"/>
        <v>2.41</v>
      </c>
      <c r="O76" s="21">
        <f t="shared" si="5"/>
        <v>2651</v>
      </c>
      <c r="P76" s="22">
        <f t="shared" si="6"/>
        <v>226814.7882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>
        <v>46179.0</v>
      </c>
      <c r="C77" s="12">
        <f>VLOOKUP(B:B,'Курс валют'!A:D,4,0)</f>
        <v>85.5582</v>
      </c>
      <c r="D77" s="15" t="s">
        <v>215</v>
      </c>
      <c r="E77" s="59" t="s">
        <v>18</v>
      </c>
      <c r="F77" s="15">
        <v>1100.0</v>
      </c>
      <c r="G77" s="61">
        <v>1108.5</v>
      </c>
      <c r="H77" s="58">
        <v>0.0</v>
      </c>
      <c r="I77" s="16">
        <f t="shared" si="10"/>
        <v>8.5</v>
      </c>
      <c r="J77" s="18">
        <f t="shared" si="2"/>
        <v>0.7727272727</v>
      </c>
      <c r="K77" s="17">
        <v>2.41</v>
      </c>
      <c r="L77" s="19">
        <f t="shared" si="3"/>
        <v>0</v>
      </c>
      <c r="M77" s="20">
        <f t="shared" si="4"/>
        <v>206.195262</v>
      </c>
      <c r="N77" s="21">
        <f t="shared" si="11"/>
        <v>2.41</v>
      </c>
      <c r="O77" s="21">
        <f t="shared" si="5"/>
        <v>2651</v>
      </c>
      <c r="P77" s="22">
        <f t="shared" si="6"/>
        <v>226814.7882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30"/>
      <c r="B78" s="11">
        <v>46180.0</v>
      </c>
      <c r="C78" s="12">
        <f>VLOOKUP(B:B,'Курс валют'!A:D,4,0)</f>
        <v>85.5582</v>
      </c>
      <c r="D78" s="15" t="s">
        <v>216</v>
      </c>
      <c r="E78" s="59" t="s">
        <v>63</v>
      </c>
      <c r="F78" s="15">
        <v>2250.0</v>
      </c>
      <c r="G78" s="61">
        <v>2295.4</v>
      </c>
      <c r="H78" s="17">
        <v>0.0</v>
      </c>
      <c r="I78" s="16">
        <f t="shared" si="10"/>
        <v>45.4</v>
      </c>
      <c r="J78" s="18">
        <f t="shared" si="2"/>
        <v>2.017777778</v>
      </c>
      <c r="K78" s="17">
        <v>2.16</v>
      </c>
      <c r="L78" s="19">
        <f t="shared" si="3"/>
        <v>0</v>
      </c>
      <c r="M78" s="20">
        <f t="shared" si="4"/>
        <v>184.805712</v>
      </c>
      <c r="N78" s="21">
        <f t="shared" si="11"/>
        <v>2.16</v>
      </c>
      <c r="O78" s="21">
        <f t="shared" si="5"/>
        <v>4860</v>
      </c>
      <c r="P78" s="22">
        <f t="shared" si="6"/>
        <v>415812.852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>
        <v>46180.0</v>
      </c>
      <c r="C79" s="12">
        <f>VLOOKUP(B:B,'Курс валют'!A:D,4,0)</f>
        <v>85.5582</v>
      </c>
      <c r="D79" s="15" t="s">
        <v>217</v>
      </c>
      <c r="E79" s="59" t="s">
        <v>18</v>
      </c>
      <c r="F79" s="15">
        <v>1100.0</v>
      </c>
      <c r="G79" s="61">
        <v>1108.5</v>
      </c>
      <c r="H79" s="58">
        <v>0.0</v>
      </c>
      <c r="I79" s="16">
        <f t="shared" si="10"/>
        <v>8.5</v>
      </c>
      <c r="J79" s="18">
        <f t="shared" si="2"/>
        <v>0.7727272727</v>
      </c>
      <c r="K79" s="17">
        <v>2.4</v>
      </c>
      <c r="L79" s="19">
        <f t="shared" si="3"/>
        <v>0</v>
      </c>
      <c r="M79" s="20">
        <f t="shared" si="4"/>
        <v>205.33968</v>
      </c>
      <c r="N79" s="21">
        <f t="shared" si="11"/>
        <v>2.4</v>
      </c>
      <c r="O79" s="21">
        <f t="shared" si="5"/>
        <v>2640</v>
      </c>
      <c r="P79" s="22">
        <f t="shared" si="6"/>
        <v>225873.648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>
        <v>46180.0</v>
      </c>
      <c r="C80" s="12">
        <f>VLOOKUP(B:B,'Курс валют'!A:D,4,0)</f>
        <v>85.5582</v>
      </c>
      <c r="D80" s="15" t="s">
        <v>218</v>
      </c>
      <c r="E80" s="59" t="s">
        <v>18</v>
      </c>
      <c r="F80" s="15">
        <v>1100.0</v>
      </c>
      <c r="G80" s="61">
        <v>1108.5</v>
      </c>
      <c r="H80" s="17">
        <v>0.0</v>
      </c>
      <c r="I80" s="16">
        <f t="shared" si="10"/>
        <v>8.5</v>
      </c>
      <c r="J80" s="18">
        <f t="shared" si="2"/>
        <v>0.7727272727</v>
      </c>
      <c r="K80" s="17">
        <v>2.4</v>
      </c>
      <c r="L80" s="19">
        <f t="shared" si="3"/>
        <v>0</v>
      </c>
      <c r="M80" s="20">
        <f t="shared" si="4"/>
        <v>205.33968</v>
      </c>
      <c r="N80" s="21">
        <f t="shared" si="11"/>
        <v>2.4</v>
      </c>
      <c r="O80" s="21">
        <f t="shared" si="5"/>
        <v>2640</v>
      </c>
      <c r="P80" s="22">
        <f t="shared" si="6"/>
        <v>225873.648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>
        <v>46180.0</v>
      </c>
      <c r="C81" s="12">
        <f>VLOOKUP(B:B,'Курс валют'!A:D,4,0)</f>
        <v>85.5582</v>
      </c>
      <c r="D81" s="15" t="s">
        <v>219</v>
      </c>
      <c r="E81" s="59" t="s">
        <v>18</v>
      </c>
      <c r="F81" s="15">
        <v>1100.0</v>
      </c>
      <c r="G81" s="61">
        <v>1108.5</v>
      </c>
      <c r="H81" s="58">
        <v>0.0</v>
      </c>
      <c r="I81" s="16">
        <f t="shared" si="10"/>
        <v>8.5</v>
      </c>
      <c r="J81" s="18">
        <f t="shared" si="2"/>
        <v>0.7727272727</v>
      </c>
      <c r="K81" s="17">
        <v>2.4</v>
      </c>
      <c r="L81" s="19">
        <f t="shared" si="3"/>
        <v>0</v>
      </c>
      <c r="M81" s="20">
        <f t="shared" si="4"/>
        <v>205.33968</v>
      </c>
      <c r="N81" s="21">
        <f t="shared" si="11"/>
        <v>2.4</v>
      </c>
      <c r="O81" s="21">
        <f t="shared" si="5"/>
        <v>2640</v>
      </c>
      <c r="P81" s="22">
        <f t="shared" si="6"/>
        <v>225873.648</v>
      </c>
      <c r="R81" s="23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>
        <v>46180.0</v>
      </c>
      <c r="C82" s="12">
        <f>VLOOKUP(B:B,'Курс валют'!A:D,4,0)</f>
        <v>85.5582</v>
      </c>
      <c r="D82" s="15" t="s">
        <v>220</v>
      </c>
      <c r="E82" s="59" t="s">
        <v>18</v>
      </c>
      <c r="F82" s="15">
        <v>1100.0</v>
      </c>
      <c r="G82" s="61">
        <v>1108.5</v>
      </c>
      <c r="H82" s="17">
        <v>0.0</v>
      </c>
      <c r="I82" s="16">
        <f t="shared" si="10"/>
        <v>8.5</v>
      </c>
      <c r="J82" s="18">
        <f t="shared" si="2"/>
        <v>0.7727272727</v>
      </c>
      <c r="K82" s="17">
        <v>2.4</v>
      </c>
      <c r="L82" s="19">
        <f t="shared" si="3"/>
        <v>0</v>
      </c>
      <c r="M82" s="20">
        <f t="shared" si="4"/>
        <v>205.33968</v>
      </c>
      <c r="N82" s="21">
        <f t="shared" si="11"/>
        <v>2.4</v>
      </c>
      <c r="O82" s="21">
        <f t="shared" si="5"/>
        <v>2640</v>
      </c>
      <c r="P82" s="22">
        <f t="shared" si="6"/>
        <v>225873.648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>
        <v>46180.0</v>
      </c>
      <c r="C83" s="12">
        <f>VLOOKUP(B:B,'Курс валют'!A:D,4,0)</f>
        <v>85.5582</v>
      </c>
      <c r="D83" s="15" t="s">
        <v>221</v>
      </c>
      <c r="E83" s="59" t="s">
        <v>18</v>
      </c>
      <c r="F83" s="15">
        <v>1100.0</v>
      </c>
      <c r="G83" s="61">
        <v>1108.5</v>
      </c>
      <c r="H83" s="58">
        <v>0.0</v>
      </c>
      <c r="I83" s="16">
        <f t="shared" si="10"/>
        <v>8.5</v>
      </c>
      <c r="J83" s="18">
        <f t="shared" si="2"/>
        <v>0.7727272727</v>
      </c>
      <c r="K83" s="17">
        <v>2.4</v>
      </c>
      <c r="L83" s="19">
        <f t="shared" si="3"/>
        <v>0</v>
      </c>
      <c r="M83" s="20">
        <f t="shared" si="4"/>
        <v>205.33968</v>
      </c>
      <c r="N83" s="21">
        <f t="shared" si="11"/>
        <v>2.4</v>
      </c>
      <c r="O83" s="21">
        <f t="shared" si="5"/>
        <v>2640</v>
      </c>
      <c r="P83" s="22">
        <f t="shared" si="6"/>
        <v>225873.648</v>
      </c>
      <c r="R83" s="23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>
        <v>46180.0</v>
      </c>
      <c r="C84" s="12">
        <f>VLOOKUP(B:B,'Курс валют'!A:D,4,0)</f>
        <v>85.5582</v>
      </c>
      <c r="D84" s="15" t="s">
        <v>222</v>
      </c>
      <c r="E84" s="59" t="s">
        <v>18</v>
      </c>
      <c r="F84" s="15">
        <v>1100.0</v>
      </c>
      <c r="G84" s="61">
        <v>1108.5</v>
      </c>
      <c r="H84" s="17">
        <v>0.0</v>
      </c>
      <c r="I84" s="16">
        <f t="shared" si="10"/>
        <v>8.5</v>
      </c>
      <c r="J84" s="18">
        <f t="shared" si="2"/>
        <v>0.7727272727</v>
      </c>
      <c r="K84" s="17">
        <v>2.4</v>
      </c>
      <c r="L84" s="19">
        <f t="shared" si="3"/>
        <v>0</v>
      </c>
      <c r="M84" s="20">
        <f t="shared" si="4"/>
        <v>205.33968</v>
      </c>
      <c r="N84" s="21">
        <f t="shared" si="11"/>
        <v>2.4</v>
      </c>
      <c r="O84" s="21">
        <f t="shared" si="5"/>
        <v>2640</v>
      </c>
      <c r="P84" s="22">
        <f t="shared" si="6"/>
        <v>225873.648</v>
      </c>
      <c r="R84" s="23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>
        <v>46180.0</v>
      </c>
      <c r="C85" s="12">
        <f>VLOOKUP(B:B,'Курс валют'!A:D,4,0)</f>
        <v>85.5582</v>
      </c>
      <c r="D85" s="15" t="s">
        <v>223</v>
      </c>
      <c r="E85" s="59" t="s">
        <v>18</v>
      </c>
      <c r="F85" s="15">
        <v>1100.0</v>
      </c>
      <c r="G85" s="61">
        <v>1108.5</v>
      </c>
      <c r="H85" s="58">
        <v>0.0</v>
      </c>
      <c r="I85" s="16">
        <f t="shared" si="10"/>
        <v>8.5</v>
      </c>
      <c r="J85" s="18">
        <f t="shared" si="2"/>
        <v>0.7727272727</v>
      </c>
      <c r="K85" s="17">
        <v>2.4</v>
      </c>
      <c r="L85" s="19">
        <f t="shared" si="3"/>
        <v>0</v>
      </c>
      <c r="M85" s="20">
        <f t="shared" si="4"/>
        <v>205.33968</v>
      </c>
      <c r="N85" s="21">
        <f t="shared" si="11"/>
        <v>2.4</v>
      </c>
      <c r="O85" s="21">
        <f t="shared" si="5"/>
        <v>2640</v>
      </c>
      <c r="P85" s="22">
        <f t="shared" si="6"/>
        <v>225873.648</v>
      </c>
      <c r="R85" s="23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>
        <v>46180.0</v>
      </c>
      <c r="C86" s="12">
        <f>VLOOKUP(B:B,'Курс валют'!A:D,4,0)</f>
        <v>85.5582</v>
      </c>
      <c r="D86" s="15" t="s">
        <v>224</v>
      </c>
      <c r="E86" s="59" t="s">
        <v>18</v>
      </c>
      <c r="F86" s="15">
        <v>1100.0</v>
      </c>
      <c r="G86" s="61">
        <v>1108.5</v>
      </c>
      <c r="H86" s="17">
        <v>0.0</v>
      </c>
      <c r="I86" s="16">
        <f t="shared" si="10"/>
        <v>8.5</v>
      </c>
      <c r="J86" s="18">
        <f t="shared" si="2"/>
        <v>0.7727272727</v>
      </c>
      <c r="K86" s="17">
        <v>2.4</v>
      </c>
      <c r="L86" s="19">
        <f t="shared" si="3"/>
        <v>0</v>
      </c>
      <c r="M86" s="20">
        <f t="shared" si="4"/>
        <v>205.33968</v>
      </c>
      <c r="N86" s="21">
        <f t="shared" si="11"/>
        <v>2.4</v>
      </c>
      <c r="O86" s="21">
        <f t="shared" si="5"/>
        <v>2640</v>
      </c>
      <c r="P86" s="22">
        <f t="shared" si="6"/>
        <v>225873.648</v>
      </c>
      <c r="R86" s="23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>
        <v>46180.0</v>
      </c>
      <c r="C87" s="12">
        <f>VLOOKUP(B:B,'Курс валют'!A:D,4,0)</f>
        <v>85.5582</v>
      </c>
      <c r="D87" s="15" t="s">
        <v>225</v>
      </c>
      <c r="E87" s="59" t="s">
        <v>18</v>
      </c>
      <c r="F87" s="15">
        <v>1100.0</v>
      </c>
      <c r="G87" s="61">
        <v>1108.5</v>
      </c>
      <c r="H87" s="58">
        <v>0.0</v>
      </c>
      <c r="I87" s="16">
        <f t="shared" si="10"/>
        <v>8.5</v>
      </c>
      <c r="J87" s="18">
        <f t="shared" si="2"/>
        <v>0.7727272727</v>
      </c>
      <c r="K87" s="17">
        <v>2.4</v>
      </c>
      <c r="L87" s="19">
        <f t="shared" si="3"/>
        <v>0</v>
      </c>
      <c r="M87" s="20">
        <f t="shared" si="4"/>
        <v>205.33968</v>
      </c>
      <c r="N87" s="21">
        <f t="shared" si="11"/>
        <v>2.4</v>
      </c>
      <c r="O87" s="21">
        <f t="shared" si="5"/>
        <v>2640</v>
      </c>
      <c r="P87" s="22">
        <f t="shared" si="6"/>
        <v>225873.648</v>
      </c>
      <c r="R87" s="23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>
        <v>46180.0</v>
      </c>
      <c r="C88" s="12">
        <f>VLOOKUP(B:B,'Курс валют'!A:D,4,0)</f>
        <v>85.5582</v>
      </c>
      <c r="D88" s="15" t="s">
        <v>226</v>
      </c>
      <c r="E88" s="59" t="s">
        <v>18</v>
      </c>
      <c r="F88" s="15">
        <v>1100.0</v>
      </c>
      <c r="G88" s="61">
        <v>1108.5</v>
      </c>
      <c r="H88" s="17">
        <v>0.0</v>
      </c>
      <c r="I88" s="16">
        <f t="shared" si="10"/>
        <v>8.5</v>
      </c>
      <c r="J88" s="18">
        <f t="shared" si="2"/>
        <v>0.7727272727</v>
      </c>
      <c r="K88" s="17">
        <v>2.4</v>
      </c>
      <c r="L88" s="19">
        <f t="shared" si="3"/>
        <v>0</v>
      </c>
      <c r="M88" s="20">
        <f t="shared" si="4"/>
        <v>205.33968</v>
      </c>
      <c r="N88" s="21">
        <f t="shared" si="11"/>
        <v>2.4</v>
      </c>
      <c r="O88" s="21">
        <f t="shared" si="5"/>
        <v>2640</v>
      </c>
      <c r="P88" s="22">
        <f t="shared" si="6"/>
        <v>225873.648</v>
      </c>
      <c r="R88" s="23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>
        <v>46181.0</v>
      </c>
      <c r="C89" s="12">
        <f>VLOOKUP(B:B,'Курс валют'!A:D,4,0)</f>
        <v>85.5582</v>
      </c>
      <c r="D89" s="15" t="s">
        <v>227</v>
      </c>
      <c r="E89" s="64" t="s">
        <v>63</v>
      </c>
      <c r="F89" s="15">
        <v>2250.0</v>
      </c>
      <c r="G89" s="16">
        <v>2295.4</v>
      </c>
      <c r="H89" s="58">
        <v>0.0</v>
      </c>
      <c r="I89" s="16">
        <f t="shared" si="10"/>
        <v>45.4</v>
      </c>
      <c r="J89" s="18">
        <f t="shared" si="2"/>
        <v>2.017777778</v>
      </c>
      <c r="K89" s="17">
        <v>2.17</v>
      </c>
      <c r="L89" s="19">
        <f t="shared" si="3"/>
        <v>0</v>
      </c>
      <c r="M89" s="20">
        <f t="shared" si="4"/>
        <v>185.661294</v>
      </c>
      <c r="N89" s="21">
        <f t="shared" si="11"/>
        <v>2.17</v>
      </c>
      <c r="O89" s="21">
        <f t="shared" si="5"/>
        <v>4882.5</v>
      </c>
      <c r="P89" s="22">
        <f t="shared" si="6"/>
        <v>417737.9115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>
        <v>46181.0</v>
      </c>
      <c r="C90" s="12">
        <f>VLOOKUP(B:B,'Курс валют'!A:D,4,0)</f>
        <v>85.5582</v>
      </c>
      <c r="D90" s="15" t="s">
        <v>228</v>
      </c>
      <c r="E90" s="64" t="s">
        <v>18</v>
      </c>
      <c r="F90" s="15">
        <v>1100.0</v>
      </c>
      <c r="G90" s="16">
        <v>1108.5</v>
      </c>
      <c r="H90" s="58">
        <v>0.0</v>
      </c>
      <c r="I90" s="16">
        <f t="shared" si="10"/>
        <v>8.5</v>
      </c>
      <c r="J90" s="18">
        <f t="shared" si="2"/>
        <v>0.7727272727</v>
      </c>
      <c r="K90" s="17">
        <v>2.36</v>
      </c>
      <c r="L90" s="19">
        <f t="shared" si="3"/>
        <v>0</v>
      </c>
      <c r="M90" s="20">
        <f t="shared" si="4"/>
        <v>201.917352</v>
      </c>
      <c r="N90" s="21">
        <f t="shared" si="11"/>
        <v>2.36</v>
      </c>
      <c r="O90" s="21">
        <f t="shared" si="5"/>
        <v>2596</v>
      </c>
      <c r="P90" s="22">
        <f t="shared" si="6"/>
        <v>222109.0872</v>
      </c>
      <c r="R90" s="23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>
        <v>46181.0</v>
      </c>
      <c r="C91" s="12">
        <f>VLOOKUP(B:B,'Курс валют'!A:D,4,0)</f>
        <v>85.5582</v>
      </c>
      <c r="D91" s="15" t="s">
        <v>229</v>
      </c>
      <c r="E91" s="64" t="s">
        <v>18</v>
      </c>
      <c r="F91" s="15">
        <v>1100.0</v>
      </c>
      <c r="G91" s="16">
        <v>1108.5</v>
      </c>
      <c r="H91" s="58">
        <v>0.0</v>
      </c>
      <c r="I91" s="16">
        <f t="shared" si="10"/>
        <v>8.5</v>
      </c>
      <c r="J91" s="18">
        <f t="shared" si="2"/>
        <v>0.7727272727</v>
      </c>
      <c r="K91" s="17">
        <v>2.36</v>
      </c>
      <c r="L91" s="19">
        <f t="shared" si="3"/>
        <v>0</v>
      </c>
      <c r="M91" s="20">
        <f t="shared" si="4"/>
        <v>201.917352</v>
      </c>
      <c r="N91" s="21">
        <f t="shared" si="11"/>
        <v>2.36</v>
      </c>
      <c r="O91" s="21">
        <f t="shared" si="5"/>
        <v>2596</v>
      </c>
      <c r="P91" s="22">
        <f t="shared" si="6"/>
        <v>222109.0872</v>
      </c>
      <c r="R91" s="23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>
        <v>46181.0</v>
      </c>
      <c r="C92" s="12">
        <f>VLOOKUP(B:B,'Курс валют'!A:D,4,0)</f>
        <v>85.5582</v>
      </c>
      <c r="D92" s="15" t="s">
        <v>230</v>
      </c>
      <c r="E92" s="64" t="s">
        <v>18</v>
      </c>
      <c r="F92" s="15">
        <v>1100.0</v>
      </c>
      <c r="G92" s="16">
        <v>1108.5</v>
      </c>
      <c r="H92" s="58">
        <v>0.0</v>
      </c>
      <c r="I92" s="16">
        <f t="shared" si="10"/>
        <v>8.5</v>
      </c>
      <c r="J92" s="18">
        <f t="shared" si="2"/>
        <v>0.7727272727</v>
      </c>
      <c r="K92" s="17">
        <v>2.36</v>
      </c>
      <c r="L92" s="19">
        <f t="shared" si="3"/>
        <v>0</v>
      </c>
      <c r="M92" s="20">
        <f t="shared" si="4"/>
        <v>201.917352</v>
      </c>
      <c r="N92" s="21">
        <f t="shared" si="11"/>
        <v>2.36</v>
      </c>
      <c r="O92" s="21">
        <f t="shared" si="5"/>
        <v>2596</v>
      </c>
      <c r="P92" s="22">
        <f t="shared" si="6"/>
        <v>222109.0872</v>
      </c>
      <c r="R92" s="23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63"/>
      <c r="B93" s="11">
        <v>46181.0</v>
      </c>
      <c r="C93" s="12">
        <f>VLOOKUP(B:B,'Курс валют'!A:D,4,0)</f>
        <v>85.5582</v>
      </c>
      <c r="D93" s="15" t="s">
        <v>231</v>
      </c>
      <c r="E93" s="64" t="s">
        <v>18</v>
      </c>
      <c r="F93" s="15">
        <v>1100.0</v>
      </c>
      <c r="G93" s="16">
        <v>1108.5</v>
      </c>
      <c r="H93" s="58">
        <v>0.0</v>
      </c>
      <c r="I93" s="16">
        <f t="shared" si="10"/>
        <v>8.5</v>
      </c>
      <c r="J93" s="18">
        <f t="shared" si="2"/>
        <v>0.7727272727</v>
      </c>
      <c r="K93" s="17">
        <v>2.36</v>
      </c>
      <c r="L93" s="19">
        <f t="shared" si="3"/>
        <v>0</v>
      </c>
      <c r="M93" s="20">
        <f t="shared" si="4"/>
        <v>201.917352</v>
      </c>
      <c r="N93" s="21">
        <f t="shared" si="11"/>
        <v>2.36</v>
      </c>
      <c r="O93" s="21">
        <f t="shared" si="5"/>
        <v>2596</v>
      </c>
      <c r="P93" s="22">
        <f t="shared" si="6"/>
        <v>222109.0872</v>
      </c>
      <c r="R93" s="23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63"/>
      <c r="B94" s="11">
        <v>46181.0</v>
      </c>
      <c r="C94" s="12">
        <f>VLOOKUP(B:B,'Курс валют'!A:D,4,0)</f>
        <v>85.5582</v>
      </c>
      <c r="D94" s="15" t="s">
        <v>232</v>
      </c>
      <c r="E94" s="64" t="s">
        <v>18</v>
      </c>
      <c r="F94" s="15">
        <v>1100.0</v>
      </c>
      <c r="G94" s="16">
        <v>1108.5</v>
      </c>
      <c r="H94" s="58">
        <v>0.0</v>
      </c>
      <c r="I94" s="16">
        <f t="shared" si="10"/>
        <v>8.5</v>
      </c>
      <c r="J94" s="18">
        <f t="shared" si="2"/>
        <v>0.7727272727</v>
      </c>
      <c r="K94" s="17">
        <v>2.36</v>
      </c>
      <c r="L94" s="19">
        <f t="shared" si="3"/>
        <v>0</v>
      </c>
      <c r="M94" s="20">
        <f t="shared" si="4"/>
        <v>201.917352</v>
      </c>
      <c r="N94" s="21">
        <f t="shared" si="11"/>
        <v>2.36</v>
      </c>
      <c r="O94" s="21">
        <f t="shared" si="5"/>
        <v>2596</v>
      </c>
      <c r="P94" s="22">
        <f t="shared" si="6"/>
        <v>222109.0872</v>
      </c>
      <c r="R94" s="23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63"/>
      <c r="B95" s="11">
        <v>46181.0</v>
      </c>
      <c r="C95" s="12">
        <f>VLOOKUP(B:B,'Курс валют'!A:D,4,0)</f>
        <v>85.5582</v>
      </c>
      <c r="D95" s="15" t="s">
        <v>233</v>
      </c>
      <c r="E95" s="64" t="s">
        <v>18</v>
      </c>
      <c r="F95" s="15">
        <v>1100.0</v>
      </c>
      <c r="G95" s="16">
        <v>1108.5</v>
      </c>
      <c r="H95" s="58">
        <v>0.0</v>
      </c>
      <c r="I95" s="16">
        <f t="shared" si="10"/>
        <v>8.5</v>
      </c>
      <c r="J95" s="18">
        <f t="shared" si="2"/>
        <v>0.7727272727</v>
      </c>
      <c r="K95" s="17">
        <v>2.34</v>
      </c>
      <c r="L95" s="19">
        <f t="shared" si="3"/>
        <v>0</v>
      </c>
      <c r="M95" s="20">
        <f t="shared" si="4"/>
        <v>200.206188</v>
      </c>
      <c r="N95" s="21">
        <f t="shared" si="11"/>
        <v>2.34</v>
      </c>
      <c r="O95" s="21">
        <f t="shared" si="5"/>
        <v>2574</v>
      </c>
      <c r="P95" s="22">
        <f t="shared" si="6"/>
        <v>220226.8068</v>
      </c>
      <c r="R95" s="23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63"/>
      <c r="B96" s="11">
        <v>46181.0</v>
      </c>
      <c r="C96" s="12">
        <f>VLOOKUP(B:B,'Курс валют'!A:D,4,0)</f>
        <v>85.5582</v>
      </c>
      <c r="D96" s="15" t="s">
        <v>234</v>
      </c>
      <c r="E96" s="64" t="s">
        <v>18</v>
      </c>
      <c r="F96" s="15">
        <v>1100.0</v>
      </c>
      <c r="G96" s="16">
        <v>1108.5</v>
      </c>
      <c r="H96" s="58">
        <v>0.0</v>
      </c>
      <c r="I96" s="16">
        <f t="shared" si="10"/>
        <v>8.5</v>
      </c>
      <c r="J96" s="18">
        <f t="shared" si="2"/>
        <v>0.7727272727</v>
      </c>
      <c r="K96" s="17">
        <v>2.34</v>
      </c>
      <c r="L96" s="19">
        <f t="shared" si="3"/>
        <v>0</v>
      </c>
      <c r="M96" s="20">
        <f t="shared" si="4"/>
        <v>200.206188</v>
      </c>
      <c r="N96" s="21">
        <f t="shared" si="11"/>
        <v>2.34</v>
      </c>
      <c r="O96" s="21">
        <f t="shared" si="5"/>
        <v>2574</v>
      </c>
      <c r="P96" s="22">
        <f t="shared" si="6"/>
        <v>220226.8068</v>
      </c>
      <c r="R96" s="23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63"/>
      <c r="B97" s="11">
        <v>46181.0</v>
      </c>
      <c r="C97" s="12">
        <f>VLOOKUP(B:B,'Курс валют'!A:D,4,0)</f>
        <v>85.5582</v>
      </c>
      <c r="D97" s="15" t="s">
        <v>235</v>
      </c>
      <c r="E97" s="64" t="s">
        <v>18</v>
      </c>
      <c r="F97" s="15">
        <v>1100.0</v>
      </c>
      <c r="G97" s="16">
        <v>1108.5</v>
      </c>
      <c r="H97" s="58">
        <v>0.0</v>
      </c>
      <c r="I97" s="16">
        <f t="shared" si="10"/>
        <v>8.5</v>
      </c>
      <c r="J97" s="18">
        <f t="shared" si="2"/>
        <v>0.7727272727</v>
      </c>
      <c r="K97" s="17">
        <v>2.34</v>
      </c>
      <c r="L97" s="19">
        <f t="shared" si="3"/>
        <v>0</v>
      </c>
      <c r="M97" s="20">
        <f t="shared" si="4"/>
        <v>200.206188</v>
      </c>
      <c r="N97" s="21">
        <f t="shared" si="11"/>
        <v>2.34</v>
      </c>
      <c r="O97" s="21">
        <f t="shared" si="5"/>
        <v>2574</v>
      </c>
      <c r="P97" s="22">
        <f t="shared" si="6"/>
        <v>220226.8068</v>
      </c>
      <c r="R97" s="23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63"/>
      <c r="B98" s="11">
        <v>46181.0</v>
      </c>
      <c r="C98" s="12">
        <f>VLOOKUP(B:B,'Курс валют'!A:D,4,0)</f>
        <v>85.5582</v>
      </c>
      <c r="D98" s="15" t="s">
        <v>236</v>
      </c>
      <c r="E98" s="64" t="s">
        <v>18</v>
      </c>
      <c r="F98" s="15">
        <v>1100.0</v>
      </c>
      <c r="G98" s="16">
        <v>1108.5</v>
      </c>
      <c r="H98" s="58">
        <v>0.0</v>
      </c>
      <c r="I98" s="16">
        <f t="shared" si="10"/>
        <v>8.5</v>
      </c>
      <c r="J98" s="18">
        <f t="shared" si="2"/>
        <v>0.7727272727</v>
      </c>
      <c r="K98" s="17">
        <v>2.36</v>
      </c>
      <c r="L98" s="19">
        <f t="shared" si="3"/>
        <v>0</v>
      </c>
      <c r="M98" s="20">
        <f t="shared" si="4"/>
        <v>201.917352</v>
      </c>
      <c r="N98" s="21">
        <f t="shared" si="11"/>
        <v>2.36</v>
      </c>
      <c r="O98" s="21">
        <f t="shared" si="5"/>
        <v>2596</v>
      </c>
      <c r="P98" s="22">
        <f t="shared" si="6"/>
        <v>222109.0872</v>
      </c>
      <c r="R98" s="23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63"/>
      <c r="B99" s="11">
        <v>46181.0</v>
      </c>
      <c r="C99" s="12">
        <f>VLOOKUP(B:B,'Курс валют'!A:D,4,0)</f>
        <v>85.5582</v>
      </c>
      <c r="D99" s="15" t="s">
        <v>237</v>
      </c>
      <c r="E99" s="64" t="s">
        <v>18</v>
      </c>
      <c r="F99" s="15">
        <v>1100.0</v>
      </c>
      <c r="G99" s="16">
        <v>1108.5</v>
      </c>
      <c r="H99" s="58">
        <v>0.0</v>
      </c>
      <c r="I99" s="16">
        <f t="shared" si="10"/>
        <v>8.5</v>
      </c>
      <c r="J99" s="18">
        <f t="shared" si="2"/>
        <v>0.7727272727</v>
      </c>
      <c r="K99" s="17">
        <v>2.36</v>
      </c>
      <c r="L99" s="19">
        <f t="shared" si="3"/>
        <v>0</v>
      </c>
      <c r="M99" s="20">
        <f t="shared" si="4"/>
        <v>201.917352</v>
      </c>
      <c r="N99" s="21">
        <f t="shared" si="11"/>
        <v>2.36</v>
      </c>
      <c r="O99" s="21">
        <f t="shared" si="5"/>
        <v>2596</v>
      </c>
      <c r="P99" s="22">
        <f t="shared" si="6"/>
        <v>222109.0872</v>
      </c>
      <c r="R99" s="23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63"/>
      <c r="B100" s="11">
        <v>46182.0</v>
      </c>
      <c r="C100" s="12">
        <f>VLOOKUP(B:B,'Курс валют'!A:D,4,0)</f>
        <v>85.2798</v>
      </c>
      <c r="D100" s="15" t="s">
        <v>238</v>
      </c>
      <c r="E100" s="64" t="s">
        <v>63</v>
      </c>
      <c r="F100" s="15">
        <v>2250.0</v>
      </c>
      <c r="G100" s="16">
        <v>2295.4</v>
      </c>
      <c r="H100" s="58">
        <v>0.0</v>
      </c>
      <c r="I100" s="16">
        <f t="shared" si="10"/>
        <v>45.4</v>
      </c>
      <c r="J100" s="18">
        <f t="shared" si="2"/>
        <v>2.017777778</v>
      </c>
      <c r="K100" s="17">
        <v>2.14</v>
      </c>
      <c r="L100" s="19">
        <f t="shared" si="3"/>
        <v>0</v>
      </c>
      <c r="M100" s="20">
        <f t="shared" si="4"/>
        <v>182.498772</v>
      </c>
      <c r="N100" s="21">
        <f t="shared" si="11"/>
        <v>2.14</v>
      </c>
      <c r="O100" s="21">
        <f t="shared" si="5"/>
        <v>4815</v>
      </c>
      <c r="P100" s="22">
        <f t="shared" si="6"/>
        <v>410622.237</v>
      </c>
      <c r="R100" s="23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63"/>
      <c r="B101" s="11">
        <v>46182.0</v>
      </c>
      <c r="C101" s="12">
        <f>VLOOKUP(B:B,'Курс валют'!A:D,4,0)</f>
        <v>85.2798</v>
      </c>
      <c r="D101" s="15" t="s">
        <v>239</v>
      </c>
      <c r="E101" s="64" t="s">
        <v>18</v>
      </c>
      <c r="F101" s="15">
        <v>1100.0</v>
      </c>
      <c r="G101" s="16">
        <v>1108.5</v>
      </c>
      <c r="H101" s="58">
        <v>0.0</v>
      </c>
      <c r="I101" s="16">
        <f t="shared" si="10"/>
        <v>8.5</v>
      </c>
      <c r="J101" s="18">
        <f t="shared" si="2"/>
        <v>0.7727272727</v>
      </c>
      <c r="K101" s="17">
        <v>2.35</v>
      </c>
      <c r="L101" s="19">
        <f t="shared" si="3"/>
        <v>0</v>
      </c>
      <c r="M101" s="20">
        <f t="shared" si="4"/>
        <v>200.40753</v>
      </c>
      <c r="N101" s="21">
        <f t="shared" si="11"/>
        <v>2.35</v>
      </c>
      <c r="O101" s="21">
        <f t="shared" si="5"/>
        <v>2585</v>
      </c>
      <c r="P101" s="22">
        <f t="shared" si="6"/>
        <v>220448.283</v>
      </c>
      <c r="R101" s="24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>
        <v>46182.0</v>
      </c>
      <c r="C102" s="12">
        <f>VLOOKUP(B:B,'Курс валют'!A:D,4,0)</f>
        <v>85.2798</v>
      </c>
      <c r="D102" s="15" t="s">
        <v>240</v>
      </c>
      <c r="E102" s="64" t="s">
        <v>18</v>
      </c>
      <c r="F102" s="15">
        <v>1100.0</v>
      </c>
      <c r="G102" s="16">
        <v>1108.5</v>
      </c>
      <c r="H102" s="58">
        <v>0.0</v>
      </c>
      <c r="I102" s="16">
        <f t="shared" si="10"/>
        <v>8.5</v>
      </c>
      <c r="J102" s="18">
        <f t="shared" si="2"/>
        <v>0.7727272727</v>
      </c>
      <c r="K102" s="17">
        <v>2.34</v>
      </c>
      <c r="L102" s="19">
        <f t="shared" si="3"/>
        <v>0</v>
      </c>
      <c r="M102" s="20">
        <f t="shared" si="4"/>
        <v>199.554732</v>
      </c>
      <c r="N102" s="21">
        <f t="shared" si="11"/>
        <v>2.34</v>
      </c>
      <c r="O102" s="21">
        <f t="shared" si="5"/>
        <v>2574</v>
      </c>
      <c r="P102" s="22">
        <f t="shared" si="6"/>
        <v>219510.2052</v>
      </c>
      <c r="R102" s="24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>
        <v>46182.0</v>
      </c>
      <c r="C103" s="12">
        <f>VLOOKUP(B:B,'Курс валют'!A:D,4,0)</f>
        <v>85.2798</v>
      </c>
      <c r="D103" s="15" t="s">
        <v>241</v>
      </c>
      <c r="E103" s="64" t="s">
        <v>18</v>
      </c>
      <c r="F103" s="15">
        <v>1100.0</v>
      </c>
      <c r="G103" s="16">
        <v>1108.5</v>
      </c>
      <c r="H103" s="58">
        <v>0.0</v>
      </c>
      <c r="I103" s="16">
        <f t="shared" si="10"/>
        <v>8.5</v>
      </c>
      <c r="J103" s="18">
        <f t="shared" si="2"/>
        <v>0.7727272727</v>
      </c>
      <c r="K103" s="17">
        <v>2.34</v>
      </c>
      <c r="L103" s="19">
        <f t="shared" si="3"/>
        <v>0</v>
      </c>
      <c r="M103" s="20">
        <f t="shared" si="4"/>
        <v>199.554732</v>
      </c>
      <c r="N103" s="21">
        <f t="shared" si="11"/>
        <v>2.34</v>
      </c>
      <c r="O103" s="21">
        <f t="shared" si="5"/>
        <v>2574</v>
      </c>
      <c r="P103" s="22">
        <f t="shared" si="6"/>
        <v>219510.2052</v>
      </c>
      <c r="R103" s="24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>
        <v>46182.0</v>
      </c>
      <c r="C104" s="12">
        <f>VLOOKUP(B:B,'Курс валют'!A:D,4,0)</f>
        <v>85.2798</v>
      </c>
      <c r="D104" s="15" t="s">
        <v>242</v>
      </c>
      <c r="E104" s="64" t="s">
        <v>18</v>
      </c>
      <c r="F104" s="15">
        <v>1100.0</v>
      </c>
      <c r="G104" s="16">
        <v>1108.5</v>
      </c>
      <c r="H104" s="58">
        <v>0.0</v>
      </c>
      <c r="I104" s="16">
        <f t="shared" si="10"/>
        <v>8.5</v>
      </c>
      <c r="J104" s="18">
        <f t="shared" si="2"/>
        <v>0.7727272727</v>
      </c>
      <c r="K104" s="17">
        <v>2.38</v>
      </c>
      <c r="L104" s="19">
        <f t="shared" si="3"/>
        <v>0</v>
      </c>
      <c r="M104" s="20">
        <f t="shared" si="4"/>
        <v>202.965924</v>
      </c>
      <c r="N104" s="21">
        <f t="shared" si="11"/>
        <v>2.38</v>
      </c>
      <c r="O104" s="21">
        <f t="shared" si="5"/>
        <v>2618</v>
      </c>
      <c r="P104" s="22">
        <f t="shared" si="6"/>
        <v>223262.5164</v>
      </c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>
        <v>46182.0</v>
      </c>
      <c r="C105" s="12">
        <f>VLOOKUP(B:B,'Курс валют'!A:D,4,0)</f>
        <v>85.2798</v>
      </c>
      <c r="D105" s="15" t="s">
        <v>243</v>
      </c>
      <c r="E105" s="64" t="s">
        <v>18</v>
      </c>
      <c r="F105" s="15">
        <v>1100.0</v>
      </c>
      <c r="G105" s="16">
        <v>1108.5</v>
      </c>
      <c r="H105" s="58">
        <v>0.0</v>
      </c>
      <c r="I105" s="16">
        <f t="shared" si="10"/>
        <v>8.5</v>
      </c>
      <c r="J105" s="18">
        <f t="shared" si="2"/>
        <v>0.7727272727</v>
      </c>
      <c r="K105" s="17">
        <v>2.38</v>
      </c>
      <c r="L105" s="19">
        <f t="shared" si="3"/>
        <v>0</v>
      </c>
      <c r="M105" s="20">
        <f t="shared" si="4"/>
        <v>202.965924</v>
      </c>
      <c r="N105" s="21">
        <f t="shared" si="11"/>
        <v>2.38</v>
      </c>
      <c r="O105" s="21">
        <f t="shared" si="5"/>
        <v>2618</v>
      </c>
      <c r="P105" s="22">
        <f t="shared" si="6"/>
        <v>223262.5164</v>
      </c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>
        <v>46182.0</v>
      </c>
      <c r="C106" s="12">
        <f>VLOOKUP(B:B,'Курс валют'!A:D,4,0)</f>
        <v>85.2798</v>
      </c>
      <c r="D106" s="15" t="s">
        <v>244</v>
      </c>
      <c r="E106" s="64" t="s">
        <v>18</v>
      </c>
      <c r="F106" s="15">
        <v>1100.0</v>
      </c>
      <c r="G106" s="16">
        <v>1108.5</v>
      </c>
      <c r="H106" s="58">
        <v>0.0</v>
      </c>
      <c r="I106" s="16">
        <f t="shared" si="10"/>
        <v>8.5</v>
      </c>
      <c r="J106" s="18">
        <f t="shared" si="2"/>
        <v>0.7727272727</v>
      </c>
      <c r="K106" s="17">
        <v>2.38</v>
      </c>
      <c r="L106" s="19">
        <f t="shared" si="3"/>
        <v>0</v>
      </c>
      <c r="M106" s="20">
        <f t="shared" si="4"/>
        <v>202.965924</v>
      </c>
      <c r="N106" s="21">
        <f t="shared" si="11"/>
        <v>2.38</v>
      </c>
      <c r="O106" s="21">
        <f t="shared" si="5"/>
        <v>2618</v>
      </c>
      <c r="P106" s="22">
        <f t="shared" si="6"/>
        <v>223262.5164</v>
      </c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>
        <v>46182.0</v>
      </c>
      <c r="C107" s="12">
        <f>VLOOKUP(B:B,'Курс валют'!A:D,4,0)</f>
        <v>85.2798</v>
      </c>
      <c r="D107" s="15" t="s">
        <v>245</v>
      </c>
      <c r="E107" s="59" t="s">
        <v>70</v>
      </c>
      <c r="F107" s="15">
        <v>80.0</v>
      </c>
      <c r="G107" s="16">
        <v>80.0</v>
      </c>
      <c r="H107" s="58">
        <v>0.0</v>
      </c>
      <c r="I107" s="16">
        <f t="shared" si="10"/>
        <v>0</v>
      </c>
      <c r="J107" s="18">
        <f t="shared" si="2"/>
        <v>0</v>
      </c>
      <c r="K107" s="17">
        <v>2.16</v>
      </c>
      <c r="L107" s="19">
        <f t="shared" si="3"/>
        <v>0</v>
      </c>
      <c r="M107" s="20">
        <f t="shared" si="4"/>
        <v>184.204368</v>
      </c>
      <c r="N107" s="21">
        <f t="shared" si="11"/>
        <v>2.16</v>
      </c>
      <c r="O107" s="21">
        <f t="shared" si="5"/>
        <v>172.8</v>
      </c>
      <c r="P107" s="22">
        <f t="shared" si="6"/>
        <v>14736.34944</v>
      </c>
      <c r="R107" s="24" t="s">
        <v>246</v>
      </c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>
        <v>46182.0</v>
      </c>
      <c r="C108" s="12">
        <f>VLOOKUP(B:B,'Курс валют'!A:D,4,0)</f>
        <v>85.2798</v>
      </c>
      <c r="D108" s="15" t="s">
        <v>247</v>
      </c>
      <c r="E108" s="59" t="s">
        <v>18</v>
      </c>
      <c r="F108" s="15">
        <v>1100.0</v>
      </c>
      <c r="G108" s="16">
        <v>1108.5</v>
      </c>
      <c r="H108" s="58">
        <v>0.0</v>
      </c>
      <c r="I108" s="16">
        <f t="shared" si="10"/>
        <v>8.5</v>
      </c>
      <c r="J108" s="18">
        <f t="shared" si="2"/>
        <v>0.7727272727</v>
      </c>
      <c r="K108" s="17">
        <v>2.38</v>
      </c>
      <c r="L108" s="19">
        <f t="shared" si="3"/>
        <v>0</v>
      </c>
      <c r="M108" s="20">
        <f t="shared" si="4"/>
        <v>202.965924</v>
      </c>
      <c r="N108" s="21">
        <f t="shared" si="11"/>
        <v>2.38</v>
      </c>
      <c r="O108" s="21">
        <f t="shared" si="5"/>
        <v>2618</v>
      </c>
      <c r="P108" s="22">
        <f t="shared" si="6"/>
        <v>223262.5164</v>
      </c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>
        <v>46182.0</v>
      </c>
      <c r="C109" s="12">
        <f>VLOOKUP(B:B,'Курс валют'!A:D,4,0)</f>
        <v>85.2798</v>
      </c>
      <c r="D109" s="15" t="s">
        <v>248</v>
      </c>
      <c r="E109" s="59" t="s">
        <v>18</v>
      </c>
      <c r="F109" s="15">
        <v>1100.0</v>
      </c>
      <c r="G109" s="16">
        <v>1108.5</v>
      </c>
      <c r="H109" s="58">
        <v>0.0</v>
      </c>
      <c r="I109" s="16">
        <f t="shared" si="10"/>
        <v>8.5</v>
      </c>
      <c r="J109" s="18">
        <f t="shared" si="2"/>
        <v>0.7727272727</v>
      </c>
      <c r="K109" s="17">
        <v>2.38</v>
      </c>
      <c r="L109" s="19">
        <f t="shared" si="3"/>
        <v>0</v>
      </c>
      <c r="M109" s="20">
        <f t="shared" si="4"/>
        <v>202.965924</v>
      </c>
      <c r="N109" s="21">
        <f t="shared" si="11"/>
        <v>2.38</v>
      </c>
      <c r="O109" s="21">
        <f t="shared" si="5"/>
        <v>2618</v>
      </c>
      <c r="P109" s="22">
        <f t="shared" si="6"/>
        <v>223262.5164</v>
      </c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>
        <v>46182.0</v>
      </c>
      <c r="C110" s="12">
        <f>VLOOKUP(B:B,'Курс валют'!A:D,4,0)</f>
        <v>85.2798</v>
      </c>
      <c r="D110" s="15" t="s">
        <v>249</v>
      </c>
      <c r="E110" s="59" t="s">
        <v>18</v>
      </c>
      <c r="F110" s="15">
        <v>1100.0</v>
      </c>
      <c r="G110" s="16">
        <v>1108.5</v>
      </c>
      <c r="H110" s="58">
        <v>0.0</v>
      </c>
      <c r="I110" s="16">
        <f t="shared" si="10"/>
        <v>8.5</v>
      </c>
      <c r="J110" s="18">
        <f t="shared" si="2"/>
        <v>0.7727272727</v>
      </c>
      <c r="K110" s="17">
        <v>2.38</v>
      </c>
      <c r="L110" s="19">
        <f t="shared" si="3"/>
        <v>0</v>
      </c>
      <c r="M110" s="20">
        <f t="shared" si="4"/>
        <v>202.965924</v>
      </c>
      <c r="N110" s="21">
        <f t="shared" si="11"/>
        <v>2.38</v>
      </c>
      <c r="O110" s="21">
        <f t="shared" si="5"/>
        <v>2618</v>
      </c>
      <c r="P110" s="22">
        <f t="shared" si="6"/>
        <v>223262.5164</v>
      </c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>
        <v>46182.0</v>
      </c>
      <c r="C111" s="12">
        <f>VLOOKUP(B:B,'Курс валют'!A:D,4,0)</f>
        <v>85.2798</v>
      </c>
      <c r="D111" s="15" t="s">
        <v>250</v>
      </c>
      <c r="E111" s="59" t="s">
        <v>18</v>
      </c>
      <c r="F111" s="15">
        <v>1100.0</v>
      </c>
      <c r="G111" s="16">
        <v>1108.5</v>
      </c>
      <c r="H111" s="17">
        <v>0.0</v>
      </c>
      <c r="I111" s="16">
        <f t="shared" si="10"/>
        <v>8.5</v>
      </c>
      <c r="J111" s="18">
        <f t="shared" si="2"/>
        <v>0.7727272727</v>
      </c>
      <c r="K111" s="17">
        <v>2.38</v>
      </c>
      <c r="L111" s="19">
        <f t="shared" si="3"/>
        <v>0</v>
      </c>
      <c r="M111" s="20">
        <f t="shared" si="4"/>
        <v>202.965924</v>
      </c>
      <c r="N111" s="21">
        <f t="shared" si="11"/>
        <v>2.38</v>
      </c>
      <c r="O111" s="21">
        <f t="shared" si="5"/>
        <v>2618</v>
      </c>
      <c r="P111" s="22">
        <f t="shared" si="6"/>
        <v>223262.5164</v>
      </c>
      <c r="R111" s="24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>
        <v>46182.0</v>
      </c>
      <c r="C112" s="12">
        <f>VLOOKUP(B:B,'Курс валют'!A:D,4,0)</f>
        <v>85.2798</v>
      </c>
      <c r="D112" s="15" t="s">
        <v>251</v>
      </c>
      <c r="E112" s="59" t="s">
        <v>252</v>
      </c>
      <c r="F112" s="15">
        <v>20.0</v>
      </c>
      <c r="G112" s="16">
        <v>22.11</v>
      </c>
      <c r="H112" s="17">
        <v>0.0</v>
      </c>
      <c r="I112" s="16">
        <f t="shared" si="10"/>
        <v>2.11</v>
      </c>
      <c r="J112" s="18">
        <f t="shared" si="2"/>
        <v>10.55</v>
      </c>
      <c r="K112" s="17">
        <v>2.2</v>
      </c>
      <c r="L112" s="19">
        <f t="shared" si="3"/>
        <v>0</v>
      </c>
      <c r="M112" s="20">
        <f t="shared" si="4"/>
        <v>187.61556</v>
      </c>
      <c r="N112" s="21">
        <f t="shared" si="11"/>
        <v>2.2</v>
      </c>
      <c r="O112" s="21">
        <f t="shared" si="5"/>
        <v>44</v>
      </c>
      <c r="P112" s="22">
        <f t="shared" si="6"/>
        <v>3752.3112</v>
      </c>
      <c r="R112" s="24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>
        <v>46182.0</v>
      </c>
      <c r="C113" s="12">
        <f>VLOOKUP(B:B,'Курс валют'!A:D,4,0)</f>
        <v>85.2798</v>
      </c>
      <c r="D113" s="15" t="s">
        <v>253</v>
      </c>
      <c r="E113" s="59" t="s">
        <v>254</v>
      </c>
      <c r="F113" s="15">
        <v>20.0</v>
      </c>
      <c r="G113" s="16">
        <v>22.11</v>
      </c>
      <c r="H113" s="17">
        <v>0.0</v>
      </c>
      <c r="I113" s="16">
        <f t="shared" si="10"/>
        <v>2.11</v>
      </c>
      <c r="J113" s="18">
        <f t="shared" si="2"/>
        <v>10.55</v>
      </c>
      <c r="K113" s="17">
        <v>2.28</v>
      </c>
      <c r="L113" s="19">
        <f t="shared" si="3"/>
        <v>0</v>
      </c>
      <c r="M113" s="20">
        <f t="shared" si="4"/>
        <v>194.437944</v>
      </c>
      <c r="N113" s="21">
        <f t="shared" si="11"/>
        <v>2.28</v>
      </c>
      <c r="O113" s="21">
        <f t="shared" si="5"/>
        <v>45.6</v>
      </c>
      <c r="P113" s="22">
        <f t="shared" si="6"/>
        <v>3888.75888</v>
      </c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>
        <v>46182.0</v>
      </c>
      <c r="C114" s="12">
        <f>VLOOKUP(B:B,'Курс валют'!A:D,4,0)</f>
        <v>85.2798</v>
      </c>
      <c r="D114" s="15" t="s">
        <v>255</v>
      </c>
      <c r="E114" s="59" t="s">
        <v>115</v>
      </c>
      <c r="F114" s="15">
        <v>24.0</v>
      </c>
      <c r="G114" s="16">
        <v>26.95</v>
      </c>
      <c r="H114" s="17">
        <v>0.0</v>
      </c>
      <c r="I114" s="16">
        <f t="shared" si="10"/>
        <v>2.95</v>
      </c>
      <c r="J114" s="18">
        <f t="shared" si="2"/>
        <v>12.29166667</v>
      </c>
      <c r="K114" s="17">
        <v>3.44</v>
      </c>
      <c r="L114" s="19">
        <f t="shared" si="3"/>
        <v>0</v>
      </c>
      <c r="M114" s="20">
        <f t="shared" si="4"/>
        <v>293.362512</v>
      </c>
      <c r="N114" s="21">
        <f t="shared" si="11"/>
        <v>3.44</v>
      </c>
      <c r="O114" s="21">
        <f t="shared" si="5"/>
        <v>82.56</v>
      </c>
      <c r="P114" s="22">
        <f t="shared" si="6"/>
        <v>7040.700288</v>
      </c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>
        <v>46183.0</v>
      </c>
      <c r="C115" s="12">
        <f>VLOOKUP(B:B,'Курс валют'!A:D,4,0)</f>
        <v>82.7785</v>
      </c>
      <c r="D115" s="15" t="s">
        <v>256</v>
      </c>
      <c r="E115" s="59" t="s">
        <v>63</v>
      </c>
      <c r="F115" s="15">
        <v>2250.0</v>
      </c>
      <c r="G115" s="16">
        <v>2294.7</v>
      </c>
      <c r="H115" s="17">
        <v>0.0</v>
      </c>
      <c r="I115" s="16">
        <f t="shared" si="10"/>
        <v>44.7</v>
      </c>
      <c r="J115" s="18">
        <f t="shared" si="2"/>
        <v>1.986666667</v>
      </c>
      <c r="K115" s="17">
        <v>2.14</v>
      </c>
      <c r="L115" s="19">
        <f t="shared" si="3"/>
        <v>0</v>
      </c>
      <c r="M115" s="20">
        <f t="shared" si="4"/>
        <v>177.14599</v>
      </c>
      <c r="N115" s="21">
        <f t="shared" si="11"/>
        <v>2.14</v>
      </c>
      <c r="O115" s="21">
        <f t="shared" si="5"/>
        <v>4815</v>
      </c>
      <c r="P115" s="22">
        <f t="shared" si="6"/>
        <v>398578.4775</v>
      </c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>
        <v>46183.0</v>
      </c>
      <c r="C116" s="12">
        <f>VLOOKUP(B:B,'Курс валют'!A:D,4,0)</f>
        <v>82.7785</v>
      </c>
      <c r="D116" s="15" t="s">
        <v>257</v>
      </c>
      <c r="E116" s="59" t="s">
        <v>61</v>
      </c>
      <c r="F116" s="15">
        <v>1100.0</v>
      </c>
      <c r="G116" s="16">
        <v>1108.01</v>
      </c>
      <c r="H116" s="17">
        <v>0.0</v>
      </c>
      <c r="I116" s="16">
        <f t="shared" si="10"/>
        <v>8.01</v>
      </c>
      <c r="J116" s="18">
        <f t="shared" si="2"/>
        <v>0.7281818182</v>
      </c>
      <c r="K116" s="17">
        <v>2.47</v>
      </c>
      <c r="L116" s="19">
        <f t="shared" si="3"/>
        <v>0</v>
      </c>
      <c r="M116" s="20">
        <f t="shared" si="4"/>
        <v>204.462895</v>
      </c>
      <c r="N116" s="21">
        <f t="shared" si="11"/>
        <v>2.47</v>
      </c>
      <c r="O116" s="21">
        <f t="shared" si="5"/>
        <v>2717</v>
      </c>
      <c r="P116" s="22">
        <f t="shared" si="6"/>
        <v>224909.1845</v>
      </c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>
        <v>46183.0</v>
      </c>
      <c r="C117" s="12">
        <f>VLOOKUP(B:B,'Курс валют'!A:D,4,0)</f>
        <v>82.7785</v>
      </c>
      <c r="D117" s="15" t="s">
        <v>258</v>
      </c>
      <c r="E117" s="59" t="s">
        <v>61</v>
      </c>
      <c r="F117" s="15">
        <v>1100.0</v>
      </c>
      <c r="G117" s="16">
        <v>1108.01</v>
      </c>
      <c r="H117" s="17">
        <v>0.0</v>
      </c>
      <c r="I117" s="16">
        <f t="shared" si="10"/>
        <v>8.01</v>
      </c>
      <c r="J117" s="18">
        <f t="shared" si="2"/>
        <v>0.7281818182</v>
      </c>
      <c r="K117" s="17">
        <v>2.46</v>
      </c>
      <c r="L117" s="19">
        <f t="shared" si="3"/>
        <v>0</v>
      </c>
      <c r="M117" s="20">
        <f t="shared" si="4"/>
        <v>203.63511</v>
      </c>
      <c r="N117" s="21">
        <f t="shared" si="11"/>
        <v>2.46</v>
      </c>
      <c r="O117" s="21">
        <f t="shared" si="5"/>
        <v>2706</v>
      </c>
      <c r="P117" s="22">
        <f t="shared" si="6"/>
        <v>223998.621</v>
      </c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>
        <v>46183.0</v>
      </c>
      <c r="C118" s="12">
        <f>VLOOKUP(B:B,'Курс валют'!A:D,4,0)</f>
        <v>82.7785</v>
      </c>
      <c r="D118" s="15" t="s">
        <v>259</v>
      </c>
      <c r="E118" s="59" t="s">
        <v>61</v>
      </c>
      <c r="F118" s="15">
        <v>1100.0</v>
      </c>
      <c r="G118" s="16">
        <v>1108.01</v>
      </c>
      <c r="H118" s="17">
        <v>0.0</v>
      </c>
      <c r="I118" s="16">
        <f t="shared" si="10"/>
        <v>8.01</v>
      </c>
      <c r="J118" s="18">
        <f t="shared" si="2"/>
        <v>0.7281818182</v>
      </c>
      <c r="K118" s="17">
        <v>2.46</v>
      </c>
      <c r="L118" s="19">
        <f t="shared" si="3"/>
        <v>0</v>
      </c>
      <c r="M118" s="20">
        <f t="shared" si="4"/>
        <v>203.63511</v>
      </c>
      <c r="N118" s="21">
        <f t="shared" si="11"/>
        <v>2.46</v>
      </c>
      <c r="O118" s="21">
        <f t="shared" si="5"/>
        <v>2706</v>
      </c>
      <c r="P118" s="22">
        <f t="shared" si="6"/>
        <v>223998.621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>
        <v>46183.0</v>
      </c>
      <c r="C119" s="12">
        <f>VLOOKUP(B:B,'Курс валют'!A:D,4,0)</f>
        <v>82.7785</v>
      </c>
      <c r="D119" s="15" t="s">
        <v>260</v>
      </c>
      <c r="E119" s="59" t="s">
        <v>61</v>
      </c>
      <c r="F119" s="15">
        <v>1100.0</v>
      </c>
      <c r="G119" s="16">
        <v>1108.01</v>
      </c>
      <c r="H119" s="17">
        <v>0.0</v>
      </c>
      <c r="I119" s="16">
        <f t="shared" si="10"/>
        <v>8.01</v>
      </c>
      <c r="J119" s="18">
        <f t="shared" si="2"/>
        <v>0.7281818182</v>
      </c>
      <c r="K119" s="17">
        <v>2.47</v>
      </c>
      <c r="L119" s="19">
        <f t="shared" si="3"/>
        <v>0</v>
      </c>
      <c r="M119" s="20">
        <f t="shared" si="4"/>
        <v>204.462895</v>
      </c>
      <c r="N119" s="21">
        <f t="shared" si="11"/>
        <v>2.47</v>
      </c>
      <c r="O119" s="21">
        <f t="shared" si="5"/>
        <v>2717</v>
      </c>
      <c r="P119" s="22">
        <f t="shared" si="6"/>
        <v>224909.1845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>
        <v>46183.0</v>
      </c>
      <c r="C120" s="12">
        <f>VLOOKUP(B:B,'Курс валют'!A:D,4,0)</f>
        <v>82.7785</v>
      </c>
      <c r="D120" s="15" t="s">
        <v>261</v>
      </c>
      <c r="E120" s="59" t="s">
        <v>61</v>
      </c>
      <c r="F120" s="15">
        <v>1100.0</v>
      </c>
      <c r="G120" s="16">
        <v>1108.01</v>
      </c>
      <c r="H120" s="17">
        <v>0.0</v>
      </c>
      <c r="I120" s="16">
        <f t="shared" si="10"/>
        <v>8.01</v>
      </c>
      <c r="J120" s="18">
        <f t="shared" si="2"/>
        <v>0.7281818182</v>
      </c>
      <c r="K120" s="17">
        <v>2.46</v>
      </c>
      <c r="L120" s="19">
        <f t="shared" si="3"/>
        <v>0</v>
      </c>
      <c r="M120" s="20">
        <f t="shared" si="4"/>
        <v>203.63511</v>
      </c>
      <c r="N120" s="21">
        <f t="shared" si="11"/>
        <v>2.46</v>
      </c>
      <c r="O120" s="21">
        <f t="shared" si="5"/>
        <v>2706</v>
      </c>
      <c r="P120" s="22">
        <f t="shared" si="6"/>
        <v>223998.621</v>
      </c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>
        <v>46183.0</v>
      </c>
      <c r="C121" s="12">
        <f>VLOOKUP(B:B,'Курс валют'!A:D,4,0)</f>
        <v>82.7785</v>
      </c>
      <c r="D121" s="15" t="s">
        <v>262</v>
      </c>
      <c r="E121" s="59" t="s">
        <v>61</v>
      </c>
      <c r="F121" s="15">
        <v>1100.0</v>
      </c>
      <c r="G121" s="16">
        <v>1108.01</v>
      </c>
      <c r="H121" s="17">
        <v>0.0</v>
      </c>
      <c r="I121" s="16">
        <f t="shared" si="10"/>
        <v>8.01</v>
      </c>
      <c r="J121" s="18">
        <f t="shared" si="2"/>
        <v>0.7281818182</v>
      </c>
      <c r="K121" s="17">
        <v>2.47</v>
      </c>
      <c r="L121" s="19">
        <f t="shared" si="3"/>
        <v>0</v>
      </c>
      <c r="M121" s="20">
        <f t="shared" si="4"/>
        <v>204.462895</v>
      </c>
      <c r="N121" s="21">
        <f t="shared" si="11"/>
        <v>2.47</v>
      </c>
      <c r="O121" s="21">
        <f t="shared" si="5"/>
        <v>2717</v>
      </c>
      <c r="P121" s="22">
        <f t="shared" si="6"/>
        <v>224909.1845</v>
      </c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>
        <v>46183.0</v>
      </c>
      <c r="C122" s="12">
        <f>VLOOKUP(B:B,'Курс валют'!A:D,4,0)</f>
        <v>82.7785</v>
      </c>
      <c r="D122" s="15" t="s">
        <v>263</v>
      </c>
      <c r="E122" s="59" t="s">
        <v>61</v>
      </c>
      <c r="F122" s="15">
        <v>1100.0</v>
      </c>
      <c r="G122" s="16">
        <v>1108.01</v>
      </c>
      <c r="H122" s="17">
        <v>0.0</v>
      </c>
      <c r="I122" s="16">
        <f t="shared" si="10"/>
        <v>8.01</v>
      </c>
      <c r="J122" s="18">
        <f t="shared" si="2"/>
        <v>0.7281818182</v>
      </c>
      <c r="K122" s="17">
        <v>2.47</v>
      </c>
      <c r="L122" s="19">
        <f t="shared" si="3"/>
        <v>0</v>
      </c>
      <c r="M122" s="20">
        <f t="shared" si="4"/>
        <v>204.462895</v>
      </c>
      <c r="N122" s="21">
        <f t="shared" si="11"/>
        <v>2.47</v>
      </c>
      <c r="O122" s="21">
        <f t="shared" si="5"/>
        <v>2717</v>
      </c>
      <c r="P122" s="22">
        <f t="shared" si="6"/>
        <v>224909.1845</v>
      </c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>
        <v>46183.0</v>
      </c>
      <c r="C123" s="12">
        <f>VLOOKUP(B:B,'Курс валют'!A:D,4,0)</f>
        <v>82.7785</v>
      </c>
      <c r="D123" s="15" t="s">
        <v>264</v>
      </c>
      <c r="E123" s="59" t="s">
        <v>61</v>
      </c>
      <c r="F123" s="15">
        <v>1100.0</v>
      </c>
      <c r="G123" s="16">
        <v>1108.01</v>
      </c>
      <c r="H123" s="17">
        <v>0.0</v>
      </c>
      <c r="I123" s="16">
        <f t="shared" si="10"/>
        <v>8.01</v>
      </c>
      <c r="J123" s="18">
        <f t="shared" si="2"/>
        <v>0.7281818182</v>
      </c>
      <c r="K123" s="17">
        <v>2.47</v>
      </c>
      <c r="L123" s="19">
        <f t="shared" si="3"/>
        <v>0</v>
      </c>
      <c r="M123" s="20">
        <f t="shared" si="4"/>
        <v>204.462895</v>
      </c>
      <c r="N123" s="21">
        <f t="shared" si="11"/>
        <v>2.47</v>
      </c>
      <c r="O123" s="21">
        <f t="shared" si="5"/>
        <v>2717</v>
      </c>
      <c r="P123" s="22">
        <f t="shared" si="6"/>
        <v>224909.1845</v>
      </c>
      <c r="R123" s="24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>
        <v>46183.0</v>
      </c>
      <c r="C124" s="12">
        <f>VLOOKUP(B:B,'Курс валют'!A:D,4,0)</f>
        <v>82.7785</v>
      </c>
      <c r="D124" s="15" t="s">
        <v>265</v>
      </c>
      <c r="E124" s="59" t="s">
        <v>61</v>
      </c>
      <c r="F124" s="15">
        <v>1100.0</v>
      </c>
      <c r="G124" s="16">
        <v>1108.01</v>
      </c>
      <c r="H124" s="17">
        <v>0.0</v>
      </c>
      <c r="I124" s="16">
        <f t="shared" si="10"/>
        <v>8.01</v>
      </c>
      <c r="J124" s="18">
        <f t="shared" si="2"/>
        <v>0.7281818182</v>
      </c>
      <c r="K124" s="17">
        <v>2.47</v>
      </c>
      <c r="L124" s="19">
        <f t="shared" si="3"/>
        <v>0</v>
      </c>
      <c r="M124" s="20">
        <f t="shared" si="4"/>
        <v>204.462895</v>
      </c>
      <c r="N124" s="21">
        <f t="shared" si="11"/>
        <v>2.47</v>
      </c>
      <c r="O124" s="21">
        <f t="shared" si="5"/>
        <v>2717</v>
      </c>
      <c r="P124" s="22">
        <f t="shared" si="6"/>
        <v>224909.1845</v>
      </c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11">
        <v>46183.0</v>
      </c>
      <c r="C125" s="12">
        <f>VLOOKUP(B:B,'Курс валют'!A:D,4,0)</f>
        <v>82.7785</v>
      </c>
      <c r="D125" s="15" t="s">
        <v>266</v>
      </c>
      <c r="E125" s="59" t="s">
        <v>61</v>
      </c>
      <c r="F125" s="15">
        <v>1100.0</v>
      </c>
      <c r="G125" s="16">
        <v>1108.01</v>
      </c>
      <c r="H125" s="17">
        <v>0.0</v>
      </c>
      <c r="I125" s="16">
        <f t="shared" si="10"/>
        <v>8.01</v>
      </c>
      <c r="J125" s="18">
        <f t="shared" si="2"/>
        <v>0.7281818182</v>
      </c>
      <c r="K125" s="17">
        <v>2.46</v>
      </c>
      <c r="L125" s="19">
        <f t="shared" si="3"/>
        <v>0</v>
      </c>
      <c r="M125" s="20">
        <f t="shared" si="4"/>
        <v>203.63511</v>
      </c>
      <c r="N125" s="21">
        <f t="shared" si="11"/>
        <v>2.46</v>
      </c>
      <c r="O125" s="21">
        <f t="shared" si="5"/>
        <v>2706</v>
      </c>
      <c r="P125" s="22">
        <f t="shared" si="6"/>
        <v>223998.621</v>
      </c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11">
        <v>46184.0</v>
      </c>
      <c r="C126" s="12">
        <f>VLOOKUP(B:B,'Курс валют'!A:D,4,0)</f>
        <v>83.0816</v>
      </c>
      <c r="D126" s="15" t="s">
        <v>267</v>
      </c>
      <c r="E126" s="59" t="s">
        <v>61</v>
      </c>
      <c r="F126" s="15">
        <v>1100.0</v>
      </c>
      <c r="G126" s="16">
        <v>1108.01</v>
      </c>
      <c r="H126" s="17">
        <v>0.0</v>
      </c>
      <c r="I126" s="16">
        <f t="shared" si="10"/>
        <v>8.01</v>
      </c>
      <c r="J126" s="18">
        <f t="shared" si="2"/>
        <v>0.7281818182</v>
      </c>
      <c r="K126" s="17">
        <v>2.47</v>
      </c>
      <c r="L126" s="19">
        <f t="shared" si="3"/>
        <v>0</v>
      </c>
      <c r="M126" s="20">
        <f t="shared" si="4"/>
        <v>205.211552</v>
      </c>
      <c r="N126" s="21">
        <f t="shared" si="11"/>
        <v>2.47</v>
      </c>
      <c r="O126" s="21">
        <f t="shared" si="5"/>
        <v>2717</v>
      </c>
      <c r="P126" s="22">
        <f t="shared" si="6"/>
        <v>225732.7072</v>
      </c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11">
        <v>46184.0</v>
      </c>
      <c r="C127" s="12">
        <f>VLOOKUP(B:B,'Курс валют'!A:D,4,0)</f>
        <v>83.0816</v>
      </c>
      <c r="D127" s="15" t="s">
        <v>268</v>
      </c>
      <c r="E127" s="59" t="s">
        <v>61</v>
      </c>
      <c r="F127" s="15">
        <v>1100.0</v>
      </c>
      <c r="G127" s="16">
        <v>1108.01</v>
      </c>
      <c r="H127" s="17">
        <v>0.0</v>
      </c>
      <c r="I127" s="16">
        <f t="shared" si="10"/>
        <v>8.01</v>
      </c>
      <c r="J127" s="18">
        <f t="shared" si="2"/>
        <v>0.7281818182</v>
      </c>
      <c r="K127" s="17">
        <v>2.46</v>
      </c>
      <c r="L127" s="19">
        <f t="shared" si="3"/>
        <v>0</v>
      </c>
      <c r="M127" s="20">
        <f t="shared" si="4"/>
        <v>204.380736</v>
      </c>
      <c r="N127" s="21">
        <f t="shared" si="11"/>
        <v>2.46</v>
      </c>
      <c r="O127" s="21">
        <f t="shared" si="5"/>
        <v>2706</v>
      </c>
      <c r="P127" s="22">
        <f t="shared" si="6"/>
        <v>224818.8096</v>
      </c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11">
        <v>46184.0</v>
      </c>
      <c r="C128" s="12">
        <f>VLOOKUP(B:B,'Курс валют'!A:D,4,0)</f>
        <v>83.0816</v>
      </c>
      <c r="D128" s="15" t="s">
        <v>269</v>
      </c>
      <c r="E128" s="59" t="s">
        <v>61</v>
      </c>
      <c r="F128" s="15">
        <v>1100.0</v>
      </c>
      <c r="G128" s="16">
        <v>1108.01</v>
      </c>
      <c r="H128" s="17">
        <v>0.0</v>
      </c>
      <c r="I128" s="16">
        <f t="shared" si="10"/>
        <v>8.01</v>
      </c>
      <c r="J128" s="18">
        <f t="shared" si="2"/>
        <v>0.7281818182</v>
      </c>
      <c r="K128" s="17">
        <v>2.46</v>
      </c>
      <c r="L128" s="19">
        <f t="shared" si="3"/>
        <v>0</v>
      </c>
      <c r="M128" s="20">
        <f t="shared" si="4"/>
        <v>204.380736</v>
      </c>
      <c r="N128" s="21">
        <f t="shared" si="11"/>
        <v>2.46</v>
      </c>
      <c r="O128" s="21">
        <f t="shared" si="5"/>
        <v>2706</v>
      </c>
      <c r="P128" s="22">
        <f t="shared" si="6"/>
        <v>224818.8096</v>
      </c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11">
        <v>46184.0</v>
      </c>
      <c r="C129" s="12">
        <f>VLOOKUP(B:B,'Курс валют'!A:D,4,0)</f>
        <v>83.0816</v>
      </c>
      <c r="D129" s="15" t="s">
        <v>270</v>
      </c>
      <c r="E129" s="59" t="s">
        <v>61</v>
      </c>
      <c r="F129" s="15">
        <v>1100.0</v>
      </c>
      <c r="G129" s="16">
        <v>1108.01</v>
      </c>
      <c r="H129" s="17">
        <v>0.0</v>
      </c>
      <c r="I129" s="16">
        <f t="shared" si="10"/>
        <v>8.01</v>
      </c>
      <c r="J129" s="18">
        <f t="shared" si="2"/>
        <v>0.7281818182</v>
      </c>
      <c r="K129" s="17">
        <v>2.47</v>
      </c>
      <c r="L129" s="19">
        <f t="shared" si="3"/>
        <v>0</v>
      </c>
      <c r="M129" s="20">
        <f t="shared" si="4"/>
        <v>205.211552</v>
      </c>
      <c r="N129" s="21">
        <f t="shared" si="11"/>
        <v>2.47</v>
      </c>
      <c r="O129" s="21">
        <f t="shared" si="5"/>
        <v>2717</v>
      </c>
      <c r="P129" s="22">
        <f t="shared" si="6"/>
        <v>225732.7072</v>
      </c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11">
        <v>46184.0</v>
      </c>
      <c r="C130" s="12">
        <f>VLOOKUP(B:B,'Курс валют'!A:D,4,0)</f>
        <v>83.0816</v>
      </c>
      <c r="D130" s="15" t="s">
        <v>271</v>
      </c>
      <c r="E130" s="59" t="s">
        <v>61</v>
      </c>
      <c r="F130" s="15">
        <v>1100.0</v>
      </c>
      <c r="G130" s="16">
        <v>1108.01</v>
      </c>
      <c r="H130" s="17">
        <v>0.0</v>
      </c>
      <c r="I130" s="16">
        <f t="shared" si="10"/>
        <v>8.01</v>
      </c>
      <c r="J130" s="18">
        <f t="shared" si="2"/>
        <v>0.7281818182</v>
      </c>
      <c r="K130" s="17">
        <v>2.46</v>
      </c>
      <c r="L130" s="19">
        <f t="shared" si="3"/>
        <v>0</v>
      </c>
      <c r="M130" s="20">
        <f t="shared" si="4"/>
        <v>204.380736</v>
      </c>
      <c r="N130" s="21">
        <f t="shared" si="11"/>
        <v>2.46</v>
      </c>
      <c r="O130" s="21">
        <f t="shared" si="5"/>
        <v>2706</v>
      </c>
      <c r="P130" s="22">
        <f t="shared" si="6"/>
        <v>224818.8096</v>
      </c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11">
        <v>46184.0</v>
      </c>
      <c r="C131" s="12">
        <f>VLOOKUP(B:B,'Курс валют'!A:D,4,0)</f>
        <v>83.0816</v>
      </c>
      <c r="D131" s="15" t="s">
        <v>272</v>
      </c>
      <c r="E131" s="59" t="s">
        <v>61</v>
      </c>
      <c r="F131" s="15">
        <v>1100.0</v>
      </c>
      <c r="G131" s="16">
        <v>1108.01</v>
      </c>
      <c r="H131" s="17">
        <v>0.0</v>
      </c>
      <c r="I131" s="16">
        <f t="shared" si="10"/>
        <v>8.01</v>
      </c>
      <c r="J131" s="18">
        <f t="shared" si="2"/>
        <v>0.7281818182</v>
      </c>
      <c r="K131" s="17">
        <v>2.47</v>
      </c>
      <c r="L131" s="19">
        <f t="shared" si="3"/>
        <v>0</v>
      </c>
      <c r="M131" s="20">
        <f t="shared" si="4"/>
        <v>205.211552</v>
      </c>
      <c r="N131" s="21">
        <f t="shared" si="11"/>
        <v>2.47</v>
      </c>
      <c r="O131" s="21">
        <f t="shared" si="5"/>
        <v>2717</v>
      </c>
      <c r="P131" s="22">
        <f t="shared" si="6"/>
        <v>225732.7072</v>
      </c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11">
        <v>46184.0</v>
      </c>
      <c r="C132" s="12">
        <f>VLOOKUP(B:B,'Курс валют'!A:D,4,0)</f>
        <v>83.0816</v>
      </c>
      <c r="D132" s="15" t="s">
        <v>273</v>
      </c>
      <c r="E132" s="59" t="s">
        <v>61</v>
      </c>
      <c r="F132" s="15">
        <v>1100.0</v>
      </c>
      <c r="G132" s="16">
        <v>1108.01</v>
      </c>
      <c r="H132" s="17">
        <v>0.0</v>
      </c>
      <c r="I132" s="16">
        <f t="shared" si="10"/>
        <v>8.01</v>
      </c>
      <c r="J132" s="18">
        <f t="shared" si="2"/>
        <v>0.7281818182</v>
      </c>
      <c r="K132" s="17">
        <v>2.46</v>
      </c>
      <c r="L132" s="19">
        <f t="shared" si="3"/>
        <v>0</v>
      </c>
      <c r="M132" s="20">
        <f t="shared" si="4"/>
        <v>204.380736</v>
      </c>
      <c r="N132" s="21">
        <f t="shared" si="11"/>
        <v>2.46</v>
      </c>
      <c r="O132" s="21">
        <f t="shared" si="5"/>
        <v>2706</v>
      </c>
      <c r="P132" s="22">
        <f t="shared" si="6"/>
        <v>224818.8096</v>
      </c>
      <c r="R132" s="24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B133" s="11">
        <v>46184.0</v>
      </c>
      <c r="C133" s="12">
        <f>VLOOKUP(B:B,'Курс валют'!A:D,4,0)</f>
        <v>83.0816</v>
      </c>
      <c r="D133" s="15" t="s">
        <v>274</v>
      </c>
      <c r="E133" s="59" t="s">
        <v>61</v>
      </c>
      <c r="F133" s="15">
        <v>1100.0</v>
      </c>
      <c r="G133" s="16">
        <v>1108.01</v>
      </c>
      <c r="H133" s="17">
        <v>0.0</v>
      </c>
      <c r="I133" s="16">
        <f t="shared" si="10"/>
        <v>8.01</v>
      </c>
      <c r="J133" s="18">
        <f t="shared" si="2"/>
        <v>0.7281818182</v>
      </c>
      <c r="K133" s="17">
        <v>2.46</v>
      </c>
      <c r="L133" s="19">
        <f t="shared" si="3"/>
        <v>0</v>
      </c>
      <c r="M133" s="20">
        <f t="shared" si="4"/>
        <v>204.380736</v>
      </c>
      <c r="N133" s="21">
        <f t="shared" si="11"/>
        <v>2.46</v>
      </c>
      <c r="O133" s="21">
        <f t="shared" si="5"/>
        <v>2706</v>
      </c>
      <c r="P133" s="22">
        <f t="shared" si="6"/>
        <v>224818.8096</v>
      </c>
      <c r="R133" s="23"/>
    </row>
    <row r="134">
      <c r="B134" s="11">
        <v>46184.0</v>
      </c>
      <c r="C134" s="12">
        <f>VLOOKUP(B:B,'Курс валют'!A:D,4,0)</f>
        <v>83.0816</v>
      </c>
      <c r="D134" s="15" t="s">
        <v>275</v>
      </c>
      <c r="E134" s="59" t="s">
        <v>61</v>
      </c>
      <c r="F134" s="15">
        <v>1100.0</v>
      </c>
      <c r="G134" s="16">
        <v>1108.01</v>
      </c>
      <c r="H134" s="17">
        <v>0.0</v>
      </c>
      <c r="I134" s="16">
        <f t="shared" si="10"/>
        <v>8.01</v>
      </c>
      <c r="J134" s="18">
        <f t="shared" si="2"/>
        <v>0.7281818182</v>
      </c>
      <c r="K134" s="17">
        <v>2.47</v>
      </c>
      <c r="L134" s="19">
        <f t="shared" si="3"/>
        <v>0</v>
      </c>
      <c r="M134" s="20">
        <f t="shared" si="4"/>
        <v>205.211552</v>
      </c>
      <c r="N134" s="21">
        <f t="shared" si="11"/>
        <v>2.47</v>
      </c>
      <c r="O134" s="21">
        <f t="shared" si="5"/>
        <v>2717</v>
      </c>
      <c r="P134" s="22">
        <f t="shared" si="6"/>
        <v>225732.7072</v>
      </c>
      <c r="R134" s="23"/>
    </row>
    <row r="135">
      <c r="B135" s="11">
        <v>46184.0</v>
      </c>
      <c r="C135" s="12">
        <f>VLOOKUP(B:B,'Курс валют'!A:D,4,0)</f>
        <v>83.0816</v>
      </c>
      <c r="D135" s="15" t="s">
        <v>276</v>
      </c>
      <c r="E135" s="59" t="s">
        <v>61</v>
      </c>
      <c r="F135" s="15">
        <v>1100.0</v>
      </c>
      <c r="G135" s="16">
        <v>1108.01</v>
      </c>
      <c r="H135" s="17">
        <v>0.0</v>
      </c>
      <c r="I135" s="16">
        <f t="shared" si="10"/>
        <v>8.01</v>
      </c>
      <c r="J135" s="18">
        <f t="shared" si="2"/>
        <v>0.7281818182</v>
      </c>
      <c r="K135" s="17">
        <v>2.46</v>
      </c>
      <c r="L135" s="19">
        <f t="shared" si="3"/>
        <v>0</v>
      </c>
      <c r="M135" s="20">
        <f t="shared" si="4"/>
        <v>204.380736</v>
      </c>
      <c r="N135" s="21">
        <f t="shared" si="11"/>
        <v>2.46</v>
      </c>
      <c r="O135" s="21">
        <f t="shared" si="5"/>
        <v>2706</v>
      </c>
      <c r="P135" s="22">
        <f t="shared" si="6"/>
        <v>224818.8096</v>
      </c>
      <c r="R135" s="23"/>
    </row>
    <row r="136">
      <c r="B136" s="11">
        <v>46184.0</v>
      </c>
      <c r="C136" s="12">
        <f>VLOOKUP(B:B,'Курс валют'!A:D,4,0)</f>
        <v>83.0816</v>
      </c>
      <c r="D136" s="15" t="s">
        <v>277</v>
      </c>
      <c r="E136" s="59" t="s">
        <v>18</v>
      </c>
      <c r="F136" s="15">
        <v>55.0</v>
      </c>
      <c r="G136" s="16">
        <v>57.0</v>
      </c>
      <c r="H136" s="17">
        <v>0.0</v>
      </c>
      <c r="I136" s="16">
        <f t="shared" si="10"/>
        <v>2</v>
      </c>
      <c r="J136" s="18">
        <f t="shared" si="2"/>
        <v>3.636363636</v>
      </c>
      <c r="K136" s="17">
        <v>7.87</v>
      </c>
      <c r="L136" s="19">
        <f t="shared" si="3"/>
        <v>0</v>
      </c>
      <c r="M136" s="20">
        <f t="shared" si="4"/>
        <v>653.852192</v>
      </c>
      <c r="N136" s="21">
        <f t="shared" si="11"/>
        <v>7.87</v>
      </c>
      <c r="O136" s="21">
        <f t="shared" si="5"/>
        <v>432.85</v>
      </c>
      <c r="P136" s="22">
        <f t="shared" si="6"/>
        <v>35961.87056</v>
      </c>
      <c r="R136" s="23" t="s">
        <v>278</v>
      </c>
    </row>
    <row r="137">
      <c r="B137" s="11">
        <v>46184.0</v>
      </c>
      <c r="C137" s="12">
        <f>VLOOKUP(B:B,'Курс валют'!A:D,4,0)</f>
        <v>83.0816</v>
      </c>
      <c r="D137" s="15" t="s">
        <v>279</v>
      </c>
      <c r="E137" s="59" t="s">
        <v>18</v>
      </c>
      <c r="F137" s="15">
        <v>65.0</v>
      </c>
      <c r="G137" s="16">
        <v>68.2</v>
      </c>
      <c r="H137" s="17">
        <v>0.0</v>
      </c>
      <c r="I137" s="16">
        <f t="shared" si="10"/>
        <v>3.2</v>
      </c>
      <c r="J137" s="18">
        <f t="shared" si="2"/>
        <v>4.923076923</v>
      </c>
      <c r="K137" s="17">
        <v>5.29</v>
      </c>
      <c r="L137" s="19">
        <f t="shared" si="3"/>
        <v>0</v>
      </c>
      <c r="M137" s="20">
        <f t="shared" si="4"/>
        <v>439.501664</v>
      </c>
      <c r="N137" s="21">
        <f t="shared" si="11"/>
        <v>5.29</v>
      </c>
      <c r="O137" s="21">
        <f t="shared" si="5"/>
        <v>343.85</v>
      </c>
      <c r="P137" s="22">
        <f t="shared" si="6"/>
        <v>28567.60816</v>
      </c>
      <c r="R137" s="23" t="s">
        <v>280</v>
      </c>
    </row>
    <row r="138">
      <c r="B138" s="11">
        <v>46184.0</v>
      </c>
      <c r="C138" s="12">
        <f>VLOOKUP(B:B,'Курс валют'!A:D,4,0)</f>
        <v>83.0816</v>
      </c>
      <c r="D138" s="15" t="s">
        <v>281</v>
      </c>
      <c r="E138" s="59" t="s">
        <v>18</v>
      </c>
      <c r="F138" s="15">
        <v>70.0</v>
      </c>
      <c r="G138" s="16">
        <v>71.8</v>
      </c>
      <c r="H138" s="17">
        <v>0.0</v>
      </c>
      <c r="I138" s="16">
        <f t="shared" si="10"/>
        <v>1.8</v>
      </c>
      <c r="J138" s="18">
        <f t="shared" si="2"/>
        <v>2.571428571</v>
      </c>
      <c r="K138" s="17">
        <v>3.64</v>
      </c>
      <c r="L138" s="19">
        <f t="shared" si="3"/>
        <v>0</v>
      </c>
      <c r="M138" s="20">
        <f t="shared" si="4"/>
        <v>302.417024</v>
      </c>
      <c r="N138" s="21">
        <f t="shared" si="11"/>
        <v>3.64</v>
      </c>
      <c r="O138" s="21">
        <f t="shared" si="5"/>
        <v>254.8</v>
      </c>
      <c r="P138" s="22">
        <f t="shared" si="6"/>
        <v>21169.19168</v>
      </c>
      <c r="R138" s="23" t="s">
        <v>282</v>
      </c>
    </row>
    <row r="139">
      <c r="B139" s="11">
        <v>46185.0</v>
      </c>
      <c r="C139" s="12">
        <f>VLOOKUP(B:B,'Курс валют'!A:D,4,0)</f>
        <v>82.9743</v>
      </c>
      <c r="D139" s="15" t="s">
        <v>283</v>
      </c>
      <c r="E139" s="59" t="s">
        <v>18</v>
      </c>
      <c r="F139" s="15">
        <v>1100.0</v>
      </c>
      <c r="G139" s="16">
        <v>1108.5</v>
      </c>
      <c r="H139" s="17">
        <v>0.0</v>
      </c>
      <c r="I139" s="16">
        <f t="shared" si="10"/>
        <v>8.5</v>
      </c>
      <c r="J139" s="18">
        <f t="shared" si="2"/>
        <v>0.7727272727</v>
      </c>
      <c r="K139" s="17">
        <v>2.38</v>
      </c>
      <c r="L139" s="19">
        <f t="shared" si="3"/>
        <v>0</v>
      </c>
      <c r="M139" s="20">
        <f t="shared" si="4"/>
        <v>197.478834</v>
      </c>
      <c r="N139" s="21">
        <f t="shared" si="11"/>
        <v>2.38</v>
      </c>
      <c r="O139" s="21">
        <f t="shared" si="5"/>
        <v>2618</v>
      </c>
      <c r="P139" s="22">
        <f t="shared" si="6"/>
        <v>217226.7174</v>
      </c>
      <c r="R139" s="23"/>
    </row>
    <row r="140">
      <c r="B140" s="11">
        <v>46185.0</v>
      </c>
      <c r="C140" s="12">
        <f>VLOOKUP(B:B,'Курс валют'!A:D,4,0)</f>
        <v>82.9743</v>
      </c>
      <c r="D140" s="15" t="s">
        <v>284</v>
      </c>
      <c r="E140" s="59" t="s">
        <v>18</v>
      </c>
      <c r="F140" s="15">
        <v>1100.0</v>
      </c>
      <c r="G140" s="16">
        <v>1108.5</v>
      </c>
      <c r="H140" s="17">
        <v>0.0</v>
      </c>
      <c r="I140" s="16">
        <f t="shared" si="10"/>
        <v>8.5</v>
      </c>
      <c r="J140" s="18">
        <f t="shared" si="2"/>
        <v>0.7727272727</v>
      </c>
      <c r="K140" s="17">
        <v>2.38</v>
      </c>
      <c r="L140" s="19">
        <f t="shared" si="3"/>
        <v>0</v>
      </c>
      <c r="M140" s="20">
        <f t="shared" si="4"/>
        <v>197.478834</v>
      </c>
      <c r="N140" s="21">
        <f t="shared" si="11"/>
        <v>2.38</v>
      </c>
      <c r="O140" s="21">
        <f t="shared" si="5"/>
        <v>2618</v>
      </c>
      <c r="P140" s="22">
        <f t="shared" si="6"/>
        <v>217226.7174</v>
      </c>
    </row>
    <row r="141">
      <c r="B141" s="11">
        <v>46185.0</v>
      </c>
      <c r="C141" s="12">
        <f>VLOOKUP(B:B,'Курс валют'!A:D,4,0)</f>
        <v>82.9743</v>
      </c>
      <c r="D141" s="15" t="s">
        <v>285</v>
      </c>
      <c r="E141" s="59" t="s">
        <v>18</v>
      </c>
      <c r="F141" s="15">
        <v>1100.0</v>
      </c>
      <c r="G141" s="16">
        <v>1108.5</v>
      </c>
      <c r="H141" s="17">
        <v>0.0</v>
      </c>
      <c r="I141" s="16">
        <f t="shared" si="10"/>
        <v>8.5</v>
      </c>
      <c r="J141" s="18">
        <f t="shared" si="2"/>
        <v>0.7727272727</v>
      </c>
      <c r="K141" s="17">
        <v>2.38</v>
      </c>
      <c r="L141" s="19">
        <f t="shared" si="3"/>
        <v>0</v>
      </c>
      <c r="M141" s="20">
        <f t="shared" si="4"/>
        <v>197.478834</v>
      </c>
      <c r="N141" s="21">
        <f t="shared" si="11"/>
        <v>2.38</v>
      </c>
      <c r="O141" s="21">
        <f t="shared" si="5"/>
        <v>2618</v>
      </c>
      <c r="P141" s="22">
        <f t="shared" si="6"/>
        <v>217226.7174</v>
      </c>
    </row>
    <row r="142">
      <c r="B142" s="11">
        <v>46185.0</v>
      </c>
      <c r="C142" s="12">
        <f>VLOOKUP(B:B,'Курс валют'!A:D,4,0)</f>
        <v>82.9743</v>
      </c>
      <c r="D142" s="15" t="s">
        <v>286</v>
      </c>
      <c r="E142" s="59" t="s">
        <v>18</v>
      </c>
      <c r="F142" s="15">
        <v>1100.0</v>
      </c>
      <c r="G142" s="16">
        <v>1108.5</v>
      </c>
      <c r="H142" s="17">
        <v>0.0</v>
      </c>
      <c r="I142" s="16">
        <f t="shared" si="10"/>
        <v>8.5</v>
      </c>
      <c r="J142" s="18">
        <f t="shared" si="2"/>
        <v>0.7727272727</v>
      </c>
      <c r="K142" s="17">
        <v>2.38</v>
      </c>
      <c r="L142" s="19">
        <f t="shared" si="3"/>
        <v>0</v>
      </c>
      <c r="M142" s="20">
        <f t="shared" si="4"/>
        <v>197.478834</v>
      </c>
      <c r="N142" s="21">
        <f t="shared" si="11"/>
        <v>2.38</v>
      </c>
      <c r="O142" s="21">
        <f t="shared" si="5"/>
        <v>2618</v>
      </c>
      <c r="P142" s="22">
        <f t="shared" si="6"/>
        <v>217226.7174</v>
      </c>
    </row>
    <row r="143">
      <c r="B143" s="11">
        <v>46185.0</v>
      </c>
      <c r="C143" s="12">
        <f>VLOOKUP(B:B,'Курс валют'!A:D,4,0)</f>
        <v>82.9743</v>
      </c>
      <c r="D143" s="15" t="s">
        <v>287</v>
      </c>
      <c r="E143" s="59" t="s">
        <v>18</v>
      </c>
      <c r="F143" s="15">
        <v>1100.0</v>
      </c>
      <c r="G143" s="16">
        <v>1108.5</v>
      </c>
      <c r="H143" s="17">
        <v>0.0</v>
      </c>
      <c r="I143" s="16">
        <f t="shared" si="10"/>
        <v>8.5</v>
      </c>
      <c r="J143" s="18">
        <f t="shared" si="2"/>
        <v>0.7727272727</v>
      </c>
      <c r="K143" s="17">
        <v>2.38</v>
      </c>
      <c r="L143" s="19">
        <f t="shared" si="3"/>
        <v>0</v>
      </c>
      <c r="M143" s="20">
        <f t="shared" si="4"/>
        <v>197.478834</v>
      </c>
      <c r="N143" s="21">
        <f t="shared" si="11"/>
        <v>2.38</v>
      </c>
      <c r="O143" s="21">
        <f t="shared" si="5"/>
        <v>2618</v>
      </c>
      <c r="P143" s="22">
        <f t="shared" si="6"/>
        <v>217226.7174</v>
      </c>
    </row>
    <row r="144">
      <c r="B144" s="11">
        <v>46185.0</v>
      </c>
      <c r="C144" s="12">
        <f>VLOOKUP(B:B,'Курс валют'!A:D,4,0)</f>
        <v>82.9743</v>
      </c>
      <c r="D144" s="15" t="s">
        <v>288</v>
      </c>
      <c r="E144" s="59" t="s">
        <v>18</v>
      </c>
      <c r="F144" s="15">
        <v>1100.0</v>
      </c>
      <c r="G144" s="16">
        <v>1108.5</v>
      </c>
      <c r="H144" s="17">
        <v>0.0</v>
      </c>
      <c r="I144" s="16">
        <f t="shared" si="10"/>
        <v>8.5</v>
      </c>
      <c r="J144" s="18">
        <f t="shared" si="2"/>
        <v>0.7727272727</v>
      </c>
      <c r="K144" s="17">
        <v>2.37</v>
      </c>
      <c r="L144" s="19">
        <f t="shared" si="3"/>
        <v>0</v>
      </c>
      <c r="M144" s="20">
        <f t="shared" si="4"/>
        <v>196.649091</v>
      </c>
      <c r="N144" s="21">
        <f t="shared" si="11"/>
        <v>2.37</v>
      </c>
      <c r="O144" s="21">
        <f t="shared" si="5"/>
        <v>2607</v>
      </c>
      <c r="P144" s="22">
        <f t="shared" si="6"/>
        <v>216314.0001</v>
      </c>
    </row>
    <row r="145">
      <c r="B145" s="11">
        <v>46185.0</v>
      </c>
      <c r="C145" s="12">
        <f>VLOOKUP(B:B,'Курс валют'!A:D,4,0)</f>
        <v>82.9743</v>
      </c>
      <c r="D145" s="15" t="s">
        <v>289</v>
      </c>
      <c r="E145" s="59" t="s">
        <v>18</v>
      </c>
      <c r="F145" s="15">
        <v>1100.0</v>
      </c>
      <c r="G145" s="16">
        <v>1108.5</v>
      </c>
      <c r="H145" s="17">
        <v>0.0</v>
      </c>
      <c r="I145" s="16">
        <f t="shared" si="10"/>
        <v>8.5</v>
      </c>
      <c r="J145" s="18">
        <f t="shared" si="2"/>
        <v>0.7727272727</v>
      </c>
      <c r="K145" s="17">
        <v>2.32</v>
      </c>
      <c r="L145" s="19">
        <f t="shared" si="3"/>
        <v>0</v>
      </c>
      <c r="M145" s="20">
        <f t="shared" si="4"/>
        <v>192.500376</v>
      </c>
      <c r="N145" s="21">
        <f t="shared" si="11"/>
        <v>2.32</v>
      </c>
      <c r="O145" s="21">
        <f t="shared" si="5"/>
        <v>2552</v>
      </c>
      <c r="P145" s="22">
        <f t="shared" si="6"/>
        <v>211750.4136</v>
      </c>
    </row>
    <row r="146">
      <c r="B146" s="11">
        <v>46185.0</v>
      </c>
      <c r="C146" s="12">
        <f>VLOOKUP(B:B,'Курс валют'!A:D,4,0)</f>
        <v>82.9743</v>
      </c>
      <c r="D146" s="15" t="s">
        <v>290</v>
      </c>
      <c r="E146" s="59" t="s">
        <v>18</v>
      </c>
      <c r="F146" s="15">
        <v>1100.0</v>
      </c>
      <c r="G146" s="16">
        <v>1108.5</v>
      </c>
      <c r="H146" s="17">
        <v>0.0</v>
      </c>
      <c r="I146" s="16">
        <f t="shared" si="10"/>
        <v>8.5</v>
      </c>
      <c r="J146" s="18">
        <f t="shared" si="2"/>
        <v>0.7727272727</v>
      </c>
      <c r="K146" s="17">
        <v>2.32</v>
      </c>
      <c r="L146" s="19">
        <f t="shared" si="3"/>
        <v>0</v>
      </c>
      <c r="M146" s="20">
        <f t="shared" si="4"/>
        <v>192.500376</v>
      </c>
      <c r="N146" s="21">
        <f t="shared" si="11"/>
        <v>2.32</v>
      </c>
      <c r="O146" s="21">
        <f t="shared" si="5"/>
        <v>2552</v>
      </c>
      <c r="P146" s="22">
        <f t="shared" si="6"/>
        <v>211750.4136</v>
      </c>
    </row>
    <row r="147">
      <c r="B147" s="11">
        <v>46185.0</v>
      </c>
      <c r="C147" s="12">
        <f>VLOOKUP(B:B,'Курс валют'!A:D,4,0)</f>
        <v>82.9743</v>
      </c>
      <c r="D147" s="15" t="s">
        <v>291</v>
      </c>
      <c r="E147" s="59" t="s">
        <v>18</v>
      </c>
      <c r="F147" s="15">
        <v>1100.0</v>
      </c>
      <c r="G147" s="16">
        <v>1108.5</v>
      </c>
      <c r="H147" s="17">
        <v>0.0</v>
      </c>
      <c r="I147" s="16">
        <f t="shared" si="10"/>
        <v>8.5</v>
      </c>
      <c r="J147" s="18">
        <f t="shared" si="2"/>
        <v>0.7727272727</v>
      </c>
      <c r="K147" s="17">
        <v>2.32</v>
      </c>
      <c r="L147" s="19">
        <f t="shared" si="3"/>
        <v>0</v>
      </c>
      <c r="M147" s="20">
        <f t="shared" si="4"/>
        <v>192.500376</v>
      </c>
      <c r="N147" s="21">
        <f t="shared" si="11"/>
        <v>2.32</v>
      </c>
      <c r="O147" s="21">
        <f t="shared" si="5"/>
        <v>2552</v>
      </c>
      <c r="P147" s="22">
        <f t="shared" si="6"/>
        <v>211750.4136</v>
      </c>
    </row>
    <row r="148">
      <c r="B148" s="11">
        <v>46185.0</v>
      </c>
      <c r="C148" s="12">
        <f>VLOOKUP(B:B,'Курс валют'!A:D,4,0)</f>
        <v>82.9743</v>
      </c>
      <c r="D148" s="15" t="s">
        <v>292</v>
      </c>
      <c r="E148" s="59" t="s">
        <v>18</v>
      </c>
      <c r="F148" s="15">
        <v>1100.0</v>
      </c>
      <c r="G148" s="16">
        <v>1108.5</v>
      </c>
      <c r="H148" s="17">
        <v>0.0</v>
      </c>
      <c r="I148" s="16">
        <f t="shared" si="10"/>
        <v>8.5</v>
      </c>
      <c r="J148" s="18">
        <f t="shared" si="2"/>
        <v>0.7727272727</v>
      </c>
      <c r="K148" s="17">
        <v>2.32</v>
      </c>
      <c r="L148" s="19">
        <f t="shared" si="3"/>
        <v>0</v>
      </c>
      <c r="M148" s="20">
        <f t="shared" si="4"/>
        <v>192.500376</v>
      </c>
      <c r="N148" s="21">
        <f t="shared" si="11"/>
        <v>2.32</v>
      </c>
      <c r="O148" s="21">
        <f t="shared" si="5"/>
        <v>2552</v>
      </c>
      <c r="P148" s="22">
        <f t="shared" si="6"/>
        <v>211750.4136</v>
      </c>
    </row>
    <row r="149">
      <c r="B149" s="11">
        <v>46185.0</v>
      </c>
      <c r="C149" s="12">
        <f>VLOOKUP(B:B,'Курс валют'!A:D,4,0)</f>
        <v>82.9743</v>
      </c>
      <c r="D149" s="15" t="s">
        <v>293</v>
      </c>
      <c r="E149" s="59" t="s">
        <v>115</v>
      </c>
      <c r="F149" s="15">
        <v>24.0</v>
      </c>
      <c r="G149" s="16">
        <v>26.95</v>
      </c>
      <c r="H149" s="17">
        <v>0.0</v>
      </c>
      <c r="I149" s="16">
        <f t="shared" si="10"/>
        <v>2.95</v>
      </c>
      <c r="J149" s="18">
        <f t="shared" si="2"/>
        <v>12.29166667</v>
      </c>
      <c r="K149" s="17">
        <v>3.44</v>
      </c>
      <c r="L149" s="19">
        <f t="shared" si="3"/>
        <v>0</v>
      </c>
      <c r="M149" s="20">
        <f t="shared" si="4"/>
        <v>285.431592</v>
      </c>
      <c r="N149" s="21">
        <f t="shared" si="11"/>
        <v>3.44</v>
      </c>
      <c r="O149" s="21">
        <f t="shared" si="5"/>
        <v>82.56</v>
      </c>
      <c r="P149" s="22">
        <f t="shared" si="6"/>
        <v>6850.358208</v>
      </c>
    </row>
    <row r="150">
      <c r="B150" s="11">
        <v>46186.0</v>
      </c>
      <c r="C150" s="12">
        <f>VLOOKUP(B:B,'Курс валют'!A:D,4,0)</f>
        <v>82.9743</v>
      </c>
      <c r="D150" s="15" t="s">
        <v>294</v>
      </c>
      <c r="E150" s="59" t="s">
        <v>18</v>
      </c>
      <c r="F150" s="15">
        <v>1100.0</v>
      </c>
      <c r="G150" s="16">
        <v>1108.5</v>
      </c>
      <c r="H150" s="17">
        <v>0.0</v>
      </c>
      <c r="I150" s="16">
        <f t="shared" si="10"/>
        <v>8.5</v>
      </c>
      <c r="J150" s="18">
        <f t="shared" si="2"/>
        <v>0.7727272727</v>
      </c>
      <c r="K150" s="17">
        <v>2.32</v>
      </c>
      <c r="L150" s="19">
        <f t="shared" si="3"/>
        <v>0</v>
      </c>
      <c r="M150" s="20">
        <f t="shared" si="4"/>
        <v>192.500376</v>
      </c>
      <c r="N150" s="21">
        <f t="shared" si="11"/>
        <v>2.32</v>
      </c>
      <c r="O150" s="21">
        <f t="shared" si="5"/>
        <v>2552</v>
      </c>
      <c r="P150" s="22">
        <f t="shared" si="6"/>
        <v>211750.4136</v>
      </c>
    </row>
    <row r="151">
      <c r="B151" s="11">
        <v>46186.0</v>
      </c>
      <c r="C151" s="12">
        <f>VLOOKUP(B:B,'Курс валют'!A:D,4,0)</f>
        <v>82.9743</v>
      </c>
      <c r="D151" s="15" t="s">
        <v>295</v>
      </c>
      <c r="E151" s="59" t="s">
        <v>18</v>
      </c>
      <c r="F151" s="15">
        <v>1100.0</v>
      </c>
      <c r="G151" s="16">
        <v>1108.5</v>
      </c>
      <c r="H151" s="17">
        <v>0.0</v>
      </c>
      <c r="I151" s="16">
        <f t="shared" si="10"/>
        <v>8.5</v>
      </c>
      <c r="J151" s="18">
        <f t="shared" si="2"/>
        <v>0.7727272727</v>
      </c>
      <c r="K151" s="17">
        <v>2.32</v>
      </c>
      <c r="L151" s="19">
        <f t="shared" si="3"/>
        <v>0</v>
      </c>
      <c r="M151" s="20">
        <f t="shared" si="4"/>
        <v>192.500376</v>
      </c>
      <c r="N151" s="21">
        <f t="shared" si="11"/>
        <v>2.32</v>
      </c>
      <c r="O151" s="21">
        <f t="shared" si="5"/>
        <v>2552</v>
      </c>
      <c r="P151" s="22">
        <f t="shared" si="6"/>
        <v>211750.4136</v>
      </c>
    </row>
    <row r="152">
      <c r="B152" s="11">
        <v>46186.0</v>
      </c>
      <c r="C152" s="12">
        <f>VLOOKUP(B:B,'Курс валют'!A:D,4,0)</f>
        <v>82.9743</v>
      </c>
      <c r="D152" s="15" t="s">
        <v>296</v>
      </c>
      <c r="E152" s="59" t="s">
        <v>18</v>
      </c>
      <c r="F152" s="15">
        <v>1100.0</v>
      </c>
      <c r="G152" s="16">
        <v>1108.5</v>
      </c>
      <c r="H152" s="17">
        <v>0.0</v>
      </c>
      <c r="I152" s="16">
        <f t="shared" si="10"/>
        <v>8.5</v>
      </c>
      <c r="J152" s="18">
        <f t="shared" si="2"/>
        <v>0.7727272727</v>
      </c>
      <c r="K152" s="17">
        <v>2.32</v>
      </c>
      <c r="L152" s="19">
        <f t="shared" si="3"/>
        <v>0</v>
      </c>
      <c r="M152" s="20">
        <f t="shared" si="4"/>
        <v>192.500376</v>
      </c>
      <c r="N152" s="21">
        <f t="shared" si="11"/>
        <v>2.32</v>
      </c>
      <c r="O152" s="21">
        <f t="shared" si="5"/>
        <v>2552</v>
      </c>
      <c r="P152" s="22">
        <f t="shared" si="6"/>
        <v>211750.4136</v>
      </c>
    </row>
    <row r="153">
      <c r="B153" s="11">
        <v>46186.0</v>
      </c>
      <c r="C153" s="12">
        <f>VLOOKUP(B:B,'Курс валют'!A:D,4,0)</f>
        <v>82.9743</v>
      </c>
      <c r="D153" s="15" t="s">
        <v>297</v>
      </c>
      <c r="E153" s="59" t="s">
        <v>18</v>
      </c>
      <c r="F153" s="15">
        <v>1100.0</v>
      </c>
      <c r="G153" s="16">
        <v>1108.5</v>
      </c>
      <c r="H153" s="17">
        <v>0.0</v>
      </c>
      <c r="I153" s="16">
        <f t="shared" si="10"/>
        <v>8.5</v>
      </c>
      <c r="J153" s="18">
        <f t="shared" si="2"/>
        <v>0.7727272727</v>
      </c>
      <c r="K153" s="17">
        <v>2.32</v>
      </c>
      <c r="L153" s="19">
        <f t="shared" si="3"/>
        <v>0</v>
      </c>
      <c r="M153" s="20">
        <f t="shared" si="4"/>
        <v>192.500376</v>
      </c>
      <c r="N153" s="21">
        <f t="shared" si="11"/>
        <v>2.32</v>
      </c>
      <c r="O153" s="21">
        <f t="shared" si="5"/>
        <v>2552</v>
      </c>
      <c r="P153" s="22">
        <f t="shared" si="6"/>
        <v>211750.4136</v>
      </c>
    </row>
    <row r="154">
      <c r="B154" s="11">
        <v>46186.0</v>
      </c>
      <c r="C154" s="12">
        <f>VLOOKUP(B:B,'Курс валют'!A:D,4,0)</f>
        <v>82.9743</v>
      </c>
      <c r="D154" s="15" t="s">
        <v>298</v>
      </c>
      <c r="E154" s="59" t="s">
        <v>18</v>
      </c>
      <c r="F154" s="15">
        <v>1100.0</v>
      </c>
      <c r="G154" s="16">
        <v>1108.5</v>
      </c>
      <c r="H154" s="17">
        <v>0.0</v>
      </c>
      <c r="I154" s="16">
        <f t="shared" si="10"/>
        <v>8.5</v>
      </c>
      <c r="J154" s="18">
        <f t="shared" si="2"/>
        <v>0.7727272727</v>
      </c>
      <c r="K154" s="17">
        <v>2.32</v>
      </c>
      <c r="L154" s="19">
        <f t="shared" si="3"/>
        <v>0</v>
      </c>
      <c r="M154" s="20">
        <f t="shared" si="4"/>
        <v>192.500376</v>
      </c>
      <c r="N154" s="21">
        <f t="shared" si="11"/>
        <v>2.32</v>
      </c>
      <c r="O154" s="21">
        <f t="shared" si="5"/>
        <v>2552</v>
      </c>
      <c r="P154" s="22">
        <f t="shared" si="6"/>
        <v>211750.4136</v>
      </c>
    </row>
    <row r="155">
      <c r="B155" s="11">
        <v>46186.0</v>
      </c>
      <c r="C155" s="12">
        <f>VLOOKUP(B:B,'Курс валют'!A:D,4,0)</f>
        <v>82.9743</v>
      </c>
      <c r="D155" s="15" t="s">
        <v>299</v>
      </c>
      <c r="E155" s="59" t="s">
        <v>18</v>
      </c>
      <c r="F155" s="15">
        <v>1100.0</v>
      </c>
      <c r="G155" s="16">
        <v>1108.5</v>
      </c>
      <c r="H155" s="17">
        <v>0.0</v>
      </c>
      <c r="I155" s="16">
        <f t="shared" si="10"/>
        <v>8.5</v>
      </c>
      <c r="J155" s="18">
        <f t="shared" si="2"/>
        <v>0.7727272727</v>
      </c>
      <c r="K155" s="17">
        <v>2.32</v>
      </c>
      <c r="L155" s="19">
        <f t="shared" si="3"/>
        <v>0</v>
      </c>
      <c r="M155" s="20">
        <f t="shared" si="4"/>
        <v>192.500376</v>
      </c>
      <c r="N155" s="21">
        <f t="shared" si="11"/>
        <v>2.32</v>
      </c>
      <c r="O155" s="21">
        <f t="shared" si="5"/>
        <v>2552</v>
      </c>
      <c r="P155" s="22">
        <f t="shared" si="6"/>
        <v>211750.4136</v>
      </c>
    </row>
    <row r="156">
      <c r="B156" s="11">
        <v>46186.0</v>
      </c>
      <c r="C156" s="12">
        <f>VLOOKUP(B:B,'Курс валют'!A:D,4,0)</f>
        <v>82.9743</v>
      </c>
      <c r="D156" s="15" t="s">
        <v>300</v>
      </c>
      <c r="E156" s="59" t="s">
        <v>18</v>
      </c>
      <c r="F156" s="15">
        <v>1100.0</v>
      </c>
      <c r="G156" s="16">
        <v>1108.5</v>
      </c>
      <c r="H156" s="17">
        <v>0.0</v>
      </c>
      <c r="I156" s="16">
        <f t="shared" si="10"/>
        <v>8.5</v>
      </c>
      <c r="J156" s="18">
        <f t="shared" si="2"/>
        <v>0.7727272727</v>
      </c>
      <c r="K156" s="17">
        <v>2.32</v>
      </c>
      <c r="L156" s="19">
        <f t="shared" si="3"/>
        <v>0</v>
      </c>
      <c r="M156" s="20">
        <f t="shared" si="4"/>
        <v>192.500376</v>
      </c>
      <c r="N156" s="21">
        <f t="shared" si="11"/>
        <v>2.32</v>
      </c>
      <c r="O156" s="21">
        <f t="shared" si="5"/>
        <v>2552</v>
      </c>
      <c r="P156" s="22">
        <f t="shared" si="6"/>
        <v>211750.4136</v>
      </c>
    </row>
    <row r="157">
      <c r="B157" s="11">
        <v>46186.0</v>
      </c>
      <c r="C157" s="12">
        <f>VLOOKUP(B:B,'Курс валют'!A:D,4,0)</f>
        <v>82.9743</v>
      </c>
      <c r="D157" s="15" t="s">
        <v>301</v>
      </c>
      <c r="E157" s="59" t="s">
        <v>18</v>
      </c>
      <c r="F157" s="15">
        <v>1100.0</v>
      </c>
      <c r="G157" s="16">
        <v>1108.5</v>
      </c>
      <c r="H157" s="17">
        <v>0.0</v>
      </c>
      <c r="I157" s="16">
        <f t="shared" si="10"/>
        <v>8.5</v>
      </c>
      <c r="J157" s="18">
        <f t="shared" si="2"/>
        <v>0.7727272727</v>
      </c>
      <c r="K157" s="17">
        <v>2.32</v>
      </c>
      <c r="L157" s="19">
        <f t="shared" si="3"/>
        <v>0</v>
      </c>
      <c r="M157" s="20">
        <f t="shared" si="4"/>
        <v>192.500376</v>
      </c>
      <c r="N157" s="21">
        <f t="shared" si="11"/>
        <v>2.32</v>
      </c>
      <c r="O157" s="21">
        <f t="shared" si="5"/>
        <v>2552</v>
      </c>
      <c r="P157" s="22">
        <f t="shared" si="6"/>
        <v>211750.4136</v>
      </c>
    </row>
    <row r="158">
      <c r="B158" s="11">
        <v>46186.0</v>
      </c>
      <c r="C158" s="12">
        <f>VLOOKUP(B:B,'Курс валют'!A:D,4,0)</f>
        <v>82.9743</v>
      </c>
      <c r="D158" s="15" t="s">
        <v>302</v>
      </c>
      <c r="E158" s="59" t="s">
        <v>18</v>
      </c>
      <c r="F158" s="15">
        <v>1100.0</v>
      </c>
      <c r="G158" s="16">
        <v>1108.5</v>
      </c>
      <c r="H158" s="17">
        <v>0.0</v>
      </c>
      <c r="I158" s="16">
        <f t="shared" si="10"/>
        <v>8.5</v>
      </c>
      <c r="J158" s="18">
        <f t="shared" si="2"/>
        <v>0.7727272727</v>
      </c>
      <c r="K158" s="17">
        <v>2.32</v>
      </c>
      <c r="L158" s="19">
        <f t="shared" si="3"/>
        <v>0</v>
      </c>
      <c r="M158" s="20">
        <f t="shared" si="4"/>
        <v>192.500376</v>
      </c>
      <c r="N158" s="21">
        <f t="shared" si="11"/>
        <v>2.32</v>
      </c>
      <c r="O158" s="21">
        <f t="shared" si="5"/>
        <v>2552</v>
      </c>
      <c r="P158" s="22">
        <f t="shared" si="6"/>
        <v>211750.4136</v>
      </c>
    </row>
    <row r="159">
      <c r="B159" s="11">
        <v>46186.0</v>
      </c>
      <c r="C159" s="12">
        <f>VLOOKUP(B:B,'Курс валют'!A:D,4,0)</f>
        <v>82.9743</v>
      </c>
      <c r="D159" s="15" t="s">
        <v>303</v>
      </c>
      <c r="E159" s="59" t="s">
        <v>18</v>
      </c>
      <c r="F159" s="15">
        <v>1100.0</v>
      </c>
      <c r="G159" s="16">
        <v>1108.5</v>
      </c>
      <c r="H159" s="17">
        <v>0.0</v>
      </c>
      <c r="I159" s="16">
        <f t="shared" si="10"/>
        <v>8.5</v>
      </c>
      <c r="J159" s="18">
        <f t="shared" si="2"/>
        <v>0.7727272727</v>
      </c>
      <c r="K159" s="17">
        <v>2.32</v>
      </c>
      <c r="L159" s="19">
        <f t="shared" si="3"/>
        <v>0</v>
      </c>
      <c r="M159" s="20">
        <f t="shared" si="4"/>
        <v>192.500376</v>
      </c>
      <c r="N159" s="21">
        <f t="shared" si="11"/>
        <v>2.32</v>
      </c>
      <c r="O159" s="21">
        <f t="shared" si="5"/>
        <v>2552</v>
      </c>
      <c r="P159" s="22">
        <f t="shared" si="6"/>
        <v>211750.4136</v>
      </c>
    </row>
    <row r="160">
      <c r="B160" s="11">
        <v>46187.0</v>
      </c>
      <c r="C160" s="12">
        <f>VLOOKUP(B:B,'Курс валют'!A:D,4,0)</f>
        <v>82.9743</v>
      </c>
      <c r="D160" s="15" t="s">
        <v>304</v>
      </c>
      <c r="E160" s="59" t="s">
        <v>18</v>
      </c>
      <c r="F160" s="15">
        <v>1100.0</v>
      </c>
      <c r="G160" s="16">
        <v>1108.5</v>
      </c>
      <c r="H160" s="17">
        <v>0.0</v>
      </c>
      <c r="I160" s="16">
        <f t="shared" si="10"/>
        <v>8.5</v>
      </c>
      <c r="J160" s="18">
        <f t="shared" si="2"/>
        <v>0.7727272727</v>
      </c>
      <c r="K160" s="17">
        <v>2.32</v>
      </c>
      <c r="L160" s="19">
        <f t="shared" si="3"/>
        <v>0</v>
      </c>
      <c r="M160" s="20">
        <f t="shared" si="4"/>
        <v>192.500376</v>
      </c>
      <c r="N160" s="21">
        <f t="shared" si="11"/>
        <v>2.32</v>
      </c>
      <c r="O160" s="21">
        <f t="shared" si="5"/>
        <v>2552</v>
      </c>
      <c r="P160" s="22">
        <f t="shared" si="6"/>
        <v>211750.4136</v>
      </c>
    </row>
    <row r="161">
      <c r="B161" s="11">
        <v>46187.0</v>
      </c>
      <c r="C161" s="12">
        <f>VLOOKUP(B:B,'Курс валют'!A:D,4,0)</f>
        <v>82.9743</v>
      </c>
      <c r="D161" s="15" t="s">
        <v>305</v>
      </c>
      <c r="E161" s="59" t="s">
        <v>18</v>
      </c>
      <c r="F161" s="15">
        <v>1100.0</v>
      </c>
      <c r="G161" s="16">
        <v>1108.5</v>
      </c>
      <c r="H161" s="17">
        <v>0.0</v>
      </c>
      <c r="I161" s="16">
        <f t="shared" si="10"/>
        <v>8.5</v>
      </c>
      <c r="J161" s="18">
        <f t="shared" si="2"/>
        <v>0.7727272727</v>
      </c>
      <c r="K161" s="17">
        <v>2.31</v>
      </c>
      <c r="L161" s="19">
        <f t="shared" si="3"/>
        <v>0</v>
      </c>
      <c r="M161" s="20">
        <f t="shared" si="4"/>
        <v>191.670633</v>
      </c>
      <c r="N161" s="21">
        <f t="shared" si="11"/>
        <v>2.31</v>
      </c>
      <c r="O161" s="21">
        <f t="shared" si="5"/>
        <v>2541</v>
      </c>
      <c r="P161" s="22">
        <f t="shared" si="6"/>
        <v>210837.6963</v>
      </c>
    </row>
    <row r="162">
      <c r="B162" s="11">
        <v>46187.0</v>
      </c>
      <c r="C162" s="12">
        <f>VLOOKUP(B:B,'Курс валют'!A:D,4,0)</f>
        <v>82.9743</v>
      </c>
      <c r="D162" s="15" t="s">
        <v>306</v>
      </c>
      <c r="E162" s="59" t="s">
        <v>18</v>
      </c>
      <c r="F162" s="15">
        <v>1100.0</v>
      </c>
      <c r="G162" s="16">
        <v>1108.5</v>
      </c>
      <c r="H162" s="17">
        <v>0.0</v>
      </c>
      <c r="I162" s="16">
        <f t="shared" si="10"/>
        <v>8.5</v>
      </c>
      <c r="J162" s="18">
        <f t="shared" si="2"/>
        <v>0.7727272727</v>
      </c>
      <c r="K162" s="17">
        <v>2.31</v>
      </c>
      <c r="L162" s="19">
        <f t="shared" si="3"/>
        <v>0</v>
      </c>
      <c r="M162" s="20">
        <f t="shared" si="4"/>
        <v>191.670633</v>
      </c>
      <c r="N162" s="21">
        <f t="shared" si="11"/>
        <v>2.31</v>
      </c>
      <c r="O162" s="21">
        <f t="shared" si="5"/>
        <v>2541</v>
      </c>
      <c r="P162" s="22">
        <f t="shared" si="6"/>
        <v>210837.6963</v>
      </c>
    </row>
    <row r="163">
      <c r="B163" s="11">
        <v>46187.0</v>
      </c>
      <c r="C163" s="12">
        <f>VLOOKUP(B:B,'Курс валют'!A:D,4,0)</f>
        <v>82.9743</v>
      </c>
      <c r="D163" s="15" t="s">
        <v>307</v>
      </c>
      <c r="E163" s="59" t="s">
        <v>18</v>
      </c>
      <c r="F163" s="15">
        <v>1100.0</v>
      </c>
      <c r="G163" s="16">
        <v>1108.5</v>
      </c>
      <c r="H163" s="17">
        <v>0.0</v>
      </c>
      <c r="I163" s="16">
        <f t="shared" si="10"/>
        <v>8.5</v>
      </c>
      <c r="J163" s="18">
        <f t="shared" si="2"/>
        <v>0.7727272727</v>
      </c>
      <c r="K163" s="17">
        <v>2.32</v>
      </c>
      <c r="L163" s="19">
        <f t="shared" si="3"/>
        <v>0</v>
      </c>
      <c r="M163" s="20">
        <f t="shared" si="4"/>
        <v>192.500376</v>
      </c>
      <c r="N163" s="21">
        <f t="shared" si="11"/>
        <v>2.32</v>
      </c>
      <c r="O163" s="21">
        <f t="shared" si="5"/>
        <v>2552</v>
      </c>
      <c r="P163" s="22">
        <f t="shared" si="6"/>
        <v>211750.4136</v>
      </c>
    </row>
    <row r="164">
      <c r="B164" s="11">
        <v>46187.0</v>
      </c>
      <c r="C164" s="12">
        <f>VLOOKUP(B:B,'Курс валют'!A:D,4,0)</f>
        <v>82.9743</v>
      </c>
      <c r="D164" s="15" t="s">
        <v>308</v>
      </c>
      <c r="E164" s="59" t="s">
        <v>18</v>
      </c>
      <c r="F164" s="15">
        <v>1100.0</v>
      </c>
      <c r="G164" s="16">
        <v>1108.5</v>
      </c>
      <c r="H164" s="17">
        <v>0.0</v>
      </c>
      <c r="I164" s="16">
        <f t="shared" si="10"/>
        <v>8.5</v>
      </c>
      <c r="J164" s="18">
        <f t="shared" si="2"/>
        <v>0.7727272727</v>
      </c>
      <c r="K164" s="17">
        <v>2.32</v>
      </c>
      <c r="L164" s="19">
        <f t="shared" si="3"/>
        <v>0</v>
      </c>
      <c r="M164" s="20">
        <f t="shared" si="4"/>
        <v>192.500376</v>
      </c>
      <c r="N164" s="21">
        <f t="shared" si="11"/>
        <v>2.32</v>
      </c>
      <c r="O164" s="21">
        <f t="shared" si="5"/>
        <v>2552</v>
      </c>
      <c r="P164" s="22">
        <f t="shared" si="6"/>
        <v>211750.4136</v>
      </c>
    </row>
    <row r="165">
      <c r="B165" s="11">
        <v>46187.0</v>
      </c>
      <c r="C165" s="12">
        <f>VLOOKUP(B:B,'Курс валют'!A:D,4,0)</f>
        <v>82.9743</v>
      </c>
      <c r="D165" s="15" t="s">
        <v>309</v>
      </c>
      <c r="E165" s="59" t="s">
        <v>18</v>
      </c>
      <c r="F165" s="15">
        <v>1100.0</v>
      </c>
      <c r="G165" s="16">
        <v>1108.5</v>
      </c>
      <c r="H165" s="17">
        <v>0.0</v>
      </c>
      <c r="I165" s="16">
        <f t="shared" si="10"/>
        <v>8.5</v>
      </c>
      <c r="J165" s="18">
        <f t="shared" si="2"/>
        <v>0.7727272727</v>
      </c>
      <c r="K165" s="17">
        <v>2.32</v>
      </c>
      <c r="L165" s="19">
        <f t="shared" si="3"/>
        <v>0</v>
      </c>
      <c r="M165" s="20">
        <f t="shared" si="4"/>
        <v>192.500376</v>
      </c>
      <c r="N165" s="21">
        <f t="shared" si="11"/>
        <v>2.32</v>
      </c>
      <c r="O165" s="21">
        <f t="shared" si="5"/>
        <v>2552</v>
      </c>
      <c r="P165" s="22">
        <f t="shared" si="6"/>
        <v>211750.4136</v>
      </c>
    </row>
    <row r="166">
      <c r="B166" s="11">
        <v>46187.0</v>
      </c>
      <c r="C166" s="12">
        <f>VLOOKUP(B:B,'Курс валют'!A:D,4,0)</f>
        <v>82.9743</v>
      </c>
      <c r="D166" s="15" t="s">
        <v>310</v>
      </c>
      <c r="E166" s="59" t="s">
        <v>18</v>
      </c>
      <c r="F166" s="15">
        <v>1100.0</v>
      </c>
      <c r="G166" s="16">
        <v>1108.5</v>
      </c>
      <c r="H166" s="17">
        <v>0.0</v>
      </c>
      <c r="I166" s="16">
        <f t="shared" si="10"/>
        <v>8.5</v>
      </c>
      <c r="J166" s="18">
        <f t="shared" si="2"/>
        <v>0.7727272727</v>
      </c>
      <c r="K166" s="17">
        <v>2.31</v>
      </c>
      <c r="L166" s="19">
        <f t="shared" si="3"/>
        <v>0</v>
      </c>
      <c r="M166" s="20">
        <f t="shared" si="4"/>
        <v>191.670633</v>
      </c>
      <c r="N166" s="21">
        <f t="shared" si="11"/>
        <v>2.31</v>
      </c>
      <c r="O166" s="21">
        <f t="shared" si="5"/>
        <v>2541</v>
      </c>
      <c r="P166" s="22">
        <f t="shared" si="6"/>
        <v>210837.6963</v>
      </c>
    </row>
    <row r="167">
      <c r="B167" s="11">
        <v>46187.0</v>
      </c>
      <c r="C167" s="12">
        <f>VLOOKUP(B:B,'Курс валют'!A:D,4,0)</f>
        <v>82.9743</v>
      </c>
      <c r="D167" s="15" t="s">
        <v>311</v>
      </c>
      <c r="E167" s="59" t="s">
        <v>18</v>
      </c>
      <c r="F167" s="15">
        <v>1100.0</v>
      </c>
      <c r="G167" s="16">
        <v>1108.5</v>
      </c>
      <c r="H167" s="17">
        <v>0.0</v>
      </c>
      <c r="I167" s="16">
        <f t="shared" si="10"/>
        <v>8.5</v>
      </c>
      <c r="J167" s="18">
        <f t="shared" si="2"/>
        <v>0.7727272727</v>
      </c>
      <c r="K167" s="17">
        <v>2.32</v>
      </c>
      <c r="L167" s="19">
        <f t="shared" si="3"/>
        <v>0</v>
      </c>
      <c r="M167" s="20">
        <f t="shared" si="4"/>
        <v>192.500376</v>
      </c>
      <c r="N167" s="21">
        <f t="shared" si="11"/>
        <v>2.32</v>
      </c>
      <c r="O167" s="21">
        <f t="shared" si="5"/>
        <v>2552</v>
      </c>
      <c r="P167" s="22">
        <f t="shared" si="6"/>
        <v>211750.4136</v>
      </c>
    </row>
    <row r="168">
      <c r="B168" s="11">
        <v>46187.0</v>
      </c>
      <c r="C168" s="12">
        <f>VLOOKUP(B:B,'Курс валют'!A:D,4,0)</f>
        <v>82.9743</v>
      </c>
      <c r="D168" s="15" t="s">
        <v>312</v>
      </c>
      <c r="E168" s="59" t="s">
        <v>18</v>
      </c>
      <c r="F168" s="15">
        <v>1100.0</v>
      </c>
      <c r="G168" s="16">
        <v>1108.5</v>
      </c>
      <c r="H168" s="17">
        <v>0.0</v>
      </c>
      <c r="I168" s="16">
        <f t="shared" si="10"/>
        <v>8.5</v>
      </c>
      <c r="J168" s="18">
        <f t="shared" si="2"/>
        <v>0.7727272727</v>
      </c>
      <c r="K168" s="17">
        <v>2.31</v>
      </c>
      <c r="L168" s="19">
        <f t="shared" si="3"/>
        <v>0</v>
      </c>
      <c r="M168" s="20">
        <f t="shared" si="4"/>
        <v>191.670633</v>
      </c>
      <c r="N168" s="21">
        <f t="shared" si="11"/>
        <v>2.31</v>
      </c>
      <c r="O168" s="21">
        <f t="shared" si="5"/>
        <v>2541</v>
      </c>
      <c r="P168" s="22">
        <f t="shared" si="6"/>
        <v>210837.6963</v>
      </c>
    </row>
    <row r="169">
      <c r="B169" s="11">
        <v>46187.0</v>
      </c>
      <c r="C169" s="12">
        <f>VLOOKUP(B:B,'Курс валют'!A:D,4,0)</f>
        <v>82.9743</v>
      </c>
      <c r="D169" s="15" t="s">
        <v>313</v>
      </c>
      <c r="E169" s="59" t="s">
        <v>18</v>
      </c>
      <c r="F169" s="15">
        <v>1100.0</v>
      </c>
      <c r="G169" s="16">
        <v>1108.5</v>
      </c>
      <c r="H169" s="17">
        <v>0.0</v>
      </c>
      <c r="I169" s="16">
        <f t="shared" si="10"/>
        <v>8.5</v>
      </c>
      <c r="J169" s="18">
        <f t="shared" si="2"/>
        <v>0.7727272727</v>
      </c>
      <c r="K169" s="17">
        <v>2.32</v>
      </c>
      <c r="L169" s="19">
        <f t="shared" si="3"/>
        <v>0</v>
      </c>
      <c r="M169" s="20">
        <f t="shared" si="4"/>
        <v>192.500376</v>
      </c>
      <c r="N169" s="21">
        <f t="shared" si="11"/>
        <v>2.32</v>
      </c>
      <c r="O169" s="21">
        <f t="shared" si="5"/>
        <v>2552</v>
      </c>
      <c r="P169" s="22">
        <f t="shared" si="6"/>
        <v>211750.4136</v>
      </c>
    </row>
    <row r="170">
      <c r="B170" s="11">
        <v>46188.0</v>
      </c>
      <c r="C170" s="12">
        <f>VLOOKUP(B:B,'Курс валют'!A:D,4,0)</f>
        <v>82.9743</v>
      </c>
      <c r="D170" s="15" t="s">
        <v>314</v>
      </c>
      <c r="E170" s="59" t="s">
        <v>18</v>
      </c>
      <c r="F170" s="15">
        <v>1100.0</v>
      </c>
      <c r="G170" s="16">
        <v>1105.5</v>
      </c>
      <c r="H170" s="17">
        <v>0.0</v>
      </c>
      <c r="I170" s="16">
        <f t="shared" si="10"/>
        <v>5.5</v>
      </c>
      <c r="J170" s="18">
        <f t="shared" si="2"/>
        <v>0.5</v>
      </c>
      <c r="K170" s="17">
        <v>2.31</v>
      </c>
      <c r="L170" s="19">
        <f t="shared" si="3"/>
        <v>0</v>
      </c>
      <c r="M170" s="20">
        <f t="shared" si="4"/>
        <v>191.670633</v>
      </c>
      <c r="N170" s="21">
        <f t="shared" si="11"/>
        <v>2.31</v>
      </c>
      <c r="O170" s="21">
        <f t="shared" si="5"/>
        <v>2541</v>
      </c>
      <c r="P170" s="22">
        <f t="shared" si="6"/>
        <v>210837.6963</v>
      </c>
    </row>
    <row r="171">
      <c r="B171" s="11">
        <v>46188.0</v>
      </c>
      <c r="C171" s="12">
        <f>VLOOKUP(B:B,'Курс валют'!A:D,4,0)</f>
        <v>82.9743</v>
      </c>
      <c r="D171" s="15" t="s">
        <v>315</v>
      </c>
      <c r="E171" s="59" t="s">
        <v>18</v>
      </c>
      <c r="F171" s="15">
        <v>1100.0</v>
      </c>
      <c r="G171" s="16">
        <v>1105.5</v>
      </c>
      <c r="H171" s="17">
        <v>0.0</v>
      </c>
      <c r="I171" s="16">
        <f t="shared" si="10"/>
        <v>5.5</v>
      </c>
      <c r="J171" s="18">
        <f t="shared" si="2"/>
        <v>0.5</v>
      </c>
      <c r="K171" s="17">
        <v>2.31</v>
      </c>
      <c r="L171" s="19">
        <f t="shared" si="3"/>
        <v>0</v>
      </c>
      <c r="M171" s="20">
        <f t="shared" si="4"/>
        <v>191.670633</v>
      </c>
      <c r="N171" s="21">
        <f t="shared" si="11"/>
        <v>2.31</v>
      </c>
      <c r="O171" s="21">
        <f t="shared" si="5"/>
        <v>2541</v>
      </c>
      <c r="P171" s="22">
        <f t="shared" si="6"/>
        <v>210837.6963</v>
      </c>
    </row>
    <row r="172">
      <c r="B172" s="11">
        <v>46188.0</v>
      </c>
      <c r="C172" s="12">
        <f>VLOOKUP(B:B,'Курс валют'!A:D,4,0)</f>
        <v>82.9743</v>
      </c>
      <c r="D172" s="15" t="s">
        <v>316</v>
      </c>
      <c r="E172" s="59" t="s">
        <v>18</v>
      </c>
      <c r="F172" s="15">
        <v>1100.0</v>
      </c>
      <c r="G172" s="16">
        <v>1105.5</v>
      </c>
      <c r="H172" s="17">
        <v>0.0</v>
      </c>
      <c r="I172" s="16">
        <f t="shared" si="10"/>
        <v>5.5</v>
      </c>
      <c r="J172" s="18">
        <f t="shared" si="2"/>
        <v>0.5</v>
      </c>
      <c r="K172" s="17">
        <v>2.31</v>
      </c>
      <c r="L172" s="19">
        <f t="shared" si="3"/>
        <v>0</v>
      </c>
      <c r="M172" s="20">
        <f t="shared" si="4"/>
        <v>191.670633</v>
      </c>
      <c r="N172" s="21">
        <f t="shared" si="11"/>
        <v>2.31</v>
      </c>
      <c r="O172" s="21">
        <f t="shared" si="5"/>
        <v>2541</v>
      </c>
      <c r="P172" s="22">
        <f t="shared" si="6"/>
        <v>210837.6963</v>
      </c>
    </row>
    <row r="173">
      <c r="B173" s="11">
        <v>46188.0</v>
      </c>
      <c r="C173" s="12">
        <f>VLOOKUP(B:B,'Курс валют'!A:D,4,0)</f>
        <v>82.9743</v>
      </c>
      <c r="D173" s="15" t="s">
        <v>317</v>
      </c>
      <c r="E173" s="59" t="s">
        <v>18</v>
      </c>
      <c r="F173" s="15">
        <v>1100.0</v>
      </c>
      <c r="G173" s="16">
        <v>1105.5</v>
      </c>
      <c r="H173" s="17">
        <v>0.0</v>
      </c>
      <c r="I173" s="16">
        <f t="shared" si="10"/>
        <v>5.5</v>
      </c>
      <c r="J173" s="18">
        <f t="shared" si="2"/>
        <v>0.5</v>
      </c>
      <c r="K173" s="17">
        <v>2.31</v>
      </c>
      <c r="L173" s="19">
        <f t="shared" si="3"/>
        <v>0</v>
      </c>
      <c r="M173" s="20">
        <f t="shared" si="4"/>
        <v>191.670633</v>
      </c>
      <c r="N173" s="21">
        <f t="shared" si="11"/>
        <v>2.31</v>
      </c>
      <c r="O173" s="21">
        <f t="shared" si="5"/>
        <v>2541</v>
      </c>
      <c r="P173" s="22">
        <f t="shared" si="6"/>
        <v>210837.6963</v>
      </c>
    </row>
    <row r="174">
      <c r="B174" s="11">
        <v>46188.0</v>
      </c>
      <c r="C174" s="12">
        <f>VLOOKUP(B:B,'Курс валют'!A:D,4,0)</f>
        <v>82.9743</v>
      </c>
      <c r="D174" s="15" t="s">
        <v>318</v>
      </c>
      <c r="E174" s="59" t="s">
        <v>18</v>
      </c>
      <c r="F174" s="15">
        <v>1100.0</v>
      </c>
      <c r="G174" s="16">
        <v>1105.5</v>
      </c>
      <c r="H174" s="17">
        <v>0.0</v>
      </c>
      <c r="I174" s="16">
        <f t="shared" si="10"/>
        <v>5.5</v>
      </c>
      <c r="J174" s="18">
        <f t="shared" si="2"/>
        <v>0.5</v>
      </c>
      <c r="K174" s="17">
        <v>2.31</v>
      </c>
      <c r="L174" s="19">
        <f t="shared" si="3"/>
        <v>0</v>
      </c>
      <c r="M174" s="20">
        <f t="shared" si="4"/>
        <v>191.670633</v>
      </c>
      <c r="N174" s="21">
        <f t="shared" si="11"/>
        <v>2.31</v>
      </c>
      <c r="O174" s="21">
        <f t="shared" si="5"/>
        <v>2541</v>
      </c>
      <c r="P174" s="22">
        <f t="shared" si="6"/>
        <v>210837.6963</v>
      </c>
    </row>
    <row r="175">
      <c r="B175" s="11">
        <v>46188.0</v>
      </c>
      <c r="C175" s="12">
        <f>VLOOKUP(B:B,'Курс валют'!A:D,4,0)</f>
        <v>82.9743</v>
      </c>
      <c r="D175" s="15" t="s">
        <v>319</v>
      </c>
      <c r="E175" s="59" t="s">
        <v>18</v>
      </c>
      <c r="F175" s="15">
        <v>1100.0</v>
      </c>
      <c r="G175" s="16">
        <v>1105.5</v>
      </c>
      <c r="H175" s="17">
        <v>0.0</v>
      </c>
      <c r="I175" s="16">
        <f t="shared" si="10"/>
        <v>5.5</v>
      </c>
      <c r="J175" s="18">
        <f t="shared" si="2"/>
        <v>0.5</v>
      </c>
      <c r="K175" s="17">
        <v>2.31</v>
      </c>
      <c r="L175" s="19">
        <f t="shared" si="3"/>
        <v>0</v>
      </c>
      <c r="M175" s="20">
        <f t="shared" si="4"/>
        <v>191.670633</v>
      </c>
      <c r="N175" s="21">
        <f t="shared" si="11"/>
        <v>2.31</v>
      </c>
      <c r="O175" s="21">
        <f t="shared" si="5"/>
        <v>2541</v>
      </c>
      <c r="P175" s="22">
        <f t="shared" si="6"/>
        <v>210837.6963</v>
      </c>
    </row>
    <row r="176">
      <c r="B176" s="11">
        <v>46188.0</v>
      </c>
      <c r="C176" s="12">
        <f>VLOOKUP(B:B,'Курс валют'!A:D,4,0)</f>
        <v>82.9743</v>
      </c>
      <c r="D176" s="15" t="s">
        <v>320</v>
      </c>
      <c r="E176" s="59" t="s">
        <v>18</v>
      </c>
      <c r="F176" s="15">
        <v>1100.0</v>
      </c>
      <c r="G176" s="16">
        <v>1105.5</v>
      </c>
      <c r="H176" s="17">
        <v>0.0</v>
      </c>
      <c r="I176" s="16">
        <f t="shared" si="10"/>
        <v>5.5</v>
      </c>
      <c r="J176" s="18">
        <f t="shared" si="2"/>
        <v>0.5</v>
      </c>
      <c r="K176" s="17">
        <v>2.31</v>
      </c>
      <c r="L176" s="19">
        <f t="shared" si="3"/>
        <v>0</v>
      </c>
      <c r="M176" s="20">
        <f t="shared" si="4"/>
        <v>191.670633</v>
      </c>
      <c r="N176" s="21">
        <f t="shared" si="11"/>
        <v>2.31</v>
      </c>
      <c r="O176" s="21">
        <f t="shared" si="5"/>
        <v>2541</v>
      </c>
      <c r="P176" s="22">
        <f t="shared" si="6"/>
        <v>210837.6963</v>
      </c>
    </row>
    <row r="177">
      <c r="B177" s="11">
        <v>46188.0</v>
      </c>
      <c r="C177" s="12">
        <f>VLOOKUP(B:B,'Курс валют'!A:D,4,0)</f>
        <v>82.9743</v>
      </c>
      <c r="D177" s="15" t="s">
        <v>321</v>
      </c>
      <c r="E177" s="59" t="s">
        <v>18</v>
      </c>
      <c r="F177" s="15">
        <v>1100.0</v>
      </c>
      <c r="G177" s="16">
        <v>1105.5</v>
      </c>
      <c r="H177" s="17">
        <v>0.0</v>
      </c>
      <c r="I177" s="16">
        <f t="shared" si="10"/>
        <v>5.5</v>
      </c>
      <c r="J177" s="18">
        <f t="shared" si="2"/>
        <v>0.5</v>
      </c>
      <c r="K177" s="17">
        <v>2.31</v>
      </c>
      <c r="L177" s="19">
        <f t="shared" si="3"/>
        <v>0</v>
      </c>
      <c r="M177" s="20">
        <f t="shared" si="4"/>
        <v>191.670633</v>
      </c>
      <c r="N177" s="21">
        <f t="shared" si="11"/>
        <v>2.31</v>
      </c>
      <c r="O177" s="21">
        <f t="shared" si="5"/>
        <v>2541</v>
      </c>
      <c r="P177" s="22">
        <f t="shared" si="6"/>
        <v>210837.6963</v>
      </c>
    </row>
    <row r="178">
      <c r="B178" s="11">
        <v>46188.0</v>
      </c>
      <c r="C178" s="12">
        <f>VLOOKUP(B:B,'Курс валют'!A:D,4,0)</f>
        <v>82.9743</v>
      </c>
      <c r="D178" s="15" t="s">
        <v>322</v>
      </c>
      <c r="E178" s="59" t="s">
        <v>18</v>
      </c>
      <c r="F178" s="15">
        <v>1100.0</v>
      </c>
      <c r="G178" s="16">
        <v>1105.5</v>
      </c>
      <c r="H178" s="17">
        <v>0.0</v>
      </c>
      <c r="I178" s="16">
        <f t="shared" si="10"/>
        <v>5.5</v>
      </c>
      <c r="J178" s="18">
        <f t="shared" si="2"/>
        <v>0.5</v>
      </c>
      <c r="K178" s="17">
        <v>2.31</v>
      </c>
      <c r="L178" s="19">
        <f t="shared" si="3"/>
        <v>0</v>
      </c>
      <c r="M178" s="20">
        <f t="shared" si="4"/>
        <v>191.670633</v>
      </c>
      <c r="N178" s="21">
        <f t="shared" si="11"/>
        <v>2.31</v>
      </c>
      <c r="O178" s="21">
        <f t="shared" si="5"/>
        <v>2541</v>
      </c>
      <c r="P178" s="22">
        <f t="shared" si="6"/>
        <v>210837.6963</v>
      </c>
    </row>
    <row r="179">
      <c r="B179" s="11">
        <v>46188.0</v>
      </c>
      <c r="C179" s="12">
        <f>VLOOKUP(B:B,'Курс валют'!A:D,4,0)</f>
        <v>82.9743</v>
      </c>
      <c r="D179" s="15" t="s">
        <v>323</v>
      </c>
      <c r="E179" s="59" t="s">
        <v>18</v>
      </c>
      <c r="F179" s="15">
        <v>1100.0</v>
      </c>
      <c r="G179" s="16">
        <v>1105.5</v>
      </c>
      <c r="H179" s="17">
        <v>0.0</v>
      </c>
      <c r="I179" s="16">
        <f t="shared" si="10"/>
        <v>5.5</v>
      </c>
      <c r="J179" s="18">
        <f t="shared" si="2"/>
        <v>0.5</v>
      </c>
      <c r="K179" s="17">
        <v>2.31</v>
      </c>
      <c r="L179" s="19">
        <f t="shared" si="3"/>
        <v>0</v>
      </c>
      <c r="M179" s="20">
        <f t="shared" si="4"/>
        <v>191.670633</v>
      </c>
      <c r="N179" s="21">
        <f t="shared" si="11"/>
        <v>2.31</v>
      </c>
      <c r="O179" s="21">
        <f t="shared" si="5"/>
        <v>2541</v>
      </c>
      <c r="P179" s="22">
        <f t="shared" si="6"/>
        <v>210837.6963</v>
      </c>
    </row>
    <row r="180">
      <c r="B180" s="11">
        <v>46189.0</v>
      </c>
      <c r="C180" s="12">
        <f>VLOOKUP(B:B,'Курс валют'!A:D,4,0)</f>
        <v>83.8044</v>
      </c>
      <c r="D180" s="15" t="s">
        <v>324</v>
      </c>
      <c r="E180" s="59" t="s">
        <v>18</v>
      </c>
      <c r="F180" s="15">
        <v>1100.0</v>
      </c>
      <c r="G180" s="16">
        <v>1105.5</v>
      </c>
      <c r="H180" s="17"/>
      <c r="I180" s="16">
        <f t="shared" si="10"/>
        <v>5.5</v>
      </c>
      <c r="J180" s="18">
        <f t="shared" si="2"/>
        <v>0.5</v>
      </c>
      <c r="K180" s="17"/>
      <c r="L180" s="19">
        <f t="shared" si="3"/>
        <v>0</v>
      </c>
      <c r="M180" s="20">
        <f t="shared" si="4"/>
        <v>0</v>
      </c>
      <c r="N180" s="21">
        <f t="shared" si="11"/>
        <v>0</v>
      </c>
      <c r="O180" s="21">
        <f t="shared" si="5"/>
        <v>0</v>
      </c>
      <c r="P180" s="22">
        <f t="shared" si="6"/>
        <v>0</v>
      </c>
    </row>
    <row r="181">
      <c r="B181" s="11">
        <v>46189.0</v>
      </c>
      <c r="C181" s="12">
        <f>VLOOKUP(B:B,'Курс валют'!A:D,4,0)</f>
        <v>83.8044</v>
      </c>
      <c r="D181" s="15" t="s">
        <v>325</v>
      </c>
      <c r="E181" s="59" t="s">
        <v>18</v>
      </c>
      <c r="F181" s="15">
        <v>1100.0</v>
      </c>
      <c r="G181" s="16">
        <v>1105.5</v>
      </c>
      <c r="H181" s="17"/>
      <c r="I181" s="16">
        <f t="shared" si="10"/>
        <v>5.5</v>
      </c>
      <c r="J181" s="18">
        <f t="shared" si="2"/>
        <v>0.5</v>
      </c>
      <c r="K181" s="17"/>
      <c r="L181" s="19">
        <f t="shared" si="3"/>
        <v>0</v>
      </c>
      <c r="M181" s="20">
        <f t="shared" si="4"/>
        <v>0</v>
      </c>
      <c r="N181" s="21">
        <f t="shared" si="11"/>
        <v>0</v>
      </c>
      <c r="O181" s="21">
        <f t="shared" si="5"/>
        <v>0</v>
      </c>
      <c r="P181" s="22">
        <f t="shared" si="6"/>
        <v>0</v>
      </c>
    </row>
    <row r="182">
      <c r="B182" s="11">
        <v>46189.0</v>
      </c>
      <c r="C182" s="12">
        <f>VLOOKUP(B:B,'Курс валют'!A:D,4,0)</f>
        <v>83.8044</v>
      </c>
      <c r="D182" s="15" t="s">
        <v>326</v>
      </c>
      <c r="E182" s="59" t="s">
        <v>18</v>
      </c>
      <c r="F182" s="15">
        <v>1100.0</v>
      </c>
      <c r="G182" s="16">
        <v>1105.5</v>
      </c>
      <c r="H182" s="17"/>
      <c r="I182" s="16">
        <f t="shared" si="10"/>
        <v>5.5</v>
      </c>
      <c r="J182" s="18">
        <f t="shared" si="2"/>
        <v>0.5</v>
      </c>
      <c r="K182" s="17"/>
      <c r="L182" s="19">
        <f t="shared" si="3"/>
        <v>0</v>
      </c>
      <c r="M182" s="20">
        <f t="shared" si="4"/>
        <v>0</v>
      </c>
      <c r="N182" s="21">
        <f t="shared" si="11"/>
        <v>0</v>
      </c>
      <c r="O182" s="21">
        <f t="shared" si="5"/>
        <v>0</v>
      </c>
      <c r="P182" s="22">
        <f t="shared" si="6"/>
        <v>0</v>
      </c>
    </row>
    <row r="183">
      <c r="B183" s="11">
        <v>46189.0</v>
      </c>
      <c r="C183" s="12">
        <f>VLOOKUP(B:B,'Курс валют'!A:D,4,0)</f>
        <v>83.8044</v>
      </c>
      <c r="D183" s="15" t="s">
        <v>327</v>
      </c>
      <c r="E183" s="59" t="s">
        <v>18</v>
      </c>
      <c r="F183" s="15">
        <v>1100.0</v>
      </c>
      <c r="G183" s="16">
        <v>1105.5</v>
      </c>
      <c r="H183" s="17"/>
      <c r="I183" s="16">
        <f t="shared" si="10"/>
        <v>5.5</v>
      </c>
      <c r="J183" s="18">
        <f t="shared" si="2"/>
        <v>0.5</v>
      </c>
      <c r="K183" s="17"/>
      <c r="L183" s="19">
        <f t="shared" si="3"/>
        <v>0</v>
      </c>
      <c r="M183" s="20">
        <f t="shared" si="4"/>
        <v>0</v>
      </c>
      <c r="N183" s="21">
        <f t="shared" si="11"/>
        <v>0</v>
      </c>
      <c r="O183" s="21">
        <f t="shared" si="5"/>
        <v>0</v>
      </c>
      <c r="P183" s="22">
        <f t="shared" si="6"/>
        <v>0</v>
      </c>
    </row>
    <row r="184">
      <c r="B184" s="11">
        <v>46189.0</v>
      </c>
      <c r="C184" s="12">
        <f>VLOOKUP(B:B,'Курс валют'!A:D,4,0)</f>
        <v>83.8044</v>
      </c>
      <c r="D184" s="15" t="s">
        <v>328</v>
      </c>
      <c r="E184" s="59" t="s">
        <v>18</v>
      </c>
      <c r="F184" s="15">
        <v>1100.0</v>
      </c>
      <c r="G184" s="16">
        <v>1105.5</v>
      </c>
      <c r="H184" s="17"/>
      <c r="I184" s="16">
        <f t="shared" si="10"/>
        <v>5.5</v>
      </c>
      <c r="J184" s="18">
        <f t="shared" si="2"/>
        <v>0.5</v>
      </c>
      <c r="K184" s="17"/>
      <c r="L184" s="19">
        <f t="shared" si="3"/>
        <v>0</v>
      </c>
      <c r="M184" s="20">
        <f t="shared" si="4"/>
        <v>0</v>
      </c>
      <c r="N184" s="21">
        <f t="shared" si="11"/>
        <v>0</v>
      </c>
      <c r="O184" s="21">
        <f t="shared" si="5"/>
        <v>0</v>
      </c>
      <c r="P184" s="22">
        <f t="shared" si="6"/>
        <v>0</v>
      </c>
    </row>
    <row r="185">
      <c r="B185" s="11">
        <v>46189.0</v>
      </c>
      <c r="C185" s="12">
        <f>VLOOKUP(B:B,'Курс валют'!A:D,4,0)</f>
        <v>83.8044</v>
      </c>
      <c r="D185" s="15" t="s">
        <v>329</v>
      </c>
      <c r="E185" s="59" t="s">
        <v>18</v>
      </c>
      <c r="F185" s="15">
        <v>1100.0</v>
      </c>
      <c r="G185" s="16">
        <v>1105.5</v>
      </c>
      <c r="H185" s="17"/>
      <c r="I185" s="16">
        <f t="shared" si="10"/>
        <v>5.5</v>
      </c>
      <c r="J185" s="18">
        <f t="shared" si="2"/>
        <v>0.5</v>
      </c>
      <c r="K185" s="17"/>
      <c r="L185" s="19">
        <f t="shared" si="3"/>
        <v>0</v>
      </c>
      <c r="M185" s="20">
        <f t="shared" si="4"/>
        <v>0</v>
      </c>
      <c r="N185" s="21">
        <f t="shared" si="11"/>
        <v>0</v>
      </c>
      <c r="O185" s="21">
        <f t="shared" si="5"/>
        <v>0</v>
      </c>
      <c r="P185" s="22">
        <f t="shared" si="6"/>
        <v>0</v>
      </c>
    </row>
    <row r="186">
      <c r="B186" s="11"/>
      <c r="C186" s="12" t="str">
        <f>VLOOKUP(B:B,'Курс валют'!A:D,4,0)</f>
        <v>#N/A</v>
      </c>
      <c r="D186" s="15"/>
      <c r="E186" s="59"/>
      <c r="F186" s="15"/>
      <c r="G186" s="16"/>
      <c r="H186" s="17"/>
      <c r="I186" s="16">
        <f t="shared" si="10"/>
        <v>0</v>
      </c>
      <c r="J186" s="18" t="str">
        <f t="shared" si="2"/>
        <v>#DIV/0!</v>
      </c>
      <c r="K186" s="17"/>
      <c r="L186" s="19" t="str">
        <f t="shared" si="3"/>
        <v>#DIV/0!</v>
      </c>
      <c r="M186" s="20" t="str">
        <f t="shared" si="4"/>
        <v>#DIV/0!</v>
      </c>
      <c r="N186" s="21" t="str">
        <f t="shared" si="11"/>
        <v>#DIV/0!</v>
      </c>
      <c r="O186" s="21" t="str">
        <f t="shared" si="5"/>
        <v>#DIV/0!</v>
      </c>
      <c r="P186" s="22" t="str">
        <f t="shared" si="6"/>
        <v>#DIV/0!</v>
      </c>
    </row>
    <row r="187">
      <c r="B187" s="11"/>
      <c r="C187" s="12" t="str">
        <f>VLOOKUP(B:B,'Курс валют'!A:D,4,0)</f>
        <v>#N/A</v>
      </c>
      <c r="D187" s="15"/>
      <c r="E187" s="59"/>
      <c r="F187" s="15"/>
      <c r="G187" s="16"/>
      <c r="H187" s="17"/>
      <c r="I187" s="16">
        <f t="shared" si="10"/>
        <v>0</v>
      </c>
      <c r="J187" s="18" t="str">
        <f t="shared" si="2"/>
        <v>#DIV/0!</v>
      </c>
      <c r="K187" s="17"/>
      <c r="L187" s="19" t="str">
        <f t="shared" si="3"/>
        <v>#DIV/0!</v>
      </c>
      <c r="M187" s="20" t="str">
        <f t="shared" si="4"/>
        <v>#DIV/0!</v>
      </c>
      <c r="N187" s="21" t="str">
        <f t="shared" si="11"/>
        <v>#DIV/0!</v>
      </c>
      <c r="O187" s="21" t="str">
        <f t="shared" si="5"/>
        <v>#DIV/0!</v>
      </c>
      <c r="P187" s="22" t="str">
        <f t="shared" si="6"/>
        <v>#DIV/0!</v>
      </c>
    </row>
    <row r="188">
      <c r="B188" s="11"/>
      <c r="C188" s="12" t="str">
        <f>VLOOKUP(B:B,'Курс валют'!A:D,4,0)</f>
        <v>#N/A</v>
      </c>
      <c r="D188" s="15"/>
      <c r="E188" s="59"/>
      <c r="F188" s="15"/>
      <c r="G188" s="16"/>
      <c r="H188" s="17"/>
      <c r="I188" s="16">
        <f t="shared" si="10"/>
        <v>0</v>
      </c>
      <c r="J188" s="18" t="str">
        <f t="shared" si="2"/>
        <v>#DIV/0!</v>
      </c>
      <c r="K188" s="17"/>
      <c r="L188" s="19" t="str">
        <f t="shared" si="3"/>
        <v>#DIV/0!</v>
      </c>
      <c r="M188" s="20" t="str">
        <f t="shared" si="4"/>
        <v>#DIV/0!</v>
      </c>
      <c r="N188" s="21" t="str">
        <f t="shared" si="11"/>
        <v>#DIV/0!</v>
      </c>
      <c r="O188" s="21" t="str">
        <f t="shared" si="5"/>
        <v>#DIV/0!</v>
      </c>
      <c r="P188" s="22" t="str">
        <f t="shared" si="6"/>
        <v>#DIV/0!</v>
      </c>
    </row>
    <row r="189">
      <c r="B189" s="11"/>
      <c r="C189" s="12" t="str">
        <f>VLOOKUP(B:B,'Курс валют'!A:D,4,0)</f>
        <v>#N/A</v>
      </c>
      <c r="D189" s="15"/>
      <c r="E189" s="59"/>
      <c r="F189" s="15"/>
      <c r="G189" s="16"/>
      <c r="H189" s="17"/>
      <c r="I189" s="16">
        <f t="shared" si="10"/>
        <v>0</v>
      </c>
      <c r="J189" s="18" t="str">
        <f t="shared" si="2"/>
        <v>#DIV/0!</v>
      </c>
      <c r="K189" s="17"/>
      <c r="L189" s="19" t="str">
        <f t="shared" si="3"/>
        <v>#DIV/0!</v>
      </c>
      <c r="M189" s="20" t="str">
        <f t="shared" si="4"/>
        <v>#DIV/0!</v>
      </c>
      <c r="N189" s="21" t="str">
        <f t="shared" si="11"/>
        <v>#DIV/0!</v>
      </c>
      <c r="O189" s="21" t="str">
        <f t="shared" si="5"/>
        <v>#DIV/0!</v>
      </c>
      <c r="P189" s="22" t="str">
        <f t="shared" si="6"/>
        <v>#DIV/0!</v>
      </c>
    </row>
    <row r="190">
      <c r="B190" s="11"/>
      <c r="C190" s="12" t="str">
        <f>VLOOKUP(B:B,'Курс валют'!A:D,4,0)</f>
        <v>#N/A</v>
      </c>
      <c r="D190" s="15"/>
      <c r="E190" s="59"/>
      <c r="F190" s="15"/>
      <c r="G190" s="16"/>
      <c r="H190" s="17"/>
      <c r="I190" s="16">
        <f t="shared" si="10"/>
        <v>0</v>
      </c>
      <c r="J190" s="18" t="str">
        <f t="shared" si="2"/>
        <v>#DIV/0!</v>
      </c>
      <c r="K190" s="17"/>
      <c r="L190" s="19" t="str">
        <f t="shared" si="3"/>
        <v>#DIV/0!</v>
      </c>
      <c r="M190" s="20" t="str">
        <f t="shared" si="4"/>
        <v>#DIV/0!</v>
      </c>
      <c r="N190" s="21" t="str">
        <f t="shared" si="11"/>
        <v>#DIV/0!</v>
      </c>
      <c r="O190" s="21" t="str">
        <f t="shared" si="5"/>
        <v>#DIV/0!</v>
      </c>
      <c r="P190" s="22" t="str">
        <f t="shared" si="6"/>
        <v>#DIV/0!</v>
      </c>
    </row>
    <row r="191">
      <c r="B191" s="11"/>
      <c r="C191" s="12" t="str">
        <f>VLOOKUP(B:B,'Курс валют'!A:D,4,0)</f>
        <v>#N/A</v>
      </c>
      <c r="D191" s="15"/>
      <c r="E191" s="59"/>
      <c r="F191" s="15"/>
      <c r="G191" s="16"/>
      <c r="H191" s="17"/>
      <c r="I191" s="16">
        <f t="shared" si="10"/>
        <v>0</v>
      </c>
      <c r="J191" s="18" t="str">
        <f t="shared" si="2"/>
        <v>#DIV/0!</v>
      </c>
      <c r="K191" s="17"/>
      <c r="L191" s="19" t="str">
        <f t="shared" si="3"/>
        <v>#DIV/0!</v>
      </c>
      <c r="M191" s="20" t="str">
        <f t="shared" si="4"/>
        <v>#DIV/0!</v>
      </c>
      <c r="N191" s="21" t="str">
        <f t="shared" si="11"/>
        <v>#DIV/0!</v>
      </c>
      <c r="O191" s="21" t="str">
        <f t="shared" si="5"/>
        <v>#DIV/0!</v>
      </c>
      <c r="P191" s="22" t="str">
        <f t="shared" si="6"/>
        <v>#DIV/0!</v>
      </c>
    </row>
    <row r="192">
      <c r="B192" s="11"/>
      <c r="C192" s="12" t="str">
        <f>VLOOKUP(B:B,'Курс валют'!A:D,4,0)</f>
        <v>#N/A</v>
      </c>
      <c r="D192" s="15"/>
      <c r="E192" s="59"/>
      <c r="F192" s="15"/>
      <c r="G192" s="16"/>
      <c r="H192" s="17"/>
      <c r="I192" s="16">
        <f t="shared" si="10"/>
        <v>0</v>
      </c>
      <c r="J192" s="18" t="str">
        <f t="shared" si="2"/>
        <v>#DIV/0!</v>
      </c>
      <c r="K192" s="17"/>
      <c r="L192" s="19" t="str">
        <f t="shared" si="3"/>
        <v>#DIV/0!</v>
      </c>
      <c r="M192" s="20" t="str">
        <f t="shared" si="4"/>
        <v>#DIV/0!</v>
      </c>
      <c r="N192" s="21" t="str">
        <f t="shared" si="11"/>
        <v>#DIV/0!</v>
      </c>
      <c r="O192" s="21" t="str">
        <f t="shared" si="5"/>
        <v>#DIV/0!</v>
      </c>
      <c r="P192" s="22" t="str">
        <f t="shared" si="6"/>
        <v>#DIV/0!</v>
      </c>
    </row>
    <row r="193">
      <c r="B193" s="11"/>
      <c r="C193" s="12" t="str">
        <f>VLOOKUP(B:B,'Курс валют'!A:D,4,0)</f>
        <v>#N/A</v>
      </c>
      <c r="D193" s="15"/>
      <c r="E193" s="59"/>
      <c r="F193" s="15"/>
      <c r="G193" s="16"/>
      <c r="H193" s="17"/>
      <c r="I193" s="16">
        <f t="shared" si="10"/>
        <v>0</v>
      </c>
      <c r="J193" s="18" t="str">
        <f t="shared" si="2"/>
        <v>#DIV/0!</v>
      </c>
      <c r="K193" s="17"/>
      <c r="L193" s="19" t="str">
        <f t="shared" si="3"/>
        <v>#DIV/0!</v>
      </c>
      <c r="M193" s="20" t="str">
        <f t="shared" si="4"/>
        <v>#DIV/0!</v>
      </c>
      <c r="N193" s="21" t="str">
        <f t="shared" si="11"/>
        <v>#DIV/0!</v>
      </c>
      <c r="O193" s="21" t="str">
        <f t="shared" si="5"/>
        <v>#DIV/0!</v>
      </c>
      <c r="P193" s="22" t="str">
        <f t="shared" si="6"/>
        <v>#DIV/0!</v>
      </c>
    </row>
    <row r="194">
      <c r="B194" s="11"/>
      <c r="C194" s="12" t="str">
        <f>VLOOKUP(B:B,'Курс валют'!A:D,4,0)</f>
        <v>#N/A</v>
      </c>
      <c r="D194" s="15"/>
      <c r="E194" s="59"/>
      <c r="F194" s="15"/>
      <c r="G194" s="16"/>
      <c r="H194" s="17"/>
      <c r="I194" s="16">
        <f t="shared" si="10"/>
        <v>0</v>
      </c>
      <c r="J194" s="18" t="str">
        <f t="shared" si="2"/>
        <v>#DIV/0!</v>
      </c>
      <c r="K194" s="17"/>
      <c r="L194" s="19" t="str">
        <f t="shared" si="3"/>
        <v>#DIV/0!</v>
      </c>
      <c r="M194" s="20" t="str">
        <f t="shared" si="4"/>
        <v>#DIV/0!</v>
      </c>
      <c r="N194" s="21" t="str">
        <f t="shared" si="11"/>
        <v>#DIV/0!</v>
      </c>
      <c r="O194" s="21" t="str">
        <f t="shared" si="5"/>
        <v>#DIV/0!</v>
      </c>
      <c r="P194" s="22" t="str">
        <f t="shared" si="6"/>
        <v>#DIV/0!</v>
      </c>
    </row>
    <row r="195">
      <c r="B195" s="11"/>
      <c r="C195" s="12" t="str">
        <f>VLOOKUP(B:B,'Курс валют'!A:D,4,0)</f>
        <v>#N/A</v>
      </c>
      <c r="D195" s="15"/>
      <c r="E195" s="59"/>
      <c r="F195" s="15"/>
      <c r="G195" s="16"/>
      <c r="H195" s="17"/>
      <c r="I195" s="16">
        <f t="shared" si="10"/>
        <v>0</v>
      </c>
      <c r="J195" s="18" t="str">
        <f t="shared" si="2"/>
        <v>#DIV/0!</v>
      </c>
      <c r="K195" s="17"/>
      <c r="L195" s="19" t="str">
        <f t="shared" si="3"/>
        <v>#DIV/0!</v>
      </c>
      <c r="M195" s="20" t="str">
        <f t="shared" si="4"/>
        <v>#DIV/0!</v>
      </c>
      <c r="N195" s="21" t="str">
        <f t="shared" si="11"/>
        <v>#DIV/0!</v>
      </c>
      <c r="O195" s="21" t="str">
        <f t="shared" si="5"/>
        <v>#DIV/0!</v>
      </c>
      <c r="P195" s="22" t="str">
        <f t="shared" si="6"/>
        <v>#DIV/0!</v>
      </c>
    </row>
    <row r="196">
      <c r="B196" s="11"/>
      <c r="C196" s="12" t="str">
        <f>VLOOKUP(B:B,'Курс валют'!A:D,4,0)</f>
        <v>#N/A</v>
      </c>
      <c r="D196" s="15"/>
      <c r="E196" s="59"/>
      <c r="F196" s="15"/>
      <c r="G196" s="16"/>
      <c r="H196" s="17"/>
      <c r="I196" s="16">
        <f t="shared" si="10"/>
        <v>0</v>
      </c>
      <c r="J196" s="18" t="str">
        <f t="shared" si="2"/>
        <v>#DIV/0!</v>
      </c>
      <c r="K196" s="17"/>
      <c r="L196" s="19" t="str">
        <f t="shared" si="3"/>
        <v>#DIV/0!</v>
      </c>
      <c r="M196" s="20" t="str">
        <f t="shared" si="4"/>
        <v>#DIV/0!</v>
      </c>
      <c r="N196" s="21" t="str">
        <f t="shared" si="11"/>
        <v>#DIV/0!</v>
      </c>
      <c r="O196" s="21" t="str">
        <f t="shared" si="5"/>
        <v>#DIV/0!</v>
      </c>
      <c r="P196" s="22" t="str">
        <f t="shared" si="6"/>
        <v>#DIV/0!</v>
      </c>
    </row>
    <row r="197">
      <c r="B197" s="11"/>
      <c r="C197" s="12" t="str">
        <f>VLOOKUP(B:B,'Курс валют'!A:D,4,0)</f>
        <v>#N/A</v>
      </c>
      <c r="D197" s="15"/>
      <c r="E197" s="59"/>
      <c r="F197" s="15"/>
      <c r="G197" s="16"/>
      <c r="H197" s="17"/>
      <c r="I197" s="16">
        <f t="shared" si="10"/>
        <v>0</v>
      </c>
      <c r="J197" s="18" t="str">
        <f t="shared" si="2"/>
        <v>#DIV/0!</v>
      </c>
      <c r="K197" s="17"/>
      <c r="L197" s="19" t="str">
        <f t="shared" si="3"/>
        <v>#DIV/0!</v>
      </c>
      <c r="M197" s="20" t="str">
        <f t="shared" si="4"/>
        <v>#DIV/0!</v>
      </c>
      <c r="N197" s="21" t="str">
        <f t="shared" si="11"/>
        <v>#DIV/0!</v>
      </c>
      <c r="O197" s="21" t="str">
        <f t="shared" si="5"/>
        <v>#DIV/0!</v>
      </c>
      <c r="P197" s="22" t="str">
        <f t="shared" si="6"/>
        <v>#DIV/0!</v>
      </c>
    </row>
    <row r="198">
      <c r="B198" s="11"/>
      <c r="C198" s="12" t="str">
        <f>VLOOKUP(B:B,'Курс валют'!A:D,4,0)</f>
        <v>#N/A</v>
      </c>
      <c r="D198" s="15"/>
      <c r="E198" s="59"/>
      <c r="F198" s="15"/>
      <c r="G198" s="16"/>
      <c r="H198" s="17"/>
      <c r="I198" s="16">
        <f t="shared" si="10"/>
        <v>0</v>
      </c>
      <c r="J198" s="18" t="str">
        <f t="shared" si="2"/>
        <v>#DIV/0!</v>
      </c>
      <c r="K198" s="17"/>
      <c r="L198" s="19" t="str">
        <f t="shared" si="3"/>
        <v>#DIV/0!</v>
      </c>
      <c r="M198" s="20" t="str">
        <f t="shared" si="4"/>
        <v>#DIV/0!</v>
      </c>
      <c r="N198" s="21" t="str">
        <f t="shared" si="11"/>
        <v>#DIV/0!</v>
      </c>
      <c r="O198" s="21" t="str">
        <f t="shared" si="5"/>
        <v>#DIV/0!</v>
      </c>
      <c r="P198" s="22" t="str">
        <f t="shared" si="6"/>
        <v>#DIV/0!</v>
      </c>
    </row>
    <row r="199">
      <c r="B199" s="11"/>
      <c r="C199" s="12" t="str">
        <f>VLOOKUP(B:B,'Курс валют'!A:D,4,0)</f>
        <v>#N/A</v>
      </c>
      <c r="D199" s="15"/>
      <c r="E199" s="59"/>
      <c r="F199" s="15"/>
      <c r="G199" s="16"/>
      <c r="H199" s="17"/>
      <c r="I199" s="16">
        <f t="shared" si="10"/>
        <v>0</v>
      </c>
      <c r="J199" s="18" t="str">
        <f t="shared" si="2"/>
        <v>#DIV/0!</v>
      </c>
      <c r="K199" s="17"/>
      <c r="L199" s="19" t="str">
        <f t="shared" si="3"/>
        <v>#DIV/0!</v>
      </c>
      <c r="M199" s="20" t="str">
        <f t="shared" si="4"/>
        <v>#DIV/0!</v>
      </c>
      <c r="N199" s="21" t="str">
        <f t="shared" si="11"/>
        <v>#DIV/0!</v>
      </c>
      <c r="O199" s="21" t="str">
        <f t="shared" si="5"/>
        <v>#DIV/0!</v>
      </c>
      <c r="P199" s="22" t="str">
        <f t="shared" si="6"/>
        <v>#DIV/0!</v>
      </c>
    </row>
    <row r="200">
      <c r="B200" s="11"/>
      <c r="C200" s="12" t="str">
        <f>VLOOKUP(B:B,'Курс валют'!A:D,4,0)</f>
        <v>#N/A</v>
      </c>
      <c r="D200" s="15"/>
      <c r="E200" s="59"/>
      <c r="F200" s="15"/>
      <c r="G200" s="16"/>
      <c r="H200" s="17"/>
      <c r="I200" s="16">
        <f t="shared" si="10"/>
        <v>0</v>
      </c>
      <c r="J200" s="18" t="str">
        <f t="shared" si="2"/>
        <v>#DIV/0!</v>
      </c>
      <c r="K200" s="17"/>
      <c r="L200" s="19" t="str">
        <f t="shared" si="3"/>
        <v>#DIV/0!</v>
      </c>
      <c r="M200" s="20" t="str">
        <f t="shared" si="4"/>
        <v>#DIV/0!</v>
      </c>
      <c r="N200" s="21" t="str">
        <f t="shared" si="11"/>
        <v>#DIV/0!</v>
      </c>
      <c r="O200" s="21" t="str">
        <f t="shared" si="5"/>
        <v>#DIV/0!</v>
      </c>
      <c r="P200" s="22" t="str">
        <f t="shared" si="6"/>
        <v>#DIV/0!</v>
      </c>
    </row>
    <row r="201">
      <c r="B201" s="11"/>
      <c r="C201" s="12" t="str">
        <f>VLOOKUP(B:B,'Курс валют'!A:D,4,0)</f>
        <v>#N/A</v>
      </c>
      <c r="D201" s="15"/>
      <c r="E201" s="59"/>
      <c r="F201" s="15"/>
      <c r="G201" s="16"/>
      <c r="H201" s="17"/>
      <c r="I201" s="16">
        <f t="shared" si="10"/>
        <v>0</v>
      </c>
      <c r="J201" s="18" t="str">
        <f t="shared" si="2"/>
        <v>#DIV/0!</v>
      </c>
      <c r="K201" s="17"/>
      <c r="L201" s="19" t="str">
        <f t="shared" si="3"/>
        <v>#DIV/0!</v>
      </c>
      <c r="M201" s="20" t="str">
        <f t="shared" si="4"/>
        <v>#DIV/0!</v>
      </c>
      <c r="N201" s="21" t="str">
        <f t="shared" si="11"/>
        <v>#DIV/0!</v>
      </c>
      <c r="O201" s="21" t="str">
        <f t="shared" si="5"/>
        <v>#DIV/0!</v>
      </c>
      <c r="P201" s="22" t="str">
        <f t="shared" si="6"/>
        <v>#DIV/0!</v>
      </c>
    </row>
    <row r="202">
      <c r="B202" s="11"/>
      <c r="C202" s="12" t="str">
        <f>VLOOKUP(B:B,'Курс валют'!A:D,4,0)</f>
        <v>#N/A</v>
      </c>
      <c r="D202" s="15"/>
      <c r="E202" s="59"/>
      <c r="F202" s="15"/>
      <c r="G202" s="16"/>
      <c r="H202" s="17"/>
      <c r="I202" s="16">
        <f t="shared" si="10"/>
        <v>0</v>
      </c>
      <c r="J202" s="18" t="str">
        <f t="shared" si="2"/>
        <v>#DIV/0!</v>
      </c>
      <c r="K202" s="17"/>
      <c r="L202" s="19" t="str">
        <f t="shared" si="3"/>
        <v>#DIV/0!</v>
      </c>
      <c r="M202" s="20" t="str">
        <f t="shared" si="4"/>
        <v>#DIV/0!</v>
      </c>
      <c r="N202" s="21" t="str">
        <f t="shared" si="11"/>
        <v>#DIV/0!</v>
      </c>
      <c r="O202" s="21" t="str">
        <f t="shared" si="5"/>
        <v>#DIV/0!</v>
      </c>
      <c r="P202" s="22" t="str">
        <f t="shared" si="6"/>
        <v>#DIV/0!</v>
      </c>
    </row>
    <row r="203">
      <c r="B203" s="11"/>
      <c r="C203" s="12" t="str">
        <f>VLOOKUP(B:B,'Курс валют'!A:D,4,0)</f>
        <v>#N/A</v>
      </c>
      <c r="D203" s="15"/>
      <c r="E203" s="59"/>
      <c r="F203" s="15"/>
      <c r="G203" s="16"/>
      <c r="H203" s="17"/>
      <c r="I203" s="16">
        <f t="shared" si="10"/>
        <v>0</v>
      </c>
      <c r="J203" s="18" t="str">
        <f t="shared" si="2"/>
        <v>#DIV/0!</v>
      </c>
      <c r="K203" s="17"/>
      <c r="L203" s="19" t="str">
        <f t="shared" si="3"/>
        <v>#DIV/0!</v>
      </c>
      <c r="M203" s="20" t="str">
        <f t="shared" si="4"/>
        <v>#DIV/0!</v>
      </c>
      <c r="N203" s="21" t="str">
        <f t="shared" si="11"/>
        <v>#DIV/0!</v>
      </c>
      <c r="O203" s="21" t="str">
        <f t="shared" si="5"/>
        <v>#DIV/0!</v>
      </c>
      <c r="P203" s="22" t="str">
        <f t="shared" si="6"/>
        <v>#DIV/0!</v>
      </c>
    </row>
    <row r="204">
      <c r="B204" s="11"/>
      <c r="C204" s="12" t="str">
        <f>VLOOKUP(B:B,'Курс валют'!A:D,4,0)</f>
        <v>#N/A</v>
      </c>
      <c r="D204" s="15"/>
      <c r="E204" s="59"/>
      <c r="F204" s="15"/>
      <c r="G204" s="16"/>
      <c r="H204" s="17"/>
      <c r="I204" s="16">
        <f t="shared" si="10"/>
        <v>0</v>
      </c>
      <c r="J204" s="18" t="str">
        <f t="shared" si="2"/>
        <v>#DIV/0!</v>
      </c>
      <c r="K204" s="17"/>
      <c r="L204" s="19" t="str">
        <f t="shared" si="3"/>
        <v>#DIV/0!</v>
      </c>
      <c r="M204" s="20" t="str">
        <f t="shared" si="4"/>
        <v>#DIV/0!</v>
      </c>
      <c r="N204" s="21" t="str">
        <f t="shared" si="11"/>
        <v>#DIV/0!</v>
      </c>
      <c r="O204" s="21" t="str">
        <f t="shared" si="5"/>
        <v>#DIV/0!</v>
      </c>
      <c r="P204" s="22" t="str">
        <f t="shared" si="6"/>
        <v>#DIV/0!</v>
      </c>
    </row>
    <row r="205">
      <c r="B205" s="11"/>
      <c r="C205" s="12" t="str">
        <f>VLOOKUP(B:B,'Курс валют'!A:D,4,0)</f>
        <v>#N/A</v>
      </c>
      <c r="D205" s="15"/>
      <c r="E205" s="59"/>
      <c r="F205" s="15"/>
      <c r="G205" s="16"/>
      <c r="H205" s="17"/>
      <c r="I205" s="16">
        <f t="shared" si="10"/>
        <v>0</v>
      </c>
      <c r="J205" s="18" t="str">
        <f t="shared" si="2"/>
        <v>#DIV/0!</v>
      </c>
      <c r="K205" s="17"/>
      <c r="L205" s="19" t="str">
        <f t="shared" si="3"/>
        <v>#DIV/0!</v>
      </c>
      <c r="M205" s="20" t="str">
        <f t="shared" si="4"/>
        <v>#DIV/0!</v>
      </c>
      <c r="N205" s="21" t="str">
        <f t="shared" si="11"/>
        <v>#DIV/0!</v>
      </c>
      <c r="O205" s="21" t="str">
        <f t="shared" si="5"/>
        <v>#DIV/0!</v>
      </c>
      <c r="P205" s="22" t="str">
        <f t="shared" si="6"/>
        <v>#DIV/0!</v>
      </c>
    </row>
    <row r="206">
      <c r="B206" s="11"/>
      <c r="C206" s="12" t="str">
        <f>VLOOKUP(B:B,'Курс валют'!A:D,4,0)</f>
        <v>#N/A</v>
      </c>
      <c r="D206" s="15"/>
      <c r="E206" s="59"/>
      <c r="F206" s="15"/>
      <c r="G206" s="16"/>
      <c r="H206" s="17"/>
      <c r="I206" s="16">
        <f t="shared" si="10"/>
        <v>0</v>
      </c>
      <c r="J206" s="18" t="str">
        <f t="shared" si="2"/>
        <v>#DIV/0!</v>
      </c>
      <c r="K206" s="17"/>
      <c r="L206" s="19" t="str">
        <f t="shared" si="3"/>
        <v>#DIV/0!</v>
      </c>
      <c r="M206" s="20" t="str">
        <f t="shared" si="4"/>
        <v>#DIV/0!</v>
      </c>
      <c r="N206" s="21" t="str">
        <f t="shared" si="11"/>
        <v>#DIV/0!</v>
      </c>
      <c r="O206" s="21" t="str">
        <f t="shared" si="5"/>
        <v>#DIV/0!</v>
      </c>
      <c r="P206" s="22" t="str">
        <f t="shared" si="6"/>
        <v>#DIV/0!</v>
      </c>
    </row>
    <row r="207">
      <c r="B207" s="11"/>
      <c r="C207" s="12" t="str">
        <f>VLOOKUP(B:B,'Курс валют'!A:D,4,0)</f>
        <v>#N/A</v>
      </c>
      <c r="D207" s="15"/>
      <c r="E207" s="59"/>
      <c r="F207" s="15"/>
      <c r="G207" s="16"/>
      <c r="H207" s="17"/>
      <c r="I207" s="16">
        <f t="shared" si="10"/>
        <v>0</v>
      </c>
      <c r="J207" s="18" t="str">
        <f t="shared" si="2"/>
        <v>#DIV/0!</v>
      </c>
      <c r="K207" s="17"/>
      <c r="L207" s="19" t="str">
        <f t="shared" si="3"/>
        <v>#DIV/0!</v>
      </c>
      <c r="M207" s="20" t="str">
        <f t="shared" si="4"/>
        <v>#DIV/0!</v>
      </c>
      <c r="N207" s="21" t="str">
        <f t="shared" si="11"/>
        <v>#DIV/0!</v>
      </c>
      <c r="O207" s="21" t="str">
        <f t="shared" si="5"/>
        <v>#DIV/0!</v>
      </c>
      <c r="P207" s="22" t="str">
        <f t="shared" si="6"/>
        <v>#DIV/0!</v>
      </c>
    </row>
    <row r="208">
      <c r="B208" s="11"/>
      <c r="C208" s="12" t="str">
        <f>VLOOKUP(B:B,'Курс валют'!A:D,4,0)</f>
        <v>#N/A</v>
      </c>
      <c r="D208" s="15"/>
      <c r="E208" s="59"/>
      <c r="F208" s="15"/>
      <c r="G208" s="16"/>
      <c r="H208" s="17"/>
      <c r="I208" s="16">
        <f t="shared" si="10"/>
        <v>0</v>
      </c>
      <c r="J208" s="18" t="str">
        <f t="shared" si="2"/>
        <v>#DIV/0!</v>
      </c>
      <c r="K208" s="17"/>
      <c r="L208" s="19" t="str">
        <f t="shared" si="3"/>
        <v>#DIV/0!</v>
      </c>
      <c r="M208" s="20" t="str">
        <f t="shared" si="4"/>
        <v>#DIV/0!</v>
      </c>
      <c r="N208" s="21" t="str">
        <f t="shared" si="11"/>
        <v>#DIV/0!</v>
      </c>
      <c r="O208" s="21" t="str">
        <f t="shared" si="5"/>
        <v>#DIV/0!</v>
      </c>
      <c r="P208" s="22" t="str">
        <f t="shared" si="6"/>
        <v>#DIV/0!</v>
      </c>
    </row>
    <row r="209">
      <c r="B209" s="11"/>
      <c r="C209" s="12" t="str">
        <f>VLOOKUP(B:B,'Курс валют'!A:D,4,0)</f>
        <v>#N/A</v>
      </c>
      <c r="D209" s="15"/>
      <c r="E209" s="59"/>
      <c r="F209" s="15"/>
      <c r="G209" s="16"/>
      <c r="H209" s="17"/>
      <c r="I209" s="16">
        <f t="shared" si="10"/>
        <v>0</v>
      </c>
      <c r="J209" s="18" t="str">
        <f t="shared" si="2"/>
        <v>#DIV/0!</v>
      </c>
      <c r="K209" s="17"/>
      <c r="L209" s="19" t="str">
        <f t="shared" si="3"/>
        <v>#DIV/0!</v>
      </c>
      <c r="M209" s="20" t="str">
        <f t="shared" si="4"/>
        <v>#DIV/0!</v>
      </c>
      <c r="N209" s="21" t="str">
        <f t="shared" si="11"/>
        <v>#DIV/0!</v>
      </c>
      <c r="O209" s="21" t="str">
        <f t="shared" si="5"/>
        <v>#DIV/0!</v>
      </c>
      <c r="P209" s="22" t="str">
        <f t="shared" si="6"/>
        <v>#DIV/0!</v>
      </c>
    </row>
    <row r="210">
      <c r="B210" s="11"/>
      <c r="C210" s="12" t="str">
        <f>VLOOKUP(B:B,'Курс валют'!A:D,4,0)</f>
        <v>#N/A</v>
      </c>
      <c r="D210" s="15"/>
      <c r="E210" s="59"/>
      <c r="F210" s="15"/>
      <c r="G210" s="16"/>
      <c r="H210" s="17"/>
      <c r="I210" s="16">
        <f t="shared" si="10"/>
        <v>0</v>
      </c>
      <c r="J210" s="18" t="str">
        <f t="shared" si="2"/>
        <v>#DIV/0!</v>
      </c>
      <c r="K210" s="17"/>
      <c r="L210" s="19" t="str">
        <f t="shared" si="3"/>
        <v>#DIV/0!</v>
      </c>
      <c r="M210" s="20" t="str">
        <f t="shared" si="4"/>
        <v>#DIV/0!</v>
      </c>
      <c r="N210" s="21" t="str">
        <f t="shared" si="11"/>
        <v>#DIV/0!</v>
      </c>
      <c r="O210" s="21" t="str">
        <f t="shared" si="5"/>
        <v>#DIV/0!</v>
      </c>
      <c r="P210" s="22" t="str">
        <f t="shared" si="6"/>
        <v>#DIV/0!</v>
      </c>
    </row>
    <row r="211">
      <c r="B211" s="11"/>
      <c r="C211" s="12" t="str">
        <f>VLOOKUP(B:B,'Курс валют'!A:D,4,0)</f>
        <v>#N/A</v>
      </c>
      <c r="D211" s="15"/>
      <c r="E211" s="59"/>
      <c r="F211" s="15"/>
      <c r="G211" s="16"/>
      <c r="H211" s="17"/>
      <c r="I211" s="16">
        <f t="shared" si="10"/>
        <v>0</v>
      </c>
      <c r="J211" s="18" t="str">
        <f t="shared" si="2"/>
        <v>#DIV/0!</v>
      </c>
      <c r="K211" s="17"/>
      <c r="L211" s="19" t="str">
        <f t="shared" si="3"/>
        <v>#DIV/0!</v>
      </c>
      <c r="M211" s="20" t="str">
        <f t="shared" si="4"/>
        <v>#DIV/0!</v>
      </c>
      <c r="N211" s="21" t="str">
        <f t="shared" si="11"/>
        <v>#DIV/0!</v>
      </c>
      <c r="O211" s="21" t="str">
        <f t="shared" si="5"/>
        <v>#DIV/0!</v>
      </c>
      <c r="P211" s="22" t="str">
        <f t="shared" si="6"/>
        <v>#DIV/0!</v>
      </c>
    </row>
    <row r="212">
      <c r="B212" s="11"/>
      <c r="C212" s="12" t="str">
        <f>VLOOKUP(B:B,'Курс валют'!A:D,4,0)</f>
        <v>#N/A</v>
      </c>
      <c r="D212" s="15"/>
      <c r="E212" s="59"/>
      <c r="F212" s="15"/>
      <c r="G212" s="16"/>
      <c r="H212" s="17"/>
      <c r="I212" s="16">
        <f t="shared" si="10"/>
        <v>0</v>
      </c>
      <c r="J212" s="18" t="str">
        <f t="shared" si="2"/>
        <v>#DIV/0!</v>
      </c>
      <c r="K212" s="17"/>
      <c r="L212" s="19" t="str">
        <f t="shared" si="3"/>
        <v>#DIV/0!</v>
      </c>
      <c r="M212" s="20" t="str">
        <f t="shared" si="4"/>
        <v>#DIV/0!</v>
      </c>
      <c r="N212" s="21" t="str">
        <f t="shared" si="11"/>
        <v>#DIV/0!</v>
      </c>
      <c r="O212" s="21" t="str">
        <f t="shared" si="5"/>
        <v>#DIV/0!</v>
      </c>
      <c r="P212" s="22" t="str">
        <f t="shared" si="6"/>
        <v>#DIV/0!</v>
      </c>
    </row>
    <row r="213">
      <c r="B213" s="11"/>
      <c r="C213" s="12" t="str">
        <f>VLOOKUP(B:B,'Курс валют'!A:D,4,0)</f>
        <v>#N/A</v>
      </c>
      <c r="D213" s="15"/>
      <c r="E213" s="59"/>
      <c r="F213" s="15"/>
      <c r="G213" s="16"/>
      <c r="H213" s="17"/>
      <c r="I213" s="16">
        <f t="shared" si="10"/>
        <v>0</v>
      </c>
      <c r="J213" s="18" t="str">
        <f t="shared" si="2"/>
        <v>#DIV/0!</v>
      </c>
      <c r="K213" s="17"/>
      <c r="L213" s="19" t="str">
        <f t="shared" si="3"/>
        <v>#DIV/0!</v>
      </c>
      <c r="M213" s="20" t="str">
        <f t="shared" si="4"/>
        <v>#DIV/0!</v>
      </c>
      <c r="N213" s="21" t="str">
        <f t="shared" si="11"/>
        <v>#DIV/0!</v>
      </c>
      <c r="O213" s="21" t="str">
        <f t="shared" si="5"/>
        <v>#DIV/0!</v>
      </c>
      <c r="P213" s="22" t="str">
        <f t="shared" si="6"/>
        <v>#DIV/0!</v>
      </c>
    </row>
    <row r="214">
      <c r="B214" s="11"/>
      <c r="C214" s="12" t="str">
        <f>VLOOKUP(B:B,'Курс валют'!A:D,4,0)</f>
        <v>#N/A</v>
      </c>
      <c r="D214" s="15"/>
      <c r="E214" s="59"/>
      <c r="F214" s="15"/>
      <c r="G214" s="16"/>
      <c r="H214" s="17"/>
      <c r="I214" s="16">
        <f t="shared" si="10"/>
        <v>0</v>
      </c>
      <c r="J214" s="18" t="str">
        <f t="shared" si="2"/>
        <v>#DIV/0!</v>
      </c>
      <c r="K214" s="17"/>
      <c r="L214" s="19" t="str">
        <f t="shared" si="3"/>
        <v>#DIV/0!</v>
      </c>
      <c r="M214" s="20" t="str">
        <f t="shared" si="4"/>
        <v>#DIV/0!</v>
      </c>
      <c r="N214" s="21" t="str">
        <f t="shared" si="11"/>
        <v>#DIV/0!</v>
      </c>
      <c r="O214" s="21" t="str">
        <f t="shared" si="5"/>
        <v>#DIV/0!</v>
      </c>
      <c r="P214" s="22" t="str">
        <f t="shared" si="6"/>
        <v>#DIV/0!</v>
      </c>
    </row>
    <row r="215">
      <c r="B215" s="11"/>
      <c r="C215" s="12" t="str">
        <f>VLOOKUP(B:B,'Курс валют'!A:D,4,0)</f>
        <v>#N/A</v>
      </c>
      <c r="D215" s="15"/>
      <c r="E215" s="59"/>
      <c r="F215" s="15"/>
      <c r="G215" s="16"/>
      <c r="H215" s="17"/>
      <c r="I215" s="16">
        <f t="shared" si="10"/>
        <v>0</v>
      </c>
      <c r="J215" s="18" t="str">
        <f t="shared" si="2"/>
        <v>#DIV/0!</v>
      </c>
      <c r="K215" s="17"/>
      <c r="L215" s="19" t="str">
        <f t="shared" si="3"/>
        <v>#DIV/0!</v>
      </c>
      <c r="M215" s="20" t="str">
        <f t="shared" si="4"/>
        <v>#DIV/0!</v>
      </c>
      <c r="N215" s="21" t="str">
        <f t="shared" si="11"/>
        <v>#DIV/0!</v>
      </c>
      <c r="O215" s="21" t="str">
        <f t="shared" si="5"/>
        <v>#DIV/0!</v>
      </c>
      <c r="P215" s="22" t="str">
        <f t="shared" si="6"/>
        <v>#DIV/0!</v>
      </c>
    </row>
    <row r="216">
      <c r="B216" s="11"/>
      <c r="C216" s="12" t="str">
        <f>VLOOKUP(B:B,'Курс валют'!A:D,4,0)</f>
        <v>#N/A</v>
      </c>
      <c r="D216" s="15"/>
      <c r="E216" s="59"/>
      <c r="F216" s="15"/>
      <c r="G216" s="16"/>
      <c r="H216" s="17"/>
      <c r="I216" s="16">
        <f t="shared" si="10"/>
        <v>0</v>
      </c>
      <c r="J216" s="18" t="str">
        <f t="shared" si="2"/>
        <v>#DIV/0!</v>
      </c>
      <c r="K216" s="17"/>
      <c r="L216" s="19" t="str">
        <f t="shared" si="3"/>
        <v>#DIV/0!</v>
      </c>
      <c r="M216" s="20" t="str">
        <f t="shared" si="4"/>
        <v>#DIV/0!</v>
      </c>
      <c r="N216" s="21" t="str">
        <f t="shared" si="11"/>
        <v>#DIV/0!</v>
      </c>
      <c r="O216" s="21" t="str">
        <f t="shared" si="5"/>
        <v>#DIV/0!</v>
      </c>
      <c r="P216" s="22" t="str">
        <f t="shared" si="6"/>
        <v>#DIV/0!</v>
      </c>
    </row>
    <row r="217">
      <c r="B217" s="11"/>
      <c r="C217" s="12" t="str">
        <f>VLOOKUP(B:B,'Курс валют'!A:D,4,0)</f>
        <v>#N/A</v>
      </c>
      <c r="D217" s="13"/>
      <c r="E217" s="59"/>
      <c r="F217" s="15"/>
      <c r="G217" s="16"/>
      <c r="H217" s="17"/>
      <c r="I217" s="16">
        <f t="shared" si="10"/>
        <v>0</v>
      </c>
      <c r="J217" s="18" t="str">
        <f t="shared" si="2"/>
        <v>#DIV/0!</v>
      </c>
      <c r="K217" s="17"/>
      <c r="L217" s="19" t="str">
        <f t="shared" si="3"/>
        <v>#DIV/0!</v>
      </c>
      <c r="M217" s="20" t="str">
        <f t="shared" si="4"/>
        <v>#DIV/0!</v>
      </c>
      <c r="N217" s="21" t="str">
        <f t="shared" si="11"/>
        <v>#DIV/0!</v>
      </c>
      <c r="O217" s="21" t="str">
        <f t="shared" si="5"/>
        <v>#DIV/0!</v>
      </c>
      <c r="P217" s="22" t="str">
        <f t="shared" si="6"/>
        <v>#DIV/0!</v>
      </c>
    </row>
    <row r="218">
      <c r="B218" s="11"/>
      <c r="C218" s="12" t="str">
        <f>VLOOKUP(B:B,'Курс валют'!A:D,4,0)</f>
        <v>#N/A</v>
      </c>
      <c r="D218" s="13"/>
      <c r="E218" s="59"/>
      <c r="F218" s="15"/>
      <c r="G218" s="16"/>
      <c r="H218" s="17"/>
      <c r="I218" s="16">
        <f t="shared" si="10"/>
        <v>0</v>
      </c>
      <c r="J218" s="18" t="str">
        <f t="shared" si="2"/>
        <v>#DIV/0!</v>
      </c>
      <c r="K218" s="17"/>
      <c r="L218" s="19" t="str">
        <f t="shared" si="3"/>
        <v>#DIV/0!</v>
      </c>
      <c r="M218" s="20" t="str">
        <f t="shared" si="4"/>
        <v>#DIV/0!</v>
      </c>
      <c r="N218" s="21" t="str">
        <f t="shared" si="11"/>
        <v>#DIV/0!</v>
      </c>
      <c r="O218" s="21" t="str">
        <f t="shared" si="5"/>
        <v>#DIV/0!</v>
      </c>
      <c r="P218" s="22" t="str">
        <f t="shared" si="6"/>
        <v>#DIV/0!</v>
      </c>
    </row>
    <row r="219">
      <c r="B219" s="11"/>
      <c r="C219" s="12" t="str">
        <f>VLOOKUP(B:B,'Курс валют'!A:D,4,0)</f>
        <v>#N/A</v>
      </c>
      <c r="D219" s="13"/>
      <c r="E219" s="59"/>
      <c r="F219" s="15"/>
      <c r="G219" s="16"/>
      <c r="H219" s="17"/>
      <c r="I219" s="16">
        <f t="shared" si="10"/>
        <v>0</v>
      </c>
      <c r="J219" s="18" t="str">
        <f t="shared" si="2"/>
        <v>#DIV/0!</v>
      </c>
      <c r="K219" s="17"/>
      <c r="L219" s="19" t="str">
        <f t="shared" si="3"/>
        <v>#DIV/0!</v>
      </c>
      <c r="M219" s="20" t="str">
        <f t="shared" si="4"/>
        <v>#DIV/0!</v>
      </c>
      <c r="N219" s="21" t="str">
        <f t="shared" si="11"/>
        <v>#DIV/0!</v>
      </c>
      <c r="O219" s="21" t="str">
        <f t="shared" si="5"/>
        <v>#DIV/0!</v>
      </c>
      <c r="P219" s="22" t="str">
        <f t="shared" si="6"/>
        <v>#DIV/0!</v>
      </c>
    </row>
    <row r="220">
      <c r="B220" s="11"/>
      <c r="C220" s="12" t="str">
        <f>VLOOKUP(B:B,'Курс валют'!A:D,4,0)</f>
        <v>#N/A</v>
      </c>
      <c r="D220" s="13"/>
      <c r="E220" s="59"/>
      <c r="F220" s="15"/>
      <c r="G220" s="16"/>
      <c r="H220" s="17"/>
      <c r="I220" s="16">
        <f t="shared" si="10"/>
        <v>0</v>
      </c>
      <c r="J220" s="18" t="str">
        <f t="shared" si="2"/>
        <v>#DIV/0!</v>
      </c>
      <c r="K220" s="17"/>
      <c r="L220" s="19" t="str">
        <f t="shared" si="3"/>
        <v>#DIV/0!</v>
      </c>
      <c r="M220" s="20" t="str">
        <f t="shared" si="4"/>
        <v>#DIV/0!</v>
      </c>
      <c r="N220" s="21" t="str">
        <f t="shared" si="11"/>
        <v>#DIV/0!</v>
      </c>
      <c r="O220" s="21" t="str">
        <f t="shared" si="5"/>
        <v>#DIV/0!</v>
      </c>
      <c r="P220" s="22" t="str">
        <f t="shared" si="6"/>
        <v>#DIV/0!</v>
      </c>
    </row>
    <row r="221">
      <c r="B221" s="11"/>
      <c r="C221" s="12" t="str">
        <f>VLOOKUP(B:B,'Курс валют'!A:D,4,0)</f>
        <v>#N/A</v>
      </c>
      <c r="D221" s="13"/>
      <c r="E221" s="59"/>
      <c r="F221" s="15"/>
      <c r="G221" s="16"/>
      <c r="H221" s="17"/>
      <c r="I221" s="16">
        <f t="shared" si="10"/>
        <v>0</v>
      </c>
      <c r="J221" s="18" t="str">
        <f t="shared" si="2"/>
        <v>#DIV/0!</v>
      </c>
      <c r="K221" s="17"/>
      <c r="L221" s="19" t="str">
        <f t="shared" si="3"/>
        <v>#DIV/0!</v>
      </c>
      <c r="M221" s="20" t="str">
        <f t="shared" si="4"/>
        <v>#DIV/0!</v>
      </c>
      <c r="N221" s="21" t="str">
        <f t="shared" si="11"/>
        <v>#DIV/0!</v>
      </c>
      <c r="O221" s="21" t="str">
        <f t="shared" si="5"/>
        <v>#DIV/0!</v>
      </c>
      <c r="P221" s="22" t="str">
        <f t="shared" si="6"/>
        <v>#DIV/0!</v>
      </c>
    </row>
    <row r="222">
      <c r="B222" s="11"/>
      <c r="C222" s="12" t="str">
        <f>VLOOKUP(B:B,'Курс валют'!A:D,4,0)</f>
        <v>#N/A</v>
      </c>
      <c r="D222" s="13"/>
      <c r="E222" s="59"/>
      <c r="F222" s="15"/>
      <c r="G222" s="16"/>
      <c r="H222" s="17"/>
      <c r="I222" s="16">
        <f t="shared" si="10"/>
        <v>0</v>
      </c>
      <c r="J222" s="18" t="str">
        <f t="shared" si="2"/>
        <v>#DIV/0!</v>
      </c>
      <c r="K222" s="17"/>
      <c r="L222" s="19" t="str">
        <f t="shared" si="3"/>
        <v>#DIV/0!</v>
      </c>
      <c r="M222" s="20" t="str">
        <f t="shared" si="4"/>
        <v>#DIV/0!</v>
      </c>
      <c r="N222" s="21" t="str">
        <f t="shared" si="11"/>
        <v>#DIV/0!</v>
      </c>
      <c r="O222" s="21" t="str">
        <f t="shared" si="5"/>
        <v>#DIV/0!</v>
      </c>
      <c r="P222" s="22" t="str">
        <f t="shared" si="6"/>
        <v>#DIV/0!</v>
      </c>
    </row>
    <row r="223">
      <c r="B223" s="11"/>
      <c r="C223" s="12" t="str">
        <f>VLOOKUP(B:B,'Курс валют'!A:D,4,0)</f>
        <v>#N/A</v>
      </c>
      <c r="D223" s="13"/>
      <c r="E223" s="59"/>
      <c r="F223" s="15"/>
      <c r="G223" s="16"/>
      <c r="H223" s="17"/>
      <c r="I223" s="16">
        <f t="shared" si="10"/>
        <v>0</v>
      </c>
      <c r="J223" s="18" t="str">
        <f t="shared" si="2"/>
        <v>#DIV/0!</v>
      </c>
      <c r="K223" s="17"/>
      <c r="L223" s="19" t="str">
        <f t="shared" si="3"/>
        <v>#DIV/0!</v>
      </c>
      <c r="M223" s="20" t="str">
        <f t="shared" si="4"/>
        <v>#DIV/0!</v>
      </c>
      <c r="N223" s="21" t="str">
        <f t="shared" si="11"/>
        <v>#DIV/0!</v>
      </c>
      <c r="O223" s="21" t="str">
        <f t="shared" si="5"/>
        <v>#DIV/0!</v>
      </c>
      <c r="P223" s="22" t="str">
        <f t="shared" si="6"/>
        <v>#DIV/0!</v>
      </c>
    </row>
    <row r="224">
      <c r="B224" s="11"/>
      <c r="C224" s="12" t="str">
        <f>VLOOKUP(B:B,'Курс валют'!A:D,4,0)</f>
        <v>#N/A</v>
      </c>
      <c r="D224" s="13"/>
      <c r="E224" s="59"/>
      <c r="F224" s="15"/>
      <c r="G224" s="16"/>
      <c r="H224" s="17"/>
      <c r="I224" s="16">
        <f t="shared" si="10"/>
        <v>0</v>
      </c>
      <c r="J224" s="18" t="str">
        <f t="shared" si="2"/>
        <v>#DIV/0!</v>
      </c>
      <c r="K224" s="17"/>
      <c r="L224" s="19" t="str">
        <f t="shared" si="3"/>
        <v>#DIV/0!</v>
      </c>
      <c r="M224" s="20" t="str">
        <f t="shared" si="4"/>
        <v>#DIV/0!</v>
      </c>
      <c r="N224" s="21" t="str">
        <f t="shared" si="11"/>
        <v>#DIV/0!</v>
      </c>
      <c r="O224" s="21" t="str">
        <f t="shared" si="5"/>
        <v>#DIV/0!</v>
      </c>
      <c r="P224" s="22" t="str">
        <f t="shared" si="6"/>
        <v>#DIV/0!</v>
      </c>
    </row>
    <row r="225">
      <c r="B225" s="11"/>
      <c r="C225" s="12" t="str">
        <f>VLOOKUP(B:B,'Курс валют'!A:D,4,0)</f>
        <v>#N/A</v>
      </c>
      <c r="D225" s="13"/>
      <c r="E225" s="59"/>
      <c r="F225" s="15"/>
      <c r="G225" s="16"/>
      <c r="H225" s="17"/>
      <c r="I225" s="16">
        <f t="shared" si="10"/>
        <v>0</v>
      </c>
      <c r="J225" s="18" t="str">
        <f t="shared" si="2"/>
        <v>#DIV/0!</v>
      </c>
      <c r="K225" s="17"/>
      <c r="L225" s="19" t="str">
        <f t="shared" si="3"/>
        <v>#DIV/0!</v>
      </c>
      <c r="M225" s="20" t="str">
        <f t="shared" si="4"/>
        <v>#DIV/0!</v>
      </c>
      <c r="N225" s="21" t="str">
        <f t="shared" si="11"/>
        <v>#DIV/0!</v>
      </c>
      <c r="O225" s="21" t="str">
        <f t="shared" si="5"/>
        <v>#DIV/0!</v>
      </c>
      <c r="P225" s="22" t="str">
        <f t="shared" si="6"/>
        <v>#DIV/0!</v>
      </c>
    </row>
    <row r="226">
      <c r="B226" s="11"/>
      <c r="C226" s="12" t="str">
        <f>VLOOKUP(B:B,'Курс валют'!A:D,4,0)</f>
        <v>#N/A</v>
      </c>
      <c r="D226" s="13"/>
      <c r="E226" s="59"/>
      <c r="F226" s="15"/>
      <c r="G226" s="16"/>
      <c r="H226" s="17"/>
      <c r="I226" s="16">
        <f t="shared" si="10"/>
        <v>0</v>
      </c>
      <c r="J226" s="18" t="str">
        <f t="shared" si="2"/>
        <v>#DIV/0!</v>
      </c>
      <c r="K226" s="17"/>
      <c r="L226" s="19" t="str">
        <f t="shared" si="3"/>
        <v>#DIV/0!</v>
      </c>
      <c r="M226" s="20" t="str">
        <f t="shared" si="4"/>
        <v>#DIV/0!</v>
      </c>
      <c r="N226" s="21" t="str">
        <f t="shared" si="11"/>
        <v>#DIV/0!</v>
      </c>
      <c r="O226" s="21" t="str">
        <f t="shared" si="5"/>
        <v>#DIV/0!</v>
      </c>
      <c r="P226" s="22" t="str">
        <f t="shared" si="6"/>
        <v>#DIV/0!</v>
      </c>
    </row>
    <row r="227">
      <c r="B227" s="11"/>
      <c r="C227" s="12" t="str">
        <f>VLOOKUP(B:B,'Курс валют'!A:D,4,0)</f>
        <v>#N/A</v>
      </c>
      <c r="D227" s="13"/>
      <c r="E227" s="59"/>
      <c r="F227" s="15"/>
      <c r="G227" s="16"/>
      <c r="H227" s="17"/>
      <c r="I227" s="16">
        <f t="shared" si="10"/>
        <v>0</v>
      </c>
      <c r="J227" s="18" t="str">
        <f t="shared" si="2"/>
        <v>#DIV/0!</v>
      </c>
      <c r="K227" s="17"/>
      <c r="L227" s="19" t="str">
        <f t="shared" si="3"/>
        <v>#DIV/0!</v>
      </c>
      <c r="M227" s="20" t="str">
        <f t="shared" si="4"/>
        <v>#DIV/0!</v>
      </c>
      <c r="N227" s="21" t="str">
        <f t="shared" si="11"/>
        <v>#DIV/0!</v>
      </c>
      <c r="O227" s="21" t="str">
        <f t="shared" si="5"/>
        <v>#DIV/0!</v>
      </c>
      <c r="P227" s="22" t="str">
        <f t="shared" si="6"/>
        <v>#DIV/0!</v>
      </c>
    </row>
    <row r="228">
      <c r="B228" s="11"/>
      <c r="C228" s="12" t="str">
        <f>VLOOKUP(B:B,'Курс валют'!A:D,4,0)</f>
        <v>#N/A</v>
      </c>
      <c r="D228" s="13"/>
      <c r="E228" s="59"/>
      <c r="F228" s="15"/>
      <c r="G228" s="16"/>
      <c r="H228" s="17"/>
      <c r="I228" s="16">
        <f t="shared" si="10"/>
        <v>0</v>
      </c>
      <c r="J228" s="18" t="str">
        <f t="shared" si="2"/>
        <v>#DIV/0!</v>
      </c>
      <c r="K228" s="17"/>
      <c r="L228" s="19" t="str">
        <f t="shared" si="3"/>
        <v>#DIV/0!</v>
      </c>
      <c r="M228" s="20" t="str">
        <f t="shared" si="4"/>
        <v>#DIV/0!</v>
      </c>
      <c r="N228" s="21" t="str">
        <f t="shared" si="11"/>
        <v>#DIV/0!</v>
      </c>
      <c r="O228" s="21" t="str">
        <f t="shared" si="5"/>
        <v>#DIV/0!</v>
      </c>
      <c r="P228" s="22" t="str">
        <f t="shared" si="6"/>
        <v>#DIV/0!</v>
      </c>
    </row>
    <row r="229">
      <c r="B229" s="11"/>
      <c r="C229" s="12" t="str">
        <f>VLOOKUP(B:B,'Курс валют'!A:D,4,0)</f>
        <v>#N/A</v>
      </c>
      <c r="D229" s="13"/>
      <c r="E229" s="59"/>
      <c r="F229" s="15"/>
      <c r="G229" s="16"/>
      <c r="H229" s="17"/>
      <c r="I229" s="16">
        <f t="shared" si="10"/>
        <v>0</v>
      </c>
      <c r="J229" s="18" t="str">
        <f t="shared" si="2"/>
        <v>#DIV/0!</v>
      </c>
      <c r="K229" s="17"/>
      <c r="L229" s="19" t="str">
        <f t="shared" si="3"/>
        <v>#DIV/0!</v>
      </c>
      <c r="M229" s="20" t="str">
        <f t="shared" si="4"/>
        <v>#DIV/0!</v>
      </c>
      <c r="N229" s="21" t="str">
        <f t="shared" si="11"/>
        <v>#DIV/0!</v>
      </c>
      <c r="O229" s="21" t="str">
        <f t="shared" si="5"/>
        <v>#DIV/0!</v>
      </c>
      <c r="P229" s="22" t="str">
        <f t="shared" si="6"/>
        <v>#DIV/0!</v>
      </c>
    </row>
    <row r="230">
      <c r="B230" s="11"/>
      <c r="C230" s="12" t="str">
        <f>VLOOKUP(B:B,'Курс валют'!A:D,4,0)</f>
        <v>#N/A</v>
      </c>
      <c r="D230" s="13"/>
      <c r="E230" s="59"/>
      <c r="F230" s="15"/>
      <c r="G230" s="15"/>
      <c r="H230" s="17"/>
      <c r="I230" s="15">
        <f t="shared" si="10"/>
        <v>0</v>
      </c>
      <c r="J230" s="18" t="str">
        <f t="shared" si="2"/>
        <v>#DIV/0!</v>
      </c>
      <c r="K230" s="17"/>
      <c r="L230" s="19" t="str">
        <f t="shared" si="3"/>
        <v>#DIV/0!</v>
      </c>
      <c r="M230" s="20" t="str">
        <f t="shared" si="4"/>
        <v>#DIV/0!</v>
      </c>
      <c r="N230" s="21" t="str">
        <f t="shared" si="11"/>
        <v>#DIV/0!</v>
      </c>
      <c r="O230" s="21" t="str">
        <f t="shared" si="5"/>
        <v>#DIV/0!</v>
      </c>
      <c r="P230" s="22" t="str">
        <f t="shared" si="6"/>
        <v>#DIV/0!</v>
      </c>
    </row>
    <row r="231">
      <c r="B231" s="11"/>
      <c r="C231" s="12" t="str">
        <f>VLOOKUP(B:B,'Курс валют'!A:D,4,0)</f>
        <v>#N/A</v>
      </c>
      <c r="D231" s="13"/>
      <c r="E231" s="59"/>
      <c r="F231" s="15"/>
      <c r="G231" s="16"/>
      <c r="H231" s="17"/>
      <c r="I231" s="16">
        <f t="shared" si="10"/>
        <v>0</v>
      </c>
      <c r="J231" s="18" t="str">
        <f t="shared" si="2"/>
        <v>#DIV/0!</v>
      </c>
      <c r="K231" s="17"/>
      <c r="L231" s="19" t="str">
        <f t="shared" si="3"/>
        <v>#DIV/0!</v>
      </c>
      <c r="M231" s="20" t="str">
        <f t="shared" si="4"/>
        <v>#DIV/0!</v>
      </c>
      <c r="N231" s="21" t="str">
        <f t="shared" si="11"/>
        <v>#DIV/0!</v>
      </c>
      <c r="O231" s="21" t="str">
        <f t="shared" si="5"/>
        <v>#DIV/0!</v>
      </c>
      <c r="P231" s="22" t="str">
        <f t="shared" si="6"/>
        <v>#DIV/0!</v>
      </c>
    </row>
    <row r="232">
      <c r="B232" s="11"/>
      <c r="C232" s="12" t="str">
        <f>VLOOKUP(B:B,'Курс валют'!A:D,4,0)</f>
        <v>#N/A</v>
      </c>
      <c r="D232" s="13"/>
      <c r="E232" s="59"/>
      <c r="F232" s="15"/>
      <c r="G232" s="16"/>
      <c r="H232" s="17"/>
      <c r="I232" s="16">
        <f t="shared" si="10"/>
        <v>0</v>
      </c>
      <c r="J232" s="18" t="str">
        <f t="shared" si="2"/>
        <v>#DIV/0!</v>
      </c>
      <c r="K232" s="17"/>
      <c r="L232" s="19" t="str">
        <f t="shared" si="3"/>
        <v>#DIV/0!</v>
      </c>
      <c r="M232" s="20" t="str">
        <f t="shared" si="4"/>
        <v>#DIV/0!</v>
      </c>
      <c r="N232" s="21" t="str">
        <f t="shared" si="11"/>
        <v>#DIV/0!</v>
      </c>
      <c r="O232" s="21" t="str">
        <f t="shared" si="5"/>
        <v>#DIV/0!</v>
      </c>
      <c r="P232" s="22" t="str">
        <f t="shared" si="6"/>
        <v>#DIV/0!</v>
      </c>
    </row>
    <row r="233">
      <c r="B233" s="11"/>
      <c r="C233" s="12" t="str">
        <f>VLOOKUP(B:B,'Курс валют'!A:D,4,0)</f>
        <v>#N/A</v>
      </c>
      <c r="D233" s="13"/>
      <c r="E233" s="59"/>
      <c r="F233" s="15"/>
      <c r="G233" s="16"/>
      <c r="H233" s="17"/>
      <c r="I233" s="16">
        <f t="shared" si="10"/>
        <v>0</v>
      </c>
      <c r="J233" s="18" t="str">
        <f t="shared" si="2"/>
        <v>#DIV/0!</v>
      </c>
      <c r="K233" s="17"/>
      <c r="L233" s="19" t="str">
        <f t="shared" si="3"/>
        <v>#DIV/0!</v>
      </c>
      <c r="M233" s="20" t="str">
        <f t="shared" si="4"/>
        <v>#DIV/0!</v>
      </c>
      <c r="N233" s="21" t="str">
        <f t="shared" si="11"/>
        <v>#DIV/0!</v>
      </c>
      <c r="O233" s="21" t="str">
        <f t="shared" si="5"/>
        <v>#DIV/0!</v>
      </c>
      <c r="P233" s="22" t="str">
        <f t="shared" si="6"/>
        <v>#DIV/0!</v>
      </c>
    </row>
    <row r="234">
      <c r="B234" s="11"/>
      <c r="C234" s="12" t="str">
        <f>VLOOKUP(B:B,'Курс валют'!A:D,4,0)</f>
        <v>#N/A</v>
      </c>
      <c r="D234" s="13"/>
      <c r="E234" s="59"/>
      <c r="F234" s="15"/>
      <c r="G234" s="16"/>
      <c r="H234" s="17"/>
      <c r="I234" s="16">
        <f t="shared" si="10"/>
        <v>0</v>
      </c>
      <c r="J234" s="18" t="str">
        <f t="shared" si="2"/>
        <v>#DIV/0!</v>
      </c>
      <c r="K234" s="17"/>
      <c r="L234" s="19" t="str">
        <f t="shared" si="3"/>
        <v>#DIV/0!</v>
      </c>
      <c r="M234" s="20" t="str">
        <f t="shared" si="4"/>
        <v>#DIV/0!</v>
      </c>
      <c r="N234" s="21" t="str">
        <f t="shared" si="11"/>
        <v>#DIV/0!</v>
      </c>
      <c r="O234" s="21" t="str">
        <f t="shared" si="5"/>
        <v>#DIV/0!</v>
      </c>
      <c r="P234" s="22" t="str">
        <f t="shared" si="6"/>
        <v>#DIV/0!</v>
      </c>
    </row>
    <row r="235">
      <c r="B235" s="11"/>
      <c r="C235" s="12" t="str">
        <f>VLOOKUP(B:B,'Курс валют'!A:D,4,0)</f>
        <v>#N/A</v>
      </c>
      <c r="D235" s="13"/>
      <c r="E235" s="59"/>
      <c r="F235" s="15"/>
      <c r="G235" s="16"/>
      <c r="H235" s="17"/>
      <c r="I235" s="16">
        <f t="shared" si="10"/>
        <v>0</v>
      </c>
      <c r="J235" s="18" t="str">
        <f t="shared" si="2"/>
        <v>#DIV/0!</v>
      </c>
      <c r="K235" s="17"/>
      <c r="L235" s="19" t="str">
        <f t="shared" si="3"/>
        <v>#DIV/0!</v>
      </c>
      <c r="M235" s="20" t="str">
        <f t="shared" si="4"/>
        <v>#DIV/0!</v>
      </c>
      <c r="N235" s="21" t="str">
        <f t="shared" si="11"/>
        <v>#DIV/0!</v>
      </c>
      <c r="O235" s="21" t="str">
        <f t="shared" si="5"/>
        <v>#DIV/0!</v>
      </c>
      <c r="P235" s="22" t="str">
        <f t="shared" si="6"/>
        <v>#DIV/0!</v>
      </c>
    </row>
    <row r="236">
      <c r="B236" s="11"/>
      <c r="C236" s="12" t="str">
        <f>VLOOKUP(B:B,'Курс валют'!A:D,4,0)</f>
        <v>#N/A</v>
      </c>
      <c r="D236" s="13"/>
      <c r="E236" s="59"/>
      <c r="F236" s="15"/>
      <c r="G236" s="16"/>
      <c r="H236" s="17"/>
      <c r="I236" s="16">
        <f t="shared" si="10"/>
        <v>0</v>
      </c>
      <c r="J236" s="18" t="str">
        <f t="shared" si="2"/>
        <v>#DIV/0!</v>
      </c>
      <c r="K236" s="17"/>
      <c r="L236" s="19" t="str">
        <f t="shared" si="3"/>
        <v>#DIV/0!</v>
      </c>
      <c r="M236" s="20" t="str">
        <f t="shared" si="4"/>
        <v>#DIV/0!</v>
      </c>
      <c r="N236" s="21" t="str">
        <f t="shared" si="11"/>
        <v>#DIV/0!</v>
      </c>
      <c r="O236" s="21" t="str">
        <f t="shared" si="5"/>
        <v>#DIV/0!</v>
      </c>
      <c r="P236" s="22" t="str">
        <f t="shared" si="6"/>
        <v>#DIV/0!</v>
      </c>
    </row>
    <row r="237">
      <c r="B237" s="11"/>
      <c r="C237" s="12" t="str">
        <f>VLOOKUP(B:B,'Курс валют'!A:D,4,0)</f>
        <v>#N/A</v>
      </c>
      <c r="D237" s="13"/>
      <c r="E237" s="59"/>
      <c r="F237" s="15"/>
      <c r="G237" s="16"/>
      <c r="H237" s="17"/>
      <c r="I237" s="16">
        <f t="shared" si="10"/>
        <v>0</v>
      </c>
      <c r="J237" s="18" t="str">
        <f t="shared" si="2"/>
        <v>#DIV/0!</v>
      </c>
      <c r="K237" s="17"/>
      <c r="L237" s="19" t="str">
        <f t="shared" si="3"/>
        <v>#DIV/0!</v>
      </c>
      <c r="M237" s="20" t="str">
        <f t="shared" si="4"/>
        <v>#DIV/0!</v>
      </c>
      <c r="N237" s="21" t="str">
        <f t="shared" si="11"/>
        <v>#DIV/0!</v>
      </c>
      <c r="O237" s="21" t="str">
        <f t="shared" si="5"/>
        <v>#DIV/0!</v>
      </c>
      <c r="P237" s="22" t="str">
        <f t="shared" si="6"/>
        <v>#DIV/0!</v>
      </c>
    </row>
    <row r="238">
      <c r="B238" s="11"/>
      <c r="C238" s="12" t="str">
        <f>VLOOKUP(B:B,'Курс валют'!A:D,4,0)</f>
        <v>#N/A</v>
      </c>
      <c r="D238" s="13"/>
      <c r="E238" s="59"/>
      <c r="F238" s="15"/>
      <c r="G238" s="16"/>
      <c r="H238" s="17"/>
      <c r="I238" s="16">
        <f t="shared" si="10"/>
        <v>0</v>
      </c>
      <c r="J238" s="18" t="str">
        <f t="shared" si="2"/>
        <v>#DIV/0!</v>
      </c>
      <c r="K238" s="17"/>
      <c r="L238" s="19" t="str">
        <f t="shared" si="3"/>
        <v>#DIV/0!</v>
      </c>
      <c r="M238" s="20" t="str">
        <f t="shared" si="4"/>
        <v>#DIV/0!</v>
      </c>
      <c r="N238" s="21" t="str">
        <f t="shared" si="11"/>
        <v>#DIV/0!</v>
      </c>
      <c r="O238" s="21" t="str">
        <f t="shared" si="5"/>
        <v>#DIV/0!</v>
      </c>
      <c r="P238" s="22" t="str">
        <f t="shared" si="6"/>
        <v>#DIV/0!</v>
      </c>
    </row>
    <row r="239">
      <c r="B239" s="11"/>
      <c r="C239" s="12" t="str">
        <f>VLOOKUP(B:B,'Курс валют'!A:D,4,0)</f>
        <v>#N/A</v>
      </c>
      <c r="D239" s="13"/>
      <c r="E239" s="59"/>
      <c r="F239" s="15"/>
      <c r="G239" s="16"/>
      <c r="H239" s="17"/>
      <c r="I239" s="16">
        <f t="shared" si="10"/>
        <v>0</v>
      </c>
      <c r="J239" s="18" t="str">
        <f t="shared" si="2"/>
        <v>#DIV/0!</v>
      </c>
      <c r="K239" s="17"/>
      <c r="L239" s="19" t="str">
        <f t="shared" si="3"/>
        <v>#DIV/0!</v>
      </c>
      <c r="M239" s="20" t="str">
        <f t="shared" si="4"/>
        <v>#DIV/0!</v>
      </c>
      <c r="N239" s="21" t="str">
        <f t="shared" si="11"/>
        <v>#DIV/0!</v>
      </c>
      <c r="O239" s="21" t="str">
        <f t="shared" si="5"/>
        <v>#DIV/0!</v>
      </c>
      <c r="P239" s="22" t="str">
        <f t="shared" si="6"/>
        <v>#DIV/0!</v>
      </c>
    </row>
    <row r="240">
      <c r="B240" s="11"/>
      <c r="C240" s="12" t="str">
        <f>VLOOKUP(B:B,'Курс валют'!A:D,4,0)</f>
        <v>#N/A</v>
      </c>
      <c r="D240" s="13"/>
      <c r="E240" s="59"/>
      <c r="F240" s="15"/>
      <c r="G240" s="16"/>
      <c r="H240" s="17"/>
      <c r="I240" s="16">
        <f t="shared" si="10"/>
        <v>0</v>
      </c>
      <c r="J240" s="18" t="str">
        <f t="shared" si="2"/>
        <v>#DIV/0!</v>
      </c>
      <c r="K240" s="17"/>
      <c r="L240" s="19" t="str">
        <f t="shared" si="3"/>
        <v>#DIV/0!</v>
      </c>
      <c r="M240" s="20" t="str">
        <f t="shared" si="4"/>
        <v>#DIV/0!</v>
      </c>
      <c r="N240" s="21" t="str">
        <f t="shared" si="11"/>
        <v>#DIV/0!</v>
      </c>
      <c r="O240" s="21" t="str">
        <f t="shared" si="5"/>
        <v>#DIV/0!</v>
      </c>
      <c r="P240" s="22" t="str">
        <f t="shared" si="6"/>
        <v>#DIV/0!</v>
      </c>
    </row>
    <row r="241">
      <c r="B241" s="11"/>
      <c r="C241" s="12" t="str">
        <f>VLOOKUP(B:B,'Курс валют'!A:D,4,0)</f>
        <v>#N/A</v>
      </c>
      <c r="D241" s="13"/>
      <c r="E241" s="59"/>
      <c r="F241" s="15"/>
      <c r="G241" s="16"/>
      <c r="H241" s="17"/>
      <c r="I241" s="16">
        <f t="shared" si="10"/>
        <v>0</v>
      </c>
      <c r="J241" s="18" t="str">
        <f t="shared" si="2"/>
        <v>#DIV/0!</v>
      </c>
      <c r="K241" s="17"/>
      <c r="L241" s="19" t="str">
        <f t="shared" si="3"/>
        <v>#DIV/0!</v>
      </c>
      <c r="M241" s="20" t="str">
        <f t="shared" si="4"/>
        <v>#DIV/0!</v>
      </c>
      <c r="N241" s="21" t="str">
        <f t="shared" si="11"/>
        <v>#DIV/0!</v>
      </c>
      <c r="O241" s="21" t="str">
        <f t="shared" si="5"/>
        <v>#DIV/0!</v>
      </c>
      <c r="P241" s="22" t="str">
        <f t="shared" si="6"/>
        <v>#DIV/0!</v>
      </c>
    </row>
    <row r="242">
      <c r="B242" s="11"/>
      <c r="C242" s="12" t="str">
        <f>VLOOKUP(B:B,'Курс валют'!A:D,4,0)</f>
        <v>#N/A</v>
      </c>
      <c r="D242" s="13"/>
      <c r="E242" s="59"/>
      <c r="F242" s="15"/>
      <c r="G242" s="16"/>
      <c r="H242" s="17"/>
      <c r="I242" s="16">
        <f t="shared" si="10"/>
        <v>0</v>
      </c>
      <c r="J242" s="18" t="str">
        <f t="shared" si="2"/>
        <v>#DIV/0!</v>
      </c>
      <c r="K242" s="17"/>
      <c r="L242" s="19" t="str">
        <f t="shared" si="3"/>
        <v>#DIV/0!</v>
      </c>
      <c r="M242" s="20" t="str">
        <f t="shared" si="4"/>
        <v>#DIV/0!</v>
      </c>
      <c r="N242" s="21" t="str">
        <f t="shared" si="11"/>
        <v>#DIV/0!</v>
      </c>
      <c r="O242" s="21" t="str">
        <f t="shared" si="5"/>
        <v>#DIV/0!</v>
      </c>
      <c r="P242" s="22" t="str">
        <f t="shared" si="6"/>
        <v>#DIV/0!</v>
      </c>
    </row>
    <row r="243">
      <c r="B243" s="11"/>
      <c r="C243" s="12" t="str">
        <f>VLOOKUP(B:B,'Курс валют'!A:D,4,0)</f>
        <v>#N/A</v>
      </c>
      <c r="D243" s="13"/>
      <c r="E243" s="59"/>
      <c r="F243" s="15"/>
      <c r="G243" s="16"/>
      <c r="H243" s="17"/>
      <c r="I243" s="16">
        <f t="shared" si="10"/>
        <v>0</v>
      </c>
      <c r="J243" s="18" t="str">
        <f t="shared" si="2"/>
        <v>#DIV/0!</v>
      </c>
      <c r="K243" s="17"/>
      <c r="L243" s="19" t="str">
        <f t="shared" si="3"/>
        <v>#DIV/0!</v>
      </c>
      <c r="M243" s="20" t="str">
        <f t="shared" si="4"/>
        <v>#DIV/0!</v>
      </c>
      <c r="N243" s="21" t="str">
        <f t="shared" si="11"/>
        <v>#DIV/0!</v>
      </c>
      <c r="O243" s="21" t="str">
        <f t="shared" si="5"/>
        <v>#DIV/0!</v>
      </c>
      <c r="P243" s="22" t="str">
        <f t="shared" si="6"/>
        <v>#DIV/0!</v>
      </c>
    </row>
    <row r="244">
      <c r="B244" s="11"/>
      <c r="C244" s="12" t="str">
        <f>VLOOKUP(B:B,'Курс валют'!A:D,4,0)</f>
        <v>#N/A</v>
      </c>
      <c r="D244" s="13"/>
      <c r="E244" s="59"/>
      <c r="F244" s="15"/>
      <c r="G244" s="16"/>
      <c r="H244" s="17"/>
      <c r="I244" s="16">
        <f t="shared" si="10"/>
        <v>0</v>
      </c>
      <c r="J244" s="18" t="str">
        <f t="shared" si="2"/>
        <v>#DIV/0!</v>
      </c>
      <c r="K244" s="17"/>
      <c r="L244" s="19" t="str">
        <f t="shared" si="3"/>
        <v>#DIV/0!</v>
      </c>
      <c r="M244" s="20" t="str">
        <f t="shared" si="4"/>
        <v>#DIV/0!</v>
      </c>
      <c r="N244" s="21" t="str">
        <f t="shared" si="11"/>
        <v>#DIV/0!</v>
      </c>
      <c r="O244" s="21" t="str">
        <f t="shared" si="5"/>
        <v>#DIV/0!</v>
      </c>
      <c r="P244" s="22" t="str">
        <f t="shared" si="6"/>
        <v>#DIV/0!</v>
      </c>
    </row>
    <row r="245">
      <c r="B245" s="11"/>
      <c r="C245" s="12" t="str">
        <f>VLOOKUP(B:B,'Курс валют'!A:D,4,0)</f>
        <v>#N/A</v>
      </c>
      <c r="D245" s="13"/>
      <c r="E245" s="59"/>
      <c r="F245" s="15"/>
      <c r="G245" s="16"/>
      <c r="H245" s="17"/>
      <c r="I245" s="16">
        <f t="shared" si="10"/>
        <v>0</v>
      </c>
      <c r="J245" s="18" t="str">
        <f t="shared" si="2"/>
        <v>#DIV/0!</v>
      </c>
      <c r="K245" s="17"/>
      <c r="L245" s="19" t="str">
        <f t="shared" si="3"/>
        <v>#DIV/0!</v>
      </c>
      <c r="M245" s="20" t="str">
        <f t="shared" si="4"/>
        <v>#DIV/0!</v>
      </c>
      <c r="N245" s="21" t="str">
        <f t="shared" si="11"/>
        <v>#DIV/0!</v>
      </c>
      <c r="O245" s="21" t="str">
        <f t="shared" si="5"/>
        <v>#DIV/0!</v>
      </c>
      <c r="P245" s="22" t="str">
        <f t="shared" si="6"/>
        <v>#DIV/0!</v>
      </c>
    </row>
    <row r="246">
      <c r="B246" s="11"/>
      <c r="C246" s="12" t="str">
        <f>VLOOKUP(B:B,'Курс валют'!A:D,4,0)</f>
        <v>#N/A</v>
      </c>
      <c r="D246" s="13"/>
      <c r="E246" s="59"/>
      <c r="F246" s="15"/>
      <c r="G246" s="16"/>
      <c r="H246" s="17"/>
      <c r="I246" s="16">
        <f t="shared" si="10"/>
        <v>0</v>
      </c>
      <c r="J246" s="18" t="str">
        <f t="shared" si="2"/>
        <v>#DIV/0!</v>
      </c>
      <c r="K246" s="17"/>
      <c r="L246" s="19" t="str">
        <f t="shared" si="3"/>
        <v>#DIV/0!</v>
      </c>
      <c r="M246" s="20" t="str">
        <f t="shared" si="4"/>
        <v>#DIV/0!</v>
      </c>
      <c r="N246" s="21" t="str">
        <f t="shared" si="11"/>
        <v>#DIV/0!</v>
      </c>
      <c r="O246" s="21" t="str">
        <f t="shared" si="5"/>
        <v>#DIV/0!</v>
      </c>
      <c r="P246" s="22" t="str">
        <f t="shared" si="6"/>
        <v>#DIV/0!</v>
      </c>
    </row>
    <row r="247">
      <c r="B247" s="11"/>
      <c r="C247" s="12" t="str">
        <f>VLOOKUP(B:B,'Курс валют'!A:D,4,0)</f>
        <v>#N/A</v>
      </c>
      <c r="D247" s="13"/>
      <c r="E247" s="59"/>
      <c r="F247" s="15"/>
      <c r="G247" s="16"/>
      <c r="H247" s="17"/>
      <c r="I247" s="16">
        <f t="shared" si="10"/>
        <v>0</v>
      </c>
      <c r="J247" s="18" t="str">
        <f t="shared" si="2"/>
        <v>#DIV/0!</v>
      </c>
      <c r="K247" s="17"/>
      <c r="L247" s="19" t="str">
        <f t="shared" si="3"/>
        <v>#DIV/0!</v>
      </c>
      <c r="M247" s="20" t="str">
        <f t="shared" si="4"/>
        <v>#DIV/0!</v>
      </c>
      <c r="N247" s="21" t="str">
        <f t="shared" si="11"/>
        <v>#DIV/0!</v>
      </c>
      <c r="O247" s="21" t="str">
        <f t="shared" si="5"/>
        <v>#DIV/0!</v>
      </c>
      <c r="P247" s="22" t="str">
        <f t="shared" si="6"/>
        <v>#DIV/0!</v>
      </c>
    </row>
    <row r="248">
      <c r="B248" s="11"/>
      <c r="C248" s="12" t="str">
        <f>VLOOKUP(B:B,'Курс валют'!A:D,4,0)</f>
        <v>#N/A</v>
      </c>
      <c r="D248" s="13"/>
      <c r="E248" s="59"/>
      <c r="F248" s="15"/>
      <c r="G248" s="16"/>
      <c r="H248" s="17"/>
      <c r="I248" s="16">
        <f t="shared" si="10"/>
        <v>0</v>
      </c>
      <c r="J248" s="18" t="str">
        <f t="shared" si="2"/>
        <v>#DIV/0!</v>
      </c>
      <c r="K248" s="17"/>
      <c r="L248" s="19" t="str">
        <f t="shared" si="3"/>
        <v>#DIV/0!</v>
      </c>
      <c r="M248" s="20" t="str">
        <f t="shared" si="4"/>
        <v>#DIV/0!</v>
      </c>
      <c r="N248" s="21" t="str">
        <f t="shared" si="11"/>
        <v>#DIV/0!</v>
      </c>
      <c r="O248" s="21" t="str">
        <f t="shared" si="5"/>
        <v>#DIV/0!</v>
      </c>
      <c r="P248" s="22" t="str">
        <f t="shared" si="6"/>
        <v>#DIV/0!</v>
      </c>
    </row>
    <row r="249">
      <c r="B249" s="11"/>
      <c r="C249" s="12" t="str">
        <f>VLOOKUP(B:B,'Курс валют'!A:D,4,0)</f>
        <v>#N/A</v>
      </c>
      <c r="D249" s="13"/>
      <c r="E249" s="59"/>
      <c r="F249" s="15"/>
      <c r="G249" s="16"/>
      <c r="H249" s="17"/>
      <c r="I249" s="16">
        <f t="shared" si="10"/>
        <v>0</v>
      </c>
      <c r="J249" s="18" t="str">
        <f t="shared" si="2"/>
        <v>#DIV/0!</v>
      </c>
      <c r="K249" s="17"/>
      <c r="L249" s="19" t="str">
        <f t="shared" si="3"/>
        <v>#DIV/0!</v>
      </c>
      <c r="M249" s="20" t="str">
        <f t="shared" si="4"/>
        <v>#DIV/0!</v>
      </c>
      <c r="N249" s="21" t="str">
        <f t="shared" si="11"/>
        <v>#DIV/0!</v>
      </c>
      <c r="O249" s="21" t="str">
        <f t="shared" si="5"/>
        <v>#DIV/0!</v>
      </c>
      <c r="P249" s="22" t="str">
        <f t="shared" si="6"/>
        <v>#DIV/0!</v>
      </c>
    </row>
    <row r="250">
      <c r="B250" s="11"/>
      <c r="C250" s="12" t="str">
        <f>VLOOKUP(B:B,'Курс валют'!A:D,4,0)</f>
        <v>#N/A</v>
      </c>
      <c r="D250" s="13"/>
      <c r="E250" s="59"/>
      <c r="F250" s="15"/>
      <c r="G250" s="16"/>
      <c r="H250" s="17"/>
      <c r="I250" s="16">
        <f t="shared" si="10"/>
        <v>0</v>
      </c>
      <c r="J250" s="18" t="str">
        <f t="shared" si="2"/>
        <v>#DIV/0!</v>
      </c>
      <c r="K250" s="17"/>
      <c r="L250" s="19" t="str">
        <f t="shared" si="3"/>
        <v>#DIV/0!</v>
      </c>
      <c r="M250" s="20" t="str">
        <f t="shared" si="4"/>
        <v>#DIV/0!</v>
      </c>
      <c r="N250" s="21" t="str">
        <f t="shared" si="11"/>
        <v>#DIV/0!</v>
      </c>
      <c r="O250" s="21" t="str">
        <f t="shared" si="5"/>
        <v>#DIV/0!</v>
      </c>
      <c r="P250" s="22" t="str">
        <f t="shared" si="6"/>
        <v>#DIV/0!</v>
      </c>
    </row>
    <row r="251">
      <c r="B251" s="11"/>
      <c r="C251" s="12" t="str">
        <f>VLOOKUP(B:B,'Курс валют'!A:D,4,0)</f>
        <v>#N/A</v>
      </c>
      <c r="D251" s="13"/>
      <c r="E251" s="59"/>
      <c r="F251" s="15"/>
      <c r="G251" s="16"/>
      <c r="H251" s="17"/>
      <c r="I251" s="16">
        <f t="shared" si="10"/>
        <v>0</v>
      </c>
      <c r="J251" s="18" t="str">
        <f t="shared" si="2"/>
        <v>#DIV/0!</v>
      </c>
      <c r="K251" s="17"/>
      <c r="L251" s="19" t="str">
        <f t="shared" si="3"/>
        <v>#DIV/0!</v>
      </c>
      <c r="M251" s="20" t="str">
        <f t="shared" si="4"/>
        <v>#DIV/0!</v>
      </c>
      <c r="N251" s="21" t="str">
        <f t="shared" si="11"/>
        <v>#DIV/0!</v>
      </c>
      <c r="O251" s="21" t="str">
        <f t="shared" si="5"/>
        <v>#DIV/0!</v>
      </c>
      <c r="P251" s="22" t="str">
        <f t="shared" si="6"/>
        <v>#DIV/0!</v>
      </c>
    </row>
    <row r="252">
      <c r="B252" s="11"/>
      <c r="C252" s="12" t="str">
        <f>VLOOKUP(B:B,'Курс валют'!A:D,4,0)</f>
        <v>#N/A</v>
      </c>
      <c r="D252" s="13"/>
      <c r="E252" s="59"/>
      <c r="F252" s="15"/>
      <c r="G252" s="16"/>
      <c r="H252" s="17"/>
      <c r="I252" s="16">
        <f t="shared" si="10"/>
        <v>0</v>
      </c>
      <c r="J252" s="18" t="str">
        <f t="shared" si="2"/>
        <v>#DIV/0!</v>
      </c>
      <c r="K252" s="17"/>
      <c r="L252" s="19" t="str">
        <f t="shared" si="3"/>
        <v>#DIV/0!</v>
      </c>
      <c r="M252" s="20" t="str">
        <f t="shared" si="4"/>
        <v>#DIV/0!</v>
      </c>
      <c r="N252" s="21" t="str">
        <f t="shared" si="11"/>
        <v>#DIV/0!</v>
      </c>
      <c r="O252" s="21" t="str">
        <f t="shared" si="5"/>
        <v>#DIV/0!</v>
      </c>
      <c r="P252" s="22" t="str">
        <f t="shared" si="6"/>
        <v>#DIV/0!</v>
      </c>
    </row>
    <row r="253">
      <c r="B253" s="11"/>
      <c r="C253" s="12" t="str">
        <f>VLOOKUP(B:B,'Курс валют'!A:D,4,0)</f>
        <v>#N/A</v>
      </c>
      <c r="D253" s="13"/>
      <c r="E253" s="59"/>
      <c r="F253" s="15"/>
      <c r="G253" s="16"/>
      <c r="H253" s="17"/>
      <c r="I253" s="16">
        <f t="shared" si="10"/>
        <v>0</v>
      </c>
      <c r="J253" s="18" t="str">
        <f t="shared" si="2"/>
        <v>#DIV/0!</v>
      </c>
      <c r="K253" s="17"/>
      <c r="L253" s="19" t="str">
        <f t="shared" si="3"/>
        <v>#DIV/0!</v>
      </c>
      <c r="M253" s="20" t="str">
        <f t="shared" si="4"/>
        <v>#DIV/0!</v>
      </c>
      <c r="N253" s="21" t="str">
        <f t="shared" si="11"/>
        <v>#DIV/0!</v>
      </c>
      <c r="O253" s="21" t="str">
        <f t="shared" si="5"/>
        <v>#DIV/0!</v>
      </c>
      <c r="P253" s="22" t="str">
        <f t="shared" si="6"/>
        <v>#DIV/0!</v>
      </c>
    </row>
    <row r="254">
      <c r="B254" s="11"/>
      <c r="C254" s="12" t="str">
        <f>VLOOKUP(B:B,'Курс валют'!A:D,4,0)</f>
        <v>#N/A</v>
      </c>
      <c r="D254" s="13"/>
      <c r="E254" s="59"/>
      <c r="F254" s="15"/>
      <c r="G254" s="16"/>
      <c r="H254" s="17"/>
      <c r="I254" s="16">
        <f t="shared" si="10"/>
        <v>0</v>
      </c>
      <c r="J254" s="18" t="str">
        <f t="shared" si="2"/>
        <v>#DIV/0!</v>
      </c>
      <c r="K254" s="17"/>
      <c r="L254" s="19" t="str">
        <f t="shared" si="3"/>
        <v>#DIV/0!</v>
      </c>
      <c r="M254" s="20" t="str">
        <f t="shared" si="4"/>
        <v>#DIV/0!</v>
      </c>
      <c r="N254" s="21" t="str">
        <f t="shared" si="11"/>
        <v>#DIV/0!</v>
      </c>
      <c r="O254" s="21" t="str">
        <f t="shared" si="5"/>
        <v>#DIV/0!</v>
      </c>
      <c r="P254" s="22" t="str">
        <f t="shared" si="6"/>
        <v>#DIV/0!</v>
      </c>
    </row>
    <row r="255">
      <c r="B255" s="11"/>
      <c r="C255" s="12" t="str">
        <f>VLOOKUP(B:B,'Курс валют'!A:D,4,0)</f>
        <v>#N/A</v>
      </c>
      <c r="D255" s="13"/>
      <c r="E255" s="59"/>
      <c r="F255" s="15"/>
      <c r="G255" s="16"/>
      <c r="H255" s="17"/>
      <c r="I255" s="16">
        <f t="shared" si="10"/>
        <v>0</v>
      </c>
      <c r="J255" s="18" t="str">
        <f t="shared" si="2"/>
        <v>#DIV/0!</v>
      </c>
      <c r="K255" s="17"/>
      <c r="L255" s="19" t="str">
        <f t="shared" si="3"/>
        <v>#DIV/0!</v>
      </c>
      <c r="M255" s="20" t="str">
        <f t="shared" si="4"/>
        <v>#DIV/0!</v>
      </c>
      <c r="N255" s="21" t="str">
        <f t="shared" si="11"/>
        <v>#DIV/0!</v>
      </c>
      <c r="O255" s="21" t="str">
        <f t="shared" si="5"/>
        <v>#DIV/0!</v>
      </c>
      <c r="P255" s="22" t="str">
        <f t="shared" si="6"/>
        <v>#DIV/0!</v>
      </c>
    </row>
    <row r="256">
      <c r="B256" s="11"/>
      <c r="C256" s="12" t="str">
        <f>VLOOKUP(B:B,'Курс валют'!A:D,4,0)</f>
        <v>#N/A</v>
      </c>
      <c r="D256" s="13"/>
      <c r="E256" s="59"/>
      <c r="F256" s="15"/>
      <c r="G256" s="16"/>
      <c r="H256" s="17"/>
      <c r="I256" s="16">
        <f t="shared" si="10"/>
        <v>0</v>
      </c>
      <c r="J256" s="18" t="str">
        <f t="shared" si="2"/>
        <v>#DIV/0!</v>
      </c>
      <c r="K256" s="17"/>
      <c r="L256" s="19" t="str">
        <f t="shared" si="3"/>
        <v>#DIV/0!</v>
      </c>
      <c r="M256" s="20" t="str">
        <f t="shared" si="4"/>
        <v>#DIV/0!</v>
      </c>
      <c r="N256" s="21" t="str">
        <f t="shared" si="11"/>
        <v>#DIV/0!</v>
      </c>
      <c r="O256" s="21" t="str">
        <f t="shared" si="5"/>
        <v>#DIV/0!</v>
      </c>
      <c r="P256" s="22" t="str">
        <f t="shared" si="6"/>
        <v>#DIV/0!</v>
      </c>
    </row>
    <row r="257">
      <c r="B257" s="11"/>
      <c r="C257" s="12" t="str">
        <f>VLOOKUP(B:B,'Курс валют'!A:D,4,0)</f>
        <v>#N/A</v>
      </c>
      <c r="D257" s="13"/>
      <c r="E257" s="59"/>
      <c r="F257" s="15"/>
      <c r="G257" s="16"/>
      <c r="H257" s="17"/>
      <c r="I257" s="16">
        <f t="shared" si="10"/>
        <v>0</v>
      </c>
      <c r="J257" s="18" t="str">
        <f t="shared" si="2"/>
        <v>#DIV/0!</v>
      </c>
      <c r="K257" s="17"/>
      <c r="L257" s="19" t="str">
        <f t="shared" si="3"/>
        <v>#DIV/0!</v>
      </c>
      <c r="M257" s="20" t="str">
        <f t="shared" si="4"/>
        <v>#DIV/0!</v>
      </c>
      <c r="N257" s="21" t="str">
        <f t="shared" si="11"/>
        <v>#DIV/0!</v>
      </c>
      <c r="O257" s="21" t="str">
        <f t="shared" si="5"/>
        <v>#DIV/0!</v>
      </c>
      <c r="P257" s="22" t="str">
        <f t="shared" si="6"/>
        <v>#DIV/0!</v>
      </c>
    </row>
    <row r="258">
      <c r="B258" s="11"/>
      <c r="C258" s="12" t="str">
        <f>VLOOKUP(B:B,'Курс валют'!A:D,4,0)</f>
        <v>#N/A</v>
      </c>
      <c r="D258" s="13"/>
      <c r="E258" s="59"/>
      <c r="F258" s="15"/>
      <c r="G258" s="16"/>
      <c r="H258" s="17"/>
      <c r="I258" s="16">
        <f t="shared" si="10"/>
        <v>0</v>
      </c>
      <c r="J258" s="18" t="str">
        <f t="shared" si="2"/>
        <v>#DIV/0!</v>
      </c>
      <c r="K258" s="17"/>
      <c r="L258" s="19" t="str">
        <f t="shared" si="3"/>
        <v>#DIV/0!</v>
      </c>
      <c r="M258" s="20" t="str">
        <f t="shared" si="4"/>
        <v>#DIV/0!</v>
      </c>
      <c r="N258" s="21" t="str">
        <f t="shared" si="11"/>
        <v>#DIV/0!</v>
      </c>
      <c r="O258" s="21" t="str">
        <f t="shared" si="5"/>
        <v>#DIV/0!</v>
      </c>
      <c r="P258" s="22" t="str">
        <f t="shared" si="6"/>
        <v>#DIV/0!</v>
      </c>
    </row>
    <row r="259">
      <c r="B259" s="11"/>
      <c r="C259" s="12" t="str">
        <f>VLOOKUP(B:B,'Курс валют'!A:D,4,0)</f>
        <v>#N/A</v>
      </c>
      <c r="D259" s="13"/>
      <c r="E259" s="59"/>
      <c r="F259" s="15"/>
      <c r="G259" s="16"/>
      <c r="H259" s="17"/>
      <c r="I259" s="16">
        <f t="shared" si="10"/>
        <v>0</v>
      </c>
      <c r="J259" s="18" t="str">
        <f t="shared" si="2"/>
        <v>#DIV/0!</v>
      </c>
      <c r="K259" s="17"/>
      <c r="L259" s="19" t="str">
        <f t="shared" si="3"/>
        <v>#DIV/0!</v>
      </c>
      <c r="M259" s="20" t="str">
        <f t="shared" si="4"/>
        <v>#DIV/0!</v>
      </c>
      <c r="N259" s="21" t="str">
        <f t="shared" si="11"/>
        <v>#DIV/0!</v>
      </c>
      <c r="O259" s="21" t="str">
        <f t="shared" si="5"/>
        <v>#DIV/0!</v>
      </c>
      <c r="P259" s="22" t="str">
        <f t="shared" si="6"/>
        <v>#DIV/0!</v>
      </c>
    </row>
    <row r="260">
      <c r="B260" s="11"/>
      <c r="C260" s="12" t="str">
        <f>VLOOKUP(B:B,'Курс валют'!A:D,4,0)</f>
        <v>#N/A</v>
      </c>
      <c r="D260" s="13"/>
      <c r="E260" s="59"/>
      <c r="F260" s="15"/>
      <c r="G260" s="16"/>
      <c r="H260" s="17"/>
      <c r="I260" s="16">
        <f t="shared" si="10"/>
        <v>0</v>
      </c>
      <c r="J260" s="18" t="str">
        <f t="shared" si="2"/>
        <v>#DIV/0!</v>
      </c>
      <c r="K260" s="17"/>
      <c r="L260" s="19" t="str">
        <f t="shared" si="3"/>
        <v>#DIV/0!</v>
      </c>
      <c r="M260" s="20" t="str">
        <f t="shared" si="4"/>
        <v>#DIV/0!</v>
      </c>
      <c r="N260" s="21" t="str">
        <f t="shared" si="11"/>
        <v>#DIV/0!</v>
      </c>
      <c r="O260" s="21" t="str">
        <f t="shared" si="5"/>
        <v>#DIV/0!</v>
      </c>
      <c r="P260" s="22" t="str">
        <f t="shared" si="6"/>
        <v>#DIV/0!</v>
      </c>
    </row>
    <row r="261">
      <c r="B261" s="11"/>
      <c r="C261" s="12" t="str">
        <f>VLOOKUP(B:B,'Курс валют'!A:D,4,0)</f>
        <v>#N/A</v>
      </c>
      <c r="D261" s="13"/>
      <c r="E261" s="59"/>
      <c r="F261" s="15"/>
      <c r="G261" s="16"/>
      <c r="H261" s="17"/>
      <c r="I261" s="16">
        <f t="shared" si="10"/>
        <v>0</v>
      </c>
      <c r="J261" s="18" t="str">
        <f t="shared" si="2"/>
        <v>#DIV/0!</v>
      </c>
      <c r="K261" s="17"/>
      <c r="L261" s="19" t="str">
        <f t="shared" si="3"/>
        <v>#DIV/0!</v>
      </c>
      <c r="M261" s="20" t="str">
        <f t="shared" si="4"/>
        <v>#DIV/0!</v>
      </c>
      <c r="N261" s="21" t="str">
        <f t="shared" si="11"/>
        <v>#DIV/0!</v>
      </c>
      <c r="O261" s="21" t="str">
        <f t="shared" si="5"/>
        <v>#DIV/0!</v>
      </c>
      <c r="P261" s="22" t="str">
        <f t="shared" si="6"/>
        <v>#DIV/0!</v>
      </c>
    </row>
    <row r="262">
      <c r="B262" s="11"/>
      <c r="C262" s="12" t="str">
        <f>VLOOKUP(B:B,'Курс валют'!A:D,4,0)</f>
        <v>#N/A</v>
      </c>
      <c r="D262" s="13"/>
      <c r="E262" s="59"/>
      <c r="F262" s="15"/>
      <c r="G262" s="16"/>
      <c r="H262" s="17"/>
      <c r="I262" s="16">
        <f t="shared" si="10"/>
        <v>0</v>
      </c>
      <c r="J262" s="18" t="str">
        <f t="shared" si="2"/>
        <v>#DIV/0!</v>
      </c>
      <c r="K262" s="17"/>
      <c r="L262" s="19" t="str">
        <f t="shared" si="3"/>
        <v>#DIV/0!</v>
      </c>
      <c r="M262" s="20" t="str">
        <f t="shared" si="4"/>
        <v>#DIV/0!</v>
      </c>
      <c r="N262" s="21" t="str">
        <f t="shared" si="11"/>
        <v>#DIV/0!</v>
      </c>
      <c r="O262" s="21" t="str">
        <f t="shared" si="5"/>
        <v>#DIV/0!</v>
      </c>
      <c r="P262" s="22" t="str">
        <f t="shared" si="6"/>
        <v>#DIV/0!</v>
      </c>
    </row>
    <row r="263">
      <c r="B263" s="11"/>
      <c r="C263" s="12" t="str">
        <f>VLOOKUP(B:B,'Курс валют'!A:D,4,0)</f>
        <v>#N/A</v>
      </c>
      <c r="D263" s="13"/>
      <c r="E263" s="59"/>
      <c r="F263" s="15"/>
      <c r="G263" s="16"/>
      <c r="H263" s="17"/>
      <c r="I263" s="16">
        <f t="shared" si="10"/>
        <v>0</v>
      </c>
      <c r="J263" s="18" t="str">
        <f t="shared" si="2"/>
        <v>#DIV/0!</v>
      </c>
      <c r="K263" s="17"/>
      <c r="L263" s="19" t="str">
        <f t="shared" si="3"/>
        <v>#DIV/0!</v>
      </c>
      <c r="M263" s="20" t="str">
        <f t="shared" si="4"/>
        <v>#DIV/0!</v>
      </c>
      <c r="N263" s="21" t="str">
        <f t="shared" ref="N263:N271" si="12">(F263*K263-H263*30.4)/F263</f>
        <v>#DIV/0!</v>
      </c>
      <c r="O263" s="21" t="str">
        <f t="shared" si="5"/>
        <v>#DIV/0!</v>
      </c>
      <c r="P263" s="22" t="str">
        <f t="shared" si="6"/>
        <v>#DIV/0!</v>
      </c>
    </row>
    <row r="264">
      <c r="B264" s="11"/>
      <c r="C264" s="12" t="str">
        <f>VLOOKUP(B:B,'Курс валют'!A:D,4,0)</f>
        <v>#N/A</v>
      </c>
      <c r="D264" s="13"/>
      <c r="E264" s="59"/>
      <c r="F264" s="15"/>
      <c r="G264" s="16"/>
      <c r="H264" s="17"/>
      <c r="I264" s="16">
        <f t="shared" si="10"/>
        <v>0</v>
      </c>
      <c r="J264" s="18" t="str">
        <f t="shared" si="2"/>
        <v>#DIV/0!</v>
      </c>
      <c r="K264" s="17"/>
      <c r="L264" s="19" t="str">
        <f t="shared" si="3"/>
        <v>#DIV/0!</v>
      </c>
      <c r="M264" s="20" t="str">
        <f t="shared" si="4"/>
        <v>#DIV/0!</v>
      </c>
      <c r="N264" s="21" t="str">
        <f t="shared" si="12"/>
        <v>#DIV/0!</v>
      </c>
      <c r="O264" s="21" t="str">
        <f t="shared" si="5"/>
        <v>#DIV/0!</v>
      </c>
      <c r="P264" s="22" t="str">
        <f t="shared" si="6"/>
        <v>#DIV/0!</v>
      </c>
    </row>
    <row r="265">
      <c r="B265" s="11"/>
      <c r="C265" s="12" t="str">
        <f>VLOOKUP(B:B,'Курс валют'!A:D,4,0)</f>
        <v>#N/A</v>
      </c>
      <c r="D265" s="13"/>
      <c r="E265" s="59"/>
      <c r="F265" s="15"/>
      <c r="G265" s="16"/>
      <c r="H265" s="17"/>
      <c r="I265" s="16">
        <f t="shared" si="10"/>
        <v>0</v>
      </c>
      <c r="J265" s="18" t="str">
        <f t="shared" si="2"/>
        <v>#DIV/0!</v>
      </c>
      <c r="K265" s="17"/>
      <c r="L265" s="19" t="str">
        <f t="shared" si="3"/>
        <v>#DIV/0!</v>
      </c>
      <c r="M265" s="20" t="str">
        <f t="shared" si="4"/>
        <v>#DIV/0!</v>
      </c>
      <c r="N265" s="21" t="str">
        <f t="shared" si="12"/>
        <v>#DIV/0!</v>
      </c>
      <c r="O265" s="21" t="str">
        <f t="shared" si="5"/>
        <v>#DIV/0!</v>
      </c>
      <c r="P265" s="22" t="str">
        <f t="shared" si="6"/>
        <v>#DIV/0!</v>
      </c>
    </row>
    <row r="266">
      <c r="B266" s="11"/>
      <c r="C266" s="12" t="str">
        <f>VLOOKUP(B:B,'Курс валют'!A:D,4,0)</f>
        <v>#N/A</v>
      </c>
      <c r="D266" s="13"/>
      <c r="E266" s="59"/>
      <c r="F266" s="15"/>
      <c r="G266" s="16"/>
      <c r="H266" s="17"/>
      <c r="I266" s="16">
        <f t="shared" si="10"/>
        <v>0</v>
      </c>
      <c r="J266" s="18" t="str">
        <f t="shared" si="2"/>
        <v>#DIV/0!</v>
      </c>
      <c r="K266" s="17"/>
      <c r="L266" s="19" t="str">
        <f t="shared" si="3"/>
        <v>#DIV/0!</v>
      </c>
      <c r="M266" s="20" t="str">
        <f t="shared" si="4"/>
        <v>#DIV/0!</v>
      </c>
      <c r="N266" s="21" t="str">
        <f t="shared" si="12"/>
        <v>#DIV/0!</v>
      </c>
      <c r="O266" s="21" t="str">
        <f t="shared" si="5"/>
        <v>#DIV/0!</v>
      </c>
      <c r="P266" s="22" t="str">
        <f t="shared" si="6"/>
        <v>#DIV/0!</v>
      </c>
    </row>
    <row r="267">
      <c r="B267" s="11"/>
      <c r="C267" s="12" t="str">
        <f>VLOOKUP(B:B,'Курс валют'!A:D,4,0)</f>
        <v>#N/A</v>
      </c>
      <c r="D267" s="13"/>
      <c r="E267" s="59"/>
      <c r="F267" s="15"/>
      <c r="G267" s="16"/>
      <c r="H267" s="17"/>
      <c r="I267" s="16">
        <f t="shared" si="10"/>
        <v>0</v>
      </c>
      <c r="J267" s="18" t="str">
        <f t="shared" si="2"/>
        <v>#DIV/0!</v>
      </c>
      <c r="K267" s="17"/>
      <c r="L267" s="19" t="str">
        <f t="shared" si="3"/>
        <v>#DIV/0!</v>
      </c>
      <c r="M267" s="20" t="str">
        <f t="shared" si="4"/>
        <v>#DIV/0!</v>
      </c>
      <c r="N267" s="21" t="str">
        <f t="shared" si="12"/>
        <v>#DIV/0!</v>
      </c>
      <c r="O267" s="21" t="str">
        <f t="shared" si="5"/>
        <v>#DIV/0!</v>
      </c>
      <c r="P267" s="22" t="str">
        <f t="shared" si="6"/>
        <v>#DIV/0!</v>
      </c>
    </row>
    <row r="268">
      <c r="B268" s="11"/>
      <c r="C268" s="12" t="str">
        <f>VLOOKUP(B:B,'Курс валют'!A:D,4,0)</f>
        <v>#N/A</v>
      </c>
      <c r="D268" s="13"/>
      <c r="E268" s="59"/>
      <c r="F268" s="15"/>
      <c r="G268" s="16"/>
      <c r="H268" s="17"/>
      <c r="I268" s="16">
        <f t="shared" si="10"/>
        <v>0</v>
      </c>
      <c r="J268" s="18" t="str">
        <f t="shared" si="2"/>
        <v>#DIV/0!</v>
      </c>
      <c r="K268" s="17"/>
      <c r="L268" s="19" t="str">
        <f t="shared" si="3"/>
        <v>#DIV/0!</v>
      </c>
      <c r="M268" s="20" t="str">
        <f t="shared" si="4"/>
        <v>#DIV/0!</v>
      </c>
      <c r="N268" s="21" t="str">
        <f t="shared" si="12"/>
        <v>#DIV/0!</v>
      </c>
      <c r="O268" s="21" t="str">
        <f t="shared" si="5"/>
        <v>#DIV/0!</v>
      </c>
      <c r="P268" s="22" t="str">
        <f t="shared" si="6"/>
        <v>#DIV/0!</v>
      </c>
    </row>
    <row r="269">
      <c r="B269" s="11"/>
      <c r="C269" s="12" t="str">
        <f>VLOOKUP(B:B,'Курс валют'!A:D,4,0)</f>
        <v>#N/A</v>
      </c>
      <c r="D269" s="13"/>
      <c r="E269" s="59"/>
      <c r="F269" s="15"/>
      <c r="G269" s="16"/>
      <c r="H269" s="17"/>
      <c r="I269" s="16">
        <f t="shared" si="10"/>
        <v>0</v>
      </c>
      <c r="J269" s="18" t="str">
        <f t="shared" si="2"/>
        <v>#DIV/0!</v>
      </c>
      <c r="K269" s="17"/>
      <c r="L269" s="19" t="str">
        <f t="shared" si="3"/>
        <v>#DIV/0!</v>
      </c>
      <c r="M269" s="20" t="str">
        <f t="shared" si="4"/>
        <v>#DIV/0!</v>
      </c>
      <c r="N269" s="21" t="str">
        <f t="shared" si="12"/>
        <v>#DIV/0!</v>
      </c>
      <c r="O269" s="21" t="str">
        <f t="shared" si="5"/>
        <v>#DIV/0!</v>
      </c>
      <c r="P269" s="22" t="str">
        <f t="shared" si="6"/>
        <v>#DIV/0!</v>
      </c>
    </row>
    <row r="270">
      <c r="B270" s="11"/>
      <c r="C270" s="12" t="str">
        <f>VLOOKUP(B:B,'Курс валют'!A:D,4,0)</f>
        <v>#N/A</v>
      </c>
      <c r="D270" s="13"/>
      <c r="E270" s="59"/>
      <c r="F270" s="15"/>
      <c r="G270" s="16"/>
      <c r="H270" s="17"/>
      <c r="I270" s="16">
        <f t="shared" si="10"/>
        <v>0</v>
      </c>
      <c r="J270" s="18" t="str">
        <f t="shared" si="2"/>
        <v>#DIV/0!</v>
      </c>
      <c r="K270" s="17"/>
      <c r="L270" s="19" t="str">
        <f t="shared" si="3"/>
        <v>#DIV/0!</v>
      </c>
      <c r="M270" s="20" t="str">
        <f t="shared" si="4"/>
        <v>#DIV/0!</v>
      </c>
      <c r="N270" s="21" t="str">
        <f t="shared" si="12"/>
        <v>#DIV/0!</v>
      </c>
      <c r="O270" s="21" t="str">
        <f t="shared" si="5"/>
        <v>#DIV/0!</v>
      </c>
      <c r="P270" s="22" t="str">
        <f t="shared" si="6"/>
        <v>#DIV/0!</v>
      </c>
    </row>
    <row r="271">
      <c r="B271" s="11"/>
      <c r="C271" s="12" t="str">
        <f>VLOOKUP(B:B,'Курс валют'!A:D,4,0)</f>
        <v>#N/A</v>
      </c>
      <c r="D271" s="13"/>
      <c r="E271" s="59"/>
      <c r="F271" s="15"/>
      <c r="G271" s="16"/>
      <c r="H271" s="17"/>
      <c r="I271" s="16">
        <f t="shared" si="10"/>
        <v>0</v>
      </c>
      <c r="J271" s="18" t="str">
        <f t="shared" si="2"/>
        <v>#DIV/0!</v>
      </c>
      <c r="K271" s="17"/>
      <c r="L271" s="19" t="str">
        <f t="shared" si="3"/>
        <v>#DIV/0!</v>
      </c>
      <c r="M271" s="20" t="str">
        <f t="shared" si="4"/>
        <v>#DIV/0!</v>
      </c>
      <c r="N271" s="21" t="str">
        <f t="shared" si="12"/>
        <v>#DIV/0!</v>
      </c>
      <c r="O271" s="21" t="str">
        <f t="shared" si="5"/>
        <v>#DIV/0!</v>
      </c>
      <c r="P271" s="22" t="str">
        <f t="shared" si="6"/>
        <v>#DIV/0!</v>
      </c>
    </row>
    <row r="272">
      <c r="B272" s="11"/>
      <c r="C272" s="12" t="str">
        <f>VLOOKUP(B:B,'Курс валют'!A:D,4,0)</f>
        <v>#N/A</v>
      </c>
      <c r="D272" s="13"/>
      <c r="E272" s="59"/>
      <c r="F272" s="15"/>
      <c r="G272" s="16"/>
      <c r="H272" s="17"/>
      <c r="I272" s="16">
        <f t="shared" si="10"/>
        <v>0</v>
      </c>
      <c r="J272" s="18" t="str">
        <f t="shared" si="2"/>
        <v>#DIV/0!</v>
      </c>
      <c r="K272" s="17"/>
      <c r="L272" s="19" t="str">
        <f t="shared" si="3"/>
        <v>#DIV/0!</v>
      </c>
      <c r="M272" s="20" t="str">
        <f t="shared" si="4"/>
        <v>#DIV/0!</v>
      </c>
      <c r="N272" s="21" t="str">
        <f>(F272*K272-H272*29.4)/F272</f>
        <v>#DIV/0!</v>
      </c>
      <c r="O272" s="21" t="str">
        <f t="shared" si="5"/>
        <v>#DIV/0!</v>
      </c>
      <c r="P272" s="22" t="str">
        <f t="shared" si="6"/>
        <v>#DIV/0!</v>
      </c>
    </row>
    <row r="273">
      <c r="B273" s="11"/>
      <c r="C273" s="12" t="str">
        <f>VLOOKUP(B:B,'Курс валют'!A:D,4,0)</f>
        <v>#N/A</v>
      </c>
      <c r="D273" s="13"/>
      <c r="E273" s="59"/>
      <c r="F273" s="15"/>
      <c r="G273" s="16"/>
      <c r="H273" s="17"/>
      <c r="I273" s="16">
        <f t="shared" si="10"/>
        <v>0</v>
      </c>
      <c r="J273" s="18" t="str">
        <f t="shared" si="2"/>
        <v>#DIV/0!</v>
      </c>
      <c r="K273" s="17"/>
      <c r="L273" s="19" t="str">
        <f t="shared" si="3"/>
        <v>#DIV/0!</v>
      </c>
      <c r="M273" s="20" t="str">
        <f t="shared" si="4"/>
        <v>#DIV/0!</v>
      </c>
      <c r="N273" s="21" t="str">
        <f t="shared" ref="N273:N347" si="13">(F273*K273-H273*3.04)/F273</f>
        <v>#DIV/0!</v>
      </c>
      <c r="O273" s="21" t="str">
        <f t="shared" si="5"/>
        <v>#DIV/0!</v>
      </c>
      <c r="P273" s="22" t="str">
        <f t="shared" si="6"/>
        <v>#DIV/0!</v>
      </c>
    </row>
    <row r="274">
      <c r="B274" s="11"/>
      <c r="C274" s="12" t="str">
        <f>VLOOKUP(B:B,'Курс валют'!A:D,4,0)</f>
        <v>#N/A</v>
      </c>
      <c r="D274" s="13"/>
      <c r="E274" s="59"/>
      <c r="F274" s="15"/>
      <c r="G274" s="16"/>
      <c r="H274" s="17"/>
      <c r="I274" s="16">
        <f t="shared" si="10"/>
        <v>0</v>
      </c>
      <c r="J274" s="18" t="str">
        <f t="shared" si="2"/>
        <v>#DIV/0!</v>
      </c>
      <c r="K274" s="17"/>
      <c r="L274" s="19" t="str">
        <f t="shared" si="3"/>
        <v>#DIV/0!</v>
      </c>
      <c r="M274" s="20" t="str">
        <f t="shared" si="4"/>
        <v>#DIV/0!</v>
      </c>
      <c r="N274" s="21" t="str">
        <f t="shared" si="13"/>
        <v>#DIV/0!</v>
      </c>
      <c r="O274" s="21" t="str">
        <f t="shared" si="5"/>
        <v>#DIV/0!</v>
      </c>
      <c r="P274" s="22" t="str">
        <f t="shared" si="6"/>
        <v>#DIV/0!</v>
      </c>
    </row>
    <row r="275">
      <c r="B275" s="11"/>
      <c r="C275" s="12" t="str">
        <f>VLOOKUP(B:B,'Курс валют'!A:D,4,0)</f>
        <v>#N/A</v>
      </c>
      <c r="D275" s="13"/>
      <c r="E275" s="59"/>
      <c r="F275" s="15"/>
      <c r="G275" s="16"/>
      <c r="H275" s="17"/>
      <c r="I275" s="16">
        <f t="shared" si="10"/>
        <v>0</v>
      </c>
      <c r="J275" s="18" t="str">
        <f t="shared" si="2"/>
        <v>#DIV/0!</v>
      </c>
      <c r="K275" s="17"/>
      <c r="L275" s="19" t="str">
        <f t="shared" si="3"/>
        <v>#DIV/0!</v>
      </c>
      <c r="M275" s="20" t="str">
        <f t="shared" si="4"/>
        <v>#DIV/0!</v>
      </c>
      <c r="N275" s="21" t="str">
        <f t="shared" si="13"/>
        <v>#DIV/0!</v>
      </c>
      <c r="O275" s="21" t="str">
        <f t="shared" si="5"/>
        <v>#DIV/0!</v>
      </c>
      <c r="P275" s="22" t="str">
        <f t="shared" si="6"/>
        <v>#DIV/0!</v>
      </c>
    </row>
    <row r="276">
      <c r="B276" s="11"/>
      <c r="C276" s="12" t="str">
        <f>VLOOKUP(B:B,'Курс валют'!A:D,4,0)</f>
        <v>#N/A</v>
      </c>
      <c r="D276" s="13"/>
      <c r="E276" s="59"/>
      <c r="F276" s="15"/>
      <c r="G276" s="16"/>
      <c r="H276" s="17"/>
      <c r="I276" s="16">
        <f t="shared" si="10"/>
        <v>0</v>
      </c>
      <c r="J276" s="18" t="str">
        <f t="shared" si="2"/>
        <v>#DIV/0!</v>
      </c>
      <c r="K276" s="17"/>
      <c r="L276" s="19" t="str">
        <f t="shared" si="3"/>
        <v>#DIV/0!</v>
      </c>
      <c r="M276" s="20" t="str">
        <f t="shared" si="4"/>
        <v>#DIV/0!</v>
      </c>
      <c r="N276" s="21" t="str">
        <f t="shared" si="13"/>
        <v>#DIV/0!</v>
      </c>
      <c r="O276" s="21" t="str">
        <f t="shared" si="5"/>
        <v>#DIV/0!</v>
      </c>
      <c r="P276" s="22" t="str">
        <f t="shared" si="6"/>
        <v>#DIV/0!</v>
      </c>
    </row>
    <row r="277">
      <c r="B277" s="11"/>
      <c r="C277" s="12" t="str">
        <f>VLOOKUP(B:B,'Курс валют'!A:D,4,0)</f>
        <v>#N/A</v>
      </c>
      <c r="D277" s="13"/>
      <c r="E277" s="59"/>
      <c r="F277" s="15"/>
      <c r="G277" s="16"/>
      <c r="H277" s="17"/>
      <c r="I277" s="16">
        <f t="shared" si="10"/>
        <v>0</v>
      </c>
      <c r="J277" s="18" t="str">
        <f t="shared" si="2"/>
        <v>#DIV/0!</v>
      </c>
      <c r="K277" s="17"/>
      <c r="L277" s="19" t="str">
        <f t="shared" si="3"/>
        <v>#DIV/0!</v>
      </c>
      <c r="M277" s="20" t="str">
        <f t="shared" si="4"/>
        <v>#DIV/0!</v>
      </c>
      <c r="N277" s="21" t="str">
        <f t="shared" si="13"/>
        <v>#DIV/0!</v>
      </c>
      <c r="O277" s="21" t="str">
        <f t="shared" si="5"/>
        <v>#DIV/0!</v>
      </c>
      <c r="P277" s="22" t="str">
        <f t="shared" si="6"/>
        <v>#DIV/0!</v>
      </c>
    </row>
    <row r="278">
      <c r="B278" s="11"/>
      <c r="C278" s="12" t="str">
        <f>VLOOKUP(B:B,'Курс валют'!A:D,4,0)</f>
        <v>#N/A</v>
      </c>
      <c r="D278" s="13"/>
      <c r="E278" s="59"/>
      <c r="F278" s="15"/>
      <c r="G278" s="16"/>
      <c r="H278" s="17"/>
      <c r="I278" s="16">
        <f t="shared" si="10"/>
        <v>0</v>
      </c>
      <c r="J278" s="18" t="str">
        <f t="shared" si="2"/>
        <v>#DIV/0!</v>
      </c>
      <c r="K278" s="17"/>
      <c r="L278" s="19" t="str">
        <f t="shared" si="3"/>
        <v>#DIV/0!</v>
      </c>
      <c r="M278" s="20" t="str">
        <f t="shared" si="4"/>
        <v>#DIV/0!</v>
      </c>
      <c r="N278" s="21" t="str">
        <f t="shared" si="13"/>
        <v>#DIV/0!</v>
      </c>
      <c r="O278" s="21" t="str">
        <f t="shared" si="5"/>
        <v>#DIV/0!</v>
      </c>
      <c r="P278" s="22" t="str">
        <f t="shared" si="6"/>
        <v>#DIV/0!</v>
      </c>
    </row>
    <row r="279">
      <c r="B279" s="11"/>
      <c r="C279" s="12" t="str">
        <f>VLOOKUP(B:B,'Курс валют'!A:D,4,0)</f>
        <v>#N/A</v>
      </c>
      <c r="D279" s="13"/>
      <c r="E279" s="59"/>
      <c r="F279" s="15"/>
      <c r="G279" s="16"/>
      <c r="H279" s="17"/>
      <c r="I279" s="16">
        <f t="shared" si="10"/>
        <v>0</v>
      </c>
      <c r="J279" s="18" t="str">
        <f t="shared" si="2"/>
        <v>#DIV/0!</v>
      </c>
      <c r="K279" s="17"/>
      <c r="L279" s="19" t="str">
        <f t="shared" si="3"/>
        <v>#DIV/0!</v>
      </c>
      <c r="M279" s="20" t="str">
        <f t="shared" si="4"/>
        <v>#DIV/0!</v>
      </c>
      <c r="N279" s="21" t="str">
        <f t="shared" si="13"/>
        <v>#DIV/0!</v>
      </c>
      <c r="O279" s="21" t="str">
        <f t="shared" si="5"/>
        <v>#DIV/0!</v>
      </c>
      <c r="P279" s="22" t="str">
        <f t="shared" si="6"/>
        <v>#DIV/0!</v>
      </c>
    </row>
    <row r="280">
      <c r="B280" s="11"/>
      <c r="C280" s="12" t="str">
        <f>VLOOKUP(B:B,'Курс валют'!A:D,4,0)</f>
        <v>#N/A</v>
      </c>
      <c r="D280" s="13"/>
      <c r="E280" s="59"/>
      <c r="F280" s="15"/>
      <c r="G280" s="16"/>
      <c r="H280" s="17"/>
      <c r="I280" s="16">
        <f t="shared" si="10"/>
        <v>0</v>
      </c>
      <c r="J280" s="18" t="str">
        <f t="shared" si="2"/>
        <v>#DIV/0!</v>
      </c>
      <c r="K280" s="17"/>
      <c r="L280" s="19" t="str">
        <f t="shared" si="3"/>
        <v>#DIV/0!</v>
      </c>
      <c r="M280" s="20" t="str">
        <f t="shared" si="4"/>
        <v>#DIV/0!</v>
      </c>
      <c r="N280" s="21" t="str">
        <f t="shared" si="13"/>
        <v>#DIV/0!</v>
      </c>
      <c r="O280" s="21" t="str">
        <f t="shared" si="5"/>
        <v>#DIV/0!</v>
      </c>
      <c r="P280" s="22" t="str">
        <f t="shared" si="6"/>
        <v>#DIV/0!</v>
      </c>
    </row>
    <row r="281">
      <c r="B281" s="11"/>
      <c r="C281" s="12" t="str">
        <f>VLOOKUP(B:B,'Курс валют'!A:D,4,0)</f>
        <v>#N/A</v>
      </c>
      <c r="D281" s="13"/>
      <c r="E281" s="59"/>
      <c r="F281" s="15"/>
      <c r="G281" s="16"/>
      <c r="H281" s="17"/>
      <c r="I281" s="16">
        <f t="shared" si="10"/>
        <v>0</v>
      </c>
      <c r="J281" s="18" t="str">
        <f t="shared" si="2"/>
        <v>#DIV/0!</v>
      </c>
      <c r="K281" s="17"/>
      <c r="L281" s="19" t="str">
        <f t="shared" si="3"/>
        <v>#DIV/0!</v>
      </c>
      <c r="M281" s="20" t="str">
        <f t="shared" si="4"/>
        <v>#DIV/0!</v>
      </c>
      <c r="N281" s="21" t="str">
        <f t="shared" si="13"/>
        <v>#DIV/0!</v>
      </c>
      <c r="O281" s="21" t="str">
        <f t="shared" si="5"/>
        <v>#DIV/0!</v>
      </c>
      <c r="P281" s="22" t="str">
        <f t="shared" si="6"/>
        <v>#DIV/0!</v>
      </c>
    </row>
    <row r="282">
      <c r="B282" s="11"/>
      <c r="C282" s="12" t="str">
        <f>VLOOKUP(B:B,'Курс валют'!A:D,4,0)</f>
        <v>#N/A</v>
      </c>
      <c r="D282" s="13"/>
      <c r="E282" s="59"/>
      <c r="F282" s="15"/>
      <c r="G282" s="16"/>
      <c r="H282" s="17"/>
      <c r="I282" s="16">
        <f t="shared" si="10"/>
        <v>0</v>
      </c>
      <c r="J282" s="18" t="str">
        <f t="shared" si="2"/>
        <v>#DIV/0!</v>
      </c>
      <c r="K282" s="17"/>
      <c r="L282" s="19" t="str">
        <f t="shared" si="3"/>
        <v>#DIV/0!</v>
      </c>
      <c r="M282" s="20" t="str">
        <f t="shared" si="4"/>
        <v>#DIV/0!</v>
      </c>
      <c r="N282" s="21" t="str">
        <f t="shared" si="13"/>
        <v>#DIV/0!</v>
      </c>
      <c r="O282" s="21" t="str">
        <f t="shared" si="5"/>
        <v>#DIV/0!</v>
      </c>
      <c r="P282" s="22" t="str">
        <f t="shared" si="6"/>
        <v>#DIV/0!</v>
      </c>
    </row>
    <row r="283">
      <c r="B283" s="11"/>
      <c r="C283" s="12" t="str">
        <f>VLOOKUP(B:B,'Курс валют'!A:D,4,0)</f>
        <v>#N/A</v>
      </c>
      <c r="D283" s="13"/>
      <c r="E283" s="59"/>
      <c r="F283" s="15"/>
      <c r="G283" s="16"/>
      <c r="H283" s="17"/>
      <c r="I283" s="16">
        <f t="shared" si="10"/>
        <v>0</v>
      </c>
      <c r="J283" s="18" t="str">
        <f t="shared" si="2"/>
        <v>#DIV/0!</v>
      </c>
      <c r="K283" s="17"/>
      <c r="L283" s="19" t="str">
        <f t="shared" si="3"/>
        <v>#DIV/0!</v>
      </c>
      <c r="M283" s="20" t="str">
        <f t="shared" si="4"/>
        <v>#DIV/0!</v>
      </c>
      <c r="N283" s="21" t="str">
        <f t="shared" si="13"/>
        <v>#DIV/0!</v>
      </c>
      <c r="O283" s="21" t="str">
        <f t="shared" si="5"/>
        <v>#DIV/0!</v>
      </c>
      <c r="P283" s="22" t="str">
        <f t="shared" si="6"/>
        <v>#DIV/0!</v>
      </c>
    </row>
    <row r="284">
      <c r="B284" s="11"/>
      <c r="C284" s="12" t="str">
        <f>VLOOKUP(B:B,'Курс валют'!A:D,4,0)</f>
        <v>#N/A</v>
      </c>
      <c r="D284" s="13"/>
      <c r="E284" s="59"/>
      <c r="F284" s="15"/>
      <c r="G284" s="16"/>
      <c r="H284" s="17"/>
      <c r="I284" s="16">
        <f t="shared" si="10"/>
        <v>0</v>
      </c>
      <c r="J284" s="18" t="str">
        <f t="shared" si="2"/>
        <v>#DIV/0!</v>
      </c>
      <c r="K284" s="17"/>
      <c r="L284" s="19" t="str">
        <f t="shared" si="3"/>
        <v>#DIV/0!</v>
      </c>
      <c r="M284" s="20" t="str">
        <f t="shared" si="4"/>
        <v>#DIV/0!</v>
      </c>
      <c r="N284" s="21" t="str">
        <f t="shared" si="13"/>
        <v>#DIV/0!</v>
      </c>
      <c r="O284" s="21" t="str">
        <f t="shared" si="5"/>
        <v>#DIV/0!</v>
      </c>
      <c r="P284" s="22" t="str">
        <f t="shared" si="6"/>
        <v>#DIV/0!</v>
      </c>
    </row>
    <row r="285">
      <c r="B285" s="11"/>
      <c r="C285" s="12" t="str">
        <f>VLOOKUP(B:B,'Курс валют'!A:D,4,0)</f>
        <v>#N/A</v>
      </c>
      <c r="D285" s="13"/>
      <c r="E285" s="59"/>
      <c r="F285" s="15"/>
      <c r="G285" s="16"/>
      <c r="H285" s="17"/>
      <c r="I285" s="16">
        <f t="shared" si="10"/>
        <v>0</v>
      </c>
      <c r="J285" s="18" t="str">
        <f t="shared" si="2"/>
        <v>#DIV/0!</v>
      </c>
      <c r="K285" s="17"/>
      <c r="L285" s="19" t="str">
        <f t="shared" si="3"/>
        <v>#DIV/0!</v>
      </c>
      <c r="M285" s="20" t="str">
        <f t="shared" si="4"/>
        <v>#DIV/0!</v>
      </c>
      <c r="N285" s="21" t="str">
        <f t="shared" si="13"/>
        <v>#DIV/0!</v>
      </c>
      <c r="O285" s="21" t="str">
        <f t="shared" si="5"/>
        <v>#DIV/0!</v>
      </c>
      <c r="P285" s="22" t="str">
        <f t="shared" si="6"/>
        <v>#DIV/0!</v>
      </c>
    </row>
    <row r="286">
      <c r="B286" s="11"/>
      <c r="C286" s="12" t="str">
        <f>VLOOKUP(B:B,'Курс валют'!A:D,4,0)</f>
        <v>#N/A</v>
      </c>
      <c r="D286" s="13"/>
      <c r="E286" s="59"/>
      <c r="F286" s="15"/>
      <c r="G286" s="16"/>
      <c r="H286" s="17"/>
      <c r="I286" s="16">
        <f t="shared" si="10"/>
        <v>0</v>
      </c>
      <c r="J286" s="18" t="str">
        <f t="shared" si="2"/>
        <v>#DIV/0!</v>
      </c>
      <c r="K286" s="17"/>
      <c r="L286" s="19" t="str">
        <f t="shared" si="3"/>
        <v>#DIV/0!</v>
      </c>
      <c r="M286" s="20" t="str">
        <f t="shared" si="4"/>
        <v>#DIV/0!</v>
      </c>
      <c r="N286" s="21" t="str">
        <f t="shared" si="13"/>
        <v>#DIV/0!</v>
      </c>
      <c r="O286" s="21" t="str">
        <f t="shared" si="5"/>
        <v>#DIV/0!</v>
      </c>
      <c r="P286" s="22" t="str">
        <f t="shared" si="6"/>
        <v>#DIV/0!</v>
      </c>
    </row>
    <row r="287">
      <c r="B287" s="11"/>
      <c r="C287" s="12" t="str">
        <f>VLOOKUP(B:B,'Курс валют'!A:D,4,0)</f>
        <v>#N/A</v>
      </c>
      <c r="D287" s="13"/>
      <c r="E287" s="59"/>
      <c r="F287" s="15"/>
      <c r="G287" s="16"/>
      <c r="H287" s="17"/>
      <c r="I287" s="16">
        <f t="shared" si="10"/>
        <v>0</v>
      </c>
      <c r="J287" s="18" t="str">
        <f t="shared" si="2"/>
        <v>#DIV/0!</v>
      </c>
      <c r="K287" s="17"/>
      <c r="L287" s="19" t="str">
        <f t="shared" si="3"/>
        <v>#DIV/0!</v>
      </c>
      <c r="M287" s="20" t="str">
        <f t="shared" si="4"/>
        <v>#DIV/0!</v>
      </c>
      <c r="N287" s="21" t="str">
        <f t="shared" si="13"/>
        <v>#DIV/0!</v>
      </c>
      <c r="O287" s="21" t="str">
        <f t="shared" si="5"/>
        <v>#DIV/0!</v>
      </c>
      <c r="P287" s="22" t="str">
        <f t="shared" si="6"/>
        <v>#DIV/0!</v>
      </c>
    </row>
    <row r="288">
      <c r="B288" s="11"/>
      <c r="C288" s="12" t="str">
        <f>VLOOKUP(B:B,'Курс валют'!A:D,4,0)</f>
        <v>#N/A</v>
      </c>
      <c r="D288" s="13"/>
      <c r="E288" s="59"/>
      <c r="F288" s="15"/>
      <c r="G288" s="16"/>
      <c r="H288" s="17"/>
      <c r="I288" s="16">
        <f t="shared" si="10"/>
        <v>0</v>
      </c>
      <c r="J288" s="18" t="str">
        <f t="shared" si="2"/>
        <v>#DIV/0!</v>
      </c>
      <c r="K288" s="17"/>
      <c r="L288" s="19" t="str">
        <f t="shared" si="3"/>
        <v>#DIV/0!</v>
      </c>
      <c r="M288" s="20" t="str">
        <f t="shared" si="4"/>
        <v>#DIV/0!</v>
      </c>
      <c r="N288" s="21" t="str">
        <f t="shared" si="13"/>
        <v>#DIV/0!</v>
      </c>
      <c r="O288" s="21" t="str">
        <f t="shared" si="5"/>
        <v>#DIV/0!</v>
      </c>
      <c r="P288" s="22" t="str">
        <f t="shared" si="6"/>
        <v>#DIV/0!</v>
      </c>
    </row>
    <row r="289">
      <c r="B289" s="11"/>
      <c r="C289" s="12" t="str">
        <f>VLOOKUP(B:B,'Курс валют'!A:D,4,0)</f>
        <v>#N/A</v>
      </c>
      <c r="D289" s="13"/>
      <c r="E289" s="59"/>
      <c r="F289" s="15"/>
      <c r="G289" s="16"/>
      <c r="H289" s="17"/>
      <c r="I289" s="16">
        <f t="shared" si="10"/>
        <v>0</v>
      </c>
      <c r="J289" s="18" t="str">
        <f t="shared" si="2"/>
        <v>#DIV/0!</v>
      </c>
      <c r="K289" s="17"/>
      <c r="L289" s="19" t="str">
        <f t="shared" si="3"/>
        <v>#DIV/0!</v>
      </c>
      <c r="M289" s="20" t="str">
        <f t="shared" si="4"/>
        <v>#DIV/0!</v>
      </c>
      <c r="N289" s="21" t="str">
        <f t="shared" si="13"/>
        <v>#DIV/0!</v>
      </c>
      <c r="O289" s="21" t="str">
        <f t="shared" si="5"/>
        <v>#DIV/0!</v>
      </c>
      <c r="P289" s="22" t="str">
        <f t="shared" si="6"/>
        <v>#DIV/0!</v>
      </c>
    </row>
    <row r="290">
      <c r="B290" s="11"/>
      <c r="C290" s="12" t="str">
        <f>VLOOKUP(B:B,'Курс валют'!A:D,4,0)</f>
        <v>#N/A</v>
      </c>
      <c r="D290" s="13"/>
      <c r="E290" s="59"/>
      <c r="F290" s="15"/>
      <c r="G290" s="16"/>
      <c r="H290" s="17"/>
      <c r="I290" s="16">
        <f t="shared" si="10"/>
        <v>0</v>
      </c>
      <c r="J290" s="18" t="str">
        <f t="shared" si="2"/>
        <v>#DIV/0!</v>
      </c>
      <c r="K290" s="17"/>
      <c r="L290" s="19" t="str">
        <f t="shared" si="3"/>
        <v>#DIV/0!</v>
      </c>
      <c r="M290" s="20" t="str">
        <f t="shared" si="4"/>
        <v>#DIV/0!</v>
      </c>
      <c r="N290" s="21" t="str">
        <f t="shared" si="13"/>
        <v>#DIV/0!</v>
      </c>
      <c r="O290" s="21" t="str">
        <f t="shared" si="5"/>
        <v>#DIV/0!</v>
      </c>
      <c r="P290" s="22" t="str">
        <f t="shared" si="6"/>
        <v>#DIV/0!</v>
      </c>
    </row>
    <row r="291">
      <c r="B291" s="11"/>
      <c r="C291" s="12" t="str">
        <f>VLOOKUP(B:B,'Курс валют'!A:D,4,0)</f>
        <v>#N/A</v>
      </c>
      <c r="D291" s="13"/>
      <c r="E291" s="59"/>
      <c r="F291" s="15"/>
      <c r="G291" s="16"/>
      <c r="H291" s="65"/>
      <c r="I291" s="16">
        <f t="shared" si="10"/>
        <v>0</v>
      </c>
      <c r="J291" s="18" t="str">
        <f t="shared" si="2"/>
        <v>#DIV/0!</v>
      </c>
      <c r="K291" s="65"/>
      <c r="L291" s="19" t="str">
        <f t="shared" si="3"/>
        <v>#DIV/0!</v>
      </c>
      <c r="M291" s="20" t="str">
        <f t="shared" si="4"/>
        <v>#DIV/0!</v>
      </c>
      <c r="N291" s="21" t="str">
        <f t="shared" si="13"/>
        <v>#DIV/0!</v>
      </c>
      <c r="O291" s="21" t="str">
        <f t="shared" si="5"/>
        <v>#DIV/0!</v>
      </c>
      <c r="P291" s="22" t="str">
        <f t="shared" si="6"/>
        <v>#DIV/0!</v>
      </c>
    </row>
    <row r="292">
      <c r="B292" s="11"/>
      <c r="C292" s="12" t="str">
        <f>VLOOKUP(B:B,'Курс валют'!A:D,4,0)</f>
        <v>#N/A</v>
      </c>
      <c r="D292" s="13"/>
      <c r="E292" s="59"/>
      <c r="F292" s="15"/>
      <c r="G292" s="16"/>
      <c r="H292" s="65"/>
      <c r="I292" s="16">
        <f t="shared" si="10"/>
        <v>0</v>
      </c>
      <c r="J292" s="18" t="str">
        <f t="shared" si="2"/>
        <v>#DIV/0!</v>
      </c>
      <c r="K292" s="65"/>
      <c r="L292" s="19" t="str">
        <f t="shared" si="3"/>
        <v>#DIV/0!</v>
      </c>
      <c r="M292" s="20" t="str">
        <f t="shared" si="4"/>
        <v>#DIV/0!</v>
      </c>
      <c r="N292" s="21" t="str">
        <f t="shared" si="13"/>
        <v>#DIV/0!</v>
      </c>
      <c r="O292" s="21" t="str">
        <f t="shared" si="5"/>
        <v>#DIV/0!</v>
      </c>
      <c r="P292" s="22" t="str">
        <f t="shared" si="6"/>
        <v>#DIV/0!</v>
      </c>
    </row>
    <row r="293">
      <c r="B293" s="11"/>
      <c r="C293" s="12" t="str">
        <f>VLOOKUP(B:B,'Курс валют'!A:D,4,0)</f>
        <v>#N/A</v>
      </c>
      <c r="D293" s="13"/>
      <c r="E293" s="59"/>
      <c r="F293" s="15"/>
      <c r="G293" s="16"/>
      <c r="H293" s="65"/>
      <c r="I293" s="16">
        <f t="shared" si="10"/>
        <v>0</v>
      </c>
      <c r="J293" s="18" t="str">
        <f t="shared" si="2"/>
        <v>#DIV/0!</v>
      </c>
      <c r="K293" s="65"/>
      <c r="L293" s="19" t="str">
        <f t="shared" si="3"/>
        <v>#DIV/0!</v>
      </c>
      <c r="M293" s="20" t="str">
        <f t="shared" si="4"/>
        <v>#DIV/0!</v>
      </c>
      <c r="N293" s="21" t="str">
        <f t="shared" si="13"/>
        <v>#DIV/0!</v>
      </c>
      <c r="O293" s="21" t="str">
        <f t="shared" si="5"/>
        <v>#DIV/0!</v>
      </c>
      <c r="P293" s="22" t="str">
        <f t="shared" si="6"/>
        <v>#DIV/0!</v>
      </c>
    </row>
    <row r="294">
      <c r="B294" s="11"/>
      <c r="C294" s="12" t="str">
        <f>VLOOKUP(B:B,'Курс валют'!A:D,4,0)</f>
        <v>#N/A</v>
      </c>
      <c r="D294" s="13"/>
      <c r="E294" s="59"/>
      <c r="F294" s="15"/>
      <c r="G294" s="16"/>
      <c r="H294" s="65"/>
      <c r="I294" s="16">
        <f t="shared" si="10"/>
        <v>0</v>
      </c>
      <c r="J294" s="18" t="str">
        <f t="shared" si="2"/>
        <v>#DIV/0!</v>
      </c>
      <c r="K294" s="65"/>
      <c r="L294" s="19" t="str">
        <f t="shared" si="3"/>
        <v>#DIV/0!</v>
      </c>
      <c r="M294" s="20" t="str">
        <f t="shared" si="4"/>
        <v>#DIV/0!</v>
      </c>
      <c r="N294" s="21" t="str">
        <f t="shared" si="13"/>
        <v>#DIV/0!</v>
      </c>
      <c r="O294" s="21" t="str">
        <f t="shared" si="5"/>
        <v>#DIV/0!</v>
      </c>
      <c r="P294" s="22" t="str">
        <f t="shared" si="6"/>
        <v>#DIV/0!</v>
      </c>
    </row>
    <row r="295">
      <c r="B295" s="11"/>
      <c r="C295" s="12" t="str">
        <f>VLOOKUP(B:B,'Курс валют'!A:D,4,0)</f>
        <v>#N/A</v>
      </c>
      <c r="D295" s="13"/>
      <c r="E295" s="59"/>
      <c r="F295" s="15"/>
      <c r="G295" s="16"/>
      <c r="H295" s="65"/>
      <c r="I295" s="16">
        <f t="shared" si="10"/>
        <v>0</v>
      </c>
      <c r="J295" s="18" t="str">
        <f t="shared" si="2"/>
        <v>#DIV/0!</v>
      </c>
      <c r="K295" s="65"/>
      <c r="L295" s="19" t="str">
        <f t="shared" si="3"/>
        <v>#DIV/0!</v>
      </c>
      <c r="M295" s="20" t="str">
        <f t="shared" si="4"/>
        <v>#DIV/0!</v>
      </c>
      <c r="N295" s="21" t="str">
        <f t="shared" si="13"/>
        <v>#DIV/0!</v>
      </c>
      <c r="O295" s="21" t="str">
        <f t="shared" si="5"/>
        <v>#DIV/0!</v>
      </c>
      <c r="P295" s="22" t="str">
        <f t="shared" si="6"/>
        <v>#DIV/0!</v>
      </c>
    </row>
    <row r="296">
      <c r="B296" s="11"/>
      <c r="C296" s="12" t="str">
        <f>VLOOKUP(B:B,'Курс валют'!A:D,4,0)</f>
        <v>#N/A</v>
      </c>
      <c r="D296" s="13"/>
      <c r="E296" s="59"/>
      <c r="F296" s="15"/>
      <c r="G296" s="16"/>
      <c r="H296" s="17"/>
      <c r="I296" s="16">
        <f t="shared" si="10"/>
        <v>0</v>
      </c>
      <c r="J296" s="18" t="str">
        <f t="shared" si="2"/>
        <v>#DIV/0!</v>
      </c>
      <c r="K296" s="17"/>
      <c r="L296" s="19" t="str">
        <f t="shared" si="3"/>
        <v>#DIV/0!</v>
      </c>
      <c r="M296" s="20" t="str">
        <f t="shared" si="4"/>
        <v>#DIV/0!</v>
      </c>
      <c r="N296" s="21" t="str">
        <f t="shared" si="13"/>
        <v>#DIV/0!</v>
      </c>
      <c r="O296" s="21" t="str">
        <f t="shared" si="5"/>
        <v>#DIV/0!</v>
      </c>
      <c r="P296" s="22" t="str">
        <f t="shared" si="6"/>
        <v>#DIV/0!</v>
      </c>
    </row>
    <row r="297">
      <c r="B297" s="11"/>
      <c r="C297" s="12" t="str">
        <f>VLOOKUP(B:B,'Курс валют'!A:D,4,0)</f>
        <v>#N/A</v>
      </c>
      <c r="D297" s="13"/>
      <c r="E297" s="59"/>
      <c r="F297" s="15"/>
      <c r="G297" s="15"/>
      <c r="H297" s="17"/>
      <c r="I297" s="15">
        <f t="shared" si="10"/>
        <v>0</v>
      </c>
      <c r="J297" s="18" t="str">
        <f t="shared" si="2"/>
        <v>#DIV/0!</v>
      </c>
      <c r="K297" s="17"/>
      <c r="L297" s="19" t="str">
        <f t="shared" si="3"/>
        <v>#DIV/0!</v>
      </c>
      <c r="M297" s="20" t="str">
        <f t="shared" si="4"/>
        <v>#DIV/0!</v>
      </c>
      <c r="N297" s="21" t="str">
        <f t="shared" si="13"/>
        <v>#DIV/0!</v>
      </c>
      <c r="O297" s="21" t="str">
        <f t="shared" si="5"/>
        <v>#DIV/0!</v>
      </c>
      <c r="P297" s="22" t="str">
        <f t="shared" si="6"/>
        <v>#DIV/0!</v>
      </c>
    </row>
    <row r="298">
      <c r="B298" s="11"/>
      <c r="C298" s="12" t="str">
        <f>VLOOKUP(B:B,'Курс валют'!A:D,4,0)</f>
        <v>#N/A</v>
      </c>
      <c r="D298" s="13"/>
      <c r="E298" s="59"/>
      <c r="F298" s="15"/>
      <c r="G298" s="16"/>
      <c r="H298" s="17"/>
      <c r="I298" s="16">
        <f t="shared" si="10"/>
        <v>0</v>
      </c>
      <c r="J298" s="18" t="str">
        <f t="shared" si="2"/>
        <v>#DIV/0!</v>
      </c>
      <c r="K298" s="17"/>
      <c r="L298" s="19" t="str">
        <f t="shared" si="3"/>
        <v>#DIV/0!</v>
      </c>
      <c r="M298" s="20" t="str">
        <f t="shared" si="4"/>
        <v>#DIV/0!</v>
      </c>
      <c r="N298" s="21" t="str">
        <f t="shared" si="13"/>
        <v>#DIV/0!</v>
      </c>
      <c r="O298" s="21" t="str">
        <f t="shared" si="5"/>
        <v>#DIV/0!</v>
      </c>
      <c r="P298" s="22" t="str">
        <f t="shared" si="6"/>
        <v>#DIV/0!</v>
      </c>
    </row>
    <row r="299">
      <c r="B299" s="11"/>
      <c r="C299" s="12" t="str">
        <f>VLOOKUP(B:B,'Курс валют'!A:D,4,0)</f>
        <v>#N/A</v>
      </c>
      <c r="D299" s="13"/>
      <c r="E299" s="59"/>
      <c r="F299" s="15"/>
      <c r="G299" s="15"/>
      <c r="H299" s="17"/>
      <c r="I299" s="15">
        <f t="shared" si="10"/>
        <v>0</v>
      </c>
      <c r="J299" s="18" t="str">
        <f t="shared" si="2"/>
        <v>#DIV/0!</v>
      </c>
      <c r="K299" s="17"/>
      <c r="L299" s="19" t="str">
        <f t="shared" si="3"/>
        <v>#DIV/0!</v>
      </c>
      <c r="M299" s="20" t="str">
        <f t="shared" si="4"/>
        <v>#DIV/0!</v>
      </c>
      <c r="N299" s="21" t="str">
        <f t="shared" si="13"/>
        <v>#DIV/0!</v>
      </c>
      <c r="O299" s="21" t="str">
        <f t="shared" si="5"/>
        <v>#DIV/0!</v>
      </c>
      <c r="P299" s="22" t="str">
        <f t="shared" si="6"/>
        <v>#DIV/0!</v>
      </c>
    </row>
    <row r="300">
      <c r="B300" s="11"/>
      <c r="C300" s="12" t="str">
        <f>VLOOKUP(B:B,'Курс валют'!A:D,4,0)</f>
        <v>#N/A</v>
      </c>
      <c r="D300" s="13"/>
      <c r="E300" s="59"/>
      <c r="F300" s="15"/>
      <c r="G300" s="16"/>
      <c r="H300" s="65"/>
      <c r="I300" s="16">
        <f t="shared" si="10"/>
        <v>0</v>
      </c>
      <c r="J300" s="18" t="str">
        <f t="shared" si="2"/>
        <v>#DIV/0!</v>
      </c>
      <c r="K300" s="65"/>
      <c r="L300" s="19" t="str">
        <f t="shared" si="3"/>
        <v>#DIV/0!</v>
      </c>
      <c r="M300" s="20" t="str">
        <f t="shared" si="4"/>
        <v>#DIV/0!</v>
      </c>
      <c r="N300" s="21" t="str">
        <f t="shared" si="13"/>
        <v>#DIV/0!</v>
      </c>
      <c r="O300" s="21" t="str">
        <f t="shared" si="5"/>
        <v>#DIV/0!</v>
      </c>
      <c r="P300" s="22" t="str">
        <f t="shared" si="6"/>
        <v>#DIV/0!</v>
      </c>
    </row>
    <row r="301">
      <c r="B301" s="11"/>
      <c r="C301" s="12" t="str">
        <f>VLOOKUP(B:B,'Курс валют'!A:D,4,0)</f>
        <v>#N/A</v>
      </c>
      <c r="D301" s="13"/>
      <c r="E301" s="59"/>
      <c r="F301" s="15"/>
      <c r="G301" s="16"/>
      <c r="H301" s="65"/>
      <c r="I301" s="16">
        <f t="shared" si="10"/>
        <v>0</v>
      </c>
      <c r="J301" s="18" t="str">
        <f t="shared" si="2"/>
        <v>#DIV/0!</v>
      </c>
      <c r="K301" s="65"/>
      <c r="L301" s="19" t="str">
        <f t="shared" si="3"/>
        <v>#DIV/0!</v>
      </c>
      <c r="M301" s="20" t="str">
        <f t="shared" si="4"/>
        <v>#DIV/0!</v>
      </c>
      <c r="N301" s="21" t="str">
        <f t="shared" si="13"/>
        <v>#DIV/0!</v>
      </c>
      <c r="O301" s="21" t="str">
        <f t="shared" si="5"/>
        <v>#DIV/0!</v>
      </c>
      <c r="P301" s="22" t="str">
        <f t="shared" si="6"/>
        <v>#DIV/0!</v>
      </c>
    </row>
    <row r="302">
      <c r="B302" s="11"/>
      <c r="C302" s="12" t="str">
        <f>VLOOKUP(B:B,'Курс валют'!A:D,4,0)</f>
        <v>#N/A</v>
      </c>
      <c r="D302" s="13"/>
      <c r="E302" s="59"/>
      <c r="F302" s="15"/>
      <c r="G302" s="16"/>
      <c r="H302" s="65"/>
      <c r="I302" s="16">
        <f t="shared" si="10"/>
        <v>0</v>
      </c>
      <c r="J302" s="18" t="str">
        <f t="shared" si="2"/>
        <v>#DIV/0!</v>
      </c>
      <c r="K302" s="65"/>
      <c r="L302" s="19" t="str">
        <f t="shared" si="3"/>
        <v>#DIV/0!</v>
      </c>
      <c r="M302" s="20" t="str">
        <f t="shared" si="4"/>
        <v>#DIV/0!</v>
      </c>
      <c r="N302" s="21" t="str">
        <f t="shared" si="13"/>
        <v>#DIV/0!</v>
      </c>
      <c r="O302" s="21" t="str">
        <f t="shared" si="5"/>
        <v>#DIV/0!</v>
      </c>
      <c r="P302" s="22" t="str">
        <f t="shared" si="6"/>
        <v>#DIV/0!</v>
      </c>
    </row>
    <row r="303">
      <c r="B303" s="11"/>
      <c r="C303" s="12" t="str">
        <f>VLOOKUP(B:B,'Курс валют'!A:D,4,0)</f>
        <v>#N/A</v>
      </c>
      <c r="D303" s="13"/>
      <c r="E303" s="59"/>
      <c r="F303" s="15"/>
      <c r="G303" s="16"/>
      <c r="H303" s="65"/>
      <c r="I303" s="16">
        <f t="shared" si="10"/>
        <v>0</v>
      </c>
      <c r="J303" s="18" t="str">
        <f t="shared" si="2"/>
        <v>#DIV/0!</v>
      </c>
      <c r="K303" s="65"/>
      <c r="L303" s="19" t="str">
        <f t="shared" si="3"/>
        <v>#DIV/0!</v>
      </c>
      <c r="M303" s="20" t="str">
        <f t="shared" si="4"/>
        <v>#DIV/0!</v>
      </c>
      <c r="N303" s="21" t="str">
        <f t="shared" si="13"/>
        <v>#DIV/0!</v>
      </c>
      <c r="O303" s="21" t="str">
        <f t="shared" si="5"/>
        <v>#DIV/0!</v>
      </c>
      <c r="P303" s="22" t="str">
        <f t="shared" si="6"/>
        <v>#DIV/0!</v>
      </c>
    </row>
    <row r="304">
      <c r="B304" s="11"/>
      <c r="C304" s="12" t="str">
        <f>VLOOKUP(B:B,'Курс валют'!A:D,4,0)</f>
        <v>#N/A</v>
      </c>
      <c r="D304" s="13"/>
      <c r="E304" s="59"/>
      <c r="F304" s="15"/>
      <c r="G304" s="16"/>
      <c r="H304" s="65"/>
      <c r="I304" s="16">
        <f t="shared" si="10"/>
        <v>0</v>
      </c>
      <c r="J304" s="18" t="str">
        <f t="shared" si="2"/>
        <v>#DIV/0!</v>
      </c>
      <c r="K304" s="65"/>
      <c r="L304" s="19" t="str">
        <f t="shared" si="3"/>
        <v>#DIV/0!</v>
      </c>
      <c r="M304" s="20" t="str">
        <f t="shared" si="4"/>
        <v>#DIV/0!</v>
      </c>
      <c r="N304" s="21" t="str">
        <f t="shared" si="13"/>
        <v>#DIV/0!</v>
      </c>
      <c r="O304" s="21" t="str">
        <f t="shared" si="5"/>
        <v>#DIV/0!</v>
      </c>
      <c r="P304" s="22" t="str">
        <f t="shared" si="6"/>
        <v>#DIV/0!</v>
      </c>
    </row>
    <row r="305">
      <c r="B305" s="11"/>
      <c r="C305" s="12" t="str">
        <f>VLOOKUP(B:B,'Курс валют'!A:D,4,0)</f>
        <v>#N/A</v>
      </c>
      <c r="D305" s="13"/>
      <c r="E305" s="59"/>
      <c r="F305" s="15"/>
      <c r="G305" s="16"/>
      <c r="H305" s="65"/>
      <c r="I305" s="16">
        <f t="shared" si="10"/>
        <v>0</v>
      </c>
      <c r="J305" s="18" t="str">
        <f t="shared" si="2"/>
        <v>#DIV/0!</v>
      </c>
      <c r="K305" s="65"/>
      <c r="L305" s="19" t="str">
        <f t="shared" si="3"/>
        <v>#DIV/0!</v>
      </c>
      <c r="M305" s="20" t="str">
        <f t="shared" si="4"/>
        <v>#DIV/0!</v>
      </c>
      <c r="N305" s="21" t="str">
        <f t="shared" si="13"/>
        <v>#DIV/0!</v>
      </c>
      <c r="O305" s="21" t="str">
        <f t="shared" si="5"/>
        <v>#DIV/0!</v>
      </c>
      <c r="P305" s="22" t="str">
        <f t="shared" si="6"/>
        <v>#DIV/0!</v>
      </c>
    </row>
    <row r="306">
      <c r="B306" s="11"/>
      <c r="C306" s="12" t="str">
        <f>VLOOKUP(B:B,'Курс валют'!A:D,4,0)</f>
        <v>#N/A</v>
      </c>
      <c r="D306" s="13"/>
      <c r="E306" s="59"/>
      <c r="F306" s="15"/>
      <c r="G306" s="16"/>
      <c r="H306" s="65"/>
      <c r="I306" s="16">
        <f t="shared" si="10"/>
        <v>0</v>
      </c>
      <c r="J306" s="18" t="str">
        <f t="shared" si="2"/>
        <v>#DIV/0!</v>
      </c>
      <c r="K306" s="65"/>
      <c r="L306" s="19" t="str">
        <f t="shared" si="3"/>
        <v>#DIV/0!</v>
      </c>
      <c r="M306" s="20" t="str">
        <f t="shared" si="4"/>
        <v>#DIV/0!</v>
      </c>
      <c r="N306" s="21" t="str">
        <f t="shared" si="13"/>
        <v>#DIV/0!</v>
      </c>
      <c r="O306" s="21" t="str">
        <f t="shared" si="5"/>
        <v>#DIV/0!</v>
      </c>
      <c r="P306" s="22" t="str">
        <f t="shared" si="6"/>
        <v>#DIV/0!</v>
      </c>
    </row>
    <row r="307">
      <c r="B307" s="11"/>
      <c r="C307" s="12" t="str">
        <f>VLOOKUP(B:B,'Курс валют'!A:D,4,0)</f>
        <v>#N/A</v>
      </c>
      <c r="D307" s="13"/>
      <c r="E307" s="59"/>
      <c r="F307" s="15"/>
      <c r="G307" s="16"/>
      <c r="H307" s="65"/>
      <c r="I307" s="16">
        <f t="shared" si="10"/>
        <v>0</v>
      </c>
      <c r="J307" s="18" t="str">
        <f t="shared" si="2"/>
        <v>#DIV/0!</v>
      </c>
      <c r="K307" s="65"/>
      <c r="L307" s="19" t="str">
        <f t="shared" si="3"/>
        <v>#DIV/0!</v>
      </c>
      <c r="M307" s="20" t="str">
        <f t="shared" si="4"/>
        <v>#DIV/0!</v>
      </c>
      <c r="N307" s="21" t="str">
        <f t="shared" si="13"/>
        <v>#DIV/0!</v>
      </c>
      <c r="O307" s="21" t="str">
        <f t="shared" si="5"/>
        <v>#DIV/0!</v>
      </c>
      <c r="P307" s="22" t="str">
        <f t="shared" si="6"/>
        <v>#DIV/0!</v>
      </c>
    </row>
    <row r="308">
      <c r="B308" s="11"/>
      <c r="C308" s="12" t="str">
        <f>VLOOKUP(B:B,'Курс валют'!A:D,4,0)</f>
        <v>#N/A</v>
      </c>
      <c r="D308" s="13"/>
      <c r="E308" s="59"/>
      <c r="F308" s="15"/>
      <c r="G308" s="16"/>
      <c r="H308" s="65"/>
      <c r="I308" s="16">
        <f t="shared" si="10"/>
        <v>0</v>
      </c>
      <c r="J308" s="18" t="str">
        <f t="shared" si="2"/>
        <v>#DIV/0!</v>
      </c>
      <c r="K308" s="65"/>
      <c r="L308" s="19" t="str">
        <f t="shared" si="3"/>
        <v>#DIV/0!</v>
      </c>
      <c r="M308" s="20" t="str">
        <f t="shared" si="4"/>
        <v>#DIV/0!</v>
      </c>
      <c r="N308" s="21" t="str">
        <f t="shared" si="13"/>
        <v>#DIV/0!</v>
      </c>
      <c r="O308" s="21" t="str">
        <f t="shared" si="5"/>
        <v>#DIV/0!</v>
      </c>
      <c r="P308" s="22" t="str">
        <f t="shared" si="6"/>
        <v>#DIV/0!</v>
      </c>
    </row>
    <row r="309">
      <c r="B309" s="11"/>
      <c r="C309" s="12" t="str">
        <f>VLOOKUP(B:B,'Курс валют'!A:D,4,0)</f>
        <v>#N/A</v>
      </c>
      <c r="D309" s="13"/>
      <c r="E309" s="59"/>
      <c r="F309" s="15"/>
      <c r="G309" s="16"/>
      <c r="H309" s="65"/>
      <c r="I309" s="16">
        <f t="shared" si="10"/>
        <v>0</v>
      </c>
      <c r="J309" s="18" t="str">
        <f t="shared" si="2"/>
        <v>#DIV/0!</v>
      </c>
      <c r="K309" s="65"/>
      <c r="L309" s="19" t="str">
        <f t="shared" si="3"/>
        <v>#DIV/0!</v>
      </c>
      <c r="M309" s="20" t="str">
        <f t="shared" si="4"/>
        <v>#DIV/0!</v>
      </c>
      <c r="N309" s="21" t="str">
        <f t="shared" si="13"/>
        <v>#DIV/0!</v>
      </c>
      <c r="O309" s="21" t="str">
        <f t="shared" si="5"/>
        <v>#DIV/0!</v>
      </c>
      <c r="P309" s="22" t="str">
        <f t="shared" si="6"/>
        <v>#DIV/0!</v>
      </c>
    </row>
    <row r="310">
      <c r="B310" s="11"/>
      <c r="C310" s="12" t="str">
        <f>VLOOKUP(B:B,'Курс валют'!A:D,4,0)</f>
        <v>#N/A</v>
      </c>
      <c r="D310" s="13"/>
      <c r="E310" s="59"/>
      <c r="F310" s="15"/>
      <c r="G310" s="16"/>
      <c r="H310" s="65"/>
      <c r="I310" s="16">
        <f t="shared" si="10"/>
        <v>0</v>
      </c>
      <c r="J310" s="18" t="str">
        <f t="shared" si="2"/>
        <v>#DIV/0!</v>
      </c>
      <c r="K310" s="65"/>
      <c r="L310" s="19" t="str">
        <f t="shared" si="3"/>
        <v>#DIV/0!</v>
      </c>
      <c r="M310" s="20" t="str">
        <f t="shared" si="4"/>
        <v>#DIV/0!</v>
      </c>
      <c r="N310" s="21" t="str">
        <f t="shared" si="13"/>
        <v>#DIV/0!</v>
      </c>
      <c r="O310" s="21" t="str">
        <f t="shared" si="5"/>
        <v>#DIV/0!</v>
      </c>
      <c r="P310" s="22" t="str">
        <f t="shared" si="6"/>
        <v>#DIV/0!</v>
      </c>
    </row>
    <row r="311">
      <c r="B311" s="11"/>
      <c r="C311" s="12" t="str">
        <f>VLOOKUP(B:B,'Курс валют'!A:D,4,0)</f>
        <v>#N/A</v>
      </c>
      <c r="D311" s="13"/>
      <c r="E311" s="59"/>
      <c r="F311" s="15"/>
      <c r="G311" s="16"/>
      <c r="H311" s="65"/>
      <c r="I311" s="16">
        <f t="shared" si="10"/>
        <v>0</v>
      </c>
      <c r="J311" s="18" t="str">
        <f t="shared" si="2"/>
        <v>#DIV/0!</v>
      </c>
      <c r="K311" s="65"/>
      <c r="L311" s="19" t="str">
        <f t="shared" si="3"/>
        <v>#DIV/0!</v>
      </c>
      <c r="M311" s="20" t="str">
        <f t="shared" si="4"/>
        <v>#DIV/0!</v>
      </c>
      <c r="N311" s="21" t="str">
        <f t="shared" si="13"/>
        <v>#DIV/0!</v>
      </c>
      <c r="O311" s="21" t="str">
        <f t="shared" si="5"/>
        <v>#DIV/0!</v>
      </c>
      <c r="P311" s="22" t="str">
        <f t="shared" si="6"/>
        <v>#DIV/0!</v>
      </c>
    </row>
    <row r="312">
      <c r="B312" s="11"/>
      <c r="C312" s="12" t="str">
        <f>VLOOKUP(B:B,'Курс валют'!A:D,4,0)</f>
        <v>#N/A</v>
      </c>
      <c r="D312" s="13"/>
      <c r="E312" s="59"/>
      <c r="F312" s="15"/>
      <c r="G312" s="16"/>
      <c r="H312" s="65"/>
      <c r="I312" s="16">
        <f t="shared" si="10"/>
        <v>0</v>
      </c>
      <c r="J312" s="18" t="str">
        <f t="shared" si="2"/>
        <v>#DIV/0!</v>
      </c>
      <c r="K312" s="65"/>
      <c r="L312" s="19" t="str">
        <f t="shared" si="3"/>
        <v>#DIV/0!</v>
      </c>
      <c r="M312" s="20" t="str">
        <f t="shared" si="4"/>
        <v>#DIV/0!</v>
      </c>
      <c r="N312" s="21" t="str">
        <f t="shared" si="13"/>
        <v>#DIV/0!</v>
      </c>
      <c r="O312" s="21" t="str">
        <f t="shared" si="5"/>
        <v>#DIV/0!</v>
      </c>
      <c r="P312" s="22" t="str">
        <f t="shared" si="6"/>
        <v>#DIV/0!</v>
      </c>
    </row>
    <row r="313">
      <c r="B313" s="11"/>
      <c r="C313" s="12" t="str">
        <f>VLOOKUP(B:B,'Курс валют'!A:D,4,0)</f>
        <v>#N/A</v>
      </c>
      <c r="D313" s="13"/>
      <c r="E313" s="59"/>
      <c r="F313" s="15"/>
      <c r="G313" s="16"/>
      <c r="H313" s="65"/>
      <c r="I313" s="16">
        <f t="shared" si="10"/>
        <v>0</v>
      </c>
      <c r="J313" s="18" t="str">
        <f t="shared" si="2"/>
        <v>#DIV/0!</v>
      </c>
      <c r="K313" s="65"/>
      <c r="L313" s="19" t="str">
        <f t="shared" si="3"/>
        <v>#DIV/0!</v>
      </c>
      <c r="M313" s="20" t="str">
        <f t="shared" si="4"/>
        <v>#DIV/0!</v>
      </c>
      <c r="N313" s="21" t="str">
        <f t="shared" si="13"/>
        <v>#DIV/0!</v>
      </c>
      <c r="O313" s="21" t="str">
        <f t="shared" si="5"/>
        <v>#DIV/0!</v>
      </c>
      <c r="P313" s="22" t="str">
        <f t="shared" si="6"/>
        <v>#DIV/0!</v>
      </c>
    </row>
    <row r="314">
      <c r="B314" s="11"/>
      <c r="C314" s="12" t="str">
        <f>VLOOKUP(B:B,'Курс валют'!A:D,4,0)</f>
        <v>#N/A</v>
      </c>
      <c r="D314" s="13"/>
      <c r="E314" s="59"/>
      <c r="F314" s="15"/>
      <c r="G314" s="16"/>
      <c r="H314" s="65"/>
      <c r="I314" s="16">
        <f t="shared" si="10"/>
        <v>0</v>
      </c>
      <c r="J314" s="18" t="str">
        <f t="shared" si="2"/>
        <v>#DIV/0!</v>
      </c>
      <c r="K314" s="65"/>
      <c r="L314" s="19" t="str">
        <f t="shared" si="3"/>
        <v>#DIV/0!</v>
      </c>
      <c r="M314" s="20" t="str">
        <f t="shared" si="4"/>
        <v>#DIV/0!</v>
      </c>
      <c r="N314" s="21" t="str">
        <f t="shared" si="13"/>
        <v>#DIV/0!</v>
      </c>
      <c r="O314" s="21" t="str">
        <f t="shared" si="5"/>
        <v>#DIV/0!</v>
      </c>
      <c r="P314" s="22" t="str">
        <f t="shared" si="6"/>
        <v>#DIV/0!</v>
      </c>
    </row>
    <row r="315">
      <c r="B315" s="11"/>
      <c r="C315" s="12" t="str">
        <f>VLOOKUP(B:B,'Курс валют'!A:D,4,0)</f>
        <v>#N/A</v>
      </c>
      <c r="D315" s="13"/>
      <c r="E315" s="59"/>
      <c r="F315" s="15"/>
      <c r="G315" s="16"/>
      <c r="H315" s="65"/>
      <c r="I315" s="16">
        <f t="shared" si="10"/>
        <v>0</v>
      </c>
      <c r="J315" s="18" t="str">
        <f t="shared" si="2"/>
        <v>#DIV/0!</v>
      </c>
      <c r="K315" s="65"/>
      <c r="L315" s="19" t="str">
        <f t="shared" si="3"/>
        <v>#DIV/0!</v>
      </c>
      <c r="M315" s="20" t="str">
        <f t="shared" si="4"/>
        <v>#DIV/0!</v>
      </c>
      <c r="N315" s="21" t="str">
        <f t="shared" si="13"/>
        <v>#DIV/0!</v>
      </c>
      <c r="O315" s="21" t="str">
        <f t="shared" si="5"/>
        <v>#DIV/0!</v>
      </c>
      <c r="P315" s="22" t="str">
        <f t="shared" si="6"/>
        <v>#DIV/0!</v>
      </c>
    </row>
    <row r="316">
      <c r="B316" s="11"/>
      <c r="C316" s="12" t="str">
        <f>VLOOKUP(B:B,'Курс валют'!A:D,4,0)</f>
        <v>#N/A</v>
      </c>
      <c r="D316" s="13"/>
      <c r="E316" s="59"/>
      <c r="F316" s="15"/>
      <c r="G316" s="15"/>
      <c r="H316" s="17"/>
      <c r="I316" s="15">
        <f t="shared" si="10"/>
        <v>0</v>
      </c>
      <c r="J316" s="18" t="str">
        <f t="shared" si="2"/>
        <v>#DIV/0!</v>
      </c>
      <c r="K316" s="17"/>
      <c r="L316" s="19" t="str">
        <f t="shared" si="3"/>
        <v>#DIV/0!</v>
      </c>
      <c r="M316" s="20" t="str">
        <f t="shared" si="4"/>
        <v>#DIV/0!</v>
      </c>
      <c r="N316" s="21" t="str">
        <f t="shared" si="13"/>
        <v>#DIV/0!</v>
      </c>
      <c r="O316" s="21" t="str">
        <f t="shared" si="5"/>
        <v>#DIV/0!</v>
      </c>
      <c r="P316" s="22" t="str">
        <f t="shared" si="6"/>
        <v>#DIV/0!</v>
      </c>
    </row>
    <row r="317">
      <c r="B317" s="11"/>
      <c r="C317" s="12" t="str">
        <f>VLOOKUP(B:B,'Курс валют'!A:D,4,0)</f>
        <v>#N/A</v>
      </c>
      <c r="D317" s="13"/>
      <c r="E317" s="59"/>
      <c r="F317" s="15"/>
      <c r="G317" s="16"/>
      <c r="H317" s="65"/>
      <c r="I317" s="16">
        <f t="shared" si="10"/>
        <v>0</v>
      </c>
      <c r="J317" s="18" t="str">
        <f t="shared" si="2"/>
        <v>#DIV/0!</v>
      </c>
      <c r="K317" s="65"/>
      <c r="L317" s="19" t="str">
        <f t="shared" si="3"/>
        <v>#DIV/0!</v>
      </c>
      <c r="M317" s="20" t="str">
        <f t="shared" si="4"/>
        <v>#DIV/0!</v>
      </c>
      <c r="N317" s="21" t="str">
        <f t="shared" si="13"/>
        <v>#DIV/0!</v>
      </c>
      <c r="O317" s="21" t="str">
        <f t="shared" si="5"/>
        <v>#DIV/0!</v>
      </c>
      <c r="P317" s="22" t="str">
        <f t="shared" si="6"/>
        <v>#DIV/0!</v>
      </c>
    </row>
    <row r="318">
      <c r="B318" s="11"/>
      <c r="C318" s="12" t="str">
        <f>VLOOKUP(B:B,'Курс валют'!A:D,4,0)</f>
        <v>#N/A</v>
      </c>
      <c r="D318" s="13"/>
      <c r="E318" s="59"/>
      <c r="F318" s="15"/>
      <c r="G318" s="16"/>
      <c r="H318" s="65"/>
      <c r="I318" s="16">
        <f t="shared" si="10"/>
        <v>0</v>
      </c>
      <c r="J318" s="18" t="str">
        <f t="shared" si="2"/>
        <v>#DIV/0!</v>
      </c>
      <c r="K318" s="65"/>
      <c r="L318" s="19" t="str">
        <f t="shared" si="3"/>
        <v>#DIV/0!</v>
      </c>
      <c r="M318" s="20" t="str">
        <f t="shared" si="4"/>
        <v>#DIV/0!</v>
      </c>
      <c r="N318" s="21" t="str">
        <f t="shared" si="13"/>
        <v>#DIV/0!</v>
      </c>
      <c r="O318" s="21" t="str">
        <f t="shared" si="5"/>
        <v>#DIV/0!</v>
      </c>
      <c r="P318" s="22" t="str">
        <f t="shared" si="6"/>
        <v>#DIV/0!</v>
      </c>
    </row>
    <row r="319">
      <c r="B319" s="11"/>
      <c r="C319" s="12" t="str">
        <f>VLOOKUP(B:B,'Курс валют'!A:D,4,0)</f>
        <v>#N/A</v>
      </c>
      <c r="D319" s="13"/>
      <c r="E319" s="59"/>
      <c r="F319" s="15"/>
      <c r="G319" s="16"/>
      <c r="H319" s="65"/>
      <c r="I319" s="16">
        <f t="shared" si="10"/>
        <v>0</v>
      </c>
      <c r="J319" s="18" t="str">
        <f t="shared" si="2"/>
        <v>#DIV/0!</v>
      </c>
      <c r="K319" s="65"/>
      <c r="L319" s="19" t="str">
        <f t="shared" si="3"/>
        <v>#DIV/0!</v>
      </c>
      <c r="M319" s="20" t="str">
        <f t="shared" si="4"/>
        <v>#DIV/0!</v>
      </c>
      <c r="N319" s="21" t="str">
        <f t="shared" si="13"/>
        <v>#DIV/0!</v>
      </c>
      <c r="O319" s="21" t="str">
        <f t="shared" si="5"/>
        <v>#DIV/0!</v>
      </c>
      <c r="P319" s="22" t="str">
        <f t="shared" si="6"/>
        <v>#DIV/0!</v>
      </c>
    </row>
    <row r="320">
      <c r="B320" s="11"/>
      <c r="C320" s="12" t="str">
        <f>VLOOKUP(B:B,'Курс валют'!A:D,4,0)</f>
        <v>#N/A</v>
      </c>
      <c r="D320" s="13"/>
      <c r="E320" s="59"/>
      <c r="F320" s="15"/>
      <c r="G320" s="16"/>
      <c r="H320" s="17"/>
      <c r="I320" s="16">
        <f t="shared" si="10"/>
        <v>0</v>
      </c>
      <c r="J320" s="18" t="str">
        <f t="shared" si="2"/>
        <v>#DIV/0!</v>
      </c>
      <c r="K320" s="17"/>
      <c r="L320" s="19" t="str">
        <f t="shared" si="3"/>
        <v>#DIV/0!</v>
      </c>
      <c r="M320" s="20" t="str">
        <f t="shared" si="4"/>
        <v>#DIV/0!</v>
      </c>
      <c r="N320" s="21" t="str">
        <f t="shared" si="13"/>
        <v>#DIV/0!</v>
      </c>
      <c r="O320" s="21" t="str">
        <f t="shared" si="5"/>
        <v>#DIV/0!</v>
      </c>
      <c r="P320" s="22" t="str">
        <f t="shared" si="6"/>
        <v>#DIV/0!</v>
      </c>
    </row>
    <row r="321">
      <c r="B321" s="11"/>
      <c r="C321" s="12" t="str">
        <f>VLOOKUP(B:B,'Курс валют'!A:D,4,0)</f>
        <v>#N/A</v>
      </c>
      <c r="D321" s="13"/>
      <c r="E321" s="59"/>
      <c r="F321" s="15"/>
      <c r="G321" s="16"/>
      <c r="H321" s="65"/>
      <c r="I321" s="16">
        <f t="shared" si="10"/>
        <v>0</v>
      </c>
      <c r="J321" s="18" t="str">
        <f t="shared" si="2"/>
        <v>#DIV/0!</v>
      </c>
      <c r="K321" s="65"/>
      <c r="L321" s="19" t="str">
        <f t="shared" si="3"/>
        <v>#DIV/0!</v>
      </c>
      <c r="M321" s="20" t="str">
        <f t="shared" si="4"/>
        <v>#DIV/0!</v>
      </c>
      <c r="N321" s="21" t="str">
        <f t="shared" si="13"/>
        <v>#DIV/0!</v>
      </c>
      <c r="O321" s="21" t="str">
        <f t="shared" si="5"/>
        <v>#DIV/0!</v>
      </c>
      <c r="P321" s="22" t="str">
        <f t="shared" si="6"/>
        <v>#DIV/0!</v>
      </c>
    </row>
    <row r="322">
      <c r="B322" s="11"/>
      <c r="C322" s="12" t="str">
        <f>VLOOKUP(B:B,'Курс валют'!A:D,4,0)</f>
        <v>#N/A</v>
      </c>
      <c r="D322" s="13"/>
      <c r="E322" s="59"/>
      <c r="F322" s="15"/>
      <c r="G322" s="16"/>
      <c r="H322" s="65"/>
      <c r="I322" s="16">
        <f t="shared" si="10"/>
        <v>0</v>
      </c>
      <c r="J322" s="18" t="str">
        <f t="shared" si="2"/>
        <v>#DIV/0!</v>
      </c>
      <c r="K322" s="65"/>
      <c r="L322" s="19" t="str">
        <f t="shared" si="3"/>
        <v>#DIV/0!</v>
      </c>
      <c r="M322" s="20" t="str">
        <f t="shared" si="4"/>
        <v>#DIV/0!</v>
      </c>
      <c r="N322" s="21" t="str">
        <f t="shared" si="13"/>
        <v>#DIV/0!</v>
      </c>
      <c r="O322" s="21" t="str">
        <f t="shared" si="5"/>
        <v>#DIV/0!</v>
      </c>
      <c r="P322" s="22" t="str">
        <f t="shared" si="6"/>
        <v>#DIV/0!</v>
      </c>
    </row>
    <row r="323">
      <c r="B323" s="11"/>
      <c r="C323" s="12" t="str">
        <f>VLOOKUP(B:B,'Курс валют'!A:D,4,0)</f>
        <v>#N/A</v>
      </c>
      <c r="D323" s="13"/>
      <c r="E323" s="59"/>
      <c r="F323" s="15"/>
      <c r="G323" s="16"/>
      <c r="H323" s="65"/>
      <c r="I323" s="16">
        <f t="shared" si="10"/>
        <v>0</v>
      </c>
      <c r="J323" s="18" t="str">
        <f t="shared" si="2"/>
        <v>#DIV/0!</v>
      </c>
      <c r="K323" s="65"/>
      <c r="L323" s="19" t="str">
        <f t="shared" si="3"/>
        <v>#DIV/0!</v>
      </c>
      <c r="M323" s="20" t="str">
        <f t="shared" si="4"/>
        <v>#DIV/0!</v>
      </c>
      <c r="N323" s="21" t="str">
        <f t="shared" si="13"/>
        <v>#DIV/0!</v>
      </c>
      <c r="O323" s="21" t="str">
        <f t="shared" si="5"/>
        <v>#DIV/0!</v>
      </c>
      <c r="P323" s="22" t="str">
        <f t="shared" si="6"/>
        <v>#DIV/0!</v>
      </c>
    </row>
    <row r="324">
      <c r="B324" s="11"/>
      <c r="C324" s="12" t="str">
        <f>VLOOKUP(B:B,'Курс валют'!A:D,4,0)</f>
        <v>#N/A</v>
      </c>
      <c r="D324" s="13"/>
      <c r="E324" s="59"/>
      <c r="F324" s="15"/>
      <c r="G324" s="16"/>
      <c r="H324" s="65"/>
      <c r="I324" s="16">
        <f t="shared" si="10"/>
        <v>0</v>
      </c>
      <c r="J324" s="18" t="str">
        <f t="shared" si="2"/>
        <v>#DIV/0!</v>
      </c>
      <c r="K324" s="65"/>
      <c r="L324" s="19" t="str">
        <f t="shared" si="3"/>
        <v>#DIV/0!</v>
      </c>
      <c r="M324" s="20" t="str">
        <f t="shared" si="4"/>
        <v>#DIV/0!</v>
      </c>
      <c r="N324" s="21" t="str">
        <f t="shared" si="13"/>
        <v>#DIV/0!</v>
      </c>
      <c r="O324" s="21" t="str">
        <f t="shared" si="5"/>
        <v>#DIV/0!</v>
      </c>
      <c r="P324" s="22" t="str">
        <f t="shared" si="6"/>
        <v>#DIV/0!</v>
      </c>
    </row>
    <row r="325">
      <c r="B325" s="11"/>
      <c r="C325" s="12" t="str">
        <f>VLOOKUP(B:B,'Курс валют'!A:D,4,0)</f>
        <v>#N/A</v>
      </c>
      <c r="D325" s="13"/>
      <c r="E325" s="59"/>
      <c r="F325" s="15"/>
      <c r="G325" s="16"/>
      <c r="H325" s="65"/>
      <c r="I325" s="16">
        <f t="shared" si="10"/>
        <v>0</v>
      </c>
      <c r="J325" s="18" t="str">
        <f t="shared" si="2"/>
        <v>#DIV/0!</v>
      </c>
      <c r="K325" s="65"/>
      <c r="L325" s="19" t="str">
        <f t="shared" si="3"/>
        <v>#DIV/0!</v>
      </c>
      <c r="M325" s="20" t="str">
        <f t="shared" si="4"/>
        <v>#DIV/0!</v>
      </c>
      <c r="N325" s="21" t="str">
        <f t="shared" si="13"/>
        <v>#DIV/0!</v>
      </c>
      <c r="O325" s="21" t="str">
        <f t="shared" si="5"/>
        <v>#DIV/0!</v>
      </c>
      <c r="P325" s="22" t="str">
        <f t="shared" si="6"/>
        <v>#DIV/0!</v>
      </c>
    </row>
    <row r="326">
      <c r="B326" s="11"/>
      <c r="C326" s="12" t="str">
        <f>VLOOKUP(B:B,'Курс валют'!A:D,4,0)</f>
        <v>#N/A</v>
      </c>
      <c r="D326" s="13"/>
      <c r="E326" s="59"/>
      <c r="F326" s="15"/>
      <c r="G326" s="16"/>
      <c r="H326" s="65"/>
      <c r="I326" s="16">
        <f t="shared" si="10"/>
        <v>0</v>
      </c>
      <c r="J326" s="18" t="str">
        <f t="shared" si="2"/>
        <v>#DIV/0!</v>
      </c>
      <c r="K326" s="65"/>
      <c r="L326" s="19" t="str">
        <f t="shared" si="3"/>
        <v>#DIV/0!</v>
      </c>
      <c r="M326" s="20" t="str">
        <f t="shared" si="4"/>
        <v>#DIV/0!</v>
      </c>
      <c r="N326" s="21" t="str">
        <f t="shared" si="13"/>
        <v>#DIV/0!</v>
      </c>
      <c r="O326" s="21" t="str">
        <f t="shared" si="5"/>
        <v>#DIV/0!</v>
      </c>
      <c r="P326" s="22" t="str">
        <f t="shared" si="6"/>
        <v>#DIV/0!</v>
      </c>
    </row>
    <row r="327">
      <c r="B327" s="11"/>
      <c r="C327" s="12" t="str">
        <f>VLOOKUP(B:B,'Курс валют'!A:D,4,0)</f>
        <v>#N/A</v>
      </c>
      <c r="D327" s="13"/>
      <c r="E327" s="59"/>
      <c r="F327" s="15"/>
      <c r="G327" s="16"/>
      <c r="H327" s="65"/>
      <c r="I327" s="16">
        <f t="shared" si="10"/>
        <v>0</v>
      </c>
      <c r="J327" s="18" t="str">
        <f t="shared" si="2"/>
        <v>#DIV/0!</v>
      </c>
      <c r="K327" s="65"/>
      <c r="L327" s="19" t="str">
        <f t="shared" si="3"/>
        <v>#DIV/0!</v>
      </c>
      <c r="M327" s="20" t="str">
        <f t="shared" si="4"/>
        <v>#DIV/0!</v>
      </c>
      <c r="N327" s="21" t="str">
        <f t="shared" si="13"/>
        <v>#DIV/0!</v>
      </c>
      <c r="O327" s="21" t="str">
        <f t="shared" si="5"/>
        <v>#DIV/0!</v>
      </c>
      <c r="P327" s="22" t="str">
        <f t="shared" si="6"/>
        <v>#DIV/0!</v>
      </c>
    </row>
    <row r="328">
      <c r="B328" s="11"/>
      <c r="C328" s="12" t="str">
        <f>VLOOKUP(B:B,'Курс валют'!A:D,4,0)</f>
        <v>#N/A</v>
      </c>
      <c r="D328" s="13"/>
      <c r="E328" s="59"/>
      <c r="F328" s="15"/>
      <c r="G328" s="16"/>
      <c r="H328" s="65"/>
      <c r="I328" s="16">
        <f t="shared" si="10"/>
        <v>0</v>
      </c>
      <c r="J328" s="18" t="str">
        <f t="shared" si="2"/>
        <v>#DIV/0!</v>
      </c>
      <c r="K328" s="65"/>
      <c r="L328" s="19" t="str">
        <f t="shared" si="3"/>
        <v>#DIV/0!</v>
      </c>
      <c r="M328" s="20" t="str">
        <f t="shared" si="4"/>
        <v>#DIV/0!</v>
      </c>
      <c r="N328" s="21" t="str">
        <f t="shared" si="13"/>
        <v>#DIV/0!</v>
      </c>
      <c r="O328" s="21" t="str">
        <f t="shared" si="5"/>
        <v>#DIV/0!</v>
      </c>
      <c r="P328" s="22" t="str">
        <f t="shared" si="6"/>
        <v>#DIV/0!</v>
      </c>
    </row>
    <row r="329">
      <c r="B329" s="11"/>
      <c r="C329" s="12" t="str">
        <f>VLOOKUP(B:B,'Курс валют'!A:D,4,0)</f>
        <v>#N/A</v>
      </c>
      <c r="D329" s="13"/>
      <c r="E329" s="59"/>
      <c r="F329" s="15"/>
      <c r="G329" s="16"/>
      <c r="H329" s="65"/>
      <c r="I329" s="16">
        <f t="shared" si="10"/>
        <v>0</v>
      </c>
      <c r="J329" s="18" t="str">
        <f t="shared" si="2"/>
        <v>#DIV/0!</v>
      </c>
      <c r="K329" s="65"/>
      <c r="L329" s="19" t="str">
        <f t="shared" si="3"/>
        <v>#DIV/0!</v>
      </c>
      <c r="M329" s="20" t="str">
        <f t="shared" si="4"/>
        <v>#DIV/0!</v>
      </c>
      <c r="N329" s="21" t="str">
        <f t="shared" si="13"/>
        <v>#DIV/0!</v>
      </c>
      <c r="O329" s="21" t="str">
        <f t="shared" si="5"/>
        <v>#DIV/0!</v>
      </c>
      <c r="P329" s="22" t="str">
        <f t="shared" si="6"/>
        <v>#DIV/0!</v>
      </c>
    </row>
    <row r="330">
      <c r="B330" s="11"/>
      <c r="C330" s="12" t="str">
        <f>VLOOKUP(B:B,'Курс валют'!A:D,4,0)</f>
        <v>#N/A</v>
      </c>
      <c r="D330" s="13"/>
      <c r="E330" s="59"/>
      <c r="F330" s="15"/>
      <c r="G330" s="16"/>
      <c r="H330" s="65"/>
      <c r="I330" s="16">
        <f t="shared" si="10"/>
        <v>0</v>
      </c>
      <c r="J330" s="18" t="str">
        <f t="shared" si="2"/>
        <v>#DIV/0!</v>
      </c>
      <c r="K330" s="65"/>
      <c r="L330" s="19" t="str">
        <f t="shared" si="3"/>
        <v>#DIV/0!</v>
      </c>
      <c r="M330" s="20" t="str">
        <f t="shared" si="4"/>
        <v>#DIV/0!</v>
      </c>
      <c r="N330" s="21" t="str">
        <f t="shared" si="13"/>
        <v>#DIV/0!</v>
      </c>
      <c r="O330" s="21" t="str">
        <f t="shared" si="5"/>
        <v>#DIV/0!</v>
      </c>
      <c r="P330" s="22" t="str">
        <f t="shared" si="6"/>
        <v>#DIV/0!</v>
      </c>
    </row>
    <row r="331">
      <c r="B331" s="11"/>
      <c r="C331" s="12" t="str">
        <f>VLOOKUP(B:B,'Курс валют'!A:D,4,0)</f>
        <v>#N/A</v>
      </c>
      <c r="D331" s="13"/>
      <c r="E331" s="59"/>
      <c r="F331" s="15"/>
      <c r="G331" s="16"/>
      <c r="H331" s="65"/>
      <c r="I331" s="16">
        <f t="shared" si="10"/>
        <v>0</v>
      </c>
      <c r="J331" s="18" t="str">
        <f t="shared" si="2"/>
        <v>#DIV/0!</v>
      </c>
      <c r="K331" s="65"/>
      <c r="L331" s="19" t="str">
        <f t="shared" si="3"/>
        <v>#DIV/0!</v>
      </c>
      <c r="M331" s="20" t="str">
        <f t="shared" si="4"/>
        <v>#DIV/0!</v>
      </c>
      <c r="N331" s="21" t="str">
        <f t="shared" si="13"/>
        <v>#DIV/0!</v>
      </c>
      <c r="O331" s="21" t="str">
        <f t="shared" si="5"/>
        <v>#DIV/0!</v>
      </c>
      <c r="P331" s="22" t="str">
        <f t="shared" si="6"/>
        <v>#DIV/0!</v>
      </c>
    </row>
    <row r="332">
      <c r="B332" s="11"/>
      <c r="C332" s="12" t="str">
        <f>VLOOKUP(B:B,'Курс валют'!A:D,4,0)</f>
        <v>#N/A</v>
      </c>
      <c r="D332" s="66"/>
      <c r="E332" s="67"/>
      <c r="F332" s="67"/>
      <c r="G332" s="67"/>
      <c r="H332" s="65"/>
      <c r="I332" s="15">
        <f t="shared" si="10"/>
        <v>0</v>
      </c>
      <c r="J332" s="18" t="str">
        <f t="shared" si="2"/>
        <v>#DIV/0!</v>
      </c>
      <c r="K332" s="65"/>
      <c r="L332" s="19" t="str">
        <f t="shared" si="3"/>
        <v>#DIV/0!</v>
      </c>
      <c r="M332" s="20" t="str">
        <f t="shared" si="4"/>
        <v>#DIV/0!</v>
      </c>
      <c r="N332" s="21" t="str">
        <f t="shared" si="13"/>
        <v>#DIV/0!</v>
      </c>
      <c r="O332" s="21" t="str">
        <f t="shared" si="5"/>
        <v>#DIV/0!</v>
      </c>
      <c r="P332" s="22" t="str">
        <f t="shared" si="6"/>
        <v>#DIV/0!</v>
      </c>
    </row>
    <row r="333">
      <c r="B333" s="11"/>
      <c r="C333" s="12" t="str">
        <f>VLOOKUP(B:B,'Курс валют'!A:D,4,0)</f>
        <v>#N/A</v>
      </c>
      <c r="D333" s="66"/>
      <c r="E333" s="67"/>
      <c r="F333" s="67"/>
      <c r="G333" s="67"/>
      <c r="H333" s="65"/>
      <c r="I333" s="15">
        <f t="shared" si="10"/>
        <v>0</v>
      </c>
      <c r="J333" s="18" t="str">
        <f t="shared" si="2"/>
        <v>#DIV/0!</v>
      </c>
      <c r="K333" s="65"/>
      <c r="L333" s="19" t="str">
        <f t="shared" si="3"/>
        <v>#DIV/0!</v>
      </c>
      <c r="M333" s="20" t="str">
        <f t="shared" si="4"/>
        <v>#DIV/0!</v>
      </c>
      <c r="N333" s="21" t="str">
        <f t="shared" si="13"/>
        <v>#DIV/0!</v>
      </c>
      <c r="O333" s="21" t="str">
        <f t="shared" si="5"/>
        <v>#DIV/0!</v>
      </c>
      <c r="P333" s="22" t="str">
        <f t="shared" si="6"/>
        <v>#DIV/0!</v>
      </c>
    </row>
    <row r="334">
      <c r="B334" s="11"/>
      <c r="C334" s="12" t="str">
        <f>VLOOKUP(B:B,'Курс валют'!A:D,4,0)</f>
        <v>#N/A</v>
      </c>
      <c r="D334" s="66"/>
      <c r="E334" s="67"/>
      <c r="F334" s="67"/>
      <c r="G334" s="67"/>
      <c r="H334" s="65"/>
      <c r="I334" s="15">
        <f t="shared" si="10"/>
        <v>0</v>
      </c>
      <c r="J334" s="18" t="str">
        <f t="shared" si="2"/>
        <v>#DIV/0!</v>
      </c>
      <c r="K334" s="65"/>
      <c r="L334" s="19" t="str">
        <f t="shared" si="3"/>
        <v>#DIV/0!</v>
      </c>
      <c r="M334" s="20" t="str">
        <f t="shared" si="4"/>
        <v>#DIV/0!</v>
      </c>
      <c r="N334" s="21" t="str">
        <f t="shared" si="13"/>
        <v>#DIV/0!</v>
      </c>
      <c r="O334" s="21" t="str">
        <f t="shared" si="5"/>
        <v>#DIV/0!</v>
      </c>
      <c r="P334" s="22" t="str">
        <f t="shared" si="6"/>
        <v>#DIV/0!</v>
      </c>
    </row>
    <row r="335">
      <c r="B335" s="11"/>
      <c r="C335" s="12" t="str">
        <f>VLOOKUP(B:B,'Курс валют'!A:D,4,0)</f>
        <v>#N/A</v>
      </c>
      <c r="D335" s="66"/>
      <c r="E335" s="67"/>
      <c r="F335" s="67"/>
      <c r="G335" s="67"/>
      <c r="H335" s="65"/>
      <c r="I335" s="15">
        <f t="shared" si="10"/>
        <v>0</v>
      </c>
      <c r="J335" s="18" t="str">
        <f t="shared" si="2"/>
        <v>#DIV/0!</v>
      </c>
      <c r="K335" s="65"/>
      <c r="L335" s="19" t="str">
        <f t="shared" si="3"/>
        <v>#DIV/0!</v>
      </c>
      <c r="M335" s="20" t="str">
        <f t="shared" si="4"/>
        <v>#DIV/0!</v>
      </c>
      <c r="N335" s="21" t="str">
        <f t="shared" si="13"/>
        <v>#DIV/0!</v>
      </c>
      <c r="O335" s="21" t="str">
        <f t="shared" si="5"/>
        <v>#DIV/0!</v>
      </c>
      <c r="P335" s="22" t="str">
        <f t="shared" si="6"/>
        <v>#DIV/0!</v>
      </c>
    </row>
    <row r="336">
      <c r="B336" s="11"/>
      <c r="C336" s="12" t="str">
        <f>VLOOKUP(B:B,'Курс валют'!A:D,4,0)</f>
        <v>#N/A</v>
      </c>
      <c r="D336" s="66"/>
      <c r="E336" s="67"/>
      <c r="F336" s="67"/>
      <c r="G336" s="67"/>
      <c r="H336" s="65"/>
      <c r="I336" s="15">
        <f t="shared" si="10"/>
        <v>0</v>
      </c>
      <c r="J336" s="18" t="str">
        <f t="shared" si="2"/>
        <v>#DIV/0!</v>
      </c>
      <c r="K336" s="65"/>
      <c r="L336" s="19" t="str">
        <f t="shared" si="3"/>
        <v>#DIV/0!</v>
      </c>
      <c r="M336" s="20" t="str">
        <f t="shared" si="4"/>
        <v>#DIV/0!</v>
      </c>
      <c r="N336" s="21" t="str">
        <f t="shared" si="13"/>
        <v>#DIV/0!</v>
      </c>
      <c r="O336" s="21" t="str">
        <f t="shared" si="5"/>
        <v>#DIV/0!</v>
      </c>
      <c r="P336" s="22" t="str">
        <f t="shared" si="6"/>
        <v>#DIV/0!</v>
      </c>
    </row>
    <row r="337">
      <c r="B337" s="11"/>
      <c r="C337" s="12" t="str">
        <f>VLOOKUP(B:B,'Курс валют'!A:D,4,0)</f>
        <v>#N/A</v>
      </c>
      <c r="D337" s="66"/>
      <c r="E337" s="67"/>
      <c r="F337" s="67"/>
      <c r="G337" s="67"/>
      <c r="H337" s="65"/>
      <c r="I337" s="15">
        <f t="shared" si="10"/>
        <v>0</v>
      </c>
      <c r="J337" s="18" t="str">
        <f t="shared" si="2"/>
        <v>#DIV/0!</v>
      </c>
      <c r="K337" s="65"/>
      <c r="L337" s="19" t="str">
        <f t="shared" si="3"/>
        <v>#DIV/0!</v>
      </c>
      <c r="M337" s="20" t="str">
        <f t="shared" si="4"/>
        <v>#DIV/0!</v>
      </c>
      <c r="N337" s="21" t="str">
        <f t="shared" si="13"/>
        <v>#DIV/0!</v>
      </c>
      <c r="O337" s="21" t="str">
        <f t="shared" si="5"/>
        <v>#DIV/0!</v>
      </c>
      <c r="P337" s="22" t="str">
        <f t="shared" si="6"/>
        <v>#DIV/0!</v>
      </c>
    </row>
    <row r="338">
      <c r="B338" s="11"/>
      <c r="C338" s="12" t="str">
        <f>VLOOKUP(B:B,'Курс валют'!A:D,4,0)</f>
        <v>#N/A</v>
      </c>
      <c r="D338" s="66"/>
      <c r="E338" s="67"/>
      <c r="F338" s="67"/>
      <c r="G338" s="67"/>
      <c r="H338" s="65"/>
      <c r="I338" s="15">
        <f t="shared" si="10"/>
        <v>0</v>
      </c>
      <c r="J338" s="18" t="str">
        <f t="shared" si="2"/>
        <v>#DIV/0!</v>
      </c>
      <c r="K338" s="65"/>
      <c r="L338" s="19" t="str">
        <f t="shared" si="3"/>
        <v>#DIV/0!</v>
      </c>
      <c r="M338" s="20" t="str">
        <f t="shared" si="4"/>
        <v>#DIV/0!</v>
      </c>
      <c r="N338" s="21" t="str">
        <f t="shared" si="13"/>
        <v>#DIV/0!</v>
      </c>
      <c r="O338" s="21" t="str">
        <f t="shared" si="5"/>
        <v>#DIV/0!</v>
      </c>
      <c r="P338" s="22" t="str">
        <f t="shared" si="6"/>
        <v>#DIV/0!</v>
      </c>
    </row>
    <row r="339">
      <c r="B339" s="11"/>
      <c r="C339" s="12" t="str">
        <f>VLOOKUP(B:B,'Курс валют'!A:D,4,0)</f>
        <v>#N/A</v>
      </c>
      <c r="D339" s="66"/>
      <c r="E339" s="67"/>
      <c r="F339" s="67"/>
      <c r="G339" s="67"/>
      <c r="H339" s="65"/>
      <c r="I339" s="15">
        <f t="shared" si="10"/>
        <v>0</v>
      </c>
      <c r="J339" s="18" t="str">
        <f t="shared" si="2"/>
        <v>#DIV/0!</v>
      </c>
      <c r="K339" s="65"/>
      <c r="L339" s="19" t="str">
        <f t="shared" si="3"/>
        <v>#DIV/0!</v>
      </c>
      <c r="M339" s="20" t="str">
        <f t="shared" si="4"/>
        <v>#DIV/0!</v>
      </c>
      <c r="N339" s="21" t="str">
        <f t="shared" si="13"/>
        <v>#DIV/0!</v>
      </c>
      <c r="O339" s="21" t="str">
        <f t="shared" si="5"/>
        <v>#DIV/0!</v>
      </c>
      <c r="P339" s="22" t="str">
        <f t="shared" si="6"/>
        <v>#DIV/0!</v>
      </c>
    </row>
    <row r="340">
      <c r="B340" s="11"/>
      <c r="C340" s="12" t="str">
        <f>VLOOKUP(B:B,'Курс валют'!A:D,4,0)</f>
        <v>#N/A</v>
      </c>
      <c r="D340" s="66"/>
      <c r="E340" s="67"/>
      <c r="F340" s="67"/>
      <c r="G340" s="67"/>
      <c r="H340" s="65"/>
      <c r="I340" s="15">
        <f t="shared" si="10"/>
        <v>0</v>
      </c>
      <c r="J340" s="18" t="str">
        <f t="shared" si="2"/>
        <v>#DIV/0!</v>
      </c>
      <c r="K340" s="65"/>
      <c r="L340" s="19" t="str">
        <f t="shared" si="3"/>
        <v>#DIV/0!</v>
      </c>
      <c r="M340" s="20" t="str">
        <f t="shared" si="4"/>
        <v>#DIV/0!</v>
      </c>
      <c r="N340" s="21" t="str">
        <f t="shared" si="13"/>
        <v>#DIV/0!</v>
      </c>
      <c r="O340" s="21" t="str">
        <f t="shared" si="5"/>
        <v>#DIV/0!</v>
      </c>
      <c r="P340" s="22" t="str">
        <f t="shared" si="6"/>
        <v>#DIV/0!</v>
      </c>
    </row>
    <row r="341">
      <c r="B341" s="11"/>
      <c r="C341" s="12" t="str">
        <f>VLOOKUP(B:B,'Курс валют'!A:D,4,0)</f>
        <v>#N/A</v>
      </c>
      <c r="D341" s="66"/>
      <c r="E341" s="67"/>
      <c r="F341" s="67"/>
      <c r="G341" s="67"/>
      <c r="H341" s="65"/>
      <c r="I341" s="15">
        <f t="shared" si="10"/>
        <v>0</v>
      </c>
      <c r="J341" s="18" t="str">
        <f t="shared" si="2"/>
        <v>#DIV/0!</v>
      </c>
      <c r="K341" s="65"/>
      <c r="L341" s="19" t="str">
        <f t="shared" si="3"/>
        <v>#DIV/0!</v>
      </c>
      <c r="M341" s="20" t="str">
        <f t="shared" si="4"/>
        <v>#DIV/0!</v>
      </c>
      <c r="N341" s="21" t="str">
        <f t="shared" si="13"/>
        <v>#DIV/0!</v>
      </c>
      <c r="O341" s="21" t="str">
        <f t="shared" si="5"/>
        <v>#DIV/0!</v>
      </c>
      <c r="P341" s="22" t="str">
        <f t="shared" si="6"/>
        <v>#DIV/0!</v>
      </c>
    </row>
    <row r="342">
      <c r="B342" s="11"/>
      <c r="C342" s="12" t="str">
        <f>VLOOKUP(B:B,'Курс валют'!A:D,4,0)</f>
        <v>#N/A</v>
      </c>
      <c r="D342" s="66"/>
      <c r="E342" s="67"/>
      <c r="F342" s="67"/>
      <c r="G342" s="67"/>
      <c r="H342" s="65"/>
      <c r="I342" s="15">
        <f t="shared" si="10"/>
        <v>0</v>
      </c>
      <c r="J342" s="18" t="str">
        <f t="shared" si="2"/>
        <v>#DIV/0!</v>
      </c>
      <c r="K342" s="65"/>
      <c r="L342" s="19" t="str">
        <f t="shared" si="3"/>
        <v>#DIV/0!</v>
      </c>
      <c r="M342" s="20" t="str">
        <f t="shared" si="4"/>
        <v>#DIV/0!</v>
      </c>
      <c r="N342" s="21" t="str">
        <f t="shared" si="13"/>
        <v>#DIV/0!</v>
      </c>
      <c r="O342" s="21" t="str">
        <f t="shared" si="5"/>
        <v>#DIV/0!</v>
      </c>
      <c r="P342" s="22" t="str">
        <f t="shared" si="6"/>
        <v>#DIV/0!</v>
      </c>
    </row>
    <row r="343">
      <c r="B343" s="11"/>
      <c r="C343" s="12" t="str">
        <f>VLOOKUP(B:B,'Курс валют'!A:D,4,0)</f>
        <v>#N/A</v>
      </c>
      <c r="D343" s="66"/>
      <c r="E343" s="67"/>
      <c r="F343" s="67"/>
      <c r="G343" s="67"/>
      <c r="H343" s="65"/>
      <c r="I343" s="15">
        <f t="shared" si="10"/>
        <v>0</v>
      </c>
      <c r="J343" s="18" t="str">
        <f t="shared" si="2"/>
        <v>#DIV/0!</v>
      </c>
      <c r="K343" s="65"/>
      <c r="L343" s="19" t="str">
        <f t="shared" si="3"/>
        <v>#DIV/0!</v>
      </c>
      <c r="M343" s="20" t="str">
        <f t="shared" si="4"/>
        <v>#DIV/0!</v>
      </c>
      <c r="N343" s="21" t="str">
        <f t="shared" si="13"/>
        <v>#DIV/0!</v>
      </c>
      <c r="O343" s="21" t="str">
        <f t="shared" si="5"/>
        <v>#DIV/0!</v>
      </c>
      <c r="P343" s="22" t="str">
        <f t="shared" si="6"/>
        <v>#DIV/0!</v>
      </c>
    </row>
    <row r="344">
      <c r="B344" s="11"/>
      <c r="C344" s="12" t="str">
        <f>VLOOKUP(B:B,'Курс валют'!A:D,4,0)</f>
        <v>#N/A</v>
      </c>
      <c r="D344" s="66"/>
      <c r="E344" s="67"/>
      <c r="F344" s="67"/>
      <c r="G344" s="67"/>
      <c r="H344" s="65"/>
      <c r="I344" s="15">
        <f t="shared" si="10"/>
        <v>0</v>
      </c>
      <c r="J344" s="18" t="str">
        <f t="shared" si="2"/>
        <v>#DIV/0!</v>
      </c>
      <c r="K344" s="65"/>
      <c r="L344" s="19" t="str">
        <f t="shared" si="3"/>
        <v>#DIV/0!</v>
      </c>
      <c r="M344" s="20" t="str">
        <f t="shared" si="4"/>
        <v>#DIV/0!</v>
      </c>
      <c r="N344" s="21" t="str">
        <f t="shared" si="13"/>
        <v>#DIV/0!</v>
      </c>
      <c r="O344" s="21" t="str">
        <f t="shared" si="5"/>
        <v>#DIV/0!</v>
      </c>
      <c r="P344" s="22" t="str">
        <f t="shared" si="6"/>
        <v>#DIV/0!</v>
      </c>
    </row>
    <row r="345">
      <c r="B345" s="11"/>
      <c r="C345" s="12" t="str">
        <f>VLOOKUP(B:B,'Курс валют'!A:D,4,0)</f>
        <v>#N/A</v>
      </c>
      <c r="D345" s="66"/>
      <c r="E345" s="67"/>
      <c r="F345" s="67"/>
      <c r="G345" s="67"/>
      <c r="H345" s="65"/>
      <c r="I345" s="15">
        <f t="shared" si="10"/>
        <v>0</v>
      </c>
      <c r="J345" s="18" t="str">
        <f t="shared" si="2"/>
        <v>#DIV/0!</v>
      </c>
      <c r="K345" s="65"/>
      <c r="L345" s="19" t="str">
        <f t="shared" si="3"/>
        <v>#DIV/0!</v>
      </c>
      <c r="M345" s="20" t="str">
        <f t="shared" si="4"/>
        <v>#DIV/0!</v>
      </c>
      <c r="N345" s="21" t="str">
        <f t="shared" si="13"/>
        <v>#DIV/0!</v>
      </c>
      <c r="O345" s="21" t="str">
        <f t="shared" si="5"/>
        <v>#DIV/0!</v>
      </c>
      <c r="P345" s="22" t="str">
        <f t="shared" si="6"/>
        <v>#DIV/0!</v>
      </c>
    </row>
    <row r="346">
      <c r="B346" s="11"/>
      <c r="C346" s="12" t="str">
        <f>VLOOKUP(B:B,'Курс валют'!A:D,4,0)</f>
        <v>#N/A</v>
      </c>
      <c r="D346" s="66"/>
      <c r="E346" s="67"/>
      <c r="F346" s="67"/>
      <c r="G346" s="67"/>
      <c r="H346" s="65"/>
      <c r="I346" s="15">
        <f t="shared" si="10"/>
        <v>0</v>
      </c>
      <c r="J346" s="18" t="str">
        <f t="shared" si="2"/>
        <v>#DIV/0!</v>
      </c>
      <c r="K346" s="65"/>
      <c r="L346" s="19" t="str">
        <f t="shared" si="3"/>
        <v>#DIV/0!</v>
      </c>
      <c r="M346" s="20" t="str">
        <f t="shared" si="4"/>
        <v>#DIV/0!</v>
      </c>
      <c r="N346" s="21" t="str">
        <f t="shared" si="13"/>
        <v>#DIV/0!</v>
      </c>
      <c r="O346" s="21" t="str">
        <f t="shared" si="5"/>
        <v>#DIV/0!</v>
      </c>
      <c r="P346" s="22" t="str">
        <f t="shared" si="6"/>
        <v>#DIV/0!</v>
      </c>
    </row>
    <row r="347">
      <c r="B347" s="11"/>
      <c r="C347" s="12" t="str">
        <f>VLOOKUP(B:B,'Курс валют'!A:D,4,0)</f>
        <v>#N/A</v>
      </c>
      <c r="D347" s="66"/>
      <c r="E347" s="67"/>
      <c r="F347" s="67"/>
      <c r="G347" s="67"/>
      <c r="H347" s="65"/>
      <c r="I347" s="15">
        <f t="shared" si="10"/>
        <v>0</v>
      </c>
      <c r="J347" s="18" t="str">
        <f t="shared" si="2"/>
        <v>#DIV/0!</v>
      </c>
      <c r="K347" s="65"/>
      <c r="L347" s="19" t="str">
        <f t="shared" si="3"/>
        <v>#DIV/0!</v>
      </c>
      <c r="M347" s="20" t="str">
        <f t="shared" si="4"/>
        <v>#DIV/0!</v>
      </c>
      <c r="N347" s="21" t="str">
        <f t="shared" si="13"/>
        <v>#DIV/0!</v>
      </c>
      <c r="O347" s="21" t="str">
        <f t="shared" si="5"/>
        <v>#DIV/0!</v>
      </c>
      <c r="P347" s="22" t="str">
        <f t="shared" si="6"/>
        <v>#DIV/0!</v>
      </c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  <row r="966">
      <c r="B966" s="68"/>
      <c r="D966" s="69"/>
      <c r="H966" s="70"/>
      <c r="K966" s="70"/>
      <c r="L966" s="71"/>
      <c r="M966" s="72"/>
      <c r="P966" s="72"/>
    </row>
    <row r="967">
      <c r="B967" s="68"/>
      <c r="D967" s="69"/>
      <c r="H967" s="70"/>
      <c r="K967" s="70"/>
      <c r="L967" s="71"/>
      <c r="M967" s="72"/>
      <c r="P967" s="72"/>
    </row>
    <row r="968">
      <c r="B968" s="68"/>
      <c r="D968" s="69"/>
      <c r="H968" s="70"/>
      <c r="K968" s="70"/>
      <c r="L968" s="71"/>
      <c r="M968" s="72"/>
      <c r="P968" s="72"/>
    </row>
    <row r="969">
      <c r="B969" s="68"/>
      <c r="D969" s="69"/>
      <c r="H969" s="70"/>
      <c r="K969" s="70"/>
      <c r="L969" s="71"/>
      <c r="M969" s="72"/>
      <c r="P969" s="72"/>
    </row>
    <row r="970">
      <c r="B970" s="68"/>
      <c r="D970" s="69"/>
      <c r="H970" s="70"/>
      <c r="K970" s="70"/>
      <c r="L970" s="71"/>
      <c r="M970" s="72"/>
      <c r="P970" s="72"/>
    </row>
    <row r="971">
      <c r="B971" s="68"/>
      <c r="D971" s="69"/>
      <c r="H971" s="70"/>
      <c r="K971" s="70"/>
      <c r="L971" s="71"/>
      <c r="M971" s="72"/>
      <c r="P971" s="72"/>
    </row>
    <row r="972">
      <c r="B972" s="68"/>
      <c r="D972" s="69"/>
      <c r="H972" s="70"/>
      <c r="K972" s="70"/>
      <c r="L972" s="71"/>
      <c r="M972" s="72"/>
      <c r="P972" s="72"/>
    </row>
  </sheetData>
  <autoFilter ref="$A$1:$AA$972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1">
        <v>46143.0</v>
      </c>
      <c r="C2" s="12">
        <f>VLOOKUP(B:B,'Курс валют'!A:D,4,0)</f>
        <v>88.6429</v>
      </c>
      <c r="D2" s="54" t="s">
        <v>330</v>
      </c>
      <c r="E2" s="55" t="s">
        <v>59</v>
      </c>
      <c r="F2" s="12">
        <v>2000.0</v>
      </c>
      <c r="G2" s="19">
        <v>2054.55</v>
      </c>
      <c r="H2" s="17">
        <v>0.0</v>
      </c>
      <c r="I2" s="16">
        <f t="shared" ref="I2:I24" si="1">G2-F2</f>
        <v>54.55</v>
      </c>
      <c r="J2" s="18">
        <f t="shared" ref="J2:J347" si="2">I2/F2*100</f>
        <v>2.7275</v>
      </c>
      <c r="K2" s="56">
        <v>2.43</v>
      </c>
      <c r="L2" s="19">
        <f t="shared" ref="L2:L347" si="3">H2/F2*100</f>
        <v>0</v>
      </c>
      <c r="M2" s="20">
        <f t="shared" ref="M2:M347" si="4">P2/F2</f>
        <v>215.402247</v>
      </c>
      <c r="N2" s="21">
        <f>(F2*K2-H2*3.04)/F2</f>
        <v>2.43</v>
      </c>
      <c r="O2" s="21">
        <f t="shared" ref="O2:O347" si="5">N2*F2</f>
        <v>4860</v>
      </c>
      <c r="P2" s="22">
        <f t="shared" ref="P2:P347" si="6">O2*C2</f>
        <v>430804.494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/>
      <c r="B3" s="11">
        <v>46143.0</v>
      </c>
      <c r="C3" s="12">
        <f>VLOOKUP(B:B,'Курс валют'!A:D,4,0)</f>
        <v>88.6429</v>
      </c>
      <c r="D3" s="13" t="s">
        <v>331</v>
      </c>
      <c r="E3" s="14" t="s">
        <v>18</v>
      </c>
      <c r="F3" s="15">
        <v>1100.0</v>
      </c>
      <c r="G3" s="16">
        <v>1106.3</v>
      </c>
      <c r="H3" s="17">
        <v>484.5</v>
      </c>
      <c r="I3" s="16">
        <f t="shared" si="1"/>
        <v>6.3</v>
      </c>
      <c r="J3" s="18">
        <f t="shared" si="2"/>
        <v>0.5727272727</v>
      </c>
      <c r="K3" s="17">
        <v>15.73</v>
      </c>
      <c r="L3" s="19">
        <f t="shared" si="3"/>
        <v>44.04545455</v>
      </c>
      <c r="M3" s="20">
        <f t="shared" si="4"/>
        <v>207.4405029</v>
      </c>
      <c r="N3" s="21">
        <f t="shared" ref="N3:N12" si="7">(F3*K3-H3*30.4)/F3</f>
        <v>2.340181818</v>
      </c>
      <c r="O3" s="21">
        <f t="shared" si="5"/>
        <v>2574.2</v>
      </c>
      <c r="P3" s="22">
        <f t="shared" si="6"/>
        <v>228184.5532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46143.0</v>
      </c>
      <c r="C4" s="12">
        <f>VLOOKUP(B:B,'Курс валют'!A:D,4,0)</f>
        <v>88.6429</v>
      </c>
      <c r="D4" s="13" t="s">
        <v>332</v>
      </c>
      <c r="E4" s="14" t="s">
        <v>18</v>
      </c>
      <c r="F4" s="15">
        <v>1100.0</v>
      </c>
      <c r="G4" s="16">
        <v>1106.3</v>
      </c>
      <c r="H4" s="17">
        <v>484.5</v>
      </c>
      <c r="I4" s="16">
        <f t="shared" si="1"/>
        <v>6.3</v>
      </c>
      <c r="J4" s="18">
        <f t="shared" si="2"/>
        <v>0.5727272727</v>
      </c>
      <c r="K4" s="17">
        <v>15.73</v>
      </c>
      <c r="L4" s="19">
        <f t="shared" si="3"/>
        <v>44.04545455</v>
      </c>
      <c r="M4" s="20">
        <f t="shared" si="4"/>
        <v>207.4405029</v>
      </c>
      <c r="N4" s="21">
        <f t="shared" si="7"/>
        <v>2.340181818</v>
      </c>
      <c r="O4" s="21">
        <f t="shared" si="5"/>
        <v>2574.2</v>
      </c>
      <c r="P4" s="22">
        <f t="shared" si="6"/>
        <v>228184.5532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46143.0</v>
      </c>
      <c r="C5" s="12">
        <f>VLOOKUP(B:B,'Курс валют'!A:D,4,0)</f>
        <v>88.6429</v>
      </c>
      <c r="D5" s="13" t="s">
        <v>333</v>
      </c>
      <c r="E5" s="14" t="s">
        <v>18</v>
      </c>
      <c r="F5" s="15">
        <v>1100.0</v>
      </c>
      <c r="G5" s="16">
        <v>1106.3</v>
      </c>
      <c r="H5" s="17">
        <v>484.5</v>
      </c>
      <c r="I5" s="16">
        <f t="shared" si="1"/>
        <v>6.3</v>
      </c>
      <c r="J5" s="18">
        <f t="shared" si="2"/>
        <v>0.5727272727</v>
      </c>
      <c r="K5" s="17">
        <v>15.73</v>
      </c>
      <c r="L5" s="19">
        <f t="shared" si="3"/>
        <v>44.04545455</v>
      </c>
      <c r="M5" s="20">
        <f t="shared" si="4"/>
        <v>207.4405029</v>
      </c>
      <c r="N5" s="21">
        <f t="shared" si="7"/>
        <v>2.340181818</v>
      </c>
      <c r="O5" s="21">
        <f t="shared" si="5"/>
        <v>2574.2</v>
      </c>
      <c r="P5" s="22">
        <f t="shared" si="6"/>
        <v>228184.5532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46143.0</v>
      </c>
      <c r="C6" s="12">
        <f>VLOOKUP(B:B,'Курс валют'!A:D,4,0)</f>
        <v>88.6429</v>
      </c>
      <c r="D6" s="13" t="s">
        <v>334</v>
      </c>
      <c r="E6" s="14" t="s">
        <v>18</v>
      </c>
      <c r="F6" s="15">
        <v>1100.0</v>
      </c>
      <c r="G6" s="16">
        <v>1106.3</v>
      </c>
      <c r="H6" s="17">
        <v>484.5</v>
      </c>
      <c r="I6" s="16">
        <f t="shared" si="1"/>
        <v>6.3</v>
      </c>
      <c r="J6" s="18">
        <f t="shared" si="2"/>
        <v>0.5727272727</v>
      </c>
      <c r="K6" s="17">
        <v>15.73</v>
      </c>
      <c r="L6" s="19">
        <f t="shared" si="3"/>
        <v>44.04545455</v>
      </c>
      <c r="M6" s="20">
        <f t="shared" si="4"/>
        <v>207.4405029</v>
      </c>
      <c r="N6" s="21">
        <f t="shared" si="7"/>
        <v>2.340181818</v>
      </c>
      <c r="O6" s="21">
        <f t="shared" si="5"/>
        <v>2574.2</v>
      </c>
      <c r="P6" s="22">
        <f t="shared" si="6"/>
        <v>228184.5532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46143.0</v>
      </c>
      <c r="C7" s="12">
        <f>VLOOKUP(B:B,'Курс валют'!A:D,4,0)</f>
        <v>88.6429</v>
      </c>
      <c r="D7" s="13" t="s">
        <v>335</v>
      </c>
      <c r="E7" s="14" t="s">
        <v>18</v>
      </c>
      <c r="F7" s="15">
        <v>1100.0</v>
      </c>
      <c r="G7" s="16">
        <v>1106.3</v>
      </c>
      <c r="H7" s="17">
        <v>484.5</v>
      </c>
      <c r="I7" s="16">
        <f t="shared" si="1"/>
        <v>6.3</v>
      </c>
      <c r="J7" s="18">
        <f t="shared" si="2"/>
        <v>0.5727272727</v>
      </c>
      <c r="K7" s="17">
        <v>15.73</v>
      </c>
      <c r="L7" s="19">
        <f t="shared" si="3"/>
        <v>44.04545455</v>
      </c>
      <c r="M7" s="20">
        <f t="shared" si="4"/>
        <v>207.4405029</v>
      </c>
      <c r="N7" s="21">
        <f t="shared" si="7"/>
        <v>2.340181818</v>
      </c>
      <c r="O7" s="21">
        <f t="shared" si="5"/>
        <v>2574.2</v>
      </c>
      <c r="P7" s="22">
        <f t="shared" si="6"/>
        <v>228184.5532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46143.0</v>
      </c>
      <c r="C8" s="12">
        <f>VLOOKUP(B:B,'Курс валют'!A:D,4,0)</f>
        <v>88.6429</v>
      </c>
      <c r="D8" s="13" t="s">
        <v>336</v>
      </c>
      <c r="E8" s="14" t="s">
        <v>18</v>
      </c>
      <c r="F8" s="15">
        <v>1100.0</v>
      </c>
      <c r="G8" s="16">
        <v>1106.3</v>
      </c>
      <c r="H8" s="17">
        <v>484.5</v>
      </c>
      <c r="I8" s="16">
        <f t="shared" si="1"/>
        <v>6.3</v>
      </c>
      <c r="J8" s="18">
        <f t="shared" si="2"/>
        <v>0.5727272727</v>
      </c>
      <c r="K8" s="17">
        <v>15.73</v>
      </c>
      <c r="L8" s="19">
        <f t="shared" si="3"/>
        <v>44.04545455</v>
      </c>
      <c r="M8" s="20">
        <f t="shared" si="4"/>
        <v>207.4405029</v>
      </c>
      <c r="N8" s="21">
        <f t="shared" si="7"/>
        <v>2.340181818</v>
      </c>
      <c r="O8" s="21">
        <f t="shared" si="5"/>
        <v>2574.2</v>
      </c>
      <c r="P8" s="22">
        <f t="shared" si="6"/>
        <v>228184.5532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11"/>
      <c r="B9" s="11">
        <v>46143.0</v>
      </c>
      <c r="C9" s="12">
        <f>VLOOKUP(B:B,'Курс валют'!A:D,4,0)</f>
        <v>88.6429</v>
      </c>
      <c r="D9" s="13" t="s">
        <v>337</v>
      </c>
      <c r="E9" s="14" t="s">
        <v>18</v>
      </c>
      <c r="F9" s="15">
        <v>1100.0</v>
      </c>
      <c r="G9" s="16">
        <v>1106.3</v>
      </c>
      <c r="H9" s="17">
        <v>484.5</v>
      </c>
      <c r="I9" s="16">
        <f t="shared" si="1"/>
        <v>6.3</v>
      </c>
      <c r="J9" s="18">
        <f t="shared" si="2"/>
        <v>0.5727272727</v>
      </c>
      <c r="K9" s="17">
        <v>15.73</v>
      </c>
      <c r="L9" s="19">
        <f t="shared" si="3"/>
        <v>44.04545455</v>
      </c>
      <c r="M9" s="20">
        <f t="shared" si="4"/>
        <v>207.4405029</v>
      </c>
      <c r="N9" s="21">
        <f t="shared" si="7"/>
        <v>2.340181818</v>
      </c>
      <c r="O9" s="21">
        <f t="shared" si="5"/>
        <v>2574.2</v>
      </c>
      <c r="P9" s="22">
        <f t="shared" si="6"/>
        <v>228184.5532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11"/>
      <c r="B10" s="11">
        <v>46143.0</v>
      </c>
      <c r="C10" s="12">
        <f>VLOOKUP(B:B,'Курс валют'!A:D,4,0)</f>
        <v>88.6429</v>
      </c>
      <c r="D10" s="13" t="s">
        <v>338</v>
      </c>
      <c r="E10" s="14" t="s">
        <v>18</v>
      </c>
      <c r="F10" s="15">
        <v>1100.0</v>
      </c>
      <c r="G10" s="16">
        <v>1106.3</v>
      </c>
      <c r="H10" s="17">
        <v>484.5</v>
      </c>
      <c r="I10" s="16">
        <f t="shared" si="1"/>
        <v>6.3</v>
      </c>
      <c r="J10" s="18">
        <f t="shared" si="2"/>
        <v>0.5727272727</v>
      </c>
      <c r="K10" s="17">
        <v>15.73</v>
      </c>
      <c r="L10" s="19">
        <f t="shared" si="3"/>
        <v>44.04545455</v>
      </c>
      <c r="M10" s="20">
        <f t="shared" si="4"/>
        <v>207.4405029</v>
      </c>
      <c r="N10" s="21">
        <f t="shared" si="7"/>
        <v>2.340181818</v>
      </c>
      <c r="O10" s="21">
        <f t="shared" si="5"/>
        <v>2574.2</v>
      </c>
      <c r="P10" s="22">
        <f t="shared" si="6"/>
        <v>228184.5532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/>
      <c r="B11" s="11">
        <v>46143.0</v>
      </c>
      <c r="C11" s="12">
        <f>VLOOKUP(B:B,'Курс валют'!A:D,4,0)</f>
        <v>88.6429</v>
      </c>
      <c r="D11" s="13" t="s">
        <v>339</v>
      </c>
      <c r="E11" s="14" t="s">
        <v>18</v>
      </c>
      <c r="F11" s="15">
        <v>1100.0</v>
      </c>
      <c r="G11" s="16">
        <v>1106.3</v>
      </c>
      <c r="H11" s="17">
        <v>484.5</v>
      </c>
      <c r="I11" s="16">
        <f t="shared" si="1"/>
        <v>6.3</v>
      </c>
      <c r="J11" s="18">
        <f t="shared" si="2"/>
        <v>0.5727272727</v>
      </c>
      <c r="K11" s="17">
        <v>15.73</v>
      </c>
      <c r="L11" s="19">
        <f t="shared" si="3"/>
        <v>44.04545455</v>
      </c>
      <c r="M11" s="20">
        <f t="shared" si="4"/>
        <v>207.4405029</v>
      </c>
      <c r="N11" s="21">
        <f t="shared" si="7"/>
        <v>2.340181818</v>
      </c>
      <c r="O11" s="21">
        <f t="shared" si="5"/>
        <v>2574.2</v>
      </c>
      <c r="P11" s="22">
        <f t="shared" si="6"/>
        <v>228184.5532</v>
      </c>
      <c r="R11" s="23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/>
      <c r="B12" s="11">
        <v>46143.0</v>
      </c>
      <c r="C12" s="12">
        <f>VLOOKUP(B:B,'Курс валют'!A:D,4,0)</f>
        <v>88.6429</v>
      </c>
      <c r="D12" s="13" t="s">
        <v>340</v>
      </c>
      <c r="E12" s="14" t="s">
        <v>18</v>
      </c>
      <c r="F12" s="15">
        <v>1100.0</v>
      </c>
      <c r="G12" s="16">
        <v>1106.3</v>
      </c>
      <c r="H12" s="17">
        <v>484.5</v>
      </c>
      <c r="I12" s="16">
        <f t="shared" si="1"/>
        <v>6.3</v>
      </c>
      <c r="J12" s="18">
        <f t="shared" si="2"/>
        <v>0.5727272727</v>
      </c>
      <c r="K12" s="17">
        <v>15.73</v>
      </c>
      <c r="L12" s="19">
        <f t="shared" si="3"/>
        <v>44.04545455</v>
      </c>
      <c r="M12" s="20">
        <f t="shared" si="4"/>
        <v>207.4405029</v>
      </c>
      <c r="N12" s="21">
        <f t="shared" si="7"/>
        <v>2.340181818</v>
      </c>
      <c r="O12" s="21">
        <f t="shared" si="5"/>
        <v>2574.2</v>
      </c>
      <c r="P12" s="22">
        <f t="shared" si="6"/>
        <v>228184.5532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/>
      <c r="B13" s="11">
        <v>46144.0</v>
      </c>
      <c r="C13" s="12">
        <f>VLOOKUP(B:B,'Курс валют'!A:D,4,0)</f>
        <v>88.6429</v>
      </c>
      <c r="D13" s="13" t="s">
        <v>341</v>
      </c>
      <c r="E13" s="14" t="s">
        <v>59</v>
      </c>
      <c r="F13" s="15">
        <v>2000.0</v>
      </c>
      <c r="G13" s="16">
        <v>2054.55</v>
      </c>
      <c r="H13" s="27">
        <v>0.0</v>
      </c>
      <c r="I13" s="16">
        <f t="shared" si="1"/>
        <v>54.55</v>
      </c>
      <c r="J13" s="18">
        <f t="shared" si="2"/>
        <v>2.7275</v>
      </c>
      <c r="K13" s="17">
        <v>2.43</v>
      </c>
      <c r="L13" s="19">
        <f t="shared" si="3"/>
        <v>0</v>
      </c>
      <c r="M13" s="20">
        <f t="shared" si="4"/>
        <v>215.402247</v>
      </c>
      <c r="N13" s="29">
        <f>(F13*K13-H13*3.04)/F13</f>
        <v>2.43</v>
      </c>
      <c r="O13" s="21">
        <f t="shared" si="5"/>
        <v>4860</v>
      </c>
      <c r="P13" s="22">
        <f t="shared" si="6"/>
        <v>430804.494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/>
      <c r="B14" s="11">
        <v>46144.0</v>
      </c>
      <c r="C14" s="12">
        <f>VLOOKUP(B:B,'Курс валют'!A:D,4,0)</f>
        <v>88.6429</v>
      </c>
      <c r="D14" s="13" t="s">
        <v>342</v>
      </c>
      <c r="E14" s="14" t="s">
        <v>18</v>
      </c>
      <c r="F14" s="15">
        <v>1100.0</v>
      </c>
      <c r="G14" s="16">
        <v>1106.3</v>
      </c>
      <c r="H14" s="17">
        <v>484.5</v>
      </c>
      <c r="I14" s="16">
        <f t="shared" si="1"/>
        <v>6.3</v>
      </c>
      <c r="J14" s="18">
        <f t="shared" si="2"/>
        <v>0.5727272727</v>
      </c>
      <c r="K14" s="17">
        <v>15.73</v>
      </c>
      <c r="L14" s="19">
        <f t="shared" si="3"/>
        <v>44.04545455</v>
      </c>
      <c r="M14" s="20">
        <f t="shared" si="4"/>
        <v>207.4405029</v>
      </c>
      <c r="N14" s="21">
        <f t="shared" ref="N14:N23" si="8">(F14*K14-H14*30.4)/F14</f>
        <v>2.340181818</v>
      </c>
      <c r="O14" s="21">
        <f t="shared" si="5"/>
        <v>2574.2</v>
      </c>
      <c r="P14" s="22">
        <f t="shared" si="6"/>
        <v>228184.5532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/>
      <c r="B15" s="11">
        <v>46144.0</v>
      </c>
      <c r="C15" s="12">
        <f>VLOOKUP(B:B,'Курс валют'!A:D,4,0)</f>
        <v>88.6429</v>
      </c>
      <c r="D15" s="13" t="s">
        <v>343</v>
      </c>
      <c r="E15" s="14" t="s">
        <v>18</v>
      </c>
      <c r="F15" s="15">
        <v>1100.0</v>
      </c>
      <c r="G15" s="16">
        <v>1106.3</v>
      </c>
      <c r="H15" s="17">
        <v>484.5</v>
      </c>
      <c r="I15" s="16">
        <f t="shared" si="1"/>
        <v>6.3</v>
      </c>
      <c r="J15" s="18">
        <f t="shared" si="2"/>
        <v>0.5727272727</v>
      </c>
      <c r="K15" s="17">
        <v>15.73</v>
      </c>
      <c r="L15" s="19">
        <f t="shared" si="3"/>
        <v>44.04545455</v>
      </c>
      <c r="M15" s="20">
        <f t="shared" si="4"/>
        <v>207.4405029</v>
      </c>
      <c r="N15" s="21">
        <f t="shared" si="8"/>
        <v>2.340181818</v>
      </c>
      <c r="O15" s="21">
        <f t="shared" si="5"/>
        <v>2574.2</v>
      </c>
      <c r="P15" s="22">
        <f t="shared" si="6"/>
        <v>228184.5532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11"/>
      <c r="B16" s="11">
        <v>46144.0</v>
      </c>
      <c r="C16" s="12">
        <f>VLOOKUP(B:B,'Курс валют'!A:D,4,0)</f>
        <v>88.6429</v>
      </c>
      <c r="D16" s="13" t="s">
        <v>344</v>
      </c>
      <c r="E16" s="14" t="s">
        <v>18</v>
      </c>
      <c r="F16" s="15">
        <v>1100.0</v>
      </c>
      <c r="G16" s="16">
        <v>1106.3</v>
      </c>
      <c r="H16" s="17">
        <v>484.5</v>
      </c>
      <c r="I16" s="16">
        <f t="shared" si="1"/>
        <v>6.3</v>
      </c>
      <c r="J16" s="18">
        <f t="shared" si="2"/>
        <v>0.5727272727</v>
      </c>
      <c r="K16" s="17">
        <v>15.73</v>
      </c>
      <c r="L16" s="19">
        <f t="shared" si="3"/>
        <v>44.04545455</v>
      </c>
      <c r="M16" s="20">
        <f t="shared" si="4"/>
        <v>207.4405029</v>
      </c>
      <c r="N16" s="21">
        <f t="shared" si="8"/>
        <v>2.340181818</v>
      </c>
      <c r="O16" s="21">
        <f t="shared" si="5"/>
        <v>2574.2</v>
      </c>
      <c r="P16" s="22">
        <f t="shared" si="6"/>
        <v>228184.5532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>
      <c r="A17" s="11"/>
      <c r="B17" s="11">
        <v>46144.0</v>
      </c>
      <c r="C17" s="12">
        <f>VLOOKUP(B:B,'Курс валют'!A:D,4,0)</f>
        <v>88.6429</v>
      </c>
      <c r="D17" s="13" t="s">
        <v>345</v>
      </c>
      <c r="E17" s="14" t="s">
        <v>18</v>
      </c>
      <c r="F17" s="15">
        <v>1100.0</v>
      </c>
      <c r="G17" s="16">
        <v>1106.3</v>
      </c>
      <c r="H17" s="17">
        <v>484.5</v>
      </c>
      <c r="I17" s="16">
        <f t="shared" si="1"/>
        <v>6.3</v>
      </c>
      <c r="J17" s="18">
        <f t="shared" si="2"/>
        <v>0.5727272727</v>
      </c>
      <c r="K17" s="17">
        <v>15.73</v>
      </c>
      <c r="L17" s="19">
        <f t="shared" si="3"/>
        <v>44.04545455</v>
      </c>
      <c r="M17" s="20">
        <f t="shared" si="4"/>
        <v>207.4405029</v>
      </c>
      <c r="N17" s="21">
        <f t="shared" si="8"/>
        <v>2.340181818</v>
      </c>
      <c r="O17" s="21">
        <f t="shared" si="5"/>
        <v>2574.2</v>
      </c>
      <c r="P17" s="22">
        <f t="shared" si="6"/>
        <v>228184.5532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/>
      <c r="B18" s="11">
        <v>46144.0</v>
      </c>
      <c r="C18" s="12">
        <f>VLOOKUP(B:B,'Курс валют'!A:D,4,0)</f>
        <v>88.6429</v>
      </c>
      <c r="D18" s="13" t="s">
        <v>346</v>
      </c>
      <c r="E18" s="14" t="s">
        <v>18</v>
      </c>
      <c r="F18" s="15">
        <v>1100.0</v>
      </c>
      <c r="G18" s="16">
        <v>1106.3</v>
      </c>
      <c r="H18" s="17">
        <v>484.5</v>
      </c>
      <c r="I18" s="16">
        <f t="shared" si="1"/>
        <v>6.3</v>
      </c>
      <c r="J18" s="18">
        <f t="shared" si="2"/>
        <v>0.5727272727</v>
      </c>
      <c r="K18" s="17">
        <v>15.73</v>
      </c>
      <c r="L18" s="19">
        <f t="shared" si="3"/>
        <v>44.04545455</v>
      </c>
      <c r="M18" s="20">
        <f t="shared" si="4"/>
        <v>207.4405029</v>
      </c>
      <c r="N18" s="21">
        <f t="shared" si="8"/>
        <v>2.340181818</v>
      </c>
      <c r="O18" s="21">
        <f t="shared" si="5"/>
        <v>2574.2</v>
      </c>
      <c r="P18" s="22">
        <f t="shared" si="6"/>
        <v>228184.5532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46144.0</v>
      </c>
      <c r="C19" s="12">
        <f>VLOOKUP(B:B,'Курс валют'!A:D,4,0)</f>
        <v>88.6429</v>
      </c>
      <c r="D19" s="13" t="s">
        <v>347</v>
      </c>
      <c r="E19" s="14" t="s">
        <v>18</v>
      </c>
      <c r="F19" s="15">
        <v>1100.0</v>
      </c>
      <c r="G19" s="16">
        <v>1106.3</v>
      </c>
      <c r="H19" s="17">
        <v>484.5</v>
      </c>
      <c r="I19" s="16">
        <f t="shared" si="1"/>
        <v>6.3</v>
      </c>
      <c r="J19" s="18">
        <f t="shared" si="2"/>
        <v>0.5727272727</v>
      </c>
      <c r="K19" s="17">
        <v>15.73</v>
      </c>
      <c r="L19" s="19">
        <f t="shared" si="3"/>
        <v>44.04545455</v>
      </c>
      <c r="M19" s="20">
        <f t="shared" si="4"/>
        <v>207.4405029</v>
      </c>
      <c r="N19" s="21">
        <f t="shared" si="8"/>
        <v>2.340181818</v>
      </c>
      <c r="O19" s="21">
        <f t="shared" si="5"/>
        <v>2574.2</v>
      </c>
      <c r="P19" s="22">
        <f t="shared" si="6"/>
        <v>228184.5532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>
      <c r="A20" s="30"/>
      <c r="B20" s="11">
        <v>46144.0</v>
      </c>
      <c r="C20" s="12">
        <f>VLOOKUP(B:B,'Курс валют'!A:D,4,0)</f>
        <v>88.6429</v>
      </c>
      <c r="D20" s="13" t="s">
        <v>348</v>
      </c>
      <c r="E20" s="14" t="s">
        <v>18</v>
      </c>
      <c r="F20" s="15">
        <v>1100.0</v>
      </c>
      <c r="G20" s="16">
        <v>1106.3</v>
      </c>
      <c r="H20" s="17">
        <v>484.5</v>
      </c>
      <c r="I20" s="16">
        <f t="shared" si="1"/>
        <v>6.3</v>
      </c>
      <c r="J20" s="18">
        <f t="shared" si="2"/>
        <v>0.5727272727</v>
      </c>
      <c r="K20" s="17">
        <v>15.73</v>
      </c>
      <c r="L20" s="19">
        <f t="shared" si="3"/>
        <v>44.04545455</v>
      </c>
      <c r="M20" s="20">
        <f t="shared" si="4"/>
        <v>207.4405029</v>
      </c>
      <c r="N20" s="21">
        <f t="shared" si="8"/>
        <v>2.340181818</v>
      </c>
      <c r="O20" s="21">
        <f t="shared" si="5"/>
        <v>2574.2</v>
      </c>
      <c r="P20" s="22">
        <f t="shared" si="6"/>
        <v>228184.5532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>
      <c r="A21" s="30"/>
      <c r="B21" s="11">
        <v>46144.0</v>
      </c>
      <c r="C21" s="12">
        <f>VLOOKUP(B:B,'Курс валют'!A:D,4,0)</f>
        <v>88.6429</v>
      </c>
      <c r="D21" s="13" t="s">
        <v>349</v>
      </c>
      <c r="E21" s="14" t="s">
        <v>18</v>
      </c>
      <c r="F21" s="15">
        <v>1100.0</v>
      </c>
      <c r="G21" s="16">
        <v>1106.3</v>
      </c>
      <c r="H21" s="17">
        <v>484.5</v>
      </c>
      <c r="I21" s="16">
        <f t="shared" si="1"/>
        <v>6.3</v>
      </c>
      <c r="J21" s="18">
        <f t="shared" si="2"/>
        <v>0.5727272727</v>
      </c>
      <c r="K21" s="17">
        <v>15.73</v>
      </c>
      <c r="L21" s="19">
        <f t="shared" si="3"/>
        <v>44.04545455</v>
      </c>
      <c r="M21" s="20">
        <f t="shared" si="4"/>
        <v>207.4405029</v>
      </c>
      <c r="N21" s="21">
        <f t="shared" si="8"/>
        <v>2.340181818</v>
      </c>
      <c r="O21" s="21">
        <f t="shared" si="5"/>
        <v>2574.2</v>
      </c>
      <c r="P21" s="22">
        <f t="shared" si="6"/>
        <v>228184.5532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/>
      <c r="B22" s="11">
        <v>46144.0</v>
      </c>
      <c r="C22" s="12">
        <f>VLOOKUP(B:B,'Курс валют'!A:D,4,0)</f>
        <v>88.6429</v>
      </c>
      <c r="D22" s="13" t="s">
        <v>350</v>
      </c>
      <c r="E22" s="14" t="s">
        <v>18</v>
      </c>
      <c r="F22" s="15">
        <v>1100.0</v>
      </c>
      <c r="G22" s="16">
        <v>1106.3</v>
      </c>
      <c r="H22" s="17">
        <v>484.5</v>
      </c>
      <c r="I22" s="16">
        <f t="shared" si="1"/>
        <v>6.3</v>
      </c>
      <c r="J22" s="18">
        <f t="shared" si="2"/>
        <v>0.5727272727</v>
      </c>
      <c r="K22" s="17">
        <v>15.73</v>
      </c>
      <c r="L22" s="19">
        <f t="shared" si="3"/>
        <v>44.04545455</v>
      </c>
      <c r="M22" s="20">
        <f t="shared" si="4"/>
        <v>207.4405029</v>
      </c>
      <c r="N22" s="21">
        <f t="shared" si="8"/>
        <v>2.340181818</v>
      </c>
      <c r="O22" s="21">
        <f t="shared" si="5"/>
        <v>2574.2</v>
      </c>
      <c r="P22" s="22">
        <f t="shared" si="6"/>
        <v>228184.5532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>
      <c r="A23" s="30"/>
      <c r="B23" s="11">
        <v>46144.0</v>
      </c>
      <c r="C23" s="12">
        <f>VLOOKUP(B:B,'Курс валют'!A:D,4,0)</f>
        <v>88.6429</v>
      </c>
      <c r="D23" s="13" t="s">
        <v>351</v>
      </c>
      <c r="E23" s="14" t="s">
        <v>18</v>
      </c>
      <c r="F23" s="15">
        <v>1100.0</v>
      </c>
      <c r="G23" s="16">
        <v>1106.3</v>
      </c>
      <c r="H23" s="17">
        <v>484.5</v>
      </c>
      <c r="I23" s="16">
        <f t="shared" si="1"/>
        <v>6.3</v>
      </c>
      <c r="J23" s="18">
        <f t="shared" si="2"/>
        <v>0.5727272727</v>
      </c>
      <c r="K23" s="17">
        <v>15.73</v>
      </c>
      <c r="L23" s="19">
        <f t="shared" si="3"/>
        <v>44.04545455</v>
      </c>
      <c r="M23" s="20">
        <f t="shared" si="4"/>
        <v>207.4405029</v>
      </c>
      <c r="N23" s="21">
        <f t="shared" si="8"/>
        <v>2.340181818</v>
      </c>
      <c r="O23" s="21">
        <f t="shared" si="5"/>
        <v>2574.2</v>
      </c>
      <c r="P23" s="22">
        <f t="shared" si="6"/>
        <v>228184.5532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>
      <c r="A24" s="30"/>
      <c r="B24" s="11">
        <v>46145.0</v>
      </c>
      <c r="C24" s="12">
        <f>VLOOKUP(B:B,'Курс валют'!A:D,4,0)</f>
        <v>88.6429</v>
      </c>
      <c r="D24" s="13" t="s">
        <v>352</v>
      </c>
      <c r="E24" s="14" t="s">
        <v>59</v>
      </c>
      <c r="F24" s="15">
        <v>2000.0</v>
      </c>
      <c r="G24" s="16">
        <v>2054.55</v>
      </c>
      <c r="H24" s="27">
        <v>0.0</v>
      </c>
      <c r="I24" s="16">
        <f t="shared" si="1"/>
        <v>54.55</v>
      </c>
      <c r="J24" s="18">
        <f t="shared" si="2"/>
        <v>2.7275</v>
      </c>
      <c r="K24" s="17">
        <v>2.43</v>
      </c>
      <c r="L24" s="19">
        <f t="shared" si="3"/>
        <v>0</v>
      </c>
      <c r="M24" s="20">
        <f t="shared" si="4"/>
        <v>215.402247</v>
      </c>
      <c r="N24" s="21">
        <f t="shared" ref="N24:N36" si="9">(F24*K24-H24*3.04)/F24</f>
        <v>2.43</v>
      </c>
      <c r="O24" s="21">
        <f t="shared" si="5"/>
        <v>4860</v>
      </c>
      <c r="P24" s="22">
        <f t="shared" si="6"/>
        <v>430804.494</v>
      </c>
      <c r="R24" s="23"/>
      <c r="S24" s="24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46145.0</v>
      </c>
      <c r="C25" s="12">
        <f>VLOOKUP(B:B,'Курс валют'!A:D,4,0)</f>
        <v>88.6429</v>
      </c>
      <c r="D25" s="13" t="s">
        <v>353</v>
      </c>
      <c r="E25" s="14" t="s">
        <v>125</v>
      </c>
      <c r="F25" s="15">
        <v>6.0</v>
      </c>
      <c r="G25" s="16">
        <v>7.283</v>
      </c>
      <c r="H25" s="27">
        <v>0.0</v>
      </c>
      <c r="I25" s="15">
        <v>2.5</v>
      </c>
      <c r="J25" s="18">
        <f t="shared" si="2"/>
        <v>41.66666667</v>
      </c>
      <c r="K25" s="17">
        <v>3.61</v>
      </c>
      <c r="L25" s="19">
        <f t="shared" si="3"/>
        <v>0</v>
      </c>
      <c r="M25" s="20">
        <f t="shared" si="4"/>
        <v>320.000869</v>
      </c>
      <c r="N25" s="21">
        <f t="shared" si="9"/>
        <v>3.61</v>
      </c>
      <c r="O25" s="21">
        <f t="shared" si="5"/>
        <v>21.66</v>
      </c>
      <c r="P25" s="22">
        <f t="shared" si="6"/>
        <v>1920.005214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46145.0</v>
      </c>
      <c r="C26" s="12">
        <f>VLOOKUP(B:B,'Курс валют'!A:D,4,0)</f>
        <v>88.6429</v>
      </c>
      <c r="D26" s="13" t="s">
        <v>354</v>
      </c>
      <c r="E26" s="26" t="s">
        <v>106</v>
      </c>
      <c r="F26" s="15">
        <v>800.0</v>
      </c>
      <c r="G26" s="16">
        <v>805.0</v>
      </c>
      <c r="H26" s="17">
        <v>0.0</v>
      </c>
      <c r="I26" s="16">
        <f t="shared" ref="I26:I347" si="10">G26-F26</f>
        <v>5</v>
      </c>
      <c r="J26" s="18">
        <f t="shared" si="2"/>
        <v>0.625</v>
      </c>
      <c r="K26" s="17">
        <v>1.84</v>
      </c>
      <c r="L26" s="19">
        <f t="shared" si="3"/>
        <v>0</v>
      </c>
      <c r="M26" s="20">
        <f t="shared" si="4"/>
        <v>163.102936</v>
      </c>
      <c r="N26" s="21">
        <f t="shared" si="9"/>
        <v>1.84</v>
      </c>
      <c r="O26" s="21">
        <f t="shared" si="5"/>
        <v>1472</v>
      </c>
      <c r="P26" s="22">
        <f t="shared" si="6"/>
        <v>130482.3488</v>
      </c>
      <c r="R26" s="23"/>
      <c r="S26" s="24"/>
      <c r="T26" s="25"/>
      <c r="U26" s="25"/>
      <c r="V26" s="25"/>
      <c r="W26" s="25"/>
      <c r="X26" s="25"/>
      <c r="Y26" s="25"/>
      <c r="Z26" s="25"/>
      <c r="AA26" s="25"/>
    </row>
    <row r="27">
      <c r="A27" s="30"/>
      <c r="B27" s="11">
        <v>46145.0</v>
      </c>
      <c r="C27" s="12">
        <f>VLOOKUP(B:B,'Курс валют'!A:D,4,0)</f>
        <v>88.6429</v>
      </c>
      <c r="D27" s="13" t="s">
        <v>355</v>
      </c>
      <c r="E27" s="26" t="s">
        <v>106</v>
      </c>
      <c r="F27" s="15">
        <v>800.0</v>
      </c>
      <c r="G27" s="16">
        <v>805.0</v>
      </c>
      <c r="H27" s="17">
        <v>0.0</v>
      </c>
      <c r="I27" s="16">
        <f t="shared" si="10"/>
        <v>5</v>
      </c>
      <c r="J27" s="18">
        <f t="shared" si="2"/>
        <v>0.625</v>
      </c>
      <c r="K27" s="17">
        <v>1.84</v>
      </c>
      <c r="L27" s="19">
        <f t="shared" si="3"/>
        <v>0</v>
      </c>
      <c r="M27" s="20">
        <f t="shared" si="4"/>
        <v>163.102936</v>
      </c>
      <c r="N27" s="21">
        <f t="shared" si="9"/>
        <v>1.84</v>
      </c>
      <c r="O27" s="21">
        <f t="shared" si="5"/>
        <v>1472</v>
      </c>
      <c r="P27" s="22">
        <f t="shared" si="6"/>
        <v>130482.3488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 ht="15.0" customHeight="1">
      <c r="A28" s="30"/>
      <c r="B28" s="11">
        <v>46145.0</v>
      </c>
      <c r="C28" s="12">
        <f>VLOOKUP(B:B,'Курс валют'!A:D,4,0)</f>
        <v>88.6429</v>
      </c>
      <c r="D28" s="13" t="s">
        <v>356</v>
      </c>
      <c r="E28" s="26" t="s">
        <v>106</v>
      </c>
      <c r="F28" s="15">
        <v>800.0</v>
      </c>
      <c r="G28" s="16">
        <v>805.0</v>
      </c>
      <c r="H28" s="17">
        <v>0.0</v>
      </c>
      <c r="I28" s="16">
        <f t="shared" si="10"/>
        <v>5</v>
      </c>
      <c r="J28" s="18">
        <f t="shared" si="2"/>
        <v>0.625</v>
      </c>
      <c r="K28" s="17">
        <v>1.84</v>
      </c>
      <c r="L28" s="19">
        <f t="shared" si="3"/>
        <v>0</v>
      </c>
      <c r="M28" s="20">
        <f t="shared" si="4"/>
        <v>163.102936</v>
      </c>
      <c r="N28" s="21">
        <f t="shared" si="9"/>
        <v>1.84</v>
      </c>
      <c r="O28" s="21">
        <f t="shared" si="5"/>
        <v>1472</v>
      </c>
      <c r="P28" s="22">
        <f t="shared" si="6"/>
        <v>130482.3488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46145.0</v>
      </c>
      <c r="C29" s="12">
        <f>VLOOKUP(B:B,'Курс валют'!A:D,4,0)</f>
        <v>88.6429</v>
      </c>
      <c r="D29" s="13" t="s">
        <v>357</v>
      </c>
      <c r="E29" s="26" t="s">
        <v>106</v>
      </c>
      <c r="F29" s="15">
        <v>800.0</v>
      </c>
      <c r="G29" s="16">
        <v>805.0</v>
      </c>
      <c r="H29" s="17">
        <v>0.0</v>
      </c>
      <c r="I29" s="16">
        <f t="shared" si="10"/>
        <v>5</v>
      </c>
      <c r="J29" s="18">
        <f t="shared" si="2"/>
        <v>0.625</v>
      </c>
      <c r="K29" s="17">
        <v>1.84</v>
      </c>
      <c r="L29" s="19">
        <f t="shared" si="3"/>
        <v>0</v>
      </c>
      <c r="M29" s="20">
        <f t="shared" si="4"/>
        <v>163.102936</v>
      </c>
      <c r="N29" s="21">
        <f t="shared" si="9"/>
        <v>1.84</v>
      </c>
      <c r="O29" s="21">
        <f t="shared" si="5"/>
        <v>1472</v>
      </c>
      <c r="P29" s="22">
        <f t="shared" si="6"/>
        <v>130482.3488</v>
      </c>
      <c r="R29" s="23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46145.0</v>
      </c>
      <c r="C30" s="12">
        <f>VLOOKUP(B:B,'Курс валют'!A:D,4,0)</f>
        <v>88.6429</v>
      </c>
      <c r="D30" s="13" t="s">
        <v>358</v>
      </c>
      <c r="E30" s="26" t="s">
        <v>106</v>
      </c>
      <c r="F30" s="15">
        <v>800.0</v>
      </c>
      <c r="G30" s="16">
        <v>805.0</v>
      </c>
      <c r="H30" s="17">
        <v>0.0</v>
      </c>
      <c r="I30" s="16">
        <f t="shared" si="10"/>
        <v>5</v>
      </c>
      <c r="J30" s="18">
        <f t="shared" si="2"/>
        <v>0.625</v>
      </c>
      <c r="K30" s="17">
        <v>1.84</v>
      </c>
      <c r="L30" s="19">
        <f t="shared" si="3"/>
        <v>0</v>
      </c>
      <c r="M30" s="20">
        <f t="shared" si="4"/>
        <v>163.102936</v>
      </c>
      <c r="N30" s="21">
        <f t="shared" si="9"/>
        <v>1.84</v>
      </c>
      <c r="O30" s="21">
        <f t="shared" si="5"/>
        <v>1472</v>
      </c>
      <c r="P30" s="22">
        <f t="shared" si="6"/>
        <v>130482.3488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46145.0</v>
      </c>
      <c r="C31" s="12">
        <f>VLOOKUP(B:B,'Курс валют'!A:D,4,0)</f>
        <v>88.6429</v>
      </c>
      <c r="D31" s="13" t="s">
        <v>359</v>
      </c>
      <c r="E31" s="26" t="s">
        <v>106</v>
      </c>
      <c r="F31" s="15">
        <v>800.0</v>
      </c>
      <c r="G31" s="16">
        <v>805.0</v>
      </c>
      <c r="H31" s="17">
        <v>0.0</v>
      </c>
      <c r="I31" s="16">
        <f t="shared" si="10"/>
        <v>5</v>
      </c>
      <c r="J31" s="18">
        <f t="shared" si="2"/>
        <v>0.625</v>
      </c>
      <c r="K31" s="17">
        <v>1.84</v>
      </c>
      <c r="L31" s="19">
        <f t="shared" si="3"/>
        <v>0</v>
      </c>
      <c r="M31" s="20">
        <f t="shared" si="4"/>
        <v>163.102936</v>
      </c>
      <c r="N31" s="21">
        <f t="shared" si="9"/>
        <v>1.84</v>
      </c>
      <c r="O31" s="21">
        <f t="shared" si="5"/>
        <v>1472</v>
      </c>
      <c r="P31" s="22">
        <f t="shared" si="6"/>
        <v>130482.3488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46145.0</v>
      </c>
      <c r="C32" s="12">
        <f>VLOOKUP(B:B,'Курс валют'!A:D,4,0)</f>
        <v>88.6429</v>
      </c>
      <c r="D32" s="13" t="s">
        <v>360</v>
      </c>
      <c r="E32" s="26" t="s">
        <v>106</v>
      </c>
      <c r="F32" s="15">
        <v>800.0</v>
      </c>
      <c r="G32" s="16">
        <v>805.0</v>
      </c>
      <c r="H32" s="17">
        <v>0.0</v>
      </c>
      <c r="I32" s="16">
        <f t="shared" si="10"/>
        <v>5</v>
      </c>
      <c r="J32" s="18">
        <f t="shared" si="2"/>
        <v>0.625</v>
      </c>
      <c r="K32" s="17">
        <v>1.84</v>
      </c>
      <c r="L32" s="19">
        <f t="shared" si="3"/>
        <v>0</v>
      </c>
      <c r="M32" s="20">
        <f t="shared" si="4"/>
        <v>163.102936</v>
      </c>
      <c r="N32" s="21">
        <f t="shared" si="9"/>
        <v>1.84</v>
      </c>
      <c r="O32" s="21">
        <f t="shared" si="5"/>
        <v>1472</v>
      </c>
      <c r="P32" s="22">
        <f t="shared" si="6"/>
        <v>130482.3488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46145.0</v>
      </c>
      <c r="C33" s="12">
        <f>VLOOKUP(B:B,'Курс валют'!A:D,4,0)</f>
        <v>88.6429</v>
      </c>
      <c r="D33" s="13" t="s">
        <v>361</v>
      </c>
      <c r="E33" s="26" t="s">
        <v>106</v>
      </c>
      <c r="F33" s="15">
        <v>800.0</v>
      </c>
      <c r="G33" s="16">
        <v>805.0</v>
      </c>
      <c r="H33" s="17">
        <v>0.0</v>
      </c>
      <c r="I33" s="16">
        <f t="shared" si="10"/>
        <v>5</v>
      </c>
      <c r="J33" s="18">
        <f t="shared" si="2"/>
        <v>0.625</v>
      </c>
      <c r="K33" s="17">
        <v>1.84</v>
      </c>
      <c r="L33" s="19">
        <f t="shared" si="3"/>
        <v>0</v>
      </c>
      <c r="M33" s="20">
        <f t="shared" si="4"/>
        <v>163.102936</v>
      </c>
      <c r="N33" s="21">
        <f t="shared" si="9"/>
        <v>1.84</v>
      </c>
      <c r="O33" s="21">
        <f t="shared" si="5"/>
        <v>1472</v>
      </c>
      <c r="P33" s="22">
        <f t="shared" si="6"/>
        <v>130482.3488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46145.0</v>
      </c>
      <c r="C34" s="12">
        <f>VLOOKUP(B:B,'Курс валют'!A:D,4,0)</f>
        <v>88.6429</v>
      </c>
      <c r="D34" s="13" t="s">
        <v>362</v>
      </c>
      <c r="E34" s="26" t="s">
        <v>106</v>
      </c>
      <c r="F34" s="15">
        <v>800.0</v>
      </c>
      <c r="G34" s="16">
        <v>805.0</v>
      </c>
      <c r="H34" s="17">
        <v>0.0</v>
      </c>
      <c r="I34" s="16">
        <f t="shared" si="10"/>
        <v>5</v>
      </c>
      <c r="J34" s="18">
        <f t="shared" si="2"/>
        <v>0.625</v>
      </c>
      <c r="K34" s="17">
        <v>1.84</v>
      </c>
      <c r="L34" s="19">
        <f t="shared" si="3"/>
        <v>0</v>
      </c>
      <c r="M34" s="20">
        <f t="shared" si="4"/>
        <v>163.102936</v>
      </c>
      <c r="N34" s="21">
        <f t="shared" si="9"/>
        <v>1.84</v>
      </c>
      <c r="O34" s="21">
        <f t="shared" si="5"/>
        <v>1472</v>
      </c>
      <c r="P34" s="22">
        <f t="shared" si="6"/>
        <v>130482.3488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46145.0</v>
      </c>
      <c r="C35" s="12">
        <f>VLOOKUP(B:B,'Курс валют'!A:D,4,0)</f>
        <v>88.6429</v>
      </c>
      <c r="D35" s="13" t="s">
        <v>363</v>
      </c>
      <c r="E35" s="26" t="s">
        <v>106</v>
      </c>
      <c r="F35" s="15">
        <v>800.0</v>
      </c>
      <c r="G35" s="16">
        <v>805.0</v>
      </c>
      <c r="H35" s="17">
        <v>0.0</v>
      </c>
      <c r="I35" s="16">
        <f t="shared" si="10"/>
        <v>5</v>
      </c>
      <c r="J35" s="18">
        <f t="shared" si="2"/>
        <v>0.625</v>
      </c>
      <c r="K35" s="17">
        <v>1.84</v>
      </c>
      <c r="L35" s="19">
        <f t="shared" si="3"/>
        <v>0</v>
      </c>
      <c r="M35" s="20">
        <f t="shared" si="4"/>
        <v>163.102936</v>
      </c>
      <c r="N35" s="21">
        <f t="shared" si="9"/>
        <v>1.84</v>
      </c>
      <c r="O35" s="21">
        <f t="shared" si="5"/>
        <v>1472</v>
      </c>
      <c r="P35" s="22">
        <f t="shared" si="6"/>
        <v>130482.3488</v>
      </c>
      <c r="R35" s="23"/>
      <c r="S35" s="57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46146.0</v>
      </c>
      <c r="C36" s="12">
        <f>VLOOKUP(B:B,'Курс валют'!A:D,4,0)</f>
        <v>88.6429</v>
      </c>
      <c r="D36" s="13" t="s">
        <v>364</v>
      </c>
      <c r="E36" s="59" t="s">
        <v>107</v>
      </c>
      <c r="F36" s="15">
        <v>1920.0</v>
      </c>
      <c r="G36" s="16">
        <v>1953.03</v>
      </c>
      <c r="H36" s="17">
        <v>0.0</v>
      </c>
      <c r="I36" s="16">
        <f t="shared" si="10"/>
        <v>33.03</v>
      </c>
      <c r="J36" s="18">
        <f t="shared" si="2"/>
        <v>1.7203125</v>
      </c>
      <c r="K36" s="58">
        <v>2.64</v>
      </c>
      <c r="L36" s="19">
        <f t="shared" si="3"/>
        <v>0</v>
      </c>
      <c r="M36" s="20">
        <f t="shared" si="4"/>
        <v>234.017256</v>
      </c>
      <c r="N36" s="21">
        <f t="shared" si="9"/>
        <v>2.64</v>
      </c>
      <c r="O36" s="21">
        <f t="shared" si="5"/>
        <v>5068.8</v>
      </c>
      <c r="P36" s="22">
        <f t="shared" si="6"/>
        <v>449313.1315</v>
      </c>
      <c r="R36" s="23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46146.0</v>
      </c>
      <c r="C37" s="12">
        <f>VLOOKUP(B:B,'Курс валют'!A:D,4,0)</f>
        <v>88.6429</v>
      </c>
      <c r="D37" s="13" t="s">
        <v>365</v>
      </c>
      <c r="E37" s="35" t="s">
        <v>18</v>
      </c>
      <c r="F37" s="15">
        <v>1100.0</v>
      </c>
      <c r="G37" s="60">
        <v>1106.5</v>
      </c>
      <c r="H37" s="17">
        <v>484.5</v>
      </c>
      <c r="I37" s="16">
        <f t="shared" si="10"/>
        <v>6.5</v>
      </c>
      <c r="J37" s="18">
        <f t="shared" si="2"/>
        <v>0.5909090909</v>
      </c>
      <c r="K37" s="58">
        <v>12.29</v>
      </c>
      <c r="L37" s="19">
        <f t="shared" si="3"/>
        <v>44.04545455</v>
      </c>
      <c r="M37" s="20">
        <f t="shared" si="4"/>
        <v>210.9499559</v>
      </c>
      <c r="N37" s="21">
        <f>(F37*K37-H37*22.5)/F37</f>
        <v>2.379772727</v>
      </c>
      <c r="O37" s="21">
        <f t="shared" si="5"/>
        <v>2617.75</v>
      </c>
      <c r="P37" s="22">
        <f t="shared" si="6"/>
        <v>232044.9515</v>
      </c>
      <c r="R37" s="23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46146.0</v>
      </c>
      <c r="C38" s="12">
        <f>VLOOKUP(B:B,'Курс валют'!A:D,4,0)</f>
        <v>88.6429</v>
      </c>
      <c r="D38" s="13" t="s">
        <v>366</v>
      </c>
      <c r="E38" s="59" t="s">
        <v>18</v>
      </c>
      <c r="F38" s="15">
        <v>1100.0</v>
      </c>
      <c r="G38" s="60">
        <v>1106.5</v>
      </c>
      <c r="H38" s="17">
        <v>0.0</v>
      </c>
      <c r="I38" s="16">
        <f t="shared" si="10"/>
        <v>6.5</v>
      </c>
      <c r="J38" s="18">
        <f t="shared" si="2"/>
        <v>0.5909090909</v>
      </c>
      <c r="K38" s="58">
        <v>2.36</v>
      </c>
      <c r="L38" s="19">
        <f t="shared" si="3"/>
        <v>0</v>
      </c>
      <c r="M38" s="20">
        <f t="shared" si="4"/>
        <v>209.197244</v>
      </c>
      <c r="N38" s="21">
        <f t="shared" ref="N38:N262" si="11">(F38*K38-H38*3.04)/F38</f>
        <v>2.36</v>
      </c>
      <c r="O38" s="21">
        <f t="shared" si="5"/>
        <v>2596</v>
      </c>
      <c r="P38" s="22">
        <f t="shared" si="6"/>
        <v>230116.9684</v>
      </c>
      <c r="R38" s="23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46146.0</v>
      </c>
      <c r="C39" s="12">
        <f>VLOOKUP(B:B,'Курс валют'!A:D,4,0)</f>
        <v>88.6429</v>
      </c>
      <c r="D39" s="13" t="s">
        <v>367</v>
      </c>
      <c r="E39" s="59" t="s">
        <v>18</v>
      </c>
      <c r="F39" s="15">
        <v>1100.0</v>
      </c>
      <c r="G39" s="60">
        <v>1106.5</v>
      </c>
      <c r="H39" s="17">
        <v>0.0</v>
      </c>
      <c r="I39" s="16">
        <f t="shared" si="10"/>
        <v>6.5</v>
      </c>
      <c r="J39" s="18">
        <f t="shared" si="2"/>
        <v>0.5909090909</v>
      </c>
      <c r="K39" s="58">
        <v>2.36</v>
      </c>
      <c r="L39" s="19">
        <f t="shared" si="3"/>
        <v>0</v>
      </c>
      <c r="M39" s="20">
        <f t="shared" si="4"/>
        <v>209.197244</v>
      </c>
      <c r="N39" s="21">
        <f t="shared" si="11"/>
        <v>2.36</v>
      </c>
      <c r="O39" s="21">
        <f t="shared" si="5"/>
        <v>2596</v>
      </c>
      <c r="P39" s="22">
        <f t="shared" si="6"/>
        <v>230116.9684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11">
        <v>46146.0</v>
      </c>
      <c r="C40" s="12">
        <f>VLOOKUP(B:B,'Курс валют'!A:D,4,0)</f>
        <v>88.6429</v>
      </c>
      <c r="D40" s="13" t="s">
        <v>368</v>
      </c>
      <c r="E40" s="59" t="s">
        <v>18</v>
      </c>
      <c r="F40" s="15">
        <v>1100.0</v>
      </c>
      <c r="G40" s="60">
        <v>1106.5</v>
      </c>
      <c r="H40" s="17">
        <v>0.0</v>
      </c>
      <c r="I40" s="16">
        <f t="shared" si="10"/>
        <v>6.5</v>
      </c>
      <c r="J40" s="18">
        <f t="shared" si="2"/>
        <v>0.5909090909</v>
      </c>
      <c r="K40" s="58">
        <v>2.36</v>
      </c>
      <c r="L40" s="19">
        <f t="shared" si="3"/>
        <v>0</v>
      </c>
      <c r="M40" s="20">
        <f t="shared" si="4"/>
        <v>209.197244</v>
      </c>
      <c r="N40" s="21">
        <f t="shared" si="11"/>
        <v>2.36</v>
      </c>
      <c r="O40" s="21">
        <f t="shared" si="5"/>
        <v>2596</v>
      </c>
      <c r="P40" s="22">
        <f t="shared" si="6"/>
        <v>230116.9684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11">
        <v>46146.0</v>
      </c>
      <c r="C41" s="12">
        <f>VLOOKUP(B:B,'Курс валют'!A:D,4,0)</f>
        <v>88.6429</v>
      </c>
      <c r="D41" s="13" t="s">
        <v>369</v>
      </c>
      <c r="E41" s="59" t="s">
        <v>18</v>
      </c>
      <c r="F41" s="15">
        <v>1100.0</v>
      </c>
      <c r="G41" s="60">
        <v>1106.5</v>
      </c>
      <c r="H41" s="17">
        <v>0.0</v>
      </c>
      <c r="I41" s="16">
        <f t="shared" si="10"/>
        <v>6.5</v>
      </c>
      <c r="J41" s="18">
        <f t="shared" si="2"/>
        <v>0.5909090909</v>
      </c>
      <c r="K41" s="58">
        <v>2.36</v>
      </c>
      <c r="L41" s="19">
        <f t="shared" si="3"/>
        <v>0</v>
      </c>
      <c r="M41" s="20">
        <f t="shared" si="4"/>
        <v>209.197244</v>
      </c>
      <c r="N41" s="21">
        <f t="shared" si="11"/>
        <v>2.36</v>
      </c>
      <c r="O41" s="21">
        <f t="shared" si="5"/>
        <v>2596</v>
      </c>
      <c r="P41" s="22">
        <f t="shared" si="6"/>
        <v>230116.9684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46146.0</v>
      </c>
      <c r="C42" s="12">
        <f>VLOOKUP(B:B,'Курс валют'!A:D,4,0)</f>
        <v>88.6429</v>
      </c>
      <c r="D42" s="13" t="s">
        <v>370</v>
      </c>
      <c r="E42" s="59" t="s">
        <v>18</v>
      </c>
      <c r="F42" s="15">
        <v>1100.0</v>
      </c>
      <c r="G42" s="60">
        <v>1106.5</v>
      </c>
      <c r="H42" s="17">
        <v>0.0</v>
      </c>
      <c r="I42" s="16">
        <f t="shared" si="10"/>
        <v>6.5</v>
      </c>
      <c r="J42" s="18">
        <f t="shared" si="2"/>
        <v>0.5909090909</v>
      </c>
      <c r="K42" s="58">
        <v>2.36</v>
      </c>
      <c r="L42" s="19">
        <f t="shared" si="3"/>
        <v>0</v>
      </c>
      <c r="M42" s="20">
        <f t="shared" si="4"/>
        <v>209.197244</v>
      </c>
      <c r="N42" s="21">
        <f t="shared" si="11"/>
        <v>2.36</v>
      </c>
      <c r="O42" s="21">
        <f t="shared" si="5"/>
        <v>2596</v>
      </c>
      <c r="P42" s="22">
        <f t="shared" si="6"/>
        <v>230116.9684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11">
        <v>46146.0</v>
      </c>
      <c r="C43" s="12">
        <f>VLOOKUP(B:B,'Курс валют'!A:D,4,0)</f>
        <v>88.6429</v>
      </c>
      <c r="D43" s="13" t="s">
        <v>371</v>
      </c>
      <c r="E43" s="59" t="s">
        <v>18</v>
      </c>
      <c r="F43" s="15">
        <v>1100.0</v>
      </c>
      <c r="G43" s="60">
        <v>1106.5</v>
      </c>
      <c r="H43" s="17">
        <v>0.0</v>
      </c>
      <c r="I43" s="16">
        <f t="shared" si="10"/>
        <v>6.5</v>
      </c>
      <c r="J43" s="18">
        <f t="shared" si="2"/>
        <v>0.5909090909</v>
      </c>
      <c r="K43" s="58">
        <v>2.36</v>
      </c>
      <c r="L43" s="19">
        <f t="shared" si="3"/>
        <v>0</v>
      </c>
      <c r="M43" s="20">
        <f t="shared" si="4"/>
        <v>209.197244</v>
      </c>
      <c r="N43" s="21">
        <f t="shared" si="11"/>
        <v>2.36</v>
      </c>
      <c r="O43" s="21">
        <f t="shared" si="5"/>
        <v>2596</v>
      </c>
      <c r="P43" s="22">
        <f t="shared" si="6"/>
        <v>230116.9684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46146.0</v>
      </c>
      <c r="C44" s="12">
        <f>VLOOKUP(B:B,'Курс валют'!A:D,4,0)</f>
        <v>88.6429</v>
      </c>
      <c r="D44" s="13" t="s">
        <v>372</v>
      </c>
      <c r="E44" s="59" t="s">
        <v>18</v>
      </c>
      <c r="F44" s="15">
        <v>1100.0</v>
      </c>
      <c r="G44" s="60">
        <v>1106.5</v>
      </c>
      <c r="H44" s="17">
        <v>0.0</v>
      </c>
      <c r="I44" s="16">
        <f t="shared" si="10"/>
        <v>6.5</v>
      </c>
      <c r="J44" s="18">
        <f t="shared" si="2"/>
        <v>0.5909090909</v>
      </c>
      <c r="K44" s="58">
        <v>2.36</v>
      </c>
      <c r="L44" s="19">
        <f t="shared" si="3"/>
        <v>0</v>
      </c>
      <c r="M44" s="20">
        <f t="shared" si="4"/>
        <v>209.197244</v>
      </c>
      <c r="N44" s="21">
        <f t="shared" si="11"/>
        <v>2.36</v>
      </c>
      <c r="O44" s="21">
        <f t="shared" si="5"/>
        <v>2596</v>
      </c>
      <c r="P44" s="22">
        <f t="shared" si="6"/>
        <v>230116.9684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46146.0</v>
      </c>
      <c r="C45" s="12">
        <f>VLOOKUP(B:B,'Курс валют'!A:D,4,0)</f>
        <v>88.6429</v>
      </c>
      <c r="D45" s="13" t="s">
        <v>373</v>
      </c>
      <c r="E45" s="59" t="s">
        <v>128</v>
      </c>
      <c r="F45" s="15">
        <v>1980.0</v>
      </c>
      <c r="G45" s="60">
        <v>2004.32</v>
      </c>
      <c r="H45" s="17">
        <v>0.0</v>
      </c>
      <c r="I45" s="16">
        <f t="shared" si="10"/>
        <v>24.32</v>
      </c>
      <c r="J45" s="18">
        <f t="shared" si="2"/>
        <v>1.228282828</v>
      </c>
      <c r="K45" s="17">
        <v>1.82</v>
      </c>
      <c r="L45" s="19">
        <f t="shared" si="3"/>
        <v>0</v>
      </c>
      <c r="M45" s="20">
        <f t="shared" si="4"/>
        <v>161.330078</v>
      </c>
      <c r="N45" s="21">
        <f t="shared" si="11"/>
        <v>1.82</v>
      </c>
      <c r="O45" s="21">
        <f t="shared" si="5"/>
        <v>3603.6</v>
      </c>
      <c r="P45" s="22">
        <f t="shared" si="6"/>
        <v>319433.5544</v>
      </c>
      <c r="R45" s="23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46146.0</v>
      </c>
      <c r="C46" s="12">
        <f>VLOOKUP(B:B,'Курс валют'!A:D,4,0)</f>
        <v>88.6429</v>
      </c>
      <c r="D46" s="13" t="s">
        <v>374</v>
      </c>
      <c r="E46" s="59" t="s">
        <v>18</v>
      </c>
      <c r="F46" s="15">
        <v>1100.0</v>
      </c>
      <c r="G46" s="60">
        <v>1106.5</v>
      </c>
      <c r="H46" s="17">
        <v>0.0</v>
      </c>
      <c r="I46" s="16">
        <f t="shared" si="10"/>
        <v>6.5</v>
      </c>
      <c r="J46" s="18">
        <f t="shared" si="2"/>
        <v>0.5909090909</v>
      </c>
      <c r="K46" s="58">
        <v>2.36</v>
      </c>
      <c r="L46" s="19">
        <f t="shared" si="3"/>
        <v>0</v>
      </c>
      <c r="M46" s="20">
        <f t="shared" si="4"/>
        <v>209.197244</v>
      </c>
      <c r="N46" s="21">
        <f t="shared" si="11"/>
        <v>2.36</v>
      </c>
      <c r="O46" s="21">
        <f t="shared" si="5"/>
        <v>2596</v>
      </c>
      <c r="P46" s="22">
        <f t="shared" si="6"/>
        <v>230116.9684</v>
      </c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46146.0</v>
      </c>
      <c r="C47" s="12">
        <f>VLOOKUP(B:B,'Курс валют'!A:D,4,0)</f>
        <v>88.6429</v>
      </c>
      <c r="D47" s="13" t="s">
        <v>375</v>
      </c>
      <c r="E47" s="59" t="s">
        <v>18</v>
      </c>
      <c r="F47" s="15">
        <v>1100.0</v>
      </c>
      <c r="G47" s="60">
        <v>1106.5</v>
      </c>
      <c r="H47" s="17">
        <v>0.0</v>
      </c>
      <c r="I47" s="16">
        <f t="shared" si="10"/>
        <v>6.5</v>
      </c>
      <c r="J47" s="18">
        <f t="shared" si="2"/>
        <v>0.5909090909</v>
      </c>
      <c r="K47" s="58">
        <v>2.36</v>
      </c>
      <c r="L47" s="19">
        <f t="shared" si="3"/>
        <v>0</v>
      </c>
      <c r="M47" s="20">
        <f t="shared" si="4"/>
        <v>209.197244</v>
      </c>
      <c r="N47" s="21">
        <f t="shared" si="11"/>
        <v>2.36</v>
      </c>
      <c r="O47" s="21">
        <f t="shared" si="5"/>
        <v>2596</v>
      </c>
      <c r="P47" s="22">
        <f t="shared" si="6"/>
        <v>230116.9684</v>
      </c>
      <c r="R47" s="23"/>
      <c r="S47" s="24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46147.0</v>
      </c>
      <c r="C48" s="12">
        <f>VLOOKUP(B:B,'Курс валют'!A:D,4,0)</f>
        <v>88.2651</v>
      </c>
      <c r="D48" s="13" t="s">
        <v>376</v>
      </c>
      <c r="E48" s="59" t="s">
        <v>18</v>
      </c>
      <c r="F48" s="15">
        <v>1100.0</v>
      </c>
      <c r="G48" s="61">
        <v>1108.5</v>
      </c>
      <c r="H48" s="58">
        <v>0.0</v>
      </c>
      <c r="I48" s="16">
        <f t="shared" si="10"/>
        <v>8.5</v>
      </c>
      <c r="J48" s="18">
        <f t="shared" si="2"/>
        <v>0.7727272727</v>
      </c>
      <c r="K48" s="17">
        <v>2.37</v>
      </c>
      <c r="L48" s="19">
        <f t="shared" si="3"/>
        <v>0</v>
      </c>
      <c r="M48" s="20">
        <f t="shared" si="4"/>
        <v>209.188287</v>
      </c>
      <c r="N48" s="21">
        <f t="shared" si="11"/>
        <v>2.37</v>
      </c>
      <c r="O48" s="21">
        <f t="shared" si="5"/>
        <v>2607</v>
      </c>
      <c r="P48" s="22">
        <f t="shared" si="6"/>
        <v>230107.1157</v>
      </c>
      <c r="R48" s="23"/>
      <c r="S48" s="24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46147.0</v>
      </c>
      <c r="C49" s="12">
        <f>VLOOKUP(B:B,'Курс валют'!A:D,4,0)</f>
        <v>88.2651</v>
      </c>
      <c r="D49" s="13" t="s">
        <v>377</v>
      </c>
      <c r="E49" s="59" t="s">
        <v>18</v>
      </c>
      <c r="F49" s="15">
        <v>1100.0</v>
      </c>
      <c r="G49" s="61">
        <v>1108.5</v>
      </c>
      <c r="H49" s="58">
        <v>0.0</v>
      </c>
      <c r="I49" s="16">
        <f t="shared" si="10"/>
        <v>8.5</v>
      </c>
      <c r="J49" s="18">
        <f t="shared" si="2"/>
        <v>0.7727272727</v>
      </c>
      <c r="K49" s="17">
        <v>2.36</v>
      </c>
      <c r="L49" s="19">
        <f t="shared" si="3"/>
        <v>0</v>
      </c>
      <c r="M49" s="20">
        <f t="shared" si="4"/>
        <v>208.305636</v>
      </c>
      <c r="N49" s="21">
        <f t="shared" si="11"/>
        <v>2.36</v>
      </c>
      <c r="O49" s="21">
        <f t="shared" si="5"/>
        <v>2596</v>
      </c>
      <c r="P49" s="22">
        <f t="shared" si="6"/>
        <v>229136.1996</v>
      </c>
      <c r="R49" s="23"/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46147.0</v>
      </c>
      <c r="C50" s="12">
        <f>VLOOKUP(B:B,'Курс валют'!A:D,4,0)</f>
        <v>88.2651</v>
      </c>
      <c r="D50" s="13" t="s">
        <v>378</v>
      </c>
      <c r="E50" s="59" t="s">
        <v>18</v>
      </c>
      <c r="F50" s="15">
        <v>1100.0</v>
      </c>
      <c r="G50" s="61">
        <v>1108.5</v>
      </c>
      <c r="H50" s="58">
        <v>0.0</v>
      </c>
      <c r="I50" s="16">
        <f t="shared" si="10"/>
        <v>8.5</v>
      </c>
      <c r="J50" s="18">
        <f t="shared" si="2"/>
        <v>0.7727272727</v>
      </c>
      <c r="K50" s="17">
        <v>2.36</v>
      </c>
      <c r="L50" s="19">
        <f t="shared" si="3"/>
        <v>0</v>
      </c>
      <c r="M50" s="20">
        <f t="shared" si="4"/>
        <v>208.305636</v>
      </c>
      <c r="N50" s="21">
        <f t="shared" si="11"/>
        <v>2.36</v>
      </c>
      <c r="O50" s="21">
        <f t="shared" si="5"/>
        <v>2596</v>
      </c>
      <c r="P50" s="22">
        <f t="shared" si="6"/>
        <v>229136.1996</v>
      </c>
      <c r="R50" s="23"/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46147.0</v>
      </c>
      <c r="C51" s="12">
        <f>VLOOKUP(B:B,'Курс валют'!A:D,4,0)</f>
        <v>88.2651</v>
      </c>
      <c r="D51" s="13" t="s">
        <v>379</v>
      </c>
      <c r="E51" s="59" t="s">
        <v>18</v>
      </c>
      <c r="F51" s="15">
        <v>1100.0</v>
      </c>
      <c r="G51" s="61">
        <v>1108.5</v>
      </c>
      <c r="H51" s="58">
        <v>0.0</v>
      </c>
      <c r="I51" s="16">
        <f t="shared" si="10"/>
        <v>8.5</v>
      </c>
      <c r="J51" s="18">
        <f t="shared" si="2"/>
        <v>0.7727272727</v>
      </c>
      <c r="K51" s="17">
        <v>2.37</v>
      </c>
      <c r="L51" s="19">
        <f t="shared" si="3"/>
        <v>0</v>
      </c>
      <c r="M51" s="20">
        <f t="shared" si="4"/>
        <v>209.188287</v>
      </c>
      <c r="N51" s="21">
        <f t="shared" si="11"/>
        <v>2.37</v>
      </c>
      <c r="O51" s="21">
        <f t="shared" si="5"/>
        <v>2607</v>
      </c>
      <c r="P51" s="22">
        <f t="shared" si="6"/>
        <v>230107.1157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46147.0</v>
      </c>
      <c r="C52" s="12">
        <f>VLOOKUP(B:B,'Курс валют'!A:D,4,0)</f>
        <v>88.2651</v>
      </c>
      <c r="D52" s="13" t="s">
        <v>380</v>
      </c>
      <c r="E52" s="59" t="s">
        <v>18</v>
      </c>
      <c r="F52" s="15">
        <v>1100.0</v>
      </c>
      <c r="G52" s="61">
        <v>1108.5</v>
      </c>
      <c r="H52" s="58">
        <v>0.0</v>
      </c>
      <c r="I52" s="16">
        <f t="shared" si="10"/>
        <v>8.5</v>
      </c>
      <c r="J52" s="18">
        <f t="shared" si="2"/>
        <v>0.7727272727</v>
      </c>
      <c r="K52" s="17">
        <v>2.36</v>
      </c>
      <c r="L52" s="19">
        <f t="shared" si="3"/>
        <v>0</v>
      </c>
      <c r="M52" s="20">
        <f t="shared" si="4"/>
        <v>208.305636</v>
      </c>
      <c r="N52" s="21">
        <f t="shared" si="11"/>
        <v>2.36</v>
      </c>
      <c r="O52" s="21">
        <f t="shared" si="5"/>
        <v>2596</v>
      </c>
      <c r="P52" s="22">
        <f t="shared" si="6"/>
        <v>229136.1996</v>
      </c>
      <c r="R52" s="23"/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46147.0</v>
      </c>
      <c r="C53" s="12">
        <f>VLOOKUP(B:B,'Курс валют'!A:D,4,0)</f>
        <v>88.2651</v>
      </c>
      <c r="D53" s="13" t="s">
        <v>381</v>
      </c>
      <c r="E53" s="59" t="s">
        <v>107</v>
      </c>
      <c r="F53" s="15">
        <v>1680.0</v>
      </c>
      <c r="G53" s="61">
        <v>1699.36</v>
      </c>
      <c r="H53" s="58">
        <v>0.0</v>
      </c>
      <c r="I53" s="16">
        <f t="shared" si="10"/>
        <v>19.36</v>
      </c>
      <c r="J53" s="18">
        <f t="shared" si="2"/>
        <v>1.152380952</v>
      </c>
      <c r="K53" s="62">
        <v>2.63</v>
      </c>
      <c r="L53" s="19">
        <f t="shared" si="3"/>
        <v>0</v>
      </c>
      <c r="M53" s="20">
        <f t="shared" si="4"/>
        <v>232.137213</v>
      </c>
      <c r="N53" s="21">
        <f t="shared" si="11"/>
        <v>2.63</v>
      </c>
      <c r="O53" s="21">
        <f t="shared" si="5"/>
        <v>4418.4</v>
      </c>
      <c r="P53" s="22">
        <f t="shared" si="6"/>
        <v>389990.5178</v>
      </c>
      <c r="R53" s="23"/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46147.0</v>
      </c>
      <c r="C54" s="12">
        <f>VLOOKUP(B:B,'Курс валют'!A:D,4,0)</f>
        <v>88.2651</v>
      </c>
      <c r="D54" s="13" t="s">
        <v>382</v>
      </c>
      <c r="E54" s="59" t="s">
        <v>128</v>
      </c>
      <c r="F54" s="15">
        <v>1980.0</v>
      </c>
      <c r="G54" s="61">
        <v>2004.32</v>
      </c>
      <c r="H54" s="58">
        <v>0.0</v>
      </c>
      <c r="I54" s="16">
        <f t="shared" si="10"/>
        <v>24.32</v>
      </c>
      <c r="J54" s="18">
        <f t="shared" si="2"/>
        <v>1.228282828</v>
      </c>
      <c r="K54" s="62">
        <v>1.82</v>
      </c>
      <c r="L54" s="19">
        <f t="shared" si="3"/>
        <v>0</v>
      </c>
      <c r="M54" s="20">
        <f t="shared" si="4"/>
        <v>160.642482</v>
      </c>
      <c r="N54" s="21">
        <f t="shared" si="11"/>
        <v>1.82</v>
      </c>
      <c r="O54" s="21">
        <f t="shared" si="5"/>
        <v>3603.6</v>
      </c>
      <c r="P54" s="22">
        <f t="shared" si="6"/>
        <v>318072.1144</v>
      </c>
      <c r="R54" s="23"/>
      <c r="S54" s="24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46147.0</v>
      </c>
      <c r="C55" s="12">
        <f>VLOOKUP(B:B,'Курс валют'!A:D,4,0)</f>
        <v>88.2651</v>
      </c>
      <c r="D55" s="13" t="s">
        <v>383</v>
      </c>
      <c r="E55" s="59" t="s">
        <v>18</v>
      </c>
      <c r="F55" s="15">
        <v>1100.0</v>
      </c>
      <c r="G55" s="61">
        <v>1108.5</v>
      </c>
      <c r="H55" s="58">
        <v>0.0</v>
      </c>
      <c r="I55" s="16">
        <f t="shared" si="10"/>
        <v>8.5</v>
      </c>
      <c r="J55" s="18">
        <f t="shared" si="2"/>
        <v>0.7727272727</v>
      </c>
      <c r="K55" s="17">
        <v>2.36</v>
      </c>
      <c r="L55" s="19">
        <f t="shared" si="3"/>
        <v>0</v>
      </c>
      <c r="M55" s="20">
        <f t="shared" si="4"/>
        <v>208.305636</v>
      </c>
      <c r="N55" s="21">
        <f t="shared" si="11"/>
        <v>2.36</v>
      </c>
      <c r="O55" s="21">
        <f t="shared" si="5"/>
        <v>2596</v>
      </c>
      <c r="P55" s="22">
        <f t="shared" si="6"/>
        <v>229136.1996</v>
      </c>
      <c r="R55" s="23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46147.0</v>
      </c>
      <c r="C56" s="12">
        <f>VLOOKUP(B:B,'Курс валют'!A:D,4,0)</f>
        <v>88.2651</v>
      </c>
      <c r="D56" s="13" t="s">
        <v>384</v>
      </c>
      <c r="E56" s="59" t="s">
        <v>18</v>
      </c>
      <c r="F56" s="15">
        <v>1100.0</v>
      </c>
      <c r="G56" s="61">
        <v>1108.5</v>
      </c>
      <c r="H56" s="58">
        <v>0.0</v>
      </c>
      <c r="I56" s="16">
        <f t="shared" si="10"/>
        <v>8.5</v>
      </c>
      <c r="J56" s="18">
        <f t="shared" si="2"/>
        <v>0.7727272727</v>
      </c>
      <c r="K56" s="17">
        <v>2.36</v>
      </c>
      <c r="L56" s="19">
        <f t="shared" si="3"/>
        <v>0</v>
      </c>
      <c r="M56" s="20">
        <f t="shared" si="4"/>
        <v>208.305636</v>
      </c>
      <c r="N56" s="21">
        <f t="shared" si="11"/>
        <v>2.36</v>
      </c>
      <c r="O56" s="21">
        <f t="shared" si="5"/>
        <v>2596</v>
      </c>
      <c r="P56" s="22">
        <f t="shared" si="6"/>
        <v>229136.1996</v>
      </c>
      <c r="R56" s="23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>
        <v>46147.0</v>
      </c>
      <c r="C57" s="12">
        <f>VLOOKUP(B:B,'Курс валют'!A:D,4,0)</f>
        <v>88.2651</v>
      </c>
      <c r="D57" s="13" t="s">
        <v>385</v>
      </c>
      <c r="E57" s="59" t="s">
        <v>18</v>
      </c>
      <c r="F57" s="15">
        <v>1100.0</v>
      </c>
      <c r="G57" s="61">
        <v>1108.5</v>
      </c>
      <c r="H57" s="58">
        <v>0.0</v>
      </c>
      <c r="I57" s="16">
        <f t="shared" si="10"/>
        <v>8.5</v>
      </c>
      <c r="J57" s="18">
        <f t="shared" si="2"/>
        <v>0.7727272727</v>
      </c>
      <c r="K57" s="17">
        <v>2.37</v>
      </c>
      <c r="L57" s="19">
        <f t="shared" si="3"/>
        <v>0</v>
      </c>
      <c r="M57" s="20">
        <f t="shared" si="4"/>
        <v>209.188287</v>
      </c>
      <c r="N57" s="21">
        <f t="shared" si="11"/>
        <v>2.37</v>
      </c>
      <c r="O57" s="21">
        <f t="shared" si="5"/>
        <v>2607</v>
      </c>
      <c r="P57" s="22">
        <f t="shared" si="6"/>
        <v>230107.1157</v>
      </c>
      <c r="R57" s="23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>
        <v>46147.0</v>
      </c>
      <c r="C58" s="12">
        <f>VLOOKUP(B:B,'Курс валют'!A:D,4,0)</f>
        <v>88.2651</v>
      </c>
      <c r="D58" s="13" t="s">
        <v>386</v>
      </c>
      <c r="E58" s="59" t="s">
        <v>18</v>
      </c>
      <c r="F58" s="15">
        <v>1100.0</v>
      </c>
      <c r="G58" s="61">
        <v>1108.5</v>
      </c>
      <c r="H58" s="58">
        <v>0.0</v>
      </c>
      <c r="I58" s="16">
        <f t="shared" si="10"/>
        <v>8.5</v>
      </c>
      <c r="J58" s="18">
        <f t="shared" si="2"/>
        <v>0.7727272727</v>
      </c>
      <c r="K58" s="17">
        <v>2.36</v>
      </c>
      <c r="L58" s="19">
        <f t="shared" si="3"/>
        <v>0</v>
      </c>
      <c r="M58" s="20">
        <f t="shared" si="4"/>
        <v>208.305636</v>
      </c>
      <c r="N58" s="21">
        <f t="shared" si="11"/>
        <v>2.36</v>
      </c>
      <c r="O58" s="21">
        <f t="shared" si="5"/>
        <v>2596</v>
      </c>
      <c r="P58" s="22">
        <f t="shared" si="6"/>
        <v>229136.1996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>
        <v>46147.0</v>
      </c>
      <c r="C59" s="12">
        <f>VLOOKUP(B:B,'Курс валют'!A:D,4,0)</f>
        <v>88.2651</v>
      </c>
      <c r="D59" s="13" t="s">
        <v>387</v>
      </c>
      <c r="E59" s="59" t="s">
        <v>18</v>
      </c>
      <c r="F59" s="15">
        <v>1100.0</v>
      </c>
      <c r="G59" s="61">
        <v>1108.5</v>
      </c>
      <c r="H59" s="58">
        <v>0.0</v>
      </c>
      <c r="I59" s="16">
        <f t="shared" si="10"/>
        <v>8.5</v>
      </c>
      <c r="J59" s="18">
        <f t="shared" si="2"/>
        <v>0.7727272727</v>
      </c>
      <c r="K59" s="17">
        <v>2.37</v>
      </c>
      <c r="L59" s="19">
        <f t="shared" si="3"/>
        <v>0</v>
      </c>
      <c r="M59" s="20">
        <f t="shared" si="4"/>
        <v>209.188287</v>
      </c>
      <c r="N59" s="21">
        <f t="shared" si="11"/>
        <v>2.37</v>
      </c>
      <c r="O59" s="21">
        <f t="shared" si="5"/>
        <v>2607</v>
      </c>
      <c r="P59" s="22">
        <f t="shared" si="6"/>
        <v>230107.1157</v>
      </c>
      <c r="R59" s="23"/>
      <c r="S59" s="24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>
        <v>46147.0</v>
      </c>
      <c r="C60" s="12">
        <f>VLOOKUP(B:B,'Курс валют'!A:D,4,0)</f>
        <v>88.2651</v>
      </c>
      <c r="D60" s="73" t="s">
        <v>388</v>
      </c>
      <c r="E60" s="59" t="s">
        <v>389</v>
      </c>
      <c r="F60" s="15">
        <v>160.0</v>
      </c>
      <c r="G60" s="61">
        <v>160.0</v>
      </c>
      <c r="H60" s="27">
        <v>0.0</v>
      </c>
      <c r="I60" s="16">
        <f t="shared" si="10"/>
        <v>0</v>
      </c>
      <c r="J60" s="18">
        <f t="shared" si="2"/>
        <v>0</v>
      </c>
      <c r="K60" s="17">
        <v>2.71</v>
      </c>
      <c r="L60" s="19">
        <f t="shared" si="3"/>
        <v>0</v>
      </c>
      <c r="M60" s="20">
        <f t="shared" si="4"/>
        <v>239.198421</v>
      </c>
      <c r="N60" s="21">
        <f t="shared" si="11"/>
        <v>2.71</v>
      </c>
      <c r="O60" s="21">
        <f t="shared" si="5"/>
        <v>433.6</v>
      </c>
      <c r="P60" s="22">
        <f t="shared" si="6"/>
        <v>38271.74736</v>
      </c>
      <c r="R60" s="23" t="s">
        <v>390</v>
      </c>
      <c r="S60" s="24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46147.0</v>
      </c>
      <c r="C61" s="12">
        <f>VLOOKUP(B:B,'Курс валют'!A:D,4,0)</f>
        <v>88.2651</v>
      </c>
      <c r="D61" s="73" t="s">
        <v>391</v>
      </c>
      <c r="E61" s="59" t="s">
        <v>392</v>
      </c>
      <c r="F61" s="15">
        <v>900.0</v>
      </c>
      <c r="G61" s="61">
        <v>900.0</v>
      </c>
      <c r="H61" s="27">
        <v>0.0</v>
      </c>
      <c r="I61" s="16">
        <f t="shared" si="10"/>
        <v>0</v>
      </c>
      <c r="J61" s="18">
        <f t="shared" si="2"/>
        <v>0</v>
      </c>
      <c r="K61" s="17">
        <v>3.97</v>
      </c>
      <c r="L61" s="19">
        <f t="shared" si="3"/>
        <v>0</v>
      </c>
      <c r="M61" s="20">
        <f t="shared" si="4"/>
        <v>350.412447</v>
      </c>
      <c r="N61" s="21">
        <f t="shared" si="11"/>
        <v>3.97</v>
      </c>
      <c r="O61" s="21">
        <f t="shared" si="5"/>
        <v>3573</v>
      </c>
      <c r="P61" s="22">
        <f t="shared" si="6"/>
        <v>315371.2023</v>
      </c>
      <c r="R61" s="23" t="s">
        <v>390</v>
      </c>
      <c r="S61" s="24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>
        <v>46147.0</v>
      </c>
      <c r="C62" s="12">
        <f>VLOOKUP(B:B,'Курс валют'!A:D,4,0)</f>
        <v>88.2651</v>
      </c>
      <c r="D62" s="73" t="s">
        <v>393</v>
      </c>
      <c r="E62" s="59" t="s">
        <v>392</v>
      </c>
      <c r="F62" s="15">
        <v>675.0</v>
      </c>
      <c r="G62" s="61">
        <v>675.0</v>
      </c>
      <c r="H62" s="27">
        <v>0.0</v>
      </c>
      <c r="I62" s="16">
        <f t="shared" si="10"/>
        <v>0</v>
      </c>
      <c r="J62" s="18">
        <f t="shared" si="2"/>
        <v>0</v>
      </c>
      <c r="K62" s="17">
        <v>3.97</v>
      </c>
      <c r="L62" s="19">
        <f t="shared" si="3"/>
        <v>0</v>
      </c>
      <c r="M62" s="20">
        <f t="shared" si="4"/>
        <v>350.412447</v>
      </c>
      <c r="N62" s="21">
        <f t="shared" si="11"/>
        <v>3.97</v>
      </c>
      <c r="O62" s="21">
        <f t="shared" si="5"/>
        <v>2679.75</v>
      </c>
      <c r="P62" s="22">
        <f t="shared" si="6"/>
        <v>236528.4017</v>
      </c>
      <c r="R62" s="23" t="s">
        <v>390</v>
      </c>
      <c r="S62" s="24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>
        <v>46147.0</v>
      </c>
      <c r="C63" s="12">
        <f>VLOOKUP(B:B,'Курс валют'!A:D,4,0)</f>
        <v>88.2651</v>
      </c>
      <c r="D63" s="73" t="s">
        <v>393</v>
      </c>
      <c r="E63" s="59" t="s">
        <v>392</v>
      </c>
      <c r="F63" s="15">
        <v>225.0</v>
      </c>
      <c r="G63" s="61">
        <v>225.0</v>
      </c>
      <c r="H63" s="27">
        <v>0.0</v>
      </c>
      <c r="I63" s="16">
        <f t="shared" si="10"/>
        <v>0</v>
      </c>
      <c r="J63" s="18">
        <f t="shared" si="2"/>
        <v>0</v>
      </c>
      <c r="K63" s="17">
        <v>3.97</v>
      </c>
      <c r="L63" s="19">
        <f t="shared" si="3"/>
        <v>0</v>
      </c>
      <c r="M63" s="20">
        <f t="shared" si="4"/>
        <v>350.412447</v>
      </c>
      <c r="N63" s="21">
        <f t="shared" si="11"/>
        <v>3.97</v>
      </c>
      <c r="O63" s="21">
        <f t="shared" si="5"/>
        <v>893.25</v>
      </c>
      <c r="P63" s="22">
        <f t="shared" si="6"/>
        <v>78842.80058</v>
      </c>
      <c r="R63" s="23" t="s">
        <v>390</v>
      </c>
      <c r="S63" s="24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>
        <v>46147.0</v>
      </c>
      <c r="C64" s="12">
        <f>VLOOKUP(B:B,'Курс валют'!A:D,4,0)</f>
        <v>88.2651</v>
      </c>
      <c r="D64" s="73" t="s">
        <v>394</v>
      </c>
      <c r="E64" s="59" t="s">
        <v>395</v>
      </c>
      <c r="F64" s="15">
        <v>220.0</v>
      </c>
      <c r="G64" s="61">
        <v>220.0</v>
      </c>
      <c r="H64" s="27">
        <v>0.0</v>
      </c>
      <c r="I64" s="16">
        <f t="shared" si="10"/>
        <v>0</v>
      </c>
      <c r="J64" s="18">
        <f t="shared" si="2"/>
        <v>0</v>
      </c>
      <c r="K64" s="17">
        <v>3.22</v>
      </c>
      <c r="L64" s="19">
        <f t="shared" si="3"/>
        <v>0</v>
      </c>
      <c r="M64" s="20">
        <f t="shared" si="4"/>
        <v>284.213622</v>
      </c>
      <c r="N64" s="21">
        <f t="shared" si="11"/>
        <v>3.22</v>
      </c>
      <c r="O64" s="21">
        <f t="shared" si="5"/>
        <v>708.4</v>
      </c>
      <c r="P64" s="22">
        <f t="shared" si="6"/>
        <v>62526.99684</v>
      </c>
      <c r="R64" s="23" t="s">
        <v>390</v>
      </c>
      <c r="S64" s="24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>
        <v>46147.0</v>
      </c>
      <c r="C65" s="12">
        <f>VLOOKUP(B:B,'Курс валют'!A:D,4,0)</f>
        <v>88.2651</v>
      </c>
      <c r="D65" s="73" t="s">
        <v>396</v>
      </c>
      <c r="E65" s="59" t="s">
        <v>397</v>
      </c>
      <c r="F65" s="15">
        <v>20.0</v>
      </c>
      <c r="G65" s="61">
        <v>20.0</v>
      </c>
      <c r="H65" s="27">
        <v>0.0</v>
      </c>
      <c r="I65" s="16">
        <f t="shared" si="10"/>
        <v>0</v>
      </c>
      <c r="J65" s="18">
        <f t="shared" si="2"/>
        <v>0</v>
      </c>
      <c r="K65" s="17">
        <v>2.2</v>
      </c>
      <c r="L65" s="19">
        <f t="shared" si="3"/>
        <v>0</v>
      </c>
      <c r="M65" s="20">
        <f t="shared" si="4"/>
        <v>194.18322</v>
      </c>
      <c r="N65" s="21">
        <f t="shared" si="11"/>
        <v>2.2</v>
      </c>
      <c r="O65" s="21">
        <f t="shared" si="5"/>
        <v>44</v>
      </c>
      <c r="P65" s="22">
        <f t="shared" si="6"/>
        <v>3883.6644</v>
      </c>
      <c r="R65" s="23" t="s">
        <v>390</v>
      </c>
      <c r="S65" s="24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>
        <v>46147.0</v>
      </c>
      <c r="C66" s="12">
        <f>VLOOKUP(B:B,'Курс валют'!A:D,4,0)</f>
        <v>88.2651</v>
      </c>
      <c r="D66" s="73" t="s">
        <v>398</v>
      </c>
      <c r="E66" s="59" t="s">
        <v>73</v>
      </c>
      <c r="F66" s="15">
        <v>640.0</v>
      </c>
      <c r="G66" s="61">
        <v>640.0</v>
      </c>
      <c r="H66" s="27">
        <v>0.0</v>
      </c>
      <c r="I66" s="16">
        <f t="shared" si="10"/>
        <v>0</v>
      </c>
      <c r="J66" s="18">
        <f t="shared" si="2"/>
        <v>0</v>
      </c>
      <c r="K66" s="17">
        <v>2.47</v>
      </c>
      <c r="L66" s="19">
        <f t="shared" si="3"/>
        <v>0</v>
      </c>
      <c r="M66" s="20">
        <f t="shared" si="4"/>
        <v>218.014797</v>
      </c>
      <c r="N66" s="21">
        <f t="shared" si="11"/>
        <v>2.47</v>
      </c>
      <c r="O66" s="21">
        <f t="shared" si="5"/>
        <v>1580.8</v>
      </c>
      <c r="P66" s="22">
        <f t="shared" si="6"/>
        <v>139529.4701</v>
      </c>
      <c r="R66" s="23" t="s">
        <v>390</v>
      </c>
      <c r="S66" s="24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>
        <v>46148.0</v>
      </c>
      <c r="C67" s="12">
        <f>VLOOKUP(B:B,'Курс валют'!A:D,4,0)</f>
        <v>88.3463</v>
      </c>
      <c r="D67" s="13" t="s">
        <v>399</v>
      </c>
      <c r="E67" s="59" t="s">
        <v>400</v>
      </c>
      <c r="F67" s="15">
        <v>927.2</v>
      </c>
      <c r="G67" s="61">
        <v>940.0</v>
      </c>
      <c r="H67" s="27">
        <v>0.0</v>
      </c>
      <c r="I67" s="16">
        <f t="shared" si="10"/>
        <v>12.8</v>
      </c>
      <c r="J67" s="18">
        <f t="shared" si="2"/>
        <v>1.380500431</v>
      </c>
      <c r="K67" s="17">
        <v>1.83</v>
      </c>
      <c r="L67" s="19">
        <f t="shared" si="3"/>
        <v>0</v>
      </c>
      <c r="M67" s="20">
        <f t="shared" si="4"/>
        <v>161.673729</v>
      </c>
      <c r="N67" s="21">
        <f t="shared" si="11"/>
        <v>1.83</v>
      </c>
      <c r="O67" s="21">
        <f t="shared" si="5"/>
        <v>1696.776</v>
      </c>
      <c r="P67" s="22">
        <f t="shared" si="6"/>
        <v>149903.8815</v>
      </c>
      <c r="R67" s="23"/>
      <c r="S67" s="24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>
        <v>46148.0</v>
      </c>
      <c r="C68" s="12">
        <f>VLOOKUP(B:B,'Курс валют'!A:D,4,0)</f>
        <v>88.3463</v>
      </c>
      <c r="D68" s="13" t="s">
        <v>401</v>
      </c>
      <c r="E68" s="59" t="s">
        <v>128</v>
      </c>
      <c r="F68" s="15">
        <v>1760.0</v>
      </c>
      <c r="G68" s="61">
        <v>1781.32</v>
      </c>
      <c r="H68" s="17">
        <v>0.0</v>
      </c>
      <c r="I68" s="16">
        <f t="shared" si="10"/>
        <v>21.32</v>
      </c>
      <c r="J68" s="18">
        <f t="shared" si="2"/>
        <v>1.211363636</v>
      </c>
      <c r="K68" s="17">
        <v>1.82</v>
      </c>
      <c r="L68" s="19">
        <f t="shared" si="3"/>
        <v>0</v>
      </c>
      <c r="M68" s="20">
        <f t="shared" si="4"/>
        <v>160.790266</v>
      </c>
      <c r="N68" s="21">
        <f t="shared" si="11"/>
        <v>1.82</v>
      </c>
      <c r="O68" s="21">
        <f t="shared" si="5"/>
        <v>3203.2</v>
      </c>
      <c r="P68" s="22">
        <f t="shared" si="6"/>
        <v>282990.8682</v>
      </c>
      <c r="R68" s="23"/>
      <c r="S68" s="24"/>
      <c r="T68" s="25"/>
      <c r="U68" s="25"/>
      <c r="V68" s="25"/>
      <c r="W68" s="25"/>
      <c r="X68" s="25"/>
      <c r="Y68" s="25"/>
      <c r="Z68" s="25"/>
      <c r="AA68" s="25"/>
    </row>
    <row r="69">
      <c r="A69" s="30"/>
      <c r="B69" s="11">
        <v>46148.0</v>
      </c>
      <c r="C69" s="12">
        <f>VLOOKUP(B:B,'Курс валют'!A:D,4,0)</f>
        <v>88.3463</v>
      </c>
      <c r="D69" s="13" t="s">
        <v>402</v>
      </c>
      <c r="E69" s="59" t="s">
        <v>107</v>
      </c>
      <c r="F69" s="15">
        <v>2160.0</v>
      </c>
      <c r="G69" s="61">
        <v>2187.8</v>
      </c>
      <c r="H69" s="17">
        <v>0.0</v>
      </c>
      <c r="I69" s="16">
        <f t="shared" si="10"/>
        <v>27.8</v>
      </c>
      <c r="J69" s="18">
        <f t="shared" si="2"/>
        <v>1.287037037</v>
      </c>
      <c r="K69" s="17">
        <v>2.63</v>
      </c>
      <c r="L69" s="19">
        <f t="shared" si="3"/>
        <v>0</v>
      </c>
      <c r="M69" s="20">
        <f t="shared" si="4"/>
        <v>232.350769</v>
      </c>
      <c r="N69" s="21">
        <f t="shared" si="11"/>
        <v>2.63</v>
      </c>
      <c r="O69" s="21">
        <f t="shared" si="5"/>
        <v>5680.8</v>
      </c>
      <c r="P69" s="22">
        <f t="shared" si="6"/>
        <v>501877.661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/>
      <c r="B70" s="11">
        <v>46149.0</v>
      </c>
      <c r="C70" s="12">
        <f>VLOOKUP(B:B,'Курс валют'!A:D,4,0)</f>
        <v>88.06</v>
      </c>
      <c r="D70" s="13" t="s">
        <v>403</v>
      </c>
      <c r="E70" s="59" t="s">
        <v>63</v>
      </c>
      <c r="F70" s="15">
        <v>2250.0</v>
      </c>
      <c r="G70" s="61">
        <v>2293.65</v>
      </c>
      <c r="H70" s="17">
        <v>0.0</v>
      </c>
      <c r="I70" s="16">
        <f t="shared" si="10"/>
        <v>43.65</v>
      </c>
      <c r="J70" s="18">
        <f t="shared" si="2"/>
        <v>1.94</v>
      </c>
      <c r="K70" s="17">
        <v>2.07</v>
      </c>
      <c r="L70" s="19">
        <f t="shared" si="3"/>
        <v>0</v>
      </c>
      <c r="M70" s="20">
        <f t="shared" si="4"/>
        <v>182.2842</v>
      </c>
      <c r="N70" s="21">
        <f t="shared" si="11"/>
        <v>2.07</v>
      </c>
      <c r="O70" s="21">
        <f t="shared" si="5"/>
        <v>4657.5</v>
      </c>
      <c r="P70" s="22">
        <f t="shared" si="6"/>
        <v>410139.45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30"/>
      <c r="B71" s="11">
        <v>46149.0</v>
      </c>
      <c r="C71" s="12">
        <f>VLOOKUP(B:B,'Курс валют'!A:D,4,0)</f>
        <v>88.06</v>
      </c>
      <c r="D71" s="13" t="s">
        <v>404</v>
      </c>
      <c r="E71" s="59" t="s">
        <v>107</v>
      </c>
      <c r="F71" s="15">
        <v>2160.0</v>
      </c>
      <c r="G71" s="61">
        <v>2187.8</v>
      </c>
      <c r="H71" s="17">
        <v>0.0</v>
      </c>
      <c r="I71" s="16">
        <f t="shared" si="10"/>
        <v>27.8</v>
      </c>
      <c r="J71" s="18">
        <f t="shared" si="2"/>
        <v>1.287037037</v>
      </c>
      <c r="K71" s="17">
        <v>2.63</v>
      </c>
      <c r="L71" s="19">
        <f t="shared" si="3"/>
        <v>0</v>
      </c>
      <c r="M71" s="20">
        <f t="shared" si="4"/>
        <v>231.5978</v>
      </c>
      <c r="N71" s="21">
        <f t="shared" si="11"/>
        <v>2.63</v>
      </c>
      <c r="O71" s="21">
        <f t="shared" si="5"/>
        <v>5680.8</v>
      </c>
      <c r="P71" s="22">
        <f t="shared" si="6"/>
        <v>500251.248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30"/>
      <c r="B72" s="11">
        <v>46149.0</v>
      </c>
      <c r="C72" s="12">
        <f>VLOOKUP(B:B,'Курс валют'!A:D,4,0)</f>
        <v>88.06</v>
      </c>
      <c r="D72" s="13" t="s">
        <v>405</v>
      </c>
      <c r="E72" s="59" t="s">
        <v>98</v>
      </c>
      <c r="F72" s="15">
        <v>6480.0</v>
      </c>
      <c r="G72" s="61">
        <v>6532.0</v>
      </c>
      <c r="H72" s="17">
        <v>0.0</v>
      </c>
      <c r="I72" s="16">
        <f t="shared" si="10"/>
        <v>52</v>
      </c>
      <c r="J72" s="18">
        <f t="shared" si="2"/>
        <v>0.8024691358</v>
      </c>
      <c r="K72" s="17">
        <v>2.3</v>
      </c>
      <c r="L72" s="19">
        <f t="shared" si="3"/>
        <v>0</v>
      </c>
      <c r="M72" s="20">
        <f t="shared" si="4"/>
        <v>202.538</v>
      </c>
      <c r="N72" s="21">
        <f t="shared" si="11"/>
        <v>2.3</v>
      </c>
      <c r="O72" s="21">
        <f t="shared" si="5"/>
        <v>14904</v>
      </c>
      <c r="P72" s="22">
        <f t="shared" si="6"/>
        <v>1312446.24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30"/>
      <c r="B73" s="11">
        <v>46149.0</v>
      </c>
      <c r="C73" s="12">
        <f>VLOOKUP(B:B,'Курс валют'!A:D,4,0)</f>
        <v>88.06</v>
      </c>
      <c r="D73" s="73" t="s">
        <v>406</v>
      </c>
      <c r="E73" s="59" t="s">
        <v>407</v>
      </c>
      <c r="F73" s="15">
        <v>11.59</v>
      </c>
      <c r="G73" s="61">
        <v>11.59</v>
      </c>
      <c r="H73" s="17">
        <v>0.0</v>
      </c>
      <c r="I73" s="16">
        <f t="shared" si="10"/>
        <v>0</v>
      </c>
      <c r="J73" s="18">
        <f t="shared" si="2"/>
        <v>0</v>
      </c>
      <c r="K73" s="17">
        <v>2.05</v>
      </c>
      <c r="L73" s="19">
        <f t="shared" si="3"/>
        <v>0</v>
      </c>
      <c r="M73" s="20">
        <f t="shared" si="4"/>
        <v>180.523</v>
      </c>
      <c r="N73" s="21">
        <f t="shared" si="11"/>
        <v>2.05</v>
      </c>
      <c r="O73" s="21">
        <f t="shared" si="5"/>
        <v>23.7595</v>
      </c>
      <c r="P73" s="22">
        <f t="shared" si="6"/>
        <v>2092.26157</v>
      </c>
      <c r="R73" s="23" t="s">
        <v>408</v>
      </c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30"/>
      <c r="B74" s="11">
        <v>46150.0</v>
      </c>
      <c r="C74" s="12">
        <f>VLOOKUP(B:B,'Курс валют'!A:D,4,0)</f>
        <v>87.8897</v>
      </c>
      <c r="D74" s="13" t="s">
        <v>409</v>
      </c>
      <c r="E74" s="59" t="s">
        <v>54</v>
      </c>
      <c r="F74" s="15">
        <v>800.0</v>
      </c>
      <c r="G74" s="61">
        <v>805.14</v>
      </c>
      <c r="H74" s="17">
        <v>0.0</v>
      </c>
      <c r="I74" s="16">
        <f t="shared" si="10"/>
        <v>5.14</v>
      </c>
      <c r="J74" s="18">
        <f t="shared" si="2"/>
        <v>0.6425</v>
      </c>
      <c r="K74" s="17">
        <v>1.92</v>
      </c>
      <c r="L74" s="19">
        <f t="shared" si="3"/>
        <v>0</v>
      </c>
      <c r="M74" s="20">
        <f t="shared" si="4"/>
        <v>168.748224</v>
      </c>
      <c r="N74" s="21">
        <f t="shared" si="11"/>
        <v>1.92</v>
      </c>
      <c r="O74" s="21">
        <f t="shared" si="5"/>
        <v>1536</v>
      </c>
      <c r="P74" s="22">
        <f t="shared" si="6"/>
        <v>134998.5792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30"/>
      <c r="B75" s="11">
        <v>46150.0</v>
      </c>
      <c r="C75" s="12">
        <f>VLOOKUP(B:B,'Курс валют'!A:D,4,0)</f>
        <v>87.8897</v>
      </c>
      <c r="D75" s="13" t="s">
        <v>410</v>
      </c>
      <c r="E75" s="59" t="s">
        <v>54</v>
      </c>
      <c r="F75" s="15">
        <v>800.0</v>
      </c>
      <c r="G75" s="61">
        <v>805.14</v>
      </c>
      <c r="H75" s="17">
        <v>0.0</v>
      </c>
      <c r="I75" s="16">
        <f t="shared" si="10"/>
        <v>5.14</v>
      </c>
      <c r="J75" s="18">
        <f t="shared" si="2"/>
        <v>0.6425</v>
      </c>
      <c r="K75" s="17">
        <v>1.91</v>
      </c>
      <c r="L75" s="19">
        <f t="shared" si="3"/>
        <v>0</v>
      </c>
      <c r="M75" s="20">
        <f t="shared" si="4"/>
        <v>167.869327</v>
      </c>
      <c r="N75" s="21">
        <f t="shared" si="11"/>
        <v>1.91</v>
      </c>
      <c r="O75" s="21">
        <f t="shared" si="5"/>
        <v>1528</v>
      </c>
      <c r="P75" s="22">
        <f t="shared" si="6"/>
        <v>134295.4616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30"/>
      <c r="B76" s="11">
        <v>46150.0</v>
      </c>
      <c r="C76" s="12">
        <f>VLOOKUP(B:B,'Курс валют'!A:D,4,0)</f>
        <v>87.8897</v>
      </c>
      <c r="D76" s="13" t="s">
        <v>411</v>
      </c>
      <c r="E76" s="59" t="s">
        <v>54</v>
      </c>
      <c r="F76" s="15">
        <v>800.0</v>
      </c>
      <c r="G76" s="61">
        <v>805.14</v>
      </c>
      <c r="H76" s="17">
        <v>0.0</v>
      </c>
      <c r="I76" s="16">
        <f t="shared" si="10"/>
        <v>5.14</v>
      </c>
      <c r="J76" s="18">
        <f t="shared" si="2"/>
        <v>0.6425</v>
      </c>
      <c r="K76" s="17">
        <v>1.91</v>
      </c>
      <c r="L76" s="19">
        <f t="shared" si="3"/>
        <v>0</v>
      </c>
      <c r="M76" s="20">
        <f t="shared" si="4"/>
        <v>167.869327</v>
      </c>
      <c r="N76" s="21">
        <f t="shared" si="11"/>
        <v>1.91</v>
      </c>
      <c r="O76" s="21">
        <f t="shared" si="5"/>
        <v>1528</v>
      </c>
      <c r="P76" s="22">
        <f t="shared" si="6"/>
        <v>134295.4616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>
        <v>46150.0</v>
      </c>
      <c r="C77" s="12">
        <f>VLOOKUP(B:B,'Курс валют'!A:D,4,0)</f>
        <v>87.8897</v>
      </c>
      <c r="D77" s="13" t="s">
        <v>412</v>
      </c>
      <c r="E77" s="59" t="s">
        <v>54</v>
      </c>
      <c r="F77" s="15">
        <v>800.0</v>
      </c>
      <c r="G77" s="61">
        <v>805.14</v>
      </c>
      <c r="H77" s="17">
        <v>0.0</v>
      </c>
      <c r="I77" s="16">
        <f t="shared" si="10"/>
        <v>5.14</v>
      </c>
      <c r="J77" s="18">
        <f t="shared" si="2"/>
        <v>0.6425</v>
      </c>
      <c r="K77" s="17">
        <v>1.91</v>
      </c>
      <c r="L77" s="19">
        <f t="shared" si="3"/>
        <v>0</v>
      </c>
      <c r="M77" s="20">
        <f t="shared" si="4"/>
        <v>167.869327</v>
      </c>
      <c r="N77" s="21">
        <f t="shared" si="11"/>
        <v>1.91</v>
      </c>
      <c r="O77" s="21">
        <f t="shared" si="5"/>
        <v>1528</v>
      </c>
      <c r="P77" s="22">
        <f t="shared" si="6"/>
        <v>134295.4616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30"/>
      <c r="B78" s="11">
        <v>46150.0</v>
      </c>
      <c r="C78" s="12">
        <f>VLOOKUP(B:B,'Курс валют'!A:D,4,0)</f>
        <v>87.8897</v>
      </c>
      <c r="D78" s="13" t="s">
        <v>413</v>
      </c>
      <c r="E78" s="59" t="s">
        <v>54</v>
      </c>
      <c r="F78" s="15">
        <v>800.0</v>
      </c>
      <c r="G78" s="61">
        <v>805.14</v>
      </c>
      <c r="H78" s="17">
        <v>0.0</v>
      </c>
      <c r="I78" s="16">
        <f t="shared" si="10"/>
        <v>5.14</v>
      </c>
      <c r="J78" s="18">
        <f t="shared" si="2"/>
        <v>0.6425</v>
      </c>
      <c r="K78" s="17">
        <v>1.91</v>
      </c>
      <c r="L78" s="19">
        <f t="shared" si="3"/>
        <v>0</v>
      </c>
      <c r="M78" s="20">
        <f t="shared" si="4"/>
        <v>167.869327</v>
      </c>
      <c r="N78" s="21">
        <f t="shared" si="11"/>
        <v>1.91</v>
      </c>
      <c r="O78" s="21">
        <f t="shared" si="5"/>
        <v>1528</v>
      </c>
      <c r="P78" s="22">
        <f t="shared" si="6"/>
        <v>134295.4616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>
        <v>46150.0</v>
      </c>
      <c r="C79" s="12">
        <f>VLOOKUP(B:B,'Курс валют'!A:D,4,0)</f>
        <v>87.8897</v>
      </c>
      <c r="D79" s="13" t="s">
        <v>414</v>
      </c>
      <c r="E79" s="59" t="s">
        <v>54</v>
      </c>
      <c r="F79" s="15">
        <v>800.0</v>
      </c>
      <c r="G79" s="61">
        <v>805.14</v>
      </c>
      <c r="H79" s="17">
        <v>0.0</v>
      </c>
      <c r="I79" s="16">
        <f t="shared" si="10"/>
        <v>5.14</v>
      </c>
      <c r="J79" s="18">
        <f t="shared" si="2"/>
        <v>0.6425</v>
      </c>
      <c r="K79" s="17">
        <v>1.92</v>
      </c>
      <c r="L79" s="19">
        <f t="shared" si="3"/>
        <v>0</v>
      </c>
      <c r="M79" s="20">
        <f t="shared" si="4"/>
        <v>168.748224</v>
      </c>
      <c r="N79" s="21">
        <f t="shared" si="11"/>
        <v>1.92</v>
      </c>
      <c r="O79" s="21">
        <f t="shared" si="5"/>
        <v>1536</v>
      </c>
      <c r="P79" s="22">
        <f t="shared" si="6"/>
        <v>134998.5792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>
        <v>46150.0</v>
      </c>
      <c r="C80" s="12">
        <f>VLOOKUP(B:B,'Курс валют'!A:D,4,0)</f>
        <v>87.8897</v>
      </c>
      <c r="D80" s="13" t="s">
        <v>415</v>
      </c>
      <c r="E80" s="59" t="s">
        <v>107</v>
      </c>
      <c r="F80" s="15">
        <v>2160.0</v>
      </c>
      <c r="G80" s="61">
        <v>2187.44</v>
      </c>
      <c r="H80" s="17">
        <v>0.0</v>
      </c>
      <c r="I80" s="16">
        <f t="shared" si="10"/>
        <v>27.44</v>
      </c>
      <c r="J80" s="18">
        <f t="shared" si="2"/>
        <v>1.27037037</v>
      </c>
      <c r="K80" s="17">
        <v>2.63</v>
      </c>
      <c r="L80" s="19">
        <f t="shared" si="3"/>
        <v>0</v>
      </c>
      <c r="M80" s="20">
        <f t="shared" si="4"/>
        <v>231.149911</v>
      </c>
      <c r="N80" s="21">
        <f t="shared" si="11"/>
        <v>2.63</v>
      </c>
      <c r="O80" s="21">
        <f t="shared" si="5"/>
        <v>5680.8</v>
      </c>
      <c r="P80" s="22">
        <f t="shared" si="6"/>
        <v>499283.8078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>
        <v>46150.0</v>
      </c>
      <c r="C81" s="12">
        <f>VLOOKUP(B:B,'Курс валют'!A:D,4,0)</f>
        <v>87.8897</v>
      </c>
      <c r="D81" s="13" t="s">
        <v>416</v>
      </c>
      <c r="E81" s="64" t="s">
        <v>54</v>
      </c>
      <c r="F81" s="15">
        <v>800.0</v>
      </c>
      <c r="G81" s="61">
        <v>805.14</v>
      </c>
      <c r="H81" s="17">
        <v>0.0</v>
      </c>
      <c r="I81" s="16">
        <f t="shared" si="10"/>
        <v>5.14</v>
      </c>
      <c r="J81" s="18">
        <f t="shared" si="2"/>
        <v>0.6425</v>
      </c>
      <c r="K81" s="17">
        <v>1.91</v>
      </c>
      <c r="L81" s="19">
        <f t="shared" si="3"/>
        <v>0</v>
      </c>
      <c r="M81" s="20">
        <f t="shared" si="4"/>
        <v>167.869327</v>
      </c>
      <c r="N81" s="21">
        <f t="shared" si="11"/>
        <v>1.91</v>
      </c>
      <c r="O81" s="21">
        <f t="shared" si="5"/>
        <v>1528</v>
      </c>
      <c r="P81" s="22">
        <f t="shared" si="6"/>
        <v>134295.4616</v>
      </c>
      <c r="R81" s="23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>
        <v>46150.0</v>
      </c>
      <c r="C82" s="12">
        <f>VLOOKUP(B:B,'Курс валют'!A:D,4,0)</f>
        <v>87.8897</v>
      </c>
      <c r="D82" s="13" t="s">
        <v>417</v>
      </c>
      <c r="E82" s="64" t="s">
        <v>54</v>
      </c>
      <c r="F82" s="15">
        <v>800.0</v>
      </c>
      <c r="G82" s="61">
        <v>805.14</v>
      </c>
      <c r="H82" s="17">
        <v>0.0</v>
      </c>
      <c r="I82" s="16">
        <f t="shared" si="10"/>
        <v>5.14</v>
      </c>
      <c r="J82" s="18">
        <f t="shared" si="2"/>
        <v>0.6425</v>
      </c>
      <c r="K82" s="17">
        <v>1.91</v>
      </c>
      <c r="L82" s="19">
        <f t="shared" si="3"/>
        <v>0</v>
      </c>
      <c r="M82" s="20">
        <f t="shared" si="4"/>
        <v>167.869327</v>
      </c>
      <c r="N82" s="21">
        <f t="shared" si="11"/>
        <v>1.91</v>
      </c>
      <c r="O82" s="21">
        <f t="shared" si="5"/>
        <v>1528</v>
      </c>
      <c r="P82" s="22">
        <f t="shared" si="6"/>
        <v>134295.4616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>
        <v>46150.0</v>
      </c>
      <c r="C83" s="12">
        <f>VLOOKUP(B:B,'Курс валют'!A:D,4,0)</f>
        <v>87.8897</v>
      </c>
      <c r="D83" s="13" t="s">
        <v>418</v>
      </c>
      <c r="E83" s="64" t="s">
        <v>63</v>
      </c>
      <c r="F83" s="15">
        <v>2250.0</v>
      </c>
      <c r="G83" s="16">
        <v>2293.65</v>
      </c>
      <c r="H83" s="17">
        <v>0.0</v>
      </c>
      <c r="I83" s="16">
        <f t="shared" si="10"/>
        <v>43.65</v>
      </c>
      <c r="J83" s="18">
        <f t="shared" si="2"/>
        <v>1.94</v>
      </c>
      <c r="K83" s="17">
        <v>2.07</v>
      </c>
      <c r="L83" s="19">
        <f t="shared" si="3"/>
        <v>0</v>
      </c>
      <c r="M83" s="20">
        <f t="shared" si="4"/>
        <v>181.931679</v>
      </c>
      <c r="N83" s="21">
        <f t="shared" si="11"/>
        <v>2.07</v>
      </c>
      <c r="O83" s="21">
        <f t="shared" si="5"/>
        <v>4657.5</v>
      </c>
      <c r="P83" s="22">
        <f t="shared" si="6"/>
        <v>409346.2778</v>
      </c>
      <c r="R83" s="23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>
        <v>46150.0</v>
      </c>
      <c r="C84" s="12">
        <f>VLOOKUP(B:B,'Курс валют'!A:D,4,0)</f>
        <v>87.8897</v>
      </c>
      <c r="D84" s="13" t="s">
        <v>419</v>
      </c>
      <c r="E84" s="64" t="s">
        <v>54</v>
      </c>
      <c r="F84" s="15">
        <v>800.0</v>
      </c>
      <c r="G84" s="61">
        <v>805.14</v>
      </c>
      <c r="H84" s="17">
        <v>0.0</v>
      </c>
      <c r="I84" s="16">
        <f t="shared" si="10"/>
        <v>5.14</v>
      </c>
      <c r="J84" s="18">
        <f t="shared" si="2"/>
        <v>0.6425</v>
      </c>
      <c r="K84" s="17">
        <v>1.91</v>
      </c>
      <c r="L84" s="19">
        <f t="shared" si="3"/>
        <v>0</v>
      </c>
      <c r="M84" s="20">
        <f t="shared" si="4"/>
        <v>167.869327</v>
      </c>
      <c r="N84" s="21">
        <f t="shared" si="11"/>
        <v>1.91</v>
      </c>
      <c r="O84" s="21">
        <f t="shared" si="5"/>
        <v>1528</v>
      </c>
      <c r="P84" s="22">
        <f t="shared" si="6"/>
        <v>134295.4616</v>
      </c>
      <c r="R84" s="23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>
        <v>46150.0</v>
      </c>
      <c r="C85" s="12">
        <f>VLOOKUP(B:B,'Курс валют'!A:D,4,0)</f>
        <v>87.8897</v>
      </c>
      <c r="D85" s="13" t="s">
        <v>420</v>
      </c>
      <c r="E85" s="64" t="s">
        <v>54</v>
      </c>
      <c r="F85" s="15">
        <v>800.0</v>
      </c>
      <c r="G85" s="61">
        <v>805.14</v>
      </c>
      <c r="H85" s="17">
        <v>0.0</v>
      </c>
      <c r="I85" s="16">
        <f t="shared" si="10"/>
        <v>5.14</v>
      </c>
      <c r="J85" s="18">
        <f t="shared" si="2"/>
        <v>0.6425</v>
      </c>
      <c r="K85" s="17">
        <v>1.92</v>
      </c>
      <c r="L85" s="19">
        <f t="shared" si="3"/>
        <v>0</v>
      </c>
      <c r="M85" s="20">
        <f t="shared" si="4"/>
        <v>168.748224</v>
      </c>
      <c r="N85" s="21">
        <f t="shared" si="11"/>
        <v>1.92</v>
      </c>
      <c r="O85" s="21">
        <f t="shared" si="5"/>
        <v>1536</v>
      </c>
      <c r="P85" s="22">
        <f t="shared" si="6"/>
        <v>134998.5792</v>
      </c>
      <c r="R85" s="23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>
        <v>46151.0</v>
      </c>
      <c r="C86" s="12">
        <f>VLOOKUP(B:B,'Курс валют'!A:D,4,0)</f>
        <v>88.549</v>
      </c>
      <c r="D86" s="13" t="s">
        <v>421</v>
      </c>
      <c r="E86" s="64" t="s">
        <v>98</v>
      </c>
      <c r="F86" s="15">
        <v>3600.0</v>
      </c>
      <c r="G86" s="16">
        <v>3636.0</v>
      </c>
      <c r="H86" s="17">
        <v>0.0</v>
      </c>
      <c r="I86" s="16">
        <f t="shared" si="10"/>
        <v>36</v>
      </c>
      <c r="J86" s="18">
        <f t="shared" si="2"/>
        <v>1</v>
      </c>
      <c r="K86" s="17">
        <v>2.3</v>
      </c>
      <c r="L86" s="19">
        <f t="shared" si="3"/>
        <v>0</v>
      </c>
      <c r="M86" s="20">
        <f t="shared" si="4"/>
        <v>203.6627</v>
      </c>
      <c r="N86" s="21">
        <f t="shared" si="11"/>
        <v>2.3</v>
      </c>
      <c r="O86" s="21">
        <f t="shared" si="5"/>
        <v>8280</v>
      </c>
      <c r="P86" s="22">
        <f t="shared" si="6"/>
        <v>733185.72</v>
      </c>
      <c r="R86" s="23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>
        <v>46151.0</v>
      </c>
      <c r="C87" s="12">
        <f>VLOOKUP(B:B,'Курс валют'!A:D,4,0)</f>
        <v>88.549</v>
      </c>
      <c r="D87" s="13" t="s">
        <v>422</v>
      </c>
      <c r="E87" s="64" t="s">
        <v>54</v>
      </c>
      <c r="F87" s="15">
        <v>800.0</v>
      </c>
      <c r="G87" s="16">
        <v>805.14</v>
      </c>
      <c r="H87" s="17">
        <v>0.0</v>
      </c>
      <c r="I87" s="16">
        <f t="shared" si="10"/>
        <v>5.14</v>
      </c>
      <c r="J87" s="18">
        <f t="shared" si="2"/>
        <v>0.6425</v>
      </c>
      <c r="K87" s="17">
        <v>1.92</v>
      </c>
      <c r="L87" s="19">
        <f t="shared" si="3"/>
        <v>0</v>
      </c>
      <c r="M87" s="20">
        <f t="shared" si="4"/>
        <v>170.01408</v>
      </c>
      <c r="N87" s="21">
        <f t="shared" si="11"/>
        <v>1.92</v>
      </c>
      <c r="O87" s="21">
        <f t="shared" si="5"/>
        <v>1536</v>
      </c>
      <c r="P87" s="22">
        <f t="shared" si="6"/>
        <v>136011.264</v>
      </c>
      <c r="R87" s="23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>
        <v>46151.0</v>
      </c>
      <c r="C88" s="12">
        <f>VLOOKUP(B:B,'Курс валют'!A:D,4,0)</f>
        <v>88.549</v>
      </c>
      <c r="D88" s="13" t="s">
        <v>423</v>
      </c>
      <c r="E88" s="64" t="s">
        <v>54</v>
      </c>
      <c r="F88" s="15">
        <v>800.0</v>
      </c>
      <c r="G88" s="16">
        <v>805.14</v>
      </c>
      <c r="H88" s="17">
        <v>0.0</v>
      </c>
      <c r="I88" s="16">
        <f t="shared" si="10"/>
        <v>5.14</v>
      </c>
      <c r="J88" s="18">
        <f t="shared" si="2"/>
        <v>0.6425</v>
      </c>
      <c r="K88" s="17">
        <v>1.91</v>
      </c>
      <c r="L88" s="19">
        <f t="shared" si="3"/>
        <v>0</v>
      </c>
      <c r="M88" s="20">
        <f t="shared" si="4"/>
        <v>169.12859</v>
      </c>
      <c r="N88" s="21">
        <f t="shared" si="11"/>
        <v>1.91</v>
      </c>
      <c r="O88" s="21">
        <f t="shared" si="5"/>
        <v>1528</v>
      </c>
      <c r="P88" s="22">
        <f t="shared" si="6"/>
        <v>135302.872</v>
      </c>
      <c r="R88" s="23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>
        <v>46151.0</v>
      </c>
      <c r="C89" s="12">
        <f>VLOOKUP(B:B,'Курс валют'!A:D,4,0)</f>
        <v>88.549</v>
      </c>
      <c r="D89" s="13" t="s">
        <v>424</v>
      </c>
      <c r="E89" s="64" t="s">
        <v>54</v>
      </c>
      <c r="F89" s="15">
        <v>800.0</v>
      </c>
      <c r="G89" s="16">
        <v>805.14</v>
      </c>
      <c r="H89" s="17">
        <v>0.0</v>
      </c>
      <c r="I89" s="16">
        <f t="shared" si="10"/>
        <v>5.14</v>
      </c>
      <c r="J89" s="18">
        <f t="shared" si="2"/>
        <v>0.6425</v>
      </c>
      <c r="K89" s="17">
        <v>1.91</v>
      </c>
      <c r="L89" s="19">
        <f t="shared" si="3"/>
        <v>0</v>
      </c>
      <c r="M89" s="20">
        <f t="shared" si="4"/>
        <v>169.12859</v>
      </c>
      <c r="N89" s="21">
        <f t="shared" si="11"/>
        <v>1.91</v>
      </c>
      <c r="O89" s="21">
        <f t="shared" si="5"/>
        <v>1528</v>
      </c>
      <c r="P89" s="22">
        <f t="shared" si="6"/>
        <v>135302.872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>
        <v>46151.0</v>
      </c>
      <c r="C90" s="12">
        <f>VLOOKUP(B:B,'Курс валют'!A:D,4,0)</f>
        <v>88.549</v>
      </c>
      <c r="D90" s="13" t="s">
        <v>425</v>
      </c>
      <c r="E90" s="64" t="s">
        <v>54</v>
      </c>
      <c r="F90" s="15">
        <v>800.0</v>
      </c>
      <c r="G90" s="16">
        <v>805.14</v>
      </c>
      <c r="H90" s="17">
        <v>0.0</v>
      </c>
      <c r="I90" s="16">
        <f t="shared" si="10"/>
        <v>5.14</v>
      </c>
      <c r="J90" s="18">
        <f t="shared" si="2"/>
        <v>0.6425</v>
      </c>
      <c r="K90" s="17">
        <v>1.91</v>
      </c>
      <c r="L90" s="19">
        <f t="shared" si="3"/>
        <v>0</v>
      </c>
      <c r="M90" s="20">
        <f t="shared" si="4"/>
        <v>169.12859</v>
      </c>
      <c r="N90" s="21">
        <f t="shared" si="11"/>
        <v>1.91</v>
      </c>
      <c r="O90" s="21">
        <f t="shared" si="5"/>
        <v>1528</v>
      </c>
      <c r="P90" s="22">
        <f t="shared" si="6"/>
        <v>135302.872</v>
      </c>
      <c r="R90" s="23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>
        <v>46151.0</v>
      </c>
      <c r="C91" s="12">
        <f>VLOOKUP(B:B,'Курс валют'!A:D,4,0)</f>
        <v>88.549</v>
      </c>
      <c r="D91" s="13" t="s">
        <v>426</v>
      </c>
      <c r="E91" s="64" t="s">
        <v>54</v>
      </c>
      <c r="F91" s="15">
        <v>800.0</v>
      </c>
      <c r="G91" s="16">
        <v>805.14</v>
      </c>
      <c r="H91" s="17">
        <v>0.0</v>
      </c>
      <c r="I91" s="16">
        <f t="shared" si="10"/>
        <v>5.14</v>
      </c>
      <c r="J91" s="18">
        <f t="shared" si="2"/>
        <v>0.6425</v>
      </c>
      <c r="K91" s="17">
        <v>1.92</v>
      </c>
      <c r="L91" s="19">
        <f t="shared" si="3"/>
        <v>0</v>
      </c>
      <c r="M91" s="20">
        <f t="shared" si="4"/>
        <v>170.01408</v>
      </c>
      <c r="N91" s="21">
        <f t="shared" si="11"/>
        <v>1.92</v>
      </c>
      <c r="O91" s="21">
        <f t="shared" si="5"/>
        <v>1536</v>
      </c>
      <c r="P91" s="22">
        <f t="shared" si="6"/>
        <v>136011.264</v>
      </c>
      <c r="R91" s="23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>
        <v>46151.0</v>
      </c>
      <c r="C92" s="12">
        <f>VLOOKUP(B:B,'Курс валют'!A:D,4,0)</f>
        <v>88.549</v>
      </c>
      <c r="D92" s="13" t="s">
        <v>427</v>
      </c>
      <c r="E92" s="64" t="s">
        <v>54</v>
      </c>
      <c r="F92" s="15">
        <v>800.0</v>
      </c>
      <c r="G92" s="16">
        <v>805.14</v>
      </c>
      <c r="H92" s="17">
        <v>0.0</v>
      </c>
      <c r="I92" s="16">
        <f t="shared" si="10"/>
        <v>5.14</v>
      </c>
      <c r="J92" s="18">
        <f t="shared" si="2"/>
        <v>0.6425</v>
      </c>
      <c r="K92" s="17">
        <v>1.91</v>
      </c>
      <c r="L92" s="19">
        <f t="shared" si="3"/>
        <v>0</v>
      </c>
      <c r="M92" s="20">
        <f t="shared" si="4"/>
        <v>169.12859</v>
      </c>
      <c r="N92" s="21">
        <f t="shared" si="11"/>
        <v>1.91</v>
      </c>
      <c r="O92" s="21">
        <f t="shared" si="5"/>
        <v>1528</v>
      </c>
      <c r="P92" s="22">
        <f t="shared" si="6"/>
        <v>135302.872</v>
      </c>
      <c r="R92" s="23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63"/>
      <c r="B93" s="11">
        <v>46151.0</v>
      </c>
      <c r="C93" s="12">
        <f>VLOOKUP(B:B,'Курс валют'!A:D,4,0)</f>
        <v>88.549</v>
      </c>
      <c r="D93" s="13" t="s">
        <v>428</v>
      </c>
      <c r="E93" s="64" t="s">
        <v>54</v>
      </c>
      <c r="F93" s="15">
        <v>800.0</v>
      </c>
      <c r="G93" s="16">
        <v>805.14</v>
      </c>
      <c r="H93" s="17">
        <v>0.0</v>
      </c>
      <c r="I93" s="16">
        <f t="shared" si="10"/>
        <v>5.14</v>
      </c>
      <c r="J93" s="18">
        <f t="shared" si="2"/>
        <v>0.6425</v>
      </c>
      <c r="K93" s="17">
        <v>1.91</v>
      </c>
      <c r="L93" s="19">
        <f t="shared" si="3"/>
        <v>0</v>
      </c>
      <c r="M93" s="20">
        <f t="shared" si="4"/>
        <v>169.12859</v>
      </c>
      <c r="N93" s="21">
        <f t="shared" si="11"/>
        <v>1.91</v>
      </c>
      <c r="O93" s="21">
        <f t="shared" si="5"/>
        <v>1528</v>
      </c>
      <c r="P93" s="22">
        <f t="shared" si="6"/>
        <v>135302.872</v>
      </c>
      <c r="R93" s="23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63"/>
      <c r="B94" s="11">
        <v>46151.0</v>
      </c>
      <c r="C94" s="12">
        <f>VLOOKUP(B:B,'Курс валют'!A:D,4,0)</f>
        <v>88.549</v>
      </c>
      <c r="D94" s="13" t="s">
        <v>429</v>
      </c>
      <c r="E94" s="64" t="s">
        <v>54</v>
      </c>
      <c r="F94" s="15">
        <v>800.0</v>
      </c>
      <c r="G94" s="16">
        <v>805.14</v>
      </c>
      <c r="H94" s="17">
        <v>0.0</v>
      </c>
      <c r="I94" s="16">
        <f t="shared" si="10"/>
        <v>5.14</v>
      </c>
      <c r="J94" s="18">
        <f t="shared" si="2"/>
        <v>0.6425</v>
      </c>
      <c r="K94" s="17">
        <v>1.91</v>
      </c>
      <c r="L94" s="19">
        <f t="shared" si="3"/>
        <v>0</v>
      </c>
      <c r="M94" s="20">
        <f t="shared" si="4"/>
        <v>169.12859</v>
      </c>
      <c r="N94" s="21">
        <f t="shared" si="11"/>
        <v>1.91</v>
      </c>
      <c r="O94" s="21">
        <f t="shared" si="5"/>
        <v>1528</v>
      </c>
      <c r="P94" s="22">
        <f t="shared" si="6"/>
        <v>135302.872</v>
      </c>
      <c r="R94" s="23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63"/>
      <c r="B95" s="11">
        <v>46151.0</v>
      </c>
      <c r="C95" s="12">
        <f>VLOOKUP(B:B,'Курс валют'!A:D,4,0)</f>
        <v>88.549</v>
      </c>
      <c r="D95" s="13" t="s">
        <v>430</v>
      </c>
      <c r="E95" s="64" t="s">
        <v>54</v>
      </c>
      <c r="F95" s="15">
        <v>800.0</v>
      </c>
      <c r="G95" s="16">
        <v>805.14</v>
      </c>
      <c r="H95" s="17">
        <v>0.0</v>
      </c>
      <c r="I95" s="16">
        <f t="shared" si="10"/>
        <v>5.14</v>
      </c>
      <c r="J95" s="18">
        <f t="shared" si="2"/>
        <v>0.6425</v>
      </c>
      <c r="K95" s="17">
        <v>1.91</v>
      </c>
      <c r="L95" s="19">
        <f t="shared" si="3"/>
        <v>0</v>
      </c>
      <c r="M95" s="20">
        <f t="shared" si="4"/>
        <v>169.12859</v>
      </c>
      <c r="N95" s="21">
        <f t="shared" si="11"/>
        <v>1.91</v>
      </c>
      <c r="O95" s="21">
        <f t="shared" si="5"/>
        <v>1528</v>
      </c>
      <c r="P95" s="22">
        <f t="shared" si="6"/>
        <v>135302.872</v>
      </c>
      <c r="R95" s="23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63"/>
      <c r="B96" s="11">
        <v>46151.0</v>
      </c>
      <c r="C96" s="12">
        <f>VLOOKUP(B:B,'Курс валют'!A:D,4,0)</f>
        <v>88.549</v>
      </c>
      <c r="D96" s="13" t="s">
        <v>431</v>
      </c>
      <c r="E96" s="64" t="s">
        <v>54</v>
      </c>
      <c r="F96" s="15">
        <v>800.0</v>
      </c>
      <c r="G96" s="16">
        <v>805.14</v>
      </c>
      <c r="H96" s="17">
        <v>0.0</v>
      </c>
      <c r="I96" s="16">
        <f t="shared" si="10"/>
        <v>5.14</v>
      </c>
      <c r="J96" s="18">
        <f t="shared" si="2"/>
        <v>0.6425</v>
      </c>
      <c r="K96" s="17">
        <v>1.92</v>
      </c>
      <c r="L96" s="19">
        <f t="shared" si="3"/>
        <v>0</v>
      </c>
      <c r="M96" s="20">
        <f t="shared" si="4"/>
        <v>170.01408</v>
      </c>
      <c r="N96" s="21">
        <f t="shared" si="11"/>
        <v>1.92</v>
      </c>
      <c r="O96" s="21">
        <f t="shared" si="5"/>
        <v>1536</v>
      </c>
      <c r="P96" s="22">
        <f t="shared" si="6"/>
        <v>136011.264</v>
      </c>
      <c r="R96" s="23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63"/>
      <c r="B97" s="11">
        <v>46152.0</v>
      </c>
      <c r="C97" s="12">
        <f>VLOOKUP(B:B,'Курс валют'!A:D,4,0)</f>
        <v>88.549</v>
      </c>
      <c r="D97" s="13" t="s">
        <v>432</v>
      </c>
      <c r="E97" s="64" t="s">
        <v>106</v>
      </c>
      <c r="F97" s="15">
        <v>800.0</v>
      </c>
      <c r="G97" s="16">
        <v>805.0</v>
      </c>
      <c r="H97" s="17">
        <v>0.0</v>
      </c>
      <c r="I97" s="16">
        <f t="shared" si="10"/>
        <v>5</v>
      </c>
      <c r="J97" s="18">
        <f t="shared" si="2"/>
        <v>0.625</v>
      </c>
      <c r="K97" s="17">
        <v>1.84</v>
      </c>
      <c r="L97" s="19">
        <f t="shared" si="3"/>
        <v>0</v>
      </c>
      <c r="M97" s="20">
        <f t="shared" si="4"/>
        <v>162.93016</v>
      </c>
      <c r="N97" s="21">
        <f t="shared" si="11"/>
        <v>1.84</v>
      </c>
      <c r="O97" s="21">
        <f t="shared" si="5"/>
        <v>1472</v>
      </c>
      <c r="P97" s="22">
        <f t="shared" si="6"/>
        <v>130344.128</v>
      </c>
      <c r="R97" s="23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63"/>
      <c r="B98" s="11">
        <v>46152.0</v>
      </c>
      <c r="C98" s="12">
        <f>VLOOKUP(B:B,'Курс валют'!A:D,4,0)</f>
        <v>88.549</v>
      </c>
      <c r="D98" s="13" t="s">
        <v>433</v>
      </c>
      <c r="E98" s="64" t="s">
        <v>106</v>
      </c>
      <c r="F98" s="15">
        <v>800.0</v>
      </c>
      <c r="G98" s="16">
        <v>805.0</v>
      </c>
      <c r="H98" s="17">
        <v>0.0</v>
      </c>
      <c r="I98" s="16">
        <f t="shared" si="10"/>
        <v>5</v>
      </c>
      <c r="J98" s="18">
        <f t="shared" si="2"/>
        <v>0.625</v>
      </c>
      <c r="K98" s="17">
        <v>1.84</v>
      </c>
      <c r="L98" s="19">
        <f t="shared" si="3"/>
        <v>0</v>
      </c>
      <c r="M98" s="20">
        <f t="shared" si="4"/>
        <v>162.93016</v>
      </c>
      <c r="N98" s="21">
        <f t="shared" si="11"/>
        <v>1.84</v>
      </c>
      <c r="O98" s="21">
        <f t="shared" si="5"/>
        <v>1472</v>
      </c>
      <c r="P98" s="22">
        <f t="shared" si="6"/>
        <v>130344.128</v>
      </c>
      <c r="R98" s="23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63"/>
      <c r="B99" s="11">
        <v>46152.0</v>
      </c>
      <c r="C99" s="12">
        <f>VLOOKUP(B:B,'Курс валют'!A:D,4,0)</f>
        <v>88.549</v>
      </c>
      <c r="D99" s="13" t="s">
        <v>434</v>
      </c>
      <c r="E99" s="64" t="s">
        <v>106</v>
      </c>
      <c r="F99" s="15">
        <v>800.0</v>
      </c>
      <c r="G99" s="16">
        <v>805.0</v>
      </c>
      <c r="H99" s="17">
        <v>0.0</v>
      </c>
      <c r="I99" s="16">
        <f t="shared" si="10"/>
        <v>5</v>
      </c>
      <c r="J99" s="18">
        <f t="shared" si="2"/>
        <v>0.625</v>
      </c>
      <c r="K99" s="17">
        <v>1.84</v>
      </c>
      <c r="L99" s="19">
        <f t="shared" si="3"/>
        <v>0</v>
      </c>
      <c r="M99" s="20">
        <f t="shared" si="4"/>
        <v>162.93016</v>
      </c>
      <c r="N99" s="21">
        <f t="shared" si="11"/>
        <v>1.84</v>
      </c>
      <c r="O99" s="21">
        <f t="shared" si="5"/>
        <v>1472</v>
      </c>
      <c r="P99" s="22">
        <f t="shared" si="6"/>
        <v>130344.128</v>
      </c>
      <c r="R99" s="23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63"/>
      <c r="B100" s="11">
        <v>46152.0</v>
      </c>
      <c r="C100" s="12">
        <f>VLOOKUP(B:B,'Курс валют'!A:D,4,0)</f>
        <v>88.549</v>
      </c>
      <c r="D100" s="13" t="s">
        <v>435</v>
      </c>
      <c r="E100" s="64" t="s">
        <v>106</v>
      </c>
      <c r="F100" s="15">
        <v>800.0</v>
      </c>
      <c r="G100" s="16">
        <v>805.0</v>
      </c>
      <c r="H100" s="17">
        <v>0.0</v>
      </c>
      <c r="I100" s="16">
        <f t="shared" si="10"/>
        <v>5</v>
      </c>
      <c r="J100" s="18">
        <f t="shared" si="2"/>
        <v>0.625</v>
      </c>
      <c r="K100" s="17">
        <v>1.84</v>
      </c>
      <c r="L100" s="19">
        <f t="shared" si="3"/>
        <v>0</v>
      </c>
      <c r="M100" s="20">
        <f t="shared" si="4"/>
        <v>162.93016</v>
      </c>
      <c r="N100" s="21">
        <f t="shared" si="11"/>
        <v>1.84</v>
      </c>
      <c r="O100" s="21">
        <f t="shared" si="5"/>
        <v>1472</v>
      </c>
      <c r="P100" s="22">
        <f t="shared" si="6"/>
        <v>130344.128</v>
      </c>
      <c r="R100" s="23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63"/>
      <c r="B101" s="11">
        <v>46152.0</v>
      </c>
      <c r="C101" s="12">
        <f>VLOOKUP(B:B,'Курс валют'!A:D,4,0)</f>
        <v>88.549</v>
      </c>
      <c r="D101" s="13" t="s">
        <v>436</v>
      </c>
      <c r="E101" s="64" t="s">
        <v>106</v>
      </c>
      <c r="F101" s="15">
        <v>800.0</v>
      </c>
      <c r="G101" s="16">
        <v>805.0</v>
      </c>
      <c r="H101" s="17">
        <v>0.0</v>
      </c>
      <c r="I101" s="16">
        <f t="shared" si="10"/>
        <v>5</v>
      </c>
      <c r="J101" s="18">
        <f t="shared" si="2"/>
        <v>0.625</v>
      </c>
      <c r="K101" s="17">
        <v>1.84</v>
      </c>
      <c r="L101" s="19">
        <f t="shared" si="3"/>
        <v>0</v>
      </c>
      <c r="M101" s="20">
        <f t="shared" si="4"/>
        <v>162.93016</v>
      </c>
      <c r="N101" s="21">
        <f t="shared" si="11"/>
        <v>1.84</v>
      </c>
      <c r="O101" s="21">
        <f t="shared" si="5"/>
        <v>1472</v>
      </c>
      <c r="P101" s="22">
        <f t="shared" si="6"/>
        <v>130344.128</v>
      </c>
      <c r="R101" s="24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>
        <v>46152.0</v>
      </c>
      <c r="C102" s="12">
        <f>VLOOKUP(B:B,'Курс валют'!A:D,4,0)</f>
        <v>88.549</v>
      </c>
      <c r="D102" s="13" t="s">
        <v>437</v>
      </c>
      <c r="E102" s="64" t="s">
        <v>106</v>
      </c>
      <c r="F102" s="15">
        <v>800.0</v>
      </c>
      <c r="G102" s="16">
        <v>805.0</v>
      </c>
      <c r="H102" s="17">
        <v>0.0</v>
      </c>
      <c r="I102" s="16">
        <f t="shared" si="10"/>
        <v>5</v>
      </c>
      <c r="J102" s="18">
        <f t="shared" si="2"/>
        <v>0.625</v>
      </c>
      <c r="K102" s="17">
        <v>1.84</v>
      </c>
      <c r="L102" s="19">
        <f t="shared" si="3"/>
        <v>0</v>
      </c>
      <c r="M102" s="20">
        <f t="shared" si="4"/>
        <v>162.93016</v>
      </c>
      <c r="N102" s="21">
        <f t="shared" si="11"/>
        <v>1.84</v>
      </c>
      <c r="O102" s="21">
        <f t="shared" si="5"/>
        <v>1472</v>
      </c>
      <c r="P102" s="22">
        <f t="shared" si="6"/>
        <v>130344.128</v>
      </c>
      <c r="R102" s="24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>
        <v>46152.0</v>
      </c>
      <c r="C103" s="12">
        <f>VLOOKUP(B:B,'Курс валют'!A:D,4,0)</f>
        <v>88.549</v>
      </c>
      <c r="D103" s="13" t="s">
        <v>438</v>
      </c>
      <c r="E103" s="64" t="s">
        <v>106</v>
      </c>
      <c r="F103" s="15">
        <v>800.0</v>
      </c>
      <c r="G103" s="16">
        <v>805.0</v>
      </c>
      <c r="H103" s="17">
        <v>0.0</v>
      </c>
      <c r="I103" s="16">
        <f t="shared" si="10"/>
        <v>5</v>
      </c>
      <c r="J103" s="18">
        <f t="shared" si="2"/>
        <v>0.625</v>
      </c>
      <c r="K103" s="17">
        <v>1.84</v>
      </c>
      <c r="L103" s="19">
        <f t="shared" si="3"/>
        <v>0</v>
      </c>
      <c r="M103" s="20">
        <f t="shared" si="4"/>
        <v>162.93016</v>
      </c>
      <c r="N103" s="21">
        <f t="shared" si="11"/>
        <v>1.84</v>
      </c>
      <c r="O103" s="21">
        <f t="shared" si="5"/>
        <v>1472</v>
      </c>
      <c r="P103" s="22">
        <f t="shared" si="6"/>
        <v>130344.128</v>
      </c>
      <c r="R103" s="24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>
        <v>46152.0</v>
      </c>
      <c r="C104" s="12">
        <f>VLOOKUP(B:B,'Курс валют'!A:D,4,0)</f>
        <v>88.549</v>
      </c>
      <c r="D104" s="13" t="s">
        <v>439</v>
      </c>
      <c r="E104" s="64" t="s">
        <v>106</v>
      </c>
      <c r="F104" s="15">
        <v>800.0</v>
      </c>
      <c r="G104" s="16">
        <v>805.0</v>
      </c>
      <c r="H104" s="17">
        <v>0.0</v>
      </c>
      <c r="I104" s="16">
        <f t="shared" si="10"/>
        <v>5</v>
      </c>
      <c r="J104" s="18">
        <f t="shared" si="2"/>
        <v>0.625</v>
      </c>
      <c r="K104" s="17">
        <v>1.84</v>
      </c>
      <c r="L104" s="19">
        <f t="shared" si="3"/>
        <v>0</v>
      </c>
      <c r="M104" s="20">
        <f t="shared" si="4"/>
        <v>162.93016</v>
      </c>
      <c r="N104" s="21">
        <f t="shared" si="11"/>
        <v>1.84</v>
      </c>
      <c r="O104" s="21">
        <f t="shared" si="5"/>
        <v>1472</v>
      </c>
      <c r="P104" s="22">
        <f t="shared" si="6"/>
        <v>130344.128</v>
      </c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>
        <v>46152.0</v>
      </c>
      <c r="C105" s="12">
        <f>VLOOKUP(B:B,'Курс валют'!A:D,4,0)</f>
        <v>88.549</v>
      </c>
      <c r="D105" s="13" t="s">
        <v>440</v>
      </c>
      <c r="E105" s="64" t="s">
        <v>106</v>
      </c>
      <c r="F105" s="15">
        <v>800.0</v>
      </c>
      <c r="G105" s="16">
        <v>805.0</v>
      </c>
      <c r="H105" s="17">
        <v>0.0</v>
      </c>
      <c r="I105" s="16">
        <f t="shared" si="10"/>
        <v>5</v>
      </c>
      <c r="J105" s="18">
        <f t="shared" si="2"/>
        <v>0.625</v>
      </c>
      <c r="K105" s="17">
        <v>1.84</v>
      </c>
      <c r="L105" s="19">
        <f t="shared" si="3"/>
        <v>0</v>
      </c>
      <c r="M105" s="20">
        <f t="shared" si="4"/>
        <v>162.93016</v>
      </c>
      <c r="N105" s="21">
        <f t="shared" si="11"/>
        <v>1.84</v>
      </c>
      <c r="O105" s="21">
        <f t="shared" si="5"/>
        <v>1472</v>
      </c>
      <c r="P105" s="22">
        <f t="shared" si="6"/>
        <v>130344.128</v>
      </c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>
        <v>46152.0</v>
      </c>
      <c r="C106" s="12">
        <f>VLOOKUP(B:B,'Курс валют'!A:D,4,0)</f>
        <v>88.549</v>
      </c>
      <c r="D106" s="13" t="s">
        <v>441</v>
      </c>
      <c r="E106" s="64" t="s">
        <v>106</v>
      </c>
      <c r="F106" s="15">
        <v>800.0</v>
      </c>
      <c r="G106" s="16">
        <v>805.0</v>
      </c>
      <c r="H106" s="17">
        <v>0.0</v>
      </c>
      <c r="I106" s="16">
        <f t="shared" si="10"/>
        <v>5</v>
      </c>
      <c r="J106" s="18">
        <f t="shared" si="2"/>
        <v>0.625</v>
      </c>
      <c r="K106" s="17">
        <v>1.84</v>
      </c>
      <c r="L106" s="19">
        <f t="shared" si="3"/>
        <v>0</v>
      </c>
      <c r="M106" s="20">
        <f t="shared" si="4"/>
        <v>162.93016</v>
      </c>
      <c r="N106" s="21">
        <f t="shared" si="11"/>
        <v>1.84</v>
      </c>
      <c r="O106" s="21">
        <f t="shared" si="5"/>
        <v>1472</v>
      </c>
      <c r="P106" s="22">
        <f t="shared" si="6"/>
        <v>130344.128</v>
      </c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>
        <v>46153.0</v>
      </c>
      <c r="C107" s="12">
        <f>VLOOKUP(B:B,'Курс валют'!A:D,4,0)</f>
        <v>88.549</v>
      </c>
      <c r="D107" s="13" t="s">
        <v>442</v>
      </c>
      <c r="E107" s="59" t="s">
        <v>57</v>
      </c>
      <c r="F107" s="15">
        <v>800.0</v>
      </c>
      <c r="G107" s="16">
        <v>811.2</v>
      </c>
      <c r="H107" s="17">
        <v>0.0</v>
      </c>
      <c r="I107" s="16">
        <f t="shared" si="10"/>
        <v>11.2</v>
      </c>
      <c r="J107" s="18">
        <f t="shared" si="2"/>
        <v>1.4</v>
      </c>
      <c r="K107" s="17">
        <v>2.41</v>
      </c>
      <c r="L107" s="19">
        <f t="shared" si="3"/>
        <v>0</v>
      </c>
      <c r="M107" s="20">
        <f t="shared" si="4"/>
        <v>213.40309</v>
      </c>
      <c r="N107" s="21">
        <f t="shared" si="11"/>
        <v>2.41</v>
      </c>
      <c r="O107" s="21">
        <f t="shared" si="5"/>
        <v>1928</v>
      </c>
      <c r="P107" s="22">
        <f t="shared" si="6"/>
        <v>170722.472</v>
      </c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>
        <v>46153.0</v>
      </c>
      <c r="C108" s="12">
        <f>VLOOKUP(B:B,'Курс валют'!A:D,4,0)</f>
        <v>88.549</v>
      </c>
      <c r="D108" s="13" t="s">
        <v>443</v>
      </c>
      <c r="E108" s="59" t="s">
        <v>57</v>
      </c>
      <c r="F108" s="15">
        <v>800.0</v>
      </c>
      <c r="G108" s="16">
        <v>811.2</v>
      </c>
      <c r="H108" s="17">
        <v>0.0</v>
      </c>
      <c r="I108" s="16">
        <f t="shared" si="10"/>
        <v>11.2</v>
      </c>
      <c r="J108" s="18">
        <f t="shared" si="2"/>
        <v>1.4</v>
      </c>
      <c r="K108" s="17">
        <v>2.4</v>
      </c>
      <c r="L108" s="19">
        <f t="shared" si="3"/>
        <v>0</v>
      </c>
      <c r="M108" s="20">
        <f t="shared" si="4"/>
        <v>212.5176</v>
      </c>
      <c r="N108" s="21">
        <f t="shared" si="11"/>
        <v>2.4</v>
      </c>
      <c r="O108" s="21">
        <f t="shared" si="5"/>
        <v>1920</v>
      </c>
      <c r="P108" s="22">
        <f t="shared" si="6"/>
        <v>170014.08</v>
      </c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>
        <v>46153.0</v>
      </c>
      <c r="C109" s="12">
        <f>VLOOKUP(B:B,'Курс валют'!A:D,4,0)</f>
        <v>88.549</v>
      </c>
      <c r="D109" s="13" t="s">
        <v>444</v>
      </c>
      <c r="E109" s="59" t="s">
        <v>57</v>
      </c>
      <c r="F109" s="15">
        <v>800.0</v>
      </c>
      <c r="G109" s="16">
        <v>811.2</v>
      </c>
      <c r="H109" s="17">
        <v>0.0</v>
      </c>
      <c r="I109" s="16">
        <f t="shared" si="10"/>
        <v>11.2</v>
      </c>
      <c r="J109" s="18">
        <f t="shared" si="2"/>
        <v>1.4</v>
      </c>
      <c r="K109" s="17">
        <v>2.43</v>
      </c>
      <c r="L109" s="19">
        <f t="shared" si="3"/>
        <v>0</v>
      </c>
      <c r="M109" s="20">
        <f t="shared" si="4"/>
        <v>215.17407</v>
      </c>
      <c r="N109" s="21">
        <f t="shared" si="11"/>
        <v>2.43</v>
      </c>
      <c r="O109" s="21">
        <f t="shared" si="5"/>
        <v>1944</v>
      </c>
      <c r="P109" s="22">
        <f t="shared" si="6"/>
        <v>172139.256</v>
      </c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>
        <v>46153.0</v>
      </c>
      <c r="C110" s="12">
        <f>VLOOKUP(B:B,'Курс валют'!A:D,4,0)</f>
        <v>88.549</v>
      </c>
      <c r="D110" s="13" t="s">
        <v>445</v>
      </c>
      <c r="E110" s="59" t="s">
        <v>57</v>
      </c>
      <c r="F110" s="15">
        <v>800.0</v>
      </c>
      <c r="G110" s="16">
        <v>811.2</v>
      </c>
      <c r="H110" s="17">
        <v>0.0</v>
      </c>
      <c r="I110" s="16">
        <f t="shared" si="10"/>
        <v>11.2</v>
      </c>
      <c r="J110" s="18">
        <f t="shared" si="2"/>
        <v>1.4</v>
      </c>
      <c r="K110" s="17">
        <v>2.46</v>
      </c>
      <c r="L110" s="19">
        <f t="shared" si="3"/>
        <v>0</v>
      </c>
      <c r="M110" s="20">
        <f t="shared" si="4"/>
        <v>217.83054</v>
      </c>
      <c r="N110" s="21">
        <f t="shared" si="11"/>
        <v>2.46</v>
      </c>
      <c r="O110" s="21">
        <f t="shared" si="5"/>
        <v>1968</v>
      </c>
      <c r="P110" s="22">
        <f t="shared" si="6"/>
        <v>174264.432</v>
      </c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>
        <v>46154.0</v>
      </c>
      <c r="C111" s="12">
        <f>VLOOKUP(B:B,'Курс валют'!A:D,4,0)</f>
        <v>88.549</v>
      </c>
      <c r="D111" s="13" t="s">
        <v>446</v>
      </c>
      <c r="E111" s="59" t="s">
        <v>61</v>
      </c>
      <c r="F111" s="15">
        <v>1100.0</v>
      </c>
      <c r="G111" s="16">
        <v>1108.01</v>
      </c>
      <c r="H111" s="17">
        <v>0.0</v>
      </c>
      <c r="I111" s="16">
        <f t="shared" si="10"/>
        <v>8.01</v>
      </c>
      <c r="J111" s="18">
        <f t="shared" si="2"/>
        <v>0.7281818182</v>
      </c>
      <c r="K111" s="17">
        <v>2.42</v>
      </c>
      <c r="L111" s="19">
        <f t="shared" si="3"/>
        <v>0</v>
      </c>
      <c r="M111" s="20">
        <f t="shared" si="4"/>
        <v>214.28858</v>
      </c>
      <c r="N111" s="21">
        <f t="shared" si="11"/>
        <v>2.42</v>
      </c>
      <c r="O111" s="21">
        <f t="shared" si="5"/>
        <v>2662</v>
      </c>
      <c r="P111" s="22">
        <f t="shared" si="6"/>
        <v>235717.438</v>
      </c>
      <c r="R111" s="24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>
        <v>46154.0</v>
      </c>
      <c r="C112" s="12">
        <f>VLOOKUP(B:B,'Курс валют'!A:D,4,0)</f>
        <v>88.549</v>
      </c>
      <c r="D112" s="13" t="s">
        <v>447</v>
      </c>
      <c r="E112" s="59" t="s">
        <v>61</v>
      </c>
      <c r="F112" s="15">
        <v>1100.0</v>
      </c>
      <c r="G112" s="16">
        <v>1108.01</v>
      </c>
      <c r="H112" s="17">
        <v>0.0</v>
      </c>
      <c r="I112" s="16">
        <f t="shared" si="10"/>
        <v>8.01</v>
      </c>
      <c r="J112" s="18">
        <f t="shared" si="2"/>
        <v>0.7281818182</v>
      </c>
      <c r="K112" s="17">
        <v>2.41</v>
      </c>
      <c r="L112" s="19">
        <f t="shared" si="3"/>
        <v>0</v>
      </c>
      <c r="M112" s="20">
        <f t="shared" si="4"/>
        <v>213.40309</v>
      </c>
      <c r="N112" s="21">
        <f t="shared" si="11"/>
        <v>2.41</v>
      </c>
      <c r="O112" s="21">
        <f t="shared" si="5"/>
        <v>2651</v>
      </c>
      <c r="P112" s="22">
        <f t="shared" si="6"/>
        <v>234743.399</v>
      </c>
      <c r="R112" s="24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>
        <v>46154.0</v>
      </c>
      <c r="C113" s="12">
        <f>VLOOKUP(B:B,'Курс валют'!A:D,4,0)</f>
        <v>88.549</v>
      </c>
      <c r="D113" s="13" t="s">
        <v>448</v>
      </c>
      <c r="E113" s="59" t="s">
        <v>61</v>
      </c>
      <c r="F113" s="15">
        <v>1100.0</v>
      </c>
      <c r="G113" s="16">
        <v>1108.01</v>
      </c>
      <c r="H113" s="17">
        <v>0.0</v>
      </c>
      <c r="I113" s="16">
        <f t="shared" si="10"/>
        <v>8.01</v>
      </c>
      <c r="J113" s="18">
        <f t="shared" si="2"/>
        <v>0.7281818182</v>
      </c>
      <c r="K113" s="17">
        <v>2.41</v>
      </c>
      <c r="L113" s="19">
        <f t="shared" si="3"/>
        <v>0</v>
      </c>
      <c r="M113" s="20">
        <f t="shared" si="4"/>
        <v>213.40309</v>
      </c>
      <c r="N113" s="21">
        <f t="shared" si="11"/>
        <v>2.41</v>
      </c>
      <c r="O113" s="21">
        <f t="shared" si="5"/>
        <v>2651</v>
      </c>
      <c r="P113" s="22">
        <f t="shared" si="6"/>
        <v>234743.399</v>
      </c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>
        <v>46154.0</v>
      </c>
      <c r="C114" s="12">
        <f>VLOOKUP(B:B,'Курс валют'!A:D,4,0)</f>
        <v>88.549</v>
      </c>
      <c r="D114" s="13" t="s">
        <v>449</v>
      </c>
      <c r="E114" s="59" t="s">
        <v>61</v>
      </c>
      <c r="F114" s="15">
        <v>1100.0</v>
      </c>
      <c r="G114" s="16">
        <v>1108.01</v>
      </c>
      <c r="H114" s="17">
        <v>0.0</v>
      </c>
      <c r="I114" s="16">
        <f t="shared" si="10"/>
        <v>8.01</v>
      </c>
      <c r="J114" s="18">
        <f t="shared" si="2"/>
        <v>0.7281818182</v>
      </c>
      <c r="K114" s="17">
        <v>2.41</v>
      </c>
      <c r="L114" s="19">
        <f t="shared" si="3"/>
        <v>0</v>
      </c>
      <c r="M114" s="20">
        <f t="shared" si="4"/>
        <v>213.40309</v>
      </c>
      <c r="N114" s="21">
        <f t="shared" si="11"/>
        <v>2.41</v>
      </c>
      <c r="O114" s="21">
        <f t="shared" si="5"/>
        <v>2651</v>
      </c>
      <c r="P114" s="22">
        <f t="shared" si="6"/>
        <v>234743.399</v>
      </c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>
        <v>46154.0</v>
      </c>
      <c r="C115" s="12">
        <f>VLOOKUP(B:B,'Курс валют'!A:D,4,0)</f>
        <v>88.549</v>
      </c>
      <c r="D115" s="13" t="s">
        <v>450</v>
      </c>
      <c r="E115" s="59" t="s">
        <v>61</v>
      </c>
      <c r="F115" s="15">
        <v>1100.0</v>
      </c>
      <c r="G115" s="16">
        <v>1108.01</v>
      </c>
      <c r="H115" s="17">
        <v>0.0</v>
      </c>
      <c r="I115" s="16">
        <f t="shared" si="10"/>
        <v>8.01</v>
      </c>
      <c r="J115" s="18">
        <f t="shared" si="2"/>
        <v>0.7281818182</v>
      </c>
      <c r="K115" s="17">
        <v>2.41</v>
      </c>
      <c r="L115" s="19">
        <f t="shared" si="3"/>
        <v>0</v>
      </c>
      <c r="M115" s="20">
        <f t="shared" si="4"/>
        <v>213.40309</v>
      </c>
      <c r="N115" s="21">
        <f t="shared" si="11"/>
        <v>2.41</v>
      </c>
      <c r="O115" s="21">
        <f t="shared" si="5"/>
        <v>2651</v>
      </c>
      <c r="P115" s="22">
        <f t="shared" si="6"/>
        <v>234743.399</v>
      </c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>
        <v>46154.0</v>
      </c>
      <c r="C116" s="12">
        <f>VLOOKUP(B:B,'Курс валют'!A:D,4,0)</f>
        <v>88.549</v>
      </c>
      <c r="D116" s="13" t="s">
        <v>451</v>
      </c>
      <c r="E116" s="59" t="s">
        <v>61</v>
      </c>
      <c r="F116" s="15">
        <v>1100.0</v>
      </c>
      <c r="G116" s="16">
        <v>1108.01</v>
      </c>
      <c r="H116" s="17">
        <v>0.0</v>
      </c>
      <c r="I116" s="16">
        <f t="shared" si="10"/>
        <v>8.01</v>
      </c>
      <c r="J116" s="18">
        <f t="shared" si="2"/>
        <v>0.7281818182</v>
      </c>
      <c r="K116" s="17">
        <v>2.41</v>
      </c>
      <c r="L116" s="19">
        <f t="shared" si="3"/>
        <v>0</v>
      </c>
      <c r="M116" s="20">
        <f t="shared" si="4"/>
        <v>213.40309</v>
      </c>
      <c r="N116" s="21">
        <f t="shared" si="11"/>
        <v>2.41</v>
      </c>
      <c r="O116" s="21">
        <f t="shared" si="5"/>
        <v>2651</v>
      </c>
      <c r="P116" s="22">
        <f t="shared" si="6"/>
        <v>234743.399</v>
      </c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>
        <v>46154.0</v>
      </c>
      <c r="C117" s="12">
        <f>VLOOKUP(B:B,'Курс валют'!A:D,4,0)</f>
        <v>88.549</v>
      </c>
      <c r="D117" s="13" t="s">
        <v>452</v>
      </c>
      <c r="E117" s="59" t="s">
        <v>61</v>
      </c>
      <c r="F117" s="15">
        <v>1100.0</v>
      </c>
      <c r="G117" s="16">
        <v>1108.01</v>
      </c>
      <c r="H117" s="17">
        <v>0.0</v>
      </c>
      <c r="I117" s="16">
        <f t="shared" si="10"/>
        <v>8.01</v>
      </c>
      <c r="J117" s="18">
        <f t="shared" si="2"/>
        <v>0.7281818182</v>
      </c>
      <c r="K117" s="17">
        <v>2.41</v>
      </c>
      <c r="L117" s="19">
        <f t="shared" si="3"/>
        <v>0</v>
      </c>
      <c r="M117" s="20">
        <f t="shared" si="4"/>
        <v>213.40309</v>
      </c>
      <c r="N117" s="21">
        <f t="shared" si="11"/>
        <v>2.41</v>
      </c>
      <c r="O117" s="21">
        <f t="shared" si="5"/>
        <v>2651</v>
      </c>
      <c r="P117" s="22">
        <f t="shared" si="6"/>
        <v>234743.399</v>
      </c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>
        <v>46154.0</v>
      </c>
      <c r="C118" s="12">
        <f>VLOOKUP(B:B,'Курс валют'!A:D,4,0)</f>
        <v>88.549</v>
      </c>
      <c r="D118" s="13" t="s">
        <v>453</v>
      </c>
      <c r="E118" s="59" t="s">
        <v>61</v>
      </c>
      <c r="F118" s="15">
        <v>1100.0</v>
      </c>
      <c r="G118" s="16">
        <v>1108.01</v>
      </c>
      <c r="H118" s="17">
        <v>0.0</v>
      </c>
      <c r="I118" s="16">
        <f t="shared" si="10"/>
        <v>8.01</v>
      </c>
      <c r="J118" s="18">
        <f t="shared" si="2"/>
        <v>0.7281818182</v>
      </c>
      <c r="K118" s="17">
        <v>2.42</v>
      </c>
      <c r="L118" s="19">
        <f t="shared" si="3"/>
        <v>0</v>
      </c>
      <c r="M118" s="20">
        <f t="shared" si="4"/>
        <v>214.28858</v>
      </c>
      <c r="N118" s="21">
        <f t="shared" si="11"/>
        <v>2.42</v>
      </c>
      <c r="O118" s="21">
        <f t="shared" si="5"/>
        <v>2662</v>
      </c>
      <c r="P118" s="22">
        <f t="shared" si="6"/>
        <v>235717.438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>
        <v>46155.0</v>
      </c>
      <c r="C119" s="12">
        <f>VLOOKUP(B:B,'Курс валют'!A:D,4,0)</f>
        <v>87.3791</v>
      </c>
      <c r="D119" s="13" t="s">
        <v>454</v>
      </c>
      <c r="E119" s="59" t="s">
        <v>61</v>
      </c>
      <c r="F119" s="15">
        <v>1100.0</v>
      </c>
      <c r="G119" s="16">
        <v>1108.01</v>
      </c>
      <c r="H119" s="17">
        <v>0.0</v>
      </c>
      <c r="I119" s="16">
        <f t="shared" si="10"/>
        <v>8.01</v>
      </c>
      <c r="J119" s="18">
        <f t="shared" si="2"/>
        <v>0.7281818182</v>
      </c>
      <c r="K119" s="17">
        <v>2.42</v>
      </c>
      <c r="L119" s="19">
        <f t="shared" si="3"/>
        <v>0</v>
      </c>
      <c r="M119" s="20">
        <f t="shared" si="4"/>
        <v>211.457422</v>
      </c>
      <c r="N119" s="21">
        <f t="shared" si="11"/>
        <v>2.42</v>
      </c>
      <c r="O119" s="21">
        <f t="shared" si="5"/>
        <v>2662</v>
      </c>
      <c r="P119" s="22">
        <f t="shared" si="6"/>
        <v>232603.1642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>
        <v>46155.0</v>
      </c>
      <c r="C120" s="12">
        <f>VLOOKUP(B:B,'Курс валют'!A:D,4,0)</f>
        <v>87.3791</v>
      </c>
      <c r="D120" s="13" t="s">
        <v>455</v>
      </c>
      <c r="E120" s="59" t="s">
        <v>61</v>
      </c>
      <c r="F120" s="15">
        <v>1100.0</v>
      </c>
      <c r="G120" s="16">
        <v>1108.01</v>
      </c>
      <c r="H120" s="17">
        <v>0.0</v>
      </c>
      <c r="I120" s="16">
        <f t="shared" si="10"/>
        <v>8.01</v>
      </c>
      <c r="J120" s="18">
        <f t="shared" si="2"/>
        <v>0.7281818182</v>
      </c>
      <c r="K120" s="17">
        <v>2.42</v>
      </c>
      <c r="L120" s="19">
        <f t="shared" si="3"/>
        <v>0</v>
      </c>
      <c r="M120" s="20">
        <f t="shared" si="4"/>
        <v>211.457422</v>
      </c>
      <c r="N120" s="21">
        <f t="shared" si="11"/>
        <v>2.42</v>
      </c>
      <c r="O120" s="21">
        <f t="shared" si="5"/>
        <v>2662</v>
      </c>
      <c r="P120" s="22">
        <f t="shared" si="6"/>
        <v>232603.1642</v>
      </c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>
        <v>46155.0</v>
      </c>
      <c r="C121" s="12">
        <f>VLOOKUP(B:B,'Курс валют'!A:D,4,0)</f>
        <v>87.3791</v>
      </c>
      <c r="D121" s="13" t="s">
        <v>456</v>
      </c>
      <c r="E121" s="59" t="s">
        <v>61</v>
      </c>
      <c r="F121" s="15">
        <v>1100.0</v>
      </c>
      <c r="G121" s="16">
        <v>1108.01</v>
      </c>
      <c r="H121" s="17">
        <v>0.0</v>
      </c>
      <c r="I121" s="16">
        <f t="shared" si="10"/>
        <v>8.01</v>
      </c>
      <c r="J121" s="18">
        <f t="shared" si="2"/>
        <v>0.7281818182</v>
      </c>
      <c r="K121" s="17">
        <v>2.42</v>
      </c>
      <c r="L121" s="19">
        <f t="shared" si="3"/>
        <v>0</v>
      </c>
      <c r="M121" s="20">
        <f t="shared" si="4"/>
        <v>211.457422</v>
      </c>
      <c r="N121" s="21">
        <f t="shared" si="11"/>
        <v>2.42</v>
      </c>
      <c r="O121" s="21">
        <f t="shared" si="5"/>
        <v>2662</v>
      </c>
      <c r="P121" s="22">
        <f t="shared" si="6"/>
        <v>232603.1642</v>
      </c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>
        <v>46155.0</v>
      </c>
      <c r="C122" s="12">
        <f>VLOOKUP(B:B,'Курс валют'!A:D,4,0)</f>
        <v>87.3791</v>
      </c>
      <c r="D122" s="13" t="s">
        <v>457</v>
      </c>
      <c r="E122" s="59" t="s">
        <v>61</v>
      </c>
      <c r="F122" s="15">
        <v>1100.0</v>
      </c>
      <c r="G122" s="16">
        <v>1108.01</v>
      </c>
      <c r="H122" s="17">
        <v>0.0</v>
      </c>
      <c r="I122" s="16">
        <f t="shared" si="10"/>
        <v>8.01</v>
      </c>
      <c r="J122" s="18">
        <f t="shared" si="2"/>
        <v>0.7281818182</v>
      </c>
      <c r="K122" s="17">
        <v>2.42</v>
      </c>
      <c r="L122" s="19">
        <f t="shared" si="3"/>
        <v>0</v>
      </c>
      <c r="M122" s="20">
        <f t="shared" si="4"/>
        <v>211.457422</v>
      </c>
      <c r="N122" s="21">
        <f t="shared" si="11"/>
        <v>2.42</v>
      </c>
      <c r="O122" s="21">
        <f t="shared" si="5"/>
        <v>2662</v>
      </c>
      <c r="P122" s="22">
        <f t="shared" si="6"/>
        <v>232603.1642</v>
      </c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>
        <v>46155.0</v>
      </c>
      <c r="C123" s="12">
        <f>VLOOKUP(B:B,'Курс валют'!A:D,4,0)</f>
        <v>87.3791</v>
      </c>
      <c r="D123" s="13" t="s">
        <v>458</v>
      </c>
      <c r="E123" s="59" t="s">
        <v>61</v>
      </c>
      <c r="F123" s="15">
        <v>1100.0</v>
      </c>
      <c r="G123" s="16">
        <v>1108.01</v>
      </c>
      <c r="H123" s="17">
        <v>0.0</v>
      </c>
      <c r="I123" s="16">
        <f t="shared" si="10"/>
        <v>8.01</v>
      </c>
      <c r="J123" s="18">
        <f t="shared" si="2"/>
        <v>0.7281818182</v>
      </c>
      <c r="K123" s="17">
        <v>2.43</v>
      </c>
      <c r="L123" s="19">
        <f t="shared" si="3"/>
        <v>0</v>
      </c>
      <c r="M123" s="20">
        <f t="shared" si="4"/>
        <v>212.331213</v>
      </c>
      <c r="N123" s="21">
        <f t="shared" si="11"/>
        <v>2.43</v>
      </c>
      <c r="O123" s="21">
        <f t="shared" si="5"/>
        <v>2673</v>
      </c>
      <c r="P123" s="22">
        <f t="shared" si="6"/>
        <v>233564.3343</v>
      </c>
      <c r="R123" s="24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>
        <v>46155.0</v>
      </c>
      <c r="C124" s="12">
        <f>VLOOKUP(B:B,'Курс валют'!A:D,4,0)</f>
        <v>87.3791</v>
      </c>
      <c r="D124" s="13" t="s">
        <v>459</v>
      </c>
      <c r="E124" s="59" t="s">
        <v>61</v>
      </c>
      <c r="F124" s="15">
        <v>1100.0</v>
      </c>
      <c r="G124" s="16">
        <v>1108.01</v>
      </c>
      <c r="H124" s="17">
        <v>0.0</v>
      </c>
      <c r="I124" s="16">
        <f t="shared" si="10"/>
        <v>8.01</v>
      </c>
      <c r="J124" s="18">
        <f t="shared" si="2"/>
        <v>0.7281818182</v>
      </c>
      <c r="K124" s="17">
        <v>2.42</v>
      </c>
      <c r="L124" s="19">
        <f t="shared" si="3"/>
        <v>0</v>
      </c>
      <c r="M124" s="20">
        <f t="shared" si="4"/>
        <v>211.457422</v>
      </c>
      <c r="N124" s="21">
        <f t="shared" si="11"/>
        <v>2.42</v>
      </c>
      <c r="O124" s="21">
        <f t="shared" si="5"/>
        <v>2662</v>
      </c>
      <c r="P124" s="22">
        <f t="shared" si="6"/>
        <v>232603.1642</v>
      </c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11">
        <v>46155.0</v>
      </c>
      <c r="C125" s="12">
        <f>VLOOKUP(B:B,'Курс валют'!A:D,4,0)</f>
        <v>87.3791</v>
      </c>
      <c r="D125" s="13" t="s">
        <v>460</v>
      </c>
      <c r="E125" s="59" t="s">
        <v>55</v>
      </c>
      <c r="F125" s="15">
        <v>1000.0</v>
      </c>
      <c r="G125" s="16">
        <v>1014.6</v>
      </c>
      <c r="H125" s="17">
        <v>0.0</v>
      </c>
      <c r="I125" s="16">
        <f t="shared" si="10"/>
        <v>14.6</v>
      </c>
      <c r="J125" s="18">
        <f t="shared" si="2"/>
        <v>1.46</v>
      </c>
      <c r="K125" s="17">
        <v>2.82</v>
      </c>
      <c r="L125" s="19">
        <f t="shared" si="3"/>
        <v>0</v>
      </c>
      <c r="M125" s="20">
        <f t="shared" si="4"/>
        <v>246.409062</v>
      </c>
      <c r="N125" s="21">
        <f t="shared" si="11"/>
        <v>2.82</v>
      </c>
      <c r="O125" s="21">
        <f t="shared" si="5"/>
        <v>2820</v>
      </c>
      <c r="P125" s="22">
        <f t="shared" si="6"/>
        <v>246409.062</v>
      </c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11">
        <v>46155.0</v>
      </c>
      <c r="C126" s="12">
        <f>VLOOKUP(B:B,'Курс валют'!A:D,4,0)</f>
        <v>87.3791</v>
      </c>
      <c r="D126" s="13" t="s">
        <v>461</v>
      </c>
      <c r="E126" s="59" t="s">
        <v>55</v>
      </c>
      <c r="F126" s="15">
        <v>200.0</v>
      </c>
      <c r="G126" s="16">
        <v>202.92</v>
      </c>
      <c r="H126" s="17">
        <v>0.0</v>
      </c>
      <c r="I126" s="16">
        <f t="shared" si="10"/>
        <v>2.92</v>
      </c>
      <c r="J126" s="18">
        <f t="shared" si="2"/>
        <v>1.46</v>
      </c>
      <c r="K126" s="17">
        <v>2.74</v>
      </c>
      <c r="L126" s="19">
        <f t="shared" si="3"/>
        <v>0</v>
      </c>
      <c r="M126" s="20">
        <f t="shared" si="4"/>
        <v>239.418734</v>
      </c>
      <c r="N126" s="21">
        <f t="shared" si="11"/>
        <v>2.74</v>
      </c>
      <c r="O126" s="21">
        <f t="shared" si="5"/>
        <v>548</v>
      </c>
      <c r="P126" s="22">
        <f t="shared" si="6"/>
        <v>47883.7468</v>
      </c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A127" s="25"/>
      <c r="B127" s="11">
        <v>46155.0</v>
      </c>
      <c r="C127" s="12">
        <f>VLOOKUP(B:B,'Курс валют'!A:D,4,0)</f>
        <v>87.3791</v>
      </c>
      <c r="D127" s="13" t="s">
        <v>461</v>
      </c>
      <c r="E127" s="59" t="s">
        <v>92</v>
      </c>
      <c r="F127" s="15">
        <v>800.0</v>
      </c>
      <c r="G127" s="16">
        <v>811.68</v>
      </c>
      <c r="H127" s="17">
        <v>0.0</v>
      </c>
      <c r="I127" s="16">
        <f t="shared" si="10"/>
        <v>11.68</v>
      </c>
      <c r="J127" s="18">
        <f t="shared" si="2"/>
        <v>1.46</v>
      </c>
      <c r="K127" s="17">
        <v>2.82</v>
      </c>
      <c r="L127" s="19">
        <f t="shared" si="3"/>
        <v>0</v>
      </c>
      <c r="M127" s="20">
        <f t="shared" si="4"/>
        <v>246.409062</v>
      </c>
      <c r="N127" s="21">
        <f t="shared" si="11"/>
        <v>2.82</v>
      </c>
      <c r="O127" s="21">
        <f t="shared" si="5"/>
        <v>2256</v>
      </c>
      <c r="P127" s="22">
        <f t="shared" si="6"/>
        <v>197127.2496</v>
      </c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>
      <c r="A128" s="25"/>
      <c r="B128" s="11">
        <v>46155.0</v>
      </c>
      <c r="C128" s="12">
        <f>VLOOKUP(B:B,'Курс валют'!A:D,4,0)</f>
        <v>87.3791</v>
      </c>
      <c r="D128" s="13" t="s">
        <v>462</v>
      </c>
      <c r="E128" s="59" t="s">
        <v>61</v>
      </c>
      <c r="F128" s="15">
        <v>1100.0</v>
      </c>
      <c r="G128" s="16">
        <v>1108.01</v>
      </c>
      <c r="H128" s="17">
        <v>0.0</v>
      </c>
      <c r="I128" s="16">
        <f t="shared" si="10"/>
        <v>8.01</v>
      </c>
      <c r="J128" s="18">
        <f t="shared" si="2"/>
        <v>0.7281818182</v>
      </c>
      <c r="K128" s="17">
        <v>2.42</v>
      </c>
      <c r="L128" s="19">
        <f t="shared" si="3"/>
        <v>0</v>
      </c>
      <c r="M128" s="20">
        <f t="shared" si="4"/>
        <v>211.457422</v>
      </c>
      <c r="N128" s="21">
        <f t="shared" si="11"/>
        <v>2.42</v>
      </c>
      <c r="O128" s="21">
        <f t="shared" si="5"/>
        <v>2662</v>
      </c>
      <c r="P128" s="22">
        <f t="shared" si="6"/>
        <v>232603.1642</v>
      </c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>
      <c r="A129" s="25"/>
      <c r="B129" s="11">
        <v>46155.0</v>
      </c>
      <c r="C129" s="12">
        <f>VLOOKUP(B:B,'Курс валют'!A:D,4,0)</f>
        <v>87.3791</v>
      </c>
      <c r="D129" s="13" t="s">
        <v>463</v>
      </c>
      <c r="E129" s="59" t="s">
        <v>61</v>
      </c>
      <c r="F129" s="15">
        <v>1100.0</v>
      </c>
      <c r="G129" s="16">
        <v>1108.01</v>
      </c>
      <c r="H129" s="17">
        <v>0.0</v>
      </c>
      <c r="I129" s="16">
        <f t="shared" si="10"/>
        <v>8.01</v>
      </c>
      <c r="J129" s="18">
        <f t="shared" si="2"/>
        <v>0.7281818182</v>
      </c>
      <c r="K129" s="17">
        <v>2.43</v>
      </c>
      <c r="L129" s="19">
        <f t="shared" si="3"/>
        <v>0</v>
      </c>
      <c r="M129" s="20">
        <f t="shared" si="4"/>
        <v>212.331213</v>
      </c>
      <c r="N129" s="21">
        <f t="shared" si="11"/>
        <v>2.43</v>
      </c>
      <c r="O129" s="21">
        <f t="shared" si="5"/>
        <v>2673</v>
      </c>
      <c r="P129" s="22">
        <f t="shared" si="6"/>
        <v>233564.3343</v>
      </c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>
      <c r="A130" s="25"/>
      <c r="B130" s="11">
        <v>46156.0</v>
      </c>
      <c r="C130" s="12">
        <f>VLOOKUP(B:B,'Курс валют'!A:D,4,0)</f>
        <v>85.9017</v>
      </c>
      <c r="D130" s="13" t="s">
        <v>464</v>
      </c>
      <c r="E130" s="59" t="s">
        <v>18</v>
      </c>
      <c r="F130" s="15">
        <v>1100.0</v>
      </c>
      <c r="G130" s="16">
        <v>1108.5</v>
      </c>
      <c r="H130" s="17">
        <v>0.0</v>
      </c>
      <c r="I130" s="16">
        <f t="shared" si="10"/>
        <v>8.5</v>
      </c>
      <c r="J130" s="18">
        <f t="shared" si="2"/>
        <v>0.7727272727</v>
      </c>
      <c r="K130" s="17">
        <v>2.37</v>
      </c>
      <c r="L130" s="19">
        <f t="shared" si="3"/>
        <v>0</v>
      </c>
      <c r="M130" s="20">
        <f t="shared" si="4"/>
        <v>203.587029</v>
      </c>
      <c r="N130" s="21">
        <f t="shared" si="11"/>
        <v>2.37</v>
      </c>
      <c r="O130" s="21">
        <f t="shared" si="5"/>
        <v>2607</v>
      </c>
      <c r="P130" s="22">
        <f t="shared" si="6"/>
        <v>223945.7319</v>
      </c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>
      <c r="A131" s="25"/>
      <c r="B131" s="11">
        <v>46156.0</v>
      </c>
      <c r="C131" s="12">
        <f>VLOOKUP(B:B,'Курс валют'!A:D,4,0)</f>
        <v>85.9017</v>
      </c>
      <c r="D131" s="13" t="s">
        <v>465</v>
      </c>
      <c r="E131" s="59" t="s">
        <v>18</v>
      </c>
      <c r="F131" s="15">
        <v>1100.0</v>
      </c>
      <c r="G131" s="16">
        <v>1108.5</v>
      </c>
      <c r="H131" s="17">
        <v>0.0</v>
      </c>
      <c r="I131" s="16">
        <f t="shared" si="10"/>
        <v>8.5</v>
      </c>
      <c r="J131" s="18">
        <f t="shared" si="2"/>
        <v>0.7727272727</v>
      </c>
      <c r="K131" s="17">
        <v>2.37</v>
      </c>
      <c r="L131" s="19">
        <f t="shared" si="3"/>
        <v>0</v>
      </c>
      <c r="M131" s="20">
        <f t="shared" si="4"/>
        <v>203.587029</v>
      </c>
      <c r="N131" s="21">
        <f t="shared" si="11"/>
        <v>2.37</v>
      </c>
      <c r="O131" s="21">
        <f t="shared" si="5"/>
        <v>2607</v>
      </c>
      <c r="P131" s="22">
        <f t="shared" si="6"/>
        <v>223945.7319</v>
      </c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>
      <c r="A132" s="25"/>
      <c r="B132" s="11">
        <v>46156.0</v>
      </c>
      <c r="C132" s="12">
        <f>VLOOKUP(B:B,'Курс валют'!A:D,4,0)</f>
        <v>85.9017</v>
      </c>
      <c r="D132" s="13" t="s">
        <v>466</v>
      </c>
      <c r="E132" s="59" t="s">
        <v>18</v>
      </c>
      <c r="F132" s="15">
        <v>1100.0</v>
      </c>
      <c r="G132" s="16">
        <v>1108.5</v>
      </c>
      <c r="H132" s="17">
        <v>0.0</v>
      </c>
      <c r="I132" s="16">
        <f t="shared" si="10"/>
        <v>8.5</v>
      </c>
      <c r="J132" s="18">
        <f t="shared" si="2"/>
        <v>0.7727272727</v>
      </c>
      <c r="K132" s="17">
        <v>2.37</v>
      </c>
      <c r="L132" s="19">
        <f t="shared" si="3"/>
        <v>0</v>
      </c>
      <c r="M132" s="20">
        <f t="shared" si="4"/>
        <v>203.587029</v>
      </c>
      <c r="N132" s="21">
        <f t="shared" si="11"/>
        <v>2.37</v>
      </c>
      <c r="O132" s="21">
        <f t="shared" si="5"/>
        <v>2607</v>
      </c>
      <c r="P132" s="22">
        <f t="shared" si="6"/>
        <v>223945.7319</v>
      </c>
      <c r="R132" s="24"/>
      <c r="S132" s="25"/>
      <c r="T132" s="25"/>
      <c r="U132" s="25"/>
      <c r="V132" s="25"/>
      <c r="W132" s="25"/>
      <c r="X132" s="25"/>
      <c r="Y132" s="25"/>
      <c r="Z132" s="25"/>
      <c r="AA132" s="25"/>
    </row>
    <row r="133">
      <c r="B133" s="11">
        <v>46156.0</v>
      </c>
      <c r="C133" s="12">
        <f>VLOOKUP(B:B,'Курс валют'!A:D,4,0)</f>
        <v>85.9017</v>
      </c>
      <c r="D133" s="73" t="s">
        <v>467</v>
      </c>
      <c r="E133" s="59" t="s">
        <v>60</v>
      </c>
      <c r="F133" s="15">
        <v>1000.0</v>
      </c>
      <c r="G133" s="16">
        <v>1000.0</v>
      </c>
      <c r="H133" s="17">
        <v>0.0</v>
      </c>
      <c r="I133" s="16">
        <f t="shared" si="10"/>
        <v>0</v>
      </c>
      <c r="J133" s="18">
        <f t="shared" si="2"/>
        <v>0</v>
      </c>
      <c r="K133" s="17">
        <v>2.6</v>
      </c>
      <c r="L133" s="19">
        <f t="shared" si="3"/>
        <v>0</v>
      </c>
      <c r="M133" s="20">
        <f t="shared" si="4"/>
        <v>223.34442</v>
      </c>
      <c r="N133" s="21">
        <f t="shared" si="11"/>
        <v>2.6</v>
      </c>
      <c r="O133" s="21">
        <f t="shared" si="5"/>
        <v>2600</v>
      </c>
      <c r="P133" s="22">
        <f t="shared" si="6"/>
        <v>223344.42</v>
      </c>
      <c r="R133" s="23" t="s">
        <v>468</v>
      </c>
    </row>
    <row r="134">
      <c r="B134" s="11">
        <v>46156.0</v>
      </c>
      <c r="C134" s="12">
        <f>VLOOKUP(B:B,'Курс валют'!A:D,4,0)</f>
        <v>85.9017</v>
      </c>
      <c r="D134" s="73" t="s">
        <v>469</v>
      </c>
      <c r="E134" s="59" t="s">
        <v>57</v>
      </c>
      <c r="F134" s="15">
        <v>800.0</v>
      </c>
      <c r="G134" s="16">
        <v>800.0</v>
      </c>
      <c r="H134" s="17">
        <v>0.0</v>
      </c>
      <c r="I134" s="16">
        <f t="shared" si="10"/>
        <v>0</v>
      </c>
      <c r="J134" s="18">
        <f t="shared" si="2"/>
        <v>0</v>
      </c>
      <c r="K134" s="17">
        <v>2.9</v>
      </c>
      <c r="L134" s="19">
        <f t="shared" si="3"/>
        <v>0</v>
      </c>
      <c r="M134" s="20">
        <f t="shared" si="4"/>
        <v>249.11493</v>
      </c>
      <c r="N134" s="21">
        <f t="shared" si="11"/>
        <v>2.9</v>
      </c>
      <c r="O134" s="21">
        <f t="shared" si="5"/>
        <v>2320</v>
      </c>
      <c r="P134" s="22">
        <f t="shared" si="6"/>
        <v>199291.944</v>
      </c>
      <c r="R134" s="23" t="s">
        <v>470</v>
      </c>
    </row>
    <row r="135">
      <c r="B135" s="11">
        <v>46156.0</v>
      </c>
      <c r="C135" s="12">
        <f>VLOOKUP(B:B,'Курс валют'!A:D,4,0)</f>
        <v>85.9017</v>
      </c>
      <c r="D135" s="73" t="s">
        <v>471</v>
      </c>
      <c r="E135" s="59" t="s">
        <v>57</v>
      </c>
      <c r="F135" s="15">
        <v>400.0</v>
      </c>
      <c r="G135" s="16">
        <v>400.0</v>
      </c>
      <c r="H135" s="17">
        <v>0.0</v>
      </c>
      <c r="I135" s="16">
        <f t="shared" si="10"/>
        <v>0</v>
      </c>
      <c r="J135" s="18">
        <f t="shared" si="2"/>
        <v>0</v>
      </c>
      <c r="K135" s="17">
        <v>2.54</v>
      </c>
      <c r="L135" s="19">
        <f t="shared" si="3"/>
        <v>0</v>
      </c>
      <c r="M135" s="20">
        <f t="shared" si="4"/>
        <v>218.190318</v>
      </c>
      <c r="N135" s="21">
        <f t="shared" si="11"/>
        <v>2.54</v>
      </c>
      <c r="O135" s="21">
        <f t="shared" si="5"/>
        <v>1016</v>
      </c>
      <c r="P135" s="22">
        <f t="shared" si="6"/>
        <v>87276.1272</v>
      </c>
      <c r="R135" s="23" t="s">
        <v>470</v>
      </c>
    </row>
    <row r="136">
      <c r="B136" s="11">
        <v>46156.0</v>
      </c>
      <c r="C136" s="12">
        <f>VLOOKUP(B:B,'Курс валют'!A:D,4,0)</f>
        <v>85.9017</v>
      </c>
      <c r="D136" s="73" t="s">
        <v>472</v>
      </c>
      <c r="E136" s="59" t="s">
        <v>71</v>
      </c>
      <c r="F136" s="15">
        <v>200.0</v>
      </c>
      <c r="G136" s="16">
        <v>200.0</v>
      </c>
      <c r="H136" s="17">
        <v>0.0</v>
      </c>
      <c r="I136" s="16">
        <f t="shared" si="10"/>
        <v>0</v>
      </c>
      <c r="J136" s="18">
        <f t="shared" si="2"/>
        <v>0</v>
      </c>
      <c r="K136" s="17">
        <v>1.98</v>
      </c>
      <c r="L136" s="19">
        <f t="shared" si="3"/>
        <v>0</v>
      </c>
      <c r="M136" s="20">
        <f t="shared" si="4"/>
        <v>170.085366</v>
      </c>
      <c r="N136" s="21">
        <f t="shared" si="11"/>
        <v>1.98</v>
      </c>
      <c r="O136" s="21">
        <f t="shared" si="5"/>
        <v>396</v>
      </c>
      <c r="P136" s="22">
        <f t="shared" si="6"/>
        <v>34017.0732</v>
      </c>
      <c r="R136" s="23" t="s">
        <v>473</v>
      </c>
    </row>
    <row r="137">
      <c r="B137" s="11">
        <v>46156.0</v>
      </c>
      <c r="C137" s="12">
        <f>VLOOKUP(B:B,'Курс валют'!A:D,4,0)</f>
        <v>85.9017</v>
      </c>
      <c r="D137" s="73" t="s">
        <v>474</v>
      </c>
      <c r="E137" s="59" t="s">
        <v>71</v>
      </c>
      <c r="F137" s="15">
        <v>800.0</v>
      </c>
      <c r="G137" s="16">
        <v>800.0</v>
      </c>
      <c r="H137" s="17">
        <v>0.0</v>
      </c>
      <c r="I137" s="16">
        <f t="shared" si="10"/>
        <v>0</v>
      </c>
      <c r="J137" s="18">
        <f t="shared" si="2"/>
        <v>0</v>
      </c>
      <c r="K137" s="17">
        <v>1.98</v>
      </c>
      <c r="L137" s="19">
        <f t="shared" si="3"/>
        <v>0</v>
      </c>
      <c r="M137" s="20">
        <f t="shared" si="4"/>
        <v>170.085366</v>
      </c>
      <c r="N137" s="21">
        <f t="shared" si="11"/>
        <v>1.98</v>
      </c>
      <c r="O137" s="21">
        <f t="shared" si="5"/>
        <v>1584</v>
      </c>
      <c r="P137" s="22">
        <f t="shared" si="6"/>
        <v>136068.2928</v>
      </c>
      <c r="R137" s="23" t="s">
        <v>473</v>
      </c>
    </row>
    <row r="138">
      <c r="B138" s="11">
        <v>46156.0</v>
      </c>
      <c r="C138" s="12">
        <f>VLOOKUP(B:B,'Курс валют'!A:D,4,0)</f>
        <v>85.9017</v>
      </c>
      <c r="D138" s="73" t="s">
        <v>475</v>
      </c>
      <c r="E138" s="59" t="s">
        <v>57</v>
      </c>
      <c r="F138" s="15">
        <v>185.0</v>
      </c>
      <c r="G138" s="16">
        <v>185.0</v>
      </c>
      <c r="H138" s="17">
        <v>0.0</v>
      </c>
      <c r="I138" s="16">
        <f t="shared" si="10"/>
        <v>0</v>
      </c>
      <c r="J138" s="18">
        <f t="shared" si="2"/>
        <v>0</v>
      </c>
      <c r="K138" s="17">
        <v>2.54</v>
      </c>
      <c r="L138" s="19">
        <f t="shared" si="3"/>
        <v>0</v>
      </c>
      <c r="M138" s="20">
        <f t="shared" si="4"/>
        <v>218.190318</v>
      </c>
      <c r="N138" s="21">
        <f t="shared" si="11"/>
        <v>2.54</v>
      </c>
      <c r="O138" s="21">
        <f t="shared" si="5"/>
        <v>469.9</v>
      </c>
      <c r="P138" s="22">
        <f t="shared" si="6"/>
        <v>40365.20883</v>
      </c>
      <c r="R138" s="23" t="s">
        <v>476</v>
      </c>
    </row>
    <row r="139">
      <c r="B139" s="11">
        <v>46156.0</v>
      </c>
      <c r="C139" s="12">
        <f>VLOOKUP(B:B,'Курс валют'!A:D,4,0)</f>
        <v>85.9017</v>
      </c>
      <c r="D139" s="73" t="s">
        <v>477</v>
      </c>
      <c r="E139" s="59" t="s">
        <v>57</v>
      </c>
      <c r="F139" s="15">
        <v>200.0</v>
      </c>
      <c r="G139" s="16">
        <v>200.0</v>
      </c>
      <c r="H139" s="17">
        <v>0.0</v>
      </c>
      <c r="I139" s="16">
        <f t="shared" si="10"/>
        <v>0</v>
      </c>
      <c r="J139" s="18">
        <f t="shared" si="2"/>
        <v>0</v>
      </c>
      <c r="K139" s="17">
        <v>2.9</v>
      </c>
      <c r="L139" s="19">
        <f t="shared" si="3"/>
        <v>0</v>
      </c>
      <c r="M139" s="20">
        <f t="shared" si="4"/>
        <v>249.11493</v>
      </c>
      <c r="N139" s="21">
        <f t="shared" si="11"/>
        <v>2.9</v>
      </c>
      <c r="O139" s="21">
        <f t="shared" si="5"/>
        <v>580</v>
      </c>
      <c r="P139" s="22">
        <f t="shared" si="6"/>
        <v>49822.986</v>
      </c>
      <c r="R139" s="23" t="s">
        <v>476</v>
      </c>
    </row>
    <row r="140">
      <c r="B140" s="11">
        <v>46156.0</v>
      </c>
      <c r="C140" s="12">
        <f>VLOOKUP(B:B,'Курс валют'!A:D,4,0)</f>
        <v>85.9017</v>
      </c>
      <c r="D140" s="13" t="s">
        <v>478</v>
      </c>
      <c r="E140" s="59" t="s">
        <v>18</v>
      </c>
      <c r="F140" s="15">
        <v>1100.0</v>
      </c>
      <c r="G140" s="16">
        <v>1108.5</v>
      </c>
      <c r="H140" s="17">
        <v>0.0</v>
      </c>
      <c r="I140" s="16">
        <f t="shared" si="10"/>
        <v>8.5</v>
      </c>
      <c r="J140" s="18">
        <f t="shared" si="2"/>
        <v>0.7727272727</v>
      </c>
      <c r="K140" s="17">
        <v>2.37</v>
      </c>
      <c r="L140" s="19">
        <f t="shared" si="3"/>
        <v>0</v>
      </c>
      <c r="M140" s="20">
        <f t="shared" si="4"/>
        <v>203.587029</v>
      </c>
      <c r="N140" s="21">
        <f t="shared" si="11"/>
        <v>2.37</v>
      </c>
      <c r="O140" s="21">
        <f t="shared" si="5"/>
        <v>2607</v>
      </c>
      <c r="P140" s="22">
        <f t="shared" si="6"/>
        <v>223945.7319</v>
      </c>
    </row>
    <row r="141">
      <c r="B141" s="11">
        <v>46156.0</v>
      </c>
      <c r="C141" s="12">
        <f>VLOOKUP(B:B,'Курс валют'!A:D,4,0)</f>
        <v>85.9017</v>
      </c>
      <c r="D141" s="13" t="s">
        <v>479</v>
      </c>
      <c r="E141" s="59" t="s">
        <v>18</v>
      </c>
      <c r="F141" s="15">
        <v>1100.0</v>
      </c>
      <c r="G141" s="16">
        <v>1108.5</v>
      </c>
      <c r="H141" s="17">
        <v>0.0</v>
      </c>
      <c r="I141" s="16">
        <f t="shared" si="10"/>
        <v>8.5</v>
      </c>
      <c r="J141" s="18">
        <f t="shared" si="2"/>
        <v>0.7727272727</v>
      </c>
      <c r="K141" s="17">
        <v>2.37</v>
      </c>
      <c r="L141" s="19">
        <f t="shared" si="3"/>
        <v>0</v>
      </c>
      <c r="M141" s="20">
        <f t="shared" si="4"/>
        <v>203.587029</v>
      </c>
      <c r="N141" s="21">
        <f t="shared" si="11"/>
        <v>2.37</v>
      </c>
      <c r="O141" s="21">
        <f t="shared" si="5"/>
        <v>2607</v>
      </c>
      <c r="P141" s="22">
        <f t="shared" si="6"/>
        <v>223945.7319</v>
      </c>
    </row>
    <row r="142">
      <c r="B142" s="11">
        <v>46156.0</v>
      </c>
      <c r="C142" s="12">
        <f>VLOOKUP(B:B,'Курс валют'!A:D,4,0)</f>
        <v>85.9017</v>
      </c>
      <c r="D142" s="13" t="s">
        <v>480</v>
      </c>
      <c r="E142" s="59" t="s">
        <v>18</v>
      </c>
      <c r="F142" s="15">
        <v>1100.0</v>
      </c>
      <c r="G142" s="16">
        <v>1108.5</v>
      </c>
      <c r="H142" s="17">
        <v>0.0</v>
      </c>
      <c r="I142" s="16">
        <f t="shared" si="10"/>
        <v>8.5</v>
      </c>
      <c r="J142" s="18">
        <f t="shared" si="2"/>
        <v>0.7727272727</v>
      </c>
      <c r="K142" s="17">
        <v>2.37</v>
      </c>
      <c r="L142" s="19">
        <f t="shared" si="3"/>
        <v>0</v>
      </c>
      <c r="M142" s="20">
        <f t="shared" si="4"/>
        <v>203.587029</v>
      </c>
      <c r="N142" s="21">
        <f t="shared" si="11"/>
        <v>2.37</v>
      </c>
      <c r="O142" s="21">
        <f t="shared" si="5"/>
        <v>2607</v>
      </c>
      <c r="P142" s="22">
        <f t="shared" si="6"/>
        <v>223945.7319</v>
      </c>
    </row>
    <row r="143">
      <c r="B143" s="11">
        <v>46156.0</v>
      </c>
      <c r="C143" s="12">
        <f>VLOOKUP(B:B,'Курс валют'!A:D,4,0)</f>
        <v>85.9017</v>
      </c>
      <c r="D143" s="13" t="s">
        <v>481</v>
      </c>
      <c r="E143" s="59" t="s">
        <v>18</v>
      </c>
      <c r="F143" s="15">
        <v>1100.0</v>
      </c>
      <c r="G143" s="16">
        <v>1108.5</v>
      </c>
      <c r="H143" s="17">
        <v>0.0</v>
      </c>
      <c r="I143" s="16">
        <f t="shared" si="10"/>
        <v>8.5</v>
      </c>
      <c r="J143" s="18">
        <f t="shared" si="2"/>
        <v>0.7727272727</v>
      </c>
      <c r="K143" s="17">
        <v>2.37</v>
      </c>
      <c r="L143" s="19">
        <f t="shared" si="3"/>
        <v>0</v>
      </c>
      <c r="M143" s="20">
        <f t="shared" si="4"/>
        <v>203.587029</v>
      </c>
      <c r="N143" s="21">
        <f t="shared" si="11"/>
        <v>2.37</v>
      </c>
      <c r="O143" s="21">
        <f t="shared" si="5"/>
        <v>2607</v>
      </c>
      <c r="P143" s="22">
        <f t="shared" si="6"/>
        <v>223945.7319</v>
      </c>
    </row>
    <row r="144">
      <c r="B144" s="11">
        <v>46156.0</v>
      </c>
      <c r="C144" s="12">
        <f>VLOOKUP(B:B,'Курс валют'!A:D,4,0)</f>
        <v>85.9017</v>
      </c>
      <c r="D144" s="13" t="s">
        <v>482</v>
      </c>
      <c r="E144" s="59" t="s">
        <v>18</v>
      </c>
      <c r="F144" s="15">
        <v>1100.0</v>
      </c>
      <c r="G144" s="16">
        <v>1108.5</v>
      </c>
      <c r="H144" s="17">
        <v>0.0</v>
      </c>
      <c r="I144" s="16">
        <f t="shared" si="10"/>
        <v>8.5</v>
      </c>
      <c r="J144" s="18">
        <f t="shared" si="2"/>
        <v>0.7727272727</v>
      </c>
      <c r="K144" s="17">
        <v>2.37</v>
      </c>
      <c r="L144" s="19">
        <f t="shared" si="3"/>
        <v>0</v>
      </c>
      <c r="M144" s="20">
        <f t="shared" si="4"/>
        <v>203.587029</v>
      </c>
      <c r="N144" s="21">
        <f t="shared" si="11"/>
        <v>2.37</v>
      </c>
      <c r="O144" s="21">
        <f t="shared" si="5"/>
        <v>2607</v>
      </c>
      <c r="P144" s="22">
        <f t="shared" si="6"/>
        <v>223945.7319</v>
      </c>
    </row>
    <row r="145">
      <c r="B145" s="11">
        <v>46156.0</v>
      </c>
      <c r="C145" s="12">
        <f>VLOOKUP(B:B,'Курс валют'!A:D,4,0)</f>
        <v>85.9017</v>
      </c>
      <c r="D145" s="13" t="s">
        <v>483</v>
      </c>
      <c r="E145" s="59" t="s">
        <v>18</v>
      </c>
      <c r="F145" s="15">
        <v>1100.0</v>
      </c>
      <c r="G145" s="16">
        <v>1108.5</v>
      </c>
      <c r="H145" s="17">
        <v>0.0</v>
      </c>
      <c r="I145" s="16">
        <f t="shared" si="10"/>
        <v>8.5</v>
      </c>
      <c r="J145" s="18">
        <f t="shared" si="2"/>
        <v>0.7727272727</v>
      </c>
      <c r="K145" s="17">
        <v>2.37</v>
      </c>
      <c r="L145" s="19">
        <f t="shared" si="3"/>
        <v>0</v>
      </c>
      <c r="M145" s="20">
        <f t="shared" si="4"/>
        <v>203.587029</v>
      </c>
      <c r="N145" s="21">
        <f t="shared" si="11"/>
        <v>2.37</v>
      </c>
      <c r="O145" s="21">
        <f t="shared" si="5"/>
        <v>2607</v>
      </c>
      <c r="P145" s="22">
        <f t="shared" si="6"/>
        <v>223945.7319</v>
      </c>
    </row>
    <row r="146">
      <c r="B146" s="11">
        <v>46156.0</v>
      </c>
      <c r="C146" s="12">
        <f>VLOOKUP(B:B,'Курс валют'!A:D,4,0)</f>
        <v>85.9017</v>
      </c>
      <c r="D146" s="13" t="s">
        <v>484</v>
      </c>
      <c r="E146" s="59" t="s">
        <v>18</v>
      </c>
      <c r="F146" s="15">
        <v>1100.0</v>
      </c>
      <c r="G146" s="16">
        <v>1108.5</v>
      </c>
      <c r="H146" s="17">
        <v>0.0</v>
      </c>
      <c r="I146" s="16">
        <f t="shared" si="10"/>
        <v>8.5</v>
      </c>
      <c r="J146" s="18">
        <f t="shared" si="2"/>
        <v>0.7727272727</v>
      </c>
      <c r="K146" s="17">
        <v>2.37</v>
      </c>
      <c r="L146" s="19">
        <f t="shared" si="3"/>
        <v>0</v>
      </c>
      <c r="M146" s="20">
        <f t="shared" si="4"/>
        <v>203.587029</v>
      </c>
      <c r="N146" s="21">
        <f t="shared" si="11"/>
        <v>2.37</v>
      </c>
      <c r="O146" s="21">
        <f t="shared" si="5"/>
        <v>2607</v>
      </c>
      <c r="P146" s="22">
        <f t="shared" si="6"/>
        <v>223945.7319</v>
      </c>
    </row>
    <row r="147">
      <c r="B147" s="11">
        <v>46157.0</v>
      </c>
      <c r="C147" s="12">
        <f>VLOOKUP(B:B,'Курс валют'!A:D,4,0)</f>
        <v>86.2899</v>
      </c>
      <c r="D147" s="13" t="s">
        <v>485</v>
      </c>
      <c r="E147" s="59" t="s">
        <v>18</v>
      </c>
      <c r="F147" s="15">
        <v>1100.0</v>
      </c>
      <c r="G147" s="16">
        <v>1108.5</v>
      </c>
      <c r="H147" s="17">
        <v>0.0</v>
      </c>
      <c r="I147" s="16">
        <f t="shared" si="10"/>
        <v>8.5</v>
      </c>
      <c r="J147" s="18">
        <f t="shared" si="2"/>
        <v>0.7727272727</v>
      </c>
      <c r="K147" s="17">
        <v>2.37</v>
      </c>
      <c r="L147" s="19">
        <f t="shared" si="3"/>
        <v>0</v>
      </c>
      <c r="M147" s="20">
        <f t="shared" si="4"/>
        <v>204.507063</v>
      </c>
      <c r="N147" s="21">
        <f t="shared" si="11"/>
        <v>2.37</v>
      </c>
      <c r="O147" s="21">
        <f t="shared" si="5"/>
        <v>2607</v>
      </c>
      <c r="P147" s="22">
        <f t="shared" si="6"/>
        <v>224957.7693</v>
      </c>
    </row>
    <row r="148">
      <c r="B148" s="11">
        <v>46157.0</v>
      </c>
      <c r="C148" s="12">
        <f>VLOOKUP(B:B,'Курс валют'!A:D,4,0)</f>
        <v>86.2899</v>
      </c>
      <c r="D148" s="13" t="s">
        <v>486</v>
      </c>
      <c r="E148" s="59" t="s">
        <v>104</v>
      </c>
      <c r="F148" s="15">
        <v>1000.0</v>
      </c>
      <c r="G148" s="16">
        <v>1009.2</v>
      </c>
      <c r="H148" s="17">
        <v>0.0</v>
      </c>
      <c r="I148" s="16">
        <f t="shared" si="10"/>
        <v>9.2</v>
      </c>
      <c r="J148" s="18">
        <f t="shared" si="2"/>
        <v>0.92</v>
      </c>
      <c r="K148" s="17">
        <v>2.58</v>
      </c>
      <c r="L148" s="19">
        <f t="shared" si="3"/>
        <v>0</v>
      </c>
      <c r="M148" s="20">
        <f t="shared" si="4"/>
        <v>222.627942</v>
      </c>
      <c r="N148" s="21">
        <f t="shared" si="11"/>
        <v>2.58</v>
      </c>
      <c r="O148" s="21">
        <f t="shared" si="5"/>
        <v>2580</v>
      </c>
      <c r="P148" s="22">
        <f t="shared" si="6"/>
        <v>222627.942</v>
      </c>
    </row>
    <row r="149">
      <c r="B149" s="11">
        <v>46157.0</v>
      </c>
      <c r="C149" s="12">
        <f>VLOOKUP(B:B,'Курс валют'!A:D,4,0)</f>
        <v>86.2899</v>
      </c>
      <c r="D149" s="13" t="s">
        <v>487</v>
      </c>
      <c r="E149" s="59" t="s">
        <v>104</v>
      </c>
      <c r="F149" s="15">
        <v>1000.0</v>
      </c>
      <c r="G149" s="16">
        <v>1009.2</v>
      </c>
      <c r="H149" s="17">
        <v>0.0</v>
      </c>
      <c r="I149" s="16">
        <f t="shared" si="10"/>
        <v>9.2</v>
      </c>
      <c r="J149" s="18">
        <f t="shared" si="2"/>
        <v>0.92</v>
      </c>
      <c r="K149" s="17">
        <v>2.55</v>
      </c>
      <c r="L149" s="19">
        <f t="shared" si="3"/>
        <v>0</v>
      </c>
      <c r="M149" s="20">
        <f t="shared" si="4"/>
        <v>220.039245</v>
      </c>
      <c r="N149" s="21">
        <f t="shared" si="11"/>
        <v>2.55</v>
      </c>
      <c r="O149" s="21">
        <f t="shared" si="5"/>
        <v>2550</v>
      </c>
      <c r="P149" s="22">
        <f t="shared" si="6"/>
        <v>220039.245</v>
      </c>
    </row>
    <row r="150">
      <c r="B150" s="11">
        <v>46157.0</v>
      </c>
      <c r="C150" s="12">
        <f>VLOOKUP(B:B,'Курс валют'!A:D,4,0)</f>
        <v>86.2899</v>
      </c>
      <c r="D150" s="13" t="s">
        <v>488</v>
      </c>
      <c r="E150" s="59" t="s">
        <v>18</v>
      </c>
      <c r="F150" s="15">
        <v>1100.0</v>
      </c>
      <c r="G150" s="16">
        <v>1108.5</v>
      </c>
      <c r="H150" s="17">
        <v>0.0</v>
      </c>
      <c r="I150" s="16">
        <f t="shared" si="10"/>
        <v>8.5</v>
      </c>
      <c r="J150" s="18">
        <f t="shared" si="2"/>
        <v>0.7727272727</v>
      </c>
      <c r="K150" s="17">
        <v>2.37</v>
      </c>
      <c r="L150" s="19">
        <f t="shared" si="3"/>
        <v>0</v>
      </c>
      <c r="M150" s="20">
        <f t="shared" si="4"/>
        <v>204.507063</v>
      </c>
      <c r="N150" s="21">
        <f t="shared" si="11"/>
        <v>2.37</v>
      </c>
      <c r="O150" s="21">
        <f t="shared" si="5"/>
        <v>2607</v>
      </c>
      <c r="P150" s="22">
        <f t="shared" si="6"/>
        <v>224957.7693</v>
      </c>
    </row>
    <row r="151">
      <c r="B151" s="11">
        <v>46157.0</v>
      </c>
      <c r="C151" s="12">
        <f>VLOOKUP(B:B,'Курс валют'!A:D,4,0)</f>
        <v>86.2899</v>
      </c>
      <c r="D151" s="13" t="s">
        <v>489</v>
      </c>
      <c r="E151" s="59" t="s">
        <v>18</v>
      </c>
      <c r="F151" s="15">
        <v>1100.0</v>
      </c>
      <c r="G151" s="16">
        <v>1108.5</v>
      </c>
      <c r="H151" s="17">
        <v>0.0</v>
      </c>
      <c r="I151" s="16">
        <f t="shared" si="10"/>
        <v>8.5</v>
      </c>
      <c r="J151" s="18">
        <f t="shared" si="2"/>
        <v>0.7727272727</v>
      </c>
      <c r="K151" s="17">
        <v>2.37</v>
      </c>
      <c r="L151" s="19">
        <f t="shared" si="3"/>
        <v>0</v>
      </c>
      <c r="M151" s="20">
        <f t="shared" si="4"/>
        <v>204.507063</v>
      </c>
      <c r="N151" s="21">
        <f t="shared" si="11"/>
        <v>2.37</v>
      </c>
      <c r="O151" s="21">
        <f t="shared" si="5"/>
        <v>2607</v>
      </c>
      <c r="P151" s="22">
        <f t="shared" si="6"/>
        <v>224957.7693</v>
      </c>
    </row>
    <row r="152">
      <c r="B152" s="11">
        <v>46157.0</v>
      </c>
      <c r="C152" s="12">
        <f>VLOOKUP(B:B,'Курс валют'!A:D,4,0)</f>
        <v>86.2899</v>
      </c>
      <c r="D152" s="13" t="s">
        <v>490</v>
      </c>
      <c r="E152" s="59" t="s">
        <v>18</v>
      </c>
      <c r="F152" s="15">
        <v>1100.0</v>
      </c>
      <c r="G152" s="16">
        <v>1108.5</v>
      </c>
      <c r="H152" s="17">
        <v>0.0</v>
      </c>
      <c r="I152" s="16">
        <f t="shared" si="10"/>
        <v>8.5</v>
      </c>
      <c r="J152" s="18">
        <f t="shared" si="2"/>
        <v>0.7727272727</v>
      </c>
      <c r="K152" s="17">
        <v>2.37</v>
      </c>
      <c r="L152" s="19">
        <f t="shared" si="3"/>
        <v>0</v>
      </c>
      <c r="M152" s="20">
        <f t="shared" si="4"/>
        <v>204.507063</v>
      </c>
      <c r="N152" s="21">
        <f t="shared" si="11"/>
        <v>2.37</v>
      </c>
      <c r="O152" s="21">
        <f t="shared" si="5"/>
        <v>2607</v>
      </c>
      <c r="P152" s="22">
        <f t="shared" si="6"/>
        <v>224957.7693</v>
      </c>
    </row>
    <row r="153">
      <c r="B153" s="11">
        <v>46157.0</v>
      </c>
      <c r="C153" s="12">
        <f>VLOOKUP(B:B,'Курс валют'!A:D,4,0)</f>
        <v>86.2899</v>
      </c>
      <c r="D153" s="13" t="s">
        <v>491</v>
      </c>
      <c r="E153" s="59" t="s">
        <v>104</v>
      </c>
      <c r="F153" s="15">
        <v>1000.0</v>
      </c>
      <c r="G153" s="16">
        <v>1009.2</v>
      </c>
      <c r="H153" s="17">
        <v>0.0</v>
      </c>
      <c r="I153" s="16">
        <f t="shared" si="10"/>
        <v>9.2</v>
      </c>
      <c r="J153" s="18">
        <f t="shared" si="2"/>
        <v>0.92</v>
      </c>
      <c r="K153" s="17">
        <v>2.55</v>
      </c>
      <c r="L153" s="19">
        <f t="shared" si="3"/>
        <v>0</v>
      </c>
      <c r="M153" s="20">
        <f t="shared" si="4"/>
        <v>220.039245</v>
      </c>
      <c r="N153" s="21">
        <f t="shared" si="11"/>
        <v>2.55</v>
      </c>
      <c r="O153" s="21">
        <f t="shared" si="5"/>
        <v>2550</v>
      </c>
      <c r="P153" s="22">
        <f t="shared" si="6"/>
        <v>220039.245</v>
      </c>
    </row>
    <row r="154">
      <c r="B154" s="11">
        <v>46157.0</v>
      </c>
      <c r="C154" s="12">
        <f>VLOOKUP(B:B,'Курс валют'!A:D,4,0)</f>
        <v>86.2899</v>
      </c>
      <c r="D154" s="13" t="s">
        <v>492</v>
      </c>
      <c r="E154" s="59" t="s">
        <v>104</v>
      </c>
      <c r="F154" s="15">
        <v>1000.0</v>
      </c>
      <c r="G154" s="16">
        <v>1009.2</v>
      </c>
      <c r="H154" s="17">
        <v>0.0</v>
      </c>
      <c r="I154" s="16">
        <f t="shared" si="10"/>
        <v>9.2</v>
      </c>
      <c r="J154" s="18">
        <f t="shared" si="2"/>
        <v>0.92</v>
      </c>
      <c r="K154" s="17">
        <v>2.55</v>
      </c>
      <c r="L154" s="19">
        <f t="shared" si="3"/>
        <v>0</v>
      </c>
      <c r="M154" s="20">
        <f t="shared" si="4"/>
        <v>220.039245</v>
      </c>
      <c r="N154" s="21">
        <f t="shared" si="11"/>
        <v>2.55</v>
      </c>
      <c r="O154" s="21">
        <f t="shared" si="5"/>
        <v>2550</v>
      </c>
      <c r="P154" s="22">
        <f t="shared" si="6"/>
        <v>220039.245</v>
      </c>
    </row>
    <row r="155">
      <c r="B155" s="11">
        <v>46157.0</v>
      </c>
      <c r="C155" s="12">
        <f>VLOOKUP(B:B,'Курс валют'!A:D,4,0)</f>
        <v>86.2899</v>
      </c>
      <c r="D155" s="13" t="s">
        <v>493</v>
      </c>
      <c r="E155" s="59" t="s">
        <v>18</v>
      </c>
      <c r="F155" s="15">
        <v>1100.0</v>
      </c>
      <c r="G155" s="16">
        <v>1108.5</v>
      </c>
      <c r="H155" s="17">
        <v>0.0</v>
      </c>
      <c r="I155" s="16">
        <f t="shared" si="10"/>
        <v>8.5</v>
      </c>
      <c r="J155" s="18">
        <f t="shared" si="2"/>
        <v>0.7727272727</v>
      </c>
      <c r="K155" s="17">
        <v>2.37</v>
      </c>
      <c r="L155" s="19">
        <f t="shared" si="3"/>
        <v>0</v>
      </c>
      <c r="M155" s="20">
        <f t="shared" si="4"/>
        <v>204.507063</v>
      </c>
      <c r="N155" s="21">
        <f t="shared" si="11"/>
        <v>2.37</v>
      </c>
      <c r="O155" s="21">
        <f t="shared" si="5"/>
        <v>2607</v>
      </c>
      <c r="P155" s="22">
        <f t="shared" si="6"/>
        <v>224957.7693</v>
      </c>
    </row>
    <row r="156">
      <c r="B156" s="11">
        <v>46157.0</v>
      </c>
      <c r="C156" s="12">
        <f>VLOOKUP(B:B,'Курс валют'!A:D,4,0)</f>
        <v>86.2899</v>
      </c>
      <c r="D156" s="13" t="s">
        <v>494</v>
      </c>
      <c r="E156" s="59" t="s">
        <v>18</v>
      </c>
      <c r="F156" s="15">
        <v>1100.0</v>
      </c>
      <c r="G156" s="16">
        <v>1108.5</v>
      </c>
      <c r="H156" s="17">
        <v>0.0</v>
      </c>
      <c r="I156" s="16">
        <f t="shared" si="10"/>
        <v>8.5</v>
      </c>
      <c r="J156" s="18">
        <f t="shared" si="2"/>
        <v>0.7727272727</v>
      </c>
      <c r="K156" s="17">
        <v>2.37</v>
      </c>
      <c r="L156" s="19">
        <f t="shared" si="3"/>
        <v>0</v>
      </c>
      <c r="M156" s="20">
        <f t="shared" si="4"/>
        <v>204.507063</v>
      </c>
      <c r="N156" s="21">
        <f t="shared" si="11"/>
        <v>2.37</v>
      </c>
      <c r="O156" s="21">
        <f t="shared" si="5"/>
        <v>2607</v>
      </c>
      <c r="P156" s="22">
        <f t="shared" si="6"/>
        <v>224957.7693</v>
      </c>
    </row>
    <row r="157">
      <c r="B157" s="11">
        <v>46157.0</v>
      </c>
      <c r="C157" s="12">
        <f>VLOOKUP(B:B,'Курс валют'!A:D,4,0)</f>
        <v>86.2899</v>
      </c>
      <c r="D157" s="13" t="s">
        <v>495</v>
      </c>
      <c r="E157" s="59" t="s">
        <v>18</v>
      </c>
      <c r="F157" s="15">
        <v>1100.0</v>
      </c>
      <c r="G157" s="16">
        <v>1108.5</v>
      </c>
      <c r="H157" s="17">
        <v>0.0</v>
      </c>
      <c r="I157" s="16">
        <f t="shared" si="10"/>
        <v>8.5</v>
      </c>
      <c r="J157" s="18">
        <f t="shared" si="2"/>
        <v>0.7727272727</v>
      </c>
      <c r="K157" s="17">
        <v>2.37</v>
      </c>
      <c r="L157" s="19">
        <f t="shared" si="3"/>
        <v>0</v>
      </c>
      <c r="M157" s="20">
        <f t="shared" si="4"/>
        <v>204.507063</v>
      </c>
      <c r="N157" s="21">
        <f t="shared" si="11"/>
        <v>2.37</v>
      </c>
      <c r="O157" s="21">
        <f t="shared" si="5"/>
        <v>2607</v>
      </c>
      <c r="P157" s="22">
        <f t="shared" si="6"/>
        <v>224957.7693</v>
      </c>
    </row>
    <row r="158">
      <c r="B158" s="11">
        <v>46157.0</v>
      </c>
      <c r="C158" s="12">
        <f>VLOOKUP(B:B,'Курс валют'!A:D,4,0)</f>
        <v>86.2899</v>
      </c>
      <c r="D158" s="13" t="s">
        <v>496</v>
      </c>
      <c r="E158" s="59" t="s">
        <v>18</v>
      </c>
      <c r="F158" s="15">
        <v>1100.0</v>
      </c>
      <c r="G158" s="16">
        <v>1108.5</v>
      </c>
      <c r="H158" s="17">
        <v>0.0</v>
      </c>
      <c r="I158" s="16">
        <f t="shared" si="10"/>
        <v>8.5</v>
      </c>
      <c r="J158" s="18">
        <f t="shared" si="2"/>
        <v>0.7727272727</v>
      </c>
      <c r="K158" s="17">
        <v>2.37</v>
      </c>
      <c r="L158" s="19">
        <f t="shared" si="3"/>
        <v>0</v>
      </c>
      <c r="M158" s="20">
        <f t="shared" si="4"/>
        <v>204.507063</v>
      </c>
      <c r="N158" s="21">
        <f t="shared" si="11"/>
        <v>2.37</v>
      </c>
      <c r="O158" s="21">
        <f t="shared" si="5"/>
        <v>2607</v>
      </c>
      <c r="P158" s="22">
        <f t="shared" si="6"/>
        <v>224957.7693</v>
      </c>
    </row>
    <row r="159">
      <c r="B159" s="11">
        <v>46157.0</v>
      </c>
      <c r="C159" s="12">
        <f>VLOOKUP(B:B,'Курс валют'!A:D,4,0)</f>
        <v>86.2899</v>
      </c>
      <c r="D159" s="13" t="s">
        <v>497</v>
      </c>
      <c r="E159" s="59" t="s">
        <v>18</v>
      </c>
      <c r="F159" s="15">
        <v>1100.0</v>
      </c>
      <c r="G159" s="16">
        <v>1108.5</v>
      </c>
      <c r="H159" s="17">
        <v>0.0</v>
      </c>
      <c r="I159" s="16">
        <f t="shared" si="10"/>
        <v>8.5</v>
      </c>
      <c r="J159" s="18">
        <f t="shared" si="2"/>
        <v>0.7727272727</v>
      </c>
      <c r="K159" s="17">
        <v>2.37</v>
      </c>
      <c r="L159" s="19">
        <f t="shared" si="3"/>
        <v>0</v>
      </c>
      <c r="M159" s="20">
        <f t="shared" si="4"/>
        <v>204.507063</v>
      </c>
      <c r="N159" s="21">
        <f t="shared" si="11"/>
        <v>2.37</v>
      </c>
      <c r="O159" s="21">
        <f t="shared" si="5"/>
        <v>2607</v>
      </c>
      <c r="P159" s="22">
        <f t="shared" si="6"/>
        <v>224957.7693</v>
      </c>
    </row>
    <row r="160">
      <c r="B160" s="11">
        <v>46157.0</v>
      </c>
      <c r="C160" s="12">
        <f>VLOOKUP(B:B,'Курс валют'!A:D,4,0)</f>
        <v>86.2899</v>
      </c>
      <c r="D160" s="13" t="s">
        <v>498</v>
      </c>
      <c r="E160" s="59" t="s">
        <v>18</v>
      </c>
      <c r="F160" s="15">
        <v>1100.0</v>
      </c>
      <c r="G160" s="16">
        <v>1108.5</v>
      </c>
      <c r="H160" s="17">
        <v>0.0</v>
      </c>
      <c r="I160" s="16">
        <f t="shared" si="10"/>
        <v>8.5</v>
      </c>
      <c r="J160" s="18">
        <f t="shared" si="2"/>
        <v>0.7727272727</v>
      </c>
      <c r="K160" s="17">
        <v>2.37</v>
      </c>
      <c r="L160" s="19">
        <f t="shared" si="3"/>
        <v>0</v>
      </c>
      <c r="M160" s="20">
        <f t="shared" si="4"/>
        <v>204.507063</v>
      </c>
      <c r="N160" s="21">
        <f t="shared" si="11"/>
        <v>2.37</v>
      </c>
      <c r="O160" s="21">
        <f t="shared" si="5"/>
        <v>2607</v>
      </c>
      <c r="P160" s="22">
        <f t="shared" si="6"/>
        <v>224957.7693</v>
      </c>
    </row>
    <row r="161">
      <c r="B161" s="11">
        <v>46158.0</v>
      </c>
      <c r="C161" s="12">
        <f>VLOOKUP(B:B,'Курс валют'!A:D,4,0)</f>
        <v>85.183</v>
      </c>
      <c r="D161" s="13" t="s">
        <v>499</v>
      </c>
      <c r="E161" s="59" t="s">
        <v>61</v>
      </c>
      <c r="F161" s="15">
        <v>1100.0</v>
      </c>
      <c r="G161" s="16">
        <v>1108.01</v>
      </c>
      <c r="H161" s="17">
        <v>0.0</v>
      </c>
      <c r="I161" s="16">
        <f t="shared" si="10"/>
        <v>8.01</v>
      </c>
      <c r="J161" s="18">
        <f t="shared" si="2"/>
        <v>0.7281818182</v>
      </c>
      <c r="K161" s="17">
        <v>2.43</v>
      </c>
      <c r="L161" s="19">
        <f t="shared" si="3"/>
        <v>0</v>
      </c>
      <c r="M161" s="20">
        <f t="shared" si="4"/>
        <v>206.99469</v>
      </c>
      <c r="N161" s="21">
        <f t="shared" si="11"/>
        <v>2.43</v>
      </c>
      <c r="O161" s="21">
        <f t="shared" si="5"/>
        <v>2673</v>
      </c>
      <c r="P161" s="22">
        <f t="shared" si="6"/>
        <v>227694.159</v>
      </c>
    </row>
    <row r="162">
      <c r="B162" s="11">
        <v>46158.0</v>
      </c>
      <c r="C162" s="12">
        <f>VLOOKUP(B:B,'Курс валют'!A:D,4,0)</f>
        <v>85.183</v>
      </c>
      <c r="D162" s="13" t="s">
        <v>500</v>
      </c>
      <c r="E162" s="59" t="s">
        <v>61</v>
      </c>
      <c r="F162" s="15">
        <v>1100.0</v>
      </c>
      <c r="G162" s="16">
        <v>1108.01</v>
      </c>
      <c r="H162" s="17">
        <v>0.0</v>
      </c>
      <c r="I162" s="16">
        <f t="shared" si="10"/>
        <v>8.01</v>
      </c>
      <c r="J162" s="18">
        <f t="shared" si="2"/>
        <v>0.7281818182</v>
      </c>
      <c r="K162" s="17">
        <v>2.43</v>
      </c>
      <c r="L162" s="19">
        <f t="shared" si="3"/>
        <v>0</v>
      </c>
      <c r="M162" s="20">
        <f t="shared" si="4"/>
        <v>206.99469</v>
      </c>
      <c r="N162" s="21">
        <f t="shared" si="11"/>
        <v>2.43</v>
      </c>
      <c r="O162" s="21">
        <f t="shared" si="5"/>
        <v>2673</v>
      </c>
      <c r="P162" s="22">
        <f t="shared" si="6"/>
        <v>227694.159</v>
      </c>
    </row>
    <row r="163">
      <c r="B163" s="11">
        <v>46158.0</v>
      </c>
      <c r="C163" s="12">
        <f>VLOOKUP(B:B,'Курс валют'!A:D,4,0)</f>
        <v>85.183</v>
      </c>
      <c r="D163" s="13" t="s">
        <v>501</v>
      </c>
      <c r="E163" s="59" t="s">
        <v>61</v>
      </c>
      <c r="F163" s="15">
        <v>1100.0</v>
      </c>
      <c r="G163" s="16">
        <v>1108.01</v>
      </c>
      <c r="H163" s="17">
        <v>0.0</v>
      </c>
      <c r="I163" s="16">
        <f t="shared" si="10"/>
        <v>8.01</v>
      </c>
      <c r="J163" s="18">
        <f t="shared" si="2"/>
        <v>0.7281818182</v>
      </c>
      <c r="K163" s="17">
        <v>2.43</v>
      </c>
      <c r="L163" s="19">
        <f t="shared" si="3"/>
        <v>0</v>
      </c>
      <c r="M163" s="20">
        <f t="shared" si="4"/>
        <v>206.99469</v>
      </c>
      <c r="N163" s="21">
        <f t="shared" si="11"/>
        <v>2.43</v>
      </c>
      <c r="O163" s="21">
        <f t="shared" si="5"/>
        <v>2673</v>
      </c>
      <c r="P163" s="22">
        <f t="shared" si="6"/>
        <v>227694.159</v>
      </c>
    </row>
    <row r="164">
      <c r="B164" s="11">
        <v>46158.0</v>
      </c>
      <c r="C164" s="12">
        <f>VLOOKUP(B:B,'Курс валют'!A:D,4,0)</f>
        <v>85.183</v>
      </c>
      <c r="D164" s="13" t="s">
        <v>502</v>
      </c>
      <c r="E164" s="59" t="s">
        <v>61</v>
      </c>
      <c r="F164" s="15">
        <v>1100.0</v>
      </c>
      <c r="G164" s="16">
        <v>1108.01</v>
      </c>
      <c r="H164" s="17">
        <v>0.0</v>
      </c>
      <c r="I164" s="16">
        <f t="shared" si="10"/>
        <v>8.01</v>
      </c>
      <c r="J164" s="18">
        <f t="shared" si="2"/>
        <v>0.7281818182</v>
      </c>
      <c r="K164" s="17">
        <v>2.47</v>
      </c>
      <c r="L164" s="19">
        <f t="shared" si="3"/>
        <v>0</v>
      </c>
      <c r="M164" s="20">
        <f t="shared" si="4"/>
        <v>210.40201</v>
      </c>
      <c r="N164" s="21">
        <f t="shared" si="11"/>
        <v>2.47</v>
      </c>
      <c r="O164" s="21">
        <f t="shared" si="5"/>
        <v>2717</v>
      </c>
      <c r="P164" s="22">
        <f t="shared" si="6"/>
        <v>231442.211</v>
      </c>
    </row>
    <row r="165">
      <c r="B165" s="11">
        <v>46158.0</v>
      </c>
      <c r="C165" s="12">
        <f>VLOOKUP(B:B,'Курс валют'!A:D,4,0)</f>
        <v>85.183</v>
      </c>
      <c r="D165" s="13" t="s">
        <v>503</v>
      </c>
      <c r="E165" s="59" t="s">
        <v>61</v>
      </c>
      <c r="F165" s="15">
        <v>1100.0</v>
      </c>
      <c r="G165" s="16">
        <v>1108.01</v>
      </c>
      <c r="H165" s="17">
        <v>0.0</v>
      </c>
      <c r="I165" s="16">
        <f t="shared" si="10"/>
        <v>8.01</v>
      </c>
      <c r="J165" s="18">
        <f t="shared" si="2"/>
        <v>0.7281818182</v>
      </c>
      <c r="K165" s="17">
        <v>2.47</v>
      </c>
      <c r="L165" s="19">
        <f t="shared" si="3"/>
        <v>0</v>
      </c>
      <c r="M165" s="20">
        <f t="shared" si="4"/>
        <v>210.40201</v>
      </c>
      <c r="N165" s="21">
        <f t="shared" si="11"/>
        <v>2.47</v>
      </c>
      <c r="O165" s="21">
        <f t="shared" si="5"/>
        <v>2717</v>
      </c>
      <c r="P165" s="22">
        <f t="shared" si="6"/>
        <v>231442.211</v>
      </c>
    </row>
    <row r="166">
      <c r="B166" s="11">
        <v>46158.0</v>
      </c>
      <c r="C166" s="12">
        <f>VLOOKUP(B:B,'Курс валют'!A:D,4,0)</f>
        <v>85.183</v>
      </c>
      <c r="D166" s="13" t="s">
        <v>504</v>
      </c>
      <c r="E166" s="59" t="s">
        <v>61</v>
      </c>
      <c r="F166" s="15">
        <v>1100.0</v>
      </c>
      <c r="G166" s="16">
        <v>1108.01</v>
      </c>
      <c r="H166" s="17">
        <v>0.0</v>
      </c>
      <c r="I166" s="16">
        <f t="shared" si="10"/>
        <v>8.01</v>
      </c>
      <c r="J166" s="18">
        <f t="shared" si="2"/>
        <v>0.7281818182</v>
      </c>
      <c r="K166" s="17">
        <v>2.47</v>
      </c>
      <c r="L166" s="19">
        <f t="shared" si="3"/>
        <v>0</v>
      </c>
      <c r="M166" s="20">
        <f t="shared" si="4"/>
        <v>210.40201</v>
      </c>
      <c r="N166" s="21">
        <f t="shared" si="11"/>
        <v>2.47</v>
      </c>
      <c r="O166" s="21">
        <f t="shared" si="5"/>
        <v>2717</v>
      </c>
      <c r="P166" s="22">
        <f t="shared" si="6"/>
        <v>231442.211</v>
      </c>
    </row>
    <row r="167">
      <c r="B167" s="11">
        <v>46158.0</v>
      </c>
      <c r="C167" s="12">
        <f>VLOOKUP(B:B,'Курс валют'!A:D,4,0)</f>
        <v>85.183</v>
      </c>
      <c r="D167" s="13" t="s">
        <v>505</v>
      </c>
      <c r="E167" s="59" t="s">
        <v>61</v>
      </c>
      <c r="F167" s="15">
        <v>1100.0</v>
      </c>
      <c r="G167" s="16">
        <v>1108.01</v>
      </c>
      <c r="H167" s="17">
        <v>0.0</v>
      </c>
      <c r="I167" s="16">
        <f t="shared" si="10"/>
        <v>8.01</v>
      </c>
      <c r="J167" s="18">
        <f t="shared" si="2"/>
        <v>0.7281818182</v>
      </c>
      <c r="K167" s="17">
        <v>2.47</v>
      </c>
      <c r="L167" s="19">
        <f t="shared" si="3"/>
        <v>0</v>
      </c>
      <c r="M167" s="20">
        <f t="shared" si="4"/>
        <v>210.40201</v>
      </c>
      <c r="N167" s="21">
        <f t="shared" si="11"/>
        <v>2.47</v>
      </c>
      <c r="O167" s="21">
        <f t="shared" si="5"/>
        <v>2717</v>
      </c>
      <c r="P167" s="22">
        <f t="shared" si="6"/>
        <v>231442.211</v>
      </c>
    </row>
    <row r="168">
      <c r="B168" s="11">
        <v>46158.0</v>
      </c>
      <c r="C168" s="12">
        <f>VLOOKUP(B:B,'Курс валют'!A:D,4,0)</f>
        <v>85.183</v>
      </c>
      <c r="D168" s="13" t="s">
        <v>506</v>
      </c>
      <c r="E168" s="59" t="s">
        <v>61</v>
      </c>
      <c r="F168" s="15">
        <v>1100.0</v>
      </c>
      <c r="G168" s="16">
        <v>1108.01</v>
      </c>
      <c r="H168" s="17">
        <v>0.0</v>
      </c>
      <c r="I168" s="16">
        <f t="shared" si="10"/>
        <v>8.01</v>
      </c>
      <c r="J168" s="18">
        <f t="shared" si="2"/>
        <v>0.7281818182</v>
      </c>
      <c r="K168" s="17">
        <v>2.47</v>
      </c>
      <c r="L168" s="19">
        <f t="shared" si="3"/>
        <v>0</v>
      </c>
      <c r="M168" s="20">
        <f t="shared" si="4"/>
        <v>210.40201</v>
      </c>
      <c r="N168" s="21">
        <f t="shared" si="11"/>
        <v>2.47</v>
      </c>
      <c r="O168" s="21">
        <f t="shared" si="5"/>
        <v>2717</v>
      </c>
      <c r="P168" s="22">
        <f t="shared" si="6"/>
        <v>231442.211</v>
      </c>
    </row>
    <row r="169">
      <c r="B169" s="11">
        <v>46158.0</v>
      </c>
      <c r="C169" s="12">
        <f>VLOOKUP(B:B,'Курс валют'!A:D,4,0)</f>
        <v>85.183</v>
      </c>
      <c r="D169" s="13" t="s">
        <v>507</v>
      </c>
      <c r="E169" s="59" t="s">
        <v>54</v>
      </c>
      <c r="F169" s="15">
        <v>800.0</v>
      </c>
      <c r="G169" s="16">
        <v>805.14</v>
      </c>
      <c r="H169" s="17">
        <v>0.0</v>
      </c>
      <c r="I169" s="16">
        <f t="shared" si="10"/>
        <v>5.14</v>
      </c>
      <c r="J169" s="18">
        <f t="shared" si="2"/>
        <v>0.6425</v>
      </c>
      <c r="K169" s="17">
        <v>1.88</v>
      </c>
      <c r="L169" s="19">
        <f t="shared" si="3"/>
        <v>0</v>
      </c>
      <c r="M169" s="20">
        <f t="shared" si="4"/>
        <v>160.14404</v>
      </c>
      <c r="N169" s="21">
        <f t="shared" si="11"/>
        <v>1.88</v>
      </c>
      <c r="O169" s="21">
        <f t="shared" si="5"/>
        <v>1504</v>
      </c>
      <c r="P169" s="22">
        <f t="shared" si="6"/>
        <v>128115.232</v>
      </c>
    </row>
    <row r="170">
      <c r="B170" s="11">
        <v>46158.0</v>
      </c>
      <c r="C170" s="12">
        <f>VLOOKUP(B:B,'Курс валют'!A:D,4,0)</f>
        <v>85.183</v>
      </c>
      <c r="D170" s="13" t="s">
        <v>508</v>
      </c>
      <c r="E170" s="59" t="s">
        <v>54</v>
      </c>
      <c r="F170" s="15">
        <v>800.0</v>
      </c>
      <c r="G170" s="16">
        <v>805.14</v>
      </c>
      <c r="H170" s="17">
        <v>0.0</v>
      </c>
      <c r="I170" s="16">
        <f t="shared" si="10"/>
        <v>5.14</v>
      </c>
      <c r="J170" s="18">
        <f t="shared" si="2"/>
        <v>0.6425</v>
      </c>
      <c r="K170" s="17">
        <v>1.8</v>
      </c>
      <c r="L170" s="19">
        <f t="shared" si="3"/>
        <v>0</v>
      </c>
      <c r="M170" s="20">
        <f t="shared" si="4"/>
        <v>153.3294</v>
      </c>
      <c r="N170" s="21">
        <f t="shared" si="11"/>
        <v>1.8</v>
      </c>
      <c r="O170" s="21">
        <f t="shared" si="5"/>
        <v>1440</v>
      </c>
      <c r="P170" s="22">
        <f t="shared" si="6"/>
        <v>122663.52</v>
      </c>
    </row>
    <row r="171">
      <c r="B171" s="11">
        <v>46158.0</v>
      </c>
      <c r="C171" s="12">
        <f>VLOOKUP(B:B,'Курс валют'!A:D,4,0)</f>
        <v>85.183</v>
      </c>
      <c r="D171" s="13" t="s">
        <v>509</v>
      </c>
      <c r="E171" s="59" t="s">
        <v>54</v>
      </c>
      <c r="F171" s="15">
        <v>800.0</v>
      </c>
      <c r="G171" s="16">
        <v>805.14</v>
      </c>
      <c r="H171" s="17">
        <v>0.0</v>
      </c>
      <c r="I171" s="16">
        <f t="shared" si="10"/>
        <v>5.14</v>
      </c>
      <c r="J171" s="18">
        <f t="shared" si="2"/>
        <v>0.6425</v>
      </c>
      <c r="K171" s="17">
        <v>1.8</v>
      </c>
      <c r="L171" s="19">
        <f t="shared" si="3"/>
        <v>0</v>
      </c>
      <c r="M171" s="20">
        <f t="shared" si="4"/>
        <v>153.3294</v>
      </c>
      <c r="N171" s="21">
        <f t="shared" si="11"/>
        <v>1.8</v>
      </c>
      <c r="O171" s="21">
        <f t="shared" si="5"/>
        <v>1440</v>
      </c>
      <c r="P171" s="22">
        <f t="shared" si="6"/>
        <v>122663.52</v>
      </c>
    </row>
    <row r="172">
      <c r="B172" s="11">
        <v>46158.0</v>
      </c>
      <c r="C172" s="12">
        <f>VLOOKUP(B:B,'Курс валют'!A:D,4,0)</f>
        <v>85.183</v>
      </c>
      <c r="D172" s="13" t="s">
        <v>510</v>
      </c>
      <c r="E172" s="59" t="s">
        <v>54</v>
      </c>
      <c r="F172" s="15">
        <v>800.0</v>
      </c>
      <c r="G172" s="16">
        <v>805.14</v>
      </c>
      <c r="H172" s="17">
        <v>0.0</v>
      </c>
      <c r="I172" s="16">
        <f t="shared" si="10"/>
        <v>5.14</v>
      </c>
      <c r="J172" s="18">
        <f t="shared" si="2"/>
        <v>0.6425</v>
      </c>
      <c r="K172" s="17">
        <v>1.8</v>
      </c>
      <c r="L172" s="19">
        <f t="shared" si="3"/>
        <v>0</v>
      </c>
      <c r="M172" s="20">
        <f t="shared" si="4"/>
        <v>153.3294</v>
      </c>
      <c r="N172" s="21">
        <f t="shared" si="11"/>
        <v>1.8</v>
      </c>
      <c r="O172" s="21">
        <f t="shared" si="5"/>
        <v>1440</v>
      </c>
      <c r="P172" s="22">
        <f t="shared" si="6"/>
        <v>122663.52</v>
      </c>
    </row>
    <row r="173">
      <c r="B173" s="11">
        <v>46158.0</v>
      </c>
      <c r="C173" s="12">
        <f>VLOOKUP(B:B,'Курс валют'!A:D,4,0)</f>
        <v>85.183</v>
      </c>
      <c r="D173" s="13" t="s">
        <v>511</v>
      </c>
      <c r="E173" s="59" t="s">
        <v>54</v>
      </c>
      <c r="F173" s="15">
        <v>800.0</v>
      </c>
      <c r="G173" s="16">
        <v>805.14</v>
      </c>
      <c r="H173" s="17">
        <v>0.0</v>
      </c>
      <c r="I173" s="16">
        <f t="shared" si="10"/>
        <v>5.14</v>
      </c>
      <c r="J173" s="18">
        <f t="shared" si="2"/>
        <v>0.6425</v>
      </c>
      <c r="K173" s="17">
        <v>1.82</v>
      </c>
      <c r="L173" s="19">
        <f t="shared" si="3"/>
        <v>0</v>
      </c>
      <c r="M173" s="20">
        <f t="shared" si="4"/>
        <v>155.03306</v>
      </c>
      <c r="N173" s="21">
        <f t="shared" si="11"/>
        <v>1.82</v>
      </c>
      <c r="O173" s="21">
        <f t="shared" si="5"/>
        <v>1456</v>
      </c>
      <c r="P173" s="22">
        <f t="shared" si="6"/>
        <v>124026.448</v>
      </c>
    </row>
    <row r="174">
      <c r="B174" s="11">
        <v>46159.0</v>
      </c>
      <c r="C174" s="12">
        <f>VLOOKUP(B:B,'Курс валют'!A:D,4,0)</f>
        <v>85.183</v>
      </c>
      <c r="D174" s="13" t="s">
        <v>512</v>
      </c>
      <c r="E174" s="59" t="s">
        <v>61</v>
      </c>
      <c r="F174" s="15">
        <v>1100.0</v>
      </c>
      <c r="G174" s="16">
        <v>1108.01</v>
      </c>
      <c r="H174" s="17">
        <v>0.0</v>
      </c>
      <c r="I174" s="16">
        <f t="shared" si="10"/>
        <v>8.01</v>
      </c>
      <c r="J174" s="18">
        <f t="shared" si="2"/>
        <v>0.7281818182</v>
      </c>
      <c r="K174" s="17">
        <v>2.48</v>
      </c>
      <c r="L174" s="19">
        <f t="shared" si="3"/>
        <v>0</v>
      </c>
      <c r="M174" s="20">
        <f t="shared" si="4"/>
        <v>211.25384</v>
      </c>
      <c r="N174" s="21">
        <f t="shared" si="11"/>
        <v>2.48</v>
      </c>
      <c r="O174" s="21">
        <f t="shared" si="5"/>
        <v>2728</v>
      </c>
      <c r="P174" s="22">
        <f t="shared" si="6"/>
        <v>232379.224</v>
      </c>
    </row>
    <row r="175">
      <c r="B175" s="11">
        <v>46159.0</v>
      </c>
      <c r="C175" s="12">
        <f>VLOOKUP(B:B,'Курс валют'!A:D,4,0)</f>
        <v>85.183</v>
      </c>
      <c r="D175" s="13" t="s">
        <v>513</v>
      </c>
      <c r="E175" s="59" t="s">
        <v>61</v>
      </c>
      <c r="F175" s="15">
        <v>1100.0</v>
      </c>
      <c r="G175" s="16">
        <v>1108.01</v>
      </c>
      <c r="H175" s="17">
        <v>0.0</v>
      </c>
      <c r="I175" s="16">
        <f t="shared" si="10"/>
        <v>8.01</v>
      </c>
      <c r="J175" s="18">
        <f t="shared" si="2"/>
        <v>0.7281818182</v>
      </c>
      <c r="K175" s="17">
        <v>2.48</v>
      </c>
      <c r="L175" s="19">
        <f t="shared" si="3"/>
        <v>0</v>
      </c>
      <c r="M175" s="20">
        <f t="shared" si="4"/>
        <v>211.25384</v>
      </c>
      <c r="N175" s="21">
        <f t="shared" si="11"/>
        <v>2.48</v>
      </c>
      <c r="O175" s="21">
        <f t="shared" si="5"/>
        <v>2728</v>
      </c>
      <c r="P175" s="22">
        <f t="shared" si="6"/>
        <v>232379.224</v>
      </c>
    </row>
    <row r="176">
      <c r="B176" s="11">
        <v>46159.0</v>
      </c>
      <c r="C176" s="12">
        <f>VLOOKUP(B:B,'Курс валют'!A:D,4,0)</f>
        <v>85.183</v>
      </c>
      <c r="D176" s="13" t="s">
        <v>514</v>
      </c>
      <c r="E176" s="59" t="s">
        <v>61</v>
      </c>
      <c r="F176" s="15">
        <v>1100.0</v>
      </c>
      <c r="G176" s="16">
        <v>1108.01</v>
      </c>
      <c r="H176" s="17">
        <v>0.0</v>
      </c>
      <c r="I176" s="16">
        <f t="shared" si="10"/>
        <v>8.01</v>
      </c>
      <c r="J176" s="18">
        <f t="shared" si="2"/>
        <v>0.7281818182</v>
      </c>
      <c r="K176" s="17">
        <v>2.47</v>
      </c>
      <c r="L176" s="19">
        <f t="shared" si="3"/>
        <v>0</v>
      </c>
      <c r="M176" s="20">
        <f t="shared" si="4"/>
        <v>210.40201</v>
      </c>
      <c r="N176" s="21">
        <f t="shared" si="11"/>
        <v>2.47</v>
      </c>
      <c r="O176" s="21">
        <f t="shared" si="5"/>
        <v>2717</v>
      </c>
      <c r="P176" s="22">
        <f t="shared" si="6"/>
        <v>231442.211</v>
      </c>
    </row>
    <row r="177">
      <c r="B177" s="11">
        <v>46159.0</v>
      </c>
      <c r="C177" s="12">
        <f>VLOOKUP(B:B,'Курс валют'!A:D,4,0)</f>
        <v>85.183</v>
      </c>
      <c r="D177" s="13" t="s">
        <v>515</v>
      </c>
      <c r="E177" s="59" t="s">
        <v>61</v>
      </c>
      <c r="F177" s="15">
        <v>1100.0</v>
      </c>
      <c r="G177" s="16">
        <v>1108.01</v>
      </c>
      <c r="H177" s="17">
        <v>0.0</v>
      </c>
      <c r="I177" s="16">
        <f t="shared" si="10"/>
        <v>8.01</v>
      </c>
      <c r="J177" s="18">
        <f t="shared" si="2"/>
        <v>0.7281818182</v>
      </c>
      <c r="K177" s="17">
        <v>2.49</v>
      </c>
      <c r="L177" s="19">
        <f t="shared" si="3"/>
        <v>0</v>
      </c>
      <c r="M177" s="20">
        <f t="shared" si="4"/>
        <v>212.10567</v>
      </c>
      <c r="N177" s="21">
        <f t="shared" si="11"/>
        <v>2.49</v>
      </c>
      <c r="O177" s="21">
        <f t="shared" si="5"/>
        <v>2739</v>
      </c>
      <c r="P177" s="22">
        <f t="shared" si="6"/>
        <v>233316.237</v>
      </c>
    </row>
    <row r="178">
      <c r="B178" s="11">
        <v>46159.0</v>
      </c>
      <c r="C178" s="12">
        <f>VLOOKUP(B:B,'Курс валют'!A:D,4,0)</f>
        <v>85.183</v>
      </c>
      <c r="D178" s="13" t="s">
        <v>516</v>
      </c>
      <c r="E178" s="59" t="s">
        <v>61</v>
      </c>
      <c r="F178" s="15">
        <v>1100.0</v>
      </c>
      <c r="G178" s="16">
        <v>1108.01</v>
      </c>
      <c r="H178" s="17">
        <v>0.0</v>
      </c>
      <c r="I178" s="16">
        <f t="shared" si="10"/>
        <v>8.01</v>
      </c>
      <c r="J178" s="18">
        <f t="shared" si="2"/>
        <v>0.7281818182</v>
      </c>
      <c r="K178" s="17">
        <v>2.49</v>
      </c>
      <c r="L178" s="19">
        <f t="shared" si="3"/>
        <v>0</v>
      </c>
      <c r="M178" s="20">
        <f t="shared" si="4"/>
        <v>212.10567</v>
      </c>
      <c r="N178" s="21">
        <f t="shared" si="11"/>
        <v>2.49</v>
      </c>
      <c r="O178" s="21">
        <f t="shared" si="5"/>
        <v>2739</v>
      </c>
      <c r="P178" s="22">
        <f t="shared" si="6"/>
        <v>233316.237</v>
      </c>
    </row>
    <row r="179">
      <c r="B179" s="11">
        <v>46159.0</v>
      </c>
      <c r="C179" s="12">
        <f>VLOOKUP(B:B,'Курс валют'!A:D,4,0)</f>
        <v>85.183</v>
      </c>
      <c r="D179" s="13" t="s">
        <v>517</v>
      </c>
      <c r="E179" s="59" t="s">
        <v>61</v>
      </c>
      <c r="F179" s="15">
        <v>1100.0</v>
      </c>
      <c r="G179" s="16">
        <v>1108.01</v>
      </c>
      <c r="H179" s="17">
        <v>0.0</v>
      </c>
      <c r="I179" s="16">
        <f t="shared" si="10"/>
        <v>8.01</v>
      </c>
      <c r="J179" s="18">
        <f t="shared" si="2"/>
        <v>0.7281818182</v>
      </c>
      <c r="K179" s="17">
        <v>2.49</v>
      </c>
      <c r="L179" s="19">
        <f t="shared" si="3"/>
        <v>0</v>
      </c>
      <c r="M179" s="20">
        <f t="shared" si="4"/>
        <v>212.10567</v>
      </c>
      <c r="N179" s="21">
        <f t="shared" si="11"/>
        <v>2.49</v>
      </c>
      <c r="O179" s="21">
        <f t="shared" si="5"/>
        <v>2739</v>
      </c>
      <c r="P179" s="22">
        <f t="shared" si="6"/>
        <v>233316.237</v>
      </c>
    </row>
    <row r="180">
      <c r="B180" s="11">
        <v>46159.0</v>
      </c>
      <c r="C180" s="12">
        <f>VLOOKUP(B:B,'Курс валют'!A:D,4,0)</f>
        <v>85.183</v>
      </c>
      <c r="D180" s="13" t="s">
        <v>518</v>
      </c>
      <c r="E180" s="59" t="s">
        <v>61</v>
      </c>
      <c r="F180" s="15">
        <v>1100.0</v>
      </c>
      <c r="G180" s="16">
        <v>1108.01</v>
      </c>
      <c r="H180" s="17">
        <v>0.0</v>
      </c>
      <c r="I180" s="16">
        <f t="shared" si="10"/>
        <v>8.01</v>
      </c>
      <c r="J180" s="18">
        <f t="shared" si="2"/>
        <v>0.7281818182</v>
      </c>
      <c r="K180" s="17">
        <v>2.48</v>
      </c>
      <c r="L180" s="19">
        <f t="shared" si="3"/>
        <v>0</v>
      </c>
      <c r="M180" s="20">
        <f t="shared" si="4"/>
        <v>211.25384</v>
      </c>
      <c r="N180" s="21">
        <f t="shared" si="11"/>
        <v>2.48</v>
      </c>
      <c r="O180" s="21">
        <f t="shared" si="5"/>
        <v>2728</v>
      </c>
      <c r="P180" s="22">
        <f t="shared" si="6"/>
        <v>232379.224</v>
      </c>
    </row>
    <row r="181">
      <c r="B181" s="11">
        <v>46159.0</v>
      </c>
      <c r="C181" s="12">
        <f>VLOOKUP(B:B,'Курс валют'!A:D,4,0)</f>
        <v>85.183</v>
      </c>
      <c r="D181" s="13" t="s">
        <v>519</v>
      </c>
      <c r="E181" s="59" t="s">
        <v>61</v>
      </c>
      <c r="F181" s="15">
        <v>1100.0</v>
      </c>
      <c r="G181" s="16">
        <v>1108.01</v>
      </c>
      <c r="H181" s="17">
        <v>0.0</v>
      </c>
      <c r="I181" s="16">
        <f t="shared" si="10"/>
        <v>8.01</v>
      </c>
      <c r="J181" s="18">
        <f t="shared" si="2"/>
        <v>0.7281818182</v>
      </c>
      <c r="K181" s="17">
        <v>2.48</v>
      </c>
      <c r="L181" s="19">
        <f t="shared" si="3"/>
        <v>0</v>
      </c>
      <c r="M181" s="20">
        <f t="shared" si="4"/>
        <v>211.25384</v>
      </c>
      <c r="N181" s="21">
        <f t="shared" si="11"/>
        <v>2.48</v>
      </c>
      <c r="O181" s="21">
        <f t="shared" si="5"/>
        <v>2728</v>
      </c>
      <c r="P181" s="22">
        <f t="shared" si="6"/>
        <v>232379.224</v>
      </c>
    </row>
    <row r="182">
      <c r="B182" s="11">
        <v>46159.0</v>
      </c>
      <c r="C182" s="12">
        <f>VLOOKUP(B:B,'Курс валют'!A:D,4,0)</f>
        <v>85.183</v>
      </c>
      <c r="D182" s="13" t="s">
        <v>520</v>
      </c>
      <c r="E182" s="59" t="s">
        <v>207</v>
      </c>
      <c r="F182" s="15">
        <v>440.0</v>
      </c>
      <c r="G182" s="16">
        <v>440.0</v>
      </c>
      <c r="H182" s="17">
        <v>0.0</v>
      </c>
      <c r="I182" s="16">
        <f t="shared" si="10"/>
        <v>0</v>
      </c>
      <c r="J182" s="18">
        <f t="shared" si="2"/>
        <v>0</v>
      </c>
      <c r="K182" s="17">
        <v>2.42</v>
      </c>
      <c r="L182" s="19">
        <f t="shared" si="3"/>
        <v>0</v>
      </c>
      <c r="M182" s="20">
        <f t="shared" si="4"/>
        <v>206.14286</v>
      </c>
      <c r="N182" s="21">
        <f t="shared" si="11"/>
        <v>2.42</v>
      </c>
      <c r="O182" s="21">
        <f t="shared" si="5"/>
        <v>1064.8</v>
      </c>
      <c r="P182" s="22">
        <f t="shared" si="6"/>
        <v>90702.8584</v>
      </c>
      <c r="R182" s="42" t="s">
        <v>521</v>
      </c>
    </row>
    <row r="183">
      <c r="B183" s="11">
        <v>46159.0</v>
      </c>
      <c r="C183" s="12">
        <f>VLOOKUP(B:B,'Курс валют'!A:D,4,0)</f>
        <v>85.183</v>
      </c>
      <c r="D183" s="13" t="s">
        <v>522</v>
      </c>
      <c r="E183" s="59" t="s">
        <v>210</v>
      </c>
      <c r="F183" s="15">
        <v>200.0</v>
      </c>
      <c r="G183" s="16">
        <v>200.0</v>
      </c>
      <c r="H183" s="17">
        <v>0.0</v>
      </c>
      <c r="I183" s="16">
        <f t="shared" si="10"/>
        <v>0</v>
      </c>
      <c r="J183" s="18">
        <f t="shared" si="2"/>
        <v>0</v>
      </c>
      <c r="K183" s="17">
        <v>2.84</v>
      </c>
      <c r="L183" s="19">
        <f t="shared" si="3"/>
        <v>0</v>
      </c>
      <c r="M183" s="20">
        <f t="shared" si="4"/>
        <v>241.91972</v>
      </c>
      <c r="N183" s="21">
        <f t="shared" si="11"/>
        <v>2.84</v>
      </c>
      <c r="O183" s="21">
        <f t="shared" si="5"/>
        <v>568</v>
      </c>
      <c r="P183" s="22">
        <f t="shared" si="6"/>
        <v>48383.944</v>
      </c>
      <c r="R183" s="42" t="s">
        <v>523</v>
      </c>
    </row>
    <row r="184">
      <c r="B184" s="11">
        <v>46161.0</v>
      </c>
      <c r="C184" s="12">
        <f>VLOOKUP(B:B,'Курс валют'!A:D,4,0)</f>
        <v>84.0742</v>
      </c>
      <c r="D184" s="13" t="s">
        <v>524</v>
      </c>
      <c r="E184" s="59" t="s">
        <v>61</v>
      </c>
      <c r="F184" s="15">
        <v>1100.0</v>
      </c>
      <c r="G184" s="16">
        <v>1108.01</v>
      </c>
      <c r="H184" s="17">
        <v>0.0</v>
      </c>
      <c r="I184" s="16">
        <f t="shared" si="10"/>
        <v>8.01</v>
      </c>
      <c r="J184" s="18">
        <f t="shared" si="2"/>
        <v>0.7281818182</v>
      </c>
      <c r="K184" s="17">
        <v>2.49</v>
      </c>
      <c r="L184" s="19">
        <f t="shared" si="3"/>
        <v>0</v>
      </c>
      <c r="M184" s="20">
        <f t="shared" si="4"/>
        <v>209.344758</v>
      </c>
      <c r="N184" s="21">
        <f t="shared" si="11"/>
        <v>2.49</v>
      </c>
      <c r="O184" s="21">
        <f t="shared" si="5"/>
        <v>2739</v>
      </c>
      <c r="P184" s="22">
        <f t="shared" si="6"/>
        <v>230279.2338</v>
      </c>
    </row>
    <row r="185">
      <c r="B185" s="11">
        <v>46161.0</v>
      </c>
      <c r="C185" s="12">
        <f>VLOOKUP(B:B,'Курс валют'!A:D,4,0)</f>
        <v>84.0742</v>
      </c>
      <c r="D185" s="13" t="s">
        <v>525</v>
      </c>
      <c r="E185" s="59" t="s">
        <v>61</v>
      </c>
      <c r="F185" s="15">
        <v>1100.0</v>
      </c>
      <c r="G185" s="16">
        <v>1108.01</v>
      </c>
      <c r="H185" s="17">
        <v>0.0</v>
      </c>
      <c r="I185" s="16">
        <f t="shared" si="10"/>
        <v>8.01</v>
      </c>
      <c r="J185" s="18">
        <f t="shared" si="2"/>
        <v>0.7281818182</v>
      </c>
      <c r="K185" s="17">
        <v>2.49</v>
      </c>
      <c r="L185" s="19">
        <f t="shared" si="3"/>
        <v>0</v>
      </c>
      <c r="M185" s="20">
        <f t="shared" si="4"/>
        <v>209.344758</v>
      </c>
      <c r="N185" s="21">
        <f t="shared" si="11"/>
        <v>2.49</v>
      </c>
      <c r="O185" s="21">
        <f t="shared" si="5"/>
        <v>2739</v>
      </c>
      <c r="P185" s="22">
        <f t="shared" si="6"/>
        <v>230279.2338</v>
      </c>
    </row>
    <row r="186">
      <c r="B186" s="11">
        <v>46161.0</v>
      </c>
      <c r="C186" s="12">
        <f>VLOOKUP(B:B,'Курс валют'!A:D,4,0)</f>
        <v>84.0742</v>
      </c>
      <c r="D186" s="13" t="s">
        <v>526</v>
      </c>
      <c r="E186" s="59" t="s">
        <v>61</v>
      </c>
      <c r="F186" s="15">
        <v>1100.0</v>
      </c>
      <c r="G186" s="16">
        <v>1108.01</v>
      </c>
      <c r="H186" s="17">
        <v>0.0</v>
      </c>
      <c r="I186" s="16">
        <f t="shared" si="10"/>
        <v>8.01</v>
      </c>
      <c r="J186" s="18">
        <f t="shared" si="2"/>
        <v>0.7281818182</v>
      </c>
      <c r="K186" s="17">
        <v>2.49</v>
      </c>
      <c r="L186" s="19">
        <f t="shared" si="3"/>
        <v>0</v>
      </c>
      <c r="M186" s="20">
        <f t="shared" si="4"/>
        <v>209.344758</v>
      </c>
      <c r="N186" s="21">
        <f t="shared" si="11"/>
        <v>2.49</v>
      </c>
      <c r="O186" s="21">
        <f t="shared" si="5"/>
        <v>2739</v>
      </c>
      <c r="P186" s="22">
        <f t="shared" si="6"/>
        <v>230279.2338</v>
      </c>
    </row>
    <row r="187">
      <c r="B187" s="11">
        <v>46161.0</v>
      </c>
      <c r="C187" s="12">
        <f>VLOOKUP(B:B,'Курс валют'!A:D,4,0)</f>
        <v>84.0742</v>
      </c>
      <c r="D187" s="13" t="s">
        <v>527</v>
      </c>
      <c r="E187" s="59" t="s">
        <v>61</v>
      </c>
      <c r="F187" s="15">
        <v>1100.0</v>
      </c>
      <c r="G187" s="16">
        <v>1108.01</v>
      </c>
      <c r="H187" s="17">
        <v>0.0</v>
      </c>
      <c r="I187" s="16">
        <f t="shared" si="10"/>
        <v>8.01</v>
      </c>
      <c r="J187" s="18">
        <f t="shared" si="2"/>
        <v>0.7281818182</v>
      </c>
      <c r="K187" s="17">
        <v>2.49</v>
      </c>
      <c r="L187" s="19">
        <f t="shared" si="3"/>
        <v>0</v>
      </c>
      <c r="M187" s="20">
        <f t="shared" si="4"/>
        <v>209.344758</v>
      </c>
      <c r="N187" s="21">
        <f t="shared" si="11"/>
        <v>2.49</v>
      </c>
      <c r="O187" s="21">
        <f t="shared" si="5"/>
        <v>2739</v>
      </c>
      <c r="P187" s="22">
        <f t="shared" si="6"/>
        <v>230279.2338</v>
      </c>
    </row>
    <row r="188">
      <c r="B188" s="11">
        <v>46161.0</v>
      </c>
      <c r="C188" s="12">
        <f>VLOOKUP(B:B,'Курс валют'!A:D,4,0)</f>
        <v>84.0742</v>
      </c>
      <c r="D188" s="13" t="s">
        <v>528</v>
      </c>
      <c r="E188" s="59" t="s">
        <v>61</v>
      </c>
      <c r="F188" s="15">
        <v>1100.0</v>
      </c>
      <c r="G188" s="16">
        <v>1108.01</v>
      </c>
      <c r="H188" s="17">
        <v>0.0</v>
      </c>
      <c r="I188" s="16">
        <f t="shared" si="10"/>
        <v>8.01</v>
      </c>
      <c r="J188" s="18">
        <f t="shared" si="2"/>
        <v>0.7281818182</v>
      </c>
      <c r="K188" s="17">
        <v>2.49</v>
      </c>
      <c r="L188" s="19">
        <f t="shared" si="3"/>
        <v>0</v>
      </c>
      <c r="M188" s="20">
        <f t="shared" si="4"/>
        <v>209.344758</v>
      </c>
      <c r="N188" s="21">
        <f t="shared" si="11"/>
        <v>2.49</v>
      </c>
      <c r="O188" s="21">
        <f t="shared" si="5"/>
        <v>2739</v>
      </c>
      <c r="P188" s="22">
        <f t="shared" si="6"/>
        <v>230279.2338</v>
      </c>
    </row>
    <row r="189">
      <c r="B189" s="11">
        <v>46161.0</v>
      </c>
      <c r="C189" s="12">
        <f>VLOOKUP(B:B,'Курс валют'!A:D,4,0)</f>
        <v>84.0742</v>
      </c>
      <c r="D189" s="13" t="s">
        <v>529</v>
      </c>
      <c r="E189" s="59" t="s">
        <v>61</v>
      </c>
      <c r="F189" s="15">
        <v>1100.0</v>
      </c>
      <c r="G189" s="16">
        <v>1108.01</v>
      </c>
      <c r="H189" s="17">
        <v>0.0</v>
      </c>
      <c r="I189" s="16">
        <f t="shared" si="10"/>
        <v>8.01</v>
      </c>
      <c r="J189" s="18">
        <f t="shared" si="2"/>
        <v>0.7281818182</v>
      </c>
      <c r="K189" s="17">
        <v>2.49</v>
      </c>
      <c r="L189" s="19">
        <f t="shared" si="3"/>
        <v>0</v>
      </c>
      <c r="M189" s="20">
        <f t="shared" si="4"/>
        <v>209.344758</v>
      </c>
      <c r="N189" s="21">
        <f t="shared" si="11"/>
        <v>2.49</v>
      </c>
      <c r="O189" s="21">
        <f t="shared" si="5"/>
        <v>2739</v>
      </c>
      <c r="P189" s="22">
        <f t="shared" si="6"/>
        <v>230279.2338</v>
      </c>
    </row>
    <row r="190">
      <c r="B190" s="11">
        <v>46162.0</v>
      </c>
      <c r="C190" s="12">
        <f>VLOOKUP(B:B,'Курс валют'!A:D,4,0)</f>
        <v>82.7871</v>
      </c>
      <c r="D190" s="13" t="s">
        <v>530</v>
      </c>
      <c r="E190" s="59" t="s">
        <v>61</v>
      </c>
      <c r="F190" s="15">
        <v>1100.0</v>
      </c>
      <c r="G190" s="16">
        <v>1108.01</v>
      </c>
      <c r="H190" s="17">
        <v>0.0</v>
      </c>
      <c r="I190" s="16">
        <f t="shared" si="10"/>
        <v>8.01</v>
      </c>
      <c r="J190" s="18">
        <f t="shared" si="2"/>
        <v>0.7281818182</v>
      </c>
      <c r="K190" s="17">
        <v>2.49</v>
      </c>
      <c r="L190" s="19">
        <f t="shared" si="3"/>
        <v>0</v>
      </c>
      <c r="M190" s="20">
        <f t="shared" si="4"/>
        <v>206.139879</v>
      </c>
      <c r="N190" s="21">
        <f t="shared" si="11"/>
        <v>2.49</v>
      </c>
      <c r="O190" s="21">
        <f t="shared" si="5"/>
        <v>2739</v>
      </c>
      <c r="P190" s="22">
        <f t="shared" si="6"/>
        <v>226753.8669</v>
      </c>
    </row>
    <row r="191">
      <c r="B191" s="11">
        <v>46162.0</v>
      </c>
      <c r="C191" s="12">
        <f>VLOOKUP(B:B,'Курс валют'!A:D,4,0)</f>
        <v>82.7871</v>
      </c>
      <c r="D191" s="13" t="s">
        <v>531</v>
      </c>
      <c r="E191" s="59" t="s">
        <v>61</v>
      </c>
      <c r="F191" s="15">
        <v>1100.0</v>
      </c>
      <c r="G191" s="16">
        <v>1108.01</v>
      </c>
      <c r="H191" s="17">
        <v>0.0</v>
      </c>
      <c r="I191" s="16">
        <f t="shared" si="10"/>
        <v>8.01</v>
      </c>
      <c r="J191" s="18">
        <f t="shared" si="2"/>
        <v>0.7281818182</v>
      </c>
      <c r="K191" s="17">
        <v>2.49</v>
      </c>
      <c r="L191" s="19">
        <f t="shared" si="3"/>
        <v>0</v>
      </c>
      <c r="M191" s="20">
        <f t="shared" si="4"/>
        <v>206.139879</v>
      </c>
      <c r="N191" s="21">
        <f t="shared" si="11"/>
        <v>2.49</v>
      </c>
      <c r="O191" s="21">
        <f t="shared" si="5"/>
        <v>2739</v>
      </c>
      <c r="P191" s="22">
        <f t="shared" si="6"/>
        <v>226753.8669</v>
      </c>
    </row>
    <row r="192">
      <c r="B192" s="11">
        <v>46162.0</v>
      </c>
      <c r="C192" s="12">
        <f>VLOOKUP(B:B,'Курс валют'!A:D,4,0)</f>
        <v>82.7871</v>
      </c>
      <c r="D192" s="13" t="s">
        <v>532</v>
      </c>
      <c r="E192" s="59" t="s">
        <v>61</v>
      </c>
      <c r="F192" s="15">
        <v>1100.0</v>
      </c>
      <c r="G192" s="16">
        <v>1108.01</v>
      </c>
      <c r="H192" s="17">
        <v>0.0</v>
      </c>
      <c r="I192" s="16">
        <f t="shared" si="10"/>
        <v>8.01</v>
      </c>
      <c r="J192" s="18">
        <f t="shared" si="2"/>
        <v>0.7281818182</v>
      </c>
      <c r="K192" s="17">
        <v>2.49</v>
      </c>
      <c r="L192" s="19">
        <f t="shared" si="3"/>
        <v>0</v>
      </c>
      <c r="M192" s="20">
        <f t="shared" si="4"/>
        <v>206.139879</v>
      </c>
      <c r="N192" s="21">
        <f t="shared" si="11"/>
        <v>2.49</v>
      </c>
      <c r="O192" s="21">
        <f t="shared" si="5"/>
        <v>2739</v>
      </c>
      <c r="P192" s="22">
        <f t="shared" si="6"/>
        <v>226753.8669</v>
      </c>
    </row>
    <row r="193">
      <c r="B193" s="11">
        <v>46162.0</v>
      </c>
      <c r="C193" s="12">
        <f>VLOOKUP(B:B,'Курс валют'!A:D,4,0)</f>
        <v>82.7871</v>
      </c>
      <c r="D193" s="13" t="s">
        <v>533</v>
      </c>
      <c r="E193" s="59" t="s">
        <v>61</v>
      </c>
      <c r="F193" s="15">
        <v>1100.0</v>
      </c>
      <c r="G193" s="16">
        <v>1108.01</v>
      </c>
      <c r="H193" s="17">
        <v>0.0</v>
      </c>
      <c r="I193" s="16">
        <f t="shared" si="10"/>
        <v>8.01</v>
      </c>
      <c r="J193" s="18">
        <f t="shared" si="2"/>
        <v>0.7281818182</v>
      </c>
      <c r="K193" s="17">
        <v>2.49</v>
      </c>
      <c r="L193" s="19">
        <f t="shared" si="3"/>
        <v>0</v>
      </c>
      <c r="M193" s="20">
        <f t="shared" si="4"/>
        <v>206.139879</v>
      </c>
      <c r="N193" s="21">
        <f t="shared" si="11"/>
        <v>2.49</v>
      </c>
      <c r="O193" s="21">
        <f t="shared" si="5"/>
        <v>2739</v>
      </c>
      <c r="P193" s="22">
        <f t="shared" si="6"/>
        <v>226753.8669</v>
      </c>
    </row>
    <row r="194">
      <c r="B194" s="11">
        <v>46162.0</v>
      </c>
      <c r="C194" s="12">
        <f>VLOOKUP(B:B,'Курс валют'!A:D,4,0)</f>
        <v>82.7871</v>
      </c>
      <c r="D194" s="13" t="s">
        <v>534</v>
      </c>
      <c r="E194" s="59" t="s">
        <v>61</v>
      </c>
      <c r="F194" s="15">
        <v>1100.0</v>
      </c>
      <c r="G194" s="16">
        <v>1108.01</v>
      </c>
      <c r="H194" s="17">
        <v>0.0</v>
      </c>
      <c r="I194" s="16">
        <f t="shared" si="10"/>
        <v>8.01</v>
      </c>
      <c r="J194" s="18">
        <f t="shared" si="2"/>
        <v>0.7281818182</v>
      </c>
      <c r="K194" s="17">
        <v>2.49</v>
      </c>
      <c r="L194" s="19">
        <f t="shared" si="3"/>
        <v>0</v>
      </c>
      <c r="M194" s="20">
        <f t="shared" si="4"/>
        <v>206.139879</v>
      </c>
      <c r="N194" s="21">
        <f t="shared" si="11"/>
        <v>2.49</v>
      </c>
      <c r="O194" s="21">
        <f t="shared" si="5"/>
        <v>2739</v>
      </c>
      <c r="P194" s="22">
        <f t="shared" si="6"/>
        <v>226753.8669</v>
      </c>
    </row>
    <row r="195">
      <c r="B195" s="11">
        <v>46162.0</v>
      </c>
      <c r="C195" s="12">
        <f>VLOOKUP(B:B,'Курс валют'!A:D,4,0)</f>
        <v>82.7871</v>
      </c>
      <c r="D195" s="13" t="s">
        <v>535</v>
      </c>
      <c r="E195" s="59" t="s">
        <v>61</v>
      </c>
      <c r="F195" s="15">
        <v>1100.0</v>
      </c>
      <c r="G195" s="16">
        <v>1108.01</v>
      </c>
      <c r="H195" s="17">
        <v>0.0</v>
      </c>
      <c r="I195" s="16">
        <f t="shared" si="10"/>
        <v>8.01</v>
      </c>
      <c r="J195" s="18">
        <f t="shared" si="2"/>
        <v>0.7281818182</v>
      </c>
      <c r="K195" s="17">
        <v>2.49</v>
      </c>
      <c r="L195" s="19">
        <f t="shared" si="3"/>
        <v>0</v>
      </c>
      <c r="M195" s="20">
        <f t="shared" si="4"/>
        <v>206.139879</v>
      </c>
      <c r="N195" s="21">
        <f t="shared" si="11"/>
        <v>2.49</v>
      </c>
      <c r="O195" s="21">
        <f t="shared" si="5"/>
        <v>2739</v>
      </c>
      <c r="P195" s="22">
        <f t="shared" si="6"/>
        <v>226753.8669</v>
      </c>
    </row>
    <row r="196">
      <c r="B196" s="11">
        <v>46163.0</v>
      </c>
      <c r="C196" s="12">
        <f>VLOOKUP(B:B,'Курс валют'!A:D,4,0)</f>
        <v>81.9823</v>
      </c>
      <c r="D196" s="13" t="s">
        <v>536</v>
      </c>
      <c r="E196" s="59" t="s">
        <v>18</v>
      </c>
      <c r="F196" s="15">
        <v>1100.0</v>
      </c>
      <c r="G196" s="16">
        <v>1108.5</v>
      </c>
      <c r="H196" s="17">
        <v>0.0</v>
      </c>
      <c r="I196" s="16">
        <f t="shared" si="10"/>
        <v>8.5</v>
      </c>
      <c r="J196" s="18">
        <f t="shared" si="2"/>
        <v>0.7727272727</v>
      </c>
      <c r="K196" s="17">
        <v>2.38</v>
      </c>
      <c r="L196" s="19">
        <f t="shared" si="3"/>
        <v>0</v>
      </c>
      <c r="M196" s="20">
        <f t="shared" si="4"/>
        <v>195.117874</v>
      </c>
      <c r="N196" s="21">
        <f t="shared" si="11"/>
        <v>2.38</v>
      </c>
      <c r="O196" s="21">
        <f t="shared" si="5"/>
        <v>2618</v>
      </c>
      <c r="P196" s="22">
        <f t="shared" si="6"/>
        <v>214629.6614</v>
      </c>
    </row>
    <row r="197">
      <c r="B197" s="11">
        <v>46163.0</v>
      </c>
      <c r="C197" s="12">
        <f>VLOOKUP(B:B,'Курс валют'!A:D,4,0)</f>
        <v>81.9823</v>
      </c>
      <c r="D197" s="13" t="s">
        <v>537</v>
      </c>
      <c r="E197" s="59" t="s">
        <v>18</v>
      </c>
      <c r="F197" s="15">
        <v>1100.0</v>
      </c>
      <c r="G197" s="16">
        <v>1108.5</v>
      </c>
      <c r="H197" s="17">
        <v>0.0</v>
      </c>
      <c r="I197" s="16">
        <f t="shared" si="10"/>
        <v>8.5</v>
      </c>
      <c r="J197" s="18">
        <f t="shared" si="2"/>
        <v>0.7727272727</v>
      </c>
      <c r="K197" s="17">
        <v>2.37</v>
      </c>
      <c r="L197" s="19">
        <f t="shared" si="3"/>
        <v>0</v>
      </c>
      <c r="M197" s="20">
        <f t="shared" si="4"/>
        <v>194.298051</v>
      </c>
      <c r="N197" s="21">
        <f t="shared" si="11"/>
        <v>2.37</v>
      </c>
      <c r="O197" s="21">
        <f t="shared" si="5"/>
        <v>2607</v>
      </c>
      <c r="P197" s="22">
        <f t="shared" si="6"/>
        <v>213727.8561</v>
      </c>
    </row>
    <row r="198">
      <c r="B198" s="11">
        <v>46163.0</v>
      </c>
      <c r="C198" s="12">
        <f>VLOOKUP(B:B,'Курс валют'!A:D,4,0)</f>
        <v>81.9823</v>
      </c>
      <c r="D198" s="13" t="s">
        <v>538</v>
      </c>
      <c r="E198" s="59" t="s">
        <v>18</v>
      </c>
      <c r="F198" s="15">
        <v>1100.0</v>
      </c>
      <c r="G198" s="16">
        <v>1108.5</v>
      </c>
      <c r="H198" s="17">
        <v>0.0</v>
      </c>
      <c r="I198" s="16">
        <f t="shared" si="10"/>
        <v>8.5</v>
      </c>
      <c r="J198" s="18">
        <f t="shared" si="2"/>
        <v>0.7727272727</v>
      </c>
      <c r="K198" s="17">
        <v>2.37</v>
      </c>
      <c r="L198" s="19">
        <f t="shared" si="3"/>
        <v>0</v>
      </c>
      <c r="M198" s="20">
        <f t="shared" si="4"/>
        <v>194.298051</v>
      </c>
      <c r="N198" s="21">
        <f t="shared" si="11"/>
        <v>2.37</v>
      </c>
      <c r="O198" s="21">
        <f t="shared" si="5"/>
        <v>2607</v>
      </c>
      <c r="P198" s="22">
        <f t="shared" si="6"/>
        <v>213727.8561</v>
      </c>
    </row>
    <row r="199">
      <c r="B199" s="11">
        <v>46163.0</v>
      </c>
      <c r="C199" s="12">
        <f>VLOOKUP(B:B,'Курс валют'!A:D,4,0)</f>
        <v>81.9823</v>
      </c>
      <c r="D199" s="13" t="s">
        <v>539</v>
      </c>
      <c r="E199" s="59" t="s">
        <v>18</v>
      </c>
      <c r="F199" s="15">
        <v>1100.0</v>
      </c>
      <c r="G199" s="16">
        <v>1108.5</v>
      </c>
      <c r="H199" s="17">
        <v>0.0</v>
      </c>
      <c r="I199" s="16">
        <f t="shared" si="10"/>
        <v>8.5</v>
      </c>
      <c r="J199" s="18">
        <f t="shared" si="2"/>
        <v>0.7727272727</v>
      </c>
      <c r="K199" s="17">
        <v>2.38</v>
      </c>
      <c r="L199" s="19">
        <f t="shared" si="3"/>
        <v>0</v>
      </c>
      <c r="M199" s="20">
        <f t="shared" si="4"/>
        <v>195.117874</v>
      </c>
      <c r="N199" s="21">
        <f t="shared" si="11"/>
        <v>2.38</v>
      </c>
      <c r="O199" s="21">
        <f t="shared" si="5"/>
        <v>2618</v>
      </c>
      <c r="P199" s="22">
        <f t="shared" si="6"/>
        <v>214629.6614</v>
      </c>
    </row>
    <row r="200">
      <c r="B200" s="11">
        <v>46163.0</v>
      </c>
      <c r="C200" s="12">
        <f>VLOOKUP(B:B,'Курс валют'!A:D,4,0)</f>
        <v>81.9823</v>
      </c>
      <c r="D200" s="13" t="s">
        <v>540</v>
      </c>
      <c r="E200" s="59" t="s">
        <v>63</v>
      </c>
      <c r="F200" s="15">
        <v>1800.0</v>
      </c>
      <c r="G200" s="16">
        <v>1823.6</v>
      </c>
      <c r="H200" s="17">
        <v>0.0</v>
      </c>
      <c r="I200" s="16">
        <f t="shared" si="10"/>
        <v>23.6</v>
      </c>
      <c r="J200" s="18">
        <f t="shared" si="2"/>
        <v>1.311111111</v>
      </c>
      <c r="K200" s="17">
        <v>2.1</v>
      </c>
      <c r="L200" s="19">
        <f t="shared" si="3"/>
        <v>0</v>
      </c>
      <c r="M200" s="20">
        <f t="shared" si="4"/>
        <v>172.16283</v>
      </c>
      <c r="N200" s="21">
        <f t="shared" si="11"/>
        <v>2.1</v>
      </c>
      <c r="O200" s="21">
        <f t="shared" si="5"/>
        <v>3780</v>
      </c>
      <c r="P200" s="22">
        <f t="shared" si="6"/>
        <v>309893.094</v>
      </c>
    </row>
    <row r="201">
      <c r="B201" s="11">
        <v>46163.0</v>
      </c>
      <c r="C201" s="12">
        <f>VLOOKUP(B:B,'Курс валют'!A:D,4,0)</f>
        <v>81.9823</v>
      </c>
      <c r="D201" s="13" t="s">
        <v>541</v>
      </c>
      <c r="E201" s="59" t="s">
        <v>63</v>
      </c>
      <c r="F201" s="15">
        <v>1800.0</v>
      </c>
      <c r="G201" s="16">
        <v>1823.6</v>
      </c>
      <c r="H201" s="17">
        <v>0.0</v>
      </c>
      <c r="I201" s="16">
        <f t="shared" si="10"/>
        <v>23.6</v>
      </c>
      <c r="J201" s="18">
        <f t="shared" si="2"/>
        <v>1.311111111</v>
      </c>
      <c r="K201" s="17">
        <v>2.1</v>
      </c>
      <c r="L201" s="19">
        <f t="shared" si="3"/>
        <v>0</v>
      </c>
      <c r="M201" s="20">
        <f t="shared" si="4"/>
        <v>172.16283</v>
      </c>
      <c r="N201" s="21">
        <f t="shared" si="11"/>
        <v>2.1</v>
      </c>
      <c r="O201" s="21">
        <f t="shared" si="5"/>
        <v>3780</v>
      </c>
      <c r="P201" s="22">
        <f t="shared" si="6"/>
        <v>309893.094</v>
      </c>
    </row>
    <row r="202">
      <c r="B202" s="11">
        <v>46163.0</v>
      </c>
      <c r="C202" s="12">
        <f>VLOOKUP(B:B,'Курс валют'!A:D,4,0)</f>
        <v>81.9823</v>
      </c>
      <c r="D202" s="13" t="s">
        <v>542</v>
      </c>
      <c r="E202" s="59" t="s">
        <v>18</v>
      </c>
      <c r="F202" s="15">
        <v>1100.0</v>
      </c>
      <c r="G202" s="16">
        <v>1108.5</v>
      </c>
      <c r="H202" s="17">
        <v>0.0</v>
      </c>
      <c r="I202" s="16">
        <f t="shared" si="10"/>
        <v>8.5</v>
      </c>
      <c r="J202" s="18">
        <f t="shared" si="2"/>
        <v>0.7727272727</v>
      </c>
      <c r="K202" s="17">
        <v>2.37</v>
      </c>
      <c r="L202" s="19">
        <f t="shared" si="3"/>
        <v>0</v>
      </c>
      <c r="M202" s="20">
        <f t="shared" si="4"/>
        <v>194.298051</v>
      </c>
      <c r="N202" s="21">
        <f t="shared" si="11"/>
        <v>2.37</v>
      </c>
      <c r="O202" s="21">
        <f t="shared" si="5"/>
        <v>2607</v>
      </c>
      <c r="P202" s="22">
        <f t="shared" si="6"/>
        <v>213727.8561</v>
      </c>
    </row>
    <row r="203">
      <c r="B203" s="11">
        <v>46163.0</v>
      </c>
      <c r="C203" s="12">
        <f>VLOOKUP(B:B,'Курс валют'!A:D,4,0)</f>
        <v>81.9823</v>
      </c>
      <c r="D203" s="13" t="s">
        <v>543</v>
      </c>
      <c r="E203" s="59" t="s">
        <v>18</v>
      </c>
      <c r="F203" s="15">
        <v>1100.0</v>
      </c>
      <c r="G203" s="16">
        <v>1108.5</v>
      </c>
      <c r="H203" s="17">
        <v>0.0</v>
      </c>
      <c r="I203" s="16">
        <f t="shared" si="10"/>
        <v>8.5</v>
      </c>
      <c r="J203" s="18">
        <f t="shared" si="2"/>
        <v>0.7727272727</v>
      </c>
      <c r="K203" s="17">
        <v>2.38</v>
      </c>
      <c r="L203" s="19">
        <f t="shared" si="3"/>
        <v>0</v>
      </c>
      <c r="M203" s="20">
        <f t="shared" si="4"/>
        <v>195.117874</v>
      </c>
      <c r="N203" s="21">
        <f t="shared" si="11"/>
        <v>2.38</v>
      </c>
      <c r="O203" s="21">
        <f t="shared" si="5"/>
        <v>2618</v>
      </c>
      <c r="P203" s="22">
        <f t="shared" si="6"/>
        <v>214629.6614</v>
      </c>
    </row>
    <row r="204">
      <c r="B204" s="11">
        <v>46163.0</v>
      </c>
      <c r="C204" s="12">
        <f>VLOOKUP(B:B,'Курс валют'!A:D,4,0)</f>
        <v>81.9823</v>
      </c>
      <c r="D204" s="13" t="s">
        <v>544</v>
      </c>
      <c r="E204" s="59" t="s">
        <v>18</v>
      </c>
      <c r="F204" s="15">
        <v>1100.0</v>
      </c>
      <c r="G204" s="16">
        <v>1108.5</v>
      </c>
      <c r="H204" s="17">
        <v>0.0</v>
      </c>
      <c r="I204" s="16">
        <f t="shared" si="10"/>
        <v>8.5</v>
      </c>
      <c r="J204" s="18">
        <f t="shared" si="2"/>
        <v>0.7727272727</v>
      </c>
      <c r="K204" s="17">
        <v>2.37</v>
      </c>
      <c r="L204" s="19">
        <f t="shared" si="3"/>
        <v>0</v>
      </c>
      <c r="M204" s="20">
        <f t="shared" si="4"/>
        <v>194.298051</v>
      </c>
      <c r="N204" s="21">
        <f t="shared" si="11"/>
        <v>2.37</v>
      </c>
      <c r="O204" s="21">
        <f t="shared" si="5"/>
        <v>2607</v>
      </c>
      <c r="P204" s="22">
        <f t="shared" si="6"/>
        <v>213727.8561</v>
      </c>
    </row>
    <row r="205">
      <c r="B205" s="11">
        <v>46163.0</v>
      </c>
      <c r="C205" s="12">
        <f>VLOOKUP(B:B,'Курс валют'!A:D,4,0)</f>
        <v>81.9823</v>
      </c>
      <c r="D205" s="13" t="s">
        <v>545</v>
      </c>
      <c r="E205" s="59" t="s">
        <v>18</v>
      </c>
      <c r="F205" s="15">
        <v>1100.0</v>
      </c>
      <c r="G205" s="16">
        <v>1108.5</v>
      </c>
      <c r="H205" s="17">
        <v>0.0</v>
      </c>
      <c r="I205" s="16">
        <f t="shared" si="10"/>
        <v>8.5</v>
      </c>
      <c r="J205" s="18">
        <f t="shared" si="2"/>
        <v>0.7727272727</v>
      </c>
      <c r="K205" s="17">
        <v>2.38</v>
      </c>
      <c r="L205" s="19">
        <f t="shared" si="3"/>
        <v>0</v>
      </c>
      <c r="M205" s="20">
        <f t="shared" si="4"/>
        <v>195.117874</v>
      </c>
      <c r="N205" s="21">
        <f t="shared" si="11"/>
        <v>2.38</v>
      </c>
      <c r="O205" s="21">
        <f t="shared" si="5"/>
        <v>2618</v>
      </c>
      <c r="P205" s="22">
        <f t="shared" si="6"/>
        <v>214629.6614</v>
      </c>
    </row>
    <row r="206">
      <c r="B206" s="11">
        <v>46164.0</v>
      </c>
      <c r="C206" s="12">
        <f>VLOOKUP(B:B,'Курс валют'!A:D,4,0)</f>
        <v>83.2746</v>
      </c>
      <c r="D206" s="13" t="s">
        <v>546</v>
      </c>
      <c r="E206" s="59" t="s">
        <v>18</v>
      </c>
      <c r="F206" s="15">
        <v>1100.0</v>
      </c>
      <c r="G206" s="16">
        <v>1118.5</v>
      </c>
      <c r="H206" s="17">
        <v>0.0</v>
      </c>
      <c r="I206" s="16">
        <f t="shared" si="10"/>
        <v>18.5</v>
      </c>
      <c r="J206" s="18">
        <f t="shared" si="2"/>
        <v>1.681818182</v>
      </c>
      <c r="K206" s="17">
        <v>2.42</v>
      </c>
      <c r="L206" s="19">
        <f t="shared" si="3"/>
        <v>0</v>
      </c>
      <c r="M206" s="20">
        <f t="shared" si="4"/>
        <v>201.524532</v>
      </c>
      <c r="N206" s="21">
        <f t="shared" si="11"/>
        <v>2.42</v>
      </c>
      <c r="O206" s="21">
        <f t="shared" si="5"/>
        <v>2662</v>
      </c>
      <c r="P206" s="22">
        <f t="shared" si="6"/>
        <v>221676.9852</v>
      </c>
    </row>
    <row r="207">
      <c r="B207" s="11">
        <v>46164.0</v>
      </c>
      <c r="C207" s="12">
        <f>VLOOKUP(B:B,'Курс валют'!A:D,4,0)</f>
        <v>83.2746</v>
      </c>
      <c r="D207" s="13" t="s">
        <v>547</v>
      </c>
      <c r="E207" s="59" t="s">
        <v>18</v>
      </c>
      <c r="F207" s="15">
        <v>1100.0</v>
      </c>
      <c r="G207" s="16">
        <v>1118.5</v>
      </c>
      <c r="H207" s="17">
        <v>0.0</v>
      </c>
      <c r="I207" s="16">
        <f t="shared" si="10"/>
        <v>18.5</v>
      </c>
      <c r="J207" s="18">
        <f t="shared" si="2"/>
        <v>1.681818182</v>
      </c>
      <c r="K207" s="17">
        <v>2.42</v>
      </c>
      <c r="L207" s="19">
        <f t="shared" si="3"/>
        <v>0</v>
      </c>
      <c r="M207" s="20">
        <f t="shared" si="4"/>
        <v>201.524532</v>
      </c>
      <c r="N207" s="21">
        <f t="shared" si="11"/>
        <v>2.42</v>
      </c>
      <c r="O207" s="21">
        <f t="shared" si="5"/>
        <v>2662</v>
      </c>
      <c r="P207" s="22">
        <f t="shared" si="6"/>
        <v>221676.9852</v>
      </c>
    </row>
    <row r="208">
      <c r="B208" s="11">
        <v>46164.0</v>
      </c>
      <c r="C208" s="12">
        <f>VLOOKUP(B:B,'Курс валют'!A:D,4,0)</f>
        <v>83.2746</v>
      </c>
      <c r="D208" s="13" t="s">
        <v>548</v>
      </c>
      <c r="E208" s="59" t="s">
        <v>18</v>
      </c>
      <c r="F208" s="15">
        <v>1100.0</v>
      </c>
      <c r="G208" s="16">
        <v>1118.5</v>
      </c>
      <c r="H208" s="17">
        <v>0.0</v>
      </c>
      <c r="I208" s="16">
        <f t="shared" si="10"/>
        <v>18.5</v>
      </c>
      <c r="J208" s="18">
        <f t="shared" si="2"/>
        <v>1.681818182</v>
      </c>
      <c r="K208" s="17">
        <v>2.42</v>
      </c>
      <c r="L208" s="19">
        <f t="shared" si="3"/>
        <v>0</v>
      </c>
      <c r="M208" s="20">
        <f t="shared" si="4"/>
        <v>201.524532</v>
      </c>
      <c r="N208" s="21">
        <f t="shared" si="11"/>
        <v>2.42</v>
      </c>
      <c r="O208" s="21">
        <f t="shared" si="5"/>
        <v>2662</v>
      </c>
      <c r="P208" s="22">
        <f t="shared" si="6"/>
        <v>221676.9852</v>
      </c>
    </row>
    <row r="209">
      <c r="B209" s="11">
        <v>46164.0</v>
      </c>
      <c r="C209" s="12">
        <f>VLOOKUP(B:B,'Курс валют'!A:D,4,0)</f>
        <v>83.2746</v>
      </c>
      <c r="D209" s="13" t="s">
        <v>549</v>
      </c>
      <c r="E209" s="59" t="s">
        <v>18</v>
      </c>
      <c r="F209" s="15">
        <v>1100.0</v>
      </c>
      <c r="G209" s="16">
        <v>1118.5</v>
      </c>
      <c r="H209" s="17">
        <v>0.0</v>
      </c>
      <c r="I209" s="16">
        <f t="shared" si="10"/>
        <v>18.5</v>
      </c>
      <c r="J209" s="18">
        <f t="shared" si="2"/>
        <v>1.681818182</v>
      </c>
      <c r="K209" s="17">
        <v>2.42</v>
      </c>
      <c r="L209" s="19">
        <f t="shared" si="3"/>
        <v>0</v>
      </c>
      <c r="M209" s="20">
        <f t="shared" si="4"/>
        <v>201.524532</v>
      </c>
      <c r="N209" s="21">
        <f t="shared" si="11"/>
        <v>2.42</v>
      </c>
      <c r="O209" s="21">
        <f t="shared" si="5"/>
        <v>2662</v>
      </c>
      <c r="P209" s="22">
        <f t="shared" si="6"/>
        <v>221676.9852</v>
      </c>
    </row>
    <row r="210">
      <c r="B210" s="11">
        <v>46164.0</v>
      </c>
      <c r="C210" s="12">
        <f>VLOOKUP(B:B,'Курс валют'!A:D,4,0)</f>
        <v>83.2746</v>
      </c>
      <c r="D210" s="13" t="s">
        <v>550</v>
      </c>
      <c r="E210" s="59" t="s">
        <v>18</v>
      </c>
      <c r="F210" s="15">
        <v>220.0</v>
      </c>
      <c r="G210" s="16">
        <v>221.01</v>
      </c>
      <c r="H210" s="17">
        <v>0.0</v>
      </c>
      <c r="I210" s="16">
        <f t="shared" si="10"/>
        <v>1.01</v>
      </c>
      <c r="J210" s="18">
        <f t="shared" si="2"/>
        <v>0.4590909091</v>
      </c>
      <c r="K210" s="17">
        <v>2.46</v>
      </c>
      <c r="L210" s="19">
        <f t="shared" si="3"/>
        <v>0</v>
      </c>
      <c r="M210" s="20">
        <f t="shared" si="4"/>
        <v>204.855516</v>
      </c>
      <c r="N210" s="21">
        <f t="shared" si="11"/>
        <v>2.46</v>
      </c>
      <c r="O210" s="21">
        <f t="shared" si="5"/>
        <v>541.2</v>
      </c>
      <c r="P210" s="22">
        <f t="shared" si="6"/>
        <v>45068.21352</v>
      </c>
    </row>
    <row r="211">
      <c r="B211" s="11">
        <v>46164.0</v>
      </c>
      <c r="C211" s="12">
        <f>VLOOKUP(B:B,'Курс валют'!A:D,4,0)</f>
        <v>83.2746</v>
      </c>
      <c r="D211" s="13" t="s">
        <v>551</v>
      </c>
      <c r="E211" s="59" t="s">
        <v>63</v>
      </c>
      <c r="F211" s="15">
        <v>2025.0</v>
      </c>
      <c r="G211" s="16">
        <v>2043.6</v>
      </c>
      <c r="H211" s="17">
        <v>0.0</v>
      </c>
      <c r="I211" s="16">
        <f t="shared" si="10"/>
        <v>18.6</v>
      </c>
      <c r="J211" s="18">
        <f t="shared" si="2"/>
        <v>0.9185185185</v>
      </c>
      <c r="K211" s="17">
        <v>2.12</v>
      </c>
      <c r="L211" s="19">
        <f t="shared" si="3"/>
        <v>0</v>
      </c>
      <c r="M211" s="20">
        <f t="shared" si="4"/>
        <v>176.542152</v>
      </c>
      <c r="N211" s="21">
        <f t="shared" si="11"/>
        <v>2.12</v>
      </c>
      <c r="O211" s="21">
        <f t="shared" si="5"/>
        <v>4293</v>
      </c>
      <c r="P211" s="22">
        <f t="shared" si="6"/>
        <v>357497.8578</v>
      </c>
    </row>
    <row r="212">
      <c r="B212" s="11">
        <v>46164.0</v>
      </c>
      <c r="C212" s="12">
        <f>VLOOKUP(B:B,'Курс валют'!A:D,4,0)</f>
        <v>83.2746</v>
      </c>
      <c r="D212" s="13" t="s">
        <v>552</v>
      </c>
      <c r="E212" s="59" t="s">
        <v>70</v>
      </c>
      <c r="F212" s="15">
        <v>200.0</v>
      </c>
      <c r="G212" s="16">
        <v>200.0</v>
      </c>
      <c r="H212" s="17">
        <v>0.0</v>
      </c>
      <c r="I212" s="16">
        <f t="shared" si="10"/>
        <v>0</v>
      </c>
      <c r="J212" s="18">
        <f t="shared" si="2"/>
        <v>0</v>
      </c>
      <c r="K212" s="17">
        <v>2.2</v>
      </c>
      <c r="L212" s="19">
        <f t="shared" si="3"/>
        <v>0</v>
      </c>
      <c r="M212" s="20">
        <f t="shared" si="4"/>
        <v>183.20412</v>
      </c>
      <c r="N212" s="21">
        <f t="shared" si="11"/>
        <v>2.2</v>
      </c>
      <c r="O212" s="21">
        <f t="shared" si="5"/>
        <v>440</v>
      </c>
      <c r="P212" s="22">
        <f t="shared" si="6"/>
        <v>36640.824</v>
      </c>
      <c r="R212" s="42" t="s">
        <v>553</v>
      </c>
    </row>
    <row r="213">
      <c r="B213" s="11">
        <v>46164.0</v>
      </c>
      <c r="C213" s="12">
        <f>VLOOKUP(B:B,'Курс валют'!A:D,4,0)</f>
        <v>83.2746</v>
      </c>
      <c r="D213" s="13" t="s">
        <v>554</v>
      </c>
      <c r="E213" s="59" t="s">
        <v>18</v>
      </c>
      <c r="F213" s="15">
        <v>220.0</v>
      </c>
      <c r="G213" s="16">
        <v>222.01</v>
      </c>
      <c r="H213" s="17">
        <v>0.0</v>
      </c>
      <c r="I213" s="16">
        <f t="shared" si="10"/>
        <v>2.01</v>
      </c>
      <c r="J213" s="18">
        <f t="shared" si="2"/>
        <v>0.9136363636</v>
      </c>
      <c r="K213" s="17">
        <v>2.46</v>
      </c>
      <c r="L213" s="19">
        <f t="shared" si="3"/>
        <v>0</v>
      </c>
      <c r="M213" s="20">
        <f t="shared" si="4"/>
        <v>204.855516</v>
      </c>
      <c r="N213" s="21">
        <f t="shared" si="11"/>
        <v>2.46</v>
      </c>
      <c r="O213" s="21">
        <f t="shared" si="5"/>
        <v>541.2</v>
      </c>
      <c r="P213" s="22">
        <f t="shared" si="6"/>
        <v>45068.21352</v>
      </c>
    </row>
    <row r="214">
      <c r="B214" s="11">
        <v>46165.0</v>
      </c>
      <c r="C214" s="12">
        <f>VLOOKUP(B:B,'Курс валют'!A:D,4,0)</f>
        <v>82.5445</v>
      </c>
      <c r="D214" s="13" t="s">
        <v>555</v>
      </c>
      <c r="E214" s="59" t="s">
        <v>18</v>
      </c>
      <c r="F214" s="15">
        <v>1100.0</v>
      </c>
      <c r="G214" s="16">
        <v>1108.5</v>
      </c>
      <c r="H214" s="17">
        <v>0.0</v>
      </c>
      <c r="I214" s="16">
        <f t="shared" si="10"/>
        <v>8.5</v>
      </c>
      <c r="J214" s="18">
        <f t="shared" si="2"/>
        <v>0.7727272727</v>
      </c>
      <c r="K214" s="17">
        <v>2.37</v>
      </c>
      <c r="L214" s="19">
        <f t="shared" si="3"/>
        <v>0</v>
      </c>
      <c r="M214" s="20">
        <f t="shared" si="4"/>
        <v>195.630465</v>
      </c>
      <c r="N214" s="21">
        <f t="shared" si="11"/>
        <v>2.37</v>
      </c>
      <c r="O214" s="21">
        <f t="shared" si="5"/>
        <v>2607</v>
      </c>
      <c r="P214" s="22">
        <f t="shared" si="6"/>
        <v>215193.5115</v>
      </c>
    </row>
    <row r="215">
      <c r="B215" s="11">
        <v>46165.0</v>
      </c>
      <c r="C215" s="12">
        <f>VLOOKUP(B:B,'Курс валют'!A:D,4,0)</f>
        <v>82.5445</v>
      </c>
      <c r="D215" s="13" t="s">
        <v>556</v>
      </c>
      <c r="E215" s="59" t="s">
        <v>18</v>
      </c>
      <c r="F215" s="15">
        <v>1100.0</v>
      </c>
      <c r="G215" s="16">
        <v>1108.5</v>
      </c>
      <c r="H215" s="17">
        <v>0.0</v>
      </c>
      <c r="I215" s="16">
        <f t="shared" si="10"/>
        <v>8.5</v>
      </c>
      <c r="J215" s="18">
        <f t="shared" si="2"/>
        <v>0.7727272727</v>
      </c>
      <c r="K215" s="17">
        <v>2.37</v>
      </c>
      <c r="L215" s="19">
        <f t="shared" si="3"/>
        <v>0</v>
      </c>
      <c r="M215" s="20">
        <f t="shared" si="4"/>
        <v>195.630465</v>
      </c>
      <c r="N215" s="21">
        <f t="shared" si="11"/>
        <v>2.37</v>
      </c>
      <c r="O215" s="21">
        <f t="shared" si="5"/>
        <v>2607</v>
      </c>
      <c r="P215" s="22">
        <f t="shared" si="6"/>
        <v>215193.5115</v>
      </c>
    </row>
    <row r="216">
      <c r="B216" s="11">
        <v>46165.0</v>
      </c>
      <c r="C216" s="12">
        <f>VLOOKUP(B:B,'Курс валют'!A:D,4,0)</f>
        <v>82.5445</v>
      </c>
      <c r="D216" s="13" t="s">
        <v>557</v>
      </c>
      <c r="E216" s="59" t="s">
        <v>18</v>
      </c>
      <c r="F216" s="15">
        <v>1100.0</v>
      </c>
      <c r="G216" s="16">
        <v>1108.5</v>
      </c>
      <c r="H216" s="17">
        <v>0.0</v>
      </c>
      <c r="I216" s="16">
        <f t="shared" si="10"/>
        <v>8.5</v>
      </c>
      <c r="J216" s="18">
        <f t="shared" si="2"/>
        <v>0.7727272727</v>
      </c>
      <c r="K216" s="17">
        <v>2.37</v>
      </c>
      <c r="L216" s="19">
        <f t="shared" si="3"/>
        <v>0</v>
      </c>
      <c r="M216" s="20">
        <f t="shared" si="4"/>
        <v>195.630465</v>
      </c>
      <c r="N216" s="21">
        <f t="shared" si="11"/>
        <v>2.37</v>
      </c>
      <c r="O216" s="21">
        <f t="shared" si="5"/>
        <v>2607</v>
      </c>
      <c r="P216" s="22">
        <f t="shared" si="6"/>
        <v>215193.5115</v>
      </c>
    </row>
    <row r="217">
      <c r="B217" s="11">
        <v>46165.0</v>
      </c>
      <c r="C217" s="12">
        <f>VLOOKUP(B:B,'Курс валют'!A:D,4,0)</f>
        <v>82.5445</v>
      </c>
      <c r="D217" s="13" t="s">
        <v>558</v>
      </c>
      <c r="E217" s="59" t="s">
        <v>18</v>
      </c>
      <c r="F217" s="15">
        <v>1100.0</v>
      </c>
      <c r="G217" s="16">
        <v>1108.5</v>
      </c>
      <c r="H217" s="17">
        <v>0.0</v>
      </c>
      <c r="I217" s="16">
        <f t="shared" si="10"/>
        <v>8.5</v>
      </c>
      <c r="J217" s="18">
        <f t="shared" si="2"/>
        <v>0.7727272727</v>
      </c>
      <c r="K217" s="17">
        <v>2.37</v>
      </c>
      <c r="L217" s="19">
        <f t="shared" si="3"/>
        <v>0</v>
      </c>
      <c r="M217" s="20">
        <f t="shared" si="4"/>
        <v>195.630465</v>
      </c>
      <c r="N217" s="21">
        <f t="shared" si="11"/>
        <v>2.37</v>
      </c>
      <c r="O217" s="21">
        <f t="shared" si="5"/>
        <v>2607</v>
      </c>
      <c r="P217" s="22">
        <f t="shared" si="6"/>
        <v>215193.5115</v>
      </c>
    </row>
    <row r="218">
      <c r="B218" s="11">
        <v>46165.0</v>
      </c>
      <c r="C218" s="12">
        <f>VLOOKUP(B:B,'Курс валют'!A:D,4,0)</f>
        <v>82.5445</v>
      </c>
      <c r="D218" s="13" t="s">
        <v>559</v>
      </c>
      <c r="E218" s="59" t="s">
        <v>18</v>
      </c>
      <c r="F218" s="15">
        <v>1100.0</v>
      </c>
      <c r="G218" s="16">
        <v>1108.5</v>
      </c>
      <c r="H218" s="17">
        <v>0.0</v>
      </c>
      <c r="I218" s="16">
        <f t="shared" si="10"/>
        <v>8.5</v>
      </c>
      <c r="J218" s="18">
        <f t="shared" si="2"/>
        <v>0.7727272727</v>
      </c>
      <c r="K218" s="17">
        <v>2.37</v>
      </c>
      <c r="L218" s="19">
        <f t="shared" si="3"/>
        <v>0</v>
      </c>
      <c r="M218" s="20">
        <f t="shared" si="4"/>
        <v>195.630465</v>
      </c>
      <c r="N218" s="21">
        <f t="shared" si="11"/>
        <v>2.37</v>
      </c>
      <c r="O218" s="21">
        <f t="shared" si="5"/>
        <v>2607</v>
      </c>
      <c r="P218" s="22">
        <f t="shared" si="6"/>
        <v>215193.5115</v>
      </c>
    </row>
    <row r="219">
      <c r="B219" s="11">
        <v>46165.0</v>
      </c>
      <c r="C219" s="12">
        <f>VLOOKUP(B:B,'Курс валют'!A:D,4,0)</f>
        <v>82.5445</v>
      </c>
      <c r="D219" s="13" t="s">
        <v>560</v>
      </c>
      <c r="E219" s="59" t="s">
        <v>18</v>
      </c>
      <c r="F219" s="15">
        <v>1100.0</v>
      </c>
      <c r="G219" s="16">
        <v>1108.5</v>
      </c>
      <c r="H219" s="17">
        <v>0.0</v>
      </c>
      <c r="I219" s="16">
        <f t="shared" si="10"/>
        <v>8.5</v>
      </c>
      <c r="J219" s="18">
        <f t="shared" si="2"/>
        <v>0.7727272727</v>
      </c>
      <c r="K219" s="17">
        <v>2.37</v>
      </c>
      <c r="L219" s="19">
        <f t="shared" si="3"/>
        <v>0</v>
      </c>
      <c r="M219" s="20">
        <f t="shared" si="4"/>
        <v>195.630465</v>
      </c>
      <c r="N219" s="21">
        <f t="shared" si="11"/>
        <v>2.37</v>
      </c>
      <c r="O219" s="21">
        <f t="shared" si="5"/>
        <v>2607</v>
      </c>
      <c r="P219" s="22">
        <f t="shared" si="6"/>
        <v>215193.5115</v>
      </c>
    </row>
    <row r="220">
      <c r="B220" s="11">
        <v>46165.0</v>
      </c>
      <c r="C220" s="12">
        <f>VLOOKUP(B:B,'Курс валют'!A:D,4,0)</f>
        <v>82.5445</v>
      </c>
      <c r="D220" s="13" t="s">
        <v>561</v>
      </c>
      <c r="E220" s="59" t="s">
        <v>18</v>
      </c>
      <c r="F220" s="15">
        <v>1100.0</v>
      </c>
      <c r="G220" s="16">
        <v>1108.5</v>
      </c>
      <c r="H220" s="17">
        <v>0.0</v>
      </c>
      <c r="I220" s="16">
        <f t="shared" si="10"/>
        <v>8.5</v>
      </c>
      <c r="J220" s="18">
        <f t="shared" si="2"/>
        <v>0.7727272727</v>
      </c>
      <c r="K220" s="17">
        <v>2.37</v>
      </c>
      <c r="L220" s="19">
        <f t="shared" si="3"/>
        <v>0</v>
      </c>
      <c r="M220" s="20">
        <f t="shared" si="4"/>
        <v>195.630465</v>
      </c>
      <c r="N220" s="21">
        <f t="shared" si="11"/>
        <v>2.37</v>
      </c>
      <c r="O220" s="21">
        <f t="shared" si="5"/>
        <v>2607</v>
      </c>
      <c r="P220" s="22">
        <f t="shared" si="6"/>
        <v>215193.5115</v>
      </c>
    </row>
    <row r="221">
      <c r="B221" s="11">
        <v>46165.0</v>
      </c>
      <c r="C221" s="12">
        <f>VLOOKUP(B:B,'Курс валют'!A:D,4,0)</f>
        <v>82.5445</v>
      </c>
      <c r="D221" s="13" t="s">
        <v>562</v>
      </c>
      <c r="E221" s="59" t="s">
        <v>18</v>
      </c>
      <c r="F221" s="15">
        <v>1100.0</v>
      </c>
      <c r="G221" s="16">
        <v>1108.5</v>
      </c>
      <c r="H221" s="17">
        <v>0.0</v>
      </c>
      <c r="I221" s="16">
        <f t="shared" si="10"/>
        <v>8.5</v>
      </c>
      <c r="J221" s="18">
        <f t="shared" si="2"/>
        <v>0.7727272727</v>
      </c>
      <c r="K221" s="17">
        <v>2.37</v>
      </c>
      <c r="L221" s="19">
        <f t="shared" si="3"/>
        <v>0</v>
      </c>
      <c r="M221" s="20">
        <f t="shared" si="4"/>
        <v>195.630465</v>
      </c>
      <c r="N221" s="21">
        <f t="shared" si="11"/>
        <v>2.37</v>
      </c>
      <c r="O221" s="21">
        <f t="shared" si="5"/>
        <v>2607</v>
      </c>
      <c r="P221" s="22">
        <f t="shared" si="6"/>
        <v>215193.5115</v>
      </c>
    </row>
    <row r="222">
      <c r="B222" s="11">
        <v>46166.0</v>
      </c>
      <c r="C222" s="12">
        <f>VLOOKUP(B:B,'Курс валют'!A:D,4,0)</f>
        <v>82.5445</v>
      </c>
      <c r="D222" s="13" t="s">
        <v>563</v>
      </c>
      <c r="E222" s="59" t="s">
        <v>18</v>
      </c>
      <c r="F222" s="15">
        <v>1100.0</v>
      </c>
      <c r="G222" s="16">
        <v>1108.5</v>
      </c>
      <c r="H222" s="17">
        <v>0.0</v>
      </c>
      <c r="I222" s="16">
        <f t="shared" si="10"/>
        <v>8.5</v>
      </c>
      <c r="J222" s="18">
        <f t="shared" si="2"/>
        <v>0.7727272727</v>
      </c>
      <c r="K222" s="17">
        <v>2.37</v>
      </c>
      <c r="L222" s="19">
        <f t="shared" si="3"/>
        <v>0</v>
      </c>
      <c r="M222" s="20">
        <f t="shared" si="4"/>
        <v>195.630465</v>
      </c>
      <c r="N222" s="21">
        <f t="shared" si="11"/>
        <v>2.37</v>
      </c>
      <c r="O222" s="21">
        <f t="shared" si="5"/>
        <v>2607</v>
      </c>
      <c r="P222" s="22">
        <f t="shared" si="6"/>
        <v>215193.5115</v>
      </c>
    </row>
    <row r="223">
      <c r="B223" s="11">
        <v>46166.0</v>
      </c>
      <c r="C223" s="12">
        <f>VLOOKUP(B:B,'Курс валют'!A:D,4,0)</f>
        <v>82.5445</v>
      </c>
      <c r="D223" s="13" t="s">
        <v>564</v>
      </c>
      <c r="E223" s="59" t="s">
        <v>18</v>
      </c>
      <c r="F223" s="15">
        <v>1100.0</v>
      </c>
      <c r="G223" s="16">
        <v>1108.5</v>
      </c>
      <c r="H223" s="17">
        <v>0.0</v>
      </c>
      <c r="I223" s="16">
        <f t="shared" si="10"/>
        <v>8.5</v>
      </c>
      <c r="J223" s="18">
        <f t="shared" si="2"/>
        <v>0.7727272727</v>
      </c>
      <c r="K223" s="17">
        <v>2.37</v>
      </c>
      <c r="L223" s="19">
        <f t="shared" si="3"/>
        <v>0</v>
      </c>
      <c r="M223" s="20">
        <f t="shared" si="4"/>
        <v>195.630465</v>
      </c>
      <c r="N223" s="21">
        <f t="shared" si="11"/>
        <v>2.37</v>
      </c>
      <c r="O223" s="21">
        <f t="shared" si="5"/>
        <v>2607</v>
      </c>
      <c r="P223" s="22">
        <f t="shared" si="6"/>
        <v>215193.5115</v>
      </c>
    </row>
    <row r="224">
      <c r="B224" s="11">
        <v>46166.0</v>
      </c>
      <c r="C224" s="12">
        <f>VLOOKUP(B:B,'Курс валют'!A:D,4,0)</f>
        <v>82.5445</v>
      </c>
      <c r="D224" s="13" t="s">
        <v>565</v>
      </c>
      <c r="E224" s="59" t="s">
        <v>18</v>
      </c>
      <c r="F224" s="15">
        <v>1100.0</v>
      </c>
      <c r="G224" s="16">
        <v>1108.5</v>
      </c>
      <c r="H224" s="17">
        <v>0.0</v>
      </c>
      <c r="I224" s="16">
        <f t="shared" si="10"/>
        <v>8.5</v>
      </c>
      <c r="J224" s="18">
        <f t="shared" si="2"/>
        <v>0.7727272727</v>
      </c>
      <c r="K224" s="17">
        <v>2.37</v>
      </c>
      <c r="L224" s="19">
        <f t="shared" si="3"/>
        <v>0</v>
      </c>
      <c r="M224" s="20">
        <f t="shared" si="4"/>
        <v>195.630465</v>
      </c>
      <c r="N224" s="21">
        <f t="shared" si="11"/>
        <v>2.37</v>
      </c>
      <c r="O224" s="21">
        <f t="shared" si="5"/>
        <v>2607</v>
      </c>
      <c r="P224" s="22">
        <f t="shared" si="6"/>
        <v>215193.5115</v>
      </c>
    </row>
    <row r="225">
      <c r="B225" s="11">
        <v>46166.0</v>
      </c>
      <c r="C225" s="12">
        <f>VLOOKUP(B:B,'Курс валют'!A:D,4,0)</f>
        <v>82.5445</v>
      </c>
      <c r="D225" s="13" t="s">
        <v>566</v>
      </c>
      <c r="E225" s="59" t="s">
        <v>18</v>
      </c>
      <c r="F225" s="15">
        <v>1100.0</v>
      </c>
      <c r="G225" s="16">
        <v>1108.5</v>
      </c>
      <c r="H225" s="17">
        <v>0.0</v>
      </c>
      <c r="I225" s="16">
        <f t="shared" si="10"/>
        <v>8.5</v>
      </c>
      <c r="J225" s="18">
        <f t="shared" si="2"/>
        <v>0.7727272727</v>
      </c>
      <c r="K225" s="17">
        <v>2.37</v>
      </c>
      <c r="L225" s="19">
        <f t="shared" si="3"/>
        <v>0</v>
      </c>
      <c r="M225" s="20">
        <f t="shared" si="4"/>
        <v>195.630465</v>
      </c>
      <c r="N225" s="21">
        <f t="shared" si="11"/>
        <v>2.37</v>
      </c>
      <c r="O225" s="21">
        <f t="shared" si="5"/>
        <v>2607</v>
      </c>
      <c r="P225" s="22">
        <f t="shared" si="6"/>
        <v>215193.5115</v>
      </c>
    </row>
    <row r="226">
      <c r="B226" s="11">
        <v>46166.0</v>
      </c>
      <c r="C226" s="12">
        <f>VLOOKUP(B:B,'Курс валют'!A:D,4,0)</f>
        <v>82.5445</v>
      </c>
      <c r="D226" s="13" t="s">
        <v>567</v>
      </c>
      <c r="E226" s="59" t="s">
        <v>18</v>
      </c>
      <c r="F226" s="15">
        <v>1100.0</v>
      </c>
      <c r="G226" s="16">
        <v>1108.5</v>
      </c>
      <c r="H226" s="17">
        <v>0.0</v>
      </c>
      <c r="I226" s="16">
        <f t="shared" si="10"/>
        <v>8.5</v>
      </c>
      <c r="J226" s="18">
        <f t="shared" si="2"/>
        <v>0.7727272727</v>
      </c>
      <c r="K226" s="17">
        <v>2.37</v>
      </c>
      <c r="L226" s="19">
        <f t="shared" si="3"/>
        <v>0</v>
      </c>
      <c r="M226" s="20">
        <f t="shared" si="4"/>
        <v>195.630465</v>
      </c>
      <c r="N226" s="21">
        <f t="shared" si="11"/>
        <v>2.37</v>
      </c>
      <c r="O226" s="21">
        <f t="shared" si="5"/>
        <v>2607</v>
      </c>
      <c r="P226" s="22">
        <f t="shared" si="6"/>
        <v>215193.5115</v>
      </c>
    </row>
    <row r="227">
      <c r="B227" s="11">
        <v>46166.0</v>
      </c>
      <c r="C227" s="12">
        <f>VLOOKUP(B:B,'Курс валют'!A:D,4,0)</f>
        <v>82.5445</v>
      </c>
      <c r="D227" s="13" t="s">
        <v>568</v>
      </c>
      <c r="E227" s="59" t="s">
        <v>18</v>
      </c>
      <c r="F227" s="15">
        <v>1100.0</v>
      </c>
      <c r="G227" s="16">
        <v>1108.5</v>
      </c>
      <c r="H227" s="17">
        <v>0.0</v>
      </c>
      <c r="I227" s="16">
        <f t="shared" si="10"/>
        <v>8.5</v>
      </c>
      <c r="J227" s="18">
        <f t="shared" si="2"/>
        <v>0.7727272727</v>
      </c>
      <c r="K227" s="17">
        <v>2.37</v>
      </c>
      <c r="L227" s="19">
        <f t="shared" si="3"/>
        <v>0</v>
      </c>
      <c r="M227" s="20">
        <f t="shared" si="4"/>
        <v>195.630465</v>
      </c>
      <c r="N227" s="21">
        <f t="shared" si="11"/>
        <v>2.37</v>
      </c>
      <c r="O227" s="21">
        <f t="shared" si="5"/>
        <v>2607</v>
      </c>
      <c r="P227" s="22">
        <f t="shared" si="6"/>
        <v>215193.5115</v>
      </c>
    </row>
    <row r="228">
      <c r="B228" s="11">
        <v>46166.0</v>
      </c>
      <c r="C228" s="12">
        <f>VLOOKUP(B:B,'Курс валют'!A:D,4,0)</f>
        <v>82.5445</v>
      </c>
      <c r="D228" s="13" t="s">
        <v>569</v>
      </c>
      <c r="E228" s="59" t="s">
        <v>18</v>
      </c>
      <c r="F228" s="15">
        <v>1100.0</v>
      </c>
      <c r="G228" s="16">
        <v>1108.5</v>
      </c>
      <c r="H228" s="17">
        <v>0.0</v>
      </c>
      <c r="I228" s="16">
        <f t="shared" si="10"/>
        <v>8.5</v>
      </c>
      <c r="J228" s="18">
        <f t="shared" si="2"/>
        <v>0.7727272727</v>
      </c>
      <c r="K228" s="17">
        <v>2.37</v>
      </c>
      <c r="L228" s="19">
        <f t="shared" si="3"/>
        <v>0</v>
      </c>
      <c r="M228" s="20">
        <f t="shared" si="4"/>
        <v>195.630465</v>
      </c>
      <c r="N228" s="21">
        <f t="shared" si="11"/>
        <v>2.37</v>
      </c>
      <c r="O228" s="21">
        <f t="shared" si="5"/>
        <v>2607</v>
      </c>
      <c r="P228" s="22">
        <f t="shared" si="6"/>
        <v>215193.5115</v>
      </c>
    </row>
    <row r="229">
      <c r="B229" s="11">
        <v>46166.0</v>
      </c>
      <c r="C229" s="12">
        <f>VLOOKUP(B:B,'Курс валют'!A:D,4,0)</f>
        <v>82.5445</v>
      </c>
      <c r="D229" s="13" t="s">
        <v>570</v>
      </c>
      <c r="E229" s="59" t="s">
        <v>18</v>
      </c>
      <c r="F229" s="15">
        <v>1100.0</v>
      </c>
      <c r="G229" s="16">
        <v>1108.5</v>
      </c>
      <c r="H229" s="17">
        <v>0.0</v>
      </c>
      <c r="I229" s="16">
        <f t="shared" si="10"/>
        <v>8.5</v>
      </c>
      <c r="J229" s="18">
        <f t="shared" si="2"/>
        <v>0.7727272727</v>
      </c>
      <c r="K229" s="17">
        <v>2.37</v>
      </c>
      <c r="L229" s="19">
        <f t="shared" si="3"/>
        <v>0</v>
      </c>
      <c r="M229" s="20">
        <f t="shared" si="4"/>
        <v>195.630465</v>
      </c>
      <c r="N229" s="21">
        <f t="shared" si="11"/>
        <v>2.37</v>
      </c>
      <c r="O229" s="21">
        <f t="shared" si="5"/>
        <v>2607</v>
      </c>
      <c r="P229" s="22">
        <f t="shared" si="6"/>
        <v>215193.5115</v>
      </c>
    </row>
    <row r="230">
      <c r="B230" s="11">
        <v>46167.0</v>
      </c>
      <c r="C230" s="12">
        <f>VLOOKUP(B:B,'Курс валют'!A:D,4,0)</f>
        <v>82.5445</v>
      </c>
      <c r="D230" s="13" t="s">
        <v>571</v>
      </c>
      <c r="E230" s="59" t="s">
        <v>73</v>
      </c>
      <c r="F230" s="15">
        <v>1800.0</v>
      </c>
      <c r="G230" s="15">
        <v>1800.0</v>
      </c>
      <c r="H230" s="17">
        <v>0.0</v>
      </c>
      <c r="I230" s="15">
        <f t="shared" si="10"/>
        <v>0</v>
      </c>
      <c r="J230" s="18">
        <f t="shared" si="2"/>
        <v>0</v>
      </c>
      <c r="K230" s="17">
        <v>2.68</v>
      </c>
      <c r="L230" s="19">
        <f t="shared" si="3"/>
        <v>0</v>
      </c>
      <c r="M230" s="20">
        <f t="shared" si="4"/>
        <v>221.21926</v>
      </c>
      <c r="N230" s="21">
        <f t="shared" si="11"/>
        <v>2.68</v>
      </c>
      <c r="O230" s="21">
        <f t="shared" si="5"/>
        <v>4824</v>
      </c>
      <c r="P230" s="22">
        <f t="shared" si="6"/>
        <v>398194.668</v>
      </c>
      <c r="R230" s="42" t="s">
        <v>572</v>
      </c>
    </row>
    <row r="231">
      <c r="B231" s="11">
        <v>46167.0</v>
      </c>
      <c r="C231" s="12">
        <f>VLOOKUP(B:B,'Курс валют'!A:D,4,0)</f>
        <v>82.5445</v>
      </c>
      <c r="D231" s="13" t="s">
        <v>573</v>
      </c>
      <c r="E231" s="59" t="s">
        <v>82</v>
      </c>
      <c r="F231" s="15">
        <v>1400.0</v>
      </c>
      <c r="G231" s="16">
        <v>1400.0</v>
      </c>
      <c r="H231" s="17">
        <v>0.0</v>
      </c>
      <c r="I231" s="16">
        <f t="shared" si="10"/>
        <v>0</v>
      </c>
      <c r="J231" s="18">
        <f t="shared" si="2"/>
        <v>0</v>
      </c>
      <c r="K231" s="17">
        <v>2.72</v>
      </c>
      <c r="L231" s="19">
        <f t="shared" si="3"/>
        <v>0</v>
      </c>
      <c r="M231" s="20">
        <f t="shared" si="4"/>
        <v>224.52104</v>
      </c>
      <c r="N231" s="21">
        <f t="shared" si="11"/>
        <v>2.72</v>
      </c>
      <c r="O231" s="21">
        <f t="shared" si="5"/>
        <v>3808</v>
      </c>
      <c r="P231" s="22">
        <f t="shared" si="6"/>
        <v>314329.456</v>
      </c>
      <c r="R231" s="42" t="s">
        <v>574</v>
      </c>
    </row>
    <row r="232">
      <c r="B232" s="11">
        <v>46168.0</v>
      </c>
      <c r="C232" s="12">
        <f>VLOOKUP(B:B,'Курс валют'!A:D,4,0)</f>
        <v>85.4493</v>
      </c>
      <c r="D232" s="13" t="s">
        <v>575</v>
      </c>
      <c r="E232" s="59" t="s">
        <v>61</v>
      </c>
      <c r="F232" s="15">
        <v>1100.0</v>
      </c>
      <c r="G232" s="16">
        <v>1108.01</v>
      </c>
      <c r="H232" s="17">
        <v>0.0</v>
      </c>
      <c r="I232" s="16">
        <f t="shared" si="10"/>
        <v>8.01</v>
      </c>
      <c r="J232" s="18">
        <f t="shared" si="2"/>
        <v>0.7281818182</v>
      </c>
      <c r="K232" s="17">
        <v>2.49</v>
      </c>
      <c r="L232" s="19">
        <f t="shared" si="3"/>
        <v>0</v>
      </c>
      <c r="M232" s="20">
        <f t="shared" si="4"/>
        <v>212.768757</v>
      </c>
      <c r="N232" s="21">
        <f t="shared" si="11"/>
        <v>2.49</v>
      </c>
      <c r="O232" s="21">
        <f t="shared" si="5"/>
        <v>2739</v>
      </c>
      <c r="P232" s="22">
        <f t="shared" si="6"/>
        <v>234045.6327</v>
      </c>
    </row>
    <row r="233">
      <c r="B233" s="11">
        <v>46168.0</v>
      </c>
      <c r="C233" s="12">
        <f>VLOOKUP(B:B,'Курс валют'!A:D,4,0)</f>
        <v>85.4493</v>
      </c>
      <c r="D233" s="13" t="s">
        <v>576</v>
      </c>
      <c r="E233" s="59" t="s">
        <v>61</v>
      </c>
      <c r="F233" s="15">
        <v>1100.0</v>
      </c>
      <c r="G233" s="16">
        <v>1108.01</v>
      </c>
      <c r="H233" s="17">
        <v>0.0</v>
      </c>
      <c r="I233" s="16">
        <f t="shared" si="10"/>
        <v>8.01</v>
      </c>
      <c r="J233" s="18">
        <f t="shared" si="2"/>
        <v>0.7281818182</v>
      </c>
      <c r="K233" s="17">
        <v>2.49</v>
      </c>
      <c r="L233" s="19">
        <f t="shared" si="3"/>
        <v>0</v>
      </c>
      <c r="M233" s="20">
        <f t="shared" si="4"/>
        <v>212.768757</v>
      </c>
      <c r="N233" s="21">
        <f t="shared" si="11"/>
        <v>2.49</v>
      </c>
      <c r="O233" s="21">
        <f t="shared" si="5"/>
        <v>2739</v>
      </c>
      <c r="P233" s="22">
        <f t="shared" si="6"/>
        <v>234045.6327</v>
      </c>
    </row>
    <row r="234">
      <c r="B234" s="11">
        <v>46168.0</v>
      </c>
      <c r="C234" s="12">
        <f>VLOOKUP(B:B,'Курс валют'!A:D,4,0)</f>
        <v>85.4493</v>
      </c>
      <c r="D234" s="13" t="s">
        <v>577</v>
      </c>
      <c r="E234" s="59" t="s">
        <v>61</v>
      </c>
      <c r="F234" s="15">
        <v>1100.0</v>
      </c>
      <c r="G234" s="16">
        <v>1108.01</v>
      </c>
      <c r="H234" s="17">
        <v>0.0</v>
      </c>
      <c r="I234" s="16">
        <f t="shared" si="10"/>
        <v>8.01</v>
      </c>
      <c r="J234" s="18">
        <f t="shared" si="2"/>
        <v>0.7281818182</v>
      </c>
      <c r="K234" s="17">
        <v>2.49</v>
      </c>
      <c r="L234" s="19">
        <f t="shared" si="3"/>
        <v>0</v>
      </c>
      <c r="M234" s="20">
        <f t="shared" si="4"/>
        <v>212.768757</v>
      </c>
      <c r="N234" s="21">
        <f t="shared" si="11"/>
        <v>2.49</v>
      </c>
      <c r="O234" s="21">
        <f t="shared" si="5"/>
        <v>2739</v>
      </c>
      <c r="P234" s="22">
        <f t="shared" si="6"/>
        <v>234045.6327</v>
      </c>
    </row>
    <row r="235">
      <c r="B235" s="11">
        <v>46168.0</v>
      </c>
      <c r="C235" s="12">
        <f>VLOOKUP(B:B,'Курс валют'!A:D,4,0)</f>
        <v>85.4493</v>
      </c>
      <c r="D235" s="13" t="s">
        <v>578</v>
      </c>
      <c r="E235" s="59" t="s">
        <v>61</v>
      </c>
      <c r="F235" s="15">
        <v>1100.0</v>
      </c>
      <c r="G235" s="16">
        <v>1108.01</v>
      </c>
      <c r="H235" s="17">
        <v>0.0</v>
      </c>
      <c r="I235" s="16">
        <f t="shared" si="10"/>
        <v>8.01</v>
      </c>
      <c r="J235" s="18">
        <f t="shared" si="2"/>
        <v>0.7281818182</v>
      </c>
      <c r="K235" s="17">
        <v>2.49</v>
      </c>
      <c r="L235" s="19">
        <f t="shared" si="3"/>
        <v>0</v>
      </c>
      <c r="M235" s="20">
        <f t="shared" si="4"/>
        <v>212.768757</v>
      </c>
      <c r="N235" s="21">
        <f t="shared" si="11"/>
        <v>2.49</v>
      </c>
      <c r="O235" s="21">
        <f t="shared" si="5"/>
        <v>2739</v>
      </c>
      <c r="P235" s="22">
        <f t="shared" si="6"/>
        <v>234045.6327</v>
      </c>
    </row>
    <row r="236">
      <c r="B236" s="11">
        <v>46168.0</v>
      </c>
      <c r="C236" s="12">
        <f>VLOOKUP(B:B,'Курс валют'!A:D,4,0)</f>
        <v>85.4493</v>
      </c>
      <c r="D236" s="13" t="s">
        <v>579</v>
      </c>
      <c r="E236" s="59" t="s">
        <v>61</v>
      </c>
      <c r="F236" s="15">
        <v>220.0</v>
      </c>
      <c r="G236" s="16">
        <v>222.4</v>
      </c>
      <c r="H236" s="17">
        <v>0.0</v>
      </c>
      <c r="I236" s="16">
        <f t="shared" si="10"/>
        <v>2.4</v>
      </c>
      <c r="J236" s="18">
        <f t="shared" si="2"/>
        <v>1.090909091</v>
      </c>
      <c r="K236" s="17">
        <v>2.54</v>
      </c>
      <c r="L236" s="19">
        <f t="shared" si="3"/>
        <v>0</v>
      </c>
      <c r="M236" s="20">
        <f t="shared" si="4"/>
        <v>217.041222</v>
      </c>
      <c r="N236" s="21">
        <f t="shared" si="11"/>
        <v>2.54</v>
      </c>
      <c r="O236" s="21">
        <f t="shared" si="5"/>
        <v>558.8</v>
      </c>
      <c r="P236" s="22">
        <f t="shared" si="6"/>
        <v>47749.06884</v>
      </c>
    </row>
    <row r="237">
      <c r="B237" s="11">
        <v>46168.0</v>
      </c>
      <c r="C237" s="12">
        <f>VLOOKUP(B:B,'Курс валют'!A:D,4,0)</f>
        <v>85.4493</v>
      </c>
      <c r="D237" s="13" t="s">
        <v>580</v>
      </c>
      <c r="E237" s="59" t="s">
        <v>61</v>
      </c>
      <c r="F237" s="15">
        <v>220.0</v>
      </c>
      <c r="G237" s="16">
        <v>222.4</v>
      </c>
      <c r="H237" s="17">
        <v>0.0</v>
      </c>
      <c r="I237" s="16">
        <f t="shared" si="10"/>
        <v>2.4</v>
      </c>
      <c r="J237" s="18">
        <f t="shared" si="2"/>
        <v>1.090909091</v>
      </c>
      <c r="K237" s="17">
        <v>2.54</v>
      </c>
      <c r="L237" s="19">
        <f t="shared" si="3"/>
        <v>0</v>
      </c>
      <c r="M237" s="20">
        <f t="shared" si="4"/>
        <v>217.041222</v>
      </c>
      <c r="N237" s="21">
        <f t="shared" si="11"/>
        <v>2.54</v>
      </c>
      <c r="O237" s="21">
        <f t="shared" si="5"/>
        <v>558.8</v>
      </c>
      <c r="P237" s="22">
        <f t="shared" si="6"/>
        <v>47749.06884</v>
      </c>
    </row>
    <row r="238">
      <c r="B238" s="11">
        <v>46168.0</v>
      </c>
      <c r="C238" s="12">
        <f>VLOOKUP(B:B,'Курс валют'!A:D,4,0)</f>
        <v>85.4493</v>
      </c>
      <c r="D238" s="13" t="s">
        <v>581</v>
      </c>
      <c r="E238" s="59" t="s">
        <v>61</v>
      </c>
      <c r="F238" s="15">
        <v>1100.0</v>
      </c>
      <c r="G238" s="16">
        <v>1108.01</v>
      </c>
      <c r="H238" s="17">
        <v>0.0</v>
      </c>
      <c r="I238" s="16">
        <f t="shared" si="10"/>
        <v>8.01</v>
      </c>
      <c r="J238" s="18">
        <f t="shared" si="2"/>
        <v>0.7281818182</v>
      </c>
      <c r="K238" s="17">
        <v>2.48</v>
      </c>
      <c r="L238" s="19">
        <f t="shared" si="3"/>
        <v>0</v>
      </c>
      <c r="M238" s="20">
        <f t="shared" si="4"/>
        <v>211.914264</v>
      </c>
      <c r="N238" s="21">
        <f t="shared" si="11"/>
        <v>2.48</v>
      </c>
      <c r="O238" s="21">
        <f t="shared" si="5"/>
        <v>2728</v>
      </c>
      <c r="P238" s="22">
        <f t="shared" si="6"/>
        <v>233105.6904</v>
      </c>
    </row>
    <row r="239">
      <c r="B239" s="11">
        <v>46168.0</v>
      </c>
      <c r="C239" s="12">
        <f>VLOOKUP(B:B,'Курс валют'!A:D,4,0)</f>
        <v>85.4493</v>
      </c>
      <c r="D239" s="13" t="s">
        <v>582</v>
      </c>
      <c r="E239" s="59" t="s">
        <v>61</v>
      </c>
      <c r="F239" s="15">
        <v>1100.0</v>
      </c>
      <c r="G239" s="16">
        <v>1108.01</v>
      </c>
      <c r="H239" s="17">
        <v>0.0</v>
      </c>
      <c r="I239" s="16">
        <f t="shared" si="10"/>
        <v>8.01</v>
      </c>
      <c r="J239" s="18">
        <f t="shared" si="2"/>
        <v>0.7281818182</v>
      </c>
      <c r="K239" s="17">
        <v>2.48</v>
      </c>
      <c r="L239" s="19">
        <f t="shared" si="3"/>
        <v>0</v>
      </c>
      <c r="M239" s="20">
        <f t="shared" si="4"/>
        <v>211.914264</v>
      </c>
      <c r="N239" s="21">
        <f t="shared" si="11"/>
        <v>2.48</v>
      </c>
      <c r="O239" s="21">
        <f t="shared" si="5"/>
        <v>2728</v>
      </c>
      <c r="P239" s="22">
        <f t="shared" si="6"/>
        <v>233105.6904</v>
      </c>
    </row>
    <row r="240">
      <c r="B240" s="11">
        <v>46168.0</v>
      </c>
      <c r="C240" s="12">
        <f>VLOOKUP(B:B,'Курс валют'!A:D,4,0)</f>
        <v>85.4493</v>
      </c>
      <c r="D240" s="13" t="s">
        <v>583</v>
      </c>
      <c r="E240" s="59" t="s">
        <v>61</v>
      </c>
      <c r="F240" s="15">
        <v>1100.0</v>
      </c>
      <c r="G240" s="16">
        <v>1108.01</v>
      </c>
      <c r="H240" s="17">
        <v>0.0</v>
      </c>
      <c r="I240" s="16">
        <f t="shared" si="10"/>
        <v>8.01</v>
      </c>
      <c r="J240" s="18">
        <f t="shared" si="2"/>
        <v>0.7281818182</v>
      </c>
      <c r="K240" s="17">
        <v>2.48</v>
      </c>
      <c r="L240" s="19">
        <f t="shared" si="3"/>
        <v>0</v>
      </c>
      <c r="M240" s="20">
        <f t="shared" si="4"/>
        <v>211.914264</v>
      </c>
      <c r="N240" s="21">
        <f t="shared" si="11"/>
        <v>2.48</v>
      </c>
      <c r="O240" s="21">
        <f t="shared" si="5"/>
        <v>2728</v>
      </c>
      <c r="P240" s="22">
        <f t="shared" si="6"/>
        <v>233105.6904</v>
      </c>
    </row>
    <row r="241">
      <c r="B241" s="11">
        <v>46168.0</v>
      </c>
      <c r="C241" s="12">
        <f>VLOOKUP(B:B,'Курс валют'!A:D,4,0)</f>
        <v>85.4493</v>
      </c>
      <c r="D241" s="13" t="s">
        <v>584</v>
      </c>
      <c r="E241" s="59" t="s">
        <v>61</v>
      </c>
      <c r="F241" s="15">
        <v>1100.0</v>
      </c>
      <c r="G241" s="16">
        <v>1108.01</v>
      </c>
      <c r="H241" s="17">
        <v>0.0</v>
      </c>
      <c r="I241" s="16">
        <f t="shared" si="10"/>
        <v>8.01</v>
      </c>
      <c r="J241" s="18">
        <f t="shared" si="2"/>
        <v>0.7281818182</v>
      </c>
      <c r="K241" s="17">
        <v>2.49</v>
      </c>
      <c r="L241" s="19">
        <f t="shared" si="3"/>
        <v>0</v>
      </c>
      <c r="M241" s="20">
        <f t="shared" si="4"/>
        <v>212.768757</v>
      </c>
      <c r="N241" s="21">
        <f t="shared" si="11"/>
        <v>2.49</v>
      </c>
      <c r="O241" s="21">
        <f t="shared" si="5"/>
        <v>2739</v>
      </c>
      <c r="P241" s="22">
        <f t="shared" si="6"/>
        <v>234045.6327</v>
      </c>
    </row>
    <row r="242">
      <c r="B242" s="11">
        <v>46169.0</v>
      </c>
      <c r="C242" s="12">
        <f>VLOOKUP(B:B,'Курс валют'!A:D,4,0)</f>
        <v>83.2975</v>
      </c>
      <c r="D242" s="13" t="s">
        <v>585</v>
      </c>
      <c r="E242" s="59" t="s">
        <v>61</v>
      </c>
      <c r="F242" s="15">
        <v>1100.0</v>
      </c>
      <c r="G242" s="16">
        <v>1108.01</v>
      </c>
      <c r="H242" s="17">
        <v>0.0</v>
      </c>
      <c r="I242" s="16">
        <f t="shared" si="10"/>
        <v>8.01</v>
      </c>
      <c r="J242" s="18">
        <f t="shared" si="2"/>
        <v>0.7281818182</v>
      </c>
      <c r="K242" s="17">
        <v>2.49</v>
      </c>
      <c r="L242" s="19">
        <f t="shared" si="3"/>
        <v>0</v>
      </c>
      <c r="M242" s="20">
        <f t="shared" si="4"/>
        <v>207.410775</v>
      </c>
      <c r="N242" s="21">
        <f t="shared" si="11"/>
        <v>2.49</v>
      </c>
      <c r="O242" s="21">
        <f t="shared" si="5"/>
        <v>2739</v>
      </c>
      <c r="P242" s="22">
        <f t="shared" si="6"/>
        <v>228151.8525</v>
      </c>
    </row>
    <row r="243">
      <c r="B243" s="11">
        <v>46169.0</v>
      </c>
      <c r="C243" s="12">
        <f>VLOOKUP(B:B,'Курс валют'!A:D,4,0)</f>
        <v>83.2975</v>
      </c>
      <c r="D243" s="13" t="s">
        <v>586</v>
      </c>
      <c r="E243" s="59" t="s">
        <v>61</v>
      </c>
      <c r="F243" s="15">
        <v>1100.0</v>
      </c>
      <c r="G243" s="16">
        <v>1108.01</v>
      </c>
      <c r="H243" s="17">
        <v>0.0</v>
      </c>
      <c r="I243" s="16">
        <f t="shared" si="10"/>
        <v>8.01</v>
      </c>
      <c r="J243" s="18">
        <f t="shared" si="2"/>
        <v>0.7281818182</v>
      </c>
      <c r="K243" s="17">
        <v>2.48</v>
      </c>
      <c r="L243" s="19">
        <f t="shared" si="3"/>
        <v>0</v>
      </c>
      <c r="M243" s="20">
        <f t="shared" si="4"/>
        <v>206.5778</v>
      </c>
      <c r="N243" s="21">
        <f t="shared" si="11"/>
        <v>2.48</v>
      </c>
      <c r="O243" s="21">
        <f t="shared" si="5"/>
        <v>2728</v>
      </c>
      <c r="P243" s="22">
        <f t="shared" si="6"/>
        <v>227235.58</v>
      </c>
    </row>
    <row r="244">
      <c r="B244" s="11">
        <v>46169.0</v>
      </c>
      <c r="C244" s="12">
        <f>VLOOKUP(B:B,'Курс валют'!A:D,4,0)</f>
        <v>83.2975</v>
      </c>
      <c r="D244" s="13" t="s">
        <v>587</v>
      </c>
      <c r="E244" s="59" t="s">
        <v>61</v>
      </c>
      <c r="F244" s="15">
        <v>1100.0</v>
      </c>
      <c r="G244" s="16">
        <v>1108.01</v>
      </c>
      <c r="H244" s="17">
        <v>0.0</v>
      </c>
      <c r="I244" s="16">
        <f t="shared" si="10"/>
        <v>8.01</v>
      </c>
      <c r="J244" s="18">
        <f t="shared" si="2"/>
        <v>0.7281818182</v>
      </c>
      <c r="K244" s="17">
        <v>2.48</v>
      </c>
      <c r="L244" s="19">
        <f t="shared" si="3"/>
        <v>0</v>
      </c>
      <c r="M244" s="20">
        <f t="shared" si="4"/>
        <v>206.5778</v>
      </c>
      <c r="N244" s="21">
        <f t="shared" si="11"/>
        <v>2.48</v>
      </c>
      <c r="O244" s="21">
        <f t="shared" si="5"/>
        <v>2728</v>
      </c>
      <c r="P244" s="22">
        <f t="shared" si="6"/>
        <v>227235.58</v>
      </c>
    </row>
    <row r="245">
      <c r="B245" s="11">
        <v>46169.0</v>
      </c>
      <c r="C245" s="12">
        <f>VLOOKUP(B:B,'Курс валют'!A:D,4,0)</f>
        <v>83.2975</v>
      </c>
      <c r="D245" s="13" t="s">
        <v>588</v>
      </c>
      <c r="E245" s="59" t="s">
        <v>61</v>
      </c>
      <c r="F245" s="15">
        <v>1100.0</v>
      </c>
      <c r="G245" s="16">
        <v>1108.01</v>
      </c>
      <c r="H245" s="17">
        <v>0.0</v>
      </c>
      <c r="I245" s="16">
        <f t="shared" si="10"/>
        <v>8.01</v>
      </c>
      <c r="J245" s="18">
        <f t="shared" si="2"/>
        <v>0.7281818182</v>
      </c>
      <c r="K245" s="17">
        <v>2.49</v>
      </c>
      <c r="L245" s="19">
        <f t="shared" si="3"/>
        <v>0</v>
      </c>
      <c r="M245" s="20">
        <f t="shared" si="4"/>
        <v>207.410775</v>
      </c>
      <c r="N245" s="21">
        <f t="shared" si="11"/>
        <v>2.49</v>
      </c>
      <c r="O245" s="21">
        <f t="shared" si="5"/>
        <v>2739</v>
      </c>
      <c r="P245" s="22">
        <f t="shared" si="6"/>
        <v>228151.8525</v>
      </c>
    </row>
    <row r="246">
      <c r="B246" s="11">
        <v>46169.0</v>
      </c>
      <c r="C246" s="12">
        <f>VLOOKUP(B:B,'Курс валют'!A:D,4,0)</f>
        <v>83.2975</v>
      </c>
      <c r="D246" s="13" t="s">
        <v>589</v>
      </c>
      <c r="E246" s="59" t="s">
        <v>207</v>
      </c>
      <c r="F246" s="15">
        <v>440.0</v>
      </c>
      <c r="G246" s="16">
        <v>440.0</v>
      </c>
      <c r="H246" s="17">
        <v>0.0</v>
      </c>
      <c r="I246" s="16">
        <f t="shared" si="10"/>
        <v>0</v>
      </c>
      <c r="J246" s="18">
        <f t="shared" si="2"/>
        <v>0</v>
      </c>
      <c r="K246" s="17">
        <v>15.95</v>
      </c>
      <c r="L246" s="19">
        <f t="shared" si="3"/>
        <v>0</v>
      </c>
      <c r="M246" s="20">
        <f t="shared" si="4"/>
        <v>1328.595125</v>
      </c>
      <c r="N246" s="21">
        <f t="shared" si="11"/>
        <v>15.95</v>
      </c>
      <c r="O246" s="21">
        <f t="shared" si="5"/>
        <v>7018</v>
      </c>
      <c r="P246" s="22">
        <f t="shared" si="6"/>
        <v>584581.855</v>
      </c>
      <c r="R246" s="42" t="s">
        <v>590</v>
      </c>
    </row>
    <row r="247">
      <c r="B247" s="11">
        <v>46169.0</v>
      </c>
      <c r="C247" s="12">
        <f>VLOOKUP(B:B,'Курс валют'!A:D,4,0)</f>
        <v>83.2975</v>
      </c>
      <c r="D247" s="13" t="s">
        <v>591</v>
      </c>
      <c r="E247" s="59" t="s">
        <v>61</v>
      </c>
      <c r="F247" s="15">
        <v>1100.0</v>
      </c>
      <c r="G247" s="16">
        <v>1108.01</v>
      </c>
      <c r="H247" s="17">
        <v>0.0</v>
      </c>
      <c r="I247" s="16">
        <f t="shared" si="10"/>
        <v>8.01</v>
      </c>
      <c r="J247" s="18">
        <f t="shared" si="2"/>
        <v>0.7281818182</v>
      </c>
      <c r="K247" s="17">
        <v>2.48</v>
      </c>
      <c r="L247" s="19">
        <f t="shared" si="3"/>
        <v>0</v>
      </c>
      <c r="M247" s="20">
        <f t="shared" si="4"/>
        <v>206.5778</v>
      </c>
      <c r="N247" s="21">
        <f t="shared" si="11"/>
        <v>2.48</v>
      </c>
      <c r="O247" s="21">
        <f t="shared" si="5"/>
        <v>2728</v>
      </c>
      <c r="P247" s="22">
        <f t="shared" si="6"/>
        <v>227235.58</v>
      </c>
    </row>
    <row r="248">
      <c r="B248" s="11">
        <v>46169.0</v>
      </c>
      <c r="C248" s="12">
        <f>VLOOKUP(B:B,'Курс валют'!A:D,4,0)</f>
        <v>83.2975</v>
      </c>
      <c r="D248" s="13" t="s">
        <v>592</v>
      </c>
      <c r="E248" s="59" t="s">
        <v>61</v>
      </c>
      <c r="F248" s="15">
        <v>1100.0</v>
      </c>
      <c r="G248" s="16">
        <v>1108.01</v>
      </c>
      <c r="H248" s="17">
        <v>0.0</v>
      </c>
      <c r="I248" s="16">
        <f t="shared" si="10"/>
        <v>8.01</v>
      </c>
      <c r="J248" s="18">
        <f t="shared" si="2"/>
        <v>0.7281818182</v>
      </c>
      <c r="K248" s="17">
        <v>2.48</v>
      </c>
      <c r="L248" s="19">
        <f t="shared" si="3"/>
        <v>0</v>
      </c>
      <c r="M248" s="20">
        <f t="shared" si="4"/>
        <v>206.5778</v>
      </c>
      <c r="N248" s="21">
        <f t="shared" si="11"/>
        <v>2.48</v>
      </c>
      <c r="O248" s="21">
        <f t="shared" si="5"/>
        <v>2728</v>
      </c>
      <c r="P248" s="22">
        <f t="shared" si="6"/>
        <v>227235.58</v>
      </c>
    </row>
    <row r="249">
      <c r="B249" s="11">
        <v>46169.0</v>
      </c>
      <c r="C249" s="12">
        <f>VLOOKUP(B:B,'Курс валют'!A:D,4,0)</f>
        <v>83.2975</v>
      </c>
      <c r="D249" s="13" t="s">
        <v>593</v>
      </c>
      <c r="E249" s="59" t="s">
        <v>61</v>
      </c>
      <c r="F249" s="15">
        <v>1100.0</v>
      </c>
      <c r="G249" s="16">
        <v>1108.01</v>
      </c>
      <c r="H249" s="17">
        <v>0.0</v>
      </c>
      <c r="I249" s="16">
        <f t="shared" si="10"/>
        <v>8.01</v>
      </c>
      <c r="J249" s="18">
        <f t="shared" si="2"/>
        <v>0.7281818182</v>
      </c>
      <c r="K249" s="17">
        <v>2.48</v>
      </c>
      <c r="L249" s="19">
        <f t="shared" si="3"/>
        <v>0</v>
      </c>
      <c r="M249" s="20">
        <f t="shared" si="4"/>
        <v>206.5778</v>
      </c>
      <c r="N249" s="21">
        <f t="shared" si="11"/>
        <v>2.48</v>
      </c>
      <c r="O249" s="21">
        <f t="shared" si="5"/>
        <v>2728</v>
      </c>
      <c r="P249" s="22">
        <f t="shared" si="6"/>
        <v>227235.58</v>
      </c>
    </row>
    <row r="250">
      <c r="B250" s="11">
        <v>46169.0</v>
      </c>
      <c r="C250" s="12">
        <f>VLOOKUP(B:B,'Курс валют'!A:D,4,0)</f>
        <v>83.2975</v>
      </c>
      <c r="D250" s="13" t="s">
        <v>594</v>
      </c>
      <c r="E250" s="59" t="s">
        <v>61</v>
      </c>
      <c r="F250" s="15">
        <v>1100.0</v>
      </c>
      <c r="G250" s="16">
        <v>1108.01</v>
      </c>
      <c r="H250" s="17">
        <v>0.0</v>
      </c>
      <c r="I250" s="16">
        <f t="shared" si="10"/>
        <v>8.01</v>
      </c>
      <c r="J250" s="18">
        <f t="shared" si="2"/>
        <v>0.7281818182</v>
      </c>
      <c r="K250" s="17">
        <v>2.49</v>
      </c>
      <c r="L250" s="19">
        <f t="shared" si="3"/>
        <v>0</v>
      </c>
      <c r="M250" s="20">
        <f t="shared" si="4"/>
        <v>207.410775</v>
      </c>
      <c r="N250" s="21">
        <f t="shared" si="11"/>
        <v>2.49</v>
      </c>
      <c r="O250" s="21">
        <f t="shared" si="5"/>
        <v>2739</v>
      </c>
      <c r="P250" s="22">
        <f t="shared" si="6"/>
        <v>228151.8525</v>
      </c>
    </row>
    <row r="251">
      <c r="B251" s="11">
        <v>46169.0</v>
      </c>
      <c r="C251" s="12">
        <f>VLOOKUP(B:B,'Курс валют'!A:D,4,0)</f>
        <v>83.2975</v>
      </c>
      <c r="D251" s="13" t="s">
        <v>595</v>
      </c>
      <c r="E251" s="59" t="s">
        <v>210</v>
      </c>
      <c r="F251" s="15">
        <v>200.0</v>
      </c>
      <c r="G251" s="16">
        <v>200.0</v>
      </c>
      <c r="H251" s="17">
        <v>0.0</v>
      </c>
      <c r="I251" s="16">
        <f t="shared" si="10"/>
        <v>0</v>
      </c>
      <c r="J251" s="18">
        <f t="shared" si="2"/>
        <v>0</v>
      </c>
      <c r="K251" s="17">
        <v>2.85</v>
      </c>
      <c r="L251" s="19">
        <f t="shared" si="3"/>
        <v>0</v>
      </c>
      <c r="M251" s="20">
        <f t="shared" si="4"/>
        <v>237.397875</v>
      </c>
      <c r="N251" s="21">
        <f t="shared" si="11"/>
        <v>2.85</v>
      </c>
      <c r="O251" s="21">
        <f t="shared" si="5"/>
        <v>570</v>
      </c>
      <c r="P251" s="22">
        <f t="shared" si="6"/>
        <v>47479.575</v>
      </c>
      <c r="R251" s="42" t="s">
        <v>596</v>
      </c>
    </row>
    <row r="252">
      <c r="B252" s="11">
        <v>46169.0</v>
      </c>
      <c r="C252" s="12">
        <f>VLOOKUP(B:B,'Курс валют'!A:D,4,0)</f>
        <v>83.2975</v>
      </c>
      <c r="D252" s="13" t="s">
        <v>597</v>
      </c>
      <c r="E252" s="59" t="s">
        <v>598</v>
      </c>
      <c r="F252" s="15">
        <v>200.0</v>
      </c>
      <c r="G252" s="16">
        <v>200.0</v>
      </c>
      <c r="H252" s="17">
        <v>0.0</v>
      </c>
      <c r="I252" s="16">
        <f t="shared" si="10"/>
        <v>0</v>
      </c>
      <c r="J252" s="18">
        <f t="shared" si="2"/>
        <v>0</v>
      </c>
      <c r="K252" s="17">
        <v>2.84</v>
      </c>
      <c r="L252" s="19">
        <f t="shared" si="3"/>
        <v>0</v>
      </c>
      <c r="M252" s="20">
        <f t="shared" si="4"/>
        <v>236.5649</v>
      </c>
      <c r="N252" s="21">
        <f t="shared" si="11"/>
        <v>2.84</v>
      </c>
      <c r="O252" s="21">
        <f t="shared" si="5"/>
        <v>568</v>
      </c>
      <c r="P252" s="22">
        <f t="shared" si="6"/>
        <v>47312.98</v>
      </c>
      <c r="R252" s="42" t="s">
        <v>599</v>
      </c>
    </row>
    <row r="253">
      <c r="B253" s="11">
        <v>46170.0</v>
      </c>
      <c r="C253" s="12">
        <f>VLOOKUP(B:B,'Курс валют'!A:D,4,0)</f>
        <v>82.7224</v>
      </c>
      <c r="D253" s="13" t="s">
        <v>600</v>
      </c>
      <c r="E253" s="59" t="s">
        <v>18</v>
      </c>
      <c r="F253" s="15">
        <v>1100.0</v>
      </c>
      <c r="G253" s="16">
        <v>1108.5</v>
      </c>
      <c r="H253" s="17">
        <v>0.0</v>
      </c>
      <c r="I253" s="16">
        <f t="shared" si="10"/>
        <v>8.5</v>
      </c>
      <c r="J253" s="18">
        <f t="shared" si="2"/>
        <v>0.7727272727</v>
      </c>
      <c r="K253" s="17">
        <v>2.39</v>
      </c>
      <c r="L253" s="19">
        <f t="shared" si="3"/>
        <v>0</v>
      </c>
      <c r="M253" s="20">
        <f t="shared" si="4"/>
        <v>197.706536</v>
      </c>
      <c r="N253" s="21">
        <f t="shared" si="11"/>
        <v>2.39</v>
      </c>
      <c r="O253" s="21">
        <f t="shared" si="5"/>
        <v>2629</v>
      </c>
      <c r="P253" s="22">
        <f t="shared" si="6"/>
        <v>217477.1896</v>
      </c>
    </row>
    <row r="254">
      <c r="B254" s="11">
        <v>46170.0</v>
      </c>
      <c r="C254" s="12">
        <f>VLOOKUP(B:B,'Курс валют'!A:D,4,0)</f>
        <v>82.7224</v>
      </c>
      <c r="D254" s="13" t="s">
        <v>601</v>
      </c>
      <c r="E254" s="59" t="s">
        <v>18</v>
      </c>
      <c r="F254" s="15">
        <v>1100.0</v>
      </c>
      <c r="G254" s="16">
        <v>1108.5</v>
      </c>
      <c r="H254" s="17">
        <v>0.0</v>
      </c>
      <c r="I254" s="16">
        <f t="shared" si="10"/>
        <v>8.5</v>
      </c>
      <c r="J254" s="18">
        <f t="shared" si="2"/>
        <v>0.7727272727</v>
      </c>
      <c r="K254" s="17">
        <v>2.39</v>
      </c>
      <c r="L254" s="19">
        <f t="shared" si="3"/>
        <v>0</v>
      </c>
      <c r="M254" s="20">
        <f t="shared" si="4"/>
        <v>197.706536</v>
      </c>
      <c r="N254" s="21">
        <f t="shared" si="11"/>
        <v>2.39</v>
      </c>
      <c r="O254" s="21">
        <f t="shared" si="5"/>
        <v>2629</v>
      </c>
      <c r="P254" s="22">
        <f t="shared" si="6"/>
        <v>217477.1896</v>
      </c>
    </row>
    <row r="255">
      <c r="B255" s="11">
        <v>46170.0</v>
      </c>
      <c r="C255" s="12">
        <f>VLOOKUP(B:B,'Курс валют'!A:D,4,0)</f>
        <v>82.7224</v>
      </c>
      <c r="D255" s="13" t="s">
        <v>602</v>
      </c>
      <c r="E255" s="59" t="s">
        <v>18</v>
      </c>
      <c r="F255" s="15">
        <v>1100.0</v>
      </c>
      <c r="G255" s="16">
        <v>1108.5</v>
      </c>
      <c r="H255" s="17">
        <v>0.0</v>
      </c>
      <c r="I255" s="16">
        <f t="shared" si="10"/>
        <v>8.5</v>
      </c>
      <c r="J255" s="18">
        <f t="shared" si="2"/>
        <v>0.7727272727</v>
      </c>
      <c r="K255" s="17">
        <v>2.39</v>
      </c>
      <c r="L255" s="19">
        <f t="shared" si="3"/>
        <v>0</v>
      </c>
      <c r="M255" s="20">
        <f t="shared" si="4"/>
        <v>197.706536</v>
      </c>
      <c r="N255" s="21">
        <f t="shared" si="11"/>
        <v>2.39</v>
      </c>
      <c r="O255" s="21">
        <f t="shared" si="5"/>
        <v>2629</v>
      </c>
      <c r="P255" s="22">
        <f t="shared" si="6"/>
        <v>217477.1896</v>
      </c>
    </row>
    <row r="256">
      <c r="B256" s="11">
        <v>46170.0</v>
      </c>
      <c r="C256" s="12">
        <f>VLOOKUP(B:B,'Курс валют'!A:D,4,0)</f>
        <v>82.7224</v>
      </c>
      <c r="D256" s="13" t="s">
        <v>603</v>
      </c>
      <c r="E256" s="59" t="s">
        <v>18</v>
      </c>
      <c r="F256" s="15">
        <v>1100.0</v>
      </c>
      <c r="G256" s="16">
        <v>1108.5</v>
      </c>
      <c r="H256" s="17">
        <v>0.0</v>
      </c>
      <c r="I256" s="16">
        <f t="shared" si="10"/>
        <v>8.5</v>
      </c>
      <c r="J256" s="18">
        <f t="shared" si="2"/>
        <v>0.7727272727</v>
      </c>
      <c r="K256" s="17">
        <v>2.39</v>
      </c>
      <c r="L256" s="19">
        <f t="shared" si="3"/>
        <v>0</v>
      </c>
      <c r="M256" s="20">
        <f t="shared" si="4"/>
        <v>197.706536</v>
      </c>
      <c r="N256" s="21">
        <f t="shared" si="11"/>
        <v>2.39</v>
      </c>
      <c r="O256" s="21">
        <f t="shared" si="5"/>
        <v>2629</v>
      </c>
      <c r="P256" s="22">
        <f t="shared" si="6"/>
        <v>217477.1896</v>
      </c>
    </row>
    <row r="257">
      <c r="B257" s="11">
        <v>46170.0</v>
      </c>
      <c r="C257" s="12">
        <f>VLOOKUP(B:B,'Курс валют'!A:D,4,0)</f>
        <v>82.7224</v>
      </c>
      <c r="D257" s="13" t="s">
        <v>604</v>
      </c>
      <c r="E257" s="59" t="s">
        <v>18</v>
      </c>
      <c r="F257" s="15">
        <v>1100.0</v>
      </c>
      <c r="G257" s="16">
        <v>1108.5</v>
      </c>
      <c r="H257" s="17">
        <v>0.0</v>
      </c>
      <c r="I257" s="16">
        <f t="shared" si="10"/>
        <v>8.5</v>
      </c>
      <c r="J257" s="18">
        <f t="shared" si="2"/>
        <v>0.7727272727</v>
      </c>
      <c r="K257" s="17">
        <v>2.39</v>
      </c>
      <c r="L257" s="19">
        <f t="shared" si="3"/>
        <v>0</v>
      </c>
      <c r="M257" s="20">
        <f t="shared" si="4"/>
        <v>197.706536</v>
      </c>
      <c r="N257" s="21">
        <f t="shared" si="11"/>
        <v>2.39</v>
      </c>
      <c r="O257" s="21">
        <f t="shared" si="5"/>
        <v>2629</v>
      </c>
      <c r="P257" s="22">
        <f t="shared" si="6"/>
        <v>217477.1896</v>
      </c>
    </row>
    <row r="258">
      <c r="B258" s="11">
        <v>46170.0</v>
      </c>
      <c r="C258" s="12">
        <f>VLOOKUP(B:B,'Курс валют'!A:D,4,0)</f>
        <v>82.7224</v>
      </c>
      <c r="D258" s="13" t="s">
        <v>605</v>
      </c>
      <c r="E258" s="59" t="s">
        <v>18</v>
      </c>
      <c r="F258" s="15">
        <v>1100.0</v>
      </c>
      <c r="G258" s="16">
        <v>1108.5</v>
      </c>
      <c r="H258" s="17">
        <v>0.0</v>
      </c>
      <c r="I258" s="16">
        <f t="shared" si="10"/>
        <v>8.5</v>
      </c>
      <c r="J258" s="18">
        <f t="shared" si="2"/>
        <v>0.7727272727</v>
      </c>
      <c r="K258" s="17">
        <v>2.39</v>
      </c>
      <c r="L258" s="19">
        <f t="shared" si="3"/>
        <v>0</v>
      </c>
      <c r="M258" s="20">
        <f t="shared" si="4"/>
        <v>197.706536</v>
      </c>
      <c r="N258" s="21">
        <f t="shared" si="11"/>
        <v>2.39</v>
      </c>
      <c r="O258" s="21">
        <f t="shared" si="5"/>
        <v>2629</v>
      </c>
      <c r="P258" s="22">
        <f t="shared" si="6"/>
        <v>217477.1896</v>
      </c>
    </row>
    <row r="259">
      <c r="B259" s="11">
        <v>46170.0</v>
      </c>
      <c r="C259" s="12">
        <f>VLOOKUP(B:B,'Курс валют'!A:D,4,0)</f>
        <v>82.7224</v>
      </c>
      <c r="D259" s="13" t="s">
        <v>606</v>
      </c>
      <c r="E259" s="59" t="s">
        <v>18</v>
      </c>
      <c r="F259" s="15">
        <v>1100.0</v>
      </c>
      <c r="G259" s="16">
        <v>1108.5</v>
      </c>
      <c r="H259" s="17">
        <v>0.0</v>
      </c>
      <c r="I259" s="16">
        <f t="shared" si="10"/>
        <v>8.5</v>
      </c>
      <c r="J259" s="18">
        <f t="shared" si="2"/>
        <v>0.7727272727</v>
      </c>
      <c r="K259" s="17">
        <v>2.4</v>
      </c>
      <c r="L259" s="19">
        <f t="shared" si="3"/>
        <v>0</v>
      </c>
      <c r="M259" s="20">
        <f t="shared" si="4"/>
        <v>198.53376</v>
      </c>
      <c r="N259" s="21">
        <f t="shared" si="11"/>
        <v>2.4</v>
      </c>
      <c r="O259" s="21">
        <f t="shared" si="5"/>
        <v>2640</v>
      </c>
      <c r="P259" s="22">
        <f t="shared" si="6"/>
        <v>218387.136</v>
      </c>
    </row>
    <row r="260">
      <c r="B260" s="11">
        <v>46170.0</v>
      </c>
      <c r="C260" s="12">
        <f>VLOOKUP(B:B,'Курс валют'!A:D,4,0)</f>
        <v>82.7224</v>
      </c>
      <c r="D260" s="13" t="s">
        <v>607</v>
      </c>
      <c r="E260" s="59" t="s">
        <v>18</v>
      </c>
      <c r="F260" s="15">
        <v>1100.0</v>
      </c>
      <c r="G260" s="16">
        <v>1108.5</v>
      </c>
      <c r="H260" s="17">
        <v>0.0</v>
      </c>
      <c r="I260" s="16">
        <f t="shared" si="10"/>
        <v>8.5</v>
      </c>
      <c r="J260" s="18">
        <f t="shared" si="2"/>
        <v>0.7727272727</v>
      </c>
      <c r="K260" s="17">
        <v>2.4</v>
      </c>
      <c r="L260" s="19">
        <f t="shared" si="3"/>
        <v>0</v>
      </c>
      <c r="M260" s="20">
        <f t="shared" si="4"/>
        <v>198.53376</v>
      </c>
      <c r="N260" s="21">
        <f t="shared" si="11"/>
        <v>2.4</v>
      </c>
      <c r="O260" s="21">
        <f t="shared" si="5"/>
        <v>2640</v>
      </c>
      <c r="P260" s="22">
        <f t="shared" si="6"/>
        <v>218387.136</v>
      </c>
    </row>
    <row r="261">
      <c r="B261" s="11">
        <v>46171.0</v>
      </c>
      <c r="C261" s="12">
        <f>VLOOKUP(B:B,'Курс валют'!A:D,4,0)</f>
        <v>83.6892</v>
      </c>
      <c r="D261" s="13" t="s">
        <v>608</v>
      </c>
      <c r="E261" s="59" t="s">
        <v>106</v>
      </c>
      <c r="F261" s="15">
        <v>800.0</v>
      </c>
      <c r="G261" s="16">
        <v>805.0</v>
      </c>
      <c r="H261" s="17">
        <v>0.0</v>
      </c>
      <c r="I261" s="16">
        <f t="shared" si="10"/>
        <v>5</v>
      </c>
      <c r="J261" s="18">
        <f t="shared" si="2"/>
        <v>0.625</v>
      </c>
      <c r="K261" s="17">
        <v>1.85</v>
      </c>
      <c r="L261" s="19">
        <f t="shared" si="3"/>
        <v>0</v>
      </c>
      <c r="M261" s="20">
        <f t="shared" si="4"/>
        <v>154.82502</v>
      </c>
      <c r="N261" s="21">
        <f t="shared" si="11"/>
        <v>1.85</v>
      </c>
      <c r="O261" s="21">
        <f t="shared" si="5"/>
        <v>1480</v>
      </c>
      <c r="P261" s="22">
        <f t="shared" si="6"/>
        <v>123860.016</v>
      </c>
    </row>
    <row r="262">
      <c r="B262" s="11">
        <v>46171.0</v>
      </c>
      <c r="C262" s="12">
        <f>VLOOKUP(B:B,'Курс валют'!A:D,4,0)</f>
        <v>83.6892</v>
      </c>
      <c r="D262" s="13" t="s">
        <v>609</v>
      </c>
      <c r="E262" s="59" t="s">
        <v>106</v>
      </c>
      <c r="F262" s="15">
        <v>800.0</v>
      </c>
      <c r="G262" s="16">
        <v>805.0</v>
      </c>
      <c r="H262" s="17">
        <v>0.0</v>
      </c>
      <c r="I262" s="16">
        <f t="shared" si="10"/>
        <v>5</v>
      </c>
      <c r="J262" s="18">
        <f t="shared" si="2"/>
        <v>0.625</v>
      </c>
      <c r="K262" s="17">
        <v>1.85</v>
      </c>
      <c r="L262" s="19">
        <f t="shared" si="3"/>
        <v>0</v>
      </c>
      <c r="M262" s="20">
        <f t="shared" si="4"/>
        <v>154.82502</v>
      </c>
      <c r="N262" s="21">
        <f t="shared" si="11"/>
        <v>1.85</v>
      </c>
      <c r="O262" s="21">
        <f t="shared" si="5"/>
        <v>1480</v>
      </c>
      <c r="P262" s="22">
        <f t="shared" si="6"/>
        <v>123860.016</v>
      </c>
    </row>
    <row r="263">
      <c r="B263" s="11">
        <v>46171.0</v>
      </c>
      <c r="C263" s="12">
        <f>VLOOKUP(B:B,'Курс валют'!A:D,4,0)</f>
        <v>83.6892</v>
      </c>
      <c r="D263" s="13" t="s">
        <v>610</v>
      </c>
      <c r="E263" s="59" t="s">
        <v>106</v>
      </c>
      <c r="F263" s="15">
        <v>800.0</v>
      </c>
      <c r="G263" s="16">
        <v>805.0</v>
      </c>
      <c r="H263" s="17">
        <v>0.0</v>
      </c>
      <c r="I263" s="16">
        <f t="shared" si="10"/>
        <v>5</v>
      </c>
      <c r="J263" s="18">
        <f t="shared" si="2"/>
        <v>0.625</v>
      </c>
      <c r="K263" s="17">
        <v>1.85</v>
      </c>
      <c r="L263" s="19">
        <f t="shared" si="3"/>
        <v>0</v>
      </c>
      <c r="M263" s="20">
        <f t="shared" si="4"/>
        <v>154.82502</v>
      </c>
      <c r="N263" s="21">
        <f t="shared" ref="N263:N271" si="12">(F263*K263-H263*30.4)/F263</f>
        <v>1.85</v>
      </c>
      <c r="O263" s="21">
        <f t="shared" si="5"/>
        <v>1480</v>
      </c>
      <c r="P263" s="22">
        <f t="shared" si="6"/>
        <v>123860.016</v>
      </c>
    </row>
    <row r="264">
      <c r="B264" s="11">
        <v>46171.0</v>
      </c>
      <c r="C264" s="12">
        <f>VLOOKUP(B:B,'Курс валют'!A:D,4,0)</f>
        <v>83.6892</v>
      </c>
      <c r="D264" s="13" t="s">
        <v>611</v>
      </c>
      <c r="E264" s="59" t="s">
        <v>106</v>
      </c>
      <c r="F264" s="15">
        <v>800.0</v>
      </c>
      <c r="G264" s="16">
        <v>805.0</v>
      </c>
      <c r="H264" s="17">
        <v>0.0</v>
      </c>
      <c r="I264" s="16">
        <f t="shared" si="10"/>
        <v>5</v>
      </c>
      <c r="J264" s="18">
        <f t="shared" si="2"/>
        <v>0.625</v>
      </c>
      <c r="K264" s="17">
        <v>1.85</v>
      </c>
      <c r="L264" s="19">
        <f t="shared" si="3"/>
        <v>0</v>
      </c>
      <c r="M264" s="20">
        <f t="shared" si="4"/>
        <v>154.82502</v>
      </c>
      <c r="N264" s="21">
        <f t="shared" si="12"/>
        <v>1.85</v>
      </c>
      <c r="O264" s="21">
        <f t="shared" si="5"/>
        <v>1480</v>
      </c>
      <c r="P264" s="22">
        <f t="shared" si="6"/>
        <v>123860.016</v>
      </c>
    </row>
    <row r="265">
      <c r="B265" s="11">
        <v>46171.0</v>
      </c>
      <c r="C265" s="12">
        <f>VLOOKUP(B:B,'Курс валют'!A:D,4,0)</f>
        <v>83.6892</v>
      </c>
      <c r="D265" s="13" t="s">
        <v>612</v>
      </c>
      <c r="E265" s="59" t="s">
        <v>106</v>
      </c>
      <c r="F265" s="15">
        <v>800.0</v>
      </c>
      <c r="G265" s="16">
        <v>805.0</v>
      </c>
      <c r="H265" s="17">
        <v>0.0</v>
      </c>
      <c r="I265" s="16">
        <f t="shared" si="10"/>
        <v>5</v>
      </c>
      <c r="J265" s="18">
        <f t="shared" si="2"/>
        <v>0.625</v>
      </c>
      <c r="K265" s="17">
        <v>1.85</v>
      </c>
      <c r="L265" s="19">
        <f t="shared" si="3"/>
        <v>0</v>
      </c>
      <c r="M265" s="20">
        <f t="shared" si="4"/>
        <v>154.82502</v>
      </c>
      <c r="N265" s="21">
        <f t="shared" si="12"/>
        <v>1.85</v>
      </c>
      <c r="O265" s="21">
        <f t="shared" si="5"/>
        <v>1480</v>
      </c>
      <c r="P265" s="22">
        <f t="shared" si="6"/>
        <v>123860.016</v>
      </c>
    </row>
    <row r="266">
      <c r="B266" s="11">
        <v>46171.0</v>
      </c>
      <c r="C266" s="12">
        <f>VLOOKUP(B:B,'Курс валют'!A:D,4,0)</f>
        <v>83.6892</v>
      </c>
      <c r="D266" s="13" t="s">
        <v>613</v>
      </c>
      <c r="E266" s="59" t="s">
        <v>106</v>
      </c>
      <c r="F266" s="15">
        <v>800.0</v>
      </c>
      <c r="G266" s="16">
        <v>805.0</v>
      </c>
      <c r="H266" s="17">
        <v>0.0</v>
      </c>
      <c r="I266" s="16">
        <f t="shared" si="10"/>
        <v>5</v>
      </c>
      <c r="J266" s="18">
        <f t="shared" si="2"/>
        <v>0.625</v>
      </c>
      <c r="K266" s="17">
        <v>1.85</v>
      </c>
      <c r="L266" s="19">
        <f t="shared" si="3"/>
        <v>0</v>
      </c>
      <c r="M266" s="20">
        <f t="shared" si="4"/>
        <v>154.82502</v>
      </c>
      <c r="N266" s="21">
        <f t="shared" si="12"/>
        <v>1.85</v>
      </c>
      <c r="O266" s="21">
        <f t="shared" si="5"/>
        <v>1480</v>
      </c>
      <c r="P266" s="22">
        <f t="shared" si="6"/>
        <v>123860.016</v>
      </c>
    </row>
    <row r="267">
      <c r="B267" s="11">
        <v>46171.0</v>
      </c>
      <c r="C267" s="12">
        <f>VLOOKUP(B:B,'Курс валют'!A:D,4,0)</f>
        <v>83.6892</v>
      </c>
      <c r="D267" s="13" t="s">
        <v>614</v>
      </c>
      <c r="E267" s="59" t="s">
        <v>106</v>
      </c>
      <c r="F267" s="15">
        <v>800.0</v>
      </c>
      <c r="G267" s="16">
        <v>805.0</v>
      </c>
      <c r="H267" s="17">
        <v>0.0</v>
      </c>
      <c r="I267" s="16">
        <f t="shared" si="10"/>
        <v>5</v>
      </c>
      <c r="J267" s="18">
        <f t="shared" si="2"/>
        <v>0.625</v>
      </c>
      <c r="K267" s="17">
        <v>1.85</v>
      </c>
      <c r="L267" s="19">
        <f t="shared" si="3"/>
        <v>0</v>
      </c>
      <c r="M267" s="20">
        <f t="shared" si="4"/>
        <v>154.82502</v>
      </c>
      <c r="N267" s="21">
        <f t="shared" si="12"/>
        <v>1.85</v>
      </c>
      <c r="O267" s="21">
        <f t="shared" si="5"/>
        <v>1480</v>
      </c>
      <c r="P267" s="22">
        <f t="shared" si="6"/>
        <v>123860.016</v>
      </c>
    </row>
    <row r="268">
      <c r="B268" s="11">
        <v>46171.0</v>
      </c>
      <c r="C268" s="12">
        <f>VLOOKUP(B:B,'Курс валют'!A:D,4,0)</f>
        <v>83.6892</v>
      </c>
      <c r="D268" s="13" t="s">
        <v>615</v>
      </c>
      <c r="E268" s="59" t="s">
        <v>106</v>
      </c>
      <c r="F268" s="15">
        <v>800.0</v>
      </c>
      <c r="G268" s="16">
        <v>805.0</v>
      </c>
      <c r="H268" s="17">
        <v>0.0</v>
      </c>
      <c r="I268" s="16">
        <f t="shared" si="10"/>
        <v>5</v>
      </c>
      <c r="J268" s="18">
        <f t="shared" si="2"/>
        <v>0.625</v>
      </c>
      <c r="K268" s="17">
        <v>1.85</v>
      </c>
      <c r="L268" s="19">
        <f t="shared" si="3"/>
        <v>0</v>
      </c>
      <c r="M268" s="20">
        <f t="shared" si="4"/>
        <v>154.82502</v>
      </c>
      <c r="N268" s="21">
        <f t="shared" si="12"/>
        <v>1.85</v>
      </c>
      <c r="O268" s="21">
        <f t="shared" si="5"/>
        <v>1480</v>
      </c>
      <c r="P268" s="22">
        <f t="shared" si="6"/>
        <v>123860.016</v>
      </c>
    </row>
    <row r="269">
      <c r="B269" s="11">
        <v>46171.0</v>
      </c>
      <c r="C269" s="12">
        <f>VLOOKUP(B:B,'Курс валют'!A:D,4,0)</f>
        <v>83.6892</v>
      </c>
      <c r="D269" s="13" t="s">
        <v>616</v>
      </c>
      <c r="E269" s="59" t="s">
        <v>106</v>
      </c>
      <c r="F269" s="15">
        <v>800.0</v>
      </c>
      <c r="G269" s="16">
        <v>805.0</v>
      </c>
      <c r="H269" s="17">
        <v>0.0</v>
      </c>
      <c r="I269" s="16">
        <f t="shared" si="10"/>
        <v>5</v>
      </c>
      <c r="J269" s="18">
        <f t="shared" si="2"/>
        <v>0.625</v>
      </c>
      <c r="K269" s="17">
        <v>1.85</v>
      </c>
      <c r="L269" s="19">
        <f t="shared" si="3"/>
        <v>0</v>
      </c>
      <c r="M269" s="20">
        <f t="shared" si="4"/>
        <v>154.82502</v>
      </c>
      <c r="N269" s="21">
        <f t="shared" si="12"/>
        <v>1.85</v>
      </c>
      <c r="O269" s="21">
        <f t="shared" si="5"/>
        <v>1480</v>
      </c>
      <c r="P269" s="22">
        <f t="shared" si="6"/>
        <v>123860.016</v>
      </c>
    </row>
    <row r="270">
      <c r="B270" s="11">
        <v>46171.0</v>
      </c>
      <c r="C270" s="12">
        <f>VLOOKUP(B:B,'Курс валют'!A:D,4,0)</f>
        <v>83.6892</v>
      </c>
      <c r="D270" s="13" t="s">
        <v>617</v>
      </c>
      <c r="E270" s="59" t="s">
        <v>106</v>
      </c>
      <c r="F270" s="15">
        <v>800.0</v>
      </c>
      <c r="G270" s="16">
        <v>805.0</v>
      </c>
      <c r="H270" s="17">
        <v>0.0</v>
      </c>
      <c r="I270" s="16">
        <f t="shared" si="10"/>
        <v>5</v>
      </c>
      <c r="J270" s="18">
        <f t="shared" si="2"/>
        <v>0.625</v>
      </c>
      <c r="K270" s="17">
        <v>1.85</v>
      </c>
      <c r="L270" s="19">
        <f t="shared" si="3"/>
        <v>0</v>
      </c>
      <c r="M270" s="20">
        <f t="shared" si="4"/>
        <v>154.82502</v>
      </c>
      <c r="N270" s="21">
        <f t="shared" si="12"/>
        <v>1.85</v>
      </c>
      <c r="O270" s="21">
        <f t="shared" si="5"/>
        <v>1480</v>
      </c>
      <c r="P270" s="22">
        <f t="shared" si="6"/>
        <v>123860.016</v>
      </c>
    </row>
    <row r="271">
      <c r="B271" s="11">
        <v>46172.0</v>
      </c>
      <c r="C271" s="12">
        <f>VLOOKUP(B:B,'Курс валют'!A:D,4,0)</f>
        <v>82.6369</v>
      </c>
      <c r="D271" s="13" t="s">
        <v>618</v>
      </c>
      <c r="E271" s="59" t="s">
        <v>54</v>
      </c>
      <c r="F271" s="15">
        <v>800.0</v>
      </c>
      <c r="G271" s="16">
        <v>805.14</v>
      </c>
      <c r="H271" s="17">
        <v>0.0</v>
      </c>
      <c r="I271" s="16">
        <f t="shared" si="10"/>
        <v>5.14</v>
      </c>
      <c r="J271" s="18">
        <f t="shared" si="2"/>
        <v>0.6425</v>
      </c>
      <c r="K271" s="17">
        <v>1.94</v>
      </c>
      <c r="L271" s="19">
        <f t="shared" si="3"/>
        <v>0</v>
      </c>
      <c r="M271" s="20">
        <f t="shared" si="4"/>
        <v>160.315586</v>
      </c>
      <c r="N271" s="21">
        <f t="shared" si="12"/>
        <v>1.94</v>
      </c>
      <c r="O271" s="21">
        <f t="shared" si="5"/>
        <v>1552</v>
      </c>
      <c r="P271" s="22">
        <f t="shared" si="6"/>
        <v>128252.4688</v>
      </c>
    </row>
    <row r="272">
      <c r="B272" s="11">
        <v>46172.0</v>
      </c>
      <c r="C272" s="12">
        <f>VLOOKUP(B:B,'Курс валют'!A:D,4,0)</f>
        <v>82.6369</v>
      </c>
      <c r="D272" s="13" t="s">
        <v>619</v>
      </c>
      <c r="E272" s="59" t="s">
        <v>54</v>
      </c>
      <c r="F272" s="15">
        <v>800.0</v>
      </c>
      <c r="G272" s="16">
        <v>805.14</v>
      </c>
      <c r="H272" s="17">
        <v>0.0</v>
      </c>
      <c r="I272" s="16">
        <f t="shared" si="10"/>
        <v>5.14</v>
      </c>
      <c r="J272" s="18">
        <f t="shared" si="2"/>
        <v>0.6425</v>
      </c>
      <c r="K272" s="17">
        <v>1.94</v>
      </c>
      <c r="L272" s="19">
        <f t="shared" si="3"/>
        <v>0</v>
      </c>
      <c r="M272" s="20">
        <f t="shared" si="4"/>
        <v>160.315586</v>
      </c>
      <c r="N272" s="21">
        <f>(F272*K272-H272*29.4)/F272</f>
        <v>1.94</v>
      </c>
      <c r="O272" s="21">
        <f t="shared" si="5"/>
        <v>1552</v>
      </c>
      <c r="P272" s="22">
        <f t="shared" si="6"/>
        <v>128252.4688</v>
      </c>
    </row>
    <row r="273">
      <c r="B273" s="11">
        <v>46172.0</v>
      </c>
      <c r="C273" s="12">
        <f>VLOOKUP(B:B,'Курс валют'!A:D,4,0)</f>
        <v>82.6369</v>
      </c>
      <c r="D273" s="13" t="s">
        <v>620</v>
      </c>
      <c r="E273" s="59" t="s">
        <v>54</v>
      </c>
      <c r="F273" s="15">
        <v>800.0</v>
      </c>
      <c r="G273" s="16">
        <v>805.14</v>
      </c>
      <c r="H273" s="17">
        <v>0.0</v>
      </c>
      <c r="I273" s="16">
        <f t="shared" si="10"/>
        <v>5.14</v>
      </c>
      <c r="J273" s="18">
        <f t="shared" si="2"/>
        <v>0.6425</v>
      </c>
      <c r="K273" s="17">
        <v>1.94</v>
      </c>
      <c r="L273" s="19">
        <f t="shared" si="3"/>
        <v>0</v>
      </c>
      <c r="M273" s="20">
        <f t="shared" si="4"/>
        <v>160.315586</v>
      </c>
      <c r="N273" s="21">
        <f t="shared" ref="N273:N347" si="13">(F273*K273-H273*3.04)/F273</f>
        <v>1.94</v>
      </c>
      <c r="O273" s="21">
        <f t="shared" si="5"/>
        <v>1552</v>
      </c>
      <c r="P273" s="22">
        <f t="shared" si="6"/>
        <v>128252.4688</v>
      </c>
    </row>
    <row r="274">
      <c r="B274" s="11">
        <v>46172.0</v>
      </c>
      <c r="C274" s="12">
        <f>VLOOKUP(B:B,'Курс валют'!A:D,4,0)</f>
        <v>82.6369</v>
      </c>
      <c r="D274" s="13" t="s">
        <v>621</v>
      </c>
      <c r="E274" s="59" t="s">
        <v>54</v>
      </c>
      <c r="F274" s="15">
        <v>800.0</v>
      </c>
      <c r="G274" s="16">
        <v>805.14</v>
      </c>
      <c r="H274" s="17">
        <v>0.0</v>
      </c>
      <c r="I274" s="16">
        <f t="shared" si="10"/>
        <v>5.14</v>
      </c>
      <c r="J274" s="18">
        <f t="shared" si="2"/>
        <v>0.6425</v>
      </c>
      <c r="K274" s="17">
        <v>1.94</v>
      </c>
      <c r="L274" s="19">
        <f t="shared" si="3"/>
        <v>0</v>
      </c>
      <c r="M274" s="20">
        <f t="shared" si="4"/>
        <v>160.315586</v>
      </c>
      <c r="N274" s="21">
        <f t="shared" si="13"/>
        <v>1.94</v>
      </c>
      <c r="O274" s="21">
        <f t="shared" si="5"/>
        <v>1552</v>
      </c>
      <c r="P274" s="22">
        <f t="shared" si="6"/>
        <v>128252.4688</v>
      </c>
    </row>
    <row r="275">
      <c r="B275" s="11">
        <v>46172.0</v>
      </c>
      <c r="C275" s="12">
        <f>VLOOKUP(B:B,'Курс валют'!A:D,4,0)</f>
        <v>82.6369</v>
      </c>
      <c r="D275" s="13" t="s">
        <v>622</v>
      </c>
      <c r="E275" s="59" t="s">
        <v>54</v>
      </c>
      <c r="F275" s="15">
        <v>800.0</v>
      </c>
      <c r="G275" s="16">
        <v>805.14</v>
      </c>
      <c r="H275" s="17">
        <v>0.0</v>
      </c>
      <c r="I275" s="16">
        <f t="shared" si="10"/>
        <v>5.14</v>
      </c>
      <c r="J275" s="18">
        <f t="shared" si="2"/>
        <v>0.6425</v>
      </c>
      <c r="K275" s="17">
        <v>1.94</v>
      </c>
      <c r="L275" s="19">
        <f t="shared" si="3"/>
        <v>0</v>
      </c>
      <c r="M275" s="20">
        <f t="shared" si="4"/>
        <v>160.315586</v>
      </c>
      <c r="N275" s="21">
        <f t="shared" si="13"/>
        <v>1.94</v>
      </c>
      <c r="O275" s="21">
        <f t="shared" si="5"/>
        <v>1552</v>
      </c>
      <c r="P275" s="22">
        <f t="shared" si="6"/>
        <v>128252.4688</v>
      </c>
    </row>
    <row r="276">
      <c r="B276" s="11">
        <v>46172.0</v>
      </c>
      <c r="C276" s="12">
        <f>VLOOKUP(B:B,'Курс валют'!A:D,4,0)</f>
        <v>82.6369</v>
      </c>
      <c r="D276" s="13" t="s">
        <v>623</v>
      </c>
      <c r="E276" s="59" t="s">
        <v>54</v>
      </c>
      <c r="F276" s="15">
        <v>800.0</v>
      </c>
      <c r="G276" s="16">
        <v>805.14</v>
      </c>
      <c r="H276" s="17">
        <v>0.0</v>
      </c>
      <c r="I276" s="16">
        <f t="shared" si="10"/>
        <v>5.14</v>
      </c>
      <c r="J276" s="18">
        <f t="shared" si="2"/>
        <v>0.6425</v>
      </c>
      <c r="K276" s="17">
        <v>1.94</v>
      </c>
      <c r="L276" s="19">
        <f t="shared" si="3"/>
        <v>0</v>
      </c>
      <c r="M276" s="20">
        <f t="shared" si="4"/>
        <v>160.315586</v>
      </c>
      <c r="N276" s="21">
        <f t="shared" si="13"/>
        <v>1.94</v>
      </c>
      <c r="O276" s="21">
        <f t="shared" si="5"/>
        <v>1552</v>
      </c>
      <c r="P276" s="22">
        <f t="shared" si="6"/>
        <v>128252.4688</v>
      </c>
    </row>
    <row r="277">
      <c r="B277" s="11">
        <v>46172.0</v>
      </c>
      <c r="C277" s="12">
        <f>VLOOKUP(B:B,'Курс валют'!A:D,4,0)</f>
        <v>82.6369</v>
      </c>
      <c r="D277" s="13" t="s">
        <v>624</v>
      </c>
      <c r="E277" s="59" t="s">
        <v>54</v>
      </c>
      <c r="F277" s="15">
        <v>800.0</v>
      </c>
      <c r="G277" s="16">
        <v>805.14</v>
      </c>
      <c r="H277" s="17">
        <v>0.0</v>
      </c>
      <c r="I277" s="16">
        <f t="shared" si="10"/>
        <v>5.14</v>
      </c>
      <c r="J277" s="18">
        <f t="shared" si="2"/>
        <v>0.6425</v>
      </c>
      <c r="K277" s="17">
        <v>1.94</v>
      </c>
      <c r="L277" s="19">
        <f t="shared" si="3"/>
        <v>0</v>
      </c>
      <c r="M277" s="20">
        <f t="shared" si="4"/>
        <v>160.315586</v>
      </c>
      <c r="N277" s="21">
        <f t="shared" si="13"/>
        <v>1.94</v>
      </c>
      <c r="O277" s="21">
        <f t="shared" si="5"/>
        <v>1552</v>
      </c>
      <c r="P277" s="22">
        <f t="shared" si="6"/>
        <v>128252.4688</v>
      </c>
    </row>
    <row r="278">
      <c r="B278" s="11">
        <v>46172.0</v>
      </c>
      <c r="C278" s="12">
        <f>VLOOKUP(B:B,'Курс валют'!A:D,4,0)</f>
        <v>82.6369</v>
      </c>
      <c r="D278" s="13" t="s">
        <v>625</v>
      </c>
      <c r="E278" s="59" t="s">
        <v>54</v>
      </c>
      <c r="F278" s="15">
        <v>800.0</v>
      </c>
      <c r="G278" s="16">
        <v>805.14</v>
      </c>
      <c r="H278" s="17">
        <v>0.0</v>
      </c>
      <c r="I278" s="16">
        <f t="shared" si="10"/>
        <v>5.14</v>
      </c>
      <c r="J278" s="18">
        <f t="shared" si="2"/>
        <v>0.6425</v>
      </c>
      <c r="K278" s="17">
        <v>1.94</v>
      </c>
      <c r="L278" s="19">
        <f t="shared" si="3"/>
        <v>0</v>
      </c>
      <c r="M278" s="20">
        <f t="shared" si="4"/>
        <v>160.315586</v>
      </c>
      <c r="N278" s="21">
        <f t="shared" si="13"/>
        <v>1.94</v>
      </c>
      <c r="O278" s="21">
        <f t="shared" si="5"/>
        <v>1552</v>
      </c>
      <c r="P278" s="22">
        <f t="shared" si="6"/>
        <v>128252.4688</v>
      </c>
    </row>
    <row r="279">
      <c r="B279" s="11">
        <v>46172.0</v>
      </c>
      <c r="C279" s="12">
        <f>VLOOKUP(B:B,'Курс валют'!A:D,4,0)</f>
        <v>82.6369</v>
      </c>
      <c r="D279" s="13" t="s">
        <v>626</v>
      </c>
      <c r="E279" s="59" t="s">
        <v>54</v>
      </c>
      <c r="F279" s="15">
        <v>800.0</v>
      </c>
      <c r="G279" s="16">
        <v>805.14</v>
      </c>
      <c r="H279" s="17">
        <v>0.0</v>
      </c>
      <c r="I279" s="16">
        <f t="shared" si="10"/>
        <v>5.14</v>
      </c>
      <c r="J279" s="18">
        <f t="shared" si="2"/>
        <v>0.6425</v>
      </c>
      <c r="K279" s="17">
        <v>1.94</v>
      </c>
      <c r="L279" s="19">
        <f t="shared" si="3"/>
        <v>0</v>
      </c>
      <c r="M279" s="20">
        <f t="shared" si="4"/>
        <v>160.315586</v>
      </c>
      <c r="N279" s="21">
        <f t="shared" si="13"/>
        <v>1.94</v>
      </c>
      <c r="O279" s="21">
        <f t="shared" si="5"/>
        <v>1552</v>
      </c>
      <c r="P279" s="22">
        <f t="shared" si="6"/>
        <v>128252.4688</v>
      </c>
    </row>
    <row r="280">
      <c r="B280" s="11">
        <v>46172.0</v>
      </c>
      <c r="C280" s="12">
        <f>VLOOKUP(B:B,'Курс валют'!A:D,4,0)</f>
        <v>82.6369</v>
      </c>
      <c r="D280" s="13" t="s">
        <v>627</v>
      </c>
      <c r="E280" s="59" t="s">
        <v>54</v>
      </c>
      <c r="F280" s="15">
        <v>800.0</v>
      </c>
      <c r="G280" s="16">
        <v>805.14</v>
      </c>
      <c r="H280" s="17">
        <v>0.0</v>
      </c>
      <c r="I280" s="16">
        <f t="shared" si="10"/>
        <v>5.14</v>
      </c>
      <c r="J280" s="18">
        <f t="shared" si="2"/>
        <v>0.6425</v>
      </c>
      <c r="K280" s="17">
        <v>1.94</v>
      </c>
      <c r="L280" s="19">
        <f t="shared" si="3"/>
        <v>0</v>
      </c>
      <c r="M280" s="20">
        <f t="shared" si="4"/>
        <v>160.315586</v>
      </c>
      <c r="N280" s="21">
        <f t="shared" si="13"/>
        <v>1.94</v>
      </c>
      <c r="O280" s="21">
        <f t="shared" si="5"/>
        <v>1552</v>
      </c>
      <c r="P280" s="22">
        <f t="shared" si="6"/>
        <v>128252.4688</v>
      </c>
    </row>
    <row r="281">
      <c r="B281" s="11">
        <v>46173.0</v>
      </c>
      <c r="C281" s="12">
        <f>VLOOKUP(B:B,'Курс валют'!A:D,4,0)</f>
        <v>82.6369</v>
      </c>
      <c r="D281" s="13" t="s">
        <v>628</v>
      </c>
      <c r="E281" s="59" t="s">
        <v>120</v>
      </c>
      <c r="F281" s="15">
        <v>20.0</v>
      </c>
      <c r="G281" s="16">
        <v>21.0</v>
      </c>
      <c r="H281" s="17">
        <v>0.0</v>
      </c>
      <c r="I281" s="16">
        <f t="shared" si="10"/>
        <v>1</v>
      </c>
      <c r="J281" s="18">
        <f t="shared" si="2"/>
        <v>5</v>
      </c>
      <c r="K281" s="17">
        <v>3.93</v>
      </c>
      <c r="L281" s="19">
        <f t="shared" si="3"/>
        <v>0</v>
      </c>
      <c r="M281" s="20">
        <f t="shared" si="4"/>
        <v>324.763017</v>
      </c>
      <c r="N281" s="21">
        <f t="shared" si="13"/>
        <v>3.93</v>
      </c>
      <c r="O281" s="21">
        <f t="shared" si="5"/>
        <v>78.6</v>
      </c>
      <c r="P281" s="22">
        <f t="shared" si="6"/>
        <v>6495.26034</v>
      </c>
    </row>
    <row r="282">
      <c r="B282" s="11">
        <v>46173.0</v>
      </c>
      <c r="C282" s="12">
        <f>VLOOKUP(B:B,'Курс валют'!A:D,4,0)</f>
        <v>82.6369</v>
      </c>
      <c r="D282" s="13" t="s">
        <v>629</v>
      </c>
      <c r="E282" s="59" t="s">
        <v>630</v>
      </c>
      <c r="F282" s="15">
        <v>13.0</v>
      </c>
      <c r="G282" s="16">
        <v>14.44</v>
      </c>
      <c r="H282" s="17">
        <v>0.0</v>
      </c>
      <c r="I282" s="16">
        <f t="shared" si="10"/>
        <v>1.44</v>
      </c>
      <c r="J282" s="18">
        <f t="shared" si="2"/>
        <v>11.07692308</v>
      </c>
      <c r="K282" s="17">
        <v>3.56</v>
      </c>
      <c r="L282" s="19">
        <f t="shared" si="3"/>
        <v>0</v>
      </c>
      <c r="M282" s="20">
        <f t="shared" si="4"/>
        <v>294.187364</v>
      </c>
      <c r="N282" s="21">
        <f t="shared" si="13"/>
        <v>3.56</v>
      </c>
      <c r="O282" s="21">
        <f t="shared" si="5"/>
        <v>46.28</v>
      </c>
      <c r="P282" s="22">
        <f t="shared" si="6"/>
        <v>3824.435732</v>
      </c>
    </row>
    <row r="283">
      <c r="B283" s="11">
        <v>46173.0</v>
      </c>
      <c r="C283" s="12">
        <f>VLOOKUP(B:B,'Курс валют'!A:D,4,0)</f>
        <v>82.6369</v>
      </c>
      <c r="D283" s="13" t="s">
        <v>629</v>
      </c>
      <c r="E283" s="59" t="s">
        <v>630</v>
      </c>
      <c r="F283" s="15">
        <v>5.0</v>
      </c>
      <c r="G283" s="16">
        <v>5.56</v>
      </c>
      <c r="H283" s="17">
        <v>0.0</v>
      </c>
      <c r="I283" s="16">
        <f t="shared" si="10"/>
        <v>0.56</v>
      </c>
      <c r="J283" s="18">
        <f t="shared" si="2"/>
        <v>11.2</v>
      </c>
      <c r="K283" s="17">
        <v>3.56</v>
      </c>
      <c r="L283" s="19">
        <f t="shared" si="3"/>
        <v>0</v>
      </c>
      <c r="M283" s="20">
        <f t="shared" si="4"/>
        <v>294.187364</v>
      </c>
      <c r="N283" s="21">
        <f t="shared" si="13"/>
        <v>3.56</v>
      </c>
      <c r="O283" s="21">
        <f t="shared" si="5"/>
        <v>17.8</v>
      </c>
      <c r="P283" s="22">
        <f t="shared" si="6"/>
        <v>1470.93682</v>
      </c>
    </row>
    <row r="284">
      <c r="B284" s="11">
        <v>46173.0</v>
      </c>
      <c r="C284" s="12">
        <f>VLOOKUP(B:B,'Курс валют'!A:D,4,0)</f>
        <v>82.6369</v>
      </c>
      <c r="D284" s="13" t="s">
        <v>631</v>
      </c>
      <c r="E284" s="59" t="s">
        <v>120</v>
      </c>
      <c r="F284" s="15">
        <v>20.0</v>
      </c>
      <c r="G284" s="16">
        <v>21.0</v>
      </c>
      <c r="H284" s="17">
        <v>0.0</v>
      </c>
      <c r="I284" s="16">
        <f t="shared" si="10"/>
        <v>1</v>
      </c>
      <c r="J284" s="18">
        <f t="shared" si="2"/>
        <v>5</v>
      </c>
      <c r="K284" s="17">
        <v>3.93</v>
      </c>
      <c r="L284" s="19">
        <f t="shared" si="3"/>
        <v>0</v>
      </c>
      <c r="M284" s="20">
        <f t="shared" si="4"/>
        <v>324.763017</v>
      </c>
      <c r="N284" s="21">
        <f t="shared" si="13"/>
        <v>3.93</v>
      </c>
      <c r="O284" s="21">
        <f t="shared" si="5"/>
        <v>78.6</v>
      </c>
      <c r="P284" s="22">
        <f t="shared" si="6"/>
        <v>6495.26034</v>
      </c>
    </row>
    <row r="285">
      <c r="B285" s="11">
        <v>46173.0</v>
      </c>
      <c r="C285" s="12">
        <f>VLOOKUP(B:B,'Курс валют'!A:D,4,0)</f>
        <v>82.6369</v>
      </c>
      <c r="D285" s="13" t="s">
        <v>632</v>
      </c>
      <c r="E285" s="59" t="s">
        <v>120</v>
      </c>
      <c r="F285" s="15">
        <v>20.0</v>
      </c>
      <c r="G285" s="16">
        <v>21.0</v>
      </c>
      <c r="H285" s="17">
        <v>0.0</v>
      </c>
      <c r="I285" s="16">
        <f t="shared" si="10"/>
        <v>1</v>
      </c>
      <c r="J285" s="18">
        <f t="shared" si="2"/>
        <v>5</v>
      </c>
      <c r="K285" s="17">
        <v>3.93</v>
      </c>
      <c r="L285" s="19">
        <f t="shared" si="3"/>
        <v>0</v>
      </c>
      <c r="M285" s="20">
        <f t="shared" si="4"/>
        <v>324.763017</v>
      </c>
      <c r="N285" s="21">
        <f t="shared" si="13"/>
        <v>3.93</v>
      </c>
      <c r="O285" s="21">
        <f t="shared" si="5"/>
        <v>78.6</v>
      </c>
      <c r="P285" s="22">
        <f t="shared" si="6"/>
        <v>6495.26034</v>
      </c>
    </row>
    <row r="286">
      <c r="B286" s="11">
        <v>46173.0</v>
      </c>
      <c r="C286" s="12">
        <f>VLOOKUP(B:B,'Курс валют'!A:D,4,0)</f>
        <v>82.6369</v>
      </c>
      <c r="D286" s="13" t="s">
        <v>633</v>
      </c>
      <c r="E286" s="59" t="s">
        <v>120</v>
      </c>
      <c r="F286" s="15">
        <v>20.0</v>
      </c>
      <c r="G286" s="16">
        <v>21.0</v>
      </c>
      <c r="H286" s="17">
        <v>0.0</v>
      </c>
      <c r="I286" s="16">
        <f t="shared" si="10"/>
        <v>1</v>
      </c>
      <c r="J286" s="18">
        <f t="shared" si="2"/>
        <v>5</v>
      </c>
      <c r="K286" s="17">
        <v>3.93</v>
      </c>
      <c r="L286" s="19">
        <f t="shared" si="3"/>
        <v>0</v>
      </c>
      <c r="M286" s="20">
        <f t="shared" si="4"/>
        <v>324.763017</v>
      </c>
      <c r="N286" s="21">
        <f t="shared" si="13"/>
        <v>3.93</v>
      </c>
      <c r="O286" s="21">
        <f t="shared" si="5"/>
        <v>78.6</v>
      </c>
      <c r="P286" s="22">
        <f t="shared" si="6"/>
        <v>6495.26034</v>
      </c>
    </row>
    <row r="287">
      <c r="B287" s="11">
        <v>46173.0</v>
      </c>
      <c r="C287" s="12">
        <f>VLOOKUP(B:B,'Курс валют'!A:D,4,0)</f>
        <v>82.6369</v>
      </c>
      <c r="D287" s="13" t="s">
        <v>634</v>
      </c>
      <c r="E287" s="59" t="s">
        <v>54</v>
      </c>
      <c r="F287" s="15">
        <v>800.0</v>
      </c>
      <c r="G287" s="16">
        <v>805.14</v>
      </c>
      <c r="H287" s="17">
        <v>0.0</v>
      </c>
      <c r="I287" s="16">
        <f t="shared" si="10"/>
        <v>5.14</v>
      </c>
      <c r="J287" s="18">
        <f t="shared" si="2"/>
        <v>0.6425</v>
      </c>
      <c r="K287" s="17">
        <v>1.94</v>
      </c>
      <c r="L287" s="19">
        <f t="shared" si="3"/>
        <v>0</v>
      </c>
      <c r="M287" s="20">
        <f t="shared" si="4"/>
        <v>160.315586</v>
      </c>
      <c r="N287" s="21">
        <f t="shared" si="13"/>
        <v>1.94</v>
      </c>
      <c r="O287" s="21">
        <f t="shared" si="5"/>
        <v>1552</v>
      </c>
      <c r="P287" s="22">
        <f t="shared" si="6"/>
        <v>128252.4688</v>
      </c>
    </row>
    <row r="288">
      <c r="B288" s="11">
        <v>46173.0</v>
      </c>
      <c r="C288" s="12">
        <f>VLOOKUP(B:B,'Курс валют'!A:D,4,0)</f>
        <v>82.6369</v>
      </c>
      <c r="D288" s="13" t="s">
        <v>635</v>
      </c>
      <c r="E288" s="59" t="s">
        <v>54</v>
      </c>
      <c r="F288" s="15">
        <v>800.0</v>
      </c>
      <c r="G288" s="16">
        <v>805.14</v>
      </c>
      <c r="H288" s="17">
        <v>0.0</v>
      </c>
      <c r="I288" s="16">
        <f t="shared" si="10"/>
        <v>5.14</v>
      </c>
      <c r="J288" s="18">
        <f t="shared" si="2"/>
        <v>0.6425</v>
      </c>
      <c r="K288" s="17">
        <v>1.94</v>
      </c>
      <c r="L288" s="19">
        <f t="shared" si="3"/>
        <v>0</v>
      </c>
      <c r="M288" s="20">
        <f t="shared" si="4"/>
        <v>160.315586</v>
      </c>
      <c r="N288" s="21">
        <f t="shared" si="13"/>
        <v>1.94</v>
      </c>
      <c r="O288" s="21">
        <f t="shared" si="5"/>
        <v>1552</v>
      </c>
      <c r="P288" s="22">
        <f t="shared" si="6"/>
        <v>128252.4688</v>
      </c>
    </row>
    <row r="289">
      <c r="B289" s="11">
        <v>46173.0</v>
      </c>
      <c r="C289" s="12">
        <f>VLOOKUP(B:B,'Курс валют'!A:D,4,0)</f>
        <v>82.6369</v>
      </c>
      <c r="D289" s="13" t="s">
        <v>636</v>
      </c>
      <c r="E289" s="59" t="s">
        <v>54</v>
      </c>
      <c r="F289" s="15">
        <v>800.0</v>
      </c>
      <c r="G289" s="16">
        <v>805.14</v>
      </c>
      <c r="H289" s="17">
        <v>0.0</v>
      </c>
      <c r="I289" s="16">
        <f t="shared" si="10"/>
        <v>5.14</v>
      </c>
      <c r="J289" s="18">
        <f t="shared" si="2"/>
        <v>0.6425</v>
      </c>
      <c r="K289" s="17">
        <v>1.94</v>
      </c>
      <c r="L289" s="19">
        <f t="shared" si="3"/>
        <v>0</v>
      </c>
      <c r="M289" s="20">
        <f t="shared" si="4"/>
        <v>160.315586</v>
      </c>
      <c r="N289" s="21">
        <f t="shared" si="13"/>
        <v>1.94</v>
      </c>
      <c r="O289" s="21">
        <f t="shared" si="5"/>
        <v>1552</v>
      </c>
      <c r="P289" s="22">
        <f t="shared" si="6"/>
        <v>128252.4688</v>
      </c>
    </row>
    <row r="290">
      <c r="B290" s="11">
        <v>46173.0</v>
      </c>
      <c r="C290" s="12">
        <f>VLOOKUP(B:B,'Курс валют'!A:D,4,0)</f>
        <v>82.6369</v>
      </c>
      <c r="D290" s="13" t="s">
        <v>637</v>
      </c>
      <c r="E290" s="59" t="s">
        <v>54</v>
      </c>
      <c r="F290" s="15">
        <v>800.0</v>
      </c>
      <c r="G290" s="16">
        <v>805.14</v>
      </c>
      <c r="H290" s="17">
        <v>0.0</v>
      </c>
      <c r="I290" s="16">
        <f t="shared" si="10"/>
        <v>5.14</v>
      </c>
      <c r="J290" s="18">
        <f t="shared" si="2"/>
        <v>0.6425</v>
      </c>
      <c r="K290" s="17">
        <v>1.94</v>
      </c>
      <c r="L290" s="19">
        <f t="shared" si="3"/>
        <v>0</v>
      </c>
      <c r="M290" s="20">
        <f t="shared" si="4"/>
        <v>160.315586</v>
      </c>
      <c r="N290" s="21">
        <f t="shared" si="13"/>
        <v>1.94</v>
      </c>
      <c r="O290" s="21">
        <f t="shared" si="5"/>
        <v>1552</v>
      </c>
      <c r="P290" s="22">
        <f t="shared" si="6"/>
        <v>128252.4688</v>
      </c>
    </row>
    <row r="291">
      <c r="B291" s="11"/>
      <c r="C291" s="12" t="str">
        <f>VLOOKUP(B:B,'Курс валют'!A:D,4,0)</f>
        <v>#N/A</v>
      </c>
      <c r="D291" s="13"/>
      <c r="E291" s="59"/>
      <c r="F291" s="15"/>
      <c r="G291" s="16"/>
      <c r="H291" s="65"/>
      <c r="I291" s="16">
        <f t="shared" si="10"/>
        <v>0</v>
      </c>
      <c r="J291" s="18" t="str">
        <f t="shared" si="2"/>
        <v>#DIV/0!</v>
      </c>
      <c r="K291" s="65"/>
      <c r="L291" s="19" t="str">
        <f t="shared" si="3"/>
        <v>#DIV/0!</v>
      </c>
      <c r="M291" s="20" t="str">
        <f t="shared" si="4"/>
        <v>#DIV/0!</v>
      </c>
      <c r="N291" s="21" t="str">
        <f t="shared" si="13"/>
        <v>#DIV/0!</v>
      </c>
      <c r="O291" s="21" t="str">
        <f t="shared" si="5"/>
        <v>#DIV/0!</v>
      </c>
      <c r="P291" s="22" t="str">
        <f t="shared" si="6"/>
        <v>#DIV/0!</v>
      </c>
    </row>
    <row r="292">
      <c r="B292" s="11"/>
      <c r="C292" s="12" t="str">
        <f>VLOOKUP(B:B,'Курс валют'!A:D,4,0)</f>
        <v>#N/A</v>
      </c>
      <c r="D292" s="13"/>
      <c r="E292" s="59"/>
      <c r="F292" s="15"/>
      <c r="G292" s="16"/>
      <c r="H292" s="65"/>
      <c r="I292" s="16">
        <f t="shared" si="10"/>
        <v>0</v>
      </c>
      <c r="J292" s="18" t="str">
        <f t="shared" si="2"/>
        <v>#DIV/0!</v>
      </c>
      <c r="K292" s="65"/>
      <c r="L292" s="19" t="str">
        <f t="shared" si="3"/>
        <v>#DIV/0!</v>
      </c>
      <c r="M292" s="20" t="str">
        <f t="shared" si="4"/>
        <v>#DIV/0!</v>
      </c>
      <c r="N292" s="21" t="str">
        <f t="shared" si="13"/>
        <v>#DIV/0!</v>
      </c>
      <c r="O292" s="21" t="str">
        <f t="shared" si="5"/>
        <v>#DIV/0!</v>
      </c>
      <c r="P292" s="22" t="str">
        <f t="shared" si="6"/>
        <v>#DIV/0!</v>
      </c>
    </row>
    <row r="293">
      <c r="B293" s="11"/>
      <c r="C293" s="12" t="str">
        <f>VLOOKUP(B:B,'Курс валют'!A:D,4,0)</f>
        <v>#N/A</v>
      </c>
      <c r="D293" s="13"/>
      <c r="E293" s="59"/>
      <c r="F293" s="15"/>
      <c r="G293" s="16"/>
      <c r="H293" s="65"/>
      <c r="I293" s="16">
        <f t="shared" si="10"/>
        <v>0</v>
      </c>
      <c r="J293" s="18" t="str">
        <f t="shared" si="2"/>
        <v>#DIV/0!</v>
      </c>
      <c r="K293" s="65"/>
      <c r="L293" s="19" t="str">
        <f t="shared" si="3"/>
        <v>#DIV/0!</v>
      </c>
      <c r="M293" s="20" t="str">
        <f t="shared" si="4"/>
        <v>#DIV/0!</v>
      </c>
      <c r="N293" s="21" t="str">
        <f t="shared" si="13"/>
        <v>#DIV/0!</v>
      </c>
      <c r="O293" s="21" t="str">
        <f t="shared" si="5"/>
        <v>#DIV/0!</v>
      </c>
      <c r="P293" s="22" t="str">
        <f t="shared" si="6"/>
        <v>#DIV/0!</v>
      </c>
    </row>
    <row r="294">
      <c r="B294" s="11"/>
      <c r="C294" s="12" t="str">
        <f>VLOOKUP(B:B,'Курс валют'!A:D,4,0)</f>
        <v>#N/A</v>
      </c>
      <c r="D294" s="13"/>
      <c r="E294" s="59"/>
      <c r="F294" s="15"/>
      <c r="G294" s="16"/>
      <c r="H294" s="65"/>
      <c r="I294" s="16">
        <f t="shared" si="10"/>
        <v>0</v>
      </c>
      <c r="J294" s="18" t="str">
        <f t="shared" si="2"/>
        <v>#DIV/0!</v>
      </c>
      <c r="K294" s="65"/>
      <c r="L294" s="19" t="str">
        <f t="shared" si="3"/>
        <v>#DIV/0!</v>
      </c>
      <c r="M294" s="20" t="str">
        <f t="shared" si="4"/>
        <v>#DIV/0!</v>
      </c>
      <c r="N294" s="21" t="str">
        <f t="shared" si="13"/>
        <v>#DIV/0!</v>
      </c>
      <c r="O294" s="21" t="str">
        <f t="shared" si="5"/>
        <v>#DIV/0!</v>
      </c>
      <c r="P294" s="22" t="str">
        <f t="shared" si="6"/>
        <v>#DIV/0!</v>
      </c>
    </row>
    <row r="295">
      <c r="B295" s="11"/>
      <c r="C295" s="12" t="str">
        <f>VLOOKUP(B:B,'Курс валют'!A:D,4,0)</f>
        <v>#N/A</v>
      </c>
      <c r="D295" s="13"/>
      <c r="E295" s="59"/>
      <c r="F295" s="15"/>
      <c r="G295" s="16"/>
      <c r="H295" s="65"/>
      <c r="I295" s="16">
        <f t="shared" si="10"/>
        <v>0</v>
      </c>
      <c r="J295" s="18" t="str">
        <f t="shared" si="2"/>
        <v>#DIV/0!</v>
      </c>
      <c r="K295" s="65"/>
      <c r="L295" s="19" t="str">
        <f t="shared" si="3"/>
        <v>#DIV/0!</v>
      </c>
      <c r="M295" s="20" t="str">
        <f t="shared" si="4"/>
        <v>#DIV/0!</v>
      </c>
      <c r="N295" s="21" t="str">
        <f t="shared" si="13"/>
        <v>#DIV/0!</v>
      </c>
      <c r="O295" s="21" t="str">
        <f t="shared" si="5"/>
        <v>#DIV/0!</v>
      </c>
      <c r="P295" s="22" t="str">
        <f t="shared" si="6"/>
        <v>#DIV/0!</v>
      </c>
    </row>
    <row r="296">
      <c r="B296" s="11"/>
      <c r="C296" s="12" t="str">
        <f>VLOOKUP(B:B,'Курс валют'!A:D,4,0)</f>
        <v>#N/A</v>
      </c>
      <c r="D296" s="13"/>
      <c r="E296" s="59"/>
      <c r="F296" s="15"/>
      <c r="G296" s="16"/>
      <c r="H296" s="17"/>
      <c r="I296" s="16">
        <f t="shared" si="10"/>
        <v>0</v>
      </c>
      <c r="J296" s="18" t="str">
        <f t="shared" si="2"/>
        <v>#DIV/0!</v>
      </c>
      <c r="K296" s="17"/>
      <c r="L296" s="19" t="str">
        <f t="shared" si="3"/>
        <v>#DIV/0!</v>
      </c>
      <c r="M296" s="20" t="str">
        <f t="shared" si="4"/>
        <v>#DIV/0!</v>
      </c>
      <c r="N296" s="21" t="str">
        <f t="shared" si="13"/>
        <v>#DIV/0!</v>
      </c>
      <c r="O296" s="21" t="str">
        <f t="shared" si="5"/>
        <v>#DIV/0!</v>
      </c>
      <c r="P296" s="22" t="str">
        <f t="shared" si="6"/>
        <v>#DIV/0!</v>
      </c>
    </row>
    <row r="297">
      <c r="B297" s="11"/>
      <c r="C297" s="12" t="str">
        <f>VLOOKUP(B:B,'Курс валют'!A:D,4,0)</f>
        <v>#N/A</v>
      </c>
      <c r="D297" s="13"/>
      <c r="E297" s="59"/>
      <c r="F297" s="15"/>
      <c r="G297" s="15"/>
      <c r="H297" s="17"/>
      <c r="I297" s="15">
        <f t="shared" si="10"/>
        <v>0</v>
      </c>
      <c r="J297" s="18" t="str">
        <f t="shared" si="2"/>
        <v>#DIV/0!</v>
      </c>
      <c r="K297" s="17"/>
      <c r="L297" s="19" t="str">
        <f t="shared" si="3"/>
        <v>#DIV/0!</v>
      </c>
      <c r="M297" s="20" t="str">
        <f t="shared" si="4"/>
        <v>#DIV/0!</v>
      </c>
      <c r="N297" s="21" t="str">
        <f t="shared" si="13"/>
        <v>#DIV/0!</v>
      </c>
      <c r="O297" s="21" t="str">
        <f t="shared" si="5"/>
        <v>#DIV/0!</v>
      </c>
      <c r="P297" s="22" t="str">
        <f t="shared" si="6"/>
        <v>#DIV/0!</v>
      </c>
    </row>
    <row r="298">
      <c r="B298" s="11"/>
      <c r="C298" s="12" t="str">
        <f>VLOOKUP(B:B,'Курс валют'!A:D,4,0)</f>
        <v>#N/A</v>
      </c>
      <c r="D298" s="13"/>
      <c r="E298" s="59"/>
      <c r="F298" s="15"/>
      <c r="G298" s="16"/>
      <c r="H298" s="17"/>
      <c r="I298" s="16">
        <f t="shared" si="10"/>
        <v>0</v>
      </c>
      <c r="J298" s="18" t="str">
        <f t="shared" si="2"/>
        <v>#DIV/0!</v>
      </c>
      <c r="K298" s="17"/>
      <c r="L298" s="19" t="str">
        <f t="shared" si="3"/>
        <v>#DIV/0!</v>
      </c>
      <c r="M298" s="20" t="str">
        <f t="shared" si="4"/>
        <v>#DIV/0!</v>
      </c>
      <c r="N298" s="21" t="str">
        <f t="shared" si="13"/>
        <v>#DIV/0!</v>
      </c>
      <c r="O298" s="21" t="str">
        <f t="shared" si="5"/>
        <v>#DIV/0!</v>
      </c>
      <c r="P298" s="22" t="str">
        <f t="shared" si="6"/>
        <v>#DIV/0!</v>
      </c>
    </row>
    <row r="299">
      <c r="B299" s="11"/>
      <c r="C299" s="12" t="str">
        <f>VLOOKUP(B:B,'Курс валют'!A:D,4,0)</f>
        <v>#N/A</v>
      </c>
      <c r="D299" s="13"/>
      <c r="E299" s="59"/>
      <c r="F299" s="15"/>
      <c r="G299" s="15"/>
      <c r="H299" s="17"/>
      <c r="I299" s="15">
        <f t="shared" si="10"/>
        <v>0</v>
      </c>
      <c r="J299" s="18" t="str">
        <f t="shared" si="2"/>
        <v>#DIV/0!</v>
      </c>
      <c r="K299" s="17"/>
      <c r="L299" s="19" t="str">
        <f t="shared" si="3"/>
        <v>#DIV/0!</v>
      </c>
      <c r="M299" s="20" t="str">
        <f t="shared" si="4"/>
        <v>#DIV/0!</v>
      </c>
      <c r="N299" s="21" t="str">
        <f t="shared" si="13"/>
        <v>#DIV/0!</v>
      </c>
      <c r="O299" s="21" t="str">
        <f t="shared" si="5"/>
        <v>#DIV/0!</v>
      </c>
      <c r="P299" s="22" t="str">
        <f t="shared" si="6"/>
        <v>#DIV/0!</v>
      </c>
    </row>
    <row r="300">
      <c r="B300" s="11"/>
      <c r="C300" s="12" t="str">
        <f>VLOOKUP(B:B,'Курс валют'!A:D,4,0)</f>
        <v>#N/A</v>
      </c>
      <c r="D300" s="13"/>
      <c r="E300" s="59"/>
      <c r="F300" s="15"/>
      <c r="G300" s="16"/>
      <c r="H300" s="65"/>
      <c r="I300" s="16">
        <f t="shared" si="10"/>
        <v>0</v>
      </c>
      <c r="J300" s="18" t="str">
        <f t="shared" si="2"/>
        <v>#DIV/0!</v>
      </c>
      <c r="K300" s="65"/>
      <c r="L300" s="19" t="str">
        <f t="shared" si="3"/>
        <v>#DIV/0!</v>
      </c>
      <c r="M300" s="20" t="str">
        <f t="shared" si="4"/>
        <v>#DIV/0!</v>
      </c>
      <c r="N300" s="21" t="str">
        <f t="shared" si="13"/>
        <v>#DIV/0!</v>
      </c>
      <c r="O300" s="21" t="str">
        <f t="shared" si="5"/>
        <v>#DIV/0!</v>
      </c>
      <c r="P300" s="22" t="str">
        <f t="shared" si="6"/>
        <v>#DIV/0!</v>
      </c>
    </row>
    <row r="301">
      <c r="B301" s="11"/>
      <c r="C301" s="12" t="str">
        <f>VLOOKUP(B:B,'Курс валют'!A:D,4,0)</f>
        <v>#N/A</v>
      </c>
      <c r="D301" s="13"/>
      <c r="E301" s="59"/>
      <c r="F301" s="15"/>
      <c r="G301" s="16"/>
      <c r="H301" s="65"/>
      <c r="I301" s="16">
        <f t="shared" si="10"/>
        <v>0</v>
      </c>
      <c r="J301" s="18" t="str">
        <f t="shared" si="2"/>
        <v>#DIV/0!</v>
      </c>
      <c r="K301" s="65"/>
      <c r="L301" s="19" t="str">
        <f t="shared" si="3"/>
        <v>#DIV/0!</v>
      </c>
      <c r="M301" s="20" t="str">
        <f t="shared" si="4"/>
        <v>#DIV/0!</v>
      </c>
      <c r="N301" s="21" t="str">
        <f t="shared" si="13"/>
        <v>#DIV/0!</v>
      </c>
      <c r="O301" s="21" t="str">
        <f t="shared" si="5"/>
        <v>#DIV/0!</v>
      </c>
      <c r="P301" s="22" t="str">
        <f t="shared" si="6"/>
        <v>#DIV/0!</v>
      </c>
    </row>
    <row r="302">
      <c r="B302" s="11"/>
      <c r="C302" s="12" t="str">
        <f>VLOOKUP(B:B,'Курс валют'!A:D,4,0)</f>
        <v>#N/A</v>
      </c>
      <c r="D302" s="13"/>
      <c r="E302" s="59"/>
      <c r="F302" s="15"/>
      <c r="G302" s="16"/>
      <c r="H302" s="65"/>
      <c r="I302" s="16">
        <f t="shared" si="10"/>
        <v>0</v>
      </c>
      <c r="J302" s="18" t="str">
        <f t="shared" si="2"/>
        <v>#DIV/0!</v>
      </c>
      <c r="K302" s="65"/>
      <c r="L302" s="19" t="str">
        <f t="shared" si="3"/>
        <v>#DIV/0!</v>
      </c>
      <c r="M302" s="20" t="str">
        <f t="shared" si="4"/>
        <v>#DIV/0!</v>
      </c>
      <c r="N302" s="21" t="str">
        <f t="shared" si="13"/>
        <v>#DIV/0!</v>
      </c>
      <c r="O302" s="21" t="str">
        <f t="shared" si="5"/>
        <v>#DIV/0!</v>
      </c>
      <c r="P302" s="22" t="str">
        <f t="shared" si="6"/>
        <v>#DIV/0!</v>
      </c>
    </row>
    <row r="303">
      <c r="B303" s="11"/>
      <c r="C303" s="12" t="str">
        <f>VLOOKUP(B:B,'Курс валют'!A:D,4,0)</f>
        <v>#N/A</v>
      </c>
      <c r="D303" s="13"/>
      <c r="E303" s="59"/>
      <c r="F303" s="15"/>
      <c r="G303" s="16"/>
      <c r="H303" s="65"/>
      <c r="I303" s="16">
        <f t="shared" si="10"/>
        <v>0</v>
      </c>
      <c r="J303" s="18" t="str">
        <f t="shared" si="2"/>
        <v>#DIV/0!</v>
      </c>
      <c r="K303" s="65"/>
      <c r="L303" s="19" t="str">
        <f t="shared" si="3"/>
        <v>#DIV/0!</v>
      </c>
      <c r="M303" s="20" t="str">
        <f t="shared" si="4"/>
        <v>#DIV/0!</v>
      </c>
      <c r="N303" s="21" t="str">
        <f t="shared" si="13"/>
        <v>#DIV/0!</v>
      </c>
      <c r="O303" s="21" t="str">
        <f t="shared" si="5"/>
        <v>#DIV/0!</v>
      </c>
      <c r="P303" s="22" t="str">
        <f t="shared" si="6"/>
        <v>#DIV/0!</v>
      </c>
    </row>
    <row r="304">
      <c r="B304" s="11"/>
      <c r="C304" s="12" t="str">
        <f>VLOOKUP(B:B,'Курс валют'!A:D,4,0)</f>
        <v>#N/A</v>
      </c>
      <c r="D304" s="13"/>
      <c r="E304" s="59"/>
      <c r="F304" s="15"/>
      <c r="G304" s="16"/>
      <c r="H304" s="65"/>
      <c r="I304" s="16">
        <f t="shared" si="10"/>
        <v>0</v>
      </c>
      <c r="J304" s="18" t="str">
        <f t="shared" si="2"/>
        <v>#DIV/0!</v>
      </c>
      <c r="K304" s="65"/>
      <c r="L304" s="19" t="str">
        <f t="shared" si="3"/>
        <v>#DIV/0!</v>
      </c>
      <c r="M304" s="20" t="str">
        <f t="shared" si="4"/>
        <v>#DIV/0!</v>
      </c>
      <c r="N304" s="21" t="str">
        <f t="shared" si="13"/>
        <v>#DIV/0!</v>
      </c>
      <c r="O304" s="21" t="str">
        <f t="shared" si="5"/>
        <v>#DIV/0!</v>
      </c>
      <c r="P304" s="22" t="str">
        <f t="shared" si="6"/>
        <v>#DIV/0!</v>
      </c>
    </row>
    <row r="305">
      <c r="B305" s="11"/>
      <c r="C305" s="12" t="str">
        <f>VLOOKUP(B:B,'Курс валют'!A:D,4,0)</f>
        <v>#N/A</v>
      </c>
      <c r="D305" s="13"/>
      <c r="E305" s="59"/>
      <c r="F305" s="15"/>
      <c r="G305" s="16"/>
      <c r="H305" s="65"/>
      <c r="I305" s="16">
        <f t="shared" si="10"/>
        <v>0</v>
      </c>
      <c r="J305" s="18" t="str">
        <f t="shared" si="2"/>
        <v>#DIV/0!</v>
      </c>
      <c r="K305" s="65"/>
      <c r="L305" s="19" t="str">
        <f t="shared" si="3"/>
        <v>#DIV/0!</v>
      </c>
      <c r="M305" s="20" t="str">
        <f t="shared" si="4"/>
        <v>#DIV/0!</v>
      </c>
      <c r="N305" s="21" t="str">
        <f t="shared" si="13"/>
        <v>#DIV/0!</v>
      </c>
      <c r="O305" s="21" t="str">
        <f t="shared" si="5"/>
        <v>#DIV/0!</v>
      </c>
      <c r="P305" s="22" t="str">
        <f t="shared" si="6"/>
        <v>#DIV/0!</v>
      </c>
    </row>
    <row r="306">
      <c r="B306" s="11"/>
      <c r="C306" s="12" t="str">
        <f>VLOOKUP(B:B,'Курс валют'!A:D,4,0)</f>
        <v>#N/A</v>
      </c>
      <c r="D306" s="13"/>
      <c r="E306" s="59"/>
      <c r="F306" s="15"/>
      <c r="G306" s="16"/>
      <c r="H306" s="65"/>
      <c r="I306" s="16">
        <f t="shared" si="10"/>
        <v>0</v>
      </c>
      <c r="J306" s="18" t="str">
        <f t="shared" si="2"/>
        <v>#DIV/0!</v>
      </c>
      <c r="K306" s="65"/>
      <c r="L306" s="19" t="str">
        <f t="shared" si="3"/>
        <v>#DIV/0!</v>
      </c>
      <c r="M306" s="20" t="str">
        <f t="shared" si="4"/>
        <v>#DIV/0!</v>
      </c>
      <c r="N306" s="21" t="str">
        <f t="shared" si="13"/>
        <v>#DIV/0!</v>
      </c>
      <c r="O306" s="21" t="str">
        <f t="shared" si="5"/>
        <v>#DIV/0!</v>
      </c>
      <c r="P306" s="22" t="str">
        <f t="shared" si="6"/>
        <v>#DIV/0!</v>
      </c>
    </row>
    <row r="307">
      <c r="B307" s="11"/>
      <c r="C307" s="12" t="str">
        <f>VLOOKUP(B:B,'Курс валют'!A:D,4,0)</f>
        <v>#N/A</v>
      </c>
      <c r="D307" s="13"/>
      <c r="E307" s="59"/>
      <c r="F307" s="15"/>
      <c r="G307" s="16"/>
      <c r="H307" s="65"/>
      <c r="I307" s="16">
        <f t="shared" si="10"/>
        <v>0</v>
      </c>
      <c r="J307" s="18" t="str">
        <f t="shared" si="2"/>
        <v>#DIV/0!</v>
      </c>
      <c r="K307" s="65"/>
      <c r="L307" s="19" t="str">
        <f t="shared" si="3"/>
        <v>#DIV/0!</v>
      </c>
      <c r="M307" s="20" t="str">
        <f t="shared" si="4"/>
        <v>#DIV/0!</v>
      </c>
      <c r="N307" s="21" t="str">
        <f t="shared" si="13"/>
        <v>#DIV/0!</v>
      </c>
      <c r="O307" s="21" t="str">
        <f t="shared" si="5"/>
        <v>#DIV/0!</v>
      </c>
      <c r="P307" s="22" t="str">
        <f t="shared" si="6"/>
        <v>#DIV/0!</v>
      </c>
    </row>
    <row r="308">
      <c r="B308" s="11"/>
      <c r="C308" s="12" t="str">
        <f>VLOOKUP(B:B,'Курс валют'!A:D,4,0)</f>
        <v>#N/A</v>
      </c>
      <c r="D308" s="13"/>
      <c r="E308" s="59"/>
      <c r="F308" s="15"/>
      <c r="G308" s="16"/>
      <c r="H308" s="65"/>
      <c r="I308" s="16">
        <f t="shared" si="10"/>
        <v>0</v>
      </c>
      <c r="J308" s="18" t="str">
        <f t="shared" si="2"/>
        <v>#DIV/0!</v>
      </c>
      <c r="K308" s="65"/>
      <c r="L308" s="19" t="str">
        <f t="shared" si="3"/>
        <v>#DIV/0!</v>
      </c>
      <c r="M308" s="20" t="str">
        <f t="shared" si="4"/>
        <v>#DIV/0!</v>
      </c>
      <c r="N308" s="21" t="str">
        <f t="shared" si="13"/>
        <v>#DIV/0!</v>
      </c>
      <c r="O308" s="21" t="str">
        <f t="shared" si="5"/>
        <v>#DIV/0!</v>
      </c>
      <c r="P308" s="22" t="str">
        <f t="shared" si="6"/>
        <v>#DIV/0!</v>
      </c>
    </row>
    <row r="309">
      <c r="B309" s="11"/>
      <c r="C309" s="12" t="str">
        <f>VLOOKUP(B:B,'Курс валют'!A:D,4,0)</f>
        <v>#N/A</v>
      </c>
      <c r="D309" s="13"/>
      <c r="E309" s="59"/>
      <c r="F309" s="15"/>
      <c r="G309" s="16"/>
      <c r="H309" s="65"/>
      <c r="I309" s="16">
        <f t="shared" si="10"/>
        <v>0</v>
      </c>
      <c r="J309" s="18" t="str">
        <f t="shared" si="2"/>
        <v>#DIV/0!</v>
      </c>
      <c r="K309" s="65"/>
      <c r="L309" s="19" t="str">
        <f t="shared" si="3"/>
        <v>#DIV/0!</v>
      </c>
      <c r="M309" s="20" t="str">
        <f t="shared" si="4"/>
        <v>#DIV/0!</v>
      </c>
      <c r="N309" s="21" t="str">
        <f t="shared" si="13"/>
        <v>#DIV/0!</v>
      </c>
      <c r="O309" s="21" t="str">
        <f t="shared" si="5"/>
        <v>#DIV/0!</v>
      </c>
      <c r="P309" s="22" t="str">
        <f t="shared" si="6"/>
        <v>#DIV/0!</v>
      </c>
    </row>
    <row r="310">
      <c r="B310" s="11"/>
      <c r="C310" s="12" t="str">
        <f>VLOOKUP(B:B,'Курс валют'!A:D,4,0)</f>
        <v>#N/A</v>
      </c>
      <c r="D310" s="13"/>
      <c r="E310" s="59"/>
      <c r="F310" s="15"/>
      <c r="G310" s="16"/>
      <c r="H310" s="65"/>
      <c r="I310" s="16">
        <f t="shared" si="10"/>
        <v>0</v>
      </c>
      <c r="J310" s="18" t="str">
        <f t="shared" si="2"/>
        <v>#DIV/0!</v>
      </c>
      <c r="K310" s="65"/>
      <c r="L310" s="19" t="str">
        <f t="shared" si="3"/>
        <v>#DIV/0!</v>
      </c>
      <c r="M310" s="20" t="str">
        <f t="shared" si="4"/>
        <v>#DIV/0!</v>
      </c>
      <c r="N310" s="21" t="str">
        <f t="shared" si="13"/>
        <v>#DIV/0!</v>
      </c>
      <c r="O310" s="21" t="str">
        <f t="shared" si="5"/>
        <v>#DIV/0!</v>
      </c>
      <c r="P310" s="22" t="str">
        <f t="shared" si="6"/>
        <v>#DIV/0!</v>
      </c>
    </row>
    <row r="311">
      <c r="B311" s="11"/>
      <c r="C311" s="12" t="str">
        <f>VLOOKUP(B:B,'Курс валют'!A:D,4,0)</f>
        <v>#N/A</v>
      </c>
      <c r="D311" s="13"/>
      <c r="E311" s="59"/>
      <c r="F311" s="15"/>
      <c r="G311" s="16"/>
      <c r="H311" s="65"/>
      <c r="I311" s="16">
        <f t="shared" si="10"/>
        <v>0</v>
      </c>
      <c r="J311" s="18" t="str">
        <f t="shared" si="2"/>
        <v>#DIV/0!</v>
      </c>
      <c r="K311" s="65"/>
      <c r="L311" s="19" t="str">
        <f t="shared" si="3"/>
        <v>#DIV/0!</v>
      </c>
      <c r="M311" s="20" t="str">
        <f t="shared" si="4"/>
        <v>#DIV/0!</v>
      </c>
      <c r="N311" s="21" t="str">
        <f t="shared" si="13"/>
        <v>#DIV/0!</v>
      </c>
      <c r="O311" s="21" t="str">
        <f t="shared" si="5"/>
        <v>#DIV/0!</v>
      </c>
      <c r="P311" s="22" t="str">
        <f t="shared" si="6"/>
        <v>#DIV/0!</v>
      </c>
    </row>
    <row r="312">
      <c r="B312" s="11"/>
      <c r="C312" s="12" t="str">
        <f>VLOOKUP(B:B,'Курс валют'!A:D,4,0)</f>
        <v>#N/A</v>
      </c>
      <c r="D312" s="13"/>
      <c r="E312" s="59"/>
      <c r="F312" s="15"/>
      <c r="G312" s="16"/>
      <c r="H312" s="65"/>
      <c r="I312" s="16">
        <f t="shared" si="10"/>
        <v>0</v>
      </c>
      <c r="J312" s="18" t="str">
        <f t="shared" si="2"/>
        <v>#DIV/0!</v>
      </c>
      <c r="K312" s="65"/>
      <c r="L312" s="19" t="str">
        <f t="shared" si="3"/>
        <v>#DIV/0!</v>
      </c>
      <c r="M312" s="20" t="str">
        <f t="shared" si="4"/>
        <v>#DIV/0!</v>
      </c>
      <c r="N312" s="21" t="str">
        <f t="shared" si="13"/>
        <v>#DIV/0!</v>
      </c>
      <c r="O312" s="21" t="str">
        <f t="shared" si="5"/>
        <v>#DIV/0!</v>
      </c>
      <c r="P312" s="22" t="str">
        <f t="shared" si="6"/>
        <v>#DIV/0!</v>
      </c>
    </row>
    <row r="313">
      <c r="B313" s="11"/>
      <c r="C313" s="12" t="str">
        <f>VLOOKUP(B:B,'Курс валют'!A:D,4,0)</f>
        <v>#N/A</v>
      </c>
      <c r="D313" s="13"/>
      <c r="E313" s="59"/>
      <c r="F313" s="15"/>
      <c r="G313" s="16"/>
      <c r="H313" s="65"/>
      <c r="I313" s="16">
        <f t="shared" si="10"/>
        <v>0</v>
      </c>
      <c r="J313" s="18" t="str">
        <f t="shared" si="2"/>
        <v>#DIV/0!</v>
      </c>
      <c r="K313" s="65"/>
      <c r="L313" s="19" t="str">
        <f t="shared" si="3"/>
        <v>#DIV/0!</v>
      </c>
      <c r="M313" s="20" t="str">
        <f t="shared" si="4"/>
        <v>#DIV/0!</v>
      </c>
      <c r="N313" s="21" t="str">
        <f t="shared" si="13"/>
        <v>#DIV/0!</v>
      </c>
      <c r="O313" s="21" t="str">
        <f t="shared" si="5"/>
        <v>#DIV/0!</v>
      </c>
      <c r="P313" s="22" t="str">
        <f t="shared" si="6"/>
        <v>#DIV/0!</v>
      </c>
    </row>
    <row r="314">
      <c r="B314" s="11"/>
      <c r="C314" s="12" t="str">
        <f>VLOOKUP(B:B,'Курс валют'!A:D,4,0)</f>
        <v>#N/A</v>
      </c>
      <c r="D314" s="13"/>
      <c r="E314" s="59"/>
      <c r="F314" s="15"/>
      <c r="G314" s="16"/>
      <c r="H314" s="65"/>
      <c r="I314" s="16">
        <f t="shared" si="10"/>
        <v>0</v>
      </c>
      <c r="J314" s="18" t="str">
        <f t="shared" si="2"/>
        <v>#DIV/0!</v>
      </c>
      <c r="K314" s="65"/>
      <c r="L314" s="19" t="str">
        <f t="shared" si="3"/>
        <v>#DIV/0!</v>
      </c>
      <c r="M314" s="20" t="str">
        <f t="shared" si="4"/>
        <v>#DIV/0!</v>
      </c>
      <c r="N314" s="21" t="str">
        <f t="shared" si="13"/>
        <v>#DIV/0!</v>
      </c>
      <c r="O314" s="21" t="str">
        <f t="shared" si="5"/>
        <v>#DIV/0!</v>
      </c>
      <c r="P314" s="22" t="str">
        <f t="shared" si="6"/>
        <v>#DIV/0!</v>
      </c>
    </row>
    <row r="315">
      <c r="B315" s="11"/>
      <c r="C315" s="12" t="str">
        <f>VLOOKUP(B:B,'Курс валют'!A:D,4,0)</f>
        <v>#N/A</v>
      </c>
      <c r="D315" s="13"/>
      <c r="E315" s="59"/>
      <c r="F315" s="15"/>
      <c r="G315" s="16"/>
      <c r="H315" s="65"/>
      <c r="I315" s="16">
        <f t="shared" si="10"/>
        <v>0</v>
      </c>
      <c r="J315" s="18" t="str">
        <f t="shared" si="2"/>
        <v>#DIV/0!</v>
      </c>
      <c r="K315" s="65"/>
      <c r="L315" s="19" t="str">
        <f t="shared" si="3"/>
        <v>#DIV/0!</v>
      </c>
      <c r="M315" s="20" t="str">
        <f t="shared" si="4"/>
        <v>#DIV/0!</v>
      </c>
      <c r="N315" s="21" t="str">
        <f t="shared" si="13"/>
        <v>#DIV/0!</v>
      </c>
      <c r="O315" s="21" t="str">
        <f t="shared" si="5"/>
        <v>#DIV/0!</v>
      </c>
      <c r="P315" s="22" t="str">
        <f t="shared" si="6"/>
        <v>#DIV/0!</v>
      </c>
    </row>
    <row r="316">
      <c r="B316" s="11"/>
      <c r="C316" s="12" t="str">
        <f>VLOOKUP(B:B,'Курс валют'!A:D,4,0)</f>
        <v>#N/A</v>
      </c>
      <c r="D316" s="13"/>
      <c r="E316" s="59"/>
      <c r="F316" s="15"/>
      <c r="G316" s="15"/>
      <c r="H316" s="17"/>
      <c r="I316" s="15">
        <f t="shared" si="10"/>
        <v>0</v>
      </c>
      <c r="J316" s="18" t="str">
        <f t="shared" si="2"/>
        <v>#DIV/0!</v>
      </c>
      <c r="K316" s="17"/>
      <c r="L316" s="19" t="str">
        <f t="shared" si="3"/>
        <v>#DIV/0!</v>
      </c>
      <c r="M316" s="20" t="str">
        <f t="shared" si="4"/>
        <v>#DIV/0!</v>
      </c>
      <c r="N316" s="21" t="str">
        <f t="shared" si="13"/>
        <v>#DIV/0!</v>
      </c>
      <c r="O316" s="21" t="str">
        <f t="shared" si="5"/>
        <v>#DIV/0!</v>
      </c>
      <c r="P316" s="22" t="str">
        <f t="shared" si="6"/>
        <v>#DIV/0!</v>
      </c>
    </row>
    <row r="317">
      <c r="B317" s="11"/>
      <c r="C317" s="12" t="str">
        <f>VLOOKUP(B:B,'Курс валют'!A:D,4,0)</f>
        <v>#N/A</v>
      </c>
      <c r="D317" s="13"/>
      <c r="E317" s="59"/>
      <c r="F317" s="15"/>
      <c r="G317" s="16"/>
      <c r="H317" s="65"/>
      <c r="I317" s="16">
        <f t="shared" si="10"/>
        <v>0</v>
      </c>
      <c r="J317" s="18" t="str">
        <f t="shared" si="2"/>
        <v>#DIV/0!</v>
      </c>
      <c r="K317" s="65"/>
      <c r="L317" s="19" t="str">
        <f t="shared" si="3"/>
        <v>#DIV/0!</v>
      </c>
      <c r="M317" s="20" t="str">
        <f t="shared" si="4"/>
        <v>#DIV/0!</v>
      </c>
      <c r="N317" s="21" t="str">
        <f t="shared" si="13"/>
        <v>#DIV/0!</v>
      </c>
      <c r="O317" s="21" t="str">
        <f t="shared" si="5"/>
        <v>#DIV/0!</v>
      </c>
      <c r="P317" s="22" t="str">
        <f t="shared" si="6"/>
        <v>#DIV/0!</v>
      </c>
    </row>
    <row r="318">
      <c r="B318" s="11"/>
      <c r="C318" s="12" t="str">
        <f>VLOOKUP(B:B,'Курс валют'!A:D,4,0)</f>
        <v>#N/A</v>
      </c>
      <c r="D318" s="13"/>
      <c r="E318" s="59"/>
      <c r="F318" s="15"/>
      <c r="G318" s="16"/>
      <c r="H318" s="65"/>
      <c r="I318" s="16">
        <f t="shared" si="10"/>
        <v>0</v>
      </c>
      <c r="J318" s="18" t="str">
        <f t="shared" si="2"/>
        <v>#DIV/0!</v>
      </c>
      <c r="K318" s="65"/>
      <c r="L318" s="19" t="str">
        <f t="shared" si="3"/>
        <v>#DIV/0!</v>
      </c>
      <c r="M318" s="20" t="str">
        <f t="shared" si="4"/>
        <v>#DIV/0!</v>
      </c>
      <c r="N318" s="21" t="str">
        <f t="shared" si="13"/>
        <v>#DIV/0!</v>
      </c>
      <c r="O318" s="21" t="str">
        <f t="shared" si="5"/>
        <v>#DIV/0!</v>
      </c>
      <c r="P318" s="22" t="str">
        <f t="shared" si="6"/>
        <v>#DIV/0!</v>
      </c>
    </row>
    <row r="319">
      <c r="B319" s="11"/>
      <c r="C319" s="12" t="str">
        <f>VLOOKUP(B:B,'Курс валют'!A:D,4,0)</f>
        <v>#N/A</v>
      </c>
      <c r="D319" s="13"/>
      <c r="E319" s="59"/>
      <c r="F319" s="15"/>
      <c r="G319" s="16"/>
      <c r="H319" s="65"/>
      <c r="I319" s="16">
        <f t="shared" si="10"/>
        <v>0</v>
      </c>
      <c r="J319" s="18" t="str">
        <f t="shared" si="2"/>
        <v>#DIV/0!</v>
      </c>
      <c r="K319" s="65"/>
      <c r="L319" s="19" t="str">
        <f t="shared" si="3"/>
        <v>#DIV/0!</v>
      </c>
      <c r="M319" s="20" t="str">
        <f t="shared" si="4"/>
        <v>#DIV/0!</v>
      </c>
      <c r="N319" s="21" t="str">
        <f t="shared" si="13"/>
        <v>#DIV/0!</v>
      </c>
      <c r="O319" s="21" t="str">
        <f t="shared" si="5"/>
        <v>#DIV/0!</v>
      </c>
      <c r="P319" s="22" t="str">
        <f t="shared" si="6"/>
        <v>#DIV/0!</v>
      </c>
    </row>
    <row r="320">
      <c r="B320" s="11"/>
      <c r="C320" s="12" t="str">
        <f>VLOOKUP(B:B,'Курс валют'!A:D,4,0)</f>
        <v>#N/A</v>
      </c>
      <c r="D320" s="13"/>
      <c r="E320" s="59"/>
      <c r="F320" s="15"/>
      <c r="G320" s="16"/>
      <c r="H320" s="17"/>
      <c r="I320" s="16">
        <f t="shared" si="10"/>
        <v>0</v>
      </c>
      <c r="J320" s="18" t="str">
        <f t="shared" si="2"/>
        <v>#DIV/0!</v>
      </c>
      <c r="K320" s="17"/>
      <c r="L320" s="19" t="str">
        <f t="shared" si="3"/>
        <v>#DIV/0!</v>
      </c>
      <c r="M320" s="20" t="str">
        <f t="shared" si="4"/>
        <v>#DIV/0!</v>
      </c>
      <c r="N320" s="21" t="str">
        <f t="shared" si="13"/>
        <v>#DIV/0!</v>
      </c>
      <c r="O320" s="21" t="str">
        <f t="shared" si="5"/>
        <v>#DIV/0!</v>
      </c>
      <c r="P320" s="22" t="str">
        <f t="shared" si="6"/>
        <v>#DIV/0!</v>
      </c>
    </row>
    <row r="321">
      <c r="B321" s="11"/>
      <c r="C321" s="12" t="str">
        <f>VLOOKUP(B:B,'Курс валют'!A:D,4,0)</f>
        <v>#N/A</v>
      </c>
      <c r="D321" s="13"/>
      <c r="E321" s="59"/>
      <c r="F321" s="15"/>
      <c r="G321" s="16"/>
      <c r="H321" s="65"/>
      <c r="I321" s="16">
        <f t="shared" si="10"/>
        <v>0</v>
      </c>
      <c r="J321" s="18" t="str">
        <f t="shared" si="2"/>
        <v>#DIV/0!</v>
      </c>
      <c r="K321" s="65"/>
      <c r="L321" s="19" t="str">
        <f t="shared" si="3"/>
        <v>#DIV/0!</v>
      </c>
      <c r="M321" s="20" t="str">
        <f t="shared" si="4"/>
        <v>#DIV/0!</v>
      </c>
      <c r="N321" s="21" t="str">
        <f t="shared" si="13"/>
        <v>#DIV/0!</v>
      </c>
      <c r="O321" s="21" t="str">
        <f t="shared" si="5"/>
        <v>#DIV/0!</v>
      </c>
      <c r="P321" s="22" t="str">
        <f t="shared" si="6"/>
        <v>#DIV/0!</v>
      </c>
    </row>
    <row r="322">
      <c r="B322" s="11"/>
      <c r="C322" s="12" t="str">
        <f>VLOOKUP(B:B,'Курс валют'!A:D,4,0)</f>
        <v>#N/A</v>
      </c>
      <c r="D322" s="13"/>
      <c r="E322" s="59"/>
      <c r="F322" s="15"/>
      <c r="G322" s="16"/>
      <c r="H322" s="65"/>
      <c r="I322" s="16">
        <f t="shared" si="10"/>
        <v>0</v>
      </c>
      <c r="J322" s="18" t="str">
        <f t="shared" si="2"/>
        <v>#DIV/0!</v>
      </c>
      <c r="K322" s="65"/>
      <c r="L322" s="19" t="str">
        <f t="shared" si="3"/>
        <v>#DIV/0!</v>
      </c>
      <c r="M322" s="20" t="str">
        <f t="shared" si="4"/>
        <v>#DIV/0!</v>
      </c>
      <c r="N322" s="21" t="str">
        <f t="shared" si="13"/>
        <v>#DIV/0!</v>
      </c>
      <c r="O322" s="21" t="str">
        <f t="shared" si="5"/>
        <v>#DIV/0!</v>
      </c>
      <c r="P322" s="22" t="str">
        <f t="shared" si="6"/>
        <v>#DIV/0!</v>
      </c>
    </row>
    <row r="323">
      <c r="B323" s="11"/>
      <c r="C323" s="12" t="str">
        <f>VLOOKUP(B:B,'Курс валют'!A:D,4,0)</f>
        <v>#N/A</v>
      </c>
      <c r="D323" s="13"/>
      <c r="E323" s="59"/>
      <c r="F323" s="15"/>
      <c r="G323" s="16"/>
      <c r="H323" s="65"/>
      <c r="I323" s="16">
        <f t="shared" si="10"/>
        <v>0</v>
      </c>
      <c r="J323" s="18" t="str">
        <f t="shared" si="2"/>
        <v>#DIV/0!</v>
      </c>
      <c r="K323" s="65"/>
      <c r="L323" s="19" t="str">
        <f t="shared" si="3"/>
        <v>#DIV/0!</v>
      </c>
      <c r="M323" s="20" t="str">
        <f t="shared" si="4"/>
        <v>#DIV/0!</v>
      </c>
      <c r="N323" s="21" t="str">
        <f t="shared" si="13"/>
        <v>#DIV/0!</v>
      </c>
      <c r="O323" s="21" t="str">
        <f t="shared" si="5"/>
        <v>#DIV/0!</v>
      </c>
      <c r="P323" s="22" t="str">
        <f t="shared" si="6"/>
        <v>#DIV/0!</v>
      </c>
    </row>
    <row r="324">
      <c r="B324" s="11"/>
      <c r="C324" s="12" t="str">
        <f>VLOOKUP(B:B,'Курс валют'!A:D,4,0)</f>
        <v>#N/A</v>
      </c>
      <c r="D324" s="13"/>
      <c r="E324" s="59"/>
      <c r="F324" s="15"/>
      <c r="G324" s="16"/>
      <c r="H324" s="65"/>
      <c r="I324" s="16">
        <f t="shared" si="10"/>
        <v>0</v>
      </c>
      <c r="J324" s="18" t="str">
        <f t="shared" si="2"/>
        <v>#DIV/0!</v>
      </c>
      <c r="K324" s="65"/>
      <c r="L324" s="19" t="str">
        <f t="shared" si="3"/>
        <v>#DIV/0!</v>
      </c>
      <c r="M324" s="20" t="str">
        <f t="shared" si="4"/>
        <v>#DIV/0!</v>
      </c>
      <c r="N324" s="21" t="str">
        <f t="shared" si="13"/>
        <v>#DIV/0!</v>
      </c>
      <c r="O324" s="21" t="str">
        <f t="shared" si="5"/>
        <v>#DIV/0!</v>
      </c>
      <c r="P324" s="22" t="str">
        <f t="shared" si="6"/>
        <v>#DIV/0!</v>
      </c>
    </row>
    <row r="325">
      <c r="B325" s="11"/>
      <c r="C325" s="12" t="str">
        <f>VLOOKUP(B:B,'Курс валют'!A:D,4,0)</f>
        <v>#N/A</v>
      </c>
      <c r="D325" s="13"/>
      <c r="E325" s="59"/>
      <c r="F325" s="15"/>
      <c r="G325" s="16"/>
      <c r="H325" s="65"/>
      <c r="I325" s="16">
        <f t="shared" si="10"/>
        <v>0</v>
      </c>
      <c r="J325" s="18" t="str">
        <f t="shared" si="2"/>
        <v>#DIV/0!</v>
      </c>
      <c r="K325" s="65"/>
      <c r="L325" s="19" t="str">
        <f t="shared" si="3"/>
        <v>#DIV/0!</v>
      </c>
      <c r="M325" s="20" t="str">
        <f t="shared" si="4"/>
        <v>#DIV/0!</v>
      </c>
      <c r="N325" s="21" t="str">
        <f t="shared" si="13"/>
        <v>#DIV/0!</v>
      </c>
      <c r="O325" s="21" t="str">
        <f t="shared" si="5"/>
        <v>#DIV/0!</v>
      </c>
      <c r="P325" s="22" t="str">
        <f t="shared" si="6"/>
        <v>#DIV/0!</v>
      </c>
    </row>
    <row r="326">
      <c r="B326" s="11"/>
      <c r="C326" s="12" t="str">
        <f>VLOOKUP(B:B,'Курс валют'!A:D,4,0)</f>
        <v>#N/A</v>
      </c>
      <c r="D326" s="13"/>
      <c r="E326" s="59"/>
      <c r="F326" s="15"/>
      <c r="G326" s="16"/>
      <c r="H326" s="65"/>
      <c r="I326" s="16">
        <f t="shared" si="10"/>
        <v>0</v>
      </c>
      <c r="J326" s="18" t="str">
        <f t="shared" si="2"/>
        <v>#DIV/0!</v>
      </c>
      <c r="K326" s="65"/>
      <c r="L326" s="19" t="str">
        <f t="shared" si="3"/>
        <v>#DIV/0!</v>
      </c>
      <c r="M326" s="20" t="str">
        <f t="shared" si="4"/>
        <v>#DIV/0!</v>
      </c>
      <c r="N326" s="21" t="str">
        <f t="shared" si="13"/>
        <v>#DIV/0!</v>
      </c>
      <c r="O326" s="21" t="str">
        <f t="shared" si="5"/>
        <v>#DIV/0!</v>
      </c>
      <c r="P326" s="22" t="str">
        <f t="shared" si="6"/>
        <v>#DIV/0!</v>
      </c>
    </row>
    <row r="327">
      <c r="B327" s="11"/>
      <c r="C327" s="12" t="str">
        <f>VLOOKUP(B:B,'Курс валют'!A:D,4,0)</f>
        <v>#N/A</v>
      </c>
      <c r="D327" s="13"/>
      <c r="E327" s="59"/>
      <c r="F327" s="15"/>
      <c r="G327" s="16"/>
      <c r="H327" s="65"/>
      <c r="I327" s="16">
        <f t="shared" si="10"/>
        <v>0</v>
      </c>
      <c r="J327" s="18" t="str">
        <f t="shared" si="2"/>
        <v>#DIV/0!</v>
      </c>
      <c r="K327" s="65"/>
      <c r="L327" s="19" t="str">
        <f t="shared" si="3"/>
        <v>#DIV/0!</v>
      </c>
      <c r="M327" s="20" t="str">
        <f t="shared" si="4"/>
        <v>#DIV/0!</v>
      </c>
      <c r="N327" s="21" t="str">
        <f t="shared" si="13"/>
        <v>#DIV/0!</v>
      </c>
      <c r="O327" s="21" t="str">
        <f t="shared" si="5"/>
        <v>#DIV/0!</v>
      </c>
      <c r="P327" s="22" t="str">
        <f t="shared" si="6"/>
        <v>#DIV/0!</v>
      </c>
    </row>
    <row r="328">
      <c r="B328" s="11"/>
      <c r="C328" s="12" t="str">
        <f>VLOOKUP(B:B,'Курс валют'!A:D,4,0)</f>
        <v>#N/A</v>
      </c>
      <c r="D328" s="13"/>
      <c r="E328" s="59"/>
      <c r="F328" s="15"/>
      <c r="G328" s="16"/>
      <c r="H328" s="65"/>
      <c r="I328" s="16">
        <f t="shared" si="10"/>
        <v>0</v>
      </c>
      <c r="J328" s="18" t="str">
        <f t="shared" si="2"/>
        <v>#DIV/0!</v>
      </c>
      <c r="K328" s="65"/>
      <c r="L328" s="19" t="str">
        <f t="shared" si="3"/>
        <v>#DIV/0!</v>
      </c>
      <c r="M328" s="20" t="str">
        <f t="shared" si="4"/>
        <v>#DIV/0!</v>
      </c>
      <c r="N328" s="21" t="str">
        <f t="shared" si="13"/>
        <v>#DIV/0!</v>
      </c>
      <c r="O328" s="21" t="str">
        <f t="shared" si="5"/>
        <v>#DIV/0!</v>
      </c>
      <c r="P328" s="22" t="str">
        <f t="shared" si="6"/>
        <v>#DIV/0!</v>
      </c>
    </row>
    <row r="329">
      <c r="B329" s="11"/>
      <c r="C329" s="12" t="str">
        <f>VLOOKUP(B:B,'Курс валют'!A:D,4,0)</f>
        <v>#N/A</v>
      </c>
      <c r="D329" s="13"/>
      <c r="E329" s="59"/>
      <c r="F329" s="15"/>
      <c r="G329" s="16"/>
      <c r="H329" s="65"/>
      <c r="I329" s="16">
        <f t="shared" si="10"/>
        <v>0</v>
      </c>
      <c r="J329" s="18" t="str">
        <f t="shared" si="2"/>
        <v>#DIV/0!</v>
      </c>
      <c r="K329" s="65"/>
      <c r="L329" s="19" t="str">
        <f t="shared" si="3"/>
        <v>#DIV/0!</v>
      </c>
      <c r="M329" s="20" t="str">
        <f t="shared" si="4"/>
        <v>#DIV/0!</v>
      </c>
      <c r="N329" s="21" t="str">
        <f t="shared" si="13"/>
        <v>#DIV/0!</v>
      </c>
      <c r="O329" s="21" t="str">
        <f t="shared" si="5"/>
        <v>#DIV/0!</v>
      </c>
      <c r="P329" s="22" t="str">
        <f t="shared" si="6"/>
        <v>#DIV/0!</v>
      </c>
    </row>
    <row r="330">
      <c r="B330" s="11"/>
      <c r="C330" s="12" t="str">
        <f>VLOOKUP(B:B,'Курс валют'!A:D,4,0)</f>
        <v>#N/A</v>
      </c>
      <c r="D330" s="13"/>
      <c r="E330" s="59"/>
      <c r="F330" s="15"/>
      <c r="G330" s="16"/>
      <c r="H330" s="65"/>
      <c r="I330" s="16">
        <f t="shared" si="10"/>
        <v>0</v>
      </c>
      <c r="J330" s="18" t="str">
        <f t="shared" si="2"/>
        <v>#DIV/0!</v>
      </c>
      <c r="K330" s="65"/>
      <c r="L330" s="19" t="str">
        <f t="shared" si="3"/>
        <v>#DIV/0!</v>
      </c>
      <c r="M330" s="20" t="str">
        <f t="shared" si="4"/>
        <v>#DIV/0!</v>
      </c>
      <c r="N330" s="21" t="str">
        <f t="shared" si="13"/>
        <v>#DIV/0!</v>
      </c>
      <c r="O330" s="21" t="str">
        <f t="shared" si="5"/>
        <v>#DIV/0!</v>
      </c>
      <c r="P330" s="22" t="str">
        <f t="shared" si="6"/>
        <v>#DIV/0!</v>
      </c>
    </row>
    <row r="331">
      <c r="B331" s="11"/>
      <c r="C331" s="12" t="str">
        <f>VLOOKUP(B:B,'Курс валют'!A:D,4,0)</f>
        <v>#N/A</v>
      </c>
      <c r="D331" s="13"/>
      <c r="E331" s="59"/>
      <c r="F331" s="15"/>
      <c r="G331" s="16"/>
      <c r="H331" s="65"/>
      <c r="I331" s="16">
        <f t="shared" si="10"/>
        <v>0</v>
      </c>
      <c r="J331" s="18" t="str">
        <f t="shared" si="2"/>
        <v>#DIV/0!</v>
      </c>
      <c r="K331" s="65"/>
      <c r="L331" s="19" t="str">
        <f t="shared" si="3"/>
        <v>#DIV/0!</v>
      </c>
      <c r="M331" s="20" t="str">
        <f t="shared" si="4"/>
        <v>#DIV/0!</v>
      </c>
      <c r="N331" s="21" t="str">
        <f t="shared" si="13"/>
        <v>#DIV/0!</v>
      </c>
      <c r="O331" s="21" t="str">
        <f t="shared" si="5"/>
        <v>#DIV/0!</v>
      </c>
      <c r="P331" s="22" t="str">
        <f t="shared" si="6"/>
        <v>#DIV/0!</v>
      </c>
    </row>
    <row r="332">
      <c r="B332" s="11"/>
      <c r="C332" s="12" t="str">
        <f>VLOOKUP(B:B,'Курс валют'!A:D,4,0)</f>
        <v>#N/A</v>
      </c>
      <c r="D332" s="66"/>
      <c r="E332" s="67"/>
      <c r="F332" s="67"/>
      <c r="G332" s="67"/>
      <c r="H332" s="65"/>
      <c r="I332" s="15">
        <f t="shared" si="10"/>
        <v>0</v>
      </c>
      <c r="J332" s="18" t="str">
        <f t="shared" si="2"/>
        <v>#DIV/0!</v>
      </c>
      <c r="K332" s="65"/>
      <c r="L332" s="19" t="str">
        <f t="shared" si="3"/>
        <v>#DIV/0!</v>
      </c>
      <c r="M332" s="20" t="str">
        <f t="shared" si="4"/>
        <v>#DIV/0!</v>
      </c>
      <c r="N332" s="21" t="str">
        <f t="shared" si="13"/>
        <v>#DIV/0!</v>
      </c>
      <c r="O332" s="21" t="str">
        <f t="shared" si="5"/>
        <v>#DIV/0!</v>
      </c>
      <c r="P332" s="22" t="str">
        <f t="shared" si="6"/>
        <v>#DIV/0!</v>
      </c>
    </row>
    <row r="333">
      <c r="B333" s="11"/>
      <c r="C333" s="12" t="str">
        <f>VLOOKUP(B:B,'Курс валют'!A:D,4,0)</f>
        <v>#N/A</v>
      </c>
      <c r="D333" s="66"/>
      <c r="E333" s="67"/>
      <c r="F333" s="67"/>
      <c r="G333" s="67"/>
      <c r="H333" s="65"/>
      <c r="I333" s="15">
        <f t="shared" si="10"/>
        <v>0</v>
      </c>
      <c r="J333" s="18" t="str">
        <f t="shared" si="2"/>
        <v>#DIV/0!</v>
      </c>
      <c r="K333" s="65"/>
      <c r="L333" s="19" t="str">
        <f t="shared" si="3"/>
        <v>#DIV/0!</v>
      </c>
      <c r="M333" s="20" t="str">
        <f t="shared" si="4"/>
        <v>#DIV/0!</v>
      </c>
      <c r="N333" s="21" t="str">
        <f t="shared" si="13"/>
        <v>#DIV/0!</v>
      </c>
      <c r="O333" s="21" t="str">
        <f t="shared" si="5"/>
        <v>#DIV/0!</v>
      </c>
      <c r="P333" s="22" t="str">
        <f t="shared" si="6"/>
        <v>#DIV/0!</v>
      </c>
    </row>
    <row r="334">
      <c r="B334" s="11"/>
      <c r="C334" s="12" t="str">
        <f>VLOOKUP(B:B,'Курс валют'!A:D,4,0)</f>
        <v>#N/A</v>
      </c>
      <c r="D334" s="66"/>
      <c r="E334" s="67"/>
      <c r="F334" s="67"/>
      <c r="G334" s="67"/>
      <c r="H334" s="65"/>
      <c r="I334" s="15">
        <f t="shared" si="10"/>
        <v>0</v>
      </c>
      <c r="J334" s="18" t="str">
        <f t="shared" si="2"/>
        <v>#DIV/0!</v>
      </c>
      <c r="K334" s="65"/>
      <c r="L334" s="19" t="str">
        <f t="shared" si="3"/>
        <v>#DIV/0!</v>
      </c>
      <c r="M334" s="20" t="str">
        <f t="shared" si="4"/>
        <v>#DIV/0!</v>
      </c>
      <c r="N334" s="21" t="str">
        <f t="shared" si="13"/>
        <v>#DIV/0!</v>
      </c>
      <c r="O334" s="21" t="str">
        <f t="shared" si="5"/>
        <v>#DIV/0!</v>
      </c>
      <c r="P334" s="22" t="str">
        <f t="shared" si="6"/>
        <v>#DIV/0!</v>
      </c>
    </row>
    <row r="335">
      <c r="B335" s="11"/>
      <c r="C335" s="12" t="str">
        <f>VLOOKUP(B:B,'Курс валют'!A:D,4,0)</f>
        <v>#N/A</v>
      </c>
      <c r="D335" s="66"/>
      <c r="E335" s="67"/>
      <c r="F335" s="67"/>
      <c r="G335" s="67"/>
      <c r="H335" s="65"/>
      <c r="I335" s="15">
        <f t="shared" si="10"/>
        <v>0</v>
      </c>
      <c r="J335" s="18" t="str">
        <f t="shared" si="2"/>
        <v>#DIV/0!</v>
      </c>
      <c r="K335" s="65"/>
      <c r="L335" s="19" t="str">
        <f t="shared" si="3"/>
        <v>#DIV/0!</v>
      </c>
      <c r="M335" s="20" t="str">
        <f t="shared" si="4"/>
        <v>#DIV/0!</v>
      </c>
      <c r="N335" s="21" t="str">
        <f t="shared" si="13"/>
        <v>#DIV/0!</v>
      </c>
      <c r="O335" s="21" t="str">
        <f t="shared" si="5"/>
        <v>#DIV/0!</v>
      </c>
      <c r="P335" s="22" t="str">
        <f t="shared" si="6"/>
        <v>#DIV/0!</v>
      </c>
    </row>
    <row r="336">
      <c r="B336" s="11"/>
      <c r="C336" s="12" t="str">
        <f>VLOOKUP(B:B,'Курс валют'!A:D,4,0)</f>
        <v>#N/A</v>
      </c>
      <c r="D336" s="66"/>
      <c r="E336" s="67"/>
      <c r="F336" s="67"/>
      <c r="G336" s="67"/>
      <c r="H336" s="65"/>
      <c r="I336" s="15">
        <f t="shared" si="10"/>
        <v>0</v>
      </c>
      <c r="J336" s="18" t="str">
        <f t="shared" si="2"/>
        <v>#DIV/0!</v>
      </c>
      <c r="K336" s="65"/>
      <c r="L336" s="19" t="str">
        <f t="shared" si="3"/>
        <v>#DIV/0!</v>
      </c>
      <c r="M336" s="20" t="str">
        <f t="shared" si="4"/>
        <v>#DIV/0!</v>
      </c>
      <c r="N336" s="21" t="str">
        <f t="shared" si="13"/>
        <v>#DIV/0!</v>
      </c>
      <c r="O336" s="21" t="str">
        <f t="shared" si="5"/>
        <v>#DIV/0!</v>
      </c>
      <c r="P336" s="22" t="str">
        <f t="shared" si="6"/>
        <v>#DIV/0!</v>
      </c>
    </row>
    <row r="337">
      <c r="B337" s="11"/>
      <c r="C337" s="12" t="str">
        <f>VLOOKUP(B:B,'Курс валют'!A:D,4,0)</f>
        <v>#N/A</v>
      </c>
      <c r="D337" s="66"/>
      <c r="E337" s="67"/>
      <c r="F337" s="67"/>
      <c r="G337" s="67"/>
      <c r="H337" s="65"/>
      <c r="I337" s="15">
        <f t="shared" si="10"/>
        <v>0</v>
      </c>
      <c r="J337" s="18" t="str">
        <f t="shared" si="2"/>
        <v>#DIV/0!</v>
      </c>
      <c r="K337" s="65"/>
      <c r="L337" s="19" t="str">
        <f t="shared" si="3"/>
        <v>#DIV/0!</v>
      </c>
      <c r="M337" s="20" t="str">
        <f t="shared" si="4"/>
        <v>#DIV/0!</v>
      </c>
      <c r="N337" s="21" t="str">
        <f t="shared" si="13"/>
        <v>#DIV/0!</v>
      </c>
      <c r="O337" s="21" t="str">
        <f t="shared" si="5"/>
        <v>#DIV/0!</v>
      </c>
      <c r="P337" s="22" t="str">
        <f t="shared" si="6"/>
        <v>#DIV/0!</v>
      </c>
    </row>
    <row r="338">
      <c r="B338" s="11"/>
      <c r="C338" s="12" t="str">
        <f>VLOOKUP(B:B,'Курс валют'!A:D,4,0)</f>
        <v>#N/A</v>
      </c>
      <c r="D338" s="66"/>
      <c r="E338" s="67"/>
      <c r="F338" s="67"/>
      <c r="G338" s="67"/>
      <c r="H338" s="65"/>
      <c r="I338" s="15">
        <f t="shared" si="10"/>
        <v>0</v>
      </c>
      <c r="J338" s="18" t="str">
        <f t="shared" si="2"/>
        <v>#DIV/0!</v>
      </c>
      <c r="K338" s="65"/>
      <c r="L338" s="19" t="str">
        <f t="shared" si="3"/>
        <v>#DIV/0!</v>
      </c>
      <c r="M338" s="20" t="str">
        <f t="shared" si="4"/>
        <v>#DIV/0!</v>
      </c>
      <c r="N338" s="21" t="str">
        <f t="shared" si="13"/>
        <v>#DIV/0!</v>
      </c>
      <c r="O338" s="21" t="str">
        <f t="shared" si="5"/>
        <v>#DIV/0!</v>
      </c>
      <c r="P338" s="22" t="str">
        <f t="shared" si="6"/>
        <v>#DIV/0!</v>
      </c>
    </row>
    <row r="339">
      <c r="B339" s="11"/>
      <c r="C339" s="12" t="str">
        <f>VLOOKUP(B:B,'Курс валют'!A:D,4,0)</f>
        <v>#N/A</v>
      </c>
      <c r="D339" s="66"/>
      <c r="E339" s="67"/>
      <c r="F339" s="67"/>
      <c r="G339" s="67"/>
      <c r="H339" s="65"/>
      <c r="I339" s="15">
        <f t="shared" si="10"/>
        <v>0</v>
      </c>
      <c r="J339" s="18" t="str">
        <f t="shared" si="2"/>
        <v>#DIV/0!</v>
      </c>
      <c r="K339" s="65"/>
      <c r="L339" s="19" t="str">
        <f t="shared" si="3"/>
        <v>#DIV/0!</v>
      </c>
      <c r="M339" s="20" t="str">
        <f t="shared" si="4"/>
        <v>#DIV/0!</v>
      </c>
      <c r="N339" s="21" t="str">
        <f t="shared" si="13"/>
        <v>#DIV/0!</v>
      </c>
      <c r="O339" s="21" t="str">
        <f t="shared" si="5"/>
        <v>#DIV/0!</v>
      </c>
      <c r="P339" s="22" t="str">
        <f t="shared" si="6"/>
        <v>#DIV/0!</v>
      </c>
    </row>
    <row r="340">
      <c r="B340" s="11"/>
      <c r="C340" s="12" t="str">
        <f>VLOOKUP(B:B,'Курс валют'!A:D,4,0)</f>
        <v>#N/A</v>
      </c>
      <c r="D340" s="66"/>
      <c r="E340" s="67"/>
      <c r="F340" s="67"/>
      <c r="G340" s="67"/>
      <c r="H340" s="65"/>
      <c r="I340" s="15">
        <f t="shared" si="10"/>
        <v>0</v>
      </c>
      <c r="J340" s="18" t="str">
        <f t="shared" si="2"/>
        <v>#DIV/0!</v>
      </c>
      <c r="K340" s="65"/>
      <c r="L340" s="19" t="str">
        <f t="shared" si="3"/>
        <v>#DIV/0!</v>
      </c>
      <c r="M340" s="20" t="str">
        <f t="shared" si="4"/>
        <v>#DIV/0!</v>
      </c>
      <c r="N340" s="21" t="str">
        <f t="shared" si="13"/>
        <v>#DIV/0!</v>
      </c>
      <c r="O340" s="21" t="str">
        <f t="shared" si="5"/>
        <v>#DIV/0!</v>
      </c>
      <c r="P340" s="22" t="str">
        <f t="shared" si="6"/>
        <v>#DIV/0!</v>
      </c>
    </row>
    <row r="341">
      <c r="B341" s="11"/>
      <c r="C341" s="12" t="str">
        <f>VLOOKUP(B:B,'Курс валют'!A:D,4,0)</f>
        <v>#N/A</v>
      </c>
      <c r="D341" s="66"/>
      <c r="E341" s="67"/>
      <c r="F341" s="67"/>
      <c r="G341" s="67"/>
      <c r="H341" s="65"/>
      <c r="I341" s="15">
        <f t="shared" si="10"/>
        <v>0</v>
      </c>
      <c r="J341" s="18" t="str">
        <f t="shared" si="2"/>
        <v>#DIV/0!</v>
      </c>
      <c r="K341" s="65"/>
      <c r="L341" s="19" t="str">
        <f t="shared" si="3"/>
        <v>#DIV/0!</v>
      </c>
      <c r="M341" s="20" t="str">
        <f t="shared" si="4"/>
        <v>#DIV/0!</v>
      </c>
      <c r="N341" s="21" t="str">
        <f t="shared" si="13"/>
        <v>#DIV/0!</v>
      </c>
      <c r="O341" s="21" t="str">
        <f t="shared" si="5"/>
        <v>#DIV/0!</v>
      </c>
      <c r="P341" s="22" t="str">
        <f t="shared" si="6"/>
        <v>#DIV/0!</v>
      </c>
    </row>
    <row r="342">
      <c r="B342" s="11"/>
      <c r="C342" s="12" t="str">
        <f>VLOOKUP(B:B,'Курс валют'!A:D,4,0)</f>
        <v>#N/A</v>
      </c>
      <c r="D342" s="66"/>
      <c r="E342" s="67"/>
      <c r="F342" s="67"/>
      <c r="G342" s="67"/>
      <c r="H342" s="65"/>
      <c r="I342" s="15">
        <f t="shared" si="10"/>
        <v>0</v>
      </c>
      <c r="J342" s="18" t="str">
        <f t="shared" si="2"/>
        <v>#DIV/0!</v>
      </c>
      <c r="K342" s="65"/>
      <c r="L342" s="19" t="str">
        <f t="shared" si="3"/>
        <v>#DIV/0!</v>
      </c>
      <c r="M342" s="20" t="str">
        <f t="shared" si="4"/>
        <v>#DIV/0!</v>
      </c>
      <c r="N342" s="21" t="str">
        <f t="shared" si="13"/>
        <v>#DIV/0!</v>
      </c>
      <c r="O342" s="21" t="str">
        <f t="shared" si="5"/>
        <v>#DIV/0!</v>
      </c>
      <c r="P342" s="22" t="str">
        <f t="shared" si="6"/>
        <v>#DIV/0!</v>
      </c>
    </row>
    <row r="343">
      <c r="B343" s="11"/>
      <c r="C343" s="12" t="str">
        <f>VLOOKUP(B:B,'Курс валют'!A:D,4,0)</f>
        <v>#N/A</v>
      </c>
      <c r="D343" s="66"/>
      <c r="E343" s="67"/>
      <c r="F343" s="67"/>
      <c r="G343" s="67"/>
      <c r="H343" s="65"/>
      <c r="I343" s="15">
        <f t="shared" si="10"/>
        <v>0</v>
      </c>
      <c r="J343" s="18" t="str">
        <f t="shared" si="2"/>
        <v>#DIV/0!</v>
      </c>
      <c r="K343" s="65"/>
      <c r="L343" s="19" t="str">
        <f t="shared" si="3"/>
        <v>#DIV/0!</v>
      </c>
      <c r="M343" s="20" t="str">
        <f t="shared" si="4"/>
        <v>#DIV/0!</v>
      </c>
      <c r="N343" s="21" t="str">
        <f t="shared" si="13"/>
        <v>#DIV/0!</v>
      </c>
      <c r="O343" s="21" t="str">
        <f t="shared" si="5"/>
        <v>#DIV/0!</v>
      </c>
      <c r="P343" s="22" t="str">
        <f t="shared" si="6"/>
        <v>#DIV/0!</v>
      </c>
    </row>
    <row r="344">
      <c r="B344" s="11"/>
      <c r="C344" s="12" t="str">
        <f>VLOOKUP(B:B,'Курс валют'!A:D,4,0)</f>
        <v>#N/A</v>
      </c>
      <c r="D344" s="66"/>
      <c r="E344" s="67"/>
      <c r="F344" s="67"/>
      <c r="G344" s="67"/>
      <c r="H344" s="65"/>
      <c r="I344" s="15">
        <f t="shared" si="10"/>
        <v>0</v>
      </c>
      <c r="J344" s="18" t="str">
        <f t="shared" si="2"/>
        <v>#DIV/0!</v>
      </c>
      <c r="K344" s="65"/>
      <c r="L344" s="19" t="str">
        <f t="shared" si="3"/>
        <v>#DIV/0!</v>
      </c>
      <c r="M344" s="20" t="str">
        <f t="shared" si="4"/>
        <v>#DIV/0!</v>
      </c>
      <c r="N344" s="21" t="str">
        <f t="shared" si="13"/>
        <v>#DIV/0!</v>
      </c>
      <c r="O344" s="21" t="str">
        <f t="shared" si="5"/>
        <v>#DIV/0!</v>
      </c>
      <c r="P344" s="22" t="str">
        <f t="shared" si="6"/>
        <v>#DIV/0!</v>
      </c>
    </row>
    <row r="345">
      <c r="B345" s="11"/>
      <c r="C345" s="12" t="str">
        <f>VLOOKUP(B:B,'Курс валют'!A:D,4,0)</f>
        <v>#N/A</v>
      </c>
      <c r="D345" s="66"/>
      <c r="E345" s="67"/>
      <c r="F345" s="67"/>
      <c r="G345" s="67"/>
      <c r="H345" s="65"/>
      <c r="I345" s="15">
        <f t="shared" si="10"/>
        <v>0</v>
      </c>
      <c r="J345" s="18" t="str">
        <f t="shared" si="2"/>
        <v>#DIV/0!</v>
      </c>
      <c r="K345" s="65"/>
      <c r="L345" s="19" t="str">
        <f t="shared" si="3"/>
        <v>#DIV/0!</v>
      </c>
      <c r="M345" s="20" t="str">
        <f t="shared" si="4"/>
        <v>#DIV/0!</v>
      </c>
      <c r="N345" s="21" t="str">
        <f t="shared" si="13"/>
        <v>#DIV/0!</v>
      </c>
      <c r="O345" s="21" t="str">
        <f t="shared" si="5"/>
        <v>#DIV/0!</v>
      </c>
      <c r="P345" s="22" t="str">
        <f t="shared" si="6"/>
        <v>#DIV/0!</v>
      </c>
    </row>
    <row r="346">
      <c r="B346" s="11"/>
      <c r="C346" s="12" t="str">
        <f>VLOOKUP(B:B,'Курс валют'!A:D,4,0)</f>
        <v>#N/A</v>
      </c>
      <c r="D346" s="66"/>
      <c r="E346" s="67"/>
      <c r="F346" s="67"/>
      <c r="G346" s="67"/>
      <c r="H346" s="65"/>
      <c r="I346" s="15">
        <f t="shared" si="10"/>
        <v>0</v>
      </c>
      <c r="J346" s="18" t="str">
        <f t="shared" si="2"/>
        <v>#DIV/0!</v>
      </c>
      <c r="K346" s="65"/>
      <c r="L346" s="19" t="str">
        <f t="shared" si="3"/>
        <v>#DIV/0!</v>
      </c>
      <c r="M346" s="20" t="str">
        <f t="shared" si="4"/>
        <v>#DIV/0!</v>
      </c>
      <c r="N346" s="21" t="str">
        <f t="shared" si="13"/>
        <v>#DIV/0!</v>
      </c>
      <c r="O346" s="21" t="str">
        <f t="shared" si="5"/>
        <v>#DIV/0!</v>
      </c>
      <c r="P346" s="22" t="str">
        <f t="shared" si="6"/>
        <v>#DIV/0!</v>
      </c>
    </row>
    <row r="347">
      <c r="B347" s="11"/>
      <c r="C347" s="12" t="str">
        <f>VLOOKUP(B:B,'Курс валют'!A:D,4,0)</f>
        <v>#N/A</v>
      </c>
      <c r="D347" s="66"/>
      <c r="E347" s="67"/>
      <c r="F347" s="67"/>
      <c r="G347" s="67"/>
      <c r="H347" s="65"/>
      <c r="I347" s="15">
        <f t="shared" si="10"/>
        <v>0</v>
      </c>
      <c r="J347" s="18" t="str">
        <f t="shared" si="2"/>
        <v>#DIV/0!</v>
      </c>
      <c r="K347" s="65"/>
      <c r="L347" s="19" t="str">
        <f t="shared" si="3"/>
        <v>#DIV/0!</v>
      </c>
      <c r="M347" s="20" t="str">
        <f t="shared" si="4"/>
        <v>#DIV/0!</v>
      </c>
      <c r="N347" s="21" t="str">
        <f t="shared" si="13"/>
        <v>#DIV/0!</v>
      </c>
      <c r="O347" s="21" t="str">
        <f t="shared" si="5"/>
        <v>#DIV/0!</v>
      </c>
      <c r="P347" s="22" t="str">
        <f t="shared" si="6"/>
        <v>#DIV/0!</v>
      </c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  <row r="966">
      <c r="B966" s="68"/>
      <c r="D966" s="69"/>
      <c r="H966" s="70"/>
      <c r="K966" s="70"/>
      <c r="L966" s="71"/>
      <c r="M966" s="72"/>
      <c r="P966" s="72"/>
    </row>
    <row r="967">
      <c r="B967" s="68"/>
      <c r="D967" s="69"/>
      <c r="H967" s="70"/>
      <c r="K967" s="70"/>
      <c r="L967" s="71"/>
      <c r="M967" s="72"/>
      <c r="P967" s="72"/>
    </row>
    <row r="968">
      <c r="B968" s="68"/>
      <c r="D968" s="69"/>
      <c r="H968" s="70"/>
      <c r="K968" s="70"/>
      <c r="L968" s="71"/>
      <c r="M968" s="72"/>
      <c r="P968" s="72"/>
    </row>
    <row r="969">
      <c r="B969" s="68"/>
      <c r="D969" s="69"/>
      <c r="H969" s="70"/>
      <c r="K969" s="70"/>
      <c r="L969" s="71"/>
      <c r="M969" s="72"/>
      <c r="P969" s="72"/>
    </row>
    <row r="970">
      <c r="B970" s="68"/>
      <c r="D970" s="69"/>
      <c r="H970" s="70"/>
      <c r="K970" s="70"/>
      <c r="L970" s="71"/>
      <c r="M970" s="72"/>
      <c r="P970" s="72"/>
    </row>
    <row r="971">
      <c r="B971" s="68"/>
      <c r="D971" s="69"/>
      <c r="H971" s="70"/>
      <c r="K971" s="70"/>
      <c r="L971" s="71"/>
      <c r="M971" s="72"/>
      <c r="P971" s="72"/>
    </row>
    <row r="972">
      <c r="B972" s="68"/>
      <c r="D972" s="69"/>
      <c r="H972" s="70"/>
      <c r="K972" s="70"/>
      <c r="L972" s="71"/>
      <c r="M972" s="72"/>
      <c r="P972" s="72"/>
    </row>
  </sheetData>
  <autoFilter ref="$A$1:$AA$972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 hidden="1">
      <c r="A2" s="11"/>
      <c r="B2" s="11">
        <v>46113.0</v>
      </c>
      <c r="C2" s="12">
        <f>VLOOKUP(B:B,'Курс валют'!A:D,4,0)</f>
        <v>93.2739</v>
      </c>
      <c r="D2" s="54" t="s">
        <v>638</v>
      </c>
      <c r="E2" s="55" t="s">
        <v>115</v>
      </c>
      <c r="F2" s="12">
        <v>40.0</v>
      </c>
      <c r="G2" s="19">
        <v>43.01</v>
      </c>
      <c r="H2" s="17">
        <v>0.0</v>
      </c>
      <c r="I2" s="16">
        <f t="shared" ref="I2:I24" si="1">G2-F2</f>
        <v>3.01</v>
      </c>
      <c r="J2" s="18">
        <f t="shared" ref="J2:J339" si="2">I2/F2*100</f>
        <v>7.525</v>
      </c>
      <c r="K2" s="56">
        <v>2.98</v>
      </c>
      <c r="L2" s="19">
        <f t="shared" ref="L2:L339" si="3">H2/F2*100</f>
        <v>0</v>
      </c>
      <c r="M2" s="20">
        <f t="shared" ref="M2:M339" si="4">P2/F2</f>
        <v>277.956222</v>
      </c>
      <c r="N2" s="21">
        <f t="shared" ref="N2:N254" si="5">(F2*K2-H2*3.04)/F2</f>
        <v>2.98</v>
      </c>
      <c r="O2" s="21">
        <f t="shared" ref="O2:O339" si="6">N2*F2</f>
        <v>119.2</v>
      </c>
      <c r="P2" s="22">
        <f t="shared" ref="P2:P339" si="7">O2*C2</f>
        <v>11118.24888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 hidden="1">
      <c r="A3" s="11"/>
      <c r="B3" s="11">
        <v>46113.0</v>
      </c>
      <c r="C3" s="12">
        <f>VLOOKUP(B:B,'Курс валют'!A:D,4,0)</f>
        <v>93.2739</v>
      </c>
      <c r="D3" s="13" t="s">
        <v>639</v>
      </c>
      <c r="E3" s="14" t="s">
        <v>116</v>
      </c>
      <c r="F3" s="15">
        <v>80.0</v>
      </c>
      <c r="G3" s="15">
        <v>83.0</v>
      </c>
      <c r="H3" s="17">
        <v>0.0</v>
      </c>
      <c r="I3" s="15">
        <f t="shared" si="1"/>
        <v>3</v>
      </c>
      <c r="J3" s="18">
        <f t="shared" si="2"/>
        <v>3.75</v>
      </c>
      <c r="K3" s="17">
        <v>2.7</v>
      </c>
      <c r="L3" s="19">
        <f t="shared" si="3"/>
        <v>0</v>
      </c>
      <c r="M3" s="20">
        <f t="shared" si="4"/>
        <v>251.83953</v>
      </c>
      <c r="N3" s="21">
        <f t="shared" si="5"/>
        <v>2.7</v>
      </c>
      <c r="O3" s="21">
        <f t="shared" si="6"/>
        <v>216</v>
      </c>
      <c r="P3" s="22">
        <f t="shared" si="7"/>
        <v>20147.1624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 hidden="1">
      <c r="A4" s="11"/>
      <c r="B4" s="11">
        <v>46113.0</v>
      </c>
      <c r="C4" s="12">
        <f>VLOOKUP(B:B,'Курс валют'!A:D,4,0)</f>
        <v>93.2739</v>
      </c>
      <c r="D4" s="13" t="s">
        <v>640</v>
      </c>
      <c r="E4" s="14" t="s">
        <v>106</v>
      </c>
      <c r="F4" s="15">
        <v>800.0</v>
      </c>
      <c r="G4" s="16">
        <v>804.5</v>
      </c>
      <c r="H4" s="17">
        <v>0.0</v>
      </c>
      <c r="I4" s="16">
        <f t="shared" si="1"/>
        <v>4.5</v>
      </c>
      <c r="J4" s="18">
        <f t="shared" si="2"/>
        <v>0.5625</v>
      </c>
      <c r="K4" s="17">
        <v>1.86</v>
      </c>
      <c r="L4" s="19">
        <f t="shared" si="3"/>
        <v>0</v>
      </c>
      <c r="M4" s="20">
        <f t="shared" si="4"/>
        <v>173.489454</v>
      </c>
      <c r="N4" s="21">
        <f t="shared" si="5"/>
        <v>1.86</v>
      </c>
      <c r="O4" s="21">
        <f t="shared" si="6"/>
        <v>1488</v>
      </c>
      <c r="P4" s="22">
        <f t="shared" si="7"/>
        <v>138791.5632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 hidden="1">
      <c r="A5" s="11"/>
      <c r="B5" s="11">
        <v>46113.0</v>
      </c>
      <c r="C5" s="12">
        <f>VLOOKUP(B:B,'Курс валют'!A:D,4,0)</f>
        <v>93.2739</v>
      </c>
      <c r="D5" s="13" t="s">
        <v>641</v>
      </c>
      <c r="E5" s="14" t="s">
        <v>106</v>
      </c>
      <c r="F5" s="15">
        <v>800.0</v>
      </c>
      <c r="G5" s="16">
        <v>804.5</v>
      </c>
      <c r="H5" s="17">
        <v>0.0</v>
      </c>
      <c r="I5" s="16">
        <f t="shared" si="1"/>
        <v>4.5</v>
      </c>
      <c r="J5" s="18">
        <f t="shared" si="2"/>
        <v>0.5625</v>
      </c>
      <c r="K5" s="17">
        <v>1.85</v>
      </c>
      <c r="L5" s="19">
        <f t="shared" si="3"/>
        <v>0</v>
      </c>
      <c r="M5" s="20">
        <f t="shared" si="4"/>
        <v>172.556715</v>
      </c>
      <c r="N5" s="21">
        <f t="shared" si="5"/>
        <v>1.85</v>
      </c>
      <c r="O5" s="21">
        <f t="shared" si="6"/>
        <v>1480</v>
      </c>
      <c r="P5" s="22">
        <f t="shared" si="7"/>
        <v>138045.372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 hidden="1">
      <c r="A6" s="11"/>
      <c r="B6" s="11">
        <v>46113.0</v>
      </c>
      <c r="C6" s="12">
        <f>VLOOKUP(B:B,'Курс валют'!A:D,4,0)</f>
        <v>93.2739</v>
      </c>
      <c r="D6" s="13" t="s">
        <v>642</v>
      </c>
      <c r="E6" s="14" t="s">
        <v>106</v>
      </c>
      <c r="F6" s="15">
        <v>800.0</v>
      </c>
      <c r="G6" s="16">
        <v>804.5</v>
      </c>
      <c r="H6" s="17">
        <v>0.0</v>
      </c>
      <c r="I6" s="16">
        <f t="shared" si="1"/>
        <v>4.5</v>
      </c>
      <c r="J6" s="18">
        <f t="shared" si="2"/>
        <v>0.5625</v>
      </c>
      <c r="K6" s="17">
        <v>1.85</v>
      </c>
      <c r="L6" s="19">
        <f t="shared" si="3"/>
        <v>0</v>
      </c>
      <c r="M6" s="20">
        <f t="shared" si="4"/>
        <v>172.556715</v>
      </c>
      <c r="N6" s="21">
        <f t="shared" si="5"/>
        <v>1.85</v>
      </c>
      <c r="O6" s="21">
        <f t="shared" si="6"/>
        <v>1480</v>
      </c>
      <c r="P6" s="22">
        <f t="shared" si="7"/>
        <v>138045.372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 hidden="1">
      <c r="A7" s="11"/>
      <c r="B7" s="11">
        <v>46113.0</v>
      </c>
      <c r="C7" s="12">
        <f>VLOOKUP(B:B,'Курс валют'!A:D,4,0)</f>
        <v>93.2739</v>
      </c>
      <c r="D7" s="13" t="s">
        <v>643</v>
      </c>
      <c r="E7" s="14" t="s">
        <v>106</v>
      </c>
      <c r="F7" s="15">
        <v>800.0</v>
      </c>
      <c r="G7" s="16">
        <v>804.5</v>
      </c>
      <c r="H7" s="17">
        <v>0.0</v>
      </c>
      <c r="I7" s="16">
        <f t="shared" si="1"/>
        <v>4.5</v>
      </c>
      <c r="J7" s="18">
        <f t="shared" si="2"/>
        <v>0.5625</v>
      </c>
      <c r="K7" s="17">
        <v>1.85</v>
      </c>
      <c r="L7" s="19">
        <f t="shared" si="3"/>
        <v>0</v>
      </c>
      <c r="M7" s="20">
        <f t="shared" si="4"/>
        <v>172.556715</v>
      </c>
      <c r="N7" s="21">
        <f t="shared" si="5"/>
        <v>1.85</v>
      </c>
      <c r="O7" s="21">
        <f t="shared" si="6"/>
        <v>1480</v>
      </c>
      <c r="P7" s="22">
        <f t="shared" si="7"/>
        <v>138045.372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 hidden="1">
      <c r="A8" s="11"/>
      <c r="B8" s="11">
        <v>46113.0</v>
      </c>
      <c r="C8" s="12">
        <f>VLOOKUP(B:B,'Курс валют'!A:D,4,0)</f>
        <v>93.2739</v>
      </c>
      <c r="D8" s="13" t="s">
        <v>644</v>
      </c>
      <c r="E8" s="14" t="s">
        <v>106</v>
      </c>
      <c r="F8" s="15">
        <v>800.0</v>
      </c>
      <c r="G8" s="16">
        <v>804.5</v>
      </c>
      <c r="H8" s="17">
        <v>0.0</v>
      </c>
      <c r="I8" s="16">
        <f t="shared" si="1"/>
        <v>4.5</v>
      </c>
      <c r="J8" s="18">
        <f t="shared" si="2"/>
        <v>0.5625</v>
      </c>
      <c r="K8" s="17">
        <v>1.85</v>
      </c>
      <c r="L8" s="19">
        <f t="shared" si="3"/>
        <v>0</v>
      </c>
      <c r="M8" s="20">
        <f t="shared" si="4"/>
        <v>172.556715</v>
      </c>
      <c r="N8" s="21">
        <f t="shared" si="5"/>
        <v>1.85</v>
      </c>
      <c r="O8" s="21">
        <f t="shared" si="6"/>
        <v>1480</v>
      </c>
      <c r="P8" s="22">
        <f t="shared" si="7"/>
        <v>138045.372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 hidden="1">
      <c r="A9" s="11"/>
      <c r="B9" s="11">
        <v>46113.0</v>
      </c>
      <c r="C9" s="12">
        <f>VLOOKUP(B:B,'Курс валют'!A:D,4,0)</f>
        <v>93.2739</v>
      </c>
      <c r="D9" s="13" t="s">
        <v>645</v>
      </c>
      <c r="E9" s="14" t="s">
        <v>117</v>
      </c>
      <c r="F9" s="15">
        <v>10.0</v>
      </c>
      <c r="G9" s="16">
        <v>10.0</v>
      </c>
      <c r="H9" s="17">
        <v>0.0</v>
      </c>
      <c r="I9" s="16">
        <f t="shared" si="1"/>
        <v>0</v>
      </c>
      <c r="J9" s="18">
        <f t="shared" si="2"/>
        <v>0</v>
      </c>
      <c r="K9" s="17">
        <v>3.08</v>
      </c>
      <c r="L9" s="19">
        <f t="shared" si="3"/>
        <v>0</v>
      </c>
      <c r="M9" s="20">
        <f t="shared" si="4"/>
        <v>287.283612</v>
      </c>
      <c r="N9" s="21">
        <f t="shared" si="5"/>
        <v>3.08</v>
      </c>
      <c r="O9" s="21">
        <f t="shared" si="6"/>
        <v>30.8</v>
      </c>
      <c r="P9" s="22">
        <f t="shared" si="7"/>
        <v>2872.83612</v>
      </c>
      <c r="R9" s="23" t="s">
        <v>646</v>
      </c>
      <c r="S9" s="24"/>
      <c r="T9" s="25"/>
      <c r="U9" s="25"/>
      <c r="V9" s="25"/>
      <c r="W9" s="25"/>
      <c r="X9" s="25"/>
      <c r="Y9" s="25"/>
      <c r="Z9" s="25"/>
      <c r="AA9" s="25"/>
    </row>
    <row r="10" hidden="1">
      <c r="A10" s="11"/>
      <c r="B10" s="11">
        <v>46113.0</v>
      </c>
      <c r="C10" s="12">
        <f>VLOOKUP(B:B,'Курс валют'!A:D,4,0)</f>
        <v>93.2739</v>
      </c>
      <c r="D10" s="13" t="s">
        <v>647</v>
      </c>
      <c r="E10" s="14" t="s">
        <v>106</v>
      </c>
      <c r="F10" s="15">
        <v>800.0</v>
      </c>
      <c r="G10" s="16">
        <v>804.5</v>
      </c>
      <c r="H10" s="17">
        <v>0.0</v>
      </c>
      <c r="I10" s="16">
        <f t="shared" si="1"/>
        <v>4.5</v>
      </c>
      <c r="J10" s="18">
        <f t="shared" si="2"/>
        <v>0.5625</v>
      </c>
      <c r="K10" s="17">
        <v>1.85</v>
      </c>
      <c r="L10" s="19">
        <f t="shared" si="3"/>
        <v>0</v>
      </c>
      <c r="M10" s="20">
        <f t="shared" si="4"/>
        <v>172.556715</v>
      </c>
      <c r="N10" s="21">
        <f t="shared" si="5"/>
        <v>1.85</v>
      </c>
      <c r="O10" s="21">
        <f t="shared" si="6"/>
        <v>1480</v>
      </c>
      <c r="P10" s="22">
        <f t="shared" si="7"/>
        <v>138045.372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 hidden="1">
      <c r="A11" s="11"/>
      <c r="B11" s="11">
        <v>46113.0</v>
      </c>
      <c r="C11" s="12">
        <f>VLOOKUP(B:B,'Курс валют'!A:D,4,0)</f>
        <v>93.2739</v>
      </c>
      <c r="D11" s="13" t="s">
        <v>648</v>
      </c>
      <c r="E11" s="14" t="s">
        <v>59</v>
      </c>
      <c r="F11" s="15">
        <v>2000.0</v>
      </c>
      <c r="G11" s="16">
        <v>2056.55</v>
      </c>
      <c r="H11" s="17">
        <v>0.0</v>
      </c>
      <c r="I11" s="16">
        <f t="shared" si="1"/>
        <v>56.55</v>
      </c>
      <c r="J11" s="18">
        <f t="shared" si="2"/>
        <v>2.8275</v>
      </c>
      <c r="K11" s="17">
        <v>2.37</v>
      </c>
      <c r="L11" s="19">
        <f t="shared" si="3"/>
        <v>0</v>
      </c>
      <c r="M11" s="20">
        <f t="shared" si="4"/>
        <v>221.059143</v>
      </c>
      <c r="N11" s="21">
        <f t="shared" si="5"/>
        <v>2.37</v>
      </c>
      <c r="O11" s="21">
        <f t="shared" si="6"/>
        <v>4740</v>
      </c>
      <c r="P11" s="22">
        <f t="shared" si="7"/>
        <v>442118.286</v>
      </c>
      <c r="R11" s="23"/>
      <c r="S11" s="24"/>
      <c r="T11" s="25"/>
      <c r="U11" s="25"/>
      <c r="V11" s="25"/>
      <c r="W11" s="25"/>
      <c r="X11" s="25"/>
      <c r="Y11" s="25"/>
      <c r="Z11" s="25"/>
      <c r="AA11" s="25"/>
    </row>
    <row r="12" hidden="1">
      <c r="A12" s="11"/>
      <c r="B12" s="11">
        <v>46113.0</v>
      </c>
      <c r="C12" s="12">
        <f>VLOOKUP(B:B,'Курс валют'!A:D,4,0)</f>
        <v>93.2739</v>
      </c>
      <c r="D12" s="13" t="s">
        <v>649</v>
      </c>
      <c r="E12" s="14" t="s">
        <v>106</v>
      </c>
      <c r="F12" s="15">
        <v>800.0</v>
      </c>
      <c r="G12" s="16">
        <v>804.5</v>
      </c>
      <c r="H12" s="27">
        <v>0.0</v>
      </c>
      <c r="I12" s="16">
        <f t="shared" si="1"/>
        <v>4.5</v>
      </c>
      <c r="J12" s="18">
        <f t="shared" si="2"/>
        <v>0.5625</v>
      </c>
      <c r="K12" s="17">
        <v>1.86</v>
      </c>
      <c r="L12" s="19">
        <f t="shared" si="3"/>
        <v>0</v>
      </c>
      <c r="M12" s="20">
        <f t="shared" si="4"/>
        <v>173.489454</v>
      </c>
      <c r="N12" s="21">
        <f t="shared" si="5"/>
        <v>1.86</v>
      </c>
      <c r="O12" s="21">
        <f t="shared" si="6"/>
        <v>1488</v>
      </c>
      <c r="P12" s="22">
        <f t="shared" si="7"/>
        <v>138791.5632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 hidden="1">
      <c r="A13" s="11"/>
      <c r="B13" s="11">
        <v>46113.0</v>
      </c>
      <c r="C13" s="12">
        <f>VLOOKUP(B:B,'Курс валют'!A:D,4,0)</f>
        <v>93.2739</v>
      </c>
      <c r="D13" s="13" t="s">
        <v>650</v>
      </c>
      <c r="E13" s="14" t="s">
        <v>106</v>
      </c>
      <c r="F13" s="15">
        <v>800.0</v>
      </c>
      <c r="G13" s="16">
        <v>804.5</v>
      </c>
      <c r="H13" s="27">
        <v>0.0</v>
      </c>
      <c r="I13" s="16">
        <f t="shared" si="1"/>
        <v>4.5</v>
      </c>
      <c r="J13" s="18">
        <f t="shared" si="2"/>
        <v>0.5625</v>
      </c>
      <c r="K13" s="17">
        <v>1.85</v>
      </c>
      <c r="L13" s="19">
        <f t="shared" si="3"/>
        <v>0</v>
      </c>
      <c r="M13" s="20">
        <f t="shared" si="4"/>
        <v>172.556715</v>
      </c>
      <c r="N13" s="29">
        <f t="shared" si="5"/>
        <v>1.85</v>
      </c>
      <c r="O13" s="21">
        <f t="shared" si="6"/>
        <v>1480</v>
      </c>
      <c r="P13" s="22">
        <f t="shared" si="7"/>
        <v>138045.372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 hidden="1">
      <c r="A14" s="11"/>
      <c r="B14" s="11">
        <v>46113.0</v>
      </c>
      <c r="C14" s="12">
        <f>VLOOKUP(B:B,'Курс валют'!A:D,4,0)</f>
        <v>93.2739</v>
      </c>
      <c r="D14" s="13" t="s">
        <v>651</v>
      </c>
      <c r="E14" s="14" t="s">
        <v>106</v>
      </c>
      <c r="F14" s="15">
        <v>800.0</v>
      </c>
      <c r="G14" s="16">
        <v>804.5</v>
      </c>
      <c r="H14" s="27">
        <v>0.0</v>
      </c>
      <c r="I14" s="16">
        <f t="shared" si="1"/>
        <v>4.5</v>
      </c>
      <c r="J14" s="18">
        <f t="shared" si="2"/>
        <v>0.5625</v>
      </c>
      <c r="K14" s="17">
        <v>1.85</v>
      </c>
      <c r="L14" s="19">
        <f t="shared" si="3"/>
        <v>0</v>
      </c>
      <c r="M14" s="20">
        <f t="shared" si="4"/>
        <v>172.556715</v>
      </c>
      <c r="N14" s="21">
        <f t="shared" si="5"/>
        <v>1.85</v>
      </c>
      <c r="O14" s="21">
        <f t="shared" si="6"/>
        <v>1480</v>
      </c>
      <c r="P14" s="22">
        <f t="shared" si="7"/>
        <v>138045.372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 hidden="1">
      <c r="A15" s="11"/>
      <c r="B15" s="11">
        <v>46113.0</v>
      </c>
      <c r="C15" s="12">
        <f>VLOOKUP(B:B,'Курс валют'!A:D,4,0)</f>
        <v>93.2739</v>
      </c>
      <c r="D15" s="13" t="s">
        <v>652</v>
      </c>
      <c r="E15" s="14" t="s">
        <v>106</v>
      </c>
      <c r="F15" s="15">
        <v>800.0</v>
      </c>
      <c r="G15" s="16">
        <v>804.5</v>
      </c>
      <c r="H15" s="27">
        <v>0.0</v>
      </c>
      <c r="I15" s="16">
        <f t="shared" si="1"/>
        <v>4.5</v>
      </c>
      <c r="J15" s="18">
        <f t="shared" si="2"/>
        <v>0.5625</v>
      </c>
      <c r="K15" s="17">
        <v>1.85</v>
      </c>
      <c r="L15" s="19">
        <f t="shared" si="3"/>
        <v>0</v>
      </c>
      <c r="M15" s="20">
        <f t="shared" si="4"/>
        <v>172.556715</v>
      </c>
      <c r="N15" s="21">
        <f t="shared" si="5"/>
        <v>1.85</v>
      </c>
      <c r="O15" s="21">
        <f t="shared" si="6"/>
        <v>1480</v>
      </c>
      <c r="P15" s="22">
        <f t="shared" si="7"/>
        <v>138045.372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 hidden="1">
      <c r="A16" s="11"/>
      <c r="B16" s="11">
        <v>46114.0</v>
      </c>
      <c r="C16" s="12">
        <f>VLOOKUP(B:B,'Курс валют'!A:D,4,0)</f>
        <v>93.4443</v>
      </c>
      <c r="D16" s="13" t="s">
        <v>653</v>
      </c>
      <c r="E16" s="14" t="s">
        <v>54</v>
      </c>
      <c r="F16" s="15">
        <v>800.0</v>
      </c>
      <c r="G16" s="16">
        <v>805.14</v>
      </c>
      <c r="H16" s="27">
        <v>0.0</v>
      </c>
      <c r="I16" s="16">
        <f t="shared" si="1"/>
        <v>5.14</v>
      </c>
      <c r="J16" s="18">
        <f t="shared" si="2"/>
        <v>0.6425</v>
      </c>
      <c r="K16" s="17">
        <v>1.93</v>
      </c>
      <c r="L16" s="19">
        <f t="shared" si="3"/>
        <v>0</v>
      </c>
      <c r="M16" s="20">
        <f t="shared" si="4"/>
        <v>180.347499</v>
      </c>
      <c r="N16" s="29">
        <f t="shared" si="5"/>
        <v>1.93</v>
      </c>
      <c r="O16" s="21">
        <f t="shared" si="6"/>
        <v>1544</v>
      </c>
      <c r="P16" s="22">
        <f t="shared" si="7"/>
        <v>144277.9992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 hidden="1">
      <c r="A17" s="11"/>
      <c r="B17" s="11">
        <v>46114.0</v>
      </c>
      <c r="C17" s="12">
        <f>VLOOKUP(B:B,'Курс валют'!A:D,4,0)</f>
        <v>93.4443</v>
      </c>
      <c r="D17" s="13" t="s">
        <v>654</v>
      </c>
      <c r="E17" s="14" t="s">
        <v>54</v>
      </c>
      <c r="F17" s="15">
        <v>800.0</v>
      </c>
      <c r="G17" s="16">
        <v>805.14</v>
      </c>
      <c r="H17" s="27">
        <v>0.0</v>
      </c>
      <c r="I17" s="16">
        <f t="shared" si="1"/>
        <v>5.14</v>
      </c>
      <c r="J17" s="18">
        <f t="shared" si="2"/>
        <v>0.6425</v>
      </c>
      <c r="K17" s="17">
        <v>1.92</v>
      </c>
      <c r="L17" s="19">
        <f t="shared" si="3"/>
        <v>0</v>
      </c>
      <c r="M17" s="20">
        <f t="shared" si="4"/>
        <v>179.413056</v>
      </c>
      <c r="N17" s="29">
        <f t="shared" si="5"/>
        <v>1.92</v>
      </c>
      <c r="O17" s="21">
        <f t="shared" si="6"/>
        <v>1536</v>
      </c>
      <c r="P17" s="22">
        <f t="shared" si="7"/>
        <v>143530.4448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 hidden="1">
      <c r="A18" s="30"/>
      <c r="B18" s="11">
        <v>46114.0</v>
      </c>
      <c r="C18" s="12">
        <f>VLOOKUP(B:B,'Курс валют'!A:D,4,0)</f>
        <v>93.4443</v>
      </c>
      <c r="D18" s="13" t="s">
        <v>655</v>
      </c>
      <c r="E18" s="14" t="s">
        <v>54</v>
      </c>
      <c r="F18" s="15">
        <v>800.0</v>
      </c>
      <c r="G18" s="16">
        <v>805.14</v>
      </c>
      <c r="H18" s="27">
        <v>0.0</v>
      </c>
      <c r="I18" s="16">
        <f t="shared" si="1"/>
        <v>5.14</v>
      </c>
      <c r="J18" s="18">
        <f t="shared" si="2"/>
        <v>0.6425</v>
      </c>
      <c r="K18" s="17">
        <v>1.92</v>
      </c>
      <c r="L18" s="19">
        <f t="shared" si="3"/>
        <v>0</v>
      </c>
      <c r="M18" s="20">
        <f t="shared" si="4"/>
        <v>179.413056</v>
      </c>
      <c r="N18" s="21">
        <f t="shared" si="5"/>
        <v>1.92</v>
      </c>
      <c r="O18" s="21">
        <f t="shared" si="6"/>
        <v>1536</v>
      </c>
      <c r="P18" s="22">
        <f t="shared" si="7"/>
        <v>143530.4448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 hidden="1">
      <c r="A19" s="30"/>
      <c r="B19" s="11">
        <v>46114.0</v>
      </c>
      <c r="C19" s="12">
        <f>VLOOKUP(B:B,'Курс валют'!A:D,4,0)</f>
        <v>93.4443</v>
      </c>
      <c r="D19" s="13" t="s">
        <v>656</v>
      </c>
      <c r="E19" s="14" t="s">
        <v>54</v>
      </c>
      <c r="F19" s="15">
        <v>800.0</v>
      </c>
      <c r="G19" s="16">
        <v>805.14</v>
      </c>
      <c r="H19" s="27">
        <v>0.0</v>
      </c>
      <c r="I19" s="16">
        <f t="shared" si="1"/>
        <v>5.14</v>
      </c>
      <c r="J19" s="18">
        <f t="shared" si="2"/>
        <v>0.6425</v>
      </c>
      <c r="K19" s="17">
        <v>1.92</v>
      </c>
      <c r="L19" s="19">
        <f t="shared" si="3"/>
        <v>0</v>
      </c>
      <c r="M19" s="20">
        <f t="shared" si="4"/>
        <v>179.413056</v>
      </c>
      <c r="N19" s="21">
        <f t="shared" si="5"/>
        <v>1.92</v>
      </c>
      <c r="O19" s="21">
        <f t="shared" si="6"/>
        <v>1536</v>
      </c>
      <c r="P19" s="22">
        <f t="shared" si="7"/>
        <v>143530.4448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 hidden="1">
      <c r="A20" s="30"/>
      <c r="B20" s="11">
        <v>46114.0</v>
      </c>
      <c r="C20" s="12">
        <f>VLOOKUP(B:B,'Курс валют'!A:D,4,0)</f>
        <v>93.4443</v>
      </c>
      <c r="D20" s="13" t="s">
        <v>657</v>
      </c>
      <c r="E20" s="14" t="s">
        <v>54</v>
      </c>
      <c r="F20" s="15">
        <v>800.0</v>
      </c>
      <c r="G20" s="16">
        <v>805.14</v>
      </c>
      <c r="H20" s="27">
        <v>0.0</v>
      </c>
      <c r="I20" s="16">
        <f t="shared" si="1"/>
        <v>5.14</v>
      </c>
      <c r="J20" s="18">
        <f t="shared" si="2"/>
        <v>0.6425</v>
      </c>
      <c r="K20" s="17">
        <v>1.92</v>
      </c>
      <c r="L20" s="19">
        <f t="shared" si="3"/>
        <v>0</v>
      </c>
      <c r="M20" s="20">
        <f t="shared" si="4"/>
        <v>179.413056</v>
      </c>
      <c r="N20" s="21">
        <f t="shared" si="5"/>
        <v>1.92</v>
      </c>
      <c r="O20" s="21">
        <f t="shared" si="6"/>
        <v>1536</v>
      </c>
      <c r="P20" s="22">
        <f t="shared" si="7"/>
        <v>143530.4448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 hidden="1">
      <c r="A21" s="30"/>
      <c r="B21" s="11">
        <v>46114.0</v>
      </c>
      <c r="C21" s="12">
        <f>VLOOKUP(B:B,'Курс валют'!A:D,4,0)</f>
        <v>93.4443</v>
      </c>
      <c r="D21" s="13" t="s">
        <v>658</v>
      </c>
      <c r="E21" s="14" t="s">
        <v>54</v>
      </c>
      <c r="F21" s="15">
        <v>800.0</v>
      </c>
      <c r="G21" s="16">
        <v>805.14</v>
      </c>
      <c r="H21" s="27">
        <v>0.0</v>
      </c>
      <c r="I21" s="16">
        <f t="shared" si="1"/>
        <v>5.14</v>
      </c>
      <c r="J21" s="18">
        <f t="shared" si="2"/>
        <v>0.6425</v>
      </c>
      <c r="K21" s="17">
        <v>1.93</v>
      </c>
      <c r="L21" s="19">
        <f t="shared" si="3"/>
        <v>0</v>
      </c>
      <c r="M21" s="20">
        <f t="shared" si="4"/>
        <v>180.347499</v>
      </c>
      <c r="N21" s="21">
        <f t="shared" si="5"/>
        <v>1.93</v>
      </c>
      <c r="O21" s="21">
        <f t="shared" si="6"/>
        <v>1544</v>
      </c>
      <c r="P21" s="22">
        <f t="shared" si="7"/>
        <v>144277.9992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 hidden="1">
      <c r="A22" s="30"/>
      <c r="B22" s="11">
        <v>46114.0</v>
      </c>
      <c r="C22" s="12">
        <f>VLOOKUP(B:B,'Курс валют'!A:D,4,0)</f>
        <v>93.4443</v>
      </c>
      <c r="D22" s="13" t="s">
        <v>659</v>
      </c>
      <c r="E22" s="14" t="s">
        <v>54</v>
      </c>
      <c r="F22" s="15">
        <v>800.0</v>
      </c>
      <c r="G22" s="16">
        <v>805.14</v>
      </c>
      <c r="H22" s="27">
        <v>0.0</v>
      </c>
      <c r="I22" s="16">
        <f t="shared" si="1"/>
        <v>5.14</v>
      </c>
      <c r="J22" s="18">
        <f t="shared" si="2"/>
        <v>0.6425</v>
      </c>
      <c r="K22" s="17">
        <v>1.92</v>
      </c>
      <c r="L22" s="19">
        <f t="shared" si="3"/>
        <v>0</v>
      </c>
      <c r="M22" s="20">
        <f t="shared" si="4"/>
        <v>179.413056</v>
      </c>
      <c r="N22" s="21">
        <f t="shared" si="5"/>
        <v>1.92</v>
      </c>
      <c r="O22" s="21">
        <f t="shared" si="6"/>
        <v>1536</v>
      </c>
      <c r="P22" s="22">
        <f t="shared" si="7"/>
        <v>143530.4448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 hidden="1">
      <c r="A23" s="30"/>
      <c r="B23" s="11">
        <v>46114.0</v>
      </c>
      <c r="C23" s="12">
        <f>VLOOKUP(B:B,'Курс валют'!A:D,4,0)</f>
        <v>93.4443</v>
      </c>
      <c r="D23" s="13" t="s">
        <v>660</v>
      </c>
      <c r="E23" s="14" t="s">
        <v>54</v>
      </c>
      <c r="F23" s="15">
        <v>800.0</v>
      </c>
      <c r="G23" s="16">
        <v>805.14</v>
      </c>
      <c r="H23" s="27">
        <v>0.0</v>
      </c>
      <c r="I23" s="16">
        <f t="shared" si="1"/>
        <v>5.14</v>
      </c>
      <c r="J23" s="18">
        <f t="shared" si="2"/>
        <v>0.6425</v>
      </c>
      <c r="K23" s="17">
        <v>1.92</v>
      </c>
      <c r="L23" s="19">
        <f t="shared" si="3"/>
        <v>0</v>
      </c>
      <c r="M23" s="20">
        <f t="shared" si="4"/>
        <v>179.413056</v>
      </c>
      <c r="N23" s="21">
        <f t="shared" si="5"/>
        <v>1.92</v>
      </c>
      <c r="O23" s="21">
        <f t="shared" si="6"/>
        <v>1536</v>
      </c>
      <c r="P23" s="22">
        <f t="shared" si="7"/>
        <v>143530.4448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 hidden="1">
      <c r="A24" s="30"/>
      <c r="B24" s="11">
        <v>46114.0</v>
      </c>
      <c r="C24" s="12">
        <f>VLOOKUP(B:B,'Курс валют'!A:D,4,0)</f>
        <v>93.4443</v>
      </c>
      <c r="D24" s="13" t="s">
        <v>661</v>
      </c>
      <c r="E24" s="14" t="s">
        <v>54</v>
      </c>
      <c r="F24" s="15">
        <v>800.0</v>
      </c>
      <c r="G24" s="16">
        <v>805.14</v>
      </c>
      <c r="H24" s="27">
        <v>0.0</v>
      </c>
      <c r="I24" s="16">
        <f t="shared" si="1"/>
        <v>5.14</v>
      </c>
      <c r="J24" s="18">
        <f t="shared" si="2"/>
        <v>0.6425</v>
      </c>
      <c r="K24" s="17">
        <v>1.92</v>
      </c>
      <c r="L24" s="19">
        <f t="shared" si="3"/>
        <v>0</v>
      </c>
      <c r="M24" s="20">
        <f t="shared" si="4"/>
        <v>179.413056</v>
      </c>
      <c r="N24" s="21">
        <f t="shared" si="5"/>
        <v>1.92</v>
      </c>
      <c r="O24" s="21">
        <f t="shared" si="6"/>
        <v>1536</v>
      </c>
      <c r="P24" s="22">
        <f t="shared" si="7"/>
        <v>143530.4448</v>
      </c>
      <c r="R24" s="23"/>
      <c r="S24" s="24"/>
      <c r="T24" s="25"/>
      <c r="U24" s="25"/>
      <c r="V24" s="25"/>
      <c r="W24" s="25"/>
      <c r="X24" s="25"/>
      <c r="Y24" s="25"/>
      <c r="Z24" s="25"/>
      <c r="AA24" s="25"/>
    </row>
    <row r="25" hidden="1">
      <c r="A25" s="30"/>
      <c r="B25" s="11">
        <v>46114.0</v>
      </c>
      <c r="C25" s="12">
        <f>VLOOKUP(B:B,'Курс валют'!A:D,4,0)</f>
        <v>93.4443</v>
      </c>
      <c r="D25" s="13" t="s">
        <v>662</v>
      </c>
      <c r="E25" s="14" t="s">
        <v>54</v>
      </c>
      <c r="F25" s="15">
        <v>800.0</v>
      </c>
      <c r="G25" s="16">
        <v>805.14</v>
      </c>
      <c r="H25" s="27">
        <v>0.0</v>
      </c>
      <c r="I25" s="15">
        <v>2.5</v>
      </c>
      <c r="J25" s="18">
        <f t="shared" si="2"/>
        <v>0.3125</v>
      </c>
      <c r="K25" s="17">
        <v>1.92</v>
      </c>
      <c r="L25" s="19">
        <f t="shared" si="3"/>
        <v>0</v>
      </c>
      <c r="M25" s="20">
        <f t="shared" si="4"/>
        <v>179.413056</v>
      </c>
      <c r="N25" s="21">
        <f t="shared" si="5"/>
        <v>1.92</v>
      </c>
      <c r="O25" s="21">
        <f t="shared" si="6"/>
        <v>1536</v>
      </c>
      <c r="P25" s="22">
        <f t="shared" si="7"/>
        <v>143530.4448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 hidden="1">
      <c r="A26" s="30"/>
      <c r="B26" s="11">
        <v>46114.0</v>
      </c>
      <c r="C26" s="12">
        <f>VLOOKUP(B:B,'Курс валют'!A:D,4,0)</f>
        <v>93.4443</v>
      </c>
      <c r="D26" s="13" t="s">
        <v>663</v>
      </c>
      <c r="E26" s="26" t="s">
        <v>128</v>
      </c>
      <c r="F26" s="15">
        <v>2200.0</v>
      </c>
      <c r="G26" s="16">
        <v>2239.305</v>
      </c>
      <c r="H26" s="17">
        <v>0.0</v>
      </c>
      <c r="I26" s="16">
        <f t="shared" ref="I26:I58" si="8">G26-F26</f>
        <v>39.305</v>
      </c>
      <c r="J26" s="18">
        <f t="shared" si="2"/>
        <v>1.786590909</v>
      </c>
      <c r="K26" s="17">
        <v>1.91</v>
      </c>
      <c r="L26" s="19">
        <f t="shared" si="3"/>
        <v>0</v>
      </c>
      <c r="M26" s="20">
        <f t="shared" si="4"/>
        <v>178.478613</v>
      </c>
      <c r="N26" s="21">
        <f t="shared" si="5"/>
        <v>1.91</v>
      </c>
      <c r="O26" s="21">
        <f t="shared" si="6"/>
        <v>4202</v>
      </c>
      <c r="P26" s="22">
        <f t="shared" si="7"/>
        <v>392652.9486</v>
      </c>
      <c r="R26" s="23"/>
      <c r="S26" s="24"/>
      <c r="T26" s="25"/>
      <c r="U26" s="25"/>
      <c r="V26" s="25"/>
      <c r="W26" s="25"/>
      <c r="X26" s="25"/>
      <c r="Y26" s="25"/>
      <c r="Z26" s="25"/>
      <c r="AA26" s="25"/>
    </row>
    <row r="27" hidden="1">
      <c r="A27" s="30"/>
      <c r="B27" s="11">
        <v>46115.0</v>
      </c>
      <c r="C27" s="12">
        <f>VLOOKUP(B:B,'Курс валют'!A:D,4,0)</f>
        <v>92.7326</v>
      </c>
      <c r="D27" s="13" t="s">
        <v>664</v>
      </c>
      <c r="E27" s="26" t="s">
        <v>53</v>
      </c>
      <c r="F27" s="15">
        <v>800.0</v>
      </c>
      <c r="G27" s="16">
        <v>805.12</v>
      </c>
      <c r="H27" s="17">
        <v>0.0</v>
      </c>
      <c r="I27" s="16">
        <f t="shared" si="8"/>
        <v>5.12</v>
      </c>
      <c r="J27" s="18">
        <f t="shared" si="2"/>
        <v>0.64</v>
      </c>
      <c r="K27" s="17">
        <v>1.9</v>
      </c>
      <c r="L27" s="19">
        <f t="shared" si="3"/>
        <v>0</v>
      </c>
      <c r="M27" s="20">
        <f t="shared" si="4"/>
        <v>176.19194</v>
      </c>
      <c r="N27" s="21">
        <f t="shared" si="5"/>
        <v>1.9</v>
      </c>
      <c r="O27" s="21">
        <f t="shared" si="6"/>
        <v>1520</v>
      </c>
      <c r="P27" s="22">
        <f t="shared" si="7"/>
        <v>140953.552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 ht="15.0" hidden="1" customHeight="1">
      <c r="A28" s="30"/>
      <c r="B28" s="11">
        <v>46115.0</v>
      </c>
      <c r="C28" s="12">
        <f>VLOOKUP(B:B,'Курс валют'!A:D,4,0)</f>
        <v>92.7326</v>
      </c>
      <c r="D28" s="13" t="s">
        <v>665</v>
      </c>
      <c r="E28" s="26" t="s">
        <v>53</v>
      </c>
      <c r="F28" s="15">
        <v>800.0</v>
      </c>
      <c r="G28" s="16">
        <v>805.12</v>
      </c>
      <c r="H28" s="17">
        <v>0.0</v>
      </c>
      <c r="I28" s="16">
        <f t="shared" si="8"/>
        <v>5.12</v>
      </c>
      <c r="J28" s="18">
        <f t="shared" si="2"/>
        <v>0.64</v>
      </c>
      <c r="K28" s="17">
        <v>1.89</v>
      </c>
      <c r="L28" s="19">
        <f t="shared" si="3"/>
        <v>0</v>
      </c>
      <c r="M28" s="20">
        <f t="shared" si="4"/>
        <v>175.264614</v>
      </c>
      <c r="N28" s="21">
        <f t="shared" si="5"/>
        <v>1.89</v>
      </c>
      <c r="O28" s="21">
        <f t="shared" si="6"/>
        <v>1512</v>
      </c>
      <c r="P28" s="22">
        <f t="shared" si="7"/>
        <v>140211.6912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 hidden="1">
      <c r="A29" s="30"/>
      <c r="B29" s="11">
        <v>46115.0</v>
      </c>
      <c r="C29" s="12">
        <f>VLOOKUP(B:B,'Курс валют'!A:D,4,0)</f>
        <v>92.7326</v>
      </c>
      <c r="D29" s="13" t="s">
        <v>666</v>
      </c>
      <c r="E29" s="26" t="s">
        <v>53</v>
      </c>
      <c r="F29" s="15">
        <v>800.0</v>
      </c>
      <c r="G29" s="16">
        <v>805.12</v>
      </c>
      <c r="H29" s="17">
        <v>0.0</v>
      </c>
      <c r="I29" s="16">
        <f t="shared" si="8"/>
        <v>5.12</v>
      </c>
      <c r="J29" s="18">
        <f t="shared" si="2"/>
        <v>0.64</v>
      </c>
      <c r="K29" s="17">
        <v>1.89</v>
      </c>
      <c r="L29" s="19">
        <f t="shared" si="3"/>
        <v>0</v>
      </c>
      <c r="M29" s="20">
        <f t="shared" si="4"/>
        <v>175.264614</v>
      </c>
      <c r="N29" s="21">
        <f t="shared" si="5"/>
        <v>1.89</v>
      </c>
      <c r="O29" s="21">
        <f t="shared" si="6"/>
        <v>1512</v>
      </c>
      <c r="P29" s="22">
        <f t="shared" si="7"/>
        <v>140211.6912</v>
      </c>
      <c r="R29" s="23"/>
      <c r="S29" s="25"/>
      <c r="T29" s="25"/>
      <c r="U29" s="25"/>
      <c r="V29" s="25"/>
      <c r="W29" s="25"/>
      <c r="X29" s="25"/>
      <c r="Y29" s="25"/>
      <c r="Z29" s="25"/>
      <c r="AA29" s="25"/>
    </row>
    <row r="30" hidden="1">
      <c r="A30" s="30"/>
      <c r="B30" s="11">
        <v>46115.0</v>
      </c>
      <c r="C30" s="12">
        <f>VLOOKUP(B:B,'Курс валют'!A:D,4,0)</f>
        <v>92.7326</v>
      </c>
      <c r="D30" s="13" t="s">
        <v>667</v>
      </c>
      <c r="E30" s="26" t="s">
        <v>53</v>
      </c>
      <c r="F30" s="15">
        <v>800.0</v>
      </c>
      <c r="G30" s="16">
        <v>805.12</v>
      </c>
      <c r="H30" s="17">
        <v>0.0</v>
      </c>
      <c r="I30" s="16">
        <f t="shared" si="8"/>
        <v>5.12</v>
      </c>
      <c r="J30" s="18">
        <f t="shared" si="2"/>
        <v>0.64</v>
      </c>
      <c r="K30" s="17">
        <v>1.86</v>
      </c>
      <c r="L30" s="19">
        <f t="shared" si="3"/>
        <v>0</v>
      </c>
      <c r="M30" s="20">
        <f t="shared" si="4"/>
        <v>172.482636</v>
      </c>
      <c r="N30" s="21">
        <f t="shared" si="5"/>
        <v>1.86</v>
      </c>
      <c r="O30" s="21">
        <f t="shared" si="6"/>
        <v>1488</v>
      </c>
      <c r="P30" s="22">
        <f t="shared" si="7"/>
        <v>137986.1088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 hidden="1">
      <c r="A31" s="30"/>
      <c r="B31" s="11">
        <v>46115.0</v>
      </c>
      <c r="C31" s="12">
        <f>VLOOKUP(B:B,'Курс валют'!A:D,4,0)</f>
        <v>92.7326</v>
      </c>
      <c r="D31" s="13" t="s">
        <v>668</v>
      </c>
      <c r="E31" s="26" t="s">
        <v>53</v>
      </c>
      <c r="F31" s="15">
        <v>800.0</v>
      </c>
      <c r="G31" s="16">
        <v>805.12</v>
      </c>
      <c r="H31" s="58">
        <v>0.0</v>
      </c>
      <c r="I31" s="16">
        <f t="shared" si="8"/>
        <v>5.12</v>
      </c>
      <c r="J31" s="18">
        <f t="shared" si="2"/>
        <v>0.64</v>
      </c>
      <c r="K31" s="58">
        <v>1.86</v>
      </c>
      <c r="L31" s="19">
        <f t="shared" si="3"/>
        <v>0</v>
      </c>
      <c r="M31" s="20">
        <f t="shared" si="4"/>
        <v>172.482636</v>
      </c>
      <c r="N31" s="21">
        <f t="shared" si="5"/>
        <v>1.86</v>
      </c>
      <c r="O31" s="21">
        <f t="shared" si="6"/>
        <v>1488</v>
      </c>
      <c r="P31" s="22">
        <f t="shared" si="7"/>
        <v>137986.1088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 hidden="1">
      <c r="A32" s="30"/>
      <c r="B32" s="11">
        <v>46115.0</v>
      </c>
      <c r="C32" s="12">
        <f>VLOOKUP(B:B,'Курс валют'!A:D,4,0)</f>
        <v>92.7326</v>
      </c>
      <c r="D32" s="13" t="s">
        <v>669</v>
      </c>
      <c r="E32" s="59" t="s">
        <v>53</v>
      </c>
      <c r="F32" s="15">
        <v>800.0</v>
      </c>
      <c r="G32" s="15">
        <v>805.12</v>
      </c>
      <c r="H32" s="58">
        <v>0.0</v>
      </c>
      <c r="I32" s="15">
        <f t="shared" si="8"/>
        <v>5.12</v>
      </c>
      <c r="J32" s="18">
        <f t="shared" si="2"/>
        <v>0.64</v>
      </c>
      <c r="K32" s="58">
        <v>1.9</v>
      </c>
      <c r="L32" s="19">
        <f t="shared" si="3"/>
        <v>0</v>
      </c>
      <c r="M32" s="20">
        <f t="shared" si="4"/>
        <v>176.19194</v>
      </c>
      <c r="N32" s="21">
        <f t="shared" si="5"/>
        <v>1.9</v>
      </c>
      <c r="O32" s="21">
        <f t="shared" si="6"/>
        <v>1520</v>
      </c>
      <c r="P32" s="22">
        <f t="shared" si="7"/>
        <v>140953.552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 hidden="1">
      <c r="A33" s="30"/>
      <c r="B33" s="11">
        <v>46115.0</v>
      </c>
      <c r="C33" s="12">
        <f>VLOOKUP(B:B,'Курс валют'!A:D,4,0)</f>
        <v>92.7326</v>
      </c>
      <c r="D33" s="13" t="s">
        <v>670</v>
      </c>
      <c r="E33" s="59" t="s">
        <v>53</v>
      </c>
      <c r="F33" s="15">
        <v>800.0</v>
      </c>
      <c r="G33" s="15">
        <v>805.12</v>
      </c>
      <c r="H33" s="58">
        <v>0.0</v>
      </c>
      <c r="I33" s="15">
        <f t="shared" si="8"/>
        <v>5.12</v>
      </c>
      <c r="J33" s="18">
        <f t="shared" si="2"/>
        <v>0.64</v>
      </c>
      <c r="K33" s="58">
        <v>1.89</v>
      </c>
      <c r="L33" s="19">
        <f t="shared" si="3"/>
        <v>0</v>
      </c>
      <c r="M33" s="20">
        <f t="shared" si="4"/>
        <v>175.264614</v>
      </c>
      <c r="N33" s="21">
        <f t="shared" si="5"/>
        <v>1.89</v>
      </c>
      <c r="O33" s="21">
        <f t="shared" si="6"/>
        <v>1512</v>
      </c>
      <c r="P33" s="22">
        <f t="shared" si="7"/>
        <v>140211.6912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 hidden="1">
      <c r="A34" s="30"/>
      <c r="B34" s="11">
        <v>46115.0</v>
      </c>
      <c r="C34" s="12">
        <f>VLOOKUP(B:B,'Курс валют'!A:D,4,0)</f>
        <v>92.7326</v>
      </c>
      <c r="D34" s="13" t="s">
        <v>671</v>
      </c>
      <c r="E34" s="59" t="s">
        <v>53</v>
      </c>
      <c r="F34" s="15">
        <v>800.0</v>
      </c>
      <c r="G34" s="15">
        <v>805.12</v>
      </c>
      <c r="H34" s="58">
        <v>0.0</v>
      </c>
      <c r="I34" s="15">
        <f t="shared" si="8"/>
        <v>5.12</v>
      </c>
      <c r="J34" s="18">
        <f t="shared" si="2"/>
        <v>0.64</v>
      </c>
      <c r="K34" s="58">
        <v>1.89</v>
      </c>
      <c r="L34" s="19">
        <f t="shared" si="3"/>
        <v>0</v>
      </c>
      <c r="M34" s="20">
        <f t="shared" si="4"/>
        <v>175.264614</v>
      </c>
      <c r="N34" s="21">
        <f t="shared" si="5"/>
        <v>1.89</v>
      </c>
      <c r="O34" s="21">
        <f t="shared" si="6"/>
        <v>1512</v>
      </c>
      <c r="P34" s="22">
        <f t="shared" si="7"/>
        <v>140211.6912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 hidden="1">
      <c r="A35" s="30"/>
      <c r="B35" s="11">
        <v>46115.0</v>
      </c>
      <c r="C35" s="12">
        <f>VLOOKUP(B:B,'Курс валют'!A:D,4,0)</f>
        <v>92.7326</v>
      </c>
      <c r="D35" s="13" t="s">
        <v>672</v>
      </c>
      <c r="E35" s="59" t="s">
        <v>53</v>
      </c>
      <c r="F35" s="15">
        <v>800.0</v>
      </c>
      <c r="G35" s="15">
        <v>805.12</v>
      </c>
      <c r="H35" s="58">
        <v>0.0</v>
      </c>
      <c r="I35" s="15">
        <f t="shared" si="8"/>
        <v>5.12</v>
      </c>
      <c r="J35" s="18">
        <f t="shared" si="2"/>
        <v>0.64</v>
      </c>
      <c r="K35" s="58">
        <v>1.89</v>
      </c>
      <c r="L35" s="19">
        <f t="shared" si="3"/>
        <v>0</v>
      </c>
      <c r="M35" s="20">
        <f t="shared" si="4"/>
        <v>175.264614</v>
      </c>
      <c r="N35" s="21">
        <f t="shared" si="5"/>
        <v>1.89</v>
      </c>
      <c r="O35" s="21">
        <f t="shared" si="6"/>
        <v>1512</v>
      </c>
      <c r="P35" s="22">
        <f t="shared" si="7"/>
        <v>140211.6912</v>
      </c>
      <c r="R35" s="23"/>
      <c r="S35" s="57"/>
      <c r="T35" s="25"/>
      <c r="U35" s="25"/>
      <c r="V35" s="25"/>
      <c r="W35" s="25"/>
      <c r="X35" s="25"/>
      <c r="Y35" s="25"/>
      <c r="Z35" s="25"/>
      <c r="AA35" s="25"/>
    </row>
    <row r="36" hidden="1">
      <c r="A36" s="30"/>
      <c r="B36" s="11">
        <v>46115.0</v>
      </c>
      <c r="C36" s="12">
        <f>VLOOKUP(B:B,'Курс валют'!A:D,4,0)</f>
        <v>92.7326</v>
      </c>
      <c r="D36" s="13" t="s">
        <v>673</v>
      </c>
      <c r="E36" s="59" t="s">
        <v>128</v>
      </c>
      <c r="F36" s="15">
        <v>2200.0</v>
      </c>
      <c r="G36" s="16">
        <v>2238.52</v>
      </c>
      <c r="H36" s="17">
        <v>0.0</v>
      </c>
      <c r="I36" s="16">
        <f t="shared" si="8"/>
        <v>38.52</v>
      </c>
      <c r="J36" s="18">
        <f t="shared" si="2"/>
        <v>1.750909091</v>
      </c>
      <c r="K36" s="58">
        <v>1.95</v>
      </c>
      <c r="L36" s="19">
        <f t="shared" si="3"/>
        <v>0</v>
      </c>
      <c r="M36" s="20">
        <f t="shared" si="4"/>
        <v>180.82857</v>
      </c>
      <c r="N36" s="21">
        <f t="shared" si="5"/>
        <v>1.95</v>
      </c>
      <c r="O36" s="21">
        <f t="shared" si="6"/>
        <v>4290</v>
      </c>
      <c r="P36" s="22">
        <f t="shared" si="7"/>
        <v>397822.854</v>
      </c>
      <c r="R36" s="23"/>
      <c r="S36" s="25"/>
      <c r="T36" s="25"/>
      <c r="U36" s="25"/>
      <c r="V36" s="25"/>
      <c r="W36" s="25"/>
      <c r="X36" s="25"/>
      <c r="Y36" s="25"/>
      <c r="Z36" s="25"/>
      <c r="AA36" s="25"/>
    </row>
    <row r="37" hidden="1">
      <c r="A37" s="30"/>
      <c r="B37" s="11">
        <v>46115.0</v>
      </c>
      <c r="C37" s="12">
        <f>VLOOKUP(B:B,'Курс валют'!A:D,4,0)</f>
        <v>92.7326</v>
      </c>
      <c r="D37" s="13" t="s">
        <v>674</v>
      </c>
      <c r="E37" s="59" t="s">
        <v>53</v>
      </c>
      <c r="F37" s="15">
        <v>800.0</v>
      </c>
      <c r="G37" s="60">
        <v>805.12</v>
      </c>
      <c r="H37" s="17">
        <v>0.0</v>
      </c>
      <c r="I37" s="16">
        <f t="shared" si="8"/>
        <v>5.12</v>
      </c>
      <c r="J37" s="18">
        <f t="shared" si="2"/>
        <v>0.64</v>
      </c>
      <c r="K37" s="58">
        <v>1.89</v>
      </c>
      <c r="L37" s="19">
        <f t="shared" si="3"/>
        <v>0</v>
      </c>
      <c r="M37" s="20">
        <f t="shared" si="4"/>
        <v>175.264614</v>
      </c>
      <c r="N37" s="21">
        <f t="shared" si="5"/>
        <v>1.89</v>
      </c>
      <c r="O37" s="21">
        <f t="shared" si="6"/>
        <v>1512</v>
      </c>
      <c r="P37" s="22">
        <f t="shared" si="7"/>
        <v>140211.6912</v>
      </c>
      <c r="R37" s="23"/>
      <c r="S37" s="25"/>
      <c r="T37" s="25"/>
      <c r="U37" s="25"/>
      <c r="V37" s="25"/>
      <c r="W37" s="25"/>
      <c r="X37" s="25"/>
      <c r="Y37" s="25"/>
      <c r="Z37" s="25"/>
      <c r="AA37" s="25"/>
    </row>
    <row r="38" hidden="1">
      <c r="A38" s="30"/>
      <c r="B38" s="11">
        <v>46116.0</v>
      </c>
      <c r="C38" s="12">
        <f>VLOOKUP(B:B,'Курс валют'!A:D,4,0)</f>
        <v>92.1915</v>
      </c>
      <c r="D38" s="13" t="s">
        <v>675</v>
      </c>
      <c r="E38" s="59" t="s">
        <v>128</v>
      </c>
      <c r="F38" s="15">
        <v>2200.0</v>
      </c>
      <c r="G38" s="16">
        <v>2233.52</v>
      </c>
      <c r="H38" s="17">
        <v>0.0</v>
      </c>
      <c r="I38" s="16">
        <f t="shared" si="8"/>
        <v>33.52</v>
      </c>
      <c r="J38" s="18">
        <f t="shared" si="2"/>
        <v>1.523636364</v>
      </c>
      <c r="K38" s="58">
        <v>1.92</v>
      </c>
      <c r="L38" s="19">
        <f t="shared" si="3"/>
        <v>0</v>
      </c>
      <c r="M38" s="20">
        <f t="shared" si="4"/>
        <v>177.00768</v>
      </c>
      <c r="N38" s="21">
        <f t="shared" si="5"/>
        <v>1.92</v>
      </c>
      <c r="O38" s="21">
        <f t="shared" si="6"/>
        <v>4224</v>
      </c>
      <c r="P38" s="22">
        <f t="shared" si="7"/>
        <v>389416.896</v>
      </c>
      <c r="R38" s="23"/>
      <c r="S38" s="24"/>
      <c r="T38" s="25"/>
      <c r="U38" s="25"/>
      <c r="V38" s="25"/>
      <c r="W38" s="25"/>
      <c r="X38" s="25"/>
      <c r="Y38" s="25"/>
      <c r="Z38" s="25"/>
      <c r="AA38" s="25"/>
    </row>
    <row r="39" hidden="1">
      <c r="A39" s="30"/>
      <c r="B39" s="11">
        <v>46116.0</v>
      </c>
      <c r="C39" s="12">
        <f>VLOOKUP(B:B,'Курс валют'!A:D,4,0)</f>
        <v>92.1915</v>
      </c>
      <c r="D39" s="13" t="s">
        <v>676</v>
      </c>
      <c r="E39" s="59" t="s">
        <v>128</v>
      </c>
      <c r="F39" s="15">
        <v>2200.0</v>
      </c>
      <c r="G39" s="60">
        <v>2233.52</v>
      </c>
      <c r="H39" s="17">
        <v>0.0</v>
      </c>
      <c r="I39" s="16">
        <f t="shared" si="8"/>
        <v>33.52</v>
      </c>
      <c r="J39" s="18">
        <f t="shared" si="2"/>
        <v>1.523636364</v>
      </c>
      <c r="K39" s="58">
        <v>1.92</v>
      </c>
      <c r="L39" s="19">
        <f t="shared" si="3"/>
        <v>0</v>
      </c>
      <c r="M39" s="20">
        <f t="shared" si="4"/>
        <v>177.00768</v>
      </c>
      <c r="N39" s="21">
        <f t="shared" si="5"/>
        <v>1.92</v>
      </c>
      <c r="O39" s="21">
        <f t="shared" si="6"/>
        <v>4224</v>
      </c>
      <c r="P39" s="22">
        <f t="shared" si="7"/>
        <v>389416.896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 hidden="1">
      <c r="A40" s="30"/>
      <c r="B40" s="11">
        <v>46116.0</v>
      </c>
      <c r="C40" s="12">
        <f>VLOOKUP(B:B,'Курс валют'!A:D,4,0)</f>
        <v>92.1915</v>
      </c>
      <c r="D40" s="13" t="s">
        <v>677</v>
      </c>
      <c r="E40" s="59" t="s">
        <v>18</v>
      </c>
      <c r="F40" s="15">
        <v>1100.0</v>
      </c>
      <c r="G40" s="60">
        <v>1107.5</v>
      </c>
      <c r="H40" s="17">
        <v>0.0</v>
      </c>
      <c r="I40" s="16">
        <f t="shared" si="8"/>
        <v>7.5</v>
      </c>
      <c r="J40" s="18">
        <f t="shared" si="2"/>
        <v>0.6818181818</v>
      </c>
      <c r="K40" s="17">
        <v>2.35</v>
      </c>
      <c r="L40" s="19">
        <f t="shared" si="3"/>
        <v>0</v>
      </c>
      <c r="M40" s="20">
        <f t="shared" si="4"/>
        <v>216.650025</v>
      </c>
      <c r="N40" s="21">
        <f t="shared" si="5"/>
        <v>2.35</v>
      </c>
      <c r="O40" s="21">
        <f t="shared" si="6"/>
        <v>2585</v>
      </c>
      <c r="P40" s="22">
        <f t="shared" si="7"/>
        <v>238315.0275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 hidden="1">
      <c r="A41" s="30"/>
      <c r="B41" s="11">
        <v>46116.0</v>
      </c>
      <c r="C41" s="12">
        <f>VLOOKUP(B:B,'Курс валют'!A:D,4,0)</f>
        <v>92.1915</v>
      </c>
      <c r="D41" s="13" t="s">
        <v>678</v>
      </c>
      <c r="E41" s="59" t="s">
        <v>18</v>
      </c>
      <c r="F41" s="15">
        <v>1100.0</v>
      </c>
      <c r="G41" s="60">
        <v>1107.5</v>
      </c>
      <c r="H41" s="17">
        <v>0.0</v>
      </c>
      <c r="I41" s="16">
        <f t="shared" si="8"/>
        <v>7.5</v>
      </c>
      <c r="J41" s="18">
        <f t="shared" si="2"/>
        <v>0.6818181818</v>
      </c>
      <c r="K41" s="17">
        <v>2.34</v>
      </c>
      <c r="L41" s="19">
        <f t="shared" si="3"/>
        <v>0</v>
      </c>
      <c r="M41" s="20">
        <f t="shared" si="4"/>
        <v>215.72811</v>
      </c>
      <c r="N41" s="21">
        <f t="shared" si="5"/>
        <v>2.34</v>
      </c>
      <c r="O41" s="21">
        <f t="shared" si="6"/>
        <v>2574</v>
      </c>
      <c r="P41" s="22">
        <f t="shared" si="7"/>
        <v>237300.921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 hidden="1">
      <c r="A42" s="30"/>
      <c r="B42" s="11">
        <v>46116.0</v>
      </c>
      <c r="C42" s="12">
        <f>VLOOKUP(B:B,'Курс валют'!A:D,4,0)</f>
        <v>92.1915</v>
      </c>
      <c r="D42" s="13" t="s">
        <v>679</v>
      </c>
      <c r="E42" s="59" t="s">
        <v>18</v>
      </c>
      <c r="F42" s="15">
        <v>1100.0</v>
      </c>
      <c r="G42" s="60">
        <v>1107.5</v>
      </c>
      <c r="H42" s="17">
        <v>0.0</v>
      </c>
      <c r="I42" s="16">
        <f t="shared" si="8"/>
        <v>7.5</v>
      </c>
      <c r="J42" s="18">
        <f t="shared" si="2"/>
        <v>0.6818181818</v>
      </c>
      <c r="K42" s="17">
        <v>2.34</v>
      </c>
      <c r="L42" s="19">
        <f t="shared" si="3"/>
        <v>0</v>
      </c>
      <c r="M42" s="20">
        <f t="shared" si="4"/>
        <v>215.72811</v>
      </c>
      <c r="N42" s="21">
        <f t="shared" si="5"/>
        <v>2.34</v>
      </c>
      <c r="O42" s="21">
        <f t="shared" si="6"/>
        <v>2574</v>
      </c>
      <c r="P42" s="22">
        <f t="shared" si="7"/>
        <v>237300.921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 hidden="1">
      <c r="A43" s="30"/>
      <c r="B43" s="11">
        <v>46116.0</v>
      </c>
      <c r="C43" s="12">
        <f>VLOOKUP(B:B,'Курс валют'!A:D,4,0)</f>
        <v>92.1915</v>
      </c>
      <c r="D43" s="13" t="s">
        <v>680</v>
      </c>
      <c r="E43" s="59" t="s">
        <v>18</v>
      </c>
      <c r="F43" s="15">
        <v>1100.0</v>
      </c>
      <c r="G43" s="60">
        <v>1107.5</v>
      </c>
      <c r="H43" s="17">
        <v>0.0</v>
      </c>
      <c r="I43" s="16">
        <f t="shared" si="8"/>
        <v>7.5</v>
      </c>
      <c r="J43" s="18">
        <f t="shared" si="2"/>
        <v>0.6818181818</v>
      </c>
      <c r="K43" s="17">
        <v>2.34</v>
      </c>
      <c r="L43" s="19">
        <f t="shared" si="3"/>
        <v>0</v>
      </c>
      <c r="M43" s="20">
        <f t="shared" si="4"/>
        <v>215.72811</v>
      </c>
      <c r="N43" s="21">
        <f t="shared" si="5"/>
        <v>2.34</v>
      </c>
      <c r="O43" s="21">
        <f t="shared" si="6"/>
        <v>2574</v>
      </c>
      <c r="P43" s="22">
        <f t="shared" si="7"/>
        <v>237300.921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 hidden="1">
      <c r="A44" s="30"/>
      <c r="B44" s="11">
        <v>46116.0</v>
      </c>
      <c r="C44" s="12">
        <f>VLOOKUP(B:B,'Курс валют'!A:D,4,0)</f>
        <v>92.1915</v>
      </c>
      <c r="D44" s="13" t="s">
        <v>681</v>
      </c>
      <c r="E44" s="59" t="s">
        <v>18</v>
      </c>
      <c r="F44" s="15">
        <v>1100.0</v>
      </c>
      <c r="G44" s="60">
        <v>1107.5</v>
      </c>
      <c r="H44" s="17">
        <v>0.0</v>
      </c>
      <c r="I44" s="16">
        <f t="shared" si="8"/>
        <v>7.5</v>
      </c>
      <c r="J44" s="18">
        <f t="shared" si="2"/>
        <v>0.6818181818</v>
      </c>
      <c r="K44" s="17">
        <v>2.35</v>
      </c>
      <c r="L44" s="19">
        <f t="shared" si="3"/>
        <v>0</v>
      </c>
      <c r="M44" s="20">
        <f t="shared" si="4"/>
        <v>216.650025</v>
      </c>
      <c r="N44" s="21">
        <f t="shared" si="5"/>
        <v>2.35</v>
      </c>
      <c r="O44" s="21">
        <f t="shared" si="6"/>
        <v>2585</v>
      </c>
      <c r="P44" s="22">
        <f t="shared" si="7"/>
        <v>238315.0275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 hidden="1">
      <c r="A45" s="30"/>
      <c r="B45" s="11">
        <v>46116.0</v>
      </c>
      <c r="C45" s="12">
        <f>VLOOKUP(B:B,'Курс валют'!A:D,4,0)</f>
        <v>92.1915</v>
      </c>
      <c r="D45" s="13" t="s">
        <v>682</v>
      </c>
      <c r="E45" s="59" t="s">
        <v>18</v>
      </c>
      <c r="F45" s="15">
        <v>1100.0</v>
      </c>
      <c r="G45" s="60">
        <v>1107.5</v>
      </c>
      <c r="H45" s="17">
        <v>0.0</v>
      </c>
      <c r="I45" s="16">
        <f t="shared" si="8"/>
        <v>7.5</v>
      </c>
      <c r="J45" s="18">
        <f t="shared" si="2"/>
        <v>0.6818181818</v>
      </c>
      <c r="K45" s="17">
        <v>2.34</v>
      </c>
      <c r="L45" s="19">
        <f t="shared" si="3"/>
        <v>0</v>
      </c>
      <c r="M45" s="20">
        <f t="shared" si="4"/>
        <v>215.72811</v>
      </c>
      <c r="N45" s="21">
        <f t="shared" si="5"/>
        <v>2.34</v>
      </c>
      <c r="O45" s="21">
        <f t="shared" si="6"/>
        <v>2574</v>
      </c>
      <c r="P45" s="22">
        <f t="shared" si="7"/>
        <v>237300.921</v>
      </c>
      <c r="R45" s="23"/>
      <c r="S45" s="25"/>
      <c r="T45" s="25"/>
      <c r="U45" s="25"/>
      <c r="V45" s="25"/>
      <c r="W45" s="25"/>
      <c r="X45" s="25"/>
      <c r="Y45" s="25"/>
      <c r="Z45" s="25"/>
      <c r="AA45" s="25"/>
    </row>
    <row r="46" hidden="1">
      <c r="A46" s="30"/>
      <c r="B46" s="11">
        <v>46116.0</v>
      </c>
      <c r="C46" s="12">
        <f>VLOOKUP(B:B,'Курс валют'!A:D,4,0)</f>
        <v>92.1915</v>
      </c>
      <c r="D46" s="13" t="s">
        <v>683</v>
      </c>
      <c r="E46" s="59" t="s">
        <v>18</v>
      </c>
      <c r="F46" s="15">
        <v>1100.0</v>
      </c>
      <c r="G46" s="60">
        <v>1107.5</v>
      </c>
      <c r="H46" s="17">
        <v>0.0</v>
      </c>
      <c r="I46" s="16">
        <f t="shared" si="8"/>
        <v>7.5</v>
      </c>
      <c r="J46" s="18">
        <f t="shared" si="2"/>
        <v>0.6818181818</v>
      </c>
      <c r="K46" s="17">
        <v>2.34</v>
      </c>
      <c r="L46" s="19">
        <f t="shared" si="3"/>
        <v>0</v>
      </c>
      <c r="M46" s="20">
        <f t="shared" si="4"/>
        <v>215.72811</v>
      </c>
      <c r="N46" s="21">
        <f t="shared" si="5"/>
        <v>2.34</v>
      </c>
      <c r="O46" s="21">
        <f t="shared" si="6"/>
        <v>2574</v>
      </c>
      <c r="P46" s="22">
        <f t="shared" si="7"/>
        <v>237300.921</v>
      </c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 hidden="1">
      <c r="A47" s="30"/>
      <c r="B47" s="11">
        <v>46117.0</v>
      </c>
      <c r="C47" s="12">
        <f>VLOOKUP(B:B,'Курс валют'!A:D,4,0)</f>
        <v>92.1915</v>
      </c>
      <c r="D47" s="13" t="s">
        <v>684</v>
      </c>
      <c r="E47" s="59" t="s">
        <v>128</v>
      </c>
      <c r="F47" s="15">
        <v>2200.0</v>
      </c>
      <c r="G47" s="61">
        <v>2233.52</v>
      </c>
      <c r="H47" s="58">
        <v>0.0</v>
      </c>
      <c r="I47" s="16">
        <f t="shared" si="8"/>
        <v>33.52</v>
      </c>
      <c r="J47" s="18">
        <f t="shared" si="2"/>
        <v>1.523636364</v>
      </c>
      <c r="K47" s="17">
        <v>1.92</v>
      </c>
      <c r="L47" s="19">
        <f t="shared" si="3"/>
        <v>0</v>
      </c>
      <c r="M47" s="20">
        <f t="shared" si="4"/>
        <v>177.00768</v>
      </c>
      <c r="N47" s="21">
        <f t="shared" si="5"/>
        <v>1.92</v>
      </c>
      <c r="O47" s="21">
        <f t="shared" si="6"/>
        <v>4224</v>
      </c>
      <c r="P47" s="22">
        <f t="shared" si="7"/>
        <v>389416.896</v>
      </c>
      <c r="R47" s="23"/>
      <c r="S47" s="24"/>
      <c r="T47" s="25"/>
      <c r="U47" s="25"/>
      <c r="V47" s="25"/>
      <c r="W47" s="25"/>
      <c r="X47" s="25"/>
      <c r="Y47" s="25"/>
      <c r="Z47" s="25"/>
      <c r="AA47" s="25"/>
    </row>
    <row r="48" hidden="1">
      <c r="A48" s="30"/>
      <c r="B48" s="11">
        <v>46117.0</v>
      </c>
      <c r="C48" s="12">
        <f>VLOOKUP(B:B,'Курс валют'!A:D,4,0)</f>
        <v>92.1915</v>
      </c>
      <c r="D48" s="13" t="s">
        <v>685</v>
      </c>
      <c r="E48" s="59" t="s">
        <v>61</v>
      </c>
      <c r="F48" s="15">
        <v>1100.0</v>
      </c>
      <c r="G48" s="61">
        <v>1105.51</v>
      </c>
      <c r="H48" s="58">
        <v>0.0</v>
      </c>
      <c r="I48" s="16">
        <f t="shared" si="8"/>
        <v>5.51</v>
      </c>
      <c r="J48" s="18">
        <f t="shared" si="2"/>
        <v>0.5009090909</v>
      </c>
      <c r="K48" s="17">
        <v>2.32</v>
      </c>
      <c r="L48" s="19">
        <f t="shared" si="3"/>
        <v>0</v>
      </c>
      <c r="M48" s="20">
        <f t="shared" si="4"/>
        <v>213.88428</v>
      </c>
      <c r="N48" s="21">
        <f t="shared" si="5"/>
        <v>2.32</v>
      </c>
      <c r="O48" s="21">
        <f t="shared" si="6"/>
        <v>2552</v>
      </c>
      <c r="P48" s="22">
        <f t="shared" si="7"/>
        <v>235272.708</v>
      </c>
      <c r="R48" s="23"/>
      <c r="S48" s="24"/>
      <c r="T48" s="25"/>
      <c r="U48" s="25"/>
      <c r="V48" s="25"/>
      <c r="W48" s="25"/>
      <c r="X48" s="25"/>
      <c r="Y48" s="25"/>
      <c r="Z48" s="25"/>
      <c r="AA48" s="25"/>
    </row>
    <row r="49" hidden="1">
      <c r="A49" s="30"/>
      <c r="B49" s="11">
        <v>46117.0</v>
      </c>
      <c r="C49" s="12">
        <f>VLOOKUP(B:B,'Курс валют'!A:D,4,0)</f>
        <v>92.1915</v>
      </c>
      <c r="D49" s="13" t="s">
        <v>686</v>
      </c>
      <c r="E49" s="59" t="s">
        <v>61</v>
      </c>
      <c r="F49" s="15">
        <v>1100.0</v>
      </c>
      <c r="G49" s="61">
        <v>1105.51</v>
      </c>
      <c r="H49" s="58">
        <v>0.0</v>
      </c>
      <c r="I49" s="16">
        <f t="shared" si="8"/>
        <v>5.51</v>
      </c>
      <c r="J49" s="18">
        <f t="shared" si="2"/>
        <v>0.5009090909</v>
      </c>
      <c r="K49" s="17">
        <v>2.4</v>
      </c>
      <c r="L49" s="19">
        <f t="shared" si="3"/>
        <v>0</v>
      </c>
      <c r="M49" s="20">
        <f t="shared" si="4"/>
        <v>221.2596</v>
      </c>
      <c r="N49" s="21">
        <f t="shared" si="5"/>
        <v>2.4</v>
      </c>
      <c r="O49" s="21">
        <f t="shared" si="6"/>
        <v>2640</v>
      </c>
      <c r="P49" s="22">
        <f t="shared" si="7"/>
        <v>243385.56</v>
      </c>
      <c r="R49" s="23"/>
      <c r="S49" s="24"/>
      <c r="T49" s="25"/>
      <c r="U49" s="25"/>
      <c r="V49" s="25"/>
      <c r="W49" s="25"/>
      <c r="X49" s="25"/>
      <c r="Y49" s="25"/>
      <c r="Z49" s="25"/>
      <c r="AA49" s="25"/>
    </row>
    <row r="50" hidden="1">
      <c r="A50" s="30"/>
      <c r="B50" s="11">
        <v>46117.0</v>
      </c>
      <c r="C50" s="12">
        <f>VLOOKUP(B:B,'Курс валют'!A:D,4,0)</f>
        <v>92.1915</v>
      </c>
      <c r="D50" s="13" t="s">
        <v>687</v>
      </c>
      <c r="E50" s="59" t="s">
        <v>61</v>
      </c>
      <c r="F50" s="15">
        <v>1100.0</v>
      </c>
      <c r="G50" s="61">
        <v>1105.51</v>
      </c>
      <c r="H50" s="58">
        <v>0.0</v>
      </c>
      <c r="I50" s="16">
        <f t="shared" si="8"/>
        <v>5.51</v>
      </c>
      <c r="J50" s="18">
        <f t="shared" si="2"/>
        <v>0.5009090909</v>
      </c>
      <c r="K50" s="17">
        <v>2.5</v>
      </c>
      <c r="L50" s="19">
        <f t="shared" si="3"/>
        <v>0</v>
      </c>
      <c r="M50" s="20">
        <f t="shared" si="4"/>
        <v>230.47875</v>
      </c>
      <c r="N50" s="21">
        <f t="shared" si="5"/>
        <v>2.5</v>
      </c>
      <c r="O50" s="21">
        <f t="shared" si="6"/>
        <v>2750</v>
      </c>
      <c r="P50" s="22">
        <f t="shared" si="7"/>
        <v>253526.625</v>
      </c>
      <c r="R50" s="23"/>
      <c r="S50" s="24"/>
      <c r="T50" s="25"/>
      <c r="U50" s="25"/>
      <c r="V50" s="25"/>
      <c r="W50" s="25"/>
      <c r="X50" s="25"/>
      <c r="Y50" s="25"/>
      <c r="Z50" s="25"/>
      <c r="AA50" s="25"/>
    </row>
    <row r="51" hidden="1">
      <c r="A51" s="30"/>
      <c r="B51" s="11">
        <v>46117.0</v>
      </c>
      <c r="C51" s="12">
        <f>VLOOKUP(B:B,'Курс валют'!A:D,4,0)</f>
        <v>92.1915</v>
      </c>
      <c r="D51" s="13" t="s">
        <v>688</v>
      </c>
      <c r="E51" s="59" t="s">
        <v>61</v>
      </c>
      <c r="F51" s="15">
        <v>1100.0</v>
      </c>
      <c r="G51" s="61">
        <v>1105.51</v>
      </c>
      <c r="H51" s="58">
        <v>0.0</v>
      </c>
      <c r="I51" s="16">
        <f t="shared" si="8"/>
        <v>5.51</v>
      </c>
      <c r="J51" s="18">
        <f t="shared" si="2"/>
        <v>0.5009090909</v>
      </c>
      <c r="K51" s="17">
        <v>2.5</v>
      </c>
      <c r="L51" s="19">
        <f t="shared" si="3"/>
        <v>0</v>
      </c>
      <c r="M51" s="20">
        <f t="shared" si="4"/>
        <v>230.47875</v>
      </c>
      <c r="N51" s="21">
        <f t="shared" si="5"/>
        <v>2.5</v>
      </c>
      <c r="O51" s="21">
        <f t="shared" si="6"/>
        <v>2750</v>
      </c>
      <c r="P51" s="22">
        <f t="shared" si="7"/>
        <v>253526.625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 hidden="1">
      <c r="A52" s="30"/>
      <c r="B52" s="11">
        <v>46117.0</v>
      </c>
      <c r="C52" s="12">
        <f>VLOOKUP(B:B,'Курс валют'!A:D,4,0)</f>
        <v>92.1915</v>
      </c>
      <c r="D52" s="13" t="s">
        <v>689</v>
      </c>
      <c r="E52" s="59" t="s">
        <v>61</v>
      </c>
      <c r="F52" s="15">
        <v>1100.0</v>
      </c>
      <c r="G52" s="61">
        <v>1105.51</v>
      </c>
      <c r="H52" s="58">
        <v>0.0</v>
      </c>
      <c r="I52" s="16">
        <f t="shared" si="8"/>
        <v>5.51</v>
      </c>
      <c r="J52" s="18">
        <f t="shared" si="2"/>
        <v>0.5009090909</v>
      </c>
      <c r="K52" s="17">
        <v>2.5</v>
      </c>
      <c r="L52" s="19">
        <f t="shared" si="3"/>
        <v>0</v>
      </c>
      <c r="M52" s="20">
        <f t="shared" si="4"/>
        <v>230.47875</v>
      </c>
      <c r="N52" s="21">
        <f t="shared" si="5"/>
        <v>2.5</v>
      </c>
      <c r="O52" s="21">
        <f t="shared" si="6"/>
        <v>2750</v>
      </c>
      <c r="P52" s="22">
        <f t="shared" si="7"/>
        <v>253526.625</v>
      </c>
      <c r="R52" s="23"/>
      <c r="S52" s="24"/>
      <c r="T52" s="25"/>
      <c r="U52" s="25"/>
      <c r="V52" s="25"/>
      <c r="W52" s="25"/>
      <c r="X52" s="25"/>
      <c r="Y52" s="25"/>
      <c r="Z52" s="25"/>
      <c r="AA52" s="25"/>
    </row>
    <row r="53" hidden="1">
      <c r="A53" s="30"/>
      <c r="B53" s="11">
        <v>46117.0</v>
      </c>
      <c r="C53" s="12">
        <f>VLOOKUP(B:B,'Курс валют'!A:D,4,0)</f>
        <v>92.1915</v>
      </c>
      <c r="D53" s="13" t="s">
        <v>690</v>
      </c>
      <c r="E53" s="59" t="s">
        <v>61</v>
      </c>
      <c r="F53" s="15">
        <v>1100.0</v>
      </c>
      <c r="G53" s="61">
        <v>1105.51</v>
      </c>
      <c r="H53" s="58">
        <v>0.0</v>
      </c>
      <c r="I53" s="16">
        <f t="shared" si="8"/>
        <v>5.51</v>
      </c>
      <c r="J53" s="18">
        <f t="shared" si="2"/>
        <v>0.5009090909</v>
      </c>
      <c r="K53" s="62">
        <v>2.5</v>
      </c>
      <c r="L53" s="19">
        <f t="shared" si="3"/>
        <v>0</v>
      </c>
      <c r="M53" s="20">
        <f t="shared" si="4"/>
        <v>230.47875</v>
      </c>
      <c r="N53" s="21">
        <f t="shared" si="5"/>
        <v>2.5</v>
      </c>
      <c r="O53" s="21">
        <f t="shared" si="6"/>
        <v>2750</v>
      </c>
      <c r="P53" s="22">
        <f t="shared" si="7"/>
        <v>253526.625</v>
      </c>
      <c r="R53" s="23"/>
      <c r="S53" s="24"/>
      <c r="T53" s="25"/>
      <c r="U53" s="25"/>
      <c r="V53" s="25"/>
      <c r="W53" s="25"/>
      <c r="X53" s="25"/>
      <c r="Y53" s="25"/>
      <c r="Z53" s="25"/>
      <c r="AA53" s="25"/>
    </row>
    <row r="54" hidden="1">
      <c r="A54" s="30"/>
      <c r="B54" s="11">
        <v>46117.0</v>
      </c>
      <c r="C54" s="12">
        <f>VLOOKUP(B:B,'Курс валют'!A:D,4,0)</f>
        <v>92.1915</v>
      </c>
      <c r="D54" s="13" t="s">
        <v>691</v>
      </c>
      <c r="E54" s="59" t="s">
        <v>61</v>
      </c>
      <c r="F54" s="15">
        <v>1100.0</v>
      </c>
      <c r="G54" s="61">
        <v>1105.51</v>
      </c>
      <c r="H54" s="17">
        <v>0.0</v>
      </c>
      <c r="I54" s="16">
        <f t="shared" si="8"/>
        <v>5.51</v>
      </c>
      <c r="J54" s="18">
        <f t="shared" si="2"/>
        <v>0.5009090909</v>
      </c>
      <c r="K54" s="62">
        <v>2.5</v>
      </c>
      <c r="L54" s="19">
        <f t="shared" si="3"/>
        <v>0</v>
      </c>
      <c r="M54" s="20">
        <f t="shared" si="4"/>
        <v>230.47875</v>
      </c>
      <c r="N54" s="21">
        <f t="shared" si="5"/>
        <v>2.5</v>
      </c>
      <c r="O54" s="21">
        <f t="shared" si="6"/>
        <v>2750</v>
      </c>
      <c r="P54" s="22">
        <f t="shared" si="7"/>
        <v>253526.625</v>
      </c>
      <c r="R54" s="23"/>
      <c r="S54" s="24"/>
      <c r="T54" s="25"/>
      <c r="U54" s="25"/>
      <c r="V54" s="25"/>
      <c r="W54" s="25"/>
      <c r="X54" s="25"/>
      <c r="Y54" s="25"/>
      <c r="Z54" s="25"/>
      <c r="AA54" s="25"/>
    </row>
    <row r="55" hidden="1">
      <c r="A55" s="30"/>
      <c r="B55" s="11">
        <v>46117.0</v>
      </c>
      <c r="C55" s="12">
        <f>VLOOKUP(B:B,'Курс валют'!A:D,4,0)</f>
        <v>92.1915</v>
      </c>
      <c r="D55" s="13" t="s">
        <v>692</v>
      </c>
      <c r="E55" s="59" t="s">
        <v>61</v>
      </c>
      <c r="F55" s="15">
        <v>1100.0</v>
      </c>
      <c r="G55" s="61">
        <v>1105.51</v>
      </c>
      <c r="H55" s="17">
        <v>0.0</v>
      </c>
      <c r="I55" s="16">
        <f t="shared" si="8"/>
        <v>5.51</v>
      </c>
      <c r="J55" s="18">
        <f t="shared" si="2"/>
        <v>0.5009090909</v>
      </c>
      <c r="K55" s="17">
        <v>2.5</v>
      </c>
      <c r="L55" s="19">
        <f t="shared" si="3"/>
        <v>0</v>
      </c>
      <c r="M55" s="20">
        <f t="shared" si="4"/>
        <v>230.47875</v>
      </c>
      <c r="N55" s="21">
        <f t="shared" si="5"/>
        <v>2.5</v>
      </c>
      <c r="O55" s="21">
        <f t="shared" si="6"/>
        <v>2750</v>
      </c>
      <c r="P55" s="22">
        <f t="shared" si="7"/>
        <v>253526.625</v>
      </c>
      <c r="R55" s="23"/>
      <c r="S55" s="25"/>
      <c r="T55" s="25"/>
      <c r="U55" s="25"/>
      <c r="V55" s="25"/>
      <c r="W55" s="25"/>
      <c r="X55" s="25"/>
      <c r="Y55" s="25"/>
      <c r="Z55" s="25"/>
      <c r="AA55" s="25"/>
    </row>
    <row r="56" hidden="1">
      <c r="A56" s="30"/>
      <c r="B56" s="11">
        <v>46117.0</v>
      </c>
      <c r="C56" s="12">
        <f>VLOOKUP(B:B,'Курс валют'!A:D,4,0)</f>
        <v>92.1915</v>
      </c>
      <c r="D56" s="13" t="s">
        <v>693</v>
      </c>
      <c r="E56" s="59" t="s">
        <v>61</v>
      </c>
      <c r="F56" s="15">
        <v>1100.0</v>
      </c>
      <c r="G56" s="61">
        <v>1105.51</v>
      </c>
      <c r="H56" s="17">
        <v>0.0</v>
      </c>
      <c r="I56" s="16">
        <f t="shared" si="8"/>
        <v>5.51</v>
      </c>
      <c r="J56" s="18">
        <f t="shared" si="2"/>
        <v>0.5009090909</v>
      </c>
      <c r="K56" s="17">
        <v>2.5</v>
      </c>
      <c r="L56" s="19">
        <f t="shared" si="3"/>
        <v>0</v>
      </c>
      <c r="M56" s="20">
        <f t="shared" si="4"/>
        <v>230.47875</v>
      </c>
      <c r="N56" s="21">
        <f t="shared" si="5"/>
        <v>2.5</v>
      </c>
      <c r="O56" s="21">
        <f t="shared" si="6"/>
        <v>2750</v>
      </c>
      <c r="P56" s="22">
        <f t="shared" si="7"/>
        <v>253526.625</v>
      </c>
      <c r="R56" s="23"/>
      <c r="S56" s="25"/>
      <c r="T56" s="25"/>
      <c r="U56" s="25"/>
      <c r="V56" s="25"/>
      <c r="W56" s="25"/>
      <c r="X56" s="25"/>
      <c r="Y56" s="25"/>
      <c r="Z56" s="25"/>
      <c r="AA56" s="25"/>
    </row>
    <row r="57" hidden="1">
      <c r="A57" s="30"/>
      <c r="B57" s="11">
        <v>46118.0</v>
      </c>
      <c r="C57" s="12">
        <f>VLOOKUP(B:B,'Курс валют'!A:D,4,0)</f>
        <v>92.1915</v>
      </c>
      <c r="D57" s="13" t="s">
        <v>694</v>
      </c>
      <c r="E57" s="59" t="s">
        <v>207</v>
      </c>
      <c r="F57" s="15">
        <v>220.0</v>
      </c>
      <c r="G57" s="61">
        <v>220.0</v>
      </c>
      <c r="H57" s="27">
        <v>0.0</v>
      </c>
      <c r="I57" s="16">
        <f t="shared" si="8"/>
        <v>0</v>
      </c>
      <c r="J57" s="18">
        <f t="shared" si="2"/>
        <v>0</v>
      </c>
      <c r="K57" s="17">
        <v>3.75</v>
      </c>
      <c r="L57" s="19">
        <f t="shared" si="3"/>
        <v>0</v>
      </c>
      <c r="M57" s="20">
        <f t="shared" si="4"/>
        <v>345.718125</v>
      </c>
      <c r="N57" s="21">
        <f t="shared" si="5"/>
        <v>3.75</v>
      </c>
      <c r="O57" s="21">
        <f t="shared" si="6"/>
        <v>825</v>
      </c>
      <c r="P57" s="22">
        <f t="shared" si="7"/>
        <v>76057.9875</v>
      </c>
      <c r="R57" s="23" t="s">
        <v>695</v>
      </c>
      <c r="S57" s="25"/>
      <c r="T57" s="25"/>
      <c r="U57" s="25"/>
      <c r="V57" s="25"/>
      <c r="W57" s="25"/>
      <c r="X57" s="25"/>
      <c r="Y57" s="25"/>
      <c r="Z57" s="25"/>
      <c r="AA57" s="25"/>
    </row>
    <row r="58" hidden="1">
      <c r="A58" s="30"/>
      <c r="B58" s="11">
        <v>46118.0</v>
      </c>
      <c r="C58" s="12">
        <f>VLOOKUP(B:B,'Курс валют'!A:D,4,0)</f>
        <v>92.1915</v>
      </c>
      <c r="D58" s="13" t="s">
        <v>696</v>
      </c>
      <c r="E58" s="59" t="s">
        <v>128</v>
      </c>
      <c r="F58" s="15">
        <v>2200.0</v>
      </c>
      <c r="G58" s="61">
        <v>2233.52</v>
      </c>
      <c r="H58" s="27">
        <v>0.0</v>
      </c>
      <c r="I58" s="16">
        <f t="shared" si="8"/>
        <v>33.52</v>
      </c>
      <c r="J58" s="18">
        <f t="shared" si="2"/>
        <v>1.523636364</v>
      </c>
      <c r="K58" s="17">
        <v>1.92</v>
      </c>
      <c r="L58" s="19">
        <f t="shared" si="3"/>
        <v>0</v>
      </c>
      <c r="M58" s="20">
        <f t="shared" si="4"/>
        <v>177.00768</v>
      </c>
      <c r="N58" s="21">
        <f t="shared" si="5"/>
        <v>1.92</v>
      </c>
      <c r="O58" s="21">
        <f t="shared" si="6"/>
        <v>4224</v>
      </c>
      <c r="P58" s="22">
        <f t="shared" si="7"/>
        <v>389416.896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 hidden="1">
      <c r="A59" s="30"/>
      <c r="B59" s="11">
        <v>46118.0</v>
      </c>
      <c r="C59" s="12">
        <f>VLOOKUP(B:B,'Курс валют'!A:D,4,0)</f>
        <v>92.1915</v>
      </c>
      <c r="D59" s="13" t="s">
        <v>697</v>
      </c>
      <c r="E59" s="59" t="s">
        <v>118</v>
      </c>
      <c r="F59" s="15">
        <v>384.8</v>
      </c>
      <c r="G59" s="61">
        <v>392.5</v>
      </c>
      <c r="H59" s="17">
        <v>0.0</v>
      </c>
      <c r="I59" s="15"/>
      <c r="J59" s="18">
        <f t="shared" si="2"/>
        <v>0</v>
      </c>
      <c r="K59" s="17">
        <v>1.8</v>
      </c>
      <c r="L59" s="19">
        <f t="shared" si="3"/>
        <v>0</v>
      </c>
      <c r="M59" s="20">
        <f t="shared" si="4"/>
        <v>165.9447</v>
      </c>
      <c r="N59" s="21">
        <f t="shared" si="5"/>
        <v>1.8</v>
      </c>
      <c r="O59" s="21">
        <f t="shared" si="6"/>
        <v>692.64</v>
      </c>
      <c r="P59" s="22">
        <f t="shared" si="7"/>
        <v>63855.52056</v>
      </c>
      <c r="R59" s="23"/>
      <c r="S59" s="24"/>
      <c r="T59" s="25"/>
      <c r="U59" s="25"/>
      <c r="V59" s="25"/>
      <c r="W59" s="25"/>
      <c r="X59" s="25"/>
      <c r="Y59" s="25"/>
      <c r="Z59" s="25"/>
      <c r="AA59" s="25"/>
    </row>
    <row r="60" hidden="1">
      <c r="A60" s="30"/>
      <c r="B60" s="11">
        <v>46118.0</v>
      </c>
      <c r="C60" s="12">
        <f>VLOOKUP(B:B,'Курс валют'!A:D,4,0)</f>
        <v>92.1915</v>
      </c>
      <c r="D60" s="13" t="s">
        <v>698</v>
      </c>
      <c r="E60" s="59" t="s">
        <v>18</v>
      </c>
      <c r="F60" s="15">
        <v>1100.0</v>
      </c>
      <c r="G60" s="61">
        <v>1107.5</v>
      </c>
      <c r="H60" s="27">
        <v>0.0</v>
      </c>
      <c r="I60" s="16">
        <f t="shared" ref="I60:I339" si="9">G60-F60</f>
        <v>7.5</v>
      </c>
      <c r="J60" s="18">
        <f t="shared" si="2"/>
        <v>0.6818181818</v>
      </c>
      <c r="K60" s="17">
        <v>2.4</v>
      </c>
      <c r="L60" s="19">
        <f t="shared" si="3"/>
        <v>0</v>
      </c>
      <c r="M60" s="20">
        <f t="shared" si="4"/>
        <v>221.2596</v>
      </c>
      <c r="N60" s="21">
        <f t="shared" si="5"/>
        <v>2.4</v>
      </c>
      <c r="O60" s="21">
        <f t="shared" si="6"/>
        <v>2640</v>
      </c>
      <c r="P60" s="22">
        <f t="shared" si="7"/>
        <v>243385.56</v>
      </c>
      <c r="R60" s="23" t="s">
        <v>699</v>
      </c>
      <c r="S60" s="24"/>
      <c r="T60" s="25"/>
      <c r="U60" s="25"/>
      <c r="V60" s="25"/>
      <c r="W60" s="25"/>
      <c r="X60" s="25"/>
      <c r="Y60" s="25"/>
      <c r="Z60" s="25"/>
      <c r="AA60" s="25"/>
    </row>
    <row r="61" hidden="1">
      <c r="A61" s="30"/>
      <c r="B61" s="11">
        <v>46119.0</v>
      </c>
      <c r="C61" s="12">
        <f>VLOOKUP(B:B,'Курс валют'!A:D,4,0)</f>
        <v>91.0034</v>
      </c>
      <c r="D61" s="13" t="s">
        <v>700</v>
      </c>
      <c r="E61" s="59" t="s">
        <v>61</v>
      </c>
      <c r="F61" s="15">
        <v>1100.0</v>
      </c>
      <c r="G61" s="61">
        <v>1105.51</v>
      </c>
      <c r="H61" s="17">
        <v>0.0</v>
      </c>
      <c r="I61" s="16">
        <f t="shared" si="9"/>
        <v>5.51</v>
      </c>
      <c r="J61" s="18">
        <f t="shared" si="2"/>
        <v>0.5009090909</v>
      </c>
      <c r="K61" s="17">
        <v>2.43</v>
      </c>
      <c r="L61" s="19">
        <f t="shared" si="3"/>
        <v>0</v>
      </c>
      <c r="M61" s="20">
        <f t="shared" si="4"/>
        <v>221.138262</v>
      </c>
      <c r="N61" s="21">
        <f t="shared" si="5"/>
        <v>2.43</v>
      </c>
      <c r="O61" s="21">
        <f t="shared" si="6"/>
        <v>2673</v>
      </c>
      <c r="P61" s="22">
        <f t="shared" si="7"/>
        <v>243252.0882</v>
      </c>
      <c r="R61" s="23"/>
      <c r="S61" s="24"/>
      <c r="T61" s="25"/>
      <c r="U61" s="25"/>
      <c r="V61" s="25"/>
      <c r="W61" s="25"/>
      <c r="X61" s="25"/>
      <c r="Y61" s="25"/>
      <c r="Z61" s="25"/>
      <c r="AA61" s="25"/>
    </row>
    <row r="62" hidden="1">
      <c r="A62" s="30"/>
      <c r="B62" s="11">
        <v>46119.0</v>
      </c>
      <c r="C62" s="12">
        <f>VLOOKUP(B:B,'Курс валют'!A:D,4,0)</f>
        <v>91.0034</v>
      </c>
      <c r="D62" s="13" t="s">
        <v>701</v>
      </c>
      <c r="E62" s="59" t="s">
        <v>61</v>
      </c>
      <c r="F62" s="15">
        <v>1100.0</v>
      </c>
      <c r="G62" s="61">
        <v>1105.51</v>
      </c>
      <c r="H62" s="17">
        <v>0.0</v>
      </c>
      <c r="I62" s="16">
        <f t="shared" si="9"/>
        <v>5.51</v>
      </c>
      <c r="J62" s="18">
        <f t="shared" si="2"/>
        <v>0.5009090909</v>
      </c>
      <c r="K62" s="17">
        <v>2.43</v>
      </c>
      <c r="L62" s="19">
        <f t="shared" si="3"/>
        <v>0</v>
      </c>
      <c r="M62" s="20">
        <f t="shared" si="4"/>
        <v>221.138262</v>
      </c>
      <c r="N62" s="21">
        <f t="shared" si="5"/>
        <v>2.43</v>
      </c>
      <c r="O62" s="21">
        <f t="shared" si="6"/>
        <v>2673</v>
      </c>
      <c r="P62" s="22">
        <f t="shared" si="7"/>
        <v>243252.0882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 hidden="1">
      <c r="A63" s="30"/>
      <c r="B63" s="11">
        <v>46119.0</v>
      </c>
      <c r="C63" s="12">
        <f>VLOOKUP(B:B,'Курс валют'!A:D,4,0)</f>
        <v>91.0034</v>
      </c>
      <c r="D63" s="13" t="s">
        <v>702</v>
      </c>
      <c r="E63" s="59" t="s">
        <v>61</v>
      </c>
      <c r="F63" s="15">
        <v>1100.0</v>
      </c>
      <c r="G63" s="61">
        <v>1105.51</v>
      </c>
      <c r="H63" s="17">
        <v>0.0</v>
      </c>
      <c r="I63" s="16">
        <f t="shared" si="9"/>
        <v>5.51</v>
      </c>
      <c r="J63" s="18">
        <f t="shared" si="2"/>
        <v>0.5009090909</v>
      </c>
      <c r="K63" s="17">
        <v>2.42</v>
      </c>
      <c r="L63" s="19">
        <f t="shared" si="3"/>
        <v>0</v>
      </c>
      <c r="M63" s="20">
        <f t="shared" si="4"/>
        <v>220.228228</v>
      </c>
      <c r="N63" s="21">
        <f t="shared" si="5"/>
        <v>2.42</v>
      </c>
      <c r="O63" s="21">
        <f t="shared" si="6"/>
        <v>2662</v>
      </c>
      <c r="P63" s="22">
        <f t="shared" si="7"/>
        <v>242251.0508</v>
      </c>
      <c r="R63" s="23"/>
      <c r="S63" s="25"/>
      <c r="T63" s="25"/>
      <c r="U63" s="25"/>
      <c r="V63" s="25"/>
      <c r="W63" s="25"/>
      <c r="X63" s="25"/>
      <c r="Y63" s="25"/>
      <c r="Z63" s="25"/>
      <c r="AA63" s="25"/>
    </row>
    <row r="64" hidden="1">
      <c r="A64" s="30"/>
      <c r="B64" s="11">
        <v>46119.0</v>
      </c>
      <c r="C64" s="12">
        <f>VLOOKUP(B:B,'Курс валют'!A:D,4,0)</f>
        <v>91.0034</v>
      </c>
      <c r="D64" s="13" t="s">
        <v>703</v>
      </c>
      <c r="E64" s="59" t="s">
        <v>61</v>
      </c>
      <c r="F64" s="15">
        <v>1100.0</v>
      </c>
      <c r="G64" s="61">
        <v>1105.51</v>
      </c>
      <c r="H64" s="17">
        <v>0.0</v>
      </c>
      <c r="I64" s="16">
        <f t="shared" si="9"/>
        <v>5.51</v>
      </c>
      <c r="J64" s="18">
        <f t="shared" si="2"/>
        <v>0.5009090909</v>
      </c>
      <c r="K64" s="17">
        <v>2.42</v>
      </c>
      <c r="L64" s="19">
        <f t="shared" si="3"/>
        <v>0</v>
      </c>
      <c r="M64" s="20">
        <f t="shared" si="4"/>
        <v>220.228228</v>
      </c>
      <c r="N64" s="21">
        <f t="shared" si="5"/>
        <v>2.42</v>
      </c>
      <c r="O64" s="21">
        <f t="shared" si="6"/>
        <v>2662</v>
      </c>
      <c r="P64" s="22">
        <f t="shared" si="7"/>
        <v>242251.0508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 hidden="1">
      <c r="A65" s="30"/>
      <c r="B65" s="11">
        <v>46119.0</v>
      </c>
      <c r="C65" s="12">
        <f>VLOOKUP(B:B,'Курс валют'!A:D,4,0)</f>
        <v>91.0034</v>
      </c>
      <c r="D65" s="13" t="s">
        <v>704</v>
      </c>
      <c r="E65" s="59" t="s">
        <v>61</v>
      </c>
      <c r="F65" s="15">
        <v>1100.0</v>
      </c>
      <c r="G65" s="61">
        <v>1105.51</v>
      </c>
      <c r="H65" s="17">
        <v>0.0</v>
      </c>
      <c r="I65" s="16">
        <f t="shared" si="9"/>
        <v>5.51</v>
      </c>
      <c r="J65" s="18">
        <f t="shared" si="2"/>
        <v>0.5009090909</v>
      </c>
      <c r="K65" s="17">
        <v>2.43</v>
      </c>
      <c r="L65" s="19">
        <f t="shared" si="3"/>
        <v>0</v>
      </c>
      <c r="M65" s="20">
        <f t="shared" si="4"/>
        <v>221.138262</v>
      </c>
      <c r="N65" s="21">
        <f t="shared" si="5"/>
        <v>2.43</v>
      </c>
      <c r="O65" s="21">
        <f t="shared" si="6"/>
        <v>2673</v>
      </c>
      <c r="P65" s="22">
        <f t="shared" si="7"/>
        <v>243252.0882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 hidden="1">
      <c r="A66" s="30"/>
      <c r="B66" s="11">
        <v>46119.0</v>
      </c>
      <c r="C66" s="12">
        <f>VLOOKUP(B:B,'Курс валют'!A:D,4,0)</f>
        <v>91.0034</v>
      </c>
      <c r="D66" s="13" t="s">
        <v>705</v>
      </c>
      <c r="E66" s="59" t="s">
        <v>61</v>
      </c>
      <c r="F66" s="15">
        <v>1100.0</v>
      </c>
      <c r="G66" s="61">
        <v>1105.51</v>
      </c>
      <c r="H66" s="17">
        <v>0.0</v>
      </c>
      <c r="I66" s="16">
        <f t="shared" si="9"/>
        <v>5.51</v>
      </c>
      <c r="J66" s="18">
        <f t="shared" si="2"/>
        <v>0.5009090909</v>
      </c>
      <c r="K66" s="17">
        <v>2.43</v>
      </c>
      <c r="L66" s="19">
        <f t="shared" si="3"/>
        <v>0</v>
      </c>
      <c r="M66" s="20">
        <f t="shared" si="4"/>
        <v>221.138262</v>
      </c>
      <c r="N66" s="21">
        <f t="shared" si="5"/>
        <v>2.43</v>
      </c>
      <c r="O66" s="21">
        <f t="shared" si="6"/>
        <v>2673</v>
      </c>
      <c r="P66" s="22">
        <f t="shared" si="7"/>
        <v>243252.0882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 hidden="1">
      <c r="A67" s="30"/>
      <c r="B67" s="11">
        <v>46119.0</v>
      </c>
      <c r="C67" s="12">
        <f>VLOOKUP(B:B,'Курс валют'!A:D,4,0)</f>
        <v>91.0034</v>
      </c>
      <c r="D67" s="13" t="s">
        <v>706</v>
      </c>
      <c r="E67" s="59" t="s">
        <v>61</v>
      </c>
      <c r="F67" s="15">
        <v>1100.0</v>
      </c>
      <c r="G67" s="61">
        <v>1105.51</v>
      </c>
      <c r="H67" s="17">
        <v>0.0</v>
      </c>
      <c r="I67" s="16">
        <f t="shared" si="9"/>
        <v>5.51</v>
      </c>
      <c r="J67" s="18">
        <f t="shared" si="2"/>
        <v>0.5009090909</v>
      </c>
      <c r="K67" s="17">
        <v>2.42</v>
      </c>
      <c r="L67" s="19">
        <f t="shared" si="3"/>
        <v>0</v>
      </c>
      <c r="M67" s="20">
        <f t="shared" si="4"/>
        <v>220.228228</v>
      </c>
      <c r="N67" s="21">
        <f t="shared" si="5"/>
        <v>2.42</v>
      </c>
      <c r="O67" s="21">
        <f t="shared" si="6"/>
        <v>2662</v>
      </c>
      <c r="P67" s="22">
        <f t="shared" si="7"/>
        <v>242251.0508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 hidden="1">
      <c r="A68" s="30"/>
      <c r="B68" s="11">
        <v>46119.0</v>
      </c>
      <c r="C68" s="12">
        <f>VLOOKUP(B:B,'Курс валют'!A:D,4,0)</f>
        <v>91.0034</v>
      </c>
      <c r="D68" s="13" t="s">
        <v>707</v>
      </c>
      <c r="E68" s="59" t="s">
        <v>61</v>
      </c>
      <c r="F68" s="15">
        <v>1100.0</v>
      </c>
      <c r="G68" s="61">
        <v>1105.51</v>
      </c>
      <c r="H68" s="17">
        <v>0.0</v>
      </c>
      <c r="I68" s="16">
        <f t="shared" si="9"/>
        <v>5.51</v>
      </c>
      <c r="J68" s="18">
        <f t="shared" si="2"/>
        <v>0.5009090909</v>
      </c>
      <c r="K68" s="17">
        <v>2.43</v>
      </c>
      <c r="L68" s="19">
        <f t="shared" si="3"/>
        <v>0</v>
      </c>
      <c r="M68" s="20">
        <f t="shared" si="4"/>
        <v>221.138262</v>
      </c>
      <c r="N68" s="21">
        <f t="shared" si="5"/>
        <v>2.43</v>
      </c>
      <c r="O68" s="21">
        <f t="shared" si="6"/>
        <v>2673</v>
      </c>
      <c r="P68" s="22">
        <f t="shared" si="7"/>
        <v>243252.0882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 hidden="1">
      <c r="A69" s="63"/>
      <c r="B69" s="11">
        <v>46119.0</v>
      </c>
      <c r="C69" s="12">
        <f>VLOOKUP(B:B,'Курс валют'!A:D,4,0)</f>
        <v>91.0034</v>
      </c>
      <c r="D69" s="13" t="s">
        <v>708</v>
      </c>
      <c r="E69" s="59" t="s">
        <v>61</v>
      </c>
      <c r="F69" s="15">
        <v>1100.0</v>
      </c>
      <c r="G69" s="61">
        <v>1105.51</v>
      </c>
      <c r="H69" s="17">
        <v>0.0</v>
      </c>
      <c r="I69" s="16">
        <f t="shared" si="9"/>
        <v>5.51</v>
      </c>
      <c r="J69" s="18">
        <f t="shared" si="2"/>
        <v>0.5009090909</v>
      </c>
      <c r="K69" s="17">
        <v>2.42</v>
      </c>
      <c r="L69" s="19">
        <f t="shared" si="3"/>
        <v>0</v>
      </c>
      <c r="M69" s="20">
        <f t="shared" si="4"/>
        <v>220.228228</v>
      </c>
      <c r="N69" s="21">
        <f t="shared" si="5"/>
        <v>2.42</v>
      </c>
      <c r="O69" s="21">
        <f t="shared" si="6"/>
        <v>2662</v>
      </c>
      <c r="P69" s="22">
        <f t="shared" si="7"/>
        <v>242251.0508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 hidden="1">
      <c r="A70" s="30"/>
      <c r="B70" s="11">
        <v>46119.0</v>
      </c>
      <c r="C70" s="12">
        <f>VLOOKUP(B:B,'Курс валют'!A:D,4,0)</f>
        <v>91.0034</v>
      </c>
      <c r="D70" s="13" t="s">
        <v>709</v>
      </c>
      <c r="E70" s="59" t="s">
        <v>128</v>
      </c>
      <c r="F70" s="15">
        <v>2200.0</v>
      </c>
      <c r="G70" s="61">
        <v>2233.52</v>
      </c>
      <c r="H70" s="17">
        <v>0.0</v>
      </c>
      <c r="I70" s="16">
        <f t="shared" si="9"/>
        <v>33.52</v>
      </c>
      <c r="J70" s="18">
        <f t="shared" si="2"/>
        <v>1.523636364</v>
      </c>
      <c r="K70" s="17">
        <v>1.92</v>
      </c>
      <c r="L70" s="19">
        <f t="shared" si="3"/>
        <v>0</v>
      </c>
      <c r="M70" s="20">
        <f t="shared" si="4"/>
        <v>174.726528</v>
      </c>
      <c r="N70" s="21">
        <f t="shared" si="5"/>
        <v>1.92</v>
      </c>
      <c r="O70" s="21">
        <f t="shared" si="6"/>
        <v>4224</v>
      </c>
      <c r="P70" s="22">
        <f t="shared" si="7"/>
        <v>384398.3616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 hidden="1">
      <c r="A71" s="63"/>
      <c r="B71" s="11">
        <v>46119.0</v>
      </c>
      <c r="C71" s="12">
        <f>VLOOKUP(B:B,'Курс валют'!A:D,4,0)</f>
        <v>91.0034</v>
      </c>
      <c r="D71" s="13" t="s">
        <v>710</v>
      </c>
      <c r="E71" s="59" t="s">
        <v>61</v>
      </c>
      <c r="F71" s="15">
        <v>1100.0</v>
      </c>
      <c r="G71" s="61">
        <v>1105.51</v>
      </c>
      <c r="H71" s="17">
        <v>0.0</v>
      </c>
      <c r="I71" s="16">
        <f t="shared" si="9"/>
        <v>5.51</v>
      </c>
      <c r="J71" s="18">
        <f t="shared" si="2"/>
        <v>0.5009090909</v>
      </c>
      <c r="K71" s="17">
        <v>2.42</v>
      </c>
      <c r="L71" s="19">
        <f t="shared" si="3"/>
        <v>0</v>
      </c>
      <c r="M71" s="20">
        <f t="shared" si="4"/>
        <v>220.228228</v>
      </c>
      <c r="N71" s="21">
        <f t="shared" si="5"/>
        <v>2.42</v>
      </c>
      <c r="O71" s="21">
        <f t="shared" si="6"/>
        <v>2662</v>
      </c>
      <c r="P71" s="22">
        <f t="shared" si="7"/>
        <v>242251.0508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 hidden="1">
      <c r="A72" s="63"/>
      <c r="B72" s="11">
        <v>46120.0</v>
      </c>
      <c r="C72" s="12">
        <f>VLOOKUP(B:B,'Курс валют'!A:D,4,0)</f>
        <v>91.0279</v>
      </c>
      <c r="D72" s="13" t="s">
        <v>711</v>
      </c>
      <c r="E72" s="59" t="s">
        <v>128</v>
      </c>
      <c r="F72" s="15">
        <v>2200.0</v>
      </c>
      <c r="G72" s="61">
        <v>2218.52</v>
      </c>
      <c r="H72" s="17">
        <v>0.0</v>
      </c>
      <c r="I72" s="16">
        <f t="shared" si="9"/>
        <v>18.52</v>
      </c>
      <c r="J72" s="18">
        <f t="shared" si="2"/>
        <v>0.8418181818</v>
      </c>
      <c r="K72" s="17">
        <v>1.9</v>
      </c>
      <c r="L72" s="19">
        <f t="shared" si="3"/>
        <v>0</v>
      </c>
      <c r="M72" s="20">
        <f t="shared" si="4"/>
        <v>172.95301</v>
      </c>
      <c r="N72" s="21">
        <f t="shared" si="5"/>
        <v>1.9</v>
      </c>
      <c r="O72" s="21">
        <f t="shared" si="6"/>
        <v>4180</v>
      </c>
      <c r="P72" s="22">
        <f t="shared" si="7"/>
        <v>380496.622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 hidden="1">
      <c r="A73" s="63"/>
      <c r="B73" s="11">
        <v>46120.0</v>
      </c>
      <c r="C73" s="12">
        <f>VLOOKUP(B:B,'Курс валют'!A:D,4,0)</f>
        <v>91.0279</v>
      </c>
      <c r="D73" s="13" t="s">
        <v>712</v>
      </c>
      <c r="E73" s="64" t="s">
        <v>128</v>
      </c>
      <c r="F73" s="15">
        <v>1760.0</v>
      </c>
      <c r="G73" s="61">
        <v>1776.305</v>
      </c>
      <c r="H73" s="17">
        <v>0.0</v>
      </c>
      <c r="I73" s="16">
        <f t="shared" si="9"/>
        <v>16.305</v>
      </c>
      <c r="J73" s="18">
        <f t="shared" si="2"/>
        <v>0.9264204545</v>
      </c>
      <c r="K73" s="17">
        <v>1.92</v>
      </c>
      <c r="L73" s="19">
        <f t="shared" si="3"/>
        <v>0</v>
      </c>
      <c r="M73" s="20">
        <f t="shared" si="4"/>
        <v>174.773568</v>
      </c>
      <c r="N73" s="21">
        <f t="shared" si="5"/>
        <v>1.92</v>
      </c>
      <c r="O73" s="21">
        <f t="shared" si="6"/>
        <v>3379.2</v>
      </c>
      <c r="P73" s="22">
        <f t="shared" si="7"/>
        <v>307601.4797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/>
      <c r="B74" s="11">
        <v>46121.0</v>
      </c>
      <c r="C74" s="12">
        <f>VLOOKUP(B:B,'Курс валют'!A:D,4,0)</f>
        <v>91.5641</v>
      </c>
      <c r="D74" s="13" t="s">
        <v>713</v>
      </c>
      <c r="E74" s="64" t="s">
        <v>63</v>
      </c>
      <c r="F74" s="15">
        <v>1800.0</v>
      </c>
      <c r="G74" s="16">
        <v>1820.1</v>
      </c>
      <c r="H74" s="17">
        <v>0.0</v>
      </c>
      <c r="I74" s="16">
        <f t="shared" si="9"/>
        <v>20.1</v>
      </c>
      <c r="J74" s="18">
        <f t="shared" si="2"/>
        <v>1.116666667</v>
      </c>
      <c r="K74" s="17">
        <v>1.91</v>
      </c>
      <c r="L74" s="19">
        <f t="shared" si="3"/>
        <v>0</v>
      </c>
      <c r="M74" s="20">
        <f t="shared" si="4"/>
        <v>174.887431</v>
      </c>
      <c r="N74" s="21">
        <f t="shared" si="5"/>
        <v>1.91</v>
      </c>
      <c r="O74" s="21">
        <f t="shared" si="6"/>
        <v>3438</v>
      </c>
      <c r="P74" s="22">
        <f t="shared" si="7"/>
        <v>314797.3758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/>
      <c r="B75" s="11">
        <v>46121.0</v>
      </c>
      <c r="C75" s="12">
        <f>VLOOKUP(B:B,'Курс валют'!A:D,4,0)</f>
        <v>91.5641</v>
      </c>
      <c r="D75" s="13" t="s">
        <v>714</v>
      </c>
      <c r="E75" s="64" t="s">
        <v>63</v>
      </c>
      <c r="F75" s="15">
        <v>1800.0</v>
      </c>
      <c r="G75" s="16">
        <v>1820.1</v>
      </c>
      <c r="H75" s="17">
        <v>0.0</v>
      </c>
      <c r="I75" s="16">
        <f t="shared" si="9"/>
        <v>20.1</v>
      </c>
      <c r="J75" s="18">
        <f t="shared" si="2"/>
        <v>1.116666667</v>
      </c>
      <c r="K75" s="17">
        <v>1.91</v>
      </c>
      <c r="L75" s="19">
        <f t="shared" si="3"/>
        <v>0</v>
      </c>
      <c r="M75" s="20">
        <f t="shared" si="4"/>
        <v>174.887431</v>
      </c>
      <c r="N75" s="21">
        <f t="shared" si="5"/>
        <v>1.91</v>
      </c>
      <c r="O75" s="21">
        <f t="shared" si="6"/>
        <v>3438</v>
      </c>
      <c r="P75" s="22">
        <f t="shared" si="7"/>
        <v>314797.3758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 hidden="1">
      <c r="A76" s="63"/>
      <c r="B76" s="11">
        <v>46121.0</v>
      </c>
      <c r="C76" s="12">
        <f>VLOOKUP(B:B,'Курс валют'!A:D,4,0)</f>
        <v>91.5641</v>
      </c>
      <c r="D76" s="13" t="s">
        <v>715</v>
      </c>
      <c r="E76" s="64" t="s">
        <v>108</v>
      </c>
      <c r="F76" s="15">
        <v>92.72</v>
      </c>
      <c r="G76" s="61">
        <v>96.7</v>
      </c>
      <c r="H76" s="17">
        <v>0.0</v>
      </c>
      <c r="I76" s="16">
        <f t="shared" si="9"/>
        <v>3.98</v>
      </c>
      <c r="J76" s="18">
        <f t="shared" si="2"/>
        <v>4.292493529</v>
      </c>
      <c r="K76" s="17">
        <v>2.26</v>
      </c>
      <c r="L76" s="19">
        <f t="shared" si="3"/>
        <v>0</v>
      </c>
      <c r="M76" s="20">
        <f t="shared" si="4"/>
        <v>206.934866</v>
      </c>
      <c r="N76" s="21">
        <f t="shared" si="5"/>
        <v>2.26</v>
      </c>
      <c r="O76" s="21">
        <f t="shared" si="6"/>
        <v>209.5472</v>
      </c>
      <c r="P76" s="22">
        <f t="shared" si="7"/>
        <v>19187.00078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 hidden="1">
      <c r="A77" s="63"/>
      <c r="B77" s="11">
        <v>46122.0</v>
      </c>
      <c r="C77" s="12">
        <f>VLOOKUP(B:B,'Курс валют'!A:D,4,0)</f>
        <v>90.8813</v>
      </c>
      <c r="D77" s="13" t="s">
        <v>716</v>
      </c>
      <c r="E77" s="64" t="s">
        <v>61</v>
      </c>
      <c r="F77" s="15">
        <v>1100.0</v>
      </c>
      <c r="G77" s="16">
        <v>1105.51</v>
      </c>
      <c r="H77" s="17">
        <v>0.0</v>
      </c>
      <c r="I77" s="16">
        <f t="shared" si="9"/>
        <v>5.51</v>
      </c>
      <c r="J77" s="18">
        <f t="shared" si="2"/>
        <v>0.5009090909</v>
      </c>
      <c r="K77" s="17">
        <v>2.35</v>
      </c>
      <c r="L77" s="19">
        <f t="shared" si="3"/>
        <v>0</v>
      </c>
      <c r="M77" s="20">
        <f t="shared" si="4"/>
        <v>213.571055</v>
      </c>
      <c r="N77" s="21">
        <f t="shared" si="5"/>
        <v>2.35</v>
      </c>
      <c r="O77" s="21">
        <f t="shared" si="6"/>
        <v>2585</v>
      </c>
      <c r="P77" s="22">
        <f t="shared" si="7"/>
        <v>234928.1605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 hidden="1">
      <c r="A78" s="63"/>
      <c r="B78" s="11">
        <v>46122.0</v>
      </c>
      <c r="C78" s="12">
        <f>VLOOKUP(B:B,'Курс валют'!A:D,4,0)</f>
        <v>90.8813</v>
      </c>
      <c r="D78" s="13" t="s">
        <v>717</v>
      </c>
      <c r="E78" s="64" t="s">
        <v>61</v>
      </c>
      <c r="F78" s="15">
        <v>1100.0</v>
      </c>
      <c r="G78" s="16">
        <v>1105.51</v>
      </c>
      <c r="H78" s="17">
        <v>0.0</v>
      </c>
      <c r="I78" s="16">
        <f t="shared" si="9"/>
        <v>5.51</v>
      </c>
      <c r="J78" s="18">
        <f t="shared" si="2"/>
        <v>0.5009090909</v>
      </c>
      <c r="K78" s="17">
        <v>2.41</v>
      </c>
      <c r="L78" s="19">
        <f t="shared" si="3"/>
        <v>0</v>
      </c>
      <c r="M78" s="20">
        <f t="shared" si="4"/>
        <v>219.023933</v>
      </c>
      <c r="N78" s="21">
        <f t="shared" si="5"/>
        <v>2.41</v>
      </c>
      <c r="O78" s="21">
        <f t="shared" si="6"/>
        <v>2651</v>
      </c>
      <c r="P78" s="22">
        <f t="shared" si="7"/>
        <v>240926.3263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 hidden="1">
      <c r="A79" s="63"/>
      <c r="B79" s="11">
        <v>46122.0</v>
      </c>
      <c r="C79" s="12">
        <f>VLOOKUP(B:B,'Курс валют'!A:D,4,0)</f>
        <v>90.8813</v>
      </c>
      <c r="D79" s="13" t="s">
        <v>718</v>
      </c>
      <c r="E79" s="64" t="s">
        <v>61</v>
      </c>
      <c r="F79" s="15">
        <v>1100.0</v>
      </c>
      <c r="G79" s="16">
        <v>1105.51</v>
      </c>
      <c r="H79" s="17">
        <v>0.0</v>
      </c>
      <c r="I79" s="16">
        <f t="shared" si="9"/>
        <v>5.51</v>
      </c>
      <c r="J79" s="18">
        <f t="shared" si="2"/>
        <v>0.5009090909</v>
      </c>
      <c r="K79" s="17">
        <v>2.41</v>
      </c>
      <c r="L79" s="19">
        <f t="shared" si="3"/>
        <v>0</v>
      </c>
      <c r="M79" s="20">
        <f t="shared" si="4"/>
        <v>219.023933</v>
      </c>
      <c r="N79" s="21">
        <f t="shared" si="5"/>
        <v>2.41</v>
      </c>
      <c r="O79" s="21">
        <f t="shared" si="6"/>
        <v>2651</v>
      </c>
      <c r="P79" s="22">
        <f t="shared" si="7"/>
        <v>240926.3263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 hidden="1">
      <c r="A80" s="63"/>
      <c r="B80" s="11">
        <v>46122.0</v>
      </c>
      <c r="C80" s="12">
        <f>VLOOKUP(B:B,'Курс валют'!A:D,4,0)</f>
        <v>90.8813</v>
      </c>
      <c r="D80" s="13" t="s">
        <v>719</v>
      </c>
      <c r="E80" s="64" t="s">
        <v>61</v>
      </c>
      <c r="F80" s="15">
        <v>1100.0</v>
      </c>
      <c r="G80" s="16">
        <v>1105.51</v>
      </c>
      <c r="H80" s="17">
        <v>0.0</v>
      </c>
      <c r="I80" s="16">
        <f t="shared" si="9"/>
        <v>5.51</v>
      </c>
      <c r="J80" s="18">
        <f t="shared" si="2"/>
        <v>0.5009090909</v>
      </c>
      <c r="K80" s="17">
        <v>2.41</v>
      </c>
      <c r="L80" s="19">
        <f t="shared" si="3"/>
        <v>0</v>
      </c>
      <c r="M80" s="20">
        <f t="shared" si="4"/>
        <v>219.023933</v>
      </c>
      <c r="N80" s="21">
        <f t="shared" si="5"/>
        <v>2.41</v>
      </c>
      <c r="O80" s="21">
        <f t="shared" si="6"/>
        <v>2651</v>
      </c>
      <c r="P80" s="22">
        <f t="shared" si="7"/>
        <v>240926.3263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 hidden="1">
      <c r="A81" s="63"/>
      <c r="B81" s="11">
        <v>46122.0</v>
      </c>
      <c r="C81" s="12">
        <f>VLOOKUP(B:B,'Курс валют'!A:D,4,0)</f>
        <v>90.8813</v>
      </c>
      <c r="D81" s="13" t="s">
        <v>720</v>
      </c>
      <c r="E81" s="64" t="s">
        <v>61</v>
      </c>
      <c r="F81" s="15">
        <v>1100.0</v>
      </c>
      <c r="G81" s="16">
        <v>1105.51</v>
      </c>
      <c r="H81" s="17">
        <v>0.0</v>
      </c>
      <c r="I81" s="16">
        <f t="shared" si="9"/>
        <v>5.51</v>
      </c>
      <c r="J81" s="18">
        <f t="shared" si="2"/>
        <v>0.5009090909</v>
      </c>
      <c r="K81" s="17">
        <v>2.41</v>
      </c>
      <c r="L81" s="19">
        <f t="shared" si="3"/>
        <v>0</v>
      </c>
      <c r="M81" s="20">
        <f t="shared" si="4"/>
        <v>219.023933</v>
      </c>
      <c r="N81" s="21">
        <f t="shared" si="5"/>
        <v>2.41</v>
      </c>
      <c r="O81" s="21">
        <f t="shared" si="6"/>
        <v>2651</v>
      </c>
      <c r="P81" s="22">
        <f t="shared" si="7"/>
        <v>240926.3263</v>
      </c>
      <c r="R81" s="23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>
        <v>46122.0</v>
      </c>
      <c r="C82" s="12">
        <f>VLOOKUP(B:B,'Курс валют'!A:D,4,0)</f>
        <v>90.8813</v>
      </c>
      <c r="D82" s="13" t="s">
        <v>721</v>
      </c>
      <c r="E82" s="64" t="s">
        <v>63</v>
      </c>
      <c r="F82" s="15">
        <v>1800.0</v>
      </c>
      <c r="G82" s="16">
        <v>1820.1</v>
      </c>
      <c r="H82" s="17">
        <v>0.0</v>
      </c>
      <c r="I82" s="16">
        <f t="shared" si="9"/>
        <v>20.1</v>
      </c>
      <c r="J82" s="18">
        <f t="shared" si="2"/>
        <v>1.116666667</v>
      </c>
      <c r="K82" s="17">
        <v>1.91</v>
      </c>
      <c r="L82" s="19">
        <f t="shared" si="3"/>
        <v>0</v>
      </c>
      <c r="M82" s="20">
        <f t="shared" si="4"/>
        <v>173.583283</v>
      </c>
      <c r="N82" s="21">
        <f t="shared" si="5"/>
        <v>1.91</v>
      </c>
      <c r="O82" s="21">
        <f t="shared" si="6"/>
        <v>3438</v>
      </c>
      <c r="P82" s="22">
        <f t="shared" si="7"/>
        <v>312449.9094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 hidden="1">
      <c r="A83" s="63"/>
      <c r="B83" s="11">
        <v>46122.0</v>
      </c>
      <c r="C83" s="12">
        <f>VLOOKUP(B:B,'Курс валют'!A:D,4,0)</f>
        <v>90.8813</v>
      </c>
      <c r="D83" s="13" t="s">
        <v>722</v>
      </c>
      <c r="E83" s="64" t="s">
        <v>61</v>
      </c>
      <c r="F83" s="15">
        <v>1100.0</v>
      </c>
      <c r="G83" s="16">
        <v>1105.51</v>
      </c>
      <c r="H83" s="17">
        <v>0.0</v>
      </c>
      <c r="I83" s="16">
        <f t="shared" si="9"/>
        <v>5.51</v>
      </c>
      <c r="J83" s="18">
        <f t="shared" si="2"/>
        <v>0.5009090909</v>
      </c>
      <c r="K83" s="17">
        <v>2.41</v>
      </c>
      <c r="L83" s="19">
        <f t="shared" si="3"/>
        <v>0</v>
      </c>
      <c r="M83" s="20">
        <f t="shared" si="4"/>
        <v>219.023933</v>
      </c>
      <c r="N83" s="21">
        <f t="shared" si="5"/>
        <v>2.41</v>
      </c>
      <c r="O83" s="21">
        <f t="shared" si="6"/>
        <v>2651</v>
      </c>
      <c r="P83" s="22">
        <f t="shared" si="7"/>
        <v>240926.3263</v>
      </c>
      <c r="R83" s="23"/>
      <c r="S83" s="25"/>
      <c r="T83" s="25"/>
      <c r="U83" s="25"/>
      <c r="V83" s="25"/>
      <c r="W83" s="25"/>
      <c r="X83" s="25"/>
      <c r="Y83" s="25"/>
      <c r="Z83" s="25"/>
      <c r="AA83" s="25"/>
    </row>
    <row r="84" hidden="1">
      <c r="A84" s="63"/>
      <c r="B84" s="11">
        <v>46122.0</v>
      </c>
      <c r="C84" s="12">
        <f>VLOOKUP(B:B,'Курс валют'!A:D,4,0)</f>
        <v>90.8813</v>
      </c>
      <c r="D84" s="13" t="s">
        <v>723</v>
      </c>
      <c r="E84" s="64" t="s">
        <v>61</v>
      </c>
      <c r="F84" s="15">
        <v>1100.0</v>
      </c>
      <c r="G84" s="16">
        <v>1105.51</v>
      </c>
      <c r="H84" s="17">
        <v>0.0</v>
      </c>
      <c r="I84" s="16">
        <f t="shared" si="9"/>
        <v>5.51</v>
      </c>
      <c r="J84" s="18">
        <f t="shared" si="2"/>
        <v>0.5009090909</v>
      </c>
      <c r="K84" s="17">
        <v>2.41</v>
      </c>
      <c r="L84" s="19">
        <f t="shared" si="3"/>
        <v>0</v>
      </c>
      <c r="M84" s="20">
        <f t="shared" si="4"/>
        <v>219.023933</v>
      </c>
      <c r="N84" s="21">
        <f t="shared" si="5"/>
        <v>2.41</v>
      </c>
      <c r="O84" s="21">
        <f t="shared" si="6"/>
        <v>2651</v>
      </c>
      <c r="P84" s="22">
        <f t="shared" si="7"/>
        <v>240926.3263</v>
      </c>
      <c r="R84" s="23"/>
      <c r="S84" s="25"/>
      <c r="T84" s="25"/>
      <c r="U84" s="25"/>
      <c r="V84" s="25"/>
      <c r="W84" s="25"/>
      <c r="X84" s="25"/>
      <c r="Y84" s="25"/>
      <c r="Z84" s="25"/>
      <c r="AA84" s="25"/>
    </row>
    <row r="85" hidden="1">
      <c r="A85" s="63"/>
      <c r="B85" s="11">
        <v>46122.0</v>
      </c>
      <c r="C85" s="12">
        <f>VLOOKUP(B:B,'Курс валют'!A:D,4,0)</f>
        <v>90.8813</v>
      </c>
      <c r="D85" s="13" t="s">
        <v>724</v>
      </c>
      <c r="E85" s="64" t="s">
        <v>61</v>
      </c>
      <c r="F85" s="15">
        <v>1100.0</v>
      </c>
      <c r="G85" s="16">
        <v>1105.51</v>
      </c>
      <c r="H85" s="17">
        <v>0.0</v>
      </c>
      <c r="I85" s="16">
        <f t="shared" si="9"/>
        <v>5.51</v>
      </c>
      <c r="J85" s="18">
        <f t="shared" si="2"/>
        <v>0.5009090909</v>
      </c>
      <c r="K85" s="17">
        <v>2.42</v>
      </c>
      <c r="L85" s="19">
        <f t="shared" si="3"/>
        <v>0</v>
      </c>
      <c r="M85" s="20">
        <f t="shared" si="4"/>
        <v>219.932746</v>
      </c>
      <c r="N85" s="21">
        <f t="shared" si="5"/>
        <v>2.42</v>
      </c>
      <c r="O85" s="21">
        <f t="shared" si="6"/>
        <v>2662</v>
      </c>
      <c r="P85" s="22">
        <f t="shared" si="7"/>
        <v>241926.0206</v>
      </c>
      <c r="R85" s="23"/>
      <c r="S85" s="25"/>
      <c r="T85" s="25"/>
      <c r="U85" s="25"/>
      <c r="V85" s="25"/>
      <c r="W85" s="25"/>
      <c r="X85" s="25"/>
      <c r="Y85" s="25"/>
      <c r="Z85" s="25"/>
      <c r="AA85" s="25"/>
    </row>
    <row r="86" hidden="1">
      <c r="A86" s="63"/>
      <c r="B86" s="11">
        <v>46122.0</v>
      </c>
      <c r="C86" s="12">
        <f>VLOOKUP(B:B,'Курс валют'!A:D,4,0)</f>
        <v>90.8813</v>
      </c>
      <c r="D86" s="13" t="s">
        <v>725</v>
      </c>
      <c r="E86" s="64" t="s">
        <v>61</v>
      </c>
      <c r="F86" s="15">
        <v>1100.0</v>
      </c>
      <c r="G86" s="16">
        <v>1105.51</v>
      </c>
      <c r="H86" s="17">
        <v>0.0</v>
      </c>
      <c r="I86" s="16">
        <f t="shared" si="9"/>
        <v>5.51</v>
      </c>
      <c r="J86" s="18">
        <f t="shared" si="2"/>
        <v>0.5009090909</v>
      </c>
      <c r="K86" s="17">
        <v>2.42</v>
      </c>
      <c r="L86" s="19">
        <f t="shared" si="3"/>
        <v>0</v>
      </c>
      <c r="M86" s="20">
        <f t="shared" si="4"/>
        <v>219.932746</v>
      </c>
      <c r="N86" s="21">
        <f t="shared" si="5"/>
        <v>2.42</v>
      </c>
      <c r="O86" s="21">
        <f t="shared" si="6"/>
        <v>2662</v>
      </c>
      <c r="P86" s="22">
        <f t="shared" si="7"/>
        <v>241926.0206</v>
      </c>
      <c r="R86" s="23"/>
      <c r="S86" s="25"/>
      <c r="T86" s="25"/>
      <c r="U86" s="25"/>
      <c r="V86" s="25"/>
      <c r="W86" s="25"/>
      <c r="X86" s="25"/>
      <c r="Y86" s="25"/>
      <c r="Z86" s="25"/>
      <c r="AA86" s="25"/>
    </row>
    <row r="87" hidden="1">
      <c r="A87" s="63"/>
      <c r="B87" s="11">
        <v>46122.0</v>
      </c>
      <c r="C87" s="12">
        <f>VLOOKUP(B:B,'Курс валют'!A:D,4,0)</f>
        <v>90.8813</v>
      </c>
      <c r="D87" s="13" t="s">
        <v>726</v>
      </c>
      <c r="E87" s="64" t="s">
        <v>61</v>
      </c>
      <c r="F87" s="15">
        <v>1100.0</v>
      </c>
      <c r="G87" s="16">
        <v>1105.51</v>
      </c>
      <c r="H87" s="17">
        <v>0.0</v>
      </c>
      <c r="I87" s="16">
        <f t="shared" si="9"/>
        <v>5.51</v>
      </c>
      <c r="J87" s="18">
        <f t="shared" si="2"/>
        <v>0.5009090909</v>
      </c>
      <c r="K87" s="17">
        <v>2.43</v>
      </c>
      <c r="L87" s="19">
        <f t="shared" si="3"/>
        <v>0</v>
      </c>
      <c r="M87" s="20">
        <f t="shared" si="4"/>
        <v>220.841559</v>
      </c>
      <c r="N87" s="21">
        <f t="shared" si="5"/>
        <v>2.43</v>
      </c>
      <c r="O87" s="21">
        <f t="shared" si="6"/>
        <v>2673</v>
      </c>
      <c r="P87" s="22">
        <f t="shared" si="7"/>
        <v>242925.7149</v>
      </c>
      <c r="R87" s="23"/>
      <c r="S87" s="25"/>
      <c r="T87" s="25"/>
      <c r="U87" s="25"/>
      <c r="V87" s="25"/>
      <c r="W87" s="25"/>
      <c r="X87" s="25"/>
      <c r="Y87" s="25"/>
      <c r="Z87" s="25"/>
      <c r="AA87" s="25"/>
    </row>
    <row r="88" hidden="1">
      <c r="A88" s="63"/>
      <c r="B88" s="11">
        <v>46123.0</v>
      </c>
      <c r="C88" s="12">
        <f>VLOOKUP(B:B,'Курс валют'!A:D,4,0)</f>
        <v>90.012</v>
      </c>
      <c r="D88" s="13" t="s">
        <v>727</v>
      </c>
      <c r="E88" s="64" t="s">
        <v>128</v>
      </c>
      <c r="F88" s="15">
        <v>2200.0</v>
      </c>
      <c r="G88" s="16">
        <v>2225.52</v>
      </c>
      <c r="H88" s="17">
        <v>0.0</v>
      </c>
      <c r="I88" s="16">
        <f t="shared" si="9"/>
        <v>25.52</v>
      </c>
      <c r="J88" s="18">
        <f t="shared" si="2"/>
        <v>1.16</v>
      </c>
      <c r="K88" s="17">
        <v>1.9</v>
      </c>
      <c r="L88" s="19">
        <f t="shared" si="3"/>
        <v>0</v>
      </c>
      <c r="M88" s="20">
        <f t="shared" si="4"/>
        <v>171.0228</v>
      </c>
      <c r="N88" s="21">
        <f t="shared" si="5"/>
        <v>1.9</v>
      </c>
      <c r="O88" s="21">
        <f t="shared" si="6"/>
        <v>4180</v>
      </c>
      <c r="P88" s="22">
        <f t="shared" si="7"/>
        <v>376250.16</v>
      </c>
      <c r="R88" s="23"/>
      <c r="S88" s="25"/>
      <c r="T88" s="25"/>
      <c r="U88" s="25"/>
      <c r="V88" s="25"/>
      <c r="W88" s="25"/>
      <c r="X88" s="25"/>
      <c r="Y88" s="25"/>
      <c r="Z88" s="25"/>
      <c r="AA88" s="25"/>
    </row>
    <row r="89" hidden="1">
      <c r="A89" s="63"/>
      <c r="B89" s="11">
        <v>46123.0</v>
      </c>
      <c r="C89" s="12">
        <f>VLOOKUP(B:B,'Курс валют'!A:D,4,0)</f>
        <v>90.012</v>
      </c>
      <c r="D89" s="13" t="s">
        <v>728</v>
      </c>
      <c r="E89" s="64" t="s">
        <v>61</v>
      </c>
      <c r="F89" s="15">
        <v>1100.0</v>
      </c>
      <c r="G89" s="16">
        <v>1105.51</v>
      </c>
      <c r="H89" s="17">
        <v>0.0</v>
      </c>
      <c r="I89" s="16">
        <f t="shared" si="9"/>
        <v>5.51</v>
      </c>
      <c r="J89" s="18">
        <f t="shared" si="2"/>
        <v>0.5009090909</v>
      </c>
      <c r="K89" s="17">
        <v>2.49</v>
      </c>
      <c r="L89" s="19">
        <f t="shared" si="3"/>
        <v>0</v>
      </c>
      <c r="M89" s="20">
        <f t="shared" si="4"/>
        <v>224.12988</v>
      </c>
      <c r="N89" s="21">
        <f t="shared" si="5"/>
        <v>2.49</v>
      </c>
      <c r="O89" s="21">
        <f t="shared" si="6"/>
        <v>2739</v>
      </c>
      <c r="P89" s="22">
        <f t="shared" si="7"/>
        <v>246542.868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 hidden="1">
      <c r="A90" s="63"/>
      <c r="B90" s="11">
        <v>46123.0</v>
      </c>
      <c r="C90" s="12">
        <f>VLOOKUP(B:B,'Курс валют'!A:D,4,0)</f>
        <v>90.012</v>
      </c>
      <c r="D90" s="13" t="s">
        <v>729</v>
      </c>
      <c r="E90" s="64" t="s">
        <v>61</v>
      </c>
      <c r="F90" s="15">
        <v>1100.0</v>
      </c>
      <c r="G90" s="16">
        <v>1105.51</v>
      </c>
      <c r="H90" s="17">
        <v>0.0</v>
      </c>
      <c r="I90" s="16">
        <f t="shared" si="9"/>
        <v>5.51</v>
      </c>
      <c r="J90" s="18">
        <f t="shared" si="2"/>
        <v>0.5009090909</v>
      </c>
      <c r="K90" s="17">
        <v>2.48</v>
      </c>
      <c r="L90" s="19">
        <f t="shared" si="3"/>
        <v>0</v>
      </c>
      <c r="M90" s="20">
        <f t="shared" si="4"/>
        <v>223.22976</v>
      </c>
      <c r="N90" s="21">
        <f t="shared" si="5"/>
        <v>2.48</v>
      </c>
      <c r="O90" s="21">
        <f t="shared" si="6"/>
        <v>2728</v>
      </c>
      <c r="P90" s="22">
        <f t="shared" si="7"/>
        <v>245552.736</v>
      </c>
      <c r="R90" s="23"/>
      <c r="S90" s="25"/>
      <c r="T90" s="25"/>
      <c r="U90" s="25"/>
      <c r="V90" s="25"/>
      <c r="W90" s="25"/>
      <c r="X90" s="25"/>
      <c r="Y90" s="25"/>
      <c r="Z90" s="25"/>
      <c r="AA90" s="25"/>
    </row>
    <row r="91" hidden="1">
      <c r="A91" s="63"/>
      <c r="B91" s="11">
        <v>46123.0</v>
      </c>
      <c r="C91" s="12">
        <f>VLOOKUP(B:B,'Курс валют'!A:D,4,0)</f>
        <v>90.012</v>
      </c>
      <c r="D91" s="13" t="s">
        <v>730</v>
      </c>
      <c r="E91" s="64" t="s">
        <v>61</v>
      </c>
      <c r="F91" s="15">
        <v>1100.0</v>
      </c>
      <c r="G91" s="16">
        <v>1105.51</v>
      </c>
      <c r="H91" s="17">
        <v>0.0</v>
      </c>
      <c r="I91" s="16">
        <f t="shared" si="9"/>
        <v>5.51</v>
      </c>
      <c r="J91" s="18">
        <f t="shared" si="2"/>
        <v>0.5009090909</v>
      </c>
      <c r="K91" s="17">
        <v>2.48</v>
      </c>
      <c r="L91" s="19">
        <f t="shared" si="3"/>
        <v>0</v>
      </c>
      <c r="M91" s="20">
        <f t="shared" si="4"/>
        <v>223.22976</v>
      </c>
      <c r="N91" s="21">
        <f t="shared" si="5"/>
        <v>2.48</v>
      </c>
      <c r="O91" s="21">
        <f t="shared" si="6"/>
        <v>2728</v>
      </c>
      <c r="P91" s="22">
        <f t="shared" si="7"/>
        <v>245552.736</v>
      </c>
      <c r="R91" s="23"/>
      <c r="S91" s="25"/>
      <c r="T91" s="25"/>
      <c r="U91" s="25"/>
      <c r="V91" s="25"/>
      <c r="W91" s="25"/>
      <c r="X91" s="25"/>
      <c r="Y91" s="25"/>
      <c r="Z91" s="25"/>
      <c r="AA91" s="25"/>
    </row>
    <row r="92" hidden="1">
      <c r="A92" s="63"/>
      <c r="B92" s="11">
        <v>46123.0</v>
      </c>
      <c r="C92" s="12">
        <f>VLOOKUP(B:B,'Курс валют'!A:D,4,0)</f>
        <v>90.012</v>
      </c>
      <c r="D92" s="13" t="s">
        <v>731</v>
      </c>
      <c r="E92" s="64" t="s">
        <v>61</v>
      </c>
      <c r="F92" s="15">
        <v>1100.0</v>
      </c>
      <c r="G92" s="16">
        <v>1105.51</v>
      </c>
      <c r="H92" s="17">
        <v>0.0</v>
      </c>
      <c r="I92" s="16">
        <f t="shared" si="9"/>
        <v>5.51</v>
      </c>
      <c r="J92" s="18">
        <f t="shared" si="2"/>
        <v>0.5009090909</v>
      </c>
      <c r="K92" s="17">
        <v>2.48</v>
      </c>
      <c r="L92" s="19">
        <f t="shared" si="3"/>
        <v>0</v>
      </c>
      <c r="M92" s="20">
        <f t="shared" si="4"/>
        <v>223.22976</v>
      </c>
      <c r="N92" s="21">
        <f t="shared" si="5"/>
        <v>2.48</v>
      </c>
      <c r="O92" s="21">
        <f t="shared" si="6"/>
        <v>2728</v>
      </c>
      <c r="P92" s="22">
        <f t="shared" si="7"/>
        <v>245552.736</v>
      </c>
      <c r="R92" s="23"/>
      <c r="S92" s="25"/>
      <c r="T92" s="25"/>
      <c r="U92" s="25"/>
      <c r="V92" s="25"/>
      <c r="W92" s="25"/>
      <c r="X92" s="25"/>
      <c r="Y92" s="25"/>
      <c r="Z92" s="25"/>
      <c r="AA92" s="25"/>
    </row>
    <row r="93" hidden="1">
      <c r="A93" s="63"/>
      <c r="B93" s="11">
        <v>46123.0</v>
      </c>
      <c r="C93" s="12">
        <f>VLOOKUP(B:B,'Курс валют'!A:D,4,0)</f>
        <v>90.012</v>
      </c>
      <c r="D93" s="13" t="s">
        <v>732</v>
      </c>
      <c r="E93" s="64" t="s">
        <v>61</v>
      </c>
      <c r="F93" s="15">
        <v>1100.0</v>
      </c>
      <c r="G93" s="16">
        <v>1105.51</v>
      </c>
      <c r="H93" s="17">
        <v>0.0</v>
      </c>
      <c r="I93" s="16">
        <f t="shared" si="9"/>
        <v>5.51</v>
      </c>
      <c r="J93" s="18">
        <f t="shared" si="2"/>
        <v>0.5009090909</v>
      </c>
      <c r="K93" s="17">
        <v>2.49</v>
      </c>
      <c r="L93" s="19">
        <f t="shared" si="3"/>
        <v>0</v>
      </c>
      <c r="M93" s="20">
        <f t="shared" si="4"/>
        <v>224.12988</v>
      </c>
      <c r="N93" s="21">
        <f t="shared" si="5"/>
        <v>2.49</v>
      </c>
      <c r="O93" s="21">
        <f t="shared" si="6"/>
        <v>2739</v>
      </c>
      <c r="P93" s="22">
        <f t="shared" si="7"/>
        <v>246542.868</v>
      </c>
      <c r="R93" s="24"/>
      <c r="S93" s="25"/>
      <c r="T93" s="25"/>
      <c r="U93" s="25"/>
      <c r="V93" s="25"/>
      <c r="W93" s="25"/>
      <c r="X93" s="25"/>
      <c r="Y93" s="25"/>
      <c r="Z93" s="25"/>
      <c r="AA93" s="25"/>
    </row>
    <row r="94" hidden="1">
      <c r="A94" s="25"/>
      <c r="B94" s="11">
        <v>46123.0</v>
      </c>
      <c r="C94" s="12">
        <f>VLOOKUP(B:B,'Курс валют'!A:D,4,0)</f>
        <v>90.012</v>
      </c>
      <c r="D94" s="13" t="s">
        <v>733</v>
      </c>
      <c r="E94" s="64" t="s">
        <v>61</v>
      </c>
      <c r="F94" s="15">
        <v>1100.0</v>
      </c>
      <c r="G94" s="16">
        <v>1105.51</v>
      </c>
      <c r="H94" s="17">
        <v>0.0</v>
      </c>
      <c r="I94" s="16">
        <f t="shared" si="9"/>
        <v>5.51</v>
      </c>
      <c r="J94" s="18">
        <f t="shared" si="2"/>
        <v>0.5009090909</v>
      </c>
      <c r="K94" s="17">
        <v>2.49</v>
      </c>
      <c r="L94" s="19">
        <f t="shared" si="3"/>
        <v>0</v>
      </c>
      <c r="M94" s="20">
        <f t="shared" si="4"/>
        <v>224.12988</v>
      </c>
      <c r="N94" s="21">
        <f t="shared" si="5"/>
        <v>2.49</v>
      </c>
      <c r="O94" s="21">
        <f t="shared" si="6"/>
        <v>2739</v>
      </c>
      <c r="P94" s="22">
        <f t="shared" si="7"/>
        <v>246542.868</v>
      </c>
      <c r="R94" s="24"/>
      <c r="S94" s="25"/>
      <c r="T94" s="25"/>
      <c r="U94" s="25"/>
      <c r="V94" s="25"/>
      <c r="W94" s="25"/>
      <c r="X94" s="25"/>
      <c r="Y94" s="25"/>
      <c r="Z94" s="25"/>
      <c r="AA94" s="25"/>
    </row>
    <row r="95" hidden="1">
      <c r="A95" s="25"/>
      <c r="B95" s="11">
        <v>46123.0</v>
      </c>
      <c r="C95" s="12">
        <f>VLOOKUP(B:B,'Курс валют'!A:D,4,0)</f>
        <v>90.012</v>
      </c>
      <c r="D95" s="13" t="s">
        <v>734</v>
      </c>
      <c r="E95" s="64" t="s">
        <v>61</v>
      </c>
      <c r="F95" s="15">
        <v>1100.0</v>
      </c>
      <c r="G95" s="16">
        <v>1105.51</v>
      </c>
      <c r="H95" s="17">
        <v>0.0</v>
      </c>
      <c r="I95" s="16">
        <f t="shared" si="9"/>
        <v>5.51</v>
      </c>
      <c r="J95" s="18">
        <f t="shared" si="2"/>
        <v>0.5009090909</v>
      </c>
      <c r="K95" s="17">
        <v>2.49</v>
      </c>
      <c r="L95" s="19">
        <f t="shared" si="3"/>
        <v>0</v>
      </c>
      <c r="M95" s="20">
        <f t="shared" si="4"/>
        <v>224.12988</v>
      </c>
      <c r="N95" s="21">
        <f t="shared" si="5"/>
        <v>2.49</v>
      </c>
      <c r="O95" s="21">
        <f t="shared" si="6"/>
        <v>2739</v>
      </c>
      <c r="P95" s="22">
        <f t="shared" si="7"/>
        <v>246542.868</v>
      </c>
      <c r="R95" s="24"/>
      <c r="S95" s="25"/>
      <c r="T95" s="25"/>
      <c r="U95" s="25"/>
      <c r="V95" s="25"/>
      <c r="W95" s="25"/>
      <c r="X95" s="25"/>
      <c r="Y95" s="25"/>
      <c r="Z95" s="25"/>
      <c r="AA95" s="25"/>
    </row>
    <row r="96" hidden="1">
      <c r="A96" s="25"/>
      <c r="B96" s="11">
        <v>46123.0</v>
      </c>
      <c r="C96" s="12">
        <f>VLOOKUP(B:B,'Курс валют'!A:D,4,0)</f>
        <v>90.012</v>
      </c>
      <c r="D96" s="13" t="s">
        <v>735</v>
      </c>
      <c r="E96" s="64" t="s">
        <v>61</v>
      </c>
      <c r="F96" s="15">
        <v>1100.0</v>
      </c>
      <c r="G96" s="16">
        <v>1105.51</v>
      </c>
      <c r="H96" s="17">
        <v>0.0</v>
      </c>
      <c r="I96" s="16">
        <f t="shared" si="9"/>
        <v>5.51</v>
      </c>
      <c r="J96" s="18">
        <f t="shared" si="2"/>
        <v>0.5009090909</v>
      </c>
      <c r="K96" s="17">
        <v>2.49</v>
      </c>
      <c r="L96" s="19">
        <f t="shared" si="3"/>
        <v>0</v>
      </c>
      <c r="M96" s="20">
        <f t="shared" si="4"/>
        <v>224.12988</v>
      </c>
      <c r="N96" s="21">
        <f t="shared" si="5"/>
        <v>2.49</v>
      </c>
      <c r="O96" s="21">
        <f t="shared" si="6"/>
        <v>2739</v>
      </c>
      <c r="P96" s="22">
        <f t="shared" si="7"/>
        <v>246542.868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idden="1">
      <c r="A97" s="25"/>
      <c r="B97" s="11">
        <v>46123.0</v>
      </c>
      <c r="C97" s="12">
        <f>VLOOKUP(B:B,'Курс валют'!A:D,4,0)</f>
        <v>90.012</v>
      </c>
      <c r="D97" s="13" t="s">
        <v>736</v>
      </c>
      <c r="E97" s="64" t="s">
        <v>61</v>
      </c>
      <c r="F97" s="15">
        <v>1100.0</v>
      </c>
      <c r="G97" s="16">
        <v>1105.51</v>
      </c>
      <c r="H97" s="17">
        <v>0.0</v>
      </c>
      <c r="I97" s="16">
        <f t="shared" si="9"/>
        <v>5.51</v>
      </c>
      <c r="J97" s="18">
        <f t="shared" si="2"/>
        <v>0.5009090909</v>
      </c>
      <c r="K97" s="17">
        <v>2.48</v>
      </c>
      <c r="L97" s="19">
        <f t="shared" si="3"/>
        <v>0</v>
      </c>
      <c r="M97" s="20">
        <f t="shared" si="4"/>
        <v>223.22976</v>
      </c>
      <c r="N97" s="21">
        <f t="shared" si="5"/>
        <v>2.48</v>
      </c>
      <c r="O97" s="21">
        <f t="shared" si="6"/>
        <v>2728</v>
      </c>
      <c r="P97" s="22">
        <f t="shared" si="7"/>
        <v>245552.736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idden="1">
      <c r="A98" s="25"/>
      <c r="B98" s="11">
        <v>46123.0</v>
      </c>
      <c r="C98" s="12">
        <f>VLOOKUP(B:B,'Курс валют'!A:D,4,0)</f>
        <v>90.012</v>
      </c>
      <c r="D98" s="13" t="s">
        <v>737</v>
      </c>
      <c r="E98" s="64" t="s">
        <v>61</v>
      </c>
      <c r="F98" s="15">
        <v>1100.0</v>
      </c>
      <c r="G98" s="16">
        <v>1105.51</v>
      </c>
      <c r="H98" s="17">
        <v>0.0</v>
      </c>
      <c r="I98" s="16">
        <f t="shared" si="9"/>
        <v>5.51</v>
      </c>
      <c r="J98" s="18">
        <f t="shared" si="2"/>
        <v>0.5009090909</v>
      </c>
      <c r="K98" s="17">
        <v>2.49</v>
      </c>
      <c r="L98" s="19">
        <f t="shared" si="3"/>
        <v>0</v>
      </c>
      <c r="M98" s="20">
        <f t="shared" si="4"/>
        <v>224.12988</v>
      </c>
      <c r="N98" s="21">
        <f t="shared" si="5"/>
        <v>2.49</v>
      </c>
      <c r="O98" s="21">
        <f t="shared" si="6"/>
        <v>2739</v>
      </c>
      <c r="P98" s="22">
        <f t="shared" si="7"/>
        <v>246542.868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idden="1">
      <c r="A99" s="25"/>
      <c r="B99" s="11">
        <v>46124.0</v>
      </c>
      <c r="C99" s="12">
        <f>VLOOKUP(B:B,'Курс валют'!A:D,4,0)</f>
        <v>90.012</v>
      </c>
      <c r="D99" s="13" t="s">
        <v>738</v>
      </c>
      <c r="E99" s="59" t="s">
        <v>128</v>
      </c>
      <c r="F99" s="15">
        <v>2200.0</v>
      </c>
      <c r="G99" s="16">
        <v>2225.52</v>
      </c>
      <c r="H99" s="17">
        <v>0.0</v>
      </c>
      <c r="I99" s="16">
        <f t="shared" si="9"/>
        <v>25.52</v>
      </c>
      <c r="J99" s="18">
        <f t="shared" si="2"/>
        <v>1.16</v>
      </c>
      <c r="K99" s="17">
        <v>1.88</v>
      </c>
      <c r="L99" s="19">
        <f t="shared" si="3"/>
        <v>0</v>
      </c>
      <c r="M99" s="20">
        <f t="shared" si="4"/>
        <v>169.22256</v>
      </c>
      <c r="N99" s="21">
        <f t="shared" si="5"/>
        <v>1.88</v>
      </c>
      <c r="O99" s="21">
        <f t="shared" si="6"/>
        <v>4136</v>
      </c>
      <c r="P99" s="22">
        <f t="shared" si="7"/>
        <v>372289.632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idden="1">
      <c r="A100" s="25"/>
      <c r="B100" s="11">
        <v>46124.0</v>
      </c>
      <c r="C100" s="12">
        <f>VLOOKUP(B:B,'Курс валют'!A:D,4,0)</f>
        <v>90.012</v>
      </c>
      <c r="D100" s="13" t="s">
        <v>739</v>
      </c>
      <c r="E100" s="59" t="s">
        <v>107</v>
      </c>
      <c r="F100" s="15">
        <v>2160.0</v>
      </c>
      <c r="G100" s="16">
        <v>2186.8</v>
      </c>
      <c r="H100" s="17">
        <v>0.0</v>
      </c>
      <c r="I100" s="16">
        <f t="shared" si="9"/>
        <v>26.8</v>
      </c>
      <c r="J100" s="18">
        <f t="shared" si="2"/>
        <v>1.240740741</v>
      </c>
      <c r="K100" s="17">
        <v>2.65</v>
      </c>
      <c r="L100" s="19">
        <f t="shared" si="3"/>
        <v>0</v>
      </c>
      <c r="M100" s="20">
        <f t="shared" si="4"/>
        <v>238.5318</v>
      </c>
      <c r="N100" s="21">
        <f t="shared" si="5"/>
        <v>2.65</v>
      </c>
      <c r="O100" s="21">
        <f t="shared" si="6"/>
        <v>5724</v>
      </c>
      <c r="P100" s="22">
        <f t="shared" si="7"/>
        <v>515228.688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idden="1">
      <c r="A101" s="25"/>
      <c r="B101" s="11">
        <v>46124.0</v>
      </c>
      <c r="C101" s="12">
        <f>VLOOKUP(B:B,'Курс валют'!A:D,4,0)</f>
        <v>90.012</v>
      </c>
      <c r="D101" s="13" t="s">
        <v>740</v>
      </c>
      <c r="E101" s="59" t="s">
        <v>68</v>
      </c>
      <c r="F101" s="15">
        <v>800.0</v>
      </c>
      <c r="G101" s="16">
        <v>804.99</v>
      </c>
      <c r="H101" s="17">
        <v>0.0</v>
      </c>
      <c r="I101" s="16">
        <f t="shared" si="9"/>
        <v>4.99</v>
      </c>
      <c r="J101" s="18">
        <f t="shared" si="2"/>
        <v>0.62375</v>
      </c>
      <c r="K101" s="17">
        <v>1.91</v>
      </c>
      <c r="L101" s="19">
        <f t="shared" si="3"/>
        <v>0</v>
      </c>
      <c r="M101" s="20">
        <f t="shared" si="4"/>
        <v>171.92292</v>
      </c>
      <c r="N101" s="21">
        <f t="shared" si="5"/>
        <v>1.91</v>
      </c>
      <c r="O101" s="21">
        <f t="shared" si="6"/>
        <v>1528</v>
      </c>
      <c r="P101" s="22">
        <f t="shared" si="7"/>
        <v>137538.336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idden="1">
      <c r="A102" s="25"/>
      <c r="B102" s="11">
        <v>46124.0</v>
      </c>
      <c r="C102" s="12">
        <f>VLOOKUP(B:B,'Курс валют'!A:D,4,0)</f>
        <v>90.012</v>
      </c>
      <c r="D102" s="13" t="s">
        <v>741</v>
      </c>
      <c r="E102" s="59" t="s">
        <v>68</v>
      </c>
      <c r="F102" s="15">
        <v>800.0</v>
      </c>
      <c r="G102" s="16">
        <v>804.99</v>
      </c>
      <c r="H102" s="17">
        <v>0.0</v>
      </c>
      <c r="I102" s="16">
        <f t="shared" si="9"/>
        <v>4.99</v>
      </c>
      <c r="J102" s="18">
        <f t="shared" si="2"/>
        <v>0.62375</v>
      </c>
      <c r="K102" s="17">
        <v>1.91</v>
      </c>
      <c r="L102" s="19">
        <f t="shared" si="3"/>
        <v>0</v>
      </c>
      <c r="M102" s="20">
        <f t="shared" si="4"/>
        <v>171.92292</v>
      </c>
      <c r="N102" s="21">
        <f t="shared" si="5"/>
        <v>1.91</v>
      </c>
      <c r="O102" s="21">
        <f t="shared" si="6"/>
        <v>1528</v>
      </c>
      <c r="P102" s="22">
        <f t="shared" si="7"/>
        <v>137538.336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idden="1">
      <c r="A103" s="25"/>
      <c r="B103" s="11">
        <v>46124.0</v>
      </c>
      <c r="C103" s="12">
        <f>VLOOKUP(B:B,'Курс валют'!A:D,4,0)</f>
        <v>90.012</v>
      </c>
      <c r="D103" s="13" t="s">
        <v>742</v>
      </c>
      <c r="E103" s="59" t="s">
        <v>68</v>
      </c>
      <c r="F103" s="15">
        <v>800.0</v>
      </c>
      <c r="G103" s="16">
        <v>804.99</v>
      </c>
      <c r="H103" s="17">
        <v>0.0</v>
      </c>
      <c r="I103" s="16">
        <f t="shared" si="9"/>
        <v>4.99</v>
      </c>
      <c r="J103" s="18">
        <f t="shared" si="2"/>
        <v>0.62375</v>
      </c>
      <c r="K103" s="17">
        <v>1.91</v>
      </c>
      <c r="L103" s="19">
        <f t="shared" si="3"/>
        <v>0</v>
      </c>
      <c r="M103" s="20">
        <f t="shared" si="4"/>
        <v>171.92292</v>
      </c>
      <c r="N103" s="21">
        <f t="shared" si="5"/>
        <v>1.91</v>
      </c>
      <c r="O103" s="21">
        <f t="shared" si="6"/>
        <v>1528</v>
      </c>
      <c r="P103" s="22">
        <f t="shared" si="7"/>
        <v>137538.336</v>
      </c>
      <c r="R103" s="24"/>
      <c r="S103" s="25"/>
      <c r="T103" s="25"/>
      <c r="U103" s="25"/>
      <c r="V103" s="25"/>
      <c r="W103" s="25"/>
      <c r="X103" s="25"/>
      <c r="Y103" s="25"/>
      <c r="Z103" s="25"/>
      <c r="AA103" s="25"/>
    </row>
    <row r="104" hidden="1">
      <c r="A104" s="25"/>
      <c r="B104" s="11">
        <v>46124.0</v>
      </c>
      <c r="C104" s="12">
        <f>VLOOKUP(B:B,'Курс валют'!A:D,4,0)</f>
        <v>90.012</v>
      </c>
      <c r="D104" s="13" t="s">
        <v>743</v>
      </c>
      <c r="E104" s="59" t="s">
        <v>68</v>
      </c>
      <c r="F104" s="15">
        <v>800.0</v>
      </c>
      <c r="G104" s="16">
        <v>804.99</v>
      </c>
      <c r="H104" s="17">
        <v>0.0</v>
      </c>
      <c r="I104" s="16">
        <f t="shared" si="9"/>
        <v>4.99</v>
      </c>
      <c r="J104" s="18">
        <f t="shared" si="2"/>
        <v>0.62375</v>
      </c>
      <c r="K104" s="17">
        <v>1.91</v>
      </c>
      <c r="L104" s="19">
        <f t="shared" si="3"/>
        <v>0</v>
      </c>
      <c r="M104" s="20">
        <f t="shared" si="4"/>
        <v>171.92292</v>
      </c>
      <c r="N104" s="21">
        <f t="shared" si="5"/>
        <v>1.91</v>
      </c>
      <c r="O104" s="21">
        <f t="shared" si="6"/>
        <v>1528</v>
      </c>
      <c r="P104" s="22">
        <f t="shared" si="7"/>
        <v>137538.336</v>
      </c>
      <c r="R104" s="24"/>
      <c r="S104" s="25"/>
      <c r="T104" s="25"/>
      <c r="U104" s="25"/>
      <c r="V104" s="25"/>
      <c r="W104" s="25"/>
      <c r="X104" s="25"/>
      <c r="Y104" s="25"/>
      <c r="Z104" s="25"/>
      <c r="AA104" s="25"/>
    </row>
    <row r="105" hidden="1">
      <c r="A105" s="25"/>
      <c r="B105" s="11">
        <v>46124.0</v>
      </c>
      <c r="C105" s="12">
        <f>VLOOKUP(B:B,'Курс валют'!A:D,4,0)</f>
        <v>90.012</v>
      </c>
      <c r="D105" s="13" t="s">
        <v>744</v>
      </c>
      <c r="E105" s="59" t="s">
        <v>68</v>
      </c>
      <c r="F105" s="15">
        <v>800.0</v>
      </c>
      <c r="G105" s="16">
        <v>804.99</v>
      </c>
      <c r="H105" s="17">
        <v>0.0</v>
      </c>
      <c r="I105" s="16">
        <f t="shared" si="9"/>
        <v>4.99</v>
      </c>
      <c r="J105" s="18">
        <f t="shared" si="2"/>
        <v>0.62375</v>
      </c>
      <c r="K105" s="17">
        <v>1.91</v>
      </c>
      <c r="L105" s="19">
        <f t="shared" si="3"/>
        <v>0</v>
      </c>
      <c r="M105" s="20">
        <f t="shared" si="4"/>
        <v>171.92292</v>
      </c>
      <c r="N105" s="21">
        <f t="shared" si="5"/>
        <v>1.91</v>
      </c>
      <c r="O105" s="21">
        <f t="shared" si="6"/>
        <v>1528</v>
      </c>
      <c r="P105" s="22">
        <f t="shared" si="7"/>
        <v>137538.336</v>
      </c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idden="1">
      <c r="A106" s="25"/>
      <c r="B106" s="11">
        <v>46124.0</v>
      </c>
      <c r="C106" s="12">
        <f>VLOOKUP(B:B,'Курс валют'!A:D,4,0)</f>
        <v>90.012</v>
      </c>
      <c r="D106" s="13" t="s">
        <v>745</v>
      </c>
      <c r="E106" s="59" t="s">
        <v>68</v>
      </c>
      <c r="F106" s="15">
        <v>800.0</v>
      </c>
      <c r="G106" s="16">
        <v>804.99</v>
      </c>
      <c r="H106" s="17">
        <v>0.0</v>
      </c>
      <c r="I106" s="16">
        <f t="shared" si="9"/>
        <v>4.99</v>
      </c>
      <c r="J106" s="18">
        <f t="shared" si="2"/>
        <v>0.62375</v>
      </c>
      <c r="K106" s="17">
        <v>1.91</v>
      </c>
      <c r="L106" s="19">
        <f t="shared" si="3"/>
        <v>0</v>
      </c>
      <c r="M106" s="20">
        <f t="shared" si="4"/>
        <v>171.92292</v>
      </c>
      <c r="N106" s="21">
        <f t="shared" si="5"/>
        <v>1.91</v>
      </c>
      <c r="O106" s="21">
        <f t="shared" si="6"/>
        <v>1528</v>
      </c>
      <c r="P106" s="22">
        <f t="shared" si="7"/>
        <v>137538.336</v>
      </c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idden="1">
      <c r="A107" s="25"/>
      <c r="B107" s="11">
        <v>46124.0</v>
      </c>
      <c r="C107" s="12">
        <f>VLOOKUP(B:B,'Курс валют'!A:D,4,0)</f>
        <v>90.012</v>
      </c>
      <c r="D107" s="13" t="s">
        <v>746</v>
      </c>
      <c r="E107" s="59" t="s">
        <v>68</v>
      </c>
      <c r="F107" s="15">
        <v>800.0</v>
      </c>
      <c r="G107" s="16">
        <v>804.99</v>
      </c>
      <c r="H107" s="17">
        <v>0.0</v>
      </c>
      <c r="I107" s="16">
        <f t="shared" si="9"/>
        <v>4.99</v>
      </c>
      <c r="J107" s="18">
        <f t="shared" si="2"/>
        <v>0.62375</v>
      </c>
      <c r="K107" s="17">
        <v>1.91</v>
      </c>
      <c r="L107" s="19">
        <f t="shared" si="3"/>
        <v>0</v>
      </c>
      <c r="M107" s="20">
        <f t="shared" si="4"/>
        <v>171.92292</v>
      </c>
      <c r="N107" s="21">
        <f t="shared" si="5"/>
        <v>1.91</v>
      </c>
      <c r="O107" s="21">
        <f t="shared" si="6"/>
        <v>1528</v>
      </c>
      <c r="P107" s="22">
        <f t="shared" si="7"/>
        <v>137538.336</v>
      </c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idden="1">
      <c r="A108" s="25"/>
      <c r="B108" s="11">
        <v>46124.0</v>
      </c>
      <c r="C108" s="12">
        <f>VLOOKUP(B:B,'Курс валют'!A:D,4,0)</f>
        <v>90.012</v>
      </c>
      <c r="D108" s="13" t="s">
        <v>747</v>
      </c>
      <c r="E108" s="59" t="s">
        <v>68</v>
      </c>
      <c r="F108" s="15">
        <v>800.0</v>
      </c>
      <c r="G108" s="16">
        <v>804.99</v>
      </c>
      <c r="H108" s="17">
        <v>0.0</v>
      </c>
      <c r="I108" s="16">
        <f t="shared" si="9"/>
        <v>4.99</v>
      </c>
      <c r="J108" s="18">
        <f t="shared" si="2"/>
        <v>0.62375</v>
      </c>
      <c r="K108" s="17">
        <v>1.91</v>
      </c>
      <c r="L108" s="19">
        <f t="shared" si="3"/>
        <v>0</v>
      </c>
      <c r="M108" s="20">
        <f t="shared" si="4"/>
        <v>171.92292</v>
      </c>
      <c r="N108" s="21">
        <f t="shared" si="5"/>
        <v>1.91</v>
      </c>
      <c r="O108" s="21">
        <f t="shared" si="6"/>
        <v>1528</v>
      </c>
      <c r="P108" s="22">
        <f t="shared" si="7"/>
        <v>137538.336</v>
      </c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idden="1">
      <c r="A109" s="25"/>
      <c r="B109" s="11">
        <v>46124.0</v>
      </c>
      <c r="C109" s="12">
        <f>VLOOKUP(B:B,'Курс валют'!A:D,4,0)</f>
        <v>90.012</v>
      </c>
      <c r="D109" s="13" t="s">
        <v>748</v>
      </c>
      <c r="E109" s="59" t="s">
        <v>68</v>
      </c>
      <c r="F109" s="15">
        <v>800.0</v>
      </c>
      <c r="G109" s="16">
        <v>804.99</v>
      </c>
      <c r="H109" s="17">
        <v>0.0</v>
      </c>
      <c r="I109" s="16">
        <f t="shared" si="9"/>
        <v>4.99</v>
      </c>
      <c r="J109" s="18">
        <f t="shared" si="2"/>
        <v>0.62375</v>
      </c>
      <c r="K109" s="17">
        <v>1.91</v>
      </c>
      <c r="L109" s="19">
        <f t="shared" si="3"/>
        <v>0</v>
      </c>
      <c r="M109" s="20">
        <f t="shared" si="4"/>
        <v>171.92292</v>
      </c>
      <c r="N109" s="21">
        <f t="shared" si="5"/>
        <v>1.91</v>
      </c>
      <c r="O109" s="21">
        <f t="shared" si="6"/>
        <v>1528</v>
      </c>
      <c r="P109" s="22">
        <f t="shared" si="7"/>
        <v>137538.336</v>
      </c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idden="1">
      <c r="A110" s="25"/>
      <c r="B110" s="11">
        <v>46124.0</v>
      </c>
      <c r="C110" s="12">
        <f>VLOOKUP(B:B,'Курс валют'!A:D,4,0)</f>
        <v>90.012</v>
      </c>
      <c r="D110" s="13" t="s">
        <v>749</v>
      </c>
      <c r="E110" s="59" t="s">
        <v>68</v>
      </c>
      <c r="F110" s="15">
        <v>800.0</v>
      </c>
      <c r="G110" s="16">
        <v>804.99</v>
      </c>
      <c r="H110" s="17">
        <v>0.0</v>
      </c>
      <c r="I110" s="16">
        <f t="shared" si="9"/>
        <v>4.99</v>
      </c>
      <c r="J110" s="18">
        <f t="shared" si="2"/>
        <v>0.62375</v>
      </c>
      <c r="K110" s="17">
        <v>1.91</v>
      </c>
      <c r="L110" s="19">
        <f t="shared" si="3"/>
        <v>0</v>
      </c>
      <c r="M110" s="20">
        <f t="shared" si="4"/>
        <v>171.92292</v>
      </c>
      <c r="N110" s="21">
        <f t="shared" si="5"/>
        <v>1.91</v>
      </c>
      <c r="O110" s="21">
        <f t="shared" si="6"/>
        <v>1528</v>
      </c>
      <c r="P110" s="22">
        <f t="shared" si="7"/>
        <v>137538.336</v>
      </c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idden="1">
      <c r="A111" s="25"/>
      <c r="B111" s="11">
        <v>46125.0</v>
      </c>
      <c r="C111" s="12">
        <f>VLOOKUP(B:B,'Курс валют'!A:D,4,0)</f>
        <v>90.012</v>
      </c>
      <c r="D111" s="13" t="s">
        <v>750</v>
      </c>
      <c r="E111" s="59" t="s">
        <v>71</v>
      </c>
      <c r="F111" s="15">
        <v>800.0</v>
      </c>
      <c r="G111" s="16">
        <v>803.93</v>
      </c>
      <c r="H111" s="17">
        <v>0.0</v>
      </c>
      <c r="I111" s="16">
        <f t="shared" si="9"/>
        <v>3.93</v>
      </c>
      <c r="J111" s="18">
        <f t="shared" si="2"/>
        <v>0.49125</v>
      </c>
      <c r="K111" s="17">
        <v>1.86</v>
      </c>
      <c r="L111" s="19">
        <f t="shared" si="3"/>
        <v>0</v>
      </c>
      <c r="M111" s="20">
        <f t="shared" si="4"/>
        <v>167.42232</v>
      </c>
      <c r="N111" s="21">
        <f t="shared" si="5"/>
        <v>1.86</v>
      </c>
      <c r="O111" s="21">
        <f t="shared" si="6"/>
        <v>1488</v>
      </c>
      <c r="P111" s="22">
        <f t="shared" si="7"/>
        <v>133937.856</v>
      </c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idden="1">
      <c r="A112" s="25"/>
      <c r="B112" s="11">
        <v>46125.0</v>
      </c>
      <c r="C112" s="12">
        <f>VLOOKUP(B:B,'Курс валют'!A:D,4,0)</f>
        <v>90.012</v>
      </c>
      <c r="D112" s="13" t="s">
        <v>751</v>
      </c>
      <c r="E112" s="59" t="s">
        <v>71</v>
      </c>
      <c r="F112" s="15">
        <v>800.0</v>
      </c>
      <c r="G112" s="16">
        <v>803.93</v>
      </c>
      <c r="H112" s="17">
        <v>0.0</v>
      </c>
      <c r="I112" s="16">
        <f t="shared" si="9"/>
        <v>3.93</v>
      </c>
      <c r="J112" s="18">
        <f t="shared" si="2"/>
        <v>0.49125</v>
      </c>
      <c r="K112" s="17">
        <v>1.86</v>
      </c>
      <c r="L112" s="19">
        <f t="shared" si="3"/>
        <v>0</v>
      </c>
      <c r="M112" s="20">
        <f t="shared" si="4"/>
        <v>167.42232</v>
      </c>
      <c r="N112" s="21">
        <f t="shared" si="5"/>
        <v>1.86</v>
      </c>
      <c r="O112" s="21">
        <f t="shared" si="6"/>
        <v>1488</v>
      </c>
      <c r="P112" s="22">
        <f t="shared" si="7"/>
        <v>133937.856</v>
      </c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idden="1">
      <c r="A113" s="25"/>
      <c r="B113" s="11">
        <v>46125.0</v>
      </c>
      <c r="C113" s="12">
        <f>VLOOKUP(B:B,'Курс валют'!A:D,4,0)</f>
        <v>90.012</v>
      </c>
      <c r="D113" s="13" t="s">
        <v>752</v>
      </c>
      <c r="E113" s="59" t="s">
        <v>71</v>
      </c>
      <c r="F113" s="15">
        <v>800.0</v>
      </c>
      <c r="G113" s="16">
        <v>803.93</v>
      </c>
      <c r="H113" s="17">
        <v>0.0</v>
      </c>
      <c r="I113" s="16">
        <f t="shared" si="9"/>
        <v>3.93</v>
      </c>
      <c r="J113" s="18">
        <f t="shared" si="2"/>
        <v>0.49125</v>
      </c>
      <c r="K113" s="17">
        <v>1.86</v>
      </c>
      <c r="L113" s="19">
        <f t="shared" si="3"/>
        <v>0</v>
      </c>
      <c r="M113" s="20">
        <f t="shared" si="4"/>
        <v>167.42232</v>
      </c>
      <c r="N113" s="21">
        <f t="shared" si="5"/>
        <v>1.86</v>
      </c>
      <c r="O113" s="21">
        <f t="shared" si="6"/>
        <v>1488</v>
      </c>
      <c r="P113" s="22">
        <f t="shared" si="7"/>
        <v>133937.856</v>
      </c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idden="1">
      <c r="A114" s="25"/>
      <c r="B114" s="11">
        <v>46125.0</v>
      </c>
      <c r="C114" s="12">
        <f>VLOOKUP(B:B,'Курс валют'!A:D,4,0)</f>
        <v>90.012</v>
      </c>
      <c r="D114" s="13" t="s">
        <v>753</v>
      </c>
      <c r="E114" s="59" t="s">
        <v>71</v>
      </c>
      <c r="F114" s="15">
        <v>800.0</v>
      </c>
      <c r="G114" s="16">
        <v>803.93</v>
      </c>
      <c r="H114" s="17">
        <v>0.0</v>
      </c>
      <c r="I114" s="16">
        <f t="shared" si="9"/>
        <v>3.93</v>
      </c>
      <c r="J114" s="18">
        <f t="shared" si="2"/>
        <v>0.49125</v>
      </c>
      <c r="K114" s="17">
        <v>1.86</v>
      </c>
      <c r="L114" s="19">
        <f t="shared" si="3"/>
        <v>0</v>
      </c>
      <c r="M114" s="20">
        <f t="shared" si="4"/>
        <v>167.42232</v>
      </c>
      <c r="N114" s="21">
        <f t="shared" si="5"/>
        <v>1.86</v>
      </c>
      <c r="O114" s="21">
        <f t="shared" si="6"/>
        <v>1488</v>
      </c>
      <c r="P114" s="22">
        <f t="shared" si="7"/>
        <v>133937.856</v>
      </c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idden="1">
      <c r="A115" s="25"/>
      <c r="B115" s="11">
        <v>46125.0</v>
      </c>
      <c r="C115" s="12">
        <f>VLOOKUP(B:B,'Курс валют'!A:D,4,0)</f>
        <v>90.012</v>
      </c>
      <c r="D115" s="13" t="s">
        <v>754</v>
      </c>
      <c r="E115" s="59" t="s">
        <v>71</v>
      </c>
      <c r="F115" s="15">
        <v>800.0</v>
      </c>
      <c r="G115" s="16">
        <v>803.93</v>
      </c>
      <c r="H115" s="17">
        <v>0.0</v>
      </c>
      <c r="I115" s="16">
        <f t="shared" si="9"/>
        <v>3.93</v>
      </c>
      <c r="J115" s="18">
        <f t="shared" si="2"/>
        <v>0.49125</v>
      </c>
      <c r="K115" s="17">
        <v>1.86</v>
      </c>
      <c r="L115" s="19">
        <f t="shared" si="3"/>
        <v>0</v>
      </c>
      <c r="M115" s="20">
        <f t="shared" si="4"/>
        <v>167.42232</v>
      </c>
      <c r="N115" s="21">
        <f t="shared" si="5"/>
        <v>1.86</v>
      </c>
      <c r="O115" s="21">
        <f t="shared" si="6"/>
        <v>1488</v>
      </c>
      <c r="P115" s="22">
        <f t="shared" si="7"/>
        <v>133937.856</v>
      </c>
      <c r="R115" s="24"/>
      <c r="S115" s="25"/>
      <c r="T115" s="25"/>
      <c r="U115" s="25"/>
      <c r="V115" s="25"/>
      <c r="W115" s="25"/>
      <c r="X115" s="25"/>
      <c r="Y115" s="25"/>
      <c r="Z115" s="25"/>
      <c r="AA115" s="25"/>
    </row>
    <row r="116" hidden="1">
      <c r="A116" s="25"/>
      <c r="B116" s="11">
        <v>46125.0</v>
      </c>
      <c r="C116" s="12">
        <f>VLOOKUP(B:B,'Курс валют'!A:D,4,0)</f>
        <v>90.012</v>
      </c>
      <c r="D116" s="13" t="s">
        <v>755</v>
      </c>
      <c r="E116" s="59" t="s">
        <v>107</v>
      </c>
      <c r="F116" s="15">
        <v>2160.0</v>
      </c>
      <c r="G116" s="16">
        <v>2197.8</v>
      </c>
      <c r="H116" s="17">
        <v>0.0</v>
      </c>
      <c r="I116" s="16">
        <f t="shared" si="9"/>
        <v>37.8</v>
      </c>
      <c r="J116" s="18">
        <f t="shared" si="2"/>
        <v>1.75</v>
      </c>
      <c r="K116" s="17">
        <v>2.64</v>
      </c>
      <c r="L116" s="19">
        <f t="shared" si="3"/>
        <v>0</v>
      </c>
      <c r="M116" s="20">
        <f t="shared" si="4"/>
        <v>237.63168</v>
      </c>
      <c r="N116" s="21">
        <f t="shared" si="5"/>
        <v>2.64</v>
      </c>
      <c r="O116" s="21">
        <f t="shared" si="6"/>
        <v>5702.4</v>
      </c>
      <c r="P116" s="22">
        <f t="shared" si="7"/>
        <v>513284.4288</v>
      </c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idden="1">
      <c r="A117" s="25"/>
      <c r="B117" s="11">
        <v>46125.0</v>
      </c>
      <c r="C117" s="12">
        <f>VLOOKUP(B:B,'Курс валют'!A:D,4,0)</f>
        <v>90.012</v>
      </c>
      <c r="D117" s="13" t="s">
        <v>756</v>
      </c>
      <c r="E117" s="59" t="s">
        <v>128</v>
      </c>
      <c r="F117" s="15">
        <v>2200.0</v>
      </c>
      <c r="G117" s="16">
        <v>2225.52</v>
      </c>
      <c r="H117" s="17">
        <v>0.0</v>
      </c>
      <c r="I117" s="16">
        <f t="shared" si="9"/>
        <v>25.52</v>
      </c>
      <c r="J117" s="18">
        <f t="shared" si="2"/>
        <v>1.16</v>
      </c>
      <c r="K117" s="17">
        <v>1.8</v>
      </c>
      <c r="L117" s="19">
        <f t="shared" si="3"/>
        <v>0</v>
      </c>
      <c r="M117" s="20">
        <f t="shared" si="4"/>
        <v>162.0216</v>
      </c>
      <c r="N117" s="21">
        <f t="shared" si="5"/>
        <v>1.8</v>
      </c>
      <c r="O117" s="21">
        <f t="shared" si="6"/>
        <v>3960</v>
      </c>
      <c r="P117" s="22">
        <f t="shared" si="7"/>
        <v>356447.52</v>
      </c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idden="1">
      <c r="A118" s="25"/>
      <c r="B118" s="11">
        <v>46125.0</v>
      </c>
      <c r="C118" s="12">
        <f>VLOOKUP(B:B,'Курс валют'!A:D,4,0)</f>
        <v>90.012</v>
      </c>
      <c r="D118" s="13" t="s">
        <v>757</v>
      </c>
      <c r="E118" s="59" t="s">
        <v>98</v>
      </c>
      <c r="F118" s="15">
        <v>1620.0</v>
      </c>
      <c r="G118" s="16">
        <v>1622.9</v>
      </c>
      <c r="H118" s="17">
        <v>0.0</v>
      </c>
      <c r="I118" s="16">
        <f t="shared" si="9"/>
        <v>2.9</v>
      </c>
      <c r="J118" s="18">
        <f t="shared" si="2"/>
        <v>0.1790123457</v>
      </c>
      <c r="K118" s="17">
        <v>1.98</v>
      </c>
      <c r="L118" s="19">
        <f t="shared" si="3"/>
        <v>0</v>
      </c>
      <c r="M118" s="20">
        <f t="shared" si="4"/>
        <v>178.22376</v>
      </c>
      <c r="N118" s="21">
        <f t="shared" si="5"/>
        <v>1.98</v>
      </c>
      <c r="O118" s="21">
        <f t="shared" si="6"/>
        <v>3207.6</v>
      </c>
      <c r="P118" s="22">
        <f t="shared" si="7"/>
        <v>288722.4912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idden="1">
      <c r="A119" s="25"/>
      <c r="B119" s="11">
        <v>46126.0</v>
      </c>
      <c r="C119" s="12">
        <f>VLOOKUP(B:B,'Курс валют'!A:D,4,0)</f>
        <v>89.1373</v>
      </c>
      <c r="D119" s="13" t="s">
        <v>758</v>
      </c>
      <c r="E119" s="59" t="s">
        <v>61</v>
      </c>
      <c r="F119" s="15">
        <v>1100.0</v>
      </c>
      <c r="G119" s="16">
        <v>1105.51</v>
      </c>
      <c r="H119" s="17">
        <v>0.0</v>
      </c>
      <c r="I119" s="16">
        <f t="shared" si="9"/>
        <v>5.51</v>
      </c>
      <c r="J119" s="18">
        <f t="shared" si="2"/>
        <v>0.5009090909</v>
      </c>
      <c r="K119" s="17">
        <v>2.42</v>
      </c>
      <c r="L119" s="19">
        <f t="shared" si="3"/>
        <v>0</v>
      </c>
      <c r="M119" s="20">
        <f t="shared" si="4"/>
        <v>215.712266</v>
      </c>
      <c r="N119" s="21">
        <f t="shared" si="5"/>
        <v>2.42</v>
      </c>
      <c r="O119" s="21">
        <f t="shared" si="6"/>
        <v>2662</v>
      </c>
      <c r="P119" s="22">
        <f t="shared" si="7"/>
        <v>237283.4926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idden="1">
      <c r="A120" s="25"/>
      <c r="B120" s="11">
        <v>46126.0</v>
      </c>
      <c r="C120" s="12">
        <f>VLOOKUP(B:B,'Курс валют'!A:D,4,0)</f>
        <v>89.1373</v>
      </c>
      <c r="D120" s="13" t="s">
        <v>759</v>
      </c>
      <c r="E120" s="59" t="s">
        <v>61</v>
      </c>
      <c r="F120" s="15">
        <v>1100.0</v>
      </c>
      <c r="G120" s="16">
        <v>1105.51</v>
      </c>
      <c r="H120" s="17">
        <v>0.0</v>
      </c>
      <c r="I120" s="16">
        <f t="shared" si="9"/>
        <v>5.51</v>
      </c>
      <c r="J120" s="18">
        <f t="shared" si="2"/>
        <v>0.5009090909</v>
      </c>
      <c r="K120" s="17">
        <v>2.42</v>
      </c>
      <c r="L120" s="19">
        <f t="shared" si="3"/>
        <v>0</v>
      </c>
      <c r="M120" s="20">
        <f t="shared" si="4"/>
        <v>215.712266</v>
      </c>
      <c r="N120" s="21">
        <f t="shared" si="5"/>
        <v>2.42</v>
      </c>
      <c r="O120" s="21">
        <f t="shared" si="6"/>
        <v>2662</v>
      </c>
      <c r="P120" s="22">
        <f t="shared" si="7"/>
        <v>237283.4926</v>
      </c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idden="1">
      <c r="A121" s="25"/>
      <c r="B121" s="11">
        <v>46126.0</v>
      </c>
      <c r="C121" s="12">
        <f>VLOOKUP(B:B,'Курс валют'!A:D,4,0)</f>
        <v>89.1373</v>
      </c>
      <c r="D121" s="13" t="s">
        <v>760</v>
      </c>
      <c r="E121" s="59" t="s">
        <v>61</v>
      </c>
      <c r="F121" s="15">
        <v>1100.0</v>
      </c>
      <c r="G121" s="16">
        <v>1105.51</v>
      </c>
      <c r="H121" s="17">
        <v>0.0</v>
      </c>
      <c r="I121" s="16">
        <f t="shared" si="9"/>
        <v>5.51</v>
      </c>
      <c r="J121" s="18">
        <f t="shared" si="2"/>
        <v>0.5009090909</v>
      </c>
      <c r="K121" s="17">
        <v>2.42</v>
      </c>
      <c r="L121" s="19">
        <f t="shared" si="3"/>
        <v>0</v>
      </c>
      <c r="M121" s="20">
        <f t="shared" si="4"/>
        <v>215.712266</v>
      </c>
      <c r="N121" s="21">
        <f t="shared" si="5"/>
        <v>2.42</v>
      </c>
      <c r="O121" s="21">
        <f t="shared" si="6"/>
        <v>2662</v>
      </c>
      <c r="P121" s="22">
        <f t="shared" si="7"/>
        <v>237283.4926</v>
      </c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idden="1">
      <c r="A122" s="25"/>
      <c r="B122" s="11">
        <v>46126.0</v>
      </c>
      <c r="C122" s="12">
        <f>VLOOKUP(B:B,'Курс валют'!A:D,4,0)</f>
        <v>89.1373</v>
      </c>
      <c r="D122" s="13" t="s">
        <v>761</v>
      </c>
      <c r="E122" s="59" t="s">
        <v>61</v>
      </c>
      <c r="F122" s="15">
        <v>1100.0</v>
      </c>
      <c r="G122" s="16">
        <v>1105.51</v>
      </c>
      <c r="H122" s="17">
        <v>0.0</v>
      </c>
      <c r="I122" s="16">
        <f t="shared" si="9"/>
        <v>5.51</v>
      </c>
      <c r="J122" s="18">
        <f t="shared" si="2"/>
        <v>0.5009090909</v>
      </c>
      <c r="K122" s="17">
        <v>2.42</v>
      </c>
      <c r="L122" s="19">
        <f t="shared" si="3"/>
        <v>0</v>
      </c>
      <c r="M122" s="20">
        <f t="shared" si="4"/>
        <v>215.712266</v>
      </c>
      <c r="N122" s="21">
        <f t="shared" si="5"/>
        <v>2.42</v>
      </c>
      <c r="O122" s="21">
        <f t="shared" si="6"/>
        <v>2662</v>
      </c>
      <c r="P122" s="22">
        <f t="shared" si="7"/>
        <v>237283.4926</v>
      </c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idden="1">
      <c r="A123" s="25"/>
      <c r="B123" s="11">
        <v>46126.0</v>
      </c>
      <c r="C123" s="12">
        <f>VLOOKUP(B:B,'Курс валют'!A:D,4,0)</f>
        <v>89.1373</v>
      </c>
      <c r="D123" s="13" t="s">
        <v>762</v>
      </c>
      <c r="E123" s="59" t="s">
        <v>61</v>
      </c>
      <c r="F123" s="15">
        <v>1100.0</v>
      </c>
      <c r="G123" s="16">
        <v>1105.51</v>
      </c>
      <c r="H123" s="17">
        <v>0.0</v>
      </c>
      <c r="I123" s="16">
        <f t="shared" si="9"/>
        <v>5.51</v>
      </c>
      <c r="J123" s="18">
        <f t="shared" si="2"/>
        <v>0.5009090909</v>
      </c>
      <c r="K123" s="17">
        <v>2.42</v>
      </c>
      <c r="L123" s="19">
        <f t="shared" si="3"/>
        <v>0</v>
      </c>
      <c r="M123" s="20">
        <f t="shared" si="4"/>
        <v>215.712266</v>
      </c>
      <c r="N123" s="21">
        <f t="shared" si="5"/>
        <v>2.42</v>
      </c>
      <c r="O123" s="21">
        <f t="shared" si="6"/>
        <v>2662</v>
      </c>
      <c r="P123" s="22">
        <f t="shared" si="7"/>
        <v>237283.4926</v>
      </c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idden="1">
      <c r="A124" s="25"/>
      <c r="B124" s="11">
        <v>46126.0</v>
      </c>
      <c r="C124" s="12">
        <f>VLOOKUP(B:B,'Курс валют'!A:D,4,0)</f>
        <v>89.1373</v>
      </c>
      <c r="D124" s="13" t="s">
        <v>763</v>
      </c>
      <c r="E124" s="59" t="s">
        <v>61</v>
      </c>
      <c r="F124" s="15">
        <v>1100.0</v>
      </c>
      <c r="G124" s="16">
        <v>1105.51</v>
      </c>
      <c r="H124" s="17">
        <v>0.0</v>
      </c>
      <c r="I124" s="16">
        <f t="shared" si="9"/>
        <v>5.51</v>
      </c>
      <c r="J124" s="18">
        <f t="shared" si="2"/>
        <v>0.5009090909</v>
      </c>
      <c r="K124" s="17">
        <v>2.42</v>
      </c>
      <c r="L124" s="19">
        <f t="shared" si="3"/>
        <v>0</v>
      </c>
      <c r="M124" s="20">
        <f t="shared" si="4"/>
        <v>215.712266</v>
      </c>
      <c r="N124" s="21">
        <f t="shared" si="5"/>
        <v>2.42</v>
      </c>
      <c r="O124" s="21">
        <f t="shared" si="6"/>
        <v>2662</v>
      </c>
      <c r="P124" s="22">
        <f t="shared" si="7"/>
        <v>237283.4926</v>
      </c>
      <c r="R124" s="24"/>
      <c r="S124" s="25"/>
      <c r="T124" s="25"/>
      <c r="U124" s="25"/>
      <c r="V124" s="25"/>
      <c r="W124" s="25"/>
      <c r="X124" s="25"/>
      <c r="Y124" s="25"/>
      <c r="Z124" s="25"/>
      <c r="AA124" s="25"/>
    </row>
    <row r="125" hidden="1">
      <c r="B125" s="11">
        <v>46126.0</v>
      </c>
      <c r="C125" s="12">
        <f>VLOOKUP(B:B,'Курс валют'!A:D,4,0)</f>
        <v>89.1373</v>
      </c>
      <c r="D125" s="13" t="s">
        <v>764</v>
      </c>
      <c r="E125" s="59" t="s">
        <v>61</v>
      </c>
      <c r="F125" s="15">
        <v>1100.0</v>
      </c>
      <c r="G125" s="16">
        <v>1105.51</v>
      </c>
      <c r="H125" s="17">
        <v>0.0</v>
      </c>
      <c r="I125" s="16">
        <f t="shared" si="9"/>
        <v>5.51</v>
      </c>
      <c r="J125" s="18">
        <f t="shared" si="2"/>
        <v>0.5009090909</v>
      </c>
      <c r="K125" s="17">
        <v>2.42</v>
      </c>
      <c r="L125" s="19">
        <f t="shared" si="3"/>
        <v>0</v>
      </c>
      <c r="M125" s="20">
        <f t="shared" si="4"/>
        <v>215.712266</v>
      </c>
      <c r="N125" s="21">
        <f t="shared" si="5"/>
        <v>2.42</v>
      </c>
      <c r="O125" s="21">
        <f t="shared" si="6"/>
        <v>2662</v>
      </c>
      <c r="P125" s="22">
        <f t="shared" si="7"/>
        <v>237283.4926</v>
      </c>
    </row>
    <row r="126" hidden="1">
      <c r="B126" s="11">
        <v>46126.0</v>
      </c>
      <c r="C126" s="12">
        <f>VLOOKUP(B:B,'Курс валют'!A:D,4,0)</f>
        <v>89.1373</v>
      </c>
      <c r="D126" s="13" t="s">
        <v>765</v>
      </c>
      <c r="E126" s="59" t="s">
        <v>61</v>
      </c>
      <c r="F126" s="15">
        <v>1100.0</v>
      </c>
      <c r="G126" s="16">
        <v>1105.51</v>
      </c>
      <c r="H126" s="17">
        <v>0.0</v>
      </c>
      <c r="I126" s="16">
        <f t="shared" si="9"/>
        <v>5.51</v>
      </c>
      <c r="J126" s="18">
        <f t="shared" si="2"/>
        <v>0.5009090909</v>
      </c>
      <c r="K126" s="17">
        <v>2.42</v>
      </c>
      <c r="L126" s="19">
        <f t="shared" si="3"/>
        <v>0</v>
      </c>
      <c r="M126" s="20">
        <f t="shared" si="4"/>
        <v>215.712266</v>
      </c>
      <c r="N126" s="21">
        <f t="shared" si="5"/>
        <v>2.42</v>
      </c>
      <c r="O126" s="21">
        <f t="shared" si="6"/>
        <v>2662</v>
      </c>
      <c r="P126" s="22">
        <f t="shared" si="7"/>
        <v>237283.4926</v>
      </c>
    </row>
    <row r="127" hidden="1">
      <c r="B127" s="11">
        <v>46126.0</v>
      </c>
      <c r="C127" s="12">
        <f>VLOOKUP(B:B,'Курс валют'!A:D,4,0)</f>
        <v>89.1373</v>
      </c>
      <c r="D127" s="13" t="s">
        <v>766</v>
      </c>
      <c r="E127" s="59" t="s">
        <v>107</v>
      </c>
      <c r="F127" s="15">
        <v>1920.0</v>
      </c>
      <c r="G127" s="16">
        <v>1953.03</v>
      </c>
      <c r="H127" s="17">
        <v>0.0</v>
      </c>
      <c r="I127" s="16">
        <f t="shared" si="9"/>
        <v>33.03</v>
      </c>
      <c r="J127" s="18">
        <f t="shared" si="2"/>
        <v>1.7203125</v>
      </c>
      <c r="K127" s="17">
        <v>2.64</v>
      </c>
      <c r="L127" s="19">
        <f t="shared" si="3"/>
        <v>0</v>
      </c>
      <c r="M127" s="20">
        <f t="shared" si="4"/>
        <v>235.322472</v>
      </c>
      <c r="N127" s="21">
        <f t="shared" si="5"/>
        <v>2.64</v>
      </c>
      <c r="O127" s="21">
        <f t="shared" si="6"/>
        <v>5068.8</v>
      </c>
      <c r="P127" s="22">
        <f t="shared" si="7"/>
        <v>451819.1462</v>
      </c>
    </row>
    <row r="128" hidden="1">
      <c r="B128" s="11">
        <v>46126.0</v>
      </c>
      <c r="C128" s="12">
        <f>VLOOKUP(B:B,'Курс валют'!A:D,4,0)</f>
        <v>89.1373</v>
      </c>
      <c r="D128" s="13" t="s">
        <v>767</v>
      </c>
      <c r="E128" s="59" t="s">
        <v>61</v>
      </c>
      <c r="F128" s="15">
        <v>1100.0</v>
      </c>
      <c r="G128" s="16">
        <v>1105.51</v>
      </c>
      <c r="H128" s="17">
        <v>0.0</v>
      </c>
      <c r="I128" s="16">
        <f t="shared" si="9"/>
        <v>5.51</v>
      </c>
      <c r="J128" s="18">
        <f t="shared" si="2"/>
        <v>0.5009090909</v>
      </c>
      <c r="K128" s="17">
        <v>2.42</v>
      </c>
      <c r="L128" s="19">
        <f t="shared" si="3"/>
        <v>0</v>
      </c>
      <c r="M128" s="20">
        <f t="shared" si="4"/>
        <v>215.712266</v>
      </c>
      <c r="N128" s="21">
        <f t="shared" si="5"/>
        <v>2.42</v>
      </c>
      <c r="O128" s="21">
        <f t="shared" si="6"/>
        <v>2662</v>
      </c>
      <c r="P128" s="22">
        <f t="shared" si="7"/>
        <v>237283.4926</v>
      </c>
    </row>
    <row r="129" hidden="1">
      <c r="B129" s="11">
        <v>46126.0</v>
      </c>
      <c r="C129" s="12">
        <f>VLOOKUP(B:B,'Курс валют'!A:D,4,0)</f>
        <v>89.1373</v>
      </c>
      <c r="D129" s="13" t="s">
        <v>768</v>
      </c>
      <c r="E129" s="59" t="s">
        <v>61</v>
      </c>
      <c r="F129" s="15">
        <v>1100.0</v>
      </c>
      <c r="G129" s="16">
        <v>1105.51</v>
      </c>
      <c r="H129" s="17">
        <v>0.0</v>
      </c>
      <c r="I129" s="16">
        <f t="shared" si="9"/>
        <v>5.51</v>
      </c>
      <c r="J129" s="18">
        <f t="shared" si="2"/>
        <v>0.5009090909</v>
      </c>
      <c r="K129" s="17">
        <v>2.42</v>
      </c>
      <c r="L129" s="19">
        <f t="shared" si="3"/>
        <v>0</v>
      </c>
      <c r="M129" s="20">
        <f t="shared" si="4"/>
        <v>215.712266</v>
      </c>
      <c r="N129" s="21">
        <f t="shared" si="5"/>
        <v>2.42</v>
      </c>
      <c r="O129" s="21">
        <f t="shared" si="6"/>
        <v>2662</v>
      </c>
      <c r="P129" s="22">
        <f t="shared" si="7"/>
        <v>237283.4926</v>
      </c>
    </row>
    <row r="130" hidden="1">
      <c r="B130" s="11">
        <v>46127.0</v>
      </c>
      <c r="C130" s="12">
        <f>VLOOKUP(B:B,'Курс валют'!A:D,4,0)</f>
        <v>89.2556</v>
      </c>
      <c r="D130" s="13" t="s">
        <v>769</v>
      </c>
      <c r="E130" s="59" t="s">
        <v>54</v>
      </c>
      <c r="F130" s="15">
        <v>800.0</v>
      </c>
      <c r="G130" s="16">
        <v>805.14</v>
      </c>
      <c r="H130" s="17">
        <v>0.0</v>
      </c>
      <c r="I130" s="16">
        <f t="shared" si="9"/>
        <v>5.14</v>
      </c>
      <c r="J130" s="18">
        <f t="shared" si="2"/>
        <v>0.6425</v>
      </c>
      <c r="K130" s="17">
        <v>1.93</v>
      </c>
      <c r="L130" s="19">
        <f t="shared" si="3"/>
        <v>0</v>
      </c>
      <c r="M130" s="20">
        <f t="shared" si="4"/>
        <v>172.263308</v>
      </c>
      <c r="N130" s="21">
        <f t="shared" si="5"/>
        <v>1.93</v>
      </c>
      <c r="O130" s="21">
        <f t="shared" si="6"/>
        <v>1544</v>
      </c>
      <c r="P130" s="22">
        <f t="shared" si="7"/>
        <v>137810.6464</v>
      </c>
    </row>
    <row r="131" hidden="1">
      <c r="B131" s="11">
        <v>46127.0</v>
      </c>
      <c r="C131" s="12">
        <f>VLOOKUP(B:B,'Курс валют'!A:D,4,0)</f>
        <v>89.2556</v>
      </c>
      <c r="D131" s="13" t="s">
        <v>770</v>
      </c>
      <c r="E131" s="59" t="s">
        <v>54</v>
      </c>
      <c r="F131" s="15">
        <v>800.0</v>
      </c>
      <c r="G131" s="16">
        <v>805.14</v>
      </c>
      <c r="H131" s="17">
        <v>0.0</v>
      </c>
      <c r="I131" s="16">
        <f t="shared" si="9"/>
        <v>5.14</v>
      </c>
      <c r="J131" s="18">
        <f t="shared" si="2"/>
        <v>0.6425</v>
      </c>
      <c r="K131" s="17">
        <v>1.92</v>
      </c>
      <c r="L131" s="19">
        <f t="shared" si="3"/>
        <v>0</v>
      </c>
      <c r="M131" s="20">
        <f t="shared" si="4"/>
        <v>171.370752</v>
      </c>
      <c r="N131" s="21">
        <f t="shared" si="5"/>
        <v>1.92</v>
      </c>
      <c r="O131" s="21">
        <f t="shared" si="6"/>
        <v>1536</v>
      </c>
      <c r="P131" s="22">
        <f t="shared" si="7"/>
        <v>137096.6016</v>
      </c>
    </row>
    <row r="132" hidden="1">
      <c r="B132" s="11">
        <v>46127.0</v>
      </c>
      <c r="C132" s="12">
        <f>VLOOKUP(B:B,'Курс валют'!A:D,4,0)</f>
        <v>89.2556</v>
      </c>
      <c r="D132" s="13" t="s">
        <v>771</v>
      </c>
      <c r="E132" s="59" t="s">
        <v>54</v>
      </c>
      <c r="F132" s="15">
        <v>800.0</v>
      </c>
      <c r="G132" s="16">
        <v>805.14</v>
      </c>
      <c r="H132" s="17">
        <v>0.0</v>
      </c>
      <c r="I132" s="16">
        <f t="shared" si="9"/>
        <v>5.14</v>
      </c>
      <c r="J132" s="18">
        <f t="shared" si="2"/>
        <v>0.6425</v>
      </c>
      <c r="K132" s="17">
        <v>1.92</v>
      </c>
      <c r="L132" s="19">
        <f t="shared" si="3"/>
        <v>0</v>
      </c>
      <c r="M132" s="20">
        <f t="shared" si="4"/>
        <v>171.370752</v>
      </c>
      <c r="N132" s="21">
        <f t="shared" si="5"/>
        <v>1.92</v>
      </c>
      <c r="O132" s="21">
        <f t="shared" si="6"/>
        <v>1536</v>
      </c>
      <c r="P132" s="22">
        <f t="shared" si="7"/>
        <v>137096.6016</v>
      </c>
    </row>
    <row r="133" hidden="1">
      <c r="B133" s="11">
        <v>46127.0</v>
      </c>
      <c r="C133" s="12">
        <f>VLOOKUP(B:B,'Курс валют'!A:D,4,0)</f>
        <v>89.2556</v>
      </c>
      <c r="D133" s="13" t="s">
        <v>772</v>
      </c>
      <c r="E133" s="59" t="s">
        <v>54</v>
      </c>
      <c r="F133" s="15">
        <v>800.0</v>
      </c>
      <c r="G133" s="16">
        <v>805.14</v>
      </c>
      <c r="H133" s="17">
        <v>0.0</v>
      </c>
      <c r="I133" s="16">
        <f t="shared" si="9"/>
        <v>5.14</v>
      </c>
      <c r="J133" s="18">
        <f t="shared" si="2"/>
        <v>0.6425</v>
      </c>
      <c r="K133" s="17">
        <v>1.92</v>
      </c>
      <c r="L133" s="19">
        <f t="shared" si="3"/>
        <v>0</v>
      </c>
      <c r="M133" s="20">
        <f t="shared" si="4"/>
        <v>171.370752</v>
      </c>
      <c r="N133" s="21">
        <f t="shared" si="5"/>
        <v>1.92</v>
      </c>
      <c r="O133" s="21">
        <f t="shared" si="6"/>
        <v>1536</v>
      </c>
      <c r="P133" s="22">
        <f t="shared" si="7"/>
        <v>137096.6016</v>
      </c>
    </row>
    <row r="134" hidden="1">
      <c r="B134" s="11">
        <v>46127.0</v>
      </c>
      <c r="C134" s="12">
        <f>VLOOKUP(B:B,'Курс валют'!A:D,4,0)</f>
        <v>89.2556</v>
      </c>
      <c r="D134" s="13" t="s">
        <v>773</v>
      </c>
      <c r="E134" s="59" t="s">
        <v>54</v>
      </c>
      <c r="F134" s="15">
        <v>800.0</v>
      </c>
      <c r="G134" s="16">
        <v>805.14</v>
      </c>
      <c r="H134" s="17">
        <v>0.0</v>
      </c>
      <c r="I134" s="16">
        <f t="shared" si="9"/>
        <v>5.14</v>
      </c>
      <c r="J134" s="18">
        <f t="shared" si="2"/>
        <v>0.6425</v>
      </c>
      <c r="K134" s="17">
        <v>1.93</v>
      </c>
      <c r="L134" s="19">
        <f t="shared" si="3"/>
        <v>0</v>
      </c>
      <c r="M134" s="20">
        <f t="shared" si="4"/>
        <v>172.263308</v>
      </c>
      <c r="N134" s="21">
        <f t="shared" si="5"/>
        <v>1.93</v>
      </c>
      <c r="O134" s="21">
        <f t="shared" si="6"/>
        <v>1544</v>
      </c>
      <c r="P134" s="22">
        <f t="shared" si="7"/>
        <v>137810.6464</v>
      </c>
    </row>
    <row r="135" hidden="1">
      <c r="B135" s="11">
        <v>46127.0</v>
      </c>
      <c r="C135" s="12">
        <f>VLOOKUP(B:B,'Курс валют'!A:D,4,0)</f>
        <v>89.2556</v>
      </c>
      <c r="D135" s="13" t="s">
        <v>774</v>
      </c>
      <c r="E135" s="59" t="s">
        <v>54</v>
      </c>
      <c r="F135" s="15">
        <v>800.0</v>
      </c>
      <c r="G135" s="16">
        <v>805.14</v>
      </c>
      <c r="H135" s="17">
        <v>0.0</v>
      </c>
      <c r="I135" s="16">
        <f t="shared" si="9"/>
        <v>5.14</v>
      </c>
      <c r="J135" s="18">
        <f t="shared" si="2"/>
        <v>0.6425</v>
      </c>
      <c r="K135" s="17">
        <v>1.92</v>
      </c>
      <c r="L135" s="19">
        <f t="shared" si="3"/>
        <v>0</v>
      </c>
      <c r="M135" s="20">
        <f t="shared" si="4"/>
        <v>171.370752</v>
      </c>
      <c r="N135" s="21">
        <f t="shared" si="5"/>
        <v>1.92</v>
      </c>
      <c r="O135" s="21">
        <f t="shared" si="6"/>
        <v>1536</v>
      </c>
      <c r="P135" s="22">
        <f t="shared" si="7"/>
        <v>137096.6016</v>
      </c>
    </row>
    <row r="136" hidden="1">
      <c r="B136" s="11">
        <v>46127.0</v>
      </c>
      <c r="C136" s="12">
        <f>VLOOKUP(B:B,'Курс валют'!A:D,4,0)</f>
        <v>89.2556</v>
      </c>
      <c r="D136" s="13" t="s">
        <v>775</v>
      </c>
      <c r="E136" s="59" t="s">
        <v>54</v>
      </c>
      <c r="F136" s="15">
        <v>800.0</v>
      </c>
      <c r="G136" s="16">
        <v>805.14</v>
      </c>
      <c r="H136" s="17">
        <v>0.0</v>
      </c>
      <c r="I136" s="16">
        <f t="shared" si="9"/>
        <v>5.14</v>
      </c>
      <c r="J136" s="18">
        <f t="shared" si="2"/>
        <v>0.6425</v>
      </c>
      <c r="K136" s="17">
        <v>1.92</v>
      </c>
      <c r="L136" s="19">
        <f t="shared" si="3"/>
        <v>0</v>
      </c>
      <c r="M136" s="20">
        <f t="shared" si="4"/>
        <v>171.370752</v>
      </c>
      <c r="N136" s="21">
        <f t="shared" si="5"/>
        <v>1.92</v>
      </c>
      <c r="O136" s="21">
        <f t="shared" si="6"/>
        <v>1536</v>
      </c>
      <c r="P136" s="22">
        <f t="shared" si="7"/>
        <v>137096.6016</v>
      </c>
    </row>
    <row r="137" hidden="1">
      <c r="B137" s="11">
        <v>46127.0</v>
      </c>
      <c r="C137" s="12">
        <f>VLOOKUP(B:B,'Курс валют'!A:D,4,0)</f>
        <v>89.2556</v>
      </c>
      <c r="D137" s="13" t="s">
        <v>776</v>
      </c>
      <c r="E137" s="59" t="s">
        <v>54</v>
      </c>
      <c r="F137" s="15">
        <v>800.0</v>
      </c>
      <c r="G137" s="16">
        <v>805.14</v>
      </c>
      <c r="H137" s="17">
        <v>0.0</v>
      </c>
      <c r="I137" s="16">
        <f t="shared" si="9"/>
        <v>5.14</v>
      </c>
      <c r="J137" s="18">
        <f t="shared" si="2"/>
        <v>0.6425</v>
      </c>
      <c r="K137" s="17">
        <v>1.92</v>
      </c>
      <c r="L137" s="19">
        <f t="shared" si="3"/>
        <v>0</v>
      </c>
      <c r="M137" s="20">
        <f t="shared" si="4"/>
        <v>171.370752</v>
      </c>
      <c r="N137" s="21">
        <f t="shared" si="5"/>
        <v>1.92</v>
      </c>
      <c r="O137" s="21">
        <f t="shared" si="6"/>
        <v>1536</v>
      </c>
      <c r="P137" s="22">
        <f t="shared" si="7"/>
        <v>137096.6016</v>
      </c>
    </row>
    <row r="138" hidden="1">
      <c r="B138" s="11">
        <v>46127.0</v>
      </c>
      <c r="C138" s="12">
        <f>VLOOKUP(B:B,'Курс валют'!A:D,4,0)</f>
        <v>89.2556</v>
      </c>
      <c r="D138" s="13" t="s">
        <v>777</v>
      </c>
      <c r="E138" s="59" t="s">
        <v>54</v>
      </c>
      <c r="F138" s="15">
        <v>800.0</v>
      </c>
      <c r="G138" s="16">
        <v>805.14</v>
      </c>
      <c r="H138" s="17">
        <v>0.0</v>
      </c>
      <c r="I138" s="16">
        <f t="shared" si="9"/>
        <v>5.14</v>
      </c>
      <c r="J138" s="18">
        <f t="shared" si="2"/>
        <v>0.6425</v>
      </c>
      <c r="K138" s="17">
        <v>1.92</v>
      </c>
      <c r="L138" s="19">
        <f t="shared" si="3"/>
        <v>0</v>
      </c>
      <c r="M138" s="20">
        <f t="shared" si="4"/>
        <v>171.370752</v>
      </c>
      <c r="N138" s="21">
        <f t="shared" si="5"/>
        <v>1.92</v>
      </c>
      <c r="O138" s="21">
        <f t="shared" si="6"/>
        <v>1536</v>
      </c>
      <c r="P138" s="22">
        <f t="shared" si="7"/>
        <v>137096.6016</v>
      </c>
    </row>
    <row r="139" hidden="1">
      <c r="B139" s="11">
        <v>46127.0</v>
      </c>
      <c r="C139" s="12">
        <f>VLOOKUP(B:B,'Курс валют'!A:D,4,0)</f>
        <v>89.2556</v>
      </c>
      <c r="D139" s="13" t="s">
        <v>778</v>
      </c>
      <c r="E139" s="59" t="s">
        <v>54</v>
      </c>
      <c r="F139" s="15">
        <v>800.0</v>
      </c>
      <c r="G139" s="16">
        <v>805.14</v>
      </c>
      <c r="H139" s="17">
        <v>0.0</v>
      </c>
      <c r="I139" s="16">
        <f t="shared" si="9"/>
        <v>5.14</v>
      </c>
      <c r="J139" s="18">
        <f t="shared" si="2"/>
        <v>0.6425</v>
      </c>
      <c r="K139" s="17">
        <v>1.93</v>
      </c>
      <c r="L139" s="19">
        <f t="shared" si="3"/>
        <v>0</v>
      </c>
      <c r="M139" s="20">
        <f t="shared" si="4"/>
        <v>172.263308</v>
      </c>
      <c r="N139" s="21">
        <f t="shared" si="5"/>
        <v>1.93</v>
      </c>
      <c r="O139" s="21">
        <f t="shared" si="6"/>
        <v>1544</v>
      </c>
      <c r="P139" s="22">
        <f t="shared" si="7"/>
        <v>137810.6464</v>
      </c>
    </row>
    <row r="140" hidden="1">
      <c r="B140" s="11">
        <v>46127.0</v>
      </c>
      <c r="C140" s="12">
        <f>VLOOKUP(B:B,'Курс валют'!A:D,4,0)</f>
        <v>89.2556</v>
      </c>
      <c r="D140" s="13" t="s">
        <v>779</v>
      </c>
      <c r="E140" s="59" t="s">
        <v>107</v>
      </c>
      <c r="F140" s="15">
        <v>1920.0</v>
      </c>
      <c r="G140" s="16">
        <v>1953.03</v>
      </c>
      <c r="H140" s="17">
        <v>0.0</v>
      </c>
      <c r="I140" s="16">
        <f t="shared" si="9"/>
        <v>33.03</v>
      </c>
      <c r="J140" s="18">
        <f t="shared" si="2"/>
        <v>1.7203125</v>
      </c>
      <c r="K140" s="17">
        <v>2.64</v>
      </c>
      <c r="L140" s="19">
        <f t="shared" si="3"/>
        <v>0</v>
      </c>
      <c r="M140" s="20">
        <f t="shared" si="4"/>
        <v>235.634784</v>
      </c>
      <c r="N140" s="21">
        <f t="shared" si="5"/>
        <v>2.64</v>
      </c>
      <c r="O140" s="21">
        <f t="shared" si="6"/>
        <v>5068.8</v>
      </c>
      <c r="P140" s="22">
        <f t="shared" si="7"/>
        <v>452418.7853</v>
      </c>
    </row>
    <row r="141" hidden="1">
      <c r="B141" s="11">
        <v>46128.0</v>
      </c>
      <c r="C141" s="12">
        <f>VLOOKUP(B:B,'Курс валют'!A:D,4,0)</f>
        <v>88.7303</v>
      </c>
      <c r="D141" s="13" t="s">
        <v>780</v>
      </c>
      <c r="E141" s="59" t="s">
        <v>54</v>
      </c>
      <c r="F141" s="15">
        <v>800.0</v>
      </c>
      <c r="G141" s="16">
        <v>805.14</v>
      </c>
      <c r="H141" s="17">
        <v>0.0</v>
      </c>
      <c r="I141" s="16">
        <f t="shared" si="9"/>
        <v>5.14</v>
      </c>
      <c r="J141" s="18">
        <f t="shared" si="2"/>
        <v>0.6425</v>
      </c>
      <c r="K141" s="17">
        <v>1.93</v>
      </c>
      <c r="L141" s="19">
        <f t="shared" si="3"/>
        <v>0</v>
      </c>
      <c r="M141" s="20">
        <f t="shared" si="4"/>
        <v>171.249479</v>
      </c>
      <c r="N141" s="21">
        <f t="shared" si="5"/>
        <v>1.93</v>
      </c>
      <c r="O141" s="21">
        <f t="shared" si="6"/>
        <v>1544</v>
      </c>
      <c r="P141" s="22">
        <f t="shared" si="7"/>
        <v>136999.5832</v>
      </c>
    </row>
    <row r="142" hidden="1">
      <c r="B142" s="11">
        <v>46128.0</v>
      </c>
      <c r="C142" s="12">
        <f>VLOOKUP(B:B,'Курс валют'!A:D,4,0)</f>
        <v>88.7303</v>
      </c>
      <c r="D142" s="13" t="s">
        <v>781</v>
      </c>
      <c r="E142" s="59" t="s">
        <v>54</v>
      </c>
      <c r="F142" s="15">
        <v>800.0</v>
      </c>
      <c r="G142" s="16">
        <v>805.14</v>
      </c>
      <c r="H142" s="17">
        <v>0.0</v>
      </c>
      <c r="I142" s="16">
        <f t="shared" si="9"/>
        <v>5.14</v>
      </c>
      <c r="J142" s="18">
        <f t="shared" si="2"/>
        <v>0.6425</v>
      </c>
      <c r="K142" s="17">
        <v>1.92</v>
      </c>
      <c r="L142" s="19">
        <f t="shared" si="3"/>
        <v>0</v>
      </c>
      <c r="M142" s="20">
        <f t="shared" si="4"/>
        <v>170.362176</v>
      </c>
      <c r="N142" s="21">
        <f t="shared" si="5"/>
        <v>1.92</v>
      </c>
      <c r="O142" s="21">
        <f t="shared" si="6"/>
        <v>1536</v>
      </c>
      <c r="P142" s="22">
        <f t="shared" si="7"/>
        <v>136289.7408</v>
      </c>
    </row>
    <row r="143" hidden="1">
      <c r="B143" s="11">
        <v>46128.0</v>
      </c>
      <c r="C143" s="12">
        <f>VLOOKUP(B:B,'Курс валют'!A:D,4,0)</f>
        <v>88.7303</v>
      </c>
      <c r="D143" s="13" t="s">
        <v>782</v>
      </c>
      <c r="E143" s="59" t="s">
        <v>54</v>
      </c>
      <c r="F143" s="15">
        <v>800.0</v>
      </c>
      <c r="G143" s="16">
        <v>805.14</v>
      </c>
      <c r="H143" s="17">
        <v>0.0</v>
      </c>
      <c r="I143" s="16">
        <f t="shared" si="9"/>
        <v>5.14</v>
      </c>
      <c r="J143" s="18">
        <f t="shared" si="2"/>
        <v>0.6425</v>
      </c>
      <c r="K143" s="17">
        <v>1.92</v>
      </c>
      <c r="L143" s="19">
        <f t="shared" si="3"/>
        <v>0</v>
      </c>
      <c r="M143" s="20">
        <f t="shared" si="4"/>
        <v>170.362176</v>
      </c>
      <c r="N143" s="21">
        <f t="shared" si="5"/>
        <v>1.92</v>
      </c>
      <c r="O143" s="21">
        <f t="shared" si="6"/>
        <v>1536</v>
      </c>
      <c r="P143" s="22">
        <f t="shared" si="7"/>
        <v>136289.7408</v>
      </c>
    </row>
    <row r="144" hidden="1">
      <c r="B144" s="11">
        <v>46128.0</v>
      </c>
      <c r="C144" s="12">
        <f>VLOOKUP(B:B,'Курс валют'!A:D,4,0)</f>
        <v>88.7303</v>
      </c>
      <c r="D144" s="13" t="s">
        <v>783</v>
      </c>
      <c r="E144" s="59" t="s">
        <v>54</v>
      </c>
      <c r="F144" s="15">
        <v>800.0</v>
      </c>
      <c r="G144" s="16">
        <v>805.14</v>
      </c>
      <c r="H144" s="17">
        <v>0.0</v>
      </c>
      <c r="I144" s="16">
        <f t="shared" si="9"/>
        <v>5.14</v>
      </c>
      <c r="J144" s="18">
        <f t="shared" si="2"/>
        <v>0.6425</v>
      </c>
      <c r="K144" s="17">
        <v>1.92</v>
      </c>
      <c r="L144" s="19">
        <f t="shared" si="3"/>
        <v>0</v>
      </c>
      <c r="M144" s="20">
        <f t="shared" si="4"/>
        <v>170.362176</v>
      </c>
      <c r="N144" s="21">
        <f t="shared" si="5"/>
        <v>1.92</v>
      </c>
      <c r="O144" s="21">
        <f t="shared" si="6"/>
        <v>1536</v>
      </c>
      <c r="P144" s="22">
        <f t="shared" si="7"/>
        <v>136289.7408</v>
      </c>
    </row>
    <row r="145" hidden="1">
      <c r="B145" s="11">
        <v>46128.0</v>
      </c>
      <c r="C145" s="12">
        <f>VLOOKUP(B:B,'Курс валют'!A:D,4,0)</f>
        <v>88.7303</v>
      </c>
      <c r="D145" s="13" t="s">
        <v>784</v>
      </c>
      <c r="E145" s="59" t="s">
        <v>54</v>
      </c>
      <c r="F145" s="15">
        <v>800.0</v>
      </c>
      <c r="G145" s="16">
        <v>805.14</v>
      </c>
      <c r="H145" s="17">
        <v>0.0</v>
      </c>
      <c r="I145" s="16">
        <f t="shared" si="9"/>
        <v>5.14</v>
      </c>
      <c r="J145" s="18">
        <f t="shared" si="2"/>
        <v>0.6425</v>
      </c>
      <c r="K145" s="17">
        <v>1.93</v>
      </c>
      <c r="L145" s="19">
        <f t="shared" si="3"/>
        <v>0</v>
      </c>
      <c r="M145" s="20">
        <f t="shared" si="4"/>
        <v>171.249479</v>
      </c>
      <c r="N145" s="21">
        <f t="shared" si="5"/>
        <v>1.93</v>
      </c>
      <c r="O145" s="21">
        <f t="shared" si="6"/>
        <v>1544</v>
      </c>
      <c r="P145" s="22">
        <f t="shared" si="7"/>
        <v>136999.5832</v>
      </c>
    </row>
    <row r="146" hidden="1">
      <c r="B146" s="11">
        <v>46128.0</v>
      </c>
      <c r="C146" s="12">
        <f>VLOOKUP(B:B,'Курс валют'!A:D,4,0)</f>
        <v>88.7303</v>
      </c>
      <c r="D146" s="13" t="s">
        <v>785</v>
      </c>
      <c r="E146" s="59" t="s">
        <v>128</v>
      </c>
      <c r="F146" s="15">
        <v>2200.0</v>
      </c>
      <c r="G146" s="16">
        <v>2225.52</v>
      </c>
      <c r="H146" s="17">
        <v>0.0</v>
      </c>
      <c r="I146" s="16">
        <f t="shared" si="9"/>
        <v>25.52</v>
      </c>
      <c r="J146" s="18">
        <f t="shared" si="2"/>
        <v>1.16</v>
      </c>
      <c r="K146" s="17">
        <v>1.81</v>
      </c>
      <c r="L146" s="19">
        <f t="shared" si="3"/>
        <v>0</v>
      </c>
      <c r="M146" s="20">
        <f t="shared" si="4"/>
        <v>160.601843</v>
      </c>
      <c r="N146" s="21">
        <f t="shared" si="5"/>
        <v>1.81</v>
      </c>
      <c r="O146" s="21">
        <f t="shared" si="6"/>
        <v>3982</v>
      </c>
      <c r="P146" s="22">
        <f t="shared" si="7"/>
        <v>353324.0546</v>
      </c>
    </row>
    <row r="147" hidden="1">
      <c r="B147" s="11">
        <v>46128.0</v>
      </c>
      <c r="C147" s="12">
        <f>VLOOKUP(B:B,'Курс валют'!A:D,4,0)</f>
        <v>88.7303</v>
      </c>
      <c r="D147" s="13" t="s">
        <v>786</v>
      </c>
      <c r="E147" s="59" t="s">
        <v>71</v>
      </c>
      <c r="F147" s="15">
        <v>800.0</v>
      </c>
      <c r="G147" s="16">
        <v>803.93</v>
      </c>
      <c r="H147" s="17">
        <v>0.0</v>
      </c>
      <c r="I147" s="16">
        <f t="shared" si="9"/>
        <v>3.93</v>
      </c>
      <c r="J147" s="18">
        <f t="shared" si="2"/>
        <v>0.49125</v>
      </c>
      <c r="K147" s="17">
        <v>1.86</v>
      </c>
      <c r="L147" s="19">
        <f t="shared" si="3"/>
        <v>0</v>
      </c>
      <c r="M147" s="20">
        <f t="shared" si="4"/>
        <v>165.038358</v>
      </c>
      <c r="N147" s="21">
        <f t="shared" si="5"/>
        <v>1.86</v>
      </c>
      <c r="O147" s="21">
        <f t="shared" si="6"/>
        <v>1488</v>
      </c>
      <c r="P147" s="22">
        <f t="shared" si="7"/>
        <v>132030.6864</v>
      </c>
    </row>
    <row r="148" hidden="1">
      <c r="B148" s="11">
        <v>46128.0</v>
      </c>
      <c r="C148" s="12">
        <f>VLOOKUP(B:B,'Курс валют'!A:D,4,0)</f>
        <v>88.7303</v>
      </c>
      <c r="D148" s="13" t="s">
        <v>787</v>
      </c>
      <c r="E148" s="59" t="s">
        <v>71</v>
      </c>
      <c r="F148" s="15">
        <v>800.0</v>
      </c>
      <c r="G148" s="16">
        <v>803.93</v>
      </c>
      <c r="H148" s="17">
        <v>0.0</v>
      </c>
      <c r="I148" s="16">
        <f t="shared" si="9"/>
        <v>3.93</v>
      </c>
      <c r="J148" s="18">
        <f t="shared" si="2"/>
        <v>0.49125</v>
      </c>
      <c r="K148" s="17">
        <v>1.85</v>
      </c>
      <c r="L148" s="19">
        <f t="shared" si="3"/>
        <v>0</v>
      </c>
      <c r="M148" s="20">
        <f t="shared" si="4"/>
        <v>164.151055</v>
      </c>
      <c r="N148" s="21">
        <f t="shared" si="5"/>
        <v>1.85</v>
      </c>
      <c r="O148" s="21">
        <f t="shared" si="6"/>
        <v>1480</v>
      </c>
      <c r="P148" s="22">
        <f t="shared" si="7"/>
        <v>131320.844</v>
      </c>
    </row>
    <row r="149" hidden="1">
      <c r="B149" s="11">
        <v>46128.0</v>
      </c>
      <c r="C149" s="12">
        <f>VLOOKUP(B:B,'Курс валют'!A:D,4,0)</f>
        <v>88.7303</v>
      </c>
      <c r="D149" s="13" t="s">
        <v>788</v>
      </c>
      <c r="E149" s="59" t="s">
        <v>71</v>
      </c>
      <c r="F149" s="15">
        <v>800.0</v>
      </c>
      <c r="G149" s="16">
        <v>803.93</v>
      </c>
      <c r="H149" s="17">
        <v>0.0</v>
      </c>
      <c r="I149" s="16">
        <f t="shared" si="9"/>
        <v>3.93</v>
      </c>
      <c r="J149" s="18">
        <f t="shared" si="2"/>
        <v>0.49125</v>
      </c>
      <c r="K149" s="17">
        <v>1.85</v>
      </c>
      <c r="L149" s="19">
        <f t="shared" si="3"/>
        <v>0</v>
      </c>
      <c r="M149" s="20">
        <f t="shared" si="4"/>
        <v>164.151055</v>
      </c>
      <c r="N149" s="21">
        <f t="shared" si="5"/>
        <v>1.85</v>
      </c>
      <c r="O149" s="21">
        <f t="shared" si="6"/>
        <v>1480</v>
      </c>
      <c r="P149" s="22">
        <f t="shared" si="7"/>
        <v>131320.844</v>
      </c>
    </row>
    <row r="150" hidden="1">
      <c r="B150" s="11">
        <v>46128.0</v>
      </c>
      <c r="C150" s="12">
        <f>VLOOKUP(B:B,'Курс валют'!A:D,4,0)</f>
        <v>88.7303</v>
      </c>
      <c r="D150" s="13" t="s">
        <v>789</v>
      </c>
      <c r="E150" s="59" t="s">
        <v>71</v>
      </c>
      <c r="F150" s="15">
        <v>800.0</v>
      </c>
      <c r="G150" s="16">
        <v>803.93</v>
      </c>
      <c r="H150" s="17">
        <v>0.0</v>
      </c>
      <c r="I150" s="16">
        <f t="shared" si="9"/>
        <v>3.93</v>
      </c>
      <c r="J150" s="18">
        <f t="shared" si="2"/>
        <v>0.49125</v>
      </c>
      <c r="K150" s="17">
        <v>1.85</v>
      </c>
      <c r="L150" s="19">
        <f t="shared" si="3"/>
        <v>0</v>
      </c>
      <c r="M150" s="20">
        <f t="shared" si="4"/>
        <v>164.151055</v>
      </c>
      <c r="N150" s="21">
        <f t="shared" si="5"/>
        <v>1.85</v>
      </c>
      <c r="O150" s="21">
        <f t="shared" si="6"/>
        <v>1480</v>
      </c>
      <c r="P150" s="22">
        <f t="shared" si="7"/>
        <v>131320.844</v>
      </c>
    </row>
    <row r="151" hidden="1">
      <c r="B151" s="11">
        <v>46128.0</v>
      </c>
      <c r="C151" s="12">
        <f>VLOOKUP(B:B,'Курс валют'!A:D,4,0)</f>
        <v>88.7303</v>
      </c>
      <c r="D151" s="13" t="s">
        <v>790</v>
      </c>
      <c r="E151" s="59" t="s">
        <v>71</v>
      </c>
      <c r="F151" s="15">
        <v>800.0</v>
      </c>
      <c r="G151" s="16">
        <v>803.93</v>
      </c>
      <c r="H151" s="17">
        <v>0.0</v>
      </c>
      <c r="I151" s="16">
        <f t="shared" si="9"/>
        <v>3.93</v>
      </c>
      <c r="J151" s="18">
        <f t="shared" si="2"/>
        <v>0.49125</v>
      </c>
      <c r="K151" s="17">
        <v>1.86</v>
      </c>
      <c r="L151" s="19">
        <f t="shared" si="3"/>
        <v>0</v>
      </c>
      <c r="M151" s="20">
        <f t="shared" si="4"/>
        <v>165.038358</v>
      </c>
      <c r="N151" s="21">
        <f t="shared" si="5"/>
        <v>1.86</v>
      </c>
      <c r="O151" s="21">
        <f t="shared" si="6"/>
        <v>1488</v>
      </c>
      <c r="P151" s="22">
        <f t="shared" si="7"/>
        <v>132030.6864</v>
      </c>
    </row>
    <row r="152" hidden="1">
      <c r="B152" s="11">
        <v>46129.0</v>
      </c>
      <c r="C152" s="12">
        <f>VLOOKUP(B:B,'Курс валют'!A:D,4,0)</f>
        <v>89.4113</v>
      </c>
      <c r="D152" s="13" t="s">
        <v>791</v>
      </c>
      <c r="E152" s="59" t="s">
        <v>18</v>
      </c>
      <c r="F152" s="15">
        <v>1100.0</v>
      </c>
      <c r="G152" s="16">
        <v>1107.5</v>
      </c>
      <c r="H152" s="17">
        <v>0.0</v>
      </c>
      <c r="I152" s="16">
        <f t="shared" si="9"/>
        <v>7.5</v>
      </c>
      <c r="J152" s="18">
        <f t="shared" si="2"/>
        <v>0.6818181818</v>
      </c>
      <c r="K152" s="17">
        <v>2.23</v>
      </c>
      <c r="L152" s="19">
        <f t="shared" si="3"/>
        <v>0</v>
      </c>
      <c r="M152" s="20">
        <f t="shared" si="4"/>
        <v>199.387199</v>
      </c>
      <c r="N152" s="21">
        <f t="shared" si="5"/>
        <v>2.23</v>
      </c>
      <c r="O152" s="21">
        <f t="shared" si="6"/>
        <v>2453</v>
      </c>
      <c r="P152" s="22">
        <f t="shared" si="7"/>
        <v>219325.9189</v>
      </c>
    </row>
    <row r="153" hidden="1">
      <c r="B153" s="11">
        <v>46129.0</v>
      </c>
      <c r="C153" s="12">
        <f>VLOOKUP(B:B,'Курс валют'!A:D,4,0)</f>
        <v>89.4113</v>
      </c>
      <c r="D153" s="13" t="s">
        <v>792</v>
      </c>
      <c r="E153" s="59" t="s">
        <v>18</v>
      </c>
      <c r="F153" s="15">
        <v>1100.0</v>
      </c>
      <c r="G153" s="16">
        <v>1107.5</v>
      </c>
      <c r="H153" s="17">
        <v>0.0</v>
      </c>
      <c r="I153" s="16">
        <f t="shared" si="9"/>
        <v>7.5</v>
      </c>
      <c r="J153" s="18">
        <f t="shared" si="2"/>
        <v>0.6818181818</v>
      </c>
      <c r="K153" s="17">
        <v>2.23</v>
      </c>
      <c r="L153" s="19">
        <f t="shared" si="3"/>
        <v>0</v>
      </c>
      <c r="M153" s="20">
        <f t="shared" si="4"/>
        <v>199.387199</v>
      </c>
      <c r="N153" s="21">
        <f t="shared" si="5"/>
        <v>2.23</v>
      </c>
      <c r="O153" s="21">
        <f t="shared" si="6"/>
        <v>2453</v>
      </c>
      <c r="P153" s="22">
        <f t="shared" si="7"/>
        <v>219325.9189</v>
      </c>
    </row>
    <row r="154" hidden="1">
      <c r="B154" s="11">
        <v>46129.0</v>
      </c>
      <c r="C154" s="12">
        <f>VLOOKUP(B:B,'Курс валют'!A:D,4,0)</f>
        <v>89.4113</v>
      </c>
      <c r="D154" s="13" t="s">
        <v>793</v>
      </c>
      <c r="E154" s="59" t="s">
        <v>18</v>
      </c>
      <c r="F154" s="15">
        <v>1100.0</v>
      </c>
      <c r="G154" s="16">
        <v>1107.5</v>
      </c>
      <c r="H154" s="17">
        <v>0.0</v>
      </c>
      <c r="I154" s="16">
        <f t="shared" si="9"/>
        <v>7.5</v>
      </c>
      <c r="J154" s="18">
        <f t="shared" si="2"/>
        <v>0.6818181818</v>
      </c>
      <c r="K154" s="17">
        <v>2.23</v>
      </c>
      <c r="L154" s="19">
        <f t="shared" si="3"/>
        <v>0</v>
      </c>
      <c r="M154" s="20">
        <f t="shared" si="4"/>
        <v>199.387199</v>
      </c>
      <c r="N154" s="21">
        <f t="shared" si="5"/>
        <v>2.23</v>
      </c>
      <c r="O154" s="21">
        <f t="shared" si="6"/>
        <v>2453</v>
      </c>
      <c r="P154" s="22">
        <f t="shared" si="7"/>
        <v>219325.9189</v>
      </c>
    </row>
    <row r="155" hidden="1">
      <c r="B155" s="11">
        <v>46129.0</v>
      </c>
      <c r="C155" s="12">
        <f>VLOOKUP(B:B,'Курс валют'!A:D,4,0)</f>
        <v>89.4113</v>
      </c>
      <c r="D155" s="13" t="s">
        <v>794</v>
      </c>
      <c r="E155" s="59" t="s">
        <v>18</v>
      </c>
      <c r="F155" s="15">
        <v>1100.0</v>
      </c>
      <c r="G155" s="16">
        <v>1107.5</v>
      </c>
      <c r="H155" s="17">
        <v>0.0</v>
      </c>
      <c r="I155" s="16">
        <f t="shared" si="9"/>
        <v>7.5</v>
      </c>
      <c r="J155" s="18">
        <f t="shared" si="2"/>
        <v>0.6818181818</v>
      </c>
      <c r="K155" s="17">
        <v>2.23</v>
      </c>
      <c r="L155" s="19">
        <f t="shared" si="3"/>
        <v>0</v>
      </c>
      <c r="M155" s="20">
        <f t="shared" si="4"/>
        <v>199.387199</v>
      </c>
      <c r="N155" s="21">
        <f t="shared" si="5"/>
        <v>2.23</v>
      </c>
      <c r="O155" s="21">
        <f t="shared" si="6"/>
        <v>2453</v>
      </c>
      <c r="P155" s="22">
        <f t="shared" si="7"/>
        <v>219325.9189</v>
      </c>
    </row>
    <row r="156" hidden="1">
      <c r="B156" s="11">
        <v>46129.0</v>
      </c>
      <c r="C156" s="12">
        <f>VLOOKUP(B:B,'Курс валют'!A:D,4,0)</f>
        <v>89.4113</v>
      </c>
      <c r="D156" s="13" t="s">
        <v>795</v>
      </c>
      <c r="E156" s="59" t="s">
        <v>18</v>
      </c>
      <c r="F156" s="15">
        <v>1100.0</v>
      </c>
      <c r="G156" s="16">
        <v>1107.5</v>
      </c>
      <c r="H156" s="17">
        <v>0.0</v>
      </c>
      <c r="I156" s="16">
        <f t="shared" si="9"/>
        <v>7.5</v>
      </c>
      <c r="J156" s="18">
        <f t="shared" si="2"/>
        <v>0.6818181818</v>
      </c>
      <c r="K156" s="17">
        <v>2.23</v>
      </c>
      <c r="L156" s="19">
        <f t="shared" si="3"/>
        <v>0</v>
      </c>
      <c r="M156" s="20">
        <f t="shared" si="4"/>
        <v>199.387199</v>
      </c>
      <c r="N156" s="21">
        <f t="shared" si="5"/>
        <v>2.23</v>
      </c>
      <c r="O156" s="21">
        <f t="shared" si="6"/>
        <v>2453</v>
      </c>
      <c r="P156" s="22">
        <f t="shared" si="7"/>
        <v>219325.9189</v>
      </c>
    </row>
    <row r="157" hidden="1">
      <c r="B157" s="11">
        <v>46129.0</v>
      </c>
      <c r="C157" s="12">
        <f>VLOOKUP(B:B,'Курс валют'!A:D,4,0)</f>
        <v>89.4113</v>
      </c>
      <c r="D157" s="13" t="s">
        <v>796</v>
      </c>
      <c r="E157" s="59" t="s">
        <v>18</v>
      </c>
      <c r="F157" s="15">
        <v>1100.0</v>
      </c>
      <c r="G157" s="16">
        <v>1107.5</v>
      </c>
      <c r="H157" s="17">
        <v>0.0</v>
      </c>
      <c r="I157" s="16">
        <f t="shared" si="9"/>
        <v>7.5</v>
      </c>
      <c r="J157" s="18">
        <f t="shared" si="2"/>
        <v>0.6818181818</v>
      </c>
      <c r="K157" s="17">
        <v>2.23</v>
      </c>
      <c r="L157" s="19">
        <f t="shared" si="3"/>
        <v>0</v>
      </c>
      <c r="M157" s="20">
        <f t="shared" si="4"/>
        <v>199.387199</v>
      </c>
      <c r="N157" s="21">
        <f t="shared" si="5"/>
        <v>2.23</v>
      </c>
      <c r="O157" s="21">
        <f t="shared" si="6"/>
        <v>2453</v>
      </c>
      <c r="P157" s="22">
        <f t="shared" si="7"/>
        <v>219325.9189</v>
      </c>
    </row>
    <row r="158" hidden="1">
      <c r="B158" s="11">
        <v>46129.0</v>
      </c>
      <c r="C158" s="12">
        <f>VLOOKUP(B:B,'Курс валют'!A:D,4,0)</f>
        <v>89.4113</v>
      </c>
      <c r="D158" s="13" t="s">
        <v>797</v>
      </c>
      <c r="E158" s="59" t="s">
        <v>18</v>
      </c>
      <c r="F158" s="15">
        <v>1100.0</v>
      </c>
      <c r="G158" s="16">
        <v>1107.5</v>
      </c>
      <c r="H158" s="17">
        <v>0.0</v>
      </c>
      <c r="I158" s="16">
        <f t="shared" si="9"/>
        <v>7.5</v>
      </c>
      <c r="J158" s="18">
        <f t="shared" si="2"/>
        <v>0.6818181818</v>
      </c>
      <c r="K158" s="17">
        <v>2.23</v>
      </c>
      <c r="L158" s="19">
        <f t="shared" si="3"/>
        <v>0</v>
      </c>
      <c r="M158" s="20">
        <f t="shared" si="4"/>
        <v>199.387199</v>
      </c>
      <c r="N158" s="21">
        <f t="shared" si="5"/>
        <v>2.23</v>
      </c>
      <c r="O158" s="21">
        <f t="shared" si="6"/>
        <v>2453</v>
      </c>
      <c r="P158" s="22">
        <f t="shared" si="7"/>
        <v>219325.9189</v>
      </c>
    </row>
    <row r="159" hidden="1">
      <c r="B159" s="11">
        <v>46129.0</v>
      </c>
      <c r="C159" s="12">
        <f>VLOOKUP(B:B,'Курс валют'!A:D,4,0)</f>
        <v>89.4113</v>
      </c>
      <c r="D159" s="13" t="s">
        <v>798</v>
      </c>
      <c r="E159" s="59" t="s">
        <v>18</v>
      </c>
      <c r="F159" s="15">
        <v>1100.0</v>
      </c>
      <c r="G159" s="16">
        <v>1107.5</v>
      </c>
      <c r="H159" s="17">
        <v>0.0</v>
      </c>
      <c r="I159" s="16">
        <f t="shared" si="9"/>
        <v>7.5</v>
      </c>
      <c r="J159" s="18">
        <f t="shared" si="2"/>
        <v>0.6818181818</v>
      </c>
      <c r="K159" s="17">
        <v>2.23</v>
      </c>
      <c r="L159" s="19">
        <f t="shared" si="3"/>
        <v>0</v>
      </c>
      <c r="M159" s="20">
        <f t="shared" si="4"/>
        <v>199.387199</v>
      </c>
      <c r="N159" s="21">
        <f t="shared" si="5"/>
        <v>2.23</v>
      </c>
      <c r="O159" s="21">
        <f t="shared" si="6"/>
        <v>2453</v>
      </c>
      <c r="P159" s="22">
        <f t="shared" si="7"/>
        <v>219325.9189</v>
      </c>
    </row>
    <row r="160" hidden="1">
      <c r="B160" s="11">
        <v>46129.0</v>
      </c>
      <c r="C160" s="12">
        <f>VLOOKUP(B:B,'Курс валют'!A:D,4,0)</f>
        <v>89.4113</v>
      </c>
      <c r="D160" s="13" t="s">
        <v>799</v>
      </c>
      <c r="E160" s="59" t="s">
        <v>128</v>
      </c>
      <c r="F160" s="15">
        <v>2200.0</v>
      </c>
      <c r="G160" s="16">
        <v>2225.52</v>
      </c>
      <c r="H160" s="17">
        <v>0.0</v>
      </c>
      <c r="I160" s="16">
        <f t="shared" si="9"/>
        <v>25.52</v>
      </c>
      <c r="J160" s="18">
        <f t="shared" si="2"/>
        <v>1.16</v>
      </c>
      <c r="K160" s="17">
        <v>1.8</v>
      </c>
      <c r="L160" s="19">
        <f t="shared" si="3"/>
        <v>0</v>
      </c>
      <c r="M160" s="20">
        <f t="shared" si="4"/>
        <v>160.94034</v>
      </c>
      <c r="N160" s="21">
        <f t="shared" si="5"/>
        <v>1.8</v>
      </c>
      <c r="O160" s="21">
        <f t="shared" si="6"/>
        <v>3960</v>
      </c>
      <c r="P160" s="22">
        <f t="shared" si="7"/>
        <v>354068.748</v>
      </c>
    </row>
    <row r="161" hidden="1">
      <c r="B161" s="11">
        <v>46129.0</v>
      </c>
      <c r="C161" s="12">
        <f>VLOOKUP(B:B,'Курс валют'!A:D,4,0)</f>
        <v>89.4113</v>
      </c>
      <c r="D161" s="13" t="s">
        <v>800</v>
      </c>
      <c r="E161" s="59" t="s">
        <v>128</v>
      </c>
      <c r="F161" s="15">
        <v>2200.0</v>
      </c>
      <c r="G161" s="16">
        <v>2225.52</v>
      </c>
      <c r="H161" s="17">
        <v>0.0</v>
      </c>
      <c r="I161" s="16">
        <f t="shared" si="9"/>
        <v>25.52</v>
      </c>
      <c r="J161" s="18">
        <f t="shared" si="2"/>
        <v>1.16</v>
      </c>
      <c r="K161" s="17">
        <v>1.8</v>
      </c>
      <c r="L161" s="19">
        <f t="shared" si="3"/>
        <v>0</v>
      </c>
      <c r="M161" s="20">
        <f t="shared" si="4"/>
        <v>160.94034</v>
      </c>
      <c r="N161" s="21">
        <f t="shared" si="5"/>
        <v>1.8</v>
      </c>
      <c r="O161" s="21">
        <f t="shared" si="6"/>
        <v>3960</v>
      </c>
      <c r="P161" s="22">
        <f t="shared" si="7"/>
        <v>354068.748</v>
      </c>
    </row>
    <row r="162" hidden="1">
      <c r="B162" s="11">
        <v>46129.0</v>
      </c>
      <c r="C162" s="12">
        <f>VLOOKUP(B:B,'Курс валют'!A:D,4,0)</f>
        <v>89.4113</v>
      </c>
      <c r="D162" s="13" t="s">
        <v>801</v>
      </c>
      <c r="E162" s="59" t="s">
        <v>18</v>
      </c>
      <c r="F162" s="15">
        <v>1100.0</v>
      </c>
      <c r="G162" s="16">
        <v>1107.5</v>
      </c>
      <c r="H162" s="17">
        <v>0.0</v>
      </c>
      <c r="I162" s="16">
        <f t="shared" si="9"/>
        <v>7.5</v>
      </c>
      <c r="J162" s="18">
        <f t="shared" si="2"/>
        <v>0.6818181818</v>
      </c>
      <c r="K162" s="17">
        <v>2.23</v>
      </c>
      <c r="L162" s="19">
        <f t="shared" si="3"/>
        <v>0</v>
      </c>
      <c r="M162" s="20">
        <f t="shared" si="4"/>
        <v>199.387199</v>
      </c>
      <c r="N162" s="21">
        <f t="shared" si="5"/>
        <v>2.23</v>
      </c>
      <c r="O162" s="21">
        <f t="shared" si="6"/>
        <v>2453</v>
      </c>
      <c r="P162" s="22">
        <f t="shared" si="7"/>
        <v>219325.9189</v>
      </c>
    </row>
    <row r="163" hidden="1">
      <c r="B163" s="11">
        <v>46129.0</v>
      </c>
      <c r="C163" s="12">
        <f>VLOOKUP(B:B,'Курс валют'!A:D,4,0)</f>
        <v>89.4113</v>
      </c>
      <c r="D163" s="13" t="s">
        <v>802</v>
      </c>
      <c r="E163" s="59" t="s">
        <v>18</v>
      </c>
      <c r="F163" s="15">
        <v>1100.0</v>
      </c>
      <c r="G163" s="16">
        <v>1107.5</v>
      </c>
      <c r="H163" s="17">
        <v>0.0</v>
      </c>
      <c r="I163" s="16">
        <f t="shared" si="9"/>
        <v>7.5</v>
      </c>
      <c r="J163" s="18">
        <f t="shared" si="2"/>
        <v>0.6818181818</v>
      </c>
      <c r="K163" s="17">
        <v>2.24</v>
      </c>
      <c r="L163" s="19">
        <f t="shared" si="3"/>
        <v>0</v>
      </c>
      <c r="M163" s="20">
        <f t="shared" si="4"/>
        <v>200.281312</v>
      </c>
      <c r="N163" s="21">
        <f t="shared" si="5"/>
        <v>2.24</v>
      </c>
      <c r="O163" s="21">
        <f t="shared" si="6"/>
        <v>2464</v>
      </c>
      <c r="P163" s="22">
        <f t="shared" si="7"/>
        <v>220309.4432</v>
      </c>
    </row>
    <row r="164" hidden="1">
      <c r="B164" s="11">
        <v>46129.0</v>
      </c>
      <c r="C164" s="12">
        <f>VLOOKUP(B:B,'Курс валют'!A:D,4,0)</f>
        <v>89.4113</v>
      </c>
      <c r="D164" s="13" t="s">
        <v>803</v>
      </c>
      <c r="E164" s="59" t="s">
        <v>119</v>
      </c>
      <c r="F164" s="15">
        <v>10.0</v>
      </c>
      <c r="G164" s="16">
        <v>10.248</v>
      </c>
      <c r="H164" s="17">
        <v>0.0</v>
      </c>
      <c r="I164" s="16">
        <f t="shared" si="9"/>
        <v>0.248</v>
      </c>
      <c r="J164" s="18">
        <f t="shared" si="2"/>
        <v>2.48</v>
      </c>
      <c r="K164" s="17">
        <v>2.31</v>
      </c>
      <c r="L164" s="19">
        <f t="shared" si="3"/>
        <v>0</v>
      </c>
      <c r="M164" s="20">
        <f t="shared" si="4"/>
        <v>206.540103</v>
      </c>
      <c r="N164" s="21">
        <f t="shared" si="5"/>
        <v>2.31</v>
      </c>
      <c r="O164" s="21">
        <f t="shared" si="6"/>
        <v>23.1</v>
      </c>
      <c r="P164" s="22">
        <f t="shared" si="7"/>
        <v>2065.40103</v>
      </c>
    </row>
    <row r="165" hidden="1">
      <c r="B165" s="11">
        <v>46130.0</v>
      </c>
      <c r="C165" s="12">
        <f>VLOOKUP(B:B,'Курс валют'!A:D,4,0)</f>
        <v>89.6256</v>
      </c>
      <c r="D165" s="13" t="s">
        <v>804</v>
      </c>
      <c r="E165" s="59" t="s">
        <v>128</v>
      </c>
      <c r="F165" s="15">
        <v>2200.0</v>
      </c>
      <c r="G165" s="16">
        <v>2225.38</v>
      </c>
      <c r="H165" s="17">
        <v>0.0</v>
      </c>
      <c r="I165" s="16">
        <f t="shared" si="9"/>
        <v>25.38</v>
      </c>
      <c r="J165" s="18">
        <f t="shared" si="2"/>
        <v>1.153636364</v>
      </c>
      <c r="K165" s="17">
        <v>1.81</v>
      </c>
      <c r="L165" s="19">
        <f t="shared" si="3"/>
        <v>0</v>
      </c>
      <c r="M165" s="20">
        <f t="shared" si="4"/>
        <v>162.222336</v>
      </c>
      <c r="N165" s="21">
        <f t="shared" si="5"/>
        <v>1.81</v>
      </c>
      <c r="O165" s="21">
        <f t="shared" si="6"/>
        <v>3982</v>
      </c>
      <c r="P165" s="22">
        <f t="shared" si="7"/>
        <v>356889.1392</v>
      </c>
    </row>
    <row r="166" hidden="1">
      <c r="B166" s="11">
        <v>46130.0</v>
      </c>
      <c r="C166" s="12">
        <f>VLOOKUP(B:B,'Курс валют'!A:D,4,0)</f>
        <v>89.6256</v>
      </c>
      <c r="D166" s="13" t="s">
        <v>805</v>
      </c>
      <c r="E166" s="59" t="s">
        <v>54</v>
      </c>
      <c r="F166" s="15">
        <v>800.0</v>
      </c>
      <c r="G166" s="16">
        <v>805.14</v>
      </c>
      <c r="H166" s="17">
        <v>0.0</v>
      </c>
      <c r="I166" s="16">
        <f t="shared" si="9"/>
        <v>5.14</v>
      </c>
      <c r="J166" s="18">
        <f t="shared" si="2"/>
        <v>0.6425</v>
      </c>
      <c r="K166" s="17">
        <v>1.77</v>
      </c>
      <c r="L166" s="19">
        <f t="shared" si="3"/>
        <v>0</v>
      </c>
      <c r="M166" s="20">
        <f t="shared" si="4"/>
        <v>158.637312</v>
      </c>
      <c r="N166" s="21">
        <f t="shared" si="5"/>
        <v>1.77</v>
      </c>
      <c r="O166" s="21">
        <f t="shared" si="6"/>
        <v>1416</v>
      </c>
      <c r="P166" s="22">
        <f t="shared" si="7"/>
        <v>126909.8496</v>
      </c>
    </row>
    <row r="167" hidden="1">
      <c r="B167" s="11">
        <v>46130.0</v>
      </c>
      <c r="C167" s="12">
        <f>VLOOKUP(B:B,'Курс валют'!A:D,4,0)</f>
        <v>89.6256</v>
      </c>
      <c r="D167" s="13" t="s">
        <v>806</v>
      </c>
      <c r="E167" s="59" t="s">
        <v>54</v>
      </c>
      <c r="F167" s="15">
        <v>800.0</v>
      </c>
      <c r="G167" s="16">
        <v>805.14</v>
      </c>
      <c r="H167" s="17">
        <v>0.0</v>
      </c>
      <c r="I167" s="16">
        <f t="shared" si="9"/>
        <v>5.14</v>
      </c>
      <c r="J167" s="18">
        <f t="shared" si="2"/>
        <v>0.6425</v>
      </c>
      <c r="K167" s="17">
        <v>1.77</v>
      </c>
      <c r="L167" s="19">
        <f t="shared" si="3"/>
        <v>0</v>
      </c>
      <c r="M167" s="20">
        <f t="shared" si="4"/>
        <v>158.637312</v>
      </c>
      <c r="N167" s="21">
        <f t="shared" si="5"/>
        <v>1.77</v>
      </c>
      <c r="O167" s="21">
        <f t="shared" si="6"/>
        <v>1416</v>
      </c>
      <c r="P167" s="22">
        <f t="shared" si="7"/>
        <v>126909.8496</v>
      </c>
    </row>
    <row r="168" hidden="1">
      <c r="B168" s="11">
        <v>46130.0</v>
      </c>
      <c r="C168" s="12">
        <f>VLOOKUP(B:B,'Курс валют'!A:D,4,0)</f>
        <v>89.6256</v>
      </c>
      <c r="D168" s="13" t="s">
        <v>807</v>
      </c>
      <c r="E168" s="59" t="s">
        <v>54</v>
      </c>
      <c r="F168" s="15">
        <v>800.0</v>
      </c>
      <c r="G168" s="16">
        <v>805.14</v>
      </c>
      <c r="H168" s="17">
        <v>0.0</v>
      </c>
      <c r="I168" s="16">
        <f t="shared" si="9"/>
        <v>5.14</v>
      </c>
      <c r="J168" s="18">
        <f t="shared" si="2"/>
        <v>0.6425</v>
      </c>
      <c r="K168" s="17">
        <v>1.77</v>
      </c>
      <c r="L168" s="19">
        <f t="shared" si="3"/>
        <v>0</v>
      </c>
      <c r="M168" s="20">
        <f t="shared" si="4"/>
        <v>158.637312</v>
      </c>
      <c r="N168" s="21">
        <f t="shared" si="5"/>
        <v>1.77</v>
      </c>
      <c r="O168" s="21">
        <f t="shared" si="6"/>
        <v>1416</v>
      </c>
      <c r="P168" s="22">
        <f t="shared" si="7"/>
        <v>126909.8496</v>
      </c>
    </row>
    <row r="169" hidden="1">
      <c r="B169" s="11">
        <v>46130.0</v>
      </c>
      <c r="C169" s="12">
        <f>VLOOKUP(B:B,'Курс валют'!A:D,4,0)</f>
        <v>89.6256</v>
      </c>
      <c r="D169" s="13" t="s">
        <v>808</v>
      </c>
      <c r="E169" s="59" t="s">
        <v>54</v>
      </c>
      <c r="F169" s="15">
        <v>800.0</v>
      </c>
      <c r="G169" s="16">
        <v>805.14</v>
      </c>
      <c r="H169" s="17">
        <v>0.0</v>
      </c>
      <c r="I169" s="16">
        <f t="shared" si="9"/>
        <v>5.14</v>
      </c>
      <c r="J169" s="18">
        <f t="shared" si="2"/>
        <v>0.6425</v>
      </c>
      <c r="K169" s="17">
        <v>1.77</v>
      </c>
      <c r="L169" s="19">
        <f t="shared" si="3"/>
        <v>0</v>
      </c>
      <c r="M169" s="20">
        <f t="shared" si="4"/>
        <v>158.637312</v>
      </c>
      <c r="N169" s="21">
        <f t="shared" si="5"/>
        <v>1.77</v>
      </c>
      <c r="O169" s="21">
        <f t="shared" si="6"/>
        <v>1416</v>
      </c>
      <c r="P169" s="22">
        <f t="shared" si="7"/>
        <v>126909.8496</v>
      </c>
    </row>
    <row r="170" hidden="1">
      <c r="B170" s="11">
        <v>46130.0</v>
      </c>
      <c r="C170" s="12">
        <f>VLOOKUP(B:B,'Курс валют'!A:D,4,0)</f>
        <v>89.6256</v>
      </c>
      <c r="D170" s="13" t="s">
        <v>809</v>
      </c>
      <c r="E170" s="59" t="s">
        <v>54</v>
      </c>
      <c r="F170" s="15">
        <v>800.0</v>
      </c>
      <c r="G170" s="16">
        <v>805.14</v>
      </c>
      <c r="H170" s="17">
        <v>0.0</v>
      </c>
      <c r="I170" s="16">
        <f t="shared" si="9"/>
        <v>5.14</v>
      </c>
      <c r="J170" s="18">
        <f t="shared" si="2"/>
        <v>0.6425</v>
      </c>
      <c r="K170" s="17">
        <v>1.77</v>
      </c>
      <c r="L170" s="19">
        <f t="shared" si="3"/>
        <v>0</v>
      </c>
      <c r="M170" s="20">
        <f t="shared" si="4"/>
        <v>158.637312</v>
      </c>
      <c r="N170" s="21">
        <f t="shared" si="5"/>
        <v>1.77</v>
      </c>
      <c r="O170" s="21">
        <f t="shared" si="6"/>
        <v>1416</v>
      </c>
      <c r="P170" s="22">
        <f t="shared" si="7"/>
        <v>126909.8496</v>
      </c>
    </row>
    <row r="171" hidden="1">
      <c r="B171" s="11">
        <v>46130.0</v>
      </c>
      <c r="C171" s="12">
        <f>VLOOKUP(B:B,'Курс валют'!A:D,4,0)</f>
        <v>89.6256</v>
      </c>
      <c r="D171" s="13" t="s">
        <v>810</v>
      </c>
      <c r="E171" s="59" t="s">
        <v>54</v>
      </c>
      <c r="F171" s="15">
        <v>800.0</v>
      </c>
      <c r="G171" s="16">
        <v>805.14</v>
      </c>
      <c r="H171" s="17">
        <v>0.0</v>
      </c>
      <c r="I171" s="16">
        <f t="shared" si="9"/>
        <v>5.14</v>
      </c>
      <c r="J171" s="18">
        <f t="shared" si="2"/>
        <v>0.6425</v>
      </c>
      <c r="K171" s="17">
        <v>1.77</v>
      </c>
      <c r="L171" s="19">
        <f t="shared" si="3"/>
        <v>0</v>
      </c>
      <c r="M171" s="20">
        <f t="shared" si="4"/>
        <v>158.637312</v>
      </c>
      <c r="N171" s="21">
        <f t="shared" si="5"/>
        <v>1.77</v>
      </c>
      <c r="O171" s="21">
        <f t="shared" si="6"/>
        <v>1416</v>
      </c>
      <c r="P171" s="22">
        <f t="shared" si="7"/>
        <v>126909.8496</v>
      </c>
    </row>
    <row r="172" hidden="1">
      <c r="B172" s="11">
        <v>46130.0</v>
      </c>
      <c r="C172" s="12">
        <f>VLOOKUP(B:B,'Курс валют'!A:D,4,0)</f>
        <v>89.6256</v>
      </c>
      <c r="D172" s="13" t="s">
        <v>811</v>
      </c>
      <c r="E172" s="59" t="s">
        <v>54</v>
      </c>
      <c r="F172" s="15">
        <v>800.0</v>
      </c>
      <c r="G172" s="16">
        <v>805.14</v>
      </c>
      <c r="H172" s="17">
        <v>0.0</v>
      </c>
      <c r="I172" s="16">
        <f t="shared" si="9"/>
        <v>5.14</v>
      </c>
      <c r="J172" s="18">
        <f t="shared" si="2"/>
        <v>0.6425</v>
      </c>
      <c r="K172" s="17">
        <v>1.77</v>
      </c>
      <c r="L172" s="19">
        <f t="shared" si="3"/>
        <v>0</v>
      </c>
      <c r="M172" s="20">
        <f t="shared" si="4"/>
        <v>158.637312</v>
      </c>
      <c r="N172" s="21">
        <f t="shared" si="5"/>
        <v>1.77</v>
      </c>
      <c r="O172" s="21">
        <f t="shared" si="6"/>
        <v>1416</v>
      </c>
      <c r="P172" s="22">
        <f t="shared" si="7"/>
        <v>126909.8496</v>
      </c>
    </row>
    <row r="173" hidden="1">
      <c r="B173" s="11">
        <v>46130.0</v>
      </c>
      <c r="C173" s="12">
        <f>VLOOKUP(B:B,'Курс валют'!A:D,4,0)</f>
        <v>89.6256</v>
      </c>
      <c r="D173" s="13" t="s">
        <v>812</v>
      </c>
      <c r="E173" s="59" t="s">
        <v>54</v>
      </c>
      <c r="F173" s="15">
        <v>800.0</v>
      </c>
      <c r="G173" s="16">
        <v>805.14</v>
      </c>
      <c r="H173" s="17">
        <v>0.0</v>
      </c>
      <c r="I173" s="16">
        <f t="shared" si="9"/>
        <v>5.14</v>
      </c>
      <c r="J173" s="18">
        <f t="shared" si="2"/>
        <v>0.6425</v>
      </c>
      <c r="K173" s="17">
        <v>1.94</v>
      </c>
      <c r="L173" s="19">
        <f t="shared" si="3"/>
        <v>0</v>
      </c>
      <c r="M173" s="20">
        <f t="shared" si="4"/>
        <v>173.873664</v>
      </c>
      <c r="N173" s="21">
        <f t="shared" si="5"/>
        <v>1.94</v>
      </c>
      <c r="O173" s="21">
        <f t="shared" si="6"/>
        <v>1552</v>
      </c>
      <c r="P173" s="22">
        <f t="shared" si="7"/>
        <v>139098.9312</v>
      </c>
    </row>
    <row r="174" hidden="1">
      <c r="B174" s="11">
        <v>46130.0</v>
      </c>
      <c r="C174" s="12">
        <f>VLOOKUP(B:B,'Курс валют'!A:D,4,0)</f>
        <v>89.6256</v>
      </c>
      <c r="D174" s="13" t="s">
        <v>813</v>
      </c>
      <c r="E174" s="59" t="s">
        <v>54</v>
      </c>
      <c r="F174" s="15">
        <v>800.0</v>
      </c>
      <c r="G174" s="16">
        <v>805.14</v>
      </c>
      <c r="H174" s="17">
        <v>0.0</v>
      </c>
      <c r="I174" s="16">
        <f t="shared" si="9"/>
        <v>5.14</v>
      </c>
      <c r="J174" s="18">
        <f t="shared" si="2"/>
        <v>0.6425</v>
      </c>
      <c r="K174" s="17">
        <v>1.91</v>
      </c>
      <c r="L174" s="19">
        <f t="shared" si="3"/>
        <v>0</v>
      </c>
      <c r="M174" s="20">
        <f t="shared" si="4"/>
        <v>171.184896</v>
      </c>
      <c r="N174" s="21">
        <f t="shared" si="5"/>
        <v>1.91</v>
      </c>
      <c r="O174" s="21">
        <f t="shared" si="6"/>
        <v>1528</v>
      </c>
      <c r="P174" s="22">
        <f t="shared" si="7"/>
        <v>136947.9168</v>
      </c>
    </row>
    <row r="175" hidden="1">
      <c r="B175" s="11">
        <v>46130.0</v>
      </c>
      <c r="C175" s="12">
        <f>VLOOKUP(B:B,'Курс валют'!A:D,4,0)</f>
        <v>89.6256</v>
      </c>
      <c r="D175" s="13" t="s">
        <v>814</v>
      </c>
      <c r="E175" s="59" t="s">
        <v>54</v>
      </c>
      <c r="F175" s="15">
        <v>800.0</v>
      </c>
      <c r="G175" s="16">
        <v>805.14</v>
      </c>
      <c r="H175" s="17">
        <v>0.0</v>
      </c>
      <c r="I175" s="16">
        <f t="shared" si="9"/>
        <v>5.14</v>
      </c>
      <c r="J175" s="18">
        <f t="shared" si="2"/>
        <v>0.6425</v>
      </c>
      <c r="K175" s="17">
        <v>1.88</v>
      </c>
      <c r="L175" s="19">
        <f t="shared" si="3"/>
        <v>0</v>
      </c>
      <c r="M175" s="20">
        <f t="shared" si="4"/>
        <v>168.496128</v>
      </c>
      <c r="N175" s="21">
        <f t="shared" si="5"/>
        <v>1.88</v>
      </c>
      <c r="O175" s="21">
        <f t="shared" si="6"/>
        <v>1504</v>
      </c>
      <c r="P175" s="22">
        <f t="shared" si="7"/>
        <v>134796.9024</v>
      </c>
    </row>
    <row r="176" hidden="1">
      <c r="B176" s="11">
        <v>46131.0</v>
      </c>
      <c r="C176" s="12">
        <f>VLOOKUP(B:B,'Курс валют'!A:D,4,0)</f>
        <v>89.6256</v>
      </c>
      <c r="D176" s="13" t="s">
        <v>815</v>
      </c>
      <c r="E176" s="59" t="s">
        <v>128</v>
      </c>
      <c r="F176" s="15">
        <v>2200.0</v>
      </c>
      <c r="G176" s="15">
        <v>2225.52</v>
      </c>
      <c r="H176" s="17">
        <v>0.0</v>
      </c>
      <c r="I176" s="15">
        <f t="shared" si="9"/>
        <v>25.52</v>
      </c>
      <c r="J176" s="18">
        <f t="shared" si="2"/>
        <v>1.16</v>
      </c>
      <c r="K176" s="17">
        <v>1.81</v>
      </c>
      <c r="L176" s="19">
        <f t="shared" si="3"/>
        <v>0</v>
      </c>
      <c r="M176" s="20">
        <f t="shared" si="4"/>
        <v>162.222336</v>
      </c>
      <c r="N176" s="21">
        <f t="shared" si="5"/>
        <v>1.81</v>
      </c>
      <c r="O176" s="21">
        <f t="shared" si="6"/>
        <v>3982</v>
      </c>
      <c r="P176" s="22">
        <f t="shared" si="7"/>
        <v>356889.1392</v>
      </c>
    </row>
    <row r="177" hidden="1">
      <c r="B177" s="11">
        <v>46131.0</v>
      </c>
      <c r="C177" s="12">
        <f>VLOOKUP(B:B,'Курс валют'!A:D,4,0)</f>
        <v>89.6256</v>
      </c>
      <c r="D177" s="13" t="s">
        <v>816</v>
      </c>
      <c r="E177" s="59" t="s">
        <v>98</v>
      </c>
      <c r="F177" s="15">
        <v>6120.0</v>
      </c>
      <c r="G177" s="15">
        <v>6150.0</v>
      </c>
      <c r="H177" s="17">
        <v>0.0</v>
      </c>
      <c r="I177" s="15">
        <f t="shared" si="9"/>
        <v>30</v>
      </c>
      <c r="J177" s="18">
        <f t="shared" si="2"/>
        <v>0.4901960784</v>
      </c>
      <c r="K177" s="17">
        <v>2.25</v>
      </c>
      <c r="L177" s="19">
        <f t="shared" si="3"/>
        <v>0</v>
      </c>
      <c r="M177" s="20">
        <f t="shared" si="4"/>
        <v>201.6576</v>
      </c>
      <c r="N177" s="21">
        <f t="shared" si="5"/>
        <v>2.25</v>
      </c>
      <c r="O177" s="21">
        <f t="shared" si="6"/>
        <v>13770</v>
      </c>
      <c r="P177" s="22">
        <f t="shared" si="7"/>
        <v>1234144.512</v>
      </c>
    </row>
    <row r="178" hidden="1">
      <c r="B178" s="11">
        <v>46131.0</v>
      </c>
      <c r="C178" s="12">
        <f>VLOOKUP(B:B,'Курс валют'!A:D,4,0)</f>
        <v>89.6256</v>
      </c>
      <c r="D178" s="13" t="s">
        <v>817</v>
      </c>
      <c r="E178" s="59" t="s">
        <v>120</v>
      </c>
      <c r="F178" s="15">
        <v>60.0</v>
      </c>
      <c r="G178" s="15">
        <v>63.1</v>
      </c>
      <c r="H178" s="17">
        <v>0.0</v>
      </c>
      <c r="I178" s="15">
        <f t="shared" si="9"/>
        <v>3.1</v>
      </c>
      <c r="J178" s="18">
        <f t="shared" si="2"/>
        <v>5.166666667</v>
      </c>
      <c r="K178" s="17">
        <v>3.55</v>
      </c>
      <c r="L178" s="19">
        <f t="shared" si="3"/>
        <v>0</v>
      </c>
      <c r="M178" s="20">
        <f t="shared" si="4"/>
        <v>318.17088</v>
      </c>
      <c r="N178" s="21">
        <f t="shared" si="5"/>
        <v>3.55</v>
      </c>
      <c r="O178" s="21">
        <f t="shared" si="6"/>
        <v>213</v>
      </c>
      <c r="P178" s="22">
        <f t="shared" si="7"/>
        <v>19090.2528</v>
      </c>
    </row>
    <row r="179" hidden="1">
      <c r="B179" s="11">
        <v>46132.0</v>
      </c>
      <c r="C179" s="12">
        <f>VLOOKUP(B:B,'Курс валют'!A:D,4,0)</f>
        <v>89.6256</v>
      </c>
      <c r="D179" s="13" t="s">
        <v>818</v>
      </c>
      <c r="E179" s="59" t="s">
        <v>128</v>
      </c>
      <c r="F179" s="15">
        <v>2200.0</v>
      </c>
      <c r="G179" s="16">
        <v>2225.52</v>
      </c>
      <c r="H179" s="17">
        <v>0.0</v>
      </c>
      <c r="I179" s="16">
        <f t="shared" si="9"/>
        <v>25.52</v>
      </c>
      <c r="J179" s="18">
        <f t="shared" si="2"/>
        <v>1.16</v>
      </c>
      <c r="K179" s="17">
        <v>1.81</v>
      </c>
      <c r="L179" s="19">
        <f t="shared" si="3"/>
        <v>0</v>
      </c>
      <c r="M179" s="20">
        <f t="shared" si="4"/>
        <v>162.222336</v>
      </c>
      <c r="N179" s="21">
        <f t="shared" si="5"/>
        <v>1.81</v>
      </c>
      <c r="O179" s="21">
        <f t="shared" si="6"/>
        <v>3982</v>
      </c>
      <c r="P179" s="22">
        <f t="shared" si="7"/>
        <v>356889.1392</v>
      </c>
    </row>
    <row r="180" hidden="1">
      <c r="B180" s="11">
        <v>46132.0</v>
      </c>
      <c r="C180" s="12">
        <f>VLOOKUP(B:B,'Курс валют'!A:D,4,0)</f>
        <v>89.6256</v>
      </c>
      <c r="D180" s="13" t="s">
        <v>819</v>
      </c>
      <c r="E180" s="59" t="s">
        <v>81</v>
      </c>
      <c r="F180" s="15">
        <v>2000.0</v>
      </c>
      <c r="G180" s="16">
        <v>2060.65</v>
      </c>
      <c r="H180" s="17">
        <v>0.0</v>
      </c>
      <c r="I180" s="16">
        <f t="shared" si="9"/>
        <v>60.65</v>
      </c>
      <c r="J180" s="18">
        <f t="shared" si="2"/>
        <v>3.0325</v>
      </c>
      <c r="K180" s="17">
        <v>2.33</v>
      </c>
      <c r="L180" s="19">
        <f t="shared" si="3"/>
        <v>0</v>
      </c>
      <c r="M180" s="20">
        <f t="shared" si="4"/>
        <v>208.827648</v>
      </c>
      <c r="N180" s="21">
        <f t="shared" si="5"/>
        <v>2.33</v>
      </c>
      <c r="O180" s="21">
        <f t="shared" si="6"/>
        <v>4660</v>
      </c>
      <c r="P180" s="22">
        <f t="shared" si="7"/>
        <v>417655.296</v>
      </c>
    </row>
    <row r="181" hidden="1">
      <c r="B181" s="11">
        <v>46133.0</v>
      </c>
      <c r="C181" s="12">
        <f>VLOOKUP(B:B,'Курс валют'!A:D,4,0)</f>
        <v>88.3769</v>
      </c>
      <c r="D181" s="13" t="s">
        <v>820</v>
      </c>
      <c r="E181" s="59" t="s">
        <v>116</v>
      </c>
      <c r="F181" s="15">
        <v>140.0</v>
      </c>
      <c r="G181" s="15">
        <v>146.2</v>
      </c>
      <c r="H181" s="17"/>
      <c r="I181" s="15">
        <f t="shared" si="9"/>
        <v>6.2</v>
      </c>
      <c r="J181" s="18">
        <f t="shared" si="2"/>
        <v>4.428571429</v>
      </c>
      <c r="K181" s="17"/>
      <c r="L181" s="19">
        <f t="shared" si="3"/>
        <v>0</v>
      </c>
      <c r="M181" s="20">
        <f t="shared" si="4"/>
        <v>0</v>
      </c>
      <c r="N181" s="21">
        <f t="shared" si="5"/>
        <v>0</v>
      </c>
      <c r="O181" s="21">
        <f t="shared" si="6"/>
        <v>0</v>
      </c>
      <c r="P181" s="22">
        <f t="shared" si="7"/>
        <v>0</v>
      </c>
    </row>
    <row r="182" hidden="1">
      <c r="B182" s="11">
        <v>46133.0</v>
      </c>
      <c r="C182" s="12">
        <f>VLOOKUP(B:B,'Курс валют'!A:D,4,0)</f>
        <v>88.3769</v>
      </c>
      <c r="D182" s="13" t="s">
        <v>821</v>
      </c>
      <c r="E182" s="59" t="s">
        <v>115</v>
      </c>
      <c r="F182" s="15">
        <v>80.0</v>
      </c>
      <c r="G182" s="15">
        <v>84.07</v>
      </c>
      <c r="H182" s="17">
        <v>0.0</v>
      </c>
      <c r="I182" s="15">
        <f t="shared" si="9"/>
        <v>4.07</v>
      </c>
      <c r="J182" s="18">
        <f t="shared" si="2"/>
        <v>5.0875</v>
      </c>
      <c r="K182" s="17">
        <v>2.97</v>
      </c>
      <c r="L182" s="19">
        <f t="shared" si="3"/>
        <v>0</v>
      </c>
      <c r="M182" s="20">
        <f t="shared" si="4"/>
        <v>262.479393</v>
      </c>
      <c r="N182" s="21">
        <f t="shared" si="5"/>
        <v>2.97</v>
      </c>
      <c r="O182" s="21">
        <f t="shared" si="6"/>
        <v>237.6</v>
      </c>
      <c r="P182" s="22">
        <f t="shared" si="7"/>
        <v>20998.35144</v>
      </c>
    </row>
    <row r="183">
      <c r="B183" s="11">
        <v>46133.0</v>
      </c>
      <c r="C183" s="12">
        <f>VLOOKUP(B:B,'Курс валют'!A:D,4,0)</f>
        <v>88.3769</v>
      </c>
      <c r="D183" s="13" t="s">
        <v>822</v>
      </c>
      <c r="E183" s="59" t="s">
        <v>63</v>
      </c>
      <c r="F183" s="15">
        <v>2250.0</v>
      </c>
      <c r="G183" s="16">
        <v>2273.1</v>
      </c>
      <c r="H183" s="17">
        <v>0.0</v>
      </c>
      <c r="I183" s="16">
        <f t="shared" si="9"/>
        <v>23.1</v>
      </c>
      <c r="J183" s="18">
        <f t="shared" si="2"/>
        <v>1.026666667</v>
      </c>
      <c r="K183" s="17">
        <v>1.94</v>
      </c>
      <c r="L183" s="19">
        <f t="shared" si="3"/>
        <v>0</v>
      </c>
      <c r="M183" s="20">
        <f t="shared" si="4"/>
        <v>171.451186</v>
      </c>
      <c r="N183" s="21">
        <f t="shared" si="5"/>
        <v>1.94</v>
      </c>
      <c r="O183" s="21">
        <f t="shared" si="6"/>
        <v>4365</v>
      </c>
      <c r="P183" s="22">
        <f t="shared" si="7"/>
        <v>385765.1685</v>
      </c>
    </row>
    <row r="184" hidden="1">
      <c r="B184" s="11">
        <v>46133.0</v>
      </c>
      <c r="C184" s="12">
        <f>VLOOKUP(B:B,'Курс валют'!A:D,4,0)</f>
        <v>88.3769</v>
      </c>
      <c r="D184" s="13" t="s">
        <v>823</v>
      </c>
      <c r="E184" s="59" t="s">
        <v>207</v>
      </c>
      <c r="F184" s="15">
        <v>220.0</v>
      </c>
      <c r="G184" s="15">
        <v>220.0</v>
      </c>
      <c r="H184" s="17">
        <v>0.0</v>
      </c>
      <c r="I184" s="15">
        <f t="shared" si="9"/>
        <v>0</v>
      </c>
      <c r="J184" s="18">
        <f t="shared" si="2"/>
        <v>0</v>
      </c>
      <c r="K184" s="17">
        <v>2.51</v>
      </c>
      <c r="L184" s="19">
        <f t="shared" si="3"/>
        <v>0</v>
      </c>
      <c r="M184" s="20">
        <f t="shared" si="4"/>
        <v>221.826019</v>
      </c>
      <c r="N184" s="21">
        <f t="shared" si="5"/>
        <v>2.51</v>
      </c>
      <c r="O184" s="21">
        <f t="shared" si="6"/>
        <v>552.2</v>
      </c>
      <c r="P184" s="22">
        <f t="shared" si="7"/>
        <v>48801.72418</v>
      </c>
      <c r="R184" s="42" t="s">
        <v>824</v>
      </c>
    </row>
    <row r="185" hidden="1">
      <c r="B185" s="11">
        <v>46133.0</v>
      </c>
      <c r="C185" s="12">
        <f>VLOOKUP(B:B,'Курс валют'!A:D,4,0)</f>
        <v>88.3769</v>
      </c>
      <c r="D185" s="13" t="s">
        <v>825</v>
      </c>
      <c r="E185" s="59" t="s">
        <v>90</v>
      </c>
      <c r="F185" s="15">
        <v>198.0</v>
      </c>
      <c r="G185" s="15">
        <v>200.0</v>
      </c>
      <c r="H185" s="17">
        <v>0.0</v>
      </c>
      <c r="I185" s="15">
        <f t="shared" si="9"/>
        <v>2</v>
      </c>
      <c r="J185" s="18">
        <f t="shared" si="2"/>
        <v>1.01010101</v>
      </c>
      <c r="K185" s="17">
        <v>2.32</v>
      </c>
      <c r="L185" s="19">
        <f t="shared" si="3"/>
        <v>0</v>
      </c>
      <c r="M185" s="20">
        <f t="shared" si="4"/>
        <v>205.034408</v>
      </c>
      <c r="N185" s="21">
        <f t="shared" si="5"/>
        <v>2.32</v>
      </c>
      <c r="O185" s="21">
        <f t="shared" si="6"/>
        <v>459.36</v>
      </c>
      <c r="P185" s="22">
        <f t="shared" si="7"/>
        <v>40596.81278</v>
      </c>
      <c r="R185" s="42" t="s">
        <v>826</v>
      </c>
    </row>
    <row r="186" hidden="1">
      <c r="B186" s="11">
        <v>46133.0</v>
      </c>
      <c r="C186" s="12">
        <f>VLOOKUP(B:B,'Курс валют'!A:D,4,0)</f>
        <v>88.3769</v>
      </c>
      <c r="D186" s="13" t="s">
        <v>827</v>
      </c>
      <c r="E186" s="59" t="s">
        <v>59</v>
      </c>
      <c r="F186" s="15">
        <v>2000.0</v>
      </c>
      <c r="G186" s="16">
        <v>2056.55</v>
      </c>
      <c r="H186" s="17">
        <v>0.0</v>
      </c>
      <c r="I186" s="16">
        <f t="shared" si="9"/>
        <v>56.55</v>
      </c>
      <c r="J186" s="18">
        <f t="shared" si="2"/>
        <v>2.8275</v>
      </c>
      <c r="K186" s="17">
        <v>2.32</v>
      </c>
      <c r="L186" s="19">
        <f t="shared" si="3"/>
        <v>0</v>
      </c>
      <c r="M186" s="20">
        <f t="shared" si="4"/>
        <v>205.034408</v>
      </c>
      <c r="N186" s="21">
        <f t="shared" si="5"/>
        <v>2.32</v>
      </c>
      <c r="O186" s="21">
        <f t="shared" si="6"/>
        <v>4640</v>
      </c>
      <c r="P186" s="22">
        <f t="shared" si="7"/>
        <v>410068.816</v>
      </c>
    </row>
    <row r="187" hidden="1">
      <c r="B187" s="11">
        <v>46134.0</v>
      </c>
      <c r="C187" s="12">
        <f>VLOOKUP(B:B,'Курс валют'!A:D,4,0)</f>
        <v>87.7659</v>
      </c>
      <c r="D187" s="13" t="s">
        <v>828</v>
      </c>
      <c r="E187" s="59" t="s">
        <v>18</v>
      </c>
      <c r="F187" s="15">
        <v>1100.0</v>
      </c>
      <c r="G187" s="16">
        <v>1105.8</v>
      </c>
      <c r="H187" s="17">
        <v>0.0</v>
      </c>
      <c r="I187" s="16">
        <f t="shared" si="9"/>
        <v>5.8</v>
      </c>
      <c r="J187" s="18">
        <f t="shared" si="2"/>
        <v>0.5272727273</v>
      </c>
      <c r="K187" s="17">
        <v>2.42</v>
      </c>
      <c r="L187" s="19">
        <f t="shared" si="3"/>
        <v>0</v>
      </c>
      <c r="M187" s="20">
        <f t="shared" si="4"/>
        <v>212.393478</v>
      </c>
      <c r="N187" s="21">
        <f t="shared" si="5"/>
        <v>2.42</v>
      </c>
      <c r="O187" s="21">
        <f t="shared" si="6"/>
        <v>2662</v>
      </c>
      <c r="P187" s="22">
        <f t="shared" si="7"/>
        <v>233632.8258</v>
      </c>
    </row>
    <row r="188" hidden="1">
      <c r="B188" s="11">
        <v>46134.0</v>
      </c>
      <c r="C188" s="12">
        <f>VLOOKUP(B:B,'Курс валют'!A:D,4,0)</f>
        <v>87.7659</v>
      </c>
      <c r="D188" s="13" t="s">
        <v>829</v>
      </c>
      <c r="E188" s="59" t="s">
        <v>18</v>
      </c>
      <c r="F188" s="15">
        <v>1100.0</v>
      </c>
      <c r="G188" s="16">
        <v>1105.8</v>
      </c>
      <c r="H188" s="17">
        <v>0.0</v>
      </c>
      <c r="I188" s="16">
        <f t="shared" si="9"/>
        <v>5.8</v>
      </c>
      <c r="J188" s="18">
        <f t="shared" si="2"/>
        <v>0.5272727273</v>
      </c>
      <c r="K188" s="17">
        <v>2.42</v>
      </c>
      <c r="L188" s="19">
        <f t="shared" si="3"/>
        <v>0</v>
      </c>
      <c r="M188" s="20">
        <f t="shared" si="4"/>
        <v>212.393478</v>
      </c>
      <c r="N188" s="21">
        <f t="shared" si="5"/>
        <v>2.42</v>
      </c>
      <c r="O188" s="21">
        <f t="shared" si="6"/>
        <v>2662</v>
      </c>
      <c r="P188" s="22">
        <f t="shared" si="7"/>
        <v>233632.8258</v>
      </c>
    </row>
    <row r="189" hidden="1">
      <c r="B189" s="11">
        <v>46134.0</v>
      </c>
      <c r="C189" s="12">
        <f>VLOOKUP(B:B,'Курс валют'!A:D,4,0)</f>
        <v>87.7659</v>
      </c>
      <c r="D189" s="13" t="s">
        <v>830</v>
      </c>
      <c r="E189" s="59" t="s">
        <v>18</v>
      </c>
      <c r="F189" s="15">
        <v>1100.0</v>
      </c>
      <c r="G189" s="16">
        <v>1105.8</v>
      </c>
      <c r="H189" s="17">
        <v>0.0</v>
      </c>
      <c r="I189" s="16">
        <f t="shared" si="9"/>
        <v>5.8</v>
      </c>
      <c r="J189" s="18">
        <f t="shared" si="2"/>
        <v>0.5272727273</v>
      </c>
      <c r="K189" s="17">
        <v>2.42</v>
      </c>
      <c r="L189" s="19">
        <f t="shared" si="3"/>
        <v>0</v>
      </c>
      <c r="M189" s="20">
        <f t="shared" si="4"/>
        <v>212.393478</v>
      </c>
      <c r="N189" s="21">
        <f t="shared" si="5"/>
        <v>2.42</v>
      </c>
      <c r="O189" s="21">
        <f t="shared" si="6"/>
        <v>2662</v>
      </c>
      <c r="P189" s="22">
        <f t="shared" si="7"/>
        <v>233632.8258</v>
      </c>
    </row>
    <row r="190" hidden="1">
      <c r="B190" s="11">
        <v>46134.0</v>
      </c>
      <c r="C190" s="12">
        <f>VLOOKUP(B:B,'Курс валют'!A:D,4,0)</f>
        <v>87.7659</v>
      </c>
      <c r="D190" s="13" t="s">
        <v>831</v>
      </c>
      <c r="E190" s="59" t="s">
        <v>18</v>
      </c>
      <c r="F190" s="15">
        <v>1100.0</v>
      </c>
      <c r="G190" s="16">
        <v>1105.8</v>
      </c>
      <c r="H190" s="17">
        <v>0.0</v>
      </c>
      <c r="I190" s="16">
        <f t="shared" si="9"/>
        <v>5.8</v>
      </c>
      <c r="J190" s="18">
        <f t="shared" si="2"/>
        <v>0.5272727273</v>
      </c>
      <c r="K190" s="17">
        <v>2.42</v>
      </c>
      <c r="L190" s="19">
        <f t="shared" si="3"/>
        <v>0</v>
      </c>
      <c r="M190" s="20">
        <f t="shared" si="4"/>
        <v>212.393478</v>
      </c>
      <c r="N190" s="21">
        <f t="shared" si="5"/>
        <v>2.42</v>
      </c>
      <c r="O190" s="21">
        <f t="shared" si="6"/>
        <v>2662</v>
      </c>
      <c r="P190" s="22">
        <f t="shared" si="7"/>
        <v>233632.8258</v>
      </c>
    </row>
    <row r="191" hidden="1">
      <c r="B191" s="11">
        <v>46134.0</v>
      </c>
      <c r="C191" s="12">
        <f>VLOOKUP(B:B,'Курс валют'!A:D,4,0)</f>
        <v>87.7659</v>
      </c>
      <c r="D191" s="13" t="s">
        <v>832</v>
      </c>
      <c r="E191" s="59" t="s">
        <v>18</v>
      </c>
      <c r="F191" s="15">
        <v>1100.0</v>
      </c>
      <c r="G191" s="16">
        <v>1105.8</v>
      </c>
      <c r="H191" s="17">
        <v>0.0</v>
      </c>
      <c r="I191" s="16">
        <f t="shared" si="9"/>
        <v>5.8</v>
      </c>
      <c r="J191" s="18">
        <f t="shared" si="2"/>
        <v>0.5272727273</v>
      </c>
      <c r="K191" s="17">
        <v>2.42</v>
      </c>
      <c r="L191" s="19">
        <f t="shared" si="3"/>
        <v>0</v>
      </c>
      <c r="M191" s="20">
        <f t="shared" si="4"/>
        <v>212.393478</v>
      </c>
      <c r="N191" s="21">
        <f t="shared" si="5"/>
        <v>2.42</v>
      </c>
      <c r="O191" s="21">
        <f t="shared" si="6"/>
        <v>2662</v>
      </c>
      <c r="P191" s="22">
        <f t="shared" si="7"/>
        <v>233632.8258</v>
      </c>
    </row>
    <row r="192" hidden="1">
      <c r="B192" s="11">
        <v>46134.0</v>
      </c>
      <c r="C192" s="12">
        <f>VLOOKUP(B:B,'Курс валют'!A:D,4,0)</f>
        <v>87.7659</v>
      </c>
      <c r="D192" s="13" t="s">
        <v>833</v>
      </c>
      <c r="E192" s="59" t="s">
        <v>18</v>
      </c>
      <c r="F192" s="15">
        <v>1100.0</v>
      </c>
      <c r="G192" s="16">
        <v>1105.8</v>
      </c>
      <c r="H192" s="17">
        <v>0.0</v>
      </c>
      <c r="I192" s="16">
        <f t="shared" si="9"/>
        <v>5.8</v>
      </c>
      <c r="J192" s="18">
        <f t="shared" si="2"/>
        <v>0.5272727273</v>
      </c>
      <c r="K192" s="17">
        <v>2.42</v>
      </c>
      <c r="L192" s="19">
        <f t="shared" si="3"/>
        <v>0</v>
      </c>
      <c r="M192" s="20">
        <f t="shared" si="4"/>
        <v>212.393478</v>
      </c>
      <c r="N192" s="21">
        <f t="shared" si="5"/>
        <v>2.42</v>
      </c>
      <c r="O192" s="21">
        <f t="shared" si="6"/>
        <v>2662</v>
      </c>
      <c r="P192" s="22">
        <f t="shared" si="7"/>
        <v>233632.8258</v>
      </c>
    </row>
    <row r="193" hidden="1">
      <c r="B193" s="11">
        <v>46134.0</v>
      </c>
      <c r="C193" s="12">
        <f>VLOOKUP(B:B,'Курс валют'!A:D,4,0)</f>
        <v>87.7659</v>
      </c>
      <c r="D193" s="13" t="s">
        <v>834</v>
      </c>
      <c r="E193" s="59" t="s">
        <v>18</v>
      </c>
      <c r="F193" s="15">
        <v>1100.0</v>
      </c>
      <c r="G193" s="16">
        <v>1105.8</v>
      </c>
      <c r="H193" s="17">
        <v>0.0</v>
      </c>
      <c r="I193" s="16">
        <f t="shared" si="9"/>
        <v>5.8</v>
      </c>
      <c r="J193" s="18">
        <f t="shared" si="2"/>
        <v>0.5272727273</v>
      </c>
      <c r="K193" s="17">
        <v>2.41</v>
      </c>
      <c r="L193" s="19">
        <f t="shared" si="3"/>
        <v>0</v>
      </c>
      <c r="M193" s="20">
        <f t="shared" si="4"/>
        <v>211.515819</v>
      </c>
      <c r="N193" s="21">
        <f t="shared" si="5"/>
        <v>2.41</v>
      </c>
      <c r="O193" s="21">
        <f t="shared" si="6"/>
        <v>2651</v>
      </c>
      <c r="P193" s="22">
        <f t="shared" si="7"/>
        <v>232667.4009</v>
      </c>
    </row>
    <row r="194" hidden="1">
      <c r="B194" s="11">
        <v>46134.0</v>
      </c>
      <c r="C194" s="12">
        <f>VLOOKUP(B:B,'Курс валют'!A:D,4,0)</f>
        <v>87.7659</v>
      </c>
      <c r="D194" s="13" t="s">
        <v>835</v>
      </c>
      <c r="E194" s="59" t="s">
        <v>18</v>
      </c>
      <c r="F194" s="15">
        <v>1100.0</v>
      </c>
      <c r="G194" s="16">
        <v>1105.8</v>
      </c>
      <c r="H194" s="17">
        <v>0.0</v>
      </c>
      <c r="I194" s="16">
        <f t="shared" si="9"/>
        <v>5.8</v>
      </c>
      <c r="J194" s="18">
        <f t="shared" si="2"/>
        <v>0.5272727273</v>
      </c>
      <c r="K194" s="17">
        <v>2.41</v>
      </c>
      <c r="L194" s="19">
        <f t="shared" si="3"/>
        <v>0</v>
      </c>
      <c r="M194" s="20">
        <f t="shared" si="4"/>
        <v>211.515819</v>
      </c>
      <c r="N194" s="21">
        <f t="shared" si="5"/>
        <v>2.41</v>
      </c>
      <c r="O194" s="21">
        <f t="shared" si="6"/>
        <v>2651</v>
      </c>
      <c r="P194" s="22">
        <f t="shared" si="7"/>
        <v>232667.4009</v>
      </c>
    </row>
    <row r="195" hidden="1">
      <c r="B195" s="11">
        <v>46134.0</v>
      </c>
      <c r="C195" s="12">
        <f>VLOOKUP(B:B,'Курс валют'!A:D,4,0)</f>
        <v>87.7659</v>
      </c>
      <c r="D195" s="13" t="s">
        <v>836</v>
      </c>
      <c r="E195" s="59" t="s">
        <v>128</v>
      </c>
      <c r="F195" s="15">
        <v>2200.0</v>
      </c>
      <c r="G195" s="16">
        <v>2228.52</v>
      </c>
      <c r="H195" s="17">
        <v>0.0</v>
      </c>
      <c r="I195" s="16">
        <f t="shared" si="9"/>
        <v>28.52</v>
      </c>
      <c r="J195" s="18">
        <f t="shared" si="2"/>
        <v>1.296363636</v>
      </c>
      <c r="K195" s="17">
        <v>1.82</v>
      </c>
      <c r="L195" s="19">
        <f t="shared" si="3"/>
        <v>0</v>
      </c>
      <c r="M195" s="20">
        <f t="shared" si="4"/>
        <v>159.733938</v>
      </c>
      <c r="N195" s="21">
        <f t="shared" si="5"/>
        <v>1.82</v>
      </c>
      <c r="O195" s="21">
        <f t="shared" si="6"/>
        <v>4004</v>
      </c>
      <c r="P195" s="22">
        <f t="shared" si="7"/>
        <v>351414.6636</v>
      </c>
    </row>
    <row r="196" hidden="1">
      <c r="B196" s="11">
        <v>46135.0</v>
      </c>
      <c r="C196" s="12">
        <f>VLOOKUP(B:B,'Курс валют'!A:D,4,0)</f>
        <v>87.9733</v>
      </c>
      <c r="D196" s="13" t="s">
        <v>837</v>
      </c>
      <c r="E196" s="59" t="s">
        <v>18</v>
      </c>
      <c r="F196" s="15">
        <v>1100.0</v>
      </c>
      <c r="G196" s="74">
        <v>1106.0</v>
      </c>
      <c r="H196" s="17">
        <v>0.0</v>
      </c>
      <c r="I196" s="74">
        <f t="shared" si="9"/>
        <v>6</v>
      </c>
      <c r="J196" s="18">
        <f t="shared" si="2"/>
        <v>0.5454545455</v>
      </c>
      <c r="K196" s="17">
        <v>2.42</v>
      </c>
      <c r="L196" s="19">
        <f t="shared" si="3"/>
        <v>0</v>
      </c>
      <c r="M196" s="20">
        <f t="shared" si="4"/>
        <v>212.895386</v>
      </c>
      <c r="N196" s="21">
        <f t="shared" si="5"/>
        <v>2.42</v>
      </c>
      <c r="O196" s="21">
        <f t="shared" si="6"/>
        <v>2662</v>
      </c>
      <c r="P196" s="22">
        <f t="shared" si="7"/>
        <v>234184.9246</v>
      </c>
    </row>
    <row r="197" hidden="1">
      <c r="B197" s="11">
        <v>46135.0</v>
      </c>
      <c r="C197" s="12">
        <f>VLOOKUP(B:B,'Курс валют'!A:D,4,0)</f>
        <v>87.9733</v>
      </c>
      <c r="D197" s="13" t="s">
        <v>838</v>
      </c>
      <c r="E197" s="59" t="s">
        <v>18</v>
      </c>
      <c r="F197" s="15">
        <v>1100.0</v>
      </c>
      <c r="G197" s="16">
        <v>1105.8</v>
      </c>
      <c r="H197" s="17">
        <v>0.0</v>
      </c>
      <c r="I197" s="16">
        <f t="shared" si="9"/>
        <v>5.8</v>
      </c>
      <c r="J197" s="18">
        <f t="shared" si="2"/>
        <v>0.5272727273</v>
      </c>
      <c r="K197" s="17">
        <v>2.42</v>
      </c>
      <c r="L197" s="19">
        <f t="shared" si="3"/>
        <v>0</v>
      </c>
      <c r="M197" s="20">
        <f t="shared" si="4"/>
        <v>212.895386</v>
      </c>
      <c r="N197" s="21">
        <f t="shared" si="5"/>
        <v>2.42</v>
      </c>
      <c r="O197" s="21">
        <f t="shared" si="6"/>
        <v>2662</v>
      </c>
      <c r="P197" s="22">
        <f t="shared" si="7"/>
        <v>234184.9246</v>
      </c>
    </row>
    <row r="198" hidden="1">
      <c r="B198" s="11">
        <v>46135.0</v>
      </c>
      <c r="C198" s="12">
        <f>VLOOKUP(B:B,'Курс валют'!A:D,4,0)</f>
        <v>87.9733</v>
      </c>
      <c r="D198" s="13" t="s">
        <v>839</v>
      </c>
      <c r="E198" s="59" t="s">
        <v>18</v>
      </c>
      <c r="F198" s="15">
        <v>1100.0</v>
      </c>
      <c r="G198" s="16">
        <v>1105.8</v>
      </c>
      <c r="H198" s="17">
        <v>0.0</v>
      </c>
      <c r="I198" s="16">
        <f t="shared" si="9"/>
        <v>5.8</v>
      </c>
      <c r="J198" s="18">
        <f t="shared" si="2"/>
        <v>0.5272727273</v>
      </c>
      <c r="K198" s="17">
        <v>2.42</v>
      </c>
      <c r="L198" s="19">
        <f t="shared" si="3"/>
        <v>0</v>
      </c>
      <c r="M198" s="20">
        <f t="shared" si="4"/>
        <v>212.895386</v>
      </c>
      <c r="N198" s="21">
        <f t="shared" si="5"/>
        <v>2.42</v>
      </c>
      <c r="O198" s="21">
        <f t="shared" si="6"/>
        <v>2662</v>
      </c>
      <c r="P198" s="22">
        <f t="shared" si="7"/>
        <v>234184.9246</v>
      </c>
    </row>
    <row r="199" hidden="1">
      <c r="B199" s="11">
        <v>46135.0</v>
      </c>
      <c r="C199" s="12">
        <f>VLOOKUP(B:B,'Курс валют'!A:D,4,0)</f>
        <v>87.9733</v>
      </c>
      <c r="D199" s="13" t="s">
        <v>840</v>
      </c>
      <c r="E199" s="59" t="s">
        <v>18</v>
      </c>
      <c r="F199" s="15">
        <v>1100.0</v>
      </c>
      <c r="G199" s="16">
        <v>1105.8</v>
      </c>
      <c r="H199" s="17">
        <v>0.0</v>
      </c>
      <c r="I199" s="16">
        <f t="shared" si="9"/>
        <v>5.8</v>
      </c>
      <c r="J199" s="18">
        <f t="shared" si="2"/>
        <v>0.5272727273</v>
      </c>
      <c r="K199" s="17">
        <v>2.43</v>
      </c>
      <c r="L199" s="19">
        <f t="shared" si="3"/>
        <v>0</v>
      </c>
      <c r="M199" s="20">
        <f t="shared" si="4"/>
        <v>213.775119</v>
      </c>
      <c r="N199" s="21">
        <f t="shared" si="5"/>
        <v>2.43</v>
      </c>
      <c r="O199" s="21">
        <f t="shared" si="6"/>
        <v>2673</v>
      </c>
      <c r="P199" s="22">
        <f t="shared" si="7"/>
        <v>235152.6309</v>
      </c>
    </row>
    <row r="200" hidden="1">
      <c r="B200" s="11">
        <v>46135.0</v>
      </c>
      <c r="C200" s="12">
        <f>VLOOKUP(B:B,'Курс валют'!A:D,4,0)</f>
        <v>87.9733</v>
      </c>
      <c r="D200" s="13" t="s">
        <v>841</v>
      </c>
      <c r="E200" s="59" t="s">
        <v>18</v>
      </c>
      <c r="F200" s="15">
        <v>1100.0</v>
      </c>
      <c r="G200" s="16">
        <v>1105.8</v>
      </c>
      <c r="H200" s="17">
        <v>0.0</v>
      </c>
      <c r="I200" s="16">
        <f t="shared" si="9"/>
        <v>5.8</v>
      </c>
      <c r="J200" s="18">
        <f t="shared" si="2"/>
        <v>0.5272727273</v>
      </c>
      <c r="K200" s="17">
        <v>2.43</v>
      </c>
      <c r="L200" s="19">
        <f t="shared" si="3"/>
        <v>0</v>
      </c>
      <c r="M200" s="20">
        <f t="shared" si="4"/>
        <v>213.775119</v>
      </c>
      <c r="N200" s="21">
        <f t="shared" si="5"/>
        <v>2.43</v>
      </c>
      <c r="O200" s="21">
        <f t="shared" si="6"/>
        <v>2673</v>
      </c>
      <c r="P200" s="22">
        <f t="shared" si="7"/>
        <v>235152.6309</v>
      </c>
    </row>
    <row r="201" hidden="1">
      <c r="B201" s="11">
        <v>46135.0</v>
      </c>
      <c r="C201" s="12">
        <f>VLOOKUP(B:B,'Курс валют'!A:D,4,0)</f>
        <v>87.9733</v>
      </c>
      <c r="D201" s="13" t="s">
        <v>842</v>
      </c>
      <c r="E201" s="59" t="s">
        <v>18</v>
      </c>
      <c r="F201" s="15">
        <v>1100.0</v>
      </c>
      <c r="G201" s="16">
        <v>1105.8</v>
      </c>
      <c r="H201" s="17">
        <v>0.0</v>
      </c>
      <c r="I201" s="16">
        <f t="shared" si="9"/>
        <v>5.8</v>
      </c>
      <c r="J201" s="18">
        <f t="shared" si="2"/>
        <v>0.5272727273</v>
      </c>
      <c r="K201" s="17">
        <v>2.42</v>
      </c>
      <c r="L201" s="19">
        <f t="shared" si="3"/>
        <v>0</v>
      </c>
      <c r="M201" s="20">
        <f t="shared" si="4"/>
        <v>212.895386</v>
      </c>
      <c r="N201" s="21">
        <f t="shared" si="5"/>
        <v>2.42</v>
      </c>
      <c r="O201" s="21">
        <f t="shared" si="6"/>
        <v>2662</v>
      </c>
      <c r="P201" s="22">
        <f t="shared" si="7"/>
        <v>234184.9246</v>
      </c>
    </row>
    <row r="202" hidden="1">
      <c r="B202" s="11">
        <v>46135.0</v>
      </c>
      <c r="C202" s="12">
        <f>VLOOKUP(B:B,'Курс валют'!A:D,4,0)</f>
        <v>87.9733</v>
      </c>
      <c r="D202" s="13" t="s">
        <v>843</v>
      </c>
      <c r="E202" s="59" t="s">
        <v>18</v>
      </c>
      <c r="F202" s="15">
        <v>1100.0</v>
      </c>
      <c r="G202" s="16">
        <v>1105.8</v>
      </c>
      <c r="H202" s="17">
        <v>0.0</v>
      </c>
      <c r="I202" s="16">
        <f t="shared" si="9"/>
        <v>5.8</v>
      </c>
      <c r="J202" s="18">
        <f t="shared" si="2"/>
        <v>0.5272727273</v>
      </c>
      <c r="K202" s="17">
        <v>2.42</v>
      </c>
      <c r="L202" s="19">
        <f t="shared" si="3"/>
        <v>0</v>
      </c>
      <c r="M202" s="20">
        <f t="shared" si="4"/>
        <v>212.895386</v>
      </c>
      <c r="N202" s="21">
        <f t="shared" si="5"/>
        <v>2.42</v>
      </c>
      <c r="O202" s="21">
        <f t="shared" si="6"/>
        <v>2662</v>
      </c>
      <c r="P202" s="22">
        <f t="shared" si="7"/>
        <v>234184.9246</v>
      </c>
    </row>
    <row r="203" hidden="1">
      <c r="B203" s="11">
        <v>46135.0</v>
      </c>
      <c r="C203" s="12">
        <f>VLOOKUP(B:B,'Курс валют'!A:D,4,0)</f>
        <v>87.9733</v>
      </c>
      <c r="D203" s="13" t="s">
        <v>844</v>
      </c>
      <c r="E203" s="59" t="s">
        <v>18</v>
      </c>
      <c r="F203" s="15">
        <v>1100.0</v>
      </c>
      <c r="G203" s="16">
        <v>1105.8</v>
      </c>
      <c r="H203" s="17">
        <v>0.0</v>
      </c>
      <c r="I203" s="16">
        <f t="shared" si="9"/>
        <v>5.8</v>
      </c>
      <c r="J203" s="18">
        <f t="shared" si="2"/>
        <v>0.5272727273</v>
      </c>
      <c r="K203" s="17">
        <v>2.43</v>
      </c>
      <c r="L203" s="19">
        <f t="shared" si="3"/>
        <v>0</v>
      </c>
      <c r="M203" s="20">
        <f t="shared" si="4"/>
        <v>213.775119</v>
      </c>
      <c r="N203" s="21">
        <f t="shared" si="5"/>
        <v>2.43</v>
      </c>
      <c r="O203" s="21">
        <f t="shared" si="6"/>
        <v>2673</v>
      </c>
      <c r="P203" s="22">
        <f t="shared" si="7"/>
        <v>235152.6309</v>
      </c>
    </row>
    <row r="204" hidden="1">
      <c r="B204" s="11">
        <v>46135.0</v>
      </c>
      <c r="C204" s="12">
        <f>VLOOKUP(B:B,'Курс валют'!A:D,4,0)</f>
        <v>87.9733</v>
      </c>
      <c r="D204" s="13" t="s">
        <v>845</v>
      </c>
      <c r="E204" s="59" t="s">
        <v>18</v>
      </c>
      <c r="F204" s="15">
        <v>1100.0</v>
      </c>
      <c r="G204" s="16">
        <v>1105.8</v>
      </c>
      <c r="H204" s="17">
        <v>0.0</v>
      </c>
      <c r="I204" s="16">
        <f t="shared" si="9"/>
        <v>5.8</v>
      </c>
      <c r="J204" s="18">
        <f t="shared" si="2"/>
        <v>0.5272727273</v>
      </c>
      <c r="K204" s="17">
        <v>2.42</v>
      </c>
      <c r="L204" s="19">
        <f t="shared" si="3"/>
        <v>0</v>
      </c>
      <c r="M204" s="20">
        <f t="shared" si="4"/>
        <v>212.895386</v>
      </c>
      <c r="N204" s="21">
        <f t="shared" si="5"/>
        <v>2.42</v>
      </c>
      <c r="O204" s="21">
        <f t="shared" si="6"/>
        <v>2662</v>
      </c>
      <c r="P204" s="22">
        <f t="shared" si="7"/>
        <v>234184.9246</v>
      </c>
    </row>
    <row r="205" hidden="1">
      <c r="B205" s="11">
        <v>46135.0</v>
      </c>
      <c r="C205" s="12">
        <f>VLOOKUP(B:B,'Курс валют'!A:D,4,0)</f>
        <v>87.9733</v>
      </c>
      <c r="D205" s="13" t="s">
        <v>846</v>
      </c>
      <c r="E205" s="59" t="s">
        <v>18</v>
      </c>
      <c r="F205" s="15">
        <v>1100.0</v>
      </c>
      <c r="G205" s="16">
        <v>1105.8</v>
      </c>
      <c r="H205" s="17">
        <v>0.0</v>
      </c>
      <c r="I205" s="16">
        <f t="shared" si="9"/>
        <v>5.8</v>
      </c>
      <c r="J205" s="18">
        <f t="shared" si="2"/>
        <v>0.5272727273</v>
      </c>
      <c r="K205" s="17">
        <v>2.43</v>
      </c>
      <c r="L205" s="19">
        <f t="shared" si="3"/>
        <v>0</v>
      </c>
      <c r="M205" s="20">
        <f t="shared" si="4"/>
        <v>213.775119</v>
      </c>
      <c r="N205" s="21">
        <f t="shared" si="5"/>
        <v>2.43</v>
      </c>
      <c r="O205" s="21">
        <f t="shared" si="6"/>
        <v>2673</v>
      </c>
      <c r="P205" s="22">
        <f t="shared" si="7"/>
        <v>235152.6309</v>
      </c>
    </row>
    <row r="206" hidden="1">
      <c r="B206" s="11">
        <v>46135.0</v>
      </c>
      <c r="C206" s="12">
        <f>VLOOKUP(B:B,'Курс валют'!A:D,4,0)</f>
        <v>87.9733</v>
      </c>
      <c r="D206" s="13" t="s">
        <v>847</v>
      </c>
      <c r="E206" s="59" t="s">
        <v>18</v>
      </c>
      <c r="F206" s="15">
        <v>1100.0</v>
      </c>
      <c r="G206" s="16">
        <v>1105.8</v>
      </c>
      <c r="H206" s="17">
        <v>0.0</v>
      </c>
      <c r="I206" s="16">
        <f t="shared" si="9"/>
        <v>5.8</v>
      </c>
      <c r="J206" s="18">
        <f t="shared" si="2"/>
        <v>0.5272727273</v>
      </c>
      <c r="K206" s="17">
        <v>2.42</v>
      </c>
      <c r="L206" s="19">
        <f t="shared" si="3"/>
        <v>0</v>
      </c>
      <c r="M206" s="20">
        <f t="shared" si="4"/>
        <v>212.895386</v>
      </c>
      <c r="N206" s="21">
        <f t="shared" si="5"/>
        <v>2.42</v>
      </c>
      <c r="O206" s="21">
        <f t="shared" si="6"/>
        <v>2662</v>
      </c>
      <c r="P206" s="22">
        <f t="shared" si="7"/>
        <v>234184.9246</v>
      </c>
    </row>
    <row r="207" hidden="1">
      <c r="B207" s="11">
        <v>46135.0</v>
      </c>
      <c r="C207" s="12">
        <f>VLOOKUP(B:B,'Курс валют'!A:D,4,0)</f>
        <v>87.9733</v>
      </c>
      <c r="D207" s="13" t="s">
        <v>848</v>
      </c>
      <c r="E207" s="59" t="s">
        <v>18</v>
      </c>
      <c r="F207" s="15">
        <v>1100.0</v>
      </c>
      <c r="G207" s="16">
        <v>1105.8</v>
      </c>
      <c r="H207" s="17">
        <v>0.0</v>
      </c>
      <c r="I207" s="16">
        <f t="shared" si="9"/>
        <v>5.8</v>
      </c>
      <c r="J207" s="18">
        <f t="shared" si="2"/>
        <v>0.5272727273</v>
      </c>
      <c r="K207" s="17">
        <v>2.42</v>
      </c>
      <c r="L207" s="19">
        <f t="shared" si="3"/>
        <v>0</v>
      </c>
      <c r="M207" s="20">
        <f t="shared" si="4"/>
        <v>212.895386</v>
      </c>
      <c r="N207" s="21">
        <f t="shared" si="5"/>
        <v>2.42</v>
      </c>
      <c r="O207" s="21">
        <f t="shared" si="6"/>
        <v>2662</v>
      </c>
      <c r="P207" s="22">
        <f t="shared" si="7"/>
        <v>234184.9246</v>
      </c>
    </row>
    <row r="208" hidden="1">
      <c r="B208" s="11">
        <v>46135.0</v>
      </c>
      <c r="C208" s="12">
        <f>VLOOKUP(B:B,'Курс валют'!A:D,4,0)</f>
        <v>87.9733</v>
      </c>
      <c r="D208" s="13" t="s">
        <v>849</v>
      </c>
      <c r="E208" s="59" t="s">
        <v>128</v>
      </c>
      <c r="F208" s="15">
        <v>2200.0</v>
      </c>
      <c r="G208" s="16">
        <v>2225.52</v>
      </c>
      <c r="H208" s="17">
        <v>0.0</v>
      </c>
      <c r="I208" s="16">
        <f t="shared" si="9"/>
        <v>25.52</v>
      </c>
      <c r="J208" s="18">
        <f t="shared" si="2"/>
        <v>1.16</v>
      </c>
      <c r="K208" s="17">
        <v>1.82</v>
      </c>
      <c r="L208" s="19">
        <f t="shared" si="3"/>
        <v>0</v>
      </c>
      <c r="M208" s="20">
        <f t="shared" si="4"/>
        <v>160.111406</v>
      </c>
      <c r="N208" s="21">
        <f t="shared" si="5"/>
        <v>1.82</v>
      </c>
      <c r="O208" s="21">
        <f t="shared" si="6"/>
        <v>4004</v>
      </c>
      <c r="P208" s="22">
        <f t="shared" si="7"/>
        <v>352245.0932</v>
      </c>
    </row>
    <row r="209" hidden="1">
      <c r="B209" s="11">
        <v>46135.0</v>
      </c>
      <c r="C209" s="12">
        <f>VLOOKUP(B:B,'Курс валют'!A:D,4,0)</f>
        <v>87.9733</v>
      </c>
      <c r="D209" s="13" t="s">
        <v>850</v>
      </c>
      <c r="E209" s="59" t="s">
        <v>59</v>
      </c>
      <c r="F209" s="15">
        <v>2000.0</v>
      </c>
      <c r="G209" s="16">
        <v>2056.55</v>
      </c>
      <c r="H209" s="17">
        <v>0.0</v>
      </c>
      <c r="I209" s="16">
        <f t="shared" si="9"/>
        <v>56.55</v>
      </c>
      <c r="J209" s="18">
        <f t="shared" si="2"/>
        <v>2.8275</v>
      </c>
      <c r="K209" s="17">
        <v>2.39</v>
      </c>
      <c r="L209" s="19">
        <f t="shared" si="3"/>
        <v>0</v>
      </c>
      <c r="M209" s="20">
        <f t="shared" si="4"/>
        <v>210.256187</v>
      </c>
      <c r="N209" s="21">
        <f t="shared" si="5"/>
        <v>2.39</v>
      </c>
      <c r="O209" s="21">
        <f t="shared" si="6"/>
        <v>4780</v>
      </c>
      <c r="P209" s="22">
        <f t="shared" si="7"/>
        <v>420512.374</v>
      </c>
    </row>
    <row r="210">
      <c r="B210" s="11">
        <v>46136.0</v>
      </c>
      <c r="C210" s="12">
        <f>VLOOKUP(B:B,'Курс валют'!A:D,4,0)</f>
        <v>87.5261</v>
      </c>
      <c r="D210" s="13" t="s">
        <v>851</v>
      </c>
      <c r="E210" s="59" t="s">
        <v>63</v>
      </c>
      <c r="F210" s="15">
        <v>2250.0</v>
      </c>
      <c r="G210" s="16">
        <v>2273.65</v>
      </c>
      <c r="H210" s="17">
        <v>0.0</v>
      </c>
      <c r="I210" s="16">
        <f t="shared" si="9"/>
        <v>23.65</v>
      </c>
      <c r="J210" s="18">
        <f t="shared" si="2"/>
        <v>1.051111111</v>
      </c>
      <c r="K210" s="17">
        <v>1.94</v>
      </c>
      <c r="L210" s="19">
        <f t="shared" si="3"/>
        <v>0</v>
      </c>
      <c r="M210" s="20">
        <f t="shared" si="4"/>
        <v>169.800634</v>
      </c>
      <c r="N210" s="21">
        <f t="shared" si="5"/>
        <v>1.94</v>
      </c>
      <c r="O210" s="21">
        <f t="shared" si="6"/>
        <v>4365</v>
      </c>
      <c r="P210" s="22">
        <f t="shared" si="7"/>
        <v>382051.4265</v>
      </c>
    </row>
    <row r="211">
      <c r="B211" s="11">
        <v>46136.0</v>
      </c>
      <c r="C211" s="12">
        <f>VLOOKUP(B:B,'Курс валют'!A:D,4,0)</f>
        <v>87.5261</v>
      </c>
      <c r="D211" s="13" t="s">
        <v>852</v>
      </c>
      <c r="E211" s="59" t="s">
        <v>63</v>
      </c>
      <c r="F211" s="15">
        <v>2250.0</v>
      </c>
      <c r="G211" s="16">
        <v>2273.65</v>
      </c>
      <c r="H211" s="17">
        <v>0.0</v>
      </c>
      <c r="I211" s="16">
        <f t="shared" si="9"/>
        <v>23.65</v>
      </c>
      <c r="J211" s="18">
        <f t="shared" si="2"/>
        <v>1.051111111</v>
      </c>
      <c r="K211" s="17">
        <v>1.94</v>
      </c>
      <c r="L211" s="19">
        <f t="shared" si="3"/>
        <v>0</v>
      </c>
      <c r="M211" s="20">
        <f t="shared" si="4"/>
        <v>169.800634</v>
      </c>
      <c r="N211" s="21">
        <f t="shared" si="5"/>
        <v>1.94</v>
      </c>
      <c r="O211" s="21">
        <f t="shared" si="6"/>
        <v>4365</v>
      </c>
      <c r="P211" s="22">
        <f t="shared" si="7"/>
        <v>382051.4265</v>
      </c>
    </row>
    <row r="212" hidden="1">
      <c r="B212" s="11">
        <v>46136.0</v>
      </c>
      <c r="C212" s="12">
        <f>VLOOKUP(B:B,'Курс валют'!A:D,4,0)</f>
        <v>87.5261</v>
      </c>
      <c r="D212" s="13" t="s">
        <v>853</v>
      </c>
      <c r="E212" s="59" t="s">
        <v>55</v>
      </c>
      <c r="F212" s="15">
        <v>400.0</v>
      </c>
      <c r="G212" s="15">
        <v>405.84</v>
      </c>
      <c r="H212" s="17">
        <v>0.0</v>
      </c>
      <c r="I212" s="15">
        <f t="shared" si="9"/>
        <v>5.84</v>
      </c>
      <c r="J212" s="18">
        <f t="shared" si="2"/>
        <v>1.46</v>
      </c>
      <c r="K212" s="17">
        <v>2.79</v>
      </c>
      <c r="L212" s="19">
        <f t="shared" si="3"/>
        <v>0</v>
      </c>
      <c r="M212" s="20">
        <f t="shared" si="4"/>
        <v>244.197819</v>
      </c>
      <c r="N212" s="21">
        <f t="shared" si="5"/>
        <v>2.79</v>
      </c>
      <c r="O212" s="21">
        <f t="shared" si="6"/>
        <v>1116</v>
      </c>
      <c r="P212" s="22">
        <f t="shared" si="7"/>
        <v>97679.1276</v>
      </c>
    </row>
    <row r="213" hidden="1">
      <c r="B213" s="11">
        <v>46136.0</v>
      </c>
      <c r="C213" s="12">
        <f>VLOOKUP(B:B,'Курс валют'!A:D,4,0)</f>
        <v>87.5261</v>
      </c>
      <c r="D213" s="13" t="s">
        <v>853</v>
      </c>
      <c r="E213" s="59" t="s">
        <v>92</v>
      </c>
      <c r="F213" s="15">
        <v>600.0</v>
      </c>
      <c r="G213" s="15">
        <v>608.76</v>
      </c>
      <c r="H213" s="17">
        <v>0.0</v>
      </c>
      <c r="I213" s="15">
        <f t="shared" si="9"/>
        <v>8.76</v>
      </c>
      <c r="J213" s="18">
        <f t="shared" si="2"/>
        <v>1.46</v>
      </c>
      <c r="K213" s="17">
        <v>2.79</v>
      </c>
      <c r="L213" s="19">
        <f t="shared" si="3"/>
        <v>0</v>
      </c>
      <c r="M213" s="20">
        <f t="shared" si="4"/>
        <v>244.197819</v>
      </c>
      <c r="N213" s="21">
        <f t="shared" si="5"/>
        <v>2.79</v>
      </c>
      <c r="O213" s="21">
        <f t="shared" si="6"/>
        <v>1674</v>
      </c>
      <c r="P213" s="22">
        <f t="shared" si="7"/>
        <v>146518.6914</v>
      </c>
    </row>
    <row r="214">
      <c r="B214" s="11">
        <v>46136.0</v>
      </c>
      <c r="C214" s="12">
        <f>VLOOKUP(B:B,'Курс валют'!A:D,4,0)</f>
        <v>87.5261</v>
      </c>
      <c r="D214" s="13" t="s">
        <v>854</v>
      </c>
      <c r="E214" s="59" t="s">
        <v>63</v>
      </c>
      <c r="F214" s="15">
        <v>2250.0</v>
      </c>
      <c r="G214" s="16">
        <v>2273.65</v>
      </c>
      <c r="H214" s="17">
        <v>0.0</v>
      </c>
      <c r="I214" s="16">
        <f t="shared" si="9"/>
        <v>23.65</v>
      </c>
      <c r="J214" s="18">
        <f t="shared" si="2"/>
        <v>1.051111111</v>
      </c>
      <c r="K214" s="17">
        <v>1.94</v>
      </c>
      <c r="L214" s="19">
        <f t="shared" si="3"/>
        <v>0</v>
      </c>
      <c r="M214" s="20">
        <f t="shared" si="4"/>
        <v>169.800634</v>
      </c>
      <c r="N214" s="21">
        <f t="shared" si="5"/>
        <v>1.94</v>
      </c>
      <c r="O214" s="21">
        <f t="shared" si="6"/>
        <v>4365</v>
      </c>
      <c r="P214" s="22">
        <f t="shared" si="7"/>
        <v>382051.4265</v>
      </c>
    </row>
    <row r="215" hidden="1">
      <c r="B215" s="11">
        <v>46136.0</v>
      </c>
      <c r="C215" s="12">
        <f>VLOOKUP(B:B,'Курс валют'!A:D,4,0)</f>
        <v>87.5261</v>
      </c>
      <c r="D215" s="13" t="s">
        <v>855</v>
      </c>
      <c r="E215" s="59" t="s">
        <v>55</v>
      </c>
      <c r="F215" s="15">
        <v>1000.0</v>
      </c>
      <c r="G215" s="16">
        <v>1014.38</v>
      </c>
      <c r="H215" s="17">
        <v>0.0</v>
      </c>
      <c r="I215" s="16">
        <f t="shared" si="9"/>
        <v>14.38</v>
      </c>
      <c r="J215" s="18">
        <f t="shared" si="2"/>
        <v>1.438</v>
      </c>
      <c r="K215" s="17">
        <v>2.74</v>
      </c>
      <c r="L215" s="19">
        <f t="shared" si="3"/>
        <v>0</v>
      </c>
      <c r="M215" s="20">
        <f t="shared" si="4"/>
        <v>239.821514</v>
      </c>
      <c r="N215" s="21">
        <f t="shared" si="5"/>
        <v>2.74</v>
      </c>
      <c r="O215" s="21">
        <f t="shared" si="6"/>
        <v>2740</v>
      </c>
      <c r="P215" s="22">
        <f t="shared" si="7"/>
        <v>239821.514</v>
      </c>
    </row>
    <row r="216" hidden="1">
      <c r="B216" s="11">
        <v>46136.0</v>
      </c>
      <c r="C216" s="12">
        <f>VLOOKUP(B:B,'Курс валют'!A:D,4,0)</f>
        <v>87.5261</v>
      </c>
      <c r="D216" s="13" t="s">
        <v>856</v>
      </c>
      <c r="E216" s="59" t="s">
        <v>857</v>
      </c>
      <c r="F216" s="15">
        <v>90.0</v>
      </c>
      <c r="G216" s="15">
        <v>93.0</v>
      </c>
      <c r="H216" s="17">
        <v>0.0</v>
      </c>
      <c r="I216" s="15">
        <f t="shared" si="9"/>
        <v>3</v>
      </c>
      <c r="J216" s="18">
        <f t="shared" si="2"/>
        <v>3.333333333</v>
      </c>
      <c r="K216" s="17">
        <v>2.24</v>
      </c>
      <c r="L216" s="19">
        <f t="shared" si="3"/>
        <v>0</v>
      </c>
      <c r="M216" s="20">
        <f t="shared" si="4"/>
        <v>196.058464</v>
      </c>
      <c r="N216" s="21">
        <f t="shared" si="5"/>
        <v>2.24</v>
      </c>
      <c r="O216" s="21">
        <f t="shared" si="6"/>
        <v>201.6</v>
      </c>
      <c r="P216" s="22">
        <f t="shared" si="7"/>
        <v>17645.26176</v>
      </c>
    </row>
    <row r="217" hidden="1">
      <c r="B217" s="11">
        <v>46136.0</v>
      </c>
      <c r="C217" s="12">
        <f>VLOOKUP(B:B,'Курс валют'!A:D,4,0)</f>
        <v>87.5261</v>
      </c>
      <c r="D217" s="13" t="s">
        <v>858</v>
      </c>
      <c r="E217" s="59" t="s">
        <v>207</v>
      </c>
      <c r="F217" s="15">
        <v>220.0</v>
      </c>
      <c r="G217" s="15">
        <v>220.0</v>
      </c>
      <c r="H217" s="17">
        <v>0.0</v>
      </c>
      <c r="I217" s="15">
        <f t="shared" si="9"/>
        <v>0</v>
      </c>
      <c r="J217" s="18">
        <f t="shared" si="2"/>
        <v>0</v>
      </c>
      <c r="K217" s="17">
        <v>2.5</v>
      </c>
      <c r="L217" s="19">
        <f t="shared" si="3"/>
        <v>0</v>
      </c>
      <c r="M217" s="20">
        <f t="shared" si="4"/>
        <v>218.81525</v>
      </c>
      <c r="N217" s="21">
        <f t="shared" si="5"/>
        <v>2.5</v>
      </c>
      <c r="O217" s="21">
        <f t="shared" si="6"/>
        <v>550</v>
      </c>
      <c r="P217" s="22">
        <f t="shared" si="7"/>
        <v>48139.355</v>
      </c>
      <c r="R217" s="42" t="s">
        <v>859</v>
      </c>
    </row>
    <row r="218" hidden="1">
      <c r="B218" s="11">
        <v>46137.0</v>
      </c>
      <c r="C218" s="12">
        <f>VLOOKUP(B:B,'Курс валют'!A:D,4,0)</f>
        <v>88.2826</v>
      </c>
      <c r="D218" s="13" t="s">
        <v>860</v>
      </c>
      <c r="E218" s="59" t="s">
        <v>82</v>
      </c>
      <c r="F218" s="15">
        <v>1400.0</v>
      </c>
      <c r="G218" s="15">
        <v>1400.0</v>
      </c>
      <c r="H218" s="17">
        <v>0.0</v>
      </c>
      <c r="I218" s="15">
        <f t="shared" si="9"/>
        <v>0</v>
      </c>
      <c r="J218" s="18">
        <f t="shared" si="2"/>
        <v>0</v>
      </c>
      <c r="K218" s="17">
        <v>2.64</v>
      </c>
      <c r="L218" s="19">
        <f t="shared" si="3"/>
        <v>0</v>
      </c>
      <c r="M218" s="20">
        <f t="shared" si="4"/>
        <v>233.066064</v>
      </c>
      <c r="N218" s="21">
        <f t="shared" si="5"/>
        <v>2.64</v>
      </c>
      <c r="O218" s="21">
        <f t="shared" si="6"/>
        <v>3696</v>
      </c>
      <c r="P218" s="22">
        <f t="shared" si="7"/>
        <v>326292.4896</v>
      </c>
      <c r="R218" s="42" t="s">
        <v>861</v>
      </c>
    </row>
    <row r="219">
      <c r="B219" s="11">
        <v>46137.0</v>
      </c>
      <c r="C219" s="12">
        <f>VLOOKUP(B:B,'Курс валют'!A:D,4,0)</f>
        <v>88.2826</v>
      </c>
      <c r="D219" s="13" t="s">
        <v>862</v>
      </c>
      <c r="E219" s="59" t="s">
        <v>63</v>
      </c>
      <c r="F219" s="15">
        <v>2250.0</v>
      </c>
      <c r="G219" s="16">
        <v>2273.65</v>
      </c>
      <c r="H219" s="17">
        <v>0.0</v>
      </c>
      <c r="I219" s="16">
        <f t="shared" si="9"/>
        <v>23.65</v>
      </c>
      <c r="J219" s="18">
        <f t="shared" si="2"/>
        <v>1.051111111</v>
      </c>
      <c r="K219" s="17">
        <v>1.94</v>
      </c>
      <c r="L219" s="19">
        <f t="shared" si="3"/>
        <v>0</v>
      </c>
      <c r="M219" s="20">
        <f t="shared" si="4"/>
        <v>171.268244</v>
      </c>
      <c r="N219" s="21">
        <f t="shared" si="5"/>
        <v>1.94</v>
      </c>
      <c r="O219" s="21">
        <f t="shared" si="6"/>
        <v>4365</v>
      </c>
      <c r="P219" s="22">
        <f t="shared" si="7"/>
        <v>385353.549</v>
      </c>
    </row>
    <row r="220">
      <c r="B220" s="11">
        <v>46137.0</v>
      </c>
      <c r="C220" s="12">
        <f>VLOOKUP(B:B,'Курс валют'!A:D,4,0)</f>
        <v>88.2826</v>
      </c>
      <c r="D220" s="13" t="s">
        <v>863</v>
      </c>
      <c r="E220" s="59" t="s">
        <v>63</v>
      </c>
      <c r="F220" s="15">
        <v>2250.0</v>
      </c>
      <c r="G220" s="16">
        <v>2273.65</v>
      </c>
      <c r="H220" s="17">
        <v>0.0</v>
      </c>
      <c r="I220" s="16">
        <f t="shared" si="9"/>
        <v>23.65</v>
      </c>
      <c r="J220" s="18">
        <f t="shared" si="2"/>
        <v>1.051111111</v>
      </c>
      <c r="K220" s="17">
        <v>2.04</v>
      </c>
      <c r="L220" s="19">
        <f t="shared" si="3"/>
        <v>0</v>
      </c>
      <c r="M220" s="20">
        <f t="shared" si="4"/>
        <v>180.096504</v>
      </c>
      <c r="N220" s="21">
        <f t="shared" si="5"/>
        <v>2.04</v>
      </c>
      <c r="O220" s="21">
        <f t="shared" si="6"/>
        <v>4590</v>
      </c>
      <c r="P220" s="22">
        <f t="shared" si="7"/>
        <v>405217.134</v>
      </c>
    </row>
    <row r="221">
      <c r="B221" s="11">
        <v>46137.0</v>
      </c>
      <c r="C221" s="12">
        <f>VLOOKUP(B:B,'Курс валют'!A:D,4,0)</f>
        <v>88.2826</v>
      </c>
      <c r="D221" s="13" t="s">
        <v>864</v>
      </c>
      <c r="E221" s="59" t="s">
        <v>63</v>
      </c>
      <c r="F221" s="15">
        <v>2250.0</v>
      </c>
      <c r="G221" s="16">
        <v>2273.65</v>
      </c>
      <c r="H221" s="17">
        <v>0.0</v>
      </c>
      <c r="I221" s="16">
        <f t="shared" si="9"/>
        <v>23.65</v>
      </c>
      <c r="J221" s="18">
        <f t="shared" si="2"/>
        <v>1.051111111</v>
      </c>
      <c r="K221" s="17">
        <v>2.04</v>
      </c>
      <c r="L221" s="19">
        <f t="shared" si="3"/>
        <v>0</v>
      </c>
      <c r="M221" s="20">
        <f t="shared" si="4"/>
        <v>180.096504</v>
      </c>
      <c r="N221" s="21">
        <f t="shared" si="5"/>
        <v>2.04</v>
      </c>
      <c r="O221" s="21">
        <f t="shared" si="6"/>
        <v>4590</v>
      </c>
      <c r="P221" s="22">
        <f t="shared" si="7"/>
        <v>405217.134</v>
      </c>
    </row>
    <row r="222" hidden="1">
      <c r="B222" s="11">
        <v>46137.0</v>
      </c>
      <c r="C222" s="12">
        <f>VLOOKUP(B:B,'Курс валют'!A:D,4,0)</f>
        <v>88.2826</v>
      </c>
      <c r="D222" s="13" t="s">
        <v>865</v>
      </c>
      <c r="E222" s="59" t="s">
        <v>73</v>
      </c>
      <c r="F222" s="15">
        <v>1800.0</v>
      </c>
      <c r="G222" s="15">
        <v>1800.0</v>
      </c>
      <c r="H222" s="17">
        <v>0.0</v>
      </c>
      <c r="I222" s="15">
        <f t="shared" si="9"/>
        <v>0</v>
      </c>
      <c r="J222" s="18">
        <f t="shared" si="2"/>
        <v>0</v>
      </c>
      <c r="K222" s="17">
        <v>2.63</v>
      </c>
      <c r="L222" s="19">
        <f t="shared" si="3"/>
        <v>0</v>
      </c>
      <c r="M222" s="20">
        <f t="shared" si="4"/>
        <v>232.183238</v>
      </c>
      <c r="N222" s="21">
        <f t="shared" si="5"/>
        <v>2.63</v>
      </c>
      <c r="O222" s="21">
        <f t="shared" si="6"/>
        <v>4734</v>
      </c>
      <c r="P222" s="22">
        <f t="shared" si="7"/>
        <v>417929.8284</v>
      </c>
      <c r="R222" s="42" t="s">
        <v>866</v>
      </c>
    </row>
    <row r="223">
      <c r="B223" s="11">
        <v>46138.0</v>
      </c>
      <c r="C223" s="12">
        <f>VLOOKUP(B:B,'Курс валют'!A:D,4,0)</f>
        <v>88.2826</v>
      </c>
      <c r="D223" s="13" t="s">
        <v>867</v>
      </c>
      <c r="E223" s="59" t="s">
        <v>63</v>
      </c>
      <c r="F223" s="15">
        <v>2250.0</v>
      </c>
      <c r="G223" s="16">
        <v>2273.65</v>
      </c>
      <c r="H223" s="17">
        <v>0.0</v>
      </c>
      <c r="I223" s="16">
        <f t="shared" si="9"/>
        <v>23.65</v>
      </c>
      <c r="J223" s="18">
        <f t="shared" si="2"/>
        <v>1.051111111</v>
      </c>
      <c r="K223" s="17">
        <v>2.04</v>
      </c>
      <c r="L223" s="19">
        <f t="shared" si="3"/>
        <v>0</v>
      </c>
      <c r="M223" s="20">
        <f t="shared" si="4"/>
        <v>180.096504</v>
      </c>
      <c r="N223" s="21">
        <f t="shared" si="5"/>
        <v>2.04</v>
      </c>
      <c r="O223" s="21">
        <f t="shared" si="6"/>
        <v>4590</v>
      </c>
      <c r="P223" s="22">
        <f t="shared" si="7"/>
        <v>405217.134</v>
      </c>
    </row>
    <row r="224">
      <c r="B224" s="11">
        <v>46138.0</v>
      </c>
      <c r="C224" s="12">
        <f>VLOOKUP(B:B,'Курс валют'!A:D,4,0)</f>
        <v>88.2826</v>
      </c>
      <c r="D224" s="13" t="s">
        <v>868</v>
      </c>
      <c r="E224" s="59" t="s">
        <v>63</v>
      </c>
      <c r="F224" s="15">
        <v>2250.0</v>
      </c>
      <c r="G224" s="16">
        <v>2273.65</v>
      </c>
      <c r="H224" s="17">
        <v>0.0</v>
      </c>
      <c r="I224" s="16">
        <f t="shared" si="9"/>
        <v>23.65</v>
      </c>
      <c r="J224" s="18">
        <f t="shared" si="2"/>
        <v>1.051111111</v>
      </c>
      <c r="K224" s="17">
        <v>1.92</v>
      </c>
      <c r="L224" s="19">
        <f t="shared" si="3"/>
        <v>0</v>
      </c>
      <c r="M224" s="20">
        <f t="shared" si="4"/>
        <v>169.502592</v>
      </c>
      <c r="N224" s="21">
        <f t="shared" si="5"/>
        <v>1.92</v>
      </c>
      <c r="O224" s="21">
        <f t="shared" si="6"/>
        <v>4320</v>
      </c>
      <c r="P224" s="22">
        <f t="shared" si="7"/>
        <v>381380.832</v>
      </c>
    </row>
    <row r="225" hidden="1">
      <c r="B225" s="11">
        <v>46138.0</v>
      </c>
      <c r="C225" s="12">
        <f>VLOOKUP(B:B,'Курс валют'!A:D,4,0)</f>
        <v>88.2826</v>
      </c>
      <c r="D225" s="13" t="s">
        <v>869</v>
      </c>
      <c r="E225" s="59" t="s">
        <v>18</v>
      </c>
      <c r="F225" s="15">
        <v>1100.0</v>
      </c>
      <c r="G225" s="16">
        <v>1105.8</v>
      </c>
      <c r="H225" s="17">
        <v>0.0</v>
      </c>
      <c r="I225" s="16">
        <f t="shared" si="9"/>
        <v>5.8</v>
      </c>
      <c r="J225" s="18">
        <f t="shared" si="2"/>
        <v>0.5272727273</v>
      </c>
      <c r="K225" s="17">
        <v>2.24</v>
      </c>
      <c r="L225" s="19">
        <f t="shared" si="3"/>
        <v>0</v>
      </c>
      <c r="M225" s="20">
        <f t="shared" si="4"/>
        <v>197.753024</v>
      </c>
      <c r="N225" s="21">
        <f t="shared" si="5"/>
        <v>2.24</v>
      </c>
      <c r="O225" s="21">
        <f t="shared" si="6"/>
        <v>2464</v>
      </c>
      <c r="P225" s="22">
        <f t="shared" si="7"/>
        <v>217528.3264</v>
      </c>
    </row>
    <row r="226" hidden="1">
      <c r="B226" s="11">
        <v>46138.0</v>
      </c>
      <c r="C226" s="12">
        <f>VLOOKUP(B:B,'Курс валют'!A:D,4,0)</f>
        <v>88.2826</v>
      </c>
      <c r="D226" s="13" t="s">
        <v>870</v>
      </c>
      <c r="E226" s="59" t="s">
        <v>18</v>
      </c>
      <c r="F226" s="15">
        <v>1100.0</v>
      </c>
      <c r="G226" s="16">
        <v>1105.8</v>
      </c>
      <c r="H226" s="17">
        <v>0.0</v>
      </c>
      <c r="I226" s="16">
        <f t="shared" si="9"/>
        <v>5.8</v>
      </c>
      <c r="J226" s="18">
        <f t="shared" si="2"/>
        <v>0.5272727273</v>
      </c>
      <c r="K226" s="17">
        <v>2.23</v>
      </c>
      <c r="L226" s="19">
        <f t="shared" si="3"/>
        <v>0</v>
      </c>
      <c r="M226" s="20">
        <f t="shared" si="4"/>
        <v>196.870198</v>
      </c>
      <c r="N226" s="21">
        <f t="shared" si="5"/>
        <v>2.23</v>
      </c>
      <c r="O226" s="21">
        <f t="shared" si="6"/>
        <v>2453</v>
      </c>
      <c r="P226" s="22">
        <f t="shared" si="7"/>
        <v>216557.2178</v>
      </c>
    </row>
    <row r="227" hidden="1">
      <c r="B227" s="11">
        <v>46138.0</v>
      </c>
      <c r="C227" s="12">
        <f>VLOOKUP(B:B,'Курс валют'!A:D,4,0)</f>
        <v>88.2826</v>
      </c>
      <c r="D227" s="13" t="s">
        <v>871</v>
      </c>
      <c r="E227" s="59" t="s">
        <v>18</v>
      </c>
      <c r="F227" s="15">
        <v>1100.0</v>
      </c>
      <c r="G227" s="16">
        <v>1105.8</v>
      </c>
      <c r="H227" s="17">
        <v>0.0</v>
      </c>
      <c r="I227" s="16">
        <f t="shared" si="9"/>
        <v>5.8</v>
      </c>
      <c r="J227" s="18">
        <f t="shared" si="2"/>
        <v>0.5272727273</v>
      </c>
      <c r="K227" s="17">
        <v>2.21</v>
      </c>
      <c r="L227" s="19">
        <f t="shared" si="3"/>
        <v>0</v>
      </c>
      <c r="M227" s="20">
        <f t="shared" si="4"/>
        <v>195.104546</v>
      </c>
      <c r="N227" s="21">
        <f t="shared" si="5"/>
        <v>2.21</v>
      </c>
      <c r="O227" s="21">
        <f t="shared" si="6"/>
        <v>2431</v>
      </c>
      <c r="P227" s="22">
        <f t="shared" si="7"/>
        <v>214615.0006</v>
      </c>
    </row>
    <row r="228" hidden="1">
      <c r="B228" s="11">
        <v>46138.0</v>
      </c>
      <c r="C228" s="12">
        <f>VLOOKUP(B:B,'Курс валют'!A:D,4,0)</f>
        <v>88.2826</v>
      </c>
      <c r="D228" s="13" t="s">
        <v>872</v>
      </c>
      <c r="E228" s="59" t="s">
        <v>18</v>
      </c>
      <c r="F228" s="15">
        <v>1100.0</v>
      </c>
      <c r="G228" s="16">
        <v>1105.8</v>
      </c>
      <c r="H228" s="17">
        <v>0.0</v>
      </c>
      <c r="I228" s="16">
        <f t="shared" si="9"/>
        <v>5.8</v>
      </c>
      <c r="J228" s="18">
        <f t="shared" si="2"/>
        <v>0.5272727273</v>
      </c>
      <c r="K228" s="17">
        <v>2.21</v>
      </c>
      <c r="L228" s="19">
        <f t="shared" si="3"/>
        <v>0</v>
      </c>
      <c r="M228" s="20">
        <f t="shared" si="4"/>
        <v>195.104546</v>
      </c>
      <c r="N228" s="21">
        <f t="shared" si="5"/>
        <v>2.21</v>
      </c>
      <c r="O228" s="21">
        <f t="shared" si="6"/>
        <v>2431</v>
      </c>
      <c r="P228" s="22">
        <f t="shared" si="7"/>
        <v>214615.0006</v>
      </c>
    </row>
    <row r="229" hidden="1">
      <c r="B229" s="11">
        <v>46138.0</v>
      </c>
      <c r="C229" s="12">
        <f>VLOOKUP(B:B,'Курс валют'!A:D,4,0)</f>
        <v>88.2826</v>
      </c>
      <c r="D229" s="13" t="s">
        <v>873</v>
      </c>
      <c r="E229" s="59" t="s">
        <v>18</v>
      </c>
      <c r="F229" s="15">
        <v>1100.0</v>
      </c>
      <c r="G229" s="16">
        <v>1105.8</v>
      </c>
      <c r="H229" s="17">
        <v>0.0</v>
      </c>
      <c r="I229" s="16">
        <f t="shared" si="9"/>
        <v>5.8</v>
      </c>
      <c r="J229" s="18">
        <f t="shared" si="2"/>
        <v>0.5272727273</v>
      </c>
      <c r="K229" s="17">
        <v>2.21</v>
      </c>
      <c r="L229" s="19">
        <f t="shared" si="3"/>
        <v>0</v>
      </c>
      <c r="M229" s="20">
        <f t="shared" si="4"/>
        <v>195.104546</v>
      </c>
      <c r="N229" s="21">
        <f t="shared" si="5"/>
        <v>2.21</v>
      </c>
      <c r="O229" s="21">
        <f t="shared" si="6"/>
        <v>2431</v>
      </c>
      <c r="P229" s="22">
        <f t="shared" si="7"/>
        <v>214615.0006</v>
      </c>
    </row>
    <row r="230" hidden="1">
      <c r="B230" s="11">
        <v>46138.0</v>
      </c>
      <c r="C230" s="12">
        <f>VLOOKUP(B:B,'Курс валют'!A:D,4,0)</f>
        <v>88.2826</v>
      </c>
      <c r="D230" s="13" t="s">
        <v>874</v>
      </c>
      <c r="E230" s="59" t="s">
        <v>18</v>
      </c>
      <c r="F230" s="15">
        <v>1100.0</v>
      </c>
      <c r="G230" s="16">
        <v>1105.8</v>
      </c>
      <c r="H230" s="17">
        <v>0.0</v>
      </c>
      <c r="I230" s="16">
        <f t="shared" si="9"/>
        <v>5.8</v>
      </c>
      <c r="J230" s="18">
        <f t="shared" si="2"/>
        <v>0.5272727273</v>
      </c>
      <c r="K230" s="17">
        <v>2.21</v>
      </c>
      <c r="L230" s="19">
        <f t="shared" si="3"/>
        <v>0</v>
      </c>
      <c r="M230" s="20">
        <f t="shared" si="4"/>
        <v>195.104546</v>
      </c>
      <c r="N230" s="21">
        <f t="shared" si="5"/>
        <v>2.21</v>
      </c>
      <c r="O230" s="21">
        <f t="shared" si="6"/>
        <v>2431</v>
      </c>
      <c r="P230" s="22">
        <f t="shared" si="7"/>
        <v>214615.0006</v>
      </c>
    </row>
    <row r="231" hidden="1">
      <c r="B231" s="11">
        <v>46138.0</v>
      </c>
      <c r="C231" s="12">
        <f>VLOOKUP(B:B,'Курс валют'!A:D,4,0)</f>
        <v>88.2826</v>
      </c>
      <c r="D231" s="13" t="s">
        <v>875</v>
      </c>
      <c r="E231" s="59" t="s">
        <v>18</v>
      </c>
      <c r="F231" s="15">
        <v>1100.0</v>
      </c>
      <c r="G231" s="16">
        <v>1105.8</v>
      </c>
      <c r="H231" s="17">
        <v>0.0</v>
      </c>
      <c r="I231" s="16">
        <f t="shared" si="9"/>
        <v>5.8</v>
      </c>
      <c r="J231" s="18">
        <f t="shared" si="2"/>
        <v>0.5272727273</v>
      </c>
      <c r="K231" s="17">
        <v>2.28</v>
      </c>
      <c r="L231" s="19">
        <f t="shared" si="3"/>
        <v>0</v>
      </c>
      <c r="M231" s="20">
        <f t="shared" si="4"/>
        <v>201.284328</v>
      </c>
      <c r="N231" s="21">
        <f t="shared" si="5"/>
        <v>2.28</v>
      </c>
      <c r="O231" s="21">
        <f t="shared" si="6"/>
        <v>2508</v>
      </c>
      <c r="P231" s="22">
        <f t="shared" si="7"/>
        <v>221412.7608</v>
      </c>
    </row>
    <row r="232" hidden="1">
      <c r="B232" s="11">
        <v>46138.0</v>
      </c>
      <c r="C232" s="12">
        <f>VLOOKUP(B:B,'Курс валют'!A:D,4,0)</f>
        <v>88.2826</v>
      </c>
      <c r="D232" s="13" t="s">
        <v>876</v>
      </c>
      <c r="E232" s="59" t="s">
        <v>18</v>
      </c>
      <c r="F232" s="15">
        <v>1100.0</v>
      </c>
      <c r="G232" s="16">
        <v>1105.8</v>
      </c>
      <c r="H232" s="17">
        <v>0.0</v>
      </c>
      <c r="I232" s="16">
        <f t="shared" si="9"/>
        <v>5.8</v>
      </c>
      <c r="J232" s="18">
        <f t="shared" si="2"/>
        <v>0.5272727273</v>
      </c>
      <c r="K232" s="17">
        <v>2.33</v>
      </c>
      <c r="L232" s="19">
        <f t="shared" si="3"/>
        <v>0</v>
      </c>
      <c r="M232" s="20">
        <f t="shared" si="4"/>
        <v>205.698458</v>
      </c>
      <c r="N232" s="21">
        <f t="shared" si="5"/>
        <v>2.33</v>
      </c>
      <c r="O232" s="21">
        <f t="shared" si="6"/>
        <v>2563</v>
      </c>
      <c r="P232" s="22">
        <f t="shared" si="7"/>
        <v>226268.3038</v>
      </c>
    </row>
    <row r="233" hidden="1">
      <c r="B233" s="11">
        <v>46138.0</v>
      </c>
      <c r="C233" s="12">
        <f>VLOOKUP(B:B,'Курс валют'!A:D,4,0)</f>
        <v>88.2826</v>
      </c>
      <c r="D233" s="13" t="s">
        <v>877</v>
      </c>
      <c r="E233" s="59" t="s">
        <v>18</v>
      </c>
      <c r="F233" s="15">
        <v>1100.0</v>
      </c>
      <c r="G233" s="16">
        <v>1105.8</v>
      </c>
      <c r="H233" s="17">
        <v>0.0</v>
      </c>
      <c r="I233" s="16">
        <f t="shared" si="9"/>
        <v>5.8</v>
      </c>
      <c r="J233" s="18">
        <f t="shared" si="2"/>
        <v>0.5272727273</v>
      </c>
      <c r="K233" s="17">
        <v>2.33</v>
      </c>
      <c r="L233" s="19">
        <f t="shared" si="3"/>
        <v>0</v>
      </c>
      <c r="M233" s="20">
        <f t="shared" si="4"/>
        <v>205.698458</v>
      </c>
      <c r="N233" s="21">
        <f t="shared" si="5"/>
        <v>2.33</v>
      </c>
      <c r="O233" s="21">
        <f t="shared" si="6"/>
        <v>2563</v>
      </c>
      <c r="P233" s="22">
        <f t="shared" si="7"/>
        <v>226268.3038</v>
      </c>
    </row>
    <row r="234" hidden="1">
      <c r="B234" s="11">
        <v>46138.0</v>
      </c>
      <c r="C234" s="12">
        <f>VLOOKUP(B:B,'Курс валют'!A:D,4,0)</f>
        <v>88.2826</v>
      </c>
      <c r="D234" s="13" t="s">
        <v>878</v>
      </c>
      <c r="E234" s="59" t="s">
        <v>18</v>
      </c>
      <c r="F234" s="15">
        <v>1100.0</v>
      </c>
      <c r="G234" s="16">
        <v>1105.8</v>
      </c>
      <c r="H234" s="17">
        <v>0.0</v>
      </c>
      <c r="I234" s="16">
        <f t="shared" si="9"/>
        <v>5.8</v>
      </c>
      <c r="J234" s="18">
        <f t="shared" si="2"/>
        <v>0.5272727273</v>
      </c>
      <c r="K234" s="17">
        <v>2.33</v>
      </c>
      <c r="L234" s="19">
        <f t="shared" si="3"/>
        <v>0</v>
      </c>
      <c r="M234" s="20">
        <f t="shared" si="4"/>
        <v>205.698458</v>
      </c>
      <c r="N234" s="21">
        <f t="shared" si="5"/>
        <v>2.33</v>
      </c>
      <c r="O234" s="21">
        <f t="shared" si="6"/>
        <v>2563</v>
      </c>
      <c r="P234" s="22">
        <f t="shared" si="7"/>
        <v>226268.3038</v>
      </c>
    </row>
    <row r="235" hidden="1">
      <c r="B235" s="11">
        <v>46139.0</v>
      </c>
      <c r="C235" s="12">
        <f>VLOOKUP(B:B,'Курс валют'!A:D,4,0)</f>
        <v>88.2826</v>
      </c>
      <c r="D235" s="13" t="s">
        <v>879</v>
      </c>
      <c r="E235" s="59" t="s">
        <v>61</v>
      </c>
      <c r="F235" s="15">
        <v>1100.0</v>
      </c>
      <c r="G235" s="16">
        <v>1105.51</v>
      </c>
      <c r="H235" s="17">
        <v>0.0</v>
      </c>
      <c r="I235" s="16">
        <f t="shared" si="9"/>
        <v>5.51</v>
      </c>
      <c r="J235" s="18">
        <f t="shared" si="2"/>
        <v>0.5009090909</v>
      </c>
      <c r="K235" s="17">
        <v>2.48</v>
      </c>
      <c r="L235" s="19">
        <f t="shared" si="3"/>
        <v>0</v>
      </c>
      <c r="M235" s="20">
        <f t="shared" si="4"/>
        <v>218.940848</v>
      </c>
      <c r="N235" s="21">
        <f t="shared" si="5"/>
        <v>2.48</v>
      </c>
      <c r="O235" s="21">
        <f t="shared" si="6"/>
        <v>2728</v>
      </c>
      <c r="P235" s="22">
        <f t="shared" si="7"/>
        <v>240834.9328</v>
      </c>
    </row>
    <row r="236" hidden="1">
      <c r="B236" s="11">
        <v>46139.0</v>
      </c>
      <c r="C236" s="12">
        <f>VLOOKUP(B:B,'Курс валют'!A:D,4,0)</f>
        <v>88.2826</v>
      </c>
      <c r="D236" s="13" t="s">
        <v>880</v>
      </c>
      <c r="E236" s="59" t="s">
        <v>61</v>
      </c>
      <c r="F236" s="15">
        <v>1100.0</v>
      </c>
      <c r="G236" s="16">
        <v>1105.51</v>
      </c>
      <c r="H236" s="17">
        <v>0.0</v>
      </c>
      <c r="I236" s="16">
        <f t="shared" si="9"/>
        <v>5.51</v>
      </c>
      <c r="J236" s="18">
        <f t="shared" si="2"/>
        <v>0.5009090909</v>
      </c>
      <c r="K236" s="17">
        <v>2.48</v>
      </c>
      <c r="L236" s="19">
        <f t="shared" si="3"/>
        <v>0</v>
      </c>
      <c r="M236" s="20">
        <f t="shared" si="4"/>
        <v>218.940848</v>
      </c>
      <c r="N236" s="21">
        <f t="shared" si="5"/>
        <v>2.48</v>
      </c>
      <c r="O236" s="21">
        <f t="shared" si="6"/>
        <v>2728</v>
      </c>
      <c r="P236" s="22">
        <f t="shared" si="7"/>
        <v>240834.9328</v>
      </c>
    </row>
    <row r="237" hidden="1">
      <c r="B237" s="11">
        <v>46139.0</v>
      </c>
      <c r="C237" s="12">
        <f>VLOOKUP(B:B,'Курс валют'!A:D,4,0)</f>
        <v>88.2826</v>
      </c>
      <c r="D237" s="13" t="s">
        <v>881</v>
      </c>
      <c r="E237" s="59" t="s">
        <v>61</v>
      </c>
      <c r="F237" s="15">
        <v>1100.0</v>
      </c>
      <c r="G237" s="16">
        <v>1105.51</v>
      </c>
      <c r="H237" s="17">
        <v>0.0</v>
      </c>
      <c r="I237" s="16">
        <f t="shared" si="9"/>
        <v>5.51</v>
      </c>
      <c r="J237" s="18">
        <f t="shared" si="2"/>
        <v>0.5009090909</v>
      </c>
      <c r="K237" s="17">
        <v>2.48</v>
      </c>
      <c r="L237" s="19">
        <f t="shared" si="3"/>
        <v>0</v>
      </c>
      <c r="M237" s="20">
        <f t="shared" si="4"/>
        <v>218.940848</v>
      </c>
      <c r="N237" s="21">
        <f t="shared" si="5"/>
        <v>2.48</v>
      </c>
      <c r="O237" s="21">
        <f t="shared" si="6"/>
        <v>2728</v>
      </c>
      <c r="P237" s="22">
        <f t="shared" si="7"/>
        <v>240834.9328</v>
      </c>
    </row>
    <row r="238" hidden="1">
      <c r="B238" s="11">
        <v>46139.0</v>
      </c>
      <c r="C238" s="12">
        <f>VLOOKUP(B:B,'Курс валют'!A:D,4,0)</f>
        <v>88.2826</v>
      </c>
      <c r="D238" s="13" t="s">
        <v>882</v>
      </c>
      <c r="E238" s="59" t="s">
        <v>61</v>
      </c>
      <c r="F238" s="15">
        <v>1100.0</v>
      </c>
      <c r="G238" s="16">
        <v>1105.51</v>
      </c>
      <c r="H238" s="17">
        <v>0.0</v>
      </c>
      <c r="I238" s="16">
        <f t="shared" si="9"/>
        <v>5.51</v>
      </c>
      <c r="J238" s="18">
        <f t="shared" si="2"/>
        <v>0.5009090909</v>
      </c>
      <c r="K238" s="17">
        <v>2.49</v>
      </c>
      <c r="L238" s="19">
        <f t="shared" si="3"/>
        <v>0</v>
      </c>
      <c r="M238" s="20">
        <f t="shared" si="4"/>
        <v>219.823674</v>
      </c>
      <c r="N238" s="21">
        <f t="shared" si="5"/>
        <v>2.49</v>
      </c>
      <c r="O238" s="21">
        <f t="shared" si="6"/>
        <v>2739</v>
      </c>
      <c r="P238" s="22">
        <f t="shared" si="7"/>
        <v>241806.0414</v>
      </c>
    </row>
    <row r="239" hidden="1">
      <c r="B239" s="11">
        <v>46139.0</v>
      </c>
      <c r="C239" s="12">
        <f>VLOOKUP(B:B,'Курс валют'!A:D,4,0)</f>
        <v>88.2826</v>
      </c>
      <c r="D239" s="13" t="s">
        <v>883</v>
      </c>
      <c r="E239" s="59" t="s">
        <v>61</v>
      </c>
      <c r="F239" s="15">
        <v>1100.0</v>
      </c>
      <c r="G239" s="16">
        <v>1108.01</v>
      </c>
      <c r="H239" s="17">
        <v>0.0</v>
      </c>
      <c r="I239" s="16">
        <f t="shared" si="9"/>
        <v>8.01</v>
      </c>
      <c r="J239" s="18">
        <f t="shared" si="2"/>
        <v>0.7281818182</v>
      </c>
      <c r="K239" s="17">
        <v>2.49</v>
      </c>
      <c r="L239" s="19">
        <f t="shared" si="3"/>
        <v>0</v>
      </c>
      <c r="M239" s="20">
        <f t="shared" si="4"/>
        <v>219.823674</v>
      </c>
      <c r="N239" s="21">
        <f t="shared" si="5"/>
        <v>2.49</v>
      </c>
      <c r="O239" s="21">
        <f t="shared" si="6"/>
        <v>2739</v>
      </c>
      <c r="P239" s="22">
        <f t="shared" si="7"/>
        <v>241806.0414</v>
      </c>
    </row>
    <row r="240" hidden="1">
      <c r="B240" s="11">
        <v>46139.0</v>
      </c>
      <c r="C240" s="12">
        <f>VLOOKUP(B:B,'Курс валют'!A:D,4,0)</f>
        <v>88.2826</v>
      </c>
      <c r="D240" s="13" t="s">
        <v>884</v>
      </c>
      <c r="E240" s="59" t="s">
        <v>61</v>
      </c>
      <c r="F240" s="15">
        <v>1100.0</v>
      </c>
      <c r="G240" s="16">
        <v>1108.01</v>
      </c>
      <c r="H240" s="17">
        <v>0.0</v>
      </c>
      <c r="I240" s="16">
        <f t="shared" si="9"/>
        <v>8.01</v>
      </c>
      <c r="J240" s="18">
        <f t="shared" si="2"/>
        <v>0.7281818182</v>
      </c>
      <c r="K240" s="17">
        <v>2.49</v>
      </c>
      <c r="L240" s="19">
        <f t="shared" si="3"/>
        <v>0</v>
      </c>
      <c r="M240" s="20">
        <f t="shared" si="4"/>
        <v>219.823674</v>
      </c>
      <c r="N240" s="21">
        <f t="shared" si="5"/>
        <v>2.49</v>
      </c>
      <c r="O240" s="21">
        <f t="shared" si="6"/>
        <v>2739</v>
      </c>
      <c r="P240" s="22">
        <f t="shared" si="7"/>
        <v>241806.0414</v>
      </c>
    </row>
    <row r="241" hidden="1">
      <c r="B241" s="11">
        <v>46139.0</v>
      </c>
      <c r="C241" s="12">
        <f>VLOOKUP(B:B,'Курс валют'!A:D,4,0)</f>
        <v>88.2826</v>
      </c>
      <c r="D241" s="13" t="s">
        <v>885</v>
      </c>
      <c r="E241" s="59" t="s">
        <v>61</v>
      </c>
      <c r="F241" s="15">
        <v>1100.0</v>
      </c>
      <c r="G241" s="16">
        <v>1108.01</v>
      </c>
      <c r="H241" s="17">
        <v>0.0</v>
      </c>
      <c r="I241" s="16">
        <f t="shared" si="9"/>
        <v>8.01</v>
      </c>
      <c r="J241" s="18">
        <f t="shared" si="2"/>
        <v>0.7281818182</v>
      </c>
      <c r="K241" s="17">
        <v>2.49</v>
      </c>
      <c r="L241" s="19">
        <f t="shared" si="3"/>
        <v>0</v>
      </c>
      <c r="M241" s="20">
        <f t="shared" si="4"/>
        <v>219.823674</v>
      </c>
      <c r="N241" s="21">
        <f t="shared" si="5"/>
        <v>2.49</v>
      </c>
      <c r="O241" s="21">
        <f t="shared" si="6"/>
        <v>2739</v>
      </c>
      <c r="P241" s="22">
        <f t="shared" si="7"/>
        <v>241806.0414</v>
      </c>
    </row>
    <row r="242" hidden="1">
      <c r="B242" s="11">
        <v>46139.0</v>
      </c>
      <c r="C242" s="12">
        <f>VLOOKUP(B:B,'Курс валют'!A:D,4,0)</f>
        <v>88.2826</v>
      </c>
      <c r="D242" s="13" t="s">
        <v>886</v>
      </c>
      <c r="E242" s="59" t="s">
        <v>61</v>
      </c>
      <c r="F242" s="15">
        <v>1100.0</v>
      </c>
      <c r="G242" s="16">
        <v>1108.01</v>
      </c>
      <c r="H242" s="17">
        <v>0.0</v>
      </c>
      <c r="I242" s="16">
        <f t="shared" si="9"/>
        <v>8.01</v>
      </c>
      <c r="J242" s="18">
        <f t="shared" si="2"/>
        <v>0.7281818182</v>
      </c>
      <c r="K242" s="17">
        <v>2.41</v>
      </c>
      <c r="L242" s="19">
        <f t="shared" si="3"/>
        <v>0</v>
      </c>
      <c r="M242" s="20">
        <f t="shared" si="4"/>
        <v>212.761066</v>
      </c>
      <c r="N242" s="21">
        <f t="shared" si="5"/>
        <v>2.41</v>
      </c>
      <c r="O242" s="21">
        <f t="shared" si="6"/>
        <v>2651</v>
      </c>
      <c r="P242" s="22">
        <f t="shared" si="7"/>
        <v>234037.1726</v>
      </c>
    </row>
    <row r="243" hidden="1">
      <c r="B243" s="11">
        <v>46139.0</v>
      </c>
      <c r="C243" s="12">
        <f>VLOOKUP(B:B,'Курс валют'!A:D,4,0)</f>
        <v>88.2826</v>
      </c>
      <c r="D243" s="13" t="s">
        <v>887</v>
      </c>
      <c r="E243" s="59" t="s">
        <v>61</v>
      </c>
      <c r="F243" s="15">
        <v>1100.0</v>
      </c>
      <c r="G243" s="16">
        <v>1108.01</v>
      </c>
      <c r="H243" s="17">
        <v>0.0</v>
      </c>
      <c r="I243" s="16">
        <f t="shared" si="9"/>
        <v>8.01</v>
      </c>
      <c r="J243" s="18">
        <f t="shared" si="2"/>
        <v>0.7281818182</v>
      </c>
      <c r="K243" s="17">
        <v>2.41</v>
      </c>
      <c r="L243" s="19">
        <f t="shared" si="3"/>
        <v>0</v>
      </c>
      <c r="M243" s="20">
        <f t="shared" si="4"/>
        <v>212.761066</v>
      </c>
      <c r="N243" s="21">
        <f t="shared" si="5"/>
        <v>2.41</v>
      </c>
      <c r="O243" s="21">
        <f t="shared" si="6"/>
        <v>2651</v>
      </c>
      <c r="P243" s="22">
        <f t="shared" si="7"/>
        <v>234037.1726</v>
      </c>
    </row>
    <row r="244" hidden="1">
      <c r="B244" s="11">
        <v>46139.0</v>
      </c>
      <c r="C244" s="12">
        <f>VLOOKUP(B:B,'Курс валют'!A:D,4,0)</f>
        <v>88.2826</v>
      </c>
      <c r="D244" s="13" t="s">
        <v>888</v>
      </c>
      <c r="E244" s="59" t="s">
        <v>61</v>
      </c>
      <c r="F244" s="15">
        <v>1100.0</v>
      </c>
      <c r="G244" s="16">
        <v>1108.01</v>
      </c>
      <c r="H244" s="17">
        <v>0.0</v>
      </c>
      <c r="I244" s="16">
        <f t="shared" si="9"/>
        <v>8.01</v>
      </c>
      <c r="J244" s="18">
        <f t="shared" si="2"/>
        <v>0.7281818182</v>
      </c>
      <c r="K244" s="17">
        <v>2.41</v>
      </c>
      <c r="L244" s="19">
        <f t="shared" si="3"/>
        <v>0</v>
      </c>
      <c r="M244" s="20">
        <f t="shared" si="4"/>
        <v>212.761066</v>
      </c>
      <c r="N244" s="21">
        <f t="shared" si="5"/>
        <v>2.41</v>
      </c>
      <c r="O244" s="21">
        <f t="shared" si="6"/>
        <v>2651</v>
      </c>
      <c r="P244" s="22">
        <f t="shared" si="7"/>
        <v>234037.1726</v>
      </c>
    </row>
    <row r="245" hidden="1">
      <c r="B245" s="11">
        <v>46139.0</v>
      </c>
      <c r="C245" s="12">
        <f>VLOOKUP(B:B,'Курс валют'!A:D,4,0)</f>
        <v>88.2826</v>
      </c>
      <c r="D245" s="13" t="s">
        <v>889</v>
      </c>
      <c r="E245" s="59" t="s">
        <v>61</v>
      </c>
      <c r="F245" s="15">
        <v>1100.0</v>
      </c>
      <c r="G245" s="16">
        <v>1108.01</v>
      </c>
      <c r="H245" s="17">
        <v>0.0</v>
      </c>
      <c r="I245" s="16">
        <f t="shared" si="9"/>
        <v>8.01</v>
      </c>
      <c r="J245" s="18">
        <f t="shared" si="2"/>
        <v>0.7281818182</v>
      </c>
      <c r="K245" s="17">
        <v>2.41</v>
      </c>
      <c r="L245" s="19">
        <f t="shared" si="3"/>
        <v>0</v>
      </c>
      <c r="M245" s="20">
        <f t="shared" si="4"/>
        <v>212.761066</v>
      </c>
      <c r="N245" s="21">
        <f t="shared" si="5"/>
        <v>2.41</v>
      </c>
      <c r="O245" s="21">
        <f t="shared" si="6"/>
        <v>2651</v>
      </c>
      <c r="P245" s="22">
        <f t="shared" si="7"/>
        <v>234037.1726</v>
      </c>
    </row>
    <row r="246" hidden="1">
      <c r="B246" s="11">
        <v>46140.0</v>
      </c>
      <c r="C246" s="12">
        <f>VLOOKUP(B:B,'Курс валют'!A:D,4,0)</f>
        <v>87.8826</v>
      </c>
      <c r="D246" s="13" t="s">
        <v>890</v>
      </c>
      <c r="E246" s="59" t="s">
        <v>71</v>
      </c>
      <c r="F246" s="15">
        <v>800.0</v>
      </c>
      <c r="G246" s="16">
        <v>803.95</v>
      </c>
      <c r="H246" s="17">
        <v>0.0</v>
      </c>
      <c r="I246" s="16">
        <f t="shared" si="9"/>
        <v>3.95</v>
      </c>
      <c r="J246" s="18">
        <f t="shared" si="2"/>
        <v>0.49375</v>
      </c>
      <c r="K246" s="17">
        <v>1.84</v>
      </c>
      <c r="L246" s="19">
        <f t="shared" si="3"/>
        <v>0</v>
      </c>
      <c r="M246" s="20">
        <f t="shared" si="4"/>
        <v>161.703984</v>
      </c>
      <c r="N246" s="21">
        <f t="shared" si="5"/>
        <v>1.84</v>
      </c>
      <c r="O246" s="21">
        <f t="shared" si="6"/>
        <v>1472</v>
      </c>
      <c r="P246" s="22">
        <f t="shared" si="7"/>
        <v>129363.1872</v>
      </c>
    </row>
    <row r="247" hidden="1">
      <c r="B247" s="11">
        <v>46140.0</v>
      </c>
      <c r="C247" s="12">
        <f>VLOOKUP(B:B,'Курс валют'!A:D,4,0)</f>
        <v>87.8826</v>
      </c>
      <c r="D247" s="13" t="s">
        <v>891</v>
      </c>
      <c r="E247" s="59" t="s">
        <v>71</v>
      </c>
      <c r="F247" s="15">
        <v>800.0</v>
      </c>
      <c r="G247" s="16">
        <v>803.95</v>
      </c>
      <c r="H247" s="17">
        <v>0.0</v>
      </c>
      <c r="I247" s="16">
        <f t="shared" si="9"/>
        <v>3.95</v>
      </c>
      <c r="J247" s="18">
        <f t="shared" si="2"/>
        <v>0.49375</v>
      </c>
      <c r="K247" s="17">
        <v>1.84</v>
      </c>
      <c r="L247" s="19">
        <f t="shared" si="3"/>
        <v>0</v>
      </c>
      <c r="M247" s="20">
        <f t="shared" si="4"/>
        <v>161.703984</v>
      </c>
      <c r="N247" s="21">
        <f t="shared" si="5"/>
        <v>1.84</v>
      </c>
      <c r="O247" s="21">
        <f t="shared" si="6"/>
        <v>1472</v>
      </c>
      <c r="P247" s="22">
        <f t="shared" si="7"/>
        <v>129363.1872</v>
      </c>
    </row>
    <row r="248" hidden="1">
      <c r="B248" s="11">
        <v>46140.0</v>
      </c>
      <c r="C248" s="12">
        <f>VLOOKUP(B:B,'Курс валют'!A:D,4,0)</f>
        <v>87.8826</v>
      </c>
      <c r="D248" s="13" t="s">
        <v>892</v>
      </c>
      <c r="E248" s="59" t="s">
        <v>71</v>
      </c>
      <c r="F248" s="15">
        <v>800.0</v>
      </c>
      <c r="G248" s="16">
        <v>804.45</v>
      </c>
      <c r="H248" s="17">
        <v>0.0</v>
      </c>
      <c r="I248" s="16">
        <f t="shared" si="9"/>
        <v>4.45</v>
      </c>
      <c r="J248" s="18">
        <f t="shared" si="2"/>
        <v>0.55625</v>
      </c>
      <c r="K248" s="17">
        <v>1.84</v>
      </c>
      <c r="L248" s="19">
        <f t="shared" si="3"/>
        <v>0</v>
      </c>
      <c r="M248" s="20">
        <f t="shared" si="4"/>
        <v>161.703984</v>
      </c>
      <c r="N248" s="21">
        <f t="shared" si="5"/>
        <v>1.84</v>
      </c>
      <c r="O248" s="21">
        <f t="shared" si="6"/>
        <v>1472</v>
      </c>
      <c r="P248" s="22">
        <f t="shared" si="7"/>
        <v>129363.1872</v>
      </c>
    </row>
    <row r="249" hidden="1">
      <c r="B249" s="11">
        <v>46140.0</v>
      </c>
      <c r="C249" s="12">
        <f>VLOOKUP(B:B,'Курс валют'!A:D,4,0)</f>
        <v>87.8826</v>
      </c>
      <c r="D249" s="13" t="s">
        <v>893</v>
      </c>
      <c r="E249" s="59" t="s">
        <v>71</v>
      </c>
      <c r="F249" s="15">
        <v>800.0</v>
      </c>
      <c r="G249" s="16">
        <v>804.45</v>
      </c>
      <c r="H249" s="17">
        <v>0.0</v>
      </c>
      <c r="I249" s="16">
        <f t="shared" si="9"/>
        <v>4.45</v>
      </c>
      <c r="J249" s="18">
        <f t="shared" si="2"/>
        <v>0.55625</v>
      </c>
      <c r="K249" s="17">
        <v>1.84</v>
      </c>
      <c r="L249" s="19">
        <f t="shared" si="3"/>
        <v>0</v>
      </c>
      <c r="M249" s="20">
        <f t="shared" si="4"/>
        <v>161.703984</v>
      </c>
      <c r="N249" s="21">
        <f t="shared" si="5"/>
        <v>1.84</v>
      </c>
      <c r="O249" s="21">
        <f t="shared" si="6"/>
        <v>1472</v>
      </c>
      <c r="P249" s="22">
        <f t="shared" si="7"/>
        <v>129363.1872</v>
      </c>
    </row>
    <row r="250" hidden="1">
      <c r="B250" s="11">
        <v>46140.0</v>
      </c>
      <c r="C250" s="12">
        <f>VLOOKUP(B:B,'Курс валют'!A:D,4,0)</f>
        <v>87.8826</v>
      </c>
      <c r="D250" s="13" t="s">
        <v>894</v>
      </c>
      <c r="E250" s="59" t="s">
        <v>71</v>
      </c>
      <c r="F250" s="15">
        <v>800.0</v>
      </c>
      <c r="G250" s="16">
        <v>804.45</v>
      </c>
      <c r="H250" s="17">
        <v>0.0</v>
      </c>
      <c r="I250" s="16">
        <f t="shared" si="9"/>
        <v>4.45</v>
      </c>
      <c r="J250" s="18">
        <f t="shared" si="2"/>
        <v>0.55625</v>
      </c>
      <c r="K250" s="17">
        <v>1.84</v>
      </c>
      <c r="L250" s="19">
        <f t="shared" si="3"/>
        <v>0</v>
      </c>
      <c r="M250" s="20">
        <f t="shared" si="4"/>
        <v>161.703984</v>
      </c>
      <c r="N250" s="21">
        <f t="shared" si="5"/>
        <v>1.84</v>
      </c>
      <c r="O250" s="21">
        <f t="shared" si="6"/>
        <v>1472</v>
      </c>
      <c r="P250" s="22">
        <f t="shared" si="7"/>
        <v>129363.1872</v>
      </c>
    </row>
    <row r="251" hidden="1">
      <c r="B251" s="11">
        <v>46140.0</v>
      </c>
      <c r="C251" s="12">
        <f>VLOOKUP(B:B,'Курс валют'!A:D,4,0)</f>
        <v>87.8826</v>
      </c>
      <c r="D251" s="13" t="s">
        <v>895</v>
      </c>
      <c r="E251" s="59" t="s">
        <v>122</v>
      </c>
      <c r="F251" s="15">
        <v>927.2</v>
      </c>
      <c r="G251" s="16">
        <v>940.0</v>
      </c>
      <c r="H251" s="17">
        <v>0.0</v>
      </c>
      <c r="I251" s="16">
        <f t="shared" si="9"/>
        <v>12.8</v>
      </c>
      <c r="J251" s="18">
        <f t="shared" si="2"/>
        <v>1.380500431</v>
      </c>
      <c r="K251" s="17">
        <v>2.03</v>
      </c>
      <c r="L251" s="19">
        <f t="shared" si="3"/>
        <v>0</v>
      </c>
      <c r="M251" s="20">
        <f t="shared" si="4"/>
        <v>178.401678</v>
      </c>
      <c r="N251" s="21">
        <f t="shared" si="5"/>
        <v>2.03</v>
      </c>
      <c r="O251" s="21">
        <f t="shared" si="6"/>
        <v>1882.216</v>
      </c>
      <c r="P251" s="22">
        <f t="shared" si="7"/>
        <v>165414.0358</v>
      </c>
    </row>
    <row r="252" hidden="1">
      <c r="B252" s="11">
        <v>46141.0</v>
      </c>
      <c r="C252" s="12">
        <f>VLOOKUP(B:B,'Курс валют'!A:D,4,0)</f>
        <v>87.5928</v>
      </c>
      <c r="D252" s="13" t="s">
        <v>896</v>
      </c>
      <c r="E252" s="59" t="s">
        <v>210</v>
      </c>
      <c r="F252" s="15">
        <v>400.0</v>
      </c>
      <c r="G252" s="16">
        <v>400.0</v>
      </c>
      <c r="H252" s="17">
        <v>0.0</v>
      </c>
      <c r="I252" s="16">
        <f t="shared" si="9"/>
        <v>0</v>
      </c>
      <c r="J252" s="18">
        <f t="shared" si="2"/>
        <v>0</v>
      </c>
      <c r="K252" s="17">
        <v>2.86</v>
      </c>
      <c r="L252" s="19">
        <f t="shared" si="3"/>
        <v>0</v>
      </c>
      <c r="M252" s="20">
        <f t="shared" si="4"/>
        <v>250.515408</v>
      </c>
      <c r="N252" s="21">
        <f t="shared" si="5"/>
        <v>2.86</v>
      </c>
      <c r="O252" s="21">
        <f t="shared" si="6"/>
        <v>1144</v>
      </c>
      <c r="P252" s="22">
        <f t="shared" si="7"/>
        <v>100206.1632</v>
      </c>
      <c r="R252" s="42" t="s">
        <v>897</v>
      </c>
    </row>
    <row r="253" hidden="1">
      <c r="B253" s="11">
        <v>46141.0</v>
      </c>
      <c r="C253" s="12">
        <f>VLOOKUP(B:B,'Курс валют'!A:D,4,0)</f>
        <v>87.5928</v>
      </c>
      <c r="D253" s="13" t="s">
        <v>898</v>
      </c>
      <c r="E253" s="59" t="s">
        <v>64</v>
      </c>
      <c r="F253" s="15">
        <v>1800.0</v>
      </c>
      <c r="G253" s="16">
        <v>1834.55</v>
      </c>
      <c r="H253" s="17">
        <v>0.0</v>
      </c>
      <c r="I253" s="16">
        <f t="shared" si="9"/>
        <v>34.55</v>
      </c>
      <c r="J253" s="18">
        <f t="shared" si="2"/>
        <v>1.919444444</v>
      </c>
      <c r="K253" s="17">
        <v>2.45</v>
      </c>
      <c r="L253" s="19">
        <f t="shared" si="3"/>
        <v>0</v>
      </c>
      <c r="M253" s="20">
        <f t="shared" si="4"/>
        <v>214.60236</v>
      </c>
      <c r="N253" s="21">
        <f t="shared" si="5"/>
        <v>2.45</v>
      </c>
      <c r="O253" s="21">
        <f t="shared" si="6"/>
        <v>4410</v>
      </c>
      <c r="P253" s="22">
        <f t="shared" si="7"/>
        <v>386284.248</v>
      </c>
    </row>
    <row r="254" hidden="1">
      <c r="B254" s="11">
        <v>46141.0</v>
      </c>
      <c r="C254" s="12">
        <f>VLOOKUP(B:B,'Курс валют'!A:D,4,0)</f>
        <v>87.5928</v>
      </c>
      <c r="D254" s="13" t="s">
        <v>898</v>
      </c>
      <c r="E254" s="59" t="s">
        <v>899</v>
      </c>
      <c r="F254" s="15">
        <v>60.0</v>
      </c>
      <c r="G254" s="16">
        <v>61.15</v>
      </c>
      <c r="H254" s="17">
        <v>0.0</v>
      </c>
      <c r="I254" s="16">
        <f t="shared" si="9"/>
        <v>1.15</v>
      </c>
      <c r="J254" s="18">
        <f t="shared" si="2"/>
        <v>1.916666667</v>
      </c>
      <c r="K254" s="17">
        <v>2.45</v>
      </c>
      <c r="L254" s="19">
        <f t="shared" si="3"/>
        <v>0</v>
      </c>
      <c r="M254" s="20">
        <f t="shared" si="4"/>
        <v>214.60236</v>
      </c>
      <c r="N254" s="21">
        <f t="shared" si="5"/>
        <v>2.45</v>
      </c>
      <c r="O254" s="21">
        <f t="shared" si="6"/>
        <v>147</v>
      </c>
      <c r="P254" s="22">
        <f t="shared" si="7"/>
        <v>12876.1416</v>
      </c>
    </row>
    <row r="255" hidden="1">
      <c r="B255" s="11">
        <v>46141.0</v>
      </c>
      <c r="C255" s="12">
        <f>VLOOKUP(B:B,'Курс валют'!A:D,4,0)</f>
        <v>87.5928</v>
      </c>
      <c r="D255" s="13" t="s">
        <v>900</v>
      </c>
      <c r="E255" s="59" t="s">
        <v>18</v>
      </c>
      <c r="F255" s="15">
        <v>1100.0</v>
      </c>
      <c r="G255" s="16">
        <v>1105.8</v>
      </c>
      <c r="H255" s="17">
        <v>484.0</v>
      </c>
      <c r="I255" s="16">
        <f t="shared" si="9"/>
        <v>5.8</v>
      </c>
      <c r="J255" s="18">
        <f t="shared" si="2"/>
        <v>0.5272727273</v>
      </c>
      <c r="K255" s="17">
        <v>15.72</v>
      </c>
      <c r="L255" s="19">
        <f t="shared" si="3"/>
        <v>44</v>
      </c>
      <c r="M255" s="20">
        <f t="shared" si="4"/>
        <v>205.3175232</v>
      </c>
      <c r="N255" s="21">
        <f t="shared" ref="N255:N275" si="10">(F255*K255-H255*30.4)/F255</f>
        <v>2.344</v>
      </c>
      <c r="O255" s="21">
        <f t="shared" si="6"/>
        <v>2578.4</v>
      </c>
      <c r="P255" s="22">
        <f t="shared" si="7"/>
        <v>225849.2755</v>
      </c>
    </row>
    <row r="256" hidden="1">
      <c r="B256" s="11">
        <v>46141.0</v>
      </c>
      <c r="C256" s="12">
        <f>VLOOKUP(B:B,'Курс валют'!A:D,4,0)</f>
        <v>87.5928</v>
      </c>
      <c r="D256" s="13" t="s">
        <v>901</v>
      </c>
      <c r="E256" s="59" t="s">
        <v>18</v>
      </c>
      <c r="F256" s="15">
        <v>1100.0</v>
      </c>
      <c r="G256" s="16">
        <v>1105.8</v>
      </c>
      <c r="H256" s="17">
        <v>484.0</v>
      </c>
      <c r="I256" s="16">
        <f t="shared" si="9"/>
        <v>5.8</v>
      </c>
      <c r="J256" s="18">
        <f t="shared" si="2"/>
        <v>0.5272727273</v>
      </c>
      <c r="K256" s="17">
        <v>15.72</v>
      </c>
      <c r="L256" s="19">
        <f t="shared" si="3"/>
        <v>44</v>
      </c>
      <c r="M256" s="20">
        <f t="shared" si="4"/>
        <v>205.3175232</v>
      </c>
      <c r="N256" s="21">
        <f t="shared" si="10"/>
        <v>2.344</v>
      </c>
      <c r="O256" s="21">
        <f t="shared" si="6"/>
        <v>2578.4</v>
      </c>
      <c r="P256" s="22">
        <f t="shared" si="7"/>
        <v>225849.2755</v>
      </c>
    </row>
    <row r="257" hidden="1">
      <c r="B257" s="11">
        <v>46141.0</v>
      </c>
      <c r="C257" s="12">
        <f>VLOOKUP(B:B,'Курс валют'!A:D,4,0)</f>
        <v>87.5928</v>
      </c>
      <c r="D257" s="13" t="s">
        <v>902</v>
      </c>
      <c r="E257" s="59" t="s">
        <v>18</v>
      </c>
      <c r="F257" s="15">
        <v>1100.0</v>
      </c>
      <c r="G257" s="16">
        <v>1105.8</v>
      </c>
      <c r="H257" s="17">
        <v>484.0</v>
      </c>
      <c r="I257" s="16">
        <f t="shared" si="9"/>
        <v>5.8</v>
      </c>
      <c r="J257" s="18">
        <f t="shared" si="2"/>
        <v>0.5272727273</v>
      </c>
      <c r="K257" s="17">
        <v>15.72</v>
      </c>
      <c r="L257" s="19">
        <f t="shared" si="3"/>
        <v>44</v>
      </c>
      <c r="M257" s="20">
        <f t="shared" si="4"/>
        <v>205.3175232</v>
      </c>
      <c r="N257" s="21">
        <f t="shared" si="10"/>
        <v>2.344</v>
      </c>
      <c r="O257" s="21">
        <f t="shared" si="6"/>
        <v>2578.4</v>
      </c>
      <c r="P257" s="22">
        <f t="shared" si="7"/>
        <v>225849.2755</v>
      </c>
    </row>
    <row r="258" hidden="1">
      <c r="B258" s="11">
        <v>46141.0</v>
      </c>
      <c r="C258" s="12">
        <f>VLOOKUP(B:B,'Курс валют'!A:D,4,0)</f>
        <v>87.5928</v>
      </c>
      <c r="D258" s="13" t="s">
        <v>903</v>
      </c>
      <c r="E258" s="59" t="s">
        <v>18</v>
      </c>
      <c r="F258" s="15">
        <v>1100.0</v>
      </c>
      <c r="G258" s="16">
        <v>1105.8</v>
      </c>
      <c r="H258" s="17">
        <v>484.0</v>
      </c>
      <c r="I258" s="16">
        <f t="shared" si="9"/>
        <v>5.8</v>
      </c>
      <c r="J258" s="18">
        <f t="shared" si="2"/>
        <v>0.5272727273</v>
      </c>
      <c r="K258" s="17">
        <v>15.72</v>
      </c>
      <c r="L258" s="19">
        <f t="shared" si="3"/>
        <v>44</v>
      </c>
      <c r="M258" s="20">
        <f t="shared" si="4"/>
        <v>205.3175232</v>
      </c>
      <c r="N258" s="21">
        <f t="shared" si="10"/>
        <v>2.344</v>
      </c>
      <c r="O258" s="21">
        <f t="shared" si="6"/>
        <v>2578.4</v>
      </c>
      <c r="P258" s="22">
        <f t="shared" si="7"/>
        <v>225849.2755</v>
      </c>
    </row>
    <row r="259" hidden="1">
      <c r="B259" s="11">
        <v>46141.0</v>
      </c>
      <c r="C259" s="12">
        <f>VLOOKUP(B:B,'Курс валют'!A:D,4,0)</f>
        <v>87.5928</v>
      </c>
      <c r="D259" s="13" t="s">
        <v>904</v>
      </c>
      <c r="E259" s="59" t="s">
        <v>18</v>
      </c>
      <c r="F259" s="15">
        <v>1100.0</v>
      </c>
      <c r="G259" s="16">
        <v>1105.8</v>
      </c>
      <c r="H259" s="17">
        <v>484.0</v>
      </c>
      <c r="I259" s="16">
        <f t="shared" si="9"/>
        <v>5.8</v>
      </c>
      <c r="J259" s="18">
        <f t="shared" si="2"/>
        <v>0.5272727273</v>
      </c>
      <c r="K259" s="17">
        <v>15.72</v>
      </c>
      <c r="L259" s="19">
        <f t="shared" si="3"/>
        <v>44</v>
      </c>
      <c r="M259" s="20">
        <f t="shared" si="4"/>
        <v>205.3175232</v>
      </c>
      <c r="N259" s="21">
        <f t="shared" si="10"/>
        <v>2.344</v>
      </c>
      <c r="O259" s="21">
        <f t="shared" si="6"/>
        <v>2578.4</v>
      </c>
      <c r="P259" s="22">
        <f t="shared" si="7"/>
        <v>225849.2755</v>
      </c>
    </row>
    <row r="260" hidden="1">
      <c r="B260" s="11">
        <v>46141.0</v>
      </c>
      <c r="C260" s="12">
        <f>VLOOKUP(B:B,'Курс валют'!A:D,4,0)</f>
        <v>87.5928</v>
      </c>
      <c r="D260" s="13" t="s">
        <v>905</v>
      </c>
      <c r="E260" s="59" t="s">
        <v>18</v>
      </c>
      <c r="F260" s="15">
        <v>1100.0</v>
      </c>
      <c r="G260" s="16">
        <v>1105.8</v>
      </c>
      <c r="H260" s="17">
        <v>484.0</v>
      </c>
      <c r="I260" s="16">
        <f t="shared" si="9"/>
        <v>5.8</v>
      </c>
      <c r="J260" s="18">
        <f t="shared" si="2"/>
        <v>0.5272727273</v>
      </c>
      <c r="K260" s="17">
        <v>15.72</v>
      </c>
      <c r="L260" s="19">
        <f t="shared" si="3"/>
        <v>44</v>
      </c>
      <c r="M260" s="20">
        <f t="shared" si="4"/>
        <v>205.3175232</v>
      </c>
      <c r="N260" s="21">
        <f t="shared" si="10"/>
        <v>2.344</v>
      </c>
      <c r="O260" s="21">
        <f t="shared" si="6"/>
        <v>2578.4</v>
      </c>
      <c r="P260" s="22">
        <f t="shared" si="7"/>
        <v>225849.2755</v>
      </c>
    </row>
    <row r="261" hidden="1">
      <c r="B261" s="11">
        <v>46141.0</v>
      </c>
      <c r="C261" s="12">
        <f>VLOOKUP(B:B,'Курс валют'!A:D,4,0)</f>
        <v>87.5928</v>
      </c>
      <c r="D261" s="13" t="s">
        <v>906</v>
      </c>
      <c r="E261" s="59" t="s">
        <v>18</v>
      </c>
      <c r="F261" s="15">
        <v>1100.0</v>
      </c>
      <c r="G261" s="16">
        <v>1105.8</v>
      </c>
      <c r="H261" s="17">
        <v>484.0</v>
      </c>
      <c r="I261" s="16">
        <f t="shared" si="9"/>
        <v>5.8</v>
      </c>
      <c r="J261" s="18">
        <f t="shared" si="2"/>
        <v>0.5272727273</v>
      </c>
      <c r="K261" s="17">
        <v>15.72</v>
      </c>
      <c r="L261" s="19">
        <f t="shared" si="3"/>
        <v>44</v>
      </c>
      <c r="M261" s="20">
        <f t="shared" si="4"/>
        <v>205.3175232</v>
      </c>
      <c r="N261" s="21">
        <f t="shared" si="10"/>
        <v>2.344</v>
      </c>
      <c r="O261" s="21">
        <f t="shared" si="6"/>
        <v>2578.4</v>
      </c>
      <c r="P261" s="22">
        <f t="shared" si="7"/>
        <v>225849.2755</v>
      </c>
    </row>
    <row r="262" hidden="1">
      <c r="B262" s="11">
        <v>46141.0</v>
      </c>
      <c r="C262" s="12">
        <f>VLOOKUP(B:B,'Курс валют'!A:D,4,0)</f>
        <v>87.5928</v>
      </c>
      <c r="D262" s="13" t="s">
        <v>907</v>
      </c>
      <c r="E262" s="59" t="s">
        <v>18</v>
      </c>
      <c r="F262" s="15">
        <v>1100.0</v>
      </c>
      <c r="G262" s="16">
        <v>1105.8</v>
      </c>
      <c r="H262" s="17">
        <v>484.0</v>
      </c>
      <c r="I262" s="16">
        <f t="shared" si="9"/>
        <v>5.8</v>
      </c>
      <c r="J262" s="18">
        <f t="shared" si="2"/>
        <v>0.5272727273</v>
      </c>
      <c r="K262" s="17">
        <v>15.72</v>
      </c>
      <c r="L262" s="19">
        <f t="shared" si="3"/>
        <v>44</v>
      </c>
      <c r="M262" s="20">
        <f t="shared" si="4"/>
        <v>205.3175232</v>
      </c>
      <c r="N262" s="21">
        <f t="shared" si="10"/>
        <v>2.344</v>
      </c>
      <c r="O262" s="21">
        <f t="shared" si="6"/>
        <v>2578.4</v>
      </c>
      <c r="P262" s="22">
        <f t="shared" si="7"/>
        <v>225849.2755</v>
      </c>
    </row>
    <row r="263" hidden="1">
      <c r="B263" s="11">
        <v>46141.0</v>
      </c>
      <c r="C263" s="12">
        <f>VLOOKUP(B:B,'Курс валют'!A:D,4,0)</f>
        <v>87.5928</v>
      </c>
      <c r="D263" s="13" t="s">
        <v>908</v>
      </c>
      <c r="E263" s="59" t="s">
        <v>18</v>
      </c>
      <c r="F263" s="15">
        <v>1100.0</v>
      </c>
      <c r="G263" s="16">
        <v>1105.8</v>
      </c>
      <c r="H263" s="17">
        <v>484.0</v>
      </c>
      <c r="I263" s="16">
        <f t="shared" si="9"/>
        <v>5.8</v>
      </c>
      <c r="J263" s="18">
        <f t="shared" si="2"/>
        <v>0.5272727273</v>
      </c>
      <c r="K263" s="17">
        <v>15.72</v>
      </c>
      <c r="L263" s="19">
        <f t="shared" si="3"/>
        <v>44</v>
      </c>
      <c r="M263" s="20">
        <f t="shared" si="4"/>
        <v>205.3175232</v>
      </c>
      <c r="N263" s="21">
        <f t="shared" si="10"/>
        <v>2.344</v>
      </c>
      <c r="O263" s="21">
        <f t="shared" si="6"/>
        <v>2578.4</v>
      </c>
      <c r="P263" s="22">
        <f t="shared" si="7"/>
        <v>225849.2755</v>
      </c>
    </row>
    <row r="264" hidden="1">
      <c r="B264" s="11">
        <v>46141.0</v>
      </c>
      <c r="C264" s="12">
        <f>VLOOKUP(B:B,'Курс валют'!A:D,4,0)</f>
        <v>87.5928</v>
      </c>
      <c r="D264" s="13" t="s">
        <v>909</v>
      </c>
      <c r="E264" s="59" t="s">
        <v>18</v>
      </c>
      <c r="F264" s="15">
        <v>1100.0</v>
      </c>
      <c r="G264" s="16">
        <v>1105.8</v>
      </c>
      <c r="H264" s="17">
        <v>484.0</v>
      </c>
      <c r="I264" s="16">
        <f t="shared" si="9"/>
        <v>5.8</v>
      </c>
      <c r="J264" s="18">
        <f t="shared" si="2"/>
        <v>0.5272727273</v>
      </c>
      <c r="K264" s="17">
        <v>15.72</v>
      </c>
      <c r="L264" s="19">
        <f t="shared" si="3"/>
        <v>44</v>
      </c>
      <c r="M264" s="20">
        <f t="shared" si="4"/>
        <v>205.3175232</v>
      </c>
      <c r="N264" s="21">
        <f t="shared" si="10"/>
        <v>2.344</v>
      </c>
      <c r="O264" s="21">
        <f t="shared" si="6"/>
        <v>2578.4</v>
      </c>
      <c r="P264" s="22">
        <f t="shared" si="7"/>
        <v>225849.2755</v>
      </c>
    </row>
    <row r="265" hidden="1">
      <c r="B265" s="11">
        <v>46142.0</v>
      </c>
      <c r="C265" s="12">
        <f>VLOOKUP(B:B,'Курс валют'!A:D,4,0)</f>
        <v>87.7771</v>
      </c>
      <c r="D265" s="13" t="s">
        <v>910</v>
      </c>
      <c r="E265" s="59" t="s">
        <v>18</v>
      </c>
      <c r="F265" s="15">
        <v>1100.0</v>
      </c>
      <c r="G265" s="16">
        <v>1106.3</v>
      </c>
      <c r="H265" s="17">
        <v>484.5</v>
      </c>
      <c r="I265" s="16">
        <f t="shared" si="9"/>
        <v>6.3</v>
      </c>
      <c r="J265" s="18">
        <f t="shared" si="2"/>
        <v>0.5727272727</v>
      </c>
      <c r="K265" s="17">
        <v>15.73</v>
      </c>
      <c r="L265" s="19">
        <f t="shared" si="3"/>
        <v>44.04545455</v>
      </c>
      <c r="M265" s="20">
        <f t="shared" si="4"/>
        <v>205.4143735</v>
      </c>
      <c r="N265" s="21">
        <f t="shared" si="10"/>
        <v>2.340181818</v>
      </c>
      <c r="O265" s="21">
        <f t="shared" si="6"/>
        <v>2574.2</v>
      </c>
      <c r="P265" s="22">
        <f t="shared" si="7"/>
        <v>225955.8108</v>
      </c>
    </row>
    <row r="266" hidden="1">
      <c r="B266" s="11">
        <v>46142.0</v>
      </c>
      <c r="C266" s="12">
        <f>VLOOKUP(B:B,'Курс валют'!A:D,4,0)</f>
        <v>87.7771</v>
      </c>
      <c r="D266" s="13" t="s">
        <v>911</v>
      </c>
      <c r="E266" s="59" t="s">
        <v>18</v>
      </c>
      <c r="F266" s="15">
        <v>1100.0</v>
      </c>
      <c r="G266" s="16">
        <v>1106.3</v>
      </c>
      <c r="H266" s="17">
        <v>484.5</v>
      </c>
      <c r="I266" s="16">
        <f t="shared" si="9"/>
        <v>6.3</v>
      </c>
      <c r="J266" s="18">
        <f t="shared" si="2"/>
        <v>0.5727272727</v>
      </c>
      <c r="K266" s="17">
        <v>15.73</v>
      </c>
      <c r="L266" s="19">
        <f t="shared" si="3"/>
        <v>44.04545455</v>
      </c>
      <c r="M266" s="20">
        <f t="shared" si="4"/>
        <v>205.4143735</v>
      </c>
      <c r="N266" s="21">
        <f t="shared" si="10"/>
        <v>2.340181818</v>
      </c>
      <c r="O266" s="21">
        <f t="shared" si="6"/>
        <v>2574.2</v>
      </c>
      <c r="P266" s="22">
        <f t="shared" si="7"/>
        <v>225955.8108</v>
      </c>
    </row>
    <row r="267" hidden="1">
      <c r="B267" s="11">
        <v>46142.0</v>
      </c>
      <c r="C267" s="12">
        <f>VLOOKUP(B:B,'Курс валют'!A:D,4,0)</f>
        <v>87.7771</v>
      </c>
      <c r="D267" s="13" t="s">
        <v>912</v>
      </c>
      <c r="E267" s="59" t="s">
        <v>18</v>
      </c>
      <c r="F267" s="15">
        <v>1100.0</v>
      </c>
      <c r="G267" s="16">
        <v>1106.3</v>
      </c>
      <c r="H267" s="17">
        <v>484.5</v>
      </c>
      <c r="I267" s="16">
        <f t="shared" si="9"/>
        <v>6.3</v>
      </c>
      <c r="J267" s="18">
        <f t="shared" si="2"/>
        <v>0.5727272727</v>
      </c>
      <c r="K267" s="17">
        <v>15.73</v>
      </c>
      <c r="L267" s="19">
        <f t="shared" si="3"/>
        <v>44.04545455</v>
      </c>
      <c r="M267" s="20">
        <f t="shared" si="4"/>
        <v>205.4143735</v>
      </c>
      <c r="N267" s="21">
        <f t="shared" si="10"/>
        <v>2.340181818</v>
      </c>
      <c r="O267" s="21">
        <f t="shared" si="6"/>
        <v>2574.2</v>
      </c>
      <c r="P267" s="22">
        <f t="shared" si="7"/>
        <v>225955.8108</v>
      </c>
    </row>
    <row r="268" hidden="1">
      <c r="B268" s="11">
        <v>46142.0</v>
      </c>
      <c r="C268" s="12">
        <f>VLOOKUP(B:B,'Курс валют'!A:D,4,0)</f>
        <v>87.7771</v>
      </c>
      <c r="D268" s="13" t="s">
        <v>913</v>
      </c>
      <c r="E268" s="59" t="s">
        <v>18</v>
      </c>
      <c r="F268" s="15">
        <v>1100.0</v>
      </c>
      <c r="G268" s="16">
        <v>1106.3</v>
      </c>
      <c r="H268" s="17">
        <v>484.5</v>
      </c>
      <c r="I268" s="16">
        <f t="shared" si="9"/>
        <v>6.3</v>
      </c>
      <c r="J268" s="18">
        <f t="shared" si="2"/>
        <v>0.5727272727</v>
      </c>
      <c r="K268" s="17">
        <v>15.73</v>
      </c>
      <c r="L268" s="19">
        <f t="shared" si="3"/>
        <v>44.04545455</v>
      </c>
      <c r="M268" s="20">
        <f t="shared" si="4"/>
        <v>205.4143735</v>
      </c>
      <c r="N268" s="21">
        <f t="shared" si="10"/>
        <v>2.340181818</v>
      </c>
      <c r="O268" s="21">
        <f t="shared" si="6"/>
        <v>2574.2</v>
      </c>
      <c r="P268" s="22">
        <f t="shared" si="7"/>
        <v>225955.8108</v>
      </c>
    </row>
    <row r="269" hidden="1">
      <c r="B269" s="11">
        <v>46142.0</v>
      </c>
      <c r="C269" s="12">
        <f>VLOOKUP(B:B,'Курс валют'!A:D,4,0)</f>
        <v>87.7771</v>
      </c>
      <c r="D269" s="13" t="s">
        <v>914</v>
      </c>
      <c r="E269" s="59" t="s">
        <v>18</v>
      </c>
      <c r="F269" s="15">
        <v>1100.0</v>
      </c>
      <c r="G269" s="16">
        <v>1106.3</v>
      </c>
      <c r="H269" s="17">
        <v>484.5</v>
      </c>
      <c r="I269" s="16">
        <f t="shared" si="9"/>
        <v>6.3</v>
      </c>
      <c r="J269" s="18">
        <f t="shared" si="2"/>
        <v>0.5727272727</v>
      </c>
      <c r="K269" s="17">
        <v>15.73</v>
      </c>
      <c r="L269" s="19">
        <f t="shared" si="3"/>
        <v>44.04545455</v>
      </c>
      <c r="M269" s="20">
        <f t="shared" si="4"/>
        <v>205.4143735</v>
      </c>
      <c r="N269" s="21">
        <f t="shared" si="10"/>
        <v>2.340181818</v>
      </c>
      <c r="O269" s="21">
        <f t="shared" si="6"/>
        <v>2574.2</v>
      </c>
      <c r="P269" s="22">
        <f t="shared" si="7"/>
        <v>225955.8108</v>
      </c>
    </row>
    <row r="270" hidden="1">
      <c r="B270" s="11">
        <v>46142.0</v>
      </c>
      <c r="C270" s="12">
        <f>VLOOKUP(B:B,'Курс валют'!A:D,4,0)</f>
        <v>87.7771</v>
      </c>
      <c r="D270" s="13" t="s">
        <v>915</v>
      </c>
      <c r="E270" s="59" t="s">
        <v>18</v>
      </c>
      <c r="F270" s="15">
        <v>1100.0</v>
      </c>
      <c r="G270" s="16">
        <v>1106.3</v>
      </c>
      <c r="H270" s="17">
        <v>484.5</v>
      </c>
      <c r="I270" s="16">
        <f t="shared" si="9"/>
        <v>6.3</v>
      </c>
      <c r="J270" s="18">
        <f t="shared" si="2"/>
        <v>0.5727272727</v>
      </c>
      <c r="K270" s="17">
        <v>15.73</v>
      </c>
      <c r="L270" s="19">
        <f t="shared" si="3"/>
        <v>44.04545455</v>
      </c>
      <c r="M270" s="20">
        <f t="shared" si="4"/>
        <v>205.4143735</v>
      </c>
      <c r="N270" s="21">
        <f t="shared" si="10"/>
        <v>2.340181818</v>
      </c>
      <c r="O270" s="21">
        <f t="shared" si="6"/>
        <v>2574.2</v>
      </c>
      <c r="P270" s="22">
        <f t="shared" si="7"/>
        <v>225955.8108</v>
      </c>
    </row>
    <row r="271" hidden="1">
      <c r="B271" s="11">
        <v>46142.0</v>
      </c>
      <c r="C271" s="12">
        <f>VLOOKUP(B:B,'Курс валют'!A:D,4,0)</f>
        <v>87.7771</v>
      </c>
      <c r="D271" s="13" t="s">
        <v>916</v>
      </c>
      <c r="E271" s="59" t="s">
        <v>18</v>
      </c>
      <c r="F271" s="15">
        <v>1100.0</v>
      </c>
      <c r="G271" s="16">
        <v>1106.3</v>
      </c>
      <c r="H271" s="17">
        <v>484.5</v>
      </c>
      <c r="I271" s="16">
        <f t="shared" si="9"/>
        <v>6.3</v>
      </c>
      <c r="J271" s="18">
        <f t="shared" si="2"/>
        <v>0.5727272727</v>
      </c>
      <c r="K271" s="17">
        <v>15.73</v>
      </c>
      <c r="L271" s="19">
        <f t="shared" si="3"/>
        <v>44.04545455</v>
      </c>
      <c r="M271" s="20">
        <f t="shared" si="4"/>
        <v>205.4143735</v>
      </c>
      <c r="N271" s="21">
        <f t="shared" si="10"/>
        <v>2.340181818</v>
      </c>
      <c r="O271" s="21">
        <f t="shared" si="6"/>
        <v>2574.2</v>
      </c>
      <c r="P271" s="22">
        <f t="shared" si="7"/>
        <v>225955.8108</v>
      </c>
    </row>
    <row r="272" hidden="1">
      <c r="B272" s="11">
        <v>46142.0</v>
      </c>
      <c r="C272" s="12">
        <f>VLOOKUP(B:B,'Курс валют'!A:D,4,0)</f>
        <v>87.7771</v>
      </c>
      <c r="D272" s="13" t="s">
        <v>917</v>
      </c>
      <c r="E272" s="59" t="s">
        <v>18</v>
      </c>
      <c r="F272" s="15">
        <v>1100.0</v>
      </c>
      <c r="G272" s="16">
        <v>1106.3</v>
      </c>
      <c r="H272" s="17">
        <v>484.5</v>
      </c>
      <c r="I272" s="16">
        <f t="shared" si="9"/>
        <v>6.3</v>
      </c>
      <c r="J272" s="18">
        <f t="shared" si="2"/>
        <v>0.5727272727</v>
      </c>
      <c r="K272" s="17">
        <v>15.73</v>
      </c>
      <c r="L272" s="19">
        <f t="shared" si="3"/>
        <v>44.04545455</v>
      </c>
      <c r="M272" s="20">
        <f t="shared" si="4"/>
        <v>205.4143735</v>
      </c>
      <c r="N272" s="21">
        <f t="shared" si="10"/>
        <v>2.340181818</v>
      </c>
      <c r="O272" s="21">
        <f t="shared" si="6"/>
        <v>2574.2</v>
      </c>
      <c r="P272" s="22">
        <f t="shared" si="7"/>
        <v>225955.8108</v>
      </c>
    </row>
    <row r="273" hidden="1">
      <c r="B273" s="11">
        <v>46142.0</v>
      </c>
      <c r="C273" s="12">
        <f>VLOOKUP(B:B,'Курс валют'!A:D,4,0)</f>
        <v>87.7771</v>
      </c>
      <c r="D273" s="13" t="s">
        <v>918</v>
      </c>
      <c r="E273" s="59" t="s">
        <v>18</v>
      </c>
      <c r="F273" s="15">
        <v>1100.0</v>
      </c>
      <c r="G273" s="16">
        <v>1106.3</v>
      </c>
      <c r="H273" s="17">
        <v>484.5</v>
      </c>
      <c r="I273" s="16">
        <f t="shared" si="9"/>
        <v>6.3</v>
      </c>
      <c r="J273" s="18">
        <f t="shared" si="2"/>
        <v>0.5727272727</v>
      </c>
      <c r="K273" s="17">
        <v>15.73</v>
      </c>
      <c r="L273" s="19">
        <f t="shared" si="3"/>
        <v>44.04545455</v>
      </c>
      <c r="M273" s="20">
        <f t="shared" si="4"/>
        <v>205.4143735</v>
      </c>
      <c r="N273" s="21">
        <f t="shared" si="10"/>
        <v>2.340181818</v>
      </c>
      <c r="O273" s="21">
        <f t="shared" si="6"/>
        <v>2574.2</v>
      </c>
      <c r="P273" s="22">
        <f t="shared" si="7"/>
        <v>225955.8108</v>
      </c>
    </row>
    <row r="274" hidden="1">
      <c r="B274" s="11">
        <v>46142.0</v>
      </c>
      <c r="C274" s="12">
        <f>VLOOKUP(B:B,'Курс валют'!A:D,4,0)</f>
        <v>87.7771</v>
      </c>
      <c r="D274" s="13" t="s">
        <v>919</v>
      </c>
      <c r="E274" s="59" t="s">
        <v>18</v>
      </c>
      <c r="F274" s="15">
        <v>1100.0</v>
      </c>
      <c r="G274" s="16">
        <v>1106.3</v>
      </c>
      <c r="H274" s="17">
        <v>484.5</v>
      </c>
      <c r="I274" s="16">
        <f t="shared" si="9"/>
        <v>6.3</v>
      </c>
      <c r="J274" s="18">
        <f t="shared" si="2"/>
        <v>0.5727272727</v>
      </c>
      <c r="K274" s="17">
        <v>15.73</v>
      </c>
      <c r="L274" s="19">
        <f t="shared" si="3"/>
        <v>44.04545455</v>
      </c>
      <c r="M274" s="20">
        <f t="shared" si="4"/>
        <v>205.4143735</v>
      </c>
      <c r="N274" s="21">
        <f t="shared" si="10"/>
        <v>2.340181818</v>
      </c>
      <c r="O274" s="21">
        <f t="shared" si="6"/>
        <v>2574.2</v>
      </c>
      <c r="P274" s="22">
        <f t="shared" si="7"/>
        <v>225955.8108</v>
      </c>
    </row>
    <row r="275" hidden="1">
      <c r="B275" s="11">
        <v>46142.0</v>
      </c>
      <c r="C275" s="12">
        <f>VLOOKUP(B:B,'Курс валют'!A:D,4,0)</f>
        <v>87.7771</v>
      </c>
      <c r="D275" s="13" t="s">
        <v>920</v>
      </c>
      <c r="E275" s="59" t="s">
        <v>18</v>
      </c>
      <c r="F275" s="15">
        <v>1100.0</v>
      </c>
      <c r="G275" s="16">
        <v>1106.3</v>
      </c>
      <c r="H275" s="17">
        <v>484.5</v>
      </c>
      <c r="I275" s="16">
        <f t="shared" si="9"/>
        <v>6.3</v>
      </c>
      <c r="J275" s="18">
        <f t="shared" si="2"/>
        <v>0.5727272727</v>
      </c>
      <c r="K275" s="17">
        <v>15.73</v>
      </c>
      <c r="L275" s="19">
        <f t="shared" si="3"/>
        <v>44.04545455</v>
      </c>
      <c r="M275" s="20">
        <f t="shared" si="4"/>
        <v>205.4143735</v>
      </c>
      <c r="N275" s="21">
        <f t="shared" si="10"/>
        <v>2.340181818</v>
      </c>
      <c r="O275" s="21">
        <f t="shared" si="6"/>
        <v>2574.2</v>
      </c>
      <c r="P275" s="22">
        <f t="shared" si="7"/>
        <v>225955.8108</v>
      </c>
    </row>
    <row r="276" hidden="1">
      <c r="B276" s="11">
        <v>46142.0</v>
      </c>
      <c r="C276" s="12">
        <f>VLOOKUP(B:B,'Курс валют'!A:D,4,0)</f>
        <v>87.7771</v>
      </c>
      <c r="D276" s="13" t="s">
        <v>921</v>
      </c>
      <c r="E276" s="59" t="s">
        <v>90</v>
      </c>
      <c r="F276" s="15">
        <v>198.0</v>
      </c>
      <c r="G276" s="16">
        <v>200.0</v>
      </c>
      <c r="H276" s="17">
        <v>0.0</v>
      </c>
      <c r="I276" s="16">
        <f t="shared" si="9"/>
        <v>2</v>
      </c>
      <c r="J276" s="18">
        <f t="shared" si="2"/>
        <v>1.01010101</v>
      </c>
      <c r="K276" s="17">
        <v>2.32</v>
      </c>
      <c r="L276" s="19">
        <f t="shared" si="3"/>
        <v>0</v>
      </c>
      <c r="M276" s="20">
        <f t="shared" si="4"/>
        <v>203.642872</v>
      </c>
      <c r="N276" s="21">
        <f t="shared" ref="N276:N339" si="11">(F276*K276-H276*3.04)/F276</f>
        <v>2.32</v>
      </c>
      <c r="O276" s="21">
        <f t="shared" si="6"/>
        <v>459.36</v>
      </c>
      <c r="P276" s="22">
        <f t="shared" si="7"/>
        <v>40321.28866</v>
      </c>
      <c r="R276" s="42" t="s">
        <v>922</v>
      </c>
    </row>
    <row r="277" hidden="1">
      <c r="B277" s="11">
        <v>46142.0</v>
      </c>
      <c r="C277" s="12">
        <f>VLOOKUP(B:B,'Курс валют'!A:D,4,0)</f>
        <v>87.7771</v>
      </c>
      <c r="D277" s="13" t="s">
        <v>923</v>
      </c>
      <c r="E277" s="59" t="s">
        <v>207</v>
      </c>
      <c r="F277" s="15">
        <v>440.0</v>
      </c>
      <c r="G277" s="16">
        <v>440.0</v>
      </c>
      <c r="H277" s="17">
        <v>0.0</v>
      </c>
      <c r="I277" s="16">
        <f t="shared" si="9"/>
        <v>0</v>
      </c>
      <c r="J277" s="18">
        <f t="shared" si="2"/>
        <v>0</v>
      </c>
      <c r="K277" s="17">
        <v>2.49</v>
      </c>
      <c r="L277" s="19">
        <f t="shared" si="3"/>
        <v>0</v>
      </c>
      <c r="M277" s="20">
        <f t="shared" si="4"/>
        <v>218.564979</v>
      </c>
      <c r="N277" s="21">
        <f t="shared" si="11"/>
        <v>2.49</v>
      </c>
      <c r="O277" s="21">
        <f t="shared" si="6"/>
        <v>1095.6</v>
      </c>
      <c r="P277" s="22">
        <f t="shared" si="7"/>
        <v>96168.59076</v>
      </c>
      <c r="R277" s="42" t="s">
        <v>924</v>
      </c>
    </row>
    <row r="278" hidden="1">
      <c r="B278" s="11">
        <v>46142.0</v>
      </c>
      <c r="C278" s="12">
        <f>VLOOKUP(B:B,'Курс валют'!A:D,4,0)</f>
        <v>87.7771</v>
      </c>
      <c r="D278" s="13" t="s">
        <v>925</v>
      </c>
      <c r="E278" s="59" t="s">
        <v>926</v>
      </c>
      <c r="F278" s="15">
        <v>400.0</v>
      </c>
      <c r="G278" s="16">
        <v>400.0</v>
      </c>
      <c r="H278" s="17">
        <v>0.0</v>
      </c>
      <c r="I278" s="16">
        <f t="shared" si="9"/>
        <v>0</v>
      </c>
      <c r="J278" s="18">
        <f t="shared" si="2"/>
        <v>0</v>
      </c>
      <c r="K278" s="17">
        <v>3.04</v>
      </c>
      <c r="L278" s="19">
        <f t="shared" si="3"/>
        <v>0</v>
      </c>
      <c r="M278" s="20">
        <f t="shared" si="4"/>
        <v>266.842384</v>
      </c>
      <c r="N278" s="21">
        <f t="shared" si="11"/>
        <v>3.04</v>
      </c>
      <c r="O278" s="21">
        <f t="shared" si="6"/>
        <v>1216</v>
      </c>
      <c r="P278" s="22">
        <f t="shared" si="7"/>
        <v>106736.9536</v>
      </c>
      <c r="R278" s="42" t="s">
        <v>927</v>
      </c>
    </row>
    <row r="279" hidden="1">
      <c r="B279" s="11"/>
      <c r="C279" s="12" t="str">
        <f>VLOOKUP(B:B,'Курс валют'!A:D,4,0)</f>
        <v>#N/A</v>
      </c>
      <c r="D279" s="13"/>
      <c r="E279" s="59"/>
      <c r="F279" s="15"/>
      <c r="G279" s="16"/>
      <c r="H279" s="65"/>
      <c r="I279" s="16">
        <f t="shared" si="9"/>
        <v>0</v>
      </c>
      <c r="J279" s="18" t="str">
        <f t="shared" si="2"/>
        <v>#DIV/0!</v>
      </c>
      <c r="K279" s="65"/>
      <c r="L279" s="19" t="str">
        <f t="shared" si="3"/>
        <v>#DIV/0!</v>
      </c>
      <c r="M279" s="20" t="str">
        <f t="shared" si="4"/>
        <v>#DIV/0!</v>
      </c>
      <c r="N279" s="21" t="str">
        <f t="shared" si="11"/>
        <v>#DIV/0!</v>
      </c>
      <c r="O279" s="21" t="str">
        <f t="shared" si="6"/>
        <v>#DIV/0!</v>
      </c>
      <c r="P279" s="22" t="str">
        <f t="shared" si="7"/>
        <v>#DIV/0!</v>
      </c>
    </row>
    <row r="280" hidden="1">
      <c r="B280" s="11"/>
      <c r="C280" s="12" t="str">
        <f>VLOOKUP(B:B,'Курс валют'!A:D,4,0)</f>
        <v>#N/A</v>
      </c>
      <c r="D280" s="13"/>
      <c r="E280" s="59"/>
      <c r="F280" s="15"/>
      <c r="G280" s="16"/>
      <c r="H280" s="65"/>
      <c r="I280" s="16">
        <f t="shared" si="9"/>
        <v>0</v>
      </c>
      <c r="J280" s="18" t="str">
        <f t="shared" si="2"/>
        <v>#DIV/0!</v>
      </c>
      <c r="K280" s="65"/>
      <c r="L280" s="19" t="str">
        <f t="shared" si="3"/>
        <v>#DIV/0!</v>
      </c>
      <c r="M280" s="20" t="str">
        <f t="shared" si="4"/>
        <v>#DIV/0!</v>
      </c>
      <c r="N280" s="21" t="str">
        <f t="shared" si="11"/>
        <v>#DIV/0!</v>
      </c>
      <c r="O280" s="21" t="str">
        <f t="shared" si="6"/>
        <v>#DIV/0!</v>
      </c>
      <c r="P280" s="22" t="str">
        <f t="shared" si="7"/>
        <v>#DIV/0!</v>
      </c>
    </row>
    <row r="281" hidden="1">
      <c r="B281" s="11"/>
      <c r="C281" s="12" t="str">
        <f>VLOOKUP(B:B,'Курс валют'!A:D,4,0)</f>
        <v>#N/A</v>
      </c>
      <c r="D281" s="13"/>
      <c r="E281" s="59"/>
      <c r="F281" s="15"/>
      <c r="G281" s="16"/>
      <c r="H281" s="65"/>
      <c r="I281" s="16">
        <f t="shared" si="9"/>
        <v>0</v>
      </c>
      <c r="J281" s="18" t="str">
        <f t="shared" si="2"/>
        <v>#DIV/0!</v>
      </c>
      <c r="K281" s="65"/>
      <c r="L281" s="19" t="str">
        <f t="shared" si="3"/>
        <v>#DIV/0!</v>
      </c>
      <c r="M281" s="20" t="str">
        <f t="shared" si="4"/>
        <v>#DIV/0!</v>
      </c>
      <c r="N281" s="21" t="str">
        <f t="shared" si="11"/>
        <v>#DIV/0!</v>
      </c>
      <c r="O281" s="21" t="str">
        <f t="shared" si="6"/>
        <v>#DIV/0!</v>
      </c>
      <c r="P281" s="22" t="str">
        <f t="shared" si="7"/>
        <v>#DIV/0!</v>
      </c>
    </row>
    <row r="282" hidden="1">
      <c r="B282" s="11"/>
      <c r="C282" s="12" t="str">
        <f>VLOOKUP(B:B,'Курс валют'!A:D,4,0)</f>
        <v>#N/A</v>
      </c>
      <c r="D282" s="13"/>
      <c r="E282" s="59"/>
      <c r="F282" s="15"/>
      <c r="G282" s="16"/>
      <c r="H282" s="65"/>
      <c r="I282" s="16">
        <f t="shared" si="9"/>
        <v>0</v>
      </c>
      <c r="J282" s="18" t="str">
        <f t="shared" si="2"/>
        <v>#DIV/0!</v>
      </c>
      <c r="K282" s="65"/>
      <c r="L282" s="19" t="str">
        <f t="shared" si="3"/>
        <v>#DIV/0!</v>
      </c>
      <c r="M282" s="20" t="str">
        <f t="shared" si="4"/>
        <v>#DIV/0!</v>
      </c>
      <c r="N282" s="21" t="str">
        <f t="shared" si="11"/>
        <v>#DIV/0!</v>
      </c>
      <c r="O282" s="21" t="str">
        <f t="shared" si="6"/>
        <v>#DIV/0!</v>
      </c>
      <c r="P282" s="22" t="str">
        <f t="shared" si="7"/>
        <v>#DIV/0!</v>
      </c>
    </row>
    <row r="283" hidden="1">
      <c r="B283" s="11"/>
      <c r="C283" s="12" t="str">
        <f>VLOOKUP(B:B,'Курс валют'!A:D,4,0)</f>
        <v>#N/A</v>
      </c>
      <c r="D283" s="13"/>
      <c r="E283" s="59"/>
      <c r="F283" s="15"/>
      <c r="G283" s="16"/>
      <c r="H283" s="65"/>
      <c r="I283" s="16">
        <f t="shared" si="9"/>
        <v>0</v>
      </c>
      <c r="J283" s="18" t="str">
        <f t="shared" si="2"/>
        <v>#DIV/0!</v>
      </c>
      <c r="K283" s="65"/>
      <c r="L283" s="19" t="str">
        <f t="shared" si="3"/>
        <v>#DIV/0!</v>
      </c>
      <c r="M283" s="20" t="str">
        <f t="shared" si="4"/>
        <v>#DIV/0!</v>
      </c>
      <c r="N283" s="21" t="str">
        <f t="shared" si="11"/>
        <v>#DIV/0!</v>
      </c>
      <c r="O283" s="21" t="str">
        <f t="shared" si="6"/>
        <v>#DIV/0!</v>
      </c>
      <c r="P283" s="22" t="str">
        <f t="shared" si="7"/>
        <v>#DIV/0!</v>
      </c>
    </row>
    <row r="284" hidden="1">
      <c r="B284" s="11"/>
      <c r="C284" s="12" t="str">
        <f>VLOOKUP(B:B,'Курс валют'!A:D,4,0)</f>
        <v>#N/A</v>
      </c>
      <c r="D284" s="13"/>
      <c r="E284" s="59"/>
      <c r="F284" s="15"/>
      <c r="G284" s="16"/>
      <c r="H284" s="65"/>
      <c r="I284" s="16">
        <f t="shared" si="9"/>
        <v>0</v>
      </c>
      <c r="J284" s="18" t="str">
        <f t="shared" si="2"/>
        <v>#DIV/0!</v>
      </c>
      <c r="K284" s="65"/>
      <c r="L284" s="19" t="str">
        <f t="shared" si="3"/>
        <v>#DIV/0!</v>
      </c>
      <c r="M284" s="20" t="str">
        <f t="shared" si="4"/>
        <v>#DIV/0!</v>
      </c>
      <c r="N284" s="21" t="str">
        <f t="shared" si="11"/>
        <v>#DIV/0!</v>
      </c>
      <c r="O284" s="21" t="str">
        <f t="shared" si="6"/>
        <v>#DIV/0!</v>
      </c>
      <c r="P284" s="22" t="str">
        <f t="shared" si="7"/>
        <v>#DIV/0!</v>
      </c>
    </row>
    <row r="285" hidden="1">
      <c r="B285" s="11"/>
      <c r="C285" s="12" t="str">
        <f>VLOOKUP(B:B,'Курс валют'!A:D,4,0)</f>
        <v>#N/A</v>
      </c>
      <c r="D285" s="13"/>
      <c r="E285" s="59"/>
      <c r="F285" s="15"/>
      <c r="G285" s="16"/>
      <c r="H285" s="65"/>
      <c r="I285" s="16">
        <f t="shared" si="9"/>
        <v>0</v>
      </c>
      <c r="J285" s="18" t="str">
        <f t="shared" si="2"/>
        <v>#DIV/0!</v>
      </c>
      <c r="K285" s="65"/>
      <c r="L285" s="19" t="str">
        <f t="shared" si="3"/>
        <v>#DIV/0!</v>
      </c>
      <c r="M285" s="20" t="str">
        <f t="shared" si="4"/>
        <v>#DIV/0!</v>
      </c>
      <c r="N285" s="21" t="str">
        <f t="shared" si="11"/>
        <v>#DIV/0!</v>
      </c>
      <c r="O285" s="21" t="str">
        <f t="shared" si="6"/>
        <v>#DIV/0!</v>
      </c>
      <c r="P285" s="22" t="str">
        <f t="shared" si="7"/>
        <v>#DIV/0!</v>
      </c>
    </row>
    <row r="286" hidden="1">
      <c r="B286" s="11"/>
      <c r="C286" s="12" t="str">
        <f>VLOOKUP(B:B,'Курс валют'!A:D,4,0)</f>
        <v>#N/A</v>
      </c>
      <c r="D286" s="13"/>
      <c r="E286" s="59"/>
      <c r="F286" s="15"/>
      <c r="G286" s="16"/>
      <c r="H286" s="65"/>
      <c r="I286" s="16">
        <f t="shared" si="9"/>
        <v>0</v>
      </c>
      <c r="J286" s="18" t="str">
        <f t="shared" si="2"/>
        <v>#DIV/0!</v>
      </c>
      <c r="K286" s="65"/>
      <c r="L286" s="19" t="str">
        <f t="shared" si="3"/>
        <v>#DIV/0!</v>
      </c>
      <c r="M286" s="20" t="str">
        <f t="shared" si="4"/>
        <v>#DIV/0!</v>
      </c>
      <c r="N286" s="21" t="str">
        <f t="shared" si="11"/>
        <v>#DIV/0!</v>
      </c>
      <c r="O286" s="21" t="str">
        <f t="shared" si="6"/>
        <v>#DIV/0!</v>
      </c>
      <c r="P286" s="22" t="str">
        <f t="shared" si="7"/>
        <v>#DIV/0!</v>
      </c>
    </row>
    <row r="287" hidden="1">
      <c r="B287" s="11"/>
      <c r="C287" s="12" t="str">
        <f>VLOOKUP(B:B,'Курс валют'!A:D,4,0)</f>
        <v>#N/A</v>
      </c>
      <c r="D287" s="13"/>
      <c r="E287" s="59"/>
      <c r="F287" s="15"/>
      <c r="G287" s="16"/>
      <c r="H287" s="65"/>
      <c r="I287" s="16">
        <f t="shared" si="9"/>
        <v>0</v>
      </c>
      <c r="J287" s="18" t="str">
        <f t="shared" si="2"/>
        <v>#DIV/0!</v>
      </c>
      <c r="K287" s="65"/>
      <c r="L287" s="19" t="str">
        <f t="shared" si="3"/>
        <v>#DIV/0!</v>
      </c>
      <c r="M287" s="20" t="str">
        <f t="shared" si="4"/>
        <v>#DIV/0!</v>
      </c>
      <c r="N287" s="21" t="str">
        <f t="shared" si="11"/>
        <v>#DIV/0!</v>
      </c>
      <c r="O287" s="21" t="str">
        <f t="shared" si="6"/>
        <v>#DIV/0!</v>
      </c>
      <c r="P287" s="22" t="str">
        <f t="shared" si="7"/>
        <v>#DIV/0!</v>
      </c>
    </row>
    <row r="288" hidden="1">
      <c r="B288" s="11"/>
      <c r="C288" s="12" t="str">
        <f>VLOOKUP(B:B,'Курс валют'!A:D,4,0)</f>
        <v>#N/A</v>
      </c>
      <c r="D288" s="13"/>
      <c r="E288" s="59"/>
      <c r="F288" s="15"/>
      <c r="G288" s="16"/>
      <c r="H288" s="17"/>
      <c r="I288" s="16">
        <f t="shared" si="9"/>
        <v>0</v>
      </c>
      <c r="J288" s="18" t="str">
        <f t="shared" si="2"/>
        <v>#DIV/0!</v>
      </c>
      <c r="K288" s="17"/>
      <c r="L288" s="19" t="str">
        <f t="shared" si="3"/>
        <v>#DIV/0!</v>
      </c>
      <c r="M288" s="20" t="str">
        <f t="shared" si="4"/>
        <v>#DIV/0!</v>
      </c>
      <c r="N288" s="21" t="str">
        <f t="shared" si="11"/>
        <v>#DIV/0!</v>
      </c>
      <c r="O288" s="21" t="str">
        <f t="shared" si="6"/>
        <v>#DIV/0!</v>
      </c>
      <c r="P288" s="22" t="str">
        <f t="shared" si="7"/>
        <v>#DIV/0!</v>
      </c>
    </row>
    <row r="289" hidden="1">
      <c r="B289" s="11"/>
      <c r="C289" s="12" t="str">
        <f>VLOOKUP(B:B,'Курс валют'!A:D,4,0)</f>
        <v>#N/A</v>
      </c>
      <c r="D289" s="13"/>
      <c r="E289" s="59"/>
      <c r="F289" s="15"/>
      <c r="G289" s="15"/>
      <c r="H289" s="17"/>
      <c r="I289" s="15">
        <f t="shared" si="9"/>
        <v>0</v>
      </c>
      <c r="J289" s="18" t="str">
        <f t="shared" si="2"/>
        <v>#DIV/0!</v>
      </c>
      <c r="K289" s="17"/>
      <c r="L289" s="19" t="str">
        <f t="shared" si="3"/>
        <v>#DIV/0!</v>
      </c>
      <c r="M289" s="20" t="str">
        <f t="shared" si="4"/>
        <v>#DIV/0!</v>
      </c>
      <c r="N289" s="21" t="str">
        <f t="shared" si="11"/>
        <v>#DIV/0!</v>
      </c>
      <c r="O289" s="21" t="str">
        <f t="shared" si="6"/>
        <v>#DIV/0!</v>
      </c>
      <c r="P289" s="22" t="str">
        <f t="shared" si="7"/>
        <v>#DIV/0!</v>
      </c>
    </row>
    <row r="290" hidden="1">
      <c r="B290" s="11"/>
      <c r="C290" s="12" t="str">
        <f>VLOOKUP(B:B,'Курс валют'!A:D,4,0)</f>
        <v>#N/A</v>
      </c>
      <c r="D290" s="13"/>
      <c r="E290" s="59"/>
      <c r="F290" s="15"/>
      <c r="G290" s="16"/>
      <c r="H290" s="17"/>
      <c r="I290" s="16">
        <f t="shared" si="9"/>
        <v>0</v>
      </c>
      <c r="J290" s="18" t="str">
        <f t="shared" si="2"/>
        <v>#DIV/0!</v>
      </c>
      <c r="K290" s="17"/>
      <c r="L290" s="19" t="str">
        <f t="shared" si="3"/>
        <v>#DIV/0!</v>
      </c>
      <c r="M290" s="20" t="str">
        <f t="shared" si="4"/>
        <v>#DIV/0!</v>
      </c>
      <c r="N290" s="21" t="str">
        <f t="shared" si="11"/>
        <v>#DIV/0!</v>
      </c>
      <c r="O290" s="21" t="str">
        <f t="shared" si="6"/>
        <v>#DIV/0!</v>
      </c>
      <c r="P290" s="22" t="str">
        <f t="shared" si="7"/>
        <v>#DIV/0!</v>
      </c>
    </row>
    <row r="291" hidden="1">
      <c r="B291" s="11"/>
      <c r="C291" s="12" t="str">
        <f>VLOOKUP(B:B,'Курс валют'!A:D,4,0)</f>
        <v>#N/A</v>
      </c>
      <c r="D291" s="13"/>
      <c r="E291" s="59"/>
      <c r="F291" s="15"/>
      <c r="G291" s="15"/>
      <c r="H291" s="17"/>
      <c r="I291" s="15">
        <f t="shared" si="9"/>
        <v>0</v>
      </c>
      <c r="J291" s="18" t="str">
        <f t="shared" si="2"/>
        <v>#DIV/0!</v>
      </c>
      <c r="K291" s="17"/>
      <c r="L291" s="19" t="str">
        <f t="shared" si="3"/>
        <v>#DIV/0!</v>
      </c>
      <c r="M291" s="20" t="str">
        <f t="shared" si="4"/>
        <v>#DIV/0!</v>
      </c>
      <c r="N291" s="21" t="str">
        <f t="shared" si="11"/>
        <v>#DIV/0!</v>
      </c>
      <c r="O291" s="21" t="str">
        <f t="shared" si="6"/>
        <v>#DIV/0!</v>
      </c>
      <c r="P291" s="22" t="str">
        <f t="shared" si="7"/>
        <v>#DIV/0!</v>
      </c>
    </row>
    <row r="292" hidden="1">
      <c r="B292" s="11"/>
      <c r="C292" s="12" t="str">
        <f>VLOOKUP(B:B,'Курс валют'!A:D,4,0)</f>
        <v>#N/A</v>
      </c>
      <c r="D292" s="13"/>
      <c r="E292" s="59"/>
      <c r="F292" s="15"/>
      <c r="G292" s="16"/>
      <c r="H292" s="65"/>
      <c r="I292" s="16">
        <f t="shared" si="9"/>
        <v>0</v>
      </c>
      <c r="J292" s="18" t="str">
        <f t="shared" si="2"/>
        <v>#DIV/0!</v>
      </c>
      <c r="K292" s="65"/>
      <c r="L292" s="19" t="str">
        <f t="shared" si="3"/>
        <v>#DIV/0!</v>
      </c>
      <c r="M292" s="20" t="str">
        <f t="shared" si="4"/>
        <v>#DIV/0!</v>
      </c>
      <c r="N292" s="21" t="str">
        <f t="shared" si="11"/>
        <v>#DIV/0!</v>
      </c>
      <c r="O292" s="21" t="str">
        <f t="shared" si="6"/>
        <v>#DIV/0!</v>
      </c>
      <c r="P292" s="22" t="str">
        <f t="shared" si="7"/>
        <v>#DIV/0!</v>
      </c>
    </row>
    <row r="293" hidden="1">
      <c r="B293" s="11"/>
      <c r="C293" s="12" t="str">
        <f>VLOOKUP(B:B,'Курс валют'!A:D,4,0)</f>
        <v>#N/A</v>
      </c>
      <c r="D293" s="13"/>
      <c r="E293" s="59"/>
      <c r="F293" s="15"/>
      <c r="G293" s="16"/>
      <c r="H293" s="65"/>
      <c r="I293" s="16">
        <f t="shared" si="9"/>
        <v>0</v>
      </c>
      <c r="J293" s="18" t="str">
        <f t="shared" si="2"/>
        <v>#DIV/0!</v>
      </c>
      <c r="K293" s="65"/>
      <c r="L293" s="19" t="str">
        <f t="shared" si="3"/>
        <v>#DIV/0!</v>
      </c>
      <c r="M293" s="20" t="str">
        <f t="shared" si="4"/>
        <v>#DIV/0!</v>
      </c>
      <c r="N293" s="21" t="str">
        <f t="shared" si="11"/>
        <v>#DIV/0!</v>
      </c>
      <c r="O293" s="21" t="str">
        <f t="shared" si="6"/>
        <v>#DIV/0!</v>
      </c>
      <c r="P293" s="22" t="str">
        <f t="shared" si="7"/>
        <v>#DIV/0!</v>
      </c>
    </row>
    <row r="294" hidden="1">
      <c r="B294" s="11"/>
      <c r="C294" s="12" t="str">
        <f>VLOOKUP(B:B,'Курс валют'!A:D,4,0)</f>
        <v>#N/A</v>
      </c>
      <c r="D294" s="13"/>
      <c r="E294" s="59"/>
      <c r="F294" s="15"/>
      <c r="G294" s="16"/>
      <c r="H294" s="65"/>
      <c r="I294" s="16">
        <f t="shared" si="9"/>
        <v>0</v>
      </c>
      <c r="J294" s="18" t="str">
        <f t="shared" si="2"/>
        <v>#DIV/0!</v>
      </c>
      <c r="K294" s="65"/>
      <c r="L294" s="19" t="str">
        <f t="shared" si="3"/>
        <v>#DIV/0!</v>
      </c>
      <c r="M294" s="20" t="str">
        <f t="shared" si="4"/>
        <v>#DIV/0!</v>
      </c>
      <c r="N294" s="21" t="str">
        <f t="shared" si="11"/>
        <v>#DIV/0!</v>
      </c>
      <c r="O294" s="21" t="str">
        <f t="shared" si="6"/>
        <v>#DIV/0!</v>
      </c>
      <c r="P294" s="22" t="str">
        <f t="shared" si="7"/>
        <v>#DIV/0!</v>
      </c>
    </row>
    <row r="295" hidden="1">
      <c r="B295" s="11"/>
      <c r="C295" s="12" t="str">
        <f>VLOOKUP(B:B,'Курс валют'!A:D,4,0)</f>
        <v>#N/A</v>
      </c>
      <c r="D295" s="13"/>
      <c r="E295" s="59"/>
      <c r="F295" s="15"/>
      <c r="G295" s="16"/>
      <c r="H295" s="65"/>
      <c r="I295" s="16">
        <f t="shared" si="9"/>
        <v>0</v>
      </c>
      <c r="J295" s="18" t="str">
        <f t="shared" si="2"/>
        <v>#DIV/0!</v>
      </c>
      <c r="K295" s="65"/>
      <c r="L295" s="19" t="str">
        <f t="shared" si="3"/>
        <v>#DIV/0!</v>
      </c>
      <c r="M295" s="20" t="str">
        <f t="shared" si="4"/>
        <v>#DIV/0!</v>
      </c>
      <c r="N295" s="21" t="str">
        <f t="shared" si="11"/>
        <v>#DIV/0!</v>
      </c>
      <c r="O295" s="21" t="str">
        <f t="shared" si="6"/>
        <v>#DIV/0!</v>
      </c>
      <c r="P295" s="22" t="str">
        <f t="shared" si="7"/>
        <v>#DIV/0!</v>
      </c>
    </row>
    <row r="296" hidden="1">
      <c r="B296" s="11"/>
      <c r="C296" s="12" t="str">
        <f>VLOOKUP(B:B,'Курс валют'!A:D,4,0)</f>
        <v>#N/A</v>
      </c>
      <c r="D296" s="13"/>
      <c r="E296" s="59"/>
      <c r="F296" s="15"/>
      <c r="G296" s="16"/>
      <c r="H296" s="65"/>
      <c r="I296" s="16">
        <f t="shared" si="9"/>
        <v>0</v>
      </c>
      <c r="J296" s="18" t="str">
        <f t="shared" si="2"/>
        <v>#DIV/0!</v>
      </c>
      <c r="K296" s="65"/>
      <c r="L296" s="19" t="str">
        <f t="shared" si="3"/>
        <v>#DIV/0!</v>
      </c>
      <c r="M296" s="20" t="str">
        <f t="shared" si="4"/>
        <v>#DIV/0!</v>
      </c>
      <c r="N296" s="21" t="str">
        <f t="shared" si="11"/>
        <v>#DIV/0!</v>
      </c>
      <c r="O296" s="21" t="str">
        <f t="shared" si="6"/>
        <v>#DIV/0!</v>
      </c>
      <c r="P296" s="22" t="str">
        <f t="shared" si="7"/>
        <v>#DIV/0!</v>
      </c>
    </row>
    <row r="297" hidden="1">
      <c r="B297" s="11"/>
      <c r="C297" s="12" t="str">
        <f>VLOOKUP(B:B,'Курс валют'!A:D,4,0)</f>
        <v>#N/A</v>
      </c>
      <c r="D297" s="13"/>
      <c r="E297" s="59"/>
      <c r="F297" s="15"/>
      <c r="G297" s="16"/>
      <c r="H297" s="65"/>
      <c r="I297" s="16">
        <f t="shared" si="9"/>
        <v>0</v>
      </c>
      <c r="J297" s="18" t="str">
        <f t="shared" si="2"/>
        <v>#DIV/0!</v>
      </c>
      <c r="K297" s="65"/>
      <c r="L297" s="19" t="str">
        <f t="shared" si="3"/>
        <v>#DIV/0!</v>
      </c>
      <c r="M297" s="20" t="str">
        <f t="shared" si="4"/>
        <v>#DIV/0!</v>
      </c>
      <c r="N297" s="21" t="str">
        <f t="shared" si="11"/>
        <v>#DIV/0!</v>
      </c>
      <c r="O297" s="21" t="str">
        <f t="shared" si="6"/>
        <v>#DIV/0!</v>
      </c>
      <c r="P297" s="22" t="str">
        <f t="shared" si="7"/>
        <v>#DIV/0!</v>
      </c>
    </row>
    <row r="298" hidden="1">
      <c r="B298" s="11"/>
      <c r="C298" s="12" t="str">
        <f>VLOOKUP(B:B,'Курс валют'!A:D,4,0)</f>
        <v>#N/A</v>
      </c>
      <c r="D298" s="13"/>
      <c r="E298" s="59"/>
      <c r="F298" s="15"/>
      <c r="G298" s="16"/>
      <c r="H298" s="65"/>
      <c r="I298" s="16">
        <f t="shared" si="9"/>
        <v>0</v>
      </c>
      <c r="J298" s="18" t="str">
        <f t="shared" si="2"/>
        <v>#DIV/0!</v>
      </c>
      <c r="K298" s="65"/>
      <c r="L298" s="19" t="str">
        <f t="shared" si="3"/>
        <v>#DIV/0!</v>
      </c>
      <c r="M298" s="20" t="str">
        <f t="shared" si="4"/>
        <v>#DIV/0!</v>
      </c>
      <c r="N298" s="21" t="str">
        <f t="shared" si="11"/>
        <v>#DIV/0!</v>
      </c>
      <c r="O298" s="21" t="str">
        <f t="shared" si="6"/>
        <v>#DIV/0!</v>
      </c>
      <c r="P298" s="22" t="str">
        <f t="shared" si="7"/>
        <v>#DIV/0!</v>
      </c>
    </row>
    <row r="299" hidden="1">
      <c r="B299" s="11"/>
      <c r="C299" s="12" t="str">
        <f>VLOOKUP(B:B,'Курс валют'!A:D,4,0)</f>
        <v>#N/A</v>
      </c>
      <c r="D299" s="13"/>
      <c r="E299" s="59"/>
      <c r="F299" s="15"/>
      <c r="G299" s="16"/>
      <c r="H299" s="65"/>
      <c r="I299" s="16">
        <f t="shared" si="9"/>
        <v>0</v>
      </c>
      <c r="J299" s="18" t="str">
        <f t="shared" si="2"/>
        <v>#DIV/0!</v>
      </c>
      <c r="K299" s="65"/>
      <c r="L299" s="19" t="str">
        <f t="shared" si="3"/>
        <v>#DIV/0!</v>
      </c>
      <c r="M299" s="20" t="str">
        <f t="shared" si="4"/>
        <v>#DIV/0!</v>
      </c>
      <c r="N299" s="21" t="str">
        <f t="shared" si="11"/>
        <v>#DIV/0!</v>
      </c>
      <c r="O299" s="21" t="str">
        <f t="shared" si="6"/>
        <v>#DIV/0!</v>
      </c>
      <c r="P299" s="22" t="str">
        <f t="shared" si="7"/>
        <v>#DIV/0!</v>
      </c>
    </row>
    <row r="300" hidden="1">
      <c r="B300" s="11"/>
      <c r="C300" s="12" t="str">
        <f>VLOOKUP(B:B,'Курс валют'!A:D,4,0)</f>
        <v>#N/A</v>
      </c>
      <c r="D300" s="13"/>
      <c r="E300" s="59"/>
      <c r="F300" s="15"/>
      <c r="G300" s="16"/>
      <c r="H300" s="65"/>
      <c r="I300" s="16">
        <f t="shared" si="9"/>
        <v>0</v>
      </c>
      <c r="J300" s="18" t="str">
        <f t="shared" si="2"/>
        <v>#DIV/0!</v>
      </c>
      <c r="K300" s="65"/>
      <c r="L300" s="19" t="str">
        <f t="shared" si="3"/>
        <v>#DIV/0!</v>
      </c>
      <c r="M300" s="20" t="str">
        <f t="shared" si="4"/>
        <v>#DIV/0!</v>
      </c>
      <c r="N300" s="21" t="str">
        <f t="shared" si="11"/>
        <v>#DIV/0!</v>
      </c>
      <c r="O300" s="21" t="str">
        <f t="shared" si="6"/>
        <v>#DIV/0!</v>
      </c>
      <c r="P300" s="22" t="str">
        <f t="shared" si="7"/>
        <v>#DIV/0!</v>
      </c>
    </row>
    <row r="301" hidden="1">
      <c r="B301" s="11"/>
      <c r="C301" s="12" t="str">
        <f>VLOOKUP(B:B,'Курс валют'!A:D,4,0)</f>
        <v>#N/A</v>
      </c>
      <c r="D301" s="13"/>
      <c r="E301" s="59"/>
      <c r="F301" s="15"/>
      <c r="G301" s="16"/>
      <c r="H301" s="65"/>
      <c r="I301" s="16">
        <f t="shared" si="9"/>
        <v>0</v>
      </c>
      <c r="J301" s="18" t="str">
        <f t="shared" si="2"/>
        <v>#DIV/0!</v>
      </c>
      <c r="K301" s="65"/>
      <c r="L301" s="19" t="str">
        <f t="shared" si="3"/>
        <v>#DIV/0!</v>
      </c>
      <c r="M301" s="20" t="str">
        <f t="shared" si="4"/>
        <v>#DIV/0!</v>
      </c>
      <c r="N301" s="21" t="str">
        <f t="shared" si="11"/>
        <v>#DIV/0!</v>
      </c>
      <c r="O301" s="21" t="str">
        <f t="shared" si="6"/>
        <v>#DIV/0!</v>
      </c>
      <c r="P301" s="22" t="str">
        <f t="shared" si="7"/>
        <v>#DIV/0!</v>
      </c>
    </row>
    <row r="302" hidden="1">
      <c r="B302" s="11"/>
      <c r="C302" s="12" t="str">
        <f>VLOOKUP(B:B,'Курс валют'!A:D,4,0)</f>
        <v>#N/A</v>
      </c>
      <c r="D302" s="13"/>
      <c r="E302" s="59"/>
      <c r="F302" s="15"/>
      <c r="G302" s="16"/>
      <c r="H302" s="65"/>
      <c r="I302" s="16">
        <f t="shared" si="9"/>
        <v>0</v>
      </c>
      <c r="J302" s="18" t="str">
        <f t="shared" si="2"/>
        <v>#DIV/0!</v>
      </c>
      <c r="K302" s="65"/>
      <c r="L302" s="19" t="str">
        <f t="shared" si="3"/>
        <v>#DIV/0!</v>
      </c>
      <c r="M302" s="20" t="str">
        <f t="shared" si="4"/>
        <v>#DIV/0!</v>
      </c>
      <c r="N302" s="21" t="str">
        <f t="shared" si="11"/>
        <v>#DIV/0!</v>
      </c>
      <c r="O302" s="21" t="str">
        <f t="shared" si="6"/>
        <v>#DIV/0!</v>
      </c>
      <c r="P302" s="22" t="str">
        <f t="shared" si="7"/>
        <v>#DIV/0!</v>
      </c>
    </row>
    <row r="303" hidden="1">
      <c r="B303" s="11"/>
      <c r="C303" s="12" t="str">
        <f>VLOOKUP(B:B,'Курс валют'!A:D,4,0)</f>
        <v>#N/A</v>
      </c>
      <c r="D303" s="13"/>
      <c r="E303" s="59"/>
      <c r="F303" s="15"/>
      <c r="G303" s="16"/>
      <c r="H303" s="65"/>
      <c r="I303" s="16">
        <f t="shared" si="9"/>
        <v>0</v>
      </c>
      <c r="J303" s="18" t="str">
        <f t="shared" si="2"/>
        <v>#DIV/0!</v>
      </c>
      <c r="K303" s="65"/>
      <c r="L303" s="19" t="str">
        <f t="shared" si="3"/>
        <v>#DIV/0!</v>
      </c>
      <c r="M303" s="20" t="str">
        <f t="shared" si="4"/>
        <v>#DIV/0!</v>
      </c>
      <c r="N303" s="21" t="str">
        <f t="shared" si="11"/>
        <v>#DIV/0!</v>
      </c>
      <c r="O303" s="21" t="str">
        <f t="shared" si="6"/>
        <v>#DIV/0!</v>
      </c>
      <c r="P303" s="22" t="str">
        <f t="shared" si="7"/>
        <v>#DIV/0!</v>
      </c>
    </row>
    <row r="304" hidden="1">
      <c r="B304" s="11"/>
      <c r="C304" s="12" t="str">
        <f>VLOOKUP(B:B,'Курс валют'!A:D,4,0)</f>
        <v>#N/A</v>
      </c>
      <c r="D304" s="13"/>
      <c r="E304" s="59"/>
      <c r="F304" s="15"/>
      <c r="G304" s="16"/>
      <c r="H304" s="65"/>
      <c r="I304" s="16">
        <f t="shared" si="9"/>
        <v>0</v>
      </c>
      <c r="J304" s="18" t="str">
        <f t="shared" si="2"/>
        <v>#DIV/0!</v>
      </c>
      <c r="K304" s="65"/>
      <c r="L304" s="19" t="str">
        <f t="shared" si="3"/>
        <v>#DIV/0!</v>
      </c>
      <c r="M304" s="20" t="str">
        <f t="shared" si="4"/>
        <v>#DIV/0!</v>
      </c>
      <c r="N304" s="21" t="str">
        <f t="shared" si="11"/>
        <v>#DIV/0!</v>
      </c>
      <c r="O304" s="21" t="str">
        <f t="shared" si="6"/>
        <v>#DIV/0!</v>
      </c>
      <c r="P304" s="22" t="str">
        <f t="shared" si="7"/>
        <v>#DIV/0!</v>
      </c>
    </row>
    <row r="305" hidden="1">
      <c r="B305" s="11"/>
      <c r="C305" s="12" t="str">
        <f>VLOOKUP(B:B,'Курс валют'!A:D,4,0)</f>
        <v>#N/A</v>
      </c>
      <c r="D305" s="13"/>
      <c r="E305" s="59"/>
      <c r="F305" s="15"/>
      <c r="G305" s="16"/>
      <c r="H305" s="65"/>
      <c r="I305" s="16">
        <f t="shared" si="9"/>
        <v>0</v>
      </c>
      <c r="J305" s="18" t="str">
        <f t="shared" si="2"/>
        <v>#DIV/0!</v>
      </c>
      <c r="K305" s="65"/>
      <c r="L305" s="19" t="str">
        <f t="shared" si="3"/>
        <v>#DIV/0!</v>
      </c>
      <c r="M305" s="20" t="str">
        <f t="shared" si="4"/>
        <v>#DIV/0!</v>
      </c>
      <c r="N305" s="21" t="str">
        <f t="shared" si="11"/>
        <v>#DIV/0!</v>
      </c>
      <c r="O305" s="21" t="str">
        <f t="shared" si="6"/>
        <v>#DIV/0!</v>
      </c>
      <c r="P305" s="22" t="str">
        <f t="shared" si="7"/>
        <v>#DIV/0!</v>
      </c>
    </row>
    <row r="306" hidden="1">
      <c r="B306" s="11"/>
      <c r="C306" s="12" t="str">
        <f>VLOOKUP(B:B,'Курс валют'!A:D,4,0)</f>
        <v>#N/A</v>
      </c>
      <c r="D306" s="13"/>
      <c r="E306" s="59"/>
      <c r="F306" s="15"/>
      <c r="G306" s="16"/>
      <c r="H306" s="65"/>
      <c r="I306" s="16">
        <f t="shared" si="9"/>
        <v>0</v>
      </c>
      <c r="J306" s="18" t="str">
        <f t="shared" si="2"/>
        <v>#DIV/0!</v>
      </c>
      <c r="K306" s="65"/>
      <c r="L306" s="19" t="str">
        <f t="shared" si="3"/>
        <v>#DIV/0!</v>
      </c>
      <c r="M306" s="20" t="str">
        <f t="shared" si="4"/>
        <v>#DIV/0!</v>
      </c>
      <c r="N306" s="21" t="str">
        <f t="shared" si="11"/>
        <v>#DIV/0!</v>
      </c>
      <c r="O306" s="21" t="str">
        <f t="shared" si="6"/>
        <v>#DIV/0!</v>
      </c>
      <c r="P306" s="22" t="str">
        <f t="shared" si="7"/>
        <v>#DIV/0!</v>
      </c>
    </row>
    <row r="307" hidden="1">
      <c r="B307" s="11"/>
      <c r="C307" s="12" t="str">
        <f>VLOOKUP(B:B,'Курс валют'!A:D,4,0)</f>
        <v>#N/A</v>
      </c>
      <c r="D307" s="13"/>
      <c r="E307" s="59"/>
      <c r="F307" s="15"/>
      <c r="G307" s="16"/>
      <c r="H307" s="65"/>
      <c r="I307" s="16">
        <f t="shared" si="9"/>
        <v>0</v>
      </c>
      <c r="J307" s="18" t="str">
        <f t="shared" si="2"/>
        <v>#DIV/0!</v>
      </c>
      <c r="K307" s="65"/>
      <c r="L307" s="19" t="str">
        <f t="shared" si="3"/>
        <v>#DIV/0!</v>
      </c>
      <c r="M307" s="20" t="str">
        <f t="shared" si="4"/>
        <v>#DIV/0!</v>
      </c>
      <c r="N307" s="21" t="str">
        <f t="shared" si="11"/>
        <v>#DIV/0!</v>
      </c>
      <c r="O307" s="21" t="str">
        <f t="shared" si="6"/>
        <v>#DIV/0!</v>
      </c>
      <c r="P307" s="22" t="str">
        <f t="shared" si="7"/>
        <v>#DIV/0!</v>
      </c>
    </row>
    <row r="308" hidden="1">
      <c r="B308" s="11"/>
      <c r="C308" s="12" t="str">
        <f>VLOOKUP(B:B,'Курс валют'!A:D,4,0)</f>
        <v>#N/A</v>
      </c>
      <c r="D308" s="13"/>
      <c r="E308" s="59"/>
      <c r="F308" s="15"/>
      <c r="G308" s="15"/>
      <c r="H308" s="17"/>
      <c r="I308" s="15">
        <f t="shared" si="9"/>
        <v>0</v>
      </c>
      <c r="J308" s="18" t="str">
        <f t="shared" si="2"/>
        <v>#DIV/0!</v>
      </c>
      <c r="K308" s="17"/>
      <c r="L308" s="19" t="str">
        <f t="shared" si="3"/>
        <v>#DIV/0!</v>
      </c>
      <c r="M308" s="20" t="str">
        <f t="shared" si="4"/>
        <v>#DIV/0!</v>
      </c>
      <c r="N308" s="21" t="str">
        <f t="shared" si="11"/>
        <v>#DIV/0!</v>
      </c>
      <c r="O308" s="21" t="str">
        <f t="shared" si="6"/>
        <v>#DIV/0!</v>
      </c>
      <c r="P308" s="22" t="str">
        <f t="shared" si="7"/>
        <v>#DIV/0!</v>
      </c>
    </row>
    <row r="309" hidden="1">
      <c r="B309" s="11"/>
      <c r="C309" s="12" t="str">
        <f>VLOOKUP(B:B,'Курс валют'!A:D,4,0)</f>
        <v>#N/A</v>
      </c>
      <c r="D309" s="13"/>
      <c r="E309" s="59"/>
      <c r="F309" s="15"/>
      <c r="G309" s="16"/>
      <c r="H309" s="65"/>
      <c r="I309" s="16">
        <f t="shared" si="9"/>
        <v>0</v>
      </c>
      <c r="J309" s="18" t="str">
        <f t="shared" si="2"/>
        <v>#DIV/0!</v>
      </c>
      <c r="K309" s="65"/>
      <c r="L309" s="19" t="str">
        <f t="shared" si="3"/>
        <v>#DIV/0!</v>
      </c>
      <c r="M309" s="20" t="str">
        <f t="shared" si="4"/>
        <v>#DIV/0!</v>
      </c>
      <c r="N309" s="21" t="str">
        <f t="shared" si="11"/>
        <v>#DIV/0!</v>
      </c>
      <c r="O309" s="21" t="str">
        <f t="shared" si="6"/>
        <v>#DIV/0!</v>
      </c>
      <c r="P309" s="22" t="str">
        <f t="shared" si="7"/>
        <v>#DIV/0!</v>
      </c>
    </row>
    <row r="310" hidden="1">
      <c r="B310" s="11"/>
      <c r="C310" s="12" t="str">
        <f>VLOOKUP(B:B,'Курс валют'!A:D,4,0)</f>
        <v>#N/A</v>
      </c>
      <c r="D310" s="13"/>
      <c r="E310" s="59"/>
      <c r="F310" s="15"/>
      <c r="G310" s="16"/>
      <c r="H310" s="65"/>
      <c r="I310" s="16">
        <f t="shared" si="9"/>
        <v>0</v>
      </c>
      <c r="J310" s="18" t="str">
        <f t="shared" si="2"/>
        <v>#DIV/0!</v>
      </c>
      <c r="K310" s="65"/>
      <c r="L310" s="19" t="str">
        <f t="shared" si="3"/>
        <v>#DIV/0!</v>
      </c>
      <c r="M310" s="20" t="str">
        <f t="shared" si="4"/>
        <v>#DIV/0!</v>
      </c>
      <c r="N310" s="21" t="str">
        <f t="shared" si="11"/>
        <v>#DIV/0!</v>
      </c>
      <c r="O310" s="21" t="str">
        <f t="shared" si="6"/>
        <v>#DIV/0!</v>
      </c>
      <c r="P310" s="22" t="str">
        <f t="shared" si="7"/>
        <v>#DIV/0!</v>
      </c>
    </row>
    <row r="311" hidden="1">
      <c r="B311" s="11"/>
      <c r="C311" s="12" t="str">
        <f>VLOOKUP(B:B,'Курс валют'!A:D,4,0)</f>
        <v>#N/A</v>
      </c>
      <c r="D311" s="13"/>
      <c r="E311" s="59"/>
      <c r="F311" s="15"/>
      <c r="G311" s="16"/>
      <c r="H311" s="65"/>
      <c r="I311" s="16">
        <f t="shared" si="9"/>
        <v>0</v>
      </c>
      <c r="J311" s="18" t="str">
        <f t="shared" si="2"/>
        <v>#DIV/0!</v>
      </c>
      <c r="K311" s="65"/>
      <c r="L311" s="19" t="str">
        <f t="shared" si="3"/>
        <v>#DIV/0!</v>
      </c>
      <c r="M311" s="20" t="str">
        <f t="shared" si="4"/>
        <v>#DIV/0!</v>
      </c>
      <c r="N311" s="21" t="str">
        <f t="shared" si="11"/>
        <v>#DIV/0!</v>
      </c>
      <c r="O311" s="21" t="str">
        <f t="shared" si="6"/>
        <v>#DIV/0!</v>
      </c>
      <c r="P311" s="22" t="str">
        <f t="shared" si="7"/>
        <v>#DIV/0!</v>
      </c>
    </row>
    <row r="312" hidden="1">
      <c r="B312" s="11"/>
      <c r="C312" s="12" t="str">
        <f>VLOOKUP(B:B,'Курс валют'!A:D,4,0)</f>
        <v>#N/A</v>
      </c>
      <c r="D312" s="13"/>
      <c r="E312" s="59"/>
      <c r="F312" s="15"/>
      <c r="G312" s="16"/>
      <c r="H312" s="17"/>
      <c r="I312" s="16">
        <f t="shared" si="9"/>
        <v>0</v>
      </c>
      <c r="J312" s="18" t="str">
        <f t="shared" si="2"/>
        <v>#DIV/0!</v>
      </c>
      <c r="K312" s="17"/>
      <c r="L312" s="19" t="str">
        <f t="shared" si="3"/>
        <v>#DIV/0!</v>
      </c>
      <c r="M312" s="20" t="str">
        <f t="shared" si="4"/>
        <v>#DIV/0!</v>
      </c>
      <c r="N312" s="21" t="str">
        <f t="shared" si="11"/>
        <v>#DIV/0!</v>
      </c>
      <c r="O312" s="21" t="str">
        <f t="shared" si="6"/>
        <v>#DIV/0!</v>
      </c>
      <c r="P312" s="22" t="str">
        <f t="shared" si="7"/>
        <v>#DIV/0!</v>
      </c>
    </row>
    <row r="313" hidden="1">
      <c r="B313" s="11"/>
      <c r="C313" s="12" t="str">
        <f>VLOOKUP(B:B,'Курс валют'!A:D,4,0)</f>
        <v>#N/A</v>
      </c>
      <c r="D313" s="13"/>
      <c r="E313" s="59"/>
      <c r="F313" s="15"/>
      <c r="G313" s="16"/>
      <c r="H313" s="65"/>
      <c r="I313" s="16">
        <f t="shared" si="9"/>
        <v>0</v>
      </c>
      <c r="J313" s="18" t="str">
        <f t="shared" si="2"/>
        <v>#DIV/0!</v>
      </c>
      <c r="K313" s="65"/>
      <c r="L313" s="19" t="str">
        <f t="shared" si="3"/>
        <v>#DIV/0!</v>
      </c>
      <c r="M313" s="20" t="str">
        <f t="shared" si="4"/>
        <v>#DIV/0!</v>
      </c>
      <c r="N313" s="21" t="str">
        <f t="shared" si="11"/>
        <v>#DIV/0!</v>
      </c>
      <c r="O313" s="21" t="str">
        <f t="shared" si="6"/>
        <v>#DIV/0!</v>
      </c>
      <c r="P313" s="22" t="str">
        <f t="shared" si="7"/>
        <v>#DIV/0!</v>
      </c>
    </row>
    <row r="314" hidden="1">
      <c r="B314" s="11"/>
      <c r="C314" s="12" t="str">
        <f>VLOOKUP(B:B,'Курс валют'!A:D,4,0)</f>
        <v>#N/A</v>
      </c>
      <c r="D314" s="13"/>
      <c r="E314" s="59"/>
      <c r="F314" s="15"/>
      <c r="G314" s="16"/>
      <c r="H314" s="65"/>
      <c r="I314" s="16">
        <f t="shared" si="9"/>
        <v>0</v>
      </c>
      <c r="J314" s="18" t="str">
        <f t="shared" si="2"/>
        <v>#DIV/0!</v>
      </c>
      <c r="K314" s="65"/>
      <c r="L314" s="19" t="str">
        <f t="shared" si="3"/>
        <v>#DIV/0!</v>
      </c>
      <c r="M314" s="20" t="str">
        <f t="shared" si="4"/>
        <v>#DIV/0!</v>
      </c>
      <c r="N314" s="21" t="str">
        <f t="shared" si="11"/>
        <v>#DIV/0!</v>
      </c>
      <c r="O314" s="21" t="str">
        <f t="shared" si="6"/>
        <v>#DIV/0!</v>
      </c>
      <c r="P314" s="22" t="str">
        <f t="shared" si="7"/>
        <v>#DIV/0!</v>
      </c>
    </row>
    <row r="315" hidden="1">
      <c r="B315" s="11"/>
      <c r="C315" s="12" t="str">
        <f>VLOOKUP(B:B,'Курс валют'!A:D,4,0)</f>
        <v>#N/A</v>
      </c>
      <c r="D315" s="13"/>
      <c r="E315" s="59"/>
      <c r="F315" s="15"/>
      <c r="G315" s="16"/>
      <c r="H315" s="65"/>
      <c r="I315" s="16">
        <f t="shared" si="9"/>
        <v>0</v>
      </c>
      <c r="J315" s="18" t="str">
        <f t="shared" si="2"/>
        <v>#DIV/0!</v>
      </c>
      <c r="K315" s="65"/>
      <c r="L315" s="19" t="str">
        <f t="shared" si="3"/>
        <v>#DIV/0!</v>
      </c>
      <c r="M315" s="20" t="str">
        <f t="shared" si="4"/>
        <v>#DIV/0!</v>
      </c>
      <c r="N315" s="21" t="str">
        <f t="shared" si="11"/>
        <v>#DIV/0!</v>
      </c>
      <c r="O315" s="21" t="str">
        <f t="shared" si="6"/>
        <v>#DIV/0!</v>
      </c>
      <c r="P315" s="22" t="str">
        <f t="shared" si="7"/>
        <v>#DIV/0!</v>
      </c>
    </row>
    <row r="316" hidden="1">
      <c r="B316" s="11"/>
      <c r="C316" s="12" t="str">
        <f>VLOOKUP(B:B,'Курс валют'!A:D,4,0)</f>
        <v>#N/A</v>
      </c>
      <c r="D316" s="13"/>
      <c r="E316" s="59"/>
      <c r="F316" s="15"/>
      <c r="G316" s="16"/>
      <c r="H316" s="65"/>
      <c r="I316" s="16">
        <f t="shared" si="9"/>
        <v>0</v>
      </c>
      <c r="J316" s="18" t="str">
        <f t="shared" si="2"/>
        <v>#DIV/0!</v>
      </c>
      <c r="K316" s="65"/>
      <c r="L316" s="19" t="str">
        <f t="shared" si="3"/>
        <v>#DIV/0!</v>
      </c>
      <c r="M316" s="20" t="str">
        <f t="shared" si="4"/>
        <v>#DIV/0!</v>
      </c>
      <c r="N316" s="21" t="str">
        <f t="shared" si="11"/>
        <v>#DIV/0!</v>
      </c>
      <c r="O316" s="21" t="str">
        <f t="shared" si="6"/>
        <v>#DIV/0!</v>
      </c>
      <c r="P316" s="22" t="str">
        <f t="shared" si="7"/>
        <v>#DIV/0!</v>
      </c>
    </row>
    <row r="317" hidden="1">
      <c r="B317" s="11"/>
      <c r="C317" s="12" t="str">
        <f>VLOOKUP(B:B,'Курс валют'!A:D,4,0)</f>
        <v>#N/A</v>
      </c>
      <c r="D317" s="13"/>
      <c r="E317" s="59"/>
      <c r="F317" s="15"/>
      <c r="G317" s="16"/>
      <c r="H317" s="65"/>
      <c r="I317" s="16">
        <f t="shared" si="9"/>
        <v>0</v>
      </c>
      <c r="J317" s="18" t="str">
        <f t="shared" si="2"/>
        <v>#DIV/0!</v>
      </c>
      <c r="K317" s="65"/>
      <c r="L317" s="19" t="str">
        <f t="shared" si="3"/>
        <v>#DIV/0!</v>
      </c>
      <c r="M317" s="20" t="str">
        <f t="shared" si="4"/>
        <v>#DIV/0!</v>
      </c>
      <c r="N317" s="21" t="str">
        <f t="shared" si="11"/>
        <v>#DIV/0!</v>
      </c>
      <c r="O317" s="21" t="str">
        <f t="shared" si="6"/>
        <v>#DIV/0!</v>
      </c>
      <c r="P317" s="22" t="str">
        <f t="shared" si="7"/>
        <v>#DIV/0!</v>
      </c>
    </row>
    <row r="318" hidden="1">
      <c r="B318" s="11"/>
      <c r="C318" s="12" t="str">
        <f>VLOOKUP(B:B,'Курс валют'!A:D,4,0)</f>
        <v>#N/A</v>
      </c>
      <c r="D318" s="13"/>
      <c r="E318" s="59"/>
      <c r="F318" s="15"/>
      <c r="G318" s="16"/>
      <c r="H318" s="65"/>
      <c r="I318" s="16">
        <f t="shared" si="9"/>
        <v>0</v>
      </c>
      <c r="J318" s="18" t="str">
        <f t="shared" si="2"/>
        <v>#DIV/0!</v>
      </c>
      <c r="K318" s="65"/>
      <c r="L318" s="19" t="str">
        <f t="shared" si="3"/>
        <v>#DIV/0!</v>
      </c>
      <c r="M318" s="20" t="str">
        <f t="shared" si="4"/>
        <v>#DIV/0!</v>
      </c>
      <c r="N318" s="21" t="str">
        <f t="shared" si="11"/>
        <v>#DIV/0!</v>
      </c>
      <c r="O318" s="21" t="str">
        <f t="shared" si="6"/>
        <v>#DIV/0!</v>
      </c>
      <c r="P318" s="22" t="str">
        <f t="shared" si="7"/>
        <v>#DIV/0!</v>
      </c>
    </row>
    <row r="319" hidden="1">
      <c r="B319" s="11"/>
      <c r="C319" s="12" t="str">
        <f>VLOOKUP(B:B,'Курс валют'!A:D,4,0)</f>
        <v>#N/A</v>
      </c>
      <c r="D319" s="13"/>
      <c r="E319" s="59"/>
      <c r="F319" s="15"/>
      <c r="G319" s="16"/>
      <c r="H319" s="65"/>
      <c r="I319" s="16">
        <f t="shared" si="9"/>
        <v>0</v>
      </c>
      <c r="J319" s="18" t="str">
        <f t="shared" si="2"/>
        <v>#DIV/0!</v>
      </c>
      <c r="K319" s="65"/>
      <c r="L319" s="19" t="str">
        <f t="shared" si="3"/>
        <v>#DIV/0!</v>
      </c>
      <c r="M319" s="20" t="str">
        <f t="shared" si="4"/>
        <v>#DIV/0!</v>
      </c>
      <c r="N319" s="21" t="str">
        <f t="shared" si="11"/>
        <v>#DIV/0!</v>
      </c>
      <c r="O319" s="21" t="str">
        <f t="shared" si="6"/>
        <v>#DIV/0!</v>
      </c>
      <c r="P319" s="22" t="str">
        <f t="shared" si="7"/>
        <v>#DIV/0!</v>
      </c>
    </row>
    <row r="320" hidden="1">
      <c r="B320" s="11"/>
      <c r="C320" s="12" t="str">
        <f>VLOOKUP(B:B,'Курс валют'!A:D,4,0)</f>
        <v>#N/A</v>
      </c>
      <c r="D320" s="13"/>
      <c r="E320" s="59"/>
      <c r="F320" s="15"/>
      <c r="G320" s="16"/>
      <c r="H320" s="65"/>
      <c r="I320" s="16">
        <f t="shared" si="9"/>
        <v>0</v>
      </c>
      <c r="J320" s="18" t="str">
        <f t="shared" si="2"/>
        <v>#DIV/0!</v>
      </c>
      <c r="K320" s="65"/>
      <c r="L320" s="19" t="str">
        <f t="shared" si="3"/>
        <v>#DIV/0!</v>
      </c>
      <c r="M320" s="20" t="str">
        <f t="shared" si="4"/>
        <v>#DIV/0!</v>
      </c>
      <c r="N320" s="21" t="str">
        <f t="shared" si="11"/>
        <v>#DIV/0!</v>
      </c>
      <c r="O320" s="21" t="str">
        <f t="shared" si="6"/>
        <v>#DIV/0!</v>
      </c>
      <c r="P320" s="22" t="str">
        <f t="shared" si="7"/>
        <v>#DIV/0!</v>
      </c>
    </row>
    <row r="321" hidden="1">
      <c r="B321" s="11"/>
      <c r="C321" s="12" t="str">
        <f>VLOOKUP(B:B,'Курс валют'!A:D,4,0)</f>
        <v>#N/A</v>
      </c>
      <c r="D321" s="13"/>
      <c r="E321" s="59"/>
      <c r="F321" s="15"/>
      <c r="G321" s="16"/>
      <c r="H321" s="65"/>
      <c r="I321" s="16">
        <f t="shared" si="9"/>
        <v>0</v>
      </c>
      <c r="J321" s="18" t="str">
        <f t="shared" si="2"/>
        <v>#DIV/0!</v>
      </c>
      <c r="K321" s="65"/>
      <c r="L321" s="19" t="str">
        <f t="shared" si="3"/>
        <v>#DIV/0!</v>
      </c>
      <c r="M321" s="20" t="str">
        <f t="shared" si="4"/>
        <v>#DIV/0!</v>
      </c>
      <c r="N321" s="21" t="str">
        <f t="shared" si="11"/>
        <v>#DIV/0!</v>
      </c>
      <c r="O321" s="21" t="str">
        <f t="shared" si="6"/>
        <v>#DIV/0!</v>
      </c>
      <c r="P321" s="22" t="str">
        <f t="shared" si="7"/>
        <v>#DIV/0!</v>
      </c>
    </row>
    <row r="322" hidden="1">
      <c r="B322" s="11"/>
      <c r="C322" s="12" t="str">
        <f>VLOOKUP(B:B,'Курс валют'!A:D,4,0)</f>
        <v>#N/A</v>
      </c>
      <c r="D322" s="13"/>
      <c r="E322" s="59"/>
      <c r="F322" s="15"/>
      <c r="G322" s="16"/>
      <c r="H322" s="65"/>
      <c r="I322" s="16">
        <f t="shared" si="9"/>
        <v>0</v>
      </c>
      <c r="J322" s="18" t="str">
        <f t="shared" si="2"/>
        <v>#DIV/0!</v>
      </c>
      <c r="K322" s="65"/>
      <c r="L322" s="19" t="str">
        <f t="shared" si="3"/>
        <v>#DIV/0!</v>
      </c>
      <c r="M322" s="20" t="str">
        <f t="shared" si="4"/>
        <v>#DIV/0!</v>
      </c>
      <c r="N322" s="21" t="str">
        <f t="shared" si="11"/>
        <v>#DIV/0!</v>
      </c>
      <c r="O322" s="21" t="str">
        <f t="shared" si="6"/>
        <v>#DIV/0!</v>
      </c>
      <c r="P322" s="22" t="str">
        <f t="shared" si="7"/>
        <v>#DIV/0!</v>
      </c>
    </row>
    <row r="323" hidden="1">
      <c r="B323" s="11"/>
      <c r="C323" s="12" t="str">
        <f>VLOOKUP(B:B,'Курс валют'!A:D,4,0)</f>
        <v>#N/A</v>
      </c>
      <c r="D323" s="13"/>
      <c r="E323" s="59"/>
      <c r="F323" s="15"/>
      <c r="G323" s="16"/>
      <c r="H323" s="65"/>
      <c r="I323" s="16">
        <f t="shared" si="9"/>
        <v>0</v>
      </c>
      <c r="J323" s="18" t="str">
        <f t="shared" si="2"/>
        <v>#DIV/0!</v>
      </c>
      <c r="K323" s="65"/>
      <c r="L323" s="19" t="str">
        <f t="shared" si="3"/>
        <v>#DIV/0!</v>
      </c>
      <c r="M323" s="20" t="str">
        <f t="shared" si="4"/>
        <v>#DIV/0!</v>
      </c>
      <c r="N323" s="21" t="str">
        <f t="shared" si="11"/>
        <v>#DIV/0!</v>
      </c>
      <c r="O323" s="21" t="str">
        <f t="shared" si="6"/>
        <v>#DIV/0!</v>
      </c>
      <c r="P323" s="22" t="str">
        <f t="shared" si="7"/>
        <v>#DIV/0!</v>
      </c>
    </row>
    <row r="324" hidden="1">
      <c r="B324" s="11"/>
      <c r="C324" s="12" t="str">
        <f>VLOOKUP(B:B,'Курс валют'!A:D,4,0)</f>
        <v>#N/A</v>
      </c>
      <c r="D324" s="66"/>
      <c r="E324" s="67"/>
      <c r="F324" s="67"/>
      <c r="G324" s="67"/>
      <c r="H324" s="65"/>
      <c r="I324" s="15">
        <f t="shared" si="9"/>
        <v>0</v>
      </c>
      <c r="J324" s="18" t="str">
        <f t="shared" si="2"/>
        <v>#DIV/0!</v>
      </c>
      <c r="K324" s="65"/>
      <c r="L324" s="19" t="str">
        <f t="shared" si="3"/>
        <v>#DIV/0!</v>
      </c>
      <c r="M324" s="20" t="str">
        <f t="shared" si="4"/>
        <v>#DIV/0!</v>
      </c>
      <c r="N324" s="21" t="str">
        <f t="shared" si="11"/>
        <v>#DIV/0!</v>
      </c>
      <c r="O324" s="21" t="str">
        <f t="shared" si="6"/>
        <v>#DIV/0!</v>
      </c>
      <c r="P324" s="22" t="str">
        <f t="shared" si="7"/>
        <v>#DIV/0!</v>
      </c>
    </row>
    <row r="325" hidden="1">
      <c r="B325" s="11"/>
      <c r="C325" s="12" t="str">
        <f>VLOOKUP(B:B,'Курс валют'!A:D,4,0)</f>
        <v>#N/A</v>
      </c>
      <c r="D325" s="66"/>
      <c r="E325" s="67"/>
      <c r="F325" s="67"/>
      <c r="G325" s="67"/>
      <c r="H325" s="65"/>
      <c r="I325" s="15">
        <f t="shared" si="9"/>
        <v>0</v>
      </c>
      <c r="J325" s="18" t="str">
        <f t="shared" si="2"/>
        <v>#DIV/0!</v>
      </c>
      <c r="K325" s="65"/>
      <c r="L325" s="19" t="str">
        <f t="shared" si="3"/>
        <v>#DIV/0!</v>
      </c>
      <c r="M325" s="20" t="str">
        <f t="shared" si="4"/>
        <v>#DIV/0!</v>
      </c>
      <c r="N325" s="21" t="str">
        <f t="shared" si="11"/>
        <v>#DIV/0!</v>
      </c>
      <c r="O325" s="21" t="str">
        <f t="shared" si="6"/>
        <v>#DIV/0!</v>
      </c>
      <c r="P325" s="22" t="str">
        <f t="shared" si="7"/>
        <v>#DIV/0!</v>
      </c>
    </row>
    <row r="326" hidden="1">
      <c r="B326" s="11"/>
      <c r="C326" s="12" t="str">
        <f>VLOOKUP(B:B,'Курс валют'!A:D,4,0)</f>
        <v>#N/A</v>
      </c>
      <c r="D326" s="66"/>
      <c r="E326" s="67"/>
      <c r="F326" s="67"/>
      <c r="G326" s="67"/>
      <c r="H326" s="65"/>
      <c r="I326" s="15">
        <f t="shared" si="9"/>
        <v>0</v>
      </c>
      <c r="J326" s="18" t="str">
        <f t="shared" si="2"/>
        <v>#DIV/0!</v>
      </c>
      <c r="K326" s="65"/>
      <c r="L326" s="19" t="str">
        <f t="shared" si="3"/>
        <v>#DIV/0!</v>
      </c>
      <c r="M326" s="20" t="str">
        <f t="shared" si="4"/>
        <v>#DIV/0!</v>
      </c>
      <c r="N326" s="21" t="str">
        <f t="shared" si="11"/>
        <v>#DIV/0!</v>
      </c>
      <c r="O326" s="21" t="str">
        <f t="shared" si="6"/>
        <v>#DIV/0!</v>
      </c>
      <c r="P326" s="22" t="str">
        <f t="shared" si="7"/>
        <v>#DIV/0!</v>
      </c>
    </row>
    <row r="327" hidden="1">
      <c r="B327" s="11"/>
      <c r="C327" s="12" t="str">
        <f>VLOOKUP(B:B,'Курс валют'!A:D,4,0)</f>
        <v>#N/A</v>
      </c>
      <c r="D327" s="66"/>
      <c r="E327" s="67"/>
      <c r="F327" s="67"/>
      <c r="G327" s="67"/>
      <c r="H327" s="65"/>
      <c r="I327" s="15">
        <f t="shared" si="9"/>
        <v>0</v>
      </c>
      <c r="J327" s="18" t="str">
        <f t="shared" si="2"/>
        <v>#DIV/0!</v>
      </c>
      <c r="K327" s="65"/>
      <c r="L327" s="19" t="str">
        <f t="shared" si="3"/>
        <v>#DIV/0!</v>
      </c>
      <c r="M327" s="20" t="str">
        <f t="shared" si="4"/>
        <v>#DIV/0!</v>
      </c>
      <c r="N327" s="21" t="str">
        <f t="shared" si="11"/>
        <v>#DIV/0!</v>
      </c>
      <c r="O327" s="21" t="str">
        <f t="shared" si="6"/>
        <v>#DIV/0!</v>
      </c>
      <c r="P327" s="22" t="str">
        <f t="shared" si="7"/>
        <v>#DIV/0!</v>
      </c>
    </row>
    <row r="328" hidden="1">
      <c r="B328" s="11"/>
      <c r="C328" s="12" t="str">
        <f>VLOOKUP(B:B,'Курс валют'!A:D,4,0)</f>
        <v>#N/A</v>
      </c>
      <c r="D328" s="66"/>
      <c r="E328" s="67"/>
      <c r="F328" s="67"/>
      <c r="G328" s="67"/>
      <c r="H328" s="65"/>
      <c r="I328" s="15">
        <f t="shared" si="9"/>
        <v>0</v>
      </c>
      <c r="J328" s="18" t="str">
        <f t="shared" si="2"/>
        <v>#DIV/0!</v>
      </c>
      <c r="K328" s="65"/>
      <c r="L328" s="19" t="str">
        <f t="shared" si="3"/>
        <v>#DIV/0!</v>
      </c>
      <c r="M328" s="20" t="str">
        <f t="shared" si="4"/>
        <v>#DIV/0!</v>
      </c>
      <c r="N328" s="21" t="str">
        <f t="shared" si="11"/>
        <v>#DIV/0!</v>
      </c>
      <c r="O328" s="21" t="str">
        <f t="shared" si="6"/>
        <v>#DIV/0!</v>
      </c>
      <c r="P328" s="22" t="str">
        <f t="shared" si="7"/>
        <v>#DIV/0!</v>
      </c>
    </row>
    <row r="329" hidden="1">
      <c r="B329" s="11"/>
      <c r="C329" s="12" t="str">
        <f>VLOOKUP(B:B,'Курс валют'!A:D,4,0)</f>
        <v>#N/A</v>
      </c>
      <c r="D329" s="66"/>
      <c r="E329" s="67"/>
      <c r="F329" s="67"/>
      <c r="G329" s="67"/>
      <c r="H329" s="65"/>
      <c r="I329" s="15">
        <f t="shared" si="9"/>
        <v>0</v>
      </c>
      <c r="J329" s="18" t="str">
        <f t="shared" si="2"/>
        <v>#DIV/0!</v>
      </c>
      <c r="K329" s="65"/>
      <c r="L329" s="19" t="str">
        <f t="shared" si="3"/>
        <v>#DIV/0!</v>
      </c>
      <c r="M329" s="20" t="str">
        <f t="shared" si="4"/>
        <v>#DIV/0!</v>
      </c>
      <c r="N329" s="21" t="str">
        <f t="shared" si="11"/>
        <v>#DIV/0!</v>
      </c>
      <c r="O329" s="21" t="str">
        <f t="shared" si="6"/>
        <v>#DIV/0!</v>
      </c>
      <c r="P329" s="22" t="str">
        <f t="shared" si="7"/>
        <v>#DIV/0!</v>
      </c>
    </row>
    <row r="330" hidden="1">
      <c r="B330" s="11"/>
      <c r="C330" s="12" t="str">
        <f>VLOOKUP(B:B,'Курс валют'!A:D,4,0)</f>
        <v>#N/A</v>
      </c>
      <c r="D330" s="66"/>
      <c r="E330" s="67"/>
      <c r="F330" s="67"/>
      <c r="G330" s="67"/>
      <c r="H330" s="65"/>
      <c r="I330" s="15">
        <f t="shared" si="9"/>
        <v>0</v>
      </c>
      <c r="J330" s="18" t="str">
        <f t="shared" si="2"/>
        <v>#DIV/0!</v>
      </c>
      <c r="K330" s="65"/>
      <c r="L330" s="19" t="str">
        <f t="shared" si="3"/>
        <v>#DIV/0!</v>
      </c>
      <c r="M330" s="20" t="str">
        <f t="shared" si="4"/>
        <v>#DIV/0!</v>
      </c>
      <c r="N330" s="21" t="str">
        <f t="shared" si="11"/>
        <v>#DIV/0!</v>
      </c>
      <c r="O330" s="21" t="str">
        <f t="shared" si="6"/>
        <v>#DIV/0!</v>
      </c>
      <c r="P330" s="22" t="str">
        <f t="shared" si="7"/>
        <v>#DIV/0!</v>
      </c>
    </row>
    <row r="331" hidden="1">
      <c r="B331" s="11"/>
      <c r="C331" s="12" t="str">
        <f>VLOOKUP(B:B,'Курс валют'!A:D,4,0)</f>
        <v>#N/A</v>
      </c>
      <c r="D331" s="66"/>
      <c r="E331" s="67"/>
      <c r="F331" s="67"/>
      <c r="G331" s="67"/>
      <c r="H331" s="65"/>
      <c r="I331" s="15">
        <f t="shared" si="9"/>
        <v>0</v>
      </c>
      <c r="J331" s="18" t="str">
        <f t="shared" si="2"/>
        <v>#DIV/0!</v>
      </c>
      <c r="K331" s="65"/>
      <c r="L331" s="19" t="str">
        <f t="shared" si="3"/>
        <v>#DIV/0!</v>
      </c>
      <c r="M331" s="20" t="str">
        <f t="shared" si="4"/>
        <v>#DIV/0!</v>
      </c>
      <c r="N331" s="21" t="str">
        <f t="shared" si="11"/>
        <v>#DIV/0!</v>
      </c>
      <c r="O331" s="21" t="str">
        <f t="shared" si="6"/>
        <v>#DIV/0!</v>
      </c>
      <c r="P331" s="22" t="str">
        <f t="shared" si="7"/>
        <v>#DIV/0!</v>
      </c>
    </row>
    <row r="332" hidden="1">
      <c r="B332" s="11"/>
      <c r="C332" s="12" t="str">
        <f>VLOOKUP(B:B,'Курс валют'!A:D,4,0)</f>
        <v>#N/A</v>
      </c>
      <c r="D332" s="66"/>
      <c r="E332" s="67"/>
      <c r="F332" s="67"/>
      <c r="G332" s="67"/>
      <c r="H332" s="65"/>
      <c r="I332" s="15">
        <f t="shared" si="9"/>
        <v>0</v>
      </c>
      <c r="J332" s="18" t="str">
        <f t="shared" si="2"/>
        <v>#DIV/0!</v>
      </c>
      <c r="K332" s="65"/>
      <c r="L332" s="19" t="str">
        <f t="shared" si="3"/>
        <v>#DIV/0!</v>
      </c>
      <c r="M332" s="20" t="str">
        <f t="shared" si="4"/>
        <v>#DIV/0!</v>
      </c>
      <c r="N332" s="21" t="str">
        <f t="shared" si="11"/>
        <v>#DIV/0!</v>
      </c>
      <c r="O332" s="21" t="str">
        <f t="shared" si="6"/>
        <v>#DIV/0!</v>
      </c>
      <c r="P332" s="22" t="str">
        <f t="shared" si="7"/>
        <v>#DIV/0!</v>
      </c>
    </row>
    <row r="333" hidden="1">
      <c r="B333" s="11"/>
      <c r="C333" s="12" t="str">
        <f>VLOOKUP(B:B,'Курс валют'!A:D,4,0)</f>
        <v>#N/A</v>
      </c>
      <c r="D333" s="66"/>
      <c r="E333" s="67"/>
      <c r="F333" s="67"/>
      <c r="G333" s="67"/>
      <c r="H333" s="65"/>
      <c r="I333" s="15">
        <f t="shared" si="9"/>
        <v>0</v>
      </c>
      <c r="J333" s="18" t="str">
        <f t="shared" si="2"/>
        <v>#DIV/0!</v>
      </c>
      <c r="K333" s="65"/>
      <c r="L333" s="19" t="str">
        <f t="shared" si="3"/>
        <v>#DIV/0!</v>
      </c>
      <c r="M333" s="20" t="str">
        <f t="shared" si="4"/>
        <v>#DIV/0!</v>
      </c>
      <c r="N333" s="21" t="str">
        <f t="shared" si="11"/>
        <v>#DIV/0!</v>
      </c>
      <c r="O333" s="21" t="str">
        <f t="shared" si="6"/>
        <v>#DIV/0!</v>
      </c>
      <c r="P333" s="22" t="str">
        <f t="shared" si="7"/>
        <v>#DIV/0!</v>
      </c>
    </row>
    <row r="334" hidden="1">
      <c r="B334" s="11"/>
      <c r="C334" s="12" t="str">
        <f>VLOOKUP(B:B,'Курс валют'!A:D,4,0)</f>
        <v>#N/A</v>
      </c>
      <c r="D334" s="66"/>
      <c r="E334" s="67"/>
      <c r="F334" s="67"/>
      <c r="G334" s="67"/>
      <c r="H334" s="65"/>
      <c r="I334" s="15">
        <f t="shared" si="9"/>
        <v>0</v>
      </c>
      <c r="J334" s="18" t="str">
        <f t="shared" si="2"/>
        <v>#DIV/0!</v>
      </c>
      <c r="K334" s="65"/>
      <c r="L334" s="19" t="str">
        <f t="shared" si="3"/>
        <v>#DIV/0!</v>
      </c>
      <c r="M334" s="20" t="str">
        <f t="shared" si="4"/>
        <v>#DIV/0!</v>
      </c>
      <c r="N334" s="21" t="str">
        <f t="shared" si="11"/>
        <v>#DIV/0!</v>
      </c>
      <c r="O334" s="21" t="str">
        <f t="shared" si="6"/>
        <v>#DIV/0!</v>
      </c>
      <c r="P334" s="22" t="str">
        <f t="shared" si="7"/>
        <v>#DIV/0!</v>
      </c>
    </row>
    <row r="335" hidden="1">
      <c r="B335" s="11"/>
      <c r="C335" s="12" t="str">
        <f>VLOOKUP(B:B,'Курс валют'!A:D,4,0)</f>
        <v>#N/A</v>
      </c>
      <c r="D335" s="66"/>
      <c r="E335" s="67"/>
      <c r="F335" s="67"/>
      <c r="G335" s="67"/>
      <c r="H335" s="65"/>
      <c r="I335" s="15">
        <f t="shared" si="9"/>
        <v>0</v>
      </c>
      <c r="J335" s="18" t="str">
        <f t="shared" si="2"/>
        <v>#DIV/0!</v>
      </c>
      <c r="K335" s="65"/>
      <c r="L335" s="19" t="str">
        <f t="shared" si="3"/>
        <v>#DIV/0!</v>
      </c>
      <c r="M335" s="20" t="str">
        <f t="shared" si="4"/>
        <v>#DIV/0!</v>
      </c>
      <c r="N335" s="21" t="str">
        <f t="shared" si="11"/>
        <v>#DIV/0!</v>
      </c>
      <c r="O335" s="21" t="str">
        <f t="shared" si="6"/>
        <v>#DIV/0!</v>
      </c>
      <c r="P335" s="22" t="str">
        <f t="shared" si="7"/>
        <v>#DIV/0!</v>
      </c>
    </row>
    <row r="336" hidden="1">
      <c r="B336" s="11"/>
      <c r="C336" s="12" t="str">
        <f>VLOOKUP(B:B,'Курс валют'!A:D,4,0)</f>
        <v>#N/A</v>
      </c>
      <c r="D336" s="66"/>
      <c r="E336" s="67"/>
      <c r="F336" s="67"/>
      <c r="G336" s="67"/>
      <c r="H336" s="65"/>
      <c r="I336" s="15">
        <f t="shared" si="9"/>
        <v>0</v>
      </c>
      <c r="J336" s="18" t="str">
        <f t="shared" si="2"/>
        <v>#DIV/0!</v>
      </c>
      <c r="K336" s="65"/>
      <c r="L336" s="19" t="str">
        <f t="shared" si="3"/>
        <v>#DIV/0!</v>
      </c>
      <c r="M336" s="20" t="str">
        <f t="shared" si="4"/>
        <v>#DIV/0!</v>
      </c>
      <c r="N336" s="21" t="str">
        <f t="shared" si="11"/>
        <v>#DIV/0!</v>
      </c>
      <c r="O336" s="21" t="str">
        <f t="shared" si="6"/>
        <v>#DIV/0!</v>
      </c>
      <c r="P336" s="22" t="str">
        <f t="shared" si="7"/>
        <v>#DIV/0!</v>
      </c>
    </row>
    <row r="337" hidden="1">
      <c r="B337" s="11"/>
      <c r="C337" s="12" t="str">
        <f>VLOOKUP(B:B,'Курс валют'!A:D,4,0)</f>
        <v>#N/A</v>
      </c>
      <c r="D337" s="66"/>
      <c r="E337" s="67"/>
      <c r="F337" s="67"/>
      <c r="G337" s="67"/>
      <c r="H337" s="65"/>
      <c r="I337" s="15">
        <f t="shared" si="9"/>
        <v>0</v>
      </c>
      <c r="J337" s="18" t="str">
        <f t="shared" si="2"/>
        <v>#DIV/0!</v>
      </c>
      <c r="K337" s="65"/>
      <c r="L337" s="19" t="str">
        <f t="shared" si="3"/>
        <v>#DIV/0!</v>
      </c>
      <c r="M337" s="20" t="str">
        <f t="shared" si="4"/>
        <v>#DIV/0!</v>
      </c>
      <c r="N337" s="21" t="str">
        <f t="shared" si="11"/>
        <v>#DIV/0!</v>
      </c>
      <c r="O337" s="21" t="str">
        <f t="shared" si="6"/>
        <v>#DIV/0!</v>
      </c>
      <c r="P337" s="22" t="str">
        <f t="shared" si="7"/>
        <v>#DIV/0!</v>
      </c>
    </row>
    <row r="338" hidden="1">
      <c r="B338" s="11"/>
      <c r="C338" s="12" t="str">
        <f>VLOOKUP(B:B,'Курс валют'!A:D,4,0)</f>
        <v>#N/A</v>
      </c>
      <c r="D338" s="66"/>
      <c r="E338" s="67"/>
      <c r="F338" s="67"/>
      <c r="G338" s="67"/>
      <c r="H338" s="65"/>
      <c r="I338" s="15">
        <f t="shared" si="9"/>
        <v>0</v>
      </c>
      <c r="J338" s="18" t="str">
        <f t="shared" si="2"/>
        <v>#DIV/0!</v>
      </c>
      <c r="K338" s="65"/>
      <c r="L338" s="19" t="str">
        <f t="shared" si="3"/>
        <v>#DIV/0!</v>
      </c>
      <c r="M338" s="20" t="str">
        <f t="shared" si="4"/>
        <v>#DIV/0!</v>
      </c>
      <c r="N338" s="21" t="str">
        <f t="shared" si="11"/>
        <v>#DIV/0!</v>
      </c>
      <c r="O338" s="21" t="str">
        <f t="shared" si="6"/>
        <v>#DIV/0!</v>
      </c>
      <c r="P338" s="22" t="str">
        <f t="shared" si="7"/>
        <v>#DIV/0!</v>
      </c>
    </row>
    <row r="339" hidden="1">
      <c r="B339" s="11"/>
      <c r="C339" s="12" t="str">
        <f>VLOOKUP(B:B,'Курс валют'!A:D,4,0)</f>
        <v>#N/A</v>
      </c>
      <c r="D339" s="66"/>
      <c r="E339" s="67"/>
      <c r="F339" s="67"/>
      <c r="G339" s="67"/>
      <c r="H339" s="65"/>
      <c r="I339" s="15">
        <f t="shared" si="9"/>
        <v>0</v>
      </c>
      <c r="J339" s="18" t="str">
        <f t="shared" si="2"/>
        <v>#DIV/0!</v>
      </c>
      <c r="K339" s="65"/>
      <c r="L339" s="19" t="str">
        <f t="shared" si="3"/>
        <v>#DIV/0!</v>
      </c>
      <c r="M339" s="20" t="str">
        <f t="shared" si="4"/>
        <v>#DIV/0!</v>
      </c>
      <c r="N339" s="21" t="str">
        <f t="shared" si="11"/>
        <v>#DIV/0!</v>
      </c>
      <c r="O339" s="21" t="str">
        <f t="shared" si="6"/>
        <v>#DIV/0!</v>
      </c>
      <c r="P339" s="22" t="str">
        <f t="shared" si="7"/>
        <v>#DIV/0!</v>
      </c>
    </row>
    <row r="340" hidden="1">
      <c r="B340" s="68"/>
      <c r="D340" s="69"/>
      <c r="H340" s="70"/>
      <c r="K340" s="70"/>
      <c r="L340" s="71"/>
      <c r="M340" s="72"/>
      <c r="P340" s="72"/>
    </row>
    <row r="341" hidden="1">
      <c r="B341" s="68"/>
      <c r="D341" s="69"/>
      <c r="H341" s="70"/>
      <c r="K341" s="70"/>
      <c r="L341" s="71"/>
      <c r="M341" s="72"/>
      <c r="P341" s="72"/>
    </row>
    <row r="342" hidden="1">
      <c r="B342" s="68"/>
      <c r="D342" s="69"/>
      <c r="H342" s="70"/>
      <c r="K342" s="70"/>
      <c r="L342" s="71"/>
      <c r="M342" s="72"/>
      <c r="P342" s="72"/>
    </row>
    <row r="343" hidden="1">
      <c r="B343" s="68"/>
      <c r="D343" s="69"/>
      <c r="H343" s="70"/>
      <c r="K343" s="70"/>
      <c r="L343" s="71"/>
      <c r="M343" s="72"/>
      <c r="P343" s="72"/>
    </row>
    <row r="344" hidden="1">
      <c r="B344" s="68"/>
      <c r="D344" s="69"/>
      <c r="H344" s="70"/>
      <c r="K344" s="70"/>
      <c r="L344" s="71"/>
      <c r="M344" s="72"/>
      <c r="P344" s="72"/>
    </row>
    <row r="345" hidden="1">
      <c r="B345" s="68"/>
      <c r="D345" s="69"/>
      <c r="H345" s="70"/>
      <c r="K345" s="70"/>
      <c r="L345" s="71"/>
      <c r="M345" s="72"/>
      <c r="P345" s="72"/>
    </row>
    <row r="346" hidden="1">
      <c r="B346" s="68"/>
      <c r="D346" s="69"/>
      <c r="H346" s="70"/>
      <c r="K346" s="70"/>
      <c r="L346" s="71"/>
      <c r="M346" s="72"/>
      <c r="P346" s="72"/>
    </row>
    <row r="347" hidden="1">
      <c r="B347" s="68"/>
      <c r="D347" s="69"/>
      <c r="H347" s="70"/>
      <c r="K347" s="70"/>
      <c r="L347" s="71"/>
      <c r="M347" s="72"/>
      <c r="P347" s="72"/>
    </row>
    <row r="348" hidden="1">
      <c r="B348" s="68"/>
      <c r="D348" s="69"/>
      <c r="H348" s="70"/>
      <c r="K348" s="70"/>
      <c r="L348" s="71"/>
      <c r="M348" s="72"/>
      <c r="P348" s="72"/>
    </row>
    <row r="349" hidden="1">
      <c r="B349" s="68"/>
      <c r="D349" s="69"/>
      <c r="H349" s="70"/>
      <c r="K349" s="70"/>
      <c r="L349" s="71"/>
      <c r="M349" s="72"/>
      <c r="P349" s="72"/>
    </row>
    <row r="350" hidden="1">
      <c r="B350" s="68"/>
      <c r="D350" s="69"/>
      <c r="H350" s="70"/>
      <c r="K350" s="70"/>
      <c r="L350" s="71"/>
      <c r="M350" s="72"/>
      <c r="P350" s="72"/>
    </row>
    <row r="351" hidden="1">
      <c r="B351" s="68"/>
      <c r="D351" s="69"/>
      <c r="H351" s="70"/>
      <c r="K351" s="70"/>
      <c r="L351" s="71"/>
      <c r="M351" s="72"/>
      <c r="P351" s="72"/>
    </row>
    <row r="352" hidden="1">
      <c r="B352" s="68"/>
      <c r="D352" s="69"/>
      <c r="H352" s="70"/>
      <c r="K352" s="70"/>
      <c r="L352" s="71"/>
      <c r="M352" s="72"/>
      <c r="P352" s="72"/>
    </row>
    <row r="353" hidden="1">
      <c r="B353" s="68"/>
      <c r="D353" s="69"/>
      <c r="H353" s="70"/>
      <c r="K353" s="70"/>
      <c r="L353" s="71"/>
      <c r="M353" s="72"/>
      <c r="P353" s="72"/>
    </row>
    <row r="354" hidden="1">
      <c r="B354" s="68"/>
      <c r="D354" s="69"/>
      <c r="H354" s="70"/>
      <c r="K354" s="70"/>
      <c r="L354" s="71"/>
      <c r="M354" s="72"/>
      <c r="P354" s="72"/>
    </row>
    <row r="355" hidden="1">
      <c r="B355" s="68"/>
      <c r="D355" s="69"/>
      <c r="H355" s="70"/>
      <c r="K355" s="70"/>
      <c r="L355" s="71"/>
      <c r="M355" s="72"/>
      <c r="P355" s="72"/>
    </row>
    <row r="356" hidden="1">
      <c r="B356" s="68"/>
      <c r="D356" s="69"/>
      <c r="H356" s="70"/>
      <c r="K356" s="70"/>
      <c r="L356" s="71"/>
      <c r="M356" s="72"/>
      <c r="P356" s="72"/>
    </row>
    <row r="357" hidden="1">
      <c r="B357" s="68"/>
      <c r="D357" s="69"/>
      <c r="H357" s="70"/>
      <c r="K357" s="70"/>
      <c r="L357" s="71"/>
      <c r="M357" s="72"/>
      <c r="P357" s="72"/>
    </row>
    <row r="358" hidden="1">
      <c r="B358" s="68"/>
      <c r="D358" s="69"/>
      <c r="H358" s="70"/>
      <c r="K358" s="70"/>
      <c r="L358" s="71"/>
      <c r="M358" s="72"/>
      <c r="P358" s="72"/>
    </row>
    <row r="359" hidden="1">
      <c r="B359" s="68"/>
      <c r="D359" s="69"/>
      <c r="H359" s="70"/>
      <c r="K359" s="70"/>
      <c r="L359" s="71"/>
      <c r="M359" s="72"/>
      <c r="P359" s="72"/>
    </row>
    <row r="360" hidden="1">
      <c r="B360" s="68"/>
      <c r="D360" s="69"/>
      <c r="H360" s="70"/>
      <c r="K360" s="70"/>
      <c r="L360" s="71"/>
      <c r="M360" s="72"/>
      <c r="P360" s="72"/>
    </row>
    <row r="361" hidden="1">
      <c r="B361" s="68"/>
      <c r="D361" s="69"/>
      <c r="H361" s="70"/>
      <c r="K361" s="70"/>
      <c r="L361" s="71"/>
      <c r="M361" s="72"/>
      <c r="P361" s="72"/>
    </row>
    <row r="362" hidden="1">
      <c r="B362" s="68"/>
      <c r="D362" s="69"/>
      <c r="H362" s="70"/>
      <c r="K362" s="70"/>
      <c r="L362" s="71"/>
      <c r="M362" s="72"/>
      <c r="P362" s="72"/>
    </row>
    <row r="363" hidden="1">
      <c r="B363" s="68"/>
      <c r="D363" s="69"/>
      <c r="H363" s="70"/>
      <c r="K363" s="70"/>
      <c r="L363" s="71"/>
      <c r="M363" s="72"/>
      <c r="P363" s="72"/>
    </row>
    <row r="364" hidden="1">
      <c r="B364" s="68"/>
      <c r="D364" s="69"/>
      <c r="H364" s="70"/>
      <c r="K364" s="70"/>
      <c r="L364" s="71"/>
      <c r="M364" s="72"/>
      <c r="P364" s="72"/>
    </row>
    <row r="365" hidden="1">
      <c r="B365" s="68"/>
      <c r="D365" s="69"/>
      <c r="H365" s="70"/>
      <c r="K365" s="70"/>
      <c r="L365" s="71"/>
      <c r="M365" s="72"/>
      <c r="P365" s="72"/>
    </row>
    <row r="366" hidden="1">
      <c r="B366" s="68"/>
      <c r="D366" s="69"/>
      <c r="H366" s="70"/>
      <c r="K366" s="70"/>
      <c r="L366" s="71"/>
      <c r="M366" s="72"/>
      <c r="P366" s="72"/>
    </row>
    <row r="367" hidden="1">
      <c r="B367" s="68"/>
      <c r="D367" s="69"/>
      <c r="H367" s="70"/>
      <c r="K367" s="70"/>
      <c r="L367" s="71"/>
      <c r="M367" s="72"/>
      <c r="P367" s="72"/>
    </row>
    <row r="368" hidden="1">
      <c r="B368" s="68"/>
      <c r="D368" s="69"/>
      <c r="H368" s="70"/>
      <c r="K368" s="70"/>
      <c r="L368" s="71"/>
      <c r="M368" s="72"/>
      <c r="P368" s="72"/>
    </row>
    <row r="369" hidden="1">
      <c r="B369" s="68"/>
      <c r="D369" s="69"/>
      <c r="H369" s="70"/>
      <c r="K369" s="70"/>
      <c r="L369" s="71"/>
      <c r="M369" s="72"/>
      <c r="P369" s="72"/>
    </row>
    <row r="370" hidden="1">
      <c r="B370" s="68"/>
      <c r="D370" s="69"/>
      <c r="H370" s="70"/>
      <c r="K370" s="70"/>
      <c r="L370" s="71"/>
      <c r="M370" s="72"/>
      <c r="P370" s="72"/>
    </row>
    <row r="371" hidden="1">
      <c r="B371" s="68"/>
      <c r="D371" s="69"/>
      <c r="H371" s="70"/>
      <c r="K371" s="70"/>
      <c r="L371" s="71"/>
      <c r="M371" s="72"/>
      <c r="P371" s="72"/>
    </row>
    <row r="372" hidden="1">
      <c r="B372" s="68"/>
      <c r="D372" s="69"/>
      <c r="H372" s="70"/>
      <c r="K372" s="70"/>
      <c r="L372" s="71"/>
      <c r="M372" s="72"/>
      <c r="P372" s="72"/>
    </row>
    <row r="373" hidden="1">
      <c r="B373" s="68"/>
      <c r="D373" s="69"/>
      <c r="H373" s="70"/>
      <c r="K373" s="70"/>
      <c r="L373" s="71"/>
      <c r="M373" s="72"/>
      <c r="P373" s="72"/>
    </row>
    <row r="374" hidden="1">
      <c r="B374" s="68"/>
      <c r="D374" s="69"/>
      <c r="H374" s="70"/>
      <c r="K374" s="70"/>
      <c r="L374" s="71"/>
      <c r="M374" s="72"/>
      <c r="P374" s="72"/>
    </row>
    <row r="375" hidden="1">
      <c r="B375" s="68"/>
      <c r="D375" s="69"/>
      <c r="H375" s="70"/>
      <c r="K375" s="70"/>
      <c r="L375" s="71"/>
      <c r="M375" s="72"/>
      <c r="P375" s="72"/>
    </row>
    <row r="376" hidden="1">
      <c r="B376" s="68"/>
      <c r="D376" s="69"/>
      <c r="H376" s="70"/>
      <c r="K376" s="70"/>
      <c r="L376" s="71"/>
      <c r="M376" s="72"/>
      <c r="P376" s="72"/>
    </row>
    <row r="377" hidden="1">
      <c r="B377" s="68"/>
      <c r="D377" s="69"/>
      <c r="H377" s="70"/>
      <c r="K377" s="70"/>
      <c r="L377" s="71"/>
      <c r="M377" s="72"/>
      <c r="P377" s="72"/>
    </row>
    <row r="378" hidden="1">
      <c r="B378" s="68"/>
      <c r="D378" s="69"/>
      <c r="H378" s="70"/>
      <c r="K378" s="70"/>
      <c r="L378" s="71"/>
      <c r="M378" s="72"/>
      <c r="P378" s="72"/>
    </row>
    <row r="379" hidden="1">
      <c r="B379" s="68"/>
      <c r="D379" s="69"/>
      <c r="H379" s="70"/>
      <c r="K379" s="70"/>
      <c r="L379" s="71"/>
      <c r="M379" s="72"/>
      <c r="P379" s="72"/>
    </row>
    <row r="380" hidden="1">
      <c r="B380" s="68"/>
      <c r="D380" s="69"/>
      <c r="H380" s="70"/>
      <c r="K380" s="70"/>
      <c r="L380" s="71"/>
      <c r="M380" s="72"/>
      <c r="P380" s="72"/>
    </row>
    <row r="381" hidden="1">
      <c r="B381" s="68"/>
      <c r="D381" s="69"/>
      <c r="H381" s="70"/>
      <c r="K381" s="70"/>
      <c r="L381" s="71"/>
      <c r="M381" s="72"/>
      <c r="P381" s="72"/>
    </row>
    <row r="382" hidden="1">
      <c r="B382" s="68"/>
      <c r="D382" s="69"/>
      <c r="H382" s="70"/>
      <c r="K382" s="70"/>
      <c r="L382" s="71"/>
      <c r="M382" s="72"/>
      <c r="P382" s="72"/>
    </row>
    <row r="383" hidden="1">
      <c r="B383" s="68"/>
      <c r="D383" s="69"/>
      <c r="H383" s="70"/>
      <c r="K383" s="70"/>
      <c r="L383" s="71"/>
      <c r="M383" s="72"/>
      <c r="P383" s="72"/>
    </row>
    <row r="384" hidden="1">
      <c r="B384" s="68"/>
      <c r="D384" s="69"/>
      <c r="H384" s="70"/>
      <c r="K384" s="70"/>
      <c r="L384" s="71"/>
      <c r="M384" s="72"/>
      <c r="P384" s="72"/>
    </row>
    <row r="385" hidden="1">
      <c r="B385" s="68"/>
      <c r="D385" s="69"/>
      <c r="H385" s="70"/>
      <c r="K385" s="70"/>
      <c r="L385" s="71"/>
      <c r="M385" s="72"/>
      <c r="P385" s="72"/>
    </row>
    <row r="386" hidden="1">
      <c r="B386" s="68"/>
      <c r="D386" s="69"/>
      <c r="H386" s="70"/>
      <c r="K386" s="70"/>
      <c r="L386" s="71"/>
      <c r="M386" s="72"/>
      <c r="P386" s="72"/>
    </row>
    <row r="387" hidden="1">
      <c r="B387" s="68"/>
      <c r="D387" s="69"/>
      <c r="H387" s="70"/>
      <c r="K387" s="70"/>
      <c r="L387" s="71"/>
      <c r="M387" s="72"/>
      <c r="P387" s="72"/>
    </row>
    <row r="388" hidden="1">
      <c r="B388" s="68"/>
      <c r="D388" s="69"/>
      <c r="H388" s="70"/>
      <c r="K388" s="70"/>
      <c r="L388" s="71"/>
      <c r="M388" s="72"/>
      <c r="P388" s="72"/>
    </row>
    <row r="389" hidden="1">
      <c r="B389" s="68"/>
      <c r="D389" s="69"/>
      <c r="H389" s="70"/>
      <c r="K389" s="70"/>
      <c r="L389" s="71"/>
      <c r="M389" s="72"/>
      <c r="P389" s="72"/>
    </row>
    <row r="390" hidden="1">
      <c r="B390" s="68"/>
      <c r="D390" s="69"/>
      <c r="H390" s="70"/>
      <c r="K390" s="70"/>
      <c r="L390" s="71"/>
      <c r="M390" s="72"/>
      <c r="P390" s="72"/>
    </row>
    <row r="391" hidden="1">
      <c r="B391" s="68"/>
      <c r="D391" s="69"/>
      <c r="H391" s="70"/>
      <c r="K391" s="70"/>
      <c r="L391" s="71"/>
      <c r="M391" s="72"/>
      <c r="P391" s="72"/>
    </row>
    <row r="392" hidden="1">
      <c r="B392" s="68"/>
      <c r="D392" s="69"/>
      <c r="H392" s="70"/>
      <c r="K392" s="70"/>
      <c r="L392" s="71"/>
      <c r="M392" s="72"/>
      <c r="P392" s="72"/>
    </row>
    <row r="393" hidden="1">
      <c r="B393" s="68"/>
      <c r="D393" s="69"/>
      <c r="H393" s="70"/>
      <c r="K393" s="70"/>
      <c r="L393" s="71"/>
      <c r="M393" s="72"/>
      <c r="P393" s="72"/>
    </row>
    <row r="394" hidden="1">
      <c r="B394" s="68"/>
      <c r="D394" s="69"/>
      <c r="H394" s="70"/>
      <c r="K394" s="70"/>
      <c r="L394" s="71"/>
      <c r="M394" s="72"/>
      <c r="P394" s="72"/>
    </row>
    <row r="395" hidden="1">
      <c r="B395" s="68"/>
      <c r="D395" s="69"/>
      <c r="H395" s="70"/>
      <c r="K395" s="70"/>
      <c r="L395" s="71"/>
      <c r="M395" s="72"/>
      <c r="P395" s="72"/>
    </row>
    <row r="396" hidden="1">
      <c r="B396" s="68"/>
      <c r="D396" s="69"/>
      <c r="H396" s="70"/>
      <c r="K396" s="70"/>
      <c r="L396" s="71"/>
      <c r="M396" s="72"/>
      <c r="P396" s="72"/>
    </row>
    <row r="397" hidden="1">
      <c r="B397" s="68"/>
      <c r="D397" s="69"/>
      <c r="H397" s="70"/>
      <c r="K397" s="70"/>
      <c r="L397" s="71"/>
      <c r="M397" s="72"/>
      <c r="P397" s="72"/>
    </row>
    <row r="398" hidden="1">
      <c r="B398" s="68"/>
      <c r="D398" s="69"/>
      <c r="H398" s="70"/>
      <c r="K398" s="70"/>
      <c r="L398" s="71"/>
      <c r="M398" s="72"/>
      <c r="P398" s="72"/>
    </row>
    <row r="399" hidden="1">
      <c r="B399" s="68"/>
      <c r="D399" s="69"/>
      <c r="H399" s="70"/>
      <c r="K399" s="70"/>
      <c r="L399" s="71"/>
      <c r="M399" s="72"/>
      <c r="P399" s="72"/>
    </row>
    <row r="400" hidden="1">
      <c r="B400" s="68"/>
      <c r="D400" s="69"/>
      <c r="H400" s="70"/>
      <c r="K400" s="70"/>
      <c r="L400" s="71"/>
      <c r="M400" s="72"/>
      <c r="P400" s="72"/>
    </row>
    <row r="401" hidden="1">
      <c r="B401" s="68"/>
      <c r="D401" s="69"/>
      <c r="H401" s="70"/>
      <c r="K401" s="70"/>
      <c r="L401" s="71"/>
      <c r="M401" s="72"/>
      <c r="P401" s="72"/>
    </row>
    <row r="402" hidden="1">
      <c r="B402" s="68"/>
      <c r="D402" s="69"/>
      <c r="H402" s="70"/>
      <c r="K402" s="70"/>
      <c r="L402" s="71"/>
      <c r="M402" s="72"/>
      <c r="P402" s="72"/>
    </row>
    <row r="403" hidden="1">
      <c r="B403" s="68"/>
      <c r="D403" s="69"/>
      <c r="H403" s="70"/>
      <c r="K403" s="70"/>
      <c r="L403" s="71"/>
      <c r="M403" s="72"/>
      <c r="P403" s="72"/>
    </row>
    <row r="404" hidden="1">
      <c r="B404" s="68"/>
      <c r="D404" s="69"/>
      <c r="H404" s="70"/>
      <c r="K404" s="70"/>
      <c r="L404" s="71"/>
      <c r="M404" s="72"/>
      <c r="P404" s="72"/>
    </row>
    <row r="405" hidden="1">
      <c r="B405" s="68"/>
      <c r="D405" s="69"/>
      <c r="H405" s="70"/>
      <c r="K405" s="70"/>
      <c r="L405" s="71"/>
      <c r="M405" s="72"/>
      <c r="P405" s="72"/>
    </row>
    <row r="406" hidden="1">
      <c r="B406" s="68"/>
      <c r="D406" s="69"/>
      <c r="H406" s="70"/>
      <c r="K406" s="70"/>
      <c r="L406" s="71"/>
      <c r="M406" s="72"/>
      <c r="P406" s="72"/>
    </row>
    <row r="407" hidden="1">
      <c r="B407" s="68"/>
      <c r="D407" s="69"/>
      <c r="H407" s="70"/>
      <c r="K407" s="70"/>
      <c r="L407" s="71"/>
      <c r="M407" s="72"/>
      <c r="P407" s="72"/>
    </row>
    <row r="408" hidden="1">
      <c r="B408" s="68"/>
      <c r="D408" s="69"/>
      <c r="H408" s="70"/>
      <c r="K408" s="70"/>
      <c r="L408" s="71"/>
      <c r="M408" s="72"/>
      <c r="P408" s="72"/>
    </row>
    <row r="409" hidden="1">
      <c r="B409" s="68"/>
      <c r="D409" s="69"/>
      <c r="H409" s="70"/>
      <c r="K409" s="70"/>
      <c r="L409" s="71"/>
      <c r="M409" s="72"/>
      <c r="P409" s="72"/>
    </row>
    <row r="410" hidden="1">
      <c r="B410" s="68"/>
      <c r="D410" s="69"/>
      <c r="H410" s="70"/>
      <c r="K410" s="70"/>
      <c r="L410" s="71"/>
      <c r="M410" s="72"/>
      <c r="P410" s="72"/>
    </row>
    <row r="411" hidden="1">
      <c r="B411" s="68"/>
      <c r="D411" s="69"/>
      <c r="H411" s="70"/>
      <c r="K411" s="70"/>
      <c r="L411" s="71"/>
      <c r="M411" s="72"/>
      <c r="P411" s="72"/>
    </row>
    <row r="412" hidden="1">
      <c r="B412" s="68"/>
      <c r="D412" s="69"/>
      <c r="H412" s="70"/>
      <c r="K412" s="70"/>
      <c r="L412" s="71"/>
      <c r="M412" s="72"/>
      <c r="P412" s="72"/>
    </row>
    <row r="413" hidden="1">
      <c r="B413" s="68"/>
      <c r="D413" s="69"/>
      <c r="H413" s="70"/>
      <c r="K413" s="70"/>
      <c r="L413" s="71"/>
      <c r="M413" s="72"/>
      <c r="P413" s="72"/>
    </row>
    <row r="414" hidden="1">
      <c r="B414" s="68"/>
      <c r="D414" s="69"/>
      <c r="H414" s="70"/>
      <c r="K414" s="70"/>
      <c r="L414" s="71"/>
      <c r="M414" s="72"/>
      <c r="P414" s="72"/>
    </row>
    <row r="415" hidden="1">
      <c r="B415" s="68"/>
      <c r="D415" s="69"/>
      <c r="H415" s="70"/>
      <c r="K415" s="70"/>
      <c r="L415" s="71"/>
      <c r="M415" s="72"/>
      <c r="P415" s="72"/>
    </row>
    <row r="416" hidden="1">
      <c r="B416" s="68"/>
      <c r="D416" s="69"/>
      <c r="H416" s="70"/>
      <c r="K416" s="70"/>
      <c r="L416" s="71"/>
      <c r="M416" s="72"/>
      <c r="P416" s="72"/>
    </row>
    <row r="417" hidden="1">
      <c r="B417" s="68"/>
      <c r="D417" s="69"/>
      <c r="H417" s="70"/>
      <c r="K417" s="70"/>
      <c r="L417" s="71"/>
      <c r="M417" s="72"/>
      <c r="P417" s="72"/>
    </row>
    <row r="418" hidden="1">
      <c r="B418" s="68"/>
      <c r="D418" s="69"/>
      <c r="H418" s="70"/>
      <c r="K418" s="70"/>
      <c r="L418" s="71"/>
      <c r="M418" s="72"/>
      <c r="P418" s="72"/>
    </row>
    <row r="419" hidden="1">
      <c r="B419" s="68"/>
      <c r="D419" s="69"/>
      <c r="H419" s="70"/>
      <c r="K419" s="70"/>
      <c r="L419" s="71"/>
      <c r="M419" s="72"/>
      <c r="P419" s="72"/>
    </row>
    <row r="420" hidden="1">
      <c r="B420" s="68"/>
      <c r="D420" s="69"/>
      <c r="H420" s="70"/>
      <c r="K420" s="70"/>
      <c r="L420" s="71"/>
      <c r="M420" s="72"/>
      <c r="P420" s="72"/>
    </row>
    <row r="421" hidden="1">
      <c r="B421" s="68"/>
      <c r="D421" s="69"/>
      <c r="H421" s="70"/>
      <c r="K421" s="70"/>
      <c r="L421" s="71"/>
      <c r="M421" s="72"/>
      <c r="P421" s="72"/>
    </row>
    <row r="422" hidden="1">
      <c r="B422" s="68"/>
      <c r="D422" s="69"/>
      <c r="H422" s="70"/>
      <c r="K422" s="70"/>
      <c r="L422" s="71"/>
      <c r="M422" s="72"/>
      <c r="P422" s="72"/>
    </row>
    <row r="423" hidden="1">
      <c r="B423" s="68"/>
      <c r="D423" s="69"/>
      <c r="H423" s="70"/>
      <c r="K423" s="70"/>
      <c r="L423" s="71"/>
      <c r="M423" s="72"/>
      <c r="P423" s="72"/>
    </row>
    <row r="424" hidden="1">
      <c r="B424" s="68"/>
      <c r="D424" s="69"/>
      <c r="H424" s="70"/>
      <c r="K424" s="70"/>
      <c r="L424" s="71"/>
      <c r="M424" s="72"/>
      <c r="P424" s="72"/>
    </row>
    <row r="425" hidden="1">
      <c r="B425" s="68"/>
      <c r="D425" s="69"/>
      <c r="H425" s="70"/>
      <c r="K425" s="70"/>
      <c r="L425" s="71"/>
      <c r="M425" s="72"/>
      <c r="P425" s="72"/>
    </row>
    <row r="426" hidden="1">
      <c r="B426" s="68"/>
      <c r="D426" s="69"/>
      <c r="H426" s="70"/>
      <c r="K426" s="70"/>
      <c r="L426" s="71"/>
      <c r="M426" s="72"/>
      <c r="P426" s="72"/>
    </row>
    <row r="427" hidden="1">
      <c r="B427" s="68"/>
      <c r="D427" s="69"/>
      <c r="H427" s="70"/>
      <c r="K427" s="70"/>
      <c r="L427" s="71"/>
      <c r="M427" s="72"/>
      <c r="P427" s="72"/>
    </row>
    <row r="428" hidden="1">
      <c r="B428" s="68"/>
      <c r="D428" s="69"/>
      <c r="H428" s="70"/>
      <c r="K428" s="70"/>
      <c r="L428" s="71"/>
      <c r="M428" s="72"/>
      <c r="P428" s="72"/>
    </row>
    <row r="429" hidden="1">
      <c r="B429" s="68"/>
      <c r="D429" s="69"/>
      <c r="H429" s="70"/>
      <c r="K429" s="70"/>
      <c r="L429" s="71"/>
      <c r="M429" s="72"/>
      <c r="P429" s="72"/>
    </row>
    <row r="430" hidden="1">
      <c r="B430" s="68"/>
      <c r="D430" s="69"/>
      <c r="H430" s="70"/>
      <c r="K430" s="70"/>
      <c r="L430" s="71"/>
      <c r="M430" s="72"/>
      <c r="P430" s="72"/>
    </row>
    <row r="431" hidden="1">
      <c r="B431" s="68"/>
      <c r="D431" s="69"/>
      <c r="H431" s="70"/>
      <c r="K431" s="70"/>
      <c r="L431" s="71"/>
      <c r="M431" s="72"/>
      <c r="P431" s="72"/>
    </row>
    <row r="432" hidden="1">
      <c r="B432" s="68"/>
      <c r="D432" s="69"/>
      <c r="H432" s="70"/>
      <c r="K432" s="70"/>
      <c r="L432" s="71"/>
      <c r="M432" s="72"/>
      <c r="P432" s="72"/>
    </row>
    <row r="433" hidden="1">
      <c r="B433" s="68"/>
      <c r="D433" s="69"/>
      <c r="H433" s="70"/>
      <c r="K433" s="70"/>
      <c r="L433" s="71"/>
      <c r="M433" s="72"/>
      <c r="P433" s="72"/>
    </row>
    <row r="434" hidden="1">
      <c r="B434" s="68"/>
      <c r="D434" s="69"/>
      <c r="H434" s="70"/>
      <c r="K434" s="70"/>
      <c r="L434" s="71"/>
      <c r="M434" s="72"/>
      <c r="P434" s="72"/>
    </row>
    <row r="435" hidden="1">
      <c r="B435" s="68"/>
      <c r="D435" s="69"/>
      <c r="H435" s="70"/>
      <c r="K435" s="70"/>
      <c r="L435" s="71"/>
      <c r="M435" s="72"/>
      <c r="P435" s="72"/>
    </row>
    <row r="436" hidden="1">
      <c r="B436" s="68"/>
      <c r="D436" s="69"/>
      <c r="H436" s="70"/>
      <c r="K436" s="70"/>
      <c r="L436" s="71"/>
      <c r="M436" s="72"/>
      <c r="P436" s="72"/>
    </row>
    <row r="437" hidden="1">
      <c r="B437" s="68"/>
      <c r="D437" s="69"/>
      <c r="H437" s="70"/>
      <c r="K437" s="70"/>
      <c r="L437" s="71"/>
      <c r="M437" s="72"/>
      <c r="P437" s="72"/>
    </row>
    <row r="438" hidden="1">
      <c r="B438" s="68"/>
      <c r="D438" s="69"/>
      <c r="H438" s="70"/>
      <c r="K438" s="70"/>
      <c r="L438" s="71"/>
      <c r="M438" s="72"/>
      <c r="P438" s="72"/>
    </row>
    <row r="439" hidden="1">
      <c r="B439" s="68"/>
      <c r="D439" s="69"/>
      <c r="H439" s="70"/>
      <c r="K439" s="70"/>
      <c r="L439" s="71"/>
      <c r="M439" s="72"/>
      <c r="P439" s="72"/>
    </row>
    <row r="440" hidden="1">
      <c r="B440" s="68"/>
      <c r="D440" s="69"/>
      <c r="H440" s="70"/>
      <c r="K440" s="70"/>
      <c r="L440" s="71"/>
      <c r="M440" s="72"/>
      <c r="P440" s="72"/>
    </row>
    <row r="441" hidden="1">
      <c r="B441" s="68"/>
      <c r="D441" s="69"/>
      <c r="H441" s="70"/>
      <c r="K441" s="70"/>
      <c r="L441" s="71"/>
      <c r="M441" s="72"/>
      <c r="P441" s="72"/>
    </row>
    <row r="442" hidden="1">
      <c r="B442" s="68"/>
      <c r="D442" s="69"/>
      <c r="H442" s="70"/>
      <c r="K442" s="70"/>
      <c r="L442" s="71"/>
      <c r="M442" s="72"/>
      <c r="P442" s="72"/>
    </row>
    <row r="443" hidden="1">
      <c r="B443" s="68"/>
      <c r="D443" s="69"/>
      <c r="H443" s="70"/>
      <c r="K443" s="70"/>
      <c r="L443" s="71"/>
      <c r="M443" s="72"/>
      <c r="P443" s="72"/>
    </row>
    <row r="444" hidden="1">
      <c r="B444" s="68"/>
      <c r="D444" s="69"/>
      <c r="H444" s="70"/>
      <c r="K444" s="70"/>
      <c r="L444" s="71"/>
      <c r="M444" s="72"/>
      <c r="P444" s="72"/>
    </row>
    <row r="445" hidden="1">
      <c r="B445" s="68"/>
      <c r="D445" s="69"/>
      <c r="H445" s="70"/>
      <c r="K445" s="70"/>
      <c r="L445" s="71"/>
      <c r="M445" s="72"/>
      <c r="P445" s="72"/>
    </row>
    <row r="446" hidden="1">
      <c r="B446" s="68"/>
      <c r="D446" s="69"/>
      <c r="H446" s="70"/>
      <c r="K446" s="70"/>
      <c r="L446" s="71"/>
      <c r="M446" s="72"/>
      <c r="P446" s="72"/>
    </row>
    <row r="447" hidden="1">
      <c r="B447" s="68"/>
      <c r="D447" s="69"/>
      <c r="H447" s="70"/>
      <c r="K447" s="70"/>
      <c r="L447" s="71"/>
      <c r="M447" s="72"/>
      <c r="P447" s="72"/>
    </row>
    <row r="448" hidden="1">
      <c r="B448" s="68"/>
      <c r="D448" s="69"/>
      <c r="H448" s="70"/>
      <c r="K448" s="70"/>
      <c r="L448" s="71"/>
      <c r="M448" s="72"/>
      <c r="P448" s="72"/>
    </row>
    <row r="449" hidden="1">
      <c r="B449" s="68"/>
      <c r="D449" s="69"/>
      <c r="H449" s="70"/>
      <c r="K449" s="70"/>
      <c r="L449" s="71"/>
      <c r="M449" s="72"/>
      <c r="P449" s="72"/>
    </row>
    <row r="450" hidden="1">
      <c r="B450" s="68"/>
      <c r="D450" s="69"/>
      <c r="H450" s="70"/>
      <c r="K450" s="70"/>
      <c r="L450" s="71"/>
      <c r="M450" s="72"/>
      <c r="P450" s="72"/>
    </row>
    <row r="451" hidden="1">
      <c r="B451" s="68"/>
      <c r="D451" s="69"/>
      <c r="H451" s="70"/>
      <c r="K451" s="70"/>
      <c r="L451" s="71"/>
      <c r="M451" s="72"/>
      <c r="P451" s="72"/>
    </row>
    <row r="452" hidden="1">
      <c r="B452" s="68"/>
      <c r="D452" s="69"/>
      <c r="H452" s="70"/>
      <c r="K452" s="70"/>
      <c r="L452" s="71"/>
      <c r="M452" s="72"/>
      <c r="P452" s="72"/>
    </row>
    <row r="453" hidden="1">
      <c r="B453" s="68"/>
      <c r="D453" s="69"/>
      <c r="H453" s="70"/>
      <c r="K453" s="70"/>
      <c r="L453" s="71"/>
      <c r="M453" s="72"/>
      <c r="P453" s="72"/>
    </row>
    <row r="454" hidden="1">
      <c r="B454" s="68"/>
      <c r="D454" s="69"/>
      <c r="H454" s="70"/>
      <c r="K454" s="70"/>
      <c r="L454" s="71"/>
      <c r="M454" s="72"/>
      <c r="P454" s="72"/>
    </row>
    <row r="455" hidden="1">
      <c r="B455" s="68"/>
      <c r="D455" s="69"/>
      <c r="H455" s="70"/>
      <c r="K455" s="70"/>
      <c r="L455" s="71"/>
      <c r="M455" s="72"/>
      <c r="P455" s="72"/>
    </row>
    <row r="456" hidden="1">
      <c r="B456" s="68"/>
      <c r="D456" s="69"/>
      <c r="H456" s="70"/>
      <c r="K456" s="70"/>
      <c r="L456" s="71"/>
      <c r="M456" s="72"/>
      <c r="P456" s="72"/>
    </row>
    <row r="457" hidden="1">
      <c r="B457" s="68"/>
      <c r="D457" s="69"/>
      <c r="H457" s="70"/>
      <c r="K457" s="70"/>
      <c r="L457" s="71"/>
      <c r="M457" s="72"/>
      <c r="P457" s="72"/>
    </row>
    <row r="458" hidden="1">
      <c r="B458" s="68"/>
      <c r="D458" s="69"/>
      <c r="H458" s="70"/>
      <c r="K458" s="70"/>
      <c r="L458" s="71"/>
      <c r="M458" s="72"/>
      <c r="P458" s="72"/>
    </row>
    <row r="459" hidden="1">
      <c r="B459" s="68"/>
      <c r="D459" s="69"/>
      <c r="H459" s="70"/>
      <c r="K459" s="70"/>
      <c r="L459" s="71"/>
      <c r="M459" s="72"/>
      <c r="P459" s="72"/>
    </row>
    <row r="460" hidden="1">
      <c r="B460" s="68"/>
      <c r="D460" s="69"/>
      <c r="H460" s="70"/>
      <c r="K460" s="70"/>
      <c r="L460" s="71"/>
      <c r="M460" s="72"/>
      <c r="P460" s="72"/>
    </row>
    <row r="461" hidden="1">
      <c r="B461" s="68"/>
      <c r="D461" s="69"/>
      <c r="H461" s="70"/>
      <c r="K461" s="70"/>
      <c r="L461" s="71"/>
      <c r="M461" s="72"/>
      <c r="P461" s="72"/>
    </row>
    <row r="462" hidden="1">
      <c r="B462" s="68"/>
      <c r="D462" s="69"/>
      <c r="H462" s="70"/>
      <c r="K462" s="70"/>
      <c r="L462" s="71"/>
      <c r="M462" s="72"/>
      <c r="P462" s="72"/>
    </row>
    <row r="463" hidden="1">
      <c r="B463" s="68"/>
      <c r="D463" s="69"/>
      <c r="H463" s="70"/>
      <c r="K463" s="70"/>
      <c r="L463" s="71"/>
      <c r="M463" s="72"/>
      <c r="P463" s="72"/>
    </row>
    <row r="464" hidden="1">
      <c r="B464" s="68"/>
      <c r="D464" s="69"/>
      <c r="H464" s="70"/>
      <c r="K464" s="70"/>
      <c r="L464" s="71"/>
      <c r="M464" s="72"/>
      <c r="P464" s="72"/>
    </row>
    <row r="465" hidden="1">
      <c r="B465" s="68"/>
      <c r="D465" s="69"/>
      <c r="H465" s="70"/>
      <c r="K465" s="70"/>
      <c r="L465" s="71"/>
      <c r="M465" s="72"/>
      <c r="P465" s="72"/>
    </row>
    <row r="466" hidden="1">
      <c r="B466" s="68"/>
      <c r="D466" s="69"/>
      <c r="H466" s="70"/>
      <c r="K466" s="70"/>
      <c r="L466" s="71"/>
      <c r="M466" s="72"/>
      <c r="P466" s="72"/>
    </row>
    <row r="467" hidden="1">
      <c r="B467" s="68"/>
      <c r="D467" s="69"/>
      <c r="H467" s="70"/>
      <c r="K467" s="70"/>
      <c r="L467" s="71"/>
      <c r="M467" s="72"/>
      <c r="P467" s="72"/>
    </row>
    <row r="468" hidden="1">
      <c r="B468" s="68"/>
      <c r="D468" s="69"/>
      <c r="H468" s="70"/>
      <c r="K468" s="70"/>
      <c r="L468" s="71"/>
      <c r="M468" s="72"/>
      <c r="P468" s="72"/>
    </row>
    <row r="469" hidden="1">
      <c r="B469" s="68"/>
      <c r="D469" s="69"/>
      <c r="H469" s="70"/>
      <c r="K469" s="70"/>
      <c r="L469" s="71"/>
      <c r="M469" s="72"/>
      <c r="P469" s="72"/>
    </row>
    <row r="470" hidden="1">
      <c r="B470" s="68"/>
      <c r="D470" s="69"/>
      <c r="H470" s="70"/>
      <c r="K470" s="70"/>
      <c r="L470" s="71"/>
      <c r="M470" s="72"/>
      <c r="P470" s="72"/>
    </row>
    <row r="471" hidden="1">
      <c r="B471" s="68"/>
      <c r="D471" s="69"/>
      <c r="H471" s="70"/>
      <c r="K471" s="70"/>
      <c r="L471" s="71"/>
      <c r="M471" s="72"/>
      <c r="P471" s="72"/>
    </row>
    <row r="472" hidden="1">
      <c r="B472" s="68"/>
      <c r="D472" s="69"/>
      <c r="H472" s="70"/>
      <c r="K472" s="70"/>
      <c r="L472" s="71"/>
      <c r="M472" s="72"/>
      <c r="P472" s="72"/>
    </row>
    <row r="473" hidden="1">
      <c r="B473" s="68"/>
      <c r="D473" s="69"/>
      <c r="H473" s="70"/>
      <c r="K473" s="70"/>
      <c r="L473" s="71"/>
      <c r="M473" s="72"/>
      <c r="P473" s="72"/>
    </row>
    <row r="474" hidden="1">
      <c r="B474" s="68"/>
      <c r="D474" s="69"/>
      <c r="H474" s="70"/>
      <c r="K474" s="70"/>
      <c r="L474" s="71"/>
      <c r="M474" s="72"/>
      <c r="P474" s="72"/>
    </row>
    <row r="475" hidden="1">
      <c r="B475" s="68"/>
      <c r="D475" s="69"/>
      <c r="H475" s="70"/>
      <c r="K475" s="70"/>
      <c r="L475" s="71"/>
      <c r="M475" s="72"/>
      <c r="P475" s="72"/>
    </row>
    <row r="476" hidden="1">
      <c r="B476" s="68"/>
      <c r="D476" s="69"/>
      <c r="H476" s="70"/>
      <c r="K476" s="70"/>
      <c r="L476" s="71"/>
      <c r="M476" s="72"/>
      <c r="P476" s="72"/>
    </row>
    <row r="477" hidden="1">
      <c r="B477" s="68"/>
      <c r="D477" s="69"/>
      <c r="H477" s="70"/>
      <c r="K477" s="70"/>
      <c r="L477" s="71"/>
      <c r="M477" s="72"/>
      <c r="P477" s="72"/>
    </row>
    <row r="478" hidden="1">
      <c r="B478" s="68"/>
      <c r="D478" s="69"/>
      <c r="H478" s="70"/>
      <c r="K478" s="70"/>
      <c r="L478" s="71"/>
      <c r="M478" s="72"/>
      <c r="P478" s="72"/>
    </row>
    <row r="479" hidden="1">
      <c r="B479" s="68"/>
      <c r="D479" s="69"/>
      <c r="H479" s="70"/>
      <c r="K479" s="70"/>
      <c r="L479" s="71"/>
      <c r="M479" s="72"/>
      <c r="P479" s="72"/>
    </row>
    <row r="480" hidden="1">
      <c r="B480" s="68"/>
      <c r="D480" s="69"/>
      <c r="H480" s="70"/>
      <c r="K480" s="70"/>
      <c r="L480" s="71"/>
      <c r="M480" s="72"/>
      <c r="P480" s="72"/>
    </row>
    <row r="481" hidden="1">
      <c r="B481" s="68"/>
      <c r="D481" s="69"/>
      <c r="H481" s="70"/>
      <c r="K481" s="70"/>
      <c r="L481" s="71"/>
      <c r="M481" s="72"/>
      <c r="P481" s="72"/>
    </row>
    <row r="482" hidden="1">
      <c r="B482" s="68"/>
      <c r="D482" s="69"/>
      <c r="H482" s="70"/>
      <c r="K482" s="70"/>
      <c r="L482" s="71"/>
      <c r="M482" s="72"/>
      <c r="P482" s="72"/>
    </row>
    <row r="483" hidden="1">
      <c r="B483" s="68"/>
      <c r="D483" s="69"/>
      <c r="H483" s="70"/>
      <c r="K483" s="70"/>
      <c r="L483" s="71"/>
      <c r="M483" s="72"/>
      <c r="P483" s="72"/>
    </row>
    <row r="484" hidden="1">
      <c r="B484" s="68"/>
      <c r="D484" s="69"/>
      <c r="H484" s="70"/>
      <c r="K484" s="70"/>
      <c r="L484" s="71"/>
      <c r="M484" s="72"/>
      <c r="P484" s="72"/>
    </row>
    <row r="485" hidden="1">
      <c r="B485" s="68"/>
      <c r="D485" s="69"/>
      <c r="H485" s="70"/>
      <c r="K485" s="70"/>
      <c r="L485" s="71"/>
      <c r="M485" s="72"/>
      <c r="P485" s="72"/>
    </row>
    <row r="486" hidden="1">
      <c r="B486" s="68"/>
      <c r="D486" s="69"/>
      <c r="H486" s="70"/>
      <c r="K486" s="70"/>
      <c r="L486" s="71"/>
      <c r="M486" s="72"/>
      <c r="P486" s="72"/>
    </row>
    <row r="487" hidden="1">
      <c r="B487" s="68"/>
      <c r="D487" s="69"/>
      <c r="H487" s="70"/>
      <c r="K487" s="70"/>
      <c r="L487" s="71"/>
      <c r="M487" s="72"/>
      <c r="P487" s="72"/>
    </row>
    <row r="488" hidden="1">
      <c r="B488" s="68"/>
      <c r="D488" s="69"/>
      <c r="H488" s="70"/>
      <c r="K488" s="70"/>
      <c r="L488" s="71"/>
      <c r="M488" s="72"/>
      <c r="P488" s="72"/>
    </row>
    <row r="489" hidden="1">
      <c r="B489" s="68"/>
      <c r="D489" s="69"/>
      <c r="H489" s="70"/>
      <c r="K489" s="70"/>
      <c r="L489" s="71"/>
      <c r="M489" s="72"/>
      <c r="P489" s="72"/>
    </row>
    <row r="490" hidden="1">
      <c r="B490" s="68"/>
      <c r="D490" s="69"/>
      <c r="H490" s="70"/>
      <c r="K490" s="70"/>
      <c r="L490" s="71"/>
      <c r="M490" s="72"/>
      <c r="P490" s="72"/>
    </row>
    <row r="491" hidden="1">
      <c r="B491" s="68"/>
      <c r="D491" s="69"/>
      <c r="H491" s="70"/>
      <c r="K491" s="70"/>
      <c r="L491" s="71"/>
      <c r="M491" s="72"/>
      <c r="P491" s="72"/>
    </row>
    <row r="492" hidden="1">
      <c r="B492" s="68"/>
      <c r="D492" s="69"/>
      <c r="H492" s="70"/>
      <c r="K492" s="70"/>
      <c r="L492" s="71"/>
      <c r="M492" s="72"/>
      <c r="P492" s="72"/>
    </row>
    <row r="493" hidden="1">
      <c r="B493" s="68"/>
      <c r="D493" s="69"/>
      <c r="H493" s="70"/>
      <c r="K493" s="70"/>
      <c r="L493" s="71"/>
      <c r="M493" s="72"/>
      <c r="P493" s="72"/>
    </row>
    <row r="494" hidden="1">
      <c r="B494" s="68"/>
      <c r="D494" s="69"/>
      <c r="H494" s="70"/>
      <c r="K494" s="70"/>
      <c r="L494" s="71"/>
      <c r="M494" s="72"/>
      <c r="P494" s="72"/>
    </row>
    <row r="495" hidden="1">
      <c r="B495" s="68"/>
      <c r="D495" s="69"/>
      <c r="H495" s="70"/>
      <c r="K495" s="70"/>
      <c r="L495" s="71"/>
      <c r="M495" s="72"/>
      <c r="P495" s="72"/>
    </row>
    <row r="496" hidden="1">
      <c r="B496" s="68"/>
      <c r="D496" s="69"/>
      <c r="H496" s="70"/>
      <c r="K496" s="70"/>
      <c r="L496" s="71"/>
      <c r="M496" s="72"/>
      <c r="P496" s="72"/>
    </row>
    <row r="497" hidden="1">
      <c r="B497" s="68"/>
      <c r="D497" s="69"/>
      <c r="H497" s="70"/>
      <c r="K497" s="70"/>
      <c r="L497" s="71"/>
      <c r="M497" s="72"/>
      <c r="P497" s="72"/>
    </row>
    <row r="498" hidden="1">
      <c r="B498" s="68"/>
      <c r="D498" s="69"/>
      <c r="H498" s="70"/>
      <c r="K498" s="70"/>
      <c r="L498" s="71"/>
      <c r="M498" s="72"/>
      <c r="P498" s="72"/>
    </row>
    <row r="499" hidden="1">
      <c r="B499" s="68"/>
      <c r="D499" s="69"/>
      <c r="H499" s="70"/>
      <c r="K499" s="70"/>
      <c r="L499" s="71"/>
      <c r="M499" s="72"/>
      <c r="P499" s="72"/>
    </row>
    <row r="500" hidden="1">
      <c r="B500" s="68"/>
      <c r="D500" s="69"/>
      <c r="H500" s="70"/>
      <c r="K500" s="70"/>
      <c r="L500" s="71"/>
      <c r="M500" s="72"/>
      <c r="P500" s="72"/>
    </row>
    <row r="501" hidden="1">
      <c r="B501" s="68"/>
      <c r="D501" s="69"/>
      <c r="H501" s="70"/>
      <c r="K501" s="70"/>
      <c r="L501" s="71"/>
      <c r="M501" s="72"/>
      <c r="P501" s="72"/>
    </row>
    <row r="502" hidden="1">
      <c r="B502" s="68"/>
      <c r="D502" s="69"/>
      <c r="H502" s="70"/>
      <c r="K502" s="70"/>
      <c r="L502" s="71"/>
      <c r="M502" s="72"/>
      <c r="P502" s="72"/>
    </row>
    <row r="503" hidden="1">
      <c r="B503" s="68"/>
      <c r="D503" s="69"/>
      <c r="H503" s="70"/>
      <c r="K503" s="70"/>
      <c r="L503" s="71"/>
      <c r="M503" s="72"/>
      <c r="P503" s="72"/>
    </row>
    <row r="504" hidden="1">
      <c r="B504" s="68"/>
      <c r="D504" s="69"/>
      <c r="H504" s="70"/>
      <c r="K504" s="70"/>
      <c r="L504" s="71"/>
      <c r="M504" s="72"/>
      <c r="P504" s="72"/>
    </row>
    <row r="505" hidden="1">
      <c r="B505" s="68"/>
      <c r="D505" s="69"/>
      <c r="H505" s="70"/>
      <c r="K505" s="70"/>
      <c r="L505" s="71"/>
      <c r="M505" s="72"/>
      <c r="P505" s="72"/>
    </row>
    <row r="506" hidden="1">
      <c r="B506" s="68"/>
      <c r="D506" s="69"/>
      <c r="H506" s="70"/>
      <c r="K506" s="70"/>
      <c r="L506" s="71"/>
      <c r="M506" s="72"/>
      <c r="P506" s="72"/>
    </row>
    <row r="507" hidden="1">
      <c r="B507" s="68"/>
      <c r="D507" s="69"/>
      <c r="H507" s="70"/>
      <c r="K507" s="70"/>
      <c r="L507" s="71"/>
      <c r="M507" s="72"/>
      <c r="P507" s="72"/>
    </row>
    <row r="508" hidden="1">
      <c r="B508" s="68"/>
      <c r="D508" s="69"/>
      <c r="H508" s="70"/>
      <c r="K508" s="70"/>
      <c r="L508" s="71"/>
      <c r="M508" s="72"/>
      <c r="P508" s="72"/>
    </row>
    <row r="509" hidden="1">
      <c r="B509" s="68"/>
      <c r="D509" s="69"/>
      <c r="H509" s="70"/>
      <c r="K509" s="70"/>
      <c r="L509" s="71"/>
      <c r="M509" s="72"/>
      <c r="P509" s="72"/>
    </row>
    <row r="510" hidden="1">
      <c r="B510" s="68"/>
      <c r="D510" s="69"/>
      <c r="H510" s="70"/>
      <c r="K510" s="70"/>
      <c r="L510" s="71"/>
      <c r="M510" s="72"/>
      <c r="P510" s="72"/>
    </row>
    <row r="511" hidden="1">
      <c r="B511" s="68"/>
      <c r="D511" s="69"/>
      <c r="H511" s="70"/>
      <c r="K511" s="70"/>
      <c r="L511" s="71"/>
      <c r="M511" s="72"/>
      <c r="P511" s="72"/>
    </row>
    <row r="512" hidden="1">
      <c r="B512" s="68"/>
      <c r="D512" s="69"/>
      <c r="H512" s="70"/>
      <c r="K512" s="70"/>
      <c r="L512" s="71"/>
      <c r="M512" s="72"/>
      <c r="P512" s="72"/>
    </row>
    <row r="513" hidden="1">
      <c r="B513" s="68"/>
      <c r="D513" s="69"/>
      <c r="H513" s="70"/>
      <c r="K513" s="70"/>
      <c r="L513" s="71"/>
      <c r="M513" s="72"/>
      <c r="P513" s="72"/>
    </row>
    <row r="514" hidden="1">
      <c r="B514" s="68"/>
      <c r="D514" s="69"/>
      <c r="H514" s="70"/>
      <c r="K514" s="70"/>
      <c r="L514" s="71"/>
      <c r="M514" s="72"/>
      <c r="P514" s="72"/>
    </row>
    <row r="515" hidden="1">
      <c r="B515" s="68"/>
      <c r="D515" s="69"/>
      <c r="H515" s="70"/>
      <c r="K515" s="70"/>
      <c r="L515" s="71"/>
      <c r="M515" s="72"/>
      <c r="P515" s="72"/>
    </row>
    <row r="516" hidden="1">
      <c r="B516" s="68"/>
      <c r="D516" s="69"/>
      <c r="H516" s="70"/>
      <c r="K516" s="70"/>
      <c r="L516" s="71"/>
      <c r="M516" s="72"/>
      <c r="P516" s="72"/>
    </row>
    <row r="517" hidden="1">
      <c r="B517" s="68"/>
      <c r="D517" s="69"/>
      <c r="H517" s="70"/>
      <c r="K517" s="70"/>
      <c r="L517" s="71"/>
      <c r="M517" s="72"/>
      <c r="P517" s="72"/>
    </row>
    <row r="518" hidden="1">
      <c r="B518" s="68"/>
      <c r="D518" s="69"/>
      <c r="H518" s="70"/>
      <c r="K518" s="70"/>
      <c r="L518" s="71"/>
      <c r="M518" s="72"/>
      <c r="P518" s="72"/>
    </row>
    <row r="519" hidden="1">
      <c r="B519" s="68"/>
      <c r="D519" s="69"/>
      <c r="H519" s="70"/>
      <c r="K519" s="70"/>
      <c r="L519" s="71"/>
      <c r="M519" s="72"/>
      <c r="P519" s="72"/>
    </row>
    <row r="520" hidden="1">
      <c r="B520" s="68"/>
      <c r="D520" s="69"/>
      <c r="H520" s="70"/>
      <c r="K520" s="70"/>
      <c r="L520" s="71"/>
      <c r="M520" s="72"/>
      <c r="P520" s="72"/>
    </row>
    <row r="521" hidden="1">
      <c r="B521" s="68"/>
      <c r="D521" s="69"/>
      <c r="H521" s="70"/>
      <c r="K521" s="70"/>
      <c r="L521" s="71"/>
      <c r="M521" s="72"/>
      <c r="P521" s="72"/>
    </row>
    <row r="522" hidden="1">
      <c r="B522" s="68"/>
      <c r="D522" s="69"/>
      <c r="H522" s="70"/>
      <c r="K522" s="70"/>
      <c r="L522" s="71"/>
      <c r="M522" s="72"/>
      <c r="P522" s="72"/>
    </row>
    <row r="523" hidden="1">
      <c r="B523" s="68"/>
      <c r="D523" s="69"/>
      <c r="H523" s="70"/>
      <c r="K523" s="70"/>
      <c r="L523" s="71"/>
      <c r="M523" s="72"/>
      <c r="P523" s="72"/>
    </row>
    <row r="524" hidden="1">
      <c r="B524" s="68"/>
      <c r="D524" s="69"/>
      <c r="H524" s="70"/>
      <c r="K524" s="70"/>
      <c r="L524" s="71"/>
      <c r="M524" s="72"/>
      <c r="P524" s="72"/>
    </row>
    <row r="525" hidden="1">
      <c r="B525" s="68"/>
      <c r="D525" s="69"/>
      <c r="H525" s="70"/>
      <c r="K525" s="70"/>
      <c r="L525" s="71"/>
      <c r="M525" s="72"/>
      <c r="P525" s="72"/>
    </row>
    <row r="526" hidden="1">
      <c r="B526" s="68"/>
      <c r="D526" s="69"/>
      <c r="H526" s="70"/>
      <c r="K526" s="70"/>
      <c r="L526" s="71"/>
      <c r="M526" s="72"/>
      <c r="P526" s="72"/>
    </row>
    <row r="527" hidden="1">
      <c r="B527" s="68"/>
      <c r="D527" s="69"/>
      <c r="H527" s="70"/>
      <c r="K527" s="70"/>
      <c r="L527" s="71"/>
      <c r="M527" s="72"/>
      <c r="P527" s="72"/>
    </row>
    <row r="528" hidden="1">
      <c r="B528" s="68"/>
      <c r="D528" s="69"/>
      <c r="H528" s="70"/>
      <c r="K528" s="70"/>
      <c r="L528" s="71"/>
      <c r="M528" s="72"/>
      <c r="P528" s="72"/>
    </row>
    <row r="529" hidden="1">
      <c r="B529" s="68"/>
      <c r="D529" s="69"/>
      <c r="H529" s="70"/>
      <c r="K529" s="70"/>
      <c r="L529" s="71"/>
      <c r="M529" s="72"/>
      <c r="P529" s="72"/>
    </row>
    <row r="530" hidden="1">
      <c r="B530" s="68"/>
      <c r="D530" s="69"/>
      <c r="H530" s="70"/>
      <c r="K530" s="70"/>
      <c r="L530" s="71"/>
      <c r="M530" s="72"/>
      <c r="P530" s="72"/>
    </row>
    <row r="531" hidden="1">
      <c r="B531" s="68"/>
      <c r="D531" s="69"/>
      <c r="H531" s="70"/>
      <c r="K531" s="70"/>
      <c r="L531" s="71"/>
      <c r="M531" s="72"/>
      <c r="P531" s="72"/>
    </row>
    <row r="532" hidden="1">
      <c r="B532" s="68"/>
      <c r="D532" s="69"/>
      <c r="H532" s="70"/>
      <c r="K532" s="70"/>
      <c r="L532" s="71"/>
      <c r="M532" s="72"/>
      <c r="P532" s="72"/>
    </row>
    <row r="533" hidden="1">
      <c r="B533" s="68"/>
      <c r="D533" s="69"/>
      <c r="H533" s="70"/>
      <c r="K533" s="70"/>
      <c r="L533" s="71"/>
      <c r="M533" s="72"/>
      <c r="P533" s="72"/>
    </row>
    <row r="534" hidden="1">
      <c r="B534" s="68"/>
      <c r="D534" s="69"/>
      <c r="H534" s="70"/>
      <c r="K534" s="70"/>
      <c r="L534" s="71"/>
      <c r="M534" s="72"/>
      <c r="P534" s="72"/>
    </row>
    <row r="535" hidden="1">
      <c r="B535" s="68"/>
      <c r="D535" s="69"/>
      <c r="H535" s="70"/>
      <c r="K535" s="70"/>
      <c r="L535" s="71"/>
      <c r="M535" s="72"/>
      <c r="P535" s="72"/>
    </row>
    <row r="536" hidden="1">
      <c r="B536" s="68"/>
      <c r="D536" s="69"/>
      <c r="H536" s="70"/>
      <c r="K536" s="70"/>
      <c r="L536" s="71"/>
      <c r="M536" s="72"/>
      <c r="P536" s="72"/>
    </row>
    <row r="537" hidden="1">
      <c r="B537" s="68"/>
      <c r="D537" s="69"/>
      <c r="H537" s="70"/>
      <c r="K537" s="70"/>
      <c r="L537" s="71"/>
      <c r="M537" s="72"/>
      <c r="P537" s="72"/>
    </row>
    <row r="538" hidden="1">
      <c r="B538" s="68"/>
      <c r="D538" s="69"/>
      <c r="H538" s="70"/>
      <c r="K538" s="70"/>
      <c r="L538" s="71"/>
      <c r="M538" s="72"/>
      <c r="P538" s="72"/>
    </row>
    <row r="539" hidden="1">
      <c r="B539" s="68"/>
      <c r="D539" s="69"/>
      <c r="H539" s="70"/>
      <c r="K539" s="70"/>
      <c r="L539" s="71"/>
      <c r="M539" s="72"/>
      <c r="P539" s="72"/>
    </row>
    <row r="540" hidden="1">
      <c r="B540" s="68"/>
      <c r="D540" s="69"/>
      <c r="H540" s="70"/>
      <c r="K540" s="70"/>
      <c r="L540" s="71"/>
      <c r="M540" s="72"/>
      <c r="P540" s="72"/>
    </row>
    <row r="541" hidden="1">
      <c r="B541" s="68"/>
      <c r="D541" s="69"/>
      <c r="H541" s="70"/>
      <c r="K541" s="70"/>
      <c r="L541" s="71"/>
      <c r="M541" s="72"/>
      <c r="P541" s="72"/>
    </row>
    <row r="542" hidden="1">
      <c r="B542" s="68"/>
      <c r="D542" s="69"/>
      <c r="H542" s="70"/>
      <c r="K542" s="70"/>
      <c r="L542" s="71"/>
      <c r="M542" s="72"/>
      <c r="P542" s="72"/>
    </row>
    <row r="543" hidden="1">
      <c r="B543" s="68"/>
      <c r="D543" s="69"/>
      <c r="H543" s="70"/>
      <c r="K543" s="70"/>
      <c r="L543" s="71"/>
      <c r="M543" s="72"/>
      <c r="P543" s="72"/>
    </row>
    <row r="544" hidden="1">
      <c r="B544" s="68"/>
      <c r="D544" s="69"/>
      <c r="H544" s="70"/>
      <c r="K544" s="70"/>
      <c r="L544" s="71"/>
      <c r="M544" s="72"/>
      <c r="P544" s="72"/>
    </row>
    <row r="545" hidden="1">
      <c r="B545" s="68"/>
      <c r="D545" s="69"/>
      <c r="H545" s="70"/>
      <c r="K545" s="70"/>
      <c r="L545" s="71"/>
      <c r="M545" s="72"/>
      <c r="P545" s="72"/>
    </row>
    <row r="546" hidden="1">
      <c r="B546" s="68"/>
      <c r="D546" s="69"/>
      <c r="H546" s="70"/>
      <c r="K546" s="70"/>
      <c r="L546" s="71"/>
      <c r="M546" s="72"/>
      <c r="P546" s="72"/>
    </row>
    <row r="547" hidden="1">
      <c r="B547" s="68"/>
      <c r="D547" s="69"/>
      <c r="H547" s="70"/>
      <c r="K547" s="70"/>
      <c r="L547" s="71"/>
      <c r="M547" s="72"/>
      <c r="P547" s="72"/>
    </row>
    <row r="548" hidden="1">
      <c r="B548" s="68"/>
      <c r="D548" s="69"/>
      <c r="H548" s="70"/>
      <c r="K548" s="70"/>
      <c r="L548" s="71"/>
      <c r="M548" s="72"/>
      <c r="P548" s="72"/>
    </row>
    <row r="549" hidden="1">
      <c r="B549" s="68"/>
      <c r="D549" s="69"/>
      <c r="H549" s="70"/>
      <c r="K549" s="70"/>
      <c r="L549" s="71"/>
      <c r="M549" s="72"/>
      <c r="P549" s="72"/>
    </row>
    <row r="550" hidden="1">
      <c r="B550" s="68"/>
      <c r="D550" s="69"/>
      <c r="H550" s="70"/>
      <c r="K550" s="70"/>
      <c r="L550" s="71"/>
      <c r="M550" s="72"/>
      <c r="P550" s="72"/>
    </row>
    <row r="551" hidden="1">
      <c r="B551" s="68"/>
      <c r="D551" s="69"/>
      <c r="H551" s="70"/>
      <c r="K551" s="70"/>
      <c r="L551" s="71"/>
      <c r="M551" s="72"/>
      <c r="P551" s="72"/>
    </row>
    <row r="552" hidden="1">
      <c r="B552" s="68"/>
      <c r="D552" s="69"/>
      <c r="H552" s="70"/>
      <c r="K552" s="70"/>
      <c r="L552" s="71"/>
      <c r="M552" s="72"/>
      <c r="P552" s="72"/>
    </row>
    <row r="553" hidden="1">
      <c r="B553" s="68"/>
      <c r="D553" s="69"/>
      <c r="H553" s="70"/>
      <c r="K553" s="70"/>
      <c r="L553" s="71"/>
      <c r="M553" s="72"/>
      <c r="P553" s="72"/>
    </row>
    <row r="554" hidden="1">
      <c r="B554" s="68"/>
      <c r="D554" s="69"/>
      <c r="H554" s="70"/>
      <c r="K554" s="70"/>
      <c r="L554" s="71"/>
      <c r="M554" s="72"/>
      <c r="P554" s="72"/>
    </row>
    <row r="555" hidden="1">
      <c r="B555" s="68"/>
      <c r="D555" s="69"/>
      <c r="H555" s="70"/>
      <c r="K555" s="70"/>
      <c r="L555" s="71"/>
      <c r="M555" s="72"/>
      <c r="P555" s="72"/>
    </row>
    <row r="556" hidden="1">
      <c r="B556" s="68"/>
      <c r="D556" s="69"/>
      <c r="H556" s="70"/>
      <c r="K556" s="70"/>
      <c r="L556" s="71"/>
      <c r="M556" s="72"/>
      <c r="P556" s="72"/>
    </row>
    <row r="557" hidden="1">
      <c r="B557" s="68"/>
      <c r="D557" s="69"/>
      <c r="H557" s="70"/>
      <c r="K557" s="70"/>
      <c r="L557" s="71"/>
      <c r="M557" s="72"/>
      <c r="P557" s="72"/>
    </row>
    <row r="558" hidden="1">
      <c r="B558" s="68"/>
      <c r="D558" s="69"/>
      <c r="H558" s="70"/>
      <c r="K558" s="70"/>
      <c r="L558" s="71"/>
      <c r="M558" s="72"/>
      <c r="P558" s="72"/>
    </row>
    <row r="559" hidden="1">
      <c r="B559" s="68"/>
      <c r="D559" s="69"/>
      <c r="H559" s="70"/>
      <c r="K559" s="70"/>
      <c r="L559" s="71"/>
      <c r="M559" s="72"/>
      <c r="P559" s="72"/>
    </row>
    <row r="560" hidden="1">
      <c r="B560" s="68"/>
      <c r="D560" s="69"/>
      <c r="H560" s="70"/>
      <c r="K560" s="70"/>
      <c r="L560" s="71"/>
      <c r="M560" s="72"/>
      <c r="P560" s="72"/>
    </row>
    <row r="561" hidden="1">
      <c r="B561" s="68"/>
      <c r="D561" s="69"/>
      <c r="H561" s="70"/>
      <c r="K561" s="70"/>
      <c r="L561" s="71"/>
      <c r="M561" s="72"/>
      <c r="P561" s="72"/>
    </row>
    <row r="562" hidden="1">
      <c r="B562" s="68"/>
      <c r="D562" s="69"/>
      <c r="H562" s="70"/>
      <c r="K562" s="70"/>
      <c r="L562" s="71"/>
      <c r="M562" s="72"/>
      <c r="P562" s="72"/>
    </row>
    <row r="563" hidden="1">
      <c r="B563" s="68"/>
      <c r="D563" s="69"/>
      <c r="H563" s="70"/>
      <c r="K563" s="70"/>
      <c r="L563" s="71"/>
      <c r="M563" s="72"/>
      <c r="P563" s="72"/>
    </row>
    <row r="564" hidden="1">
      <c r="B564" s="68"/>
      <c r="D564" s="69"/>
      <c r="H564" s="70"/>
      <c r="K564" s="70"/>
      <c r="L564" s="71"/>
      <c r="M564" s="72"/>
      <c r="P564" s="72"/>
    </row>
    <row r="565" hidden="1">
      <c r="B565" s="68"/>
      <c r="D565" s="69"/>
      <c r="H565" s="70"/>
      <c r="K565" s="70"/>
      <c r="L565" s="71"/>
      <c r="M565" s="72"/>
      <c r="P565" s="72"/>
    </row>
    <row r="566" hidden="1">
      <c r="B566" s="68"/>
      <c r="D566" s="69"/>
      <c r="H566" s="70"/>
      <c r="K566" s="70"/>
      <c r="L566" s="71"/>
      <c r="M566" s="72"/>
      <c r="P566" s="72"/>
    </row>
    <row r="567" hidden="1">
      <c r="B567" s="68"/>
      <c r="D567" s="69"/>
      <c r="H567" s="70"/>
      <c r="K567" s="70"/>
      <c r="L567" s="71"/>
      <c r="M567" s="72"/>
      <c r="P567" s="72"/>
    </row>
    <row r="568" hidden="1">
      <c r="B568" s="68"/>
      <c r="D568" s="69"/>
      <c r="H568" s="70"/>
      <c r="K568" s="70"/>
      <c r="L568" s="71"/>
      <c r="M568" s="72"/>
      <c r="P568" s="72"/>
    </row>
    <row r="569" hidden="1">
      <c r="B569" s="68"/>
      <c r="D569" s="69"/>
      <c r="H569" s="70"/>
      <c r="K569" s="70"/>
      <c r="L569" s="71"/>
      <c r="M569" s="72"/>
      <c r="P569" s="72"/>
    </row>
    <row r="570" hidden="1">
      <c r="B570" s="68"/>
      <c r="D570" s="69"/>
      <c r="H570" s="70"/>
      <c r="K570" s="70"/>
      <c r="L570" s="71"/>
      <c r="M570" s="72"/>
      <c r="P570" s="72"/>
    </row>
    <row r="571" hidden="1">
      <c r="B571" s="68"/>
      <c r="D571" s="69"/>
      <c r="H571" s="70"/>
      <c r="K571" s="70"/>
      <c r="L571" s="71"/>
      <c r="M571" s="72"/>
      <c r="P571" s="72"/>
    </row>
    <row r="572" hidden="1">
      <c r="B572" s="68"/>
      <c r="D572" s="69"/>
      <c r="H572" s="70"/>
      <c r="K572" s="70"/>
      <c r="L572" s="71"/>
      <c r="M572" s="72"/>
      <c r="P572" s="72"/>
    </row>
    <row r="573" hidden="1">
      <c r="B573" s="68"/>
      <c r="D573" s="69"/>
      <c r="H573" s="70"/>
      <c r="K573" s="70"/>
      <c r="L573" s="71"/>
      <c r="M573" s="72"/>
      <c r="P573" s="72"/>
    </row>
    <row r="574" hidden="1">
      <c r="B574" s="68"/>
      <c r="D574" s="69"/>
      <c r="H574" s="70"/>
      <c r="K574" s="70"/>
      <c r="L574" s="71"/>
      <c r="M574" s="72"/>
      <c r="P574" s="72"/>
    </row>
    <row r="575" hidden="1">
      <c r="B575" s="68"/>
      <c r="D575" s="69"/>
      <c r="H575" s="70"/>
      <c r="K575" s="70"/>
      <c r="L575" s="71"/>
      <c r="M575" s="72"/>
      <c r="P575" s="72"/>
    </row>
    <row r="576" hidden="1">
      <c r="B576" s="68"/>
      <c r="D576" s="69"/>
      <c r="H576" s="70"/>
      <c r="K576" s="70"/>
      <c r="L576" s="71"/>
      <c r="M576" s="72"/>
      <c r="P576" s="72"/>
    </row>
    <row r="577" hidden="1">
      <c r="B577" s="68"/>
      <c r="D577" s="69"/>
      <c r="H577" s="70"/>
      <c r="K577" s="70"/>
      <c r="L577" s="71"/>
      <c r="M577" s="72"/>
      <c r="P577" s="72"/>
    </row>
    <row r="578" hidden="1">
      <c r="B578" s="68"/>
      <c r="D578" s="69"/>
      <c r="H578" s="70"/>
      <c r="K578" s="70"/>
      <c r="L578" s="71"/>
      <c r="M578" s="72"/>
      <c r="P578" s="72"/>
    </row>
    <row r="579" hidden="1">
      <c r="B579" s="68"/>
      <c r="D579" s="69"/>
      <c r="H579" s="70"/>
      <c r="K579" s="70"/>
      <c r="L579" s="71"/>
      <c r="M579" s="72"/>
      <c r="P579" s="72"/>
    </row>
    <row r="580" hidden="1">
      <c r="B580" s="68"/>
      <c r="D580" s="69"/>
      <c r="H580" s="70"/>
      <c r="K580" s="70"/>
      <c r="L580" s="71"/>
      <c r="M580" s="72"/>
      <c r="P580" s="72"/>
    </row>
    <row r="581" hidden="1">
      <c r="B581" s="68"/>
      <c r="D581" s="69"/>
      <c r="H581" s="70"/>
      <c r="K581" s="70"/>
      <c r="L581" s="71"/>
      <c r="M581" s="72"/>
      <c r="P581" s="72"/>
    </row>
    <row r="582" hidden="1">
      <c r="B582" s="68"/>
      <c r="D582" s="69"/>
      <c r="H582" s="70"/>
      <c r="K582" s="70"/>
      <c r="L582" s="71"/>
      <c r="M582" s="72"/>
      <c r="P582" s="72"/>
    </row>
    <row r="583" hidden="1">
      <c r="B583" s="68"/>
      <c r="D583" s="69"/>
      <c r="H583" s="70"/>
      <c r="K583" s="70"/>
      <c r="L583" s="71"/>
      <c r="M583" s="72"/>
      <c r="P583" s="72"/>
    </row>
    <row r="584" hidden="1">
      <c r="B584" s="68"/>
      <c r="D584" s="69"/>
      <c r="H584" s="70"/>
      <c r="K584" s="70"/>
      <c r="L584" s="71"/>
      <c r="M584" s="72"/>
      <c r="P584" s="72"/>
    </row>
    <row r="585" hidden="1">
      <c r="B585" s="68"/>
      <c r="D585" s="69"/>
      <c r="H585" s="70"/>
      <c r="K585" s="70"/>
      <c r="L585" s="71"/>
      <c r="M585" s="72"/>
      <c r="P585" s="72"/>
    </row>
    <row r="586" hidden="1">
      <c r="B586" s="68"/>
      <c r="D586" s="69"/>
      <c r="H586" s="70"/>
      <c r="K586" s="70"/>
      <c r="L586" s="71"/>
      <c r="M586" s="72"/>
      <c r="P586" s="72"/>
    </row>
    <row r="587" hidden="1">
      <c r="B587" s="68"/>
      <c r="D587" s="69"/>
      <c r="H587" s="70"/>
      <c r="K587" s="70"/>
      <c r="L587" s="71"/>
      <c r="M587" s="72"/>
      <c r="P587" s="72"/>
    </row>
    <row r="588" hidden="1">
      <c r="B588" s="68"/>
      <c r="D588" s="69"/>
      <c r="H588" s="70"/>
      <c r="K588" s="70"/>
      <c r="L588" s="71"/>
      <c r="M588" s="72"/>
      <c r="P588" s="72"/>
    </row>
    <row r="589" hidden="1">
      <c r="B589" s="68"/>
      <c r="D589" s="69"/>
      <c r="H589" s="70"/>
      <c r="K589" s="70"/>
      <c r="L589" s="71"/>
      <c r="M589" s="72"/>
      <c r="P589" s="72"/>
    </row>
    <row r="590" hidden="1">
      <c r="B590" s="68"/>
      <c r="D590" s="69"/>
      <c r="H590" s="70"/>
      <c r="K590" s="70"/>
      <c r="L590" s="71"/>
      <c r="M590" s="72"/>
      <c r="P590" s="72"/>
    </row>
    <row r="591" hidden="1">
      <c r="B591" s="68"/>
      <c r="D591" s="69"/>
      <c r="H591" s="70"/>
      <c r="K591" s="70"/>
      <c r="L591" s="71"/>
      <c r="M591" s="72"/>
      <c r="P591" s="72"/>
    </row>
    <row r="592" hidden="1">
      <c r="B592" s="68"/>
      <c r="D592" s="69"/>
      <c r="H592" s="70"/>
      <c r="K592" s="70"/>
      <c r="L592" s="71"/>
      <c r="M592" s="72"/>
      <c r="P592" s="72"/>
    </row>
    <row r="593" hidden="1">
      <c r="B593" s="68"/>
      <c r="D593" s="69"/>
      <c r="H593" s="70"/>
      <c r="K593" s="70"/>
      <c r="L593" s="71"/>
      <c r="M593" s="72"/>
      <c r="P593" s="72"/>
    </row>
    <row r="594" hidden="1">
      <c r="B594" s="68"/>
      <c r="D594" s="69"/>
      <c r="H594" s="70"/>
      <c r="K594" s="70"/>
      <c r="L594" s="71"/>
      <c r="M594" s="72"/>
      <c r="P594" s="72"/>
    </row>
    <row r="595" hidden="1">
      <c r="B595" s="68"/>
      <c r="D595" s="69"/>
      <c r="H595" s="70"/>
      <c r="K595" s="70"/>
      <c r="L595" s="71"/>
      <c r="M595" s="72"/>
      <c r="P595" s="72"/>
    </row>
    <row r="596" hidden="1">
      <c r="B596" s="68"/>
      <c r="D596" s="69"/>
      <c r="H596" s="70"/>
      <c r="K596" s="70"/>
      <c r="L596" s="71"/>
      <c r="M596" s="72"/>
      <c r="P596" s="72"/>
    </row>
    <row r="597" hidden="1">
      <c r="B597" s="68"/>
      <c r="D597" s="69"/>
      <c r="H597" s="70"/>
      <c r="K597" s="70"/>
      <c r="L597" s="71"/>
      <c r="M597" s="72"/>
      <c r="P597" s="72"/>
    </row>
    <row r="598" hidden="1">
      <c r="B598" s="68"/>
      <c r="D598" s="69"/>
      <c r="H598" s="70"/>
      <c r="K598" s="70"/>
      <c r="L598" s="71"/>
      <c r="M598" s="72"/>
      <c r="P598" s="72"/>
    </row>
    <row r="599" hidden="1">
      <c r="B599" s="68"/>
      <c r="D599" s="69"/>
      <c r="H599" s="70"/>
      <c r="K599" s="70"/>
      <c r="L599" s="71"/>
      <c r="M599" s="72"/>
      <c r="P599" s="72"/>
    </row>
    <row r="600" hidden="1">
      <c r="B600" s="68"/>
      <c r="D600" s="69"/>
      <c r="H600" s="70"/>
      <c r="K600" s="70"/>
      <c r="L600" s="71"/>
      <c r="M600" s="72"/>
      <c r="P600" s="72"/>
    </row>
    <row r="601" hidden="1">
      <c r="B601" s="68"/>
      <c r="D601" s="69"/>
      <c r="H601" s="70"/>
      <c r="K601" s="70"/>
      <c r="L601" s="71"/>
      <c r="M601" s="72"/>
      <c r="P601" s="72"/>
    </row>
    <row r="602" hidden="1">
      <c r="B602" s="68"/>
      <c r="D602" s="69"/>
      <c r="H602" s="70"/>
      <c r="K602" s="70"/>
      <c r="L602" s="71"/>
      <c r="M602" s="72"/>
      <c r="P602" s="72"/>
    </row>
    <row r="603" hidden="1">
      <c r="B603" s="68"/>
      <c r="D603" s="69"/>
      <c r="H603" s="70"/>
      <c r="K603" s="70"/>
      <c r="L603" s="71"/>
      <c r="M603" s="72"/>
      <c r="P603" s="72"/>
    </row>
    <row r="604" hidden="1">
      <c r="B604" s="68"/>
      <c r="D604" s="69"/>
      <c r="H604" s="70"/>
      <c r="K604" s="70"/>
      <c r="L604" s="71"/>
      <c r="M604" s="72"/>
      <c r="P604" s="72"/>
    </row>
    <row r="605" hidden="1">
      <c r="B605" s="68"/>
      <c r="D605" s="69"/>
      <c r="H605" s="70"/>
      <c r="K605" s="70"/>
      <c r="L605" s="71"/>
      <c r="M605" s="72"/>
      <c r="P605" s="72"/>
    </row>
    <row r="606" hidden="1">
      <c r="B606" s="68"/>
      <c r="D606" s="69"/>
      <c r="H606" s="70"/>
      <c r="K606" s="70"/>
      <c r="L606" s="71"/>
      <c r="M606" s="72"/>
      <c r="P606" s="72"/>
    </row>
    <row r="607" hidden="1">
      <c r="B607" s="68"/>
      <c r="D607" s="69"/>
      <c r="H607" s="70"/>
      <c r="K607" s="70"/>
      <c r="L607" s="71"/>
      <c r="M607" s="72"/>
      <c r="P607" s="72"/>
    </row>
    <row r="608" hidden="1">
      <c r="B608" s="68"/>
      <c r="D608" s="69"/>
      <c r="H608" s="70"/>
      <c r="K608" s="70"/>
      <c r="L608" s="71"/>
      <c r="M608" s="72"/>
      <c r="P608" s="72"/>
    </row>
    <row r="609" hidden="1">
      <c r="B609" s="68"/>
      <c r="D609" s="69"/>
      <c r="H609" s="70"/>
      <c r="K609" s="70"/>
      <c r="L609" s="71"/>
      <c r="M609" s="72"/>
      <c r="P609" s="72"/>
    </row>
    <row r="610" hidden="1">
      <c r="B610" s="68"/>
      <c r="D610" s="69"/>
      <c r="H610" s="70"/>
      <c r="K610" s="70"/>
      <c r="L610" s="71"/>
      <c r="M610" s="72"/>
      <c r="P610" s="72"/>
    </row>
    <row r="611" hidden="1">
      <c r="B611" s="68"/>
      <c r="D611" s="69"/>
      <c r="H611" s="70"/>
      <c r="K611" s="70"/>
      <c r="L611" s="71"/>
      <c r="M611" s="72"/>
      <c r="P611" s="72"/>
    </row>
    <row r="612" hidden="1">
      <c r="B612" s="68"/>
      <c r="D612" s="69"/>
      <c r="H612" s="70"/>
      <c r="K612" s="70"/>
      <c r="L612" s="71"/>
      <c r="M612" s="72"/>
      <c r="P612" s="72"/>
    </row>
    <row r="613" hidden="1">
      <c r="B613" s="68"/>
      <c r="D613" s="69"/>
      <c r="H613" s="70"/>
      <c r="K613" s="70"/>
      <c r="L613" s="71"/>
      <c r="M613" s="72"/>
      <c r="P613" s="72"/>
    </row>
    <row r="614" hidden="1">
      <c r="B614" s="68"/>
      <c r="D614" s="69"/>
      <c r="H614" s="70"/>
      <c r="K614" s="70"/>
      <c r="L614" s="71"/>
      <c r="M614" s="72"/>
      <c r="P614" s="72"/>
    </row>
    <row r="615" hidden="1">
      <c r="B615" s="68"/>
      <c r="D615" s="69"/>
      <c r="H615" s="70"/>
      <c r="K615" s="70"/>
      <c r="L615" s="71"/>
      <c r="M615" s="72"/>
      <c r="P615" s="72"/>
    </row>
    <row r="616" hidden="1">
      <c r="B616" s="68"/>
      <c r="D616" s="69"/>
      <c r="H616" s="70"/>
      <c r="K616" s="70"/>
      <c r="L616" s="71"/>
      <c r="M616" s="72"/>
      <c r="P616" s="72"/>
    </row>
    <row r="617" hidden="1">
      <c r="B617" s="68"/>
      <c r="D617" s="69"/>
      <c r="H617" s="70"/>
      <c r="K617" s="70"/>
      <c r="L617" s="71"/>
      <c r="M617" s="72"/>
      <c r="P617" s="72"/>
    </row>
    <row r="618" hidden="1">
      <c r="B618" s="68"/>
      <c r="D618" s="69"/>
      <c r="H618" s="70"/>
      <c r="K618" s="70"/>
      <c r="L618" s="71"/>
      <c r="M618" s="72"/>
      <c r="P618" s="72"/>
    </row>
    <row r="619" hidden="1">
      <c r="B619" s="68"/>
      <c r="D619" s="69"/>
      <c r="H619" s="70"/>
      <c r="K619" s="70"/>
      <c r="L619" s="71"/>
      <c r="M619" s="72"/>
      <c r="P619" s="72"/>
    </row>
    <row r="620" hidden="1">
      <c r="B620" s="68"/>
      <c r="D620" s="69"/>
      <c r="H620" s="70"/>
      <c r="K620" s="70"/>
      <c r="L620" s="71"/>
      <c r="M620" s="72"/>
      <c r="P620" s="72"/>
    </row>
    <row r="621" hidden="1">
      <c r="B621" s="68"/>
      <c r="D621" s="69"/>
      <c r="H621" s="70"/>
      <c r="K621" s="70"/>
      <c r="L621" s="71"/>
      <c r="M621" s="72"/>
      <c r="P621" s="72"/>
    </row>
    <row r="622" hidden="1">
      <c r="B622" s="68"/>
      <c r="D622" s="69"/>
      <c r="H622" s="70"/>
      <c r="K622" s="70"/>
      <c r="L622" s="71"/>
      <c r="M622" s="72"/>
      <c r="P622" s="72"/>
    </row>
    <row r="623" hidden="1">
      <c r="B623" s="68"/>
      <c r="D623" s="69"/>
      <c r="H623" s="70"/>
      <c r="K623" s="70"/>
      <c r="L623" s="71"/>
      <c r="M623" s="72"/>
      <c r="P623" s="72"/>
    </row>
    <row r="624" hidden="1">
      <c r="B624" s="68"/>
      <c r="D624" s="69"/>
      <c r="H624" s="70"/>
      <c r="K624" s="70"/>
      <c r="L624" s="71"/>
      <c r="M624" s="72"/>
      <c r="P624" s="72"/>
    </row>
    <row r="625" hidden="1">
      <c r="B625" s="68"/>
      <c r="D625" s="69"/>
      <c r="H625" s="70"/>
      <c r="K625" s="70"/>
      <c r="L625" s="71"/>
      <c r="M625" s="72"/>
      <c r="P625" s="72"/>
    </row>
    <row r="626" hidden="1">
      <c r="B626" s="68"/>
      <c r="D626" s="69"/>
      <c r="H626" s="70"/>
      <c r="K626" s="70"/>
      <c r="L626" s="71"/>
      <c r="M626" s="72"/>
      <c r="P626" s="72"/>
    </row>
    <row r="627" hidden="1">
      <c r="B627" s="68"/>
      <c r="D627" s="69"/>
      <c r="H627" s="70"/>
      <c r="K627" s="70"/>
      <c r="L627" s="71"/>
      <c r="M627" s="72"/>
      <c r="P627" s="72"/>
    </row>
    <row r="628" hidden="1">
      <c r="B628" s="68"/>
      <c r="D628" s="69"/>
      <c r="H628" s="70"/>
      <c r="K628" s="70"/>
      <c r="L628" s="71"/>
      <c r="M628" s="72"/>
      <c r="P628" s="72"/>
    </row>
    <row r="629" hidden="1">
      <c r="B629" s="68"/>
      <c r="D629" s="69"/>
      <c r="H629" s="70"/>
      <c r="K629" s="70"/>
      <c r="L629" s="71"/>
      <c r="M629" s="72"/>
      <c r="P629" s="72"/>
    </row>
    <row r="630" hidden="1">
      <c r="B630" s="68"/>
      <c r="D630" s="69"/>
      <c r="H630" s="70"/>
      <c r="K630" s="70"/>
      <c r="L630" s="71"/>
      <c r="M630" s="72"/>
      <c r="P630" s="72"/>
    </row>
    <row r="631" hidden="1">
      <c r="B631" s="68"/>
      <c r="D631" s="69"/>
      <c r="H631" s="70"/>
      <c r="K631" s="70"/>
      <c r="L631" s="71"/>
      <c r="M631" s="72"/>
      <c r="P631" s="72"/>
    </row>
    <row r="632" hidden="1">
      <c r="B632" s="68"/>
      <c r="D632" s="69"/>
      <c r="H632" s="70"/>
      <c r="K632" s="70"/>
      <c r="L632" s="71"/>
      <c r="M632" s="72"/>
      <c r="P632" s="72"/>
    </row>
    <row r="633" hidden="1">
      <c r="B633" s="68"/>
      <c r="D633" s="69"/>
      <c r="H633" s="70"/>
      <c r="K633" s="70"/>
      <c r="L633" s="71"/>
      <c r="M633" s="72"/>
      <c r="P633" s="72"/>
    </row>
    <row r="634" hidden="1">
      <c r="B634" s="68"/>
      <c r="D634" s="69"/>
      <c r="H634" s="70"/>
      <c r="K634" s="70"/>
      <c r="L634" s="71"/>
      <c r="M634" s="72"/>
      <c r="P634" s="72"/>
    </row>
    <row r="635" hidden="1">
      <c r="B635" s="68"/>
      <c r="D635" s="69"/>
      <c r="H635" s="70"/>
      <c r="K635" s="70"/>
      <c r="L635" s="71"/>
      <c r="M635" s="72"/>
      <c r="P635" s="72"/>
    </row>
    <row r="636" hidden="1">
      <c r="B636" s="68"/>
      <c r="D636" s="69"/>
      <c r="H636" s="70"/>
      <c r="K636" s="70"/>
      <c r="L636" s="71"/>
      <c r="M636" s="72"/>
      <c r="P636" s="72"/>
    </row>
    <row r="637" hidden="1">
      <c r="B637" s="68"/>
      <c r="D637" s="69"/>
      <c r="H637" s="70"/>
      <c r="K637" s="70"/>
      <c r="L637" s="71"/>
      <c r="M637" s="72"/>
      <c r="P637" s="72"/>
    </row>
    <row r="638" hidden="1">
      <c r="B638" s="68"/>
      <c r="D638" s="69"/>
      <c r="H638" s="70"/>
      <c r="K638" s="70"/>
      <c r="L638" s="71"/>
      <c r="M638" s="72"/>
      <c r="P638" s="72"/>
    </row>
    <row r="639" hidden="1">
      <c r="B639" s="68"/>
      <c r="D639" s="69"/>
      <c r="H639" s="70"/>
      <c r="K639" s="70"/>
      <c r="L639" s="71"/>
      <c r="M639" s="72"/>
      <c r="P639" s="72"/>
    </row>
    <row r="640" hidden="1">
      <c r="B640" s="68"/>
      <c r="D640" s="69"/>
      <c r="H640" s="70"/>
      <c r="K640" s="70"/>
      <c r="L640" s="71"/>
      <c r="M640" s="72"/>
      <c r="P640" s="72"/>
    </row>
    <row r="641" hidden="1">
      <c r="B641" s="68"/>
      <c r="D641" s="69"/>
      <c r="H641" s="70"/>
      <c r="K641" s="70"/>
      <c r="L641" s="71"/>
      <c r="M641" s="72"/>
      <c r="P641" s="72"/>
    </row>
    <row r="642" hidden="1">
      <c r="B642" s="68"/>
      <c r="D642" s="69"/>
      <c r="H642" s="70"/>
      <c r="K642" s="70"/>
      <c r="L642" s="71"/>
      <c r="M642" s="72"/>
      <c r="P642" s="72"/>
    </row>
    <row r="643" hidden="1">
      <c r="B643" s="68"/>
      <c r="D643" s="69"/>
      <c r="H643" s="70"/>
      <c r="K643" s="70"/>
      <c r="L643" s="71"/>
      <c r="M643" s="72"/>
      <c r="P643" s="72"/>
    </row>
    <row r="644" hidden="1">
      <c r="B644" s="68"/>
      <c r="D644" s="69"/>
      <c r="H644" s="70"/>
      <c r="K644" s="70"/>
      <c r="L644" s="71"/>
      <c r="M644" s="72"/>
      <c r="P644" s="72"/>
    </row>
    <row r="645" hidden="1">
      <c r="B645" s="68"/>
      <c r="D645" s="69"/>
      <c r="H645" s="70"/>
      <c r="K645" s="70"/>
      <c r="L645" s="71"/>
      <c r="M645" s="72"/>
      <c r="P645" s="72"/>
    </row>
    <row r="646" hidden="1">
      <c r="B646" s="68"/>
      <c r="D646" s="69"/>
      <c r="H646" s="70"/>
      <c r="K646" s="70"/>
      <c r="L646" s="71"/>
      <c r="M646" s="72"/>
      <c r="P646" s="72"/>
    </row>
    <row r="647" hidden="1">
      <c r="B647" s="68"/>
      <c r="D647" s="69"/>
      <c r="H647" s="70"/>
      <c r="K647" s="70"/>
      <c r="L647" s="71"/>
      <c r="M647" s="72"/>
      <c r="P647" s="72"/>
    </row>
    <row r="648" hidden="1">
      <c r="B648" s="68"/>
      <c r="D648" s="69"/>
      <c r="H648" s="70"/>
      <c r="K648" s="70"/>
      <c r="L648" s="71"/>
      <c r="M648" s="72"/>
      <c r="P648" s="72"/>
    </row>
    <row r="649" hidden="1">
      <c r="B649" s="68"/>
      <c r="D649" s="69"/>
      <c r="H649" s="70"/>
      <c r="K649" s="70"/>
      <c r="L649" s="71"/>
      <c r="M649" s="72"/>
      <c r="P649" s="72"/>
    </row>
    <row r="650" hidden="1">
      <c r="B650" s="68"/>
      <c r="D650" s="69"/>
      <c r="H650" s="70"/>
      <c r="K650" s="70"/>
      <c r="L650" s="71"/>
      <c r="M650" s="72"/>
      <c r="P650" s="72"/>
    </row>
    <row r="651" hidden="1">
      <c r="B651" s="68"/>
      <c r="D651" s="69"/>
      <c r="H651" s="70"/>
      <c r="K651" s="70"/>
      <c r="L651" s="71"/>
      <c r="M651" s="72"/>
      <c r="P651" s="72"/>
    </row>
    <row r="652" hidden="1">
      <c r="B652" s="68"/>
      <c r="D652" s="69"/>
      <c r="H652" s="70"/>
      <c r="K652" s="70"/>
      <c r="L652" s="71"/>
      <c r="M652" s="72"/>
      <c r="P652" s="72"/>
    </row>
    <row r="653" hidden="1">
      <c r="B653" s="68"/>
      <c r="D653" s="69"/>
      <c r="H653" s="70"/>
      <c r="K653" s="70"/>
      <c r="L653" s="71"/>
      <c r="M653" s="72"/>
      <c r="P653" s="72"/>
    </row>
    <row r="654" hidden="1">
      <c r="B654" s="68"/>
      <c r="D654" s="69"/>
      <c r="H654" s="70"/>
      <c r="K654" s="70"/>
      <c r="L654" s="71"/>
      <c r="M654" s="72"/>
      <c r="P654" s="72"/>
    </row>
    <row r="655" hidden="1">
      <c r="B655" s="68"/>
      <c r="D655" s="69"/>
      <c r="H655" s="70"/>
      <c r="K655" s="70"/>
      <c r="L655" s="71"/>
      <c r="M655" s="72"/>
      <c r="P655" s="72"/>
    </row>
    <row r="656" hidden="1">
      <c r="B656" s="68"/>
      <c r="D656" s="69"/>
      <c r="H656" s="70"/>
      <c r="K656" s="70"/>
      <c r="L656" s="71"/>
      <c r="M656" s="72"/>
      <c r="P656" s="72"/>
    </row>
    <row r="657" hidden="1">
      <c r="B657" s="68"/>
      <c r="D657" s="69"/>
      <c r="H657" s="70"/>
      <c r="K657" s="70"/>
      <c r="L657" s="71"/>
      <c r="M657" s="72"/>
      <c r="P657" s="72"/>
    </row>
    <row r="658" hidden="1">
      <c r="B658" s="68"/>
      <c r="D658" s="69"/>
      <c r="H658" s="70"/>
      <c r="K658" s="70"/>
      <c r="L658" s="71"/>
      <c r="M658" s="72"/>
      <c r="P658" s="72"/>
    </row>
    <row r="659" hidden="1">
      <c r="B659" s="68"/>
      <c r="D659" s="69"/>
      <c r="H659" s="70"/>
      <c r="K659" s="70"/>
      <c r="L659" s="71"/>
      <c r="M659" s="72"/>
      <c r="P659" s="72"/>
    </row>
    <row r="660" hidden="1">
      <c r="B660" s="68"/>
      <c r="D660" s="69"/>
      <c r="H660" s="70"/>
      <c r="K660" s="70"/>
      <c r="L660" s="71"/>
      <c r="M660" s="72"/>
      <c r="P660" s="72"/>
    </row>
    <row r="661" hidden="1">
      <c r="B661" s="68"/>
      <c r="D661" s="69"/>
      <c r="H661" s="70"/>
      <c r="K661" s="70"/>
      <c r="L661" s="71"/>
      <c r="M661" s="72"/>
      <c r="P661" s="72"/>
    </row>
    <row r="662" hidden="1">
      <c r="B662" s="68"/>
      <c r="D662" s="69"/>
      <c r="H662" s="70"/>
      <c r="K662" s="70"/>
      <c r="L662" s="71"/>
      <c r="M662" s="72"/>
      <c r="P662" s="72"/>
    </row>
    <row r="663" hidden="1">
      <c r="B663" s="68"/>
      <c r="D663" s="69"/>
      <c r="H663" s="70"/>
      <c r="K663" s="70"/>
      <c r="L663" s="71"/>
      <c r="M663" s="72"/>
      <c r="P663" s="72"/>
    </row>
    <row r="664" hidden="1">
      <c r="B664" s="68"/>
      <c r="D664" s="69"/>
      <c r="H664" s="70"/>
      <c r="K664" s="70"/>
      <c r="L664" s="71"/>
      <c r="M664" s="72"/>
      <c r="P664" s="72"/>
    </row>
    <row r="665" hidden="1">
      <c r="B665" s="68"/>
      <c r="D665" s="69"/>
      <c r="H665" s="70"/>
      <c r="K665" s="70"/>
      <c r="L665" s="71"/>
      <c r="M665" s="72"/>
      <c r="P665" s="72"/>
    </row>
    <row r="666" hidden="1">
      <c r="B666" s="68"/>
      <c r="D666" s="69"/>
      <c r="H666" s="70"/>
      <c r="K666" s="70"/>
      <c r="L666" s="71"/>
      <c r="M666" s="72"/>
      <c r="P666" s="72"/>
    </row>
    <row r="667" hidden="1">
      <c r="B667" s="68"/>
      <c r="D667" s="69"/>
      <c r="H667" s="70"/>
      <c r="K667" s="70"/>
      <c r="L667" s="71"/>
      <c r="M667" s="72"/>
      <c r="P667" s="72"/>
    </row>
    <row r="668" hidden="1">
      <c r="B668" s="68"/>
      <c r="D668" s="69"/>
      <c r="H668" s="70"/>
      <c r="K668" s="70"/>
      <c r="L668" s="71"/>
      <c r="M668" s="72"/>
      <c r="P668" s="72"/>
    </row>
    <row r="669" hidden="1">
      <c r="B669" s="68"/>
      <c r="D669" s="69"/>
      <c r="H669" s="70"/>
      <c r="K669" s="70"/>
      <c r="L669" s="71"/>
      <c r="M669" s="72"/>
      <c r="P669" s="72"/>
    </row>
    <row r="670" hidden="1">
      <c r="B670" s="68"/>
      <c r="D670" s="69"/>
      <c r="H670" s="70"/>
      <c r="K670" s="70"/>
      <c r="L670" s="71"/>
      <c r="M670" s="72"/>
      <c r="P670" s="72"/>
    </row>
    <row r="671" hidden="1">
      <c r="B671" s="68"/>
      <c r="D671" s="69"/>
      <c r="H671" s="70"/>
      <c r="K671" s="70"/>
      <c r="L671" s="71"/>
      <c r="M671" s="72"/>
      <c r="P671" s="72"/>
    </row>
    <row r="672" hidden="1">
      <c r="B672" s="68"/>
      <c r="D672" s="69"/>
      <c r="H672" s="70"/>
      <c r="K672" s="70"/>
      <c r="L672" s="71"/>
      <c r="M672" s="72"/>
      <c r="P672" s="72"/>
    </row>
    <row r="673" hidden="1">
      <c r="B673" s="68"/>
      <c r="D673" s="69"/>
      <c r="H673" s="70"/>
      <c r="K673" s="70"/>
      <c r="L673" s="71"/>
      <c r="M673" s="72"/>
      <c r="P673" s="72"/>
    </row>
    <row r="674" hidden="1">
      <c r="B674" s="68"/>
      <c r="D674" s="69"/>
      <c r="H674" s="70"/>
      <c r="K674" s="70"/>
      <c r="L674" s="71"/>
      <c r="M674" s="72"/>
      <c r="P674" s="72"/>
    </row>
    <row r="675" hidden="1">
      <c r="B675" s="68"/>
      <c r="D675" s="69"/>
      <c r="H675" s="70"/>
      <c r="K675" s="70"/>
      <c r="L675" s="71"/>
      <c r="M675" s="72"/>
      <c r="P675" s="72"/>
    </row>
    <row r="676" hidden="1">
      <c r="B676" s="68"/>
      <c r="D676" s="69"/>
      <c r="H676" s="70"/>
      <c r="K676" s="70"/>
      <c r="L676" s="71"/>
      <c r="M676" s="72"/>
      <c r="P676" s="72"/>
    </row>
    <row r="677" hidden="1">
      <c r="B677" s="68"/>
      <c r="D677" s="69"/>
      <c r="H677" s="70"/>
      <c r="K677" s="70"/>
      <c r="L677" s="71"/>
      <c r="M677" s="72"/>
      <c r="P677" s="72"/>
    </row>
    <row r="678" hidden="1">
      <c r="B678" s="68"/>
      <c r="D678" s="69"/>
      <c r="H678" s="70"/>
      <c r="K678" s="70"/>
      <c r="L678" s="71"/>
      <c r="M678" s="72"/>
      <c r="P678" s="72"/>
    </row>
    <row r="679" hidden="1">
      <c r="B679" s="68"/>
      <c r="D679" s="69"/>
      <c r="H679" s="70"/>
      <c r="K679" s="70"/>
      <c r="L679" s="71"/>
      <c r="M679" s="72"/>
      <c r="P679" s="72"/>
    </row>
    <row r="680" hidden="1">
      <c r="B680" s="68"/>
      <c r="D680" s="69"/>
      <c r="H680" s="70"/>
      <c r="K680" s="70"/>
      <c r="L680" s="71"/>
      <c r="M680" s="72"/>
      <c r="P680" s="72"/>
    </row>
    <row r="681" hidden="1">
      <c r="B681" s="68"/>
      <c r="D681" s="69"/>
      <c r="H681" s="70"/>
      <c r="K681" s="70"/>
      <c r="L681" s="71"/>
      <c r="M681" s="72"/>
      <c r="P681" s="72"/>
    </row>
    <row r="682" hidden="1">
      <c r="B682" s="68"/>
      <c r="D682" s="69"/>
      <c r="H682" s="70"/>
      <c r="K682" s="70"/>
      <c r="L682" s="71"/>
      <c r="M682" s="72"/>
      <c r="P682" s="72"/>
    </row>
    <row r="683" hidden="1">
      <c r="B683" s="68"/>
      <c r="D683" s="69"/>
      <c r="H683" s="70"/>
      <c r="K683" s="70"/>
      <c r="L683" s="71"/>
      <c r="M683" s="72"/>
      <c r="P683" s="72"/>
    </row>
    <row r="684" hidden="1">
      <c r="B684" s="68"/>
      <c r="D684" s="69"/>
      <c r="H684" s="70"/>
      <c r="K684" s="70"/>
      <c r="L684" s="71"/>
      <c r="M684" s="72"/>
      <c r="P684" s="72"/>
    </row>
    <row r="685" hidden="1">
      <c r="B685" s="68"/>
      <c r="D685" s="69"/>
      <c r="H685" s="70"/>
      <c r="K685" s="70"/>
      <c r="L685" s="71"/>
      <c r="M685" s="72"/>
      <c r="P685" s="72"/>
    </row>
    <row r="686" hidden="1">
      <c r="B686" s="68"/>
      <c r="D686" s="69"/>
      <c r="H686" s="70"/>
      <c r="K686" s="70"/>
      <c r="L686" s="71"/>
      <c r="M686" s="72"/>
      <c r="P686" s="72"/>
    </row>
    <row r="687" hidden="1">
      <c r="B687" s="68"/>
      <c r="D687" s="69"/>
      <c r="H687" s="70"/>
      <c r="K687" s="70"/>
      <c r="L687" s="71"/>
      <c r="M687" s="72"/>
      <c r="P687" s="72"/>
    </row>
    <row r="688" hidden="1">
      <c r="B688" s="68"/>
      <c r="D688" s="69"/>
      <c r="H688" s="70"/>
      <c r="K688" s="70"/>
      <c r="L688" s="71"/>
      <c r="M688" s="72"/>
      <c r="P688" s="72"/>
    </row>
    <row r="689" hidden="1">
      <c r="B689" s="68"/>
      <c r="D689" s="69"/>
      <c r="H689" s="70"/>
      <c r="K689" s="70"/>
      <c r="L689" s="71"/>
      <c r="M689" s="72"/>
      <c r="P689" s="72"/>
    </row>
    <row r="690" hidden="1">
      <c r="B690" s="68"/>
      <c r="D690" s="69"/>
      <c r="H690" s="70"/>
      <c r="K690" s="70"/>
      <c r="L690" s="71"/>
      <c r="M690" s="72"/>
      <c r="P690" s="72"/>
    </row>
    <row r="691" hidden="1">
      <c r="B691" s="68"/>
      <c r="D691" s="69"/>
      <c r="H691" s="70"/>
      <c r="K691" s="70"/>
      <c r="L691" s="71"/>
      <c r="M691" s="72"/>
      <c r="P691" s="72"/>
    </row>
    <row r="692" hidden="1">
      <c r="B692" s="68"/>
      <c r="D692" s="69"/>
      <c r="H692" s="70"/>
      <c r="K692" s="70"/>
      <c r="L692" s="71"/>
      <c r="M692" s="72"/>
      <c r="P692" s="72"/>
    </row>
    <row r="693" hidden="1">
      <c r="B693" s="68"/>
      <c r="D693" s="69"/>
      <c r="H693" s="70"/>
      <c r="K693" s="70"/>
      <c r="L693" s="71"/>
      <c r="M693" s="72"/>
      <c r="P693" s="72"/>
    </row>
    <row r="694" hidden="1">
      <c r="B694" s="68"/>
      <c r="D694" s="69"/>
      <c r="H694" s="70"/>
      <c r="K694" s="70"/>
      <c r="L694" s="71"/>
      <c r="M694" s="72"/>
      <c r="P694" s="72"/>
    </row>
    <row r="695" hidden="1">
      <c r="B695" s="68"/>
      <c r="D695" s="69"/>
      <c r="H695" s="70"/>
      <c r="K695" s="70"/>
      <c r="L695" s="71"/>
      <c r="M695" s="72"/>
      <c r="P695" s="72"/>
    </row>
    <row r="696" hidden="1">
      <c r="B696" s="68"/>
      <c r="D696" s="69"/>
      <c r="H696" s="70"/>
      <c r="K696" s="70"/>
      <c r="L696" s="71"/>
      <c r="M696" s="72"/>
      <c r="P696" s="72"/>
    </row>
    <row r="697" hidden="1">
      <c r="B697" s="68"/>
      <c r="D697" s="69"/>
      <c r="H697" s="70"/>
      <c r="K697" s="70"/>
      <c r="L697" s="71"/>
      <c r="M697" s="72"/>
      <c r="P697" s="72"/>
    </row>
    <row r="698" hidden="1">
      <c r="B698" s="68"/>
      <c r="D698" s="69"/>
      <c r="H698" s="70"/>
      <c r="K698" s="70"/>
      <c r="L698" s="71"/>
      <c r="M698" s="72"/>
      <c r="P698" s="72"/>
    </row>
    <row r="699" hidden="1">
      <c r="B699" s="68"/>
      <c r="D699" s="69"/>
      <c r="H699" s="70"/>
      <c r="K699" s="70"/>
      <c r="L699" s="71"/>
      <c r="M699" s="72"/>
      <c r="P699" s="72"/>
    </row>
    <row r="700" hidden="1">
      <c r="B700" s="68"/>
      <c r="D700" s="69"/>
      <c r="H700" s="70"/>
      <c r="K700" s="70"/>
      <c r="L700" s="71"/>
      <c r="M700" s="72"/>
      <c r="P700" s="72"/>
    </row>
    <row r="701" hidden="1">
      <c r="B701" s="68"/>
      <c r="D701" s="69"/>
      <c r="H701" s="70"/>
      <c r="K701" s="70"/>
      <c r="L701" s="71"/>
      <c r="M701" s="72"/>
      <c r="P701" s="72"/>
    </row>
    <row r="702" hidden="1">
      <c r="B702" s="68"/>
      <c r="D702" s="69"/>
      <c r="H702" s="70"/>
      <c r="K702" s="70"/>
      <c r="L702" s="71"/>
      <c r="M702" s="72"/>
      <c r="P702" s="72"/>
    </row>
    <row r="703" hidden="1">
      <c r="B703" s="68"/>
      <c r="D703" s="69"/>
      <c r="H703" s="70"/>
      <c r="K703" s="70"/>
      <c r="L703" s="71"/>
      <c r="M703" s="72"/>
      <c r="P703" s="72"/>
    </row>
    <row r="704" hidden="1">
      <c r="B704" s="68"/>
      <c r="D704" s="69"/>
      <c r="H704" s="70"/>
      <c r="K704" s="70"/>
      <c r="L704" s="71"/>
      <c r="M704" s="72"/>
      <c r="P704" s="72"/>
    </row>
    <row r="705" hidden="1">
      <c r="B705" s="68"/>
      <c r="D705" s="69"/>
      <c r="H705" s="70"/>
      <c r="K705" s="70"/>
      <c r="L705" s="71"/>
      <c r="M705" s="72"/>
      <c r="P705" s="72"/>
    </row>
    <row r="706" hidden="1">
      <c r="B706" s="68"/>
      <c r="D706" s="69"/>
      <c r="H706" s="70"/>
      <c r="K706" s="70"/>
      <c r="L706" s="71"/>
      <c r="M706" s="72"/>
      <c r="P706" s="72"/>
    </row>
    <row r="707" hidden="1">
      <c r="B707" s="68"/>
      <c r="D707" s="69"/>
      <c r="H707" s="70"/>
      <c r="K707" s="70"/>
      <c r="L707" s="71"/>
      <c r="M707" s="72"/>
      <c r="P707" s="72"/>
    </row>
    <row r="708" hidden="1">
      <c r="B708" s="68"/>
      <c r="D708" s="69"/>
      <c r="H708" s="70"/>
      <c r="K708" s="70"/>
      <c r="L708" s="71"/>
      <c r="M708" s="72"/>
      <c r="P708" s="72"/>
    </row>
    <row r="709" hidden="1">
      <c r="B709" s="68"/>
      <c r="D709" s="69"/>
      <c r="H709" s="70"/>
      <c r="K709" s="70"/>
      <c r="L709" s="71"/>
      <c r="M709" s="72"/>
      <c r="P709" s="72"/>
    </row>
    <row r="710" hidden="1">
      <c r="B710" s="68"/>
      <c r="D710" s="69"/>
      <c r="H710" s="70"/>
      <c r="K710" s="70"/>
      <c r="L710" s="71"/>
      <c r="M710" s="72"/>
      <c r="P710" s="72"/>
    </row>
    <row r="711" hidden="1">
      <c r="B711" s="68"/>
      <c r="D711" s="69"/>
      <c r="H711" s="70"/>
      <c r="K711" s="70"/>
      <c r="L711" s="71"/>
      <c r="M711" s="72"/>
      <c r="P711" s="72"/>
    </row>
    <row r="712" hidden="1">
      <c r="B712" s="68"/>
      <c r="D712" s="69"/>
      <c r="H712" s="70"/>
      <c r="K712" s="70"/>
      <c r="L712" s="71"/>
      <c r="M712" s="72"/>
      <c r="P712" s="72"/>
    </row>
    <row r="713" hidden="1">
      <c r="B713" s="68"/>
      <c r="D713" s="69"/>
      <c r="H713" s="70"/>
      <c r="K713" s="70"/>
      <c r="L713" s="71"/>
      <c r="M713" s="72"/>
      <c r="P713" s="72"/>
    </row>
    <row r="714" hidden="1">
      <c r="B714" s="68"/>
      <c r="D714" s="69"/>
      <c r="H714" s="70"/>
      <c r="K714" s="70"/>
      <c r="L714" s="71"/>
      <c r="M714" s="72"/>
      <c r="P714" s="72"/>
    </row>
    <row r="715" hidden="1">
      <c r="B715" s="68"/>
      <c r="D715" s="69"/>
      <c r="H715" s="70"/>
      <c r="K715" s="70"/>
      <c r="L715" s="71"/>
      <c r="M715" s="72"/>
      <c r="P715" s="72"/>
    </row>
    <row r="716" hidden="1">
      <c r="B716" s="68"/>
      <c r="D716" s="69"/>
      <c r="H716" s="70"/>
      <c r="K716" s="70"/>
      <c r="L716" s="71"/>
      <c r="M716" s="72"/>
      <c r="P716" s="72"/>
    </row>
    <row r="717" hidden="1">
      <c r="B717" s="68"/>
      <c r="D717" s="69"/>
      <c r="H717" s="70"/>
      <c r="K717" s="70"/>
      <c r="L717" s="71"/>
      <c r="M717" s="72"/>
      <c r="P717" s="72"/>
    </row>
    <row r="718" hidden="1">
      <c r="B718" s="68"/>
      <c r="D718" s="69"/>
      <c r="H718" s="70"/>
      <c r="K718" s="70"/>
      <c r="L718" s="71"/>
      <c r="M718" s="72"/>
      <c r="P718" s="72"/>
    </row>
    <row r="719" hidden="1">
      <c r="B719" s="68"/>
      <c r="D719" s="69"/>
      <c r="H719" s="70"/>
      <c r="K719" s="70"/>
      <c r="L719" s="71"/>
      <c r="M719" s="72"/>
      <c r="P719" s="72"/>
    </row>
    <row r="720" hidden="1">
      <c r="B720" s="68"/>
      <c r="D720" s="69"/>
      <c r="H720" s="70"/>
      <c r="K720" s="70"/>
      <c r="L720" s="71"/>
      <c r="M720" s="72"/>
      <c r="P720" s="72"/>
    </row>
    <row r="721" hidden="1">
      <c r="B721" s="68"/>
      <c r="D721" s="69"/>
      <c r="H721" s="70"/>
      <c r="K721" s="70"/>
      <c r="L721" s="71"/>
      <c r="M721" s="72"/>
      <c r="P721" s="72"/>
    </row>
    <row r="722" hidden="1">
      <c r="B722" s="68"/>
      <c r="D722" s="69"/>
      <c r="H722" s="70"/>
      <c r="K722" s="70"/>
      <c r="L722" s="71"/>
      <c r="M722" s="72"/>
      <c r="P722" s="72"/>
    </row>
    <row r="723" hidden="1">
      <c r="B723" s="68"/>
      <c r="D723" s="69"/>
      <c r="H723" s="70"/>
      <c r="K723" s="70"/>
      <c r="L723" s="71"/>
      <c r="M723" s="72"/>
      <c r="P723" s="72"/>
    </row>
    <row r="724" hidden="1">
      <c r="B724" s="68"/>
      <c r="D724" s="69"/>
      <c r="H724" s="70"/>
      <c r="K724" s="70"/>
      <c r="L724" s="71"/>
      <c r="M724" s="72"/>
      <c r="P724" s="72"/>
    </row>
    <row r="725" hidden="1">
      <c r="B725" s="68"/>
      <c r="D725" s="69"/>
      <c r="H725" s="70"/>
      <c r="K725" s="70"/>
      <c r="L725" s="71"/>
      <c r="M725" s="72"/>
      <c r="P725" s="72"/>
    </row>
    <row r="726" hidden="1">
      <c r="B726" s="68"/>
      <c r="D726" s="69"/>
      <c r="H726" s="70"/>
      <c r="K726" s="70"/>
      <c r="L726" s="71"/>
      <c r="M726" s="72"/>
      <c r="P726" s="72"/>
    </row>
    <row r="727" hidden="1">
      <c r="B727" s="68"/>
      <c r="D727" s="69"/>
      <c r="H727" s="70"/>
      <c r="K727" s="70"/>
      <c r="L727" s="71"/>
      <c r="M727" s="72"/>
      <c r="P727" s="72"/>
    </row>
    <row r="728" hidden="1">
      <c r="B728" s="68"/>
      <c r="D728" s="69"/>
      <c r="H728" s="70"/>
      <c r="K728" s="70"/>
      <c r="L728" s="71"/>
      <c r="M728" s="72"/>
      <c r="P728" s="72"/>
    </row>
    <row r="729" hidden="1">
      <c r="B729" s="68"/>
      <c r="D729" s="69"/>
      <c r="H729" s="70"/>
      <c r="K729" s="70"/>
      <c r="L729" s="71"/>
      <c r="M729" s="72"/>
      <c r="P729" s="72"/>
    </row>
    <row r="730" hidden="1">
      <c r="B730" s="68"/>
      <c r="D730" s="69"/>
      <c r="H730" s="70"/>
      <c r="K730" s="70"/>
      <c r="L730" s="71"/>
      <c r="M730" s="72"/>
      <c r="P730" s="72"/>
    </row>
    <row r="731" hidden="1">
      <c r="B731" s="68"/>
      <c r="D731" s="69"/>
      <c r="H731" s="70"/>
      <c r="K731" s="70"/>
      <c r="L731" s="71"/>
      <c r="M731" s="72"/>
      <c r="P731" s="72"/>
    </row>
    <row r="732" hidden="1">
      <c r="B732" s="68"/>
      <c r="D732" s="69"/>
      <c r="H732" s="70"/>
      <c r="K732" s="70"/>
      <c r="L732" s="71"/>
      <c r="M732" s="72"/>
      <c r="P732" s="72"/>
    </row>
    <row r="733" hidden="1">
      <c r="B733" s="68"/>
      <c r="D733" s="69"/>
      <c r="H733" s="70"/>
      <c r="K733" s="70"/>
      <c r="L733" s="71"/>
      <c r="M733" s="72"/>
      <c r="P733" s="72"/>
    </row>
    <row r="734" hidden="1">
      <c r="B734" s="68"/>
      <c r="D734" s="69"/>
      <c r="H734" s="70"/>
      <c r="K734" s="70"/>
      <c r="L734" s="71"/>
      <c r="M734" s="72"/>
      <c r="P734" s="72"/>
    </row>
    <row r="735" hidden="1">
      <c r="B735" s="68"/>
      <c r="D735" s="69"/>
      <c r="H735" s="70"/>
      <c r="K735" s="70"/>
      <c r="L735" s="71"/>
      <c r="M735" s="72"/>
      <c r="P735" s="72"/>
    </row>
    <row r="736" hidden="1">
      <c r="B736" s="68"/>
      <c r="D736" s="69"/>
      <c r="H736" s="70"/>
      <c r="K736" s="70"/>
      <c r="L736" s="71"/>
      <c r="M736" s="72"/>
      <c r="P736" s="72"/>
    </row>
    <row r="737" hidden="1">
      <c r="B737" s="68"/>
      <c r="D737" s="69"/>
      <c r="H737" s="70"/>
      <c r="K737" s="70"/>
      <c r="L737" s="71"/>
      <c r="M737" s="72"/>
      <c r="P737" s="72"/>
    </row>
    <row r="738" hidden="1">
      <c r="B738" s="68"/>
      <c r="D738" s="69"/>
      <c r="H738" s="70"/>
      <c r="K738" s="70"/>
      <c r="L738" s="71"/>
      <c r="M738" s="72"/>
      <c r="P738" s="72"/>
    </row>
    <row r="739" hidden="1">
      <c r="B739" s="68"/>
      <c r="D739" s="69"/>
      <c r="H739" s="70"/>
      <c r="K739" s="70"/>
      <c r="L739" s="71"/>
      <c r="M739" s="72"/>
      <c r="P739" s="72"/>
    </row>
    <row r="740" hidden="1">
      <c r="B740" s="68"/>
      <c r="D740" s="69"/>
      <c r="H740" s="70"/>
      <c r="K740" s="70"/>
      <c r="L740" s="71"/>
      <c r="M740" s="72"/>
      <c r="P740" s="72"/>
    </row>
    <row r="741" hidden="1">
      <c r="B741" s="68"/>
      <c r="D741" s="69"/>
      <c r="H741" s="70"/>
      <c r="K741" s="70"/>
      <c r="L741" s="71"/>
      <c r="M741" s="72"/>
      <c r="P741" s="72"/>
    </row>
    <row r="742" hidden="1">
      <c r="B742" s="68"/>
      <c r="D742" s="69"/>
      <c r="H742" s="70"/>
      <c r="K742" s="70"/>
      <c r="L742" s="71"/>
      <c r="M742" s="72"/>
      <c r="P742" s="72"/>
    </row>
    <row r="743" hidden="1">
      <c r="B743" s="68"/>
      <c r="D743" s="69"/>
      <c r="H743" s="70"/>
      <c r="K743" s="70"/>
      <c r="L743" s="71"/>
      <c r="M743" s="72"/>
      <c r="P743" s="72"/>
    </row>
    <row r="744" hidden="1">
      <c r="B744" s="68"/>
      <c r="D744" s="69"/>
      <c r="H744" s="70"/>
      <c r="K744" s="70"/>
      <c r="L744" s="71"/>
      <c r="M744" s="72"/>
      <c r="P744" s="72"/>
    </row>
    <row r="745" hidden="1">
      <c r="B745" s="68"/>
      <c r="D745" s="69"/>
      <c r="H745" s="70"/>
      <c r="K745" s="70"/>
      <c r="L745" s="71"/>
      <c r="M745" s="72"/>
      <c r="P745" s="72"/>
    </row>
    <row r="746" hidden="1">
      <c r="B746" s="68"/>
      <c r="D746" s="69"/>
      <c r="H746" s="70"/>
      <c r="K746" s="70"/>
      <c r="L746" s="71"/>
      <c r="M746" s="72"/>
      <c r="P746" s="72"/>
    </row>
    <row r="747" hidden="1">
      <c r="B747" s="68"/>
      <c r="D747" s="69"/>
      <c r="H747" s="70"/>
      <c r="K747" s="70"/>
      <c r="L747" s="71"/>
      <c r="M747" s="72"/>
      <c r="P747" s="72"/>
    </row>
    <row r="748" hidden="1">
      <c r="B748" s="68"/>
      <c r="D748" s="69"/>
      <c r="H748" s="70"/>
      <c r="K748" s="70"/>
      <c r="L748" s="71"/>
      <c r="M748" s="72"/>
      <c r="P748" s="72"/>
    </row>
    <row r="749" hidden="1">
      <c r="B749" s="68"/>
      <c r="D749" s="69"/>
      <c r="H749" s="70"/>
      <c r="K749" s="70"/>
      <c r="L749" s="71"/>
      <c r="M749" s="72"/>
      <c r="P749" s="72"/>
    </row>
    <row r="750" hidden="1">
      <c r="B750" s="68"/>
      <c r="D750" s="69"/>
      <c r="H750" s="70"/>
      <c r="K750" s="70"/>
      <c r="L750" s="71"/>
      <c r="M750" s="72"/>
      <c r="P750" s="72"/>
    </row>
    <row r="751" hidden="1">
      <c r="B751" s="68"/>
      <c r="D751" s="69"/>
      <c r="H751" s="70"/>
      <c r="K751" s="70"/>
      <c r="L751" s="71"/>
      <c r="M751" s="72"/>
      <c r="P751" s="72"/>
    </row>
    <row r="752" hidden="1">
      <c r="B752" s="68"/>
      <c r="D752" s="69"/>
      <c r="H752" s="70"/>
      <c r="K752" s="70"/>
      <c r="L752" s="71"/>
      <c r="M752" s="72"/>
      <c r="P752" s="72"/>
    </row>
    <row r="753" hidden="1">
      <c r="B753" s="68"/>
      <c r="D753" s="69"/>
      <c r="H753" s="70"/>
      <c r="K753" s="70"/>
      <c r="L753" s="71"/>
      <c r="M753" s="72"/>
      <c r="P753" s="72"/>
    </row>
    <row r="754" hidden="1">
      <c r="B754" s="68"/>
      <c r="D754" s="69"/>
      <c r="H754" s="70"/>
      <c r="K754" s="70"/>
      <c r="L754" s="71"/>
      <c r="M754" s="72"/>
      <c r="P754" s="72"/>
    </row>
    <row r="755" hidden="1">
      <c r="B755" s="68"/>
      <c r="D755" s="69"/>
      <c r="H755" s="70"/>
      <c r="K755" s="70"/>
      <c r="L755" s="71"/>
      <c r="M755" s="72"/>
      <c r="P755" s="72"/>
    </row>
    <row r="756" hidden="1">
      <c r="B756" s="68"/>
      <c r="D756" s="69"/>
      <c r="H756" s="70"/>
      <c r="K756" s="70"/>
      <c r="L756" s="71"/>
      <c r="M756" s="72"/>
      <c r="P756" s="72"/>
    </row>
    <row r="757" hidden="1">
      <c r="B757" s="68"/>
      <c r="D757" s="69"/>
      <c r="H757" s="70"/>
      <c r="K757" s="70"/>
      <c r="L757" s="71"/>
      <c r="M757" s="72"/>
      <c r="P757" s="72"/>
    </row>
    <row r="758" hidden="1">
      <c r="B758" s="68"/>
      <c r="D758" s="69"/>
      <c r="H758" s="70"/>
      <c r="K758" s="70"/>
      <c r="L758" s="71"/>
      <c r="M758" s="72"/>
      <c r="P758" s="72"/>
    </row>
    <row r="759" hidden="1">
      <c r="B759" s="68"/>
      <c r="D759" s="69"/>
      <c r="H759" s="70"/>
      <c r="K759" s="70"/>
      <c r="L759" s="71"/>
      <c r="M759" s="72"/>
      <c r="P759" s="72"/>
    </row>
    <row r="760" hidden="1">
      <c r="B760" s="68"/>
      <c r="D760" s="69"/>
      <c r="H760" s="70"/>
      <c r="K760" s="70"/>
      <c r="L760" s="71"/>
      <c r="M760" s="72"/>
      <c r="P760" s="72"/>
    </row>
    <row r="761" hidden="1">
      <c r="B761" s="68"/>
      <c r="D761" s="69"/>
      <c r="H761" s="70"/>
      <c r="K761" s="70"/>
      <c r="L761" s="71"/>
      <c r="M761" s="72"/>
      <c r="P761" s="72"/>
    </row>
    <row r="762" hidden="1">
      <c r="B762" s="68"/>
      <c r="D762" s="69"/>
      <c r="H762" s="70"/>
      <c r="K762" s="70"/>
      <c r="L762" s="71"/>
      <c r="M762" s="72"/>
      <c r="P762" s="72"/>
    </row>
    <row r="763" hidden="1">
      <c r="B763" s="68"/>
      <c r="D763" s="69"/>
      <c r="H763" s="70"/>
      <c r="K763" s="70"/>
      <c r="L763" s="71"/>
      <c r="M763" s="72"/>
      <c r="P763" s="72"/>
    </row>
    <row r="764" hidden="1">
      <c r="B764" s="68"/>
      <c r="D764" s="69"/>
      <c r="H764" s="70"/>
      <c r="K764" s="70"/>
      <c r="L764" s="71"/>
      <c r="M764" s="72"/>
      <c r="P764" s="72"/>
    </row>
    <row r="765" hidden="1">
      <c r="B765" s="68"/>
      <c r="D765" s="69"/>
      <c r="H765" s="70"/>
      <c r="K765" s="70"/>
      <c r="L765" s="71"/>
      <c r="M765" s="72"/>
      <c r="P765" s="72"/>
    </row>
    <row r="766" hidden="1">
      <c r="B766" s="68"/>
      <c r="D766" s="69"/>
      <c r="H766" s="70"/>
      <c r="K766" s="70"/>
      <c r="L766" s="71"/>
      <c r="M766" s="72"/>
      <c r="P766" s="72"/>
    </row>
    <row r="767" hidden="1">
      <c r="B767" s="68"/>
      <c r="D767" s="69"/>
      <c r="H767" s="70"/>
      <c r="K767" s="70"/>
      <c r="L767" s="71"/>
      <c r="M767" s="72"/>
      <c r="P767" s="72"/>
    </row>
    <row r="768" hidden="1">
      <c r="B768" s="68"/>
      <c r="D768" s="69"/>
      <c r="H768" s="70"/>
      <c r="K768" s="70"/>
      <c r="L768" s="71"/>
      <c r="M768" s="72"/>
      <c r="P768" s="72"/>
    </row>
    <row r="769" hidden="1">
      <c r="B769" s="68"/>
      <c r="D769" s="69"/>
      <c r="H769" s="70"/>
      <c r="K769" s="70"/>
      <c r="L769" s="71"/>
      <c r="M769" s="72"/>
      <c r="P769" s="72"/>
    </row>
    <row r="770" hidden="1">
      <c r="B770" s="68"/>
      <c r="D770" s="69"/>
      <c r="H770" s="70"/>
      <c r="K770" s="70"/>
      <c r="L770" s="71"/>
      <c r="M770" s="72"/>
      <c r="P770" s="72"/>
    </row>
    <row r="771" hidden="1">
      <c r="B771" s="68"/>
      <c r="D771" s="69"/>
      <c r="H771" s="70"/>
      <c r="K771" s="70"/>
      <c r="L771" s="71"/>
      <c r="M771" s="72"/>
      <c r="P771" s="72"/>
    </row>
    <row r="772" hidden="1">
      <c r="B772" s="68"/>
      <c r="D772" s="69"/>
      <c r="H772" s="70"/>
      <c r="K772" s="70"/>
      <c r="L772" s="71"/>
      <c r="M772" s="72"/>
      <c r="P772" s="72"/>
    </row>
    <row r="773" hidden="1">
      <c r="B773" s="68"/>
      <c r="D773" s="69"/>
      <c r="H773" s="70"/>
      <c r="K773" s="70"/>
      <c r="L773" s="71"/>
      <c r="M773" s="72"/>
      <c r="P773" s="72"/>
    </row>
    <row r="774" hidden="1">
      <c r="B774" s="68"/>
      <c r="D774" s="69"/>
      <c r="H774" s="70"/>
      <c r="K774" s="70"/>
      <c r="L774" s="71"/>
      <c r="M774" s="72"/>
      <c r="P774" s="72"/>
    </row>
    <row r="775" hidden="1">
      <c r="B775" s="68"/>
      <c r="D775" s="69"/>
      <c r="H775" s="70"/>
      <c r="K775" s="70"/>
      <c r="L775" s="71"/>
      <c r="M775" s="72"/>
      <c r="P775" s="72"/>
    </row>
    <row r="776" hidden="1">
      <c r="B776" s="68"/>
      <c r="D776" s="69"/>
      <c r="H776" s="70"/>
      <c r="K776" s="70"/>
      <c r="L776" s="71"/>
      <c r="M776" s="72"/>
      <c r="P776" s="72"/>
    </row>
    <row r="777" hidden="1">
      <c r="B777" s="68"/>
      <c r="D777" s="69"/>
      <c r="H777" s="70"/>
      <c r="K777" s="70"/>
      <c r="L777" s="71"/>
      <c r="M777" s="72"/>
      <c r="P777" s="72"/>
    </row>
    <row r="778" hidden="1">
      <c r="B778" s="68"/>
      <c r="D778" s="69"/>
      <c r="H778" s="70"/>
      <c r="K778" s="70"/>
      <c r="L778" s="71"/>
      <c r="M778" s="72"/>
      <c r="P778" s="72"/>
    </row>
    <row r="779" hidden="1">
      <c r="B779" s="68"/>
      <c r="D779" s="69"/>
      <c r="H779" s="70"/>
      <c r="K779" s="70"/>
      <c r="L779" s="71"/>
      <c r="M779" s="72"/>
      <c r="P779" s="72"/>
    </row>
    <row r="780" hidden="1">
      <c r="B780" s="68"/>
      <c r="D780" s="69"/>
      <c r="H780" s="70"/>
      <c r="K780" s="70"/>
      <c r="L780" s="71"/>
      <c r="M780" s="72"/>
      <c r="P780" s="72"/>
    </row>
    <row r="781" hidden="1">
      <c r="B781" s="68"/>
      <c r="D781" s="69"/>
      <c r="H781" s="70"/>
      <c r="K781" s="70"/>
      <c r="L781" s="71"/>
      <c r="M781" s="72"/>
      <c r="P781" s="72"/>
    </row>
    <row r="782" hidden="1">
      <c r="B782" s="68"/>
      <c r="D782" s="69"/>
      <c r="H782" s="70"/>
      <c r="K782" s="70"/>
      <c r="L782" s="71"/>
      <c r="M782" s="72"/>
      <c r="P782" s="72"/>
    </row>
    <row r="783" hidden="1">
      <c r="B783" s="68"/>
      <c r="D783" s="69"/>
      <c r="H783" s="70"/>
      <c r="K783" s="70"/>
      <c r="L783" s="71"/>
      <c r="M783" s="72"/>
      <c r="P783" s="72"/>
    </row>
    <row r="784" hidden="1">
      <c r="B784" s="68"/>
      <c r="D784" s="69"/>
      <c r="H784" s="70"/>
      <c r="K784" s="70"/>
      <c r="L784" s="71"/>
      <c r="M784" s="72"/>
      <c r="P784" s="72"/>
    </row>
    <row r="785" hidden="1">
      <c r="B785" s="68"/>
      <c r="D785" s="69"/>
      <c r="H785" s="70"/>
      <c r="K785" s="70"/>
      <c r="L785" s="71"/>
      <c r="M785" s="72"/>
      <c r="P785" s="72"/>
    </row>
    <row r="786" hidden="1">
      <c r="B786" s="68"/>
      <c r="D786" s="69"/>
      <c r="H786" s="70"/>
      <c r="K786" s="70"/>
      <c r="L786" s="71"/>
      <c r="M786" s="72"/>
      <c r="P786" s="72"/>
    </row>
    <row r="787" hidden="1">
      <c r="B787" s="68"/>
      <c r="D787" s="69"/>
      <c r="H787" s="70"/>
      <c r="K787" s="70"/>
      <c r="L787" s="71"/>
      <c r="M787" s="72"/>
      <c r="P787" s="72"/>
    </row>
    <row r="788" hidden="1">
      <c r="B788" s="68"/>
      <c r="D788" s="69"/>
      <c r="H788" s="70"/>
      <c r="K788" s="70"/>
      <c r="L788" s="71"/>
      <c r="M788" s="72"/>
      <c r="P788" s="72"/>
    </row>
    <row r="789" hidden="1">
      <c r="B789" s="68"/>
      <c r="D789" s="69"/>
      <c r="H789" s="70"/>
      <c r="K789" s="70"/>
      <c r="L789" s="71"/>
      <c r="M789" s="72"/>
      <c r="P789" s="72"/>
    </row>
    <row r="790" hidden="1">
      <c r="B790" s="68"/>
      <c r="D790" s="69"/>
      <c r="H790" s="70"/>
      <c r="K790" s="70"/>
      <c r="L790" s="71"/>
      <c r="M790" s="72"/>
      <c r="P790" s="72"/>
    </row>
    <row r="791" hidden="1">
      <c r="B791" s="68"/>
      <c r="D791" s="69"/>
      <c r="H791" s="70"/>
      <c r="K791" s="70"/>
      <c r="L791" s="71"/>
      <c r="M791" s="72"/>
      <c r="P791" s="72"/>
    </row>
    <row r="792" hidden="1">
      <c r="B792" s="68"/>
      <c r="D792" s="69"/>
      <c r="H792" s="70"/>
      <c r="K792" s="70"/>
      <c r="L792" s="71"/>
      <c r="M792" s="72"/>
      <c r="P792" s="72"/>
    </row>
    <row r="793" hidden="1">
      <c r="B793" s="68"/>
      <c r="D793" s="69"/>
      <c r="H793" s="70"/>
      <c r="K793" s="70"/>
      <c r="L793" s="71"/>
      <c r="M793" s="72"/>
      <c r="P793" s="72"/>
    </row>
    <row r="794" hidden="1">
      <c r="B794" s="68"/>
      <c r="D794" s="69"/>
      <c r="H794" s="70"/>
      <c r="K794" s="70"/>
      <c r="L794" s="71"/>
      <c r="M794" s="72"/>
      <c r="P794" s="72"/>
    </row>
    <row r="795" hidden="1">
      <c r="B795" s="68"/>
      <c r="D795" s="69"/>
      <c r="H795" s="70"/>
      <c r="K795" s="70"/>
      <c r="L795" s="71"/>
      <c r="M795" s="72"/>
      <c r="P795" s="72"/>
    </row>
    <row r="796" hidden="1">
      <c r="B796" s="68"/>
      <c r="D796" s="69"/>
      <c r="H796" s="70"/>
      <c r="K796" s="70"/>
      <c r="L796" s="71"/>
      <c r="M796" s="72"/>
      <c r="P796" s="72"/>
    </row>
    <row r="797" hidden="1">
      <c r="B797" s="68"/>
      <c r="D797" s="69"/>
      <c r="H797" s="70"/>
      <c r="K797" s="70"/>
      <c r="L797" s="71"/>
      <c r="M797" s="72"/>
      <c r="P797" s="72"/>
    </row>
    <row r="798" hidden="1">
      <c r="B798" s="68"/>
      <c r="D798" s="69"/>
      <c r="H798" s="70"/>
      <c r="K798" s="70"/>
      <c r="L798" s="71"/>
      <c r="M798" s="72"/>
      <c r="P798" s="72"/>
    </row>
    <row r="799" hidden="1">
      <c r="B799" s="68"/>
      <c r="D799" s="69"/>
      <c r="H799" s="70"/>
      <c r="K799" s="70"/>
      <c r="L799" s="71"/>
      <c r="M799" s="72"/>
      <c r="P799" s="72"/>
    </row>
    <row r="800" hidden="1">
      <c r="B800" s="68"/>
      <c r="D800" s="69"/>
      <c r="H800" s="70"/>
      <c r="K800" s="70"/>
      <c r="L800" s="71"/>
      <c r="M800" s="72"/>
      <c r="P800" s="72"/>
    </row>
    <row r="801" hidden="1">
      <c r="B801" s="68"/>
      <c r="D801" s="69"/>
      <c r="H801" s="70"/>
      <c r="K801" s="70"/>
      <c r="L801" s="71"/>
      <c r="M801" s="72"/>
      <c r="P801" s="72"/>
    </row>
    <row r="802" hidden="1">
      <c r="B802" s="68"/>
      <c r="D802" s="69"/>
      <c r="H802" s="70"/>
      <c r="K802" s="70"/>
      <c r="L802" s="71"/>
      <c r="M802" s="72"/>
      <c r="P802" s="72"/>
    </row>
    <row r="803" hidden="1">
      <c r="B803" s="68"/>
      <c r="D803" s="69"/>
      <c r="H803" s="70"/>
      <c r="K803" s="70"/>
      <c r="L803" s="71"/>
      <c r="M803" s="72"/>
      <c r="P803" s="72"/>
    </row>
    <row r="804" hidden="1">
      <c r="B804" s="68"/>
      <c r="D804" s="69"/>
      <c r="H804" s="70"/>
      <c r="K804" s="70"/>
      <c r="L804" s="71"/>
      <c r="M804" s="72"/>
      <c r="P804" s="72"/>
    </row>
    <row r="805" hidden="1">
      <c r="B805" s="68"/>
      <c r="D805" s="69"/>
      <c r="H805" s="70"/>
      <c r="K805" s="70"/>
      <c r="L805" s="71"/>
      <c r="M805" s="72"/>
      <c r="P805" s="72"/>
    </row>
    <row r="806" hidden="1">
      <c r="B806" s="68"/>
      <c r="D806" s="69"/>
      <c r="H806" s="70"/>
      <c r="K806" s="70"/>
      <c r="L806" s="71"/>
      <c r="M806" s="72"/>
      <c r="P806" s="72"/>
    </row>
    <row r="807" hidden="1">
      <c r="B807" s="68"/>
      <c r="D807" s="69"/>
      <c r="H807" s="70"/>
      <c r="K807" s="70"/>
      <c r="L807" s="71"/>
      <c r="M807" s="72"/>
      <c r="P807" s="72"/>
    </row>
    <row r="808" hidden="1">
      <c r="B808" s="68"/>
      <c r="D808" s="69"/>
      <c r="H808" s="70"/>
      <c r="K808" s="70"/>
      <c r="L808" s="71"/>
      <c r="M808" s="72"/>
      <c r="P808" s="72"/>
    </row>
    <row r="809" hidden="1">
      <c r="B809" s="68"/>
      <c r="D809" s="69"/>
      <c r="H809" s="70"/>
      <c r="K809" s="70"/>
      <c r="L809" s="71"/>
      <c r="M809" s="72"/>
      <c r="P809" s="72"/>
    </row>
    <row r="810" hidden="1">
      <c r="B810" s="68"/>
      <c r="D810" s="69"/>
      <c r="H810" s="70"/>
      <c r="K810" s="70"/>
      <c r="L810" s="71"/>
      <c r="M810" s="72"/>
      <c r="P810" s="72"/>
    </row>
    <row r="811" hidden="1">
      <c r="B811" s="68"/>
      <c r="D811" s="69"/>
      <c r="H811" s="70"/>
      <c r="K811" s="70"/>
      <c r="L811" s="71"/>
      <c r="M811" s="72"/>
      <c r="P811" s="72"/>
    </row>
    <row r="812" hidden="1">
      <c r="B812" s="68"/>
      <c r="D812" s="69"/>
      <c r="H812" s="70"/>
      <c r="K812" s="70"/>
      <c r="L812" s="71"/>
      <c r="M812" s="72"/>
      <c r="P812" s="72"/>
    </row>
    <row r="813" hidden="1">
      <c r="B813" s="68"/>
      <c r="D813" s="69"/>
      <c r="H813" s="70"/>
      <c r="K813" s="70"/>
      <c r="L813" s="71"/>
      <c r="M813" s="72"/>
      <c r="P813" s="72"/>
    </row>
    <row r="814" hidden="1">
      <c r="B814" s="68"/>
      <c r="D814" s="69"/>
      <c r="H814" s="70"/>
      <c r="K814" s="70"/>
      <c r="L814" s="71"/>
      <c r="M814" s="72"/>
      <c r="P814" s="72"/>
    </row>
    <row r="815" hidden="1">
      <c r="B815" s="68"/>
      <c r="D815" s="69"/>
      <c r="H815" s="70"/>
      <c r="K815" s="70"/>
      <c r="L815" s="71"/>
      <c r="M815" s="72"/>
      <c r="P815" s="72"/>
    </row>
    <row r="816" hidden="1">
      <c r="B816" s="68"/>
      <c r="D816" s="69"/>
      <c r="H816" s="70"/>
      <c r="K816" s="70"/>
      <c r="L816" s="71"/>
      <c r="M816" s="72"/>
      <c r="P816" s="72"/>
    </row>
    <row r="817" hidden="1">
      <c r="B817" s="68"/>
      <c r="D817" s="69"/>
      <c r="H817" s="70"/>
      <c r="K817" s="70"/>
      <c r="L817" s="71"/>
      <c r="M817" s="72"/>
      <c r="P817" s="72"/>
    </row>
    <row r="818" hidden="1">
      <c r="B818" s="68"/>
      <c r="D818" s="69"/>
      <c r="H818" s="70"/>
      <c r="K818" s="70"/>
      <c r="L818" s="71"/>
      <c r="M818" s="72"/>
      <c r="P818" s="72"/>
    </row>
    <row r="819" hidden="1">
      <c r="B819" s="68"/>
      <c r="D819" s="69"/>
      <c r="H819" s="70"/>
      <c r="K819" s="70"/>
      <c r="L819" s="71"/>
      <c r="M819" s="72"/>
      <c r="P819" s="72"/>
    </row>
    <row r="820" hidden="1">
      <c r="B820" s="68"/>
      <c r="D820" s="69"/>
      <c r="H820" s="70"/>
      <c r="K820" s="70"/>
      <c r="L820" s="71"/>
      <c r="M820" s="72"/>
      <c r="P820" s="72"/>
    </row>
    <row r="821" hidden="1">
      <c r="B821" s="68"/>
      <c r="D821" s="69"/>
      <c r="H821" s="70"/>
      <c r="K821" s="70"/>
      <c r="L821" s="71"/>
      <c r="M821" s="72"/>
      <c r="P821" s="72"/>
    </row>
    <row r="822" hidden="1">
      <c r="B822" s="68"/>
      <c r="D822" s="69"/>
      <c r="H822" s="70"/>
      <c r="K822" s="70"/>
      <c r="L822" s="71"/>
      <c r="M822" s="72"/>
      <c r="P822" s="72"/>
    </row>
    <row r="823" hidden="1">
      <c r="B823" s="68"/>
      <c r="D823" s="69"/>
      <c r="H823" s="70"/>
      <c r="K823" s="70"/>
      <c r="L823" s="71"/>
      <c r="M823" s="72"/>
      <c r="P823" s="72"/>
    </row>
    <row r="824" hidden="1">
      <c r="B824" s="68"/>
      <c r="D824" s="69"/>
      <c r="H824" s="70"/>
      <c r="K824" s="70"/>
      <c r="L824" s="71"/>
      <c r="M824" s="72"/>
      <c r="P824" s="72"/>
    </row>
    <row r="825" hidden="1">
      <c r="B825" s="68"/>
      <c r="D825" s="69"/>
      <c r="H825" s="70"/>
      <c r="K825" s="70"/>
      <c r="L825" s="71"/>
      <c r="M825" s="72"/>
      <c r="P825" s="72"/>
    </row>
    <row r="826" hidden="1">
      <c r="B826" s="68"/>
      <c r="D826" s="69"/>
      <c r="H826" s="70"/>
      <c r="K826" s="70"/>
      <c r="L826" s="71"/>
      <c r="M826" s="72"/>
      <c r="P826" s="72"/>
    </row>
    <row r="827" hidden="1">
      <c r="B827" s="68"/>
      <c r="D827" s="69"/>
      <c r="H827" s="70"/>
      <c r="K827" s="70"/>
      <c r="L827" s="71"/>
      <c r="M827" s="72"/>
      <c r="P827" s="72"/>
    </row>
    <row r="828" hidden="1">
      <c r="B828" s="68"/>
      <c r="D828" s="69"/>
      <c r="H828" s="70"/>
      <c r="K828" s="70"/>
      <c r="L828" s="71"/>
      <c r="M828" s="72"/>
      <c r="P828" s="72"/>
    </row>
    <row r="829" hidden="1">
      <c r="B829" s="68"/>
      <c r="D829" s="69"/>
      <c r="H829" s="70"/>
      <c r="K829" s="70"/>
      <c r="L829" s="71"/>
      <c r="M829" s="72"/>
      <c r="P829" s="72"/>
    </row>
    <row r="830" hidden="1">
      <c r="B830" s="68"/>
      <c r="D830" s="69"/>
      <c r="H830" s="70"/>
      <c r="K830" s="70"/>
      <c r="L830" s="71"/>
      <c r="M830" s="72"/>
      <c r="P830" s="72"/>
    </row>
    <row r="831" hidden="1">
      <c r="B831" s="68"/>
      <c r="D831" s="69"/>
      <c r="H831" s="70"/>
      <c r="K831" s="70"/>
      <c r="L831" s="71"/>
      <c r="M831" s="72"/>
      <c r="P831" s="72"/>
    </row>
    <row r="832" hidden="1">
      <c r="B832" s="68"/>
      <c r="D832" s="69"/>
      <c r="H832" s="70"/>
      <c r="K832" s="70"/>
      <c r="L832" s="71"/>
      <c r="M832" s="72"/>
      <c r="P832" s="72"/>
    </row>
    <row r="833" hidden="1">
      <c r="B833" s="68"/>
      <c r="D833" s="69"/>
      <c r="H833" s="70"/>
      <c r="K833" s="70"/>
      <c r="L833" s="71"/>
      <c r="M833" s="72"/>
      <c r="P833" s="72"/>
    </row>
    <row r="834" hidden="1">
      <c r="B834" s="68"/>
      <c r="D834" s="69"/>
      <c r="H834" s="70"/>
      <c r="K834" s="70"/>
      <c r="L834" s="71"/>
      <c r="M834" s="72"/>
      <c r="P834" s="72"/>
    </row>
    <row r="835" hidden="1">
      <c r="B835" s="68"/>
      <c r="D835" s="69"/>
      <c r="H835" s="70"/>
      <c r="K835" s="70"/>
      <c r="L835" s="71"/>
      <c r="M835" s="72"/>
      <c r="P835" s="72"/>
    </row>
    <row r="836" hidden="1">
      <c r="B836" s="68"/>
      <c r="D836" s="69"/>
      <c r="H836" s="70"/>
      <c r="K836" s="70"/>
      <c r="L836" s="71"/>
      <c r="M836" s="72"/>
      <c r="P836" s="72"/>
    </row>
    <row r="837" hidden="1">
      <c r="B837" s="68"/>
      <c r="D837" s="69"/>
      <c r="H837" s="70"/>
      <c r="K837" s="70"/>
      <c r="L837" s="71"/>
      <c r="M837" s="72"/>
      <c r="P837" s="72"/>
    </row>
    <row r="838" hidden="1">
      <c r="B838" s="68"/>
      <c r="D838" s="69"/>
      <c r="H838" s="70"/>
      <c r="K838" s="70"/>
      <c r="L838" s="71"/>
      <c r="M838" s="72"/>
      <c r="P838" s="72"/>
    </row>
    <row r="839" hidden="1">
      <c r="B839" s="68"/>
      <c r="D839" s="69"/>
      <c r="H839" s="70"/>
      <c r="K839" s="70"/>
      <c r="L839" s="71"/>
      <c r="M839" s="72"/>
      <c r="P839" s="72"/>
    </row>
    <row r="840" hidden="1">
      <c r="B840" s="68"/>
      <c r="D840" s="69"/>
      <c r="H840" s="70"/>
      <c r="K840" s="70"/>
      <c r="L840" s="71"/>
      <c r="M840" s="72"/>
      <c r="P840" s="72"/>
    </row>
    <row r="841" hidden="1">
      <c r="B841" s="68"/>
      <c r="D841" s="69"/>
      <c r="H841" s="70"/>
      <c r="K841" s="70"/>
      <c r="L841" s="71"/>
      <c r="M841" s="72"/>
      <c r="P841" s="72"/>
    </row>
    <row r="842" hidden="1">
      <c r="B842" s="68"/>
      <c r="D842" s="69"/>
      <c r="H842" s="70"/>
      <c r="K842" s="70"/>
      <c r="L842" s="71"/>
      <c r="M842" s="72"/>
      <c r="P842" s="72"/>
    </row>
    <row r="843" hidden="1">
      <c r="B843" s="68"/>
      <c r="D843" s="69"/>
      <c r="H843" s="70"/>
      <c r="K843" s="70"/>
      <c r="L843" s="71"/>
      <c r="M843" s="72"/>
      <c r="P843" s="72"/>
    </row>
    <row r="844" hidden="1">
      <c r="B844" s="68"/>
      <c r="D844" s="69"/>
      <c r="H844" s="70"/>
      <c r="K844" s="70"/>
      <c r="L844" s="71"/>
      <c r="M844" s="72"/>
      <c r="P844" s="72"/>
    </row>
    <row r="845" hidden="1">
      <c r="B845" s="68"/>
      <c r="D845" s="69"/>
      <c r="H845" s="70"/>
      <c r="K845" s="70"/>
      <c r="L845" s="71"/>
      <c r="M845" s="72"/>
      <c r="P845" s="72"/>
    </row>
    <row r="846" hidden="1">
      <c r="B846" s="68"/>
      <c r="D846" s="69"/>
      <c r="H846" s="70"/>
      <c r="K846" s="70"/>
      <c r="L846" s="71"/>
      <c r="M846" s="72"/>
      <c r="P846" s="72"/>
    </row>
    <row r="847" hidden="1">
      <c r="B847" s="68"/>
      <c r="D847" s="69"/>
      <c r="H847" s="70"/>
      <c r="K847" s="70"/>
      <c r="L847" s="71"/>
      <c r="M847" s="72"/>
      <c r="P847" s="72"/>
    </row>
    <row r="848" hidden="1">
      <c r="B848" s="68"/>
      <c r="D848" s="69"/>
      <c r="H848" s="70"/>
      <c r="K848" s="70"/>
      <c r="L848" s="71"/>
      <c r="M848" s="72"/>
      <c r="P848" s="72"/>
    </row>
    <row r="849" hidden="1">
      <c r="B849" s="68"/>
      <c r="D849" s="69"/>
      <c r="H849" s="70"/>
      <c r="K849" s="70"/>
      <c r="L849" s="71"/>
      <c r="M849" s="72"/>
      <c r="P849" s="72"/>
    </row>
    <row r="850" hidden="1">
      <c r="B850" s="68"/>
      <c r="D850" s="69"/>
      <c r="H850" s="70"/>
      <c r="K850" s="70"/>
      <c r="L850" s="71"/>
      <c r="M850" s="72"/>
      <c r="P850" s="72"/>
    </row>
    <row r="851" hidden="1">
      <c r="B851" s="68"/>
      <c r="D851" s="69"/>
      <c r="H851" s="70"/>
      <c r="K851" s="70"/>
      <c r="L851" s="71"/>
      <c r="M851" s="72"/>
      <c r="P851" s="72"/>
    </row>
    <row r="852" hidden="1">
      <c r="B852" s="68"/>
      <c r="D852" s="69"/>
      <c r="H852" s="70"/>
      <c r="K852" s="70"/>
      <c r="L852" s="71"/>
      <c r="M852" s="72"/>
      <c r="P852" s="72"/>
    </row>
    <row r="853" hidden="1">
      <c r="B853" s="68"/>
      <c r="D853" s="69"/>
      <c r="H853" s="70"/>
      <c r="K853" s="70"/>
      <c r="L853" s="71"/>
      <c r="M853" s="72"/>
      <c r="P853" s="72"/>
    </row>
    <row r="854" hidden="1">
      <c r="B854" s="68"/>
      <c r="D854" s="69"/>
      <c r="H854" s="70"/>
      <c r="K854" s="70"/>
      <c r="L854" s="71"/>
      <c r="M854" s="72"/>
      <c r="P854" s="72"/>
    </row>
    <row r="855" hidden="1">
      <c r="B855" s="68"/>
      <c r="D855" s="69"/>
      <c r="H855" s="70"/>
      <c r="K855" s="70"/>
      <c r="L855" s="71"/>
      <c r="M855" s="72"/>
      <c r="P855" s="72"/>
    </row>
    <row r="856" hidden="1">
      <c r="B856" s="68"/>
      <c r="D856" s="69"/>
      <c r="H856" s="70"/>
      <c r="K856" s="70"/>
      <c r="L856" s="71"/>
      <c r="M856" s="72"/>
      <c r="P856" s="72"/>
    </row>
    <row r="857" hidden="1">
      <c r="B857" s="68"/>
      <c r="D857" s="69"/>
      <c r="H857" s="70"/>
      <c r="K857" s="70"/>
      <c r="L857" s="71"/>
      <c r="M857" s="72"/>
      <c r="P857" s="72"/>
    </row>
    <row r="858" hidden="1">
      <c r="B858" s="68"/>
      <c r="D858" s="69"/>
      <c r="H858" s="70"/>
      <c r="K858" s="70"/>
      <c r="L858" s="71"/>
      <c r="M858" s="72"/>
      <c r="P858" s="72"/>
    </row>
    <row r="859" hidden="1">
      <c r="B859" s="68"/>
      <c r="D859" s="69"/>
      <c r="H859" s="70"/>
      <c r="K859" s="70"/>
      <c r="L859" s="71"/>
      <c r="M859" s="72"/>
      <c r="P859" s="72"/>
    </row>
    <row r="860" hidden="1">
      <c r="B860" s="68"/>
      <c r="D860" s="69"/>
      <c r="H860" s="70"/>
      <c r="K860" s="70"/>
      <c r="L860" s="71"/>
      <c r="M860" s="72"/>
      <c r="P860" s="72"/>
    </row>
    <row r="861" hidden="1">
      <c r="B861" s="68"/>
      <c r="D861" s="69"/>
      <c r="H861" s="70"/>
      <c r="K861" s="70"/>
      <c r="L861" s="71"/>
      <c r="M861" s="72"/>
      <c r="P861" s="72"/>
    </row>
    <row r="862" hidden="1">
      <c r="B862" s="68"/>
      <c r="D862" s="69"/>
      <c r="H862" s="70"/>
      <c r="K862" s="70"/>
      <c r="L862" s="71"/>
      <c r="M862" s="72"/>
      <c r="P862" s="72"/>
    </row>
    <row r="863" hidden="1">
      <c r="B863" s="68"/>
      <c r="D863" s="69"/>
      <c r="H863" s="70"/>
      <c r="K863" s="70"/>
      <c r="L863" s="71"/>
      <c r="M863" s="72"/>
      <c r="P863" s="72"/>
    </row>
    <row r="864" hidden="1">
      <c r="B864" s="68"/>
      <c r="D864" s="69"/>
      <c r="H864" s="70"/>
      <c r="K864" s="70"/>
      <c r="L864" s="71"/>
      <c r="M864" s="72"/>
      <c r="P864" s="72"/>
    </row>
    <row r="865" hidden="1">
      <c r="B865" s="68"/>
      <c r="D865" s="69"/>
      <c r="H865" s="70"/>
      <c r="K865" s="70"/>
      <c r="L865" s="71"/>
      <c r="M865" s="72"/>
      <c r="P865" s="72"/>
    </row>
    <row r="866" hidden="1">
      <c r="B866" s="68"/>
      <c r="D866" s="69"/>
      <c r="H866" s="70"/>
      <c r="K866" s="70"/>
      <c r="L866" s="71"/>
      <c r="M866" s="72"/>
      <c r="P866" s="72"/>
    </row>
    <row r="867" hidden="1">
      <c r="B867" s="68"/>
      <c r="D867" s="69"/>
      <c r="H867" s="70"/>
      <c r="K867" s="70"/>
      <c r="L867" s="71"/>
      <c r="M867" s="72"/>
      <c r="P867" s="72"/>
    </row>
    <row r="868" hidden="1">
      <c r="B868" s="68"/>
      <c r="D868" s="69"/>
      <c r="H868" s="70"/>
      <c r="K868" s="70"/>
      <c r="L868" s="71"/>
      <c r="M868" s="72"/>
      <c r="P868" s="72"/>
    </row>
    <row r="869" hidden="1">
      <c r="B869" s="68"/>
      <c r="D869" s="69"/>
      <c r="H869" s="70"/>
      <c r="K869" s="70"/>
      <c r="L869" s="71"/>
      <c r="M869" s="72"/>
      <c r="P869" s="72"/>
    </row>
    <row r="870" hidden="1">
      <c r="B870" s="68"/>
      <c r="D870" s="69"/>
      <c r="H870" s="70"/>
      <c r="K870" s="70"/>
      <c r="L870" s="71"/>
      <c r="M870" s="72"/>
      <c r="P870" s="72"/>
    </row>
    <row r="871" hidden="1">
      <c r="B871" s="68"/>
      <c r="D871" s="69"/>
      <c r="H871" s="70"/>
      <c r="K871" s="70"/>
      <c r="L871" s="71"/>
      <c r="M871" s="72"/>
      <c r="P871" s="72"/>
    </row>
    <row r="872" hidden="1">
      <c r="B872" s="68"/>
      <c r="D872" s="69"/>
      <c r="H872" s="70"/>
      <c r="K872" s="70"/>
      <c r="L872" s="71"/>
      <c r="M872" s="72"/>
      <c r="P872" s="72"/>
    </row>
    <row r="873" hidden="1">
      <c r="B873" s="68"/>
      <c r="D873" s="69"/>
      <c r="H873" s="70"/>
      <c r="K873" s="70"/>
      <c r="L873" s="71"/>
      <c r="M873" s="72"/>
      <c r="P873" s="72"/>
    </row>
    <row r="874" hidden="1">
      <c r="B874" s="68"/>
      <c r="D874" s="69"/>
      <c r="H874" s="70"/>
      <c r="K874" s="70"/>
      <c r="L874" s="71"/>
      <c r="M874" s="72"/>
      <c r="P874" s="72"/>
    </row>
    <row r="875" hidden="1">
      <c r="B875" s="68"/>
      <c r="D875" s="69"/>
      <c r="H875" s="70"/>
      <c r="K875" s="70"/>
      <c r="L875" s="71"/>
      <c r="M875" s="72"/>
      <c r="P875" s="72"/>
    </row>
    <row r="876" hidden="1">
      <c r="B876" s="68"/>
      <c r="D876" s="69"/>
      <c r="H876" s="70"/>
      <c r="K876" s="70"/>
      <c r="L876" s="71"/>
      <c r="M876" s="72"/>
      <c r="P876" s="72"/>
    </row>
    <row r="877" hidden="1">
      <c r="B877" s="68"/>
      <c r="D877" s="69"/>
      <c r="H877" s="70"/>
      <c r="K877" s="70"/>
      <c r="L877" s="71"/>
      <c r="M877" s="72"/>
      <c r="P877" s="72"/>
    </row>
    <row r="878" hidden="1">
      <c r="B878" s="68"/>
      <c r="D878" s="69"/>
      <c r="H878" s="70"/>
      <c r="K878" s="70"/>
      <c r="L878" s="71"/>
      <c r="M878" s="72"/>
      <c r="P878" s="72"/>
    </row>
    <row r="879" hidden="1">
      <c r="B879" s="68"/>
      <c r="D879" s="69"/>
      <c r="H879" s="70"/>
      <c r="K879" s="70"/>
      <c r="L879" s="71"/>
      <c r="M879" s="72"/>
      <c r="P879" s="72"/>
    </row>
    <row r="880" hidden="1">
      <c r="B880" s="68"/>
      <c r="D880" s="69"/>
      <c r="H880" s="70"/>
      <c r="K880" s="70"/>
      <c r="L880" s="71"/>
      <c r="M880" s="72"/>
      <c r="P880" s="72"/>
    </row>
    <row r="881" hidden="1">
      <c r="B881" s="68"/>
      <c r="D881" s="69"/>
      <c r="H881" s="70"/>
      <c r="K881" s="70"/>
      <c r="L881" s="71"/>
      <c r="M881" s="72"/>
      <c r="P881" s="72"/>
    </row>
    <row r="882" hidden="1">
      <c r="B882" s="68"/>
      <c r="D882" s="69"/>
      <c r="H882" s="70"/>
      <c r="K882" s="70"/>
      <c r="L882" s="71"/>
      <c r="M882" s="72"/>
      <c r="P882" s="72"/>
    </row>
    <row r="883" hidden="1">
      <c r="B883" s="68"/>
      <c r="D883" s="69"/>
      <c r="H883" s="70"/>
      <c r="K883" s="70"/>
      <c r="L883" s="71"/>
      <c r="M883" s="72"/>
      <c r="P883" s="72"/>
    </row>
    <row r="884" hidden="1">
      <c r="B884" s="68"/>
      <c r="D884" s="69"/>
      <c r="H884" s="70"/>
      <c r="K884" s="70"/>
      <c r="L884" s="71"/>
      <c r="M884" s="72"/>
      <c r="P884" s="72"/>
    </row>
    <row r="885" hidden="1">
      <c r="B885" s="68"/>
      <c r="D885" s="69"/>
      <c r="H885" s="70"/>
      <c r="K885" s="70"/>
      <c r="L885" s="71"/>
      <c r="M885" s="72"/>
      <c r="P885" s="72"/>
    </row>
    <row r="886" hidden="1">
      <c r="B886" s="68"/>
      <c r="D886" s="69"/>
      <c r="H886" s="70"/>
      <c r="K886" s="70"/>
      <c r="L886" s="71"/>
      <c r="M886" s="72"/>
      <c r="P886" s="72"/>
    </row>
    <row r="887" hidden="1">
      <c r="B887" s="68"/>
      <c r="D887" s="69"/>
      <c r="H887" s="70"/>
      <c r="K887" s="70"/>
      <c r="L887" s="71"/>
      <c r="M887" s="72"/>
      <c r="P887" s="72"/>
    </row>
    <row r="888" hidden="1">
      <c r="B888" s="68"/>
      <c r="D888" s="69"/>
      <c r="H888" s="70"/>
      <c r="K888" s="70"/>
      <c r="L888" s="71"/>
      <c r="M888" s="72"/>
      <c r="P888" s="72"/>
    </row>
    <row r="889" hidden="1">
      <c r="B889" s="68"/>
      <c r="D889" s="69"/>
      <c r="H889" s="70"/>
      <c r="K889" s="70"/>
      <c r="L889" s="71"/>
      <c r="M889" s="72"/>
      <c r="P889" s="72"/>
    </row>
    <row r="890" hidden="1">
      <c r="B890" s="68"/>
      <c r="D890" s="69"/>
      <c r="H890" s="70"/>
      <c r="K890" s="70"/>
      <c r="L890" s="71"/>
      <c r="M890" s="72"/>
      <c r="P890" s="72"/>
    </row>
    <row r="891" hidden="1">
      <c r="B891" s="68"/>
      <c r="D891" s="69"/>
      <c r="H891" s="70"/>
      <c r="K891" s="70"/>
      <c r="L891" s="71"/>
      <c r="M891" s="72"/>
      <c r="P891" s="72"/>
    </row>
    <row r="892" hidden="1">
      <c r="B892" s="68"/>
      <c r="D892" s="69"/>
      <c r="H892" s="70"/>
      <c r="K892" s="70"/>
      <c r="L892" s="71"/>
      <c r="M892" s="72"/>
      <c r="P892" s="72"/>
    </row>
    <row r="893" hidden="1">
      <c r="B893" s="68"/>
      <c r="D893" s="69"/>
      <c r="H893" s="70"/>
      <c r="K893" s="70"/>
      <c r="L893" s="71"/>
      <c r="M893" s="72"/>
      <c r="P893" s="72"/>
    </row>
    <row r="894" hidden="1">
      <c r="B894" s="68"/>
      <c r="D894" s="69"/>
      <c r="H894" s="70"/>
      <c r="K894" s="70"/>
      <c r="L894" s="71"/>
      <c r="M894" s="72"/>
      <c r="P894" s="72"/>
    </row>
    <row r="895" hidden="1">
      <c r="B895" s="68"/>
      <c r="D895" s="69"/>
      <c r="H895" s="70"/>
      <c r="K895" s="70"/>
      <c r="L895" s="71"/>
      <c r="M895" s="72"/>
      <c r="P895" s="72"/>
    </row>
    <row r="896" hidden="1">
      <c r="B896" s="68"/>
      <c r="D896" s="69"/>
      <c r="H896" s="70"/>
      <c r="K896" s="70"/>
      <c r="L896" s="71"/>
      <c r="M896" s="72"/>
      <c r="P896" s="72"/>
    </row>
    <row r="897" hidden="1">
      <c r="B897" s="68"/>
      <c r="D897" s="69"/>
      <c r="H897" s="70"/>
      <c r="K897" s="70"/>
      <c r="L897" s="71"/>
      <c r="M897" s="72"/>
      <c r="P897" s="72"/>
    </row>
    <row r="898" hidden="1">
      <c r="B898" s="68"/>
      <c r="D898" s="69"/>
      <c r="H898" s="70"/>
      <c r="K898" s="70"/>
      <c r="L898" s="71"/>
      <c r="M898" s="72"/>
      <c r="P898" s="72"/>
    </row>
    <row r="899" hidden="1">
      <c r="B899" s="68"/>
      <c r="D899" s="69"/>
      <c r="H899" s="70"/>
      <c r="K899" s="70"/>
      <c r="L899" s="71"/>
      <c r="M899" s="72"/>
      <c r="P899" s="72"/>
    </row>
    <row r="900" hidden="1">
      <c r="B900" s="68"/>
      <c r="D900" s="69"/>
      <c r="H900" s="70"/>
      <c r="K900" s="70"/>
      <c r="L900" s="71"/>
      <c r="M900" s="72"/>
      <c r="P900" s="72"/>
    </row>
    <row r="901" hidden="1">
      <c r="B901" s="68"/>
      <c r="D901" s="69"/>
      <c r="H901" s="70"/>
      <c r="K901" s="70"/>
      <c r="L901" s="71"/>
      <c r="M901" s="72"/>
      <c r="P901" s="72"/>
    </row>
    <row r="902" hidden="1">
      <c r="B902" s="68"/>
      <c r="D902" s="69"/>
      <c r="H902" s="70"/>
      <c r="K902" s="70"/>
      <c r="L902" s="71"/>
      <c r="M902" s="72"/>
      <c r="P902" s="72"/>
    </row>
    <row r="903" hidden="1">
      <c r="B903" s="68"/>
      <c r="D903" s="69"/>
      <c r="H903" s="70"/>
      <c r="K903" s="70"/>
      <c r="L903" s="71"/>
      <c r="M903" s="72"/>
      <c r="P903" s="72"/>
    </row>
    <row r="904" hidden="1">
      <c r="B904" s="68"/>
      <c r="D904" s="69"/>
      <c r="H904" s="70"/>
      <c r="K904" s="70"/>
      <c r="L904" s="71"/>
      <c r="M904" s="72"/>
      <c r="P904" s="72"/>
    </row>
    <row r="905" hidden="1">
      <c r="B905" s="68"/>
      <c r="D905" s="69"/>
      <c r="H905" s="70"/>
      <c r="K905" s="70"/>
      <c r="L905" s="71"/>
      <c r="M905" s="72"/>
      <c r="P905" s="72"/>
    </row>
    <row r="906" hidden="1">
      <c r="B906" s="68"/>
      <c r="D906" s="69"/>
      <c r="H906" s="70"/>
      <c r="K906" s="70"/>
      <c r="L906" s="71"/>
      <c r="M906" s="72"/>
      <c r="P906" s="72"/>
    </row>
    <row r="907" hidden="1">
      <c r="B907" s="68"/>
      <c r="D907" s="69"/>
      <c r="H907" s="70"/>
      <c r="K907" s="70"/>
      <c r="L907" s="71"/>
      <c r="M907" s="72"/>
      <c r="P907" s="72"/>
    </row>
    <row r="908" hidden="1">
      <c r="B908" s="68"/>
      <c r="D908" s="69"/>
      <c r="H908" s="70"/>
      <c r="K908" s="70"/>
      <c r="L908" s="71"/>
      <c r="M908" s="72"/>
      <c r="P908" s="72"/>
    </row>
    <row r="909" hidden="1">
      <c r="B909" s="68"/>
      <c r="D909" s="69"/>
      <c r="H909" s="70"/>
      <c r="K909" s="70"/>
      <c r="L909" s="71"/>
      <c r="M909" s="72"/>
      <c r="P909" s="72"/>
    </row>
    <row r="910" hidden="1">
      <c r="B910" s="68"/>
      <c r="D910" s="69"/>
      <c r="H910" s="70"/>
      <c r="K910" s="70"/>
      <c r="L910" s="71"/>
      <c r="M910" s="72"/>
      <c r="P910" s="72"/>
    </row>
    <row r="911" hidden="1">
      <c r="B911" s="68"/>
      <c r="D911" s="69"/>
      <c r="H911" s="70"/>
      <c r="K911" s="70"/>
      <c r="L911" s="71"/>
      <c r="M911" s="72"/>
      <c r="P911" s="72"/>
    </row>
    <row r="912" hidden="1">
      <c r="B912" s="68"/>
      <c r="D912" s="69"/>
      <c r="H912" s="70"/>
      <c r="K912" s="70"/>
      <c r="L912" s="71"/>
      <c r="M912" s="72"/>
      <c r="P912" s="72"/>
    </row>
    <row r="913" hidden="1">
      <c r="B913" s="68"/>
      <c r="D913" s="69"/>
      <c r="H913" s="70"/>
      <c r="K913" s="70"/>
      <c r="L913" s="71"/>
      <c r="M913" s="72"/>
      <c r="P913" s="72"/>
    </row>
    <row r="914" hidden="1">
      <c r="B914" s="68"/>
      <c r="D914" s="69"/>
      <c r="H914" s="70"/>
      <c r="K914" s="70"/>
      <c r="L914" s="71"/>
      <c r="M914" s="72"/>
      <c r="P914" s="72"/>
    </row>
    <row r="915" hidden="1">
      <c r="B915" s="68"/>
      <c r="D915" s="69"/>
      <c r="H915" s="70"/>
      <c r="K915" s="70"/>
      <c r="L915" s="71"/>
      <c r="M915" s="72"/>
      <c r="P915" s="72"/>
    </row>
    <row r="916" hidden="1">
      <c r="B916" s="68"/>
      <c r="D916" s="69"/>
      <c r="H916" s="70"/>
      <c r="K916" s="70"/>
      <c r="L916" s="71"/>
      <c r="M916" s="72"/>
      <c r="P916" s="72"/>
    </row>
    <row r="917" hidden="1">
      <c r="B917" s="68"/>
      <c r="D917" s="69"/>
      <c r="H917" s="70"/>
      <c r="K917" s="70"/>
      <c r="L917" s="71"/>
      <c r="M917" s="72"/>
      <c r="P917" s="72"/>
    </row>
    <row r="918" hidden="1">
      <c r="B918" s="68"/>
      <c r="D918" s="69"/>
      <c r="H918" s="70"/>
      <c r="K918" s="70"/>
      <c r="L918" s="71"/>
      <c r="M918" s="72"/>
      <c r="P918" s="72"/>
    </row>
    <row r="919" hidden="1">
      <c r="B919" s="68"/>
      <c r="D919" s="69"/>
      <c r="H919" s="70"/>
      <c r="K919" s="70"/>
      <c r="L919" s="71"/>
      <c r="M919" s="72"/>
      <c r="P919" s="72"/>
    </row>
    <row r="920" hidden="1">
      <c r="B920" s="68"/>
      <c r="D920" s="69"/>
      <c r="H920" s="70"/>
      <c r="K920" s="70"/>
      <c r="L920" s="71"/>
      <c r="M920" s="72"/>
      <c r="P920" s="72"/>
    </row>
    <row r="921" hidden="1">
      <c r="B921" s="68"/>
      <c r="D921" s="69"/>
      <c r="H921" s="70"/>
      <c r="K921" s="70"/>
      <c r="L921" s="71"/>
      <c r="M921" s="72"/>
      <c r="P921" s="72"/>
    </row>
    <row r="922" hidden="1">
      <c r="B922" s="68"/>
      <c r="D922" s="69"/>
      <c r="H922" s="70"/>
      <c r="K922" s="70"/>
      <c r="L922" s="71"/>
      <c r="M922" s="72"/>
      <c r="P922" s="72"/>
    </row>
    <row r="923" hidden="1">
      <c r="B923" s="68"/>
      <c r="D923" s="69"/>
      <c r="H923" s="70"/>
      <c r="K923" s="70"/>
      <c r="L923" s="71"/>
      <c r="M923" s="72"/>
      <c r="P923" s="72"/>
    </row>
    <row r="924" hidden="1">
      <c r="B924" s="68"/>
      <c r="D924" s="69"/>
      <c r="H924" s="70"/>
      <c r="K924" s="70"/>
      <c r="L924" s="71"/>
      <c r="M924" s="72"/>
      <c r="P924" s="72"/>
    </row>
    <row r="925" hidden="1">
      <c r="B925" s="68"/>
      <c r="D925" s="69"/>
      <c r="H925" s="70"/>
      <c r="K925" s="70"/>
      <c r="L925" s="71"/>
      <c r="M925" s="72"/>
      <c r="P925" s="72"/>
    </row>
    <row r="926" hidden="1">
      <c r="B926" s="68"/>
      <c r="D926" s="69"/>
      <c r="H926" s="70"/>
      <c r="K926" s="70"/>
      <c r="L926" s="71"/>
      <c r="M926" s="72"/>
      <c r="P926" s="72"/>
    </row>
    <row r="927" hidden="1">
      <c r="B927" s="68"/>
      <c r="D927" s="69"/>
      <c r="H927" s="70"/>
      <c r="K927" s="70"/>
      <c r="L927" s="71"/>
      <c r="M927" s="72"/>
      <c r="P927" s="72"/>
    </row>
    <row r="928" hidden="1">
      <c r="B928" s="68"/>
      <c r="D928" s="69"/>
      <c r="H928" s="70"/>
      <c r="K928" s="70"/>
      <c r="L928" s="71"/>
      <c r="M928" s="72"/>
      <c r="P928" s="72"/>
    </row>
    <row r="929" hidden="1">
      <c r="B929" s="68"/>
      <c r="D929" s="69"/>
      <c r="H929" s="70"/>
      <c r="K929" s="70"/>
      <c r="L929" s="71"/>
      <c r="M929" s="72"/>
      <c r="P929" s="72"/>
    </row>
    <row r="930" hidden="1">
      <c r="B930" s="68"/>
      <c r="D930" s="69"/>
      <c r="H930" s="70"/>
      <c r="K930" s="70"/>
      <c r="L930" s="71"/>
      <c r="M930" s="72"/>
      <c r="P930" s="72"/>
    </row>
    <row r="931" hidden="1">
      <c r="B931" s="68"/>
      <c r="D931" s="69"/>
      <c r="H931" s="70"/>
      <c r="K931" s="70"/>
      <c r="L931" s="71"/>
      <c r="M931" s="72"/>
      <c r="P931" s="72"/>
    </row>
    <row r="932" hidden="1">
      <c r="B932" s="68"/>
      <c r="D932" s="69"/>
      <c r="H932" s="70"/>
      <c r="K932" s="70"/>
      <c r="L932" s="71"/>
      <c r="M932" s="72"/>
      <c r="P932" s="72"/>
    </row>
    <row r="933" hidden="1">
      <c r="B933" s="68"/>
      <c r="D933" s="69"/>
      <c r="H933" s="70"/>
      <c r="K933" s="70"/>
      <c r="L933" s="71"/>
      <c r="M933" s="72"/>
      <c r="P933" s="72"/>
    </row>
    <row r="934" hidden="1">
      <c r="B934" s="68"/>
      <c r="D934" s="69"/>
      <c r="H934" s="70"/>
      <c r="K934" s="70"/>
      <c r="L934" s="71"/>
      <c r="M934" s="72"/>
      <c r="P934" s="72"/>
    </row>
    <row r="935" hidden="1">
      <c r="B935" s="68"/>
      <c r="D935" s="69"/>
      <c r="H935" s="70"/>
      <c r="K935" s="70"/>
      <c r="L935" s="71"/>
      <c r="M935" s="72"/>
      <c r="P935" s="72"/>
    </row>
    <row r="936" hidden="1">
      <c r="B936" s="68"/>
      <c r="D936" s="69"/>
      <c r="H936" s="70"/>
      <c r="K936" s="70"/>
      <c r="L936" s="71"/>
      <c r="M936" s="72"/>
      <c r="P936" s="72"/>
    </row>
    <row r="937" hidden="1">
      <c r="B937" s="68"/>
      <c r="D937" s="69"/>
      <c r="H937" s="70"/>
      <c r="K937" s="70"/>
      <c r="L937" s="71"/>
      <c r="M937" s="72"/>
      <c r="P937" s="72"/>
    </row>
    <row r="938" hidden="1">
      <c r="B938" s="68"/>
      <c r="D938" s="69"/>
      <c r="H938" s="70"/>
      <c r="K938" s="70"/>
      <c r="L938" s="71"/>
      <c r="M938" s="72"/>
      <c r="P938" s="72"/>
    </row>
    <row r="939" hidden="1">
      <c r="B939" s="68"/>
      <c r="D939" s="69"/>
      <c r="H939" s="70"/>
      <c r="K939" s="70"/>
      <c r="L939" s="71"/>
      <c r="M939" s="72"/>
      <c r="P939" s="72"/>
    </row>
    <row r="940" hidden="1">
      <c r="B940" s="68"/>
      <c r="D940" s="69"/>
      <c r="H940" s="70"/>
      <c r="K940" s="70"/>
      <c r="L940" s="71"/>
      <c r="M940" s="72"/>
      <c r="P940" s="72"/>
    </row>
    <row r="941" hidden="1">
      <c r="B941" s="68"/>
      <c r="D941" s="69"/>
      <c r="H941" s="70"/>
      <c r="K941" s="70"/>
      <c r="L941" s="71"/>
      <c r="M941" s="72"/>
      <c r="P941" s="72"/>
    </row>
    <row r="942" hidden="1">
      <c r="B942" s="68"/>
      <c r="D942" s="69"/>
      <c r="H942" s="70"/>
      <c r="K942" s="70"/>
      <c r="L942" s="71"/>
      <c r="M942" s="72"/>
      <c r="P942" s="72"/>
    </row>
    <row r="943" hidden="1">
      <c r="B943" s="68"/>
      <c r="D943" s="69"/>
      <c r="H943" s="70"/>
      <c r="K943" s="70"/>
      <c r="L943" s="71"/>
      <c r="M943" s="72"/>
      <c r="P943" s="72"/>
    </row>
    <row r="944" hidden="1">
      <c r="B944" s="68"/>
      <c r="D944" s="69"/>
      <c r="H944" s="70"/>
      <c r="K944" s="70"/>
      <c r="L944" s="71"/>
      <c r="M944" s="72"/>
      <c r="P944" s="72"/>
    </row>
    <row r="945" hidden="1">
      <c r="B945" s="68"/>
      <c r="D945" s="69"/>
      <c r="H945" s="70"/>
      <c r="K945" s="70"/>
      <c r="L945" s="71"/>
      <c r="M945" s="72"/>
      <c r="P945" s="72"/>
    </row>
    <row r="946" hidden="1">
      <c r="B946" s="68"/>
      <c r="D946" s="69"/>
      <c r="H946" s="70"/>
      <c r="K946" s="70"/>
      <c r="L946" s="71"/>
      <c r="M946" s="72"/>
      <c r="P946" s="72"/>
    </row>
    <row r="947" hidden="1">
      <c r="B947" s="68"/>
      <c r="D947" s="69"/>
      <c r="H947" s="70"/>
      <c r="K947" s="70"/>
      <c r="L947" s="71"/>
      <c r="M947" s="72"/>
      <c r="P947" s="72"/>
    </row>
    <row r="948" hidden="1">
      <c r="B948" s="68"/>
      <c r="D948" s="69"/>
      <c r="H948" s="70"/>
      <c r="K948" s="70"/>
      <c r="L948" s="71"/>
      <c r="M948" s="72"/>
      <c r="P948" s="72"/>
    </row>
    <row r="949" hidden="1">
      <c r="B949" s="68"/>
      <c r="D949" s="69"/>
      <c r="H949" s="70"/>
      <c r="K949" s="70"/>
      <c r="L949" s="71"/>
      <c r="M949" s="72"/>
      <c r="P949" s="72"/>
    </row>
    <row r="950" hidden="1">
      <c r="B950" s="68"/>
      <c r="D950" s="69"/>
      <c r="H950" s="70"/>
      <c r="K950" s="70"/>
      <c r="L950" s="71"/>
      <c r="M950" s="72"/>
      <c r="P950" s="72"/>
    </row>
    <row r="951" hidden="1">
      <c r="B951" s="68"/>
      <c r="D951" s="69"/>
      <c r="H951" s="70"/>
      <c r="K951" s="70"/>
      <c r="L951" s="71"/>
      <c r="M951" s="72"/>
      <c r="P951" s="72"/>
    </row>
    <row r="952" hidden="1">
      <c r="B952" s="68"/>
      <c r="D952" s="69"/>
      <c r="H952" s="70"/>
      <c r="K952" s="70"/>
      <c r="L952" s="71"/>
      <c r="M952" s="72"/>
      <c r="P952" s="72"/>
    </row>
    <row r="953" hidden="1">
      <c r="B953" s="68"/>
      <c r="D953" s="69"/>
      <c r="H953" s="70"/>
      <c r="K953" s="70"/>
      <c r="L953" s="71"/>
      <c r="M953" s="72"/>
      <c r="P953" s="72"/>
    </row>
    <row r="954" hidden="1">
      <c r="B954" s="68"/>
      <c r="D954" s="69"/>
      <c r="H954" s="70"/>
      <c r="K954" s="70"/>
      <c r="L954" s="71"/>
      <c r="M954" s="72"/>
      <c r="P954" s="72"/>
    </row>
    <row r="955" hidden="1">
      <c r="B955" s="68"/>
      <c r="D955" s="69"/>
      <c r="H955" s="70"/>
      <c r="K955" s="70"/>
      <c r="L955" s="71"/>
      <c r="M955" s="72"/>
      <c r="P955" s="72"/>
    </row>
    <row r="956" hidden="1">
      <c r="B956" s="68"/>
      <c r="D956" s="69"/>
      <c r="H956" s="70"/>
      <c r="K956" s="70"/>
      <c r="L956" s="71"/>
      <c r="M956" s="72"/>
      <c r="P956" s="72"/>
    </row>
    <row r="957" hidden="1">
      <c r="B957" s="68"/>
      <c r="D957" s="69"/>
      <c r="H957" s="70"/>
      <c r="K957" s="70"/>
      <c r="L957" s="71"/>
      <c r="M957" s="72"/>
      <c r="P957" s="72"/>
    </row>
    <row r="958" hidden="1">
      <c r="B958" s="68"/>
      <c r="D958" s="69"/>
      <c r="H958" s="70"/>
      <c r="K958" s="70"/>
      <c r="L958" s="71"/>
      <c r="M958" s="72"/>
      <c r="P958" s="72"/>
    </row>
    <row r="959" hidden="1">
      <c r="B959" s="68"/>
      <c r="D959" s="69"/>
      <c r="H959" s="70"/>
      <c r="K959" s="70"/>
      <c r="L959" s="71"/>
      <c r="M959" s="72"/>
      <c r="P959" s="72"/>
    </row>
    <row r="960" hidden="1">
      <c r="B960" s="68"/>
      <c r="D960" s="69"/>
      <c r="H960" s="70"/>
      <c r="K960" s="70"/>
      <c r="L960" s="71"/>
      <c r="M960" s="72"/>
      <c r="P960" s="72"/>
    </row>
    <row r="961" hidden="1">
      <c r="B961" s="68"/>
      <c r="D961" s="69"/>
      <c r="H961" s="70"/>
      <c r="K961" s="70"/>
      <c r="L961" s="71"/>
      <c r="M961" s="72"/>
      <c r="P961" s="72"/>
    </row>
    <row r="962" hidden="1">
      <c r="B962" s="68"/>
      <c r="D962" s="69"/>
      <c r="H962" s="70"/>
      <c r="K962" s="70"/>
      <c r="L962" s="71"/>
      <c r="M962" s="72"/>
      <c r="P962" s="72"/>
    </row>
    <row r="963" hidden="1">
      <c r="B963" s="68"/>
      <c r="D963" s="69"/>
      <c r="H963" s="70"/>
      <c r="K963" s="70"/>
      <c r="L963" s="71"/>
      <c r="M963" s="72"/>
      <c r="P963" s="72"/>
    </row>
    <row r="964" hidden="1">
      <c r="B964" s="68"/>
      <c r="D964" s="69"/>
      <c r="H964" s="70"/>
      <c r="K964" s="70"/>
      <c r="L964" s="71"/>
      <c r="M964" s="72"/>
      <c r="P964" s="72"/>
    </row>
  </sheetData>
  <autoFilter ref="$A$1:$AA$964">
    <filterColumn colId="4">
      <filters>
        <filter val="Клей Starkbond 2014 бочка 225кг"/>
      </filters>
    </filterColumn>
  </autoFilter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1">
        <v>46082.0</v>
      </c>
      <c r="C2" s="12">
        <f>VLOOKUP(B:B,'Курс валют'!A:D,4,0)</f>
        <v>91.2965</v>
      </c>
      <c r="D2" s="54" t="s">
        <v>928</v>
      </c>
      <c r="E2" s="75" t="s">
        <v>64</v>
      </c>
      <c r="F2" s="12">
        <v>2200.0</v>
      </c>
      <c r="G2" s="19">
        <v>2241.62</v>
      </c>
      <c r="H2" s="17">
        <v>0.0</v>
      </c>
      <c r="I2" s="16">
        <f t="shared" ref="I2:I24" si="1">G2-F2</f>
        <v>41.62</v>
      </c>
      <c r="J2" s="18">
        <f t="shared" ref="J2:J340" si="2">I2/F2*100</f>
        <v>1.891818182</v>
      </c>
      <c r="K2" s="56">
        <v>2.45</v>
      </c>
      <c r="L2" s="19">
        <f t="shared" ref="L2:L340" si="3">H2/F2*100</f>
        <v>0</v>
      </c>
      <c r="M2" s="20">
        <f t="shared" ref="M2:M340" si="4">P2/F2</f>
        <v>223.676425</v>
      </c>
      <c r="N2" s="21">
        <f t="shared" ref="N2:N340" si="5">(F2*K2-H2*3.04)/F2</f>
        <v>2.45</v>
      </c>
      <c r="O2" s="21">
        <f t="shared" ref="O2:O340" si="6">N2*F2</f>
        <v>5390</v>
      </c>
      <c r="P2" s="22">
        <f t="shared" ref="P2:P340" si="7">O2*C2</f>
        <v>492088.135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/>
      <c r="B3" s="11">
        <v>46082.0</v>
      </c>
      <c r="C3" s="12">
        <f>VLOOKUP(B:B,'Курс валют'!A:D,4,0)</f>
        <v>91.2965</v>
      </c>
      <c r="D3" s="13" t="s">
        <v>929</v>
      </c>
      <c r="E3" s="14" t="s">
        <v>115</v>
      </c>
      <c r="F3" s="15">
        <v>20.0</v>
      </c>
      <c r="G3" s="15">
        <v>23.02</v>
      </c>
      <c r="H3" s="17">
        <v>0.0</v>
      </c>
      <c r="I3" s="15">
        <f t="shared" si="1"/>
        <v>3.02</v>
      </c>
      <c r="J3" s="18">
        <f t="shared" si="2"/>
        <v>15.1</v>
      </c>
      <c r="K3" s="17">
        <v>3.16</v>
      </c>
      <c r="L3" s="19">
        <f t="shared" si="3"/>
        <v>0</v>
      </c>
      <c r="M3" s="20">
        <f t="shared" si="4"/>
        <v>288.49694</v>
      </c>
      <c r="N3" s="21">
        <f t="shared" si="5"/>
        <v>3.16</v>
      </c>
      <c r="O3" s="21">
        <f t="shared" si="6"/>
        <v>63.2</v>
      </c>
      <c r="P3" s="22">
        <f t="shared" si="7"/>
        <v>5769.9388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46082.0</v>
      </c>
      <c r="C4" s="12">
        <f>VLOOKUP(B:B,'Курс валют'!A:D,4,0)</f>
        <v>91.2965</v>
      </c>
      <c r="D4" s="13" t="s">
        <v>930</v>
      </c>
      <c r="E4" s="14" t="s">
        <v>18</v>
      </c>
      <c r="F4" s="15">
        <v>1100.0</v>
      </c>
      <c r="G4" s="16">
        <v>1109.1</v>
      </c>
      <c r="H4" s="17">
        <v>0.0</v>
      </c>
      <c r="I4" s="16">
        <f t="shared" si="1"/>
        <v>9.1</v>
      </c>
      <c r="J4" s="18">
        <f t="shared" si="2"/>
        <v>0.8272727273</v>
      </c>
      <c r="K4" s="17">
        <v>2.2</v>
      </c>
      <c r="L4" s="19">
        <f t="shared" si="3"/>
        <v>0</v>
      </c>
      <c r="M4" s="20">
        <f t="shared" si="4"/>
        <v>200.8523</v>
      </c>
      <c r="N4" s="21">
        <f t="shared" si="5"/>
        <v>2.2</v>
      </c>
      <c r="O4" s="21">
        <f t="shared" si="6"/>
        <v>2420</v>
      </c>
      <c r="P4" s="22">
        <f t="shared" si="7"/>
        <v>220937.53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46082.0</v>
      </c>
      <c r="C5" s="12">
        <f>VLOOKUP(B:B,'Курс валют'!A:D,4,0)</f>
        <v>91.2965</v>
      </c>
      <c r="D5" s="13" t="s">
        <v>931</v>
      </c>
      <c r="E5" s="14" t="s">
        <v>18</v>
      </c>
      <c r="F5" s="15">
        <v>1100.0</v>
      </c>
      <c r="G5" s="16">
        <v>1109.1</v>
      </c>
      <c r="H5" s="17">
        <v>0.0</v>
      </c>
      <c r="I5" s="16">
        <f t="shared" si="1"/>
        <v>9.1</v>
      </c>
      <c r="J5" s="18">
        <f t="shared" si="2"/>
        <v>0.8272727273</v>
      </c>
      <c r="K5" s="17">
        <v>2.2</v>
      </c>
      <c r="L5" s="19">
        <f t="shared" si="3"/>
        <v>0</v>
      </c>
      <c r="M5" s="20">
        <f t="shared" si="4"/>
        <v>200.8523</v>
      </c>
      <c r="N5" s="21">
        <f t="shared" si="5"/>
        <v>2.2</v>
      </c>
      <c r="O5" s="21">
        <f t="shared" si="6"/>
        <v>2420</v>
      </c>
      <c r="P5" s="22">
        <f t="shared" si="7"/>
        <v>220937.53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46082.0</v>
      </c>
      <c r="C6" s="12">
        <f>VLOOKUP(B:B,'Курс валют'!A:D,4,0)</f>
        <v>91.2965</v>
      </c>
      <c r="D6" s="13" t="s">
        <v>932</v>
      </c>
      <c r="E6" s="14" t="s">
        <v>18</v>
      </c>
      <c r="F6" s="15">
        <v>1100.0</v>
      </c>
      <c r="G6" s="16">
        <v>1109.1</v>
      </c>
      <c r="H6" s="17">
        <v>0.0</v>
      </c>
      <c r="I6" s="16">
        <f t="shared" si="1"/>
        <v>9.1</v>
      </c>
      <c r="J6" s="18">
        <f t="shared" si="2"/>
        <v>0.8272727273</v>
      </c>
      <c r="K6" s="17">
        <v>2.2</v>
      </c>
      <c r="L6" s="19">
        <f t="shared" si="3"/>
        <v>0</v>
      </c>
      <c r="M6" s="20">
        <f t="shared" si="4"/>
        <v>200.8523</v>
      </c>
      <c r="N6" s="21">
        <f t="shared" si="5"/>
        <v>2.2</v>
      </c>
      <c r="O6" s="21">
        <f t="shared" si="6"/>
        <v>2420</v>
      </c>
      <c r="P6" s="22">
        <f t="shared" si="7"/>
        <v>220937.53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46082.0</v>
      </c>
      <c r="C7" s="12">
        <f>VLOOKUP(B:B,'Курс валют'!A:D,4,0)</f>
        <v>91.2965</v>
      </c>
      <c r="D7" s="13" t="s">
        <v>933</v>
      </c>
      <c r="E7" s="14" t="s">
        <v>18</v>
      </c>
      <c r="F7" s="15">
        <v>1100.0</v>
      </c>
      <c r="G7" s="16">
        <v>1109.1</v>
      </c>
      <c r="H7" s="17">
        <v>0.0</v>
      </c>
      <c r="I7" s="16">
        <f t="shared" si="1"/>
        <v>9.1</v>
      </c>
      <c r="J7" s="18">
        <f t="shared" si="2"/>
        <v>0.8272727273</v>
      </c>
      <c r="K7" s="17">
        <v>2.2</v>
      </c>
      <c r="L7" s="19">
        <f t="shared" si="3"/>
        <v>0</v>
      </c>
      <c r="M7" s="20">
        <f t="shared" si="4"/>
        <v>200.8523</v>
      </c>
      <c r="N7" s="21">
        <f t="shared" si="5"/>
        <v>2.2</v>
      </c>
      <c r="O7" s="21">
        <f t="shared" si="6"/>
        <v>2420</v>
      </c>
      <c r="P7" s="22">
        <f t="shared" si="7"/>
        <v>220937.53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46082.0</v>
      </c>
      <c r="C8" s="12">
        <f>VLOOKUP(B:B,'Курс валют'!A:D,4,0)</f>
        <v>91.2965</v>
      </c>
      <c r="D8" s="13" t="s">
        <v>934</v>
      </c>
      <c r="E8" s="14" t="s">
        <v>18</v>
      </c>
      <c r="F8" s="15">
        <v>1100.0</v>
      </c>
      <c r="G8" s="16">
        <v>1109.1</v>
      </c>
      <c r="H8" s="17">
        <v>0.0</v>
      </c>
      <c r="I8" s="16">
        <f t="shared" si="1"/>
        <v>9.1</v>
      </c>
      <c r="J8" s="18">
        <f t="shared" si="2"/>
        <v>0.8272727273</v>
      </c>
      <c r="K8" s="17">
        <v>2.2</v>
      </c>
      <c r="L8" s="19">
        <f t="shared" si="3"/>
        <v>0</v>
      </c>
      <c r="M8" s="20">
        <f t="shared" si="4"/>
        <v>200.8523</v>
      </c>
      <c r="N8" s="21">
        <f t="shared" si="5"/>
        <v>2.2</v>
      </c>
      <c r="O8" s="21">
        <f t="shared" si="6"/>
        <v>2420</v>
      </c>
      <c r="P8" s="22">
        <f t="shared" si="7"/>
        <v>220937.53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11"/>
      <c r="B9" s="11">
        <v>46082.0</v>
      </c>
      <c r="C9" s="12">
        <f>VLOOKUP(B:B,'Курс валют'!A:D,4,0)</f>
        <v>91.2965</v>
      </c>
      <c r="D9" s="13" t="s">
        <v>935</v>
      </c>
      <c r="E9" s="14" t="s">
        <v>18</v>
      </c>
      <c r="F9" s="15">
        <v>1100.0</v>
      </c>
      <c r="G9" s="16">
        <v>1109.1</v>
      </c>
      <c r="H9" s="17">
        <v>206.62</v>
      </c>
      <c r="I9" s="16">
        <f t="shared" si="1"/>
        <v>9.1</v>
      </c>
      <c r="J9" s="18">
        <f t="shared" si="2"/>
        <v>0.8272727273</v>
      </c>
      <c r="K9" s="17">
        <v>2.77</v>
      </c>
      <c r="L9" s="19">
        <f t="shared" si="3"/>
        <v>18.78363636</v>
      </c>
      <c r="M9" s="20">
        <f t="shared" si="4"/>
        <v>200.7589452</v>
      </c>
      <c r="N9" s="21">
        <f t="shared" si="5"/>
        <v>2.198977455</v>
      </c>
      <c r="O9" s="21">
        <f t="shared" si="6"/>
        <v>2418.8752</v>
      </c>
      <c r="P9" s="22">
        <f t="shared" si="7"/>
        <v>220834.8397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11"/>
      <c r="B10" s="11">
        <v>46082.0</v>
      </c>
      <c r="C10" s="12">
        <f>VLOOKUP(B:B,'Курс валют'!A:D,4,0)</f>
        <v>91.2965</v>
      </c>
      <c r="D10" s="13" t="s">
        <v>936</v>
      </c>
      <c r="E10" s="14" t="s">
        <v>18</v>
      </c>
      <c r="F10" s="15">
        <v>1100.0</v>
      </c>
      <c r="G10" s="16">
        <v>1109.1</v>
      </c>
      <c r="H10" s="17">
        <v>483.9</v>
      </c>
      <c r="I10" s="16">
        <f t="shared" si="1"/>
        <v>9.1</v>
      </c>
      <c r="J10" s="18">
        <f t="shared" si="2"/>
        <v>0.8272727273</v>
      </c>
      <c r="K10" s="17">
        <v>3.53</v>
      </c>
      <c r="L10" s="19">
        <f t="shared" si="3"/>
        <v>43.99090909</v>
      </c>
      <c r="M10" s="20">
        <f t="shared" si="4"/>
        <v>200.1836776</v>
      </c>
      <c r="N10" s="21">
        <f t="shared" si="5"/>
        <v>2.192676364</v>
      </c>
      <c r="O10" s="21">
        <f t="shared" si="6"/>
        <v>2411.944</v>
      </c>
      <c r="P10" s="22">
        <f t="shared" si="7"/>
        <v>220202.0454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/>
      <c r="B11" s="11">
        <v>46082.0</v>
      </c>
      <c r="C11" s="12">
        <f>VLOOKUP(B:B,'Курс валют'!A:D,4,0)</f>
        <v>91.2965</v>
      </c>
      <c r="D11" s="13" t="s">
        <v>937</v>
      </c>
      <c r="E11" s="14" t="s">
        <v>18</v>
      </c>
      <c r="F11" s="15">
        <v>1100.0</v>
      </c>
      <c r="G11" s="16">
        <v>1109.1</v>
      </c>
      <c r="H11" s="17">
        <v>483.9</v>
      </c>
      <c r="I11" s="16">
        <f t="shared" si="1"/>
        <v>9.1</v>
      </c>
      <c r="J11" s="18">
        <f t="shared" si="2"/>
        <v>0.8272727273</v>
      </c>
      <c r="K11" s="17">
        <v>3.53</v>
      </c>
      <c r="L11" s="19">
        <f t="shared" si="3"/>
        <v>43.99090909</v>
      </c>
      <c r="M11" s="20">
        <f t="shared" si="4"/>
        <v>200.1836776</v>
      </c>
      <c r="N11" s="21">
        <f t="shared" si="5"/>
        <v>2.192676364</v>
      </c>
      <c r="O11" s="21">
        <f t="shared" si="6"/>
        <v>2411.944</v>
      </c>
      <c r="P11" s="22">
        <f t="shared" si="7"/>
        <v>220202.0454</v>
      </c>
      <c r="R11" s="23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/>
      <c r="B12" s="11">
        <v>46083.0</v>
      </c>
      <c r="C12" s="12">
        <f>VLOOKUP(B:B,'Курс валют'!A:D,4,0)</f>
        <v>91.2965</v>
      </c>
      <c r="D12" s="13" t="s">
        <v>938</v>
      </c>
      <c r="E12" s="14" t="s">
        <v>61</v>
      </c>
      <c r="F12" s="15">
        <v>1100.0</v>
      </c>
      <c r="G12" s="16">
        <v>1105.46</v>
      </c>
      <c r="H12" s="27">
        <v>438.5</v>
      </c>
      <c r="I12" s="16">
        <f t="shared" si="1"/>
        <v>5.46</v>
      </c>
      <c r="J12" s="18">
        <f t="shared" si="2"/>
        <v>0.4963636364</v>
      </c>
      <c r="K12" s="17">
        <v>3.49</v>
      </c>
      <c r="L12" s="19">
        <f t="shared" si="3"/>
        <v>39.86363636</v>
      </c>
      <c r="M12" s="20">
        <f t="shared" si="4"/>
        <v>207.9867065</v>
      </c>
      <c r="N12" s="21">
        <f t="shared" si="5"/>
        <v>2.278145455</v>
      </c>
      <c r="O12" s="21">
        <f t="shared" si="6"/>
        <v>2505.96</v>
      </c>
      <c r="P12" s="22">
        <f t="shared" si="7"/>
        <v>228785.3771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/>
      <c r="B13" s="11">
        <v>46083.0</v>
      </c>
      <c r="C13" s="12">
        <f>VLOOKUP(B:B,'Курс валют'!A:D,4,0)</f>
        <v>91.2965</v>
      </c>
      <c r="D13" s="13" t="s">
        <v>939</v>
      </c>
      <c r="E13" s="14" t="s">
        <v>61</v>
      </c>
      <c r="F13" s="15">
        <v>1100.0</v>
      </c>
      <c r="G13" s="16">
        <v>1105.46</v>
      </c>
      <c r="H13" s="27">
        <v>438.5</v>
      </c>
      <c r="I13" s="16">
        <f t="shared" si="1"/>
        <v>5.46</v>
      </c>
      <c r="J13" s="18">
        <f t="shared" si="2"/>
        <v>0.4963636364</v>
      </c>
      <c r="K13" s="17">
        <v>3.49</v>
      </c>
      <c r="L13" s="19">
        <f t="shared" si="3"/>
        <v>39.86363636</v>
      </c>
      <c r="M13" s="20">
        <f t="shared" si="4"/>
        <v>207.9867065</v>
      </c>
      <c r="N13" s="29">
        <f t="shared" si="5"/>
        <v>2.278145455</v>
      </c>
      <c r="O13" s="21">
        <f t="shared" si="6"/>
        <v>2505.96</v>
      </c>
      <c r="P13" s="22">
        <f t="shared" si="7"/>
        <v>228785.3771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/>
      <c r="B14" s="11">
        <v>46083.0</v>
      </c>
      <c r="C14" s="12">
        <f>VLOOKUP(B:B,'Курс валют'!A:D,4,0)</f>
        <v>91.2965</v>
      </c>
      <c r="D14" s="13" t="s">
        <v>940</v>
      </c>
      <c r="E14" s="14" t="s">
        <v>61</v>
      </c>
      <c r="F14" s="15">
        <v>1100.0</v>
      </c>
      <c r="G14" s="16">
        <v>1105.46</v>
      </c>
      <c r="H14" s="27">
        <v>438.5</v>
      </c>
      <c r="I14" s="16">
        <f t="shared" si="1"/>
        <v>5.46</v>
      </c>
      <c r="J14" s="18">
        <f t="shared" si="2"/>
        <v>0.4963636364</v>
      </c>
      <c r="K14" s="17">
        <v>3.49</v>
      </c>
      <c r="L14" s="19">
        <f t="shared" si="3"/>
        <v>39.86363636</v>
      </c>
      <c r="M14" s="20">
        <f t="shared" si="4"/>
        <v>207.9867065</v>
      </c>
      <c r="N14" s="21">
        <f t="shared" si="5"/>
        <v>2.278145455</v>
      </c>
      <c r="O14" s="21">
        <f t="shared" si="6"/>
        <v>2505.96</v>
      </c>
      <c r="P14" s="22">
        <f t="shared" si="7"/>
        <v>228785.3771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/>
      <c r="B15" s="11">
        <v>46083.0</v>
      </c>
      <c r="C15" s="12">
        <f>VLOOKUP(B:B,'Курс валют'!A:D,4,0)</f>
        <v>91.2965</v>
      </c>
      <c r="D15" s="13" t="s">
        <v>941</v>
      </c>
      <c r="E15" s="14" t="s">
        <v>61</v>
      </c>
      <c r="F15" s="15">
        <v>1100.0</v>
      </c>
      <c r="G15" s="16">
        <v>1105.46</v>
      </c>
      <c r="H15" s="27">
        <v>438.5</v>
      </c>
      <c r="I15" s="16">
        <f t="shared" si="1"/>
        <v>5.46</v>
      </c>
      <c r="J15" s="18">
        <f t="shared" si="2"/>
        <v>0.4963636364</v>
      </c>
      <c r="K15" s="17">
        <v>3.49</v>
      </c>
      <c r="L15" s="19">
        <f t="shared" si="3"/>
        <v>39.86363636</v>
      </c>
      <c r="M15" s="20">
        <f t="shared" si="4"/>
        <v>207.9867065</v>
      </c>
      <c r="N15" s="21">
        <f t="shared" si="5"/>
        <v>2.278145455</v>
      </c>
      <c r="O15" s="21">
        <f t="shared" si="6"/>
        <v>2505.96</v>
      </c>
      <c r="P15" s="22">
        <f t="shared" si="7"/>
        <v>228785.3771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11"/>
      <c r="B16" s="11">
        <v>46083.0</v>
      </c>
      <c r="C16" s="12">
        <f>VLOOKUP(B:B,'Курс валют'!A:D,4,0)</f>
        <v>91.2965</v>
      </c>
      <c r="D16" s="13" t="s">
        <v>942</v>
      </c>
      <c r="E16" s="14" t="s">
        <v>61</v>
      </c>
      <c r="F16" s="15">
        <v>1100.0</v>
      </c>
      <c r="G16" s="16">
        <v>1105.46</v>
      </c>
      <c r="H16" s="27">
        <v>438.5</v>
      </c>
      <c r="I16" s="16">
        <f t="shared" si="1"/>
        <v>5.46</v>
      </c>
      <c r="J16" s="18">
        <f t="shared" si="2"/>
        <v>0.4963636364</v>
      </c>
      <c r="K16" s="17">
        <v>3.49</v>
      </c>
      <c r="L16" s="19">
        <f t="shared" si="3"/>
        <v>39.86363636</v>
      </c>
      <c r="M16" s="20">
        <f t="shared" si="4"/>
        <v>207.9867065</v>
      </c>
      <c r="N16" s="29">
        <f t="shared" si="5"/>
        <v>2.278145455</v>
      </c>
      <c r="O16" s="21">
        <f t="shared" si="6"/>
        <v>2505.96</v>
      </c>
      <c r="P16" s="22">
        <f t="shared" si="7"/>
        <v>228785.3771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>
      <c r="A17" s="11"/>
      <c r="B17" s="11">
        <v>46083.0</v>
      </c>
      <c r="C17" s="12">
        <f>VLOOKUP(B:B,'Курс валют'!A:D,4,0)</f>
        <v>91.2965</v>
      </c>
      <c r="D17" s="13" t="s">
        <v>943</v>
      </c>
      <c r="E17" s="14" t="s">
        <v>61</v>
      </c>
      <c r="F17" s="15">
        <v>1100.0</v>
      </c>
      <c r="G17" s="16">
        <v>1105.46</v>
      </c>
      <c r="H17" s="27">
        <v>438.5</v>
      </c>
      <c r="I17" s="16">
        <f t="shared" si="1"/>
        <v>5.46</v>
      </c>
      <c r="J17" s="18">
        <f t="shared" si="2"/>
        <v>0.4963636364</v>
      </c>
      <c r="K17" s="17">
        <v>3.49</v>
      </c>
      <c r="L17" s="19">
        <f t="shared" si="3"/>
        <v>39.86363636</v>
      </c>
      <c r="M17" s="20">
        <f t="shared" si="4"/>
        <v>207.9867065</v>
      </c>
      <c r="N17" s="29">
        <f t="shared" si="5"/>
        <v>2.278145455</v>
      </c>
      <c r="O17" s="21">
        <f t="shared" si="6"/>
        <v>2505.96</v>
      </c>
      <c r="P17" s="22">
        <f t="shared" si="7"/>
        <v>228785.3771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/>
      <c r="B18" s="11">
        <v>46083.0</v>
      </c>
      <c r="C18" s="12">
        <f>VLOOKUP(B:B,'Курс валют'!A:D,4,0)</f>
        <v>91.2965</v>
      </c>
      <c r="D18" s="13" t="s">
        <v>944</v>
      </c>
      <c r="E18" s="14" t="s">
        <v>61</v>
      </c>
      <c r="F18" s="15">
        <v>1100.0</v>
      </c>
      <c r="G18" s="16">
        <v>1105.46</v>
      </c>
      <c r="H18" s="27">
        <v>438.5</v>
      </c>
      <c r="I18" s="16">
        <f t="shared" si="1"/>
        <v>5.46</v>
      </c>
      <c r="J18" s="18">
        <f t="shared" si="2"/>
        <v>0.4963636364</v>
      </c>
      <c r="K18" s="17">
        <v>3.49</v>
      </c>
      <c r="L18" s="19">
        <f t="shared" si="3"/>
        <v>39.86363636</v>
      </c>
      <c r="M18" s="20">
        <f t="shared" si="4"/>
        <v>207.9867065</v>
      </c>
      <c r="N18" s="21">
        <f t="shared" si="5"/>
        <v>2.278145455</v>
      </c>
      <c r="O18" s="21">
        <f t="shared" si="6"/>
        <v>2505.96</v>
      </c>
      <c r="P18" s="22">
        <f t="shared" si="7"/>
        <v>228785.3771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46083.0</v>
      </c>
      <c r="C19" s="12">
        <f>VLOOKUP(B:B,'Курс валют'!A:D,4,0)</f>
        <v>91.2965</v>
      </c>
      <c r="D19" s="13" t="s">
        <v>945</v>
      </c>
      <c r="E19" s="14" t="s">
        <v>61</v>
      </c>
      <c r="F19" s="15">
        <v>1100.0</v>
      </c>
      <c r="G19" s="16">
        <v>1105.46</v>
      </c>
      <c r="H19" s="27">
        <v>438.5</v>
      </c>
      <c r="I19" s="16">
        <f t="shared" si="1"/>
        <v>5.46</v>
      </c>
      <c r="J19" s="18">
        <f t="shared" si="2"/>
        <v>0.4963636364</v>
      </c>
      <c r="K19" s="17">
        <v>3.49</v>
      </c>
      <c r="L19" s="19">
        <f t="shared" si="3"/>
        <v>39.86363636</v>
      </c>
      <c r="M19" s="20">
        <f t="shared" si="4"/>
        <v>207.9867065</v>
      </c>
      <c r="N19" s="21">
        <f t="shared" si="5"/>
        <v>2.278145455</v>
      </c>
      <c r="O19" s="21">
        <f t="shared" si="6"/>
        <v>2505.96</v>
      </c>
      <c r="P19" s="22">
        <f t="shared" si="7"/>
        <v>228785.3771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>
      <c r="A20" s="30"/>
      <c r="B20" s="11">
        <v>46083.0</v>
      </c>
      <c r="C20" s="12">
        <f>VLOOKUP(B:B,'Курс валют'!A:D,4,0)</f>
        <v>91.2965</v>
      </c>
      <c r="D20" s="13" t="s">
        <v>946</v>
      </c>
      <c r="E20" s="14" t="s">
        <v>61</v>
      </c>
      <c r="F20" s="15">
        <v>1100.0</v>
      </c>
      <c r="G20" s="16">
        <v>1105.46</v>
      </c>
      <c r="H20" s="27">
        <v>438.5</v>
      </c>
      <c r="I20" s="16">
        <f t="shared" si="1"/>
        <v>5.46</v>
      </c>
      <c r="J20" s="18">
        <f t="shared" si="2"/>
        <v>0.4963636364</v>
      </c>
      <c r="K20" s="17">
        <v>3.49</v>
      </c>
      <c r="L20" s="19">
        <f t="shared" si="3"/>
        <v>39.86363636</v>
      </c>
      <c r="M20" s="20">
        <f t="shared" si="4"/>
        <v>207.9867065</v>
      </c>
      <c r="N20" s="21">
        <f t="shared" si="5"/>
        <v>2.278145455</v>
      </c>
      <c r="O20" s="21">
        <f t="shared" si="6"/>
        <v>2505.96</v>
      </c>
      <c r="P20" s="22">
        <f t="shared" si="7"/>
        <v>228785.3771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>
      <c r="A21" s="30"/>
      <c r="B21" s="11">
        <v>46083.0</v>
      </c>
      <c r="C21" s="12">
        <f>VLOOKUP(B:B,'Курс валют'!A:D,4,0)</f>
        <v>91.2965</v>
      </c>
      <c r="D21" s="13" t="s">
        <v>947</v>
      </c>
      <c r="E21" s="26" t="s">
        <v>64</v>
      </c>
      <c r="F21" s="15">
        <v>1800.0</v>
      </c>
      <c r="G21" s="16">
        <v>1834.7</v>
      </c>
      <c r="H21" s="27">
        <v>0.0</v>
      </c>
      <c r="I21" s="16">
        <f t="shared" si="1"/>
        <v>34.7</v>
      </c>
      <c r="J21" s="18">
        <f t="shared" si="2"/>
        <v>1.927777778</v>
      </c>
      <c r="K21" s="17">
        <v>2.45</v>
      </c>
      <c r="L21" s="19">
        <f t="shared" si="3"/>
        <v>0</v>
      </c>
      <c r="M21" s="20">
        <f t="shared" si="4"/>
        <v>223.676425</v>
      </c>
      <c r="N21" s="21">
        <f t="shared" si="5"/>
        <v>2.45</v>
      </c>
      <c r="O21" s="21">
        <f t="shared" si="6"/>
        <v>4410</v>
      </c>
      <c r="P21" s="22">
        <f t="shared" si="7"/>
        <v>402617.565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/>
      <c r="B22" s="11">
        <v>46084.0</v>
      </c>
      <c r="C22" s="12">
        <f>VLOOKUP(B:B,'Курс валют'!A:D,4,0)</f>
        <v>90.7307</v>
      </c>
      <c r="D22" s="13" t="s">
        <v>948</v>
      </c>
      <c r="E22" s="26" t="s">
        <v>18</v>
      </c>
      <c r="F22" s="15">
        <v>1100.0</v>
      </c>
      <c r="G22" s="16">
        <v>1104.1</v>
      </c>
      <c r="H22" s="27">
        <v>483.9</v>
      </c>
      <c r="I22" s="16">
        <f t="shared" si="1"/>
        <v>4.1</v>
      </c>
      <c r="J22" s="18">
        <f t="shared" si="2"/>
        <v>0.3727272727</v>
      </c>
      <c r="K22" s="17">
        <v>3.52</v>
      </c>
      <c r="L22" s="19">
        <f t="shared" si="3"/>
        <v>43.99090909</v>
      </c>
      <c r="M22" s="20">
        <f t="shared" si="4"/>
        <v>198.0357543</v>
      </c>
      <c r="N22" s="21">
        <f t="shared" si="5"/>
        <v>2.182676364</v>
      </c>
      <c r="O22" s="21">
        <f t="shared" si="6"/>
        <v>2400.944</v>
      </c>
      <c r="P22" s="22">
        <f t="shared" si="7"/>
        <v>217839.3298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>
      <c r="A23" s="30"/>
      <c r="B23" s="11">
        <v>46084.0</v>
      </c>
      <c r="C23" s="12">
        <f>VLOOKUP(B:B,'Курс валют'!A:D,4,0)</f>
        <v>90.7307</v>
      </c>
      <c r="D23" s="13" t="s">
        <v>949</v>
      </c>
      <c r="E23" s="26" t="s">
        <v>18</v>
      </c>
      <c r="F23" s="15">
        <v>1100.0</v>
      </c>
      <c r="G23" s="16">
        <v>1104.1</v>
      </c>
      <c r="H23" s="27">
        <v>483.9</v>
      </c>
      <c r="I23" s="16">
        <f t="shared" si="1"/>
        <v>4.1</v>
      </c>
      <c r="J23" s="18">
        <f t="shared" si="2"/>
        <v>0.3727272727</v>
      </c>
      <c r="K23" s="17">
        <v>3.52</v>
      </c>
      <c r="L23" s="19">
        <f t="shared" si="3"/>
        <v>43.99090909</v>
      </c>
      <c r="M23" s="20">
        <f t="shared" si="4"/>
        <v>198.0357543</v>
      </c>
      <c r="N23" s="21">
        <f t="shared" si="5"/>
        <v>2.182676364</v>
      </c>
      <c r="O23" s="21">
        <f t="shared" si="6"/>
        <v>2400.944</v>
      </c>
      <c r="P23" s="22">
        <f t="shared" si="7"/>
        <v>217839.3298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>
      <c r="A24" s="30"/>
      <c r="B24" s="11">
        <v>46084.0</v>
      </c>
      <c r="C24" s="12">
        <f>VLOOKUP(B:B,'Курс валют'!A:D,4,0)</f>
        <v>90.7307</v>
      </c>
      <c r="D24" s="13" t="s">
        <v>950</v>
      </c>
      <c r="E24" s="26" t="s">
        <v>18</v>
      </c>
      <c r="F24" s="15">
        <v>1100.0</v>
      </c>
      <c r="G24" s="16">
        <v>1104.1</v>
      </c>
      <c r="H24" s="27">
        <v>483.9</v>
      </c>
      <c r="I24" s="16">
        <f t="shared" si="1"/>
        <v>4.1</v>
      </c>
      <c r="J24" s="18">
        <f t="shared" si="2"/>
        <v>0.3727272727</v>
      </c>
      <c r="K24" s="17">
        <v>3.52</v>
      </c>
      <c r="L24" s="19">
        <f t="shared" si="3"/>
        <v>43.99090909</v>
      </c>
      <c r="M24" s="20">
        <f t="shared" si="4"/>
        <v>198.0357543</v>
      </c>
      <c r="N24" s="21">
        <f t="shared" si="5"/>
        <v>2.182676364</v>
      </c>
      <c r="O24" s="21">
        <f t="shared" si="6"/>
        <v>2400.944</v>
      </c>
      <c r="P24" s="22">
        <f t="shared" si="7"/>
        <v>217839.3298</v>
      </c>
      <c r="R24" s="23"/>
      <c r="S24" s="24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46084.0</v>
      </c>
      <c r="C25" s="12">
        <f>VLOOKUP(B:B,'Курс валют'!A:D,4,0)</f>
        <v>90.7307</v>
      </c>
      <c r="D25" s="13" t="s">
        <v>951</v>
      </c>
      <c r="E25" s="26" t="s">
        <v>18</v>
      </c>
      <c r="F25" s="15">
        <v>1100.0</v>
      </c>
      <c r="G25" s="16">
        <v>1104.1</v>
      </c>
      <c r="H25" s="27">
        <v>483.9</v>
      </c>
      <c r="I25" s="15">
        <v>2.5</v>
      </c>
      <c r="J25" s="18">
        <f t="shared" si="2"/>
        <v>0.2272727273</v>
      </c>
      <c r="K25" s="17">
        <v>3.52</v>
      </c>
      <c r="L25" s="19">
        <f t="shared" si="3"/>
        <v>43.99090909</v>
      </c>
      <c r="M25" s="20">
        <f t="shared" si="4"/>
        <v>198.0357543</v>
      </c>
      <c r="N25" s="21">
        <f t="shared" si="5"/>
        <v>2.182676364</v>
      </c>
      <c r="O25" s="21">
        <f t="shared" si="6"/>
        <v>2400.944</v>
      </c>
      <c r="P25" s="22">
        <f t="shared" si="7"/>
        <v>217839.3298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46084.0</v>
      </c>
      <c r="C26" s="12">
        <f>VLOOKUP(B:B,'Курс валют'!A:D,4,0)</f>
        <v>90.7307</v>
      </c>
      <c r="D26" s="13" t="s">
        <v>952</v>
      </c>
      <c r="E26" s="26" t="s">
        <v>18</v>
      </c>
      <c r="F26" s="15">
        <v>1100.0</v>
      </c>
      <c r="G26" s="16">
        <v>1104.1</v>
      </c>
      <c r="H26" s="17">
        <v>483.9</v>
      </c>
      <c r="I26" s="16">
        <f t="shared" ref="I26:I340" si="8">G26-F26</f>
        <v>4.1</v>
      </c>
      <c r="J26" s="18">
        <f t="shared" si="2"/>
        <v>0.3727272727</v>
      </c>
      <c r="K26" s="17">
        <v>3.52</v>
      </c>
      <c r="L26" s="19">
        <f t="shared" si="3"/>
        <v>43.99090909</v>
      </c>
      <c r="M26" s="20">
        <f t="shared" si="4"/>
        <v>198.0357543</v>
      </c>
      <c r="N26" s="21">
        <f t="shared" si="5"/>
        <v>2.182676364</v>
      </c>
      <c r="O26" s="21">
        <f t="shared" si="6"/>
        <v>2400.944</v>
      </c>
      <c r="P26" s="22">
        <f t="shared" si="7"/>
        <v>217839.3298</v>
      </c>
      <c r="R26" s="23"/>
      <c r="S26" s="24"/>
      <c r="T26" s="25"/>
      <c r="U26" s="25"/>
      <c r="V26" s="25"/>
      <c r="W26" s="25"/>
      <c r="X26" s="25"/>
      <c r="Y26" s="25"/>
      <c r="Z26" s="25"/>
      <c r="AA26" s="25"/>
    </row>
    <row r="27">
      <c r="A27" s="30"/>
      <c r="B27" s="11">
        <v>46084.0</v>
      </c>
      <c r="C27" s="12">
        <f>VLOOKUP(B:B,'Курс валют'!A:D,4,0)</f>
        <v>90.7307</v>
      </c>
      <c r="D27" s="13" t="s">
        <v>953</v>
      </c>
      <c r="E27" s="26" t="s">
        <v>18</v>
      </c>
      <c r="F27" s="15">
        <v>1100.0</v>
      </c>
      <c r="G27" s="16">
        <v>1104.1</v>
      </c>
      <c r="H27" s="17">
        <v>483.9</v>
      </c>
      <c r="I27" s="16">
        <f t="shared" si="8"/>
        <v>4.1</v>
      </c>
      <c r="J27" s="18">
        <f t="shared" si="2"/>
        <v>0.3727272727</v>
      </c>
      <c r="K27" s="17">
        <v>3.52</v>
      </c>
      <c r="L27" s="19">
        <f t="shared" si="3"/>
        <v>43.99090909</v>
      </c>
      <c r="M27" s="20">
        <f t="shared" si="4"/>
        <v>198.0357543</v>
      </c>
      <c r="N27" s="21">
        <f t="shared" si="5"/>
        <v>2.182676364</v>
      </c>
      <c r="O27" s="21">
        <f t="shared" si="6"/>
        <v>2400.944</v>
      </c>
      <c r="P27" s="22">
        <f t="shared" si="7"/>
        <v>217839.3298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 ht="15.0" customHeight="1">
      <c r="A28" s="30"/>
      <c r="B28" s="11">
        <v>46084.0</v>
      </c>
      <c r="C28" s="12">
        <f>VLOOKUP(B:B,'Курс валют'!A:D,4,0)</f>
        <v>90.7307</v>
      </c>
      <c r="D28" s="13" t="s">
        <v>954</v>
      </c>
      <c r="E28" s="26" t="s">
        <v>18</v>
      </c>
      <c r="F28" s="15">
        <v>1100.0</v>
      </c>
      <c r="G28" s="16">
        <v>1104.1</v>
      </c>
      <c r="H28" s="17">
        <v>483.9</v>
      </c>
      <c r="I28" s="16">
        <f t="shared" si="8"/>
        <v>4.1</v>
      </c>
      <c r="J28" s="18">
        <f t="shared" si="2"/>
        <v>0.3727272727</v>
      </c>
      <c r="K28" s="17">
        <v>3.52</v>
      </c>
      <c r="L28" s="19">
        <f t="shared" si="3"/>
        <v>43.99090909</v>
      </c>
      <c r="M28" s="20">
        <f t="shared" si="4"/>
        <v>198.0357543</v>
      </c>
      <c r="N28" s="21">
        <f t="shared" si="5"/>
        <v>2.182676364</v>
      </c>
      <c r="O28" s="21">
        <f t="shared" si="6"/>
        <v>2400.944</v>
      </c>
      <c r="P28" s="22">
        <f t="shared" si="7"/>
        <v>217839.3298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46084.0</v>
      </c>
      <c r="C29" s="12">
        <f>VLOOKUP(B:B,'Курс валют'!A:D,4,0)</f>
        <v>90.7307</v>
      </c>
      <c r="D29" s="13" t="s">
        <v>955</v>
      </c>
      <c r="E29" s="26" t="s">
        <v>18</v>
      </c>
      <c r="F29" s="15">
        <v>1100.0</v>
      </c>
      <c r="G29" s="16">
        <v>1104.1</v>
      </c>
      <c r="H29" s="17">
        <v>483.9</v>
      </c>
      <c r="I29" s="16">
        <f t="shared" si="8"/>
        <v>4.1</v>
      </c>
      <c r="J29" s="18">
        <f t="shared" si="2"/>
        <v>0.3727272727</v>
      </c>
      <c r="K29" s="17">
        <v>3.52</v>
      </c>
      <c r="L29" s="19">
        <f t="shared" si="3"/>
        <v>43.99090909</v>
      </c>
      <c r="M29" s="20">
        <f t="shared" si="4"/>
        <v>198.0357543</v>
      </c>
      <c r="N29" s="21">
        <f t="shared" si="5"/>
        <v>2.182676364</v>
      </c>
      <c r="O29" s="21">
        <f t="shared" si="6"/>
        <v>2400.944</v>
      </c>
      <c r="P29" s="22">
        <f t="shared" si="7"/>
        <v>217839.3298</v>
      </c>
      <c r="R29" s="23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46084.0</v>
      </c>
      <c r="C30" s="12">
        <f>VLOOKUP(B:B,'Курс валют'!A:D,4,0)</f>
        <v>90.7307</v>
      </c>
      <c r="D30" s="13" t="s">
        <v>956</v>
      </c>
      <c r="E30" s="26" t="s">
        <v>18</v>
      </c>
      <c r="F30" s="15">
        <v>1100.0</v>
      </c>
      <c r="G30" s="16">
        <v>1104.1</v>
      </c>
      <c r="H30" s="17">
        <v>483.9</v>
      </c>
      <c r="I30" s="16">
        <f t="shared" si="8"/>
        <v>4.1</v>
      </c>
      <c r="J30" s="18">
        <f t="shared" si="2"/>
        <v>0.3727272727</v>
      </c>
      <c r="K30" s="17">
        <v>3.52</v>
      </c>
      <c r="L30" s="19">
        <f t="shared" si="3"/>
        <v>43.99090909</v>
      </c>
      <c r="M30" s="20">
        <f t="shared" si="4"/>
        <v>198.0357543</v>
      </c>
      <c r="N30" s="21">
        <f t="shared" si="5"/>
        <v>2.182676364</v>
      </c>
      <c r="O30" s="21">
        <f t="shared" si="6"/>
        <v>2400.944</v>
      </c>
      <c r="P30" s="22">
        <f t="shared" si="7"/>
        <v>217839.3298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46084.0</v>
      </c>
      <c r="C31" s="12">
        <f>VLOOKUP(B:B,'Курс валют'!A:D,4,0)</f>
        <v>90.7307</v>
      </c>
      <c r="D31" s="13" t="s">
        <v>957</v>
      </c>
      <c r="E31" s="26" t="s">
        <v>18</v>
      </c>
      <c r="F31" s="15">
        <v>880.0</v>
      </c>
      <c r="G31" s="16">
        <v>883.28</v>
      </c>
      <c r="H31" s="58">
        <v>387.12</v>
      </c>
      <c r="I31" s="16">
        <f t="shared" si="8"/>
        <v>3.28</v>
      </c>
      <c r="J31" s="18">
        <f t="shared" si="2"/>
        <v>0.3727272727</v>
      </c>
      <c r="K31" s="58">
        <v>3.54</v>
      </c>
      <c r="L31" s="19">
        <f t="shared" si="3"/>
        <v>43.99090909</v>
      </c>
      <c r="M31" s="20">
        <f t="shared" si="4"/>
        <v>199.8503683</v>
      </c>
      <c r="N31" s="21">
        <f t="shared" si="5"/>
        <v>2.202676364</v>
      </c>
      <c r="O31" s="21">
        <f t="shared" si="6"/>
        <v>1938.3552</v>
      </c>
      <c r="P31" s="22">
        <f t="shared" si="7"/>
        <v>175868.3241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46084.0</v>
      </c>
      <c r="C32" s="12">
        <f>VLOOKUP(B:B,'Курс валют'!A:D,4,0)</f>
        <v>90.7307</v>
      </c>
      <c r="D32" s="13" t="s">
        <v>957</v>
      </c>
      <c r="E32" s="59" t="s">
        <v>207</v>
      </c>
      <c r="F32" s="15">
        <v>220.0</v>
      </c>
      <c r="G32" s="15">
        <v>220.82</v>
      </c>
      <c r="H32" s="17">
        <v>96.78</v>
      </c>
      <c r="I32" s="15">
        <f t="shared" si="8"/>
        <v>0.82</v>
      </c>
      <c r="J32" s="18">
        <f t="shared" si="2"/>
        <v>0.3727272727</v>
      </c>
      <c r="K32" s="58">
        <v>3.54</v>
      </c>
      <c r="L32" s="19">
        <f t="shared" si="3"/>
        <v>43.99090909</v>
      </c>
      <c r="M32" s="20">
        <f t="shared" si="4"/>
        <v>199.8503683</v>
      </c>
      <c r="N32" s="21">
        <f t="shared" si="5"/>
        <v>2.202676364</v>
      </c>
      <c r="O32" s="21">
        <f t="shared" si="6"/>
        <v>484.5888</v>
      </c>
      <c r="P32" s="22">
        <f t="shared" si="7"/>
        <v>43967.08104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46085.0</v>
      </c>
      <c r="C33" s="12">
        <f>VLOOKUP(B:B,'Курс валют'!A:D,4,0)</f>
        <v>90.3098</v>
      </c>
      <c r="D33" s="13" t="s">
        <v>958</v>
      </c>
      <c r="E33" s="59" t="s">
        <v>18</v>
      </c>
      <c r="F33" s="15">
        <v>1100.0</v>
      </c>
      <c r="G33" s="76">
        <v>1104.7</v>
      </c>
      <c r="H33" s="17">
        <v>483.9</v>
      </c>
      <c r="I33" s="15">
        <f t="shared" si="8"/>
        <v>4.7</v>
      </c>
      <c r="J33" s="18">
        <f t="shared" si="2"/>
        <v>0.4272727273</v>
      </c>
      <c r="K33" s="58">
        <v>3.54</v>
      </c>
      <c r="L33" s="19">
        <f t="shared" si="3"/>
        <v>43.99090909</v>
      </c>
      <c r="M33" s="20">
        <f t="shared" si="4"/>
        <v>198.9232619</v>
      </c>
      <c r="N33" s="21">
        <f t="shared" si="5"/>
        <v>2.202676364</v>
      </c>
      <c r="O33" s="21">
        <f t="shared" si="6"/>
        <v>2422.944</v>
      </c>
      <c r="P33" s="22">
        <f t="shared" si="7"/>
        <v>218815.5881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46085.0</v>
      </c>
      <c r="C34" s="12">
        <f>VLOOKUP(B:B,'Курс валют'!A:D,4,0)</f>
        <v>90.3098</v>
      </c>
      <c r="D34" s="13" t="s">
        <v>959</v>
      </c>
      <c r="E34" s="59" t="s">
        <v>18</v>
      </c>
      <c r="F34" s="15">
        <v>1100.0</v>
      </c>
      <c r="G34" s="16">
        <v>1104.7</v>
      </c>
      <c r="H34" s="17">
        <v>483.9</v>
      </c>
      <c r="I34" s="16">
        <f t="shared" si="8"/>
        <v>4.7</v>
      </c>
      <c r="J34" s="18">
        <f t="shared" si="2"/>
        <v>0.4272727273</v>
      </c>
      <c r="K34" s="58">
        <v>3.74</v>
      </c>
      <c r="L34" s="19">
        <f t="shared" si="3"/>
        <v>43.99090909</v>
      </c>
      <c r="M34" s="20">
        <f t="shared" si="4"/>
        <v>216.9852219</v>
      </c>
      <c r="N34" s="21">
        <f t="shared" si="5"/>
        <v>2.402676364</v>
      </c>
      <c r="O34" s="21">
        <f t="shared" si="6"/>
        <v>2642.944</v>
      </c>
      <c r="P34" s="22">
        <f t="shared" si="7"/>
        <v>238683.7441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46085.0</v>
      </c>
      <c r="C35" s="12">
        <f>VLOOKUP(B:B,'Курс валют'!A:D,4,0)</f>
        <v>90.3098</v>
      </c>
      <c r="D35" s="13" t="s">
        <v>960</v>
      </c>
      <c r="E35" s="59" t="s">
        <v>18</v>
      </c>
      <c r="F35" s="15">
        <v>1100.0</v>
      </c>
      <c r="G35" s="16">
        <v>1104.7</v>
      </c>
      <c r="H35" s="17">
        <v>483.9</v>
      </c>
      <c r="I35" s="16">
        <f t="shared" si="8"/>
        <v>4.7</v>
      </c>
      <c r="J35" s="18">
        <f t="shared" si="2"/>
        <v>0.4272727273</v>
      </c>
      <c r="K35" s="58">
        <v>3.74</v>
      </c>
      <c r="L35" s="19">
        <f t="shared" si="3"/>
        <v>43.99090909</v>
      </c>
      <c r="M35" s="20">
        <f t="shared" si="4"/>
        <v>216.9852219</v>
      </c>
      <c r="N35" s="21">
        <f t="shared" si="5"/>
        <v>2.402676364</v>
      </c>
      <c r="O35" s="21">
        <f t="shared" si="6"/>
        <v>2642.944</v>
      </c>
      <c r="P35" s="22">
        <f t="shared" si="7"/>
        <v>238683.7441</v>
      </c>
      <c r="R35" s="23"/>
      <c r="S35" s="57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46085.0</v>
      </c>
      <c r="C36" s="12">
        <f>VLOOKUP(B:B,'Курс валют'!A:D,4,0)</f>
        <v>90.3098</v>
      </c>
      <c r="D36" s="13" t="s">
        <v>961</v>
      </c>
      <c r="E36" s="59" t="s">
        <v>18</v>
      </c>
      <c r="F36" s="15">
        <v>1100.0</v>
      </c>
      <c r="G36" s="16">
        <v>1104.7</v>
      </c>
      <c r="H36" s="17">
        <v>483.9</v>
      </c>
      <c r="I36" s="16">
        <f t="shared" si="8"/>
        <v>4.7</v>
      </c>
      <c r="J36" s="18">
        <f t="shared" si="2"/>
        <v>0.4272727273</v>
      </c>
      <c r="K36" s="58">
        <v>3.7</v>
      </c>
      <c r="L36" s="19">
        <f t="shared" si="3"/>
        <v>43.99090909</v>
      </c>
      <c r="M36" s="20">
        <f t="shared" si="4"/>
        <v>213.3728299</v>
      </c>
      <c r="N36" s="21">
        <f t="shared" si="5"/>
        <v>2.362676364</v>
      </c>
      <c r="O36" s="21">
        <f t="shared" si="6"/>
        <v>2598.944</v>
      </c>
      <c r="P36" s="22">
        <f t="shared" si="7"/>
        <v>234710.1129</v>
      </c>
      <c r="R36" s="23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46085.0</v>
      </c>
      <c r="C37" s="12">
        <f>VLOOKUP(B:B,'Курс валют'!A:D,4,0)</f>
        <v>90.3098</v>
      </c>
      <c r="D37" s="13" t="s">
        <v>962</v>
      </c>
      <c r="E37" s="59" t="s">
        <v>18</v>
      </c>
      <c r="F37" s="15">
        <v>1100.0</v>
      </c>
      <c r="G37" s="60">
        <v>1104.3</v>
      </c>
      <c r="H37" s="17">
        <v>484.0</v>
      </c>
      <c r="I37" s="16">
        <f t="shared" si="8"/>
        <v>4.3</v>
      </c>
      <c r="J37" s="18">
        <f t="shared" si="2"/>
        <v>0.3909090909</v>
      </c>
      <c r="K37" s="58">
        <v>3.52</v>
      </c>
      <c r="L37" s="19">
        <f t="shared" si="3"/>
        <v>44</v>
      </c>
      <c r="M37" s="20">
        <f t="shared" si="4"/>
        <v>197.0921075</v>
      </c>
      <c r="N37" s="21">
        <f t="shared" si="5"/>
        <v>2.1824</v>
      </c>
      <c r="O37" s="21">
        <f t="shared" si="6"/>
        <v>2400.64</v>
      </c>
      <c r="P37" s="22">
        <f t="shared" si="7"/>
        <v>216801.3183</v>
      </c>
      <c r="R37" s="23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46085.0</v>
      </c>
      <c r="C38" s="12">
        <f>VLOOKUP(B:B,'Курс валют'!A:D,4,0)</f>
        <v>90.3098</v>
      </c>
      <c r="D38" s="13" t="s">
        <v>963</v>
      </c>
      <c r="E38" s="59" t="s">
        <v>18</v>
      </c>
      <c r="F38" s="15">
        <v>1100.0</v>
      </c>
      <c r="G38" s="16">
        <v>1104.3</v>
      </c>
      <c r="H38" s="17">
        <v>484.0</v>
      </c>
      <c r="I38" s="16">
        <f t="shared" si="8"/>
        <v>4.3</v>
      </c>
      <c r="J38" s="18">
        <f t="shared" si="2"/>
        <v>0.3909090909</v>
      </c>
      <c r="K38" s="58">
        <v>3.52</v>
      </c>
      <c r="L38" s="19">
        <f t="shared" si="3"/>
        <v>44</v>
      </c>
      <c r="M38" s="20">
        <f t="shared" si="4"/>
        <v>197.0921075</v>
      </c>
      <c r="N38" s="21">
        <f t="shared" si="5"/>
        <v>2.1824</v>
      </c>
      <c r="O38" s="21">
        <f t="shared" si="6"/>
        <v>2400.64</v>
      </c>
      <c r="P38" s="22">
        <f t="shared" si="7"/>
        <v>216801.3183</v>
      </c>
      <c r="R38" s="23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46085.0</v>
      </c>
      <c r="C39" s="12">
        <f>VLOOKUP(B:B,'Курс валют'!A:D,4,0)</f>
        <v>90.3098</v>
      </c>
      <c r="D39" s="13" t="s">
        <v>964</v>
      </c>
      <c r="E39" s="59" t="s">
        <v>18</v>
      </c>
      <c r="F39" s="15">
        <v>1100.0</v>
      </c>
      <c r="G39" s="60">
        <v>1104.3</v>
      </c>
      <c r="H39" s="17">
        <v>484.0</v>
      </c>
      <c r="I39" s="16">
        <f t="shared" si="8"/>
        <v>4.3</v>
      </c>
      <c r="J39" s="18">
        <f t="shared" si="2"/>
        <v>0.3909090909</v>
      </c>
      <c r="K39" s="58">
        <v>3.52</v>
      </c>
      <c r="L39" s="19">
        <f t="shared" si="3"/>
        <v>44</v>
      </c>
      <c r="M39" s="20">
        <f t="shared" si="4"/>
        <v>197.0921075</v>
      </c>
      <c r="N39" s="21">
        <f t="shared" si="5"/>
        <v>2.1824</v>
      </c>
      <c r="O39" s="21">
        <f t="shared" si="6"/>
        <v>2400.64</v>
      </c>
      <c r="P39" s="22">
        <f t="shared" si="7"/>
        <v>216801.3183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11">
        <v>46085.0</v>
      </c>
      <c r="C40" s="12">
        <f>VLOOKUP(B:B,'Курс валют'!A:D,4,0)</f>
        <v>90.3098</v>
      </c>
      <c r="D40" s="13" t="s">
        <v>965</v>
      </c>
      <c r="E40" s="59" t="s">
        <v>18</v>
      </c>
      <c r="F40" s="15">
        <v>1100.0</v>
      </c>
      <c r="G40" s="60">
        <v>1104.3</v>
      </c>
      <c r="H40" s="17">
        <v>484.0</v>
      </c>
      <c r="I40" s="16">
        <f t="shared" si="8"/>
        <v>4.3</v>
      </c>
      <c r="J40" s="18">
        <f t="shared" si="2"/>
        <v>0.3909090909</v>
      </c>
      <c r="K40" s="17">
        <v>3.52</v>
      </c>
      <c r="L40" s="19">
        <f t="shared" si="3"/>
        <v>44</v>
      </c>
      <c r="M40" s="20">
        <f t="shared" si="4"/>
        <v>197.0921075</v>
      </c>
      <c r="N40" s="21">
        <f t="shared" si="5"/>
        <v>2.1824</v>
      </c>
      <c r="O40" s="21">
        <f t="shared" si="6"/>
        <v>2400.64</v>
      </c>
      <c r="P40" s="22">
        <f t="shared" si="7"/>
        <v>216801.3183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30">
        <v>46085.0</v>
      </c>
      <c r="C41" s="12">
        <f>VLOOKUP(B:B,'Курс валют'!A:D,4,0)</f>
        <v>90.3098</v>
      </c>
      <c r="D41" s="13" t="s">
        <v>966</v>
      </c>
      <c r="E41" s="59" t="s">
        <v>18</v>
      </c>
      <c r="F41" s="15">
        <v>1100.0</v>
      </c>
      <c r="G41" s="60">
        <v>1104.3</v>
      </c>
      <c r="H41" s="58">
        <v>484.0</v>
      </c>
      <c r="I41" s="16">
        <f t="shared" si="8"/>
        <v>4.3</v>
      </c>
      <c r="J41" s="18">
        <f t="shared" si="2"/>
        <v>0.3909090909</v>
      </c>
      <c r="K41" s="17">
        <v>3.52</v>
      </c>
      <c r="L41" s="19">
        <f t="shared" si="3"/>
        <v>44</v>
      </c>
      <c r="M41" s="20">
        <f t="shared" si="4"/>
        <v>197.0921075</v>
      </c>
      <c r="N41" s="21">
        <f t="shared" si="5"/>
        <v>2.1824</v>
      </c>
      <c r="O41" s="21">
        <f t="shared" si="6"/>
        <v>2400.64</v>
      </c>
      <c r="P41" s="22">
        <f t="shared" si="7"/>
        <v>216801.3183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46085.0</v>
      </c>
      <c r="C42" s="12">
        <f>VLOOKUP(B:B,'Курс валют'!A:D,4,0)</f>
        <v>90.3098</v>
      </c>
      <c r="D42" s="13" t="s">
        <v>967</v>
      </c>
      <c r="E42" s="59" t="s">
        <v>18</v>
      </c>
      <c r="F42" s="15">
        <v>1100.0</v>
      </c>
      <c r="G42" s="60">
        <v>1104.3</v>
      </c>
      <c r="H42" s="58">
        <v>484.0</v>
      </c>
      <c r="I42" s="16">
        <f t="shared" si="8"/>
        <v>4.3</v>
      </c>
      <c r="J42" s="18">
        <f t="shared" si="2"/>
        <v>0.3909090909</v>
      </c>
      <c r="K42" s="17">
        <v>3.52</v>
      </c>
      <c r="L42" s="19">
        <f t="shared" si="3"/>
        <v>44</v>
      </c>
      <c r="M42" s="20">
        <f t="shared" si="4"/>
        <v>197.0921075</v>
      </c>
      <c r="N42" s="21">
        <f t="shared" si="5"/>
        <v>2.1824</v>
      </c>
      <c r="O42" s="21">
        <f t="shared" si="6"/>
        <v>2400.64</v>
      </c>
      <c r="P42" s="22">
        <f t="shared" si="7"/>
        <v>216801.3183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11">
        <v>46086.0</v>
      </c>
      <c r="C43" s="12">
        <f>VLOOKUP(B:B,'Курс валют'!A:D,4,0)</f>
        <v>90.7458</v>
      </c>
      <c r="D43" s="13" t="s">
        <v>968</v>
      </c>
      <c r="E43" s="59" t="s">
        <v>18</v>
      </c>
      <c r="F43" s="15">
        <v>1100.0</v>
      </c>
      <c r="G43" s="61">
        <v>1104.8</v>
      </c>
      <c r="H43" s="58">
        <v>484.5</v>
      </c>
      <c r="I43" s="16">
        <f t="shared" si="8"/>
        <v>4.8</v>
      </c>
      <c r="J43" s="18">
        <f t="shared" si="2"/>
        <v>0.4363636364</v>
      </c>
      <c r="K43" s="17">
        <v>3.53</v>
      </c>
      <c r="L43" s="19">
        <f t="shared" si="3"/>
        <v>44.04545455</v>
      </c>
      <c r="M43" s="20">
        <f t="shared" si="4"/>
        <v>198.8256977</v>
      </c>
      <c r="N43" s="21">
        <f t="shared" si="5"/>
        <v>2.191018182</v>
      </c>
      <c r="O43" s="21">
        <f t="shared" si="6"/>
        <v>2410.12</v>
      </c>
      <c r="P43" s="22">
        <f t="shared" si="7"/>
        <v>218708.2675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46086.0</v>
      </c>
      <c r="C44" s="12">
        <f>VLOOKUP(B:B,'Курс валют'!A:D,4,0)</f>
        <v>90.7458</v>
      </c>
      <c r="D44" s="13" t="s">
        <v>969</v>
      </c>
      <c r="E44" s="59" t="s">
        <v>18</v>
      </c>
      <c r="F44" s="15">
        <v>1100.0</v>
      </c>
      <c r="G44" s="61">
        <v>1104.8</v>
      </c>
      <c r="H44" s="58">
        <v>484.5</v>
      </c>
      <c r="I44" s="16">
        <f t="shared" si="8"/>
        <v>4.8</v>
      </c>
      <c r="J44" s="18">
        <f t="shared" si="2"/>
        <v>0.4363636364</v>
      </c>
      <c r="K44" s="17">
        <v>3.53</v>
      </c>
      <c r="L44" s="19">
        <f t="shared" si="3"/>
        <v>44.04545455</v>
      </c>
      <c r="M44" s="20">
        <f t="shared" si="4"/>
        <v>198.8256977</v>
      </c>
      <c r="N44" s="21">
        <f t="shared" si="5"/>
        <v>2.191018182</v>
      </c>
      <c r="O44" s="21">
        <f t="shared" si="6"/>
        <v>2410.12</v>
      </c>
      <c r="P44" s="22">
        <f t="shared" si="7"/>
        <v>218708.2675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46086.0</v>
      </c>
      <c r="C45" s="12">
        <f>VLOOKUP(B:B,'Курс валют'!A:D,4,0)</f>
        <v>90.7458</v>
      </c>
      <c r="D45" s="13" t="s">
        <v>970</v>
      </c>
      <c r="E45" s="59" t="s">
        <v>18</v>
      </c>
      <c r="F45" s="15">
        <v>1100.0</v>
      </c>
      <c r="G45" s="61">
        <v>1104.3</v>
      </c>
      <c r="H45" s="58">
        <v>484.5</v>
      </c>
      <c r="I45" s="16">
        <f t="shared" si="8"/>
        <v>4.3</v>
      </c>
      <c r="J45" s="18">
        <f t="shared" si="2"/>
        <v>0.3909090909</v>
      </c>
      <c r="K45" s="17">
        <v>3.52</v>
      </c>
      <c r="L45" s="19">
        <f t="shared" si="3"/>
        <v>44.04545455</v>
      </c>
      <c r="M45" s="20">
        <f t="shared" si="4"/>
        <v>197.9182397</v>
      </c>
      <c r="N45" s="21">
        <f t="shared" si="5"/>
        <v>2.181018182</v>
      </c>
      <c r="O45" s="21">
        <f t="shared" si="6"/>
        <v>2399.12</v>
      </c>
      <c r="P45" s="22">
        <f t="shared" si="7"/>
        <v>217710.0637</v>
      </c>
      <c r="R45" s="23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46086.0</v>
      </c>
      <c r="C46" s="12">
        <f>VLOOKUP(B:B,'Курс валют'!A:D,4,0)</f>
        <v>90.7458</v>
      </c>
      <c r="D46" s="13" t="s">
        <v>971</v>
      </c>
      <c r="E46" s="59" t="s">
        <v>18</v>
      </c>
      <c r="F46" s="15">
        <v>1100.0</v>
      </c>
      <c r="G46" s="61">
        <v>1104.3</v>
      </c>
      <c r="H46" s="58">
        <v>484.5</v>
      </c>
      <c r="I46" s="16">
        <f t="shared" si="8"/>
        <v>4.3</v>
      </c>
      <c r="J46" s="18">
        <f t="shared" si="2"/>
        <v>0.3909090909</v>
      </c>
      <c r="K46" s="17">
        <v>3.53</v>
      </c>
      <c r="L46" s="19">
        <f t="shared" si="3"/>
        <v>44.04545455</v>
      </c>
      <c r="M46" s="20">
        <f t="shared" si="4"/>
        <v>198.8256977</v>
      </c>
      <c r="N46" s="21">
        <f t="shared" si="5"/>
        <v>2.191018182</v>
      </c>
      <c r="O46" s="21">
        <f t="shared" si="6"/>
        <v>2410.12</v>
      </c>
      <c r="P46" s="22">
        <f t="shared" si="7"/>
        <v>218708.2675</v>
      </c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46086.0</v>
      </c>
      <c r="C47" s="12">
        <f>VLOOKUP(B:B,'Курс валют'!A:D,4,0)</f>
        <v>90.7458</v>
      </c>
      <c r="D47" s="13" t="s">
        <v>972</v>
      </c>
      <c r="E47" s="59" t="s">
        <v>18</v>
      </c>
      <c r="F47" s="15">
        <v>1100.0</v>
      </c>
      <c r="G47" s="61">
        <v>1104.3</v>
      </c>
      <c r="H47" s="58">
        <v>484.5</v>
      </c>
      <c r="I47" s="16">
        <f t="shared" si="8"/>
        <v>4.3</v>
      </c>
      <c r="J47" s="18">
        <f t="shared" si="2"/>
        <v>0.3909090909</v>
      </c>
      <c r="K47" s="17">
        <v>3.52</v>
      </c>
      <c r="L47" s="19">
        <f t="shared" si="3"/>
        <v>44.04545455</v>
      </c>
      <c r="M47" s="20">
        <f t="shared" si="4"/>
        <v>197.9182397</v>
      </c>
      <c r="N47" s="21">
        <f t="shared" si="5"/>
        <v>2.181018182</v>
      </c>
      <c r="O47" s="21">
        <f t="shared" si="6"/>
        <v>2399.12</v>
      </c>
      <c r="P47" s="22">
        <f t="shared" si="7"/>
        <v>217710.0637</v>
      </c>
      <c r="R47" s="23"/>
      <c r="S47" s="24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46086.0</v>
      </c>
      <c r="C48" s="12">
        <f>VLOOKUP(B:B,'Курс валют'!A:D,4,0)</f>
        <v>90.7458</v>
      </c>
      <c r="D48" s="13" t="s">
        <v>973</v>
      </c>
      <c r="E48" s="59" t="s">
        <v>18</v>
      </c>
      <c r="F48" s="15">
        <v>1100.0</v>
      </c>
      <c r="G48" s="61">
        <v>1104.3</v>
      </c>
      <c r="H48" s="58">
        <v>484.5</v>
      </c>
      <c r="I48" s="16">
        <f t="shared" si="8"/>
        <v>4.3</v>
      </c>
      <c r="J48" s="18">
        <f t="shared" si="2"/>
        <v>0.3909090909</v>
      </c>
      <c r="K48" s="17">
        <v>3.53</v>
      </c>
      <c r="L48" s="19">
        <f t="shared" si="3"/>
        <v>44.04545455</v>
      </c>
      <c r="M48" s="20">
        <f t="shared" si="4"/>
        <v>198.8256977</v>
      </c>
      <c r="N48" s="21">
        <f t="shared" si="5"/>
        <v>2.191018182</v>
      </c>
      <c r="O48" s="21">
        <f t="shared" si="6"/>
        <v>2410.12</v>
      </c>
      <c r="P48" s="22">
        <f t="shared" si="7"/>
        <v>218708.2675</v>
      </c>
      <c r="R48" s="23"/>
      <c r="S48" s="24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46086.0</v>
      </c>
      <c r="C49" s="12">
        <f>VLOOKUP(B:B,'Курс валют'!A:D,4,0)</f>
        <v>90.7458</v>
      </c>
      <c r="D49" s="13" t="s">
        <v>974</v>
      </c>
      <c r="E49" s="59" t="s">
        <v>207</v>
      </c>
      <c r="F49" s="15">
        <v>440.0</v>
      </c>
      <c r="G49" s="61">
        <v>440.0</v>
      </c>
      <c r="H49" s="58"/>
      <c r="I49" s="16">
        <f t="shared" si="8"/>
        <v>0</v>
      </c>
      <c r="J49" s="18">
        <f t="shared" si="2"/>
        <v>0</v>
      </c>
      <c r="K49" s="17"/>
      <c r="L49" s="19">
        <f t="shared" si="3"/>
        <v>0</v>
      </c>
      <c r="M49" s="20">
        <f t="shared" si="4"/>
        <v>0</v>
      </c>
      <c r="N49" s="21">
        <f t="shared" si="5"/>
        <v>0</v>
      </c>
      <c r="O49" s="21">
        <f t="shared" si="6"/>
        <v>0</v>
      </c>
      <c r="P49" s="22">
        <f t="shared" si="7"/>
        <v>0</v>
      </c>
      <c r="R49" s="23" t="s">
        <v>975</v>
      </c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46086.0</v>
      </c>
      <c r="C50" s="12">
        <f>VLOOKUP(B:B,'Курс валют'!A:D,4,0)</f>
        <v>90.7458</v>
      </c>
      <c r="D50" s="13" t="s">
        <v>976</v>
      </c>
      <c r="E50" s="59" t="s">
        <v>18</v>
      </c>
      <c r="F50" s="15">
        <v>1100.0</v>
      </c>
      <c r="G50" s="61">
        <v>1104.3</v>
      </c>
      <c r="H50" s="58">
        <v>484.5</v>
      </c>
      <c r="I50" s="16">
        <f t="shared" si="8"/>
        <v>4.3</v>
      </c>
      <c r="J50" s="18">
        <f t="shared" si="2"/>
        <v>0.3909090909</v>
      </c>
      <c r="K50" s="17">
        <v>3.52</v>
      </c>
      <c r="L50" s="19">
        <f t="shared" si="3"/>
        <v>44.04545455</v>
      </c>
      <c r="M50" s="20">
        <f t="shared" si="4"/>
        <v>197.9182397</v>
      </c>
      <c r="N50" s="21">
        <f t="shared" si="5"/>
        <v>2.181018182</v>
      </c>
      <c r="O50" s="21">
        <f t="shared" si="6"/>
        <v>2399.12</v>
      </c>
      <c r="P50" s="22">
        <f t="shared" si="7"/>
        <v>217710.0637</v>
      </c>
      <c r="R50" s="23"/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46086.0</v>
      </c>
      <c r="C51" s="12">
        <f>VLOOKUP(B:B,'Курс валют'!A:D,4,0)</f>
        <v>90.7458</v>
      </c>
      <c r="D51" s="13" t="s">
        <v>977</v>
      </c>
      <c r="E51" s="59" t="s">
        <v>18</v>
      </c>
      <c r="F51" s="15">
        <v>1100.0</v>
      </c>
      <c r="G51" s="61">
        <v>1104.3</v>
      </c>
      <c r="H51" s="58">
        <v>484.5</v>
      </c>
      <c r="I51" s="16">
        <f t="shared" si="8"/>
        <v>4.3</v>
      </c>
      <c r="J51" s="18">
        <f t="shared" si="2"/>
        <v>0.3909090909</v>
      </c>
      <c r="K51" s="17">
        <v>3.53</v>
      </c>
      <c r="L51" s="19">
        <f t="shared" si="3"/>
        <v>44.04545455</v>
      </c>
      <c r="M51" s="20">
        <f t="shared" si="4"/>
        <v>198.8256977</v>
      </c>
      <c r="N51" s="21">
        <f t="shared" si="5"/>
        <v>2.191018182</v>
      </c>
      <c r="O51" s="21">
        <f t="shared" si="6"/>
        <v>2410.12</v>
      </c>
      <c r="P51" s="22">
        <f t="shared" si="7"/>
        <v>218708.2675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46086.0</v>
      </c>
      <c r="C52" s="12">
        <f>VLOOKUP(B:B,'Курс валют'!A:D,4,0)</f>
        <v>90.7458</v>
      </c>
      <c r="D52" s="13" t="s">
        <v>978</v>
      </c>
      <c r="E52" s="59" t="s">
        <v>70</v>
      </c>
      <c r="F52" s="15">
        <v>200.0</v>
      </c>
      <c r="G52" s="61">
        <v>200.0</v>
      </c>
      <c r="H52" s="58">
        <v>0.0</v>
      </c>
      <c r="I52" s="16">
        <f t="shared" si="8"/>
        <v>0</v>
      </c>
      <c r="J52" s="18">
        <f t="shared" si="2"/>
        <v>0</v>
      </c>
      <c r="K52" s="17">
        <v>2.21</v>
      </c>
      <c r="L52" s="19">
        <f t="shared" si="3"/>
        <v>0</v>
      </c>
      <c r="M52" s="20">
        <f t="shared" si="4"/>
        <v>200.548218</v>
      </c>
      <c r="N52" s="21">
        <f t="shared" si="5"/>
        <v>2.21</v>
      </c>
      <c r="O52" s="21">
        <f t="shared" si="6"/>
        <v>442</v>
      </c>
      <c r="P52" s="22">
        <f t="shared" si="7"/>
        <v>40109.6436</v>
      </c>
      <c r="R52" s="23" t="s">
        <v>979</v>
      </c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46086.0</v>
      </c>
      <c r="C53" s="12">
        <f>VLOOKUP(B:B,'Курс валют'!A:D,4,0)</f>
        <v>90.7458</v>
      </c>
      <c r="D53" s="13" t="s">
        <v>980</v>
      </c>
      <c r="E53" s="59" t="s">
        <v>18</v>
      </c>
      <c r="F53" s="15">
        <v>1100.0</v>
      </c>
      <c r="G53" s="61">
        <v>1104.3</v>
      </c>
      <c r="H53" s="58">
        <v>484.5</v>
      </c>
      <c r="I53" s="16">
        <f t="shared" si="8"/>
        <v>4.3</v>
      </c>
      <c r="J53" s="18">
        <f t="shared" si="2"/>
        <v>0.3909090909</v>
      </c>
      <c r="K53" s="62">
        <v>3.52</v>
      </c>
      <c r="L53" s="19">
        <f t="shared" si="3"/>
        <v>44.04545455</v>
      </c>
      <c r="M53" s="20">
        <f t="shared" si="4"/>
        <v>197.9182397</v>
      </c>
      <c r="N53" s="21">
        <f t="shared" si="5"/>
        <v>2.181018182</v>
      </c>
      <c r="O53" s="21">
        <f t="shared" si="6"/>
        <v>2399.12</v>
      </c>
      <c r="P53" s="22">
        <f t="shared" si="7"/>
        <v>217710.0637</v>
      </c>
      <c r="R53" s="23"/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46086.0</v>
      </c>
      <c r="C54" s="12">
        <f>VLOOKUP(B:B,'Курс валют'!A:D,4,0)</f>
        <v>90.7458</v>
      </c>
      <c r="D54" s="13" t="s">
        <v>981</v>
      </c>
      <c r="E54" s="59" t="s">
        <v>18</v>
      </c>
      <c r="F54" s="15">
        <v>1100.0</v>
      </c>
      <c r="G54" s="61">
        <v>1104.3</v>
      </c>
      <c r="H54" s="17">
        <v>484.5</v>
      </c>
      <c r="I54" s="16">
        <f t="shared" si="8"/>
        <v>4.3</v>
      </c>
      <c r="J54" s="18">
        <f t="shared" si="2"/>
        <v>0.3909090909</v>
      </c>
      <c r="K54" s="62">
        <v>3.53</v>
      </c>
      <c r="L54" s="19">
        <f t="shared" si="3"/>
        <v>44.04545455</v>
      </c>
      <c r="M54" s="20">
        <f t="shared" si="4"/>
        <v>198.8256977</v>
      </c>
      <c r="N54" s="21">
        <f t="shared" si="5"/>
        <v>2.191018182</v>
      </c>
      <c r="O54" s="21">
        <f t="shared" si="6"/>
        <v>2410.12</v>
      </c>
      <c r="P54" s="22">
        <f t="shared" si="7"/>
        <v>218708.2675</v>
      </c>
      <c r="R54" s="23"/>
      <c r="S54" s="24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46087.0</v>
      </c>
      <c r="C55" s="12">
        <f>VLOOKUP(B:B,'Курс валют'!A:D,4,0)</f>
        <v>90.7926</v>
      </c>
      <c r="D55" s="13" t="s">
        <v>982</v>
      </c>
      <c r="E55" s="59" t="s">
        <v>70</v>
      </c>
      <c r="F55" s="15">
        <v>200.0</v>
      </c>
      <c r="G55" s="61">
        <v>200.0</v>
      </c>
      <c r="H55" s="17">
        <v>0.0</v>
      </c>
      <c r="I55" s="16">
        <f t="shared" si="8"/>
        <v>0</v>
      </c>
      <c r="J55" s="18">
        <f t="shared" si="2"/>
        <v>0</v>
      </c>
      <c r="K55" s="17">
        <v>2.21</v>
      </c>
      <c r="L55" s="19">
        <f t="shared" si="3"/>
        <v>0</v>
      </c>
      <c r="M55" s="20">
        <f t="shared" si="4"/>
        <v>200.651646</v>
      </c>
      <c r="N55" s="21">
        <f t="shared" si="5"/>
        <v>2.21</v>
      </c>
      <c r="O55" s="21">
        <f t="shared" si="6"/>
        <v>442</v>
      </c>
      <c r="P55" s="22">
        <f t="shared" si="7"/>
        <v>40130.3292</v>
      </c>
      <c r="R55" s="23" t="s">
        <v>983</v>
      </c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46087.0</v>
      </c>
      <c r="C56" s="12">
        <f>VLOOKUP(B:B,'Курс валют'!A:D,4,0)</f>
        <v>90.7926</v>
      </c>
      <c r="D56" s="13" t="s">
        <v>984</v>
      </c>
      <c r="E56" s="59" t="s">
        <v>55</v>
      </c>
      <c r="F56" s="15">
        <v>1000.0</v>
      </c>
      <c r="G56" s="61">
        <v>1012.46</v>
      </c>
      <c r="H56" s="17">
        <v>0.0</v>
      </c>
      <c r="I56" s="16">
        <f t="shared" si="8"/>
        <v>12.46</v>
      </c>
      <c r="J56" s="18">
        <f t="shared" si="2"/>
        <v>1.246</v>
      </c>
      <c r="K56" s="17">
        <v>2.72</v>
      </c>
      <c r="L56" s="19">
        <f t="shared" si="3"/>
        <v>0</v>
      </c>
      <c r="M56" s="20">
        <f t="shared" si="4"/>
        <v>246.955872</v>
      </c>
      <c r="N56" s="21">
        <f t="shared" si="5"/>
        <v>2.72</v>
      </c>
      <c r="O56" s="21">
        <f t="shared" si="6"/>
        <v>2720</v>
      </c>
      <c r="P56" s="22">
        <f t="shared" si="7"/>
        <v>246955.872</v>
      </c>
      <c r="R56" s="23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>
        <v>46087.0</v>
      </c>
      <c r="C57" s="12">
        <f>VLOOKUP(B:B,'Курс валют'!A:D,4,0)</f>
        <v>90.7926</v>
      </c>
      <c r="D57" s="13" t="s">
        <v>985</v>
      </c>
      <c r="E57" s="59" t="s">
        <v>55</v>
      </c>
      <c r="F57" s="15">
        <v>1000.0</v>
      </c>
      <c r="G57" s="61">
        <v>1012.46</v>
      </c>
      <c r="H57" s="27">
        <v>0.0</v>
      </c>
      <c r="I57" s="16">
        <f t="shared" si="8"/>
        <v>12.46</v>
      </c>
      <c r="J57" s="18">
        <f t="shared" si="2"/>
        <v>1.246</v>
      </c>
      <c r="K57" s="17">
        <v>2.78</v>
      </c>
      <c r="L57" s="19">
        <f t="shared" si="3"/>
        <v>0</v>
      </c>
      <c r="M57" s="20">
        <f t="shared" si="4"/>
        <v>252.403428</v>
      </c>
      <c r="N57" s="21">
        <f t="shared" si="5"/>
        <v>2.78</v>
      </c>
      <c r="O57" s="21">
        <f t="shared" si="6"/>
        <v>2780</v>
      </c>
      <c r="P57" s="22">
        <f t="shared" si="7"/>
        <v>252403.428</v>
      </c>
      <c r="R57" s="23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>
        <v>46087.0</v>
      </c>
      <c r="C58" s="12">
        <f>VLOOKUP(B:B,'Курс валют'!A:D,4,0)</f>
        <v>90.7926</v>
      </c>
      <c r="D58" s="13" t="s">
        <v>986</v>
      </c>
      <c r="E58" s="59" t="s">
        <v>104</v>
      </c>
      <c r="F58" s="15">
        <v>1000.0</v>
      </c>
      <c r="G58" s="61">
        <v>1009.0</v>
      </c>
      <c r="H58" s="27">
        <v>0.0</v>
      </c>
      <c r="I58" s="16">
        <f t="shared" si="8"/>
        <v>9</v>
      </c>
      <c r="J58" s="18">
        <f t="shared" si="2"/>
        <v>0.9</v>
      </c>
      <c r="K58" s="17">
        <v>2.72</v>
      </c>
      <c r="L58" s="19">
        <f t="shared" si="3"/>
        <v>0</v>
      </c>
      <c r="M58" s="20">
        <f t="shared" si="4"/>
        <v>246.955872</v>
      </c>
      <c r="N58" s="21">
        <f t="shared" si="5"/>
        <v>2.72</v>
      </c>
      <c r="O58" s="21">
        <f t="shared" si="6"/>
        <v>2720</v>
      </c>
      <c r="P58" s="22">
        <f t="shared" si="7"/>
        <v>246955.872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>
        <v>46087.0</v>
      </c>
      <c r="C59" s="12">
        <f>VLOOKUP(B:B,'Курс валют'!A:D,4,0)</f>
        <v>90.7926</v>
      </c>
      <c r="D59" s="13" t="s">
        <v>987</v>
      </c>
      <c r="E59" s="59" t="s">
        <v>104</v>
      </c>
      <c r="F59" s="15">
        <v>1000.0</v>
      </c>
      <c r="G59" s="61">
        <v>1009.0</v>
      </c>
      <c r="H59" s="17">
        <v>0.0</v>
      </c>
      <c r="I59" s="16">
        <f t="shared" si="8"/>
        <v>9</v>
      </c>
      <c r="J59" s="18">
        <f t="shared" si="2"/>
        <v>0.9</v>
      </c>
      <c r="K59" s="17">
        <v>2.57</v>
      </c>
      <c r="L59" s="19">
        <f t="shared" si="3"/>
        <v>0</v>
      </c>
      <c r="M59" s="20">
        <f t="shared" si="4"/>
        <v>233.336982</v>
      </c>
      <c r="N59" s="21">
        <f t="shared" si="5"/>
        <v>2.57</v>
      </c>
      <c r="O59" s="21">
        <f t="shared" si="6"/>
        <v>2570</v>
      </c>
      <c r="P59" s="22">
        <f t="shared" si="7"/>
        <v>233336.982</v>
      </c>
      <c r="R59" s="23"/>
      <c r="S59" s="24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>
        <v>46087.0</v>
      </c>
      <c r="C60" s="12">
        <f>VLOOKUP(B:B,'Курс валют'!A:D,4,0)</f>
        <v>90.7926</v>
      </c>
      <c r="D60" s="13" t="s">
        <v>988</v>
      </c>
      <c r="E60" s="59" t="s">
        <v>104</v>
      </c>
      <c r="F60" s="15">
        <v>1000.0</v>
      </c>
      <c r="G60" s="61">
        <v>1009.0</v>
      </c>
      <c r="H60" s="27">
        <v>0.0</v>
      </c>
      <c r="I60" s="16">
        <f t="shared" si="8"/>
        <v>9</v>
      </c>
      <c r="J60" s="18">
        <f t="shared" si="2"/>
        <v>0.9</v>
      </c>
      <c r="K60" s="17">
        <v>2.59</v>
      </c>
      <c r="L60" s="19">
        <f t="shared" si="3"/>
        <v>0</v>
      </c>
      <c r="M60" s="20">
        <f t="shared" si="4"/>
        <v>235.152834</v>
      </c>
      <c r="N60" s="21">
        <f t="shared" si="5"/>
        <v>2.59</v>
      </c>
      <c r="O60" s="21">
        <f t="shared" si="6"/>
        <v>2590</v>
      </c>
      <c r="P60" s="22">
        <f t="shared" si="7"/>
        <v>235152.834</v>
      </c>
      <c r="R60" s="23"/>
      <c r="S60" s="24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46087.0</v>
      </c>
      <c r="C61" s="12">
        <f>VLOOKUP(B:B,'Курс валют'!A:D,4,0)</f>
        <v>90.7926</v>
      </c>
      <c r="D61" s="13" t="s">
        <v>989</v>
      </c>
      <c r="E61" s="59" t="s">
        <v>104</v>
      </c>
      <c r="F61" s="15">
        <v>1000.0</v>
      </c>
      <c r="G61" s="61">
        <v>1009.0</v>
      </c>
      <c r="H61" s="17">
        <v>0.0</v>
      </c>
      <c r="I61" s="16">
        <f t="shared" si="8"/>
        <v>9</v>
      </c>
      <c r="J61" s="18">
        <f t="shared" si="2"/>
        <v>0.9</v>
      </c>
      <c r="K61" s="17">
        <v>2.59</v>
      </c>
      <c r="L61" s="19">
        <f t="shared" si="3"/>
        <v>0</v>
      </c>
      <c r="M61" s="20">
        <f t="shared" si="4"/>
        <v>235.152834</v>
      </c>
      <c r="N61" s="21">
        <f t="shared" si="5"/>
        <v>2.59</v>
      </c>
      <c r="O61" s="21">
        <f t="shared" si="6"/>
        <v>2590</v>
      </c>
      <c r="P61" s="22">
        <f t="shared" si="7"/>
        <v>235152.834</v>
      </c>
      <c r="R61" s="23"/>
      <c r="S61" s="24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>
        <v>46088.0</v>
      </c>
      <c r="C62" s="12">
        <f>VLOOKUP(B:B,'Курс валют'!A:D,4,0)</f>
        <v>91.8391</v>
      </c>
      <c r="D62" s="13" t="s">
        <v>990</v>
      </c>
      <c r="E62" s="59" t="s">
        <v>104</v>
      </c>
      <c r="F62" s="15">
        <v>1000.0</v>
      </c>
      <c r="G62" s="61">
        <v>1009.0</v>
      </c>
      <c r="H62" s="17">
        <v>0.0</v>
      </c>
      <c r="I62" s="16">
        <f t="shared" si="8"/>
        <v>9</v>
      </c>
      <c r="J62" s="18">
        <f t="shared" si="2"/>
        <v>0.9</v>
      </c>
      <c r="K62" s="17">
        <v>2.56</v>
      </c>
      <c r="L62" s="19">
        <f t="shared" si="3"/>
        <v>0</v>
      </c>
      <c r="M62" s="20">
        <f t="shared" si="4"/>
        <v>235.108096</v>
      </c>
      <c r="N62" s="21">
        <f t="shared" si="5"/>
        <v>2.56</v>
      </c>
      <c r="O62" s="21">
        <f t="shared" si="6"/>
        <v>2560</v>
      </c>
      <c r="P62" s="22">
        <f t="shared" si="7"/>
        <v>235108.096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>
        <v>46088.0</v>
      </c>
      <c r="C63" s="12">
        <f>VLOOKUP(B:B,'Курс валют'!A:D,4,0)</f>
        <v>91.8391</v>
      </c>
      <c r="D63" s="13" t="s">
        <v>991</v>
      </c>
      <c r="E63" s="59" t="s">
        <v>104</v>
      </c>
      <c r="F63" s="15">
        <v>1000.0</v>
      </c>
      <c r="G63" s="61">
        <v>1009.0</v>
      </c>
      <c r="H63" s="17">
        <v>0.0</v>
      </c>
      <c r="I63" s="16">
        <f t="shared" si="8"/>
        <v>9</v>
      </c>
      <c r="J63" s="18">
        <f t="shared" si="2"/>
        <v>0.9</v>
      </c>
      <c r="K63" s="17">
        <v>2.56</v>
      </c>
      <c r="L63" s="19">
        <f t="shared" si="3"/>
        <v>0</v>
      </c>
      <c r="M63" s="20">
        <f t="shared" si="4"/>
        <v>235.108096</v>
      </c>
      <c r="N63" s="21">
        <f t="shared" si="5"/>
        <v>2.56</v>
      </c>
      <c r="O63" s="21">
        <f t="shared" si="6"/>
        <v>2560</v>
      </c>
      <c r="P63" s="22">
        <f t="shared" si="7"/>
        <v>235108.096</v>
      </c>
      <c r="R63" s="23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>
        <v>46091.0</v>
      </c>
      <c r="C64" s="12">
        <f>VLOOKUP(B:B,'Курс валют'!A:D,4,0)</f>
        <v>91.8391</v>
      </c>
      <c r="D64" s="13" t="s">
        <v>992</v>
      </c>
      <c r="E64" s="59" t="s">
        <v>54</v>
      </c>
      <c r="F64" s="15">
        <v>800.0</v>
      </c>
      <c r="G64" s="61">
        <v>804.34</v>
      </c>
      <c r="H64" s="17">
        <v>0.0</v>
      </c>
      <c r="I64" s="16">
        <f t="shared" si="8"/>
        <v>4.34</v>
      </c>
      <c r="J64" s="18">
        <f t="shared" si="2"/>
        <v>0.5425</v>
      </c>
      <c r="K64" s="17">
        <v>1.98</v>
      </c>
      <c r="L64" s="19">
        <f t="shared" si="3"/>
        <v>0</v>
      </c>
      <c r="M64" s="20">
        <f t="shared" si="4"/>
        <v>181.841418</v>
      </c>
      <c r="N64" s="21">
        <f t="shared" si="5"/>
        <v>1.98</v>
      </c>
      <c r="O64" s="21">
        <f t="shared" si="6"/>
        <v>1584</v>
      </c>
      <c r="P64" s="22">
        <f t="shared" si="7"/>
        <v>145473.1344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>
        <v>46091.0</v>
      </c>
      <c r="C65" s="12">
        <f>VLOOKUP(B:B,'Курс валют'!A:D,4,0)</f>
        <v>91.8391</v>
      </c>
      <c r="D65" s="13" t="s">
        <v>993</v>
      </c>
      <c r="E65" s="59" t="s">
        <v>54</v>
      </c>
      <c r="F65" s="15">
        <v>800.0</v>
      </c>
      <c r="G65" s="61">
        <v>804.34</v>
      </c>
      <c r="H65" s="17">
        <v>0.0</v>
      </c>
      <c r="I65" s="16">
        <f t="shared" si="8"/>
        <v>4.34</v>
      </c>
      <c r="J65" s="18">
        <f t="shared" si="2"/>
        <v>0.5425</v>
      </c>
      <c r="K65" s="17">
        <v>1.98</v>
      </c>
      <c r="L65" s="19">
        <f t="shared" si="3"/>
        <v>0</v>
      </c>
      <c r="M65" s="20">
        <f t="shared" si="4"/>
        <v>181.841418</v>
      </c>
      <c r="N65" s="21">
        <f t="shared" si="5"/>
        <v>1.98</v>
      </c>
      <c r="O65" s="21">
        <f t="shared" si="6"/>
        <v>1584</v>
      </c>
      <c r="P65" s="22">
        <f t="shared" si="7"/>
        <v>145473.1344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>
        <v>46091.0</v>
      </c>
      <c r="C66" s="12">
        <f>VLOOKUP(B:B,'Курс валют'!A:D,4,0)</f>
        <v>91.8391</v>
      </c>
      <c r="D66" s="13" t="s">
        <v>994</v>
      </c>
      <c r="E66" s="59" t="s">
        <v>54</v>
      </c>
      <c r="F66" s="15">
        <v>800.0</v>
      </c>
      <c r="G66" s="61">
        <v>804.34</v>
      </c>
      <c r="H66" s="17">
        <v>0.0</v>
      </c>
      <c r="I66" s="16">
        <f t="shared" si="8"/>
        <v>4.34</v>
      </c>
      <c r="J66" s="18">
        <f t="shared" si="2"/>
        <v>0.5425</v>
      </c>
      <c r="K66" s="17">
        <v>1.98</v>
      </c>
      <c r="L66" s="19">
        <f t="shared" si="3"/>
        <v>0</v>
      </c>
      <c r="M66" s="20">
        <f t="shared" si="4"/>
        <v>181.841418</v>
      </c>
      <c r="N66" s="21">
        <f t="shared" si="5"/>
        <v>1.98</v>
      </c>
      <c r="O66" s="21">
        <f t="shared" si="6"/>
        <v>1584</v>
      </c>
      <c r="P66" s="22">
        <f t="shared" si="7"/>
        <v>145473.1344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>
        <v>46091.0</v>
      </c>
      <c r="C67" s="12">
        <f>VLOOKUP(B:B,'Курс валют'!A:D,4,0)</f>
        <v>91.8391</v>
      </c>
      <c r="D67" s="13" t="s">
        <v>995</v>
      </c>
      <c r="E67" s="59" t="s">
        <v>54</v>
      </c>
      <c r="F67" s="15">
        <v>800.0</v>
      </c>
      <c r="G67" s="61">
        <v>804.34</v>
      </c>
      <c r="H67" s="17">
        <v>0.0</v>
      </c>
      <c r="I67" s="16">
        <f t="shared" si="8"/>
        <v>4.34</v>
      </c>
      <c r="J67" s="18">
        <f t="shared" si="2"/>
        <v>0.5425</v>
      </c>
      <c r="K67" s="17">
        <v>1.98</v>
      </c>
      <c r="L67" s="19">
        <f t="shared" si="3"/>
        <v>0</v>
      </c>
      <c r="M67" s="20">
        <f t="shared" si="4"/>
        <v>181.841418</v>
      </c>
      <c r="N67" s="21">
        <f t="shared" si="5"/>
        <v>1.98</v>
      </c>
      <c r="O67" s="21">
        <f t="shared" si="6"/>
        <v>1584</v>
      </c>
      <c r="P67" s="22">
        <f t="shared" si="7"/>
        <v>145473.1344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>
        <v>46091.0</v>
      </c>
      <c r="C68" s="12">
        <f>VLOOKUP(B:B,'Курс валют'!A:D,4,0)</f>
        <v>91.8391</v>
      </c>
      <c r="D68" s="13" t="s">
        <v>996</v>
      </c>
      <c r="E68" s="59" t="s">
        <v>54</v>
      </c>
      <c r="F68" s="15">
        <v>800.0</v>
      </c>
      <c r="G68" s="61">
        <v>804.34</v>
      </c>
      <c r="H68" s="17">
        <v>0.0</v>
      </c>
      <c r="I68" s="16">
        <f t="shared" si="8"/>
        <v>4.34</v>
      </c>
      <c r="J68" s="18">
        <f t="shared" si="2"/>
        <v>0.5425</v>
      </c>
      <c r="K68" s="17">
        <v>1.98</v>
      </c>
      <c r="L68" s="19">
        <f t="shared" si="3"/>
        <v>0</v>
      </c>
      <c r="M68" s="20">
        <f t="shared" si="4"/>
        <v>181.841418</v>
      </c>
      <c r="N68" s="21">
        <f t="shared" si="5"/>
        <v>1.98</v>
      </c>
      <c r="O68" s="21">
        <f t="shared" si="6"/>
        <v>1584</v>
      </c>
      <c r="P68" s="22">
        <f t="shared" si="7"/>
        <v>145473.1344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63"/>
      <c r="B69" s="11">
        <v>46091.0</v>
      </c>
      <c r="C69" s="12">
        <f>VLOOKUP(B:B,'Курс валют'!A:D,4,0)</f>
        <v>91.8391</v>
      </c>
      <c r="D69" s="13" t="s">
        <v>997</v>
      </c>
      <c r="E69" s="59" t="s">
        <v>68</v>
      </c>
      <c r="F69" s="15">
        <v>800.0</v>
      </c>
      <c r="G69" s="61">
        <v>804.99</v>
      </c>
      <c r="H69" s="17">
        <v>0.0</v>
      </c>
      <c r="I69" s="16">
        <f t="shared" si="8"/>
        <v>4.99</v>
      </c>
      <c r="J69" s="18">
        <f t="shared" si="2"/>
        <v>0.62375</v>
      </c>
      <c r="K69" s="17">
        <v>2.0</v>
      </c>
      <c r="L69" s="19">
        <f t="shared" si="3"/>
        <v>0</v>
      </c>
      <c r="M69" s="20">
        <f t="shared" si="4"/>
        <v>183.6782</v>
      </c>
      <c r="N69" s="21">
        <f t="shared" si="5"/>
        <v>2</v>
      </c>
      <c r="O69" s="21">
        <f t="shared" si="6"/>
        <v>1600</v>
      </c>
      <c r="P69" s="22">
        <f t="shared" si="7"/>
        <v>146942.56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/>
      <c r="B70" s="11">
        <v>46091.0</v>
      </c>
      <c r="C70" s="12">
        <f>VLOOKUP(B:B,'Курс валют'!A:D,4,0)</f>
        <v>91.8391</v>
      </c>
      <c r="D70" s="13" t="s">
        <v>998</v>
      </c>
      <c r="E70" s="59" t="s">
        <v>68</v>
      </c>
      <c r="F70" s="15">
        <v>800.0</v>
      </c>
      <c r="G70" s="61">
        <v>804.99</v>
      </c>
      <c r="H70" s="17">
        <v>0.0</v>
      </c>
      <c r="I70" s="16">
        <f t="shared" si="8"/>
        <v>4.99</v>
      </c>
      <c r="J70" s="18">
        <f t="shared" si="2"/>
        <v>0.62375</v>
      </c>
      <c r="K70" s="17">
        <v>1.98</v>
      </c>
      <c r="L70" s="19">
        <f t="shared" si="3"/>
        <v>0</v>
      </c>
      <c r="M70" s="20">
        <f t="shared" si="4"/>
        <v>181.841418</v>
      </c>
      <c r="N70" s="21">
        <f t="shared" si="5"/>
        <v>1.98</v>
      </c>
      <c r="O70" s="21">
        <f t="shared" si="6"/>
        <v>1584</v>
      </c>
      <c r="P70" s="22">
        <f t="shared" si="7"/>
        <v>145473.1344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63"/>
      <c r="B71" s="11">
        <v>46091.0</v>
      </c>
      <c r="C71" s="12">
        <f>VLOOKUP(B:B,'Курс валют'!A:D,4,0)</f>
        <v>91.8391</v>
      </c>
      <c r="D71" s="13" t="s">
        <v>999</v>
      </c>
      <c r="E71" s="59" t="s">
        <v>54</v>
      </c>
      <c r="F71" s="15">
        <v>800.0</v>
      </c>
      <c r="G71" s="61">
        <v>804.34</v>
      </c>
      <c r="H71" s="17">
        <v>0.0</v>
      </c>
      <c r="I71" s="16">
        <f t="shared" si="8"/>
        <v>4.34</v>
      </c>
      <c r="J71" s="18">
        <f t="shared" si="2"/>
        <v>0.5425</v>
      </c>
      <c r="K71" s="17">
        <v>1.98</v>
      </c>
      <c r="L71" s="19">
        <f t="shared" si="3"/>
        <v>0</v>
      </c>
      <c r="M71" s="20">
        <f t="shared" si="4"/>
        <v>181.841418</v>
      </c>
      <c r="N71" s="21">
        <f t="shared" si="5"/>
        <v>1.98</v>
      </c>
      <c r="O71" s="21">
        <f t="shared" si="6"/>
        <v>1584</v>
      </c>
      <c r="P71" s="22">
        <f t="shared" si="7"/>
        <v>145473.1344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63"/>
      <c r="B72" s="11">
        <v>46091.0</v>
      </c>
      <c r="C72" s="12">
        <f>VLOOKUP(B:B,'Курс валют'!A:D,4,0)</f>
        <v>91.8391</v>
      </c>
      <c r="D72" s="13" t="s">
        <v>1000</v>
      </c>
      <c r="E72" s="59" t="s">
        <v>54</v>
      </c>
      <c r="F72" s="15">
        <v>800.0</v>
      </c>
      <c r="G72" s="61">
        <v>804.34</v>
      </c>
      <c r="H72" s="17">
        <v>0.0</v>
      </c>
      <c r="I72" s="16">
        <f t="shared" si="8"/>
        <v>4.34</v>
      </c>
      <c r="J72" s="18">
        <f t="shared" si="2"/>
        <v>0.5425</v>
      </c>
      <c r="K72" s="17">
        <v>1.98</v>
      </c>
      <c r="L72" s="19">
        <f t="shared" si="3"/>
        <v>0</v>
      </c>
      <c r="M72" s="20">
        <f t="shared" si="4"/>
        <v>181.841418</v>
      </c>
      <c r="N72" s="21">
        <f t="shared" si="5"/>
        <v>1.98</v>
      </c>
      <c r="O72" s="21">
        <f t="shared" si="6"/>
        <v>1584</v>
      </c>
      <c r="P72" s="22">
        <f t="shared" si="7"/>
        <v>145473.1344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63"/>
      <c r="B73" s="11">
        <v>46091.0</v>
      </c>
      <c r="C73" s="12">
        <f>VLOOKUP(B:B,'Курс валют'!A:D,4,0)</f>
        <v>91.8391</v>
      </c>
      <c r="D73" s="13" t="s">
        <v>1001</v>
      </c>
      <c r="E73" s="64" t="s">
        <v>68</v>
      </c>
      <c r="F73" s="15">
        <v>800.0</v>
      </c>
      <c r="G73" s="61">
        <v>804.99</v>
      </c>
      <c r="H73" s="17">
        <v>0.0</v>
      </c>
      <c r="I73" s="16">
        <f t="shared" si="8"/>
        <v>4.99</v>
      </c>
      <c r="J73" s="18">
        <f t="shared" si="2"/>
        <v>0.62375</v>
      </c>
      <c r="K73" s="17">
        <v>2.0</v>
      </c>
      <c r="L73" s="19">
        <f t="shared" si="3"/>
        <v>0</v>
      </c>
      <c r="M73" s="20">
        <f t="shared" si="4"/>
        <v>183.6782</v>
      </c>
      <c r="N73" s="21">
        <f t="shared" si="5"/>
        <v>2</v>
      </c>
      <c r="O73" s="21">
        <f t="shared" si="6"/>
        <v>1600</v>
      </c>
      <c r="P73" s="22">
        <f t="shared" si="7"/>
        <v>146942.56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/>
      <c r="B74" s="11">
        <v>46091.0</v>
      </c>
      <c r="C74" s="12">
        <f>VLOOKUP(B:B,'Курс валют'!A:D,4,0)</f>
        <v>91.8391</v>
      </c>
      <c r="D74" s="13" t="s">
        <v>1002</v>
      </c>
      <c r="E74" s="64" t="s">
        <v>54</v>
      </c>
      <c r="F74" s="15">
        <v>800.0</v>
      </c>
      <c r="G74" s="16">
        <v>804.34</v>
      </c>
      <c r="H74" s="17">
        <v>0.0</v>
      </c>
      <c r="I74" s="16">
        <f t="shared" si="8"/>
        <v>4.34</v>
      </c>
      <c r="J74" s="18">
        <f t="shared" si="2"/>
        <v>0.5425</v>
      </c>
      <c r="K74" s="17">
        <v>1.98</v>
      </c>
      <c r="L74" s="19">
        <f t="shared" si="3"/>
        <v>0</v>
      </c>
      <c r="M74" s="20">
        <f t="shared" si="4"/>
        <v>181.841418</v>
      </c>
      <c r="N74" s="21">
        <f t="shared" si="5"/>
        <v>1.98</v>
      </c>
      <c r="O74" s="21">
        <f t="shared" si="6"/>
        <v>1584</v>
      </c>
      <c r="P74" s="22">
        <f t="shared" si="7"/>
        <v>145473.1344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/>
      <c r="B75" s="11">
        <v>46091.0</v>
      </c>
      <c r="C75" s="12">
        <f>VLOOKUP(B:B,'Курс валют'!A:D,4,0)</f>
        <v>91.8391</v>
      </c>
      <c r="D75" s="13" t="s">
        <v>1003</v>
      </c>
      <c r="E75" s="64" t="s">
        <v>54</v>
      </c>
      <c r="F75" s="15">
        <v>800.0</v>
      </c>
      <c r="G75" s="16">
        <v>804.34</v>
      </c>
      <c r="H75" s="17">
        <v>0.0</v>
      </c>
      <c r="I75" s="16">
        <f t="shared" si="8"/>
        <v>4.34</v>
      </c>
      <c r="J75" s="18">
        <f t="shared" si="2"/>
        <v>0.5425</v>
      </c>
      <c r="K75" s="17">
        <v>1.98</v>
      </c>
      <c r="L75" s="19">
        <f t="shared" si="3"/>
        <v>0</v>
      </c>
      <c r="M75" s="20">
        <f t="shared" si="4"/>
        <v>181.841418</v>
      </c>
      <c r="N75" s="21">
        <f t="shared" si="5"/>
        <v>1.98</v>
      </c>
      <c r="O75" s="21">
        <f t="shared" si="6"/>
        <v>1584</v>
      </c>
      <c r="P75" s="22">
        <f t="shared" si="7"/>
        <v>145473.1344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63"/>
      <c r="B76" s="11">
        <v>46091.0</v>
      </c>
      <c r="C76" s="12">
        <f>VLOOKUP(B:B,'Курс валют'!A:D,4,0)</f>
        <v>91.8391</v>
      </c>
      <c r="D76" s="13" t="s">
        <v>1004</v>
      </c>
      <c r="E76" s="64" t="s">
        <v>68</v>
      </c>
      <c r="F76" s="15">
        <v>800.0</v>
      </c>
      <c r="G76" s="61">
        <v>804.99</v>
      </c>
      <c r="H76" s="17">
        <v>0.0</v>
      </c>
      <c r="I76" s="16">
        <f t="shared" si="8"/>
        <v>4.99</v>
      </c>
      <c r="J76" s="18">
        <f t="shared" si="2"/>
        <v>0.62375</v>
      </c>
      <c r="K76" s="17">
        <v>1.99</v>
      </c>
      <c r="L76" s="19">
        <f t="shared" si="3"/>
        <v>0</v>
      </c>
      <c r="M76" s="20">
        <f t="shared" si="4"/>
        <v>182.759809</v>
      </c>
      <c r="N76" s="21">
        <f t="shared" si="5"/>
        <v>1.99</v>
      </c>
      <c r="O76" s="21">
        <f t="shared" si="6"/>
        <v>1592</v>
      </c>
      <c r="P76" s="22">
        <f t="shared" si="7"/>
        <v>146207.8472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>
        <v>46091.0</v>
      </c>
      <c r="C77" s="12">
        <f>VLOOKUP(B:B,'Курс валют'!A:D,4,0)</f>
        <v>91.8391</v>
      </c>
      <c r="D77" s="13" t="s">
        <v>1005</v>
      </c>
      <c r="E77" s="64" t="s">
        <v>54</v>
      </c>
      <c r="F77" s="15">
        <v>800.0</v>
      </c>
      <c r="G77" s="16">
        <v>804.34</v>
      </c>
      <c r="H77" s="17">
        <v>0.0</v>
      </c>
      <c r="I77" s="16">
        <f t="shared" si="8"/>
        <v>4.34</v>
      </c>
      <c r="J77" s="18">
        <f t="shared" si="2"/>
        <v>0.5425</v>
      </c>
      <c r="K77" s="17">
        <v>1.98</v>
      </c>
      <c r="L77" s="19">
        <f t="shared" si="3"/>
        <v>0</v>
      </c>
      <c r="M77" s="20">
        <f t="shared" si="4"/>
        <v>181.841418</v>
      </c>
      <c r="N77" s="21">
        <f t="shared" si="5"/>
        <v>1.98</v>
      </c>
      <c r="O77" s="21">
        <f t="shared" si="6"/>
        <v>1584</v>
      </c>
      <c r="P77" s="22">
        <f t="shared" si="7"/>
        <v>145473.1344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63"/>
      <c r="B78" s="11">
        <v>46091.0</v>
      </c>
      <c r="C78" s="12">
        <f>VLOOKUP(B:B,'Курс валют'!A:D,4,0)</f>
        <v>91.8391</v>
      </c>
      <c r="D78" s="13" t="s">
        <v>1006</v>
      </c>
      <c r="E78" s="64" t="s">
        <v>68</v>
      </c>
      <c r="F78" s="15">
        <v>800.0</v>
      </c>
      <c r="G78" s="16">
        <v>804.99</v>
      </c>
      <c r="H78" s="17">
        <v>0.0</v>
      </c>
      <c r="I78" s="16">
        <f t="shared" si="8"/>
        <v>4.99</v>
      </c>
      <c r="J78" s="18">
        <f t="shared" si="2"/>
        <v>0.62375</v>
      </c>
      <c r="K78" s="17">
        <v>1.98</v>
      </c>
      <c r="L78" s="19">
        <f t="shared" si="3"/>
        <v>0</v>
      </c>
      <c r="M78" s="20">
        <f t="shared" si="4"/>
        <v>181.841418</v>
      </c>
      <c r="N78" s="21">
        <f t="shared" si="5"/>
        <v>1.98</v>
      </c>
      <c r="O78" s="21">
        <f t="shared" si="6"/>
        <v>1584</v>
      </c>
      <c r="P78" s="22">
        <f t="shared" si="7"/>
        <v>145473.1344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>
        <v>46091.0</v>
      </c>
      <c r="C79" s="12">
        <f>VLOOKUP(B:B,'Курс валют'!A:D,4,0)</f>
        <v>91.8391</v>
      </c>
      <c r="D79" s="13" t="s">
        <v>1007</v>
      </c>
      <c r="E79" s="64" t="s">
        <v>68</v>
      </c>
      <c r="F79" s="15">
        <v>800.0</v>
      </c>
      <c r="G79" s="16">
        <v>804.99</v>
      </c>
      <c r="H79" s="17">
        <v>0.0</v>
      </c>
      <c r="I79" s="16">
        <f t="shared" si="8"/>
        <v>4.99</v>
      </c>
      <c r="J79" s="18">
        <f t="shared" si="2"/>
        <v>0.62375</v>
      </c>
      <c r="K79" s="17">
        <v>1.98</v>
      </c>
      <c r="L79" s="19">
        <f t="shared" si="3"/>
        <v>0</v>
      </c>
      <c r="M79" s="20">
        <f t="shared" si="4"/>
        <v>181.841418</v>
      </c>
      <c r="N79" s="21">
        <f t="shared" si="5"/>
        <v>1.98</v>
      </c>
      <c r="O79" s="21">
        <f t="shared" si="6"/>
        <v>1584</v>
      </c>
      <c r="P79" s="22">
        <f t="shared" si="7"/>
        <v>145473.1344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>
        <v>46092.0</v>
      </c>
      <c r="C80" s="12">
        <f>VLOOKUP(B:B,'Курс валют'!A:D,4,0)</f>
        <v>91.8979</v>
      </c>
      <c r="D80" s="13" t="s">
        <v>1008</v>
      </c>
      <c r="E80" s="64" t="s">
        <v>54</v>
      </c>
      <c r="F80" s="15">
        <v>800.0</v>
      </c>
      <c r="G80" s="16">
        <v>804.34</v>
      </c>
      <c r="H80" s="17">
        <v>0.0</v>
      </c>
      <c r="I80" s="16">
        <f t="shared" si="8"/>
        <v>4.34</v>
      </c>
      <c r="J80" s="18">
        <f t="shared" si="2"/>
        <v>0.5425</v>
      </c>
      <c r="K80" s="17">
        <v>1.98</v>
      </c>
      <c r="L80" s="19">
        <f t="shared" si="3"/>
        <v>0</v>
      </c>
      <c r="M80" s="20">
        <f t="shared" si="4"/>
        <v>181.957842</v>
      </c>
      <c r="N80" s="21">
        <f t="shared" si="5"/>
        <v>1.98</v>
      </c>
      <c r="O80" s="21">
        <f t="shared" si="6"/>
        <v>1584</v>
      </c>
      <c r="P80" s="22">
        <f t="shared" si="7"/>
        <v>145566.2736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>
        <v>46092.0</v>
      </c>
      <c r="C81" s="12">
        <f>VLOOKUP(B:B,'Курс валют'!A:D,4,0)</f>
        <v>91.8979</v>
      </c>
      <c r="D81" s="13" t="s">
        <v>1009</v>
      </c>
      <c r="E81" s="64" t="s">
        <v>54</v>
      </c>
      <c r="F81" s="15">
        <v>800.0</v>
      </c>
      <c r="G81" s="16">
        <v>804.34</v>
      </c>
      <c r="H81" s="17">
        <v>0.0</v>
      </c>
      <c r="I81" s="16">
        <f t="shared" si="8"/>
        <v>4.34</v>
      </c>
      <c r="J81" s="18">
        <f t="shared" si="2"/>
        <v>0.5425</v>
      </c>
      <c r="K81" s="17">
        <v>1.98</v>
      </c>
      <c r="L81" s="19">
        <f t="shared" si="3"/>
        <v>0</v>
      </c>
      <c r="M81" s="20">
        <f t="shared" si="4"/>
        <v>181.957842</v>
      </c>
      <c r="N81" s="21">
        <f t="shared" si="5"/>
        <v>1.98</v>
      </c>
      <c r="O81" s="21">
        <f t="shared" si="6"/>
        <v>1584</v>
      </c>
      <c r="P81" s="22">
        <f t="shared" si="7"/>
        <v>145566.2736</v>
      </c>
      <c r="R81" s="23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>
        <v>46092.0</v>
      </c>
      <c r="C82" s="12">
        <f>VLOOKUP(B:B,'Курс валют'!A:D,4,0)</f>
        <v>91.8979</v>
      </c>
      <c r="D82" s="13" t="s">
        <v>1010</v>
      </c>
      <c r="E82" s="64" t="s">
        <v>54</v>
      </c>
      <c r="F82" s="15">
        <v>800.0</v>
      </c>
      <c r="G82" s="16">
        <v>804.34</v>
      </c>
      <c r="H82" s="17">
        <v>0.0</v>
      </c>
      <c r="I82" s="16">
        <f t="shared" si="8"/>
        <v>4.34</v>
      </c>
      <c r="J82" s="18">
        <f t="shared" si="2"/>
        <v>0.5425</v>
      </c>
      <c r="K82" s="17">
        <v>1.98</v>
      </c>
      <c r="L82" s="19">
        <f t="shared" si="3"/>
        <v>0</v>
      </c>
      <c r="M82" s="20">
        <f t="shared" si="4"/>
        <v>181.957842</v>
      </c>
      <c r="N82" s="21">
        <f t="shared" si="5"/>
        <v>1.98</v>
      </c>
      <c r="O82" s="21">
        <f t="shared" si="6"/>
        <v>1584</v>
      </c>
      <c r="P82" s="22">
        <f t="shared" si="7"/>
        <v>145566.2736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>
        <v>46092.0</v>
      </c>
      <c r="C83" s="12">
        <f>VLOOKUP(B:B,'Курс валют'!A:D,4,0)</f>
        <v>91.8979</v>
      </c>
      <c r="D83" s="13" t="s">
        <v>1011</v>
      </c>
      <c r="E83" s="64" t="s">
        <v>54</v>
      </c>
      <c r="F83" s="15">
        <v>800.0</v>
      </c>
      <c r="G83" s="16">
        <v>804.34</v>
      </c>
      <c r="H83" s="17">
        <v>0.0</v>
      </c>
      <c r="I83" s="16">
        <f t="shared" si="8"/>
        <v>4.34</v>
      </c>
      <c r="J83" s="18">
        <f t="shared" si="2"/>
        <v>0.5425</v>
      </c>
      <c r="K83" s="17">
        <v>1.98</v>
      </c>
      <c r="L83" s="19">
        <f t="shared" si="3"/>
        <v>0</v>
      </c>
      <c r="M83" s="20">
        <f t="shared" si="4"/>
        <v>181.957842</v>
      </c>
      <c r="N83" s="21">
        <f t="shared" si="5"/>
        <v>1.98</v>
      </c>
      <c r="O83" s="21">
        <f t="shared" si="6"/>
        <v>1584</v>
      </c>
      <c r="P83" s="22">
        <f t="shared" si="7"/>
        <v>145566.2736</v>
      </c>
      <c r="R83" s="23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>
        <v>46092.0</v>
      </c>
      <c r="C84" s="12">
        <f>VLOOKUP(B:B,'Курс валют'!A:D,4,0)</f>
        <v>91.8979</v>
      </c>
      <c r="D84" s="13" t="s">
        <v>1012</v>
      </c>
      <c r="E84" s="64" t="s">
        <v>54</v>
      </c>
      <c r="F84" s="15">
        <v>800.0</v>
      </c>
      <c r="G84" s="16">
        <v>804.34</v>
      </c>
      <c r="H84" s="17">
        <v>0.0</v>
      </c>
      <c r="I84" s="16">
        <f t="shared" si="8"/>
        <v>4.34</v>
      </c>
      <c r="J84" s="18">
        <f t="shared" si="2"/>
        <v>0.5425</v>
      </c>
      <c r="K84" s="17">
        <v>1.97</v>
      </c>
      <c r="L84" s="19">
        <f t="shared" si="3"/>
        <v>0</v>
      </c>
      <c r="M84" s="20">
        <f t="shared" si="4"/>
        <v>181.038863</v>
      </c>
      <c r="N84" s="21">
        <f t="shared" si="5"/>
        <v>1.97</v>
      </c>
      <c r="O84" s="21">
        <f t="shared" si="6"/>
        <v>1576</v>
      </c>
      <c r="P84" s="22">
        <f t="shared" si="7"/>
        <v>144831.0904</v>
      </c>
      <c r="R84" s="23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>
        <v>46092.0</v>
      </c>
      <c r="C85" s="12">
        <f>VLOOKUP(B:B,'Курс валют'!A:D,4,0)</f>
        <v>91.8979</v>
      </c>
      <c r="D85" s="13" t="s">
        <v>1013</v>
      </c>
      <c r="E85" s="64" t="s">
        <v>54</v>
      </c>
      <c r="F85" s="15">
        <v>800.0</v>
      </c>
      <c r="G85" s="16">
        <v>804.34</v>
      </c>
      <c r="H85" s="17">
        <v>0.0</v>
      </c>
      <c r="I85" s="16">
        <f t="shared" si="8"/>
        <v>4.34</v>
      </c>
      <c r="J85" s="18">
        <f t="shared" si="2"/>
        <v>0.5425</v>
      </c>
      <c r="K85" s="17">
        <v>1.96</v>
      </c>
      <c r="L85" s="19">
        <f t="shared" si="3"/>
        <v>0</v>
      </c>
      <c r="M85" s="20">
        <f t="shared" si="4"/>
        <v>180.119884</v>
      </c>
      <c r="N85" s="21">
        <f t="shared" si="5"/>
        <v>1.96</v>
      </c>
      <c r="O85" s="21">
        <f t="shared" si="6"/>
        <v>1568</v>
      </c>
      <c r="P85" s="22">
        <f t="shared" si="7"/>
        <v>144095.9072</v>
      </c>
      <c r="R85" s="23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>
        <v>46092.0</v>
      </c>
      <c r="C86" s="12">
        <f>VLOOKUP(B:B,'Курс валют'!A:D,4,0)</f>
        <v>91.8979</v>
      </c>
      <c r="D86" s="13" t="s">
        <v>1014</v>
      </c>
      <c r="E86" s="64" t="s">
        <v>54</v>
      </c>
      <c r="F86" s="15">
        <v>800.0</v>
      </c>
      <c r="G86" s="16">
        <v>804.34</v>
      </c>
      <c r="H86" s="17">
        <v>0.0</v>
      </c>
      <c r="I86" s="16">
        <f t="shared" si="8"/>
        <v>4.34</v>
      </c>
      <c r="J86" s="18">
        <f t="shared" si="2"/>
        <v>0.5425</v>
      </c>
      <c r="K86" s="17">
        <v>1.96</v>
      </c>
      <c r="L86" s="19">
        <f t="shared" si="3"/>
        <v>0</v>
      </c>
      <c r="M86" s="20">
        <f t="shared" si="4"/>
        <v>180.119884</v>
      </c>
      <c r="N86" s="21">
        <f t="shared" si="5"/>
        <v>1.96</v>
      </c>
      <c r="O86" s="21">
        <f t="shared" si="6"/>
        <v>1568</v>
      </c>
      <c r="P86" s="22">
        <f t="shared" si="7"/>
        <v>144095.9072</v>
      </c>
      <c r="R86" s="23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>
        <v>46092.0</v>
      </c>
      <c r="C87" s="12">
        <f>VLOOKUP(B:B,'Курс валют'!A:D,4,0)</f>
        <v>91.8979</v>
      </c>
      <c r="D87" s="13" t="s">
        <v>1015</v>
      </c>
      <c r="E87" s="64" t="s">
        <v>54</v>
      </c>
      <c r="F87" s="15">
        <v>800.0</v>
      </c>
      <c r="G87" s="16">
        <v>804.34</v>
      </c>
      <c r="H87" s="17">
        <v>0.0</v>
      </c>
      <c r="I87" s="16">
        <f t="shared" si="8"/>
        <v>4.34</v>
      </c>
      <c r="J87" s="18">
        <f t="shared" si="2"/>
        <v>0.5425</v>
      </c>
      <c r="K87" s="17">
        <v>1.96</v>
      </c>
      <c r="L87" s="19">
        <f t="shared" si="3"/>
        <v>0</v>
      </c>
      <c r="M87" s="20">
        <f t="shared" si="4"/>
        <v>180.119884</v>
      </c>
      <c r="N87" s="21">
        <f t="shared" si="5"/>
        <v>1.96</v>
      </c>
      <c r="O87" s="21">
        <f t="shared" si="6"/>
        <v>1568</v>
      </c>
      <c r="P87" s="22">
        <f t="shared" si="7"/>
        <v>144095.9072</v>
      </c>
      <c r="R87" s="23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>
        <v>46092.0</v>
      </c>
      <c r="C88" s="12">
        <f>VLOOKUP(B:B,'Курс валют'!A:D,4,0)</f>
        <v>91.8979</v>
      </c>
      <c r="D88" s="13" t="s">
        <v>1016</v>
      </c>
      <c r="E88" s="64" t="s">
        <v>54</v>
      </c>
      <c r="F88" s="15">
        <v>800.0</v>
      </c>
      <c r="G88" s="16">
        <v>804.34</v>
      </c>
      <c r="H88" s="17">
        <v>0.0</v>
      </c>
      <c r="I88" s="16">
        <f t="shared" si="8"/>
        <v>4.34</v>
      </c>
      <c r="J88" s="18">
        <f t="shared" si="2"/>
        <v>0.5425</v>
      </c>
      <c r="K88" s="17">
        <v>1.96</v>
      </c>
      <c r="L88" s="19">
        <f t="shared" si="3"/>
        <v>0</v>
      </c>
      <c r="M88" s="20">
        <f t="shared" si="4"/>
        <v>180.119884</v>
      </c>
      <c r="N88" s="21">
        <f t="shared" si="5"/>
        <v>1.96</v>
      </c>
      <c r="O88" s="21">
        <f t="shared" si="6"/>
        <v>1568</v>
      </c>
      <c r="P88" s="22">
        <f t="shared" si="7"/>
        <v>144095.9072</v>
      </c>
      <c r="R88" s="23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>
        <v>46092.0</v>
      </c>
      <c r="C89" s="12">
        <f>VLOOKUP(B:B,'Курс валют'!A:D,4,0)</f>
        <v>91.8979</v>
      </c>
      <c r="D89" s="13" t="s">
        <v>1017</v>
      </c>
      <c r="E89" s="64" t="s">
        <v>54</v>
      </c>
      <c r="F89" s="15">
        <v>800.0</v>
      </c>
      <c r="G89" s="16">
        <v>804.34</v>
      </c>
      <c r="H89" s="17">
        <v>0.0</v>
      </c>
      <c r="I89" s="16">
        <f t="shared" si="8"/>
        <v>4.34</v>
      </c>
      <c r="J89" s="18">
        <f t="shared" si="2"/>
        <v>0.5425</v>
      </c>
      <c r="K89" s="17">
        <v>1.96</v>
      </c>
      <c r="L89" s="19">
        <f t="shared" si="3"/>
        <v>0</v>
      </c>
      <c r="M89" s="20">
        <f t="shared" si="4"/>
        <v>180.119884</v>
      </c>
      <c r="N89" s="21">
        <f t="shared" si="5"/>
        <v>1.96</v>
      </c>
      <c r="O89" s="21">
        <f t="shared" si="6"/>
        <v>1568</v>
      </c>
      <c r="P89" s="22">
        <f t="shared" si="7"/>
        <v>144095.9072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>
        <v>46093.0</v>
      </c>
      <c r="C90" s="12">
        <f>VLOOKUP(B:B,'Курс валют'!A:D,4,0)</f>
        <v>91.9378</v>
      </c>
      <c r="D90" s="13" t="s">
        <v>1018</v>
      </c>
      <c r="E90" s="59" t="s">
        <v>207</v>
      </c>
      <c r="F90" s="15">
        <v>440.0</v>
      </c>
      <c r="G90" s="16">
        <v>440.0</v>
      </c>
      <c r="H90" s="17"/>
      <c r="I90" s="16">
        <f t="shared" si="8"/>
        <v>0</v>
      </c>
      <c r="J90" s="18">
        <f t="shared" si="2"/>
        <v>0</v>
      </c>
      <c r="K90" s="17"/>
      <c r="L90" s="19">
        <f t="shared" si="3"/>
        <v>0</v>
      </c>
      <c r="M90" s="20">
        <f t="shared" si="4"/>
        <v>0</v>
      </c>
      <c r="N90" s="21">
        <f t="shared" si="5"/>
        <v>0</v>
      </c>
      <c r="O90" s="21">
        <f t="shared" si="6"/>
        <v>0</v>
      </c>
      <c r="P90" s="22">
        <f t="shared" si="7"/>
        <v>0</v>
      </c>
      <c r="R90" s="23" t="s">
        <v>1019</v>
      </c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>
        <v>46093.0</v>
      </c>
      <c r="C91" s="12">
        <f>VLOOKUP(B:B,'Курс валют'!A:D,4,0)</f>
        <v>91.9378</v>
      </c>
      <c r="D91" s="13" t="s">
        <v>1020</v>
      </c>
      <c r="E91" s="59" t="s">
        <v>70</v>
      </c>
      <c r="F91" s="15">
        <v>200.0</v>
      </c>
      <c r="G91" s="16">
        <v>200.0</v>
      </c>
      <c r="H91" s="17">
        <v>0.0</v>
      </c>
      <c r="I91" s="16">
        <f t="shared" si="8"/>
        <v>0</v>
      </c>
      <c r="J91" s="18">
        <f t="shared" si="2"/>
        <v>0</v>
      </c>
      <c r="K91" s="17">
        <v>2.21</v>
      </c>
      <c r="L91" s="19">
        <f t="shared" si="3"/>
        <v>0</v>
      </c>
      <c r="M91" s="20">
        <f t="shared" si="4"/>
        <v>203.182538</v>
      </c>
      <c r="N91" s="21">
        <f t="shared" si="5"/>
        <v>2.21</v>
      </c>
      <c r="O91" s="21">
        <f t="shared" si="6"/>
        <v>442</v>
      </c>
      <c r="P91" s="22">
        <f t="shared" si="7"/>
        <v>40636.5076</v>
      </c>
      <c r="R91" s="23" t="s">
        <v>1021</v>
      </c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>
        <v>46093.0</v>
      </c>
      <c r="C92" s="12">
        <f>VLOOKUP(B:B,'Курс валют'!A:D,4,0)</f>
        <v>91.9378</v>
      </c>
      <c r="D92" s="13" t="s">
        <v>1022</v>
      </c>
      <c r="E92" s="59" t="s">
        <v>123</v>
      </c>
      <c r="F92" s="15">
        <v>92.72</v>
      </c>
      <c r="G92" s="16">
        <v>98.5</v>
      </c>
      <c r="H92" s="17">
        <v>0.0</v>
      </c>
      <c r="I92" s="16">
        <f t="shared" si="8"/>
        <v>5.78</v>
      </c>
      <c r="J92" s="18">
        <f t="shared" si="2"/>
        <v>6.233822261</v>
      </c>
      <c r="K92" s="17">
        <v>2.4</v>
      </c>
      <c r="L92" s="19">
        <f t="shared" si="3"/>
        <v>0</v>
      </c>
      <c r="M92" s="20">
        <f t="shared" si="4"/>
        <v>220.65072</v>
      </c>
      <c r="N92" s="21">
        <f t="shared" si="5"/>
        <v>2.4</v>
      </c>
      <c r="O92" s="21">
        <f t="shared" si="6"/>
        <v>222.528</v>
      </c>
      <c r="P92" s="22">
        <f t="shared" si="7"/>
        <v>20458.73476</v>
      </c>
      <c r="R92" s="23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63"/>
      <c r="B93" s="11">
        <v>46093.0</v>
      </c>
      <c r="C93" s="12">
        <f>VLOOKUP(B:B,'Курс валют'!A:D,4,0)</f>
        <v>91.9378</v>
      </c>
      <c r="D93" s="13" t="s">
        <v>1023</v>
      </c>
      <c r="E93" s="59" t="s">
        <v>107</v>
      </c>
      <c r="F93" s="15">
        <v>1920.0</v>
      </c>
      <c r="G93" s="16">
        <v>1964.8</v>
      </c>
      <c r="H93" s="17">
        <v>0.0</v>
      </c>
      <c r="I93" s="16">
        <f t="shared" si="8"/>
        <v>44.8</v>
      </c>
      <c r="J93" s="18">
        <f t="shared" si="2"/>
        <v>2.333333333</v>
      </c>
      <c r="K93" s="17">
        <v>2.68</v>
      </c>
      <c r="L93" s="19">
        <f t="shared" si="3"/>
        <v>0</v>
      </c>
      <c r="M93" s="20">
        <f t="shared" si="4"/>
        <v>246.393304</v>
      </c>
      <c r="N93" s="21">
        <f t="shared" si="5"/>
        <v>2.68</v>
      </c>
      <c r="O93" s="21">
        <f t="shared" si="6"/>
        <v>5145.6</v>
      </c>
      <c r="P93" s="22">
        <f t="shared" si="7"/>
        <v>473075.1437</v>
      </c>
      <c r="R93" s="24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>
        <v>46094.0</v>
      </c>
      <c r="C94" s="12">
        <f>VLOOKUP(B:B,'Курс валют'!A:D,4,0)</f>
        <v>91.3893</v>
      </c>
      <c r="D94" s="13" t="s">
        <v>1024</v>
      </c>
      <c r="E94" s="59" t="s">
        <v>107</v>
      </c>
      <c r="F94" s="15">
        <v>1920.0</v>
      </c>
      <c r="G94" s="16">
        <v>1964.8</v>
      </c>
      <c r="H94" s="17">
        <v>0.0</v>
      </c>
      <c r="I94" s="16">
        <f t="shared" si="8"/>
        <v>44.8</v>
      </c>
      <c r="J94" s="18">
        <f t="shared" si="2"/>
        <v>2.333333333</v>
      </c>
      <c r="K94" s="17">
        <v>2.68</v>
      </c>
      <c r="L94" s="19">
        <f t="shared" si="3"/>
        <v>0</v>
      </c>
      <c r="M94" s="20">
        <f t="shared" si="4"/>
        <v>244.923324</v>
      </c>
      <c r="N94" s="21">
        <f t="shared" si="5"/>
        <v>2.68</v>
      </c>
      <c r="O94" s="21">
        <f t="shared" si="6"/>
        <v>5145.6</v>
      </c>
      <c r="P94" s="22">
        <f t="shared" si="7"/>
        <v>470252.7821</v>
      </c>
      <c r="R94" s="24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>
        <v>46094.0</v>
      </c>
      <c r="C95" s="12">
        <f>VLOOKUP(B:B,'Курс валют'!A:D,4,0)</f>
        <v>91.3893</v>
      </c>
      <c r="D95" s="13" t="s">
        <v>1025</v>
      </c>
      <c r="E95" s="59" t="s">
        <v>61</v>
      </c>
      <c r="F95" s="15">
        <v>1100.0</v>
      </c>
      <c r="G95" s="16">
        <v>1105.51</v>
      </c>
      <c r="H95" s="17">
        <v>438.5</v>
      </c>
      <c r="I95" s="16">
        <f t="shared" si="8"/>
        <v>5.51</v>
      </c>
      <c r="J95" s="18">
        <f t="shared" si="2"/>
        <v>0.5009090909</v>
      </c>
      <c r="K95" s="17">
        <v>3.49</v>
      </c>
      <c r="L95" s="19">
        <f t="shared" si="3"/>
        <v>39.86363636</v>
      </c>
      <c r="M95" s="20">
        <f t="shared" si="4"/>
        <v>208.1981184</v>
      </c>
      <c r="N95" s="21">
        <f t="shared" si="5"/>
        <v>2.278145455</v>
      </c>
      <c r="O95" s="21">
        <f t="shared" si="6"/>
        <v>2505.96</v>
      </c>
      <c r="P95" s="22">
        <f t="shared" si="7"/>
        <v>229017.9302</v>
      </c>
      <c r="R95" s="24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>
        <v>46094.0</v>
      </c>
      <c r="C96" s="12">
        <f>VLOOKUP(B:B,'Курс валют'!A:D,4,0)</f>
        <v>91.3893</v>
      </c>
      <c r="D96" s="13" t="s">
        <v>1026</v>
      </c>
      <c r="E96" s="59" t="s">
        <v>61</v>
      </c>
      <c r="F96" s="15">
        <v>1100.0</v>
      </c>
      <c r="G96" s="16">
        <v>1105.51</v>
      </c>
      <c r="H96" s="17">
        <v>438.5</v>
      </c>
      <c r="I96" s="16">
        <f t="shared" si="8"/>
        <v>5.51</v>
      </c>
      <c r="J96" s="18">
        <f t="shared" si="2"/>
        <v>0.5009090909</v>
      </c>
      <c r="K96" s="17">
        <v>3.49</v>
      </c>
      <c r="L96" s="19">
        <f t="shared" si="3"/>
        <v>39.86363636</v>
      </c>
      <c r="M96" s="20">
        <f t="shared" si="4"/>
        <v>208.1981184</v>
      </c>
      <c r="N96" s="21">
        <f t="shared" si="5"/>
        <v>2.278145455</v>
      </c>
      <c r="O96" s="21">
        <f t="shared" si="6"/>
        <v>2505.96</v>
      </c>
      <c r="P96" s="22">
        <f t="shared" si="7"/>
        <v>229017.9302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>
        <v>46094.0</v>
      </c>
      <c r="C97" s="12">
        <f>VLOOKUP(B:B,'Курс валют'!A:D,4,0)</f>
        <v>91.3893</v>
      </c>
      <c r="D97" s="13" t="s">
        <v>1027</v>
      </c>
      <c r="E97" s="59" t="s">
        <v>61</v>
      </c>
      <c r="F97" s="15">
        <v>1100.0</v>
      </c>
      <c r="G97" s="16">
        <v>1105.51</v>
      </c>
      <c r="H97" s="17">
        <v>438.5</v>
      </c>
      <c r="I97" s="16">
        <f t="shared" si="8"/>
        <v>5.51</v>
      </c>
      <c r="J97" s="18">
        <f t="shared" si="2"/>
        <v>0.5009090909</v>
      </c>
      <c r="K97" s="17">
        <v>3.49</v>
      </c>
      <c r="L97" s="19">
        <f t="shared" si="3"/>
        <v>39.86363636</v>
      </c>
      <c r="M97" s="20">
        <f t="shared" si="4"/>
        <v>208.1981184</v>
      </c>
      <c r="N97" s="21">
        <f t="shared" si="5"/>
        <v>2.278145455</v>
      </c>
      <c r="O97" s="21">
        <f t="shared" si="6"/>
        <v>2505.96</v>
      </c>
      <c r="P97" s="22">
        <f t="shared" si="7"/>
        <v>229017.9302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>
        <v>46094.0</v>
      </c>
      <c r="C98" s="12">
        <f>VLOOKUP(B:B,'Курс валют'!A:D,4,0)</f>
        <v>91.3893</v>
      </c>
      <c r="D98" s="13" t="s">
        <v>1028</v>
      </c>
      <c r="E98" s="59" t="s">
        <v>61</v>
      </c>
      <c r="F98" s="15">
        <v>1100.0</v>
      </c>
      <c r="G98" s="16">
        <v>1105.51</v>
      </c>
      <c r="H98" s="17">
        <v>438.5</v>
      </c>
      <c r="I98" s="16">
        <f t="shared" si="8"/>
        <v>5.51</v>
      </c>
      <c r="J98" s="18">
        <f t="shared" si="2"/>
        <v>0.5009090909</v>
      </c>
      <c r="K98" s="17">
        <v>3.49</v>
      </c>
      <c r="L98" s="19">
        <f t="shared" si="3"/>
        <v>39.86363636</v>
      </c>
      <c r="M98" s="20">
        <f t="shared" si="4"/>
        <v>208.1981184</v>
      </c>
      <c r="N98" s="21">
        <f t="shared" si="5"/>
        <v>2.278145455</v>
      </c>
      <c r="O98" s="21">
        <f t="shared" si="6"/>
        <v>2505.96</v>
      </c>
      <c r="P98" s="22">
        <f t="shared" si="7"/>
        <v>229017.9302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>
        <v>46094.0</v>
      </c>
      <c r="C99" s="12">
        <f>VLOOKUP(B:B,'Курс валют'!A:D,4,0)</f>
        <v>91.3893</v>
      </c>
      <c r="D99" s="13" t="s">
        <v>1029</v>
      </c>
      <c r="E99" s="59" t="s">
        <v>61</v>
      </c>
      <c r="F99" s="15">
        <v>1100.0</v>
      </c>
      <c r="G99" s="16">
        <v>1105.51</v>
      </c>
      <c r="H99" s="17">
        <v>438.5</v>
      </c>
      <c r="I99" s="16">
        <f t="shared" si="8"/>
        <v>5.51</v>
      </c>
      <c r="J99" s="18">
        <f t="shared" si="2"/>
        <v>0.5009090909</v>
      </c>
      <c r="K99" s="17">
        <v>3.49</v>
      </c>
      <c r="L99" s="19">
        <f t="shared" si="3"/>
        <v>39.86363636</v>
      </c>
      <c r="M99" s="20">
        <f t="shared" si="4"/>
        <v>208.1981184</v>
      </c>
      <c r="N99" s="21">
        <f t="shared" si="5"/>
        <v>2.278145455</v>
      </c>
      <c r="O99" s="21">
        <f t="shared" si="6"/>
        <v>2505.96</v>
      </c>
      <c r="P99" s="22">
        <f t="shared" si="7"/>
        <v>229017.9302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>
        <v>46094.0</v>
      </c>
      <c r="C100" s="12">
        <f>VLOOKUP(B:B,'Курс валют'!A:D,4,0)</f>
        <v>91.3893</v>
      </c>
      <c r="D100" s="13" t="s">
        <v>1030</v>
      </c>
      <c r="E100" s="59" t="s">
        <v>61</v>
      </c>
      <c r="F100" s="15">
        <v>1100.0</v>
      </c>
      <c r="G100" s="16">
        <v>1105.51</v>
      </c>
      <c r="H100" s="17">
        <v>438.5</v>
      </c>
      <c r="I100" s="16">
        <f t="shared" si="8"/>
        <v>5.51</v>
      </c>
      <c r="J100" s="18">
        <f t="shared" si="2"/>
        <v>0.5009090909</v>
      </c>
      <c r="K100" s="17">
        <v>3.49</v>
      </c>
      <c r="L100" s="19">
        <f t="shared" si="3"/>
        <v>39.86363636</v>
      </c>
      <c r="M100" s="20">
        <f t="shared" si="4"/>
        <v>208.1981184</v>
      </c>
      <c r="N100" s="21">
        <f t="shared" si="5"/>
        <v>2.278145455</v>
      </c>
      <c r="O100" s="21">
        <f t="shared" si="6"/>
        <v>2505.96</v>
      </c>
      <c r="P100" s="22">
        <f t="shared" si="7"/>
        <v>229017.9302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>
        <v>46094.0</v>
      </c>
      <c r="C101" s="12">
        <f>VLOOKUP(B:B,'Курс валют'!A:D,4,0)</f>
        <v>91.3893</v>
      </c>
      <c r="D101" s="13" t="s">
        <v>1031</v>
      </c>
      <c r="E101" s="59" t="s">
        <v>61</v>
      </c>
      <c r="F101" s="15">
        <v>1100.0</v>
      </c>
      <c r="G101" s="16">
        <v>1105.51</v>
      </c>
      <c r="H101" s="17">
        <v>438.5</v>
      </c>
      <c r="I101" s="16">
        <f t="shared" si="8"/>
        <v>5.51</v>
      </c>
      <c r="J101" s="18">
        <f t="shared" si="2"/>
        <v>0.5009090909</v>
      </c>
      <c r="K101" s="17">
        <v>3.49</v>
      </c>
      <c r="L101" s="19">
        <f t="shared" si="3"/>
        <v>39.86363636</v>
      </c>
      <c r="M101" s="20">
        <f t="shared" si="4"/>
        <v>208.1981184</v>
      </c>
      <c r="N101" s="21">
        <f t="shared" si="5"/>
        <v>2.278145455</v>
      </c>
      <c r="O101" s="21">
        <f t="shared" si="6"/>
        <v>2505.96</v>
      </c>
      <c r="P101" s="22">
        <f t="shared" si="7"/>
        <v>229017.9302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>
        <v>46094.0</v>
      </c>
      <c r="C102" s="12">
        <f>VLOOKUP(B:B,'Курс валют'!A:D,4,0)</f>
        <v>91.3893</v>
      </c>
      <c r="D102" s="13" t="s">
        <v>1032</v>
      </c>
      <c r="E102" s="59" t="s">
        <v>61</v>
      </c>
      <c r="F102" s="15">
        <v>1100.0</v>
      </c>
      <c r="G102" s="16">
        <v>1105.51</v>
      </c>
      <c r="H102" s="17">
        <v>438.5</v>
      </c>
      <c r="I102" s="16">
        <f t="shared" si="8"/>
        <v>5.51</v>
      </c>
      <c r="J102" s="18">
        <f t="shared" si="2"/>
        <v>0.5009090909</v>
      </c>
      <c r="K102" s="17">
        <v>3.49</v>
      </c>
      <c r="L102" s="19">
        <f t="shared" si="3"/>
        <v>39.86363636</v>
      </c>
      <c r="M102" s="20">
        <f t="shared" si="4"/>
        <v>208.1981184</v>
      </c>
      <c r="N102" s="21">
        <f t="shared" si="5"/>
        <v>2.278145455</v>
      </c>
      <c r="O102" s="21">
        <f t="shared" si="6"/>
        <v>2505.96</v>
      </c>
      <c r="P102" s="22">
        <f t="shared" si="7"/>
        <v>229017.9302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>
        <v>46094.0</v>
      </c>
      <c r="C103" s="12">
        <f>VLOOKUP(B:B,'Курс валют'!A:D,4,0)</f>
        <v>91.3893</v>
      </c>
      <c r="D103" s="13" t="s">
        <v>1033</v>
      </c>
      <c r="E103" s="59" t="s">
        <v>61</v>
      </c>
      <c r="F103" s="15">
        <v>1100.0</v>
      </c>
      <c r="G103" s="16">
        <v>1105.51</v>
      </c>
      <c r="H103" s="17">
        <v>438.5</v>
      </c>
      <c r="I103" s="16">
        <f t="shared" si="8"/>
        <v>5.51</v>
      </c>
      <c r="J103" s="18">
        <f t="shared" si="2"/>
        <v>0.5009090909</v>
      </c>
      <c r="K103" s="17">
        <v>3.49</v>
      </c>
      <c r="L103" s="19">
        <f t="shared" si="3"/>
        <v>39.86363636</v>
      </c>
      <c r="M103" s="20">
        <f t="shared" si="4"/>
        <v>208.1981184</v>
      </c>
      <c r="N103" s="21">
        <f t="shared" si="5"/>
        <v>2.278145455</v>
      </c>
      <c r="O103" s="21">
        <f t="shared" si="6"/>
        <v>2505.96</v>
      </c>
      <c r="P103" s="22">
        <f t="shared" si="7"/>
        <v>229017.9302</v>
      </c>
      <c r="R103" s="24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>
        <v>46094.0</v>
      </c>
      <c r="C104" s="12">
        <f>VLOOKUP(B:B,'Курс валют'!A:D,4,0)</f>
        <v>91.3893</v>
      </c>
      <c r="D104" s="13" t="s">
        <v>1034</v>
      </c>
      <c r="E104" s="59" t="s">
        <v>61</v>
      </c>
      <c r="F104" s="15">
        <v>1100.0</v>
      </c>
      <c r="G104" s="16">
        <v>1105.51</v>
      </c>
      <c r="H104" s="17">
        <v>438.5</v>
      </c>
      <c r="I104" s="16">
        <f t="shared" si="8"/>
        <v>5.51</v>
      </c>
      <c r="J104" s="18">
        <f t="shared" si="2"/>
        <v>0.5009090909</v>
      </c>
      <c r="K104" s="17">
        <v>3.49</v>
      </c>
      <c r="L104" s="19">
        <f t="shared" si="3"/>
        <v>39.86363636</v>
      </c>
      <c r="M104" s="20">
        <f t="shared" si="4"/>
        <v>208.1981184</v>
      </c>
      <c r="N104" s="21">
        <f t="shared" si="5"/>
        <v>2.278145455</v>
      </c>
      <c r="O104" s="21">
        <f t="shared" si="6"/>
        <v>2505.96</v>
      </c>
      <c r="P104" s="22">
        <f t="shared" si="7"/>
        <v>229017.9302</v>
      </c>
      <c r="R104" s="24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>
        <v>46095.0</v>
      </c>
      <c r="C105" s="12">
        <f>VLOOKUP(B:B,'Курс валют'!A:D,4,0)</f>
        <v>91.9847</v>
      </c>
      <c r="D105" s="13" t="s">
        <v>1035</v>
      </c>
      <c r="E105" s="59" t="s">
        <v>107</v>
      </c>
      <c r="F105" s="15">
        <v>1920.0</v>
      </c>
      <c r="G105" s="16">
        <v>1964.8</v>
      </c>
      <c r="H105" s="17">
        <v>0.0</v>
      </c>
      <c r="I105" s="16">
        <f t="shared" si="8"/>
        <v>44.8</v>
      </c>
      <c r="J105" s="18">
        <f t="shared" si="2"/>
        <v>2.333333333</v>
      </c>
      <c r="K105" s="17">
        <v>2.68</v>
      </c>
      <c r="L105" s="19">
        <f t="shared" si="3"/>
        <v>0</v>
      </c>
      <c r="M105" s="20">
        <f t="shared" si="4"/>
        <v>246.518996</v>
      </c>
      <c r="N105" s="21">
        <f t="shared" si="5"/>
        <v>2.68</v>
      </c>
      <c r="O105" s="21">
        <f t="shared" si="6"/>
        <v>5145.6</v>
      </c>
      <c r="P105" s="22">
        <f t="shared" si="7"/>
        <v>473316.4723</v>
      </c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>
        <v>46095.0</v>
      </c>
      <c r="C106" s="12">
        <f>VLOOKUP(B:B,'Курс валют'!A:D,4,0)</f>
        <v>91.9847</v>
      </c>
      <c r="D106" s="13" t="s">
        <v>1036</v>
      </c>
      <c r="E106" s="59" t="s">
        <v>61</v>
      </c>
      <c r="F106" s="15">
        <v>1100.0</v>
      </c>
      <c r="G106" s="16">
        <v>1105.51</v>
      </c>
      <c r="H106" s="17">
        <v>438.5</v>
      </c>
      <c r="I106" s="16">
        <f t="shared" si="8"/>
        <v>5.51</v>
      </c>
      <c r="J106" s="18">
        <f t="shared" si="2"/>
        <v>0.5009090909</v>
      </c>
      <c r="K106" s="17">
        <v>3.49</v>
      </c>
      <c r="L106" s="19">
        <f t="shared" si="3"/>
        <v>39.86363636</v>
      </c>
      <c r="M106" s="20">
        <f t="shared" si="4"/>
        <v>209.5545262</v>
      </c>
      <c r="N106" s="21">
        <f t="shared" si="5"/>
        <v>2.278145455</v>
      </c>
      <c r="O106" s="21">
        <f t="shared" si="6"/>
        <v>2505.96</v>
      </c>
      <c r="P106" s="22">
        <f t="shared" si="7"/>
        <v>230509.9788</v>
      </c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>
        <v>46095.0</v>
      </c>
      <c r="C107" s="12">
        <f>VLOOKUP(B:B,'Курс валют'!A:D,4,0)</f>
        <v>91.9847</v>
      </c>
      <c r="D107" s="13" t="s">
        <v>1037</v>
      </c>
      <c r="E107" s="59" t="s">
        <v>61</v>
      </c>
      <c r="F107" s="15">
        <v>1100.0</v>
      </c>
      <c r="G107" s="16">
        <v>1105.51</v>
      </c>
      <c r="H107" s="17">
        <v>438.5</v>
      </c>
      <c r="I107" s="16">
        <f t="shared" si="8"/>
        <v>5.51</v>
      </c>
      <c r="J107" s="18">
        <f t="shared" si="2"/>
        <v>0.5009090909</v>
      </c>
      <c r="K107" s="17">
        <v>3.49</v>
      </c>
      <c r="L107" s="19">
        <f t="shared" si="3"/>
        <v>39.86363636</v>
      </c>
      <c r="M107" s="20">
        <f t="shared" si="4"/>
        <v>209.5545262</v>
      </c>
      <c r="N107" s="21">
        <f t="shared" si="5"/>
        <v>2.278145455</v>
      </c>
      <c r="O107" s="21">
        <f t="shared" si="6"/>
        <v>2505.96</v>
      </c>
      <c r="P107" s="22">
        <f t="shared" si="7"/>
        <v>230509.9788</v>
      </c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>
        <v>46095.0</v>
      </c>
      <c r="C108" s="12">
        <f>VLOOKUP(B:B,'Курс валют'!A:D,4,0)</f>
        <v>91.9847</v>
      </c>
      <c r="D108" s="13" t="s">
        <v>1038</v>
      </c>
      <c r="E108" s="59" t="s">
        <v>61</v>
      </c>
      <c r="F108" s="15">
        <v>1100.0</v>
      </c>
      <c r="G108" s="16">
        <v>1105.51</v>
      </c>
      <c r="H108" s="17">
        <v>438.5</v>
      </c>
      <c r="I108" s="16">
        <f t="shared" si="8"/>
        <v>5.51</v>
      </c>
      <c r="J108" s="18">
        <f t="shared" si="2"/>
        <v>0.5009090909</v>
      </c>
      <c r="K108" s="17">
        <v>3.49</v>
      </c>
      <c r="L108" s="19">
        <f t="shared" si="3"/>
        <v>39.86363636</v>
      </c>
      <c r="M108" s="20">
        <f t="shared" si="4"/>
        <v>209.5545262</v>
      </c>
      <c r="N108" s="21">
        <f t="shared" si="5"/>
        <v>2.278145455</v>
      </c>
      <c r="O108" s="21">
        <f t="shared" si="6"/>
        <v>2505.96</v>
      </c>
      <c r="P108" s="22">
        <f t="shared" si="7"/>
        <v>230509.9788</v>
      </c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>
        <v>46095.0</v>
      </c>
      <c r="C109" s="12">
        <f>VLOOKUP(B:B,'Курс валют'!A:D,4,0)</f>
        <v>91.9847</v>
      </c>
      <c r="D109" s="13" t="s">
        <v>1039</v>
      </c>
      <c r="E109" s="59" t="s">
        <v>61</v>
      </c>
      <c r="F109" s="15">
        <v>1100.0</v>
      </c>
      <c r="G109" s="16">
        <v>1105.51</v>
      </c>
      <c r="H109" s="17">
        <v>438.5</v>
      </c>
      <c r="I109" s="16">
        <f t="shared" si="8"/>
        <v>5.51</v>
      </c>
      <c r="J109" s="18">
        <f t="shared" si="2"/>
        <v>0.5009090909</v>
      </c>
      <c r="K109" s="17">
        <v>3.49</v>
      </c>
      <c r="L109" s="19">
        <f t="shared" si="3"/>
        <v>39.86363636</v>
      </c>
      <c r="M109" s="20">
        <f t="shared" si="4"/>
        <v>209.5545262</v>
      </c>
      <c r="N109" s="21">
        <f t="shared" si="5"/>
        <v>2.278145455</v>
      </c>
      <c r="O109" s="21">
        <f t="shared" si="6"/>
        <v>2505.96</v>
      </c>
      <c r="P109" s="22">
        <f t="shared" si="7"/>
        <v>230509.9788</v>
      </c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>
        <v>46095.0</v>
      </c>
      <c r="C110" s="12">
        <f>VLOOKUP(B:B,'Курс валют'!A:D,4,0)</f>
        <v>91.9847</v>
      </c>
      <c r="D110" s="13" t="s">
        <v>1040</v>
      </c>
      <c r="E110" s="59" t="s">
        <v>61</v>
      </c>
      <c r="F110" s="15">
        <v>1100.0</v>
      </c>
      <c r="G110" s="16">
        <v>1105.51</v>
      </c>
      <c r="H110" s="17">
        <v>438.5</v>
      </c>
      <c r="I110" s="16">
        <f t="shared" si="8"/>
        <v>5.51</v>
      </c>
      <c r="J110" s="18">
        <f t="shared" si="2"/>
        <v>0.5009090909</v>
      </c>
      <c r="K110" s="17">
        <v>3.49</v>
      </c>
      <c r="L110" s="19">
        <f t="shared" si="3"/>
        <v>39.86363636</v>
      </c>
      <c r="M110" s="20">
        <f t="shared" si="4"/>
        <v>209.5545262</v>
      </c>
      <c r="N110" s="21">
        <f t="shared" si="5"/>
        <v>2.278145455</v>
      </c>
      <c r="O110" s="21">
        <f t="shared" si="6"/>
        <v>2505.96</v>
      </c>
      <c r="P110" s="22">
        <f t="shared" si="7"/>
        <v>230509.9788</v>
      </c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>
        <v>46095.0</v>
      </c>
      <c r="C111" s="12">
        <f>VLOOKUP(B:B,'Курс валют'!A:D,4,0)</f>
        <v>91.9847</v>
      </c>
      <c r="D111" s="13" t="s">
        <v>1041</v>
      </c>
      <c r="E111" s="59" t="s">
        <v>61</v>
      </c>
      <c r="F111" s="15">
        <v>1100.0</v>
      </c>
      <c r="G111" s="16">
        <v>1105.51</v>
      </c>
      <c r="H111" s="17">
        <v>438.5</v>
      </c>
      <c r="I111" s="16">
        <f t="shared" si="8"/>
        <v>5.51</v>
      </c>
      <c r="J111" s="18">
        <f t="shared" si="2"/>
        <v>0.5009090909</v>
      </c>
      <c r="K111" s="17">
        <v>3.49</v>
      </c>
      <c r="L111" s="19">
        <f t="shared" si="3"/>
        <v>39.86363636</v>
      </c>
      <c r="M111" s="20">
        <f t="shared" si="4"/>
        <v>209.5545262</v>
      </c>
      <c r="N111" s="21">
        <f t="shared" si="5"/>
        <v>2.278145455</v>
      </c>
      <c r="O111" s="21">
        <f t="shared" si="6"/>
        <v>2505.96</v>
      </c>
      <c r="P111" s="22">
        <f t="shared" si="7"/>
        <v>230509.9788</v>
      </c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>
        <v>46095.0</v>
      </c>
      <c r="C112" s="12">
        <f>VLOOKUP(B:B,'Курс валют'!A:D,4,0)</f>
        <v>91.9847</v>
      </c>
      <c r="D112" s="13" t="s">
        <v>1042</v>
      </c>
      <c r="E112" s="59" t="s">
        <v>61</v>
      </c>
      <c r="F112" s="15">
        <v>1100.0</v>
      </c>
      <c r="G112" s="16">
        <v>1105.51</v>
      </c>
      <c r="H112" s="17">
        <v>438.5</v>
      </c>
      <c r="I112" s="16">
        <f t="shared" si="8"/>
        <v>5.51</v>
      </c>
      <c r="J112" s="18">
        <f t="shared" si="2"/>
        <v>0.5009090909</v>
      </c>
      <c r="K112" s="17">
        <v>3.49</v>
      </c>
      <c r="L112" s="19">
        <f t="shared" si="3"/>
        <v>39.86363636</v>
      </c>
      <c r="M112" s="20">
        <f t="shared" si="4"/>
        <v>209.5545262</v>
      </c>
      <c r="N112" s="21">
        <f t="shared" si="5"/>
        <v>2.278145455</v>
      </c>
      <c r="O112" s="21">
        <f t="shared" si="6"/>
        <v>2505.96</v>
      </c>
      <c r="P112" s="22">
        <f t="shared" si="7"/>
        <v>230509.9788</v>
      </c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>
        <v>46095.0</v>
      </c>
      <c r="C113" s="12">
        <f>VLOOKUP(B:B,'Курс валют'!A:D,4,0)</f>
        <v>91.9847</v>
      </c>
      <c r="D113" s="13" t="s">
        <v>1043</v>
      </c>
      <c r="E113" s="59" t="s">
        <v>61</v>
      </c>
      <c r="F113" s="15">
        <v>1100.0</v>
      </c>
      <c r="G113" s="16">
        <v>1105.51</v>
      </c>
      <c r="H113" s="17">
        <v>438.5</v>
      </c>
      <c r="I113" s="16">
        <f t="shared" si="8"/>
        <v>5.51</v>
      </c>
      <c r="J113" s="18">
        <f t="shared" si="2"/>
        <v>0.5009090909</v>
      </c>
      <c r="K113" s="17">
        <v>3.49</v>
      </c>
      <c r="L113" s="19">
        <f t="shared" si="3"/>
        <v>39.86363636</v>
      </c>
      <c r="M113" s="20">
        <f t="shared" si="4"/>
        <v>209.5545262</v>
      </c>
      <c r="N113" s="21">
        <f t="shared" si="5"/>
        <v>2.278145455</v>
      </c>
      <c r="O113" s="21">
        <f t="shared" si="6"/>
        <v>2505.96</v>
      </c>
      <c r="P113" s="22">
        <f t="shared" si="7"/>
        <v>230509.9788</v>
      </c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>
        <v>46095.0</v>
      </c>
      <c r="C114" s="12">
        <f>VLOOKUP(B:B,'Курс валют'!A:D,4,0)</f>
        <v>91.9847</v>
      </c>
      <c r="D114" s="13" t="s">
        <v>1044</v>
      </c>
      <c r="E114" s="59" t="s">
        <v>61</v>
      </c>
      <c r="F114" s="15">
        <v>1100.0</v>
      </c>
      <c r="G114" s="16">
        <v>1105.51</v>
      </c>
      <c r="H114" s="17">
        <v>438.5</v>
      </c>
      <c r="I114" s="16">
        <f t="shared" si="8"/>
        <v>5.51</v>
      </c>
      <c r="J114" s="18">
        <f t="shared" si="2"/>
        <v>0.5009090909</v>
      </c>
      <c r="K114" s="17">
        <v>3.49</v>
      </c>
      <c r="L114" s="19">
        <f t="shared" si="3"/>
        <v>39.86363636</v>
      </c>
      <c r="M114" s="20">
        <f t="shared" si="4"/>
        <v>209.5545262</v>
      </c>
      <c r="N114" s="21">
        <f t="shared" si="5"/>
        <v>2.278145455</v>
      </c>
      <c r="O114" s="21">
        <f t="shared" si="6"/>
        <v>2505.96</v>
      </c>
      <c r="P114" s="22">
        <f t="shared" si="7"/>
        <v>230509.9788</v>
      </c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>
        <v>46095.0</v>
      </c>
      <c r="C115" s="12">
        <f>VLOOKUP(B:B,'Курс валют'!A:D,4,0)</f>
        <v>91.9847</v>
      </c>
      <c r="D115" s="13" t="s">
        <v>1045</v>
      </c>
      <c r="E115" s="59" t="s">
        <v>61</v>
      </c>
      <c r="F115" s="15">
        <v>1100.0</v>
      </c>
      <c r="G115" s="16">
        <v>1105.51</v>
      </c>
      <c r="H115" s="17">
        <v>438.5</v>
      </c>
      <c r="I115" s="16">
        <f t="shared" si="8"/>
        <v>5.51</v>
      </c>
      <c r="J115" s="18">
        <f t="shared" si="2"/>
        <v>0.5009090909</v>
      </c>
      <c r="K115" s="17">
        <v>3.49</v>
      </c>
      <c r="L115" s="19">
        <f t="shared" si="3"/>
        <v>39.86363636</v>
      </c>
      <c r="M115" s="20">
        <f t="shared" si="4"/>
        <v>209.5545262</v>
      </c>
      <c r="N115" s="21">
        <f t="shared" si="5"/>
        <v>2.278145455</v>
      </c>
      <c r="O115" s="21">
        <f t="shared" si="6"/>
        <v>2505.96</v>
      </c>
      <c r="P115" s="22">
        <f t="shared" si="7"/>
        <v>230509.9788</v>
      </c>
      <c r="R115" s="24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>
        <v>46096.0</v>
      </c>
      <c r="C116" s="12">
        <f>VLOOKUP(B:B,'Курс валют'!A:D,4,0)</f>
        <v>91.9847</v>
      </c>
      <c r="D116" s="13" t="s">
        <v>1046</v>
      </c>
      <c r="E116" s="59" t="s">
        <v>98</v>
      </c>
      <c r="F116" s="15">
        <v>7020.0</v>
      </c>
      <c r="G116" s="15">
        <v>7058.0</v>
      </c>
      <c r="H116" s="17">
        <v>0.0</v>
      </c>
      <c r="I116" s="15">
        <f t="shared" si="8"/>
        <v>38</v>
      </c>
      <c r="J116" s="18">
        <f t="shared" si="2"/>
        <v>0.5413105413</v>
      </c>
      <c r="K116" s="17">
        <v>2.04</v>
      </c>
      <c r="L116" s="19">
        <f t="shared" si="3"/>
        <v>0</v>
      </c>
      <c r="M116" s="20">
        <f t="shared" si="4"/>
        <v>187.648788</v>
      </c>
      <c r="N116" s="21">
        <f t="shared" si="5"/>
        <v>2.04</v>
      </c>
      <c r="O116" s="21">
        <f t="shared" si="6"/>
        <v>14320.8</v>
      </c>
      <c r="P116" s="22">
        <f t="shared" si="7"/>
        <v>1317294.492</v>
      </c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>
        <v>46096.0</v>
      </c>
      <c r="C117" s="12">
        <f>VLOOKUP(B:B,'Курс валют'!A:D,4,0)</f>
        <v>91.9847</v>
      </c>
      <c r="D117" s="13" t="s">
        <v>1046</v>
      </c>
      <c r="E117" s="59" t="s">
        <v>857</v>
      </c>
      <c r="F117" s="15">
        <v>360.0</v>
      </c>
      <c r="G117" s="16">
        <v>362.0</v>
      </c>
      <c r="H117" s="17">
        <v>0.0</v>
      </c>
      <c r="I117" s="16">
        <f t="shared" si="8"/>
        <v>2</v>
      </c>
      <c r="J117" s="18">
        <f t="shared" si="2"/>
        <v>0.5555555556</v>
      </c>
      <c r="K117" s="17">
        <v>2.04</v>
      </c>
      <c r="L117" s="19">
        <f t="shared" si="3"/>
        <v>0</v>
      </c>
      <c r="M117" s="20">
        <f t="shared" si="4"/>
        <v>187.648788</v>
      </c>
      <c r="N117" s="21">
        <f t="shared" si="5"/>
        <v>2.04</v>
      </c>
      <c r="O117" s="21">
        <f t="shared" si="6"/>
        <v>734.4</v>
      </c>
      <c r="P117" s="22">
        <f t="shared" si="7"/>
        <v>67553.56368</v>
      </c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>
        <v>46096.0</v>
      </c>
      <c r="C118" s="12">
        <f>VLOOKUP(B:B,'Курс валют'!A:D,4,0)</f>
        <v>91.9847</v>
      </c>
      <c r="D118" s="13" t="s">
        <v>1047</v>
      </c>
      <c r="E118" s="59" t="s">
        <v>107</v>
      </c>
      <c r="F118" s="15">
        <v>1920.0</v>
      </c>
      <c r="G118" s="16">
        <v>1964.8</v>
      </c>
      <c r="H118" s="17">
        <v>0.0</v>
      </c>
      <c r="I118" s="16">
        <f t="shared" si="8"/>
        <v>44.8</v>
      </c>
      <c r="J118" s="18">
        <f t="shared" si="2"/>
        <v>2.333333333</v>
      </c>
      <c r="K118" s="17">
        <v>2.68</v>
      </c>
      <c r="L118" s="19">
        <f t="shared" si="3"/>
        <v>0</v>
      </c>
      <c r="M118" s="20">
        <f t="shared" si="4"/>
        <v>246.518996</v>
      </c>
      <c r="N118" s="21">
        <f t="shared" si="5"/>
        <v>2.68</v>
      </c>
      <c r="O118" s="21">
        <f t="shared" si="6"/>
        <v>5145.6</v>
      </c>
      <c r="P118" s="22">
        <f t="shared" si="7"/>
        <v>473316.4723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>
        <v>46097.0</v>
      </c>
      <c r="C119" s="12">
        <f>VLOOKUP(B:B,'Курс валют'!A:D,4,0)</f>
        <v>91.9847</v>
      </c>
      <c r="D119" s="13" t="s">
        <v>406</v>
      </c>
      <c r="E119" s="59" t="s">
        <v>122</v>
      </c>
      <c r="F119" s="15">
        <v>69.54</v>
      </c>
      <c r="G119" s="16">
        <v>71.1975</v>
      </c>
      <c r="H119" s="17">
        <v>0.0</v>
      </c>
      <c r="I119" s="16">
        <f t="shared" si="8"/>
        <v>1.6575</v>
      </c>
      <c r="J119" s="18">
        <f t="shared" si="2"/>
        <v>2.383520276</v>
      </c>
      <c r="K119" s="17">
        <v>2.01</v>
      </c>
      <c r="L119" s="19">
        <f t="shared" si="3"/>
        <v>0</v>
      </c>
      <c r="M119" s="20">
        <f t="shared" si="4"/>
        <v>184.889247</v>
      </c>
      <c r="N119" s="21">
        <f t="shared" si="5"/>
        <v>2.01</v>
      </c>
      <c r="O119" s="21">
        <f t="shared" si="6"/>
        <v>139.7754</v>
      </c>
      <c r="P119" s="22">
        <f t="shared" si="7"/>
        <v>12857.19824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>
        <v>46097.0</v>
      </c>
      <c r="C120" s="12">
        <f>VLOOKUP(B:B,'Курс валют'!A:D,4,0)</f>
        <v>91.9847</v>
      </c>
      <c r="D120" s="13" t="s">
        <v>406</v>
      </c>
      <c r="E120" s="59" t="s">
        <v>124</v>
      </c>
      <c r="F120" s="15">
        <v>115.9</v>
      </c>
      <c r="G120" s="16">
        <v>118.6625</v>
      </c>
      <c r="H120" s="17">
        <v>0.0</v>
      </c>
      <c r="I120" s="16">
        <f t="shared" si="8"/>
        <v>2.7625</v>
      </c>
      <c r="J120" s="18">
        <f t="shared" si="2"/>
        <v>2.383520276</v>
      </c>
      <c r="K120" s="17">
        <v>2.01</v>
      </c>
      <c r="L120" s="19">
        <f t="shared" si="3"/>
        <v>0</v>
      </c>
      <c r="M120" s="20">
        <f t="shared" si="4"/>
        <v>184.889247</v>
      </c>
      <c r="N120" s="21">
        <f t="shared" si="5"/>
        <v>2.01</v>
      </c>
      <c r="O120" s="21">
        <f t="shared" si="6"/>
        <v>232.959</v>
      </c>
      <c r="P120" s="22">
        <f t="shared" si="7"/>
        <v>21428.66373</v>
      </c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>
        <v>46098.0</v>
      </c>
      <c r="C121" s="12">
        <f>VLOOKUP(B:B,'Курс валют'!A:D,4,0)</f>
        <v>92.6555</v>
      </c>
      <c r="D121" s="13" t="s">
        <v>1048</v>
      </c>
      <c r="E121" s="59" t="s">
        <v>54</v>
      </c>
      <c r="F121" s="15">
        <v>800.0</v>
      </c>
      <c r="G121" s="16">
        <v>804.34</v>
      </c>
      <c r="H121" s="17">
        <v>0.0</v>
      </c>
      <c r="I121" s="16">
        <f t="shared" si="8"/>
        <v>4.34</v>
      </c>
      <c r="J121" s="18">
        <f t="shared" si="2"/>
        <v>0.5425</v>
      </c>
      <c r="K121" s="17">
        <v>1.97</v>
      </c>
      <c r="L121" s="19">
        <f t="shared" si="3"/>
        <v>0</v>
      </c>
      <c r="M121" s="20">
        <f t="shared" si="4"/>
        <v>182.531335</v>
      </c>
      <c r="N121" s="21">
        <f t="shared" si="5"/>
        <v>1.97</v>
      </c>
      <c r="O121" s="21">
        <f t="shared" si="6"/>
        <v>1576</v>
      </c>
      <c r="P121" s="22">
        <f t="shared" si="7"/>
        <v>146025.068</v>
      </c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>
        <v>46098.0</v>
      </c>
      <c r="C122" s="12">
        <f>VLOOKUP(B:B,'Курс валют'!A:D,4,0)</f>
        <v>92.6555</v>
      </c>
      <c r="D122" s="13" t="s">
        <v>1049</v>
      </c>
      <c r="E122" s="59" t="s">
        <v>54</v>
      </c>
      <c r="F122" s="15">
        <v>800.0</v>
      </c>
      <c r="G122" s="16">
        <v>804.34</v>
      </c>
      <c r="H122" s="17">
        <v>0.0</v>
      </c>
      <c r="I122" s="16">
        <f t="shared" si="8"/>
        <v>4.34</v>
      </c>
      <c r="J122" s="18">
        <f t="shared" si="2"/>
        <v>0.5425</v>
      </c>
      <c r="K122" s="17">
        <v>1.97</v>
      </c>
      <c r="L122" s="19">
        <f t="shared" si="3"/>
        <v>0</v>
      </c>
      <c r="M122" s="20">
        <f t="shared" si="4"/>
        <v>182.531335</v>
      </c>
      <c r="N122" s="21">
        <f t="shared" si="5"/>
        <v>1.97</v>
      </c>
      <c r="O122" s="21">
        <f t="shared" si="6"/>
        <v>1576</v>
      </c>
      <c r="P122" s="22">
        <f t="shared" si="7"/>
        <v>146025.068</v>
      </c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>
        <v>46098.0</v>
      </c>
      <c r="C123" s="12">
        <f>VLOOKUP(B:B,'Курс валют'!A:D,4,0)</f>
        <v>92.6555</v>
      </c>
      <c r="D123" s="13" t="s">
        <v>1050</v>
      </c>
      <c r="E123" s="59" t="s">
        <v>54</v>
      </c>
      <c r="F123" s="15">
        <v>800.0</v>
      </c>
      <c r="G123" s="16">
        <v>804.34</v>
      </c>
      <c r="H123" s="17">
        <v>0.0</v>
      </c>
      <c r="I123" s="16">
        <f t="shared" si="8"/>
        <v>4.34</v>
      </c>
      <c r="J123" s="18">
        <f t="shared" si="2"/>
        <v>0.5425</v>
      </c>
      <c r="K123" s="17">
        <v>1.98</v>
      </c>
      <c r="L123" s="19">
        <f t="shared" si="3"/>
        <v>0</v>
      </c>
      <c r="M123" s="20">
        <f t="shared" si="4"/>
        <v>183.45789</v>
      </c>
      <c r="N123" s="21">
        <f t="shared" si="5"/>
        <v>1.98</v>
      </c>
      <c r="O123" s="21">
        <f t="shared" si="6"/>
        <v>1584</v>
      </c>
      <c r="P123" s="22">
        <f t="shared" si="7"/>
        <v>146766.312</v>
      </c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>
        <v>46098.0</v>
      </c>
      <c r="C124" s="12">
        <f>VLOOKUP(B:B,'Курс валют'!A:D,4,0)</f>
        <v>92.6555</v>
      </c>
      <c r="D124" s="13" t="s">
        <v>1051</v>
      </c>
      <c r="E124" s="59" t="s">
        <v>54</v>
      </c>
      <c r="F124" s="15">
        <v>800.0</v>
      </c>
      <c r="G124" s="16">
        <v>804.34</v>
      </c>
      <c r="H124" s="17">
        <v>0.0</v>
      </c>
      <c r="I124" s="16">
        <f t="shared" si="8"/>
        <v>4.34</v>
      </c>
      <c r="J124" s="18">
        <f t="shared" si="2"/>
        <v>0.5425</v>
      </c>
      <c r="K124" s="17">
        <v>1.98</v>
      </c>
      <c r="L124" s="19">
        <f t="shared" si="3"/>
        <v>0</v>
      </c>
      <c r="M124" s="20">
        <f t="shared" si="4"/>
        <v>183.45789</v>
      </c>
      <c r="N124" s="21">
        <f t="shared" si="5"/>
        <v>1.98</v>
      </c>
      <c r="O124" s="21">
        <f t="shared" si="6"/>
        <v>1584</v>
      </c>
      <c r="P124" s="22">
        <f t="shared" si="7"/>
        <v>146766.312</v>
      </c>
      <c r="R124" s="24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B125" s="11">
        <v>46098.0</v>
      </c>
      <c r="C125" s="12">
        <f>VLOOKUP(B:B,'Курс валют'!A:D,4,0)</f>
        <v>92.6555</v>
      </c>
      <c r="D125" s="13" t="s">
        <v>1052</v>
      </c>
      <c r="E125" s="59" t="s">
        <v>54</v>
      </c>
      <c r="F125" s="15">
        <v>800.0</v>
      </c>
      <c r="G125" s="16">
        <v>804.34</v>
      </c>
      <c r="H125" s="17">
        <v>0.0</v>
      </c>
      <c r="I125" s="16">
        <f t="shared" si="8"/>
        <v>4.34</v>
      </c>
      <c r="J125" s="18">
        <f t="shared" si="2"/>
        <v>0.5425</v>
      </c>
      <c r="K125" s="17">
        <v>1.99</v>
      </c>
      <c r="L125" s="19">
        <f t="shared" si="3"/>
        <v>0</v>
      </c>
      <c r="M125" s="20">
        <f t="shared" si="4"/>
        <v>184.384445</v>
      </c>
      <c r="N125" s="21">
        <f t="shared" si="5"/>
        <v>1.99</v>
      </c>
      <c r="O125" s="21">
        <f t="shared" si="6"/>
        <v>1592</v>
      </c>
      <c r="P125" s="22">
        <f t="shared" si="7"/>
        <v>147507.556</v>
      </c>
    </row>
    <row r="126">
      <c r="B126" s="11">
        <v>46098.0</v>
      </c>
      <c r="C126" s="12">
        <f>VLOOKUP(B:B,'Курс валют'!A:D,4,0)</f>
        <v>92.6555</v>
      </c>
      <c r="D126" s="13" t="s">
        <v>1053</v>
      </c>
      <c r="E126" s="59" t="s">
        <v>54</v>
      </c>
      <c r="F126" s="15">
        <v>800.0</v>
      </c>
      <c r="G126" s="16">
        <v>804.34</v>
      </c>
      <c r="H126" s="17">
        <v>0.0</v>
      </c>
      <c r="I126" s="16">
        <f t="shared" si="8"/>
        <v>4.34</v>
      </c>
      <c r="J126" s="18">
        <f t="shared" si="2"/>
        <v>0.5425</v>
      </c>
      <c r="K126" s="17">
        <v>1.99</v>
      </c>
      <c r="L126" s="19">
        <f t="shared" si="3"/>
        <v>0</v>
      </c>
      <c r="M126" s="20">
        <f t="shared" si="4"/>
        <v>184.384445</v>
      </c>
      <c r="N126" s="21">
        <f t="shared" si="5"/>
        <v>1.99</v>
      </c>
      <c r="O126" s="21">
        <f t="shared" si="6"/>
        <v>1592</v>
      </c>
      <c r="P126" s="22">
        <f t="shared" si="7"/>
        <v>147507.556</v>
      </c>
    </row>
    <row r="127">
      <c r="B127" s="11">
        <v>46098.0</v>
      </c>
      <c r="C127" s="12">
        <f>VLOOKUP(B:B,'Курс валют'!A:D,4,0)</f>
        <v>92.6555</v>
      </c>
      <c r="D127" s="13" t="s">
        <v>1054</v>
      </c>
      <c r="E127" s="59" t="s">
        <v>54</v>
      </c>
      <c r="F127" s="15">
        <v>800.0</v>
      </c>
      <c r="G127" s="16">
        <v>804.34</v>
      </c>
      <c r="H127" s="17">
        <v>0.0</v>
      </c>
      <c r="I127" s="16">
        <f t="shared" si="8"/>
        <v>4.34</v>
      </c>
      <c r="J127" s="18">
        <f t="shared" si="2"/>
        <v>0.5425</v>
      </c>
      <c r="K127" s="17">
        <v>1.99</v>
      </c>
      <c r="L127" s="19">
        <f t="shared" si="3"/>
        <v>0</v>
      </c>
      <c r="M127" s="20">
        <f t="shared" si="4"/>
        <v>184.384445</v>
      </c>
      <c r="N127" s="21">
        <f t="shared" si="5"/>
        <v>1.99</v>
      </c>
      <c r="O127" s="21">
        <f t="shared" si="6"/>
        <v>1592</v>
      </c>
      <c r="P127" s="22">
        <f t="shared" si="7"/>
        <v>147507.556</v>
      </c>
    </row>
    <row r="128">
      <c r="B128" s="11">
        <v>46098.0</v>
      </c>
      <c r="C128" s="12">
        <f>VLOOKUP(B:B,'Курс валют'!A:D,4,0)</f>
        <v>92.6555</v>
      </c>
      <c r="D128" s="13" t="s">
        <v>1055</v>
      </c>
      <c r="E128" s="59" t="s">
        <v>54</v>
      </c>
      <c r="F128" s="15">
        <v>800.0</v>
      </c>
      <c r="G128" s="16">
        <v>804.34</v>
      </c>
      <c r="H128" s="17">
        <v>0.0</v>
      </c>
      <c r="I128" s="16">
        <f t="shared" si="8"/>
        <v>4.34</v>
      </c>
      <c r="J128" s="18">
        <f t="shared" si="2"/>
        <v>0.5425</v>
      </c>
      <c r="K128" s="17">
        <v>1.99</v>
      </c>
      <c r="L128" s="19">
        <f t="shared" si="3"/>
        <v>0</v>
      </c>
      <c r="M128" s="20">
        <f t="shared" si="4"/>
        <v>184.384445</v>
      </c>
      <c r="N128" s="21">
        <f t="shared" si="5"/>
        <v>1.99</v>
      </c>
      <c r="O128" s="21">
        <f t="shared" si="6"/>
        <v>1592</v>
      </c>
      <c r="P128" s="22">
        <f t="shared" si="7"/>
        <v>147507.556</v>
      </c>
    </row>
    <row r="129">
      <c r="B129" s="11">
        <v>46098.0</v>
      </c>
      <c r="C129" s="12">
        <f>VLOOKUP(B:B,'Курс валют'!A:D,4,0)</f>
        <v>92.6555</v>
      </c>
      <c r="D129" s="13" t="s">
        <v>1056</v>
      </c>
      <c r="E129" s="59" t="s">
        <v>54</v>
      </c>
      <c r="F129" s="15">
        <v>800.0</v>
      </c>
      <c r="G129" s="16">
        <v>804.34</v>
      </c>
      <c r="H129" s="17">
        <v>0.0</v>
      </c>
      <c r="I129" s="16">
        <f t="shared" si="8"/>
        <v>4.34</v>
      </c>
      <c r="J129" s="18">
        <f t="shared" si="2"/>
        <v>0.5425</v>
      </c>
      <c r="K129" s="17">
        <v>1.99</v>
      </c>
      <c r="L129" s="19">
        <f t="shared" si="3"/>
        <v>0</v>
      </c>
      <c r="M129" s="20">
        <f t="shared" si="4"/>
        <v>184.384445</v>
      </c>
      <c r="N129" s="21">
        <f t="shared" si="5"/>
        <v>1.99</v>
      </c>
      <c r="O129" s="21">
        <f t="shared" si="6"/>
        <v>1592</v>
      </c>
      <c r="P129" s="22">
        <f t="shared" si="7"/>
        <v>147507.556</v>
      </c>
    </row>
    <row r="130">
      <c r="B130" s="11">
        <v>46098.0</v>
      </c>
      <c r="C130" s="12">
        <f>VLOOKUP(B:B,'Курс валют'!A:D,4,0)</f>
        <v>92.6555</v>
      </c>
      <c r="D130" s="13" t="s">
        <v>1057</v>
      </c>
      <c r="E130" s="59" t="s">
        <v>54</v>
      </c>
      <c r="F130" s="15">
        <v>800.0</v>
      </c>
      <c r="G130" s="16">
        <v>804.34</v>
      </c>
      <c r="H130" s="17">
        <v>0.0</v>
      </c>
      <c r="I130" s="16">
        <f t="shared" si="8"/>
        <v>4.34</v>
      </c>
      <c r="J130" s="18">
        <f t="shared" si="2"/>
        <v>0.5425</v>
      </c>
      <c r="K130" s="17">
        <v>1.99</v>
      </c>
      <c r="L130" s="19">
        <f t="shared" si="3"/>
        <v>0</v>
      </c>
      <c r="M130" s="20">
        <f t="shared" si="4"/>
        <v>184.384445</v>
      </c>
      <c r="N130" s="21">
        <f t="shared" si="5"/>
        <v>1.99</v>
      </c>
      <c r="O130" s="21">
        <f t="shared" si="6"/>
        <v>1592</v>
      </c>
      <c r="P130" s="22">
        <f t="shared" si="7"/>
        <v>147507.556</v>
      </c>
    </row>
    <row r="131">
      <c r="B131" s="11">
        <v>46098.0</v>
      </c>
      <c r="C131" s="12">
        <f>VLOOKUP(B:B,'Курс валют'!A:D,4,0)</f>
        <v>92.6555</v>
      </c>
      <c r="D131" s="13" t="s">
        <v>1058</v>
      </c>
      <c r="E131" s="59" t="s">
        <v>106</v>
      </c>
      <c r="F131" s="15">
        <v>800.0</v>
      </c>
      <c r="G131" s="16">
        <v>804.5</v>
      </c>
      <c r="H131" s="17">
        <v>0.0</v>
      </c>
      <c r="I131" s="16">
        <f t="shared" si="8"/>
        <v>4.5</v>
      </c>
      <c r="J131" s="18">
        <f t="shared" si="2"/>
        <v>0.5625</v>
      </c>
      <c r="K131" s="17">
        <v>1.95</v>
      </c>
      <c r="L131" s="19">
        <f t="shared" si="3"/>
        <v>0</v>
      </c>
      <c r="M131" s="20">
        <f t="shared" si="4"/>
        <v>180.678225</v>
      </c>
      <c r="N131" s="21">
        <f t="shared" si="5"/>
        <v>1.95</v>
      </c>
      <c r="O131" s="21">
        <f t="shared" si="6"/>
        <v>1560</v>
      </c>
      <c r="P131" s="22">
        <f t="shared" si="7"/>
        <v>144542.58</v>
      </c>
    </row>
    <row r="132">
      <c r="B132" s="11">
        <v>46098.0</v>
      </c>
      <c r="C132" s="12">
        <f>VLOOKUP(B:B,'Курс валют'!A:D,4,0)</f>
        <v>92.6555</v>
      </c>
      <c r="D132" s="13" t="s">
        <v>1059</v>
      </c>
      <c r="E132" s="59" t="s">
        <v>106</v>
      </c>
      <c r="F132" s="15">
        <v>800.0</v>
      </c>
      <c r="G132" s="16">
        <v>804.5</v>
      </c>
      <c r="H132" s="17">
        <v>0.0</v>
      </c>
      <c r="I132" s="16">
        <f t="shared" si="8"/>
        <v>4.5</v>
      </c>
      <c r="J132" s="18">
        <f t="shared" si="2"/>
        <v>0.5625</v>
      </c>
      <c r="K132" s="17">
        <v>1.95</v>
      </c>
      <c r="L132" s="19">
        <f t="shared" si="3"/>
        <v>0</v>
      </c>
      <c r="M132" s="20">
        <f t="shared" si="4"/>
        <v>180.678225</v>
      </c>
      <c r="N132" s="21">
        <f t="shared" si="5"/>
        <v>1.95</v>
      </c>
      <c r="O132" s="21">
        <f t="shared" si="6"/>
        <v>1560</v>
      </c>
      <c r="P132" s="22">
        <f t="shared" si="7"/>
        <v>144542.58</v>
      </c>
    </row>
    <row r="133">
      <c r="B133" s="11">
        <v>46098.0</v>
      </c>
      <c r="C133" s="12">
        <f>VLOOKUP(B:B,'Курс валют'!A:D,4,0)</f>
        <v>92.6555</v>
      </c>
      <c r="D133" s="13" t="s">
        <v>1060</v>
      </c>
      <c r="E133" s="59" t="s">
        <v>106</v>
      </c>
      <c r="F133" s="15">
        <v>800.0</v>
      </c>
      <c r="G133" s="16">
        <v>804.5</v>
      </c>
      <c r="H133" s="17">
        <v>0.0</v>
      </c>
      <c r="I133" s="16">
        <f t="shared" si="8"/>
        <v>4.5</v>
      </c>
      <c r="J133" s="18">
        <f t="shared" si="2"/>
        <v>0.5625</v>
      </c>
      <c r="K133" s="17">
        <v>1.94</v>
      </c>
      <c r="L133" s="19">
        <f t="shared" si="3"/>
        <v>0</v>
      </c>
      <c r="M133" s="20">
        <f t="shared" si="4"/>
        <v>179.75167</v>
      </c>
      <c r="N133" s="21">
        <f t="shared" si="5"/>
        <v>1.94</v>
      </c>
      <c r="O133" s="21">
        <f t="shared" si="6"/>
        <v>1552</v>
      </c>
      <c r="P133" s="22">
        <f t="shared" si="7"/>
        <v>143801.336</v>
      </c>
    </row>
    <row r="134">
      <c r="B134" s="11">
        <v>46098.0</v>
      </c>
      <c r="C134" s="12">
        <f>VLOOKUP(B:B,'Курс валют'!A:D,4,0)</f>
        <v>92.6555</v>
      </c>
      <c r="D134" s="13" t="s">
        <v>1061</v>
      </c>
      <c r="E134" s="59" t="s">
        <v>106</v>
      </c>
      <c r="F134" s="15">
        <v>800.0</v>
      </c>
      <c r="G134" s="16">
        <v>804.5</v>
      </c>
      <c r="H134" s="17">
        <v>0.0</v>
      </c>
      <c r="I134" s="16">
        <f t="shared" si="8"/>
        <v>4.5</v>
      </c>
      <c r="J134" s="18">
        <f t="shared" si="2"/>
        <v>0.5625</v>
      </c>
      <c r="K134" s="17">
        <v>1.94</v>
      </c>
      <c r="L134" s="19">
        <f t="shared" si="3"/>
        <v>0</v>
      </c>
      <c r="M134" s="20">
        <f t="shared" si="4"/>
        <v>179.75167</v>
      </c>
      <c r="N134" s="21">
        <f t="shared" si="5"/>
        <v>1.94</v>
      </c>
      <c r="O134" s="21">
        <f t="shared" si="6"/>
        <v>1552</v>
      </c>
      <c r="P134" s="22">
        <f t="shared" si="7"/>
        <v>143801.336</v>
      </c>
    </row>
    <row r="135">
      <c r="B135" s="11">
        <v>46098.0</v>
      </c>
      <c r="C135" s="12">
        <f>VLOOKUP(B:B,'Курс валют'!A:D,4,0)</f>
        <v>92.6555</v>
      </c>
      <c r="D135" s="13" t="s">
        <v>1062</v>
      </c>
      <c r="E135" s="59" t="s">
        <v>106</v>
      </c>
      <c r="F135" s="15">
        <v>800.0</v>
      </c>
      <c r="G135" s="16">
        <v>804.5</v>
      </c>
      <c r="H135" s="17">
        <v>0.0</v>
      </c>
      <c r="I135" s="16">
        <f t="shared" si="8"/>
        <v>4.5</v>
      </c>
      <c r="J135" s="18">
        <f t="shared" si="2"/>
        <v>0.5625</v>
      </c>
      <c r="K135" s="17">
        <v>1.94</v>
      </c>
      <c r="L135" s="19">
        <f t="shared" si="3"/>
        <v>0</v>
      </c>
      <c r="M135" s="20">
        <f t="shared" si="4"/>
        <v>179.75167</v>
      </c>
      <c r="N135" s="21">
        <f t="shared" si="5"/>
        <v>1.94</v>
      </c>
      <c r="O135" s="21">
        <f t="shared" si="6"/>
        <v>1552</v>
      </c>
      <c r="P135" s="22">
        <f t="shared" si="7"/>
        <v>143801.336</v>
      </c>
    </row>
    <row r="136">
      <c r="B136" s="11">
        <v>46098.0</v>
      </c>
      <c r="C136" s="12">
        <f>VLOOKUP(B:B,'Курс валют'!A:D,4,0)</f>
        <v>92.6555</v>
      </c>
      <c r="D136" s="13" t="s">
        <v>1063</v>
      </c>
      <c r="E136" s="59" t="s">
        <v>106</v>
      </c>
      <c r="F136" s="15">
        <v>800.0</v>
      </c>
      <c r="G136" s="16">
        <v>804.5</v>
      </c>
      <c r="H136" s="17">
        <v>0.0</v>
      </c>
      <c r="I136" s="16">
        <f t="shared" si="8"/>
        <v>4.5</v>
      </c>
      <c r="J136" s="18">
        <f t="shared" si="2"/>
        <v>0.5625</v>
      </c>
      <c r="K136" s="17">
        <v>1.94</v>
      </c>
      <c r="L136" s="19">
        <f t="shared" si="3"/>
        <v>0</v>
      </c>
      <c r="M136" s="20">
        <f t="shared" si="4"/>
        <v>179.75167</v>
      </c>
      <c r="N136" s="21">
        <f t="shared" si="5"/>
        <v>1.94</v>
      </c>
      <c r="O136" s="21">
        <f t="shared" si="6"/>
        <v>1552</v>
      </c>
      <c r="P136" s="22">
        <f t="shared" si="7"/>
        <v>143801.336</v>
      </c>
    </row>
    <row r="137">
      <c r="B137" s="11">
        <v>46098.0</v>
      </c>
      <c r="C137" s="12">
        <f>VLOOKUP(B:B,'Курс валют'!A:D,4,0)</f>
        <v>92.6555</v>
      </c>
      <c r="D137" s="13" t="s">
        <v>1064</v>
      </c>
      <c r="E137" s="59" t="s">
        <v>106</v>
      </c>
      <c r="F137" s="15">
        <v>800.0</v>
      </c>
      <c r="G137" s="16">
        <v>804.5</v>
      </c>
      <c r="H137" s="17">
        <v>0.0</v>
      </c>
      <c r="I137" s="16">
        <f t="shared" si="8"/>
        <v>4.5</v>
      </c>
      <c r="J137" s="18">
        <f t="shared" si="2"/>
        <v>0.5625</v>
      </c>
      <c r="K137" s="17">
        <v>1.95</v>
      </c>
      <c r="L137" s="19">
        <f t="shared" si="3"/>
        <v>0</v>
      </c>
      <c r="M137" s="20">
        <f t="shared" si="4"/>
        <v>180.678225</v>
      </c>
      <c r="N137" s="21">
        <f t="shared" si="5"/>
        <v>1.95</v>
      </c>
      <c r="O137" s="21">
        <f t="shared" si="6"/>
        <v>1560</v>
      </c>
      <c r="P137" s="22">
        <f t="shared" si="7"/>
        <v>144542.58</v>
      </c>
    </row>
    <row r="138">
      <c r="B138" s="11">
        <v>46098.0</v>
      </c>
      <c r="C138" s="12">
        <f>VLOOKUP(B:B,'Курс валют'!A:D,4,0)</f>
        <v>92.6555</v>
      </c>
      <c r="D138" s="13" t="s">
        <v>1065</v>
      </c>
      <c r="E138" s="59" t="s">
        <v>106</v>
      </c>
      <c r="F138" s="15">
        <v>800.0</v>
      </c>
      <c r="G138" s="16">
        <v>804.5</v>
      </c>
      <c r="H138" s="17">
        <v>0.0</v>
      </c>
      <c r="I138" s="16">
        <f t="shared" si="8"/>
        <v>4.5</v>
      </c>
      <c r="J138" s="18">
        <f t="shared" si="2"/>
        <v>0.5625</v>
      </c>
      <c r="K138" s="17">
        <v>1.94</v>
      </c>
      <c r="L138" s="19">
        <f t="shared" si="3"/>
        <v>0</v>
      </c>
      <c r="M138" s="20">
        <f t="shared" si="4"/>
        <v>179.75167</v>
      </c>
      <c r="N138" s="21">
        <f t="shared" si="5"/>
        <v>1.94</v>
      </c>
      <c r="O138" s="21">
        <f t="shared" si="6"/>
        <v>1552</v>
      </c>
      <c r="P138" s="22">
        <f t="shared" si="7"/>
        <v>143801.336</v>
      </c>
    </row>
    <row r="139">
      <c r="B139" s="11">
        <v>46099.0</v>
      </c>
      <c r="C139" s="12">
        <f>VLOOKUP(B:B,'Курс валют'!A:D,4,0)</f>
        <v>93.1557</v>
      </c>
      <c r="D139" s="13" t="s">
        <v>1066</v>
      </c>
      <c r="E139" s="59" t="s">
        <v>54</v>
      </c>
      <c r="F139" s="15">
        <v>800.0</v>
      </c>
      <c r="G139" s="16">
        <v>804.34</v>
      </c>
      <c r="H139" s="17">
        <v>0.0</v>
      </c>
      <c r="I139" s="16">
        <f t="shared" si="8"/>
        <v>4.34</v>
      </c>
      <c r="J139" s="18">
        <f t="shared" si="2"/>
        <v>0.5425</v>
      </c>
      <c r="K139" s="17">
        <v>2.0</v>
      </c>
      <c r="L139" s="19">
        <f t="shared" si="3"/>
        <v>0</v>
      </c>
      <c r="M139" s="20">
        <f t="shared" si="4"/>
        <v>186.3114</v>
      </c>
      <c r="N139" s="21">
        <f t="shared" si="5"/>
        <v>2</v>
      </c>
      <c r="O139" s="21">
        <f t="shared" si="6"/>
        <v>1600</v>
      </c>
      <c r="P139" s="22">
        <f t="shared" si="7"/>
        <v>149049.12</v>
      </c>
    </row>
    <row r="140">
      <c r="B140" s="11">
        <v>46099.0</v>
      </c>
      <c r="C140" s="12">
        <f>VLOOKUP(B:B,'Курс валют'!A:D,4,0)</f>
        <v>93.1557</v>
      </c>
      <c r="D140" s="13" t="s">
        <v>1067</v>
      </c>
      <c r="E140" s="59" t="s">
        <v>54</v>
      </c>
      <c r="F140" s="15">
        <v>800.0</v>
      </c>
      <c r="G140" s="16">
        <v>804.34</v>
      </c>
      <c r="H140" s="17">
        <v>0.0</v>
      </c>
      <c r="I140" s="16">
        <f t="shared" si="8"/>
        <v>4.34</v>
      </c>
      <c r="J140" s="18">
        <f t="shared" si="2"/>
        <v>0.5425</v>
      </c>
      <c r="K140" s="17">
        <v>1.99</v>
      </c>
      <c r="L140" s="19">
        <f t="shared" si="3"/>
        <v>0</v>
      </c>
      <c r="M140" s="20">
        <f t="shared" si="4"/>
        <v>185.379843</v>
      </c>
      <c r="N140" s="21">
        <f t="shared" si="5"/>
        <v>1.99</v>
      </c>
      <c r="O140" s="21">
        <f t="shared" si="6"/>
        <v>1592</v>
      </c>
      <c r="P140" s="22">
        <f t="shared" si="7"/>
        <v>148303.8744</v>
      </c>
    </row>
    <row r="141">
      <c r="B141" s="11">
        <v>46099.0</v>
      </c>
      <c r="C141" s="12">
        <f>VLOOKUP(B:B,'Курс валют'!A:D,4,0)</f>
        <v>93.1557</v>
      </c>
      <c r="D141" s="13" t="s">
        <v>1068</v>
      </c>
      <c r="E141" s="59" t="s">
        <v>54</v>
      </c>
      <c r="F141" s="15">
        <v>800.0</v>
      </c>
      <c r="G141" s="16">
        <v>804.34</v>
      </c>
      <c r="H141" s="17">
        <v>0.0</v>
      </c>
      <c r="I141" s="16">
        <f t="shared" si="8"/>
        <v>4.34</v>
      </c>
      <c r="J141" s="18">
        <f t="shared" si="2"/>
        <v>0.5425</v>
      </c>
      <c r="K141" s="17">
        <v>1.99</v>
      </c>
      <c r="L141" s="19">
        <f t="shared" si="3"/>
        <v>0</v>
      </c>
      <c r="M141" s="20">
        <f t="shared" si="4"/>
        <v>185.379843</v>
      </c>
      <c r="N141" s="21">
        <f t="shared" si="5"/>
        <v>1.99</v>
      </c>
      <c r="O141" s="21">
        <f t="shared" si="6"/>
        <v>1592</v>
      </c>
      <c r="P141" s="22">
        <f t="shared" si="7"/>
        <v>148303.8744</v>
      </c>
    </row>
    <row r="142">
      <c r="B142" s="11">
        <v>46099.0</v>
      </c>
      <c r="C142" s="12">
        <f>VLOOKUP(B:B,'Курс валют'!A:D,4,0)</f>
        <v>93.1557</v>
      </c>
      <c r="D142" s="13" t="s">
        <v>1069</v>
      </c>
      <c r="E142" s="59" t="s">
        <v>54</v>
      </c>
      <c r="F142" s="15">
        <v>800.0</v>
      </c>
      <c r="G142" s="16">
        <v>804.34</v>
      </c>
      <c r="H142" s="17">
        <v>0.0</v>
      </c>
      <c r="I142" s="16">
        <f t="shared" si="8"/>
        <v>4.34</v>
      </c>
      <c r="J142" s="18">
        <f t="shared" si="2"/>
        <v>0.5425</v>
      </c>
      <c r="K142" s="17">
        <v>1.99</v>
      </c>
      <c r="L142" s="19">
        <f t="shared" si="3"/>
        <v>0</v>
      </c>
      <c r="M142" s="20">
        <f t="shared" si="4"/>
        <v>185.379843</v>
      </c>
      <c r="N142" s="21">
        <f t="shared" si="5"/>
        <v>1.99</v>
      </c>
      <c r="O142" s="21">
        <f t="shared" si="6"/>
        <v>1592</v>
      </c>
      <c r="P142" s="22">
        <f t="shared" si="7"/>
        <v>148303.8744</v>
      </c>
    </row>
    <row r="143">
      <c r="B143" s="11">
        <v>46099.0</v>
      </c>
      <c r="C143" s="12">
        <f>VLOOKUP(B:B,'Курс валют'!A:D,4,0)</f>
        <v>93.1557</v>
      </c>
      <c r="D143" s="13" t="s">
        <v>1070</v>
      </c>
      <c r="E143" s="59" t="s">
        <v>54</v>
      </c>
      <c r="F143" s="15">
        <v>800.0</v>
      </c>
      <c r="G143" s="16">
        <v>804.34</v>
      </c>
      <c r="H143" s="17">
        <v>0.0</v>
      </c>
      <c r="I143" s="16">
        <f t="shared" si="8"/>
        <v>4.34</v>
      </c>
      <c r="J143" s="18">
        <f t="shared" si="2"/>
        <v>0.5425</v>
      </c>
      <c r="K143" s="17">
        <v>2.0</v>
      </c>
      <c r="L143" s="19">
        <f t="shared" si="3"/>
        <v>0</v>
      </c>
      <c r="M143" s="20">
        <f t="shared" si="4"/>
        <v>186.3114</v>
      </c>
      <c r="N143" s="21">
        <f t="shared" si="5"/>
        <v>2</v>
      </c>
      <c r="O143" s="21">
        <f t="shared" si="6"/>
        <v>1600</v>
      </c>
      <c r="P143" s="22">
        <f t="shared" si="7"/>
        <v>149049.12</v>
      </c>
    </row>
    <row r="144">
      <c r="B144" s="11">
        <v>46099.0</v>
      </c>
      <c r="C144" s="12">
        <f>VLOOKUP(B:B,'Курс валют'!A:D,4,0)</f>
        <v>93.1557</v>
      </c>
      <c r="D144" s="13" t="s">
        <v>1071</v>
      </c>
      <c r="E144" s="59" t="s">
        <v>54</v>
      </c>
      <c r="F144" s="15">
        <v>800.0</v>
      </c>
      <c r="G144" s="16">
        <v>804.34</v>
      </c>
      <c r="H144" s="17">
        <v>0.0</v>
      </c>
      <c r="I144" s="16">
        <f t="shared" si="8"/>
        <v>4.34</v>
      </c>
      <c r="J144" s="18">
        <f t="shared" si="2"/>
        <v>0.5425</v>
      </c>
      <c r="K144" s="17">
        <v>1.99</v>
      </c>
      <c r="L144" s="19">
        <f t="shared" si="3"/>
        <v>0</v>
      </c>
      <c r="M144" s="20">
        <f t="shared" si="4"/>
        <v>185.379843</v>
      </c>
      <c r="N144" s="21">
        <f t="shared" si="5"/>
        <v>1.99</v>
      </c>
      <c r="O144" s="21">
        <f t="shared" si="6"/>
        <v>1592</v>
      </c>
      <c r="P144" s="22">
        <f t="shared" si="7"/>
        <v>148303.8744</v>
      </c>
    </row>
    <row r="145">
      <c r="B145" s="11">
        <v>46099.0</v>
      </c>
      <c r="C145" s="12">
        <f>VLOOKUP(B:B,'Курс валют'!A:D,4,0)</f>
        <v>93.1557</v>
      </c>
      <c r="D145" s="13" t="s">
        <v>1072</v>
      </c>
      <c r="E145" s="59" t="s">
        <v>106</v>
      </c>
      <c r="F145" s="15">
        <v>800.0</v>
      </c>
      <c r="G145" s="16">
        <v>804.5</v>
      </c>
      <c r="H145" s="17">
        <v>0.0</v>
      </c>
      <c r="I145" s="16">
        <f t="shared" si="8"/>
        <v>4.5</v>
      </c>
      <c r="J145" s="18">
        <f t="shared" si="2"/>
        <v>0.5625</v>
      </c>
      <c r="K145" s="17">
        <v>1.95</v>
      </c>
      <c r="L145" s="19">
        <f t="shared" si="3"/>
        <v>0</v>
      </c>
      <c r="M145" s="20">
        <f t="shared" si="4"/>
        <v>181.653615</v>
      </c>
      <c r="N145" s="21">
        <f t="shared" si="5"/>
        <v>1.95</v>
      </c>
      <c r="O145" s="21">
        <f t="shared" si="6"/>
        <v>1560</v>
      </c>
      <c r="P145" s="22">
        <f t="shared" si="7"/>
        <v>145322.892</v>
      </c>
    </row>
    <row r="146">
      <c r="B146" s="11">
        <v>46099.0</v>
      </c>
      <c r="C146" s="12">
        <f>VLOOKUP(B:B,'Курс валют'!A:D,4,0)</f>
        <v>93.1557</v>
      </c>
      <c r="D146" s="13" t="s">
        <v>1073</v>
      </c>
      <c r="E146" s="59" t="s">
        <v>106</v>
      </c>
      <c r="F146" s="15">
        <v>800.0</v>
      </c>
      <c r="G146" s="16">
        <v>804.5</v>
      </c>
      <c r="H146" s="17">
        <v>0.0</v>
      </c>
      <c r="I146" s="16">
        <f t="shared" si="8"/>
        <v>4.5</v>
      </c>
      <c r="J146" s="18">
        <f t="shared" si="2"/>
        <v>0.5625</v>
      </c>
      <c r="K146" s="17">
        <v>1.94</v>
      </c>
      <c r="L146" s="19">
        <f t="shared" si="3"/>
        <v>0</v>
      </c>
      <c r="M146" s="20">
        <f t="shared" si="4"/>
        <v>180.722058</v>
      </c>
      <c r="N146" s="21">
        <f t="shared" si="5"/>
        <v>1.94</v>
      </c>
      <c r="O146" s="21">
        <f t="shared" si="6"/>
        <v>1552</v>
      </c>
      <c r="P146" s="22">
        <f t="shared" si="7"/>
        <v>144577.6464</v>
      </c>
    </row>
    <row r="147">
      <c r="B147" s="11">
        <v>46099.0</v>
      </c>
      <c r="C147" s="12">
        <f>VLOOKUP(B:B,'Курс валют'!A:D,4,0)</f>
        <v>93.1557</v>
      </c>
      <c r="D147" s="13" t="s">
        <v>1074</v>
      </c>
      <c r="E147" s="59" t="s">
        <v>106</v>
      </c>
      <c r="F147" s="15">
        <v>800.0</v>
      </c>
      <c r="G147" s="16">
        <v>804.5</v>
      </c>
      <c r="H147" s="17">
        <v>0.0</v>
      </c>
      <c r="I147" s="16">
        <f t="shared" si="8"/>
        <v>4.5</v>
      </c>
      <c r="J147" s="18">
        <f t="shared" si="2"/>
        <v>0.5625</v>
      </c>
      <c r="K147" s="17">
        <v>1.94</v>
      </c>
      <c r="L147" s="19">
        <f t="shared" si="3"/>
        <v>0</v>
      </c>
      <c r="M147" s="20">
        <f t="shared" si="4"/>
        <v>180.722058</v>
      </c>
      <c r="N147" s="21">
        <f t="shared" si="5"/>
        <v>1.94</v>
      </c>
      <c r="O147" s="21">
        <f t="shared" si="6"/>
        <v>1552</v>
      </c>
      <c r="P147" s="22">
        <f t="shared" si="7"/>
        <v>144577.6464</v>
      </c>
    </row>
    <row r="148">
      <c r="B148" s="11">
        <v>46099.0</v>
      </c>
      <c r="C148" s="12">
        <f>VLOOKUP(B:B,'Курс валют'!A:D,4,0)</f>
        <v>93.1557</v>
      </c>
      <c r="D148" s="13" t="s">
        <v>1075</v>
      </c>
      <c r="E148" s="59" t="s">
        <v>106</v>
      </c>
      <c r="F148" s="15">
        <v>800.0</v>
      </c>
      <c r="G148" s="16">
        <v>804.5</v>
      </c>
      <c r="H148" s="17">
        <v>0.0</v>
      </c>
      <c r="I148" s="16">
        <f t="shared" si="8"/>
        <v>4.5</v>
      </c>
      <c r="J148" s="18">
        <f t="shared" si="2"/>
        <v>0.5625</v>
      </c>
      <c r="K148" s="17">
        <v>1.95</v>
      </c>
      <c r="L148" s="19">
        <f t="shared" si="3"/>
        <v>0</v>
      </c>
      <c r="M148" s="20">
        <f t="shared" si="4"/>
        <v>181.653615</v>
      </c>
      <c r="N148" s="21">
        <f t="shared" si="5"/>
        <v>1.95</v>
      </c>
      <c r="O148" s="21">
        <f t="shared" si="6"/>
        <v>1560</v>
      </c>
      <c r="P148" s="22">
        <f t="shared" si="7"/>
        <v>145322.892</v>
      </c>
    </row>
    <row r="149">
      <c r="B149" s="11">
        <v>46099.0</v>
      </c>
      <c r="C149" s="12">
        <f>VLOOKUP(B:B,'Курс валют'!A:D,4,0)</f>
        <v>93.1557</v>
      </c>
      <c r="D149" s="13" t="s">
        <v>1076</v>
      </c>
      <c r="E149" s="59" t="s">
        <v>71</v>
      </c>
      <c r="F149" s="15">
        <v>800.0</v>
      </c>
      <c r="G149" s="16">
        <v>803.93</v>
      </c>
      <c r="H149" s="17">
        <v>0.0</v>
      </c>
      <c r="I149" s="16">
        <f t="shared" si="8"/>
        <v>3.93</v>
      </c>
      <c r="J149" s="18">
        <f t="shared" si="2"/>
        <v>0.49125</v>
      </c>
      <c r="K149" s="17">
        <v>1.95</v>
      </c>
      <c r="L149" s="19">
        <f t="shared" si="3"/>
        <v>0</v>
      </c>
      <c r="M149" s="20">
        <f t="shared" si="4"/>
        <v>181.653615</v>
      </c>
      <c r="N149" s="21">
        <f t="shared" si="5"/>
        <v>1.95</v>
      </c>
      <c r="O149" s="21">
        <f t="shared" si="6"/>
        <v>1560</v>
      </c>
      <c r="P149" s="22">
        <f t="shared" si="7"/>
        <v>145322.892</v>
      </c>
    </row>
    <row r="150">
      <c r="B150" s="11">
        <v>46099.0</v>
      </c>
      <c r="C150" s="12">
        <f>VLOOKUP(B:B,'Курс валют'!A:D,4,0)</f>
        <v>93.1557</v>
      </c>
      <c r="D150" s="13" t="s">
        <v>1077</v>
      </c>
      <c r="E150" s="59" t="s">
        <v>71</v>
      </c>
      <c r="F150" s="15">
        <v>800.0</v>
      </c>
      <c r="G150" s="16">
        <v>803.93</v>
      </c>
      <c r="H150" s="17">
        <v>0.0</v>
      </c>
      <c r="I150" s="16">
        <f t="shared" si="8"/>
        <v>3.93</v>
      </c>
      <c r="J150" s="18">
        <f t="shared" si="2"/>
        <v>0.49125</v>
      </c>
      <c r="K150" s="17">
        <v>1.95</v>
      </c>
      <c r="L150" s="19">
        <f t="shared" si="3"/>
        <v>0</v>
      </c>
      <c r="M150" s="20">
        <f t="shared" si="4"/>
        <v>181.653615</v>
      </c>
      <c r="N150" s="21">
        <f t="shared" si="5"/>
        <v>1.95</v>
      </c>
      <c r="O150" s="21">
        <f t="shared" si="6"/>
        <v>1560</v>
      </c>
      <c r="P150" s="22">
        <f t="shared" si="7"/>
        <v>145322.892</v>
      </c>
    </row>
    <row r="151">
      <c r="B151" s="11">
        <v>46099.0</v>
      </c>
      <c r="C151" s="12">
        <f>VLOOKUP(B:B,'Курс валют'!A:D,4,0)</f>
        <v>93.1557</v>
      </c>
      <c r="D151" s="13" t="s">
        <v>1078</v>
      </c>
      <c r="E151" s="59" t="s">
        <v>54</v>
      </c>
      <c r="F151" s="15">
        <v>800.0</v>
      </c>
      <c r="G151" s="15">
        <v>804.34</v>
      </c>
      <c r="H151" s="17">
        <v>0.0</v>
      </c>
      <c r="I151" s="15">
        <f t="shared" si="8"/>
        <v>4.34</v>
      </c>
      <c r="J151" s="18">
        <f t="shared" si="2"/>
        <v>0.5425</v>
      </c>
      <c r="K151" s="17">
        <v>1.99</v>
      </c>
      <c r="L151" s="19">
        <f t="shared" si="3"/>
        <v>0</v>
      </c>
      <c r="M151" s="20">
        <f t="shared" si="4"/>
        <v>185.379843</v>
      </c>
      <c r="N151" s="21">
        <f t="shared" si="5"/>
        <v>1.99</v>
      </c>
      <c r="O151" s="21">
        <f t="shared" si="6"/>
        <v>1592</v>
      </c>
      <c r="P151" s="22">
        <f t="shared" si="7"/>
        <v>148303.8744</v>
      </c>
    </row>
    <row r="152">
      <c r="B152" s="11">
        <v>46099.0</v>
      </c>
      <c r="C152" s="12">
        <f>VLOOKUP(B:B,'Курс валют'!A:D,4,0)</f>
        <v>93.1557</v>
      </c>
      <c r="D152" s="13" t="s">
        <v>1079</v>
      </c>
      <c r="E152" s="59" t="s">
        <v>54</v>
      </c>
      <c r="F152" s="15">
        <v>800.0</v>
      </c>
      <c r="G152" s="15">
        <v>804.34</v>
      </c>
      <c r="H152" s="17">
        <v>0.0</v>
      </c>
      <c r="I152" s="15">
        <f t="shared" si="8"/>
        <v>4.34</v>
      </c>
      <c r="J152" s="18">
        <f t="shared" si="2"/>
        <v>0.5425</v>
      </c>
      <c r="K152" s="17">
        <v>1.99</v>
      </c>
      <c r="L152" s="19">
        <f t="shared" si="3"/>
        <v>0</v>
      </c>
      <c r="M152" s="20">
        <f t="shared" si="4"/>
        <v>185.379843</v>
      </c>
      <c r="N152" s="21">
        <f t="shared" si="5"/>
        <v>1.99</v>
      </c>
      <c r="O152" s="21">
        <f t="shared" si="6"/>
        <v>1592</v>
      </c>
      <c r="P152" s="22">
        <f t="shared" si="7"/>
        <v>148303.8744</v>
      </c>
    </row>
    <row r="153">
      <c r="B153" s="11">
        <v>46099.0</v>
      </c>
      <c r="C153" s="12">
        <f>VLOOKUP(B:B,'Курс валют'!A:D,4,0)</f>
        <v>93.1557</v>
      </c>
      <c r="D153" s="13" t="s">
        <v>1080</v>
      </c>
      <c r="E153" s="59" t="s">
        <v>54</v>
      </c>
      <c r="F153" s="15">
        <v>800.0</v>
      </c>
      <c r="G153" s="15">
        <v>804.34</v>
      </c>
      <c r="H153" s="17">
        <v>0.0</v>
      </c>
      <c r="I153" s="15">
        <f t="shared" si="8"/>
        <v>4.34</v>
      </c>
      <c r="J153" s="18">
        <f t="shared" si="2"/>
        <v>0.5425</v>
      </c>
      <c r="K153" s="17">
        <v>1.99</v>
      </c>
      <c r="L153" s="19">
        <f t="shared" si="3"/>
        <v>0</v>
      </c>
      <c r="M153" s="20">
        <f t="shared" si="4"/>
        <v>185.379843</v>
      </c>
      <c r="N153" s="21">
        <f t="shared" si="5"/>
        <v>1.99</v>
      </c>
      <c r="O153" s="21">
        <f t="shared" si="6"/>
        <v>1592</v>
      </c>
      <c r="P153" s="22">
        <f t="shared" si="7"/>
        <v>148303.8744</v>
      </c>
    </row>
    <row r="154">
      <c r="B154" s="11">
        <v>46099.0</v>
      </c>
      <c r="C154" s="12">
        <f>VLOOKUP(B:B,'Курс валют'!A:D,4,0)</f>
        <v>93.1557</v>
      </c>
      <c r="D154" s="13" t="s">
        <v>1081</v>
      </c>
      <c r="E154" s="59" t="s">
        <v>54</v>
      </c>
      <c r="F154" s="15">
        <v>800.0</v>
      </c>
      <c r="G154" s="15">
        <v>804.34</v>
      </c>
      <c r="H154" s="17">
        <v>0.0</v>
      </c>
      <c r="I154" s="15">
        <f t="shared" si="8"/>
        <v>4.34</v>
      </c>
      <c r="J154" s="18">
        <f t="shared" si="2"/>
        <v>0.5425</v>
      </c>
      <c r="K154" s="17">
        <v>1.99</v>
      </c>
      <c r="L154" s="19">
        <f t="shared" si="3"/>
        <v>0</v>
      </c>
      <c r="M154" s="20">
        <f t="shared" si="4"/>
        <v>185.379843</v>
      </c>
      <c r="N154" s="21">
        <f t="shared" si="5"/>
        <v>1.99</v>
      </c>
      <c r="O154" s="21">
        <f t="shared" si="6"/>
        <v>1592</v>
      </c>
      <c r="P154" s="22">
        <f t="shared" si="7"/>
        <v>148303.8744</v>
      </c>
    </row>
    <row r="155">
      <c r="B155" s="11">
        <v>46099.0</v>
      </c>
      <c r="C155" s="12">
        <f>VLOOKUP(B:B,'Курс валют'!A:D,4,0)</f>
        <v>93.1557</v>
      </c>
      <c r="D155" s="13" t="s">
        <v>1082</v>
      </c>
      <c r="E155" s="59" t="s">
        <v>71</v>
      </c>
      <c r="F155" s="15">
        <v>800.0</v>
      </c>
      <c r="G155" s="16">
        <v>803.93</v>
      </c>
      <c r="H155" s="17">
        <v>0.0</v>
      </c>
      <c r="I155" s="16">
        <f t="shared" si="8"/>
        <v>3.93</v>
      </c>
      <c r="J155" s="18">
        <f t="shared" si="2"/>
        <v>0.49125</v>
      </c>
      <c r="K155" s="17">
        <v>1.95</v>
      </c>
      <c r="L155" s="19">
        <f t="shared" si="3"/>
        <v>0</v>
      </c>
      <c r="M155" s="20">
        <f t="shared" si="4"/>
        <v>181.653615</v>
      </c>
      <c r="N155" s="21">
        <f t="shared" si="5"/>
        <v>1.95</v>
      </c>
      <c r="O155" s="21">
        <f t="shared" si="6"/>
        <v>1560</v>
      </c>
      <c r="P155" s="22">
        <f t="shared" si="7"/>
        <v>145322.892</v>
      </c>
    </row>
    <row r="156">
      <c r="B156" s="11">
        <v>46099.0</v>
      </c>
      <c r="C156" s="12">
        <f>VLOOKUP(B:B,'Курс валют'!A:D,4,0)</f>
        <v>93.1557</v>
      </c>
      <c r="D156" s="13" t="s">
        <v>1083</v>
      </c>
      <c r="E156" s="59" t="s">
        <v>71</v>
      </c>
      <c r="F156" s="15">
        <v>800.0</v>
      </c>
      <c r="G156" s="16">
        <v>803.93</v>
      </c>
      <c r="H156" s="17">
        <v>0.0</v>
      </c>
      <c r="I156" s="16">
        <f t="shared" si="8"/>
        <v>3.93</v>
      </c>
      <c r="J156" s="18">
        <f t="shared" si="2"/>
        <v>0.49125</v>
      </c>
      <c r="K156" s="17">
        <v>1.95</v>
      </c>
      <c r="L156" s="19">
        <f t="shared" si="3"/>
        <v>0</v>
      </c>
      <c r="M156" s="20">
        <f t="shared" si="4"/>
        <v>181.653615</v>
      </c>
      <c r="N156" s="21">
        <f t="shared" si="5"/>
        <v>1.95</v>
      </c>
      <c r="O156" s="21">
        <f t="shared" si="6"/>
        <v>1560</v>
      </c>
      <c r="P156" s="22">
        <f t="shared" si="7"/>
        <v>145322.892</v>
      </c>
    </row>
    <row r="157">
      <c r="B157" s="11">
        <v>46099.0</v>
      </c>
      <c r="C157" s="12">
        <f>VLOOKUP(B:B,'Курс валют'!A:D,4,0)</f>
        <v>93.1557</v>
      </c>
      <c r="D157" s="13" t="s">
        <v>1084</v>
      </c>
      <c r="E157" s="59" t="s">
        <v>125</v>
      </c>
      <c r="F157" s="15">
        <v>4.0</v>
      </c>
      <c r="G157" s="15">
        <v>5.08</v>
      </c>
      <c r="H157" s="17">
        <v>0.0</v>
      </c>
      <c r="I157" s="15">
        <f t="shared" si="8"/>
        <v>1.08</v>
      </c>
      <c r="J157" s="18">
        <f t="shared" si="2"/>
        <v>27</v>
      </c>
      <c r="K157" s="17">
        <v>3.35</v>
      </c>
      <c r="L157" s="19">
        <f t="shared" si="3"/>
        <v>0</v>
      </c>
      <c r="M157" s="20">
        <f t="shared" si="4"/>
        <v>312.071595</v>
      </c>
      <c r="N157" s="21">
        <f t="shared" si="5"/>
        <v>3.35</v>
      </c>
      <c r="O157" s="21">
        <f t="shared" si="6"/>
        <v>13.4</v>
      </c>
      <c r="P157" s="22">
        <f t="shared" si="7"/>
        <v>1248.28638</v>
      </c>
      <c r="R157" s="42" t="s">
        <v>1085</v>
      </c>
    </row>
    <row r="158">
      <c r="B158" s="11">
        <v>46100.0</v>
      </c>
      <c r="C158" s="12">
        <f>VLOOKUP(B:B,'Курс валют'!A:D,4,0)</f>
        <v>94.6663</v>
      </c>
      <c r="D158" s="13" t="s">
        <v>1086</v>
      </c>
      <c r="E158" s="59" t="s">
        <v>53</v>
      </c>
      <c r="F158" s="15">
        <v>800.0</v>
      </c>
      <c r="G158" s="16">
        <v>804.77</v>
      </c>
      <c r="H158" s="17">
        <v>0.0</v>
      </c>
      <c r="I158" s="16">
        <f t="shared" si="8"/>
        <v>4.77</v>
      </c>
      <c r="J158" s="18">
        <f t="shared" si="2"/>
        <v>0.59625</v>
      </c>
      <c r="K158" s="17">
        <v>1.96</v>
      </c>
      <c r="L158" s="19">
        <f t="shared" si="3"/>
        <v>0</v>
      </c>
      <c r="M158" s="20">
        <f t="shared" si="4"/>
        <v>185.545948</v>
      </c>
      <c r="N158" s="21">
        <f t="shared" si="5"/>
        <v>1.96</v>
      </c>
      <c r="O158" s="21">
        <f t="shared" si="6"/>
        <v>1568</v>
      </c>
      <c r="P158" s="22">
        <f t="shared" si="7"/>
        <v>148436.7584</v>
      </c>
    </row>
    <row r="159">
      <c r="B159" s="11">
        <v>46100.0</v>
      </c>
      <c r="C159" s="12">
        <f>VLOOKUP(B:B,'Курс валют'!A:D,4,0)</f>
        <v>94.6663</v>
      </c>
      <c r="D159" s="13" t="s">
        <v>1087</v>
      </c>
      <c r="E159" s="59" t="s">
        <v>53</v>
      </c>
      <c r="F159" s="15">
        <v>800.0</v>
      </c>
      <c r="G159" s="16">
        <v>804.77</v>
      </c>
      <c r="H159" s="17">
        <v>0.0</v>
      </c>
      <c r="I159" s="16">
        <f t="shared" si="8"/>
        <v>4.77</v>
      </c>
      <c r="J159" s="18">
        <f t="shared" si="2"/>
        <v>0.59625</v>
      </c>
      <c r="K159" s="17">
        <v>1.96</v>
      </c>
      <c r="L159" s="19">
        <f t="shared" si="3"/>
        <v>0</v>
      </c>
      <c r="M159" s="20">
        <f t="shared" si="4"/>
        <v>185.545948</v>
      </c>
      <c r="N159" s="21">
        <f t="shared" si="5"/>
        <v>1.96</v>
      </c>
      <c r="O159" s="21">
        <f t="shared" si="6"/>
        <v>1568</v>
      </c>
      <c r="P159" s="22">
        <f t="shared" si="7"/>
        <v>148436.7584</v>
      </c>
    </row>
    <row r="160">
      <c r="B160" s="11">
        <v>46100.0</v>
      </c>
      <c r="C160" s="12">
        <f>VLOOKUP(B:B,'Курс валют'!A:D,4,0)</f>
        <v>94.6663</v>
      </c>
      <c r="D160" s="13" t="s">
        <v>1088</v>
      </c>
      <c r="E160" s="59" t="s">
        <v>53</v>
      </c>
      <c r="F160" s="15">
        <v>800.0</v>
      </c>
      <c r="G160" s="16">
        <v>804.77</v>
      </c>
      <c r="H160" s="17">
        <v>0.0</v>
      </c>
      <c r="I160" s="16">
        <f t="shared" si="8"/>
        <v>4.77</v>
      </c>
      <c r="J160" s="18">
        <f t="shared" si="2"/>
        <v>0.59625</v>
      </c>
      <c r="K160" s="17">
        <v>1.96</v>
      </c>
      <c r="L160" s="19">
        <f t="shared" si="3"/>
        <v>0</v>
      </c>
      <c r="M160" s="20">
        <f t="shared" si="4"/>
        <v>185.545948</v>
      </c>
      <c r="N160" s="21">
        <f t="shared" si="5"/>
        <v>1.96</v>
      </c>
      <c r="O160" s="21">
        <f t="shared" si="6"/>
        <v>1568</v>
      </c>
      <c r="P160" s="22">
        <f t="shared" si="7"/>
        <v>148436.7584</v>
      </c>
    </row>
    <row r="161">
      <c r="B161" s="11">
        <v>46100.0</v>
      </c>
      <c r="C161" s="12">
        <f>VLOOKUP(B:B,'Курс валют'!A:D,4,0)</f>
        <v>94.6663</v>
      </c>
      <c r="D161" s="13" t="s">
        <v>1089</v>
      </c>
      <c r="E161" s="59" t="s">
        <v>53</v>
      </c>
      <c r="F161" s="15">
        <v>800.0</v>
      </c>
      <c r="G161" s="16">
        <v>804.77</v>
      </c>
      <c r="H161" s="17">
        <v>0.0</v>
      </c>
      <c r="I161" s="16">
        <f t="shared" si="8"/>
        <v>4.77</v>
      </c>
      <c r="J161" s="18">
        <f t="shared" si="2"/>
        <v>0.59625</v>
      </c>
      <c r="K161" s="17">
        <v>1.96</v>
      </c>
      <c r="L161" s="19">
        <f t="shared" si="3"/>
        <v>0</v>
      </c>
      <c r="M161" s="20">
        <f t="shared" si="4"/>
        <v>185.545948</v>
      </c>
      <c r="N161" s="21">
        <f t="shared" si="5"/>
        <v>1.96</v>
      </c>
      <c r="O161" s="21">
        <f t="shared" si="6"/>
        <v>1568</v>
      </c>
      <c r="P161" s="22">
        <f t="shared" si="7"/>
        <v>148436.7584</v>
      </c>
    </row>
    <row r="162">
      <c r="B162" s="11">
        <v>46100.0</v>
      </c>
      <c r="C162" s="12">
        <f>VLOOKUP(B:B,'Курс валют'!A:D,4,0)</f>
        <v>94.6663</v>
      </c>
      <c r="D162" s="13" t="s">
        <v>1090</v>
      </c>
      <c r="E162" s="59" t="s">
        <v>53</v>
      </c>
      <c r="F162" s="15">
        <v>800.0</v>
      </c>
      <c r="G162" s="16">
        <v>804.77</v>
      </c>
      <c r="H162" s="17">
        <v>0.0</v>
      </c>
      <c r="I162" s="16">
        <f t="shared" si="8"/>
        <v>4.77</v>
      </c>
      <c r="J162" s="18">
        <f t="shared" si="2"/>
        <v>0.59625</v>
      </c>
      <c r="K162" s="17">
        <v>1.96</v>
      </c>
      <c r="L162" s="19">
        <f t="shared" si="3"/>
        <v>0</v>
      </c>
      <c r="M162" s="20">
        <f t="shared" si="4"/>
        <v>185.545948</v>
      </c>
      <c r="N162" s="21">
        <f t="shared" si="5"/>
        <v>1.96</v>
      </c>
      <c r="O162" s="21">
        <f t="shared" si="6"/>
        <v>1568</v>
      </c>
      <c r="P162" s="22">
        <f t="shared" si="7"/>
        <v>148436.7584</v>
      </c>
    </row>
    <row r="163">
      <c r="B163" s="11">
        <v>46100.0</v>
      </c>
      <c r="C163" s="12">
        <f>VLOOKUP(B:B,'Курс валют'!A:D,4,0)</f>
        <v>94.6663</v>
      </c>
      <c r="D163" s="13" t="s">
        <v>1091</v>
      </c>
      <c r="E163" s="59" t="s">
        <v>18</v>
      </c>
      <c r="F163" s="15">
        <v>1100.0</v>
      </c>
      <c r="G163" s="16">
        <v>1104.3</v>
      </c>
      <c r="H163" s="17">
        <v>484.5</v>
      </c>
      <c r="I163" s="16">
        <f t="shared" si="8"/>
        <v>4.3</v>
      </c>
      <c r="J163" s="18">
        <f t="shared" si="2"/>
        <v>0.3909090909</v>
      </c>
      <c r="K163" s="17">
        <v>3.55</v>
      </c>
      <c r="L163" s="19">
        <f t="shared" si="3"/>
        <v>44.04545455</v>
      </c>
      <c r="M163" s="20">
        <f t="shared" si="4"/>
        <v>209.3089105</v>
      </c>
      <c r="N163" s="21">
        <f t="shared" si="5"/>
        <v>2.211018182</v>
      </c>
      <c r="O163" s="21">
        <f t="shared" si="6"/>
        <v>2432.12</v>
      </c>
      <c r="P163" s="22">
        <f t="shared" si="7"/>
        <v>230239.8016</v>
      </c>
    </row>
    <row r="164">
      <c r="B164" s="11">
        <v>46100.0</v>
      </c>
      <c r="C164" s="12">
        <f>VLOOKUP(B:B,'Курс валют'!A:D,4,0)</f>
        <v>94.6663</v>
      </c>
      <c r="D164" s="13" t="s">
        <v>1092</v>
      </c>
      <c r="E164" s="59" t="s">
        <v>18</v>
      </c>
      <c r="F164" s="15">
        <v>1100.0</v>
      </c>
      <c r="G164" s="16">
        <v>1104.3</v>
      </c>
      <c r="H164" s="17">
        <v>484.5</v>
      </c>
      <c r="I164" s="16">
        <f t="shared" si="8"/>
        <v>4.3</v>
      </c>
      <c r="J164" s="18">
        <f t="shared" si="2"/>
        <v>0.3909090909</v>
      </c>
      <c r="K164" s="17">
        <v>3.5</v>
      </c>
      <c r="L164" s="19">
        <f t="shared" si="3"/>
        <v>44.04545455</v>
      </c>
      <c r="M164" s="20">
        <f t="shared" si="4"/>
        <v>204.5755955</v>
      </c>
      <c r="N164" s="21">
        <f t="shared" si="5"/>
        <v>2.161018182</v>
      </c>
      <c r="O164" s="21">
        <f t="shared" si="6"/>
        <v>2377.12</v>
      </c>
      <c r="P164" s="22">
        <f t="shared" si="7"/>
        <v>225033.1551</v>
      </c>
    </row>
    <row r="165">
      <c r="B165" s="11">
        <v>46100.0</v>
      </c>
      <c r="C165" s="12">
        <f>VLOOKUP(B:B,'Курс валют'!A:D,4,0)</f>
        <v>94.6663</v>
      </c>
      <c r="D165" s="13" t="s">
        <v>1093</v>
      </c>
      <c r="E165" s="59" t="s">
        <v>53</v>
      </c>
      <c r="F165" s="15">
        <v>800.0</v>
      </c>
      <c r="G165" s="16">
        <v>804.77</v>
      </c>
      <c r="H165" s="17">
        <v>0.0</v>
      </c>
      <c r="I165" s="16">
        <f t="shared" si="8"/>
        <v>4.77</v>
      </c>
      <c r="J165" s="18">
        <f t="shared" si="2"/>
        <v>0.59625</v>
      </c>
      <c r="K165" s="17">
        <v>1.96</v>
      </c>
      <c r="L165" s="19">
        <f t="shared" si="3"/>
        <v>0</v>
      </c>
      <c r="M165" s="20">
        <f t="shared" si="4"/>
        <v>185.545948</v>
      </c>
      <c r="N165" s="21">
        <f t="shared" si="5"/>
        <v>1.96</v>
      </c>
      <c r="O165" s="21">
        <f t="shared" si="6"/>
        <v>1568</v>
      </c>
      <c r="P165" s="22">
        <f t="shared" si="7"/>
        <v>148436.7584</v>
      </c>
    </row>
    <row r="166">
      <c r="B166" s="11">
        <v>46100.0</v>
      </c>
      <c r="C166" s="12">
        <f>VLOOKUP(B:B,'Курс валют'!A:D,4,0)</f>
        <v>94.6663</v>
      </c>
      <c r="D166" s="13" t="s">
        <v>1094</v>
      </c>
      <c r="E166" s="59" t="s">
        <v>53</v>
      </c>
      <c r="F166" s="15">
        <v>800.0</v>
      </c>
      <c r="G166" s="16">
        <v>804.77</v>
      </c>
      <c r="H166" s="17">
        <v>0.0</v>
      </c>
      <c r="I166" s="16">
        <f t="shared" si="8"/>
        <v>4.77</v>
      </c>
      <c r="J166" s="18">
        <f t="shared" si="2"/>
        <v>0.59625</v>
      </c>
      <c r="K166" s="17">
        <v>1.96</v>
      </c>
      <c r="L166" s="19">
        <f t="shared" si="3"/>
        <v>0</v>
      </c>
      <c r="M166" s="20">
        <f t="shared" si="4"/>
        <v>185.545948</v>
      </c>
      <c r="N166" s="21">
        <f t="shared" si="5"/>
        <v>1.96</v>
      </c>
      <c r="O166" s="21">
        <f t="shared" si="6"/>
        <v>1568</v>
      </c>
      <c r="P166" s="22">
        <f t="shared" si="7"/>
        <v>148436.7584</v>
      </c>
    </row>
    <row r="167">
      <c r="B167" s="11">
        <v>46100.0</v>
      </c>
      <c r="C167" s="12">
        <f>VLOOKUP(B:B,'Курс валют'!A:D,4,0)</f>
        <v>94.6663</v>
      </c>
      <c r="D167" s="13" t="s">
        <v>1095</v>
      </c>
      <c r="E167" s="59" t="s">
        <v>53</v>
      </c>
      <c r="F167" s="15">
        <v>800.0</v>
      </c>
      <c r="G167" s="16">
        <v>804.77</v>
      </c>
      <c r="H167" s="17">
        <v>0.0</v>
      </c>
      <c r="I167" s="16">
        <f t="shared" si="8"/>
        <v>4.77</v>
      </c>
      <c r="J167" s="18">
        <f t="shared" si="2"/>
        <v>0.59625</v>
      </c>
      <c r="K167" s="17">
        <v>1.96</v>
      </c>
      <c r="L167" s="19">
        <f t="shared" si="3"/>
        <v>0</v>
      </c>
      <c r="M167" s="20">
        <f t="shared" si="4"/>
        <v>185.545948</v>
      </c>
      <c r="N167" s="21">
        <f t="shared" si="5"/>
        <v>1.96</v>
      </c>
      <c r="O167" s="21">
        <f t="shared" si="6"/>
        <v>1568</v>
      </c>
      <c r="P167" s="22">
        <f t="shared" si="7"/>
        <v>148436.7584</v>
      </c>
    </row>
    <row r="168">
      <c r="B168" s="11">
        <v>46100.0</v>
      </c>
      <c r="C168" s="12">
        <f>VLOOKUP(B:B,'Курс валют'!A:D,4,0)</f>
        <v>94.6663</v>
      </c>
      <c r="D168" s="13" t="s">
        <v>1096</v>
      </c>
      <c r="E168" s="59" t="s">
        <v>53</v>
      </c>
      <c r="F168" s="15">
        <v>800.0</v>
      </c>
      <c r="G168" s="16">
        <v>804.77</v>
      </c>
      <c r="H168" s="17">
        <v>0.0</v>
      </c>
      <c r="I168" s="16">
        <f t="shared" si="8"/>
        <v>4.77</v>
      </c>
      <c r="J168" s="18">
        <f t="shared" si="2"/>
        <v>0.59625</v>
      </c>
      <c r="K168" s="17">
        <v>1.96</v>
      </c>
      <c r="L168" s="19">
        <f t="shared" si="3"/>
        <v>0</v>
      </c>
      <c r="M168" s="20">
        <f t="shared" si="4"/>
        <v>185.545948</v>
      </c>
      <c r="N168" s="21">
        <f t="shared" si="5"/>
        <v>1.96</v>
      </c>
      <c r="O168" s="21">
        <f t="shared" si="6"/>
        <v>1568</v>
      </c>
      <c r="P168" s="22">
        <f t="shared" si="7"/>
        <v>148436.7584</v>
      </c>
    </row>
    <row r="169">
      <c r="B169" s="11">
        <v>46100.0</v>
      </c>
      <c r="C169" s="12">
        <f>VLOOKUP(B:B,'Курс валют'!A:D,4,0)</f>
        <v>94.6663</v>
      </c>
      <c r="D169" s="13" t="s">
        <v>1097</v>
      </c>
      <c r="E169" s="59" t="s">
        <v>53</v>
      </c>
      <c r="F169" s="15">
        <v>800.0</v>
      </c>
      <c r="G169" s="16">
        <v>804.77</v>
      </c>
      <c r="H169" s="17">
        <v>0.0</v>
      </c>
      <c r="I169" s="16">
        <f t="shared" si="8"/>
        <v>4.77</v>
      </c>
      <c r="J169" s="18">
        <f t="shared" si="2"/>
        <v>0.59625</v>
      </c>
      <c r="K169" s="17">
        <v>1.96</v>
      </c>
      <c r="L169" s="19">
        <f t="shared" si="3"/>
        <v>0</v>
      </c>
      <c r="M169" s="20">
        <f t="shared" si="4"/>
        <v>185.545948</v>
      </c>
      <c r="N169" s="21">
        <f t="shared" si="5"/>
        <v>1.96</v>
      </c>
      <c r="O169" s="21">
        <f t="shared" si="6"/>
        <v>1568</v>
      </c>
      <c r="P169" s="22">
        <f t="shared" si="7"/>
        <v>148436.7584</v>
      </c>
    </row>
    <row r="170">
      <c r="B170" s="11">
        <v>46100.0</v>
      </c>
      <c r="C170" s="12">
        <f>VLOOKUP(B:B,'Курс валют'!A:D,4,0)</f>
        <v>94.6663</v>
      </c>
      <c r="D170" s="13" t="s">
        <v>1098</v>
      </c>
      <c r="E170" s="59" t="s">
        <v>18</v>
      </c>
      <c r="F170" s="15">
        <v>1100.0</v>
      </c>
      <c r="G170" s="16">
        <v>1104.3</v>
      </c>
      <c r="H170" s="17">
        <v>484.5</v>
      </c>
      <c r="I170" s="16">
        <f t="shared" si="8"/>
        <v>4.3</v>
      </c>
      <c r="J170" s="18">
        <f t="shared" si="2"/>
        <v>0.3909090909</v>
      </c>
      <c r="K170" s="17">
        <v>3.55</v>
      </c>
      <c r="L170" s="19">
        <f t="shared" si="3"/>
        <v>44.04545455</v>
      </c>
      <c r="M170" s="20">
        <f t="shared" si="4"/>
        <v>209.3089105</v>
      </c>
      <c r="N170" s="21">
        <f t="shared" si="5"/>
        <v>2.211018182</v>
      </c>
      <c r="O170" s="21">
        <f t="shared" si="6"/>
        <v>2432.12</v>
      </c>
      <c r="P170" s="22">
        <f t="shared" si="7"/>
        <v>230239.8016</v>
      </c>
    </row>
    <row r="171">
      <c r="B171" s="11">
        <v>46100.0</v>
      </c>
      <c r="C171" s="12">
        <f>VLOOKUP(B:B,'Курс валют'!A:D,4,0)</f>
        <v>94.6663</v>
      </c>
      <c r="D171" s="13" t="s">
        <v>1099</v>
      </c>
      <c r="E171" s="59" t="s">
        <v>18</v>
      </c>
      <c r="F171" s="15">
        <v>880.0</v>
      </c>
      <c r="G171" s="15">
        <v>883.48</v>
      </c>
      <c r="H171" s="17">
        <v>387.6</v>
      </c>
      <c r="I171" s="15">
        <f t="shared" si="8"/>
        <v>3.48</v>
      </c>
      <c r="J171" s="18">
        <f t="shared" si="2"/>
        <v>0.3954545455</v>
      </c>
      <c r="K171" s="17">
        <v>3.54</v>
      </c>
      <c r="L171" s="19">
        <f t="shared" si="3"/>
        <v>44.04545455</v>
      </c>
      <c r="M171" s="20">
        <f t="shared" si="4"/>
        <v>208.3622475</v>
      </c>
      <c r="N171" s="21">
        <f t="shared" si="5"/>
        <v>2.201018182</v>
      </c>
      <c r="O171" s="21">
        <f t="shared" si="6"/>
        <v>1936.896</v>
      </c>
      <c r="P171" s="22">
        <f t="shared" si="7"/>
        <v>183358.7778</v>
      </c>
    </row>
    <row r="172">
      <c r="B172" s="11">
        <v>46100.0</v>
      </c>
      <c r="C172" s="12">
        <f>VLOOKUP(B:B,'Курс валют'!A:D,4,0)</f>
        <v>94.6663</v>
      </c>
      <c r="D172" s="13" t="s">
        <v>1100</v>
      </c>
      <c r="E172" s="59" t="s">
        <v>126</v>
      </c>
      <c r="F172" s="15">
        <v>23.18</v>
      </c>
      <c r="G172" s="15">
        <v>23.18</v>
      </c>
      <c r="H172" s="17">
        <v>0.0</v>
      </c>
      <c r="I172" s="15">
        <f t="shared" si="8"/>
        <v>0</v>
      </c>
      <c r="J172" s="18">
        <f t="shared" si="2"/>
        <v>0</v>
      </c>
      <c r="K172" s="17">
        <v>2.08</v>
      </c>
      <c r="L172" s="19">
        <f t="shared" si="3"/>
        <v>0</v>
      </c>
      <c r="M172" s="20">
        <f t="shared" si="4"/>
        <v>196.905904</v>
      </c>
      <c r="N172" s="21">
        <f t="shared" si="5"/>
        <v>2.08</v>
      </c>
      <c r="O172" s="21">
        <f t="shared" si="6"/>
        <v>48.2144</v>
      </c>
      <c r="P172" s="22">
        <f t="shared" si="7"/>
        <v>4564.278855</v>
      </c>
      <c r="R172" s="42" t="s">
        <v>1101</v>
      </c>
    </row>
    <row r="173">
      <c r="B173" s="11">
        <v>46100.0</v>
      </c>
      <c r="C173" s="12">
        <f>VLOOKUP(B:B,'Курс валют'!A:D,4,0)</f>
        <v>94.6663</v>
      </c>
      <c r="D173" s="13" t="s">
        <v>1100</v>
      </c>
      <c r="E173" s="59" t="s">
        <v>105</v>
      </c>
      <c r="F173" s="15">
        <v>23.18</v>
      </c>
      <c r="G173" s="15">
        <v>23.18</v>
      </c>
      <c r="H173" s="17">
        <v>0.0</v>
      </c>
      <c r="I173" s="15">
        <f t="shared" si="8"/>
        <v>0</v>
      </c>
      <c r="J173" s="18">
        <f t="shared" si="2"/>
        <v>0</v>
      </c>
      <c r="K173" s="17">
        <v>2.08</v>
      </c>
      <c r="L173" s="19">
        <f t="shared" si="3"/>
        <v>0</v>
      </c>
      <c r="M173" s="20">
        <f t="shared" si="4"/>
        <v>196.905904</v>
      </c>
      <c r="N173" s="21">
        <f t="shared" si="5"/>
        <v>2.08</v>
      </c>
      <c r="O173" s="21">
        <f t="shared" si="6"/>
        <v>48.2144</v>
      </c>
      <c r="P173" s="22">
        <f t="shared" si="7"/>
        <v>4564.278855</v>
      </c>
      <c r="R173" s="42" t="s">
        <v>1101</v>
      </c>
    </row>
    <row r="174">
      <c r="B174" s="11">
        <v>46101.0</v>
      </c>
      <c r="C174" s="12">
        <f>VLOOKUP(B:B,'Курс валют'!A:D,4,0)</f>
        <v>96.9155</v>
      </c>
      <c r="D174" s="13" t="s">
        <v>1102</v>
      </c>
      <c r="E174" s="59" t="s">
        <v>53</v>
      </c>
      <c r="F174" s="15">
        <v>800.0</v>
      </c>
      <c r="G174" s="15">
        <v>804.95</v>
      </c>
      <c r="H174" s="17">
        <v>0.0</v>
      </c>
      <c r="I174" s="15">
        <f t="shared" si="8"/>
        <v>4.95</v>
      </c>
      <c r="J174" s="18">
        <f t="shared" si="2"/>
        <v>0.61875</v>
      </c>
      <c r="K174" s="17">
        <v>1.97</v>
      </c>
      <c r="L174" s="19">
        <f t="shared" si="3"/>
        <v>0</v>
      </c>
      <c r="M174" s="20">
        <f t="shared" si="4"/>
        <v>190.923535</v>
      </c>
      <c r="N174" s="21">
        <f t="shared" si="5"/>
        <v>1.97</v>
      </c>
      <c r="O174" s="21">
        <f t="shared" si="6"/>
        <v>1576</v>
      </c>
      <c r="P174" s="22">
        <f t="shared" si="7"/>
        <v>152738.828</v>
      </c>
    </row>
    <row r="175">
      <c r="B175" s="11">
        <v>46101.0</v>
      </c>
      <c r="C175" s="12">
        <f>VLOOKUP(B:B,'Курс валют'!A:D,4,0)</f>
        <v>96.9155</v>
      </c>
      <c r="D175" s="13" t="s">
        <v>1103</v>
      </c>
      <c r="E175" s="59" t="s">
        <v>53</v>
      </c>
      <c r="F175" s="15">
        <v>800.0</v>
      </c>
      <c r="G175" s="15">
        <v>804.95</v>
      </c>
      <c r="H175" s="17">
        <v>0.0</v>
      </c>
      <c r="I175" s="15">
        <f t="shared" si="8"/>
        <v>4.95</v>
      </c>
      <c r="J175" s="18">
        <f t="shared" si="2"/>
        <v>0.61875</v>
      </c>
      <c r="K175" s="17">
        <v>1.96</v>
      </c>
      <c r="L175" s="19">
        <f t="shared" si="3"/>
        <v>0</v>
      </c>
      <c r="M175" s="20">
        <f t="shared" si="4"/>
        <v>189.95438</v>
      </c>
      <c r="N175" s="21">
        <f t="shared" si="5"/>
        <v>1.96</v>
      </c>
      <c r="O175" s="21">
        <f t="shared" si="6"/>
        <v>1568</v>
      </c>
      <c r="P175" s="22">
        <f t="shared" si="7"/>
        <v>151963.504</v>
      </c>
    </row>
    <row r="176">
      <c r="B176" s="11">
        <v>46101.0</v>
      </c>
      <c r="C176" s="12">
        <f>VLOOKUP(B:B,'Курс валют'!A:D,4,0)</f>
        <v>96.9155</v>
      </c>
      <c r="D176" s="13" t="s">
        <v>1104</v>
      </c>
      <c r="E176" s="59" t="s">
        <v>53</v>
      </c>
      <c r="F176" s="15">
        <v>800.0</v>
      </c>
      <c r="G176" s="15">
        <v>804.95</v>
      </c>
      <c r="H176" s="17">
        <v>0.0</v>
      </c>
      <c r="I176" s="15">
        <f t="shared" si="8"/>
        <v>4.95</v>
      </c>
      <c r="J176" s="18">
        <f t="shared" si="2"/>
        <v>0.61875</v>
      </c>
      <c r="K176" s="17">
        <v>1.96</v>
      </c>
      <c r="L176" s="19">
        <f t="shared" si="3"/>
        <v>0</v>
      </c>
      <c r="M176" s="20">
        <f t="shared" si="4"/>
        <v>189.95438</v>
      </c>
      <c r="N176" s="21">
        <f t="shared" si="5"/>
        <v>1.96</v>
      </c>
      <c r="O176" s="21">
        <f t="shared" si="6"/>
        <v>1568</v>
      </c>
      <c r="P176" s="22">
        <f t="shared" si="7"/>
        <v>151963.504</v>
      </c>
    </row>
    <row r="177">
      <c r="B177" s="11">
        <v>46101.0</v>
      </c>
      <c r="C177" s="12">
        <f>VLOOKUP(B:B,'Курс валют'!A:D,4,0)</f>
        <v>96.9155</v>
      </c>
      <c r="D177" s="13" t="s">
        <v>1105</v>
      </c>
      <c r="E177" s="59" t="s">
        <v>53</v>
      </c>
      <c r="F177" s="15">
        <v>800.0</v>
      </c>
      <c r="G177" s="15">
        <v>804.95</v>
      </c>
      <c r="H177" s="17">
        <v>0.0</v>
      </c>
      <c r="I177" s="15">
        <f t="shared" si="8"/>
        <v>4.95</v>
      </c>
      <c r="J177" s="18">
        <f t="shared" si="2"/>
        <v>0.61875</v>
      </c>
      <c r="K177" s="17">
        <v>1.96</v>
      </c>
      <c r="L177" s="19">
        <f t="shared" si="3"/>
        <v>0</v>
      </c>
      <c r="M177" s="20">
        <f t="shared" si="4"/>
        <v>189.95438</v>
      </c>
      <c r="N177" s="21">
        <f t="shared" si="5"/>
        <v>1.96</v>
      </c>
      <c r="O177" s="21">
        <f t="shared" si="6"/>
        <v>1568</v>
      </c>
      <c r="P177" s="22">
        <f t="shared" si="7"/>
        <v>151963.504</v>
      </c>
    </row>
    <row r="178">
      <c r="B178" s="11">
        <v>46101.0</v>
      </c>
      <c r="C178" s="12">
        <f>VLOOKUP(B:B,'Курс валют'!A:D,4,0)</f>
        <v>96.9155</v>
      </c>
      <c r="D178" s="13" t="s">
        <v>1106</v>
      </c>
      <c r="E178" s="59" t="s">
        <v>53</v>
      </c>
      <c r="F178" s="15">
        <v>800.0</v>
      </c>
      <c r="G178" s="15">
        <v>804.95</v>
      </c>
      <c r="H178" s="17">
        <v>0.0</v>
      </c>
      <c r="I178" s="15">
        <f t="shared" si="8"/>
        <v>4.95</v>
      </c>
      <c r="J178" s="18">
        <f t="shared" si="2"/>
        <v>0.61875</v>
      </c>
      <c r="K178" s="17">
        <v>1.96</v>
      </c>
      <c r="L178" s="19">
        <f t="shared" si="3"/>
        <v>0</v>
      </c>
      <c r="M178" s="20">
        <f t="shared" si="4"/>
        <v>189.95438</v>
      </c>
      <c r="N178" s="21">
        <f t="shared" si="5"/>
        <v>1.96</v>
      </c>
      <c r="O178" s="21">
        <f t="shared" si="6"/>
        <v>1568</v>
      </c>
      <c r="P178" s="22">
        <f t="shared" si="7"/>
        <v>151963.504</v>
      </c>
    </row>
    <row r="179">
      <c r="B179" s="11">
        <v>46101.0</v>
      </c>
      <c r="C179" s="12">
        <f>VLOOKUP(B:B,'Курс валют'!A:D,4,0)</f>
        <v>96.9155</v>
      </c>
      <c r="D179" s="13" t="s">
        <v>1107</v>
      </c>
      <c r="E179" s="59" t="s">
        <v>53</v>
      </c>
      <c r="F179" s="15">
        <v>800.0</v>
      </c>
      <c r="G179" s="15">
        <v>804.95</v>
      </c>
      <c r="H179" s="17">
        <v>0.0</v>
      </c>
      <c r="I179" s="15">
        <f t="shared" si="8"/>
        <v>4.95</v>
      </c>
      <c r="J179" s="18">
        <f t="shared" si="2"/>
        <v>0.61875</v>
      </c>
      <c r="K179" s="17">
        <v>1.96</v>
      </c>
      <c r="L179" s="19">
        <f t="shared" si="3"/>
        <v>0</v>
      </c>
      <c r="M179" s="20">
        <f t="shared" si="4"/>
        <v>189.95438</v>
      </c>
      <c r="N179" s="21">
        <f t="shared" si="5"/>
        <v>1.96</v>
      </c>
      <c r="O179" s="21">
        <f t="shared" si="6"/>
        <v>1568</v>
      </c>
      <c r="P179" s="22">
        <f t="shared" si="7"/>
        <v>151963.504</v>
      </c>
    </row>
    <row r="180">
      <c r="B180" s="11">
        <v>46101.0</v>
      </c>
      <c r="C180" s="12">
        <f>VLOOKUP(B:B,'Курс валют'!A:D,4,0)</f>
        <v>96.9155</v>
      </c>
      <c r="D180" s="13" t="s">
        <v>1108</v>
      </c>
      <c r="E180" s="59" t="s">
        <v>53</v>
      </c>
      <c r="F180" s="15">
        <v>800.0</v>
      </c>
      <c r="G180" s="15">
        <v>804.95</v>
      </c>
      <c r="H180" s="17">
        <v>0.0</v>
      </c>
      <c r="I180" s="15">
        <f t="shared" si="8"/>
        <v>4.95</v>
      </c>
      <c r="J180" s="18">
        <f t="shared" si="2"/>
        <v>0.61875</v>
      </c>
      <c r="K180" s="17">
        <v>1.96</v>
      </c>
      <c r="L180" s="19">
        <f t="shared" si="3"/>
        <v>0</v>
      </c>
      <c r="M180" s="20">
        <f t="shared" si="4"/>
        <v>189.95438</v>
      </c>
      <c r="N180" s="21">
        <f t="shared" si="5"/>
        <v>1.96</v>
      </c>
      <c r="O180" s="21">
        <f t="shared" si="6"/>
        <v>1568</v>
      </c>
      <c r="P180" s="22">
        <f t="shared" si="7"/>
        <v>151963.504</v>
      </c>
    </row>
    <row r="181">
      <c r="B181" s="11">
        <v>46101.0</v>
      </c>
      <c r="C181" s="12">
        <f>VLOOKUP(B:B,'Курс валют'!A:D,4,0)</f>
        <v>96.9155</v>
      </c>
      <c r="D181" s="13" t="s">
        <v>1109</v>
      </c>
      <c r="E181" s="59" t="s">
        <v>68</v>
      </c>
      <c r="F181" s="15">
        <v>800.0</v>
      </c>
      <c r="G181" s="15">
        <v>804.99</v>
      </c>
      <c r="H181" s="17">
        <v>0.0</v>
      </c>
      <c r="I181" s="15">
        <f t="shared" si="8"/>
        <v>4.99</v>
      </c>
      <c r="J181" s="18">
        <f t="shared" si="2"/>
        <v>0.62375</v>
      </c>
      <c r="K181" s="17">
        <v>2.0</v>
      </c>
      <c r="L181" s="19">
        <f t="shared" si="3"/>
        <v>0</v>
      </c>
      <c r="M181" s="20">
        <f t="shared" si="4"/>
        <v>193.831</v>
      </c>
      <c r="N181" s="21">
        <f t="shared" si="5"/>
        <v>2</v>
      </c>
      <c r="O181" s="21">
        <f t="shared" si="6"/>
        <v>1600</v>
      </c>
      <c r="P181" s="22">
        <f t="shared" si="7"/>
        <v>155064.8</v>
      </c>
    </row>
    <row r="182">
      <c r="B182" s="11">
        <v>46101.0</v>
      </c>
      <c r="C182" s="12">
        <f>VLOOKUP(B:B,'Курс валют'!A:D,4,0)</f>
        <v>96.9155</v>
      </c>
      <c r="D182" s="13" t="s">
        <v>1110</v>
      </c>
      <c r="E182" s="59" t="s">
        <v>68</v>
      </c>
      <c r="F182" s="15">
        <v>800.0</v>
      </c>
      <c r="G182" s="15">
        <v>804.99</v>
      </c>
      <c r="H182" s="17">
        <v>0.0</v>
      </c>
      <c r="I182" s="15">
        <f t="shared" si="8"/>
        <v>4.99</v>
      </c>
      <c r="J182" s="18">
        <f t="shared" si="2"/>
        <v>0.62375</v>
      </c>
      <c r="K182" s="17">
        <v>1.99</v>
      </c>
      <c r="L182" s="19">
        <f t="shared" si="3"/>
        <v>0</v>
      </c>
      <c r="M182" s="20">
        <f t="shared" si="4"/>
        <v>192.861845</v>
      </c>
      <c r="N182" s="21">
        <f t="shared" si="5"/>
        <v>1.99</v>
      </c>
      <c r="O182" s="21">
        <f t="shared" si="6"/>
        <v>1592</v>
      </c>
      <c r="P182" s="22">
        <f t="shared" si="7"/>
        <v>154289.476</v>
      </c>
    </row>
    <row r="183">
      <c r="B183" s="11">
        <v>46101.0</v>
      </c>
      <c r="C183" s="12">
        <f>VLOOKUP(B:B,'Курс валют'!A:D,4,0)</f>
        <v>96.9155</v>
      </c>
      <c r="D183" s="13" t="s">
        <v>1111</v>
      </c>
      <c r="E183" s="59" t="s">
        <v>68</v>
      </c>
      <c r="F183" s="15">
        <v>800.0</v>
      </c>
      <c r="G183" s="15">
        <v>804.99</v>
      </c>
      <c r="H183" s="17">
        <v>0.0</v>
      </c>
      <c r="I183" s="15">
        <f t="shared" si="8"/>
        <v>4.99</v>
      </c>
      <c r="J183" s="18">
        <f t="shared" si="2"/>
        <v>0.62375</v>
      </c>
      <c r="K183" s="17">
        <v>1.99</v>
      </c>
      <c r="L183" s="19">
        <f t="shared" si="3"/>
        <v>0</v>
      </c>
      <c r="M183" s="20">
        <f t="shared" si="4"/>
        <v>192.861845</v>
      </c>
      <c r="N183" s="21">
        <f t="shared" si="5"/>
        <v>1.99</v>
      </c>
      <c r="O183" s="21">
        <f t="shared" si="6"/>
        <v>1592</v>
      </c>
      <c r="P183" s="22">
        <f t="shared" si="7"/>
        <v>154289.476</v>
      </c>
    </row>
    <row r="184">
      <c r="B184" s="11">
        <v>46101.0</v>
      </c>
      <c r="C184" s="12">
        <f>VLOOKUP(B:B,'Курс валют'!A:D,4,0)</f>
        <v>96.9155</v>
      </c>
      <c r="D184" s="13" t="s">
        <v>1112</v>
      </c>
      <c r="E184" s="59" t="s">
        <v>68</v>
      </c>
      <c r="F184" s="15">
        <v>800.0</v>
      </c>
      <c r="G184" s="15">
        <v>804.99</v>
      </c>
      <c r="H184" s="17">
        <v>0.0</v>
      </c>
      <c r="I184" s="15">
        <f t="shared" si="8"/>
        <v>4.99</v>
      </c>
      <c r="J184" s="18">
        <f t="shared" si="2"/>
        <v>0.62375</v>
      </c>
      <c r="K184" s="17">
        <v>2.0</v>
      </c>
      <c r="L184" s="19">
        <f t="shared" si="3"/>
        <v>0</v>
      </c>
      <c r="M184" s="20">
        <f t="shared" si="4"/>
        <v>193.831</v>
      </c>
      <c r="N184" s="21">
        <f t="shared" si="5"/>
        <v>2</v>
      </c>
      <c r="O184" s="21">
        <f t="shared" si="6"/>
        <v>1600</v>
      </c>
      <c r="P184" s="22">
        <f t="shared" si="7"/>
        <v>155064.8</v>
      </c>
    </row>
    <row r="185">
      <c r="B185" s="11">
        <v>46101.0</v>
      </c>
      <c r="C185" s="12">
        <f>VLOOKUP(B:B,'Курс валют'!A:D,4,0)</f>
        <v>96.9155</v>
      </c>
      <c r="D185" s="13" t="s">
        <v>1113</v>
      </c>
      <c r="E185" s="59" t="s">
        <v>68</v>
      </c>
      <c r="F185" s="15">
        <v>800.0</v>
      </c>
      <c r="G185" s="15">
        <v>804.99</v>
      </c>
      <c r="H185" s="17">
        <v>0.0</v>
      </c>
      <c r="I185" s="15">
        <f t="shared" si="8"/>
        <v>4.99</v>
      </c>
      <c r="J185" s="18">
        <f t="shared" si="2"/>
        <v>0.62375</v>
      </c>
      <c r="K185" s="17">
        <v>1.99</v>
      </c>
      <c r="L185" s="19">
        <f t="shared" si="3"/>
        <v>0</v>
      </c>
      <c r="M185" s="20">
        <f t="shared" si="4"/>
        <v>192.861845</v>
      </c>
      <c r="N185" s="21">
        <f t="shared" si="5"/>
        <v>1.99</v>
      </c>
      <c r="O185" s="21">
        <f t="shared" si="6"/>
        <v>1592</v>
      </c>
      <c r="P185" s="22">
        <f t="shared" si="7"/>
        <v>154289.476</v>
      </c>
    </row>
    <row r="186">
      <c r="B186" s="11">
        <v>46101.0</v>
      </c>
      <c r="C186" s="12">
        <f>VLOOKUP(B:B,'Курс валют'!A:D,4,0)</f>
        <v>96.9155</v>
      </c>
      <c r="D186" s="13" t="s">
        <v>1114</v>
      </c>
      <c r="E186" s="59" t="s">
        <v>68</v>
      </c>
      <c r="F186" s="15">
        <v>800.0</v>
      </c>
      <c r="G186" s="15">
        <v>804.99</v>
      </c>
      <c r="H186" s="17">
        <v>0.0</v>
      </c>
      <c r="I186" s="15">
        <f t="shared" si="8"/>
        <v>4.99</v>
      </c>
      <c r="J186" s="18">
        <f t="shared" si="2"/>
        <v>0.62375</v>
      </c>
      <c r="K186" s="17">
        <v>1.99</v>
      </c>
      <c r="L186" s="19">
        <f t="shared" si="3"/>
        <v>0</v>
      </c>
      <c r="M186" s="20">
        <f t="shared" si="4"/>
        <v>192.861845</v>
      </c>
      <c r="N186" s="21">
        <f t="shared" si="5"/>
        <v>1.99</v>
      </c>
      <c r="O186" s="21">
        <f t="shared" si="6"/>
        <v>1592</v>
      </c>
      <c r="P186" s="22">
        <f t="shared" si="7"/>
        <v>154289.476</v>
      </c>
    </row>
    <row r="187">
      <c r="B187" s="11">
        <v>46101.0</v>
      </c>
      <c r="C187" s="12">
        <f>VLOOKUP(B:B,'Курс валют'!A:D,4,0)</f>
        <v>96.9155</v>
      </c>
      <c r="D187" s="13" t="s">
        <v>1115</v>
      </c>
      <c r="E187" s="59" t="s">
        <v>68</v>
      </c>
      <c r="F187" s="15">
        <v>800.0</v>
      </c>
      <c r="G187" s="15">
        <v>804.99</v>
      </c>
      <c r="H187" s="17">
        <v>0.0</v>
      </c>
      <c r="I187" s="15">
        <f t="shared" si="8"/>
        <v>4.99</v>
      </c>
      <c r="J187" s="18">
        <f t="shared" si="2"/>
        <v>0.62375</v>
      </c>
      <c r="K187" s="17">
        <v>2.0</v>
      </c>
      <c r="L187" s="19">
        <f t="shared" si="3"/>
        <v>0</v>
      </c>
      <c r="M187" s="20">
        <f t="shared" si="4"/>
        <v>193.831</v>
      </c>
      <c r="N187" s="21">
        <f t="shared" si="5"/>
        <v>2</v>
      </c>
      <c r="O187" s="21">
        <f t="shared" si="6"/>
        <v>1600</v>
      </c>
      <c r="P187" s="22">
        <f t="shared" si="7"/>
        <v>155064.8</v>
      </c>
    </row>
    <row r="188">
      <c r="B188" s="11">
        <v>46101.0</v>
      </c>
      <c r="C188" s="12">
        <f>VLOOKUP(B:B,'Курс валют'!A:D,4,0)</f>
        <v>96.9155</v>
      </c>
      <c r="D188" s="13" t="s">
        <v>1116</v>
      </c>
      <c r="E188" s="59" t="s">
        <v>53</v>
      </c>
      <c r="F188" s="15">
        <v>800.0</v>
      </c>
      <c r="G188" s="15">
        <v>804.95</v>
      </c>
      <c r="H188" s="17">
        <v>0.0</v>
      </c>
      <c r="I188" s="15">
        <f t="shared" si="8"/>
        <v>4.95</v>
      </c>
      <c r="J188" s="18">
        <f t="shared" si="2"/>
        <v>0.61875</v>
      </c>
      <c r="K188" s="17">
        <v>1.96</v>
      </c>
      <c r="L188" s="19">
        <f t="shared" si="3"/>
        <v>0</v>
      </c>
      <c r="M188" s="20">
        <f t="shared" si="4"/>
        <v>189.95438</v>
      </c>
      <c r="N188" s="21">
        <f t="shared" si="5"/>
        <v>1.96</v>
      </c>
      <c r="O188" s="21">
        <f t="shared" si="6"/>
        <v>1568</v>
      </c>
      <c r="P188" s="22">
        <f t="shared" si="7"/>
        <v>151963.504</v>
      </c>
    </row>
    <row r="189">
      <c r="B189" s="11">
        <v>46101.0</v>
      </c>
      <c r="C189" s="12">
        <f>VLOOKUP(B:B,'Курс валют'!A:D,4,0)</f>
        <v>96.9155</v>
      </c>
      <c r="D189" s="13" t="s">
        <v>1117</v>
      </c>
      <c r="E189" s="59" t="s">
        <v>53</v>
      </c>
      <c r="F189" s="15">
        <v>800.0</v>
      </c>
      <c r="G189" s="15">
        <v>804.95</v>
      </c>
      <c r="H189" s="17">
        <v>0.0</v>
      </c>
      <c r="I189" s="15">
        <f t="shared" si="8"/>
        <v>4.95</v>
      </c>
      <c r="J189" s="18">
        <f t="shared" si="2"/>
        <v>0.61875</v>
      </c>
      <c r="K189" s="17">
        <v>1.96</v>
      </c>
      <c r="L189" s="19">
        <f t="shared" si="3"/>
        <v>0</v>
      </c>
      <c r="M189" s="20">
        <f t="shared" si="4"/>
        <v>189.95438</v>
      </c>
      <c r="N189" s="21">
        <f t="shared" si="5"/>
        <v>1.96</v>
      </c>
      <c r="O189" s="21">
        <f t="shared" si="6"/>
        <v>1568</v>
      </c>
      <c r="P189" s="22">
        <f t="shared" si="7"/>
        <v>151963.504</v>
      </c>
    </row>
    <row r="190">
      <c r="B190" s="11">
        <v>46101.0</v>
      </c>
      <c r="C190" s="12">
        <f>VLOOKUP(B:B,'Курс валют'!A:D,4,0)</f>
        <v>96.9155</v>
      </c>
      <c r="D190" s="13" t="s">
        <v>1118</v>
      </c>
      <c r="E190" s="59" t="s">
        <v>53</v>
      </c>
      <c r="F190" s="15">
        <v>800.0</v>
      </c>
      <c r="G190" s="15">
        <v>804.95</v>
      </c>
      <c r="H190" s="17">
        <v>0.0</v>
      </c>
      <c r="I190" s="15">
        <f t="shared" si="8"/>
        <v>4.95</v>
      </c>
      <c r="J190" s="18">
        <f t="shared" si="2"/>
        <v>0.61875</v>
      </c>
      <c r="K190" s="17">
        <v>1.96</v>
      </c>
      <c r="L190" s="19">
        <f t="shared" si="3"/>
        <v>0</v>
      </c>
      <c r="M190" s="20">
        <f t="shared" si="4"/>
        <v>189.95438</v>
      </c>
      <c r="N190" s="21">
        <f t="shared" si="5"/>
        <v>1.96</v>
      </c>
      <c r="O190" s="21">
        <f t="shared" si="6"/>
        <v>1568</v>
      </c>
      <c r="P190" s="22">
        <f t="shared" si="7"/>
        <v>151963.504</v>
      </c>
    </row>
    <row r="191">
      <c r="B191" s="11">
        <v>46101.0</v>
      </c>
      <c r="C191" s="12">
        <f>VLOOKUP(B:B,'Курс валют'!A:D,4,0)</f>
        <v>96.9155</v>
      </c>
      <c r="D191" s="13" t="s">
        <v>1119</v>
      </c>
      <c r="E191" s="59" t="s">
        <v>68</v>
      </c>
      <c r="F191" s="15">
        <v>800.0</v>
      </c>
      <c r="G191" s="15">
        <v>804.99</v>
      </c>
      <c r="H191" s="17">
        <v>0.0</v>
      </c>
      <c r="I191" s="15">
        <f t="shared" si="8"/>
        <v>4.99</v>
      </c>
      <c r="J191" s="18">
        <f t="shared" si="2"/>
        <v>0.62375</v>
      </c>
      <c r="K191" s="17">
        <v>1.99</v>
      </c>
      <c r="L191" s="19">
        <f t="shared" si="3"/>
        <v>0</v>
      </c>
      <c r="M191" s="20">
        <f t="shared" si="4"/>
        <v>192.861845</v>
      </c>
      <c r="N191" s="21">
        <f t="shared" si="5"/>
        <v>1.99</v>
      </c>
      <c r="O191" s="21">
        <f t="shared" si="6"/>
        <v>1592</v>
      </c>
      <c r="P191" s="22">
        <f t="shared" si="7"/>
        <v>154289.476</v>
      </c>
    </row>
    <row r="192">
      <c r="B192" s="11">
        <v>46101.0</v>
      </c>
      <c r="C192" s="12">
        <f>VLOOKUP(B:B,'Курс валют'!A:D,4,0)</f>
        <v>96.9155</v>
      </c>
      <c r="D192" s="13" t="s">
        <v>1120</v>
      </c>
      <c r="E192" s="59" t="s">
        <v>68</v>
      </c>
      <c r="F192" s="15">
        <v>800.0</v>
      </c>
      <c r="G192" s="15">
        <v>804.99</v>
      </c>
      <c r="H192" s="17">
        <v>0.0</v>
      </c>
      <c r="I192" s="15">
        <f t="shared" si="8"/>
        <v>4.99</v>
      </c>
      <c r="J192" s="18">
        <f t="shared" si="2"/>
        <v>0.62375</v>
      </c>
      <c r="K192" s="17">
        <v>1.99</v>
      </c>
      <c r="L192" s="19">
        <f t="shared" si="3"/>
        <v>0</v>
      </c>
      <c r="M192" s="20">
        <f t="shared" si="4"/>
        <v>192.861845</v>
      </c>
      <c r="N192" s="21">
        <f t="shared" si="5"/>
        <v>1.99</v>
      </c>
      <c r="O192" s="21">
        <f t="shared" si="6"/>
        <v>1592</v>
      </c>
      <c r="P192" s="22">
        <f t="shared" si="7"/>
        <v>154289.476</v>
      </c>
    </row>
    <row r="193">
      <c r="B193" s="11">
        <v>46101.0</v>
      </c>
      <c r="C193" s="12">
        <f>VLOOKUP(B:B,'Курс валют'!A:D,4,0)</f>
        <v>96.9155</v>
      </c>
      <c r="D193" s="13" t="s">
        <v>1121</v>
      </c>
      <c r="E193" s="59" t="s">
        <v>68</v>
      </c>
      <c r="F193" s="15">
        <v>800.0</v>
      </c>
      <c r="G193" s="15">
        <v>804.99</v>
      </c>
      <c r="H193" s="17">
        <v>0.0</v>
      </c>
      <c r="I193" s="15">
        <f t="shared" si="8"/>
        <v>4.99</v>
      </c>
      <c r="J193" s="18">
        <f t="shared" si="2"/>
        <v>0.62375</v>
      </c>
      <c r="K193" s="17">
        <v>2.0</v>
      </c>
      <c r="L193" s="19">
        <f t="shared" si="3"/>
        <v>0</v>
      </c>
      <c r="M193" s="20">
        <f t="shared" si="4"/>
        <v>193.831</v>
      </c>
      <c r="N193" s="21">
        <f t="shared" si="5"/>
        <v>2</v>
      </c>
      <c r="O193" s="21">
        <f t="shared" si="6"/>
        <v>1600</v>
      </c>
      <c r="P193" s="22">
        <f t="shared" si="7"/>
        <v>155064.8</v>
      </c>
    </row>
    <row r="194">
      <c r="B194" s="11">
        <v>46102.0</v>
      </c>
      <c r="C194" s="12">
        <f>VLOOKUP(B:B,'Курс валют'!A:D,4,0)</f>
        <v>97.2886</v>
      </c>
      <c r="D194" s="13" t="s">
        <v>1122</v>
      </c>
      <c r="E194" s="59" t="s">
        <v>54</v>
      </c>
      <c r="F194" s="15">
        <v>800.0</v>
      </c>
      <c r="G194" s="15">
        <v>804.34</v>
      </c>
      <c r="H194" s="17">
        <v>0.0</v>
      </c>
      <c r="I194" s="15">
        <f t="shared" si="8"/>
        <v>4.34</v>
      </c>
      <c r="J194" s="18">
        <f t="shared" si="2"/>
        <v>0.5425</v>
      </c>
      <c r="K194" s="17">
        <v>1.97</v>
      </c>
      <c r="L194" s="19">
        <f t="shared" si="3"/>
        <v>0</v>
      </c>
      <c r="M194" s="20">
        <f t="shared" si="4"/>
        <v>191.658542</v>
      </c>
      <c r="N194" s="21">
        <f t="shared" si="5"/>
        <v>1.97</v>
      </c>
      <c r="O194" s="21">
        <f t="shared" si="6"/>
        <v>1576</v>
      </c>
      <c r="P194" s="22">
        <f t="shared" si="7"/>
        <v>153326.8336</v>
      </c>
    </row>
    <row r="195">
      <c r="B195" s="11">
        <v>46102.0</v>
      </c>
      <c r="C195" s="12">
        <f>VLOOKUP(B:B,'Курс валют'!A:D,4,0)</f>
        <v>97.2886</v>
      </c>
      <c r="D195" s="13" t="s">
        <v>1123</v>
      </c>
      <c r="E195" s="59" t="s">
        <v>54</v>
      </c>
      <c r="F195" s="15">
        <v>800.0</v>
      </c>
      <c r="G195" s="15">
        <v>804.34</v>
      </c>
      <c r="H195" s="17">
        <v>0.0</v>
      </c>
      <c r="I195" s="15">
        <f t="shared" si="8"/>
        <v>4.34</v>
      </c>
      <c r="J195" s="18">
        <f t="shared" si="2"/>
        <v>0.5425</v>
      </c>
      <c r="K195" s="17">
        <v>1.96</v>
      </c>
      <c r="L195" s="19">
        <f t="shared" si="3"/>
        <v>0</v>
      </c>
      <c r="M195" s="20">
        <f t="shared" si="4"/>
        <v>190.685656</v>
      </c>
      <c r="N195" s="21">
        <f t="shared" si="5"/>
        <v>1.96</v>
      </c>
      <c r="O195" s="21">
        <f t="shared" si="6"/>
        <v>1568</v>
      </c>
      <c r="P195" s="22">
        <f t="shared" si="7"/>
        <v>152548.5248</v>
      </c>
    </row>
    <row r="196">
      <c r="B196" s="11">
        <v>46102.0</v>
      </c>
      <c r="C196" s="12">
        <f>VLOOKUP(B:B,'Курс валют'!A:D,4,0)</f>
        <v>97.2886</v>
      </c>
      <c r="D196" s="13" t="s">
        <v>1124</v>
      </c>
      <c r="E196" s="59" t="s">
        <v>54</v>
      </c>
      <c r="F196" s="15">
        <v>800.0</v>
      </c>
      <c r="G196" s="15">
        <v>804.34</v>
      </c>
      <c r="H196" s="17">
        <v>0.0</v>
      </c>
      <c r="I196" s="15">
        <f t="shared" si="8"/>
        <v>4.34</v>
      </c>
      <c r="J196" s="18">
        <f t="shared" si="2"/>
        <v>0.5425</v>
      </c>
      <c r="K196" s="17">
        <v>1.96</v>
      </c>
      <c r="L196" s="19">
        <f t="shared" si="3"/>
        <v>0</v>
      </c>
      <c r="M196" s="20">
        <f t="shared" si="4"/>
        <v>190.685656</v>
      </c>
      <c r="N196" s="21">
        <f t="shared" si="5"/>
        <v>1.96</v>
      </c>
      <c r="O196" s="21">
        <f t="shared" si="6"/>
        <v>1568</v>
      </c>
      <c r="P196" s="22">
        <f t="shared" si="7"/>
        <v>152548.5248</v>
      </c>
    </row>
    <row r="197">
      <c r="B197" s="11">
        <v>46102.0</v>
      </c>
      <c r="C197" s="12">
        <f>VLOOKUP(B:B,'Курс валют'!A:D,4,0)</f>
        <v>97.2886</v>
      </c>
      <c r="D197" s="13" t="s">
        <v>1125</v>
      </c>
      <c r="E197" s="59" t="s">
        <v>54</v>
      </c>
      <c r="F197" s="15">
        <v>800.0</v>
      </c>
      <c r="G197" s="15">
        <v>804.34</v>
      </c>
      <c r="H197" s="17">
        <v>0.0</v>
      </c>
      <c r="I197" s="15">
        <f t="shared" si="8"/>
        <v>4.34</v>
      </c>
      <c r="J197" s="18">
        <f t="shared" si="2"/>
        <v>0.5425</v>
      </c>
      <c r="K197" s="17">
        <v>1.96</v>
      </c>
      <c r="L197" s="19">
        <f t="shared" si="3"/>
        <v>0</v>
      </c>
      <c r="M197" s="20">
        <f t="shared" si="4"/>
        <v>190.685656</v>
      </c>
      <c r="N197" s="21">
        <f t="shared" si="5"/>
        <v>1.96</v>
      </c>
      <c r="O197" s="21">
        <f t="shared" si="6"/>
        <v>1568</v>
      </c>
      <c r="P197" s="22">
        <f t="shared" si="7"/>
        <v>152548.5248</v>
      </c>
    </row>
    <row r="198">
      <c r="B198" s="11">
        <v>46102.0</v>
      </c>
      <c r="C198" s="12">
        <f>VLOOKUP(B:B,'Курс валют'!A:D,4,0)</f>
        <v>97.2886</v>
      </c>
      <c r="D198" s="13" t="s">
        <v>1126</v>
      </c>
      <c r="E198" s="59" t="s">
        <v>54</v>
      </c>
      <c r="F198" s="15">
        <v>800.0</v>
      </c>
      <c r="G198" s="15">
        <v>804.34</v>
      </c>
      <c r="H198" s="17">
        <v>0.0</v>
      </c>
      <c r="I198" s="15">
        <f t="shared" si="8"/>
        <v>4.34</v>
      </c>
      <c r="J198" s="18">
        <f t="shared" si="2"/>
        <v>0.5425</v>
      </c>
      <c r="K198" s="17">
        <v>1.97</v>
      </c>
      <c r="L198" s="19">
        <f t="shared" si="3"/>
        <v>0</v>
      </c>
      <c r="M198" s="20">
        <f t="shared" si="4"/>
        <v>191.658542</v>
      </c>
      <c r="N198" s="21">
        <f t="shared" si="5"/>
        <v>1.97</v>
      </c>
      <c r="O198" s="21">
        <f t="shared" si="6"/>
        <v>1576</v>
      </c>
      <c r="P198" s="22">
        <f t="shared" si="7"/>
        <v>153326.8336</v>
      </c>
    </row>
    <row r="199">
      <c r="B199" s="11">
        <v>46102.0</v>
      </c>
      <c r="C199" s="12">
        <f>VLOOKUP(B:B,'Курс валют'!A:D,4,0)</f>
        <v>97.2886</v>
      </c>
      <c r="D199" s="13" t="s">
        <v>1127</v>
      </c>
      <c r="E199" s="59" t="s">
        <v>54</v>
      </c>
      <c r="F199" s="15">
        <v>800.0</v>
      </c>
      <c r="G199" s="15">
        <v>804.34</v>
      </c>
      <c r="H199" s="17">
        <v>0.0</v>
      </c>
      <c r="I199" s="15">
        <f t="shared" si="8"/>
        <v>4.34</v>
      </c>
      <c r="J199" s="18">
        <f t="shared" si="2"/>
        <v>0.5425</v>
      </c>
      <c r="K199" s="17">
        <v>1.97</v>
      </c>
      <c r="L199" s="19">
        <f t="shared" si="3"/>
        <v>0</v>
      </c>
      <c r="M199" s="20">
        <f t="shared" si="4"/>
        <v>191.658542</v>
      </c>
      <c r="N199" s="21">
        <f t="shared" si="5"/>
        <v>1.97</v>
      </c>
      <c r="O199" s="21">
        <f t="shared" si="6"/>
        <v>1576</v>
      </c>
      <c r="P199" s="22">
        <f t="shared" si="7"/>
        <v>153326.8336</v>
      </c>
    </row>
    <row r="200">
      <c r="B200" s="11">
        <v>46102.0</v>
      </c>
      <c r="C200" s="12">
        <f>VLOOKUP(B:B,'Курс валют'!A:D,4,0)</f>
        <v>97.2886</v>
      </c>
      <c r="D200" s="13" t="s">
        <v>1128</v>
      </c>
      <c r="E200" s="59" t="s">
        <v>54</v>
      </c>
      <c r="F200" s="15">
        <v>800.0</v>
      </c>
      <c r="G200" s="15">
        <v>804.34</v>
      </c>
      <c r="H200" s="17">
        <v>0.0</v>
      </c>
      <c r="I200" s="15">
        <f t="shared" si="8"/>
        <v>4.34</v>
      </c>
      <c r="J200" s="18">
        <f t="shared" si="2"/>
        <v>0.5425</v>
      </c>
      <c r="K200" s="17">
        <v>1.96</v>
      </c>
      <c r="L200" s="19">
        <f t="shared" si="3"/>
        <v>0</v>
      </c>
      <c r="M200" s="20">
        <f t="shared" si="4"/>
        <v>190.685656</v>
      </c>
      <c r="N200" s="21">
        <f t="shared" si="5"/>
        <v>1.96</v>
      </c>
      <c r="O200" s="21">
        <f t="shared" si="6"/>
        <v>1568</v>
      </c>
      <c r="P200" s="22">
        <f t="shared" si="7"/>
        <v>152548.5248</v>
      </c>
    </row>
    <row r="201">
      <c r="B201" s="11">
        <v>46102.0</v>
      </c>
      <c r="C201" s="12">
        <f>VLOOKUP(B:B,'Курс валют'!A:D,4,0)</f>
        <v>97.2886</v>
      </c>
      <c r="D201" s="13" t="s">
        <v>1129</v>
      </c>
      <c r="E201" s="59" t="s">
        <v>54</v>
      </c>
      <c r="F201" s="15">
        <v>800.0</v>
      </c>
      <c r="G201" s="15">
        <v>804.34</v>
      </c>
      <c r="H201" s="17">
        <v>0.0</v>
      </c>
      <c r="I201" s="15">
        <f t="shared" si="8"/>
        <v>4.34</v>
      </c>
      <c r="J201" s="18">
        <f t="shared" si="2"/>
        <v>0.5425</v>
      </c>
      <c r="K201" s="17">
        <v>1.96</v>
      </c>
      <c r="L201" s="19">
        <f t="shared" si="3"/>
        <v>0</v>
      </c>
      <c r="M201" s="20">
        <f t="shared" si="4"/>
        <v>190.685656</v>
      </c>
      <c r="N201" s="21">
        <f t="shared" si="5"/>
        <v>1.96</v>
      </c>
      <c r="O201" s="21">
        <f t="shared" si="6"/>
        <v>1568</v>
      </c>
      <c r="P201" s="22">
        <f t="shared" si="7"/>
        <v>152548.5248</v>
      </c>
    </row>
    <row r="202">
      <c r="B202" s="11">
        <v>46102.0</v>
      </c>
      <c r="C202" s="12">
        <f>VLOOKUP(B:B,'Курс валют'!A:D,4,0)</f>
        <v>97.2886</v>
      </c>
      <c r="D202" s="13" t="s">
        <v>1130</v>
      </c>
      <c r="E202" s="59" t="s">
        <v>54</v>
      </c>
      <c r="F202" s="15">
        <v>800.0</v>
      </c>
      <c r="G202" s="15">
        <v>804.34</v>
      </c>
      <c r="H202" s="17">
        <v>0.0</v>
      </c>
      <c r="I202" s="15">
        <f t="shared" si="8"/>
        <v>4.34</v>
      </c>
      <c r="J202" s="18">
        <f t="shared" si="2"/>
        <v>0.5425</v>
      </c>
      <c r="K202" s="17">
        <v>1.96</v>
      </c>
      <c r="L202" s="19">
        <f t="shared" si="3"/>
        <v>0</v>
      </c>
      <c r="M202" s="20">
        <f t="shared" si="4"/>
        <v>190.685656</v>
      </c>
      <c r="N202" s="21">
        <f t="shared" si="5"/>
        <v>1.96</v>
      </c>
      <c r="O202" s="21">
        <f t="shared" si="6"/>
        <v>1568</v>
      </c>
      <c r="P202" s="22">
        <f t="shared" si="7"/>
        <v>152548.5248</v>
      </c>
    </row>
    <row r="203">
      <c r="B203" s="11">
        <v>46102.0</v>
      </c>
      <c r="C203" s="12">
        <f>VLOOKUP(B:B,'Курс валют'!A:D,4,0)</f>
        <v>97.2886</v>
      </c>
      <c r="D203" s="13" t="s">
        <v>1131</v>
      </c>
      <c r="E203" s="59" t="s">
        <v>54</v>
      </c>
      <c r="F203" s="15">
        <v>800.0</v>
      </c>
      <c r="G203" s="15">
        <v>804.34</v>
      </c>
      <c r="H203" s="17">
        <v>0.0</v>
      </c>
      <c r="I203" s="15">
        <f t="shared" si="8"/>
        <v>4.34</v>
      </c>
      <c r="J203" s="18">
        <f t="shared" si="2"/>
        <v>0.5425</v>
      </c>
      <c r="K203" s="17">
        <v>1.97</v>
      </c>
      <c r="L203" s="19">
        <f t="shared" si="3"/>
        <v>0</v>
      </c>
      <c r="M203" s="20">
        <f t="shared" si="4"/>
        <v>191.658542</v>
      </c>
      <c r="N203" s="21">
        <f t="shared" si="5"/>
        <v>1.97</v>
      </c>
      <c r="O203" s="21">
        <f t="shared" si="6"/>
        <v>1576</v>
      </c>
      <c r="P203" s="22">
        <f t="shared" si="7"/>
        <v>153326.8336</v>
      </c>
    </row>
    <row r="204">
      <c r="B204" s="11">
        <v>46102.0</v>
      </c>
      <c r="C204" s="12">
        <f>VLOOKUP(B:B,'Курс валют'!A:D,4,0)</f>
        <v>97.2886</v>
      </c>
      <c r="D204" s="13" t="s">
        <v>1132</v>
      </c>
      <c r="E204" s="59" t="s">
        <v>104</v>
      </c>
      <c r="F204" s="15">
        <v>800.0</v>
      </c>
      <c r="G204" s="15">
        <v>806.95</v>
      </c>
      <c r="H204" s="17">
        <v>0.0</v>
      </c>
      <c r="I204" s="15">
        <f t="shared" si="8"/>
        <v>6.95</v>
      </c>
      <c r="J204" s="18">
        <f t="shared" si="2"/>
        <v>0.86875</v>
      </c>
      <c r="K204" s="17">
        <v>2.58</v>
      </c>
      <c r="L204" s="19">
        <f t="shared" si="3"/>
        <v>0</v>
      </c>
      <c r="M204" s="20">
        <f t="shared" si="4"/>
        <v>251.004588</v>
      </c>
      <c r="N204" s="21">
        <f t="shared" si="5"/>
        <v>2.58</v>
      </c>
      <c r="O204" s="21">
        <f t="shared" si="6"/>
        <v>2064</v>
      </c>
      <c r="P204" s="22">
        <f t="shared" si="7"/>
        <v>200803.6704</v>
      </c>
    </row>
    <row r="205">
      <c r="B205" s="11">
        <v>46102.0</v>
      </c>
      <c r="C205" s="12">
        <f>VLOOKUP(B:B,'Курс валют'!A:D,4,0)</f>
        <v>97.2886</v>
      </c>
      <c r="D205" s="13" t="s">
        <v>1133</v>
      </c>
      <c r="E205" s="59" t="s">
        <v>104</v>
      </c>
      <c r="F205" s="15">
        <v>800.0</v>
      </c>
      <c r="G205" s="15">
        <v>806.95</v>
      </c>
      <c r="H205" s="17">
        <v>0.0</v>
      </c>
      <c r="I205" s="15">
        <f t="shared" si="8"/>
        <v>6.95</v>
      </c>
      <c r="J205" s="18">
        <f t="shared" si="2"/>
        <v>0.86875</v>
      </c>
      <c r="K205" s="17">
        <v>2.54</v>
      </c>
      <c r="L205" s="19">
        <f t="shared" si="3"/>
        <v>0</v>
      </c>
      <c r="M205" s="20">
        <f t="shared" si="4"/>
        <v>247.113044</v>
      </c>
      <c r="N205" s="21">
        <f t="shared" si="5"/>
        <v>2.54</v>
      </c>
      <c r="O205" s="21">
        <f t="shared" si="6"/>
        <v>2032</v>
      </c>
      <c r="P205" s="22">
        <f t="shared" si="7"/>
        <v>197690.4352</v>
      </c>
    </row>
    <row r="206">
      <c r="B206" s="11">
        <v>46102.0</v>
      </c>
      <c r="C206" s="12">
        <f>VLOOKUP(B:B,'Курс валют'!A:D,4,0)</f>
        <v>97.2886</v>
      </c>
      <c r="D206" s="13" t="s">
        <v>1134</v>
      </c>
      <c r="E206" s="59" t="s">
        <v>104</v>
      </c>
      <c r="F206" s="15">
        <v>800.0</v>
      </c>
      <c r="G206" s="15">
        <v>806.95</v>
      </c>
      <c r="H206" s="17">
        <v>0.0</v>
      </c>
      <c r="I206" s="15">
        <f t="shared" si="8"/>
        <v>6.95</v>
      </c>
      <c r="J206" s="18">
        <f t="shared" si="2"/>
        <v>0.86875</v>
      </c>
      <c r="K206" s="17">
        <v>2.5</v>
      </c>
      <c r="L206" s="19">
        <f t="shared" si="3"/>
        <v>0</v>
      </c>
      <c r="M206" s="20">
        <f t="shared" si="4"/>
        <v>243.2215</v>
      </c>
      <c r="N206" s="21">
        <f t="shared" si="5"/>
        <v>2.5</v>
      </c>
      <c r="O206" s="21">
        <f t="shared" si="6"/>
        <v>2000</v>
      </c>
      <c r="P206" s="22">
        <f t="shared" si="7"/>
        <v>194577.2</v>
      </c>
    </row>
    <row r="207">
      <c r="B207" s="11">
        <v>46102.0</v>
      </c>
      <c r="C207" s="12">
        <f>VLOOKUP(B:B,'Курс валют'!A:D,4,0)</f>
        <v>97.2886</v>
      </c>
      <c r="D207" s="13" t="s">
        <v>1135</v>
      </c>
      <c r="E207" s="59" t="s">
        <v>104</v>
      </c>
      <c r="F207" s="15">
        <v>800.0</v>
      </c>
      <c r="G207" s="15">
        <v>806.95</v>
      </c>
      <c r="H207" s="17">
        <v>0.0</v>
      </c>
      <c r="I207" s="15">
        <f t="shared" si="8"/>
        <v>6.95</v>
      </c>
      <c r="J207" s="18">
        <f t="shared" si="2"/>
        <v>0.86875</v>
      </c>
      <c r="K207" s="17">
        <v>2.5</v>
      </c>
      <c r="L207" s="19">
        <f t="shared" si="3"/>
        <v>0</v>
      </c>
      <c r="M207" s="20">
        <f t="shared" si="4"/>
        <v>243.2215</v>
      </c>
      <c r="N207" s="21">
        <f t="shared" si="5"/>
        <v>2.5</v>
      </c>
      <c r="O207" s="21">
        <f t="shared" si="6"/>
        <v>2000</v>
      </c>
      <c r="P207" s="22">
        <f t="shared" si="7"/>
        <v>194577.2</v>
      </c>
    </row>
    <row r="208">
      <c r="B208" s="11">
        <v>46103.0</v>
      </c>
      <c r="C208" s="12">
        <f>VLOOKUP(B:B,'Курс валют'!A:D,4,0)</f>
        <v>97.2886</v>
      </c>
      <c r="D208" s="13" t="s">
        <v>1136</v>
      </c>
      <c r="E208" s="59" t="s">
        <v>53</v>
      </c>
      <c r="F208" s="15">
        <v>800.0</v>
      </c>
      <c r="G208" s="15">
        <v>804.95</v>
      </c>
      <c r="H208" s="17">
        <v>0.0</v>
      </c>
      <c r="I208" s="15">
        <f t="shared" si="8"/>
        <v>4.95</v>
      </c>
      <c r="J208" s="18">
        <f t="shared" si="2"/>
        <v>0.61875</v>
      </c>
      <c r="K208" s="17">
        <v>1.97</v>
      </c>
      <c r="L208" s="19">
        <f t="shared" si="3"/>
        <v>0</v>
      </c>
      <c r="M208" s="20">
        <f t="shared" si="4"/>
        <v>191.658542</v>
      </c>
      <c r="N208" s="21">
        <f t="shared" si="5"/>
        <v>1.97</v>
      </c>
      <c r="O208" s="21">
        <f t="shared" si="6"/>
        <v>1576</v>
      </c>
      <c r="P208" s="22">
        <f t="shared" si="7"/>
        <v>153326.8336</v>
      </c>
    </row>
    <row r="209">
      <c r="B209" s="11">
        <v>46103.0</v>
      </c>
      <c r="C209" s="12">
        <f>VLOOKUP(B:B,'Курс валют'!A:D,4,0)</f>
        <v>97.2886</v>
      </c>
      <c r="D209" s="13" t="s">
        <v>1137</v>
      </c>
      <c r="E209" s="59" t="s">
        <v>53</v>
      </c>
      <c r="F209" s="15">
        <v>800.0</v>
      </c>
      <c r="G209" s="15">
        <v>804.95</v>
      </c>
      <c r="H209" s="17">
        <v>0.0</v>
      </c>
      <c r="I209" s="15">
        <f t="shared" si="8"/>
        <v>4.95</v>
      </c>
      <c r="J209" s="18">
        <f t="shared" si="2"/>
        <v>0.61875</v>
      </c>
      <c r="K209" s="17">
        <v>1.96</v>
      </c>
      <c r="L209" s="19">
        <f t="shared" si="3"/>
        <v>0</v>
      </c>
      <c r="M209" s="20">
        <f t="shared" si="4"/>
        <v>190.685656</v>
      </c>
      <c r="N209" s="21">
        <f t="shared" si="5"/>
        <v>1.96</v>
      </c>
      <c r="O209" s="21">
        <f t="shared" si="6"/>
        <v>1568</v>
      </c>
      <c r="P209" s="22">
        <f t="shared" si="7"/>
        <v>152548.5248</v>
      </c>
    </row>
    <row r="210">
      <c r="B210" s="11">
        <v>46103.0</v>
      </c>
      <c r="C210" s="12">
        <f>VLOOKUP(B:B,'Курс валют'!A:D,4,0)</f>
        <v>97.2886</v>
      </c>
      <c r="D210" s="13" t="s">
        <v>1138</v>
      </c>
      <c r="E210" s="59" t="s">
        <v>53</v>
      </c>
      <c r="F210" s="15">
        <v>800.0</v>
      </c>
      <c r="G210" s="15">
        <v>804.95</v>
      </c>
      <c r="H210" s="17">
        <v>0.0</v>
      </c>
      <c r="I210" s="15">
        <f t="shared" si="8"/>
        <v>4.95</v>
      </c>
      <c r="J210" s="18">
        <f t="shared" si="2"/>
        <v>0.61875</v>
      </c>
      <c r="K210" s="17">
        <v>1.96</v>
      </c>
      <c r="L210" s="19">
        <f t="shared" si="3"/>
        <v>0</v>
      </c>
      <c r="M210" s="20">
        <f t="shared" si="4"/>
        <v>190.685656</v>
      </c>
      <c r="N210" s="21">
        <f t="shared" si="5"/>
        <v>1.96</v>
      </c>
      <c r="O210" s="21">
        <f t="shared" si="6"/>
        <v>1568</v>
      </c>
      <c r="P210" s="22">
        <f t="shared" si="7"/>
        <v>152548.5248</v>
      </c>
    </row>
    <row r="211">
      <c r="B211" s="11">
        <v>46103.0</v>
      </c>
      <c r="C211" s="12">
        <f>VLOOKUP(B:B,'Курс валют'!A:D,4,0)</f>
        <v>97.2886</v>
      </c>
      <c r="D211" s="13" t="s">
        <v>1139</v>
      </c>
      <c r="E211" s="59" t="s">
        <v>53</v>
      </c>
      <c r="F211" s="15">
        <v>800.0</v>
      </c>
      <c r="G211" s="15">
        <v>804.95</v>
      </c>
      <c r="H211" s="17">
        <v>0.0</v>
      </c>
      <c r="I211" s="15">
        <f t="shared" si="8"/>
        <v>4.95</v>
      </c>
      <c r="J211" s="18">
        <f t="shared" si="2"/>
        <v>0.61875</v>
      </c>
      <c r="K211" s="17">
        <v>1.96</v>
      </c>
      <c r="L211" s="19">
        <f t="shared" si="3"/>
        <v>0</v>
      </c>
      <c r="M211" s="20">
        <f t="shared" si="4"/>
        <v>190.685656</v>
      </c>
      <c r="N211" s="21">
        <f t="shared" si="5"/>
        <v>1.96</v>
      </c>
      <c r="O211" s="21">
        <f t="shared" si="6"/>
        <v>1568</v>
      </c>
      <c r="P211" s="22">
        <f t="shared" si="7"/>
        <v>152548.5248</v>
      </c>
    </row>
    <row r="212">
      <c r="B212" s="11">
        <v>46103.0</v>
      </c>
      <c r="C212" s="12">
        <f>VLOOKUP(B:B,'Курс валют'!A:D,4,0)</f>
        <v>97.2886</v>
      </c>
      <c r="D212" s="13" t="s">
        <v>1140</v>
      </c>
      <c r="E212" s="59" t="s">
        <v>53</v>
      </c>
      <c r="F212" s="15">
        <v>800.0</v>
      </c>
      <c r="G212" s="15">
        <v>804.95</v>
      </c>
      <c r="H212" s="17">
        <v>0.0</v>
      </c>
      <c r="I212" s="15">
        <f t="shared" si="8"/>
        <v>4.95</v>
      </c>
      <c r="J212" s="18">
        <f t="shared" si="2"/>
        <v>0.61875</v>
      </c>
      <c r="K212" s="17">
        <v>1.97</v>
      </c>
      <c r="L212" s="19">
        <f t="shared" si="3"/>
        <v>0</v>
      </c>
      <c r="M212" s="20">
        <f t="shared" si="4"/>
        <v>191.658542</v>
      </c>
      <c r="N212" s="21">
        <f t="shared" si="5"/>
        <v>1.97</v>
      </c>
      <c r="O212" s="21">
        <f t="shared" si="6"/>
        <v>1576</v>
      </c>
      <c r="P212" s="22">
        <f t="shared" si="7"/>
        <v>153326.8336</v>
      </c>
    </row>
    <row r="213">
      <c r="B213" s="11">
        <v>46103.0</v>
      </c>
      <c r="C213" s="12">
        <f>VLOOKUP(B:B,'Курс валют'!A:D,4,0)</f>
        <v>97.2886</v>
      </c>
      <c r="D213" s="13" t="s">
        <v>1141</v>
      </c>
      <c r="E213" s="59" t="s">
        <v>53</v>
      </c>
      <c r="F213" s="15">
        <v>800.0</v>
      </c>
      <c r="G213" s="15">
        <v>804.95</v>
      </c>
      <c r="H213" s="17">
        <v>0.0</v>
      </c>
      <c r="I213" s="15">
        <f t="shared" si="8"/>
        <v>4.95</v>
      </c>
      <c r="J213" s="18">
        <f t="shared" si="2"/>
        <v>0.61875</v>
      </c>
      <c r="K213" s="17">
        <v>1.96</v>
      </c>
      <c r="L213" s="19">
        <f t="shared" si="3"/>
        <v>0</v>
      </c>
      <c r="M213" s="20">
        <f t="shared" si="4"/>
        <v>190.685656</v>
      </c>
      <c r="N213" s="21">
        <f t="shared" si="5"/>
        <v>1.96</v>
      </c>
      <c r="O213" s="21">
        <f t="shared" si="6"/>
        <v>1568</v>
      </c>
      <c r="P213" s="22">
        <f t="shared" si="7"/>
        <v>152548.5248</v>
      </c>
    </row>
    <row r="214">
      <c r="B214" s="11">
        <v>46103.0</v>
      </c>
      <c r="C214" s="12">
        <f>VLOOKUP(B:B,'Курс валют'!A:D,4,0)</f>
        <v>97.2886</v>
      </c>
      <c r="D214" s="13" t="s">
        <v>1142</v>
      </c>
      <c r="E214" s="59" t="s">
        <v>53</v>
      </c>
      <c r="F214" s="15">
        <v>800.0</v>
      </c>
      <c r="G214" s="15">
        <v>804.95</v>
      </c>
      <c r="H214" s="17">
        <v>0.0</v>
      </c>
      <c r="I214" s="15">
        <f t="shared" si="8"/>
        <v>4.95</v>
      </c>
      <c r="J214" s="18">
        <f t="shared" si="2"/>
        <v>0.61875</v>
      </c>
      <c r="K214" s="17">
        <v>1.96</v>
      </c>
      <c r="L214" s="19">
        <f t="shared" si="3"/>
        <v>0</v>
      </c>
      <c r="M214" s="20">
        <f t="shared" si="4"/>
        <v>190.685656</v>
      </c>
      <c r="N214" s="21">
        <f t="shared" si="5"/>
        <v>1.96</v>
      </c>
      <c r="O214" s="21">
        <f t="shared" si="6"/>
        <v>1568</v>
      </c>
      <c r="P214" s="22">
        <f t="shared" si="7"/>
        <v>152548.5248</v>
      </c>
    </row>
    <row r="215">
      <c r="B215" s="11">
        <v>46103.0</v>
      </c>
      <c r="C215" s="12">
        <f>VLOOKUP(B:B,'Курс валют'!A:D,4,0)</f>
        <v>97.2886</v>
      </c>
      <c r="D215" s="13" t="s">
        <v>1143</v>
      </c>
      <c r="E215" s="59" t="s">
        <v>53</v>
      </c>
      <c r="F215" s="15">
        <v>800.0</v>
      </c>
      <c r="G215" s="15">
        <v>804.95</v>
      </c>
      <c r="H215" s="17">
        <v>0.0</v>
      </c>
      <c r="I215" s="15">
        <f t="shared" si="8"/>
        <v>4.95</v>
      </c>
      <c r="J215" s="18">
        <f t="shared" si="2"/>
        <v>0.61875</v>
      </c>
      <c r="K215" s="17">
        <v>1.97</v>
      </c>
      <c r="L215" s="19">
        <f t="shared" si="3"/>
        <v>0</v>
      </c>
      <c r="M215" s="20">
        <f t="shared" si="4"/>
        <v>191.658542</v>
      </c>
      <c r="N215" s="21">
        <f t="shared" si="5"/>
        <v>1.97</v>
      </c>
      <c r="O215" s="21">
        <f t="shared" si="6"/>
        <v>1576</v>
      </c>
      <c r="P215" s="22">
        <f t="shared" si="7"/>
        <v>153326.8336</v>
      </c>
    </row>
    <row r="216">
      <c r="B216" s="11">
        <v>46103.0</v>
      </c>
      <c r="C216" s="12">
        <f>VLOOKUP(B:B,'Курс валют'!A:D,4,0)</f>
        <v>97.2886</v>
      </c>
      <c r="D216" s="13" t="s">
        <v>1144</v>
      </c>
      <c r="E216" s="59" t="s">
        <v>53</v>
      </c>
      <c r="F216" s="15">
        <v>800.0</v>
      </c>
      <c r="G216" s="15">
        <v>804.95</v>
      </c>
      <c r="H216" s="17">
        <v>0.0</v>
      </c>
      <c r="I216" s="15">
        <f t="shared" si="8"/>
        <v>4.95</v>
      </c>
      <c r="J216" s="18">
        <f t="shared" si="2"/>
        <v>0.61875</v>
      </c>
      <c r="K216" s="17">
        <v>1.96</v>
      </c>
      <c r="L216" s="19">
        <f t="shared" si="3"/>
        <v>0</v>
      </c>
      <c r="M216" s="20">
        <f t="shared" si="4"/>
        <v>190.685656</v>
      </c>
      <c r="N216" s="21">
        <f t="shared" si="5"/>
        <v>1.96</v>
      </c>
      <c r="O216" s="21">
        <f t="shared" si="6"/>
        <v>1568</v>
      </c>
      <c r="P216" s="22">
        <f t="shared" si="7"/>
        <v>152548.5248</v>
      </c>
    </row>
    <row r="217">
      <c r="B217" s="11">
        <v>46103.0</v>
      </c>
      <c r="C217" s="12">
        <f>VLOOKUP(B:B,'Курс валют'!A:D,4,0)</f>
        <v>97.2886</v>
      </c>
      <c r="D217" s="13" t="s">
        <v>1145</v>
      </c>
      <c r="E217" s="59" t="s">
        <v>53</v>
      </c>
      <c r="F217" s="15">
        <v>800.0</v>
      </c>
      <c r="G217" s="15">
        <v>804.95</v>
      </c>
      <c r="H217" s="17">
        <v>0.0</v>
      </c>
      <c r="I217" s="15">
        <f t="shared" si="8"/>
        <v>4.95</v>
      </c>
      <c r="J217" s="18">
        <f t="shared" si="2"/>
        <v>0.61875</v>
      </c>
      <c r="K217" s="17">
        <v>1.97</v>
      </c>
      <c r="L217" s="19">
        <f t="shared" si="3"/>
        <v>0</v>
      </c>
      <c r="M217" s="20">
        <f t="shared" si="4"/>
        <v>191.658542</v>
      </c>
      <c r="N217" s="21">
        <f t="shared" si="5"/>
        <v>1.97</v>
      </c>
      <c r="O217" s="21">
        <f t="shared" si="6"/>
        <v>1576</v>
      </c>
      <c r="P217" s="22">
        <f t="shared" si="7"/>
        <v>153326.8336</v>
      </c>
    </row>
    <row r="218">
      <c r="B218" s="11">
        <v>46103.0</v>
      </c>
      <c r="C218" s="12">
        <f>VLOOKUP(B:B,'Курс валют'!A:D,4,0)</f>
        <v>97.2886</v>
      </c>
      <c r="D218" s="13" t="s">
        <v>1146</v>
      </c>
      <c r="E218" s="59" t="s">
        <v>104</v>
      </c>
      <c r="F218" s="15">
        <v>800.0</v>
      </c>
      <c r="G218" s="15">
        <v>806.95</v>
      </c>
      <c r="H218" s="17">
        <v>0.0</v>
      </c>
      <c r="I218" s="15">
        <f t="shared" si="8"/>
        <v>6.95</v>
      </c>
      <c r="J218" s="18">
        <f t="shared" si="2"/>
        <v>0.86875</v>
      </c>
      <c r="K218" s="17">
        <v>2.5</v>
      </c>
      <c r="L218" s="19">
        <f t="shared" si="3"/>
        <v>0</v>
      </c>
      <c r="M218" s="20">
        <f t="shared" si="4"/>
        <v>243.2215</v>
      </c>
      <c r="N218" s="21">
        <f t="shared" si="5"/>
        <v>2.5</v>
      </c>
      <c r="O218" s="21">
        <f t="shared" si="6"/>
        <v>2000</v>
      </c>
      <c r="P218" s="22">
        <f t="shared" si="7"/>
        <v>194577.2</v>
      </c>
    </row>
    <row r="219">
      <c r="B219" s="11">
        <v>46103.0</v>
      </c>
      <c r="C219" s="12">
        <f>VLOOKUP(B:B,'Курс валют'!A:D,4,0)</f>
        <v>97.2886</v>
      </c>
      <c r="D219" s="13" t="s">
        <v>1147</v>
      </c>
      <c r="E219" s="59" t="s">
        <v>104</v>
      </c>
      <c r="F219" s="15">
        <v>800.0</v>
      </c>
      <c r="G219" s="15">
        <v>806.95</v>
      </c>
      <c r="H219" s="17">
        <v>0.0</v>
      </c>
      <c r="I219" s="15">
        <f t="shared" si="8"/>
        <v>6.95</v>
      </c>
      <c r="J219" s="18">
        <f t="shared" si="2"/>
        <v>0.86875</v>
      </c>
      <c r="K219" s="17">
        <v>2.5</v>
      </c>
      <c r="L219" s="19">
        <f t="shared" si="3"/>
        <v>0</v>
      </c>
      <c r="M219" s="20">
        <f t="shared" si="4"/>
        <v>243.2215</v>
      </c>
      <c r="N219" s="21">
        <f t="shared" si="5"/>
        <v>2.5</v>
      </c>
      <c r="O219" s="21">
        <f t="shared" si="6"/>
        <v>2000</v>
      </c>
      <c r="P219" s="22">
        <f t="shared" si="7"/>
        <v>194577.2</v>
      </c>
    </row>
    <row r="220">
      <c r="B220" s="11">
        <v>46103.0</v>
      </c>
      <c r="C220" s="12">
        <f>VLOOKUP(B:B,'Курс валют'!A:D,4,0)</f>
        <v>97.2886</v>
      </c>
      <c r="D220" s="13" t="s">
        <v>1148</v>
      </c>
      <c r="E220" s="59" t="s">
        <v>104</v>
      </c>
      <c r="F220" s="15">
        <v>800.0</v>
      </c>
      <c r="G220" s="15">
        <v>806.95</v>
      </c>
      <c r="H220" s="17">
        <v>0.0</v>
      </c>
      <c r="I220" s="15">
        <f t="shared" si="8"/>
        <v>6.95</v>
      </c>
      <c r="J220" s="18">
        <f t="shared" si="2"/>
        <v>0.86875</v>
      </c>
      <c r="K220" s="17">
        <v>2.5</v>
      </c>
      <c r="L220" s="19">
        <f t="shared" si="3"/>
        <v>0</v>
      </c>
      <c r="M220" s="20">
        <f t="shared" si="4"/>
        <v>243.2215</v>
      </c>
      <c r="N220" s="21">
        <f t="shared" si="5"/>
        <v>2.5</v>
      </c>
      <c r="O220" s="21">
        <f t="shared" si="6"/>
        <v>2000</v>
      </c>
      <c r="P220" s="22">
        <f t="shared" si="7"/>
        <v>194577.2</v>
      </c>
    </row>
    <row r="221">
      <c r="B221" s="11">
        <v>46103.0</v>
      </c>
      <c r="C221" s="12">
        <f>VLOOKUP(B:B,'Курс валют'!A:D,4,0)</f>
        <v>97.2886</v>
      </c>
      <c r="D221" s="13" t="s">
        <v>1149</v>
      </c>
      <c r="E221" s="59" t="s">
        <v>104</v>
      </c>
      <c r="F221" s="15">
        <v>800.0</v>
      </c>
      <c r="G221" s="15">
        <v>806.95</v>
      </c>
      <c r="H221" s="17">
        <v>0.0</v>
      </c>
      <c r="I221" s="15">
        <f t="shared" si="8"/>
        <v>6.95</v>
      </c>
      <c r="J221" s="18">
        <f t="shared" si="2"/>
        <v>0.86875</v>
      </c>
      <c r="K221" s="17">
        <v>2.5</v>
      </c>
      <c r="L221" s="19">
        <f t="shared" si="3"/>
        <v>0</v>
      </c>
      <c r="M221" s="20">
        <f t="shared" si="4"/>
        <v>243.2215</v>
      </c>
      <c r="N221" s="21">
        <f t="shared" si="5"/>
        <v>2.5</v>
      </c>
      <c r="O221" s="21">
        <f t="shared" si="6"/>
        <v>2000</v>
      </c>
      <c r="P221" s="22">
        <f t="shared" si="7"/>
        <v>194577.2</v>
      </c>
    </row>
    <row r="222">
      <c r="B222" s="11">
        <v>46105.0</v>
      </c>
      <c r="C222" s="12">
        <f>VLOOKUP(B:B,'Курс валют'!A:D,4,0)</f>
        <v>94.7264</v>
      </c>
      <c r="D222" s="13" t="s">
        <v>1150</v>
      </c>
      <c r="E222" s="59" t="s">
        <v>210</v>
      </c>
      <c r="F222" s="15">
        <v>200.0</v>
      </c>
      <c r="G222" s="15">
        <v>200.0</v>
      </c>
      <c r="H222" s="17">
        <v>0.0</v>
      </c>
      <c r="I222" s="15">
        <f t="shared" si="8"/>
        <v>0</v>
      </c>
      <c r="J222" s="18">
        <f t="shared" si="2"/>
        <v>0</v>
      </c>
      <c r="K222" s="17">
        <v>2.7</v>
      </c>
      <c r="L222" s="19">
        <f t="shared" si="3"/>
        <v>0</v>
      </c>
      <c r="M222" s="20">
        <f t="shared" si="4"/>
        <v>255.76128</v>
      </c>
      <c r="N222" s="21">
        <f t="shared" si="5"/>
        <v>2.7</v>
      </c>
      <c r="O222" s="21">
        <f t="shared" si="6"/>
        <v>540</v>
      </c>
      <c r="P222" s="22">
        <f t="shared" si="7"/>
        <v>51152.256</v>
      </c>
      <c r="R222" s="42" t="s">
        <v>1151</v>
      </c>
    </row>
    <row r="223">
      <c r="B223" s="11">
        <v>46105.0</v>
      </c>
      <c r="C223" s="12">
        <f>VLOOKUP(B:B,'Курс валют'!A:D,4,0)</f>
        <v>94.7264</v>
      </c>
      <c r="D223" s="13" t="s">
        <v>1152</v>
      </c>
      <c r="E223" s="59" t="s">
        <v>73</v>
      </c>
      <c r="F223" s="15">
        <v>16.0</v>
      </c>
      <c r="G223" s="15">
        <v>16.0</v>
      </c>
      <c r="H223" s="17">
        <v>0.0</v>
      </c>
      <c r="I223" s="15">
        <f t="shared" si="8"/>
        <v>0</v>
      </c>
      <c r="J223" s="18">
        <f t="shared" si="2"/>
        <v>0</v>
      </c>
      <c r="K223" s="17">
        <v>2.69</v>
      </c>
      <c r="L223" s="19">
        <f t="shared" si="3"/>
        <v>0</v>
      </c>
      <c r="M223" s="20">
        <f t="shared" si="4"/>
        <v>254.814016</v>
      </c>
      <c r="N223" s="21">
        <f t="shared" si="5"/>
        <v>2.69</v>
      </c>
      <c r="O223" s="21">
        <f t="shared" si="6"/>
        <v>43.04</v>
      </c>
      <c r="P223" s="22">
        <f t="shared" si="7"/>
        <v>4077.024256</v>
      </c>
      <c r="R223" s="42" t="s">
        <v>1153</v>
      </c>
    </row>
    <row r="224">
      <c r="B224" s="11">
        <v>46105.0</v>
      </c>
      <c r="C224" s="12">
        <f>VLOOKUP(B:B,'Курс валют'!A:D,4,0)</f>
        <v>94.7264</v>
      </c>
      <c r="D224" s="13" t="s">
        <v>1154</v>
      </c>
      <c r="E224" s="59" t="s">
        <v>82</v>
      </c>
      <c r="F224" s="15">
        <v>940.0</v>
      </c>
      <c r="G224" s="15">
        <v>940.0</v>
      </c>
      <c r="H224" s="17">
        <v>0.0</v>
      </c>
      <c r="I224" s="15">
        <f t="shared" si="8"/>
        <v>0</v>
      </c>
      <c r="J224" s="18">
        <f t="shared" si="2"/>
        <v>0</v>
      </c>
      <c r="K224" s="17">
        <v>2.62</v>
      </c>
      <c r="L224" s="19">
        <f t="shared" si="3"/>
        <v>0</v>
      </c>
      <c r="M224" s="20">
        <f t="shared" si="4"/>
        <v>248.183168</v>
      </c>
      <c r="N224" s="21">
        <f t="shared" si="5"/>
        <v>2.62</v>
      </c>
      <c r="O224" s="21">
        <f t="shared" si="6"/>
        <v>2462.8</v>
      </c>
      <c r="P224" s="22">
        <f t="shared" si="7"/>
        <v>233292.1779</v>
      </c>
      <c r="R224" s="42" t="s">
        <v>1155</v>
      </c>
    </row>
    <row r="225">
      <c r="B225" s="11">
        <v>46106.0</v>
      </c>
      <c r="C225" s="12">
        <f>VLOOKUP(B:B,'Курс валют'!A:D,4,0)</f>
        <v>93.9247</v>
      </c>
      <c r="D225" s="13" t="s">
        <v>1156</v>
      </c>
      <c r="E225" s="59" t="s">
        <v>54</v>
      </c>
      <c r="F225" s="15">
        <v>800.0</v>
      </c>
      <c r="G225" s="15">
        <v>805.04</v>
      </c>
      <c r="H225" s="17">
        <v>0.0</v>
      </c>
      <c r="I225" s="15">
        <f t="shared" si="8"/>
        <v>5.04</v>
      </c>
      <c r="J225" s="18">
        <f t="shared" si="2"/>
        <v>0.63</v>
      </c>
      <c r="K225" s="17">
        <v>2.0</v>
      </c>
      <c r="L225" s="19">
        <f t="shared" si="3"/>
        <v>0</v>
      </c>
      <c r="M225" s="20">
        <f t="shared" si="4"/>
        <v>187.8494</v>
      </c>
      <c r="N225" s="21">
        <f t="shared" si="5"/>
        <v>2</v>
      </c>
      <c r="O225" s="21">
        <f t="shared" si="6"/>
        <v>1600</v>
      </c>
      <c r="P225" s="22">
        <f t="shared" si="7"/>
        <v>150279.52</v>
      </c>
    </row>
    <row r="226">
      <c r="B226" s="11">
        <v>46106.0</v>
      </c>
      <c r="C226" s="12">
        <f>VLOOKUP(B:B,'Курс валют'!A:D,4,0)</f>
        <v>93.9247</v>
      </c>
      <c r="D226" s="13" t="s">
        <v>1157</v>
      </c>
      <c r="E226" s="59" t="s">
        <v>54</v>
      </c>
      <c r="F226" s="15">
        <v>800.0</v>
      </c>
      <c r="G226" s="15">
        <v>805.04</v>
      </c>
      <c r="H226" s="17">
        <v>0.0</v>
      </c>
      <c r="I226" s="15">
        <f t="shared" si="8"/>
        <v>5.04</v>
      </c>
      <c r="J226" s="18">
        <f t="shared" si="2"/>
        <v>0.63</v>
      </c>
      <c r="K226" s="17">
        <v>1.99</v>
      </c>
      <c r="L226" s="19">
        <f t="shared" si="3"/>
        <v>0</v>
      </c>
      <c r="M226" s="20">
        <f t="shared" si="4"/>
        <v>186.910153</v>
      </c>
      <c r="N226" s="21">
        <f t="shared" si="5"/>
        <v>1.99</v>
      </c>
      <c r="O226" s="21">
        <f t="shared" si="6"/>
        <v>1592</v>
      </c>
      <c r="P226" s="22">
        <f t="shared" si="7"/>
        <v>149528.1224</v>
      </c>
    </row>
    <row r="227">
      <c r="B227" s="11">
        <v>46106.0</v>
      </c>
      <c r="C227" s="12">
        <f>VLOOKUP(B:B,'Курс валют'!A:D,4,0)</f>
        <v>93.9247</v>
      </c>
      <c r="D227" s="13" t="s">
        <v>1158</v>
      </c>
      <c r="E227" s="59" t="s">
        <v>54</v>
      </c>
      <c r="F227" s="15">
        <v>800.0</v>
      </c>
      <c r="G227" s="15">
        <v>805.04</v>
      </c>
      <c r="H227" s="17">
        <v>0.0</v>
      </c>
      <c r="I227" s="15">
        <f t="shared" si="8"/>
        <v>5.04</v>
      </c>
      <c r="J227" s="18">
        <f t="shared" si="2"/>
        <v>0.63</v>
      </c>
      <c r="K227" s="17">
        <v>1.98</v>
      </c>
      <c r="L227" s="19">
        <f t="shared" si="3"/>
        <v>0</v>
      </c>
      <c r="M227" s="20">
        <f t="shared" si="4"/>
        <v>185.970906</v>
      </c>
      <c r="N227" s="21">
        <f t="shared" si="5"/>
        <v>1.98</v>
      </c>
      <c r="O227" s="21">
        <f t="shared" si="6"/>
        <v>1584</v>
      </c>
      <c r="P227" s="22">
        <f t="shared" si="7"/>
        <v>148776.7248</v>
      </c>
    </row>
    <row r="228">
      <c r="B228" s="11">
        <v>46106.0</v>
      </c>
      <c r="C228" s="12">
        <f>VLOOKUP(B:B,'Курс валют'!A:D,4,0)</f>
        <v>93.9247</v>
      </c>
      <c r="D228" s="13" t="s">
        <v>1159</v>
      </c>
      <c r="E228" s="59" t="s">
        <v>54</v>
      </c>
      <c r="F228" s="15">
        <v>800.0</v>
      </c>
      <c r="G228" s="15">
        <v>805.04</v>
      </c>
      <c r="H228" s="17">
        <v>0.0</v>
      </c>
      <c r="I228" s="15">
        <f t="shared" si="8"/>
        <v>5.04</v>
      </c>
      <c r="J228" s="18">
        <f t="shared" si="2"/>
        <v>0.63</v>
      </c>
      <c r="K228" s="17">
        <v>1.92</v>
      </c>
      <c r="L228" s="19">
        <f t="shared" si="3"/>
        <v>0</v>
      </c>
      <c r="M228" s="20">
        <f t="shared" si="4"/>
        <v>180.335424</v>
      </c>
      <c r="N228" s="21">
        <f t="shared" si="5"/>
        <v>1.92</v>
      </c>
      <c r="O228" s="21">
        <f t="shared" si="6"/>
        <v>1536</v>
      </c>
      <c r="P228" s="22">
        <f t="shared" si="7"/>
        <v>144268.3392</v>
      </c>
    </row>
    <row r="229">
      <c r="B229" s="11">
        <v>46106.0</v>
      </c>
      <c r="C229" s="12">
        <f>VLOOKUP(B:B,'Курс валют'!A:D,4,0)</f>
        <v>93.9247</v>
      </c>
      <c r="D229" s="13" t="s">
        <v>1160</v>
      </c>
      <c r="E229" s="59" t="s">
        <v>54</v>
      </c>
      <c r="F229" s="15">
        <v>800.0</v>
      </c>
      <c r="G229" s="15">
        <v>805.04</v>
      </c>
      <c r="H229" s="17">
        <v>0.0</v>
      </c>
      <c r="I229" s="15">
        <f t="shared" si="8"/>
        <v>5.04</v>
      </c>
      <c r="J229" s="18">
        <f t="shared" si="2"/>
        <v>0.63</v>
      </c>
      <c r="K229" s="17">
        <v>1.93</v>
      </c>
      <c r="L229" s="19">
        <f t="shared" si="3"/>
        <v>0</v>
      </c>
      <c r="M229" s="20">
        <f t="shared" si="4"/>
        <v>181.274671</v>
      </c>
      <c r="N229" s="21">
        <f t="shared" si="5"/>
        <v>1.93</v>
      </c>
      <c r="O229" s="21">
        <f t="shared" si="6"/>
        <v>1544</v>
      </c>
      <c r="P229" s="22">
        <f t="shared" si="7"/>
        <v>145019.7368</v>
      </c>
    </row>
    <row r="230">
      <c r="B230" s="11">
        <v>46106.0</v>
      </c>
      <c r="C230" s="12">
        <f>VLOOKUP(B:B,'Курс валют'!A:D,4,0)</f>
        <v>93.9247</v>
      </c>
      <c r="D230" s="13" t="s">
        <v>1161</v>
      </c>
      <c r="E230" s="59" t="s">
        <v>54</v>
      </c>
      <c r="F230" s="15">
        <v>800.0</v>
      </c>
      <c r="G230" s="15">
        <v>805.04</v>
      </c>
      <c r="H230" s="17">
        <v>0.0</v>
      </c>
      <c r="I230" s="15">
        <f t="shared" si="8"/>
        <v>5.04</v>
      </c>
      <c r="J230" s="18">
        <f t="shared" si="2"/>
        <v>0.63</v>
      </c>
      <c r="K230" s="17">
        <v>1.92</v>
      </c>
      <c r="L230" s="19">
        <f t="shared" si="3"/>
        <v>0</v>
      </c>
      <c r="M230" s="20">
        <f t="shared" si="4"/>
        <v>180.335424</v>
      </c>
      <c r="N230" s="21">
        <f t="shared" si="5"/>
        <v>1.92</v>
      </c>
      <c r="O230" s="21">
        <f t="shared" si="6"/>
        <v>1536</v>
      </c>
      <c r="P230" s="22">
        <f t="shared" si="7"/>
        <v>144268.3392</v>
      </c>
    </row>
    <row r="231">
      <c r="B231" s="11">
        <v>46106.0</v>
      </c>
      <c r="C231" s="12">
        <f>VLOOKUP(B:B,'Курс валют'!A:D,4,0)</f>
        <v>93.9247</v>
      </c>
      <c r="D231" s="13" t="s">
        <v>1162</v>
      </c>
      <c r="E231" s="59" t="s">
        <v>54</v>
      </c>
      <c r="F231" s="15">
        <v>800.0</v>
      </c>
      <c r="G231" s="15">
        <v>805.04</v>
      </c>
      <c r="H231" s="17">
        <v>0.0</v>
      </c>
      <c r="I231" s="15">
        <f t="shared" si="8"/>
        <v>5.04</v>
      </c>
      <c r="J231" s="18">
        <f t="shared" si="2"/>
        <v>0.63</v>
      </c>
      <c r="K231" s="17">
        <v>1.92</v>
      </c>
      <c r="L231" s="19">
        <f t="shared" si="3"/>
        <v>0</v>
      </c>
      <c r="M231" s="20">
        <f t="shared" si="4"/>
        <v>180.335424</v>
      </c>
      <c r="N231" s="21">
        <f t="shared" si="5"/>
        <v>1.92</v>
      </c>
      <c r="O231" s="21">
        <f t="shared" si="6"/>
        <v>1536</v>
      </c>
      <c r="P231" s="22">
        <f t="shared" si="7"/>
        <v>144268.3392</v>
      </c>
    </row>
    <row r="232">
      <c r="B232" s="11">
        <v>46106.0</v>
      </c>
      <c r="C232" s="12">
        <f>VLOOKUP(B:B,'Курс валют'!A:D,4,0)</f>
        <v>93.9247</v>
      </c>
      <c r="D232" s="13" t="s">
        <v>1163</v>
      </c>
      <c r="E232" s="59" t="s">
        <v>54</v>
      </c>
      <c r="F232" s="15">
        <v>800.0</v>
      </c>
      <c r="G232" s="15">
        <v>805.04</v>
      </c>
      <c r="H232" s="17">
        <v>0.0</v>
      </c>
      <c r="I232" s="15">
        <f t="shared" si="8"/>
        <v>5.04</v>
      </c>
      <c r="J232" s="18">
        <f t="shared" si="2"/>
        <v>0.63</v>
      </c>
      <c r="K232" s="17">
        <v>1.93</v>
      </c>
      <c r="L232" s="19">
        <f t="shared" si="3"/>
        <v>0</v>
      </c>
      <c r="M232" s="20">
        <f t="shared" si="4"/>
        <v>181.274671</v>
      </c>
      <c r="N232" s="21">
        <f t="shared" si="5"/>
        <v>1.93</v>
      </c>
      <c r="O232" s="21">
        <f t="shared" si="6"/>
        <v>1544</v>
      </c>
      <c r="P232" s="22">
        <f t="shared" si="7"/>
        <v>145019.7368</v>
      </c>
    </row>
    <row r="233">
      <c r="B233" s="11">
        <v>46106.0</v>
      </c>
      <c r="C233" s="12">
        <f>VLOOKUP(B:B,'Курс валют'!A:D,4,0)</f>
        <v>93.9247</v>
      </c>
      <c r="D233" s="13" t="s">
        <v>1164</v>
      </c>
      <c r="E233" s="59" t="s">
        <v>54</v>
      </c>
      <c r="F233" s="15">
        <v>800.0</v>
      </c>
      <c r="G233" s="15">
        <v>805.04</v>
      </c>
      <c r="H233" s="17">
        <v>0.0</v>
      </c>
      <c r="I233" s="15">
        <f t="shared" si="8"/>
        <v>5.04</v>
      </c>
      <c r="J233" s="18">
        <f t="shared" si="2"/>
        <v>0.63</v>
      </c>
      <c r="K233" s="17">
        <v>1.92</v>
      </c>
      <c r="L233" s="19">
        <f t="shared" si="3"/>
        <v>0</v>
      </c>
      <c r="M233" s="20">
        <f t="shared" si="4"/>
        <v>180.335424</v>
      </c>
      <c r="N233" s="21">
        <f t="shared" si="5"/>
        <v>1.92</v>
      </c>
      <c r="O233" s="21">
        <f t="shared" si="6"/>
        <v>1536</v>
      </c>
      <c r="P233" s="22">
        <f t="shared" si="7"/>
        <v>144268.3392</v>
      </c>
    </row>
    <row r="234">
      <c r="B234" s="11">
        <v>46106.0</v>
      </c>
      <c r="C234" s="12">
        <f>VLOOKUP(B:B,'Курс валют'!A:D,4,0)</f>
        <v>93.9247</v>
      </c>
      <c r="D234" s="13" t="s">
        <v>1165</v>
      </c>
      <c r="E234" s="59" t="s">
        <v>54</v>
      </c>
      <c r="F234" s="15">
        <v>800.0</v>
      </c>
      <c r="G234" s="15">
        <v>805.04</v>
      </c>
      <c r="H234" s="17">
        <v>0.0</v>
      </c>
      <c r="I234" s="15">
        <f t="shared" si="8"/>
        <v>5.04</v>
      </c>
      <c r="J234" s="18">
        <f t="shared" si="2"/>
        <v>0.63</v>
      </c>
      <c r="K234" s="17">
        <v>1.93</v>
      </c>
      <c r="L234" s="19">
        <f t="shared" si="3"/>
        <v>0</v>
      </c>
      <c r="M234" s="20">
        <f t="shared" si="4"/>
        <v>181.274671</v>
      </c>
      <c r="N234" s="21">
        <f t="shared" si="5"/>
        <v>1.93</v>
      </c>
      <c r="O234" s="21">
        <f t="shared" si="6"/>
        <v>1544</v>
      </c>
      <c r="P234" s="22">
        <f t="shared" si="7"/>
        <v>145019.7368</v>
      </c>
    </row>
    <row r="235">
      <c r="B235" s="11">
        <v>46106.0</v>
      </c>
      <c r="C235" s="12">
        <f>VLOOKUP(B:B,'Курс валют'!A:D,4,0)</f>
        <v>93.9247</v>
      </c>
      <c r="D235" s="13" t="s">
        <v>1166</v>
      </c>
      <c r="E235" s="59" t="s">
        <v>92</v>
      </c>
      <c r="F235" s="15">
        <v>800.0</v>
      </c>
      <c r="G235" s="15">
        <v>800.0</v>
      </c>
      <c r="H235" s="17">
        <v>0.0</v>
      </c>
      <c r="I235" s="15">
        <f t="shared" si="8"/>
        <v>0</v>
      </c>
      <c r="J235" s="18">
        <f t="shared" si="2"/>
        <v>0</v>
      </c>
      <c r="K235" s="17">
        <v>2.98</v>
      </c>
      <c r="L235" s="19">
        <f t="shared" si="3"/>
        <v>0</v>
      </c>
      <c r="M235" s="20">
        <f t="shared" si="4"/>
        <v>279.895606</v>
      </c>
      <c r="N235" s="21">
        <f t="shared" si="5"/>
        <v>2.98</v>
      </c>
      <c r="O235" s="21">
        <f t="shared" si="6"/>
        <v>2384</v>
      </c>
      <c r="P235" s="22">
        <f t="shared" si="7"/>
        <v>223916.4848</v>
      </c>
      <c r="R235" s="42" t="s">
        <v>1167</v>
      </c>
    </row>
    <row r="236">
      <c r="B236" s="11">
        <v>46106.0</v>
      </c>
      <c r="C236" s="12">
        <f>VLOOKUP(B:B,'Курс валют'!A:D,4,0)</f>
        <v>93.9247</v>
      </c>
      <c r="D236" s="13" t="s">
        <v>1166</v>
      </c>
      <c r="E236" s="59" t="s">
        <v>926</v>
      </c>
      <c r="F236" s="15">
        <v>200.0</v>
      </c>
      <c r="G236" s="15">
        <v>200.0</v>
      </c>
      <c r="H236" s="17">
        <v>0.0</v>
      </c>
      <c r="I236" s="15">
        <f t="shared" si="8"/>
        <v>0</v>
      </c>
      <c r="J236" s="18">
        <f t="shared" si="2"/>
        <v>0</v>
      </c>
      <c r="K236" s="17">
        <v>2.98</v>
      </c>
      <c r="L236" s="19">
        <f t="shared" si="3"/>
        <v>0</v>
      </c>
      <c r="M236" s="20">
        <f t="shared" si="4"/>
        <v>279.895606</v>
      </c>
      <c r="N236" s="21">
        <f t="shared" si="5"/>
        <v>2.98</v>
      </c>
      <c r="O236" s="21">
        <f t="shared" si="6"/>
        <v>596</v>
      </c>
      <c r="P236" s="22">
        <f t="shared" si="7"/>
        <v>55979.1212</v>
      </c>
      <c r="R236" s="42" t="s">
        <v>1167</v>
      </c>
    </row>
    <row r="237">
      <c r="B237" s="11">
        <v>46106.0</v>
      </c>
      <c r="C237" s="12">
        <f>VLOOKUP(B:B,'Курс валют'!A:D,4,0)</f>
        <v>93.9247</v>
      </c>
      <c r="D237" s="13" t="s">
        <v>1168</v>
      </c>
      <c r="E237" s="59" t="s">
        <v>118</v>
      </c>
      <c r="F237" s="15">
        <v>192.4</v>
      </c>
      <c r="G237" s="15">
        <v>199.32</v>
      </c>
      <c r="H237" s="17">
        <v>0.0</v>
      </c>
      <c r="I237" s="15">
        <f t="shared" si="8"/>
        <v>6.92</v>
      </c>
      <c r="J237" s="18">
        <f t="shared" si="2"/>
        <v>3.596673597</v>
      </c>
      <c r="K237" s="17">
        <v>1.83</v>
      </c>
      <c r="L237" s="19">
        <f t="shared" si="3"/>
        <v>0</v>
      </c>
      <c r="M237" s="20">
        <f t="shared" si="4"/>
        <v>171.882201</v>
      </c>
      <c r="N237" s="21">
        <f t="shared" si="5"/>
        <v>1.83</v>
      </c>
      <c r="O237" s="21">
        <f t="shared" si="6"/>
        <v>352.092</v>
      </c>
      <c r="P237" s="22">
        <f t="shared" si="7"/>
        <v>33070.13547</v>
      </c>
    </row>
    <row r="238">
      <c r="B238" s="11">
        <v>46107.0</v>
      </c>
      <c r="C238" s="12">
        <f>VLOOKUP(B:B,'Курс валют'!A:D,4,0)</f>
        <v>93.8097</v>
      </c>
      <c r="D238" s="13" t="s">
        <v>1169</v>
      </c>
      <c r="E238" s="59" t="s">
        <v>18</v>
      </c>
      <c r="F238" s="15">
        <v>1100.0</v>
      </c>
      <c r="G238" s="16">
        <v>1104.7</v>
      </c>
      <c r="H238" s="17">
        <v>484.5</v>
      </c>
      <c r="I238" s="16">
        <f t="shared" si="8"/>
        <v>4.7</v>
      </c>
      <c r="J238" s="18">
        <f t="shared" si="2"/>
        <v>0.4272727273</v>
      </c>
      <c r="K238" s="17">
        <v>3.53</v>
      </c>
      <c r="L238" s="19">
        <f t="shared" si="3"/>
        <v>44.04545455</v>
      </c>
      <c r="M238" s="20">
        <f t="shared" si="4"/>
        <v>205.5387583</v>
      </c>
      <c r="N238" s="21">
        <f t="shared" si="5"/>
        <v>2.191018182</v>
      </c>
      <c r="O238" s="21">
        <f t="shared" si="6"/>
        <v>2410.12</v>
      </c>
      <c r="P238" s="22">
        <f t="shared" si="7"/>
        <v>226092.6342</v>
      </c>
    </row>
    <row r="239">
      <c r="B239" s="11">
        <v>46107.0</v>
      </c>
      <c r="C239" s="12">
        <f>VLOOKUP(B:B,'Курс валют'!A:D,4,0)</f>
        <v>93.8097</v>
      </c>
      <c r="D239" s="13" t="s">
        <v>1170</v>
      </c>
      <c r="E239" s="59" t="s">
        <v>18</v>
      </c>
      <c r="F239" s="15">
        <v>1100.0</v>
      </c>
      <c r="G239" s="16">
        <v>1104.7</v>
      </c>
      <c r="H239" s="17">
        <v>484.5</v>
      </c>
      <c r="I239" s="16">
        <f t="shared" si="8"/>
        <v>4.7</v>
      </c>
      <c r="J239" s="18">
        <f t="shared" si="2"/>
        <v>0.4272727273</v>
      </c>
      <c r="K239" s="17">
        <v>3.57</v>
      </c>
      <c r="L239" s="19">
        <f t="shared" si="3"/>
        <v>44.04545455</v>
      </c>
      <c r="M239" s="20">
        <f t="shared" si="4"/>
        <v>209.2911463</v>
      </c>
      <c r="N239" s="21">
        <f t="shared" si="5"/>
        <v>2.231018182</v>
      </c>
      <c r="O239" s="21">
        <f t="shared" si="6"/>
        <v>2454.12</v>
      </c>
      <c r="P239" s="22">
        <f t="shared" si="7"/>
        <v>230220.261</v>
      </c>
    </row>
    <row r="240">
      <c r="B240" s="11">
        <v>46107.0</v>
      </c>
      <c r="C240" s="12">
        <f>VLOOKUP(B:B,'Курс валют'!A:D,4,0)</f>
        <v>93.8097</v>
      </c>
      <c r="D240" s="13" t="s">
        <v>1171</v>
      </c>
      <c r="E240" s="59" t="s">
        <v>18</v>
      </c>
      <c r="F240" s="15">
        <v>1100.0</v>
      </c>
      <c r="G240" s="16">
        <v>1104.7</v>
      </c>
      <c r="H240" s="17">
        <v>484.5</v>
      </c>
      <c r="I240" s="16">
        <f t="shared" si="8"/>
        <v>4.7</v>
      </c>
      <c r="J240" s="18">
        <f t="shared" si="2"/>
        <v>0.4272727273</v>
      </c>
      <c r="K240" s="17">
        <v>3.61</v>
      </c>
      <c r="L240" s="19">
        <f t="shared" si="3"/>
        <v>44.04545455</v>
      </c>
      <c r="M240" s="20">
        <f t="shared" si="4"/>
        <v>213.0435343</v>
      </c>
      <c r="N240" s="21">
        <f t="shared" si="5"/>
        <v>2.271018182</v>
      </c>
      <c r="O240" s="21">
        <f t="shared" si="6"/>
        <v>2498.12</v>
      </c>
      <c r="P240" s="22">
        <f t="shared" si="7"/>
        <v>234347.8878</v>
      </c>
    </row>
    <row r="241">
      <c r="B241" s="11">
        <v>46107.0</v>
      </c>
      <c r="C241" s="12">
        <f>VLOOKUP(B:B,'Курс валют'!A:D,4,0)</f>
        <v>93.8097</v>
      </c>
      <c r="D241" s="13" t="s">
        <v>1172</v>
      </c>
      <c r="E241" s="59" t="s">
        <v>18</v>
      </c>
      <c r="F241" s="15">
        <v>1100.0</v>
      </c>
      <c r="G241" s="16">
        <v>1104.7</v>
      </c>
      <c r="H241" s="17">
        <v>484.5</v>
      </c>
      <c r="I241" s="16">
        <f t="shared" si="8"/>
        <v>4.7</v>
      </c>
      <c r="J241" s="18">
        <f t="shared" si="2"/>
        <v>0.4272727273</v>
      </c>
      <c r="K241" s="17">
        <v>3.61</v>
      </c>
      <c r="L241" s="19">
        <f t="shared" si="3"/>
        <v>44.04545455</v>
      </c>
      <c r="M241" s="20">
        <f t="shared" si="4"/>
        <v>213.0435343</v>
      </c>
      <c r="N241" s="21">
        <f t="shared" si="5"/>
        <v>2.271018182</v>
      </c>
      <c r="O241" s="21">
        <f t="shared" si="6"/>
        <v>2498.12</v>
      </c>
      <c r="P241" s="22">
        <f t="shared" si="7"/>
        <v>234347.8878</v>
      </c>
    </row>
    <row r="242">
      <c r="B242" s="11">
        <v>46107.0</v>
      </c>
      <c r="C242" s="12">
        <f>VLOOKUP(B:B,'Курс валют'!A:D,4,0)</f>
        <v>93.8097</v>
      </c>
      <c r="D242" s="13" t="s">
        <v>1173</v>
      </c>
      <c r="E242" s="59" t="s">
        <v>18</v>
      </c>
      <c r="F242" s="15">
        <v>1100.0</v>
      </c>
      <c r="G242" s="16">
        <v>1104.7</v>
      </c>
      <c r="H242" s="17">
        <v>484.5</v>
      </c>
      <c r="I242" s="16">
        <f t="shared" si="8"/>
        <v>4.7</v>
      </c>
      <c r="J242" s="18">
        <f t="shared" si="2"/>
        <v>0.4272727273</v>
      </c>
      <c r="K242" s="17">
        <v>3.61</v>
      </c>
      <c r="L242" s="19">
        <f t="shared" si="3"/>
        <v>44.04545455</v>
      </c>
      <c r="M242" s="20">
        <f t="shared" si="4"/>
        <v>213.0435343</v>
      </c>
      <c r="N242" s="21">
        <f t="shared" si="5"/>
        <v>2.271018182</v>
      </c>
      <c r="O242" s="21">
        <f t="shared" si="6"/>
        <v>2498.12</v>
      </c>
      <c r="P242" s="22">
        <f t="shared" si="7"/>
        <v>234347.8878</v>
      </c>
    </row>
    <row r="243">
      <c r="B243" s="11">
        <v>46107.0</v>
      </c>
      <c r="C243" s="12">
        <f>VLOOKUP(B:B,'Курс валют'!A:D,4,0)</f>
        <v>93.8097</v>
      </c>
      <c r="D243" s="13" t="s">
        <v>1174</v>
      </c>
      <c r="E243" s="59" t="s">
        <v>18</v>
      </c>
      <c r="F243" s="15">
        <v>1100.0</v>
      </c>
      <c r="G243" s="16">
        <v>1104.7</v>
      </c>
      <c r="H243" s="17">
        <v>484.5</v>
      </c>
      <c r="I243" s="16">
        <f t="shared" si="8"/>
        <v>4.7</v>
      </c>
      <c r="J243" s="18">
        <f t="shared" si="2"/>
        <v>0.4272727273</v>
      </c>
      <c r="K243" s="17">
        <v>3.61</v>
      </c>
      <c r="L243" s="19">
        <f t="shared" si="3"/>
        <v>44.04545455</v>
      </c>
      <c r="M243" s="20">
        <f t="shared" si="4"/>
        <v>213.0435343</v>
      </c>
      <c r="N243" s="21">
        <f t="shared" si="5"/>
        <v>2.271018182</v>
      </c>
      <c r="O243" s="21">
        <f t="shared" si="6"/>
        <v>2498.12</v>
      </c>
      <c r="P243" s="22">
        <f t="shared" si="7"/>
        <v>234347.8878</v>
      </c>
    </row>
    <row r="244">
      <c r="B244" s="11">
        <v>46107.0</v>
      </c>
      <c r="C244" s="12">
        <f>VLOOKUP(B:B,'Курс валют'!A:D,4,0)</f>
        <v>93.8097</v>
      </c>
      <c r="D244" s="13" t="s">
        <v>1175</v>
      </c>
      <c r="E244" s="59" t="s">
        <v>18</v>
      </c>
      <c r="F244" s="15">
        <v>1100.0</v>
      </c>
      <c r="G244" s="16">
        <v>1104.7</v>
      </c>
      <c r="H244" s="17">
        <v>484.5</v>
      </c>
      <c r="I244" s="16">
        <f t="shared" si="8"/>
        <v>4.7</v>
      </c>
      <c r="J244" s="18">
        <f t="shared" si="2"/>
        <v>0.4272727273</v>
      </c>
      <c r="K244" s="17">
        <v>3.61</v>
      </c>
      <c r="L244" s="19">
        <f t="shared" si="3"/>
        <v>44.04545455</v>
      </c>
      <c r="M244" s="20">
        <f t="shared" si="4"/>
        <v>213.0435343</v>
      </c>
      <c r="N244" s="21">
        <f t="shared" si="5"/>
        <v>2.271018182</v>
      </c>
      <c r="O244" s="21">
        <f t="shared" si="6"/>
        <v>2498.12</v>
      </c>
      <c r="P244" s="22">
        <f t="shared" si="7"/>
        <v>234347.8878</v>
      </c>
    </row>
    <row r="245">
      <c r="B245" s="11">
        <v>46107.0</v>
      </c>
      <c r="C245" s="12">
        <f>VLOOKUP(B:B,'Курс валют'!A:D,4,0)</f>
        <v>93.8097</v>
      </c>
      <c r="D245" s="13" t="s">
        <v>1176</v>
      </c>
      <c r="E245" s="59" t="s">
        <v>18</v>
      </c>
      <c r="F245" s="15">
        <v>1100.0</v>
      </c>
      <c r="G245" s="16">
        <v>1104.7</v>
      </c>
      <c r="H245" s="17">
        <v>484.5</v>
      </c>
      <c r="I245" s="16">
        <f t="shared" si="8"/>
        <v>4.7</v>
      </c>
      <c r="J245" s="18">
        <f t="shared" si="2"/>
        <v>0.4272727273</v>
      </c>
      <c r="K245" s="17">
        <v>3.61</v>
      </c>
      <c r="L245" s="19">
        <f t="shared" si="3"/>
        <v>44.04545455</v>
      </c>
      <c r="M245" s="20">
        <f t="shared" si="4"/>
        <v>213.0435343</v>
      </c>
      <c r="N245" s="21">
        <f t="shared" si="5"/>
        <v>2.271018182</v>
      </c>
      <c r="O245" s="21">
        <f t="shared" si="6"/>
        <v>2498.12</v>
      </c>
      <c r="P245" s="22">
        <f t="shared" si="7"/>
        <v>234347.8878</v>
      </c>
    </row>
    <row r="246">
      <c r="B246" s="11">
        <v>46107.0</v>
      </c>
      <c r="C246" s="12">
        <f>VLOOKUP(B:B,'Курс валют'!A:D,4,0)</f>
        <v>93.8097</v>
      </c>
      <c r="D246" s="13" t="s">
        <v>1177</v>
      </c>
      <c r="E246" s="59" t="s">
        <v>18</v>
      </c>
      <c r="F246" s="15">
        <v>1100.0</v>
      </c>
      <c r="G246" s="16">
        <v>1104.7</v>
      </c>
      <c r="H246" s="17">
        <v>484.5</v>
      </c>
      <c r="I246" s="16">
        <f t="shared" si="8"/>
        <v>4.7</v>
      </c>
      <c r="J246" s="18">
        <f t="shared" si="2"/>
        <v>0.4272727273</v>
      </c>
      <c r="K246" s="17">
        <v>3.61</v>
      </c>
      <c r="L246" s="19">
        <f t="shared" si="3"/>
        <v>44.04545455</v>
      </c>
      <c r="M246" s="20">
        <f t="shared" si="4"/>
        <v>213.0435343</v>
      </c>
      <c r="N246" s="21">
        <f t="shared" si="5"/>
        <v>2.271018182</v>
      </c>
      <c r="O246" s="21">
        <f t="shared" si="6"/>
        <v>2498.12</v>
      </c>
      <c r="P246" s="22">
        <f t="shared" si="7"/>
        <v>234347.8878</v>
      </c>
    </row>
    <row r="247">
      <c r="B247" s="11">
        <v>46107.0</v>
      </c>
      <c r="C247" s="12">
        <f>VLOOKUP(B:B,'Курс валют'!A:D,4,0)</f>
        <v>93.8097</v>
      </c>
      <c r="D247" s="13" t="s">
        <v>1178</v>
      </c>
      <c r="E247" s="59" t="s">
        <v>18</v>
      </c>
      <c r="F247" s="15">
        <v>1100.0</v>
      </c>
      <c r="G247" s="16">
        <v>1104.7</v>
      </c>
      <c r="H247" s="17">
        <v>484.5</v>
      </c>
      <c r="I247" s="16">
        <f t="shared" si="8"/>
        <v>4.7</v>
      </c>
      <c r="J247" s="18">
        <f t="shared" si="2"/>
        <v>0.4272727273</v>
      </c>
      <c r="K247" s="17">
        <v>3.61</v>
      </c>
      <c r="L247" s="19">
        <f t="shared" si="3"/>
        <v>44.04545455</v>
      </c>
      <c r="M247" s="20">
        <f t="shared" si="4"/>
        <v>213.0435343</v>
      </c>
      <c r="N247" s="21">
        <f t="shared" si="5"/>
        <v>2.271018182</v>
      </c>
      <c r="O247" s="21">
        <f t="shared" si="6"/>
        <v>2498.12</v>
      </c>
      <c r="P247" s="22">
        <f t="shared" si="7"/>
        <v>234347.8878</v>
      </c>
    </row>
    <row r="248">
      <c r="B248" s="11">
        <v>46107.0</v>
      </c>
      <c r="C248" s="12">
        <f>VLOOKUP(B:B,'Курс валют'!A:D,4,0)</f>
        <v>93.8097</v>
      </c>
      <c r="D248" s="13" t="s">
        <v>1179</v>
      </c>
      <c r="E248" s="59" t="s">
        <v>18</v>
      </c>
      <c r="F248" s="15">
        <v>1100.0</v>
      </c>
      <c r="G248" s="16">
        <v>1104.7</v>
      </c>
      <c r="H248" s="17">
        <v>484.5</v>
      </c>
      <c r="I248" s="16">
        <f t="shared" si="8"/>
        <v>4.7</v>
      </c>
      <c r="J248" s="18">
        <f t="shared" si="2"/>
        <v>0.4272727273</v>
      </c>
      <c r="K248" s="17">
        <v>3.61</v>
      </c>
      <c r="L248" s="19">
        <f t="shared" si="3"/>
        <v>44.04545455</v>
      </c>
      <c r="M248" s="20">
        <f t="shared" si="4"/>
        <v>213.0435343</v>
      </c>
      <c r="N248" s="21">
        <f t="shared" si="5"/>
        <v>2.271018182</v>
      </c>
      <c r="O248" s="21">
        <f t="shared" si="6"/>
        <v>2498.12</v>
      </c>
      <c r="P248" s="22">
        <f t="shared" si="7"/>
        <v>234347.8878</v>
      </c>
    </row>
    <row r="249">
      <c r="B249" s="11">
        <v>46107.0</v>
      </c>
      <c r="C249" s="12">
        <f>VLOOKUP(B:B,'Курс валют'!A:D,4,0)</f>
        <v>93.8097</v>
      </c>
      <c r="D249" s="13" t="s">
        <v>1180</v>
      </c>
      <c r="E249" s="59" t="s">
        <v>18</v>
      </c>
      <c r="F249" s="15">
        <v>1100.0</v>
      </c>
      <c r="G249" s="16">
        <v>1104.7</v>
      </c>
      <c r="H249" s="17">
        <v>484.5</v>
      </c>
      <c r="I249" s="16">
        <f t="shared" si="8"/>
        <v>4.7</v>
      </c>
      <c r="J249" s="18">
        <f t="shared" si="2"/>
        <v>0.4272727273</v>
      </c>
      <c r="K249" s="17">
        <v>3.61</v>
      </c>
      <c r="L249" s="19">
        <f t="shared" si="3"/>
        <v>44.04545455</v>
      </c>
      <c r="M249" s="20">
        <f t="shared" si="4"/>
        <v>213.0435343</v>
      </c>
      <c r="N249" s="21">
        <f t="shared" si="5"/>
        <v>2.271018182</v>
      </c>
      <c r="O249" s="21">
        <f t="shared" si="6"/>
        <v>2498.12</v>
      </c>
      <c r="P249" s="22">
        <f t="shared" si="7"/>
        <v>234347.8878</v>
      </c>
    </row>
    <row r="250">
      <c r="B250" s="11">
        <v>46107.0</v>
      </c>
      <c r="C250" s="12">
        <f>VLOOKUP(B:B,'Курс валют'!A:D,4,0)</f>
        <v>93.8097</v>
      </c>
      <c r="D250" s="13" t="s">
        <v>1181</v>
      </c>
      <c r="E250" s="59" t="s">
        <v>18</v>
      </c>
      <c r="F250" s="15">
        <v>1100.0</v>
      </c>
      <c r="G250" s="16">
        <v>1104.7</v>
      </c>
      <c r="H250" s="17">
        <v>484.5</v>
      </c>
      <c r="I250" s="16">
        <f t="shared" si="8"/>
        <v>4.7</v>
      </c>
      <c r="J250" s="18">
        <f t="shared" si="2"/>
        <v>0.4272727273</v>
      </c>
      <c r="K250" s="17">
        <v>3.61</v>
      </c>
      <c r="L250" s="19">
        <f t="shared" si="3"/>
        <v>44.04545455</v>
      </c>
      <c r="M250" s="20">
        <f t="shared" si="4"/>
        <v>213.0435343</v>
      </c>
      <c r="N250" s="21">
        <f t="shared" si="5"/>
        <v>2.271018182</v>
      </c>
      <c r="O250" s="21">
        <f t="shared" si="6"/>
        <v>2498.12</v>
      </c>
      <c r="P250" s="22">
        <f t="shared" si="7"/>
        <v>234347.8878</v>
      </c>
    </row>
    <row r="251">
      <c r="B251" s="11">
        <v>46107.0</v>
      </c>
      <c r="C251" s="12">
        <f>VLOOKUP(B:B,'Курс валют'!A:D,4,0)</f>
        <v>93.8097</v>
      </c>
      <c r="D251" s="13" t="s">
        <v>1182</v>
      </c>
      <c r="E251" s="59" t="s">
        <v>18</v>
      </c>
      <c r="F251" s="15">
        <v>1100.0</v>
      </c>
      <c r="G251" s="16">
        <v>1104.7</v>
      </c>
      <c r="H251" s="17">
        <v>484.5</v>
      </c>
      <c r="I251" s="16">
        <f t="shared" si="8"/>
        <v>4.7</v>
      </c>
      <c r="J251" s="18">
        <f t="shared" si="2"/>
        <v>0.4272727273</v>
      </c>
      <c r="K251" s="17">
        <v>3.61</v>
      </c>
      <c r="L251" s="19">
        <f t="shared" si="3"/>
        <v>44.04545455</v>
      </c>
      <c r="M251" s="20">
        <f t="shared" si="4"/>
        <v>213.0435343</v>
      </c>
      <c r="N251" s="21">
        <f t="shared" si="5"/>
        <v>2.271018182</v>
      </c>
      <c r="O251" s="21">
        <f t="shared" si="6"/>
        <v>2498.12</v>
      </c>
      <c r="P251" s="22">
        <f t="shared" si="7"/>
        <v>234347.8878</v>
      </c>
    </row>
    <row r="252">
      <c r="B252" s="11">
        <v>46107.0</v>
      </c>
      <c r="C252" s="12">
        <f>VLOOKUP(B:B,'Курс валют'!A:D,4,0)</f>
        <v>93.8097</v>
      </c>
      <c r="D252" s="13" t="s">
        <v>1183</v>
      </c>
      <c r="E252" s="59" t="s">
        <v>18</v>
      </c>
      <c r="F252" s="15">
        <v>1100.0</v>
      </c>
      <c r="G252" s="16">
        <v>1104.7</v>
      </c>
      <c r="H252" s="17">
        <v>484.5</v>
      </c>
      <c r="I252" s="16">
        <f t="shared" si="8"/>
        <v>4.7</v>
      </c>
      <c r="J252" s="18">
        <f t="shared" si="2"/>
        <v>0.4272727273</v>
      </c>
      <c r="K252" s="17">
        <v>3.61</v>
      </c>
      <c r="L252" s="19">
        <f t="shared" si="3"/>
        <v>44.04545455</v>
      </c>
      <c r="M252" s="20">
        <f t="shared" si="4"/>
        <v>213.0435343</v>
      </c>
      <c r="N252" s="21">
        <f t="shared" si="5"/>
        <v>2.271018182</v>
      </c>
      <c r="O252" s="21">
        <f t="shared" si="6"/>
        <v>2498.12</v>
      </c>
      <c r="P252" s="22">
        <f t="shared" si="7"/>
        <v>234347.8878</v>
      </c>
    </row>
    <row r="253">
      <c r="B253" s="11">
        <v>46107.0</v>
      </c>
      <c r="C253" s="12">
        <f>VLOOKUP(B:B,'Курс валют'!A:D,4,0)</f>
        <v>93.8097</v>
      </c>
      <c r="D253" s="13" t="s">
        <v>1184</v>
      </c>
      <c r="E253" s="59" t="s">
        <v>18</v>
      </c>
      <c r="F253" s="15">
        <v>1100.0</v>
      </c>
      <c r="G253" s="16">
        <v>1104.7</v>
      </c>
      <c r="H253" s="17">
        <v>484.5</v>
      </c>
      <c r="I253" s="16">
        <f t="shared" si="8"/>
        <v>4.7</v>
      </c>
      <c r="J253" s="18">
        <f t="shared" si="2"/>
        <v>0.4272727273</v>
      </c>
      <c r="K253" s="17">
        <v>3.61</v>
      </c>
      <c r="L253" s="19">
        <f t="shared" si="3"/>
        <v>44.04545455</v>
      </c>
      <c r="M253" s="20">
        <f t="shared" si="4"/>
        <v>213.0435343</v>
      </c>
      <c r="N253" s="21">
        <f t="shared" si="5"/>
        <v>2.271018182</v>
      </c>
      <c r="O253" s="21">
        <f t="shared" si="6"/>
        <v>2498.12</v>
      </c>
      <c r="P253" s="22">
        <f t="shared" si="7"/>
        <v>234347.8878</v>
      </c>
    </row>
    <row r="254">
      <c r="B254" s="11">
        <v>46107.0</v>
      </c>
      <c r="C254" s="12">
        <f>VLOOKUP(B:B,'Курс валют'!A:D,4,0)</f>
        <v>93.8097</v>
      </c>
      <c r="D254" s="13" t="s">
        <v>1185</v>
      </c>
      <c r="E254" s="59" t="s">
        <v>18</v>
      </c>
      <c r="F254" s="15">
        <v>1100.0</v>
      </c>
      <c r="G254" s="16">
        <v>1104.7</v>
      </c>
      <c r="H254" s="17">
        <v>484.5</v>
      </c>
      <c r="I254" s="16">
        <f t="shared" si="8"/>
        <v>4.7</v>
      </c>
      <c r="J254" s="18">
        <f t="shared" si="2"/>
        <v>0.4272727273</v>
      </c>
      <c r="K254" s="17">
        <v>3.61</v>
      </c>
      <c r="L254" s="19">
        <f t="shared" si="3"/>
        <v>44.04545455</v>
      </c>
      <c r="M254" s="20">
        <f t="shared" si="4"/>
        <v>213.0435343</v>
      </c>
      <c r="N254" s="21">
        <f t="shared" si="5"/>
        <v>2.271018182</v>
      </c>
      <c r="O254" s="21">
        <f t="shared" si="6"/>
        <v>2498.12</v>
      </c>
      <c r="P254" s="22">
        <f t="shared" si="7"/>
        <v>234347.8878</v>
      </c>
    </row>
    <row r="255">
      <c r="B255" s="11">
        <v>46107.0</v>
      </c>
      <c r="C255" s="12">
        <f>VLOOKUP(B:B,'Курс валют'!A:D,4,0)</f>
        <v>93.8097</v>
      </c>
      <c r="D255" s="13" t="s">
        <v>1186</v>
      </c>
      <c r="E255" s="59" t="s">
        <v>18</v>
      </c>
      <c r="F255" s="15">
        <v>1100.0</v>
      </c>
      <c r="G255" s="16">
        <v>1104.7</v>
      </c>
      <c r="H255" s="17">
        <v>484.5</v>
      </c>
      <c r="I255" s="16">
        <f t="shared" si="8"/>
        <v>4.7</v>
      </c>
      <c r="J255" s="18">
        <f t="shared" si="2"/>
        <v>0.4272727273</v>
      </c>
      <c r="K255" s="17">
        <v>3.61</v>
      </c>
      <c r="L255" s="19">
        <f t="shared" si="3"/>
        <v>44.04545455</v>
      </c>
      <c r="M255" s="20">
        <f t="shared" si="4"/>
        <v>213.0435343</v>
      </c>
      <c r="N255" s="21">
        <f t="shared" si="5"/>
        <v>2.271018182</v>
      </c>
      <c r="O255" s="21">
        <f t="shared" si="6"/>
        <v>2498.12</v>
      </c>
      <c r="P255" s="22">
        <f t="shared" si="7"/>
        <v>234347.8878</v>
      </c>
    </row>
    <row r="256">
      <c r="B256" s="11">
        <v>46107.0</v>
      </c>
      <c r="C256" s="12">
        <f>VLOOKUP(B:B,'Курс валют'!A:D,4,0)</f>
        <v>93.8097</v>
      </c>
      <c r="D256" s="13" t="s">
        <v>1187</v>
      </c>
      <c r="E256" s="59" t="s">
        <v>18</v>
      </c>
      <c r="F256" s="15">
        <v>1100.0</v>
      </c>
      <c r="G256" s="16">
        <v>1104.7</v>
      </c>
      <c r="H256" s="17">
        <v>484.5</v>
      </c>
      <c r="I256" s="16">
        <f t="shared" si="8"/>
        <v>4.7</v>
      </c>
      <c r="J256" s="18">
        <f t="shared" si="2"/>
        <v>0.4272727273</v>
      </c>
      <c r="K256" s="17">
        <v>3.61</v>
      </c>
      <c r="L256" s="19">
        <f t="shared" si="3"/>
        <v>44.04545455</v>
      </c>
      <c r="M256" s="20">
        <f t="shared" si="4"/>
        <v>213.0435343</v>
      </c>
      <c r="N256" s="21">
        <f t="shared" si="5"/>
        <v>2.271018182</v>
      </c>
      <c r="O256" s="21">
        <f t="shared" si="6"/>
        <v>2498.12</v>
      </c>
      <c r="P256" s="22">
        <f t="shared" si="7"/>
        <v>234347.8878</v>
      </c>
    </row>
    <row r="257">
      <c r="B257" s="11">
        <v>46107.0</v>
      </c>
      <c r="C257" s="12">
        <f>VLOOKUP(B:B,'Курс валют'!A:D,4,0)</f>
        <v>93.8097</v>
      </c>
      <c r="D257" s="13" t="s">
        <v>1188</v>
      </c>
      <c r="E257" s="59" t="s">
        <v>18</v>
      </c>
      <c r="F257" s="15">
        <v>1100.0</v>
      </c>
      <c r="G257" s="16">
        <v>1104.7</v>
      </c>
      <c r="H257" s="17">
        <v>100.38</v>
      </c>
      <c r="I257" s="16">
        <f t="shared" si="8"/>
        <v>4.7</v>
      </c>
      <c r="J257" s="18">
        <f t="shared" si="2"/>
        <v>0.4272727273</v>
      </c>
      <c r="K257" s="17">
        <v>2.56</v>
      </c>
      <c r="L257" s="19">
        <f t="shared" si="3"/>
        <v>9.125454545</v>
      </c>
      <c r="M257" s="20">
        <f t="shared" si="4"/>
        <v>214.1287249</v>
      </c>
      <c r="N257" s="21">
        <f t="shared" si="5"/>
        <v>2.282586182</v>
      </c>
      <c r="O257" s="21">
        <f t="shared" si="6"/>
        <v>2510.8448</v>
      </c>
      <c r="P257" s="22">
        <f t="shared" si="7"/>
        <v>235541.5974</v>
      </c>
    </row>
    <row r="258">
      <c r="B258" s="11">
        <v>46108.0</v>
      </c>
      <c r="C258" s="12">
        <f>VLOOKUP(B:B,'Курс валют'!A:D,4,0)</f>
        <v>95.0038</v>
      </c>
      <c r="D258" s="13" t="s">
        <v>1189</v>
      </c>
      <c r="E258" s="59" t="s">
        <v>18</v>
      </c>
      <c r="F258" s="15">
        <v>1100.0</v>
      </c>
      <c r="G258" s="16">
        <v>1104.7</v>
      </c>
      <c r="H258" s="17">
        <v>0.0</v>
      </c>
      <c r="I258" s="16">
        <f t="shared" si="8"/>
        <v>4.7</v>
      </c>
      <c r="J258" s="18">
        <f t="shared" si="2"/>
        <v>0.4272727273</v>
      </c>
      <c r="K258" s="17">
        <v>2.29</v>
      </c>
      <c r="L258" s="19">
        <f t="shared" si="3"/>
        <v>0</v>
      </c>
      <c r="M258" s="20">
        <f t="shared" si="4"/>
        <v>217.558702</v>
      </c>
      <c r="N258" s="21">
        <f t="shared" si="5"/>
        <v>2.29</v>
      </c>
      <c r="O258" s="21">
        <f t="shared" si="6"/>
        <v>2519</v>
      </c>
      <c r="P258" s="22">
        <f t="shared" si="7"/>
        <v>239314.5722</v>
      </c>
    </row>
    <row r="259">
      <c r="B259" s="11">
        <v>46108.0</v>
      </c>
      <c r="C259" s="12">
        <f>VLOOKUP(B:B,'Курс валют'!A:D,4,0)</f>
        <v>95.0038</v>
      </c>
      <c r="D259" s="13" t="s">
        <v>1190</v>
      </c>
      <c r="E259" s="59" t="s">
        <v>18</v>
      </c>
      <c r="F259" s="15">
        <v>1100.0</v>
      </c>
      <c r="G259" s="16">
        <v>1104.7</v>
      </c>
      <c r="H259" s="17">
        <v>0.0</v>
      </c>
      <c r="I259" s="16">
        <f t="shared" si="8"/>
        <v>4.7</v>
      </c>
      <c r="J259" s="18">
        <f t="shared" si="2"/>
        <v>0.4272727273</v>
      </c>
      <c r="K259" s="17">
        <v>2.28</v>
      </c>
      <c r="L259" s="19">
        <f t="shared" si="3"/>
        <v>0</v>
      </c>
      <c r="M259" s="20">
        <f t="shared" si="4"/>
        <v>216.608664</v>
      </c>
      <c r="N259" s="21">
        <f t="shared" si="5"/>
        <v>2.28</v>
      </c>
      <c r="O259" s="21">
        <f t="shared" si="6"/>
        <v>2508</v>
      </c>
      <c r="P259" s="22">
        <f t="shared" si="7"/>
        <v>238269.5304</v>
      </c>
    </row>
    <row r="260">
      <c r="B260" s="11">
        <v>46108.0</v>
      </c>
      <c r="C260" s="12">
        <f>VLOOKUP(B:B,'Курс валют'!A:D,4,0)</f>
        <v>95.0038</v>
      </c>
      <c r="D260" s="13" t="s">
        <v>1191</v>
      </c>
      <c r="E260" s="59" t="s">
        <v>18</v>
      </c>
      <c r="F260" s="15">
        <v>1100.0</v>
      </c>
      <c r="G260" s="16">
        <v>1104.7</v>
      </c>
      <c r="H260" s="17">
        <v>0.0</v>
      </c>
      <c r="I260" s="16">
        <f t="shared" si="8"/>
        <v>4.7</v>
      </c>
      <c r="J260" s="18">
        <f t="shared" si="2"/>
        <v>0.4272727273</v>
      </c>
      <c r="K260" s="17">
        <v>2.28</v>
      </c>
      <c r="L260" s="19">
        <f t="shared" si="3"/>
        <v>0</v>
      </c>
      <c r="M260" s="20">
        <f t="shared" si="4"/>
        <v>216.608664</v>
      </c>
      <c r="N260" s="21">
        <f t="shared" si="5"/>
        <v>2.28</v>
      </c>
      <c r="O260" s="21">
        <f t="shared" si="6"/>
        <v>2508</v>
      </c>
      <c r="P260" s="22">
        <f t="shared" si="7"/>
        <v>238269.5304</v>
      </c>
    </row>
    <row r="261">
      <c r="B261" s="11">
        <v>46108.0</v>
      </c>
      <c r="C261" s="12">
        <f>VLOOKUP(B:B,'Курс валют'!A:D,4,0)</f>
        <v>95.0038</v>
      </c>
      <c r="D261" s="13" t="s">
        <v>1192</v>
      </c>
      <c r="E261" s="59" t="s">
        <v>18</v>
      </c>
      <c r="F261" s="15">
        <v>1100.0</v>
      </c>
      <c r="G261" s="16">
        <v>1104.7</v>
      </c>
      <c r="H261" s="17">
        <v>0.0</v>
      </c>
      <c r="I261" s="16">
        <f t="shared" si="8"/>
        <v>4.7</v>
      </c>
      <c r="J261" s="18">
        <f t="shared" si="2"/>
        <v>0.4272727273</v>
      </c>
      <c r="K261" s="17">
        <v>2.29</v>
      </c>
      <c r="L261" s="19">
        <f t="shared" si="3"/>
        <v>0</v>
      </c>
      <c r="M261" s="20">
        <f t="shared" si="4"/>
        <v>217.558702</v>
      </c>
      <c r="N261" s="21">
        <f t="shared" si="5"/>
        <v>2.29</v>
      </c>
      <c r="O261" s="21">
        <f t="shared" si="6"/>
        <v>2519</v>
      </c>
      <c r="P261" s="22">
        <f t="shared" si="7"/>
        <v>239314.5722</v>
      </c>
    </row>
    <row r="262">
      <c r="B262" s="11">
        <v>46108.0</v>
      </c>
      <c r="C262" s="12">
        <f>VLOOKUP(B:B,'Курс валют'!A:D,4,0)</f>
        <v>95.0038</v>
      </c>
      <c r="D262" s="13" t="s">
        <v>1193</v>
      </c>
      <c r="E262" s="59" t="s">
        <v>18</v>
      </c>
      <c r="F262" s="15">
        <v>1100.0</v>
      </c>
      <c r="G262" s="16">
        <v>1104.7</v>
      </c>
      <c r="H262" s="17">
        <v>0.0</v>
      </c>
      <c r="I262" s="16">
        <f t="shared" si="8"/>
        <v>4.7</v>
      </c>
      <c r="J262" s="18">
        <f t="shared" si="2"/>
        <v>0.4272727273</v>
      </c>
      <c r="K262" s="17">
        <v>2.29</v>
      </c>
      <c r="L262" s="19">
        <f t="shared" si="3"/>
        <v>0</v>
      </c>
      <c r="M262" s="20">
        <f t="shared" si="4"/>
        <v>217.558702</v>
      </c>
      <c r="N262" s="21">
        <f t="shared" si="5"/>
        <v>2.29</v>
      </c>
      <c r="O262" s="21">
        <f t="shared" si="6"/>
        <v>2519</v>
      </c>
      <c r="P262" s="22">
        <f t="shared" si="7"/>
        <v>239314.5722</v>
      </c>
    </row>
    <row r="263">
      <c r="B263" s="11">
        <v>46108.0</v>
      </c>
      <c r="C263" s="12">
        <f>VLOOKUP(B:B,'Курс валют'!A:D,4,0)</f>
        <v>95.0038</v>
      </c>
      <c r="D263" s="13" t="s">
        <v>1194</v>
      </c>
      <c r="E263" s="59" t="s">
        <v>18</v>
      </c>
      <c r="F263" s="15">
        <v>1100.0</v>
      </c>
      <c r="G263" s="16">
        <v>1104.7</v>
      </c>
      <c r="H263" s="17">
        <v>0.0</v>
      </c>
      <c r="I263" s="16">
        <f t="shared" si="8"/>
        <v>4.7</v>
      </c>
      <c r="J263" s="18">
        <f t="shared" si="2"/>
        <v>0.4272727273</v>
      </c>
      <c r="K263" s="17">
        <v>2.28</v>
      </c>
      <c r="L263" s="19">
        <f t="shared" si="3"/>
        <v>0</v>
      </c>
      <c r="M263" s="20">
        <f t="shared" si="4"/>
        <v>216.608664</v>
      </c>
      <c r="N263" s="21">
        <f t="shared" si="5"/>
        <v>2.28</v>
      </c>
      <c r="O263" s="21">
        <f t="shared" si="6"/>
        <v>2508</v>
      </c>
      <c r="P263" s="22">
        <f t="shared" si="7"/>
        <v>238269.5304</v>
      </c>
    </row>
    <row r="264">
      <c r="B264" s="11">
        <v>46108.0</v>
      </c>
      <c r="C264" s="12">
        <f>VLOOKUP(B:B,'Курс валют'!A:D,4,0)</f>
        <v>95.0038</v>
      </c>
      <c r="D264" s="13" t="s">
        <v>1195</v>
      </c>
      <c r="E264" s="59" t="s">
        <v>18</v>
      </c>
      <c r="F264" s="15">
        <v>1100.0</v>
      </c>
      <c r="G264" s="16">
        <v>1104.7</v>
      </c>
      <c r="H264" s="17">
        <v>0.0</v>
      </c>
      <c r="I264" s="16">
        <f t="shared" si="8"/>
        <v>4.7</v>
      </c>
      <c r="J264" s="18">
        <f t="shared" si="2"/>
        <v>0.4272727273</v>
      </c>
      <c r="K264" s="17">
        <v>2.29</v>
      </c>
      <c r="L264" s="19">
        <f t="shared" si="3"/>
        <v>0</v>
      </c>
      <c r="M264" s="20">
        <f t="shared" si="4"/>
        <v>217.558702</v>
      </c>
      <c r="N264" s="21">
        <f t="shared" si="5"/>
        <v>2.29</v>
      </c>
      <c r="O264" s="21">
        <f t="shared" si="6"/>
        <v>2519</v>
      </c>
      <c r="P264" s="22">
        <f t="shared" si="7"/>
        <v>239314.5722</v>
      </c>
    </row>
    <row r="265">
      <c r="B265" s="11">
        <v>46108.0</v>
      </c>
      <c r="C265" s="12">
        <f>VLOOKUP(B:B,'Курс валют'!A:D,4,0)</f>
        <v>95.0038</v>
      </c>
      <c r="D265" s="13" t="s">
        <v>1196</v>
      </c>
      <c r="E265" s="59" t="s">
        <v>18</v>
      </c>
      <c r="F265" s="15">
        <v>1100.0</v>
      </c>
      <c r="G265" s="16">
        <v>1104.7</v>
      </c>
      <c r="H265" s="17">
        <v>0.0</v>
      </c>
      <c r="I265" s="16">
        <f t="shared" si="8"/>
        <v>4.7</v>
      </c>
      <c r="J265" s="18">
        <f t="shared" si="2"/>
        <v>0.4272727273</v>
      </c>
      <c r="K265" s="17">
        <v>2.28</v>
      </c>
      <c r="L265" s="19">
        <f t="shared" si="3"/>
        <v>0</v>
      </c>
      <c r="M265" s="20">
        <f t="shared" si="4"/>
        <v>216.608664</v>
      </c>
      <c r="N265" s="21">
        <f t="shared" si="5"/>
        <v>2.28</v>
      </c>
      <c r="O265" s="21">
        <f t="shared" si="6"/>
        <v>2508</v>
      </c>
      <c r="P265" s="22">
        <f t="shared" si="7"/>
        <v>238269.5304</v>
      </c>
    </row>
    <row r="266">
      <c r="B266" s="11">
        <v>46108.0</v>
      </c>
      <c r="C266" s="12">
        <f>VLOOKUP(B:B,'Курс валют'!A:D,4,0)</f>
        <v>95.0038</v>
      </c>
      <c r="D266" s="13" t="s">
        <v>1197</v>
      </c>
      <c r="E266" s="59" t="s">
        <v>18</v>
      </c>
      <c r="F266" s="15">
        <v>1100.0</v>
      </c>
      <c r="G266" s="16">
        <v>1104.7</v>
      </c>
      <c r="H266" s="17">
        <v>0.0</v>
      </c>
      <c r="I266" s="16">
        <f t="shared" si="8"/>
        <v>4.7</v>
      </c>
      <c r="J266" s="18">
        <f t="shared" si="2"/>
        <v>0.4272727273</v>
      </c>
      <c r="K266" s="17">
        <v>2.28</v>
      </c>
      <c r="L266" s="19">
        <f t="shared" si="3"/>
        <v>0</v>
      </c>
      <c r="M266" s="20">
        <f t="shared" si="4"/>
        <v>216.608664</v>
      </c>
      <c r="N266" s="21">
        <f t="shared" si="5"/>
        <v>2.28</v>
      </c>
      <c r="O266" s="21">
        <f t="shared" si="6"/>
        <v>2508</v>
      </c>
      <c r="P266" s="22">
        <f t="shared" si="7"/>
        <v>238269.5304</v>
      </c>
    </row>
    <row r="267">
      <c r="B267" s="11">
        <v>46108.0</v>
      </c>
      <c r="C267" s="12">
        <f>VLOOKUP(B:B,'Курс валют'!A:D,4,0)</f>
        <v>95.0038</v>
      </c>
      <c r="D267" s="13" t="s">
        <v>1198</v>
      </c>
      <c r="E267" s="59" t="s">
        <v>18</v>
      </c>
      <c r="F267" s="15">
        <v>1100.0</v>
      </c>
      <c r="G267" s="16">
        <v>1104.7</v>
      </c>
      <c r="H267" s="17">
        <v>0.0</v>
      </c>
      <c r="I267" s="16">
        <f t="shared" si="8"/>
        <v>4.7</v>
      </c>
      <c r="J267" s="18">
        <f t="shared" si="2"/>
        <v>0.4272727273</v>
      </c>
      <c r="K267" s="17">
        <v>2.29</v>
      </c>
      <c r="L267" s="19">
        <f t="shared" si="3"/>
        <v>0</v>
      </c>
      <c r="M267" s="20">
        <f t="shared" si="4"/>
        <v>217.558702</v>
      </c>
      <c r="N267" s="21">
        <f t="shared" si="5"/>
        <v>2.29</v>
      </c>
      <c r="O267" s="21">
        <f t="shared" si="6"/>
        <v>2519</v>
      </c>
      <c r="P267" s="22">
        <f t="shared" si="7"/>
        <v>239314.5722</v>
      </c>
    </row>
    <row r="268">
      <c r="B268" s="11">
        <v>46108.0</v>
      </c>
      <c r="C268" s="12">
        <f>VLOOKUP(B:B,'Курс валют'!A:D,4,0)</f>
        <v>95.0038</v>
      </c>
      <c r="D268" s="13" t="s">
        <v>1199</v>
      </c>
      <c r="E268" s="59" t="s">
        <v>18</v>
      </c>
      <c r="F268" s="15">
        <v>1100.0</v>
      </c>
      <c r="G268" s="16">
        <v>1104.7</v>
      </c>
      <c r="H268" s="17">
        <v>0.0</v>
      </c>
      <c r="I268" s="16">
        <f t="shared" si="8"/>
        <v>4.7</v>
      </c>
      <c r="J268" s="18">
        <f t="shared" si="2"/>
        <v>0.4272727273</v>
      </c>
      <c r="K268" s="17">
        <v>2.29</v>
      </c>
      <c r="L268" s="19">
        <f t="shared" si="3"/>
        <v>0</v>
      </c>
      <c r="M268" s="20">
        <f t="shared" si="4"/>
        <v>217.558702</v>
      </c>
      <c r="N268" s="21">
        <f t="shared" si="5"/>
        <v>2.29</v>
      </c>
      <c r="O268" s="21">
        <f t="shared" si="6"/>
        <v>2519</v>
      </c>
      <c r="P268" s="22">
        <f t="shared" si="7"/>
        <v>239314.5722</v>
      </c>
    </row>
    <row r="269">
      <c r="B269" s="11">
        <v>46108.0</v>
      </c>
      <c r="C269" s="12">
        <f>VLOOKUP(B:B,'Курс валют'!A:D,4,0)</f>
        <v>95.0038</v>
      </c>
      <c r="D269" s="13" t="s">
        <v>1200</v>
      </c>
      <c r="E269" s="59" t="s">
        <v>18</v>
      </c>
      <c r="F269" s="15">
        <v>1100.0</v>
      </c>
      <c r="G269" s="16">
        <v>1104.7</v>
      </c>
      <c r="H269" s="17">
        <v>0.0</v>
      </c>
      <c r="I269" s="16">
        <f t="shared" si="8"/>
        <v>4.7</v>
      </c>
      <c r="J269" s="18">
        <f t="shared" si="2"/>
        <v>0.4272727273</v>
      </c>
      <c r="K269" s="17">
        <v>2.28</v>
      </c>
      <c r="L269" s="19">
        <f t="shared" si="3"/>
        <v>0</v>
      </c>
      <c r="M269" s="20">
        <f t="shared" si="4"/>
        <v>216.608664</v>
      </c>
      <c r="N269" s="21">
        <f t="shared" si="5"/>
        <v>2.28</v>
      </c>
      <c r="O269" s="21">
        <f t="shared" si="6"/>
        <v>2508</v>
      </c>
      <c r="P269" s="22">
        <f t="shared" si="7"/>
        <v>238269.5304</v>
      </c>
    </row>
    <row r="270">
      <c r="B270" s="11">
        <v>46108.0</v>
      </c>
      <c r="C270" s="12">
        <f>VLOOKUP(B:B,'Курс валют'!A:D,4,0)</f>
        <v>95.0038</v>
      </c>
      <c r="D270" s="13" t="s">
        <v>1201</v>
      </c>
      <c r="E270" s="59" t="s">
        <v>18</v>
      </c>
      <c r="F270" s="15">
        <v>1100.0</v>
      </c>
      <c r="G270" s="16">
        <v>1104.7</v>
      </c>
      <c r="H270" s="17">
        <v>0.0</v>
      </c>
      <c r="I270" s="16">
        <f t="shared" si="8"/>
        <v>4.7</v>
      </c>
      <c r="J270" s="18">
        <f t="shared" si="2"/>
        <v>0.4272727273</v>
      </c>
      <c r="K270" s="17">
        <v>2.28</v>
      </c>
      <c r="L270" s="19">
        <f t="shared" si="3"/>
        <v>0</v>
      </c>
      <c r="M270" s="20">
        <f t="shared" si="4"/>
        <v>216.608664</v>
      </c>
      <c r="N270" s="21">
        <f t="shared" si="5"/>
        <v>2.28</v>
      </c>
      <c r="O270" s="21">
        <f t="shared" si="6"/>
        <v>2508</v>
      </c>
      <c r="P270" s="22">
        <f t="shared" si="7"/>
        <v>238269.5304</v>
      </c>
    </row>
    <row r="271">
      <c r="B271" s="11">
        <v>46108.0</v>
      </c>
      <c r="C271" s="12">
        <f>VLOOKUP(B:B,'Курс валют'!A:D,4,0)</f>
        <v>95.0038</v>
      </c>
      <c r="D271" s="13" t="s">
        <v>1202</v>
      </c>
      <c r="E271" s="59" t="s">
        <v>18</v>
      </c>
      <c r="F271" s="15">
        <v>1100.0</v>
      </c>
      <c r="G271" s="16">
        <v>1104.7</v>
      </c>
      <c r="H271" s="17">
        <v>0.0</v>
      </c>
      <c r="I271" s="16">
        <f t="shared" si="8"/>
        <v>4.7</v>
      </c>
      <c r="J271" s="18">
        <f t="shared" si="2"/>
        <v>0.4272727273</v>
      </c>
      <c r="K271" s="17">
        <v>2.29</v>
      </c>
      <c r="L271" s="19">
        <f t="shared" si="3"/>
        <v>0</v>
      </c>
      <c r="M271" s="20">
        <f t="shared" si="4"/>
        <v>217.558702</v>
      </c>
      <c r="N271" s="21">
        <f t="shared" si="5"/>
        <v>2.29</v>
      </c>
      <c r="O271" s="21">
        <f t="shared" si="6"/>
        <v>2519</v>
      </c>
      <c r="P271" s="22">
        <f t="shared" si="7"/>
        <v>239314.5722</v>
      </c>
    </row>
    <row r="272">
      <c r="B272" s="11">
        <v>46108.0</v>
      </c>
      <c r="C272" s="12">
        <f>VLOOKUP(B:B,'Курс валют'!A:D,4,0)</f>
        <v>95.0038</v>
      </c>
      <c r="D272" s="13" t="s">
        <v>1203</v>
      </c>
      <c r="E272" s="59" t="s">
        <v>18</v>
      </c>
      <c r="F272" s="15">
        <v>1100.0</v>
      </c>
      <c r="G272" s="16">
        <v>1104.7</v>
      </c>
      <c r="H272" s="17">
        <v>0.0</v>
      </c>
      <c r="I272" s="16">
        <f t="shared" si="8"/>
        <v>4.7</v>
      </c>
      <c r="J272" s="18">
        <f t="shared" si="2"/>
        <v>0.4272727273</v>
      </c>
      <c r="K272" s="17">
        <v>2.29</v>
      </c>
      <c r="L272" s="19">
        <f t="shared" si="3"/>
        <v>0</v>
      </c>
      <c r="M272" s="20">
        <f t="shared" si="4"/>
        <v>217.558702</v>
      </c>
      <c r="N272" s="21">
        <f t="shared" si="5"/>
        <v>2.29</v>
      </c>
      <c r="O272" s="21">
        <f t="shared" si="6"/>
        <v>2519</v>
      </c>
      <c r="P272" s="22">
        <f t="shared" si="7"/>
        <v>239314.5722</v>
      </c>
    </row>
    <row r="273">
      <c r="B273" s="11">
        <v>46108.0</v>
      </c>
      <c r="C273" s="12">
        <f>VLOOKUP(B:B,'Курс валют'!A:D,4,0)</f>
        <v>95.0038</v>
      </c>
      <c r="D273" s="13" t="s">
        <v>1204</v>
      </c>
      <c r="E273" s="59" t="s">
        <v>18</v>
      </c>
      <c r="F273" s="15">
        <v>1100.0</v>
      </c>
      <c r="G273" s="16">
        <v>1104.7</v>
      </c>
      <c r="H273" s="17">
        <v>0.0</v>
      </c>
      <c r="I273" s="16">
        <f t="shared" si="8"/>
        <v>4.7</v>
      </c>
      <c r="J273" s="18">
        <f t="shared" si="2"/>
        <v>0.4272727273</v>
      </c>
      <c r="K273" s="17">
        <v>2.28</v>
      </c>
      <c r="L273" s="19">
        <f t="shared" si="3"/>
        <v>0</v>
      </c>
      <c r="M273" s="20">
        <f t="shared" si="4"/>
        <v>216.608664</v>
      </c>
      <c r="N273" s="21">
        <f t="shared" si="5"/>
        <v>2.28</v>
      </c>
      <c r="O273" s="21">
        <f t="shared" si="6"/>
        <v>2508</v>
      </c>
      <c r="P273" s="22">
        <f t="shared" si="7"/>
        <v>238269.5304</v>
      </c>
    </row>
    <row r="274">
      <c r="B274" s="11">
        <v>46108.0</v>
      </c>
      <c r="C274" s="12">
        <f>VLOOKUP(B:B,'Курс валют'!A:D,4,0)</f>
        <v>95.0038</v>
      </c>
      <c r="D274" s="13" t="s">
        <v>1205</v>
      </c>
      <c r="E274" s="59" t="s">
        <v>18</v>
      </c>
      <c r="F274" s="15">
        <v>1100.0</v>
      </c>
      <c r="G274" s="16">
        <v>1104.7</v>
      </c>
      <c r="H274" s="17">
        <v>0.0</v>
      </c>
      <c r="I274" s="16">
        <f t="shared" si="8"/>
        <v>4.7</v>
      </c>
      <c r="J274" s="18">
        <f t="shared" si="2"/>
        <v>0.4272727273</v>
      </c>
      <c r="K274" s="17">
        <v>2.28</v>
      </c>
      <c r="L274" s="19">
        <f t="shared" si="3"/>
        <v>0</v>
      </c>
      <c r="M274" s="20">
        <f t="shared" si="4"/>
        <v>216.608664</v>
      </c>
      <c r="N274" s="21">
        <f t="shared" si="5"/>
        <v>2.28</v>
      </c>
      <c r="O274" s="21">
        <f t="shared" si="6"/>
        <v>2508</v>
      </c>
      <c r="P274" s="22">
        <f t="shared" si="7"/>
        <v>238269.5304</v>
      </c>
    </row>
    <row r="275">
      <c r="B275" s="11">
        <v>46108.0</v>
      </c>
      <c r="C275" s="12">
        <f>VLOOKUP(B:B,'Курс валют'!A:D,4,0)</f>
        <v>95.0038</v>
      </c>
      <c r="D275" s="13" t="s">
        <v>1206</v>
      </c>
      <c r="E275" s="59" t="s">
        <v>18</v>
      </c>
      <c r="F275" s="15">
        <v>1100.0</v>
      </c>
      <c r="G275" s="16">
        <v>1104.7</v>
      </c>
      <c r="H275" s="17">
        <v>0.0</v>
      </c>
      <c r="I275" s="16">
        <f t="shared" si="8"/>
        <v>4.7</v>
      </c>
      <c r="J275" s="18">
        <f t="shared" si="2"/>
        <v>0.4272727273</v>
      </c>
      <c r="K275" s="17">
        <v>2.28</v>
      </c>
      <c r="L275" s="19">
        <f t="shared" si="3"/>
        <v>0</v>
      </c>
      <c r="M275" s="20">
        <f t="shared" si="4"/>
        <v>216.608664</v>
      </c>
      <c r="N275" s="21">
        <f t="shared" si="5"/>
        <v>2.28</v>
      </c>
      <c r="O275" s="21">
        <f t="shared" si="6"/>
        <v>2508</v>
      </c>
      <c r="P275" s="22">
        <f t="shared" si="7"/>
        <v>238269.5304</v>
      </c>
    </row>
    <row r="276">
      <c r="B276" s="11">
        <v>46108.0</v>
      </c>
      <c r="C276" s="12">
        <f>VLOOKUP(B:B,'Курс валют'!A:D,4,0)</f>
        <v>95.0038</v>
      </c>
      <c r="D276" s="13" t="s">
        <v>1207</v>
      </c>
      <c r="E276" s="59" t="s">
        <v>18</v>
      </c>
      <c r="F276" s="15">
        <v>1100.0</v>
      </c>
      <c r="G276" s="16">
        <v>1104.7</v>
      </c>
      <c r="H276" s="17">
        <v>0.0</v>
      </c>
      <c r="I276" s="16">
        <f t="shared" si="8"/>
        <v>4.7</v>
      </c>
      <c r="J276" s="18">
        <f t="shared" si="2"/>
        <v>0.4272727273</v>
      </c>
      <c r="K276" s="17">
        <v>2.28</v>
      </c>
      <c r="L276" s="19">
        <f t="shared" si="3"/>
        <v>0</v>
      </c>
      <c r="M276" s="20">
        <f t="shared" si="4"/>
        <v>216.608664</v>
      </c>
      <c r="N276" s="21">
        <f t="shared" si="5"/>
        <v>2.28</v>
      </c>
      <c r="O276" s="21">
        <f t="shared" si="6"/>
        <v>2508</v>
      </c>
      <c r="P276" s="22">
        <f t="shared" si="7"/>
        <v>238269.5304</v>
      </c>
    </row>
    <row r="277">
      <c r="B277" s="11">
        <v>46108.0</v>
      </c>
      <c r="C277" s="12">
        <f>VLOOKUP(B:B,'Курс валют'!A:D,4,0)</f>
        <v>95.0038</v>
      </c>
      <c r="D277" s="13" t="s">
        <v>1208</v>
      </c>
      <c r="E277" s="59" t="s">
        <v>18</v>
      </c>
      <c r="F277" s="15">
        <v>1100.0</v>
      </c>
      <c r="G277" s="16">
        <v>1104.7</v>
      </c>
      <c r="H277" s="17">
        <v>0.0</v>
      </c>
      <c r="I277" s="16">
        <f t="shared" si="8"/>
        <v>4.7</v>
      </c>
      <c r="J277" s="18">
        <f t="shared" si="2"/>
        <v>0.4272727273</v>
      </c>
      <c r="K277" s="17">
        <v>2.29</v>
      </c>
      <c r="L277" s="19">
        <f t="shared" si="3"/>
        <v>0</v>
      </c>
      <c r="M277" s="20">
        <f t="shared" si="4"/>
        <v>217.558702</v>
      </c>
      <c r="N277" s="21">
        <f t="shared" si="5"/>
        <v>2.29</v>
      </c>
      <c r="O277" s="21">
        <f t="shared" si="6"/>
        <v>2519</v>
      </c>
      <c r="P277" s="22">
        <f t="shared" si="7"/>
        <v>239314.5722</v>
      </c>
    </row>
    <row r="278">
      <c r="B278" s="11">
        <v>46109.0</v>
      </c>
      <c r="C278" s="12">
        <f>VLOOKUP(B:B,'Курс валют'!A:D,4,0)</f>
        <v>93.4247</v>
      </c>
      <c r="D278" s="13" t="s">
        <v>1209</v>
      </c>
      <c r="E278" s="59" t="s">
        <v>18</v>
      </c>
      <c r="F278" s="15">
        <v>1100.0</v>
      </c>
      <c r="G278" s="16">
        <v>1104.7</v>
      </c>
      <c r="H278" s="17">
        <v>0.0</v>
      </c>
      <c r="I278" s="16">
        <f t="shared" si="8"/>
        <v>4.7</v>
      </c>
      <c r="J278" s="18">
        <f t="shared" si="2"/>
        <v>0.4272727273</v>
      </c>
      <c r="K278" s="17">
        <v>2.29</v>
      </c>
      <c r="L278" s="19">
        <f t="shared" si="3"/>
        <v>0</v>
      </c>
      <c r="M278" s="20">
        <f t="shared" si="4"/>
        <v>213.942563</v>
      </c>
      <c r="N278" s="21">
        <f t="shared" si="5"/>
        <v>2.29</v>
      </c>
      <c r="O278" s="21">
        <f t="shared" si="6"/>
        <v>2519</v>
      </c>
      <c r="P278" s="22">
        <f t="shared" si="7"/>
        <v>235336.8193</v>
      </c>
    </row>
    <row r="279">
      <c r="B279" s="11">
        <v>46109.0</v>
      </c>
      <c r="C279" s="12">
        <f>VLOOKUP(B:B,'Курс валют'!A:D,4,0)</f>
        <v>93.4247</v>
      </c>
      <c r="D279" s="13" t="s">
        <v>1210</v>
      </c>
      <c r="E279" s="59" t="s">
        <v>18</v>
      </c>
      <c r="F279" s="15">
        <v>1100.0</v>
      </c>
      <c r="G279" s="16">
        <v>1104.7</v>
      </c>
      <c r="H279" s="17">
        <v>0.0</v>
      </c>
      <c r="I279" s="16">
        <f t="shared" si="8"/>
        <v>4.7</v>
      </c>
      <c r="J279" s="18">
        <f t="shared" si="2"/>
        <v>0.4272727273</v>
      </c>
      <c r="K279" s="17">
        <v>2.28</v>
      </c>
      <c r="L279" s="19">
        <f t="shared" si="3"/>
        <v>0</v>
      </c>
      <c r="M279" s="20">
        <f t="shared" si="4"/>
        <v>213.008316</v>
      </c>
      <c r="N279" s="21">
        <f t="shared" si="5"/>
        <v>2.28</v>
      </c>
      <c r="O279" s="21">
        <f t="shared" si="6"/>
        <v>2508</v>
      </c>
      <c r="P279" s="22">
        <f t="shared" si="7"/>
        <v>234309.1476</v>
      </c>
    </row>
    <row r="280">
      <c r="B280" s="11">
        <v>46109.0</v>
      </c>
      <c r="C280" s="12">
        <f>VLOOKUP(B:B,'Курс валют'!A:D,4,0)</f>
        <v>93.4247</v>
      </c>
      <c r="D280" s="13" t="s">
        <v>1211</v>
      </c>
      <c r="E280" s="59" t="s">
        <v>18</v>
      </c>
      <c r="F280" s="15">
        <v>1100.0</v>
      </c>
      <c r="G280" s="16">
        <v>1104.7</v>
      </c>
      <c r="H280" s="17">
        <v>0.0</v>
      </c>
      <c r="I280" s="16">
        <f t="shared" si="8"/>
        <v>4.7</v>
      </c>
      <c r="J280" s="18">
        <f t="shared" si="2"/>
        <v>0.4272727273</v>
      </c>
      <c r="K280" s="17">
        <v>2.28</v>
      </c>
      <c r="L280" s="19">
        <f t="shared" si="3"/>
        <v>0</v>
      </c>
      <c r="M280" s="20">
        <f t="shared" si="4"/>
        <v>213.008316</v>
      </c>
      <c r="N280" s="21">
        <f t="shared" si="5"/>
        <v>2.28</v>
      </c>
      <c r="O280" s="21">
        <f t="shared" si="6"/>
        <v>2508</v>
      </c>
      <c r="P280" s="22">
        <f t="shared" si="7"/>
        <v>234309.1476</v>
      </c>
    </row>
    <row r="281">
      <c r="B281" s="11">
        <v>46109.0</v>
      </c>
      <c r="C281" s="12">
        <f>VLOOKUP(B:B,'Курс валют'!A:D,4,0)</f>
        <v>93.4247</v>
      </c>
      <c r="D281" s="13" t="s">
        <v>1212</v>
      </c>
      <c r="E281" s="59" t="s">
        <v>18</v>
      </c>
      <c r="F281" s="15">
        <v>1100.0</v>
      </c>
      <c r="G281" s="16">
        <v>1104.7</v>
      </c>
      <c r="H281" s="17">
        <v>0.0</v>
      </c>
      <c r="I281" s="16">
        <f t="shared" si="8"/>
        <v>4.7</v>
      </c>
      <c r="J281" s="18">
        <f t="shared" si="2"/>
        <v>0.4272727273</v>
      </c>
      <c r="K281" s="17">
        <v>2.28</v>
      </c>
      <c r="L281" s="19">
        <f t="shared" si="3"/>
        <v>0</v>
      </c>
      <c r="M281" s="20">
        <f t="shared" si="4"/>
        <v>213.008316</v>
      </c>
      <c r="N281" s="21">
        <f t="shared" si="5"/>
        <v>2.28</v>
      </c>
      <c r="O281" s="21">
        <f t="shared" si="6"/>
        <v>2508</v>
      </c>
      <c r="P281" s="22">
        <f t="shared" si="7"/>
        <v>234309.1476</v>
      </c>
    </row>
    <row r="282">
      <c r="B282" s="11">
        <v>46109.0</v>
      </c>
      <c r="C282" s="12">
        <f>VLOOKUP(B:B,'Курс валют'!A:D,4,0)</f>
        <v>93.4247</v>
      </c>
      <c r="D282" s="13" t="s">
        <v>1213</v>
      </c>
      <c r="E282" s="59" t="s">
        <v>18</v>
      </c>
      <c r="F282" s="15">
        <v>1100.0</v>
      </c>
      <c r="G282" s="16">
        <v>1104.7</v>
      </c>
      <c r="H282" s="17">
        <v>0.0</v>
      </c>
      <c r="I282" s="16">
        <f t="shared" si="8"/>
        <v>4.7</v>
      </c>
      <c r="J282" s="18">
        <f t="shared" si="2"/>
        <v>0.4272727273</v>
      </c>
      <c r="K282" s="17">
        <v>2.29</v>
      </c>
      <c r="L282" s="19">
        <f t="shared" si="3"/>
        <v>0</v>
      </c>
      <c r="M282" s="20">
        <f t="shared" si="4"/>
        <v>213.942563</v>
      </c>
      <c r="N282" s="21">
        <f t="shared" si="5"/>
        <v>2.29</v>
      </c>
      <c r="O282" s="21">
        <f t="shared" si="6"/>
        <v>2519</v>
      </c>
      <c r="P282" s="22">
        <f t="shared" si="7"/>
        <v>235336.8193</v>
      </c>
    </row>
    <row r="283">
      <c r="B283" s="11">
        <v>46109.0</v>
      </c>
      <c r="C283" s="12">
        <f>VLOOKUP(B:B,'Курс валют'!A:D,4,0)</f>
        <v>93.4247</v>
      </c>
      <c r="D283" s="13" t="s">
        <v>1214</v>
      </c>
      <c r="E283" s="59" t="s">
        <v>18</v>
      </c>
      <c r="F283" s="15">
        <v>1100.0</v>
      </c>
      <c r="G283" s="16">
        <v>1104.7</v>
      </c>
      <c r="H283" s="17">
        <v>0.0</v>
      </c>
      <c r="I283" s="16">
        <f t="shared" si="8"/>
        <v>4.7</v>
      </c>
      <c r="J283" s="18">
        <f t="shared" si="2"/>
        <v>0.4272727273</v>
      </c>
      <c r="K283" s="17">
        <v>2.28</v>
      </c>
      <c r="L283" s="19">
        <f t="shared" si="3"/>
        <v>0</v>
      </c>
      <c r="M283" s="20">
        <f t="shared" si="4"/>
        <v>213.008316</v>
      </c>
      <c r="N283" s="21">
        <f t="shared" si="5"/>
        <v>2.28</v>
      </c>
      <c r="O283" s="21">
        <f t="shared" si="6"/>
        <v>2508</v>
      </c>
      <c r="P283" s="22">
        <f t="shared" si="7"/>
        <v>234309.1476</v>
      </c>
    </row>
    <row r="284">
      <c r="B284" s="11">
        <v>46109.0</v>
      </c>
      <c r="C284" s="12">
        <f>VLOOKUP(B:B,'Курс валют'!A:D,4,0)</f>
        <v>93.4247</v>
      </c>
      <c r="D284" s="13" t="s">
        <v>1215</v>
      </c>
      <c r="E284" s="59" t="s">
        <v>18</v>
      </c>
      <c r="F284" s="15">
        <v>1100.0</v>
      </c>
      <c r="G284" s="16">
        <v>1104.7</v>
      </c>
      <c r="H284" s="17">
        <v>0.0</v>
      </c>
      <c r="I284" s="16">
        <f t="shared" si="8"/>
        <v>4.7</v>
      </c>
      <c r="J284" s="18">
        <f t="shared" si="2"/>
        <v>0.4272727273</v>
      </c>
      <c r="K284" s="17">
        <v>2.28</v>
      </c>
      <c r="L284" s="19">
        <f t="shared" si="3"/>
        <v>0</v>
      </c>
      <c r="M284" s="20">
        <f t="shared" si="4"/>
        <v>213.008316</v>
      </c>
      <c r="N284" s="21">
        <f t="shared" si="5"/>
        <v>2.28</v>
      </c>
      <c r="O284" s="21">
        <f t="shared" si="6"/>
        <v>2508</v>
      </c>
      <c r="P284" s="22">
        <f t="shared" si="7"/>
        <v>234309.1476</v>
      </c>
    </row>
    <row r="285">
      <c r="B285" s="11">
        <v>46109.0</v>
      </c>
      <c r="C285" s="12">
        <f>VLOOKUP(B:B,'Курс валют'!A:D,4,0)</f>
        <v>93.4247</v>
      </c>
      <c r="D285" s="13" t="s">
        <v>1216</v>
      </c>
      <c r="E285" s="59" t="s">
        <v>18</v>
      </c>
      <c r="F285" s="15">
        <v>1100.0</v>
      </c>
      <c r="G285" s="16">
        <v>1104.7</v>
      </c>
      <c r="H285" s="17">
        <v>0.0</v>
      </c>
      <c r="I285" s="16">
        <f t="shared" si="8"/>
        <v>4.7</v>
      </c>
      <c r="J285" s="18">
        <f t="shared" si="2"/>
        <v>0.4272727273</v>
      </c>
      <c r="K285" s="17">
        <v>2.28</v>
      </c>
      <c r="L285" s="19">
        <f t="shared" si="3"/>
        <v>0</v>
      </c>
      <c r="M285" s="20">
        <f t="shared" si="4"/>
        <v>213.008316</v>
      </c>
      <c r="N285" s="21">
        <f t="shared" si="5"/>
        <v>2.28</v>
      </c>
      <c r="O285" s="21">
        <f t="shared" si="6"/>
        <v>2508</v>
      </c>
      <c r="P285" s="22">
        <f t="shared" si="7"/>
        <v>234309.1476</v>
      </c>
    </row>
    <row r="286">
      <c r="B286" s="11">
        <v>46109.0</v>
      </c>
      <c r="C286" s="12">
        <f>VLOOKUP(B:B,'Курс валют'!A:D,4,0)</f>
        <v>93.4247</v>
      </c>
      <c r="D286" s="13" t="s">
        <v>1217</v>
      </c>
      <c r="E286" s="59" t="s">
        <v>18</v>
      </c>
      <c r="F286" s="15">
        <v>1100.0</v>
      </c>
      <c r="G286" s="16">
        <v>1104.7</v>
      </c>
      <c r="H286" s="17">
        <v>0.0</v>
      </c>
      <c r="I286" s="16">
        <f t="shared" si="8"/>
        <v>4.7</v>
      </c>
      <c r="J286" s="18">
        <f t="shared" si="2"/>
        <v>0.4272727273</v>
      </c>
      <c r="K286" s="17">
        <v>2.28</v>
      </c>
      <c r="L286" s="19">
        <f t="shared" si="3"/>
        <v>0</v>
      </c>
      <c r="M286" s="20">
        <f t="shared" si="4"/>
        <v>213.008316</v>
      </c>
      <c r="N286" s="21">
        <f t="shared" si="5"/>
        <v>2.28</v>
      </c>
      <c r="O286" s="21">
        <f t="shared" si="6"/>
        <v>2508</v>
      </c>
      <c r="P286" s="22">
        <f t="shared" si="7"/>
        <v>234309.1476</v>
      </c>
    </row>
    <row r="287">
      <c r="B287" s="11">
        <v>46109.0</v>
      </c>
      <c r="C287" s="12">
        <f>VLOOKUP(B:B,'Курс валют'!A:D,4,0)</f>
        <v>93.4247</v>
      </c>
      <c r="D287" s="13" t="s">
        <v>1218</v>
      </c>
      <c r="E287" s="59" t="s">
        <v>18</v>
      </c>
      <c r="F287" s="15">
        <v>1100.0</v>
      </c>
      <c r="G287" s="16">
        <v>1104.7</v>
      </c>
      <c r="H287" s="17">
        <v>0.0</v>
      </c>
      <c r="I287" s="16">
        <f t="shared" si="8"/>
        <v>4.7</v>
      </c>
      <c r="J287" s="18">
        <f t="shared" si="2"/>
        <v>0.4272727273</v>
      </c>
      <c r="K287" s="17">
        <v>2.29</v>
      </c>
      <c r="L287" s="19">
        <f t="shared" si="3"/>
        <v>0</v>
      </c>
      <c r="M287" s="20">
        <f t="shared" si="4"/>
        <v>213.942563</v>
      </c>
      <c r="N287" s="21">
        <f t="shared" si="5"/>
        <v>2.29</v>
      </c>
      <c r="O287" s="21">
        <f t="shared" si="6"/>
        <v>2519</v>
      </c>
      <c r="P287" s="22">
        <f t="shared" si="7"/>
        <v>235336.8193</v>
      </c>
    </row>
    <row r="288">
      <c r="B288" s="11">
        <v>46109.0</v>
      </c>
      <c r="C288" s="12">
        <f>VLOOKUP(B:B,'Курс валют'!A:D,4,0)</f>
        <v>93.4247</v>
      </c>
      <c r="D288" s="13" t="s">
        <v>1219</v>
      </c>
      <c r="E288" s="59" t="s">
        <v>128</v>
      </c>
      <c r="F288" s="15">
        <v>2200.0</v>
      </c>
      <c r="G288" s="16">
        <v>2235.79</v>
      </c>
      <c r="H288" s="17">
        <v>0.0</v>
      </c>
      <c r="I288" s="16">
        <f t="shared" si="8"/>
        <v>35.79</v>
      </c>
      <c r="J288" s="18">
        <f t="shared" si="2"/>
        <v>1.626818182</v>
      </c>
      <c r="K288" s="17">
        <v>2.0</v>
      </c>
      <c r="L288" s="19">
        <f t="shared" si="3"/>
        <v>0</v>
      </c>
      <c r="M288" s="20">
        <f t="shared" si="4"/>
        <v>186.8494</v>
      </c>
      <c r="N288" s="21">
        <f t="shared" si="5"/>
        <v>2</v>
      </c>
      <c r="O288" s="21">
        <f t="shared" si="6"/>
        <v>4400</v>
      </c>
      <c r="P288" s="22">
        <f t="shared" si="7"/>
        <v>411068.68</v>
      </c>
    </row>
    <row r="289">
      <c r="B289" s="11">
        <v>46109.0</v>
      </c>
      <c r="C289" s="12">
        <f>VLOOKUP(B:B,'Курс валют'!A:D,4,0)</f>
        <v>93.4247</v>
      </c>
      <c r="D289" s="13" t="s">
        <v>1220</v>
      </c>
      <c r="E289" s="59" t="s">
        <v>116</v>
      </c>
      <c r="F289" s="15">
        <v>60.0</v>
      </c>
      <c r="G289" s="15">
        <v>63.09</v>
      </c>
      <c r="H289" s="17">
        <v>0.0</v>
      </c>
      <c r="I289" s="15">
        <f t="shared" si="8"/>
        <v>3.09</v>
      </c>
      <c r="J289" s="18">
        <f t="shared" si="2"/>
        <v>5.15</v>
      </c>
      <c r="K289" s="17">
        <v>2.63</v>
      </c>
      <c r="L289" s="19">
        <f t="shared" si="3"/>
        <v>0</v>
      </c>
      <c r="M289" s="20">
        <f t="shared" si="4"/>
        <v>245.706961</v>
      </c>
      <c r="N289" s="21">
        <f t="shared" si="5"/>
        <v>2.63</v>
      </c>
      <c r="O289" s="21">
        <f t="shared" si="6"/>
        <v>157.8</v>
      </c>
      <c r="P289" s="22">
        <f t="shared" si="7"/>
        <v>14742.41766</v>
      </c>
    </row>
    <row r="290">
      <c r="B290" s="11">
        <v>46110.0</v>
      </c>
      <c r="C290" s="12">
        <f>VLOOKUP(B:B,'Курс валют'!A:D,4,0)</f>
        <v>93.4247</v>
      </c>
      <c r="D290" s="13" t="s">
        <v>1221</v>
      </c>
      <c r="E290" s="59" t="s">
        <v>81</v>
      </c>
      <c r="F290" s="15">
        <v>2000.0</v>
      </c>
      <c r="G290" s="16">
        <v>2060.45</v>
      </c>
      <c r="H290" s="17">
        <v>0.0</v>
      </c>
      <c r="I290" s="16">
        <f t="shared" si="8"/>
        <v>60.45</v>
      </c>
      <c r="J290" s="18">
        <f t="shared" si="2"/>
        <v>3.0225</v>
      </c>
      <c r="K290" s="17">
        <v>2.36</v>
      </c>
      <c r="L290" s="19">
        <f t="shared" si="3"/>
        <v>0</v>
      </c>
      <c r="M290" s="20">
        <f t="shared" si="4"/>
        <v>220.482292</v>
      </c>
      <c r="N290" s="21">
        <f t="shared" si="5"/>
        <v>2.36</v>
      </c>
      <c r="O290" s="21">
        <f t="shared" si="6"/>
        <v>4720</v>
      </c>
      <c r="P290" s="22">
        <f t="shared" si="7"/>
        <v>440964.584</v>
      </c>
    </row>
    <row r="291">
      <c r="B291" s="11">
        <v>46110.0</v>
      </c>
      <c r="C291" s="12">
        <f>VLOOKUP(B:B,'Курс валют'!A:D,4,0)</f>
        <v>93.4247</v>
      </c>
      <c r="D291" s="13" t="s">
        <v>1222</v>
      </c>
      <c r="E291" s="59" t="s">
        <v>115</v>
      </c>
      <c r="F291" s="15">
        <v>60.0</v>
      </c>
      <c r="G291" s="15">
        <v>63.0</v>
      </c>
      <c r="H291" s="17">
        <v>0.0</v>
      </c>
      <c r="I291" s="15">
        <f t="shared" si="8"/>
        <v>3</v>
      </c>
      <c r="J291" s="18">
        <f t="shared" si="2"/>
        <v>5</v>
      </c>
      <c r="K291" s="17">
        <v>2.82</v>
      </c>
      <c r="L291" s="19">
        <f t="shared" si="3"/>
        <v>0</v>
      </c>
      <c r="M291" s="20">
        <f t="shared" si="4"/>
        <v>263.457654</v>
      </c>
      <c r="N291" s="21">
        <f t="shared" si="5"/>
        <v>2.82</v>
      </c>
      <c r="O291" s="21">
        <f t="shared" si="6"/>
        <v>169.2</v>
      </c>
      <c r="P291" s="22">
        <f t="shared" si="7"/>
        <v>15807.45924</v>
      </c>
    </row>
    <row r="292">
      <c r="B292" s="11">
        <v>46110.0</v>
      </c>
      <c r="C292" s="12">
        <f>VLOOKUP(B:B,'Курс валют'!A:D,4,0)</f>
        <v>93.4247</v>
      </c>
      <c r="D292" s="13" t="s">
        <v>1223</v>
      </c>
      <c r="E292" s="59" t="s">
        <v>18</v>
      </c>
      <c r="F292" s="15">
        <v>1100.0</v>
      </c>
      <c r="G292" s="16">
        <v>1104.7</v>
      </c>
      <c r="H292" s="17">
        <v>0.0</v>
      </c>
      <c r="I292" s="16">
        <f t="shared" si="8"/>
        <v>4.7</v>
      </c>
      <c r="J292" s="18">
        <f t="shared" si="2"/>
        <v>0.4272727273</v>
      </c>
      <c r="K292" s="17">
        <v>2.29</v>
      </c>
      <c r="L292" s="19">
        <f t="shared" si="3"/>
        <v>0</v>
      </c>
      <c r="M292" s="20">
        <f t="shared" si="4"/>
        <v>213.942563</v>
      </c>
      <c r="N292" s="21">
        <f t="shared" si="5"/>
        <v>2.29</v>
      </c>
      <c r="O292" s="21">
        <f t="shared" si="6"/>
        <v>2519</v>
      </c>
      <c r="P292" s="22">
        <f t="shared" si="7"/>
        <v>235336.8193</v>
      </c>
    </row>
    <row r="293">
      <c r="B293" s="11">
        <v>46110.0</v>
      </c>
      <c r="C293" s="12">
        <f>VLOOKUP(B:B,'Курс валют'!A:D,4,0)</f>
        <v>93.4247</v>
      </c>
      <c r="D293" s="13" t="s">
        <v>1224</v>
      </c>
      <c r="E293" s="59" t="s">
        <v>18</v>
      </c>
      <c r="F293" s="15">
        <v>1100.0</v>
      </c>
      <c r="G293" s="16">
        <v>1104.7</v>
      </c>
      <c r="H293" s="17">
        <v>0.0</v>
      </c>
      <c r="I293" s="16">
        <f t="shared" si="8"/>
        <v>4.7</v>
      </c>
      <c r="J293" s="18">
        <f t="shared" si="2"/>
        <v>0.4272727273</v>
      </c>
      <c r="K293" s="17">
        <v>2.28</v>
      </c>
      <c r="L293" s="19">
        <f t="shared" si="3"/>
        <v>0</v>
      </c>
      <c r="M293" s="20">
        <f t="shared" si="4"/>
        <v>213.008316</v>
      </c>
      <c r="N293" s="21">
        <f t="shared" si="5"/>
        <v>2.28</v>
      </c>
      <c r="O293" s="21">
        <f t="shared" si="6"/>
        <v>2508</v>
      </c>
      <c r="P293" s="22">
        <f t="shared" si="7"/>
        <v>234309.1476</v>
      </c>
    </row>
    <row r="294">
      <c r="B294" s="11">
        <v>46110.0</v>
      </c>
      <c r="C294" s="12">
        <f>VLOOKUP(B:B,'Курс валют'!A:D,4,0)</f>
        <v>93.4247</v>
      </c>
      <c r="D294" s="13" t="s">
        <v>1225</v>
      </c>
      <c r="E294" s="59" t="s">
        <v>18</v>
      </c>
      <c r="F294" s="15">
        <v>1100.0</v>
      </c>
      <c r="G294" s="16">
        <v>1104.7</v>
      </c>
      <c r="H294" s="17">
        <v>0.0</v>
      </c>
      <c r="I294" s="16">
        <f t="shared" si="8"/>
        <v>4.7</v>
      </c>
      <c r="J294" s="18">
        <f t="shared" si="2"/>
        <v>0.4272727273</v>
      </c>
      <c r="K294" s="17">
        <v>2.28</v>
      </c>
      <c r="L294" s="19">
        <f t="shared" si="3"/>
        <v>0</v>
      </c>
      <c r="M294" s="20">
        <f t="shared" si="4"/>
        <v>213.008316</v>
      </c>
      <c r="N294" s="21">
        <f t="shared" si="5"/>
        <v>2.28</v>
      </c>
      <c r="O294" s="21">
        <f t="shared" si="6"/>
        <v>2508</v>
      </c>
      <c r="P294" s="22">
        <f t="shared" si="7"/>
        <v>234309.1476</v>
      </c>
    </row>
    <row r="295">
      <c r="B295" s="11">
        <v>46110.0</v>
      </c>
      <c r="C295" s="12">
        <f>VLOOKUP(B:B,'Курс валют'!A:D,4,0)</f>
        <v>93.4247</v>
      </c>
      <c r="D295" s="13" t="s">
        <v>1226</v>
      </c>
      <c r="E295" s="59" t="s">
        <v>18</v>
      </c>
      <c r="F295" s="15">
        <v>1100.0</v>
      </c>
      <c r="G295" s="16">
        <v>1104.7</v>
      </c>
      <c r="H295" s="17">
        <v>0.0</v>
      </c>
      <c r="I295" s="16">
        <f t="shared" si="8"/>
        <v>4.7</v>
      </c>
      <c r="J295" s="18">
        <f t="shared" si="2"/>
        <v>0.4272727273</v>
      </c>
      <c r="K295" s="17">
        <v>2.29</v>
      </c>
      <c r="L295" s="19">
        <f t="shared" si="3"/>
        <v>0</v>
      </c>
      <c r="M295" s="20">
        <f t="shared" si="4"/>
        <v>213.942563</v>
      </c>
      <c r="N295" s="21">
        <f t="shared" si="5"/>
        <v>2.29</v>
      </c>
      <c r="O295" s="21">
        <f t="shared" si="6"/>
        <v>2519</v>
      </c>
      <c r="P295" s="22">
        <f t="shared" si="7"/>
        <v>235336.8193</v>
      </c>
    </row>
    <row r="296">
      <c r="B296" s="11">
        <v>46110.0</v>
      </c>
      <c r="C296" s="12">
        <f>VLOOKUP(B:B,'Курс валют'!A:D,4,0)</f>
        <v>93.4247</v>
      </c>
      <c r="D296" s="13" t="s">
        <v>1227</v>
      </c>
      <c r="E296" s="59" t="s">
        <v>18</v>
      </c>
      <c r="F296" s="15">
        <v>1100.0</v>
      </c>
      <c r="G296" s="16">
        <v>1104.7</v>
      </c>
      <c r="H296" s="17">
        <v>0.0</v>
      </c>
      <c r="I296" s="16">
        <f t="shared" si="8"/>
        <v>4.7</v>
      </c>
      <c r="J296" s="18">
        <f t="shared" si="2"/>
        <v>0.4272727273</v>
      </c>
      <c r="K296" s="17">
        <v>2.28</v>
      </c>
      <c r="L296" s="19">
        <f t="shared" si="3"/>
        <v>0</v>
      </c>
      <c r="M296" s="20">
        <f t="shared" si="4"/>
        <v>213.008316</v>
      </c>
      <c r="N296" s="21">
        <f t="shared" si="5"/>
        <v>2.28</v>
      </c>
      <c r="O296" s="21">
        <f t="shared" si="6"/>
        <v>2508</v>
      </c>
      <c r="P296" s="22">
        <f t="shared" si="7"/>
        <v>234309.1476</v>
      </c>
    </row>
    <row r="297">
      <c r="B297" s="11">
        <v>46110.0</v>
      </c>
      <c r="C297" s="12">
        <f>VLOOKUP(B:B,'Курс валют'!A:D,4,0)</f>
        <v>93.4247</v>
      </c>
      <c r="D297" s="13" t="s">
        <v>1228</v>
      </c>
      <c r="E297" s="59" t="s">
        <v>18</v>
      </c>
      <c r="F297" s="15">
        <v>1100.0</v>
      </c>
      <c r="G297" s="16">
        <v>1104.7</v>
      </c>
      <c r="H297" s="17">
        <v>0.0</v>
      </c>
      <c r="I297" s="16">
        <f t="shared" si="8"/>
        <v>4.7</v>
      </c>
      <c r="J297" s="18">
        <f t="shared" si="2"/>
        <v>0.4272727273</v>
      </c>
      <c r="K297" s="17">
        <v>2.28</v>
      </c>
      <c r="L297" s="19">
        <f t="shared" si="3"/>
        <v>0</v>
      </c>
      <c r="M297" s="20">
        <f t="shared" si="4"/>
        <v>213.008316</v>
      </c>
      <c r="N297" s="21">
        <f t="shared" si="5"/>
        <v>2.28</v>
      </c>
      <c r="O297" s="21">
        <f t="shared" si="6"/>
        <v>2508</v>
      </c>
      <c r="P297" s="22">
        <f t="shared" si="7"/>
        <v>234309.1476</v>
      </c>
    </row>
    <row r="298">
      <c r="B298" s="11">
        <v>46110.0</v>
      </c>
      <c r="C298" s="12">
        <f>VLOOKUP(B:B,'Курс валют'!A:D,4,0)</f>
        <v>93.4247</v>
      </c>
      <c r="D298" s="13" t="s">
        <v>1229</v>
      </c>
      <c r="E298" s="59" t="s">
        <v>18</v>
      </c>
      <c r="F298" s="15">
        <v>1100.0</v>
      </c>
      <c r="G298" s="16">
        <v>1104.7</v>
      </c>
      <c r="H298" s="17">
        <v>0.0</v>
      </c>
      <c r="I298" s="16">
        <f t="shared" si="8"/>
        <v>4.7</v>
      </c>
      <c r="J298" s="18">
        <f t="shared" si="2"/>
        <v>0.4272727273</v>
      </c>
      <c r="K298" s="17">
        <v>2.28</v>
      </c>
      <c r="L298" s="19">
        <f t="shared" si="3"/>
        <v>0</v>
      </c>
      <c r="M298" s="20">
        <f t="shared" si="4"/>
        <v>213.008316</v>
      </c>
      <c r="N298" s="21">
        <f t="shared" si="5"/>
        <v>2.28</v>
      </c>
      <c r="O298" s="21">
        <f t="shared" si="6"/>
        <v>2508</v>
      </c>
      <c r="P298" s="22">
        <f t="shared" si="7"/>
        <v>234309.1476</v>
      </c>
    </row>
    <row r="299">
      <c r="B299" s="11">
        <v>46110.0</v>
      </c>
      <c r="C299" s="12">
        <f>VLOOKUP(B:B,'Курс валют'!A:D,4,0)</f>
        <v>93.4247</v>
      </c>
      <c r="D299" s="13" t="s">
        <v>1230</v>
      </c>
      <c r="E299" s="59" t="s">
        <v>18</v>
      </c>
      <c r="F299" s="15">
        <v>1100.0</v>
      </c>
      <c r="G299" s="16">
        <v>1104.7</v>
      </c>
      <c r="H299" s="17">
        <v>0.0</v>
      </c>
      <c r="I299" s="16">
        <f t="shared" si="8"/>
        <v>4.7</v>
      </c>
      <c r="J299" s="18">
        <f t="shared" si="2"/>
        <v>0.4272727273</v>
      </c>
      <c r="K299" s="17">
        <v>2.29</v>
      </c>
      <c r="L299" s="19">
        <f t="shared" si="3"/>
        <v>0</v>
      </c>
      <c r="M299" s="20">
        <f t="shared" si="4"/>
        <v>213.942563</v>
      </c>
      <c r="N299" s="21">
        <f t="shared" si="5"/>
        <v>2.29</v>
      </c>
      <c r="O299" s="21">
        <f t="shared" si="6"/>
        <v>2519</v>
      </c>
      <c r="P299" s="22">
        <f t="shared" si="7"/>
        <v>235336.8193</v>
      </c>
    </row>
    <row r="300">
      <c r="B300" s="11">
        <v>46110.0</v>
      </c>
      <c r="C300" s="12">
        <f>VLOOKUP(B:B,'Курс валют'!A:D,4,0)</f>
        <v>93.4247</v>
      </c>
      <c r="D300" s="13" t="s">
        <v>1231</v>
      </c>
      <c r="E300" s="59" t="s">
        <v>18</v>
      </c>
      <c r="F300" s="15">
        <v>1100.0</v>
      </c>
      <c r="G300" s="16">
        <v>1104.7</v>
      </c>
      <c r="H300" s="17">
        <v>0.0</v>
      </c>
      <c r="I300" s="16">
        <f t="shared" si="8"/>
        <v>4.7</v>
      </c>
      <c r="J300" s="18">
        <f t="shared" si="2"/>
        <v>0.4272727273</v>
      </c>
      <c r="K300" s="17">
        <v>2.28</v>
      </c>
      <c r="L300" s="19">
        <f t="shared" si="3"/>
        <v>0</v>
      </c>
      <c r="M300" s="20">
        <f t="shared" si="4"/>
        <v>213.008316</v>
      </c>
      <c r="N300" s="21">
        <f t="shared" si="5"/>
        <v>2.28</v>
      </c>
      <c r="O300" s="21">
        <f t="shared" si="6"/>
        <v>2508</v>
      </c>
      <c r="P300" s="22">
        <f t="shared" si="7"/>
        <v>234309.1476</v>
      </c>
    </row>
    <row r="301">
      <c r="B301" s="11">
        <v>46110.0</v>
      </c>
      <c r="C301" s="12">
        <f>VLOOKUP(B:B,'Курс валют'!A:D,4,0)</f>
        <v>93.4247</v>
      </c>
      <c r="D301" s="13" t="s">
        <v>1232</v>
      </c>
      <c r="E301" s="59" t="s">
        <v>18</v>
      </c>
      <c r="F301" s="15">
        <v>1100.0</v>
      </c>
      <c r="G301" s="16">
        <v>1104.7</v>
      </c>
      <c r="H301" s="17">
        <v>0.0</v>
      </c>
      <c r="I301" s="16">
        <f t="shared" si="8"/>
        <v>4.7</v>
      </c>
      <c r="J301" s="18">
        <f t="shared" si="2"/>
        <v>0.4272727273</v>
      </c>
      <c r="K301" s="17">
        <v>2.29</v>
      </c>
      <c r="L301" s="19">
        <f t="shared" si="3"/>
        <v>0</v>
      </c>
      <c r="M301" s="20">
        <f t="shared" si="4"/>
        <v>213.942563</v>
      </c>
      <c r="N301" s="21">
        <f t="shared" si="5"/>
        <v>2.29</v>
      </c>
      <c r="O301" s="21">
        <f t="shared" si="6"/>
        <v>2519</v>
      </c>
      <c r="P301" s="22">
        <f t="shared" si="7"/>
        <v>235336.8193</v>
      </c>
    </row>
    <row r="302">
      <c r="B302" s="11">
        <v>46111.0</v>
      </c>
      <c r="C302" s="12">
        <f>VLOOKUP(B:B,'Курс валют'!A:D,4,0)</f>
        <v>93.4247</v>
      </c>
      <c r="D302" s="13" t="s">
        <v>1233</v>
      </c>
      <c r="E302" s="59" t="s">
        <v>61</v>
      </c>
      <c r="F302" s="15">
        <v>1100.0</v>
      </c>
      <c r="G302" s="16">
        <v>1105.51</v>
      </c>
      <c r="H302" s="17">
        <v>0.0</v>
      </c>
      <c r="I302" s="16">
        <f t="shared" si="8"/>
        <v>5.51</v>
      </c>
      <c r="J302" s="18">
        <f t="shared" si="2"/>
        <v>0.5009090909</v>
      </c>
      <c r="K302" s="17">
        <v>2.36</v>
      </c>
      <c r="L302" s="19">
        <f t="shared" si="3"/>
        <v>0</v>
      </c>
      <c r="M302" s="20">
        <f t="shared" si="4"/>
        <v>220.482292</v>
      </c>
      <c r="N302" s="21">
        <f t="shared" si="5"/>
        <v>2.36</v>
      </c>
      <c r="O302" s="21">
        <f t="shared" si="6"/>
        <v>2596</v>
      </c>
      <c r="P302" s="22">
        <f t="shared" si="7"/>
        <v>242530.5212</v>
      </c>
    </row>
    <row r="303">
      <c r="B303" s="11">
        <v>46111.0</v>
      </c>
      <c r="C303" s="12">
        <f>VLOOKUP(B:B,'Курс валют'!A:D,4,0)</f>
        <v>93.4247</v>
      </c>
      <c r="D303" s="13" t="s">
        <v>1234</v>
      </c>
      <c r="E303" s="59" t="s">
        <v>61</v>
      </c>
      <c r="F303" s="15">
        <v>1100.0</v>
      </c>
      <c r="G303" s="16">
        <v>1105.51</v>
      </c>
      <c r="H303" s="17">
        <v>0.0</v>
      </c>
      <c r="I303" s="16">
        <f t="shared" si="8"/>
        <v>5.51</v>
      </c>
      <c r="J303" s="18">
        <f t="shared" si="2"/>
        <v>0.5009090909</v>
      </c>
      <c r="K303" s="17">
        <v>2.35</v>
      </c>
      <c r="L303" s="19">
        <f t="shared" si="3"/>
        <v>0</v>
      </c>
      <c r="M303" s="20">
        <f t="shared" si="4"/>
        <v>219.548045</v>
      </c>
      <c r="N303" s="21">
        <f t="shared" si="5"/>
        <v>2.35</v>
      </c>
      <c r="O303" s="21">
        <f t="shared" si="6"/>
        <v>2585</v>
      </c>
      <c r="P303" s="22">
        <f t="shared" si="7"/>
        <v>241502.8495</v>
      </c>
    </row>
    <row r="304">
      <c r="B304" s="11">
        <v>46111.0</v>
      </c>
      <c r="C304" s="12">
        <f>VLOOKUP(B:B,'Курс валют'!A:D,4,0)</f>
        <v>93.4247</v>
      </c>
      <c r="D304" s="13" t="s">
        <v>1235</v>
      </c>
      <c r="E304" s="59" t="s">
        <v>61</v>
      </c>
      <c r="F304" s="15">
        <v>1100.0</v>
      </c>
      <c r="G304" s="16">
        <v>1105.51</v>
      </c>
      <c r="H304" s="17">
        <v>0.0</v>
      </c>
      <c r="I304" s="16">
        <f t="shared" si="8"/>
        <v>5.51</v>
      </c>
      <c r="J304" s="18">
        <f t="shared" si="2"/>
        <v>0.5009090909</v>
      </c>
      <c r="K304" s="17">
        <v>2.35</v>
      </c>
      <c r="L304" s="19">
        <f t="shared" si="3"/>
        <v>0</v>
      </c>
      <c r="M304" s="20">
        <f t="shared" si="4"/>
        <v>219.548045</v>
      </c>
      <c r="N304" s="21">
        <f t="shared" si="5"/>
        <v>2.35</v>
      </c>
      <c r="O304" s="21">
        <f t="shared" si="6"/>
        <v>2585</v>
      </c>
      <c r="P304" s="22">
        <f t="shared" si="7"/>
        <v>241502.8495</v>
      </c>
    </row>
    <row r="305">
      <c r="B305" s="11">
        <v>46111.0</v>
      </c>
      <c r="C305" s="12">
        <f>VLOOKUP(B:B,'Курс валют'!A:D,4,0)</f>
        <v>93.4247</v>
      </c>
      <c r="D305" s="13" t="s">
        <v>1236</v>
      </c>
      <c r="E305" s="59" t="s">
        <v>61</v>
      </c>
      <c r="F305" s="15">
        <v>1100.0</v>
      </c>
      <c r="G305" s="16">
        <v>1105.51</v>
      </c>
      <c r="H305" s="17">
        <v>0.0</v>
      </c>
      <c r="I305" s="16">
        <f t="shared" si="8"/>
        <v>5.51</v>
      </c>
      <c r="J305" s="18">
        <f t="shared" si="2"/>
        <v>0.5009090909</v>
      </c>
      <c r="K305" s="17">
        <v>2.36</v>
      </c>
      <c r="L305" s="19">
        <f t="shared" si="3"/>
        <v>0</v>
      </c>
      <c r="M305" s="20">
        <f t="shared" si="4"/>
        <v>220.482292</v>
      </c>
      <c r="N305" s="21">
        <f t="shared" si="5"/>
        <v>2.36</v>
      </c>
      <c r="O305" s="21">
        <f t="shared" si="6"/>
        <v>2596</v>
      </c>
      <c r="P305" s="22">
        <f t="shared" si="7"/>
        <v>242530.5212</v>
      </c>
    </row>
    <row r="306">
      <c r="B306" s="11">
        <v>46111.0</v>
      </c>
      <c r="C306" s="12">
        <f>VLOOKUP(B:B,'Курс валют'!A:D,4,0)</f>
        <v>93.4247</v>
      </c>
      <c r="D306" s="13" t="s">
        <v>1237</v>
      </c>
      <c r="E306" s="59" t="s">
        <v>61</v>
      </c>
      <c r="F306" s="15">
        <v>1100.0</v>
      </c>
      <c r="G306" s="16">
        <v>1105.51</v>
      </c>
      <c r="H306" s="17">
        <v>0.0</v>
      </c>
      <c r="I306" s="16">
        <f t="shared" si="8"/>
        <v>5.51</v>
      </c>
      <c r="J306" s="18">
        <f t="shared" si="2"/>
        <v>0.5009090909</v>
      </c>
      <c r="K306" s="17">
        <v>2.35</v>
      </c>
      <c r="L306" s="19">
        <f t="shared" si="3"/>
        <v>0</v>
      </c>
      <c r="M306" s="20">
        <f t="shared" si="4"/>
        <v>219.548045</v>
      </c>
      <c r="N306" s="21">
        <f t="shared" si="5"/>
        <v>2.35</v>
      </c>
      <c r="O306" s="21">
        <f t="shared" si="6"/>
        <v>2585</v>
      </c>
      <c r="P306" s="22">
        <f t="shared" si="7"/>
        <v>241502.8495</v>
      </c>
    </row>
    <row r="307">
      <c r="B307" s="11">
        <v>46111.0</v>
      </c>
      <c r="C307" s="12">
        <f>VLOOKUP(B:B,'Курс валют'!A:D,4,0)</f>
        <v>93.4247</v>
      </c>
      <c r="D307" s="13" t="s">
        <v>1238</v>
      </c>
      <c r="E307" s="59" t="s">
        <v>61</v>
      </c>
      <c r="F307" s="15">
        <v>1100.0</v>
      </c>
      <c r="G307" s="16">
        <v>1105.51</v>
      </c>
      <c r="H307" s="17">
        <v>0.0</v>
      </c>
      <c r="I307" s="16">
        <f t="shared" si="8"/>
        <v>5.51</v>
      </c>
      <c r="J307" s="18">
        <f t="shared" si="2"/>
        <v>0.5009090909</v>
      </c>
      <c r="K307" s="17">
        <v>2.35</v>
      </c>
      <c r="L307" s="19">
        <f t="shared" si="3"/>
        <v>0</v>
      </c>
      <c r="M307" s="20">
        <f t="shared" si="4"/>
        <v>219.548045</v>
      </c>
      <c r="N307" s="21">
        <f t="shared" si="5"/>
        <v>2.35</v>
      </c>
      <c r="O307" s="21">
        <f t="shared" si="6"/>
        <v>2585</v>
      </c>
      <c r="P307" s="22">
        <f t="shared" si="7"/>
        <v>241502.8495</v>
      </c>
    </row>
    <row r="308">
      <c r="B308" s="11">
        <v>46111.0</v>
      </c>
      <c r="C308" s="12">
        <f>VLOOKUP(B:B,'Курс валют'!A:D,4,0)</f>
        <v>93.4247</v>
      </c>
      <c r="D308" s="13" t="s">
        <v>1239</v>
      </c>
      <c r="E308" s="59" t="s">
        <v>61</v>
      </c>
      <c r="F308" s="15">
        <v>1100.0</v>
      </c>
      <c r="G308" s="16">
        <v>1105.51</v>
      </c>
      <c r="H308" s="17">
        <v>0.0</v>
      </c>
      <c r="I308" s="16">
        <f t="shared" si="8"/>
        <v>5.51</v>
      </c>
      <c r="J308" s="18">
        <f t="shared" si="2"/>
        <v>0.5009090909</v>
      </c>
      <c r="K308" s="17">
        <v>2.35</v>
      </c>
      <c r="L308" s="19">
        <f t="shared" si="3"/>
        <v>0</v>
      </c>
      <c r="M308" s="20">
        <f t="shared" si="4"/>
        <v>219.548045</v>
      </c>
      <c r="N308" s="21">
        <f t="shared" si="5"/>
        <v>2.35</v>
      </c>
      <c r="O308" s="21">
        <f t="shared" si="6"/>
        <v>2585</v>
      </c>
      <c r="P308" s="22">
        <f t="shared" si="7"/>
        <v>241502.8495</v>
      </c>
    </row>
    <row r="309">
      <c r="B309" s="11">
        <v>46111.0</v>
      </c>
      <c r="C309" s="12">
        <f>VLOOKUP(B:B,'Курс валют'!A:D,4,0)</f>
        <v>93.4247</v>
      </c>
      <c r="D309" s="13" t="s">
        <v>1240</v>
      </c>
      <c r="E309" s="59" t="s">
        <v>129</v>
      </c>
      <c r="F309" s="15">
        <v>23.18</v>
      </c>
      <c r="G309" s="15">
        <v>23.18</v>
      </c>
      <c r="H309" s="17">
        <v>0.0</v>
      </c>
      <c r="I309" s="15">
        <f t="shared" si="8"/>
        <v>0</v>
      </c>
      <c r="J309" s="18">
        <f t="shared" si="2"/>
        <v>0</v>
      </c>
      <c r="K309" s="17">
        <v>1.98</v>
      </c>
      <c r="L309" s="19">
        <f t="shared" si="3"/>
        <v>0</v>
      </c>
      <c r="M309" s="20">
        <f t="shared" si="4"/>
        <v>184.980906</v>
      </c>
      <c r="N309" s="21">
        <f t="shared" si="5"/>
        <v>1.98</v>
      </c>
      <c r="O309" s="21">
        <f t="shared" si="6"/>
        <v>45.8964</v>
      </c>
      <c r="P309" s="22">
        <f t="shared" si="7"/>
        <v>4287.857401</v>
      </c>
      <c r="R309" s="42" t="s">
        <v>1241</v>
      </c>
    </row>
    <row r="310">
      <c r="B310" s="11">
        <v>46111.0</v>
      </c>
      <c r="C310" s="12">
        <f>VLOOKUP(B:B,'Курс валют'!A:D,4,0)</f>
        <v>93.4247</v>
      </c>
      <c r="D310" s="13" t="s">
        <v>1242</v>
      </c>
      <c r="E310" s="59" t="s">
        <v>61</v>
      </c>
      <c r="F310" s="15">
        <v>1100.0</v>
      </c>
      <c r="G310" s="16">
        <v>1105.51</v>
      </c>
      <c r="H310" s="17">
        <v>0.0</v>
      </c>
      <c r="I310" s="16">
        <f t="shared" si="8"/>
        <v>5.51</v>
      </c>
      <c r="J310" s="18">
        <f t="shared" si="2"/>
        <v>0.5009090909</v>
      </c>
      <c r="K310" s="17">
        <v>2.36</v>
      </c>
      <c r="L310" s="19">
        <f t="shared" si="3"/>
        <v>0</v>
      </c>
      <c r="M310" s="20">
        <f t="shared" si="4"/>
        <v>220.482292</v>
      </c>
      <c r="N310" s="21">
        <f t="shared" si="5"/>
        <v>2.36</v>
      </c>
      <c r="O310" s="21">
        <f t="shared" si="6"/>
        <v>2596</v>
      </c>
      <c r="P310" s="22">
        <f t="shared" si="7"/>
        <v>242530.5212</v>
      </c>
    </row>
    <row r="311">
      <c r="B311" s="11">
        <v>46111.0</v>
      </c>
      <c r="C311" s="12">
        <f>VLOOKUP(B:B,'Курс валют'!A:D,4,0)</f>
        <v>93.4247</v>
      </c>
      <c r="D311" s="13" t="s">
        <v>1243</v>
      </c>
      <c r="E311" s="59" t="s">
        <v>61</v>
      </c>
      <c r="F311" s="15">
        <v>1100.0</v>
      </c>
      <c r="G311" s="16">
        <v>1105.51</v>
      </c>
      <c r="H311" s="17">
        <v>0.0</v>
      </c>
      <c r="I311" s="16">
        <f t="shared" si="8"/>
        <v>5.51</v>
      </c>
      <c r="J311" s="18">
        <f t="shared" si="2"/>
        <v>0.5009090909</v>
      </c>
      <c r="K311" s="17">
        <v>2.35</v>
      </c>
      <c r="L311" s="19">
        <f t="shared" si="3"/>
        <v>0</v>
      </c>
      <c r="M311" s="20">
        <f t="shared" si="4"/>
        <v>219.548045</v>
      </c>
      <c r="N311" s="21">
        <f t="shared" si="5"/>
        <v>2.35</v>
      </c>
      <c r="O311" s="21">
        <f t="shared" si="6"/>
        <v>2585</v>
      </c>
      <c r="P311" s="22">
        <f t="shared" si="7"/>
        <v>241502.8495</v>
      </c>
    </row>
    <row r="312">
      <c r="B312" s="11">
        <v>46111.0</v>
      </c>
      <c r="C312" s="12">
        <f>VLOOKUP(B:B,'Курс валют'!A:D,4,0)</f>
        <v>93.4247</v>
      </c>
      <c r="D312" s="13" t="s">
        <v>1244</v>
      </c>
      <c r="E312" s="59" t="s">
        <v>61</v>
      </c>
      <c r="F312" s="15">
        <v>1100.0</v>
      </c>
      <c r="G312" s="16">
        <v>1105.51</v>
      </c>
      <c r="H312" s="17">
        <v>0.0</v>
      </c>
      <c r="I312" s="16">
        <f t="shared" si="8"/>
        <v>5.51</v>
      </c>
      <c r="J312" s="18">
        <f t="shared" si="2"/>
        <v>0.5009090909</v>
      </c>
      <c r="K312" s="17">
        <v>2.35</v>
      </c>
      <c r="L312" s="19">
        <f t="shared" si="3"/>
        <v>0</v>
      </c>
      <c r="M312" s="20">
        <f t="shared" si="4"/>
        <v>219.548045</v>
      </c>
      <c r="N312" s="21">
        <f t="shared" si="5"/>
        <v>2.35</v>
      </c>
      <c r="O312" s="21">
        <f t="shared" si="6"/>
        <v>2585</v>
      </c>
      <c r="P312" s="22">
        <f t="shared" si="7"/>
        <v>241502.8495</v>
      </c>
    </row>
    <row r="313">
      <c r="B313" s="11">
        <v>46111.0</v>
      </c>
      <c r="C313" s="12">
        <f>VLOOKUP(B:B,'Курс валют'!A:D,4,0)</f>
        <v>93.4247</v>
      </c>
      <c r="D313" s="13" t="s">
        <v>1245</v>
      </c>
      <c r="E313" s="59" t="s">
        <v>81</v>
      </c>
      <c r="F313" s="15">
        <v>2000.0</v>
      </c>
      <c r="G313" s="16">
        <v>2060.45</v>
      </c>
      <c r="H313" s="17">
        <v>0.0</v>
      </c>
      <c r="I313" s="16">
        <f t="shared" si="8"/>
        <v>60.45</v>
      </c>
      <c r="J313" s="18">
        <f t="shared" si="2"/>
        <v>3.0225</v>
      </c>
      <c r="K313" s="17">
        <v>2.36</v>
      </c>
      <c r="L313" s="19">
        <f t="shared" si="3"/>
        <v>0</v>
      </c>
      <c r="M313" s="20">
        <f t="shared" si="4"/>
        <v>220.482292</v>
      </c>
      <c r="N313" s="21">
        <f t="shared" si="5"/>
        <v>2.36</v>
      </c>
      <c r="O313" s="21">
        <f t="shared" si="6"/>
        <v>4720</v>
      </c>
      <c r="P313" s="22">
        <f t="shared" si="7"/>
        <v>440964.584</v>
      </c>
    </row>
    <row r="314">
      <c r="B314" s="11">
        <v>46112.0</v>
      </c>
      <c r="C314" s="12">
        <f>VLOOKUP(B:B,'Курс валют'!A:D,4,0)</f>
        <v>93.4369</v>
      </c>
      <c r="D314" s="13" t="s">
        <v>1246</v>
      </c>
      <c r="E314" s="59" t="s">
        <v>18</v>
      </c>
      <c r="F314" s="15">
        <v>1100.0</v>
      </c>
      <c r="G314" s="16">
        <v>1107.7</v>
      </c>
      <c r="H314" s="17">
        <v>0.0</v>
      </c>
      <c r="I314" s="16">
        <f t="shared" si="8"/>
        <v>7.7</v>
      </c>
      <c r="J314" s="18">
        <f t="shared" si="2"/>
        <v>0.7</v>
      </c>
      <c r="K314" s="17">
        <v>2.28</v>
      </c>
      <c r="L314" s="19">
        <f t="shared" si="3"/>
        <v>0</v>
      </c>
      <c r="M314" s="20">
        <f t="shared" si="4"/>
        <v>213.036132</v>
      </c>
      <c r="N314" s="21">
        <f t="shared" si="5"/>
        <v>2.28</v>
      </c>
      <c r="O314" s="21">
        <f t="shared" si="6"/>
        <v>2508</v>
      </c>
      <c r="P314" s="22">
        <f t="shared" si="7"/>
        <v>234339.7452</v>
      </c>
    </row>
    <row r="315">
      <c r="B315" s="11">
        <v>46112.0</v>
      </c>
      <c r="C315" s="12">
        <f>VLOOKUP(B:B,'Курс валют'!A:D,4,0)</f>
        <v>93.4369</v>
      </c>
      <c r="D315" s="13" t="s">
        <v>1247</v>
      </c>
      <c r="E315" s="59" t="s">
        <v>18</v>
      </c>
      <c r="F315" s="15">
        <v>1100.0</v>
      </c>
      <c r="G315" s="16">
        <v>1107.7</v>
      </c>
      <c r="H315" s="17">
        <v>0.0</v>
      </c>
      <c r="I315" s="16">
        <f t="shared" si="8"/>
        <v>7.7</v>
      </c>
      <c r="J315" s="18">
        <f t="shared" si="2"/>
        <v>0.7</v>
      </c>
      <c r="K315" s="17">
        <v>2.27</v>
      </c>
      <c r="L315" s="19">
        <f t="shared" si="3"/>
        <v>0</v>
      </c>
      <c r="M315" s="20">
        <f t="shared" si="4"/>
        <v>212.101763</v>
      </c>
      <c r="N315" s="21">
        <f t="shared" si="5"/>
        <v>2.27</v>
      </c>
      <c r="O315" s="21">
        <f t="shared" si="6"/>
        <v>2497</v>
      </c>
      <c r="P315" s="22">
        <f t="shared" si="7"/>
        <v>233311.9393</v>
      </c>
    </row>
    <row r="316">
      <c r="B316" s="11">
        <v>46112.0</v>
      </c>
      <c r="C316" s="12">
        <f>VLOOKUP(B:B,'Курс валют'!A:D,4,0)</f>
        <v>93.4369</v>
      </c>
      <c r="D316" s="13" t="s">
        <v>1248</v>
      </c>
      <c r="E316" s="59" t="s">
        <v>18</v>
      </c>
      <c r="F316" s="15">
        <v>1100.0</v>
      </c>
      <c r="G316" s="16">
        <v>1107.7</v>
      </c>
      <c r="H316" s="17">
        <v>0.0</v>
      </c>
      <c r="I316" s="16">
        <f t="shared" si="8"/>
        <v>7.7</v>
      </c>
      <c r="J316" s="18">
        <f t="shared" si="2"/>
        <v>0.7</v>
      </c>
      <c r="K316" s="17">
        <v>2.28</v>
      </c>
      <c r="L316" s="19">
        <f t="shared" si="3"/>
        <v>0</v>
      </c>
      <c r="M316" s="20">
        <f t="shared" si="4"/>
        <v>213.036132</v>
      </c>
      <c r="N316" s="21">
        <f t="shared" si="5"/>
        <v>2.28</v>
      </c>
      <c r="O316" s="21">
        <f t="shared" si="6"/>
        <v>2508</v>
      </c>
      <c r="P316" s="22">
        <f t="shared" si="7"/>
        <v>234339.7452</v>
      </c>
    </row>
    <row r="317">
      <c r="B317" s="11">
        <v>46112.0</v>
      </c>
      <c r="C317" s="12">
        <f>VLOOKUP(B:B,'Курс валют'!A:D,4,0)</f>
        <v>93.4369</v>
      </c>
      <c r="D317" s="13" t="s">
        <v>1249</v>
      </c>
      <c r="E317" s="59" t="s">
        <v>18</v>
      </c>
      <c r="F317" s="15">
        <v>1100.0</v>
      </c>
      <c r="G317" s="16">
        <v>1107.7</v>
      </c>
      <c r="H317" s="17">
        <v>0.0</v>
      </c>
      <c r="I317" s="16">
        <f t="shared" si="8"/>
        <v>7.7</v>
      </c>
      <c r="J317" s="18">
        <f t="shared" si="2"/>
        <v>0.7</v>
      </c>
      <c r="K317" s="17">
        <v>2.27</v>
      </c>
      <c r="L317" s="19">
        <f t="shared" si="3"/>
        <v>0</v>
      </c>
      <c r="M317" s="20">
        <f t="shared" si="4"/>
        <v>212.101763</v>
      </c>
      <c r="N317" s="21">
        <f t="shared" si="5"/>
        <v>2.27</v>
      </c>
      <c r="O317" s="21">
        <f t="shared" si="6"/>
        <v>2497</v>
      </c>
      <c r="P317" s="22">
        <f t="shared" si="7"/>
        <v>233311.9393</v>
      </c>
    </row>
    <row r="318">
      <c r="B318" s="11">
        <v>46112.0</v>
      </c>
      <c r="C318" s="12">
        <f>VLOOKUP(B:B,'Курс валют'!A:D,4,0)</f>
        <v>93.4369</v>
      </c>
      <c r="D318" s="13" t="s">
        <v>1250</v>
      </c>
      <c r="E318" s="59" t="s">
        <v>18</v>
      </c>
      <c r="F318" s="15">
        <v>1100.0</v>
      </c>
      <c r="G318" s="16">
        <v>1107.7</v>
      </c>
      <c r="H318" s="17">
        <v>0.0</v>
      </c>
      <c r="I318" s="16">
        <f t="shared" si="8"/>
        <v>7.7</v>
      </c>
      <c r="J318" s="18">
        <f t="shared" si="2"/>
        <v>0.7</v>
      </c>
      <c r="K318" s="17">
        <v>2.28</v>
      </c>
      <c r="L318" s="19">
        <f t="shared" si="3"/>
        <v>0</v>
      </c>
      <c r="M318" s="20">
        <f t="shared" si="4"/>
        <v>213.036132</v>
      </c>
      <c r="N318" s="21">
        <f t="shared" si="5"/>
        <v>2.28</v>
      </c>
      <c r="O318" s="21">
        <f t="shared" si="6"/>
        <v>2508</v>
      </c>
      <c r="P318" s="22">
        <f t="shared" si="7"/>
        <v>234339.7452</v>
      </c>
    </row>
    <row r="319">
      <c r="B319" s="11">
        <v>46112.0</v>
      </c>
      <c r="C319" s="12">
        <f>VLOOKUP(B:B,'Курс валют'!A:D,4,0)</f>
        <v>93.4369</v>
      </c>
      <c r="D319" s="13" t="s">
        <v>1251</v>
      </c>
      <c r="E319" s="59" t="s">
        <v>18</v>
      </c>
      <c r="F319" s="15">
        <v>1100.0</v>
      </c>
      <c r="G319" s="16">
        <v>1107.7</v>
      </c>
      <c r="H319" s="17">
        <v>0.0</v>
      </c>
      <c r="I319" s="16">
        <f t="shared" si="8"/>
        <v>7.7</v>
      </c>
      <c r="J319" s="18">
        <f t="shared" si="2"/>
        <v>0.7</v>
      </c>
      <c r="K319" s="17">
        <v>2.27</v>
      </c>
      <c r="L319" s="19">
        <f t="shared" si="3"/>
        <v>0</v>
      </c>
      <c r="M319" s="20">
        <f t="shared" si="4"/>
        <v>212.101763</v>
      </c>
      <c r="N319" s="21">
        <f t="shared" si="5"/>
        <v>2.27</v>
      </c>
      <c r="O319" s="21">
        <f t="shared" si="6"/>
        <v>2497</v>
      </c>
      <c r="P319" s="22">
        <f t="shared" si="7"/>
        <v>233311.9393</v>
      </c>
    </row>
    <row r="320">
      <c r="B320" s="11">
        <v>46112.0</v>
      </c>
      <c r="C320" s="12">
        <f>VLOOKUP(B:B,'Курс валют'!A:D,4,0)</f>
        <v>93.4369</v>
      </c>
      <c r="D320" s="13" t="s">
        <v>1252</v>
      </c>
      <c r="E320" s="59" t="s">
        <v>18</v>
      </c>
      <c r="F320" s="15">
        <v>1100.0</v>
      </c>
      <c r="G320" s="16">
        <v>1107.7</v>
      </c>
      <c r="H320" s="17">
        <v>0.0</v>
      </c>
      <c r="I320" s="16">
        <f t="shared" si="8"/>
        <v>7.7</v>
      </c>
      <c r="J320" s="18">
        <f t="shared" si="2"/>
        <v>0.7</v>
      </c>
      <c r="K320" s="17">
        <v>2.27</v>
      </c>
      <c r="L320" s="19">
        <f t="shared" si="3"/>
        <v>0</v>
      </c>
      <c r="M320" s="20">
        <f t="shared" si="4"/>
        <v>212.101763</v>
      </c>
      <c r="N320" s="21">
        <f t="shared" si="5"/>
        <v>2.27</v>
      </c>
      <c r="O320" s="21">
        <f t="shared" si="6"/>
        <v>2497</v>
      </c>
      <c r="P320" s="22">
        <f t="shared" si="7"/>
        <v>233311.9393</v>
      </c>
    </row>
    <row r="321">
      <c r="B321" s="11">
        <v>46112.0</v>
      </c>
      <c r="C321" s="12">
        <f>VLOOKUP(B:B,'Курс валют'!A:D,4,0)</f>
        <v>93.4369</v>
      </c>
      <c r="D321" s="13" t="s">
        <v>1253</v>
      </c>
      <c r="E321" s="59" t="s">
        <v>18</v>
      </c>
      <c r="F321" s="15">
        <v>1100.0</v>
      </c>
      <c r="G321" s="16">
        <v>1107.7</v>
      </c>
      <c r="H321" s="17">
        <v>0.0</v>
      </c>
      <c r="I321" s="16">
        <f t="shared" si="8"/>
        <v>7.7</v>
      </c>
      <c r="J321" s="18">
        <f t="shared" si="2"/>
        <v>0.7</v>
      </c>
      <c r="K321" s="17">
        <v>2.27</v>
      </c>
      <c r="L321" s="19">
        <f t="shared" si="3"/>
        <v>0</v>
      </c>
      <c r="M321" s="20">
        <f t="shared" si="4"/>
        <v>212.101763</v>
      </c>
      <c r="N321" s="21">
        <f t="shared" si="5"/>
        <v>2.27</v>
      </c>
      <c r="O321" s="21">
        <f t="shared" si="6"/>
        <v>2497</v>
      </c>
      <c r="P321" s="22">
        <f t="shared" si="7"/>
        <v>233311.9393</v>
      </c>
    </row>
    <row r="322">
      <c r="B322" s="11">
        <v>46112.0</v>
      </c>
      <c r="C322" s="12">
        <f>VLOOKUP(B:B,'Курс валют'!A:D,4,0)</f>
        <v>93.4369</v>
      </c>
      <c r="D322" s="13" t="s">
        <v>1254</v>
      </c>
      <c r="E322" s="59" t="s">
        <v>18</v>
      </c>
      <c r="F322" s="15">
        <v>1100.0</v>
      </c>
      <c r="G322" s="16">
        <v>1107.7</v>
      </c>
      <c r="H322" s="17">
        <v>0.0</v>
      </c>
      <c r="I322" s="16">
        <f t="shared" si="8"/>
        <v>7.7</v>
      </c>
      <c r="J322" s="18">
        <f t="shared" si="2"/>
        <v>0.7</v>
      </c>
      <c r="K322" s="17">
        <v>2.27</v>
      </c>
      <c r="L322" s="19">
        <f t="shared" si="3"/>
        <v>0</v>
      </c>
      <c r="M322" s="20">
        <f t="shared" si="4"/>
        <v>212.101763</v>
      </c>
      <c r="N322" s="21">
        <f t="shared" si="5"/>
        <v>2.27</v>
      </c>
      <c r="O322" s="21">
        <f t="shared" si="6"/>
        <v>2497</v>
      </c>
      <c r="P322" s="22">
        <f t="shared" si="7"/>
        <v>233311.9393</v>
      </c>
    </row>
    <row r="323">
      <c r="B323" s="11">
        <v>46112.0</v>
      </c>
      <c r="C323" s="12">
        <f>VLOOKUP(B:B,'Курс валют'!A:D,4,0)</f>
        <v>93.4369</v>
      </c>
      <c r="D323" s="13" t="s">
        <v>1255</v>
      </c>
      <c r="E323" s="59" t="s">
        <v>18</v>
      </c>
      <c r="F323" s="15">
        <v>1100.0</v>
      </c>
      <c r="G323" s="16">
        <v>1107.7</v>
      </c>
      <c r="H323" s="17">
        <v>0.0</v>
      </c>
      <c r="I323" s="16">
        <f t="shared" si="8"/>
        <v>7.7</v>
      </c>
      <c r="J323" s="18">
        <f t="shared" si="2"/>
        <v>0.7</v>
      </c>
      <c r="K323" s="17">
        <v>2.29</v>
      </c>
      <c r="L323" s="19">
        <f t="shared" si="3"/>
        <v>0</v>
      </c>
      <c r="M323" s="20">
        <f t="shared" si="4"/>
        <v>213.970501</v>
      </c>
      <c r="N323" s="21">
        <f t="shared" si="5"/>
        <v>2.29</v>
      </c>
      <c r="O323" s="21">
        <f t="shared" si="6"/>
        <v>2519</v>
      </c>
      <c r="P323" s="22">
        <f t="shared" si="7"/>
        <v>235367.5511</v>
      </c>
    </row>
    <row r="324">
      <c r="B324" s="11">
        <v>46112.0</v>
      </c>
      <c r="C324" s="12">
        <f>VLOOKUP(B:B,'Курс валют'!A:D,4,0)</f>
        <v>93.4369</v>
      </c>
      <c r="D324" s="13" t="s">
        <v>1256</v>
      </c>
      <c r="E324" s="59" t="s">
        <v>59</v>
      </c>
      <c r="F324" s="15">
        <v>2000.0</v>
      </c>
      <c r="G324" s="16">
        <v>2056.55</v>
      </c>
      <c r="H324" s="17">
        <v>0.0</v>
      </c>
      <c r="I324" s="16">
        <f t="shared" si="8"/>
        <v>56.55</v>
      </c>
      <c r="J324" s="18">
        <f t="shared" si="2"/>
        <v>2.8275</v>
      </c>
      <c r="K324" s="17">
        <v>2.37</v>
      </c>
      <c r="L324" s="19">
        <f t="shared" si="3"/>
        <v>0</v>
      </c>
      <c r="M324" s="20">
        <f t="shared" si="4"/>
        <v>221.445453</v>
      </c>
      <c r="N324" s="21">
        <f t="shared" si="5"/>
        <v>2.37</v>
      </c>
      <c r="O324" s="21">
        <f t="shared" si="6"/>
        <v>4740</v>
      </c>
      <c r="P324" s="22">
        <f t="shared" si="7"/>
        <v>442890.906</v>
      </c>
    </row>
    <row r="325">
      <c r="B325" s="11"/>
      <c r="C325" s="12" t="str">
        <f>VLOOKUP(B:B,'Курс валют'!A:D,4,0)</f>
        <v>#N/A</v>
      </c>
      <c r="D325" s="66"/>
      <c r="E325" s="67"/>
      <c r="F325" s="67"/>
      <c r="G325" s="67"/>
      <c r="H325" s="65"/>
      <c r="I325" s="15">
        <f t="shared" si="8"/>
        <v>0</v>
      </c>
      <c r="J325" s="18" t="str">
        <f t="shared" si="2"/>
        <v>#DIV/0!</v>
      </c>
      <c r="K325" s="65"/>
      <c r="L325" s="19" t="str">
        <f t="shared" si="3"/>
        <v>#DIV/0!</v>
      </c>
      <c r="M325" s="20" t="str">
        <f t="shared" si="4"/>
        <v>#DIV/0!</v>
      </c>
      <c r="N325" s="21" t="str">
        <f t="shared" si="5"/>
        <v>#DIV/0!</v>
      </c>
      <c r="O325" s="21" t="str">
        <f t="shared" si="6"/>
        <v>#DIV/0!</v>
      </c>
      <c r="P325" s="22" t="str">
        <f t="shared" si="7"/>
        <v>#DIV/0!</v>
      </c>
    </row>
    <row r="326">
      <c r="B326" s="11"/>
      <c r="C326" s="12" t="str">
        <f>VLOOKUP(B:B,'Курс валют'!A:D,4,0)</f>
        <v>#N/A</v>
      </c>
      <c r="D326" s="66"/>
      <c r="E326" s="67"/>
      <c r="F326" s="67"/>
      <c r="G326" s="67"/>
      <c r="H326" s="65"/>
      <c r="I326" s="15">
        <f t="shared" si="8"/>
        <v>0</v>
      </c>
      <c r="J326" s="18" t="str">
        <f t="shared" si="2"/>
        <v>#DIV/0!</v>
      </c>
      <c r="K326" s="65"/>
      <c r="L326" s="19" t="str">
        <f t="shared" si="3"/>
        <v>#DIV/0!</v>
      </c>
      <c r="M326" s="20" t="str">
        <f t="shared" si="4"/>
        <v>#DIV/0!</v>
      </c>
      <c r="N326" s="21" t="str">
        <f t="shared" si="5"/>
        <v>#DIV/0!</v>
      </c>
      <c r="O326" s="21" t="str">
        <f t="shared" si="6"/>
        <v>#DIV/0!</v>
      </c>
      <c r="P326" s="22" t="str">
        <f t="shared" si="7"/>
        <v>#DIV/0!</v>
      </c>
    </row>
    <row r="327">
      <c r="B327" s="11"/>
      <c r="C327" s="12" t="str">
        <f>VLOOKUP(B:B,'Курс валют'!A:D,4,0)</f>
        <v>#N/A</v>
      </c>
      <c r="D327" s="66"/>
      <c r="E327" s="67"/>
      <c r="F327" s="67"/>
      <c r="G327" s="67"/>
      <c r="H327" s="65"/>
      <c r="I327" s="15">
        <f t="shared" si="8"/>
        <v>0</v>
      </c>
      <c r="J327" s="18" t="str">
        <f t="shared" si="2"/>
        <v>#DIV/0!</v>
      </c>
      <c r="K327" s="65"/>
      <c r="L327" s="19" t="str">
        <f t="shared" si="3"/>
        <v>#DIV/0!</v>
      </c>
      <c r="M327" s="20" t="str">
        <f t="shared" si="4"/>
        <v>#DIV/0!</v>
      </c>
      <c r="N327" s="21" t="str">
        <f t="shared" si="5"/>
        <v>#DIV/0!</v>
      </c>
      <c r="O327" s="21" t="str">
        <f t="shared" si="6"/>
        <v>#DIV/0!</v>
      </c>
      <c r="P327" s="22" t="str">
        <f t="shared" si="7"/>
        <v>#DIV/0!</v>
      </c>
    </row>
    <row r="328">
      <c r="B328" s="11"/>
      <c r="C328" s="12" t="str">
        <f>VLOOKUP(B:B,'Курс валют'!A:D,4,0)</f>
        <v>#N/A</v>
      </c>
      <c r="D328" s="66"/>
      <c r="E328" s="67"/>
      <c r="F328" s="67"/>
      <c r="G328" s="67"/>
      <c r="H328" s="65"/>
      <c r="I328" s="15">
        <f t="shared" si="8"/>
        <v>0</v>
      </c>
      <c r="J328" s="18" t="str">
        <f t="shared" si="2"/>
        <v>#DIV/0!</v>
      </c>
      <c r="K328" s="65"/>
      <c r="L328" s="19" t="str">
        <f t="shared" si="3"/>
        <v>#DIV/0!</v>
      </c>
      <c r="M328" s="20" t="str">
        <f t="shared" si="4"/>
        <v>#DIV/0!</v>
      </c>
      <c r="N328" s="21" t="str">
        <f t="shared" si="5"/>
        <v>#DIV/0!</v>
      </c>
      <c r="O328" s="21" t="str">
        <f t="shared" si="6"/>
        <v>#DIV/0!</v>
      </c>
      <c r="P328" s="22" t="str">
        <f t="shared" si="7"/>
        <v>#DIV/0!</v>
      </c>
    </row>
    <row r="329">
      <c r="B329" s="11"/>
      <c r="C329" s="12" t="str">
        <f>VLOOKUP(B:B,'Курс валют'!A:D,4,0)</f>
        <v>#N/A</v>
      </c>
      <c r="D329" s="66"/>
      <c r="E329" s="67"/>
      <c r="F329" s="67"/>
      <c r="G329" s="67"/>
      <c r="H329" s="65"/>
      <c r="I329" s="15">
        <f t="shared" si="8"/>
        <v>0</v>
      </c>
      <c r="J329" s="18" t="str">
        <f t="shared" si="2"/>
        <v>#DIV/0!</v>
      </c>
      <c r="K329" s="65"/>
      <c r="L329" s="19" t="str">
        <f t="shared" si="3"/>
        <v>#DIV/0!</v>
      </c>
      <c r="M329" s="20" t="str">
        <f t="shared" si="4"/>
        <v>#DIV/0!</v>
      </c>
      <c r="N329" s="21" t="str">
        <f t="shared" si="5"/>
        <v>#DIV/0!</v>
      </c>
      <c r="O329" s="21" t="str">
        <f t="shared" si="6"/>
        <v>#DIV/0!</v>
      </c>
      <c r="P329" s="22" t="str">
        <f t="shared" si="7"/>
        <v>#DIV/0!</v>
      </c>
    </row>
    <row r="330">
      <c r="B330" s="11"/>
      <c r="C330" s="12" t="str">
        <f>VLOOKUP(B:B,'Курс валют'!A:D,4,0)</f>
        <v>#N/A</v>
      </c>
      <c r="D330" s="66"/>
      <c r="E330" s="67"/>
      <c r="F330" s="67"/>
      <c r="G330" s="67"/>
      <c r="H330" s="65"/>
      <c r="I330" s="15">
        <f t="shared" si="8"/>
        <v>0</v>
      </c>
      <c r="J330" s="18" t="str">
        <f t="shared" si="2"/>
        <v>#DIV/0!</v>
      </c>
      <c r="K330" s="65"/>
      <c r="L330" s="19" t="str">
        <f t="shared" si="3"/>
        <v>#DIV/0!</v>
      </c>
      <c r="M330" s="20" t="str">
        <f t="shared" si="4"/>
        <v>#DIV/0!</v>
      </c>
      <c r="N330" s="21" t="str">
        <f t="shared" si="5"/>
        <v>#DIV/0!</v>
      </c>
      <c r="O330" s="21" t="str">
        <f t="shared" si="6"/>
        <v>#DIV/0!</v>
      </c>
      <c r="P330" s="22" t="str">
        <f t="shared" si="7"/>
        <v>#DIV/0!</v>
      </c>
    </row>
    <row r="331">
      <c r="B331" s="11"/>
      <c r="C331" s="12" t="str">
        <f>VLOOKUP(B:B,'Курс валют'!A:D,4,0)</f>
        <v>#N/A</v>
      </c>
      <c r="D331" s="66"/>
      <c r="E331" s="67"/>
      <c r="F331" s="67"/>
      <c r="G331" s="67"/>
      <c r="H331" s="65"/>
      <c r="I331" s="15">
        <f t="shared" si="8"/>
        <v>0</v>
      </c>
      <c r="J331" s="18" t="str">
        <f t="shared" si="2"/>
        <v>#DIV/0!</v>
      </c>
      <c r="K331" s="65"/>
      <c r="L331" s="19" t="str">
        <f t="shared" si="3"/>
        <v>#DIV/0!</v>
      </c>
      <c r="M331" s="20" t="str">
        <f t="shared" si="4"/>
        <v>#DIV/0!</v>
      </c>
      <c r="N331" s="21" t="str">
        <f t="shared" si="5"/>
        <v>#DIV/0!</v>
      </c>
      <c r="O331" s="21" t="str">
        <f t="shared" si="6"/>
        <v>#DIV/0!</v>
      </c>
      <c r="P331" s="22" t="str">
        <f t="shared" si="7"/>
        <v>#DIV/0!</v>
      </c>
    </row>
    <row r="332">
      <c r="B332" s="11"/>
      <c r="C332" s="12" t="str">
        <f>VLOOKUP(B:B,'Курс валют'!A:D,4,0)</f>
        <v>#N/A</v>
      </c>
      <c r="D332" s="66"/>
      <c r="E332" s="67"/>
      <c r="F332" s="67"/>
      <c r="G332" s="67"/>
      <c r="H332" s="65"/>
      <c r="I332" s="15">
        <f t="shared" si="8"/>
        <v>0</v>
      </c>
      <c r="J332" s="18" t="str">
        <f t="shared" si="2"/>
        <v>#DIV/0!</v>
      </c>
      <c r="K332" s="65"/>
      <c r="L332" s="19" t="str">
        <f t="shared" si="3"/>
        <v>#DIV/0!</v>
      </c>
      <c r="M332" s="20" t="str">
        <f t="shared" si="4"/>
        <v>#DIV/0!</v>
      </c>
      <c r="N332" s="21" t="str">
        <f t="shared" si="5"/>
        <v>#DIV/0!</v>
      </c>
      <c r="O332" s="21" t="str">
        <f t="shared" si="6"/>
        <v>#DIV/0!</v>
      </c>
      <c r="P332" s="22" t="str">
        <f t="shared" si="7"/>
        <v>#DIV/0!</v>
      </c>
    </row>
    <row r="333">
      <c r="B333" s="11"/>
      <c r="C333" s="12" t="str">
        <f>VLOOKUP(B:B,'Курс валют'!A:D,4,0)</f>
        <v>#N/A</v>
      </c>
      <c r="D333" s="66"/>
      <c r="E333" s="67"/>
      <c r="F333" s="67"/>
      <c r="G333" s="67"/>
      <c r="H333" s="65"/>
      <c r="I333" s="15">
        <f t="shared" si="8"/>
        <v>0</v>
      </c>
      <c r="J333" s="18" t="str">
        <f t="shared" si="2"/>
        <v>#DIV/0!</v>
      </c>
      <c r="K333" s="65"/>
      <c r="L333" s="19" t="str">
        <f t="shared" si="3"/>
        <v>#DIV/0!</v>
      </c>
      <c r="M333" s="20" t="str">
        <f t="shared" si="4"/>
        <v>#DIV/0!</v>
      </c>
      <c r="N333" s="21" t="str">
        <f t="shared" si="5"/>
        <v>#DIV/0!</v>
      </c>
      <c r="O333" s="21" t="str">
        <f t="shared" si="6"/>
        <v>#DIV/0!</v>
      </c>
      <c r="P333" s="22" t="str">
        <f t="shared" si="7"/>
        <v>#DIV/0!</v>
      </c>
    </row>
    <row r="334">
      <c r="B334" s="11"/>
      <c r="C334" s="12" t="str">
        <f>VLOOKUP(B:B,'Курс валют'!A:D,4,0)</f>
        <v>#N/A</v>
      </c>
      <c r="D334" s="66"/>
      <c r="E334" s="67"/>
      <c r="F334" s="67"/>
      <c r="G334" s="67"/>
      <c r="H334" s="65"/>
      <c r="I334" s="15">
        <f t="shared" si="8"/>
        <v>0</v>
      </c>
      <c r="J334" s="18" t="str">
        <f t="shared" si="2"/>
        <v>#DIV/0!</v>
      </c>
      <c r="K334" s="65"/>
      <c r="L334" s="19" t="str">
        <f t="shared" si="3"/>
        <v>#DIV/0!</v>
      </c>
      <c r="M334" s="20" t="str">
        <f t="shared" si="4"/>
        <v>#DIV/0!</v>
      </c>
      <c r="N334" s="21" t="str">
        <f t="shared" si="5"/>
        <v>#DIV/0!</v>
      </c>
      <c r="O334" s="21" t="str">
        <f t="shared" si="6"/>
        <v>#DIV/0!</v>
      </c>
      <c r="P334" s="22" t="str">
        <f t="shared" si="7"/>
        <v>#DIV/0!</v>
      </c>
    </row>
    <row r="335">
      <c r="B335" s="11"/>
      <c r="C335" s="12" t="str">
        <f>VLOOKUP(B:B,'Курс валют'!A:D,4,0)</f>
        <v>#N/A</v>
      </c>
      <c r="D335" s="66"/>
      <c r="E335" s="67"/>
      <c r="F335" s="67"/>
      <c r="G335" s="67"/>
      <c r="H335" s="65"/>
      <c r="I335" s="15">
        <f t="shared" si="8"/>
        <v>0</v>
      </c>
      <c r="J335" s="18" t="str">
        <f t="shared" si="2"/>
        <v>#DIV/0!</v>
      </c>
      <c r="K335" s="65"/>
      <c r="L335" s="19" t="str">
        <f t="shared" si="3"/>
        <v>#DIV/0!</v>
      </c>
      <c r="M335" s="20" t="str">
        <f t="shared" si="4"/>
        <v>#DIV/0!</v>
      </c>
      <c r="N335" s="21" t="str">
        <f t="shared" si="5"/>
        <v>#DIV/0!</v>
      </c>
      <c r="O335" s="21" t="str">
        <f t="shared" si="6"/>
        <v>#DIV/0!</v>
      </c>
      <c r="P335" s="22" t="str">
        <f t="shared" si="7"/>
        <v>#DIV/0!</v>
      </c>
    </row>
    <row r="336">
      <c r="B336" s="11"/>
      <c r="C336" s="12" t="str">
        <f>VLOOKUP(B:B,'Курс валют'!A:D,4,0)</f>
        <v>#N/A</v>
      </c>
      <c r="D336" s="66"/>
      <c r="E336" s="67"/>
      <c r="F336" s="67"/>
      <c r="G336" s="67"/>
      <c r="H336" s="65"/>
      <c r="I336" s="15">
        <f t="shared" si="8"/>
        <v>0</v>
      </c>
      <c r="J336" s="18" t="str">
        <f t="shared" si="2"/>
        <v>#DIV/0!</v>
      </c>
      <c r="K336" s="65"/>
      <c r="L336" s="19" t="str">
        <f t="shared" si="3"/>
        <v>#DIV/0!</v>
      </c>
      <c r="M336" s="20" t="str">
        <f t="shared" si="4"/>
        <v>#DIV/0!</v>
      </c>
      <c r="N336" s="21" t="str">
        <f t="shared" si="5"/>
        <v>#DIV/0!</v>
      </c>
      <c r="O336" s="21" t="str">
        <f t="shared" si="6"/>
        <v>#DIV/0!</v>
      </c>
      <c r="P336" s="22" t="str">
        <f t="shared" si="7"/>
        <v>#DIV/0!</v>
      </c>
    </row>
    <row r="337">
      <c r="B337" s="11"/>
      <c r="C337" s="12" t="str">
        <f>VLOOKUP(B:B,'Курс валют'!A:D,4,0)</f>
        <v>#N/A</v>
      </c>
      <c r="D337" s="66"/>
      <c r="E337" s="67"/>
      <c r="F337" s="67"/>
      <c r="G337" s="67"/>
      <c r="H337" s="65"/>
      <c r="I337" s="15">
        <f t="shared" si="8"/>
        <v>0</v>
      </c>
      <c r="J337" s="18" t="str">
        <f t="shared" si="2"/>
        <v>#DIV/0!</v>
      </c>
      <c r="K337" s="65"/>
      <c r="L337" s="19" t="str">
        <f t="shared" si="3"/>
        <v>#DIV/0!</v>
      </c>
      <c r="M337" s="20" t="str">
        <f t="shared" si="4"/>
        <v>#DIV/0!</v>
      </c>
      <c r="N337" s="21" t="str">
        <f t="shared" si="5"/>
        <v>#DIV/0!</v>
      </c>
      <c r="O337" s="21" t="str">
        <f t="shared" si="6"/>
        <v>#DIV/0!</v>
      </c>
      <c r="P337" s="22" t="str">
        <f t="shared" si="7"/>
        <v>#DIV/0!</v>
      </c>
    </row>
    <row r="338">
      <c r="B338" s="11"/>
      <c r="C338" s="12" t="str">
        <f>VLOOKUP(B:B,'Курс валют'!A:D,4,0)</f>
        <v>#N/A</v>
      </c>
      <c r="D338" s="66"/>
      <c r="E338" s="67"/>
      <c r="F338" s="67"/>
      <c r="G338" s="67"/>
      <c r="H338" s="65"/>
      <c r="I338" s="15">
        <f t="shared" si="8"/>
        <v>0</v>
      </c>
      <c r="J338" s="18" t="str">
        <f t="shared" si="2"/>
        <v>#DIV/0!</v>
      </c>
      <c r="K338" s="65"/>
      <c r="L338" s="19" t="str">
        <f t="shared" si="3"/>
        <v>#DIV/0!</v>
      </c>
      <c r="M338" s="20" t="str">
        <f t="shared" si="4"/>
        <v>#DIV/0!</v>
      </c>
      <c r="N338" s="21" t="str">
        <f t="shared" si="5"/>
        <v>#DIV/0!</v>
      </c>
      <c r="O338" s="21" t="str">
        <f t="shared" si="6"/>
        <v>#DIV/0!</v>
      </c>
      <c r="P338" s="22" t="str">
        <f t="shared" si="7"/>
        <v>#DIV/0!</v>
      </c>
    </row>
    <row r="339">
      <c r="B339" s="11"/>
      <c r="C339" s="12" t="str">
        <f>VLOOKUP(B:B,'Курс валют'!A:D,4,0)</f>
        <v>#N/A</v>
      </c>
      <c r="D339" s="66"/>
      <c r="E339" s="67"/>
      <c r="F339" s="67"/>
      <c r="G339" s="67"/>
      <c r="H339" s="65"/>
      <c r="I339" s="15">
        <f t="shared" si="8"/>
        <v>0</v>
      </c>
      <c r="J339" s="18" t="str">
        <f t="shared" si="2"/>
        <v>#DIV/0!</v>
      </c>
      <c r="K339" s="65"/>
      <c r="L339" s="19" t="str">
        <f t="shared" si="3"/>
        <v>#DIV/0!</v>
      </c>
      <c r="M339" s="20" t="str">
        <f t="shared" si="4"/>
        <v>#DIV/0!</v>
      </c>
      <c r="N339" s="21" t="str">
        <f t="shared" si="5"/>
        <v>#DIV/0!</v>
      </c>
      <c r="O339" s="21" t="str">
        <f t="shared" si="6"/>
        <v>#DIV/0!</v>
      </c>
      <c r="P339" s="22" t="str">
        <f t="shared" si="7"/>
        <v>#DIV/0!</v>
      </c>
    </row>
    <row r="340">
      <c r="B340" s="11"/>
      <c r="C340" s="12" t="str">
        <f>VLOOKUP(B:B,'Курс валют'!A:D,4,0)</f>
        <v>#N/A</v>
      </c>
      <c r="D340" s="66"/>
      <c r="E340" s="67"/>
      <c r="F340" s="67"/>
      <c r="G340" s="67"/>
      <c r="H340" s="65"/>
      <c r="I340" s="15">
        <f t="shared" si="8"/>
        <v>0</v>
      </c>
      <c r="J340" s="18" t="str">
        <f t="shared" si="2"/>
        <v>#DIV/0!</v>
      </c>
      <c r="K340" s="65"/>
      <c r="L340" s="19" t="str">
        <f t="shared" si="3"/>
        <v>#DIV/0!</v>
      </c>
      <c r="M340" s="20" t="str">
        <f t="shared" si="4"/>
        <v>#DIV/0!</v>
      </c>
      <c r="N340" s="21" t="str">
        <f t="shared" si="5"/>
        <v>#DIV/0!</v>
      </c>
      <c r="O340" s="21" t="str">
        <f t="shared" si="6"/>
        <v>#DIV/0!</v>
      </c>
      <c r="P340" s="22" t="str">
        <f t="shared" si="7"/>
        <v>#DIV/0!</v>
      </c>
    </row>
    <row r="341">
      <c r="B341" s="68"/>
      <c r="D341" s="69"/>
      <c r="H341" s="70"/>
      <c r="K341" s="70"/>
      <c r="L341" s="71"/>
      <c r="M341" s="72"/>
      <c r="P341" s="72"/>
    </row>
    <row r="342">
      <c r="B342" s="68"/>
      <c r="D342" s="69"/>
      <c r="H342" s="70"/>
      <c r="K342" s="70"/>
      <c r="L342" s="71"/>
      <c r="M342" s="72"/>
      <c r="P342" s="72"/>
    </row>
    <row r="343">
      <c r="B343" s="68"/>
      <c r="D343" s="69"/>
      <c r="H343" s="70"/>
      <c r="K343" s="70"/>
      <c r="L343" s="71"/>
      <c r="M343" s="72"/>
      <c r="P343" s="72"/>
    </row>
    <row r="344">
      <c r="B344" s="68"/>
      <c r="D344" s="69"/>
      <c r="H344" s="70"/>
      <c r="K344" s="70"/>
      <c r="L344" s="71"/>
      <c r="M344" s="72"/>
      <c r="P344" s="72"/>
    </row>
    <row r="345">
      <c r="B345" s="68"/>
      <c r="D345" s="69"/>
      <c r="H345" s="70"/>
      <c r="K345" s="70"/>
      <c r="L345" s="71"/>
      <c r="M345" s="72"/>
      <c r="P345" s="72"/>
    </row>
    <row r="346">
      <c r="B346" s="68"/>
      <c r="D346" s="69"/>
      <c r="H346" s="70"/>
      <c r="K346" s="70"/>
      <c r="L346" s="71"/>
      <c r="M346" s="72"/>
      <c r="P346" s="72"/>
    </row>
    <row r="347">
      <c r="B347" s="68"/>
      <c r="D347" s="69"/>
      <c r="H347" s="70"/>
      <c r="K347" s="70"/>
      <c r="L347" s="71"/>
      <c r="M347" s="72"/>
      <c r="P347" s="72"/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</sheetData>
  <autoFilter ref="$A$1:$AA$340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1">
        <v>46054.0</v>
      </c>
      <c r="C2" s="12">
        <f>VLOOKUP(B:B,'Курс валют'!A:D,4,0)</f>
        <v>90.468</v>
      </c>
      <c r="D2" s="54" t="s">
        <v>1257</v>
      </c>
      <c r="E2" s="75" t="s">
        <v>107</v>
      </c>
      <c r="F2" s="12">
        <v>2160.0</v>
      </c>
      <c r="G2" s="19">
        <v>2197.8</v>
      </c>
      <c r="H2" s="17">
        <v>0.0</v>
      </c>
      <c r="I2" s="16">
        <f t="shared" ref="I2:I24" si="1">G2-F2</f>
        <v>37.8</v>
      </c>
      <c r="J2" s="18">
        <f t="shared" ref="J2:J177" si="2">I2/F2*100</f>
        <v>1.75</v>
      </c>
      <c r="K2" s="56">
        <v>2.72</v>
      </c>
      <c r="L2" s="19">
        <f t="shared" ref="L2:L177" si="3">H2/F2*100</f>
        <v>0</v>
      </c>
      <c r="M2" s="20">
        <f t="shared" ref="M2:M177" si="4">P2/F2</f>
        <v>246.07296</v>
      </c>
      <c r="N2" s="21">
        <f t="shared" ref="N2:N177" si="5">(F2*K2-H2*3.04)/F2</f>
        <v>2.72</v>
      </c>
      <c r="O2" s="21">
        <f t="shared" ref="O2:O177" si="6">N2*F2</f>
        <v>5875.2</v>
      </c>
      <c r="P2" s="22">
        <f t="shared" ref="P2:P177" si="7">O2*C2</f>
        <v>531517.5936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/>
      <c r="B3" s="11">
        <v>46054.0</v>
      </c>
      <c r="C3" s="12">
        <f>VLOOKUP(B:B,'Курс валют'!A:D,4,0)</f>
        <v>90.468</v>
      </c>
      <c r="D3" s="13" t="s">
        <v>1258</v>
      </c>
      <c r="E3" s="14" t="s">
        <v>106</v>
      </c>
      <c r="F3" s="15">
        <v>800.0</v>
      </c>
      <c r="G3" s="15">
        <v>804.5</v>
      </c>
      <c r="H3" s="17">
        <v>67.16</v>
      </c>
      <c r="I3" s="15">
        <f t="shared" si="1"/>
        <v>4.5</v>
      </c>
      <c r="J3" s="18">
        <f t="shared" si="2"/>
        <v>0.5625</v>
      </c>
      <c r="K3" s="17">
        <v>2.13</v>
      </c>
      <c r="L3" s="19">
        <f t="shared" si="3"/>
        <v>8.395</v>
      </c>
      <c r="M3" s="20">
        <f t="shared" si="4"/>
        <v>169.6086827</v>
      </c>
      <c r="N3" s="21">
        <f t="shared" si="5"/>
        <v>1.874792</v>
      </c>
      <c r="O3" s="21">
        <f t="shared" si="6"/>
        <v>1499.8336</v>
      </c>
      <c r="P3" s="22">
        <f t="shared" si="7"/>
        <v>135686.9461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46054.0</v>
      </c>
      <c r="C4" s="12">
        <f>VLOOKUP(B:B,'Курс валют'!A:D,4,0)</f>
        <v>90.468</v>
      </c>
      <c r="D4" s="13" t="s">
        <v>1259</v>
      </c>
      <c r="E4" s="14" t="s">
        <v>106</v>
      </c>
      <c r="F4" s="15">
        <v>800.0</v>
      </c>
      <c r="G4" s="15">
        <v>804.5</v>
      </c>
      <c r="H4" s="17">
        <v>0.0</v>
      </c>
      <c r="I4" s="15">
        <f t="shared" si="1"/>
        <v>4.5</v>
      </c>
      <c r="J4" s="18">
        <f t="shared" si="2"/>
        <v>0.5625</v>
      </c>
      <c r="K4" s="17">
        <v>1.93</v>
      </c>
      <c r="L4" s="19">
        <f t="shared" si="3"/>
        <v>0</v>
      </c>
      <c r="M4" s="20">
        <f t="shared" si="4"/>
        <v>174.60324</v>
      </c>
      <c r="N4" s="21">
        <f t="shared" si="5"/>
        <v>1.93</v>
      </c>
      <c r="O4" s="21">
        <f t="shared" si="6"/>
        <v>1544</v>
      </c>
      <c r="P4" s="22">
        <f t="shared" si="7"/>
        <v>139682.592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46054.0</v>
      </c>
      <c r="C5" s="12">
        <f>VLOOKUP(B:B,'Курс валют'!A:D,4,0)</f>
        <v>90.468</v>
      </c>
      <c r="D5" s="13" t="s">
        <v>1260</v>
      </c>
      <c r="E5" s="14" t="s">
        <v>106</v>
      </c>
      <c r="F5" s="15">
        <v>800.0</v>
      </c>
      <c r="G5" s="15">
        <v>804.5</v>
      </c>
      <c r="H5" s="17">
        <v>0.0</v>
      </c>
      <c r="I5" s="15">
        <f t="shared" si="1"/>
        <v>4.5</v>
      </c>
      <c r="J5" s="18">
        <f t="shared" si="2"/>
        <v>0.5625</v>
      </c>
      <c r="K5" s="17">
        <v>1.93</v>
      </c>
      <c r="L5" s="19">
        <f t="shared" si="3"/>
        <v>0</v>
      </c>
      <c r="M5" s="20">
        <f t="shared" si="4"/>
        <v>174.60324</v>
      </c>
      <c r="N5" s="21">
        <f t="shared" si="5"/>
        <v>1.93</v>
      </c>
      <c r="O5" s="21">
        <f t="shared" si="6"/>
        <v>1544</v>
      </c>
      <c r="P5" s="22">
        <f t="shared" si="7"/>
        <v>139682.592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46054.0</v>
      </c>
      <c r="C6" s="12">
        <f>VLOOKUP(B:B,'Курс валют'!A:D,4,0)</f>
        <v>90.468</v>
      </c>
      <c r="D6" s="13" t="s">
        <v>1261</v>
      </c>
      <c r="E6" s="14" t="s">
        <v>106</v>
      </c>
      <c r="F6" s="15">
        <v>800.0</v>
      </c>
      <c r="G6" s="15">
        <v>804.5</v>
      </c>
      <c r="H6" s="17">
        <v>0.0</v>
      </c>
      <c r="I6" s="15">
        <f t="shared" si="1"/>
        <v>4.5</v>
      </c>
      <c r="J6" s="18">
        <f t="shared" si="2"/>
        <v>0.5625</v>
      </c>
      <c r="K6" s="17">
        <v>1.93</v>
      </c>
      <c r="L6" s="19">
        <f t="shared" si="3"/>
        <v>0</v>
      </c>
      <c r="M6" s="20">
        <f t="shared" si="4"/>
        <v>174.60324</v>
      </c>
      <c r="N6" s="21">
        <f t="shared" si="5"/>
        <v>1.93</v>
      </c>
      <c r="O6" s="21">
        <f t="shared" si="6"/>
        <v>1544</v>
      </c>
      <c r="P6" s="22">
        <f t="shared" si="7"/>
        <v>139682.592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46054.0</v>
      </c>
      <c r="C7" s="12">
        <f>VLOOKUP(B:B,'Курс валют'!A:D,4,0)</f>
        <v>90.468</v>
      </c>
      <c r="D7" s="13" t="s">
        <v>1262</v>
      </c>
      <c r="E7" s="14" t="s">
        <v>106</v>
      </c>
      <c r="F7" s="15">
        <v>800.0</v>
      </c>
      <c r="G7" s="15">
        <v>804.5</v>
      </c>
      <c r="H7" s="17">
        <v>0.0</v>
      </c>
      <c r="I7" s="15">
        <f t="shared" si="1"/>
        <v>4.5</v>
      </c>
      <c r="J7" s="18">
        <f t="shared" si="2"/>
        <v>0.5625</v>
      </c>
      <c r="K7" s="17">
        <v>1.94</v>
      </c>
      <c r="L7" s="19">
        <f t="shared" si="3"/>
        <v>0</v>
      </c>
      <c r="M7" s="20">
        <f t="shared" si="4"/>
        <v>175.50792</v>
      </c>
      <c r="N7" s="21">
        <f t="shared" si="5"/>
        <v>1.94</v>
      </c>
      <c r="O7" s="21">
        <f t="shared" si="6"/>
        <v>1552</v>
      </c>
      <c r="P7" s="22">
        <f t="shared" si="7"/>
        <v>140406.336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46054.0</v>
      </c>
      <c r="C8" s="12">
        <f>VLOOKUP(B:B,'Курс валют'!A:D,4,0)</f>
        <v>90.468</v>
      </c>
      <c r="D8" s="13" t="s">
        <v>1263</v>
      </c>
      <c r="E8" s="14" t="s">
        <v>106</v>
      </c>
      <c r="F8" s="15">
        <v>800.0</v>
      </c>
      <c r="G8" s="15">
        <v>804.5</v>
      </c>
      <c r="H8" s="17">
        <v>0.0</v>
      </c>
      <c r="I8" s="15">
        <f t="shared" si="1"/>
        <v>4.5</v>
      </c>
      <c r="J8" s="18">
        <f t="shared" si="2"/>
        <v>0.5625</v>
      </c>
      <c r="K8" s="17">
        <v>1.93</v>
      </c>
      <c r="L8" s="19">
        <f t="shared" si="3"/>
        <v>0</v>
      </c>
      <c r="M8" s="20">
        <f t="shared" si="4"/>
        <v>174.60324</v>
      </c>
      <c r="N8" s="21">
        <f t="shared" si="5"/>
        <v>1.93</v>
      </c>
      <c r="O8" s="21">
        <f t="shared" si="6"/>
        <v>1544</v>
      </c>
      <c r="P8" s="22">
        <f t="shared" si="7"/>
        <v>139682.592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11"/>
      <c r="B9" s="11">
        <v>46054.0</v>
      </c>
      <c r="C9" s="12">
        <f>VLOOKUP(B:B,'Курс валют'!A:D,4,0)</f>
        <v>90.468</v>
      </c>
      <c r="D9" s="13" t="s">
        <v>1264</v>
      </c>
      <c r="E9" s="14" t="s">
        <v>106</v>
      </c>
      <c r="F9" s="15">
        <v>800.0</v>
      </c>
      <c r="G9" s="15">
        <v>804.5</v>
      </c>
      <c r="H9" s="17">
        <v>0.0</v>
      </c>
      <c r="I9" s="15">
        <f t="shared" si="1"/>
        <v>4.5</v>
      </c>
      <c r="J9" s="18">
        <f t="shared" si="2"/>
        <v>0.5625</v>
      </c>
      <c r="K9" s="17">
        <v>1.93</v>
      </c>
      <c r="L9" s="19">
        <f t="shared" si="3"/>
        <v>0</v>
      </c>
      <c r="M9" s="20">
        <f t="shared" si="4"/>
        <v>174.60324</v>
      </c>
      <c r="N9" s="21">
        <f t="shared" si="5"/>
        <v>1.93</v>
      </c>
      <c r="O9" s="21">
        <f t="shared" si="6"/>
        <v>1544</v>
      </c>
      <c r="P9" s="22">
        <f t="shared" si="7"/>
        <v>139682.592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11"/>
      <c r="B10" s="11">
        <v>46054.0</v>
      </c>
      <c r="C10" s="12">
        <f>VLOOKUP(B:B,'Курс валют'!A:D,4,0)</f>
        <v>90.468</v>
      </c>
      <c r="D10" s="13" t="s">
        <v>1265</v>
      </c>
      <c r="E10" s="14" t="s">
        <v>106</v>
      </c>
      <c r="F10" s="15">
        <v>800.0</v>
      </c>
      <c r="G10" s="15">
        <v>804.5</v>
      </c>
      <c r="H10" s="17">
        <v>0.0</v>
      </c>
      <c r="I10" s="15">
        <f t="shared" si="1"/>
        <v>4.5</v>
      </c>
      <c r="J10" s="18">
        <f t="shared" si="2"/>
        <v>0.5625</v>
      </c>
      <c r="K10" s="17">
        <v>1.94</v>
      </c>
      <c r="L10" s="19">
        <f t="shared" si="3"/>
        <v>0</v>
      </c>
      <c r="M10" s="20">
        <f t="shared" si="4"/>
        <v>175.50792</v>
      </c>
      <c r="N10" s="21">
        <f t="shared" si="5"/>
        <v>1.94</v>
      </c>
      <c r="O10" s="21">
        <f t="shared" si="6"/>
        <v>1552</v>
      </c>
      <c r="P10" s="22">
        <f t="shared" si="7"/>
        <v>140406.336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/>
      <c r="B11" s="11">
        <v>46054.0</v>
      </c>
      <c r="C11" s="12">
        <f>VLOOKUP(B:B,'Курс валют'!A:D,4,0)</f>
        <v>90.468</v>
      </c>
      <c r="D11" s="13" t="s">
        <v>1266</v>
      </c>
      <c r="E11" s="14" t="s">
        <v>106</v>
      </c>
      <c r="F11" s="15">
        <v>800.0</v>
      </c>
      <c r="G11" s="15">
        <v>804.5</v>
      </c>
      <c r="H11" s="17">
        <v>0.0</v>
      </c>
      <c r="I11" s="15">
        <f t="shared" si="1"/>
        <v>4.5</v>
      </c>
      <c r="J11" s="18">
        <f t="shared" si="2"/>
        <v>0.5625</v>
      </c>
      <c r="K11" s="17">
        <v>1.93</v>
      </c>
      <c r="L11" s="19">
        <f t="shared" si="3"/>
        <v>0</v>
      </c>
      <c r="M11" s="20">
        <f t="shared" si="4"/>
        <v>174.60324</v>
      </c>
      <c r="N11" s="21">
        <f t="shared" si="5"/>
        <v>1.93</v>
      </c>
      <c r="O11" s="21">
        <f t="shared" si="6"/>
        <v>1544</v>
      </c>
      <c r="P11" s="22">
        <f t="shared" si="7"/>
        <v>139682.592</v>
      </c>
      <c r="R11" s="23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/>
      <c r="B12" s="11">
        <v>46054.0</v>
      </c>
      <c r="C12" s="12">
        <f>VLOOKUP(B:B,'Курс валют'!A:D,4,0)</f>
        <v>90.468</v>
      </c>
      <c r="D12" s="13" t="s">
        <v>1267</v>
      </c>
      <c r="E12" s="14" t="s">
        <v>106</v>
      </c>
      <c r="F12" s="15">
        <v>800.0</v>
      </c>
      <c r="G12" s="15">
        <v>804.5</v>
      </c>
      <c r="H12" s="27">
        <v>0.0</v>
      </c>
      <c r="I12" s="15">
        <f t="shared" si="1"/>
        <v>4.5</v>
      </c>
      <c r="J12" s="18">
        <f t="shared" si="2"/>
        <v>0.5625</v>
      </c>
      <c r="K12" s="17">
        <v>1.93</v>
      </c>
      <c r="L12" s="19">
        <f t="shared" si="3"/>
        <v>0</v>
      </c>
      <c r="M12" s="20">
        <f t="shared" si="4"/>
        <v>174.60324</v>
      </c>
      <c r="N12" s="21">
        <f t="shared" si="5"/>
        <v>1.93</v>
      </c>
      <c r="O12" s="21">
        <f t="shared" si="6"/>
        <v>1544</v>
      </c>
      <c r="P12" s="22">
        <f t="shared" si="7"/>
        <v>139682.592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/>
      <c r="B13" s="11">
        <v>46055.0</v>
      </c>
      <c r="C13" s="12">
        <f>VLOOKUP(B:B,'Курс валют'!A:D,4,0)</f>
        <v>90.468</v>
      </c>
      <c r="D13" s="13" t="s">
        <v>1268</v>
      </c>
      <c r="E13" s="26" t="s">
        <v>107</v>
      </c>
      <c r="F13" s="15">
        <v>720.0</v>
      </c>
      <c r="G13" s="15">
        <v>762.3</v>
      </c>
      <c r="H13" s="17">
        <v>0.0</v>
      </c>
      <c r="I13" s="15">
        <f t="shared" si="1"/>
        <v>42.3</v>
      </c>
      <c r="J13" s="18">
        <f t="shared" si="2"/>
        <v>5.875</v>
      </c>
      <c r="K13" s="17">
        <v>2.74</v>
      </c>
      <c r="L13" s="19">
        <f t="shared" si="3"/>
        <v>0</v>
      </c>
      <c r="M13" s="20">
        <f t="shared" si="4"/>
        <v>247.88232</v>
      </c>
      <c r="N13" s="29">
        <f t="shared" si="5"/>
        <v>2.74</v>
      </c>
      <c r="O13" s="21">
        <f t="shared" si="6"/>
        <v>1972.8</v>
      </c>
      <c r="P13" s="22">
        <f t="shared" si="7"/>
        <v>178475.2704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/>
      <c r="B14" s="11">
        <v>46055.0</v>
      </c>
      <c r="C14" s="12">
        <f>VLOOKUP(B:B,'Курс валют'!A:D,4,0)</f>
        <v>90.468</v>
      </c>
      <c r="D14" s="13" t="s">
        <v>1269</v>
      </c>
      <c r="E14" s="26" t="s">
        <v>53</v>
      </c>
      <c r="F14" s="15">
        <v>800.0</v>
      </c>
      <c r="G14" s="15">
        <v>803.77</v>
      </c>
      <c r="H14" s="27">
        <v>0.0</v>
      </c>
      <c r="I14" s="15">
        <f t="shared" si="1"/>
        <v>3.77</v>
      </c>
      <c r="J14" s="18">
        <f t="shared" si="2"/>
        <v>0.47125</v>
      </c>
      <c r="K14" s="17">
        <v>1.95</v>
      </c>
      <c r="L14" s="19">
        <f t="shared" si="3"/>
        <v>0</v>
      </c>
      <c r="M14" s="20">
        <f t="shared" si="4"/>
        <v>176.4126</v>
      </c>
      <c r="N14" s="21">
        <f t="shared" si="5"/>
        <v>1.95</v>
      </c>
      <c r="O14" s="21">
        <f t="shared" si="6"/>
        <v>1560</v>
      </c>
      <c r="P14" s="22">
        <f t="shared" si="7"/>
        <v>141130.08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/>
      <c r="B15" s="11">
        <v>46055.0</v>
      </c>
      <c r="C15" s="12">
        <f>VLOOKUP(B:B,'Курс валют'!A:D,4,0)</f>
        <v>90.468</v>
      </c>
      <c r="D15" s="13" t="s">
        <v>1270</v>
      </c>
      <c r="E15" s="26" t="s">
        <v>53</v>
      </c>
      <c r="F15" s="15">
        <v>800.0</v>
      </c>
      <c r="G15" s="15">
        <v>803.77</v>
      </c>
      <c r="H15" s="27">
        <v>0.0</v>
      </c>
      <c r="I15" s="15">
        <f t="shared" si="1"/>
        <v>3.77</v>
      </c>
      <c r="J15" s="18">
        <f t="shared" si="2"/>
        <v>0.47125</v>
      </c>
      <c r="K15" s="17">
        <v>1.95</v>
      </c>
      <c r="L15" s="19">
        <f t="shared" si="3"/>
        <v>0</v>
      </c>
      <c r="M15" s="20">
        <f t="shared" si="4"/>
        <v>176.4126</v>
      </c>
      <c r="N15" s="21">
        <f t="shared" si="5"/>
        <v>1.95</v>
      </c>
      <c r="O15" s="21">
        <f t="shared" si="6"/>
        <v>1560</v>
      </c>
      <c r="P15" s="22">
        <f t="shared" si="7"/>
        <v>141130.08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11"/>
      <c r="B16" s="11">
        <v>46055.0</v>
      </c>
      <c r="C16" s="12">
        <f>VLOOKUP(B:B,'Курс валют'!A:D,4,0)</f>
        <v>90.468</v>
      </c>
      <c r="D16" s="13" t="s">
        <v>1271</v>
      </c>
      <c r="E16" s="26" t="s">
        <v>53</v>
      </c>
      <c r="F16" s="15">
        <v>800.0</v>
      </c>
      <c r="G16" s="15">
        <v>803.77</v>
      </c>
      <c r="H16" s="27">
        <v>0.0</v>
      </c>
      <c r="I16" s="15">
        <f t="shared" si="1"/>
        <v>3.77</v>
      </c>
      <c r="J16" s="18">
        <f t="shared" si="2"/>
        <v>0.47125</v>
      </c>
      <c r="K16" s="17">
        <v>1.95</v>
      </c>
      <c r="L16" s="19">
        <f t="shared" si="3"/>
        <v>0</v>
      </c>
      <c r="M16" s="20">
        <f t="shared" si="4"/>
        <v>176.4126</v>
      </c>
      <c r="N16" s="29">
        <f t="shared" si="5"/>
        <v>1.95</v>
      </c>
      <c r="O16" s="21">
        <f t="shared" si="6"/>
        <v>1560</v>
      </c>
      <c r="P16" s="22">
        <f t="shared" si="7"/>
        <v>141130.08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>
      <c r="A17" s="11"/>
      <c r="B17" s="11">
        <v>46055.0</v>
      </c>
      <c r="C17" s="12">
        <f>VLOOKUP(B:B,'Курс валют'!A:D,4,0)</f>
        <v>90.468</v>
      </c>
      <c r="D17" s="13" t="s">
        <v>1272</v>
      </c>
      <c r="E17" s="26" t="s">
        <v>53</v>
      </c>
      <c r="F17" s="15">
        <v>800.0</v>
      </c>
      <c r="G17" s="15">
        <v>804.77</v>
      </c>
      <c r="H17" s="27">
        <v>0.0</v>
      </c>
      <c r="I17" s="15">
        <f t="shared" si="1"/>
        <v>4.77</v>
      </c>
      <c r="J17" s="18">
        <f t="shared" si="2"/>
        <v>0.59625</v>
      </c>
      <c r="K17" s="17">
        <v>1.95</v>
      </c>
      <c r="L17" s="19">
        <f t="shared" si="3"/>
        <v>0</v>
      </c>
      <c r="M17" s="20">
        <f t="shared" si="4"/>
        <v>176.4126</v>
      </c>
      <c r="N17" s="29">
        <f t="shared" si="5"/>
        <v>1.95</v>
      </c>
      <c r="O17" s="21">
        <f t="shared" si="6"/>
        <v>1560</v>
      </c>
      <c r="P17" s="22">
        <f t="shared" si="7"/>
        <v>141130.08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/>
      <c r="B18" s="11">
        <v>46055.0</v>
      </c>
      <c r="C18" s="12">
        <f>VLOOKUP(B:B,'Курс валют'!A:D,4,0)</f>
        <v>90.468</v>
      </c>
      <c r="D18" s="13" t="s">
        <v>1273</v>
      </c>
      <c r="E18" s="26" t="s">
        <v>53</v>
      </c>
      <c r="F18" s="15">
        <v>800.0</v>
      </c>
      <c r="G18" s="15">
        <v>804.77</v>
      </c>
      <c r="H18" s="27">
        <v>0.0</v>
      </c>
      <c r="I18" s="15">
        <f t="shared" si="1"/>
        <v>4.77</v>
      </c>
      <c r="J18" s="18">
        <f t="shared" si="2"/>
        <v>0.59625</v>
      </c>
      <c r="K18" s="17">
        <v>1.95</v>
      </c>
      <c r="L18" s="19">
        <f t="shared" si="3"/>
        <v>0</v>
      </c>
      <c r="M18" s="20">
        <f t="shared" si="4"/>
        <v>176.4126</v>
      </c>
      <c r="N18" s="21">
        <f t="shared" si="5"/>
        <v>1.95</v>
      </c>
      <c r="O18" s="21">
        <f t="shared" si="6"/>
        <v>1560</v>
      </c>
      <c r="P18" s="22">
        <f t="shared" si="7"/>
        <v>141130.08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46055.0</v>
      </c>
      <c r="C19" s="12">
        <f>VLOOKUP(B:B,'Курс валют'!A:D,4,0)</f>
        <v>90.468</v>
      </c>
      <c r="D19" s="13" t="s">
        <v>1274</v>
      </c>
      <c r="E19" s="26" t="s">
        <v>53</v>
      </c>
      <c r="F19" s="15">
        <v>800.0</v>
      </c>
      <c r="G19" s="15">
        <v>804.77</v>
      </c>
      <c r="H19" s="27">
        <v>0.0</v>
      </c>
      <c r="I19" s="15">
        <f t="shared" si="1"/>
        <v>4.77</v>
      </c>
      <c r="J19" s="18">
        <f t="shared" si="2"/>
        <v>0.59625</v>
      </c>
      <c r="K19" s="17">
        <v>1.95</v>
      </c>
      <c r="L19" s="19">
        <f t="shared" si="3"/>
        <v>0</v>
      </c>
      <c r="M19" s="20">
        <f t="shared" si="4"/>
        <v>176.4126</v>
      </c>
      <c r="N19" s="21">
        <f t="shared" si="5"/>
        <v>1.95</v>
      </c>
      <c r="O19" s="21">
        <f t="shared" si="6"/>
        <v>1560</v>
      </c>
      <c r="P19" s="22">
        <f t="shared" si="7"/>
        <v>141130.08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>
      <c r="A20" s="30"/>
      <c r="B20" s="11">
        <v>46055.0</v>
      </c>
      <c r="C20" s="12">
        <f>VLOOKUP(B:B,'Курс валют'!A:D,4,0)</f>
        <v>90.468</v>
      </c>
      <c r="D20" s="13" t="s">
        <v>1275</v>
      </c>
      <c r="E20" s="26" t="s">
        <v>53</v>
      </c>
      <c r="F20" s="15">
        <v>800.0</v>
      </c>
      <c r="G20" s="15">
        <v>804.77</v>
      </c>
      <c r="H20" s="27">
        <v>0.0</v>
      </c>
      <c r="I20" s="15">
        <f t="shared" si="1"/>
        <v>4.77</v>
      </c>
      <c r="J20" s="18">
        <f t="shared" si="2"/>
        <v>0.59625</v>
      </c>
      <c r="K20" s="17">
        <v>1.95</v>
      </c>
      <c r="L20" s="19">
        <f t="shared" si="3"/>
        <v>0</v>
      </c>
      <c r="M20" s="20">
        <f t="shared" si="4"/>
        <v>176.4126</v>
      </c>
      <c r="N20" s="21">
        <f t="shared" si="5"/>
        <v>1.95</v>
      </c>
      <c r="O20" s="21">
        <f t="shared" si="6"/>
        <v>1560</v>
      </c>
      <c r="P20" s="22">
        <f t="shared" si="7"/>
        <v>141130.08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>
      <c r="A21" s="30"/>
      <c r="B21" s="11">
        <v>46055.0</v>
      </c>
      <c r="C21" s="12">
        <f>VLOOKUP(B:B,'Курс валют'!A:D,4,0)</f>
        <v>90.468</v>
      </c>
      <c r="D21" s="13" t="s">
        <v>1276</v>
      </c>
      <c r="E21" s="26" t="s">
        <v>53</v>
      </c>
      <c r="F21" s="15">
        <v>800.0</v>
      </c>
      <c r="G21" s="15">
        <v>804.77</v>
      </c>
      <c r="H21" s="27">
        <v>0.0</v>
      </c>
      <c r="I21" s="15">
        <f t="shared" si="1"/>
        <v>4.77</v>
      </c>
      <c r="J21" s="18">
        <f t="shared" si="2"/>
        <v>0.59625</v>
      </c>
      <c r="K21" s="17">
        <v>1.95</v>
      </c>
      <c r="L21" s="19">
        <f t="shared" si="3"/>
        <v>0</v>
      </c>
      <c r="M21" s="20">
        <f t="shared" si="4"/>
        <v>176.4126</v>
      </c>
      <c r="N21" s="21">
        <f t="shared" si="5"/>
        <v>1.95</v>
      </c>
      <c r="O21" s="21">
        <f t="shared" si="6"/>
        <v>1560</v>
      </c>
      <c r="P21" s="22">
        <f t="shared" si="7"/>
        <v>141130.08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/>
      <c r="B22" s="11">
        <v>46055.0</v>
      </c>
      <c r="C22" s="12">
        <f>VLOOKUP(B:B,'Курс валют'!A:D,4,0)</f>
        <v>90.468</v>
      </c>
      <c r="D22" s="13" t="s">
        <v>1277</v>
      </c>
      <c r="E22" s="26" t="s">
        <v>53</v>
      </c>
      <c r="F22" s="15">
        <v>800.0</v>
      </c>
      <c r="G22" s="15">
        <v>804.77</v>
      </c>
      <c r="H22" s="27">
        <v>0.0</v>
      </c>
      <c r="I22" s="15">
        <f t="shared" si="1"/>
        <v>4.77</v>
      </c>
      <c r="J22" s="18">
        <f t="shared" si="2"/>
        <v>0.59625</v>
      </c>
      <c r="K22" s="17">
        <v>1.95</v>
      </c>
      <c r="L22" s="19">
        <f t="shared" si="3"/>
        <v>0</v>
      </c>
      <c r="M22" s="20">
        <f t="shared" si="4"/>
        <v>176.4126</v>
      </c>
      <c r="N22" s="21">
        <f t="shared" si="5"/>
        <v>1.95</v>
      </c>
      <c r="O22" s="21">
        <f t="shared" si="6"/>
        <v>1560</v>
      </c>
      <c r="P22" s="22">
        <f t="shared" si="7"/>
        <v>141130.08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>
      <c r="A23" s="30"/>
      <c r="B23" s="11">
        <v>46055.0</v>
      </c>
      <c r="C23" s="12">
        <f>VLOOKUP(B:B,'Курс валют'!A:D,4,0)</f>
        <v>90.468</v>
      </c>
      <c r="D23" s="13" t="s">
        <v>1278</v>
      </c>
      <c r="E23" s="26" t="s">
        <v>53</v>
      </c>
      <c r="F23" s="15">
        <v>800.0</v>
      </c>
      <c r="G23" s="15">
        <v>804.77</v>
      </c>
      <c r="H23" s="27">
        <v>0.0</v>
      </c>
      <c r="I23" s="15">
        <f t="shared" si="1"/>
        <v>4.77</v>
      </c>
      <c r="J23" s="18">
        <f t="shared" si="2"/>
        <v>0.59625</v>
      </c>
      <c r="K23" s="17">
        <v>1.95</v>
      </c>
      <c r="L23" s="19">
        <f t="shared" si="3"/>
        <v>0</v>
      </c>
      <c r="M23" s="20">
        <f t="shared" si="4"/>
        <v>176.4126</v>
      </c>
      <c r="N23" s="21">
        <f t="shared" si="5"/>
        <v>1.95</v>
      </c>
      <c r="O23" s="21">
        <f t="shared" si="6"/>
        <v>1560</v>
      </c>
      <c r="P23" s="22">
        <f t="shared" si="7"/>
        <v>141130.08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>
      <c r="A24" s="30"/>
      <c r="B24" s="11">
        <v>46056.0</v>
      </c>
      <c r="C24" s="12">
        <f>VLOOKUP(B:B,'Курс валют'!A:D,4,0)</f>
        <v>91.247</v>
      </c>
      <c r="D24" s="13" t="s">
        <v>1279</v>
      </c>
      <c r="E24" s="59" t="s">
        <v>98</v>
      </c>
      <c r="F24" s="15">
        <v>540.0</v>
      </c>
      <c r="G24" s="16">
        <v>547.5</v>
      </c>
      <c r="H24" s="17">
        <v>0.0</v>
      </c>
      <c r="I24" s="16">
        <f t="shared" si="1"/>
        <v>7.5</v>
      </c>
      <c r="J24" s="18">
        <f t="shared" si="2"/>
        <v>1.388888889</v>
      </c>
      <c r="K24" s="17">
        <v>2.02</v>
      </c>
      <c r="L24" s="19">
        <f t="shared" si="3"/>
        <v>0</v>
      </c>
      <c r="M24" s="20">
        <f t="shared" si="4"/>
        <v>184.31894</v>
      </c>
      <c r="N24" s="21">
        <f t="shared" si="5"/>
        <v>2.02</v>
      </c>
      <c r="O24" s="21">
        <f t="shared" si="6"/>
        <v>1090.8</v>
      </c>
      <c r="P24" s="22">
        <f t="shared" si="7"/>
        <v>99532.2276</v>
      </c>
      <c r="R24" s="23"/>
      <c r="S24" s="24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46056.0</v>
      </c>
      <c r="C25" s="12">
        <f>VLOOKUP(B:B,'Курс валют'!A:D,4,0)</f>
        <v>91.247</v>
      </c>
      <c r="D25" s="13" t="s">
        <v>1279</v>
      </c>
      <c r="E25" s="77" t="s">
        <v>857</v>
      </c>
      <c r="F25" s="15">
        <v>180.0</v>
      </c>
      <c r="G25" s="16">
        <v>182.5</v>
      </c>
      <c r="H25" s="17">
        <v>0.0</v>
      </c>
      <c r="I25" s="15">
        <v>2.5</v>
      </c>
      <c r="J25" s="18">
        <f t="shared" si="2"/>
        <v>1.388888889</v>
      </c>
      <c r="K25" s="17">
        <v>2.02</v>
      </c>
      <c r="L25" s="19">
        <f t="shared" si="3"/>
        <v>0</v>
      </c>
      <c r="M25" s="20">
        <f t="shared" si="4"/>
        <v>184.31894</v>
      </c>
      <c r="N25" s="21">
        <f t="shared" si="5"/>
        <v>2.02</v>
      </c>
      <c r="O25" s="21">
        <f t="shared" si="6"/>
        <v>363.6</v>
      </c>
      <c r="P25" s="22">
        <f t="shared" si="7"/>
        <v>33177.4092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46056.0</v>
      </c>
      <c r="C26" s="12">
        <f>VLOOKUP(B:B,'Курс валют'!A:D,4,0)</f>
        <v>91.247</v>
      </c>
      <c r="D26" s="13" t="s">
        <v>1280</v>
      </c>
      <c r="E26" s="77" t="s">
        <v>122</v>
      </c>
      <c r="F26" s="15">
        <v>162.26</v>
      </c>
      <c r="G26" s="16">
        <v>170.4</v>
      </c>
      <c r="H26" s="17">
        <v>0.0</v>
      </c>
      <c r="I26" s="16">
        <f t="shared" ref="I26:I177" si="8">G26-F26</f>
        <v>8.14</v>
      </c>
      <c r="J26" s="18">
        <f t="shared" si="2"/>
        <v>5.016639961</v>
      </c>
      <c r="K26" s="17">
        <v>2.06</v>
      </c>
      <c r="L26" s="19">
        <f t="shared" si="3"/>
        <v>0</v>
      </c>
      <c r="M26" s="20">
        <f t="shared" si="4"/>
        <v>187.96882</v>
      </c>
      <c r="N26" s="21">
        <f t="shared" si="5"/>
        <v>2.06</v>
      </c>
      <c r="O26" s="21">
        <f t="shared" si="6"/>
        <v>334.2556</v>
      </c>
      <c r="P26" s="22">
        <f t="shared" si="7"/>
        <v>30499.82073</v>
      </c>
      <c r="R26" s="23"/>
      <c r="S26" s="24"/>
      <c r="T26" s="25"/>
      <c r="U26" s="25"/>
      <c r="V26" s="25"/>
      <c r="W26" s="25"/>
      <c r="X26" s="25"/>
      <c r="Y26" s="25"/>
      <c r="Z26" s="25"/>
      <c r="AA26" s="25"/>
    </row>
    <row r="27">
      <c r="A27" s="30"/>
      <c r="B27" s="11">
        <v>46056.0</v>
      </c>
      <c r="C27" s="12">
        <f>VLOOKUP(B:B,'Курс валют'!A:D,4,0)</f>
        <v>91.247</v>
      </c>
      <c r="D27" s="13" t="s">
        <v>1281</v>
      </c>
      <c r="E27" s="59" t="s">
        <v>63</v>
      </c>
      <c r="F27" s="15">
        <v>2250.0</v>
      </c>
      <c r="G27" s="16">
        <v>2345.2</v>
      </c>
      <c r="H27" s="17">
        <v>903.0</v>
      </c>
      <c r="I27" s="16">
        <f t="shared" si="8"/>
        <v>95.2</v>
      </c>
      <c r="J27" s="18">
        <f t="shared" si="2"/>
        <v>4.231111111</v>
      </c>
      <c r="K27" s="17">
        <v>3.29</v>
      </c>
      <c r="L27" s="19">
        <f t="shared" si="3"/>
        <v>40.13333333</v>
      </c>
      <c r="M27" s="20">
        <f t="shared" si="4"/>
        <v>188.8764235</v>
      </c>
      <c r="N27" s="21">
        <f t="shared" si="5"/>
        <v>2.069946667</v>
      </c>
      <c r="O27" s="21">
        <f t="shared" si="6"/>
        <v>4657.38</v>
      </c>
      <c r="P27" s="22">
        <f t="shared" si="7"/>
        <v>424971.9529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 ht="15.0" customHeight="1">
      <c r="A28" s="30"/>
      <c r="B28" s="11">
        <v>46057.0</v>
      </c>
      <c r="C28" s="12">
        <f>VLOOKUP(B:B,'Курс валют'!A:D,4,0)</f>
        <v>90.7178</v>
      </c>
      <c r="D28" s="13" t="s">
        <v>1282</v>
      </c>
      <c r="E28" s="59" t="s">
        <v>18</v>
      </c>
      <c r="F28" s="15">
        <v>1100.0</v>
      </c>
      <c r="G28" s="16">
        <v>1116.81</v>
      </c>
      <c r="H28" s="17">
        <v>483.4</v>
      </c>
      <c r="I28" s="16">
        <f t="shared" si="8"/>
        <v>16.81</v>
      </c>
      <c r="J28" s="18">
        <f t="shared" si="2"/>
        <v>1.528181818</v>
      </c>
      <c r="K28" s="17">
        <v>3.86</v>
      </c>
      <c r="L28" s="19">
        <f t="shared" si="3"/>
        <v>43.94545455</v>
      </c>
      <c r="M28" s="20">
        <f t="shared" si="4"/>
        <v>228.9770053</v>
      </c>
      <c r="N28" s="21">
        <f t="shared" si="5"/>
        <v>2.524058182</v>
      </c>
      <c r="O28" s="21">
        <f t="shared" si="6"/>
        <v>2776.464</v>
      </c>
      <c r="P28" s="22">
        <f t="shared" si="7"/>
        <v>251874.7059</v>
      </c>
      <c r="R28" s="23" t="s">
        <v>1283</v>
      </c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46057.0</v>
      </c>
      <c r="C29" s="12">
        <f>VLOOKUP(B:B,'Курс валют'!A:D,4,0)</f>
        <v>90.7178</v>
      </c>
      <c r="D29" s="13" t="s">
        <v>1284</v>
      </c>
      <c r="E29" s="59" t="s">
        <v>18</v>
      </c>
      <c r="F29" s="15">
        <v>1100.0</v>
      </c>
      <c r="G29" s="16">
        <v>1116.81</v>
      </c>
      <c r="H29" s="17">
        <v>483.4</v>
      </c>
      <c r="I29" s="16">
        <f t="shared" si="8"/>
        <v>16.81</v>
      </c>
      <c r="J29" s="18">
        <f t="shared" si="2"/>
        <v>1.528181818</v>
      </c>
      <c r="K29" s="17">
        <v>3.86</v>
      </c>
      <c r="L29" s="19">
        <f t="shared" si="3"/>
        <v>43.94545455</v>
      </c>
      <c r="M29" s="20">
        <f t="shared" si="4"/>
        <v>228.9770053</v>
      </c>
      <c r="N29" s="21">
        <f t="shared" si="5"/>
        <v>2.524058182</v>
      </c>
      <c r="O29" s="21">
        <f t="shared" si="6"/>
        <v>2776.464</v>
      </c>
      <c r="P29" s="22">
        <f t="shared" si="7"/>
        <v>251874.7059</v>
      </c>
      <c r="R29" s="23" t="s">
        <v>1283</v>
      </c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46057.0</v>
      </c>
      <c r="C30" s="12">
        <f>VLOOKUP(B:B,'Курс валют'!A:D,4,0)</f>
        <v>90.7178</v>
      </c>
      <c r="D30" s="13" t="s">
        <v>1285</v>
      </c>
      <c r="E30" s="59" t="s">
        <v>18</v>
      </c>
      <c r="F30" s="15">
        <v>1100.0</v>
      </c>
      <c r="G30" s="16">
        <v>1116.81</v>
      </c>
      <c r="H30" s="17">
        <v>483.4</v>
      </c>
      <c r="I30" s="16">
        <f t="shared" si="8"/>
        <v>16.81</v>
      </c>
      <c r="J30" s="18">
        <f t="shared" si="2"/>
        <v>1.528181818</v>
      </c>
      <c r="K30" s="17">
        <v>3.86</v>
      </c>
      <c r="L30" s="19">
        <f t="shared" si="3"/>
        <v>43.94545455</v>
      </c>
      <c r="M30" s="20">
        <f t="shared" si="4"/>
        <v>228.9770053</v>
      </c>
      <c r="N30" s="21">
        <f t="shared" si="5"/>
        <v>2.524058182</v>
      </c>
      <c r="O30" s="21">
        <f t="shared" si="6"/>
        <v>2776.464</v>
      </c>
      <c r="P30" s="22">
        <f t="shared" si="7"/>
        <v>251874.7059</v>
      </c>
      <c r="R30" s="23" t="s">
        <v>1283</v>
      </c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46057.0</v>
      </c>
      <c r="C31" s="12">
        <f>VLOOKUP(B:B,'Курс валют'!A:D,4,0)</f>
        <v>90.7178</v>
      </c>
      <c r="D31" s="13" t="s">
        <v>1286</v>
      </c>
      <c r="E31" s="59" t="s">
        <v>18</v>
      </c>
      <c r="F31" s="15">
        <v>1100.0</v>
      </c>
      <c r="G31" s="16">
        <v>1116.81</v>
      </c>
      <c r="H31" s="58">
        <v>483.4</v>
      </c>
      <c r="I31" s="16">
        <f t="shared" si="8"/>
        <v>16.81</v>
      </c>
      <c r="J31" s="18">
        <f t="shared" si="2"/>
        <v>1.528181818</v>
      </c>
      <c r="K31" s="58">
        <v>3.86</v>
      </c>
      <c r="L31" s="19">
        <f t="shared" si="3"/>
        <v>43.94545455</v>
      </c>
      <c r="M31" s="20">
        <f t="shared" si="4"/>
        <v>228.9770053</v>
      </c>
      <c r="N31" s="21">
        <f t="shared" si="5"/>
        <v>2.524058182</v>
      </c>
      <c r="O31" s="21">
        <f t="shared" si="6"/>
        <v>2776.464</v>
      </c>
      <c r="P31" s="22">
        <f t="shared" si="7"/>
        <v>251874.7059</v>
      </c>
      <c r="R31" s="23" t="s">
        <v>1283</v>
      </c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46057.0</v>
      </c>
      <c r="C32" s="12">
        <f>VLOOKUP(B:B,'Курс валют'!A:D,4,0)</f>
        <v>90.7178</v>
      </c>
      <c r="D32" s="13" t="s">
        <v>1287</v>
      </c>
      <c r="E32" s="59" t="s">
        <v>1288</v>
      </c>
      <c r="F32" s="15">
        <v>6.0</v>
      </c>
      <c r="G32" s="15">
        <v>9.087</v>
      </c>
      <c r="H32" s="17">
        <v>0.0</v>
      </c>
      <c r="I32" s="15">
        <f t="shared" si="8"/>
        <v>3.087</v>
      </c>
      <c r="J32" s="18">
        <f t="shared" si="2"/>
        <v>51.45</v>
      </c>
      <c r="K32" s="58">
        <v>5.25</v>
      </c>
      <c r="L32" s="19">
        <f t="shared" si="3"/>
        <v>0</v>
      </c>
      <c r="M32" s="20">
        <f t="shared" si="4"/>
        <v>476.26845</v>
      </c>
      <c r="N32" s="21">
        <f t="shared" si="5"/>
        <v>5.25</v>
      </c>
      <c r="O32" s="21">
        <f t="shared" si="6"/>
        <v>31.5</v>
      </c>
      <c r="P32" s="22">
        <f t="shared" si="7"/>
        <v>2857.6107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46057.0</v>
      </c>
      <c r="C33" s="12">
        <f>VLOOKUP(B:B,'Курс валют'!A:D,4,0)</f>
        <v>90.7178</v>
      </c>
      <c r="D33" s="13" t="s">
        <v>1289</v>
      </c>
      <c r="E33" s="59" t="s">
        <v>1290</v>
      </c>
      <c r="F33" s="15">
        <v>6.0</v>
      </c>
      <c r="G33" s="76">
        <v>7.287</v>
      </c>
      <c r="H33" s="17">
        <v>0.0</v>
      </c>
      <c r="I33" s="15">
        <f t="shared" si="8"/>
        <v>1.287</v>
      </c>
      <c r="J33" s="18">
        <f t="shared" si="2"/>
        <v>21.45</v>
      </c>
      <c r="K33" s="58">
        <v>3.58</v>
      </c>
      <c r="L33" s="19">
        <f t="shared" si="3"/>
        <v>0</v>
      </c>
      <c r="M33" s="20">
        <f t="shared" si="4"/>
        <v>324.769724</v>
      </c>
      <c r="N33" s="21">
        <f t="shared" si="5"/>
        <v>3.58</v>
      </c>
      <c r="O33" s="21">
        <f t="shared" si="6"/>
        <v>21.48</v>
      </c>
      <c r="P33" s="22">
        <f t="shared" si="7"/>
        <v>1948.618344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46057.0</v>
      </c>
      <c r="C34" s="12">
        <f>VLOOKUP(B:B,'Курс валют'!A:D,4,0)</f>
        <v>90.7178</v>
      </c>
      <c r="D34" s="13" t="s">
        <v>1291</v>
      </c>
      <c r="E34" s="59" t="s">
        <v>18</v>
      </c>
      <c r="F34" s="15">
        <v>1100.0</v>
      </c>
      <c r="G34" s="16">
        <v>1119.81</v>
      </c>
      <c r="H34" s="17">
        <v>484.4</v>
      </c>
      <c r="I34" s="16">
        <f t="shared" si="8"/>
        <v>19.81</v>
      </c>
      <c r="J34" s="18">
        <f t="shared" si="2"/>
        <v>1.800909091</v>
      </c>
      <c r="K34" s="58">
        <v>3.87</v>
      </c>
      <c r="L34" s="19">
        <f t="shared" si="3"/>
        <v>44.03636364</v>
      </c>
      <c r="M34" s="20">
        <f t="shared" si="4"/>
        <v>229.6334723</v>
      </c>
      <c r="N34" s="21">
        <f t="shared" si="5"/>
        <v>2.531294545</v>
      </c>
      <c r="O34" s="21">
        <f t="shared" si="6"/>
        <v>2784.424</v>
      </c>
      <c r="P34" s="22">
        <f t="shared" si="7"/>
        <v>252596.8195</v>
      </c>
      <c r="R34" s="23" t="s">
        <v>1283</v>
      </c>
      <c r="S34" s="57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46057.0</v>
      </c>
      <c r="C35" s="12">
        <f>VLOOKUP(B:B,'Курс валют'!A:D,4,0)</f>
        <v>90.7178</v>
      </c>
      <c r="D35" s="13" t="s">
        <v>1292</v>
      </c>
      <c r="E35" s="59" t="s">
        <v>18</v>
      </c>
      <c r="F35" s="15">
        <v>1100.0</v>
      </c>
      <c r="G35" s="16">
        <v>1119.81</v>
      </c>
      <c r="H35" s="17">
        <v>484.4</v>
      </c>
      <c r="I35" s="16">
        <f t="shared" si="8"/>
        <v>19.81</v>
      </c>
      <c r="J35" s="18">
        <f t="shared" si="2"/>
        <v>1.800909091</v>
      </c>
      <c r="K35" s="58">
        <v>3.87</v>
      </c>
      <c r="L35" s="19">
        <f t="shared" si="3"/>
        <v>44.03636364</v>
      </c>
      <c r="M35" s="20">
        <f t="shared" si="4"/>
        <v>229.6334723</v>
      </c>
      <c r="N35" s="21">
        <f t="shared" si="5"/>
        <v>2.531294545</v>
      </c>
      <c r="O35" s="21">
        <f t="shared" si="6"/>
        <v>2784.424</v>
      </c>
      <c r="P35" s="22">
        <f t="shared" si="7"/>
        <v>252596.8195</v>
      </c>
      <c r="R35" s="23" t="s">
        <v>1283</v>
      </c>
      <c r="S35" s="57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46057.0</v>
      </c>
      <c r="C36" s="12">
        <f>VLOOKUP(B:B,'Курс валют'!A:D,4,0)</f>
        <v>90.7178</v>
      </c>
      <c r="D36" s="13" t="s">
        <v>1293</v>
      </c>
      <c r="E36" s="59" t="s">
        <v>18</v>
      </c>
      <c r="F36" s="15">
        <v>1100.0</v>
      </c>
      <c r="G36" s="16">
        <v>1119.81</v>
      </c>
      <c r="H36" s="17">
        <v>484.4</v>
      </c>
      <c r="I36" s="16">
        <f t="shared" si="8"/>
        <v>19.81</v>
      </c>
      <c r="J36" s="18">
        <f t="shared" si="2"/>
        <v>1.800909091</v>
      </c>
      <c r="K36" s="58">
        <v>3.87</v>
      </c>
      <c r="L36" s="19">
        <f t="shared" si="3"/>
        <v>44.03636364</v>
      </c>
      <c r="M36" s="20">
        <f t="shared" si="4"/>
        <v>229.6334723</v>
      </c>
      <c r="N36" s="21">
        <f t="shared" si="5"/>
        <v>2.531294545</v>
      </c>
      <c r="O36" s="21">
        <f t="shared" si="6"/>
        <v>2784.424</v>
      </c>
      <c r="P36" s="22">
        <f t="shared" si="7"/>
        <v>252596.8195</v>
      </c>
      <c r="R36" s="23" t="s">
        <v>1283</v>
      </c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46058.0</v>
      </c>
      <c r="C37" s="12">
        <f>VLOOKUP(B:B,'Курс валют'!A:D,4,0)</f>
        <v>91.1138</v>
      </c>
      <c r="D37" s="13" t="s">
        <v>1294</v>
      </c>
      <c r="E37" s="59" t="s">
        <v>18</v>
      </c>
      <c r="F37" s="15">
        <v>1100.0</v>
      </c>
      <c r="G37" s="60">
        <v>1124.41</v>
      </c>
      <c r="H37" s="17">
        <v>484.0</v>
      </c>
      <c r="I37" s="16">
        <f t="shared" si="8"/>
        <v>24.41</v>
      </c>
      <c r="J37" s="18">
        <f t="shared" si="2"/>
        <v>2.219090909</v>
      </c>
      <c r="K37" s="58">
        <v>3.88</v>
      </c>
      <c r="L37" s="19">
        <f t="shared" si="3"/>
        <v>44</v>
      </c>
      <c r="M37" s="20">
        <f t="shared" si="4"/>
        <v>231.6477251</v>
      </c>
      <c r="N37" s="21">
        <f t="shared" si="5"/>
        <v>2.5424</v>
      </c>
      <c r="O37" s="21">
        <f t="shared" si="6"/>
        <v>2796.64</v>
      </c>
      <c r="P37" s="22">
        <f t="shared" si="7"/>
        <v>254812.4976</v>
      </c>
      <c r="R37" s="23" t="s">
        <v>1283</v>
      </c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46058.0</v>
      </c>
      <c r="C38" s="12">
        <f>VLOOKUP(B:B,'Курс валют'!A:D,4,0)</f>
        <v>91.1138</v>
      </c>
      <c r="D38" s="13" t="s">
        <v>1295</v>
      </c>
      <c r="E38" s="59" t="s">
        <v>18</v>
      </c>
      <c r="F38" s="15">
        <v>1100.0</v>
      </c>
      <c r="G38" s="16">
        <v>1124.41</v>
      </c>
      <c r="H38" s="17">
        <v>484.0</v>
      </c>
      <c r="I38" s="16">
        <f t="shared" si="8"/>
        <v>24.41</v>
      </c>
      <c r="J38" s="18">
        <f t="shared" si="2"/>
        <v>2.219090909</v>
      </c>
      <c r="K38" s="58">
        <v>3.88</v>
      </c>
      <c r="L38" s="19">
        <f t="shared" si="3"/>
        <v>44</v>
      </c>
      <c r="M38" s="20">
        <f t="shared" si="4"/>
        <v>231.6477251</v>
      </c>
      <c r="N38" s="21">
        <f t="shared" si="5"/>
        <v>2.5424</v>
      </c>
      <c r="O38" s="21">
        <f t="shared" si="6"/>
        <v>2796.64</v>
      </c>
      <c r="P38" s="22">
        <f t="shared" si="7"/>
        <v>254812.4976</v>
      </c>
      <c r="R38" s="23" t="s">
        <v>1283</v>
      </c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46058.0</v>
      </c>
      <c r="C39" s="12">
        <f>VLOOKUP(B:B,'Курс валют'!A:D,4,0)</f>
        <v>91.1138</v>
      </c>
      <c r="D39" s="13" t="s">
        <v>1296</v>
      </c>
      <c r="E39" s="59" t="s">
        <v>18</v>
      </c>
      <c r="F39" s="15">
        <v>1100.0</v>
      </c>
      <c r="G39" s="60">
        <v>1124.41</v>
      </c>
      <c r="H39" s="17">
        <v>484.0</v>
      </c>
      <c r="I39" s="16">
        <f t="shared" si="8"/>
        <v>24.41</v>
      </c>
      <c r="J39" s="18">
        <f t="shared" si="2"/>
        <v>2.219090909</v>
      </c>
      <c r="K39" s="58">
        <v>3.88</v>
      </c>
      <c r="L39" s="19">
        <f t="shared" si="3"/>
        <v>44</v>
      </c>
      <c r="M39" s="20">
        <f t="shared" si="4"/>
        <v>231.6477251</v>
      </c>
      <c r="N39" s="21">
        <f t="shared" si="5"/>
        <v>2.5424</v>
      </c>
      <c r="O39" s="21">
        <f t="shared" si="6"/>
        <v>2796.64</v>
      </c>
      <c r="P39" s="22">
        <f t="shared" si="7"/>
        <v>254812.4976</v>
      </c>
      <c r="R39" s="23" t="s">
        <v>1283</v>
      </c>
      <c r="S39" s="24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11">
        <v>46058.0</v>
      </c>
      <c r="C40" s="12">
        <f>VLOOKUP(B:B,'Курс валют'!A:D,4,0)</f>
        <v>91.1138</v>
      </c>
      <c r="D40" s="13" t="s">
        <v>1297</v>
      </c>
      <c r="E40" s="59" t="s">
        <v>18</v>
      </c>
      <c r="F40" s="15">
        <v>1100.0</v>
      </c>
      <c r="G40" s="60">
        <v>1124.41</v>
      </c>
      <c r="H40" s="17">
        <v>484.0</v>
      </c>
      <c r="I40" s="16">
        <f t="shared" si="8"/>
        <v>24.41</v>
      </c>
      <c r="J40" s="18">
        <f t="shared" si="2"/>
        <v>2.219090909</v>
      </c>
      <c r="K40" s="17">
        <v>3.88</v>
      </c>
      <c r="L40" s="19">
        <f t="shared" si="3"/>
        <v>44</v>
      </c>
      <c r="M40" s="20">
        <f t="shared" si="4"/>
        <v>231.6477251</v>
      </c>
      <c r="N40" s="21">
        <f t="shared" si="5"/>
        <v>2.5424</v>
      </c>
      <c r="O40" s="21">
        <f t="shared" si="6"/>
        <v>2796.64</v>
      </c>
      <c r="P40" s="22">
        <f t="shared" si="7"/>
        <v>254812.4976</v>
      </c>
      <c r="R40" s="23" t="s">
        <v>1283</v>
      </c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30">
        <v>46058.0</v>
      </c>
      <c r="C41" s="12">
        <f>VLOOKUP(B:B,'Курс валют'!A:D,4,0)</f>
        <v>91.1138</v>
      </c>
      <c r="D41" s="13" t="s">
        <v>1298</v>
      </c>
      <c r="E41" s="59" t="s">
        <v>59</v>
      </c>
      <c r="F41" s="15">
        <v>2200.0</v>
      </c>
      <c r="G41" s="61">
        <v>2241.85</v>
      </c>
      <c r="H41" s="58">
        <v>0.0</v>
      </c>
      <c r="I41" s="16">
        <f t="shared" si="8"/>
        <v>41.85</v>
      </c>
      <c r="J41" s="18">
        <f t="shared" si="2"/>
        <v>1.902272727</v>
      </c>
      <c r="K41" s="17">
        <v>2.34</v>
      </c>
      <c r="L41" s="19">
        <f t="shared" si="3"/>
        <v>0</v>
      </c>
      <c r="M41" s="20">
        <f t="shared" si="4"/>
        <v>213.206292</v>
      </c>
      <c r="N41" s="21">
        <f t="shared" si="5"/>
        <v>2.34</v>
      </c>
      <c r="O41" s="21">
        <f t="shared" si="6"/>
        <v>5148</v>
      </c>
      <c r="P41" s="22">
        <f t="shared" si="7"/>
        <v>469053.8424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46058.0</v>
      </c>
      <c r="C42" s="12">
        <f>VLOOKUP(B:B,'Курс валют'!A:D,4,0)</f>
        <v>91.1138</v>
      </c>
      <c r="D42" s="13" t="s">
        <v>1299</v>
      </c>
      <c r="E42" s="59" t="s">
        <v>18</v>
      </c>
      <c r="F42" s="15">
        <v>1100.0</v>
      </c>
      <c r="G42" s="61">
        <v>1124.41</v>
      </c>
      <c r="H42" s="58">
        <v>484.0</v>
      </c>
      <c r="I42" s="16">
        <f t="shared" si="8"/>
        <v>24.41</v>
      </c>
      <c r="J42" s="18">
        <f t="shared" si="2"/>
        <v>2.219090909</v>
      </c>
      <c r="K42" s="17">
        <v>3.88</v>
      </c>
      <c r="L42" s="19">
        <f t="shared" si="3"/>
        <v>44</v>
      </c>
      <c r="M42" s="20">
        <f t="shared" si="4"/>
        <v>231.6477251</v>
      </c>
      <c r="N42" s="21">
        <f t="shared" si="5"/>
        <v>2.5424</v>
      </c>
      <c r="O42" s="21">
        <f t="shared" si="6"/>
        <v>2796.64</v>
      </c>
      <c r="P42" s="22">
        <f t="shared" si="7"/>
        <v>254812.4976</v>
      </c>
      <c r="R42" s="23" t="s">
        <v>1283</v>
      </c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11">
        <v>46058.0</v>
      </c>
      <c r="C43" s="12">
        <f>VLOOKUP(B:B,'Курс валют'!A:D,4,0)</f>
        <v>91.1138</v>
      </c>
      <c r="D43" s="13" t="s">
        <v>1300</v>
      </c>
      <c r="E43" s="59" t="s">
        <v>18</v>
      </c>
      <c r="F43" s="15">
        <v>1100.0</v>
      </c>
      <c r="G43" s="61">
        <v>1124.41</v>
      </c>
      <c r="H43" s="58">
        <v>484.0</v>
      </c>
      <c r="I43" s="16">
        <f t="shared" si="8"/>
        <v>24.41</v>
      </c>
      <c r="J43" s="18">
        <f t="shared" si="2"/>
        <v>2.219090909</v>
      </c>
      <c r="K43" s="17">
        <v>3.88</v>
      </c>
      <c r="L43" s="19">
        <f t="shared" si="3"/>
        <v>44</v>
      </c>
      <c r="M43" s="20">
        <f t="shared" si="4"/>
        <v>231.6477251</v>
      </c>
      <c r="N43" s="21">
        <f t="shared" si="5"/>
        <v>2.5424</v>
      </c>
      <c r="O43" s="21">
        <f t="shared" si="6"/>
        <v>2796.64</v>
      </c>
      <c r="P43" s="22">
        <f t="shared" si="7"/>
        <v>254812.4976</v>
      </c>
      <c r="R43" s="23" t="s">
        <v>1283</v>
      </c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46058.0</v>
      </c>
      <c r="C44" s="12">
        <f>VLOOKUP(B:B,'Курс валют'!A:D,4,0)</f>
        <v>91.1138</v>
      </c>
      <c r="D44" s="13" t="s">
        <v>1301</v>
      </c>
      <c r="E44" s="59" t="s">
        <v>18</v>
      </c>
      <c r="F44" s="15">
        <v>1100.0</v>
      </c>
      <c r="G44" s="61">
        <v>1124.41</v>
      </c>
      <c r="H44" s="58">
        <v>484.0</v>
      </c>
      <c r="I44" s="16">
        <f t="shared" si="8"/>
        <v>24.41</v>
      </c>
      <c r="J44" s="18">
        <f t="shared" si="2"/>
        <v>2.219090909</v>
      </c>
      <c r="K44" s="17">
        <v>3.82</v>
      </c>
      <c r="L44" s="19">
        <f t="shared" si="3"/>
        <v>44</v>
      </c>
      <c r="M44" s="20">
        <f t="shared" si="4"/>
        <v>226.1808971</v>
      </c>
      <c r="N44" s="21">
        <f t="shared" si="5"/>
        <v>2.4824</v>
      </c>
      <c r="O44" s="21">
        <f t="shared" si="6"/>
        <v>2730.64</v>
      </c>
      <c r="P44" s="22">
        <f t="shared" si="7"/>
        <v>248798.9868</v>
      </c>
      <c r="R44" s="23" t="s">
        <v>1283</v>
      </c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46058.0</v>
      </c>
      <c r="C45" s="12">
        <f>VLOOKUP(B:B,'Курс валют'!A:D,4,0)</f>
        <v>91.1138</v>
      </c>
      <c r="D45" s="13" t="s">
        <v>1302</v>
      </c>
      <c r="E45" s="59" t="s">
        <v>18</v>
      </c>
      <c r="F45" s="15">
        <v>1100.0</v>
      </c>
      <c r="G45" s="61">
        <v>1124.41</v>
      </c>
      <c r="H45" s="58">
        <v>484.0</v>
      </c>
      <c r="I45" s="16">
        <f t="shared" si="8"/>
        <v>24.41</v>
      </c>
      <c r="J45" s="18">
        <f t="shared" si="2"/>
        <v>2.219090909</v>
      </c>
      <c r="K45" s="17">
        <v>3.84</v>
      </c>
      <c r="L45" s="19">
        <f t="shared" si="3"/>
        <v>44</v>
      </c>
      <c r="M45" s="20">
        <f t="shared" si="4"/>
        <v>228.0031731</v>
      </c>
      <c r="N45" s="21">
        <f t="shared" si="5"/>
        <v>2.5024</v>
      </c>
      <c r="O45" s="21">
        <f t="shared" si="6"/>
        <v>2752.64</v>
      </c>
      <c r="P45" s="22">
        <f t="shared" si="7"/>
        <v>250803.4904</v>
      </c>
      <c r="R45" s="23" t="s">
        <v>1283</v>
      </c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46058.0</v>
      </c>
      <c r="C46" s="12">
        <f>VLOOKUP(B:B,'Курс валют'!A:D,4,0)</f>
        <v>91.1138</v>
      </c>
      <c r="D46" s="13" t="s">
        <v>1303</v>
      </c>
      <c r="E46" s="59" t="s">
        <v>108</v>
      </c>
      <c r="F46" s="15">
        <v>46.36</v>
      </c>
      <c r="G46" s="61">
        <v>49.98</v>
      </c>
      <c r="H46" s="58">
        <v>0.0</v>
      </c>
      <c r="I46" s="16">
        <f t="shared" si="8"/>
        <v>3.62</v>
      </c>
      <c r="J46" s="18">
        <f t="shared" si="2"/>
        <v>7.808455565</v>
      </c>
      <c r="K46" s="17">
        <v>2.4</v>
      </c>
      <c r="L46" s="19">
        <f t="shared" si="3"/>
        <v>0</v>
      </c>
      <c r="M46" s="20">
        <f t="shared" si="4"/>
        <v>218.67312</v>
      </c>
      <c r="N46" s="21">
        <f t="shared" si="5"/>
        <v>2.4</v>
      </c>
      <c r="O46" s="21">
        <f t="shared" si="6"/>
        <v>111.264</v>
      </c>
      <c r="P46" s="22">
        <f t="shared" si="7"/>
        <v>10137.68584</v>
      </c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46059.0</v>
      </c>
      <c r="C47" s="12">
        <f>VLOOKUP(B:B,'Курс валют'!A:D,4,0)</f>
        <v>90.2881</v>
      </c>
      <c r="D47" s="13" t="s">
        <v>1304</v>
      </c>
      <c r="E47" s="59" t="s">
        <v>18</v>
      </c>
      <c r="F47" s="15">
        <v>1100.0</v>
      </c>
      <c r="G47" s="61">
        <v>1183.41</v>
      </c>
      <c r="H47" s="58">
        <v>484.0</v>
      </c>
      <c r="I47" s="16">
        <f t="shared" si="8"/>
        <v>83.41</v>
      </c>
      <c r="J47" s="18">
        <f t="shared" si="2"/>
        <v>7.582727273</v>
      </c>
      <c r="K47" s="17">
        <v>3.99</v>
      </c>
      <c r="L47" s="19">
        <f t="shared" si="3"/>
        <v>44</v>
      </c>
      <c r="M47" s="20">
        <f t="shared" si="4"/>
        <v>239.4801564</v>
      </c>
      <c r="N47" s="21">
        <f t="shared" si="5"/>
        <v>2.6524</v>
      </c>
      <c r="O47" s="21">
        <f t="shared" si="6"/>
        <v>2917.64</v>
      </c>
      <c r="P47" s="22">
        <f t="shared" si="7"/>
        <v>263428.1721</v>
      </c>
      <c r="R47" s="23" t="s">
        <v>1283</v>
      </c>
      <c r="S47" s="24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46059.0</v>
      </c>
      <c r="C48" s="12">
        <f>VLOOKUP(B:B,'Курс валют'!A:D,4,0)</f>
        <v>90.2881</v>
      </c>
      <c r="D48" s="13" t="s">
        <v>1305</v>
      </c>
      <c r="E48" s="59" t="s">
        <v>18</v>
      </c>
      <c r="F48" s="15">
        <v>1100.0</v>
      </c>
      <c r="G48" s="61">
        <v>1183.41</v>
      </c>
      <c r="H48" s="58">
        <v>484.0</v>
      </c>
      <c r="I48" s="16">
        <f t="shared" si="8"/>
        <v>83.41</v>
      </c>
      <c r="J48" s="18">
        <f t="shared" si="2"/>
        <v>7.582727273</v>
      </c>
      <c r="K48" s="17">
        <v>3.99</v>
      </c>
      <c r="L48" s="19">
        <f t="shared" si="3"/>
        <v>44</v>
      </c>
      <c r="M48" s="20">
        <f t="shared" si="4"/>
        <v>239.4801564</v>
      </c>
      <c r="N48" s="21">
        <f t="shared" si="5"/>
        <v>2.6524</v>
      </c>
      <c r="O48" s="21">
        <f t="shared" si="6"/>
        <v>2917.64</v>
      </c>
      <c r="P48" s="22">
        <f t="shared" si="7"/>
        <v>263428.1721</v>
      </c>
      <c r="R48" s="23" t="s">
        <v>1283</v>
      </c>
      <c r="S48" s="24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46059.0</v>
      </c>
      <c r="C49" s="12">
        <f>VLOOKUP(B:B,'Курс валют'!A:D,4,0)</f>
        <v>90.2881</v>
      </c>
      <c r="D49" s="13" t="s">
        <v>1306</v>
      </c>
      <c r="E49" s="59" t="s">
        <v>18</v>
      </c>
      <c r="F49" s="15">
        <v>1100.0</v>
      </c>
      <c r="G49" s="61">
        <v>1183.41</v>
      </c>
      <c r="H49" s="58">
        <v>484.0</v>
      </c>
      <c r="I49" s="16">
        <f t="shared" si="8"/>
        <v>83.41</v>
      </c>
      <c r="J49" s="18">
        <f t="shared" si="2"/>
        <v>7.582727273</v>
      </c>
      <c r="K49" s="17">
        <v>3.99</v>
      </c>
      <c r="L49" s="19">
        <f t="shared" si="3"/>
        <v>44</v>
      </c>
      <c r="M49" s="20">
        <f t="shared" si="4"/>
        <v>239.4801564</v>
      </c>
      <c r="N49" s="21">
        <f t="shared" si="5"/>
        <v>2.6524</v>
      </c>
      <c r="O49" s="21">
        <f t="shared" si="6"/>
        <v>2917.64</v>
      </c>
      <c r="P49" s="22">
        <f t="shared" si="7"/>
        <v>263428.1721</v>
      </c>
      <c r="R49" s="23" t="s">
        <v>1283</v>
      </c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46059.0</v>
      </c>
      <c r="C50" s="12">
        <f>VLOOKUP(B:B,'Курс валют'!A:D,4,0)</f>
        <v>90.2881</v>
      </c>
      <c r="D50" s="13" t="s">
        <v>1307</v>
      </c>
      <c r="E50" s="59" t="s">
        <v>18</v>
      </c>
      <c r="F50" s="15">
        <v>1100.0</v>
      </c>
      <c r="G50" s="61">
        <v>1183.41</v>
      </c>
      <c r="H50" s="58">
        <v>484.0</v>
      </c>
      <c r="I50" s="16">
        <f t="shared" si="8"/>
        <v>83.41</v>
      </c>
      <c r="J50" s="18">
        <f t="shared" si="2"/>
        <v>7.582727273</v>
      </c>
      <c r="K50" s="17">
        <v>3.99</v>
      </c>
      <c r="L50" s="19">
        <f t="shared" si="3"/>
        <v>44</v>
      </c>
      <c r="M50" s="20">
        <f t="shared" si="4"/>
        <v>239.4801564</v>
      </c>
      <c r="N50" s="21">
        <f t="shared" si="5"/>
        <v>2.6524</v>
      </c>
      <c r="O50" s="21">
        <f t="shared" si="6"/>
        <v>2917.64</v>
      </c>
      <c r="P50" s="22">
        <f t="shared" si="7"/>
        <v>263428.1721</v>
      </c>
      <c r="R50" s="23" t="s">
        <v>1283</v>
      </c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46059.0</v>
      </c>
      <c r="C51" s="12">
        <f>VLOOKUP(B:B,'Курс валют'!A:D,4,0)</f>
        <v>90.2881</v>
      </c>
      <c r="D51" s="13" t="s">
        <v>1308</v>
      </c>
      <c r="E51" s="59" t="s">
        <v>59</v>
      </c>
      <c r="F51" s="15">
        <v>2200.0</v>
      </c>
      <c r="G51" s="61">
        <v>2226.85</v>
      </c>
      <c r="H51" s="58">
        <v>0.0</v>
      </c>
      <c r="I51" s="16">
        <f t="shared" si="8"/>
        <v>26.85</v>
      </c>
      <c r="J51" s="18">
        <f t="shared" si="2"/>
        <v>1.220454545</v>
      </c>
      <c r="K51" s="17">
        <v>2.33</v>
      </c>
      <c r="L51" s="19">
        <f t="shared" si="3"/>
        <v>0</v>
      </c>
      <c r="M51" s="20">
        <f t="shared" si="4"/>
        <v>210.371273</v>
      </c>
      <c r="N51" s="21">
        <f t="shared" si="5"/>
        <v>2.33</v>
      </c>
      <c r="O51" s="21">
        <f t="shared" si="6"/>
        <v>5126</v>
      </c>
      <c r="P51" s="22">
        <f t="shared" si="7"/>
        <v>462816.8006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46059.0</v>
      </c>
      <c r="C52" s="12">
        <f>VLOOKUP(B:B,'Курс валют'!A:D,4,0)</f>
        <v>90.2881</v>
      </c>
      <c r="D52" s="13" t="s">
        <v>1309</v>
      </c>
      <c r="E52" s="59" t="s">
        <v>18</v>
      </c>
      <c r="F52" s="15">
        <v>1100.0</v>
      </c>
      <c r="G52" s="61">
        <v>1183.41</v>
      </c>
      <c r="H52" s="58">
        <v>484.0</v>
      </c>
      <c r="I52" s="16">
        <f t="shared" si="8"/>
        <v>83.41</v>
      </c>
      <c r="J52" s="18">
        <f t="shared" si="2"/>
        <v>7.582727273</v>
      </c>
      <c r="K52" s="17">
        <v>4.0</v>
      </c>
      <c r="L52" s="19">
        <f t="shared" si="3"/>
        <v>44</v>
      </c>
      <c r="M52" s="20">
        <f t="shared" si="4"/>
        <v>240.3830374</v>
      </c>
      <c r="N52" s="21">
        <f t="shared" si="5"/>
        <v>2.6624</v>
      </c>
      <c r="O52" s="21">
        <f t="shared" si="6"/>
        <v>2928.64</v>
      </c>
      <c r="P52" s="22">
        <f t="shared" si="7"/>
        <v>264421.3412</v>
      </c>
      <c r="R52" s="23" t="s">
        <v>1283</v>
      </c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46059.0</v>
      </c>
      <c r="C53" s="12">
        <f>VLOOKUP(B:B,'Курс валют'!A:D,4,0)</f>
        <v>90.2881</v>
      </c>
      <c r="D53" s="13" t="s">
        <v>1310</v>
      </c>
      <c r="E53" s="59" t="s">
        <v>18</v>
      </c>
      <c r="F53" s="15">
        <v>1100.0</v>
      </c>
      <c r="G53" s="61">
        <v>1183.41</v>
      </c>
      <c r="H53" s="17">
        <v>484.0</v>
      </c>
      <c r="I53" s="16">
        <f t="shared" si="8"/>
        <v>83.41</v>
      </c>
      <c r="J53" s="18">
        <f t="shared" si="2"/>
        <v>7.582727273</v>
      </c>
      <c r="K53" s="62">
        <v>3.99</v>
      </c>
      <c r="L53" s="19">
        <f t="shared" si="3"/>
        <v>44</v>
      </c>
      <c r="M53" s="20">
        <f t="shared" si="4"/>
        <v>239.4801564</v>
      </c>
      <c r="N53" s="21">
        <f t="shared" si="5"/>
        <v>2.6524</v>
      </c>
      <c r="O53" s="21">
        <f t="shared" si="6"/>
        <v>2917.64</v>
      </c>
      <c r="P53" s="22">
        <f t="shared" si="7"/>
        <v>263428.1721</v>
      </c>
      <c r="R53" s="23" t="s">
        <v>1283</v>
      </c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46059.0</v>
      </c>
      <c r="C54" s="12">
        <f>VLOOKUP(B:B,'Курс валют'!A:D,4,0)</f>
        <v>90.2881</v>
      </c>
      <c r="D54" s="13" t="s">
        <v>1311</v>
      </c>
      <c r="E54" s="59" t="s">
        <v>18</v>
      </c>
      <c r="F54" s="15">
        <v>1100.0</v>
      </c>
      <c r="G54" s="61">
        <v>1183.41</v>
      </c>
      <c r="H54" s="17">
        <v>484.0</v>
      </c>
      <c r="I54" s="16">
        <f t="shared" si="8"/>
        <v>83.41</v>
      </c>
      <c r="J54" s="18">
        <f t="shared" si="2"/>
        <v>7.582727273</v>
      </c>
      <c r="K54" s="62">
        <v>3.99</v>
      </c>
      <c r="L54" s="19">
        <f t="shared" si="3"/>
        <v>44</v>
      </c>
      <c r="M54" s="20">
        <f t="shared" si="4"/>
        <v>239.4801564</v>
      </c>
      <c r="N54" s="21">
        <f t="shared" si="5"/>
        <v>2.6524</v>
      </c>
      <c r="O54" s="21">
        <f t="shared" si="6"/>
        <v>2917.64</v>
      </c>
      <c r="P54" s="22">
        <f t="shared" si="7"/>
        <v>263428.1721</v>
      </c>
      <c r="R54" s="23" t="s">
        <v>1283</v>
      </c>
      <c r="S54" s="24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46059.0</v>
      </c>
      <c r="C55" s="12">
        <f>VLOOKUP(B:B,'Курс валют'!A:D,4,0)</f>
        <v>90.2881</v>
      </c>
      <c r="D55" s="13" t="s">
        <v>1312</v>
      </c>
      <c r="E55" s="59" t="s">
        <v>18</v>
      </c>
      <c r="F55" s="15">
        <v>1100.0</v>
      </c>
      <c r="G55" s="61">
        <v>1183.41</v>
      </c>
      <c r="H55" s="17">
        <v>484.0</v>
      </c>
      <c r="I55" s="16">
        <f t="shared" si="8"/>
        <v>83.41</v>
      </c>
      <c r="J55" s="18">
        <f t="shared" si="2"/>
        <v>7.582727273</v>
      </c>
      <c r="K55" s="17">
        <v>4.0</v>
      </c>
      <c r="L55" s="19">
        <f t="shared" si="3"/>
        <v>44</v>
      </c>
      <c r="M55" s="20">
        <f t="shared" si="4"/>
        <v>240.3830374</v>
      </c>
      <c r="N55" s="21">
        <f t="shared" si="5"/>
        <v>2.6624</v>
      </c>
      <c r="O55" s="21">
        <f t="shared" si="6"/>
        <v>2928.64</v>
      </c>
      <c r="P55" s="22">
        <f t="shared" si="7"/>
        <v>264421.3412</v>
      </c>
      <c r="R55" s="23" t="s">
        <v>1283</v>
      </c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46060.0</v>
      </c>
      <c r="C56" s="12">
        <f>VLOOKUP(B:B,'Курс валют'!A:D,4,0)</f>
        <v>91.0451</v>
      </c>
      <c r="D56" s="13" t="s">
        <v>1313</v>
      </c>
      <c r="E56" s="59" t="s">
        <v>18</v>
      </c>
      <c r="F56" s="15">
        <v>1100.0</v>
      </c>
      <c r="G56" s="61">
        <v>1183.41</v>
      </c>
      <c r="H56" s="17">
        <v>484.0</v>
      </c>
      <c r="I56" s="16">
        <f t="shared" si="8"/>
        <v>83.41</v>
      </c>
      <c r="J56" s="18">
        <f t="shared" si="2"/>
        <v>7.582727273</v>
      </c>
      <c r="K56" s="17">
        <v>3.99</v>
      </c>
      <c r="L56" s="19">
        <f t="shared" si="3"/>
        <v>44</v>
      </c>
      <c r="M56" s="20">
        <f t="shared" si="4"/>
        <v>241.4880232</v>
      </c>
      <c r="N56" s="21">
        <f t="shared" si="5"/>
        <v>2.6524</v>
      </c>
      <c r="O56" s="21">
        <f t="shared" si="6"/>
        <v>2917.64</v>
      </c>
      <c r="P56" s="22">
        <f t="shared" si="7"/>
        <v>265636.8256</v>
      </c>
      <c r="R56" s="23" t="s">
        <v>1283</v>
      </c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>
        <v>46060.0</v>
      </c>
      <c r="C57" s="12">
        <f>VLOOKUP(B:B,'Курс валют'!A:D,4,0)</f>
        <v>91.0451</v>
      </c>
      <c r="D57" s="13" t="s">
        <v>1314</v>
      </c>
      <c r="E57" s="59" t="s">
        <v>18</v>
      </c>
      <c r="F57" s="15">
        <v>1100.0</v>
      </c>
      <c r="G57" s="61">
        <v>1183.41</v>
      </c>
      <c r="H57" s="27">
        <v>484.0</v>
      </c>
      <c r="I57" s="16">
        <f t="shared" si="8"/>
        <v>83.41</v>
      </c>
      <c r="J57" s="18">
        <f t="shared" si="2"/>
        <v>7.582727273</v>
      </c>
      <c r="K57" s="17">
        <v>3.99</v>
      </c>
      <c r="L57" s="19">
        <f t="shared" si="3"/>
        <v>44</v>
      </c>
      <c r="M57" s="20">
        <f t="shared" si="4"/>
        <v>241.4880232</v>
      </c>
      <c r="N57" s="21">
        <f t="shared" si="5"/>
        <v>2.6524</v>
      </c>
      <c r="O57" s="21">
        <f t="shared" si="6"/>
        <v>2917.64</v>
      </c>
      <c r="P57" s="22">
        <f t="shared" si="7"/>
        <v>265636.8256</v>
      </c>
      <c r="R57" s="23" t="s">
        <v>1283</v>
      </c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>
        <v>46060.0</v>
      </c>
      <c r="C58" s="12">
        <f>VLOOKUP(B:B,'Курс валют'!A:D,4,0)</f>
        <v>91.0451</v>
      </c>
      <c r="D58" s="13" t="s">
        <v>1315</v>
      </c>
      <c r="E58" s="59" t="s">
        <v>18</v>
      </c>
      <c r="F58" s="15">
        <v>1100.0</v>
      </c>
      <c r="G58" s="61">
        <v>1183.41</v>
      </c>
      <c r="H58" s="27">
        <v>484.0</v>
      </c>
      <c r="I58" s="16">
        <f t="shared" si="8"/>
        <v>83.41</v>
      </c>
      <c r="J58" s="18">
        <f t="shared" si="2"/>
        <v>7.582727273</v>
      </c>
      <c r="K58" s="17">
        <v>3.99</v>
      </c>
      <c r="L58" s="19">
        <f t="shared" si="3"/>
        <v>44</v>
      </c>
      <c r="M58" s="20">
        <f t="shared" si="4"/>
        <v>241.4880232</v>
      </c>
      <c r="N58" s="21">
        <f t="shared" si="5"/>
        <v>2.6524</v>
      </c>
      <c r="O58" s="21">
        <f t="shared" si="6"/>
        <v>2917.64</v>
      </c>
      <c r="P58" s="22">
        <f t="shared" si="7"/>
        <v>265636.8256</v>
      </c>
      <c r="R58" s="23" t="s">
        <v>1283</v>
      </c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>
        <v>46060.0</v>
      </c>
      <c r="C59" s="12">
        <f>VLOOKUP(B:B,'Курс валют'!A:D,4,0)</f>
        <v>91.0451</v>
      </c>
      <c r="D59" s="13" t="s">
        <v>1316</v>
      </c>
      <c r="E59" s="59" t="s">
        <v>18</v>
      </c>
      <c r="F59" s="15">
        <v>1100.0</v>
      </c>
      <c r="G59" s="61">
        <v>1183.41</v>
      </c>
      <c r="H59" s="17">
        <v>484.0</v>
      </c>
      <c r="I59" s="16">
        <f t="shared" si="8"/>
        <v>83.41</v>
      </c>
      <c r="J59" s="18">
        <f t="shared" si="2"/>
        <v>7.582727273</v>
      </c>
      <c r="K59" s="17">
        <v>3.99</v>
      </c>
      <c r="L59" s="19">
        <f t="shared" si="3"/>
        <v>44</v>
      </c>
      <c r="M59" s="20">
        <f t="shared" si="4"/>
        <v>241.4880232</v>
      </c>
      <c r="N59" s="21">
        <f t="shared" si="5"/>
        <v>2.6524</v>
      </c>
      <c r="O59" s="21">
        <f t="shared" si="6"/>
        <v>2917.64</v>
      </c>
      <c r="P59" s="22">
        <f t="shared" si="7"/>
        <v>265636.8256</v>
      </c>
      <c r="R59" s="23" t="s">
        <v>1283</v>
      </c>
      <c r="S59" s="24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>
        <v>46060.0</v>
      </c>
      <c r="C60" s="12">
        <f>VLOOKUP(B:B,'Курс валют'!A:D,4,0)</f>
        <v>91.0451</v>
      </c>
      <c r="D60" s="13" t="s">
        <v>1317</v>
      </c>
      <c r="E60" s="59" t="s">
        <v>18</v>
      </c>
      <c r="F60" s="15">
        <v>1100.0</v>
      </c>
      <c r="G60" s="61">
        <v>1183.41</v>
      </c>
      <c r="H60" s="27">
        <v>484.0</v>
      </c>
      <c r="I60" s="16">
        <f t="shared" si="8"/>
        <v>83.41</v>
      </c>
      <c r="J60" s="18">
        <f t="shared" si="2"/>
        <v>7.582727273</v>
      </c>
      <c r="K60" s="17">
        <v>3.99</v>
      </c>
      <c r="L60" s="19">
        <f t="shared" si="3"/>
        <v>44</v>
      </c>
      <c r="M60" s="20">
        <f t="shared" si="4"/>
        <v>241.4880232</v>
      </c>
      <c r="N60" s="21">
        <f t="shared" si="5"/>
        <v>2.6524</v>
      </c>
      <c r="O60" s="21">
        <f t="shared" si="6"/>
        <v>2917.64</v>
      </c>
      <c r="P60" s="22">
        <f t="shared" si="7"/>
        <v>265636.8256</v>
      </c>
      <c r="R60" s="23" t="s">
        <v>1283</v>
      </c>
      <c r="S60" s="24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46060.0</v>
      </c>
      <c r="C61" s="12">
        <f>VLOOKUP(B:B,'Курс валют'!A:D,4,0)</f>
        <v>91.0451</v>
      </c>
      <c r="D61" s="13" t="s">
        <v>1318</v>
      </c>
      <c r="E61" s="59" t="s">
        <v>18</v>
      </c>
      <c r="F61" s="15">
        <v>1100.0</v>
      </c>
      <c r="G61" s="61">
        <v>1183.41</v>
      </c>
      <c r="H61" s="17">
        <v>484.0</v>
      </c>
      <c r="I61" s="16">
        <f t="shared" si="8"/>
        <v>83.41</v>
      </c>
      <c r="J61" s="18">
        <f t="shared" si="2"/>
        <v>7.582727273</v>
      </c>
      <c r="K61" s="17">
        <v>3.99</v>
      </c>
      <c r="L61" s="19">
        <f t="shared" si="3"/>
        <v>44</v>
      </c>
      <c r="M61" s="20">
        <f t="shared" si="4"/>
        <v>241.4880232</v>
      </c>
      <c r="N61" s="21">
        <f t="shared" si="5"/>
        <v>2.6524</v>
      </c>
      <c r="O61" s="21">
        <f t="shared" si="6"/>
        <v>2917.64</v>
      </c>
      <c r="P61" s="22">
        <f t="shared" si="7"/>
        <v>265636.8256</v>
      </c>
      <c r="R61" s="23" t="s">
        <v>1283</v>
      </c>
      <c r="S61" s="24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>
        <v>46060.0</v>
      </c>
      <c r="C62" s="12">
        <f>VLOOKUP(B:B,'Курс валют'!A:D,4,0)</f>
        <v>91.0451</v>
      </c>
      <c r="D62" s="13" t="s">
        <v>1319</v>
      </c>
      <c r="E62" s="59" t="s">
        <v>18</v>
      </c>
      <c r="F62" s="15">
        <v>1100.0</v>
      </c>
      <c r="G62" s="61">
        <v>1183.41</v>
      </c>
      <c r="H62" s="17">
        <v>484.0</v>
      </c>
      <c r="I62" s="16">
        <f t="shared" si="8"/>
        <v>83.41</v>
      </c>
      <c r="J62" s="18">
        <f t="shared" si="2"/>
        <v>7.582727273</v>
      </c>
      <c r="K62" s="17">
        <v>3.99</v>
      </c>
      <c r="L62" s="19">
        <f t="shared" si="3"/>
        <v>44</v>
      </c>
      <c r="M62" s="20">
        <f t="shared" si="4"/>
        <v>241.4880232</v>
      </c>
      <c r="N62" s="21">
        <f t="shared" si="5"/>
        <v>2.6524</v>
      </c>
      <c r="O62" s="21">
        <f t="shared" si="6"/>
        <v>2917.64</v>
      </c>
      <c r="P62" s="22">
        <f t="shared" si="7"/>
        <v>265636.8256</v>
      </c>
      <c r="R62" s="23" t="s">
        <v>1283</v>
      </c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>
        <v>46060.0</v>
      </c>
      <c r="C63" s="12">
        <f>VLOOKUP(B:B,'Курс валют'!A:D,4,0)</f>
        <v>91.0451</v>
      </c>
      <c r="D63" s="13" t="s">
        <v>1320</v>
      </c>
      <c r="E63" s="59" t="s">
        <v>18</v>
      </c>
      <c r="F63" s="15">
        <v>1100.0</v>
      </c>
      <c r="G63" s="61">
        <v>1183.41</v>
      </c>
      <c r="H63" s="17">
        <v>484.0</v>
      </c>
      <c r="I63" s="16">
        <f t="shared" si="8"/>
        <v>83.41</v>
      </c>
      <c r="J63" s="18">
        <f t="shared" si="2"/>
        <v>7.582727273</v>
      </c>
      <c r="K63" s="17">
        <v>3.99</v>
      </c>
      <c r="L63" s="19">
        <f t="shared" si="3"/>
        <v>44</v>
      </c>
      <c r="M63" s="20">
        <f t="shared" si="4"/>
        <v>241.4880232</v>
      </c>
      <c r="N63" s="21">
        <f t="shared" si="5"/>
        <v>2.6524</v>
      </c>
      <c r="O63" s="21">
        <f t="shared" si="6"/>
        <v>2917.64</v>
      </c>
      <c r="P63" s="22">
        <f t="shared" si="7"/>
        <v>265636.8256</v>
      </c>
      <c r="R63" s="23" t="s">
        <v>1283</v>
      </c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>
        <v>46060.0</v>
      </c>
      <c r="C64" s="12">
        <f>VLOOKUP(B:B,'Курс валют'!A:D,4,0)</f>
        <v>91.0451</v>
      </c>
      <c r="D64" s="13" t="s">
        <v>1321</v>
      </c>
      <c r="E64" s="59" t="s">
        <v>59</v>
      </c>
      <c r="F64" s="15">
        <v>1600.0</v>
      </c>
      <c r="G64" s="61">
        <v>1628.35</v>
      </c>
      <c r="H64" s="17">
        <v>0.0</v>
      </c>
      <c r="I64" s="16">
        <f t="shared" si="8"/>
        <v>28.35</v>
      </c>
      <c r="J64" s="18">
        <f t="shared" si="2"/>
        <v>1.771875</v>
      </c>
      <c r="K64" s="17">
        <v>2.36</v>
      </c>
      <c r="L64" s="19">
        <f t="shared" si="3"/>
        <v>0</v>
      </c>
      <c r="M64" s="20">
        <f t="shared" si="4"/>
        <v>214.866436</v>
      </c>
      <c r="N64" s="21">
        <f t="shared" si="5"/>
        <v>2.36</v>
      </c>
      <c r="O64" s="21">
        <f t="shared" si="6"/>
        <v>3776</v>
      </c>
      <c r="P64" s="22">
        <f t="shared" si="7"/>
        <v>343786.2976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>
        <v>46061.0</v>
      </c>
      <c r="C65" s="12">
        <f>VLOOKUP(B:B,'Курс валют'!A:D,4,0)</f>
        <v>91.0451</v>
      </c>
      <c r="D65" s="13" t="s">
        <v>1322</v>
      </c>
      <c r="E65" s="59" t="s">
        <v>18</v>
      </c>
      <c r="F65" s="15">
        <v>1100.0</v>
      </c>
      <c r="G65" s="61">
        <v>1187.41</v>
      </c>
      <c r="H65" s="17">
        <v>488.0</v>
      </c>
      <c r="I65" s="16">
        <f t="shared" si="8"/>
        <v>87.41</v>
      </c>
      <c r="J65" s="18">
        <f t="shared" si="2"/>
        <v>7.946363636</v>
      </c>
      <c r="K65" s="17">
        <v>4.0</v>
      </c>
      <c r="L65" s="19">
        <f t="shared" si="3"/>
        <v>44.36363636</v>
      </c>
      <c r="M65" s="20">
        <f t="shared" si="4"/>
        <v>241.392012</v>
      </c>
      <c r="N65" s="21">
        <f t="shared" si="5"/>
        <v>2.651345455</v>
      </c>
      <c r="O65" s="21">
        <f t="shared" si="6"/>
        <v>2916.48</v>
      </c>
      <c r="P65" s="22">
        <f t="shared" si="7"/>
        <v>265531.2132</v>
      </c>
      <c r="R65" s="23" t="s">
        <v>1283</v>
      </c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>
        <v>46061.0</v>
      </c>
      <c r="C66" s="12">
        <f>VLOOKUP(B:B,'Курс валют'!A:D,4,0)</f>
        <v>91.0451</v>
      </c>
      <c r="D66" s="13" t="s">
        <v>1323</v>
      </c>
      <c r="E66" s="59" t="s">
        <v>18</v>
      </c>
      <c r="F66" s="15">
        <v>1100.0</v>
      </c>
      <c r="G66" s="61">
        <v>1187.41</v>
      </c>
      <c r="H66" s="17">
        <v>488.0</v>
      </c>
      <c r="I66" s="16">
        <f t="shared" si="8"/>
        <v>87.41</v>
      </c>
      <c r="J66" s="18">
        <f t="shared" si="2"/>
        <v>7.946363636</v>
      </c>
      <c r="K66" s="17">
        <v>4.01</v>
      </c>
      <c r="L66" s="19">
        <f t="shared" si="3"/>
        <v>44.36363636</v>
      </c>
      <c r="M66" s="20">
        <f t="shared" si="4"/>
        <v>242.302463</v>
      </c>
      <c r="N66" s="21">
        <f t="shared" si="5"/>
        <v>2.661345455</v>
      </c>
      <c r="O66" s="21">
        <f t="shared" si="6"/>
        <v>2927.48</v>
      </c>
      <c r="P66" s="22">
        <f t="shared" si="7"/>
        <v>266532.7093</v>
      </c>
      <c r="R66" s="23" t="s">
        <v>1283</v>
      </c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>
        <v>46061.0</v>
      </c>
      <c r="C67" s="12">
        <f>VLOOKUP(B:B,'Курс валют'!A:D,4,0)</f>
        <v>91.0451</v>
      </c>
      <c r="D67" s="13" t="s">
        <v>1324</v>
      </c>
      <c r="E67" s="59" t="s">
        <v>18</v>
      </c>
      <c r="F67" s="15">
        <v>1100.0</v>
      </c>
      <c r="G67" s="61">
        <v>1187.41</v>
      </c>
      <c r="H67" s="17">
        <v>488.0</v>
      </c>
      <c r="I67" s="16">
        <f t="shared" si="8"/>
        <v>87.41</v>
      </c>
      <c r="J67" s="18">
        <f t="shared" si="2"/>
        <v>7.946363636</v>
      </c>
      <c r="K67" s="17">
        <v>4.01</v>
      </c>
      <c r="L67" s="19">
        <f t="shared" si="3"/>
        <v>44.36363636</v>
      </c>
      <c r="M67" s="20">
        <f t="shared" si="4"/>
        <v>242.302463</v>
      </c>
      <c r="N67" s="21">
        <f t="shared" si="5"/>
        <v>2.661345455</v>
      </c>
      <c r="O67" s="21">
        <f t="shared" si="6"/>
        <v>2927.48</v>
      </c>
      <c r="P67" s="22">
        <f t="shared" si="7"/>
        <v>266532.7093</v>
      </c>
      <c r="R67" s="23" t="s">
        <v>1283</v>
      </c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>
        <v>46061.0</v>
      </c>
      <c r="C68" s="12">
        <f>VLOOKUP(B:B,'Курс валют'!A:D,4,0)</f>
        <v>91.0451</v>
      </c>
      <c r="D68" s="13" t="s">
        <v>1325</v>
      </c>
      <c r="E68" s="59" t="s">
        <v>18</v>
      </c>
      <c r="F68" s="15">
        <v>1100.0</v>
      </c>
      <c r="G68" s="61">
        <v>1187.41</v>
      </c>
      <c r="H68" s="17">
        <v>488.0</v>
      </c>
      <c r="I68" s="16">
        <f t="shared" si="8"/>
        <v>87.41</v>
      </c>
      <c r="J68" s="18">
        <f t="shared" si="2"/>
        <v>7.946363636</v>
      </c>
      <c r="K68" s="17">
        <v>4.01</v>
      </c>
      <c r="L68" s="19">
        <f t="shared" si="3"/>
        <v>44.36363636</v>
      </c>
      <c r="M68" s="20">
        <f t="shared" si="4"/>
        <v>242.302463</v>
      </c>
      <c r="N68" s="21">
        <f t="shared" si="5"/>
        <v>2.661345455</v>
      </c>
      <c r="O68" s="21">
        <f t="shared" si="6"/>
        <v>2927.48</v>
      </c>
      <c r="P68" s="22">
        <f t="shared" si="7"/>
        <v>266532.7093</v>
      </c>
      <c r="R68" s="23" t="s">
        <v>1283</v>
      </c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63"/>
      <c r="B69" s="11">
        <v>46061.0</v>
      </c>
      <c r="C69" s="12">
        <f>VLOOKUP(B:B,'Курс валют'!A:D,4,0)</f>
        <v>91.0451</v>
      </c>
      <c r="D69" s="13" t="s">
        <v>1326</v>
      </c>
      <c r="E69" s="59" t="s">
        <v>18</v>
      </c>
      <c r="F69" s="15">
        <v>1100.0</v>
      </c>
      <c r="G69" s="61">
        <v>1187.41</v>
      </c>
      <c r="H69" s="17">
        <v>488.0</v>
      </c>
      <c r="I69" s="16">
        <f t="shared" si="8"/>
        <v>87.41</v>
      </c>
      <c r="J69" s="18">
        <f t="shared" si="2"/>
        <v>7.946363636</v>
      </c>
      <c r="K69" s="17">
        <v>4.01</v>
      </c>
      <c r="L69" s="19">
        <f t="shared" si="3"/>
        <v>44.36363636</v>
      </c>
      <c r="M69" s="20">
        <f t="shared" si="4"/>
        <v>242.302463</v>
      </c>
      <c r="N69" s="21">
        <f t="shared" si="5"/>
        <v>2.661345455</v>
      </c>
      <c r="O69" s="21">
        <f t="shared" si="6"/>
        <v>2927.48</v>
      </c>
      <c r="P69" s="22">
        <f t="shared" si="7"/>
        <v>266532.7093</v>
      </c>
      <c r="R69" s="23" t="s">
        <v>1283</v>
      </c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/>
      <c r="B70" s="11">
        <v>46061.0</v>
      </c>
      <c r="C70" s="12">
        <f>VLOOKUP(B:B,'Курс валют'!A:D,4,0)</f>
        <v>91.0451</v>
      </c>
      <c r="D70" s="13" t="s">
        <v>1327</v>
      </c>
      <c r="E70" s="59" t="s">
        <v>18</v>
      </c>
      <c r="F70" s="15">
        <v>1100.0</v>
      </c>
      <c r="G70" s="61">
        <v>1187.41</v>
      </c>
      <c r="H70" s="17">
        <v>488.0</v>
      </c>
      <c r="I70" s="16">
        <f t="shared" si="8"/>
        <v>87.41</v>
      </c>
      <c r="J70" s="18">
        <f t="shared" si="2"/>
        <v>7.946363636</v>
      </c>
      <c r="K70" s="17">
        <v>4.01</v>
      </c>
      <c r="L70" s="19">
        <f t="shared" si="3"/>
        <v>44.36363636</v>
      </c>
      <c r="M70" s="20">
        <f t="shared" si="4"/>
        <v>242.302463</v>
      </c>
      <c r="N70" s="21">
        <f t="shared" si="5"/>
        <v>2.661345455</v>
      </c>
      <c r="O70" s="21">
        <f t="shared" si="6"/>
        <v>2927.48</v>
      </c>
      <c r="P70" s="22">
        <f t="shared" si="7"/>
        <v>266532.7093</v>
      </c>
      <c r="R70" s="23" t="s">
        <v>1283</v>
      </c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63"/>
      <c r="B71" s="11">
        <v>46061.0</v>
      </c>
      <c r="C71" s="12">
        <f>VLOOKUP(B:B,'Курс валют'!A:D,4,0)</f>
        <v>91.0451</v>
      </c>
      <c r="D71" s="13" t="s">
        <v>1328</v>
      </c>
      <c r="E71" s="59" t="s">
        <v>18</v>
      </c>
      <c r="F71" s="15">
        <v>1100.0</v>
      </c>
      <c r="G71" s="61">
        <v>1187.41</v>
      </c>
      <c r="H71" s="17">
        <v>488.0</v>
      </c>
      <c r="I71" s="16">
        <f t="shared" si="8"/>
        <v>87.41</v>
      </c>
      <c r="J71" s="18">
        <f t="shared" si="2"/>
        <v>7.946363636</v>
      </c>
      <c r="K71" s="17">
        <v>4.01</v>
      </c>
      <c r="L71" s="19">
        <f t="shared" si="3"/>
        <v>44.36363636</v>
      </c>
      <c r="M71" s="20">
        <f t="shared" si="4"/>
        <v>242.302463</v>
      </c>
      <c r="N71" s="21">
        <f t="shared" si="5"/>
        <v>2.661345455</v>
      </c>
      <c r="O71" s="21">
        <f t="shared" si="6"/>
        <v>2927.48</v>
      </c>
      <c r="P71" s="22">
        <f t="shared" si="7"/>
        <v>266532.7093</v>
      </c>
      <c r="R71" s="23" t="s">
        <v>1283</v>
      </c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63"/>
      <c r="B72" s="11">
        <v>46061.0</v>
      </c>
      <c r="C72" s="12">
        <f>VLOOKUP(B:B,'Курс валют'!A:D,4,0)</f>
        <v>91.0451</v>
      </c>
      <c r="D72" s="13" t="s">
        <v>1329</v>
      </c>
      <c r="E72" s="59" t="s">
        <v>18</v>
      </c>
      <c r="F72" s="15">
        <v>1100.0</v>
      </c>
      <c r="G72" s="61">
        <v>1187.41</v>
      </c>
      <c r="H72" s="17">
        <v>488.0</v>
      </c>
      <c r="I72" s="16">
        <f t="shared" si="8"/>
        <v>87.41</v>
      </c>
      <c r="J72" s="18">
        <f t="shared" si="2"/>
        <v>7.946363636</v>
      </c>
      <c r="K72" s="17">
        <v>4.01</v>
      </c>
      <c r="L72" s="19">
        <f t="shared" si="3"/>
        <v>44.36363636</v>
      </c>
      <c r="M72" s="20">
        <f t="shared" si="4"/>
        <v>242.302463</v>
      </c>
      <c r="N72" s="21">
        <f t="shared" si="5"/>
        <v>2.661345455</v>
      </c>
      <c r="O72" s="21">
        <f t="shared" si="6"/>
        <v>2927.48</v>
      </c>
      <c r="P72" s="22">
        <f t="shared" si="7"/>
        <v>266532.7093</v>
      </c>
      <c r="R72" s="23" t="s">
        <v>1283</v>
      </c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63"/>
      <c r="B73" s="11">
        <v>46063.0</v>
      </c>
      <c r="C73" s="12">
        <f>VLOOKUP(B:B,'Курс валют'!A:D,4,0)</f>
        <v>92.0136</v>
      </c>
      <c r="D73" s="13" t="s">
        <v>1330</v>
      </c>
      <c r="E73" s="64" t="s">
        <v>400</v>
      </c>
      <c r="F73" s="15">
        <v>880.84</v>
      </c>
      <c r="G73" s="16">
        <v>890.5</v>
      </c>
      <c r="H73" s="17">
        <v>0.0</v>
      </c>
      <c r="I73" s="16">
        <f t="shared" si="8"/>
        <v>9.66</v>
      </c>
      <c r="J73" s="18">
        <f t="shared" si="2"/>
        <v>1.096680441</v>
      </c>
      <c r="K73" s="17">
        <v>1.95</v>
      </c>
      <c r="L73" s="19">
        <f t="shared" si="3"/>
        <v>0</v>
      </c>
      <c r="M73" s="20">
        <f t="shared" si="4"/>
        <v>179.42652</v>
      </c>
      <c r="N73" s="21">
        <f t="shared" si="5"/>
        <v>1.95</v>
      </c>
      <c r="O73" s="21">
        <f t="shared" si="6"/>
        <v>1717.638</v>
      </c>
      <c r="P73" s="22">
        <f t="shared" si="7"/>
        <v>158046.0559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/>
      <c r="B74" s="11">
        <v>46066.0</v>
      </c>
      <c r="C74" s="12">
        <f>VLOOKUP(B:B,'Курс валют'!A:D,4,0)</f>
        <v>91.7113</v>
      </c>
      <c r="D74" s="13" t="s">
        <v>1331</v>
      </c>
      <c r="E74" s="64" t="s">
        <v>18</v>
      </c>
      <c r="F74" s="15">
        <v>1100.0</v>
      </c>
      <c r="G74" s="16">
        <v>1147.71</v>
      </c>
      <c r="H74" s="17">
        <v>488.0</v>
      </c>
      <c r="I74" s="16">
        <f t="shared" si="8"/>
        <v>47.71</v>
      </c>
      <c r="J74" s="18">
        <f t="shared" si="2"/>
        <v>4.337272727</v>
      </c>
      <c r="K74" s="17">
        <v>3.89</v>
      </c>
      <c r="L74" s="19">
        <f t="shared" si="3"/>
        <v>44.36363636</v>
      </c>
      <c r="M74" s="20">
        <f t="shared" si="4"/>
        <v>233.0700954</v>
      </c>
      <c r="N74" s="21">
        <f t="shared" si="5"/>
        <v>2.541345455</v>
      </c>
      <c r="O74" s="21">
        <f t="shared" si="6"/>
        <v>2795.48</v>
      </c>
      <c r="P74" s="22">
        <f t="shared" si="7"/>
        <v>256377.1049</v>
      </c>
      <c r="R74" s="23" t="s">
        <v>1283</v>
      </c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/>
      <c r="B75" s="11">
        <v>46066.0</v>
      </c>
      <c r="C75" s="12">
        <f>VLOOKUP(B:B,'Курс валют'!A:D,4,0)</f>
        <v>91.7113</v>
      </c>
      <c r="D75" s="13" t="s">
        <v>1332</v>
      </c>
      <c r="E75" s="64" t="s">
        <v>18</v>
      </c>
      <c r="F75" s="15">
        <v>1100.0</v>
      </c>
      <c r="G75" s="16">
        <v>1147.71</v>
      </c>
      <c r="H75" s="17">
        <v>488.0</v>
      </c>
      <c r="I75" s="16">
        <f t="shared" si="8"/>
        <v>47.71</v>
      </c>
      <c r="J75" s="18">
        <f t="shared" si="2"/>
        <v>4.337272727</v>
      </c>
      <c r="K75" s="17">
        <v>3.89</v>
      </c>
      <c r="L75" s="19">
        <f t="shared" si="3"/>
        <v>44.36363636</v>
      </c>
      <c r="M75" s="20">
        <f t="shared" si="4"/>
        <v>233.0700954</v>
      </c>
      <c r="N75" s="21">
        <f t="shared" si="5"/>
        <v>2.541345455</v>
      </c>
      <c r="O75" s="21">
        <f t="shared" si="6"/>
        <v>2795.48</v>
      </c>
      <c r="P75" s="22">
        <f t="shared" si="7"/>
        <v>256377.1049</v>
      </c>
      <c r="R75" s="23" t="s">
        <v>1283</v>
      </c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63"/>
      <c r="B76" s="11">
        <v>46066.0</v>
      </c>
      <c r="C76" s="12">
        <f>VLOOKUP(B:B,'Курс валют'!A:D,4,0)</f>
        <v>91.7113</v>
      </c>
      <c r="D76" s="13" t="s">
        <v>1333</v>
      </c>
      <c r="E76" s="64" t="s">
        <v>18</v>
      </c>
      <c r="F76" s="15">
        <v>1100.0</v>
      </c>
      <c r="G76" s="16">
        <v>1147.71</v>
      </c>
      <c r="H76" s="17">
        <v>466.2</v>
      </c>
      <c r="I76" s="16">
        <f t="shared" si="8"/>
        <v>47.71</v>
      </c>
      <c r="J76" s="18">
        <f t="shared" si="2"/>
        <v>4.337272727</v>
      </c>
      <c r="K76" s="17">
        <v>3.83</v>
      </c>
      <c r="L76" s="19">
        <f t="shared" si="3"/>
        <v>42.38181818</v>
      </c>
      <c r="M76" s="20">
        <f t="shared" si="4"/>
        <v>233.0927731</v>
      </c>
      <c r="N76" s="21">
        <f t="shared" si="5"/>
        <v>2.541592727</v>
      </c>
      <c r="O76" s="21">
        <f t="shared" si="6"/>
        <v>2795.752</v>
      </c>
      <c r="P76" s="22">
        <f t="shared" si="7"/>
        <v>256402.0504</v>
      </c>
      <c r="R76" s="23" t="s">
        <v>1283</v>
      </c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>
        <v>46066.0</v>
      </c>
      <c r="C77" s="12">
        <f>VLOOKUP(B:B,'Курс валют'!A:D,4,0)</f>
        <v>91.7113</v>
      </c>
      <c r="D77" s="13" t="s">
        <v>1334</v>
      </c>
      <c r="E77" s="64" t="s">
        <v>18</v>
      </c>
      <c r="F77" s="15">
        <v>1100.0</v>
      </c>
      <c r="G77" s="16">
        <v>1147.71</v>
      </c>
      <c r="H77" s="17">
        <v>0.0</v>
      </c>
      <c r="I77" s="16">
        <f t="shared" si="8"/>
        <v>47.71</v>
      </c>
      <c r="J77" s="18">
        <f t="shared" si="2"/>
        <v>4.337272727</v>
      </c>
      <c r="K77" s="17">
        <v>2.62</v>
      </c>
      <c r="L77" s="19">
        <f t="shared" si="3"/>
        <v>0</v>
      </c>
      <c r="M77" s="20">
        <f t="shared" si="4"/>
        <v>240.283606</v>
      </c>
      <c r="N77" s="21">
        <f t="shared" si="5"/>
        <v>2.62</v>
      </c>
      <c r="O77" s="21">
        <f t="shared" si="6"/>
        <v>2882</v>
      </c>
      <c r="P77" s="22">
        <f t="shared" si="7"/>
        <v>264311.9666</v>
      </c>
      <c r="R77" s="23" t="s">
        <v>1283</v>
      </c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63"/>
      <c r="B78" s="11">
        <v>46066.0</v>
      </c>
      <c r="C78" s="12">
        <f>VLOOKUP(B:B,'Курс валют'!A:D,4,0)</f>
        <v>91.7113</v>
      </c>
      <c r="D78" s="13" t="s">
        <v>1335</v>
      </c>
      <c r="E78" s="64" t="s">
        <v>18</v>
      </c>
      <c r="F78" s="15">
        <v>1100.0</v>
      </c>
      <c r="G78" s="16">
        <v>1147.71</v>
      </c>
      <c r="H78" s="17">
        <v>0.0</v>
      </c>
      <c r="I78" s="16">
        <f t="shared" si="8"/>
        <v>47.71</v>
      </c>
      <c r="J78" s="18">
        <f t="shared" si="2"/>
        <v>4.337272727</v>
      </c>
      <c r="K78" s="17">
        <v>2.62</v>
      </c>
      <c r="L78" s="19">
        <f t="shared" si="3"/>
        <v>0</v>
      </c>
      <c r="M78" s="20">
        <f t="shared" si="4"/>
        <v>240.283606</v>
      </c>
      <c r="N78" s="21">
        <f t="shared" si="5"/>
        <v>2.62</v>
      </c>
      <c r="O78" s="21">
        <f t="shared" si="6"/>
        <v>2882</v>
      </c>
      <c r="P78" s="22">
        <f t="shared" si="7"/>
        <v>264311.9666</v>
      </c>
      <c r="R78" s="23" t="s">
        <v>1283</v>
      </c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>
        <v>46066.0</v>
      </c>
      <c r="C79" s="12">
        <f>VLOOKUP(B:B,'Курс валют'!A:D,4,0)</f>
        <v>91.7113</v>
      </c>
      <c r="D79" s="13" t="s">
        <v>1336</v>
      </c>
      <c r="E79" s="64" t="s">
        <v>18</v>
      </c>
      <c r="F79" s="15">
        <v>660.0</v>
      </c>
      <c r="G79" s="16">
        <v>689.07</v>
      </c>
      <c r="H79" s="17">
        <v>0.0</v>
      </c>
      <c r="I79" s="16">
        <f t="shared" si="8"/>
        <v>29.07</v>
      </c>
      <c r="J79" s="18">
        <f t="shared" si="2"/>
        <v>4.404545455</v>
      </c>
      <c r="K79" s="17">
        <v>2.62</v>
      </c>
      <c r="L79" s="19">
        <f t="shared" si="3"/>
        <v>0</v>
      </c>
      <c r="M79" s="20">
        <f t="shared" si="4"/>
        <v>240.283606</v>
      </c>
      <c r="N79" s="21">
        <f t="shared" si="5"/>
        <v>2.62</v>
      </c>
      <c r="O79" s="21">
        <f t="shared" si="6"/>
        <v>1729.2</v>
      </c>
      <c r="P79" s="22">
        <f t="shared" si="7"/>
        <v>158587.18</v>
      </c>
      <c r="R79" s="23" t="s">
        <v>1283</v>
      </c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>
        <v>46068.0</v>
      </c>
      <c r="C80" s="12">
        <f>VLOOKUP(B:B,'Курс валют'!A:D,4,0)</f>
        <v>91.5575</v>
      </c>
      <c r="D80" s="13" t="s">
        <v>1337</v>
      </c>
      <c r="E80" s="64" t="s">
        <v>18</v>
      </c>
      <c r="F80" s="15">
        <v>1100.0</v>
      </c>
      <c r="G80" s="16">
        <v>1143.61</v>
      </c>
      <c r="H80" s="17">
        <v>0.0</v>
      </c>
      <c r="I80" s="16">
        <f t="shared" si="8"/>
        <v>43.61</v>
      </c>
      <c r="J80" s="18">
        <f t="shared" si="2"/>
        <v>3.964545455</v>
      </c>
      <c r="K80" s="17">
        <v>2.5</v>
      </c>
      <c r="L80" s="19">
        <f t="shared" si="3"/>
        <v>0</v>
      </c>
      <c r="M80" s="20">
        <f t="shared" si="4"/>
        <v>228.89375</v>
      </c>
      <c r="N80" s="21">
        <f t="shared" si="5"/>
        <v>2.5</v>
      </c>
      <c r="O80" s="21">
        <f t="shared" si="6"/>
        <v>2750</v>
      </c>
      <c r="P80" s="22">
        <f t="shared" si="7"/>
        <v>251783.125</v>
      </c>
      <c r="R80" s="23" t="s">
        <v>1338</v>
      </c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>
        <v>46068.0</v>
      </c>
      <c r="C81" s="12">
        <f>VLOOKUP(B:B,'Курс валют'!A:D,4,0)</f>
        <v>91.5575</v>
      </c>
      <c r="D81" s="13" t="s">
        <v>1339</v>
      </c>
      <c r="E81" s="64" t="s">
        <v>18</v>
      </c>
      <c r="F81" s="15">
        <v>1100.0</v>
      </c>
      <c r="G81" s="16">
        <v>1143.61</v>
      </c>
      <c r="H81" s="17">
        <v>0.0</v>
      </c>
      <c r="I81" s="16">
        <f t="shared" si="8"/>
        <v>43.61</v>
      </c>
      <c r="J81" s="18">
        <f t="shared" si="2"/>
        <v>3.964545455</v>
      </c>
      <c r="K81" s="17">
        <v>2.36</v>
      </c>
      <c r="L81" s="19">
        <f t="shared" si="3"/>
        <v>0</v>
      </c>
      <c r="M81" s="20">
        <f t="shared" si="4"/>
        <v>216.0757</v>
      </c>
      <c r="N81" s="21">
        <f t="shared" si="5"/>
        <v>2.36</v>
      </c>
      <c r="O81" s="21">
        <f t="shared" si="6"/>
        <v>2596</v>
      </c>
      <c r="P81" s="22">
        <f t="shared" si="7"/>
        <v>237683.27</v>
      </c>
      <c r="R81" s="23" t="s">
        <v>1338</v>
      </c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>
        <v>46068.0</v>
      </c>
      <c r="C82" s="12">
        <f>VLOOKUP(B:B,'Курс валют'!A:D,4,0)</f>
        <v>91.5575</v>
      </c>
      <c r="D82" s="13" t="s">
        <v>1340</v>
      </c>
      <c r="E82" s="64" t="s">
        <v>18</v>
      </c>
      <c r="F82" s="15">
        <v>1100.0</v>
      </c>
      <c r="G82" s="16">
        <v>1143.61</v>
      </c>
      <c r="H82" s="17">
        <v>0.0</v>
      </c>
      <c r="I82" s="16">
        <f t="shared" si="8"/>
        <v>43.61</v>
      </c>
      <c r="J82" s="18">
        <f t="shared" si="2"/>
        <v>3.964545455</v>
      </c>
      <c r="K82" s="17">
        <v>2.32</v>
      </c>
      <c r="L82" s="19">
        <f t="shared" si="3"/>
        <v>0</v>
      </c>
      <c r="M82" s="20">
        <f t="shared" si="4"/>
        <v>212.4134</v>
      </c>
      <c r="N82" s="21">
        <f t="shared" si="5"/>
        <v>2.32</v>
      </c>
      <c r="O82" s="21">
        <f t="shared" si="6"/>
        <v>2552</v>
      </c>
      <c r="P82" s="22">
        <f t="shared" si="7"/>
        <v>233654.74</v>
      </c>
      <c r="R82" s="23" t="s">
        <v>1338</v>
      </c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>
        <v>46068.0</v>
      </c>
      <c r="C83" s="12">
        <f>VLOOKUP(B:B,'Курс валют'!A:D,4,0)</f>
        <v>91.5575</v>
      </c>
      <c r="D83" s="13" t="s">
        <v>1341</v>
      </c>
      <c r="E83" s="64" t="s">
        <v>18</v>
      </c>
      <c r="F83" s="15">
        <v>1100.0</v>
      </c>
      <c r="G83" s="16">
        <v>1143.61</v>
      </c>
      <c r="H83" s="17">
        <v>0.0</v>
      </c>
      <c r="I83" s="16">
        <f t="shared" si="8"/>
        <v>43.61</v>
      </c>
      <c r="J83" s="18">
        <f t="shared" si="2"/>
        <v>3.964545455</v>
      </c>
      <c r="K83" s="17">
        <v>2.33</v>
      </c>
      <c r="L83" s="19">
        <f t="shared" si="3"/>
        <v>0</v>
      </c>
      <c r="M83" s="20">
        <f t="shared" si="4"/>
        <v>213.328975</v>
      </c>
      <c r="N83" s="21">
        <f t="shared" si="5"/>
        <v>2.33</v>
      </c>
      <c r="O83" s="21">
        <f t="shared" si="6"/>
        <v>2563</v>
      </c>
      <c r="P83" s="22">
        <f t="shared" si="7"/>
        <v>234661.8725</v>
      </c>
      <c r="R83" s="23" t="s">
        <v>1338</v>
      </c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>
        <v>46069.0</v>
      </c>
      <c r="C84" s="12">
        <f>VLOOKUP(B:B,'Курс валют'!A:D,4,0)</f>
        <v>91.5575</v>
      </c>
      <c r="D84" s="13" t="s">
        <v>1342</v>
      </c>
      <c r="E84" s="59" t="s">
        <v>18</v>
      </c>
      <c r="F84" s="15">
        <v>220.0</v>
      </c>
      <c r="G84" s="15">
        <v>225.01</v>
      </c>
      <c r="H84" s="17">
        <v>0.0</v>
      </c>
      <c r="I84" s="15">
        <f t="shared" si="8"/>
        <v>5.01</v>
      </c>
      <c r="J84" s="18">
        <f t="shared" si="2"/>
        <v>2.277272727</v>
      </c>
      <c r="K84" s="17">
        <v>2.5</v>
      </c>
      <c r="L84" s="19">
        <f t="shared" si="3"/>
        <v>0</v>
      </c>
      <c r="M84" s="20">
        <f t="shared" si="4"/>
        <v>228.89375</v>
      </c>
      <c r="N84" s="21">
        <f t="shared" si="5"/>
        <v>2.5</v>
      </c>
      <c r="O84" s="21">
        <f t="shared" si="6"/>
        <v>550</v>
      </c>
      <c r="P84" s="22">
        <f t="shared" si="7"/>
        <v>50356.625</v>
      </c>
      <c r="R84" s="23" t="s">
        <v>1338</v>
      </c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>
        <v>46069.0</v>
      </c>
      <c r="C85" s="12">
        <f>VLOOKUP(B:B,'Курс валют'!A:D,4,0)</f>
        <v>91.5575</v>
      </c>
      <c r="D85" s="13" t="s">
        <v>1343</v>
      </c>
      <c r="E85" s="59" t="s">
        <v>18</v>
      </c>
      <c r="F85" s="15">
        <v>220.0</v>
      </c>
      <c r="G85" s="15">
        <v>226.01</v>
      </c>
      <c r="H85" s="17">
        <v>0.0</v>
      </c>
      <c r="I85" s="15">
        <f t="shared" si="8"/>
        <v>6.01</v>
      </c>
      <c r="J85" s="18">
        <f t="shared" si="2"/>
        <v>2.731818182</v>
      </c>
      <c r="K85" s="17">
        <v>2.5</v>
      </c>
      <c r="L85" s="19">
        <f t="shared" si="3"/>
        <v>0</v>
      </c>
      <c r="M85" s="20">
        <f t="shared" si="4"/>
        <v>228.89375</v>
      </c>
      <c r="N85" s="21">
        <f t="shared" si="5"/>
        <v>2.5</v>
      </c>
      <c r="O85" s="21">
        <f t="shared" si="6"/>
        <v>550</v>
      </c>
      <c r="P85" s="22">
        <f t="shared" si="7"/>
        <v>50356.625</v>
      </c>
      <c r="R85" s="23" t="s">
        <v>1338</v>
      </c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>
        <v>46070.0</v>
      </c>
      <c r="C86" s="12">
        <f>VLOOKUP(B:B,'Курс валют'!A:D,4,0)</f>
        <v>91.0368</v>
      </c>
      <c r="D86" s="13" t="s">
        <v>1344</v>
      </c>
      <c r="E86" s="59" t="s">
        <v>61</v>
      </c>
      <c r="F86" s="15">
        <v>1100.0</v>
      </c>
      <c r="G86" s="16">
        <v>1128.36</v>
      </c>
      <c r="H86" s="17">
        <v>0.0</v>
      </c>
      <c r="I86" s="16">
        <f t="shared" si="8"/>
        <v>28.36</v>
      </c>
      <c r="J86" s="18">
        <f t="shared" si="2"/>
        <v>2.578181818</v>
      </c>
      <c r="K86" s="17">
        <v>2.37</v>
      </c>
      <c r="L86" s="19">
        <f t="shared" si="3"/>
        <v>0</v>
      </c>
      <c r="M86" s="20">
        <f t="shared" si="4"/>
        <v>215.757216</v>
      </c>
      <c r="N86" s="21">
        <f t="shared" si="5"/>
        <v>2.37</v>
      </c>
      <c r="O86" s="21">
        <f t="shared" si="6"/>
        <v>2607</v>
      </c>
      <c r="P86" s="22">
        <f t="shared" si="7"/>
        <v>237332.9376</v>
      </c>
      <c r="R86" s="23" t="s">
        <v>1338</v>
      </c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>
        <v>46070.0</v>
      </c>
      <c r="C87" s="12">
        <f>VLOOKUP(B:B,'Курс валют'!A:D,4,0)</f>
        <v>91.0368</v>
      </c>
      <c r="D87" s="13" t="s">
        <v>1345</v>
      </c>
      <c r="E87" s="59" t="s">
        <v>61</v>
      </c>
      <c r="F87" s="15">
        <v>1100.0</v>
      </c>
      <c r="G87" s="16">
        <v>1128.36</v>
      </c>
      <c r="H87" s="17">
        <v>0.0</v>
      </c>
      <c r="I87" s="16">
        <f t="shared" si="8"/>
        <v>28.36</v>
      </c>
      <c r="J87" s="18">
        <f t="shared" si="2"/>
        <v>2.578181818</v>
      </c>
      <c r="K87" s="17">
        <v>2.36</v>
      </c>
      <c r="L87" s="19">
        <f t="shared" si="3"/>
        <v>0</v>
      </c>
      <c r="M87" s="20">
        <f t="shared" si="4"/>
        <v>214.846848</v>
      </c>
      <c r="N87" s="21">
        <f t="shared" si="5"/>
        <v>2.36</v>
      </c>
      <c r="O87" s="21">
        <f t="shared" si="6"/>
        <v>2596</v>
      </c>
      <c r="P87" s="22">
        <f t="shared" si="7"/>
        <v>236331.5328</v>
      </c>
      <c r="R87" s="23" t="s">
        <v>1338</v>
      </c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>
        <v>46070.0</v>
      </c>
      <c r="C88" s="12">
        <f>VLOOKUP(B:B,'Курс валют'!A:D,4,0)</f>
        <v>91.0368</v>
      </c>
      <c r="D88" s="13" t="s">
        <v>1346</v>
      </c>
      <c r="E88" s="59" t="s">
        <v>61</v>
      </c>
      <c r="F88" s="15">
        <v>1100.0</v>
      </c>
      <c r="G88" s="16">
        <v>1128.36</v>
      </c>
      <c r="H88" s="17">
        <v>0.0</v>
      </c>
      <c r="I88" s="16">
        <f t="shared" si="8"/>
        <v>28.36</v>
      </c>
      <c r="J88" s="18">
        <f t="shared" si="2"/>
        <v>2.578181818</v>
      </c>
      <c r="K88" s="17">
        <v>2.36</v>
      </c>
      <c r="L88" s="19">
        <f t="shared" si="3"/>
        <v>0</v>
      </c>
      <c r="M88" s="20">
        <f t="shared" si="4"/>
        <v>214.846848</v>
      </c>
      <c r="N88" s="21">
        <f t="shared" si="5"/>
        <v>2.36</v>
      </c>
      <c r="O88" s="21">
        <f t="shared" si="6"/>
        <v>2596</v>
      </c>
      <c r="P88" s="22">
        <f t="shared" si="7"/>
        <v>236331.5328</v>
      </c>
      <c r="R88" s="23" t="s">
        <v>1338</v>
      </c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>
        <v>46070.0</v>
      </c>
      <c r="C89" s="12">
        <f>VLOOKUP(B:B,'Курс валют'!A:D,4,0)</f>
        <v>91.0368</v>
      </c>
      <c r="D89" s="13" t="s">
        <v>1347</v>
      </c>
      <c r="E89" s="59" t="s">
        <v>61</v>
      </c>
      <c r="F89" s="15">
        <v>1100.0</v>
      </c>
      <c r="G89" s="16">
        <v>1128.36</v>
      </c>
      <c r="H89" s="17">
        <v>0.0</v>
      </c>
      <c r="I89" s="16">
        <f t="shared" si="8"/>
        <v>28.36</v>
      </c>
      <c r="J89" s="18">
        <f t="shared" si="2"/>
        <v>2.578181818</v>
      </c>
      <c r="K89" s="17">
        <v>2.37</v>
      </c>
      <c r="L89" s="19">
        <f t="shared" si="3"/>
        <v>0</v>
      </c>
      <c r="M89" s="20">
        <f t="shared" si="4"/>
        <v>215.757216</v>
      </c>
      <c r="N89" s="21">
        <f t="shared" si="5"/>
        <v>2.37</v>
      </c>
      <c r="O89" s="21">
        <f t="shared" si="6"/>
        <v>2607</v>
      </c>
      <c r="P89" s="22">
        <f t="shared" si="7"/>
        <v>237332.9376</v>
      </c>
      <c r="R89" s="23" t="s">
        <v>1338</v>
      </c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>
        <v>46070.0</v>
      </c>
      <c r="C90" s="12">
        <f>VLOOKUP(B:B,'Курс валют'!A:D,4,0)</f>
        <v>91.0368</v>
      </c>
      <c r="D90" s="13" t="s">
        <v>1348</v>
      </c>
      <c r="E90" s="59" t="s">
        <v>18</v>
      </c>
      <c r="F90" s="15">
        <v>1100.0</v>
      </c>
      <c r="G90" s="16">
        <v>1133.61</v>
      </c>
      <c r="H90" s="17">
        <v>0.0</v>
      </c>
      <c r="I90" s="16">
        <f t="shared" si="8"/>
        <v>33.61</v>
      </c>
      <c r="J90" s="18">
        <f t="shared" si="2"/>
        <v>3.055454545</v>
      </c>
      <c r="K90" s="17">
        <v>2.3</v>
      </c>
      <c r="L90" s="19">
        <f t="shared" si="3"/>
        <v>0</v>
      </c>
      <c r="M90" s="20">
        <f t="shared" si="4"/>
        <v>209.38464</v>
      </c>
      <c r="N90" s="21">
        <f t="shared" si="5"/>
        <v>2.3</v>
      </c>
      <c r="O90" s="21">
        <f t="shared" si="6"/>
        <v>2530</v>
      </c>
      <c r="P90" s="22">
        <f t="shared" si="7"/>
        <v>230323.104</v>
      </c>
      <c r="R90" s="23" t="s">
        <v>1338</v>
      </c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>
        <v>46070.0</v>
      </c>
      <c r="C91" s="12">
        <f>VLOOKUP(B:B,'Курс валют'!A:D,4,0)</f>
        <v>91.0368</v>
      </c>
      <c r="D91" s="13" t="s">
        <v>1349</v>
      </c>
      <c r="E91" s="59" t="s">
        <v>18</v>
      </c>
      <c r="F91" s="15">
        <v>1100.0</v>
      </c>
      <c r="G91" s="16">
        <v>1133.61</v>
      </c>
      <c r="H91" s="17">
        <v>0.0</v>
      </c>
      <c r="I91" s="16">
        <f t="shared" si="8"/>
        <v>33.61</v>
      </c>
      <c r="J91" s="18">
        <f t="shared" si="2"/>
        <v>3.055454545</v>
      </c>
      <c r="K91" s="17">
        <v>2.3</v>
      </c>
      <c r="L91" s="19">
        <f t="shared" si="3"/>
        <v>0</v>
      </c>
      <c r="M91" s="20">
        <f t="shared" si="4"/>
        <v>209.38464</v>
      </c>
      <c r="N91" s="21">
        <f t="shared" si="5"/>
        <v>2.3</v>
      </c>
      <c r="O91" s="21">
        <f t="shared" si="6"/>
        <v>2530</v>
      </c>
      <c r="P91" s="22">
        <f t="shared" si="7"/>
        <v>230323.104</v>
      </c>
      <c r="R91" s="23" t="s">
        <v>1338</v>
      </c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>
        <v>46070.0</v>
      </c>
      <c r="C92" s="12">
        <f>VLOOKUP(B:B,'Курс валют'!A:D,4,0)</f>
        <v>91.0368</v>
      </c>
      <c r="D92" s="13" t="s">
        <v>1350</v>
      </c>
      <c r="E92" s="59" t="s">
        <v>18</v>
      </c>
      <c r="F92" s="15">
        <v>1100.0</v>
      </c>
      <c r="G92" s="16">
        <v>1133.61</v>
      </c>
      <c r="H92" s="17">
        <v>0.0</v>
      </c>
      <c r="I92" s="16">
        <f t="shared" si="8"/>
        <v>33.61</v>
      </c>
      <c r="J92" s="18">
        <f t="shared" si="2"/>
        <v>3.055454545</v>
      </c>
      <c r="K92" s="17">
        <v>2.28</v>
      </c>
      <c r="L92" s="19">
        <f t="shared" si="3"/>
        <v>0</v>
      </c>
      <c r="M92" s="20">
        <f t="shared" si="4"/>
        <v>207.563904</v>
      </c>
      <c r="N92" s="21">
        <f t="shared" si="5"/>
        <v>2.28</v>
      </c>
      <c r="O92" s="21">
        <f t="shared" si="6"/>
        <v>2508</v>
      </c>
      <c r="P92" s="22">
        <f t="shared" si="7"/>
        <v>228320.2944</v>
      </c>
      <c r="R92" s="23" t="s">
        <v>1338</v>
      </c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63"/>
      <c r="B93" s="11">
        <v>46071.0</v>
      </c>
      <c r="C93" s="12">
        <f>VLOOKUP(B:B,'Курс валют'!A:D,4,0)</f>
        <v>90.8658</v>
      </c>
      <c r="D93" s="13" t="s">
        <v>1351</v>
      </c>
      <c r="E93" s="59" t="s">
        <v>61</v>
      </c>
      <c r="F93" s="15">
        <v>1100.0</v>
      </c>
      <c r="G93" s="16">
        <v>1105.46</v>
      </c>
      <c r="H93" s="17">
        <v>0.0</v>
      </c>
      <c r="I93" s="16">
        <f t="shared" si="8"/>
        <v>5.46</v>
      </c>
      <c r="J93" s="18">
        <f t="shared" si="2"/>
        <v>0.4963636364</v>
      </c>
      <c r="K93" s="17">
        <v>2.31</v>
      </c>
      <c r="L93" s="19">
        <f t="shared" si="3"/>
        <v>0</v>
      </c>
      <c r="M93" s="20">
        <f t="shared" si="4"/>
        <v>209.899998</v>
      </c>
      <c r="N93" s="21">
        <f t="shared" si="5"/>
        <v>2.31</v>
      </c>
      <c r="O93" s="21">
        <f t="shared" si="6"/>
        <v>2541</v>
      </c>
      <c r="P93" s="22">
        <f t="shared" si="7"/>
        <v>230889.9978</v>
      </c>
      <c r="R93" s="24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>
        <v>46071.0</v>
      </c>
      <c r="C94" s="12">
        <f>VLOOKUP(B:B,'Курс валют'!A:D,4,0)</f>
        <v>90.8658</v>
      </c>
      <c r="D94" s="13" t="s">
        <v>1352</v>
      </c>
      <c r="E94" s="59" t="s">
        <v>61</v>
      </c>
      <c r="F94" s="15">
        <v>1100.0</v>
      </c>
      <c r="G94" s="16">
        <v>1105.46</v>
      </c>
      <c r="H94" s="17">
        <v>0.0</v>
      </c>
      <c r="I94" s="16">
        <f t="shared" si="8"/>
        <v>5.46</v>
      </c>
      <c r="J94" s="18">
        <f t="shared" si="2"/>
        <v>0.4963636364</v>
      </c>
      <c r="K94" s="17">
        <v>2.31</v>
      </c>
      <c r="L94" s="19">
        <f t="shared" si="3"/>
        <v>0</v>
      </c>
      <c r="M94" s="20">
        <f t="shared" si="4"/>
        <v>209.899998</v>
      </c>
      <c r="N94" s="21">
        <f t="shared" si="5"/>
        <v>2.31</v>
      </c>
      <c r="O94" s="21">
        <f t="shared" si="6"/>
        <v>2541</v>
      </c>
      <c r="P94" s="22">
        <f t="shared" si="7"/>
        <v>230889.9978</v>
      </c>
      <c r="R94" s="24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>
        <v>46071.0</v>
      </c>
      <c r="C95" s="12">
        <f>VLOOKUP(B:B,'Курс валют'!A:D,4,0)</f>
        <v>90.8658</v>
      </c>
      <c r="D95" s="13" t="s">
        <v>1353</v>
      </c>
      <c r="E95" s="59" t="s">
        <v>61</v>
      </c>
      <c r="F95" s="15">
        <v>1100.0</v>
      </c>
      <c r="G95" s="16">
        <v>1105.46</v>
      </c>
      <c r="H95" s="17">
        <v>0.0</v>
      </c>
      <c r="I95" s="16">
        <f t="shared" si="8"/>
        <v>5.46</v>
      </c>
      <c r="J95" s="18">
        <f t="shared" si="2"/>
        <v>0.4963636364</v>
      </c>
      <c r="K95" s="17">
        <v>2.3</v>
      </c>
      <c r="L95" s="19">
        <f t="shared" si="3"/>
        <v>0</v>
      </c>
      <c r="M95" s="20">
        <f t="shared" si="4"/>
        <v>208.99134</v>
      </c>
      <c r="N95" s="21">
        <f t="shared" si="5"/>
        <v>2.3</v>
      </c>
      <c r="O95" s="21">
        <f t="shared" si="6"/>
        <v>2530</v>
      </c>
      <c r="P95" s="22">
        <f t="shared" si="7"/>
        <v>229890.474</v>
      </c>
      <c r="R95" s="24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>
        <v>46071.0</v>
      </c>
      <c r="C96" s="12">
        <f>VLOOKUP(B:B,'Курс валют'!A:D,4,0)</f>
        <v>90.8658</v>
      </c>
      <c r="D96" s="13" t="s">
        <v>1354</v>
      </c>
      <c r="E96" s="59" t="s">
        <v>61</v>
      </c>
      <c r="F96" s="15">
        <v>1100.0</v>
      </c>
      <c r="G96" s="16">
        <v>1105.46</v>
      </c>
      <c r="H96" s="17">
        <v>0.0</v>
      </c>
      <c r="I96" s="16">
        <f t="shared" si="8"/>
        <v>5.46</v>
      </c>
      <c r="J96" s="18">
        <f t="shared" si="2"/>
        <v>0.4963636364</v>
      </c>
      <c r="K96" s="17">
        <v>2.31</v>
      </c>
      <c r="L96" s="19">
        <f t="shared" si="3"/>
        <v>0</v>
      </c>
      <c r="M96" s="20">
        <f t="shared" si="4"/>
        <v>209.899998</v>
      </c>
      <c r="N96" s="21">
        <f t="shared" si="5"/>
        <v>2.31</v>
      </c>
      <c r="O96" s="21">
        <f t="shared" si="6"/>
        <v>2541</v>
      </c>
      <c r="P96" s="22">
        <f t="shared" si="7"/>
        <v>230889.9978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>
        <v>46071.0</v>
      </c>
      <c r="C97" s="12">
        <f>VLOOKUP(B:B,'Курс валют'!A:D,4,0)</f>
        <v>90.8658</v>
      </c>
      <c r="D97" s="13" t="s">
        <v>1355</v>
      </c>
      <c r="E97" s="59" t="s">
        <v>61</v>
      </c>
      <c r="F97" s="15">
        <v>1100.0</v>
      </c>
      <c r="G97" s="16">
        <v>1105.46</v>
      </c>
      <c r="H97" s="17">
        <v>0.0</v>
      </c>
      <c r="I97" s="16">
        <f t="shared" si="8"/>
        <v>5.46</v>
      </c>
      <c r="J97" s="18">
        <f t="shared" si="2"/>
        <v>0.4963636364</v>
      </c>
      <c r="K97" s="17">
        <v>2.3</v>
      </c>
      <c r="L97" s="19">
        <f t="shared" si="3"/>
        <v>0</v>
      </c>
      <c r="M97" s="20">
        <f t="shared" si="4"/>
        <v>208.99134</v>
      </c>
      <c r="N97" s="21">
        <f t="shared" si="5"/>
        <v>2.3</v>
      </c>
      <c r="O97" s="21">
        <f t="shared" si="6"/>
        <v>2530</v>
      </c>
      <c r="P97" s="22">
        <f t="shared" si="7"/>
        <v>229890.474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>
        <v>46071.0</v>
      </c>
      <c r="C98" s="12">
        <f>VLOOKUP(B:B,'Курс валют'!A:D,4,0)</f>
        <v>90.8658</v>
      </c>
      <c r="D98" s="13" t="s">
        <v>1356</v>
      </c>
      <c r="E98" s="59" t="s">
        <v>61</v>
      </c>
      <c r="F98" s="15">
        <v>1100.0</v>
      </c>
      <c r="G98" s="16">
        <v>1105.46</v>
      </c>
      <c r="H98" s="17">
        <v>0.0</v>
      </c>
      <c r="I98" s="16">
        <f t="shared" si="8"/>
        <v>5.46</v>
      </c>
      <c r="J98" s="18">
        <f t="shared" si="2"/>
        <v>0.4963636364</v>
      </c>
      <c r="K98" s="17">
        <v>2.31</v>
      </c>
      <c r="L98" s="19">
        <f t="shared" si="3"/>
        <v>0</v>
      </c>
      <c r="M98" s="20">
        <f t="shared" si="4"/>
        <v>209.899998</v>
      </c>
      <c r="N98" s="21">
        <f t="shared" si="5"/>
        <v>2.31</v>
      </c>
      <c r="O98" s="21">
        <f t="shared" si="6"/>
        <v>2541</v>
      </c>
      <c r="P98" s="22">
        <f t="shared" si="7"/>
        <v>230889.9978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>
        <v>46071.0</v>
      </c>
      <c r="C99" s="12">
        <f>VLOOKUP(B:B,'Курс валют'!A:D,4,0)</f>
        <v>90.8658</v>
      </c>
      <c r="D99" s="13" t="s">
        <v>1357</v>
      </c>
      <c r="E99" s="59" t="s">
        <v>61</v>
      </c>
      <c r="F99" s="15">
        <v>1100.0</v>
      </c>
      <c r="G99" s="16">
        <v>1105.46</v>
      </c>
      <c r="H99" s="17">
        <v>0.0</v>
      </c>
      <c r="I99" s="16">
        <f t="shared" si="8"/>
        <v>5.46</v>
      </c>
      <c r="J99" s="18">
        <f t="shared" si="2"/>
        <v>0.4963636364</v>
      </c>
      <c r="K99" s="17">
        <v>2.3</v>
      </c>
      <c r="L99" s="19">
        <f t="shared" si="3"/>
        <v>0</v>
      </c>
      <c r="M99" s="20">
        <f t="shared" si="4"/>
        <v>208.99134</v>
      </c>
      <c r="N99" s="21">
        <f t="shared" si="5"/>
        <v>2.3</v>
      </c>
      <c r="O99" s="21">
        <f t="shared" si="6"/>
        <v>2530</v>
      </c>
      <c r="P99" s="22">
        <f t="shared" si="7"/>
        <v>229890.474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>
        <v>46071.0</v>
      </c>
      <c r="C100" s="12">
        <f>VLOOKUP(B:B,'Курс валют'!A:D,4,0)</f>
        <v>90.8658</v>
      </c>
      <c r="D100" s="13" t="s">
        <v>1358</v>
      </c>
      <c r="E100" s="59" t="s">
        <v>61</v>
      </c>
      <c r="F100" s="15">
        <v>1100.0</v>
      </c>
      <c r="G100" s="16">
        <v>1105.46</v>
      </c>
      <c r="H100" s="17">
        <v>0.0</v>
      </c>
      <c r="I100" s="16">
        <f t="shared" si="8"/>
        <v>5.46</v>
      </c>
      <c r="J100" s="18">
        <f t="shared" si="2"/>
        <v>0.4963636364</v>
      </c>
      <c r="K100" s="17">
        <v>2.3</v>
      </c>
      <c r="L100" s="19">
        <f t="shared" si="3"/>
        <v>0</v>
      </c>
      <c r="M100" s="20">
        <f t="shared" si="4"/>
        <v>208.99134</v>
      </c>
      <c r="N100" s="21">
        <f t="shared" si="5"/>
        <v>2.3</v>
      </c>
      <c r="O100" s="21">
        <f t="shared" si="6"/>
        <v>2530</v>
      </c>
      <c r="P100" s="22">
        <f t="shared" si="7"/>
        <v>229890.474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>
        <v>46071.0</v>
      </c>
      <c r="C101" s="12">
        <f>VLOOKUP(B:B,'Курс валют'!A:D,4,0)</f>
        <v>90.8658</v>
      </c>
      <c r="D101" s="13" t="s">
        <v>1359</v>
      </c>
      <c r="E101" s="59" t="s">
        <v>61</v>
      </c>
      <c r="F101" s="15">
        <v>1100.0</v>
      </c>
      <c r="G101" s="16">
        <v>1105.46</v>
      </c>
      <c r="H101" s="17">
        <v>0.0</v>
      </c>
      <c r="I101" s="16">
        <f t="shared" si="8"/>
        <v>5.46</v>
      </c>
      <c r="J101" s="18">
        <f t="shared" si="2"/>
        <v>0.4963636364</v>
      </c>
      <c r="K101" s="17">
        <v>2.31</v>
      </c>
      <c r="L101" s="19">
        <f t="shared" si="3"/>
        <v>0</v>
      </c>
      <c r="M101" s="20">
        <f t="shared" si="4"/>
        <v>209.899998</v>
      </c>
      <c r="N101" s="21">
        <f t="shared" si="5"/>
        <v>2.31</v>
      </c>
      <c r="O101" s="21">
        <f t="shared" si="6"/>
        <v>2541</v>
      </c>
      <c r="P101" s="22">
        <f t="shared" si="7"/>
        <v>230889.9978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>
        <v>46071.0</v>
      </c>
      <c r="C102" s="12">
        <f>VLOOKUP(B:B,'Курс валют'!A:D,4,0)</f>
        <v>90.8658</v>
      </c>
      <c r="D102" s="13" t="s">
        <v>1360</v>
      </c>
      <c r="E102" s="59" t="s">
        <v>61</v>
      </c>
      <c r="F102" s="15">
        <v>1100.0</v>
      </c>
      <c r="G102" s="16">
        <v>1105.46</v>
      </c>
      <c r="H102" s="17">
        <v>0.0</v>
      </c>
      <c r="I102" s="16">
        <f t="shared" si="8"/>
        <v>5.46</v>
      </c>
      <c r="J102" s="18">
        <f t="shared" si="2"/>
        <v>0.4963636364</v>
      </c>
      <c r="K102" s="17">
        <v>2.31</v>
      </c>
      <c r="L102" s="19">
        <f t="shared" si="3"/>
        <v>0</v>
      </c>
      <c r="M102" s="20">
        <f t="shared" si="4"/>
        <v>209.899998</v>
      </c>
      <c r="N102" s="21">
        <f t="shared" si="5"/>
        <v>2.31</v>
      </c>
      <c r="O102" s="21">
        <f t="shared" si="6"/>
        <v>2541</v>
      </c>
      <c r="P102" s="22">
        <f t="shared" si="7"/>
        <v>230889.9978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>
        <v>46071.0</v>
      </c>
      <c r="C103" s="12">
        <f>VLOOKUP(B:B,'Курс валют'!A:D,4,0)</f>
        <v>90.8658</v>
      </c>
      <c r="D103" s="13" t="s">
        <v>1361</v>
      </c>
      <c r="E103" s="59" t="s">
        <v>1362</v>
      </c>
      <c r="F103" s="15">
        <v>40.0</v>
      </c>
      <c r="G103" s="16">
        <v>40.0</v>
      </c>
      <c r="H103" s="17">
        <v>0.0</v>
      </c>
      <c r="I103" s="16">
        <f t="shared" si="8"/>
        <v>0</v>
      </c>
      <c r="J103" s="18">
        <f t="shared" si="2"/>
        <v>0</v>
      </c>
      <c r="K103" s="17">
        <v>2.95</v>
      </c>
      <c r="L103" s="19">
        <f t="shared" si="3"/>
        <v>0</v>
      </c>
      <c r="M103" s="20">
        <f t="shared" si="4"/>
        <v>268.05411</v>
      </c>
      <c r="N103" s="21">
        <f t="shared" si="5"/>
        <v>2.95</v>
      </c>
      <c r="O103" s="21">
        <f t="shared" si="6"/>
        <v>118</v>
      </c>
      <c r="P103" s="22">
        <f t="shared" si="7"/>
        <v>10722.1644</v>
      </c>
      <c r="R103" s="24" t="s">
        <v>208</v>
      </c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>
        <v>46071.0</v>
      </c>
      <c r="C104" s="12">
        <f>VLOOKUP(B:B,'Курс валют'!A:D,4,0)</f>
        <v>90.8658</v>
      </c>
      <c r="D104" s="13" t="s">
        <v>1361</v>
      </c>
      <c r="E104" s="59" t="s">
        <v>1363</v>
      </c>
      <c r="F104" s="15">
        <v>10.0</v>
      </c>
      <c r="G104" s="16">
        <v>10.0</v>
      </c>
      <c r="H104" s="17">
        <v>0.0</v>
      </c>
      <c r="I104" s="16">
        <f t="shared" si="8"/>
        <v>0</v>
      </c>
      <c r="J104" s="18">
        <f t="shared" si="2"/>
        <v>0</v>
      </c>
      <c r="K104" s="17">
        <v>2.95</v>
      </c>
      <c r="L104" s="19">
        <f t="shared" si="3"/>
        <v>0</v>
      </c>
      <c r="M104" s="20">
        <f t="shared" si="4"/>
        <v>268.05411</v>
      </c>
      <c r="N104" s="21">
        <f t="shared" si="5"/>
        <v>2.95</v>
      </c>
      <c r="O104" s="21">
        <f t="shared" si="6"/>
        <v>29.5</v>
      </c>
      <c r="P104" s="22">
        <f t="shared" si="7"/>
        <v>2680.5411</v>
      </c>
      <c r="R104" s="24" t="s">
        <v>208</v>
      </c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>
        <v>46072.0</v>
      </c>
      <c r="C105" s="12">
        <f>VLOOKUP(B:B,'Курс валют'!A:D,4,0)</f>
        <v>90.2683</v>
      </c>
      <c r="D105" s="13" t="s">
        <v>1364</v>
      </c>
      <c r="E105" s="59" t="s">
        <v>61</v>
      </c>
      <c r="F105" s="15">
        <v>1100.0</v>
      </c>
      <c r="G105" s="16">
        <v>1107.46</v>
      </c>
      <c r="H105" s="17">
        <v>0.0</v>
      </c>
      <c r="I105" s="16">
        <f t="shared" si="8"/>
        <v>7.46</v>
      </c>
      <c r="J105" s="18">
        <f t="shared" si="2"/>
        <v>0.6781818182</v>
      </c>
      <c r="K105" s="17">
        <v>2.31</v>
      </c>
      <c r="L105" s="19">
        <f t="shared" si="3"/>
        <v>0</v>
      </c>
      <c r="M105" s="20">
        <f t="shared" si="4"/>
        <v>208.519773</v>
      </c>
      <c r="N105" s="21">
        <f t="shared" si="5"/>
        <v>2.31</v>
      </c>
      <c r="O105" s="21">
        <f t="shared" si="6"/>
        <v>2541</v>
      </c>
      <c r="P105" s="22">
        <f t="shared" si="7"/>
        <v>229371.7503</v>
      </c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>
        <v>46072.0</v>
      </c>
      <c r="C106" s="12">
        <f>VLOOKUP(B:B,'Курс валют'!A:D,4,0)</f>
        <v>90.2683</v>
      </c>
      <c r="D106" s="13" t="s">
        <v>1365</v>
      </c>
      <c r="E106" s="59" t="s">
        <v>61</v>
      </c>
      <c r="F106" s="15">
        <v>1100.0</v>
      </c>
      <c r="G106" s="16">
        <v>1107.46</v>
      </c>
      <c r="H106" s="17">
        <v>0.0</v>
      </c>
      <c r="I106" s="16">
        <f t="shared" si="8"/>
        <v>7.46</v>
      </c>
      <c r="J106" s="18">
        <f t="shared" si="2"/>
        <v>0.6781818182</v>
      </c>
      <c r="K106" s="17">
        <v>2.3</v>
      </c>
      <c r="L106" s="19">
        <f t="shared" si="3"/>
        <v>0</v>
      </c>
      <c r="M106" s="20">
        <f t="shared" si="4"/>
        <v>207.61709</v>
      </c>
      <c r="N106" s="21">
        <f t="shared" si="5"/>
        <v>2.3</v>
      </c>
      <c r="O106" s="21">
        <f t="shared" si="6"/>
        <v>2530</v>
      </c>
      <c r="P106" s="22">
        <f t="shared" si="7"/>
        <v>228378.799</v>
      </c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>
        <v>46072.0</v>
      </c>
      <c r="C107" s="12">
        <f>VLOOKUP(B:B,'Курс валют'!A:D,4,0)</f>
        <v>90.2683</v>
      </c>
      <c r="D107" s="13" t="s">
        <v>1366</v>
      </c>
      <c r="E107" s="59" t="s">
        <v>61</v>
      </c>
      <c r="F107" s="15">
        <v>1100.0</v>
      </c>
      <c r="G107" s="16">
        <v>1107.46</v>
      </c>
      <c r="H107" s="17">
        <v>0.0</v>
      </c>
      <c r="I107" s="16">
        <f t="shared" si="8"/>
        <v>7.46</v>
      </c>
      <c r="J107" s="18">
        <f t="shared" si="2"/>
        <v>0.6781818182</v>
      </c>
      <c r="K107" s="17">
        <v>2.3</v>
      </c>
      <c r="L107" s="19">
        <f t="shared" si="3"/>
        <v>0</v>
      </c>
      <c r="M107" s="20">
        <f t="shared" si="4"/>
        <v>207.61709</v>
      </c>
      <c r="N107" s="21">
        <f t="shared" si="5"/>
        <v>2.3</v>
      </c>
      <c r="O107" s="21">
        <f t="shared" si="6"/>
        <v>2530</v>
      </c>
      <c r="P107" s="22">
        <f t="shared" si="7"/>
        <v>228378.799</v>
      </c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>
        <v>46072.0</v>
      </c>
      <c r="C108" s="12">
        <f>VLOOKUP(B:B,'Курс валют'!A:D,4,0)</f>
        <v>90.2683</v>
      </c>
      <c r="D108" s="13" t="s">
        <v>1367</v>
      </c>
      <c r="E108" s="59" t="s">
        <v>104</v>
      </c>
      <c r="F108" s="15">
        <v>800.0</v>
      </c>
      <c r="G108" s="15">
        <v>807.75</v>
      </c>
      <c r="H108" s="17">
        <v>0.0</v>
      </c>
      <c r="I108" s="15">
        <f t="shared" si="8"/>
        <v>7.75</v>
      </c>
      <c r="J108" s="18">
        <f t="shared" si="2"/>
        <v>0.96875</v>
      </c>
      <c r="K108" s="17">
        <v>2.53</v>
      </c>
      <c r="L108" s="19">
        <f t="shared" si="3"/>
        <v>0</v>
      </c>
      <c r="M108" s="20">
        <f t="shared" si="4"/>
        <v>228.378799</v>
      </c>
      <c r="N108" s="21">
        <f t="shared" si="5"/>
        <v>2.53</v>
      </c>
      <c r="O108" s="21">
        <f t="shared" si="6"/>
        <v>2024</v>
      </c>
      <c r="P108" s="22">
        <f t="shared" si="7"/>
        <v>182703.0392</v>
      </c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>
        <v>46072.0</v>
      </c>
      <c r="C109" s="12">
        <f>VLOOKUP(B:B,'Курс валют'!A:D,4,0)</f>
        <v>90.2683</v>
      </c>
      <c r="D109" s="13" t="s">
        <v>1368</v>
      </c>
      <c r="E109" s="59" t="s">
        <v>61</v>
      </c>
      <c r="F109" s="15">
        <v>1100.0</v>
      </c>
      <c r="G109" s="16">
        <v>1107.46</v>
      </c>
      <c r="H109" s="17">
        <v>0.0</v>
      </c>
      <c r="I109" s="16">
        <f t="shared" si="8"/>
        <v>7.46</v>
      </c>
      <c r="J109" s="18">
        <f t="shared" si="2"/>
        <v>0.6781818182</v>
      </c>
      <c r="K109" s="17">
        <v>2.31</v>
      </c>
      <c r="L109" s="19">
        <f t="shared" si="3"/>
        <v>0</v>
      </c>
      <c r="M109" s="20">
        <f t="shared" si="4"/>
        <v>208.519773</v>
      </c>
      <c r="N109" s="21">
        <f t="shared" si="5"/>
        <v>2.31</v>
      </c>
      <c r="O109" s="21">
        <f t="shared" si="6"/>
        <v>2541</v>
      </c>
      <c r="P109" s="22">
        <f t="shared" si="7"/>
        <v>229371.7503</v>
      </c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>
        <v>46072.0</v>
      </c>
      <c r="C110" s="12">
        <f>VLOOKUP(B:B,'Курс валют'!A:D,4,0)</f>
        <v>90.2683</v>
      </c>
      <c r="D110" s="13" t="s">
        <v>1369</v>
      </c>
      <c r="E110" s="59" t="s">
        <v>61</v>
      </c>
      <c r="F110" s="15">
        <v>1100.0</v>
      </c>
      <c r="G110" s="16">
        <v>1107.96</v>
      </c>
      <c r="H110" s="17">
        <v>0.0</v>
      </c>
      <c r="I110" s="16">
        <f t="shared" si="8"/>
        <v>7.96</v>
      </c>
      <c r="J110" s="18">
        <f t="shared" si="2"/>
        <v>0.7236363636</v>
      </c>
      <c r="K110" s="17">
        <v>2.3</v>
      </c>
      <c r="L110" s="19">
        <f t="shared" si="3"/>
        <v>0</v>
      </c>
      <c r="M110" s="20">
        <f t="shared" si="4"/>
        <v>207.61709</v>
      </c>
      <c r="N110" s="21">
        <f t="shared" si="5"/>
        <v>2.3</v>
      </c>
      <c r="O110" s="21">
        <f t="shared" si="6"/>
        <v>2530</v>
      </c>
      <c r="P110" s="22">
        <f t="shared" si="7"/>
        <v>228378.799</v>
      </c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>
        <v>46072.0</v>
      </c>
      <c r="C111" s="12">
        <f>VLOOKUP(B:B,'Курс валют'!A:D,4,0)</f>
        <v>90.2683</v>
      </c>
      <c r="D111" s="13" t="s">
        <v>1370</v>
      </c>
      <c r="E111" s="59" t="s">
        <v>61</v>
      </c>
      <c r="F111" s="15">
        <v>1100.0</v>
      </c>
      <c r="G111" s="16">
        <v>1107.96</v>
      </c>
      <c r="H111" s="17">
        <v>0.0</v>
      </c>
      <c r="I111" s="16">
        <f t="shared" si="8"/>
        <v>7.96</v>
      </c>
      <c r="J111" s="18">
        <f t="shared" si="2"/>
        <v>0.7236363636</v>
      </c>
      <c r="K111" s="17">
        <v>2.31</v>
      </c>
      <c r="L111" s="19">
        <f t="shared" si="3"/>
        <v>0</v>
      </c>
      <c r="M111" s="20">
        <f t="shared" si="4"/>
        <v>208.519773</v>
      </c>
      <c r="N111" s="21">
        <f t="shared" si="5"/>
        <v>2.31</v>
      </c>
      <c r="O111" s="21">
        <f t="shared" si="6"/>
        <v>2541</v>
      </c>
      <c r="P111" s="22">
        <f t="shared" si="7"/>
        <v>229371.7503</v>
      </c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>
        <v>46072.0</v>
      </c>
      <c r="C112" s="12">
        <f>VLOOKUP(B:B,'Курс валют'!A:D,4,0)</f>
        <v>90.2683</v>
      </c>
      <c r="D112" s="13" t="s">
        <v>1371</v>
      </c>
      <c r="E112" s="59" t="s">
        <v>61</v>
      </c>
      <c r="F112" s="15">
        <v>1100.0</v>
      </c>
      <c r="G112" s="16">
        <v>1107.96</v>
      </c>
      <c r="H112" s="17">
        <v>0.0</v>
      </c>
      <c r="I112" s="16">
        <f t="shared" si="8"/>
        <v>7.96</v>
      </c>
      <c r="J112" s="18">
        <f t="shared" si="2"/>
        <v>0.7236363636</v>
      </c>
      <c r="K112" s="17">
        <v>2.3</v>
      </c>
      <c r="L112" s="19">
        <f t="shared" si="3"/>
        <v>0</v>
      </c>
      <c r="M112" s="20">
        <f t="shared" si="4"/>
        <v>207.61709</v>
      </c>
      <c r="N112" s="21">
        <f t="shared" si="5"/>
        <v>2.3</v>
      </c>
      <c r="O112" s="21">
        <f t="shared" si="6"/>
        <v>2530</v>
      </c>
      <c r="P112" s="22">
        <f t="shared" si="7"/>
        <v>228378.799</v>
      </c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>
        <v>46072.0</v>
      </c>
      <c r="C113" s="12">
        <f>VLOOKUP(B:B,'Курс валют'!A:D,4,0)</f>
        <v>90.2683</v>
      </c>
      <c r="D113" s="13" t="s">
        <v>1372</v>
      </c>
      <c r="E113" s="59" t="s">
        <v>61</v>
      </c>
      <c r="F113" s="15">
        <v>1100.0</v>
      </c>
      <c r="G113" s="16">
        <v>1107.96</v>
      </c>
      <c r="H113" s="17">
        <v>0.0</v>
      </c>
      <c r="I113" s="16">
        <f t="shared" si="8"/>
        <v>7.96</v>
      </c>
      <c r="J113" s="18">
        <f t="shared" si="2"/>
        <v>0.7236363636</v>
      </c>
      <c r="K113" s="17">
        <v>2.3</v>
      </c>
      <c r="L113" s="19">
        <f t="shared" si="3"/>
        <v>0</v>
      </c>
      <c r="M113" s="20">
        <f t="shared" si="4"/>
        <v>207.61709</v>
      </c>
      <c r="N113" s="21">
        <f t="shared" si="5"/>
        <v>2.3</v>
      </c>
      <c r="O113" s="21">
        <f t="shared" si="6"/>
        <v>2530</v>
      </c>
      <c r="P113" s="22">
        <f t="shared" si="7"/>
        <v>228378.799</v>
      </c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>
        <v>46072.0</v>
      </c>
      <c r="C114" s="12">
        <f>VLOOKUP(B:B,'Курс валют'!A:D,4,0)</f>
        <v>90.2683</v>
      </c>
      <c r="D114" s="13" t="s">
        <v>1373</v>
      </c>
      <c r="E114" s="59" t="s">
        <v>61</v>
      </c>
      <c r="F114" s="15">
        <v>1100.0</v>
      </c>
      <c r="G114" s="16">
        <v>1107.96</v>
      </c>
      <c r="H114" s="17">
        <v>0.0</v>
      </c>
      <c r="I114" s="16">
        <f t="shared" si="8"/>
        <v>7.96</v>
      </c>
      <c r="J114" s="18">
        <f t="shared" si="2"/>
        <v>0.7236363636</v>
      </c>
      <c r="K114" s="17">
        <v>2.3</v>
      </c>
      <c r="L114" s="19">
        <f t="shared" si="3"/>
        <v>0</v>
      </c>
      <c r="M114" s="20">
        <f t="shared" si="4"/>
        <v>207.61709</v>
      </c>
      <c r="N114" s="21">
        <f t="shared" si="5"/>
        <v>2.3</v>
      </c>
      <c r="O114" s="21">
        <f t="shared" si="6"/>
        <v>2530</v>
      </c>
      <c r="P114" s="22">
        <f t="shared" si="7"/>
        <v>228378.799</v>
      </c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>
        <v>46072.0</v>
      </c>
      <c r="C115" s="12">
        <f>VLOOKUP(B:B,'Курс валют'!A:D,4,0)</f>
        <v>90.2683</v>
      </c>
      <c r="D115" s="13" t="s">
        <v>1374</v>
      </c>
      <c r="E115" s="59" t="s">
        <v>61</v>
      </c>
      <c r="F115" s="15">
        <v>1100.0</v>
      </c>
      <c r="G115" s="16">
        <v>1107.96</v>
      </c>
      <c r="H115" s="17">
        <v>0.0</v>
      </c>
      <c r="I115" s="16">
        <f t="shared" si="8"/>
        <v>7.96</v>
      </c>
      <c r="J115" s="18">
        <f t="shared" si="2"/>
        <v>0.7236363636</v>
      </c>
      <c r="K115" s="17">
        <v>2.3</v>
      </c>
      <c r="L115" s="19">
        <f t="shared" si="3"/>
        <v>0</v>
      </c>
      <c r="M115" s="20">
        <f t="shared" si="4"/>
        <v>207.61709</v>
      </c>
      <c r="N115" s="21">
        <f t="shared" si="5"/>
        <v>2.3</v>
      </c>
      <c r="O115" s="21">
        <f t="shared" si="6"/>
        <v>2530</v>
      </c>
      <c r="P115" s="22">
        <f t="shared" si="7"/>
        <v>228378.799</v>
      </c>
      <c r="R115" s="24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>
        <v>46072.0</v>
      </c>
      <c r="C116" s="12">
        <f>VLOOKUP(B:B,'Курс валют'!A:D,4,0)</f>
        <v>90.2683</v>
      </c>
      <c r="D116" s="13" t="s">
        <v>1375</v>
      </c>
      <c r="E116" s="59" t="s">
        <v>104</v>
      </c>
      <c r="F116" s="15">
        <v>800.0</v>
      </c>
      <c r="G116" s="15">
        <v>807.75</v>
      </c>
      <c r="H116" s="17">
        <v>0.0</v>
      </c>
      <c r="I116" s="15">
        <f t="shared" si="8"/>
        <v>7.75</v>
      </c>
      <c r="J116" s="18">
        <f t="shared" si="2"/>
        <v>0.96875</v>
      </c>
      <c r="K116" s="17">
        <v>2.53</v>
      </c>
      <c r="L116" s="19">
        <f t="shared" si="3"/>
        <v>0</v>
      </c>
      <c r="M116" s="20">
        <f t="shared" si="4"/>
        <v>228.378799</v>
      </c>
      <c r="N116" s="21">
        <f t="shared" si="5"/>
        <v>2.53</v>
      </c>
      <c r="O116" s="21">
        <f t="shared" si="6"/>
        <v>2024</v>
      </c>
      <c r="P116" s="22">
        <f t="shared" si="7"/>
        <v>182703.0392</v>
      </c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>
        <v>46073.0</v>
      </c>
      <c r="C117" s="12">
        <f>VLOOKUP(B:B,'Курс валют'!A:D,4,0)</f>
        <v>90.1669</v>
      </c>
      <c r="D117" s="13" t="s">
        <v>1376</v>
      </c>
      <c r="E117" s="59" t="s">
        <v>61</v>
      </c>
      <c r="F117" s="15">
        <v>1100.0</v>
      </c>
      <c r="G117" s="16">
        <v>1110.96</v>
      </c>
      <c r="H117" s="17">
        <v>0.0</v>
      </c>
      <c r="I117" s="16">
        <f t="shared" si="8"/>
        <v>10.96</v>
      </c>
      <c r="J117" s="18">
        <f t="shared" si="2"/>
        <v>0.9963636364</v>
      </c>
      <c r="K117" s="17">
        <v>2.33</v>
      </c>
      <c r="L117" s="19">
        <f t="shared" si="3"/>
        <v>0</v>
      </c>
      <c r="M117" s="20">
        <f t="shared" si="4"/>
        <v>210.088877</v>
      </c>
      <c r="N117" s="21">
        <f t="shared" si="5"/>
        <v>2.33</v>
      </c>
      <c r="O117" s="21">
        <f t="shared" si="6"/>
        <v>2563</v>
      </c>
      <c r="P117" s="22">
        <f t="shared" si="7"/>
        <v>231097.7647</v>
      </c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>
        <v>46073.0</v>
      </c>
      <c r="C118" s="12">
        <f>VLOOKUP(B:B,'Курс валют'!A:D,4,0)</f>
        <v>90.1669</v>
      </c>
      <c r="D118" s="13" t="s">
        <v>1377</v>
      </c>
      <c r="E118" s="59" t="s">
        <v>61</v>
      </c>
      <c r="F118" s="15">
        <v>1100.0</v>
      </c>
      <c r="G118" s="16">
        <v>1110.96</v>
      </c>
      <c r="H118" s="17">
        <v>0.0</v>
      </c>
      <c r="I118" s="16">
        <f t="shared" si="8"/>
        <v>10.96</v>
      </c>
      <c r="J118" s="18">
        <f t="shared" si="2"/>
        <v>0.9963636364</v>
      </c>
      <c r="K118" s="17">
        <v>2.33</v>
      </c>
      <c r="L118" s="19">
        <f t="shared" si="3"/>
        <v>0</v>
      </c>
      <c r="M118" s="20">
        <f t="shared" si="4"/>
        <v>210.088877</v>
      </c>
      <c r="N118" s="21">
        <f t="shared" si="5"/>
        <v>2.33</v>
      </c>
      <c r="O118" s="21">
        <f t="shared" si="6"/>
        <v>2563</v>
      </c>
      <c r="P118" s="22">
        <f t="shared" si="7"/>
        <v>231097.7647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>
        <v>46073.0</v>
      </c>
      <c r="C119" s="12">
        <f>VLOOKUP(B:B,'Курс валют'!A:D,4,0)</f>
        <v>90.1669</v>
      </c>
      <c r="D119" s="13" t="s">
        <v>1378</v>
      </c>
      <c r="E119" s="59" t="s">
        <v>61</v>
      </c>
      <c r="F119" s="15">
        <v>1100.0</v>
      </c>
      <c r="G119" s="16">
        <v>1110.96</v>
      </c>
      <c r="H119" s="17">
        <v>0.0</v>
      </c>
      <c r="I119" s="16">
        <f t="shared" si="8"/>
        <v>10.96</v>
      </c>
      <c r="J119" s="18">
        <f t="shared" si="2"/>
        <v>0.9963636364</v>
      </c>
      <c r="K119" s="17">
        <v>2.33</v>
      </c>
      <c r="L119" s="19">
        <f t="shared" si="3"/>
        <v>0</v>
      </c>
      <c r="M119" s="20">
        <f t="shared" si="4"/>
        <v>210.088877</v>
      </c>
      <c r="N119" s="21">
        <f t="shared" si="5"/>
        <v>2.33</v>
      </c>
      <c r="O119" s="21">
        <f t="shared" si="6"/>
        <v>2563</v>
      </c>
      <c r="P119" s="22">
        <f t="shared" si="7"/>
        <v>231097.7647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>
        <v>46073.0</v>
      </c>
      <c r="C120" s="12">
        <f>VLOOKUP(B:B,'Курс валют'!A:D,4,0)</f>
        <v>90.1669</v>
      </c>
      <c r="D120" s="13" t="s">
        <v>1379</v>
      </c>
      <c r="E120" s="59" t="s">
        <v>61</v>
      </c>
      <c r="F120" s="15">
        <v>1100.0</v>
      </c>
      <c r="G120" s="16">
        <v>1110.96</v>
      </c>
      <c r="H120" s="17">
        <v>0.0</v>
      </c>
      <c r="I120" s="16">
        <f t="shared" si="8"/>
        <v>10.96</v>
      </c>
      <c r="J120" s="18">
        <f t="shared" si="2"/>
        <v>0.9963636364</v>
      </c>
      <c r="K120" s="17">
        <v>2.33</v>
      </c>
      <c r="L120" s="19">
        <f t="shared" si="3"/>
        <v>0</v>
      </c>
      <c r="M120" s="20">
        <f t="shared" si="4"/>
        <v>210.088877</v>
      </c>
      <c r="N120" s="21">
        <f t="shared" si="5"/>
        <v>2.33</v>
      </c>
      <c r="O120" s="21">
        <f t="shared" si="6"/>
        <v>2563</v>
      </c>
      <c r="P120" s="22">
        <f t="shared" si="7"/>
        <v>231097.7647</v>
      </c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>
        <v>46073.0</v>
      </c>
      <c r="C121" s="12">
        <f>VLOOKUP(B:B,'Курс валют'!A:D,4,0)</f>
        <v>90.1669</v>
      </c>
      <c r="D121" s="13" t="s">
        <v>1380</v>
      </c>
      <c r="E121" s="59" t="s">
        <v>61</v>
      </c>
      <c r="F121" s="15">
        <v>1100.0</v>
      </c>
      <c r="G121" s="16">
        <v>1110.96</v>
      </c>
      <c r="H121" s="17">
        <v>0.0</v>
      </c>
      <c r="I121" s="16">
        <f t="shared" si="8"/>
        <v>10.96</v>
      </c>
      <c r="J121" s="18">
        <f t="shared" si="2"/>
        <v>0.9963636364</v>
      </c>
      <c r="K121" s="17">
        <v>2.33</v>
      </c>
      <c r="L121" s="19">
        <f t="shared" si="3"/>
        <v>0</v>
      </c>
      <c r="M121" s="20">
        <f t="shared" si="4"/>
        <v>210.088877</v>
      </c>
      <c r="N121" s="21">
        <f t="shared" si="5"/>
        <v>2.33</v>
      </c>
      <c r="O121" s="21">
        <f t="shared" si="6"/>
        <v>2563</v>
      </c>
      <c r="P121" s="22">
        <f t="shared" si="7"/>
        <v>231097.7647</v>
      </c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>
        <v>46073.0</v>
      </c>
      <c r="C122" s="12">
        <f>VLOOKUP(B:B,'Курс валют'!A:D,4,0)</f>
        <v>90.1669</v>
      </c>
      <c r="D122" s="13" t="s">
        <v>1381</v>
      </c>
      <c r="E122" s="59" t="s">
        <v>104</v>
      </c>
      <c r="F122" s="15">
        <v>800.0</v>
      </c>
      <c r="G122" s="15">
        <v>810.0</v>
      </c>
      <c r="H122" s="17">
        <v>0.0</v>
      </c>
      <c r="I122" s="15">
        <f t="shared" si="8"/>
        <v>10</v>
      </c>
      <c r="J122" s="18">
        <f t="shared" si="2"/>
        <v>1.25</v>
      </c>
      <c r="K122" s="17">
        <v>2.54</v>
      </c>
      <c r="L122" s="19">
        <f t="shared" si="3"/>
        <v>0</v>
      </c>
      <c r="M122" s="20">
        <f t="shared" si="4"/>
        <v>229.023926</v>
      </c>
      <c r="N122" s="21">
        <f t="shared" si="5"/>
        <v>2.54</v>
      </c>
      <c r="O122" s="21">
        <f t="shared" si="6"/>
        <v>2032</v>
      </c>
      <c r="P122" s="22">
        <f t="shared" si="7"/>
        <v>183219.1408</v>
      </c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>
        <v>46073.0</v>
      </c>
      <c r="C123" s="12">
        <f>VLOOKUP(B:B,'Курс валют'!A:D,4,0)</f>
        <v>90.1669</v>
      </c>
      <c r="D123" s="13" t="s">
        <v>1382</v>
      </c>
      <c r="E123" s="59" t="s">
        <v>104</v>
      </c>
      <c r="F123" s="15">
        <v>800.0</v>
      </c>
      <c r="G123" s="15">
        <v>810.0</v>
      </c>
      <c r="H123" s="17">
        <v>0.0</v>
      </c>
      <c r="I123" s="15">
        <f t="shared" si="8"/>
        <v>10</v>
      </c>
      <c r="J123" s="18">
        <f t="shared" si="2"/>
        <v>1.25</v>
      </c>
      <c r="K123" s="17">
        <v>2.54</v>
      </c>
      <c r="L123" s="19">
        <f t="shared" si="3"/>
        <v>0</v>
      </c>
      <c r="M123" s="20">
        <f t="shared" si="4"/>
        <v>229.023926</v>
      </c>
      <c r="N123" s="21">
        <f t="shared" si="5"/>
        <v>2.54</v>
      </c>
      <c r="O123" s="21">
        <f t="shared" si="6"/>
        <v>2032</v>
      </c>
      <c r="P123" s="22">
        <f t="shared" si="7"/>
        <v>183219.1408</v>
      </c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>
        <v>46074.0</v>
      </c>
      <c r="C124" s="12">
        <f>VLOOKUP(B:B,'Курс валют'!A:D,4,0)</f>
        <v>90.2833</v>
      </c>
      <c r="D124" s="13" t="s">
        <v>1383</v>
      </c>
      <c r="E124" s="59" t="s">
        <v>92</v>
      </c>
      <c r="F124" s="15">
        <v>1000.0</v>
      </c>
      <c r="G124" s="15">
        <v>1000.0</v>
      </c>
      <c r="H124" s="17">
        <v>0.0</v>
      </c>
      <c r="I124" s="15">
        <f t="shared" si="8"/>
        <v>0</v>
      </c>
      <c r="J124" s="18">
        <f t="shared" si="2"/>
        <v>0</v>
      </c>
      <c r="K124" s="17">
        <v>2.84</v>
      </c>
      <c r="L124" s="19">
        <f t="shared" si="3"/>
        <v>0</v>
      </c>
      <c r="M124" s="20">
        <f t="shared" si="4"/>
        <v>256.404572</v>
      </c>
      <c r="N124" s="21">
        <f t="shared" si="5"/>
        <v>2.84</v>
      </c>
      <c r="O124" s="21">
        <f t="shared" si="6"/>
        <v>2840</v>
      </c>
      <c r="P124" s="22">
        <f t="shared" si="7"/>
        <v>256404.572</v>
      </c>
      <c r="R124" s="24" t="s">
        <v>1384</v>
      </c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B125" s="11">
        <v>46074.0</v>
      </c>
      <c r="C125" s="12">
        <f>VLOOKUP(B:B,'Курс валют'!A:D,4,0)</f>
        <v>90.2833</v>
      </c>
      <c r="D125" s="13" t="s">
        <v>1385</v>
      </c>
      <c r="E125" s="59" t="s">
        <v>1386</v>
      </c>
      <c r="F125" s="15">
        <v>220.0</v>
      </c>
      <c r="G125" s="15">
        <v>220.0</v>
      </c>
      <c r="H125" s="17">
        <v>0.0</v>
      </c>
      <c r="I125" s="15">
        <f t="shared" si="8"/>
        <v>0</v>
      </c>
      <c r="J125" s="18">
        <f t="shared" si="2"/>
        <v>0</v>
      </c>
      <c r="K125" s="17">
        <v>2.55</v>
      </c>
      <c r="L125" s="19">
        <f t="shared" si="3"/>
        <v>0</v>
      </c>
      <c r="M125" s="20">
        <f t="shared" si="4"/>
        <v>230.222415</v>
      </c>
      <c r="N125" s="21">
        <f t="shared" si="5"/>
        <v>2.55</v>
      </c>
      <c r="O125" s="21">
        <f t="shared" si="6"/>
        <v>561</v>
      </c>
      <c r="P125" s="22">
        <f t="shared" si="7"/>
        <v>50648.9313</v>
      </c>
      <c r="R125" s="42" t="s">
        <v>1387</v>
      </c>
    </row>
    <row r="126">
      <c r="B126" s="11">
        <v>46075.0</v>
      </c>
      <c r="C126" s="12">
        <f>VLOOKUP(B:B,'Курс валют'!A:D,4,0)</f>
        <v>90.2833</v>
      </c>
      <c r="D126" s="13" t="s">
        <v>1388</v>
      </c>
      <c r="E126" s="59" t="s">
        <v>1389</v>
      </c>
      <c r="F126" s="15">
        <v>200.0</v>
      </c>
      <c r="G126" s="15">
        <v>204.45</v>
      </c>
      <c r="H126" s="17">
        <v>0.0</v>
      </c>
      <c r="I126" s="15">
        <f t="shared" si="8"/>
        <v>4.45</v>
      </c>
      <c r="J126" s="18">
        <f t="shared" si="2"/>
        <v>2.225</v>
      </c>
      <c r="K126" s="17">
        <v>2.63</v>
      </c>
      <c r="L126" s="19">
        <f t="shared" si="3"/>
        <v>0</v>
      </c>
      <c r="M126" s="20">
        <f t="shared" si="4"/>
        <v>237.445079</v>
      </c>
      <c r="N126" s="21">
        <f t="shared" si="5"/>
        <v>2.63</v>
      </c>
      <c r="O126" s="21">
        <f t="shared" si="6"/>
        <v>526</v>
      </c>
      <c r="P126" s="22">
        <f t="shared" si="7"/>
        <v>47489.0158</v>
      </c>
    </row>
    <row r="127">
      <c r="B127" s="11">
        <v>46075.0</v>
      </c>
      <c r="C127" s="12">
        <f>VLOOKUP(B:B,'Курс валют'!A:D,4,0)</f>
        <v>90.2833</v>
      </c>
      <c r="D127" s="13" t="s">
        <v>1390</v>
      </c>
      <c r="E127" s="59" t="s">
        <v>1389</v>
      </c>
      <c r="F127" s="15">
        <v>800.0</v>
      </c>
      <c r="G127" s="15">
        <v>806.99</v>
      </c>
      <c r="H127" s="17">
        <v>0.0</v>
      </c>
      <c r="I127" s="15">
        <f t="shared" si="8"/>
        <v>6.99</v>
      </c>
      <c r="J127" s="18">
        <f t="shared" si="2"/>
        <v>0.87375</v>
      </c>
      <c r="K127" s="17">
        <v>2.9</v>
      </c>
      <c r="L127" s="19">
        <f t="shared" si="3"/>
        <v>0</v>
      </c>
      <c r="M127" s="20">
        <f t="shared" si="4"/>
        <v>261.82157</v>
      </c>
      <c r="N127" s="21">
        <f t="shared" si="5"/>
        <v>2.9</v>
      </c>
      <c r="O127" s="21">
        <f t="shared" si="6"/>
        <v>2320</v>
      </c>
      <c r="P127" s="22">
        <f t="shared" si="7"/>
        <v>209457.256</v>
      </c>
    </row>
    <row r="128">
      <c r="B128" s="11">
        <v>46075.0</v>
      </c>
      <c r="C128" s="12">
        <f>VLOOKUP(B:B,'Курс валют'!A:D,4,0)</f>
        <v>90.2833</v>
      </c>
      <c r="D128" s="13" t="s">
        <v>1391</v>
      </c>
      <c r="E128" s="59" t="s">
        <v>1389</v>
      </c>
      <c r="F128" s="15">
        <v>800.0</v>
      </c>
      <c r="G128" s="15">
        <v>806.99</v>
      </c>
      <c r="H128" s="17">
        <v>0.0</v>
      </c>
      <c r="I128" s="15">
        <f t="shared" si="8"/>
        <v>6.99</v>
      </c>
      <c r="J128" s="18">
        <f t="shared" si="2"/>
        <v>0.87375</v>
      </c>
      <c r="K128" s="17">
        <v>2.93</v>
      </c>
      <c r="L128" s="19">
        <f t="shared" si="3"/>
        <v>0</v>
      </c>
      <c r="M128" s="20">
        <f t="shared" si="4"/>
        <v>264.530069</v>
      </c>
      <c r="N128" s="21">
        <f t="shared" si="5"/>
        <v>2.93</v>
      </c>
      <c r="O128" s="21">
        <f t="shared" si="6"/>
        <v>2344</v>
      </c>
      <c r="P128" s="22">
        <f t="shared" si="7"/>
        <v>211624.0552</v>
      </c>
    </row>
    <row r="129">
      <c r="B129" s="11">
        <v>46075.0</v>
      </c>
      <c r="C129" s="12">
        <f>VLOOKUP(B:B,'Курс валют'!A:D,4,0)</f>
        <v>90.2833</v>
      </c>
      <c r="D129" s="13" t="s">
        <v>1392</v>
      </c>
      <c r="E129" s="59" t="s">
        <v>1389</v>
      </c>
      <c r="F129" s="15">
        <v>800.0</v>
      </c>
      <c r="G129" s="15">
        <v>806.99</v>
      </c>
      <c r="H129" s="17">
        <v>0.0</v>
      </c>
      <c r="I129" s="15">
        <f t="shared" si="8"/>
        <v>6.99</v>
      </c>
      <c r="J129" s="18">
        <f t="shared" si="2"/>
        <v>0.87375</v>
      </c>
      <c r="K129" s="17">
        <v>3.08</v>
      </c>
      <c r="L129" s="19">
        <f t="shared" si="3"/>
        <v>0</v>
      </c>
      <c r="M129" s="20">
        <f t="shared" si="4"/>
        <v>278.072564</v>
      </c>
      <c r="N129" s="21">
        <f t="shared" si="5"/>
        <v>3.08</v>
      </c>
      <c r="O129" s="21">
        <f t="shared" si="6"/>
        <v>2464</v>
      </c>
      <c r="P129" s="22">
        <f t="shared" si="7"/>
        <v>222458.0512</v>
      </c>
    </row>
    <row r="130">
      <c r="B130" s="11">
        <v>46078.0</v>
      </c>
      <c r="C130" s="12">
        <f>VLOOKUP(B:B,'Курс валют'!A:D,4,0)</f>
        <v>90.5821</v>
      </c>
      <c r="D130" s="13" t="s">
        <v>1393</v>
      </c>
      <c r="E130" s="59" t="s">
        <v>18</v>
      </c>
      <c r="F130" s="15">
        <v>1100.0</v>
      </c>
      <c r="G130" s="16">
        <v>1108.61</v>
      </c>
      <c r="H130" s="17">
        <v>0.0</v>
      </c>
      <c r="I130" s="16">
        <f t="shared" si="8"/>
        <v>8.61</v>
      </c>
      <c r="J130" s="18">
        <f t="shared" si="2"/>
        <v>0.7827272727</v>
      </c>
      <c r="K130" s="17">
        <v>2.24</v>
      </c>
      <c r="L130" s="19">
        <f t="shared" si="3"/>
        <v>0</v>
      </c>
      <c r="M130" s="20">
        <f t="shared" si="4"/>
        <v>202.903904</v>
      </c>
      <c r="N130" s="21">
        <f t="shared" si="5"/>
        <v>2.24</v>
      </c>
      <c r="O130" s="21">
        <f t="shared" si="6"/>
        <v>2464</v>
      </c>
      <c r="P130" s="22">
        <f t="shared" si="7"/>
        <v>223194.2944</v>
      </c>
    </row>
    <row r="131">
      <c r="B131" s="11">
        <v>46078.0</v>
      </c>
      <c r="C131" s="12">
        <f>VLOOKUP(B:B,'Курс валют'!A:D,4,0)</f>
        <v>90.5821</v>
      </c>
      <c r="D131" s="13" t="s">
        <v>1394</v>
      </c>
      <c r="E131" s="59" t="s">
        <v>18</v>
      </c>
      <c r="F131" s="15">
        <v>1100.0</v>
      </c>
      <c r="G131" s="16">
        <v>1108.61</v>
      </c>
      <c r="H131" s="17">
        <v>0.0</v>
      </c>
      <c r="I131" s="16">
        <f t="shared" si="8"/>
        <v>8.61</v>
      </c>
      <c r="J131" s="18">
        <f t="shared" si="2"/>
        <v>0.7827272727</v>
      </c>
      <c r="K131" s="17">
        <v>2.24</v>
      </c>
      <c r="L131" s="19">
        <f t="shared" si="3"/>
        <v>0</v>
      </c>
      <c r="M131" s="20">
        <f t="shared" si="4"/>
        <v>202.903904</v>
      </c>
      <c r="N131" s="21">
        <f t="shared" si="5"/>
        <v>2.24</v>
      </c>
      <c r="O131" s="21">
        <f t="shared" si="6"/>
        <v>2464</v>
      </c>
      <c r="P131" s="22">
        <f t="shared" si="7"/>
        <v>223194.2944</v>
      </c>
    </row>
    <row r="132">
      <c r="B132" s="11">
        <v>46078.0</v>
      </c>
      <c r="C132" s="12">
        <f>VLOOKUP(B:B,'Курс валют'!A:D,4,0)</f>
        <v>90.5821</v>
      </c>
      <c r="D132" s="13" t="s">
        <v>1395</v>
      </c>
      <c r="E132" s="59" t="s">
        <v>18</v>
      </c>
      <c r="F132" s="15">
        <v>1100.0</v>
      </c>
      <c r="G132" s="16">
        <v>1108.61</v>
      </c>
      <c r="H132" s="17">
        <v>0.0</v>
      </c>
      <c r="I132" s="16">
        <f t="shared" si="8"/>
        <v>8.61</v>
      </c>
      <c r="J132" s="18">
        <f t="shared" si="2"/>
        <v>0.7827272727</v>
      </c>
      <c r="K132" s="17">
        <v>2.24</v>
      </c>
      <c r="L132" s="19">
        <f t="shared" si="3"/>
        <v>0</v>
      </c>
      <c r="M132" s="20">
        <f t="shared" si="4"/>
        <v>202.903904</v>
      </c>
      <c r="N132" s="21">
        <f t="shared" si="5"/>
        <v>2.24</v>
      </c>
      <c r="O132" s="21">
        <f t="shared" si="6"/>
        <v>2464</v>
      </c>
      <c r="P132" s="22">
        <f t="shared" si="7"/>
        <v>223194.2944</v>
      </c>
    </row>
    <row r="133">
      <c r="B133" s="11">
        <v>46078.0</v>
      </c>
      <c r="C133" s="12">
        <f>VLOOKUP(B:B,'Курс валют'!A:D,4,0)</f>
        <v>90.5821</v>
      </c>
      <c r="D133" s="13" t="s">
        <v>1396</v>
      </c>
      <c r="E133" s="59" t="s">
        <v>18</v>
      </c>
      <c r="F133" s="15">
        <v>1100.0</v>
      </c>
      <c r="G133" s="16">
        <v>1108.61</v>
      </c>
      <c r="H133" s="17">
        <v>0.0</v>
      </c>
      <c r="I133" s="16">
        <f t="shared" si="8"/>
        <v>8.61</v>
      </c>
      <c r="J133" s="18">
        <f t="shared" si="2"/>
        <v>0.7827272727</v>
      </c>
      <c r="K133" s="17">
        <v>2.24</v>
      </c>
      <c r="L133" s="19">
        <f t="shared" si="3"/>
        <v>0</v>
      </c>
      <c r="M133" s="20">
        <f t="shared" si="4"/>
        <v>202.903904</v>
      </c>
      <c r="N133" s="21">
        <f t="shared" si="5"/>
        <v>2.24</v>
      </c>
      <c r="O133" s="21">
        <f t="shared" si="6"/>
        <v>2464</v>
      </c>
      <c r="P133" s="22">
        <f t="shared" si="7"/>
        <v>223194.2944</v>
      </c>
    </row>
    <row r="134">
      <c r="B134" s="11">
        <v>46078.0</v>
      </c>
      <c r="C134" s="12">
        <f>VLOOKUP(B:B,'Курс валют'!A:D,4,0)</f>
        <v>90.5821</v>
      </c>
      <c r="D134" s="13" t="s">
        <v>1397</v>
      </c>
      <c r="E134" s="59" t="s">
        <v>18</v>
      </c>
      <c r="F134" s="15">
        <v>1100.0</v>
      </c>
      <c r="G134" s="16">
        <v>1108.61</v>
      </c>
      <c r="H134" s="17">
        <v>0.0</v>
      </c>
      <c r="I134" s="16">
        <f t="shared" si="8"/>
        <v>8.61</v>
      </c>
      <c r="J134" s="18">
        <f t="shared" si="2"/>
        <v>0.7827272727</v>
      </c>
      <c r="K134" s="17">
        <v>2.24</v>
      </c>
      <c r="L134" s="19">
        <f t="shared" si="3"/>
        <v>0</v>
      </c>
      <c r="M134" s="20">
        <f t="shared" si="4"/>
        <v>202.903904</v>
      </c>
      <c r="N134" s="21">
        <f t="shared" si="5"/>
        <v>2.24</v>
      </c>
      <c r="O134" s="21">
        <f t="shared" si="6"/>
        <v>2464</v>
      </c>
      <c r="P134" s="22">
        <f t="shared" si="7"/>
        <v>223194.2944</v>
      </c>
    </row>
    <row r="135">
      <c r="B135" s="11">
        <v>46078.0</v>
      </c>
      <c r="C135" s="12">
        <f>VLOOKUP(B:B,'Курс валют'!A:D,4,0)</f>
        <v>90.5821</v>
      </c>
      <c r="D135" s="13" t="s">
        <v>1398</v>
      </c>
      <c r="E135" s="59" t="s">
        <v>18</v>
      </c>
      <c r="F135" s="15">
        <v>1100.0</v>
      </c>
      <c r="G135" s="16">
        <v>1108.61</v>
      </c>
      <c r="H135" s="17">
        <v>0.0</v>
      </c>
      <c r="I135" s="16">
        <f t="shared" si="8"/>
        <v>8.61</v>
      </c>
      <c r="J135" s="18">
        <f t="shared" si="2"/>
        <v>0.7827272727</v>
      </c>
      <c r="K135" s="17">
        <v>2.24</v>
      </c>
      <c r="L135" s="19">
        <f t="shared" si="3"/>
        <v>0</v>
      </c>
      <c r="M135" s="20">
        <f t="shared" si="4"/>
        <v>202.903904</v>
      </c>
      <c r="N135" s="21">
        <f t="shared" si="5"/>
        <v>2.24</v>
      </c>
      <c r="O135" s="21">
        <f t="shared" si="6"/>
        <v>2464</v>
      </c>
      <c r="P135" s="22">
        <f t="shared" si="7"/>
        <v>223194.2944</v>
      </c>
    </row>
    <row r="136">
      <c r="B136" s="11">
        <v>46078.0</v>
      </c>
      <c r="C136" s="12">
        <f>VLOOKUP(B:B,'Курс валют'!A:D,4,0)</f>
        <v>90.5821</v>
      </c>
      <c r="D136" s="13" t="s">
        <v>1399</v>
      </c>
      <c r="E136" s="59" t="s">
        <v>18</v>
      </c>
      <c r="F136" s="15">
        <v>1100.0</v>
      </c>
      <c r="G136" s="16">
        <v>1108.61</v>
      </c>
      <c r="H136" s="17">
        <v>0.0</v>
      </c>
      <c r="I136" s="16">
        <f t="shared" si="8"/>
        <v>8.61</v>
      </c>
      <c r="J136" s="18">
        <f t="shared" si="2"/>
        <v>0.7827272727</v>
      </c>
      <c r="K136" s="17">
        <v>2.24</v>
      </c>
      <c r="L136" s="19">
        <f t="shared" si="3"/>
        <v>0</v>
      </c>
      <c r="M136" s="20">
        <f t="shared" si="4"/>
        <v>202.903904</v>
      </c>
      <c r="N136" s="21">
        <f t="shared" si="5"/>
        <v>2.24</v>
      </c>
      <c r="O136" s="21">
        <f t="shared" si="6"/>
        <v>2464</v>
      </c>
      <c r="P136" s="22">
        <f t="shared" si="7"/>
        <v>223194.2944</v>
      </c>
    </row>
    <row r="137">
      <c r="B137" s="11">
        <v>46078.0</v>
      </c>
      <c r="C137" s="12">
        <f>VLOOKUP(B:B,'Курс валют'!A:D,4,0)</f>
        <v>90.5821</v>
      </c>
      <c r="D137" s="13" t="s">
        <v>1400</v>
      </c>
      <c r="E137" s="59" t="s">
        <v>18</v>
      </c>
      <c r="F137" s="15">
        <v>1100.0</v>
      </c>
      <c r="G137" s="16">
        <v>1108.61</v>
      </c>
      <c r="H137" s="17">
        <v>0.0</v>
      </c>
      <c r="I137" s="16">
        <f t="shared" si="8"/>
        <v>8.61</v>
      </c>
      <c r="J137" s="18">
        <f t="shared" si="2"/>
        <v>0.7827272727</v>
      </c>
      <c r="K137" s="17">
        <v>2.24</v>
      </c>
      <c r="L137" s="19">
        <f t="shared" si="3"/>
        <v>0</v>
      </c>
      <c r="M137" s="20">
        <f t="shared" si="4"/>
        <v>202.903904</v>
      </c>
      <c r="N137" s="21">
        <f t="shared" si="5"/>
        <v>2.24</v>
      </c>
      <c r="O137" s="21">
        <f t="shared" si="6"/>
        <v>2464</v>
      </c>
      <c r="P137" s="22">
        <f t="shared" si="7"/>
        <v>223194.2944</v>
      </c>
    </row>
    <row r="138">
      <c r="B138" s="11">
        <v>46078.0</v>
      </c>
      <c r="C138" s="12">
        <f>VLOOKUP(B:B,'Курс валют'!A:D,4,0)</f>
        <v>90.5821</v>
      </c>
      <c r="D138" s="13" t="s">
        <v>1401</v>
      </c>
      <c r="E138" s="59" t="s">
        <v>18</v>
      </c>
      <c r="F138" s="15">
        <v>1100.0</v>
      </c>
      <c r="G138" s="16">
        <v>1108.61</v>
      </c>
      <c r="H138" s="17">
        <v>0.0</v>
      </c>
      <c r="I138" s="16">
        <f t="shared" si="8"/>
        <v>8.61</v>
      </c>
      <c r="J138" s="18">
        <f t="shared" si="2"/>
        <v>0.7827272727</v>
      </c>
      <c r="K138" s="17">
        <v>2.24</v>
      </c>
      <c r="L138" s="19">
        <f t="shared" si="3"/>
        <v>0</v>
      </c>
      <c r="M138" s="20">
        <f t="shared" si="4"/>
        <v>202.903904</v>
      </c>
      <c r="N138" s="21">
        <f t="shared" si="5"/>
        <v>2.24</v>
      </c>
      <c r="O138" s="21">
        <f t="shared" si="6"/>
        <v>2464</v>
      </c>
      <c r="P138" s="22">
        <f t="shared" si="7"/>
        <v>223194.2944</v>
      </c>
    </row>
    <row r="139">
      <c r="B139" s="11">
        <v>46078.0</v>
      </c>
      <c r="C139" s="12">
        <f>VLOOKUP(B:B,'Курс валют'!A:D,4,0)</f>
        <v>90.5821</v>
      </c>
      <c r="D139" s="13" t="s">
        <v>1402</v>
      </c>
      <c r="E139" s="59" t="s">
        <v>18</v>
      </c>
      <c r="F139" s="15">
        <v>1100.0</v>
      </c>
      <c r="G139" s="16">
        <v>1108.61</v>
      </c>
      <c r="H139" s="17">
        <v>0.0</v>
      </c>
      <c r="I139" s="16">
        <f t="shared" si="8"/>
        <v>8.61</v>
      </c>
      <c r="J139" s="18">
        <f t="shared" si="2"/>
        <v>0.7827272727</v>
      </c>
      <c r="K139" s="17">
        <v>2.24</v>
      </c>
      <c r="L139" s="19">
        <f t="shared" si="3"/>
        <v>0</v>
      </c>
      <c r="M139" s="20">
        <f t="shared" si="4"/>
        <v>202.903904</v>
      </c>
      <c r="N139" s="21">
        <f t="shared" si="5"/>
        <v>2.24</v>
      </c>
      <c r="O139" s="21">
        <f t="shared" si="6"/>
        <v>2464</v>
      </c>
      <c r="P139" s="22">
        <f t="shared" si="7"/>
        <v>223194.2944</v>
      </c>
    </row>
    <row r="140">
      <c r="B140" s="11">
        <v>46079.0</v>
      </c>
      <c r="C140" s="12">
        <f>VLOOKUP(B:B,'Курс валют'!A:D,4,0)</f>
        <v>90.3211</v>
      </c>
      <c r="D140" s="13" t="s">
        <v>1403</v>
      </c>
      <c r="E140" s="59" t="s">
        <v>18</v>
      </c>
      <c r="F140" s="15">
        <v>1100.0</v>
      </c>
      <c r="G140" s="16">
        <v>1109.1</v>
      </c>
      <c r="H140" s="17">
        <v>0.0</v>
      </c>
      <c r="I140" s="16">
        <f t="shared" si="8"/>
        <v>9.1</v>
      </c>
      <c r="J140" s="18">
        <f t="shared" si="2"/>
        <v>0.8272727273</v>
      </c>
      <c r="K140" s="17">
        <v>2.24</v>
      </c>
      <c r="L140" s="19">
        <f t="shared" si="3"/>
        <v>0</v>
      </c>
      <c r="M140" s="20">
        <f t="shared" si="4"/>
        <v>202.319264</v>
      </c>
      <c r="N140" s="21">
        <f t="shared" si="5"/>
        <v>2.24</v>
      </c>
      <c r="O140" s="21">
        <f t="shared" si="6"/>
        <v>2464</v>
      </c>
      <c r="P140" s="22">
        <f t="shared" si="7"/>
        <v>222551.1904</v>
      </c>
    </row>
    <row r="141">
      <c r="B141" s="11">
        <v>46079.0</v>
      </c>
      <c r="C141" s="12">
        <f>VLOOKUP(B:B,'Курс валют'!A:D,4,0)</f>
        <v>90.3211</v>
      </c>
      <c r="D141" s="13" t="s">
        <v>1404</v>
      </c>
      <c r="E141" s="59" t="s">
        <v>18</v>
      </c>
      <c r="F141" s="15">
        <v>1100.0</v>
      </c>
      <c r="G141" s="16">
        <v>1109.1</v>
      </c>
      <c r="H141" s="17">
        <v>0.0</v>
      </c>
      <c r="I141" s="16">
        <f t="shared" si="8"/>
        <v>9.1</v>
      </c>
      <c r="J141" s="18">
        <f t="shared" si="2"/>
        <v>0.8272727273</v>
      </c>
      <c r="K141" s="17">
        <v>2.24</v>
      </c>
      <c r="L141" s="19">
        <f t="shared" si="3"/>
        <v>0</v>
      </c>
      <c r="M141" s="20">
        <f t="shared" si="4"/>
        <v>202.319264</v>
      </c>
      <c r="N141" s="21">
        <f t="shared" si="5"/>
        <v>2.24</v>
      </c>
      <c r="O141" s="21">
        <f t="shared" si="6"/>
        <v>2464</v>
      </c>
      <c r="P141" s="22">
        <f t="shared" si="7"/>
        <v>222551.1904</v>
      </c>
    </row>
    <row r="142">
      <c r="B142" s="11">
        <v>46079.0</v>
      </c>
      <c r="C142" s="12">
        <f>VLOOKUP(B:B,'Курс валют'!A:D,4,0)</f>
        <v>90.3211</v>
      </c>
      <c r="D142" s="13" t="s">
        <v>1405</v>
      </c>
      <c r="E142" s="59" t="s">
        <v>18</v>
      </c>
      <c r="F142" s="15">
        <v>1100.0</v>
      </c>
      <c r="G142" s="16">
        <v>1109.1</v>
      </c>
      <c r="H142" s="17">
        <v>0.0</v>
      </c>
      <c r="I142" s="16">
        <f t="shared" si="8"/>
        <v>9.1</v>
      </c>
      <c r="J142" s="18">
        <f t="shared" si="2"/>
        <v>0.8272727273</v>
      </c>
      <c r="K142" s="17">
        <v>2.24</v>
      </c>
      <c r="L142" s="19">
        <f t="shared" si="3"/>
        <v>0</v>
      </c>
      <c r="M142" s="20">
        <f t="shared" si="4"/>
        <v>202.319264</v>
      </c>
      <c r="N142" s="21">
        <f t="shared" si="5"/>
        <v>2.24</v>
      </c>
      <c r="O142" s="21">
        <f t="shared" si="6"/>
        <v>2464</v>
      </c>
      <c r="P142" s="22">
        <f t="shared" si="7"/>
        <v>222551.1904</v>
      </c>
    </row>
    <row r="143">
      <c r="B143" s="11">
        <v>46079.0</v>
      </c>
      <c r="C143" s="12">
        <f>VLOOKUP(B:B,'Курс валют'!A:D,4,0)</f>
        <v>90.3211</v>
      </c>
      <c r="D143" s="13" t="s">
        <v>1406</v>
      </c>
      <c r="E143" s="59" t="s">
        <v>18</v>
      </c>
      <c r="F143" s="15">
        <v>1100.0</v>
      </c>
      <c r="G143" s="16">
        <v>1109.1</v>
      </c>
      <c r="H143" s="17">
        <v>0.0</v>
      </c>
      <c r="I143" s="16">
        <f t="shared" si="8"/>
        <v>9.1</v>
      </c>
      <c r="J143" s="18">
        <f t="shared" si="2"/>
        <v>0.8272727273</v>
      </c>
      <c r="K143" s="17">
        <v>2.24</v>
      </c>
      <c r="L143" s="19">
        <f t="shared" si="3"/>
        <v>0</v>
      </c>
      <c r="M143" s="20">
        <f t="shared" si="4"/>
        <v>202.319264</v>
      </c>
      <c r="N143" s="21">
        <f t="shared" si="5"/>
        <v>2.24</v>
      </c>
      <c r="O143" s="21">
        <f t="shared" si="6"/>
        <v>2464</v>
      </c>
      <c r="P143" s="22">
        <f t="shared" si="7"/>
        <v>222551.1904</v>
      </c>
    </row>
    <row r="144">
      <c r="B144" s="11">
        <v>46079.0</v>
      </c>
      <c r="C144" s="12">
        <f>VLOOKUP(B:B,'Курс валют'!A:D,4,0)</f>
        <v>90.3211</v>
      </c>
      <c r="D144" s="13" t="s">
        <v>1407</v>
      </c>
      <c r="E144" s="59" t="s">
        <v>18</v>
      </c>
      <c r="F144" s="15">
        <v>1100.0</v>
      </c>
      <c r="G144" s="16">
        <v>1109.1</v>
      </c>
      <c r="H144" s="17">
        <v>0.0</v>
      </c>
      <c r="I144" s="16">
        <f t="shared" si="8"/>
        <v>9.1</v>
      </c>
      <c r="J144" s="18">
        <f t="shared" si="2"/>
        <v>0.8272727273</v>
      </c>
      <c r="K144" s="17">
        <v>2.24</v>
      </c>
      <c r="L144" s="19">
        <f t="shared" si="3"/>
        <v>0</v>
      </c>
      <c r="M144" s="20">
        <f t="shared" si="4"/>
        <v>202.319264</v>
      </c>
      <c r="N144" s="21">
        <f t="shared" si="5"/>
        <v>2.24</v>
      </c>
      <c r="O144" s="21">
        <f t="shared" si="6"/>
        <v>2464</v>
      </c>
      <c r="P144" s="22">
        <f t="shared" si="7"/>
        <v>222551.1904</v>
      </c>
    </row>
    <row r="145">
      <c r="B145" s="11">
        <v>46079.0</v>
      </c>
      <c r="C145" s="12">
        <f>VLOOKUP(B:B,'Курс валют'!A:D,4,0)</f>
        <v>90.3211</v>
      </c>
      <c r="D145" s="13" t="s">
        <v>1408</v>
      </c>
      <c r="E145" s="59" t="s">
        <v>18</v>
      </c>
      <c r="F145" s="15">
        <v>1100.0</v>
      </c>
      <c r="G145" s="16">
        <v>1109.1</v>
      </c>
      <c r="H145" s="17">
        <v>0.0</v>
      </c>
      <c r="I145" s="16">
        <f t="shared" si="8"/>
        <v>9.1</v>
      </c>
      <c r="J145" s="18">
        <f t="shared" si="2"/>
        <v>0.8272727273</v>
      </c>
      <c r="K145" s="17">
        <v>2.24</v>
      </c>
      <c r="L145" s="19">
        <f t="shared" si="3"/>
        <v>0</v>
      </c>
      <c r="M145" s="20">
        <f t="shared" si="4"/>
        <v>202.319264</v>
      </c>
      <c r="N145" s="21">
        <f t="shared" si="5"/>
        <v>2.24</v>
      </c>
      <c r="O145" s="21">
        <f t="shared" si="6"/>
        <v>2464</v>
      </c>
      <c r="P145" s="22">
        <f t="shared" si="7"/>
        <v>222551.1904</v>
      </c>
    </row>
    <row r="146">
      <c r="B146" s="11">
        <v>46079.0</v>
      </c>
      <c r="C146" s="12">
        <f>VLOOKUP(B:B,'Курс валют'!A:D,4,0)</f>
        <v>90.3211</v>
      </c>
      <c r="D146" s="13" t="s">
        <v>1409</v>
      </c>
      <c r="E146" s="59" t="s">
        <v>18</v>
      </c>
      <c r="F146" s="15">
        <v>1100.0</v>
      </c>
      <c r="G146" s="16">
        <v>1109.1</v>
      </c>
      <c r="H146" s="17">
        <v>0.0</v>
      </c>
      <c r="I146" s="16">
        <f t="shared" si="8"/>
        <v>9.1</v>
      </c>
      <c r="J146" s="18">
        <f t="shared" si="2"/>
        <v>0.8272727273</v>
      </c>
      <c r="K146" s="17">
        <v>2.24</v>
      </c>
      <c r="L146" s="19">
        <f t="shared" si="3"/>
        <v>0</v>
      </c>
      <c r="M146" s="20">
        <f t="shared" si="4"/>
        <v>202.319264</v>
      </c>
      <c r="N146" s="21">
        <f t="shared" si="5"/>
        <v>2.24</v>
      </c>
      <c r="O146" s="21">
        <f t="shared" si="6"/>
        <v>2464</v>
      </c>
      <c r="P146" s="22">
        <f t="shared" si="7"/>
        <v>222551.1904</v>
      </c>
    </row>
    <row r="147">
      <c r="B147" s="11">
        <v>46079.0</v>
      </c>
      <c r="C147" s="12">
        <f>VLOOKUP(B:B,'Курс валют'!A:D,4,0)</f>
        <v>90.3211</v>
      </c>
      <c r="D147" s="13" t="s">
        <v>1410</v>
      </c>
      <c r="E147" s="59" t="s">
        <v>18</v>
      </c>
      <c r="F147" s="15">
        <v>1100.0</v>
      </c>
      <c r="G147" s="16">
        <v>1109.1</v>
      </c>
      <c r="H147" s="17">
        <v>0.0</v>
      </c>
      <c r="I147" s="16">
        <f t="shared" si="8"/>
        <v>9.1</v>
      </c>
      <c r="J147" s="18">
        <f t="shared" si="2"/>
        <v>0.8272727273</v>
      </c>
      <c r="K147" s="17">
        <v>2.24</v>
      </c>
      <c r="L147" s="19">
        <f t="shared" si="3"/>
        <v>0</v>
      </c>
      <c r="M147" s="20">
        <f t="shared" si="4"/>
        <v>202.319264</v>
      </c>
      <c r="N147" s="21">
        <f t="shared" si="5"/>
        <v>2.24</v>
      </c>
      <c r="O147" s="21">
        <f t="shared" si="6"/>
        <v>2464</v>
      </c>
      <c r="P147" s="22">
        <f t="shared" si="7"/>
        <v>222551.1904</v>
      </c>
    </row>
    <row r="148">
      <c r="B148" s="11">
        <v>46079.0</v>
      </c>
      <c r="C148" s="12">
        <f>VLOOKUP(B:B,'Курс валют'!A:D,4,0)</f>
        <v>90.3211</v>
      </c>
      <c r="D148" s="13" t="s">
        <v>1411</v>
      </c>
      <c r="E148" s="59" t="s">
        <v>210</v>
      </c>
      <c r="F148" s="15">
        <v>200.0</v>
      </c>
      <c r="G148" s="15">
        <v>200.0</v>
      </c>
      <c r="H148" s="17">
        <v>0.0</v>
      </c>
      <c r="I148" s="15">
        <f t="shared" si="8"/>
        <v>0</v>
      </c>
      <c r="J148" s="18">
        <f t="shared" si="2"/>
        <v>0</v>
      </c>
      <c r="K148" s="17">
        <v>2.78</v>
      </c>
      <c r="L148" s="19">
        <f t="shared" si="3"/>
        <v>0</v>
      </c>
      <c r="M148" s="20">
        <f t="shared" si="4"/>
        <v>251.092658</v>
      </c>
      <c r="N148" s="21">
        <f t="shared" si="5"/>
        <v>2.78</v>
      </c>
      <c r="O148" s="21">
        <f t="shared" si="6"/>
        <v>556</v>
      </c>
      <c r="P148" s="22">
        <f t="shared" si="7"/>
        <v>50218.5316</v>
      </c>
      <c r="R148" s="42" t="s">
        <v>1412</v>
      </c>
    </row>
    <row r="149">
      <c r="B149" s="11">
        <v>46079.0</v>
      </c>
      <c r="C149" s="12">
        <f>VLOOKUP(B:B,'Курс валют'!A:D,4,0)</f>
        <v>90.3211</v>
      </c>
      <c r="D149" s="13" t="s">
        <v>1413</v>
      </c>
      <c r="E149" s="59" t="s">
        <v>60</v>
      </c>
      <c r="F149" s="15">
        <v>1000.0</v>
      </c>
      <c r="G149" s="16">
        <v>1031.7</v>
      </c>
      <c r="H149" s="17">
        <v>0.0</v>
      </c>
      <c r="I149" s="16">
        <f t="shared" si="8"/>
        <v>31.7</v>
      </c>
      <c r="J149" s="18">
        <f t="shared" si="2"/>
        <v>3.17</v>
      </c>
      <c r="K149" s="17">
        <v>2.44</v>
      </c>
      <c r="L149" s="19">
        <f t="shared" si="3"/>
        <v>0</v>
      </c>
      <c r="M149" s="20">
        <f t="shared" si="4"/>
        <v>220.383484</v>
      </c>
      <c r="N149" s="21">
        <f t="shared" si="5"/>
        <v>2.44</v>
      </c>
      <c r="O149" s="21">
        <f t="shared" si="6"/>
        <v>2440</v>
      </c>
      <c r="P149" s="22">
        <f t="shared" si="7"/>
        <v>220383.484</v>
      </c>
    </row>
    <row r="150">
      <c r="B150" s="11">
        <v>46080.0</v>
      </c>
      <c r="C150" s="12">
        <f>VLOOKUP(B:B,'Курс валют'!A:D,4,0)</f>
        <v>91.0281</v>
      </c>
      <c r="D150" s="13" t="s">
        <v>1414</v>
      </c>
      <c r="E150" s="59" t="s">
        <v>207</v>
      </c>
      <c r="F150" s="15">
        <v>440.0</v>
      </c>
      <c r="G150" s="15">
        <v>440.0</v>
      </c>
      <c r="H150" s="65"/>
      <c r="I150" s="15">
        <f t="shared" si="8"/>
        <v>0</v>
      </c>
      <c r="J150" s="18">
        <f t="shared" si="2"/>
        <v>0</v>
      </c>
      <c r="K150" s="65"/>
      <c r="L150" s="19">
        <f t="shared" si="3"/>
        <v>0</v>
      </c>
      <c r="M150" s="20">
        <f t="shared" si="4"/>
        <v>0</v>
      </c>
      <c r="N150" s="21">
        <f t="shared" si="5"/>
        <v>0</v>
      </c>
      <c r="O150" s="21">
        <f t="shared" si="6"/>
        <v>0</v>
      </c>
      <c r="P150" s="22">
        <f t="shared" si="7"/>
        <v>0</v>
      </c>
      <c r="R150" s="42" t="s">
        <v>1415</v>
      </c>
    </row>
    <row r="151">
      <c r="B151" s="11">
        <v>46080.0</v>
      </c>
      <c r="C151" s="12">
        <f>VLOOKUP(B:B,'Курс валют'!A:D,4,0)</f>
        <v>91.0281</v>
      </c>
      <c r="D151" s="13" t="s">
        <v>1416</v>
      </c>
      <c r="E151" s="59" t="s">
        <v>1417</v>
      </c>
      <c r="F151" s="15">
        <v>200.0</v>
      </c>
      <c r="G151" s="15">
        <v>200.0</v>
      </c>
      <c r="H151" s="17">
        <v>0.0</v>
      </c>
      <c r="I151" s="15">
        <f t="shared" si="8"/>
        <v>0</v>
      </c>
      <c r="J151" s="18">
        <f t="shared" si="2"/>
        <v>0</v>
      </c>
      <c r="K151" s="17">
        <v>2.91</v>
      </c>
      <c r="L151" s="19">
        <f t="shared" si="3"/>
        <v>0</v>
      </c>
      <c r="M151" s="20">
        <f t="shared" si="4"/>
        <v>264.891771</v>
      </c>
      <c r="N151" s="21">
        <f t="shared" si="5"/>
        <v>2.91</v>
      </c>
      <c r="O151" s="21">
        <f t="shared" si="6"/>
        <v>582</v>
      </c>
      <c r="P151" s="22">
        <f t="shared" si="7"/>
        <v>52978.3542</v>
      </c>
      <c r="R151" s="42" t="s">
        <v>1418</v>
      </c>
    </row>
    <row r="152">
      <c r="B152" s="11">
        <v>46080.0</v>
      </c>
      <c r="C152" s="12">
        <f>VLOOKUP(B:B,'Курс валют'!A:D,4,0)</f>
        <v>91.0281</v>
      </c>
      <c r="D152" s="13" t="s">
        <v>1419</v>
      </c>
      <c r="E152" s="59" t="s">
        <v>64</v>
      </c>
      <c r="F152" s="15">
        <v>2000.0</v>
      </c>
      <c r="G152" s="16">
        <v>2053.52</v>
      </c>
      <c r="H152" s="17">
        <v>0.0</v>
      </c>
      <c r="I152" s="16">
        <f t="shared" si="8"/>
        <v>53.52</v>
      </c>
      <c r="J152" s="18">
        <f t="shared" si="2"/>
        <v>2.676</v>
      </c>
      <c r="K152" s="17">
        <v>2.48</v>
      </c>
      <c r="L152" s="19">
        <f t="shared" si="3"/>
        <v>0</v>
      </c>
      <c r="M152" s="20">
        <f t="shared" si="4"/>
        <v>225.749688</v>
      </c>
      <c r="N152" s="21">
        <f t="shared" si="5"/>
        <v>2.48</v>
      </c>
      <c r="O152" s="21">
        <f t="shared" si="6"/>
        <v>4960</v>
      </c>
      <c r="P152" s="22">
        <f t="shared" si="7"/>
        <v>451499.376</v>
      </c>
    </row>
    <row r="153">
      <c r="B153" s="11">
        <v>46080.0</v>
      </c>
      <c r="C153" s="12">
        <f>VLOOKUP(B:B,'Курс валют'!A:D,4,0)</f>
        <v>91.0281</v>
      </c>
      <c r="D153" s="13" t="s">
        <v>1420</v>
      </c>
      <c r="E153" s="59" t="s">
        <v>18</v>
      </c>
      <c r="F153" s="15">
        <v>1100.0</v>
      </c>
      <c r="G153" s="16">
        <v>1109.1</v>
      </c>
      <c r="H153" s="17">
        <v>0.0</v>
      </c>
      <c r="I153" s="16">
        <f t="shared" si="8"/>
        <v>9.1</v>
      </c>
      <c r="J153" s="18">
        <f t="shared" si="2"/>
        <v>0.8272727273</v>
      </c>
      <c r="K153" s="17">
        <v>2.21</v>
      </c>
      <c r="L153" s="19">
        <f t="shared" si="3"/>
        <v>0</v>
      </c>
      <c r="M153" s="20">
        <f t="shared" si="4"/>
        <v>201.172101</v>
      </c>
      <c r="N153" s="21">
        <f t="shared" si="5"/>
        <v>2.21</v>
      </c>
      <c r="O153" s="21">
        <f t="shared" si="6"/>
        <v>2431</v>
      </c>
      <c r="P153" s="22">
        <f t="shared" si="7"/>
        <v>221289.3111</v>
      </c>
    </row>
    <row r="154">
      <c r="B154" s="11">
        <v>46080.0</v>
      </c>
      <c r="C154" s="12">
        <f>VLOOKUP(B:B,'Курс валют'!A:D,4,0)</f>
        <v>91.0281</v>
      </c>
      <c r="D154" s="13" t="s">
        <v>1421</v>
      </c>
      <c r="E154" s="35" t="s">
        <v>18</v>
      </c>
      <c r="F154" s="15">
        <v>1100.0</v>
      </c>
      <c r="G154" s="16">
        <v>1109.1</v>
      </c>
      <c r="H154" s="17">
        <v>0.0</v>
      </c>
      <c r="I154" s="16">
        <f t="shared" si="8"/>
        <v>9.1</v>
      </c>
      <c r="J154" s="18">
        <f t="shared" si="2"/>
        <v>0.8272727273</v>
      </c>
      <c r="K154" s="17">
        <v>2.2</v>
      </c>
      <c r="L154" s="19">
        <f t="shared" si="3"/>
        <v>0</v>
      </c>
      <c r="M154" s="20">
        <f t="shared" si="4"/>
        <v>200.26182</v>
      </c>
      <c r="N154" s="21">
        <f t="shared" si="5"/>
        <v>2.2</v>
      </c>
      <c r="O154" s="21">
        <f t="shared" si="6"/>
        <v>2420</v>
      </c>
      <c r="P154" s="22">
        <f t="shared" si="7"/>
        <v>220288.002</v>
      </c>
    </row>
    <row r="155">
      <c r="B155" s="11">
        <v>46080.0</v>
      </c>
      <c r="C155" s="12">
        <f>VLOOKUP(B:B,'Курс валют'!A:D,4,0)</f>
        <v>91.0281</v>
      </c>
      <c r="D155" s="13" t="s">
        <v>1422</v>
      </c>
      <c r="E155" s="35" t="s">
        <v>18</v>
      </c>
      <c r="F155" s="15">
        <v>1100.0</v>
      </c>
      <c r="G155" s="16">
        <v>1109.1</v>
      </c>
      <c r="H155" s="17">
        <v>0.0</v>
      </c>
      <c r="I155" s="16">
        <f t="shared" si="8"/>
        <v>9.1</v>
      </c>
      <c r="J155" s="18">
        <f t="shared" si="2"/>
        <v>0.8272727273</v>
      </c>
      <c r="K155" s="17">
        <v>2.2</v>
      </c>
      <c r="L155" s="19">
        <f t="shared" si="3"/>
        <v>0</v>
      </c>
      <c r="M155" s="20">
        <f t="shared" si="4"/>
        <v>200.26182</v>
      </c>
      <c r="N155" s="21">
        <f t="shared" si="5"/>
        <v>2.2</v>
      </c>
      <c r="O155" s="21">
        <f t="shared" si="6"/>
        <v>2420</v>
      </c>
      <c r="P155" s="22">
        <f t="shared" si="7"/>
        <v>220288.002</v>
      </c>
    </row>
    <row r="156">
      <c r="B156" s="11">
        <v>46080.0</v>
      </c>
      <c r="C156" s="12">
        <f>VLOOKUP(B:B,'Курс валют'!A:D,4,0)</f>
        <v>91.0281</v>
      </c>
      <c r="D156" s="13" t="s">
        <v>1422</v>
      </c>
      <c r="E156" s="35" t="s">
        <v>18</v>
      </c>
      <c r="F156" s="15">
        <v>1100.0</v>
      </c>
      <c r="G156" s="16">
        <v>1109.1</v>
      </c>
      <c r="H156" s="17">
        <v>0.0</v>
      </c>
      <c r="I156" s="16">
        <f t="shared" si="8"/>
        <v>9.1</v>
      </c>
      <c r="J156" s="18">
        <f t="shared" si="2"/>
        <v>0.8272727273</v>
      </c>
      <c r="K156" s="17">
        <v>2.18</v>
      </c>
      <c r="L156" s="19">
        <f t="shared" si="3"/>
        <v>0</v>
      </c>
      <c r="M156" s="20">
        <f t="shared" si="4"/>
        <v>198.441258</v>
      </c>
      <c r="N156" s="21">
        <f t="shared" si="5"/>
        <v>2.18</v>
      </c>
      <c r="O156" s="21">
        <f t="shared" si="6"/>
        <v>2398</v>
      </c>
      <c r="P156" s="22">
        <f t="shared" si="7"/>
        <v>218285.3838</v>
      </c>
    </row>
    <row r="157">
      <c r="B157" s="11">
        <v>46081.0</v>
      </c>
      <c r="C157" s="12">
        <f>VLOOKUP(B:B,'Курс валют'!A:D,4,0)</f>
        <v>91.2965</v>
      </c>
      <c r="D157" s="13" t="s">
        <v>1423</v>
      </c>
      <c r="E157" s="59" t="s">
        <v>64</v>
      </c>
      <c r="F157" s="15">
        <v>2200.0</v>
      </c>
      <c r="G157" s="16">
        <v>2239.62</v>
      </c>
      <c r="H157" s="17">
        <v>0.0</v>
      </c>
      <c r="I157" s="16">
        <f t="shared" si="8"/>
        <v>39.62</v>
      </c>
      <c r="J157" s="18">
        <f t="shared" si="2"/>
        <v>1.800909091</v>
      </c>
      <c r="K157" s="17">
        <v>2.45</v>
      </c>
      <c r="L157" s="19">
        <f t="shared" si="3"/>
        <v>0</v>
      </c>
      <c r="M157" s="20">
        <f t="shared" si="4"/>
        <v>223.676425</v>
      </c>
      <c r="N157" s="21">
        <f t="shared" si="5"/>
        <v>2.45</v>
      </c>
      <c r="O157" s="21">
        <f t="shared" si="6"/>
        <v>5390</v>
      </c>
      <c r="P157" s="22">
        <f t="shared" si="7"/>
        <v>492088.135</v>
      </c>
    </row>
    <row r="158">
      <c r="B158" s="11">
        <v>46081.0</v>
      </c>
      <c r="C158" s="12">
        <f>VLOOKUP(B:B,'Курс валют'!A:D,4,0)</f>
        <v>91.2965</v>
      </c>
      <c r="D158" s="13" t="s">
        <v>1424</v>
      </c>
      <c r="E158" s="59" t="s">
        <v>116</v>
      </c>
      <c r="F158" s="15">
        <v>40.0</v>
      </c>
      <c r="G158" s="15">
        <v>42.99</v>
      </c>
      <c r="H158" s="17">
        <v>0.0</v>
      </c>
      <c r="I158" s="15">
        <f t="shared" si="8"/>
        <v>2.99</v>
      </c>
      <c r="J158" s="18">
        <f t="shared" si="2"/>
        <v>7.475</v>
      </c>
      <c r="K158" s="17">
        <v>2.56</v>
      </c>
      <c r="L158" s="19">
        <f t="shared" si="3"/>
        <v>0</v>
      </c>
      <c r="M158" s="20">
        <f t="shared" si="4"/>
        <v>233.71904</v>
      </c>
      <c r="N158" s="21">
        <f t="shared" si="5"/>
        <v>2.56</v>
      </c>
      <c r="O158" s="21">
        <f t="shared" si="6"/>
        <v>102.4</v>
      </c>
      <c r="P158" s="22">
        <f t="shared" si="7"/>
        <v>9348.7616</v>
      </c>
    </row>
    <row r="159">
      <c r="B159" s="11">
        <v>46081.0</v>
      </c>
      <c r="C159" s="12">
        <f>VLOOKUP(B:B,'Курс валют'!A:D,4,0)</f>
        <v>91.2965</v>
      </c>
      <c r="D159" s="13" t="s">
        <v>1425</v>
      </c>
      <c r="E159" s="35" t="s">
        <v>18</v>
      </c>
      <c r="F159" s="15">
        <v>1100.0</v>
      </c>
      <c r="G159" s="16">
        <v>1109.1</v>
      </c>
      <c r="H159" s="17">
        <v>0.0</v>
      </c>
      <c r="I159" s="16">
        <f t="shared" si="8"/>
        <v>9.1</v>
      </c>
      <c r="J159" s="18">
        <f t="shared" si="2"/>
        <v>0.8272727273</v>
      </c>
      <c r="K159" s="17">
        <v>2.2</v>
      </c>
      <c r="L159" s="19">
        <f t="shared" si="3"/>
        <v>0</v>
      </c>
      <c r="M159" s="20">
        <f t="shared" si="4"/>
        <v>200.8523</v>
      </c>
      <c r="N159" s="21">
        <f t="shared" si="5"/>
        <v>2.2</v>
      </c>
      <c r="O159" s="21">
        <f t="shared" si="6"/>
        <v>2420</v>
      </c>
      <c r="P159" s="22">
        <f t="shared" si="7"/>
        <v>220937.53</v>
      </c>
    </row>
    <row r="160">
      <c r="B160" s="11">
        <v>46081.0</v>
      </c>
      <c r="C160" s="12">
        <f>VLOOKUP(B:B,'Курс валют'!A:D,4,0)</f>
        <v>91.2965</v>
      </c>
      <c r="D160" s="13" t="s">
        <v>1426</v>
      </c>
      <c r="E160" s="35" t="s">
        <v>18</v>
      </c>
      <c r="F160" s="15">
        <v>1100.0</v>
      </c>
      <c r="G160" s="16">
        <v>1109.1</v>
      </c>
      <c r="H160" s="17">
        <v>0.0</v>
      </c>
      <c r="I160" s="16">
        <f t="shared" si="8"/>
        <v>9.1</v>
      </c>
      <c r="J160" s="18">
        <f t="shared" si="2"/>
        <v>0.8272727273</v>
      </c>
      <c r="K160" s="17">
        <v>2.2</v>
      </c>
      <c r="L160" s="19">
        <f t="shared" si="3"/>
        <v>0</v>
      </c>
      <c r="M160" s="20">
        <f t="shared" si="4"/>
        <v>200.8523</v>
      </c>
      <c r="N160" s="21">
        <f t="shared" si="5"/>
        <v>2.2</v>
      </c>
      <c r="O160" s="21">
        <f t="shared" si="6"/>
        <v>2420</v>
      </c>
      <c r="P160" s="22">
        <f t="shared" si="7"/>
        <v>220937.53</v>
      </c>
    </row>
    <row r="161">
      <c r="B161" s="11">
        <v>46081.0</v>
      </c>
      <c r="C161" s="12">
        <f>VLOOKUP(B:B,'Курс валют'!A:D,4,0)</f>
        <v>91.2965</v>
      </c>
      <c r="D161" s="13" t="s">
        <v>1427</v>
      </c>
      <c r="E161" s="35" t="s">
        <v>18</v>
      </c>
      <c r="F161" s="15">
        <v>1100.0</v>
      </c>
      <c r="G161" s="16">
        <v>1109.1</v>
      </c>
      <c r="H161" s="17">
        <v>0.0</v>
      </c>
      <c r="I161" s="16">
        <f t="shared" si="8"/>
        <v>9.1</v>
      </c>
      <c r="J161" s="18">
        <f t="shared" si="2"/>
        <v>0.8272727273</v>
      </c>
      <c r="K161" s="17">
        <v>2.2</v>
      </c>
      <c r="L161" s="19">
        <f t="shared" si="3"/>
        <v>0</v>
      </c>
      <c r="M161" s="20">
        <f t="shared" si="4"/>
        <v>200.8523</v>
      </c>
      <c r="N161" s="21">
        <f t="shared" si="5"/>
        <v>2.2</v>
      </c>
      <c r="O161" s="21">
        <f t="shared" si="6"/>
        <v>2420</v>
      </c>
      <c r="P161" s="22">
        <f t="shared" si="7"/>
        <v>220937.53</v>
      </c>
    </row>
    <row r="162">
      <c r="B162" s="11">
        <v>46081.0</v>
      </c>
      <c r="C162" s="12">
        <f>VLOOKUP(B:B,'Курс валют'!A:D,4,0)</f>
        <v>91.2965</v>
      </c>
      <c r="D162" s="13" t="s">
        <v>1428</v>
      </c>
      <c r="E162" s="35" t="s">
        <v>18</v>
      </c>
      <c r="F162" s="15">
        <v>1100.0</v>
      </c>
      <c r="G162" s="16">
        <v>1109.1</v>
      </c>
      <c r="H162" s="17">
        <v>0.0</v>
      </c>
      <c r="I162" s="16">
        <f t="shared" si="8"/>
        <v>9.1</v>
      </c>
      <c r="J162" s="18">
        <f t="shared" si="2"/>
        <v>0.8272727273</v>
      </c>
      <c r="K162" s="17">
        <v>2.21</v>
      </c>
      <c r="L162" s="19">
        <f t="shared" si="3"/>
        <v>0</v>
      </c>
      <c r="M162" s="20">
        <f t="shared" si="4"/>
        <v>201.765265</v>
      </c>
      <c r="N162" s="21">
        <f t="shared" si="5"/>
        <v>2.21</v>
      </c>
      <c r="O162" s="21">
        <f t="shared" si="6"/>
        <v>2431</v>
      </c>
      <c r="P162" s="22">
        <f t="shared" si="7"/>
        <v>221941.7915</v>
      </c>
    </row>
    <row r="163">
      <c r="B163" s="11">
        <v>46081.0</v>
      </c>
      <c r="C163" s="12">
        <f>VLOOKUP(B:B,'Курс валют'!A:D,4,0)</f>
        <v>91.2965</v>
      </c>
      <c r="D163" s="13" t="s">
        <v>1429</v>
      </c>
      <c r="E163" s="35" t="s">
        <v>18</v>
      </c>
      <c r="F163" s="15">
        <v>1100.0</v>
      </c>
      <c r="G163" s="16">
        <v>1109.1</v>
      </c>
      <c r="H163" s="17">
        <v>0.0</v>
      </c>
      <c r="I163" s="16">
        <f t="shared" si="8"/>
        <v>9.1</v>
      </c>
      <c r="J163" s="18">
        <f t="shared" si="2"/>
        <v>0.8272727273</v>
      </c>
      <c r="K163" s="17">
        <v>2.2</v>
      </c>
      <c r="L163" s="19">
        <f t="shared" si="3"/>
        <v>0</v>
      </c>
      <c r="M163" s="20">
        <f t="shared" si="4"/>
        <v>200.8523</v>
      </c>
      <c r="N163" s="21">
        <f t="shared" si="5"/>
        <v>2.2</v>
      </c>
      <c r="O163" s="21">
        <f t="shared" si="6"/>
        <v>2420</v>
      </c>
      <c r="P163" s="22">
        <f t="shared" si="7"/>
        <v>220937.53</v>
      </c>
    </row>
    <row r="164">
      <c r="B164" s="11">
        <v>46081.0</v>
      </c>
      <c r="C164" s="12">
        <f>VLOOKUP(B:B,'Курс валют'!A:D,4,0)</f>
        <v>91.2965</v>
      </c>
      <c r="D164" s="13" t="s">
        <v>1430</v>
      </c>
      <c r="E164" s="35" t="s">
        <v>18</v>
      </c>
      <c r="F164" s="15">
        <v>1100.0</v>
      </c>
      <c r="G164" s="16">
        <v>1109.1</v>
      </c>
      <c r="H164" s="17">
        <v>0.0</v>
      </c>
      <c r="I164" s="16">
        <f t="shared" si="8"/>
        <v>9.1</v>
      </c>
      <c r="J164" s="18">
        <f t="shared" si="2"/>
        <v>0.8272727273</v>
      </c>
      <c r="K164" s="17">
        <v>2.2</v>
      </c>
      <c r="L164" s="19">
        <f t="shared" si="3"/>
        <v>0</v>
      </c>
      <c r="M164" s="20">
        <f t="shared" si="4"/>
        <v>200.8523</v>
      </c>
      <c r="N164" s="21">
        <f t="shared" si="5"/>
        <v>2.2</v>
      </c>
      <c r="O164" s="21">
        <f t="shared" si="6"/>
        <v>2420</v>
      </c>
      <c r="P164" s="22">
        <f t="shared" si="7"/>
        <v>220937.53</v>
      </c>
    </row>
    <row r="165">
      <c r="B165" s="11">
        <v>46081.0</v>
      </c>
      <c r="C165" s="12">
        <f>VLOOKUP(B:B,'Курс валют'!A:D,4,0)</f>
        <v>91.2965</v>
      </c>
      <c r="D165" s="13" t="s">
        <v>1431</v>
      </c>
      <c r="E165" s="35" t="s">
        <v>18</v>
      </c>
      <c r="F165" s="15">
        <v>1100.0</v>
      </c>
      <c r="G165" s="16">
        <v>1109.1</v>
      </c>
      <c r="H165" s="17">
        <v>0.0</v>
      </c>
      <c r="I165" s="16">
        <f t="shared" si="8"/>
        <v>9.1</v>
      </c>
      <c r="J165" s="18">
        <f t="shared" si="2"/>
        <v>0.8272727273</v>
      </c>
      <c r="K165" s="17">
        <v>2.2</v>
      </c>
      <c r="L165" s="19">
        <f t="shared" si="3"/>
        <v>0</v>
      </c>
      <c r="M165" s="20">
        <f t="shared" si="4"/>
        <v>200.8523</v>
      </c>
      <c r="N165" s="21">
        <f t="shared" si="5"/>
        <v>2.2</v>
      </c>
      <c r="O165" s="21">
        <f t="shared" si="6"/>
        <v>2420</v>
      </c>
      <c r="P165" s="22">
        <f t="shared" si="7"/>
        <v>220937.53</v>
      </c>
    </row>
    <row r="166">
      <c r="B166" s="11">
        <v>46081.0</v>
      </c>
      <c r="C166" s="12">
        <f>VLOOKUP(B:B,'Курс валют'!A:D,4,0)</f>
        <v>91.2965</v>
      </c>
      <c r="D166" s="13" t="s">
        <v>1432</v>
      </c>
      <c r="E166" s="35" t="s">
        <v>18</v>
      </c>
      <c r="F166" s="15">
        <v>1100.0</v>
      </c>
      <c r="G166" s="16">
        <v>1109.1</v>
      </c>
      <c r="H166" s="17">
        <v>0.0</v>
      </c>
      <c r="I166" s="16">
        <f t="shared" si="8"/>
        <v>9.1</v>
      </c>
      <c r="J166" s="18">
        <f t="shared" si="2"/>
        <v>0.8272727273</v>
      </c>
      <c r="K166" s="17">
        <v>2.2</v>
      </c>
      <c r="L166" s="19">
        <f t="shared" si="3"/>
        <v>0</v>
      </c>
      <c r="M166" s="20">
        <f t="shared" si="4"/>
        <v>200.8523</v>
      </c>
      <c r="N166" s="21">
        <f t="shared" si="5"/>
        <v>2.2</v>
      </c>
      <c r="O166" s="21">
        <f t="shared" si="6"/>
        <v>2420</v>
      </c>
      <c r="P166" s="22">
        <f t="shared" si="7"/>
        <v>220937.53</v>
      </c>
    </row>
    <row r="167">
      <c r="B167" s="11"/>
      <c r="C167" s="12" t="str">
        <f>VLOOKUP(B:B,'Курс валют'!A:D,4,0)</f>
        <v>#N/A</v>
      </c>
      <c r="D167" s="66"/>
      <c r="E167" s="67"/>
      <c r="F167" s="67"/>
      <c r="G167" s="67"/>
      <c r="H167" s="65"/>
      <c r="I167" s="15">
        <f t="shared" si="8"/>
        <v>0</v>
      </c>
      <c r="J167" s="18" t="str">
        <f t="shared" si="2"/>
        <v>#DIV/0!</v>
      </c>
      <c r="K167" s="65"/>
      <c r="L167" s="19" t="str">
        <f t="shared" si="3"/>
        <v>#DIV/0!</v>
      </c>
      <c r="M167" s="20" t="str">
        <f t="shared" si="4"/>
        <v>#DIV/0!</v>
      </c>
      <c r="N167" s="21" t="str">
        <f t="shared" si="5"/>
        <v>#DIV/0!</v>
      </c>
      <c r="O167" s="21" t="str">
        <f t="shared" si="6"/>
        <v>#DIV/0!</v>
      </c>
      <c r="P167" s="22" t="str">
        <f t="shared" si="7"/>
        <v>#DIV/0!</v>
      </c>
    </row>
    <row r="168">
      <c r="B168" s="11"/>
      <c r="C168" s="12" t="str">
        <f>VLOOKUP(B:B,'Курс валют'!A:D,4,0)</f>
        <v>#N/A</v>
      </c>
      <c r="D168" s="66"/>
      <c r="E168" s="67"/>
      <c r="F168" s="67"/>
      <c r="G168" s="67"/>
      <c r="H168" s="65"/>
      <c r="I168" s="15">
        <f t="shared" si="8"/>
        <v>0</v>
      </c>
      <c r="J168" s="18" t="str">
        <f t="shared" si="2"/>
        <v>#DIV/0!</v>
      </c>
      <c r="K168" s="65"/>
      <c r="L168" s="19" t="str">
        <f t="shared" si="3"/>
        <v>#DIV/0!</v>
      </c>
      <c r="M168" s="20" t="str">
        <f t="shared" si="4"/>
        <v>#DIV/0!</v>
      </c>
      <c r="N168" s="21" t="str">
        <f t="shared" si="5"/>
        <v>#DIV/0!</v>
      </c>
      <c r="O168" s="21" t="str">
        <f t="shared" si="6"/>
        <v>#DIV/0!</v>
      </c>
      <c r="P168" s="22" t="str">
        <f t="shared" si="7"/>
        <v>#DIV/0!</v>
      </c>
    </row>
    <row r="169">
      <c r="B169" s="11"/>
      <c r="C169" s="12" t="str">
        <f>VLOOKUP(B:B,'Курс валют'!A:D,4,0)</f>
        <v>#N/A</v>
      </c>
      <c r="D169" s="66"/>
      <c r="E169" s="67"/>
      <c r="F169" s="67"/>
      <c r="G169" s="67"/>
      <c r="H169" s="65"/>
      <c r="I169" s="15">
        <f t="shared" si="8"/>
        <v>0</v>
      </c>
      <c r="J169" s="18" t="str">
        <f t="shared" si="2"/>
        <v>#DIV/0!</v>
      </c>
      <c r="K169" s="65"/>
      <c r="L169" s="19" t="str">
        <f t="shared" si="3"/>
        <v>#DIV/0!</v>
      </c>
      <c r="M169" s="20" t="str">
        <f t="shared" si="4"/>
        <v>#DIV/0!</v>
      </c>
      <c r="N169" s="21" t="str">
        <f t="shared" si="5"/>
        <v>#DIV/0!</v>
      </c>
      <c r="O169" s="21" t="str">
        <f t="shared" si="6"/>
        <v>#DIV/0!</v>
      </c>
      <c r="P169" s="22" t="str">
        <f t="shared" si="7"/>
        <v>#DIV/0!</v>
      </c>
    </row>
    <row r="170">
      <c r="B170" s="11"/>
      <c r="C170" s="12" t="str">
        <f>VLOOKUP(B:B,'Курс валют'!A:D,4,0)</f>
        <v>#N/A</v>
      </c>
      <c r="D170" s="66"/>
      <c r="E170" s="67"/>
      <c r="F170" s="67"/>
      <c r="G170" s="67"/>
      <c r="H170" s="65"/>
      <c r="I170" s="15">
        <f t="shared" si="8"/>
        <v>0</v>
      </c>
      <c r="J170" s="18" t="str">
        <f t="shared" si="2"/>
        <v>#DIV/0!</v>
      </c>
      <c r="K170" s="65"/>
      <c r="L170" s="19" t="str">
        <f t="shared" si="3"/>
        <v>#DIV/0!</v>
      </c>
      <c r="M170" s="20" t="str">
        <f t="shared" si="4"/>
        <v>#DIV/0!</v>
      </c>
      <c r="N170" s="21" t="str">
        <f t="shared" si="5"/>
        <v>#DIV/0!</v>
      </c>
      <c r="O170" s="21" t="str">
        <f t="shared" si="6"/>
        <v>#DIV/0!</v>
      </c>
      <c r="P170" s="22" t="str">
        <f t="shared" si="7"/>
        <v>#DIV/0!</v>
      </c>
    </row>
    <row r="171">
      <c r="B171" s="11"/>
      <c r="C171" s="12" t="str">
        <f>VLOOKUP(B:B,'Курс валют'!A:D,4,0)</f>
        <v>#N/A</v>
      </c>
      <c r="D171" s="66"/>
      <c r="E171" s="67"/>
      <c r="F171" s="67"/>
      <c r="G171" s="67"/>
      <c r="H171" s="65"/>
      <c r="I171" s="15">
        <f t="shared" si="8"/>
        <v>0</v>
      </c>
      <c r="J171" s="18" t="str">
        <f t="shared" si="2"/>
        <v>#DIV/0!</v>
      </c>
      <c r="K171" s="65"/>
      <c r="L171" s="19" t="str">
        <f t="shared" si="3"/>
        <v>#DIV/0!</v>
      </c>
      <c r="M171" s="20" t="str">
        <f t="shared" si="4"/>
        <v>#DIV/0!</v>
      </c>
      <c r="N171" s="21" t="str">
        <f t="shared" si="5"/>
        <v>#DIV/0!</v>
      </c>
      <c r="O171" s="21" t="str">
        <f t="shared" si="6"/>
        <v>#DIV/0!</v>
      </c>
      <c r="P171" s="22" t="str">
        <f t="shared" si="7"/>
        <v>#DIV/0!</v>
      </c>
    </row>
    <row r="172">
      <c r="B172" s="11"/>
      <c r="C172" s="12" t="str">
        <f>VLOOKUP(B:B,'Курс валют'!A:D,4,0)</f>
        <v>#N/A</v>
      </c>
      <c r="D172" s="66"/>
      <c r="E172" s="67"/>
      <c r="F172" s="67"/>
      <c r="G172" s="67"/>
      <c r="H172" s="65"/>
      <c r="I172" s="15">
        <f t="shared" si="8"/>
        <v>0</v>
      </c>
      <c r="J172" s="18" t="str">
        <f t="shared" si="2"/>
        <v>#DIV/0!</v>
      </c>
      <c r="K172" s="65"/>
      <c r="L172" s="19" t="str">
        <f t="shared" si="3"/>
        <v>#DIV/0!</v>
      </c>
      <c r="M172" s="20" t="str">
        <f t="shared" si="4"/>
        <v>#DIV/0!</v>
      </c>
      <c r="N172" s="21" t="str">
        <f t="shared" si="5"/>
        <v>#DIV/0!</v>
      </c>
      <c r="O172" s="21" t="str">
        <f t="shared" si="6"/>
        <v>#DIV/0!</v>
      </c>
      <c r="P172" s="22" t="str">
        <f t="shared" si="7"/>
        <v>#DIV/0!</v>
      </c>
    </row>
    <row r="173">
      <c r="B173" s="11"/>
      <c r="C173" s="12" t="str">
        <f>VLOOKUP(B:B,'Курс валют'!A:D,4,0)</f>
        <v>#N/A</v>
      </c>
      <c r="D173" s="66"/>
      <c r="E173" s="67"/>
      <c r="F173" s="67"/>
      <c r="G173" s="67"/>
      <c r="H173" s="65"/>
      <c r="I173" s="15">
        <f t="shared" si="8"/>
        <v>0</v>
      </c>
      <c r="J173" s="18" t="str">
        <f t="shared" si="2"/>
        <v>#DIV/0!</v>
      </c>
      <c r="K173" s="65"/>
      <c r="L173" s="19" t="str">
        <f t="shared" si="3"/>
        <v>#DIV/0!</v>
      </c>
      <c r="M173" s="20" t="str">
        <f t="shared" si="4"/>
        <v>#DIV/0!</v>
      </c>
      <c r="N173" s="21" t="str">
        <f t="shared" si="5"/>
        <v>#DIV/0!</v>
      </c>
      <c r="O173" s="21" t="str">
        <f t="shared" si="6"/>
        <v>#DIV/0!</v>
      </c>
      <c r="P173" s="22" t="str">
        <f t="shared" si="7"/>
        <v>#DIV/0!</v>
      </c>
    </row>
    <row r="174">
      <c r="B174" s="11"/>
      <c r="C174" s="12" t="str">
        <f>VLOOKUP(B:B,'Курс валют'!A:D,4,0)</f>
        <v>#N/A</v>
      </c>
      <c r="D174" s="66"/>
      <c r="E174" s="67"/>
      <c r="F174" s="67"/>
      <c r="G174" s="67"/>
      <c r="H174" s="65"/>
      <c r="I174" s="15">
        <f t="shared" si="8"/>
        <v>0</v>
      </c>
      <c r="J174" s="18" t="str">
        <f t="shared" si="2"/>
        <v>#DIV/0!</v>
      </c>
      <c r="K174" s="65"/>
      <c r="L174" s="19" t="str">
        <f t="shared" si="3"/>
        <v>#DIV/0!</v>
      </c>
      <c r="M174" s="20" t="str">
        <f t="shared" si="4"/>
        <v>#DIV/0!</v>
      </c>
      <c r="N174" s="21" t="str">
        <f t="shared" si="5"/>
        <v>#DIV/0!</v>
      </c>
      <c r="O174" s="21" t="str">
        <f t="shared" si="6"/>
        <v>#DIV/0!</v>
      </c>
      <c r="P174" s="22" t="str">
        <f t="shared" si="7"/>
        <v>#DIV/0!</v>
      </c>
    </row>
    <row r="175">
      <c r="B175" s="11"/>
      <c r="C175" s="12" t="str">
        <f>VLOOKUP(B:B,'Курс валют'!A:D,4,0)</f>
        <v>#N/A</v>
      </c>
      <c r="D175" s="66"/>
      <c r="E175" s="67"/>
      <c r="F175" s="67"/>
      <c r="G175" s="67"/>
      <c r="H175" s="65"/>
      <c r="I175" s="15">
        <f t="shared" si="8"/>
        <v>0</v>
      </c>
      <c r="J175" s="18" t="str">
        <f t="shared" si="2"/>
        <v>#DIV/0!</v>
      </c>
      <c r="K175" s="65"/>
      <c r="L175" s="19" t="str">
        <f t="shared" si="3"/>
        <v>#DIV/0!</v>
      </c>
      <c r="M175" s="20" t="str">
        <f t="shared" si="4"/>
        <v>#DIV/0!</v>
      </c>
      <c r="N175" s="21" t="str">
        <f t="shared" si="5"/>
        <v>#DIV/0!</v>
      </c>
      <c r="O175" s="21" t="str">
        <f t="shared" si="6"/>
        <v>#DIV/0!</v>
      </c>
      <c r="P175" s="22" t="str">
        <f t="shared" si="7"/>
        <v>#DIV/0!</v>
      </c>
    </row>
    <row r="176">
      <c r="B176" s="11"/>
      <c r="C176" s="12" t="str">
        <f>VLOOKUP(B:B,'Курс валют'!A:D,4,0)</f>
        <v>#N/A</v>
      </c>
      <c r="D176" s="66"/>
      <c r="E176" s="67"/>
      <c r="F176" s="67"/>
      <c r="G176" s="67"/>
      <c r="H176" s="65"/>
      <c r="I176" s="15">
        <f t="shared" si="8"/>
        <v>0</v>
      </c>
      <c r="J176" s="18" t="str">
        <f t="shared" si="2"/>
        <v>#DIV/0!</v>
      </c>
      <c r="K176" s="65"/>
      <c r="L176" s="19" t="str">
        <f t="shared" si="3"/>
        <v>#DIV/0!</v>
      </c>
      <c r="M176" s="20" t="str">
        <f t="shared" si="4"/>
        <v>#DIV/0!</v>
      </c>
      <c r="N176" s="21" t="str">
        <f t="shared" si="5"/>
        <v>#DIV/0!</v>
      </c>
      <c r="O176" s="21" t="str">
        <f t="shared" si="6"/>
        <v>#DIV/0!</v>
      </c>
      <c r="P176" s="22" t="str">
        <f t="shared" si="7"/>
        <v>#DIV/0!</v>
      </c>
    </row>
    <row r="177">
      <c r="B177" s="11"/>
      <c r="C177" s="12" t="str">
        <f>VLOOKUP(B:B,'Курс валют'!A:D,4,0)</f>
        <v>#N/A</v>
      </c>
      <c r="D177" s="66"/>
      <c r="E177" s="67"/>
      <c r="F177" s="67"/>
      <c r="G177" s="67"/>
      <c r="H177" s="65"/>
      <c r="I177" s="15">
        <f t="shared" si="8"/>
        <v>0</v>
      </c>
      <c r="J177" s="18" t="str">
        <f t="shared" si="2"/>
        <v>#DIV/0!</v>
      </c>
      <c r="K177" s="65"/>
      <c r="L177" s="19" t="str">
        <f t="shared" si="3"/>
        <v>#DIV/0!</v>
      </c>
      <c r="M177" s="20" t="str">
        <f t="shared" si="4"/>
        <v>#DIV/0!</v>
      </c>
      <c r="N177" s="21" t="str">
        <f t="shared" si="5"/>
        <v>#DIV/0!</v>
      </c>
      <c r="O177" s="21" t="str">
        <f t="shared" si="6"/>
        <v>#DIV/0!</v>
      </c>
      <c r="P177" s="22" t="str">
        <f t="shared" si="7"/>
        <v>#DIV/0!</v>
      </c>
    </row>
    <row r="178">
      <c r="B178" s="68"/>
      <c r="D178" s="69"/>
      <c r="H178" s="70"/>
      <c r="K178" s="70"/>
      <c r="L178" s="71"/>
      <c r="M178" s="72"/>
      <c r="P178" s="72"/>
    </row>
    <row r="179">
      <c r="B179" s="68"/>
      <c r="D179" s="69"/>
      <c r="H179" s="70"/>
      <c r="K179" s="70"/>
      <c r="L179" s="71"/>
      <c r="M179" s="72"/>
      <c r="P179" s="72"/>
    </row>
    <row r="180">
      <c r="B180" s="68"/>
      <c r="D180" s="69"/>
      <c r="H180" s="70"/>
      <c r="K180" s="70"/>
      <c r="L180" s="71"/>
      <c r="M180" s="72"/>
      <c r="P180" s="72"/>
    </row>
    <row r="181">
      <c r="B181" s="68"/>
      <c r="D181" s="69"/>
      <c r="H181" s="70"/>
      <c r="K181" s="70"/>
      <c r="L181" s="71"/>
      <c r="M181" s="72"/>
      <c r="P181" s="72"/>
    </row>
    <row r="182">
      <c r="B182" s="68"/>
      <c r="D182" s="69"/>
      <c r="H182" s="70"/>
      <c r="K182" s="70"/>
      <c r="L182" s="71"/>
      <c r="M182" s="72"/>
      <c r="P182" s="72"/>
    </row>
    <row r="183">
      <c r="B183" s="68"/>
      <c r="D183" s="69"/>
      <c r="H183" s="70"/>
      <c r="K183" s="70"/>
      <c r="L183" s="71"/>
      <c r="M183" s="72"/>
      <c r="P183" s="72"/>
    </row>
    <row r="184">
      <c r="B184" s="68"/>
      <c r="D184" s="69"/>
      <c r="H184" s="70"/>
      <c r="K184" s="70"/>
      <c r="L184" s="71"/>
      <c r="M184" s="72"/>
      <c r="P184" s="72"/>
    </row>
    <row r="185">
      <c r="B185" s="68"/>
      <c r="D185" s="69"/>
      <c r="H185" s="70"/>
      <c r="K185" s="70"/>
      <c r="L185" s="71"/>
      <c r="M185" s="72"/>
      <c r="P185" s="72"/>
    </row>
    <row r="186">
      <c r="B186" s="68"/>
      <c r="D186" s="69"/>
      <c r="H186" s="70"/>
      <c r="K186" s="70"/>
      <c r="L186" s="71"/>
      <c r="M186" s="72"/>
      <c r="P186" s="72"/>
    </row>
    <row r="187">
      <c r="B187" s="68"/>
      <c r="D187" s="69"/>
      <c r="H187" s="70"/>
      <c r="K187" s="70"/>
      <c r="L187" s="71"/>
      <c r="M187" s="72"/>
      <c r="P187" s="72"/>
    </row>
    <row r="188">
      <c r="B188" s="68"/>
      <c r="D188" s="69"/>
      <c r="H188" s="70"/>
      <c r="K188" s="70"/>
      <c r="L188" s="71"/>
      <c r="M188" s="72"/>
      <c r="P188" s="72"/>
    </row>
    <row r="189">
      <c r="B189" s="68"/>
      <c r="D189" s="69"/>
      <c r="H189" s="70"/>
      <c r="K189" s="70"/>
      <c r="L189" s="71"/>
      <c r="M189" s="72"/>
      <c r="P189" s="72"/>
    </row>
    <row r="190">
      <c r="B190" s="68"/>
      <c r="D190" s="69"/>
      <c r="H190" s="70"/>
      <c r="K190" s="70"/>
      <c r="L190" s="71"/>
      <c r="M190" s="72"/>
      <c r="P190" s="72"/>
    </row>
    <row r="191">
      <c r="B191" s="68"/>
      <c r="D191" s="69"/>
      <c r="H191" s="70"/>
      <c r="K191" s="70"/>
      <c r="L191" s="71"/>
      <c r="M191" s="72"/>
      <c r="P191" s="72"/>
    </row>
    <row r="192">
      <c r="B192" s="68"/>
      <c r="D192" s="69"/>
      <c r="H192" s="70"/>
      <c r="K192" s="70"/>
      <c r="L192" s="71"/>
      <c r="M192" s="72"/>
      <c r="P192" s="72"/>
    </row>
    <row r="193">
      <c r="B193" s="68"/>
      <c r="D193" s="69"/>
      <c r="H193" s="70"/>
      <c r="K193" s="70"/>
      <c r="L193" s="71"/>
      <c r="M193" s="72"/>
      <c r="P193" s="72"/>
    </row>
    <row r="194">
      <c r="B194" s="68"/>
      <c r="D194" s="69"/>
      <c r="H194" s="70"/>
      <c r="K194" s="70"/>
      <c r="L194" s="71"/>
      <c r="M194" s="72"/>
      <c r="P194" s="72"/>
    </row>
    <row r="195">
      <c r="B195" s="68"/>
      <c r="D195" s="69"/>
      <c r="H195" s="70"/>
      <c r="K195" s="70"/>
      <c r="L195" s="71"/>
      <c r="M195" s="72"/>
      <c r="P195" s="72"/>
    </row>
    <row r="196">
      <c r="B196" s="68"/>
      <c r="D196" s="69"/>
      <c r="H196" s="70"/>
      <c r="K196" s="70"/>
      <c r="L196" s="71"/>
      <c r="M196" s="72"/>
      <c r="P196" s="72"/>
    </row>
    <row r="197">
      <c r="B197" s="68"/>
      <c r="D197" s="69"/>
      <c r="H197" s="70"/>
      <c r="K197" s="70"/>
      <c r="L197" s="71"/>
      <c r="M197" s="72"/>
      <c r="P197" s="72"/>
    </row>
    <row r="198">
      <c r="B198" s="68"/>
      <c r="D198" s="69"/>
      <c r="H198" s="70"/>
      <c r="K198" s="70"/>
      <c r="L198" s="71"/>
      <c r="M198" s="72"/>
      <c r="P198" s="72"/>
    </row>
    <row r="199">
      <c r="B199" s="68"/>
      <c r="D199" s="69"/>
      <c r="H199" s="70"/>
      <c r="K199" s="70"/>
      <c r="L199" s="71"/>
      <c r="M199" s="72"/>
      <c r="P199" s="72"/>
    </row>
    <row r="200">
      <c r="B200" s="68"/>
      <c r="D200" s="69"/>
      <c r="H200" s="70"/>
      <c r="K200" s="70"/>
      <c r="L200" s="71"/>
      <c r="M200" s="72"/>
      <c r="P200" s="72"/>
    </row>
    <row r="201">
      <c r="B201" s="68"/>
      <c r="D201" s="69"/>
      <c r="H201" s="70"/>
      <c r="K201" s="70"/>
      <c r="L201" s="71"/>
      <c r="M201" s="72"/>
      <c r="P201" s="72"/>
    </row>
    <row r="202">
      <c r="B202" s="68"/>
      <c r="D202" s="69"/>
      <c r="H202" s="70"/>
      <c r="K202" s="70"/>
      <c r="L202" s="71"/>
      <c r="M202" s="72"/>
      <c r="P202" s="72"/>
    </row>
    <row r="203">
      <c r="B203" s="68"/>
      <c r="D203" s="69"/>
      <c r="H203" s="70"/>
      <c r="K203" s="70"/>
      <c r="L203" s="71"/>
      <c r="M203" s="72"/>
      <c r="P203" s="72"/>
    </row>
    <row r="204">
      <c r="B204" s="68"/>
      <c r="D204" s="69"/>
      <c r="H204" s="70"/>
      <c r="K204" s="70"/>
      <c r="L204" s="71"/>
      <c r="M204" s="72"/>
      <c r="P204" s="72"/>
    </row>
    <row r="205">
      <c r="B205" s="68"/>
      <c r="D205" s="69"/>
      <c r="H205" s="70"/>
      <c r="K205" s="70"/>
      <c r="L205" s="71"/>
      <c r="M205" s="72"/>
      <c r="P205" s="72"/>
    </row>
    <row r="206">
      <c r="B206" s="68"/>
      <c r="D206" s="69"/>
      <c r="H206" s="70"/>
      <c r="K206" s="70"/>
      <c r="L206" s="71"/>
      <c r="M206" s="72"/>
      <c r="P206" s="72"/>
    </row>
    <row r="207">
      <c r="B207" s="68"/>
      <c r="D207" s="69"/>
      <c r="H207" s="70"/>
      <c r="K207" s="70"/>
      <c r="L207" s="71"/>
      <c r="M207" s="72"/>
      <c r="P207" s="72"/>
    </row>
    <row r="208">
      <c r="B208" s="68"/>
      <c r="D208" s="69"/>
      <c r="H208" s="70"/>
      <c r="K208" s="70"/>
      <c r="L208" s="71"/>
      <c r="M208" s="72"/>
      <c r="P208" s="72"/>
    </row>
    <row r="209">
      <c r="B209" s="68"/>
      <c r="D209" s="69"/>
      <c r="H209" s="70"/>
      <c r="K209" s="70"/>
      <c r="L209" s="71"/>
      <c r="M209" s="72"/>
      <c r="P209" s="72"/>
    </row>
    <row r="210">
      <c r="B210" s="68"/>
      <c r="D210" s="69"/>
      <c r="H210" s="70"/>
      <c r="K210" s="70"/>
      <c r="L210" s="71"/>
      <c r="M210" s="72"/>
      <c r="P210" s="72"/>
    </row>
    <row r="211">
      <c r="B211" s="68"/>
      <c r="D211" s="69"/>
      <c r="H211" s="70"/>
      <c r="K211" s="70"/>
      <c r="L211" s="71"/>
      <c r="M211" s="72"/>
      <c r="P211" s="72"/>
    </row>
    <row r="212">
      <c r="B212" s="68"/>
      <c r="D212" s="69"/>
      <c r="H212" s="70"/>
      <c r="K212" s="70"/>
      <c r="L212" s="71"/>
      <c r="M212" s="72"/>
      <c r="P212" s="72"/>
    </row>
    <row r="213">
      <c r="B213" s="68"/>
      <c r="D213" s="69"/>
      <c r="H213" s="70"/>
      <c r="K213" s="70"/>
      <c r="L213" s="71"/>
      <c r="M213" s="72"/>
      <c r="P213" s="72"/>
    </row>
    <row r="214">
      <c r="B214" s="68"/>
      <c r="D214" s="69"/>
      <c r="H214" s="70"/>
      <c r="K214" s="70"/>
      <c r="L214" s="71"/>
      <c r="M214" s="72"/>
      <c r="P214" s="72"/>
    </row>
    <row r="215">
      <c r="B215" s="68"/>
      <c r="D215" s="69"/>
      <c r="H215" s="70"/>
      <c r="K215" s="70"/>
      <c r="L215" s="71"/>
      <c r="M215" s="72"/>
      <c r="P215" s="72"/>
    </row>
    <row r="216">
      <c r="B216" s="68"/>
      <c r="D216" s="69"/>
      <c r="H216" s="70"/>
      <c r="K216" s="70"/>
      <c r="L216" s="71"/>
      <c r="M216" s="72"/>
      <c r="P216" s="72"/>
    </row>
    <row r="217">
      <c r="B217" s="68"/>
      <c r="D217" s="69"/>
      <c r="H217" s="70"/>
      <c r="K217" s="70"/>
      <c r="L217" s="71"/>
      <c r="M217" s="72"/>
      <c r="P217" s="72"/>
    </row>
    <row r="218">
      <c r="B218" s="68"/>
      <c r="D218" s="69"/>
      <c r="H218" s="70"/>
      <c r="K218" s="70"/>
      <c r="L218" s="71"/>
      <c r="M218" s="72"/>
      <c r="P218" s="72"/>
    </row>
    <row r="219">
      <c r="B219" s="68"/>
      <c r="D219" s="69"/>
      <c r="H219" s="70"/>
      <c r="K219" s="70"/>
      <c r="L219" s="71"/>
      <c r="M219" s="72"/>
      <c r="P219" s="72"/>
    </row>
    <row r="220">
      <c r="B220" s="68"/>
      <c r="D220" s="69"/>
      <c r="H220" s="70"/>
      <c r="K220" s="70"/>
      <c r="L220" s="71"/>
      <c r="M220" s="72"/>
      <c r="P220" s="72"/>
    </row>
    <row r="221">
      <c r="B221" s="68"/>
      <c r="D221" s="69"/>
      <c r="H221" s="70"/>
      <c r="K221" s="70"/>
      <c r="L221" s="71"/>
      <c r="M221" s="72"/>
      <c r="P221" s="72"/>
    </row>
    <row r="222">
      <c r="B222" s="68"/>
      <c r="D222" s="69"/>
      <c r="H222" s="70"/>
      <c r="K222" s="70"/>
      <c r="L222" s="71"/>
      <c r="M222" s="72"/>
      <c r="P222" s="72"/>
    </row>
    <row r="223">
      <c r="B223" s="68"/>
      <c r="D223" s="69"/>
      <c r="H223" s="70"/>
      <c r="K223" s="70"/>
      <c r="L223" s="71"/>
      <c r="M223" s="72"/>
      <c r="P223" s="72"/>
    </row>
    <row r="224">
      <c r="B224" s="68"/>
      <c r="D224" s="69"/>
      <c r="H224" s="70"/>
      <c r="K224" s="70"/>
      <c r="L224" s="71"/>
      <c r="M224" s="72"/>
      <c r="P224" s="72"/>
    </row>
    <row r="225">
      <c r="B225" s="68"/>
      <c r="D225" s="69"/>
      <c r="H225" s="70"/>
      <c r="K225" s="70"/>
      <c r="L225" s="71"/>
      <c r="M225" s="72"/>
      <c r="P225" s="72"/>
    </row>
    <row r="226">
      <c r="B226" s="68"/>
      <c r="D226" s="69"/>
      <c r="H226" s="70"/>
      <c r="K226" s="70"/>
      <c r="L226" s="71"/>
      <c r="M226" s="72"/>
      <c r="P226" s="72"/>
    </row>
    <row r="227">
      <c r="B227" s="68"/>
      <c r="D227" s="69"/>
      <c r="H227" s="70"/>
      <c r="K227" s="70"/>
      <c r="L227" s="71"/>
      <c r="M227" s="72"/>
      <c r="P227" s="72"/>
    </row>
    <row r="228">
      <c r="B228" s="68"/>
      <c r="D228" s="69"/>
      <c r="H228" s="70"/>
      <c r="K228" s="70"/>
      <c r="L228" s="71"/>
      <c r="M228" s="72"/>
      <c r="P228" s="72"/>
    </row>
    <row r="229">
      <c r="B229" s="68"/>
      <c r="D229" s="69"/>
      <c r="H229" s="70"/>
      <c r="K229" s="70"/>
      <c r="L229" s="71"/>
      <c r="M229" s="72"/>
      <c r="P229" s="72"/>
    </row>
    <row r="230">
      <c r="B230" s="68"/>
      <c r="D230" s="69"/>
      <c r="H230" s="70"/>
      <c r="K230" s="70"/>
      <c r="L230" s="71"/>
      <c r="M230" s="72"/>
      <c r="P230" s="72"/>
    </row>
    <row r="231">
      <c r="B231" s="68"/>
      <c r="D231" s="69"/>
      <c r="H231" s="70"/>
      <c r="K231" s="70"/>
      <c r="L231" s="71"/>
      <c r="M231" s="72"/>
      <c r="P231" s="72"/>
    </row>
    <row r="232">
      <c r="B232" s="68"/>
      <c r="D232" s="69"/>
      <c r="H232" s="70"/>
      <c r="K232" s="70"/>
      <c r="L232" s="71"/>
      <c r="M232" s="72"/>
      <c r="P232" s="72"/>
    </row>
    <row r="233">
      <c r="B233" s="68"/>
      <c r="D233" s="69"/>
      <c r="H233" s="70"/>
      <c r="K233" s="70"/>
      <c r="L233" s="71"/>
      <c r="M233" s="72"/>
      <c r="P233" s="72"/>
    </row>
    <row r="234">
      <c r="B234" s="68"/>
      <c r="D234" s="69"/>
      <c r="H234" s="70"/>
      <c r="K234" s="70"/>
      <c r="L234" s="71"/>
      <c r="M234" s="72"/>
      <c r="P234" s="72"/>
    </row>
    <row r="235">
      <c r="B235" s="68"/>
      <c r="D235" s="69"/>
      <c r="H235" s="70"/>
      <c r="K235" s="70"/>
      <c r="L235" s="71"/>
      <c r="M235" s="72"/>
      <c r="P235" s="72"/>
    </row>
    <row r="236">
      <c r="B236" s="68"/>
      <c r="D236" s="69"/>
      <c r="H236" s="70"/>
      <c r="K236" s="70"/>
      <c r="L236" s="71"/>
      <c r="M236" s="72"/>
      <c r="P236" s="72"/>
    </row>
    <row r="237">
      <c r="B237" s="68"/>
      <c r="D237" s="69"/>
      <c r="H237" s="70"/>
      <c r="K237" s="70"/>
      <c r="L237" s="71"/>
      <c r="M237" s="72"/>
      <c r="P237" s="72"/>
    </row>
    <row r="238">
      <c r="B238" s="68"/>
      <c r="D238" s="69"/>
      <c r="H238" s="70"/>
      <c r="K238" s="70"/>
      <c r="L238" s="71"/>
      <c r="M238" s="72"/>
      <c r="P238" s="72"/>
    </row>
    <row r="239">
      <c r="B239" s="68"/>
      <c r="D239" s="69"/>
      <c r="H239" s="70"/>
      <c r="K239" s="70"/>
      <c r="L239" s="71"/>
      <c r="M239" s="72"/>
      <c r="P239" s="72"/>
    </row>
    <row r="240">
      <c r="B240" s="68"/>
      <c r="D240" s="69"/>
      <c r="H240" s="70"/>
      <c r="K240" s="70"/>
      <c r="L240" s="71"/>
      <c r="M240" s="72"/>
      <c r="P240" s="72"/>
    </row>
    <row r="241">
      <c r="B241" s="68"/>
      <c r="D241" s="69"/>
      <c r="H241" s="70"/>
      <c r="K241" s="70"/>
      <c r="L241" s="71"/>
      <c r="M241" s="72"/>
      <c r="P241" s="72"/>
    </row>
    <row r="242">
      <c r="B242" s="68"/>
      <c r="D242" s="69"/>
      <c r="H242" s="70"/>
      <c r="K242" s="70"/>
      <c r="L242" s="71"/>
      <c r="M242" s="72"/>
      <c r="P242" s="72"/>
    </row>
    <row r="243">
      <c r="B243" s="68"/>
      <c r="D243" s="69"/>
      <c r="H243" s="70"/>
      <c r="K243" s="70"/>
      <c r="L243" s="71"/>
      <c r="M243" s="72"/>
      <c r="P243" s="72"/>
    </row>
    <row r="244">
      <c r="B244" s="68"/>
      <c r="D244" s="69"/>
      <c r="H244" s="70"/>
      <c r="K244" s="70"/>
      <c r="L244" s="71"/>
      <c r="M244" s="72"/>
      <c r="P244" s="72"/>
    </row>
    <row r="245">
      <c r="B245" s="68"/>
      <c r="D245" s="69"/>
      <c r="H245" s="70"/>
      <c r="K245" s="70"/>
      <c r="L245" s="71"/>
      <c r="M245" s="72"/>
      <c r="P245" s="72"/>
    </row>
    <row r="246">
      <c r="B246" s="68"/>
      <c r="D246" s="69"/>
      <c r="H246" s="70"/>
      <c r="K246" s="70"/>
      <c r="L246" s="71"/>
      <c r="M246" s="72"/>
      <c r="P246" s="72"/>
    </row>
    <row r="247">
      <c r="B247" s="68"/>
      <c r="D247" s="69"/>
      <c r="H247" s="70"/>
      <c r="K247" s="70"/>
      <c r="L247" s="71"/>
      <c r="M247" s="72"/>
      <c r="P247" s="72"/>
    </row>
    <row r="248">
      <c r="B248" s="68"/>
      <c r="D248" s="69"/>
      <c r="H248" s="70"/>
      <c r="K248" s="70"/>
      <c r="L248" s="71"/>
      <c r="M248" s="72"/>
      <c r="P248" s="72"/>
    </row>
    <row r="249">
      <c r="B249" s="68"/>
      <c r="D249" s="69"/>
      <c r="H249" s="70"/>
      <c r="K249" s="70"/>
      <c r="L249" s="71"/>
      <c r="M249" s="72"/>
      <c r="P249" s="72"/>
    </row>
    <row r="250">
      <c r="B250" s="68"/>
      <c r="D250" s="69"/>
      <c r="H250" s="70"/>
      <c r="K250" s="70"/>
      <c r="L250" s="71"/>
      <c r="M250" s="72"/>
      <c r="P250" s="72"/>
    </row>
    <row r="251">
      <c r="B251" s="68"/>
      <c r="D251" s="69"/>
      <c r="H251" s="70"/>
      <c r="K251" s="70"/>
      <c r="L251" s="71"/>
      <c r="M251" s="72"/>
      <c r="P251" s="72"/>
    </row>
    <row r="252">
      <c r="B252" s="68"/>
      <c r="D252" s="69"/>
      <c r="H252" s="70"/>
      <c r="K252" s="70"/>
      <c r="L252" s="71"/>
      <c r="M252" s="72"/>
      <c r="P252" s="72"/>
    </row>
    <row r="253">
      <c r="B253" s="68"/>
      <c r="D253" s="69"/>
      <c r="H253" s="70"/>
      <c r="K253" s="70"/>
      <c r="L253" s="71"/>
      <c r="M253" s="72"/>
      <c r="P253" s="72"/>
    </row>
    <row r="254">
      <c r="B254" s="68"/>
      <c r="D254" s="69"/>
      <c r="H254" s="70"/>
      <c r="K254" s="70"/>
      <c r="L254" s="71"/>
      <c r="M254" s="72"/>
      <c r="P254" s="72"/>
    </row>
    <row r="255">
      <c r="B255" s="68"/>
      <c r="D255" s="69"/>
      <c r="H255" s="70"/>
      <c r="K255" s="70"/>
      <c r="L255" s="71"/>
      <c r="M255" s="72"/>
      <c r="P255" s="72"/>
    </row>
    <row r="256">
      <c r="B256" s="68"/>
      <c r="D256" s="69"/>
      <c r="H256" s="70"/>
      <c r="K256" s="70"/>
      <c r="L256" s="71"/>
      <c r="M256" s="72"/>
      <c r="P256" s="72"/>
    </row>
    <row r="257">
      <c r="B257" s="68"/>
      <c r="D257" s="69"/>
      <c r="H257" s="70"/>
      <c r="K257" s="70"/>
      <c r="L257" s="71"/>
      <c r="M257" s="72"/>
      <c r="P257" s="72"/>
    </row>
    <row r="258">
      <c r="B258" s="68"/>
      <c r="D258" s="69"/>
      <c r="H258" s="70"/>
      <c r="K258" s="70"/>
      <c r="L258" s="71"/>
      <c r="M258" s="72"/>
      <c r="P258" s="72"/>
    </row>
    <row r="259">
      <c r="B259" s="68"/>
      <c r="D259" s="69"/>
      <c r="H259" s="70"/>
      <c r="K259" s="70"/>
      <c r="L259" s="71"/>
      <c r="M259" s="72"/>
      <c r="P259" s="72"/>
    </row>
    <row r="260">
      <c r="B260" s="68"/>
      <c r="D260" s="69"/>
      <c r="H260" s="70"/>
      <c r="K260" s="70"/>
      <c r="L260" s="71"/>
      <c r="M260" s="72"/>
      <c r="P260" s="72"/>
    </row>
    <row r="261">
      <c r="B261" s="68"/>
      <c r="D261" s="69"/>
      <c r="H261" s="70"/>
      <c r="K261" s="70"/>
      <c r="L261" s="71"/>
      <c r="M261" s="72"/>
      <c r="P261" s="72"/>
    </row>
    <row r="262">
      <c r="B262" s="68"/>
      <c r="D262" s="69"/>
      <c r="H262" s="70"/>
      <c r="K262" s="70"/>
      <c r="L262" s="71"/>
      <c r="M262" s="72"/>
      <c r="P262" s="72"/>
    </row>
    <row r="263">
      <c r="B263" s="68"/>
      <c r="D263" s="69"/>
      <c r="H263" s="70"/>
      <c r="K263" s="70"/>
      <c r="L263" s="71"/>
      <c r="M263" s="72"/>
      <c r="P263" s="72"/>
    </row>
    <row r="264">
      <c r="B264" s="68"/>
      <c r="D264" s="69"/>
      <c r="H264" s="70"/>
      <c r="K264" s="70"/>
      <c r="L264" s="71"/>
      <c r="M264" s="72"/>
      <c r="P264" s="72"/>
    </row>
    <row r="265">
      <c r="B265" s="68"/>
      <c r="D265" s="69"/>
      <c r="H265" s="70"/>
      <c r="K265" s="70"/>
      <c r="L265" s="71"/>
      <c r="M265" s="72"/>
      <c r="P265" s="72"/>
    </row>
    <row r="266">
      <c r="B266" s="68"/>
      <c r="D266" s="69"/>
      <c r="H266" s="70"/>
      <c r="K266" s="70"/>
      <c r="L266" s="71"/>
      <c r="M266" s="72"/>
      <c r="P266" s="72"/>
    </row>
    <row r="267">
      <c r="B267" s="68"/>
      <c r="D267" s="69"/>
      <c r="H267" s="70"/>
      <c r="K267" s="70"/>
      <c r="L267" s="71"/>
      <c r="M267" s="72"/>
      <c r="P267" s="72"/>
    </row>
    <row r="268">
      <c r="B268" s="68"/>
      <c r="D268" s="69"/>
      <c r="H268" s="70"/>
      <c r="K268" s="70"/>
      <c r="L268" s="71"/>
      <c r="M268" s="72"/>
      <c r="P268" s="72"/>
    </row>
    <row r="269">
      <c r="B269" s="68"/>
      <c r="D269" s="69"/>
      <c r="H269" s="70"/>
      <c r="K269" s="70"/>
      <c r="L269" s="71"/>
      <c r="M269" s="72"/>
      <c r="P269" s="72"/>
    </row>
    <row r="270">
      <c r="B270" s="68"/>
      <c r="D270" s="69"/>
      <c r="H270" s="70"/>
      <c r="K270" s="70"/>
      <c r="L270" s="71"/>
      <c r="M270" s="72"/>
      <c r="P270" s="72"/>
    </row>
    <row r="271">
      <c r="B271" s="68"/>
      <c r="D271" s="69"/>
      <c r="H271" s="70"/>
      <c r="K271" s="70"/>
      <c r="L271" s="71"/>
      <c r="M271" s="72"/>
      <c r="P271" s="72"/>
    </row>
    <row r="272">
      <c r="B272" s="68"/>
      <c r="D272" s="69"/>
      <c r="H272" s="70"/>
      <c r="K272" s="70"/>
      <c r="L272" s="71"/>
      <c r="M272" s="72"/>
      <c r="P272" s="72"/>
    </row>
    <row r="273">
      <c r="B273" s="68"/>
      <c r="D273" s="69"/>
      <c r="H273" s="70"/>
      <c r="K273" s="70"/>
      <c r="L273" s="71"/>
      <c r="M273" s="72"/>
      <c r="P273" s="72"/>
    </row>
    <row r="274">
      <c r="B274" s="68"/>
      <c r="D274" s="69"/>
      <c r="H274" s="70"/>
      <c r="K274" s="70"/>
      <c r="L274" s="71"/>
      <c r="M274" s="72"/>
      <c r="P274" s="72"/>
    </row>
    <row r="275">
      <c r="B275" s="68"/>
      <c r="D275" s="69"/>
      <c r="H275" s="70"/>
      <c r="K275" s="70"/>
      <c r="L275" s="71"/>
      <c r="M275" s="72"/>
      <c r="P275" s="72"/>
    </row>
    <row r="276">
      <c r="B276" s="68"/>
      <c r="D276" s="69"/>
      <c r="H276" s="70"/>
      <c r="K276" s="70"/>
      <c r="L276" s="71"/>
      <c r="M276" s="72"/>
      <c r="P276" s="72"/>
    </row>
    <row r="277">
      <c r="B277" s="68"/>
      <c r="D277" s="69"/>
      <c r="H277" s="70"/>
      <c r="K277" s="70"/>
      <c r="L277" s="71"/>
      <c r="M277" s="72"/>
      <c r="P277" s="72"/>
    </row>
    <row r="278">
      <c r="B278" s="68"/>
      <c r="D278" s="69"/>
      <c r="H278" s="70"/>
      <c r="K278" s="70"/>
      <c r="L278" s="71"/>
      <c r="M278" s="72"/>
      <c r="P278" s="72"/>
    </row>
    <row r="279">
      <c r="B279" s="68"/>
      <c r="D279" s="69"/>
      <c r="H279" s="70"/>
      <c r="K279" s="70"/>
      <c r="L279" s="71"/>
      <c r="M279" s="72"/>
      <c r="P279" s="72"/>
    </row>
    <row r="280">
      <c r="B280" s="68"/>
      <c r="D280" s="69"/>
      <c r="H280" s="70"/>
      <c r="K280" s="70"/>
      <c r="L280" s="71"/>
      <c r="M280" s="72"/>
      <c r="P280" s="72"/>
    </row>
    <row r="281">
      <c r="B281" s="68"/>
      <c r="D281" s="69"/>
      <c r="H281" s="70"/>
      <c r="K281" s="70"/>
      <c r="L281" s="71"/>
      <c r="M281" s="72"/>
      <c r="P281" s="72"/>
    </row>
    <row r="282">
      <c r="B282" s="68"/>
      <c r="D282" s="69"/>
      <c r="H282" s="70"/>
      <c r="K282" s="70"/>
      <c r="L282" s="71"/>
      <c r="M282" s="72"/>
      <c r="P282" s="72"/>
    </row>
    <row r="283">
      <c r="B283" s="68"/>
      <c r="D283" s="69"/>
      <c r="H283" s="70"/>
      <c r="K283" s="70"/>
      <c r="L283" s="71"/>
      <c r="M283" s="72"/>
      <c r="P283" s="72"/>
    </row>
    <row r="284">
      <c r="B284" s="68"/>
      <c r="D284" s="69"/>
      <c r="H284" s="70"/>
      <c r="K284" s="70"/>
      <c r="L284" s="71"/>
      <c r="M284" s="72"/>
      <c r="P284" s="72"/>
    </row>
    <row r="285">
      <c r="B285" s="68"/>
      <c r="D285" s="69"/>
      <c r="H285" s="70"/>
      <c r="K285" s="70"/>
      <c r="L285" s="71"/>
      <c r="M285" s="72"/>
      <c r="P285" s="72"/>
    </row>
    <row r="286">
      <c r="B286" s="68"/>
      <c r="D286" s="69"/>
      <c r="H286" s="70"/>
      <c r="K286" s="70"/>
      <c r="L286" s="71"/>
      <c r="M286" s="72"/>
      <c r="P286" s="72"/>
    </row>
    <row r="287">
      <c r="B287" s="68"/>
      <c r="D287" s="69"/>
      <c r="H287" s="70"/>
      <c r="K287" s="70"/>
      <c r="L287" s="71"/>
      <c r="M287" s="72"/>
      <c r="P287" s="72"/>
    </row>
    <row r="288">
      <c r="B288" s="68"/>
      <c r="D288" s="69"/>
      <c r="H288" s="70"/>
      <c r="K288" s="70"/>
      <c r="L288" s="71"/>
      <c r="M288" s="72"/>
      <c r="P288" s="72"/>
    </row>
    <row r="289">
      <c r="B289" s="68"/>
      <c r="D289" s="69"/>
      <c r="H289" s="70"/>
      <c r="K289" s="70"/>
      <c r="L289" s="71"/>
      <c r="M289" s="72"/>
      <c r="P289" s="72"/>
    </row>
    <row r="290">
      <c r="B290" s="68"/>
      <c r="D290" s="69"/>
      <c r="H290" s="70"/>
      <c r="K290" s="70"/>
      <c r="L290" s="71"/>
      <c r="M290" s="72"/>
      <c r="P290" s="72"/>
    </row>
    <row r="291">
      <c r="B291" s="68"/>
      <c r="D291" s="69"/>
      <c r="H291" s="70"/>
      <c r="K291" s="70"/>
      <c r="L291" s="71"/>
      <c r="M291" s="72"/>
      <c r="P291" s="72"/>
    </row>
    <row r="292">
      <c r="B292" s="68"/>
      <c r="D292" s="69"/>
      <c r="H292" s="70"/>
      <c r="K292" s="70"/>
      <c r="L292" s="71"/>
      <c r="M292" s="72"/>
      <c r="P292" s="72"/>
    </row>
    <row r="293">
      <c r="B293" s="68"/>
      <c r="D293" s="69"/>
      <c r="H293" s="70"/>
      <c r="K293" s="70"/>
      <c r="L293" s="71"/>
      <c r="M293" s="72"/>
      <c r="P293" s="72"/>
    </row>
    <row r="294">
      <c r="B294" s="68"/>
      <c r="D294" s="69"/>
      <c r="H294" s="70"/>
      <c r="K294" s="70"/>
      <c r="L294" s="71"/>
      <c r="M294" s="72"/>
      <c r="P294" s="72"/>
    </row>
    <row r="295">
      <c r="B295" s="68"/>
      <c r="D295" s="69"/>
      <c r="H295" s="70"/>
      <c r="K295" s="70"/>
      <c r="L295" s="71"/>
      <c r="M295" s="72"/>
      <c r="P295" s="72"/>
    </row>
    <row r="296">
      <c r="B296" s="68"/>
      <c r="D296" s="69"/>
      <c r="H296" s="70"/>
      <c r="K296" s="70"/>
      <c r="L296" s="71"/>
      <c r="M296" s="72"/>
      <c r="P296" s="72"/>
    </row>
    <row r="297">
      <c r="B297" s="68"/>
      <c r="D297" s="69"/>
      <c r="H297" s="70"/>
      <c r="K297" s="70"/>
      <c r="L297" s="71"/>
      <c r="M297" s="72"/>
      <c r="P297" s="72"/>
    </row>
    <row r="298">
      <c r="B298" s="68"/>
      <c r="D298" s="69"/>
      <c r="H298" s="70"/>
      <c r="K298" s="70"/>
      <c r="L298" s="71"/>
      <c r="M298" s="72"/>
      <c r="P298" s="72"/>
    </row>
    <row r="299">
      <c r="B299" s="68"/>
      <c r="D299" s="69"/>
      <c r="H299" s="70"/>
      <c r="K299" s="70"/>
      <c r="L299" s="71"/>
      <c r="M299" s="72"/>
      <c r="P299" s="72"/>
    </row>
    <row r="300">
      <c r="B300" s="68"/>
      <c r="D300" s="69"/>
      <c r="H300" s="70"/>
      <c r="K300" s="70"/>
      <c r="L300" s="71"/>
      <c r="M300" s="72"/>
      <c r="P300" s="72"/>
    </row>
    <row r="301">
      <c r="B301" s="68"/>
      <c r="D301" s="69"/>
      <c r="H301" s="70"/>
      <c r="K301" s="70"/>
      <c r="L301" s="71"/>
      <c r="M301" s="72"/>
      <c r="P301" s="72"/>
    </row>
    <row r="302">
      <c r="B302" s="68"/>
      <c r="D302" s="69"/>
      <c r="H302" s="70"/>
      <c r="K302" s="70"/>
      <c r="L302" s="71"/>
      <c r="M302" s="72"/>
      <c r="P302" s="72"/>
    </row>
    <row r="303">
      <c r="B303" s="68"/>
      <c r="D303" s="69"/>
      <c r="H303" s="70"/>
      <c r="K303" s="70"/>
      <c r="L303" s="71"/>
      <c r="M303" s="72"/>
      <c r="P303" s="72"/>
    </row>
    <row r="304">
      <c r="B304" s="68"/>
      <c r="D304" s="69"/>
      <c r="H304" s="70"/>
      <c r="K304" s="70"/>
      <c r="L304" s="71"/>
      <c r="M304" s="72"/>
      <c r="P304" s="72"/>
    </row>
    <row r="305">
      <c r="B305" s="68"/>
      <c r="D305" s="69"/>
      <c r="H305" s="70"/>
      <c r="K305" s="70"/>
      <c r="L305" s="71"/>
      <c r="M305" s="72"/>
      <c r="P305" s="72"/>
    </row>
    <row r="306">
      <c r="B306" s="68"/>
      <c r="D306" s="69"/>
      <c r="H306" s="70"/>
      <c r="K306" s="70"/>
      <c r="L306" s="71"/>
      <c r="M306" s="72"/>
      <c r="P306" s="72"/>
    </row>
    <row r="307">
      <c r="B307" s="68"/>
      <c r="D307" s="69"/>
      <c r="H307" s="70"/>
      <c r="K307" s="70"/>
      <c r="L307" s="71"/>
      <c r="M307" s="72"/>
      <c r="P307" s="72"/>
    </row>
    <row r="308">
      <c r="B308" s="68"/>
      <c r="D308" s="69"/>
      <c r="H308" s="70"/>
      <c r="K308" s="70"/>
      <c r="L308" s="71"/>
      <c r="M308" s="72"/>
      <c r="P308" s="72"/>
    </row>
    <row r="309">
      <c r="B309" s="68"/>
      <c r="D309" s="69"/>
      <c r="H309" s="70"/>
      <c r="K309" s="70"/>
      <c r="L309" s="71"/>
      <c r="M309" s="72"/>
      <c r="P309" s="72"/>
    </row>
    <row r="310">
      <c r="B310" s="68"/>
      <c r="D310" s="69"/>
      <c r="H310" s="70"/>
      <c r="K310" s="70"/>
      <c r="L310" s="71"/>
      <c r="M310" s="72"/>
      <c r="P310" s="72"/>
    </row>
    <row r="311">
      <c r="B311" s="68"/>
      <c r="D311" s="69"/>
      <c r="H311" s="70"/>
      <c r="K311" s="70"/>
      <c r="L311" s="71"/>
      <c r="M311" s="72"/>
      <c r="P311" s="72"/>
    </row>
    <row r="312">
      <c r="B312" s="68"/>
      <c r="D312" s="69"/>
      <c r="H312" s="70"/>
      <c r="K312" s="70"/>
      <c r="L312" s="71"/>
      <c r="M312" s="72"/>
      <c r="P312" s="72"/>
    </row>
    <row r="313">
      <c r="B313" s="68"/>
      <c r="D313" s="69"/>
      <c r="H313" s="70"/>
      <c r="K313" s="70"/>
      <c r="L313" s="71"/>
      <c r="M313" s="72"/>
      <c r="P313" s="72"/>
    </row>
    <row r="314">
      <c r="B314" s="68"/>
      <c r="D314" s="69"/>
      <c r="H314" s="70"/>
      <c r="K314" s="70"/>
      <c r="L314" s="71"/>
      <c r="M314" s="72"/>
      <c r="P314" s="72"/>
    </row>
    <row r="315">
      <c r="B315" s="68"/>
      <c r="D315" s="69"/>
      <c r="H315" s="70"/>
      <c r="K315" s="70"/>
      <c r="L315" s="71"/>
      <c r="M315" s="72"/>
      <c r="P315" s="72"/>
    </row>
    <row r="316">
      <c r="B316" s="68"/>
      <c r="D316" s="69"/>
      <c r="H316" s="70"/>
      <c r="K316" s="70"/>
      <c r="L316" s="71"/>
      <c r="M316" s="72"/>
      <c r="P316" s="72"/>
    </row>
    <row r="317">
      <c r="B317" s="68"/>
      <c r="D317" s="69"/>
      <c r="H317" s="70"/>
      <c r="K317" s="70"/>
      <c r="L317" s="71"/>
      <c r="M317" s="72"/>
      <c r="P317" s="72"/>
    </row>
    <row r="318">
      <c r="B318" s="68"/>
      <c r="D318" s="69"/>
      <c r="H318" s="70"/>
      <c r="K318" s="70"/>
      <c r="L318" s="71"/>
      <c r="M318" s="72"/>
      <c r="P318" s="72"/>
    </row>
    <row r="319">
      <c r="B319" s="68"/>
      <c r="D319" s="69"/>
      <c r="H319" s="70"/>
      <c r="K319" s="70"/>
      <c r="L319" s="71"/>
      <c r="M319" s="72"/>
      <c r="P319" s="72"/>
    </row>
    <row r="320">
      <c r="B320" s="68"/>
      <c r="D320" s="69"/>
      <c r="H320" s="70"/>
      <c r="K320" s="70"/>
      <c r="L320" s="71"/>
      <c r="M320" s="72"/>
      <c r="P320" s="72"/>
    </row>
    <row r="321">
      <c r="B321" s="68"/>
      <c r="D321" s="69"/>
      <c r="H321" s="70"/>
      <c r="K321" s="70"/>
      <c r="L321" s="71"/>
      <c r="M321" s="72"/>
      <c r="P321" s="72"/>
    </row>
    <row r="322">
      <c r="B322" s="68"/>
      <c r="D322" s="69"/>
      <c r="H322" s="70"/>
      <c r="K322" s="70"/>
      <c r="L322" s="71"/>
      <c r="M322" s="72"/>
      <c r="P322" s="72"/>
    </row>
    <row r="323">
      <c r="B323" s="68"/>
      <c r="D323" s="69"/>
      <c r="H323" s="70"/>
      <c r="K323" s="70"/>
      <c r="L323" s="71"/>
      <c r="M323" s="72"/>
      <c r="P323" s="72"/>
    </row>
    <row r="324">
      <c r="B324" s="68"/>
      <c r="D324" s="69"/>
      <c r="H324" s="70"/>
      <c r="K324" s="70"/>
      <c r="L324" s="71"/>
      <c r="M324" s="72"/>
      <c r="P324" s="72"/>
    </row>
    <row r="325">
      <c r="B325" s="68"/>
      <c r="D325" s="69"/>
      <c r="H325" s="70"/>
      <c r="K325" s="70"/>
      <c r="L325" s="71"/>
      <c r="M325" s="72"/>
      <c r="P325" s="72"/>
    </row>
    <row r="326">
      <c r="B326" s="68"/>
      <c r="D326" s="69"/>
      <c r="H326" s="70"/>
      <c r="K326" s="70"/>
      <c r="L326" s="71"/>
      <c r="M326" s="72"/>
      <c r="P326" s="72"/>
    </row>
    <row r="327">
      <c r="B327" s="68"/>
      <c r="D327" s="69"/>
      <c r="H327" s="70"/>
      <c r="K327" s="70"/>
      <c r="L327" s="71"/>
      <c r="M327" s="72"/>
      <c r="P327" s="72"/>
    </row>
    <row r="328">
      <c r="B328" s="68"/>
      <c r="D328" s="69"/>
      <c r="H328" s="70"/>
      <c r="K328" s="70"/>
      <c r="L328" s="71"/>
      <c r="M328" s="72"/>
      <c r="P328" s="72"/>
    </row>
    <row r="329">
      <c r="B329" s="68"/>
      <c r="D329" s="69"/>
      <c r="H329" s="70"/>
      <c r="K329" s="70"/>
      <c r="L329" s="71"/>
      <c r="M329" s="72"/>
      <c r="P329" s="72"/>
    </row>
    <row r="330">
      <c r="B330" s="68"/>
      <c r="D330" s="69"/>
      <c r="H330" s="70"/>
      <c r="K330" s="70"/>
      <c r="L330" s="71"/>
      <c r="M330" s="72"/>
      <c r="P330" s="72"/>
    </row>
    <row r="331">
      <c r="B331" s="68"/>
      <c r="D331" s="69"/>
      <c r="H331" s="70"/>
      <c r="K331" s="70"/>
      <c r="L331" s="71"/>
      <c r="M331" s="72"/>
      <c r="P331" s="72"/>
    </row>
    <row r="332">
      <c r="B332" s="68"/>
      <c r="D332" s="69"/>
      <c r="H332" s="70"/>
      <c r="K332" s="70"/>
      <c r="L332" s="71"/>
      <c r="M332" s="72"/>
      <c r="P332" s="72"/>
    </row>
    <row r="333">
      <c r="B333" s="68"/>
      <c r="D333" s="69"/>
      <c r="H333" s="70"/>
      <c r="K333" s="70"/>
      <c r="L333" s="71"/>
      <c r="M333" s="72"/>
      <c r="P333" s="72"/>
    </row>
    <row r="334">
      <c r="B334" s="68"/>
      <c r="D334" s="69"/>
      <c r="H334" s="70"/>
      <c r="K334" s="70"/>
      <c r="L334" s="71"/>
      <c r="M334" s="72"/>
      <c r="P334" s="72"/>
    </row>
    <row r="335">
      <c r="B335" s="68"/>
      <c r="D335" s="69"/>
      <c r="H335" s="70"/>
      <c r="K335" s="70"/>
      <c r="L335" s="71"/>
      <c r="M335" s="72"/>
      <c r="P335" s="72"/>
    </row>
    <row r="336">
      <c r="B336" s="68"/>
      <c r="D336" s="69"/>
      <c r="H336" s="70"/>
      <c r="K336" s="70"/>
      <c r="L336" s="71"/>
      <c r="M336" s="72"/>
      <c r="P336" s="72"/>
    </row>
    <row r="337">
      <c r="B337" s="68"/>
      <c r="D337" s="69"/>
      <c r="H337" s="70"/>
      <c r="K337" s="70"/>
      <c r="L337" s="71"/>
      <c r="M337" s="72"/>
      <c r="P337" s="72"/>
    </row>
    <row r="338">
      <c r="B338" s="68"/>
      <c r="D338" s="69"/>
      <c r="H338" s="70"/>
      <c r="K338" s="70"/>
      <c r="L338" s="71"/>
      <c r="M338" s="72"/>
      <c r="P338" s="72"/>
    </row>
    <row r="339">
      <c r="B339" s="68"/>
      <c r="D339" s="69"/>
      <c r="H339" s="70"/>
      <c r="K339" s="70"/>
      <c r="L339" s="71"/>
      <c r="M339" s="72"/>
      <c r="P339" s="72"/>
    </row>
    <row r="340">
      <c r="B340" s="68"/>
      <c r="D340" s="69"/>
      <c r="H340" s="70"/>
      <c r="K340" s="70"/>
      <c r="L340" s="71"/>
      <c r="M340" s="72"/>
      <c r="P340" s="72"/>
    </row>
    <row r="341">
      <c r="B341" s="68"/>
      <c r="D341" s="69"/>
      <c r="H341" s="70"/>
      <c r="K341" s="70"/>
      <c r="L341" s="71"/>
      <c r="M341" s="72"/>
      <c r="P341" s="72"/>
    </row>
    <row r="342">
      <c r="B342" s="68"/>
      <c r="D342" s="69"/>
      <c r="H342" s="70"/>
      <c r="K342" s="70"/>
      <c r="L342" s="71"/>
      <c r="M342" s="72"/>
      <c r="P342" s="72"/>
    </row>
    <row r="343">
      <c r="B343" s="68"/>
      <c r="D343" s="69"/>
      <c r="H343" s="70"/>
      <c r="K343" s="70"/>
      <c r="L343" s="71"/>
      <c r="M343" s="72"/>
      <c r="P343" s="72"/>
    </row>
    <row r="344">
      <c r="B344" s="68"/>
      <c r="D344" s="69"/>
      <c r="H344" s="70"/>
      <c r="K344" s="70"/>
      <c r="L344" s="71"/>
      <c r="M344" s="72"/>
      <c r="P344" s="72"/>
    </row>
    <row r="345">
      <c r="B345" s="68"/>
      <c r="D345" s="69"/>
      <c r="H345" s="70"/>
      <c r="K345" s="70"/>
      <c r="L345" s="71"/>
      <c r="M345" s="72"/>
      <c r="P345" s="72"/>
    </row>
    <row r="346">
      <c r="B346" s="68"/>
      <c r="D346" s="69"/>
      <c r="H346" s="70"/>
      <c r="K346" s="70"/>
      <c r="L346" s="71"/>
      <c r="M346" s="72"/>
      <c r="P346" s="72"/>
    </row>
    <row r="347">
      <c r="B347" s="68"/>
      <c r="D347" s="69"/>
      <c r="H347" s="70"/>
      <c r="K347" s="70"/>
      <c r="L347" s="71"/>
      <c r="M347" s="72"/>
      <c r="P347" s="72"/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  <row r="966">
      <c r="B966" s="68"/>
      <c r="D966" s="69"/>
      <c r="H966" s="70"/>
      <c r="K966" s="70"/>
      <c r="L966" s="71"/>
      <c r="M966" s="72"/>
      <c r="P966" s="72"/>
    </row>
    <row r="967">
      <c r="B967" s="68"/>
      <c r="D967" s="69"/>
      <c r="H967" s="70"/>
      <c r="K967" s="70"/>
      <c r="L967" s="71"/>
      <c r="M967" s="72"/>
      <c r="P967" s="72"/>
    </row>
  </sheetData>
  <autoFilter ref="$A$1:$AA$967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1">
        <v>46034.0</v>
      </c>
      <c r="C2" s="12">
        <f>VLOOKUP(B:B,'Курс валют'!A:D,4,0)</f>
        <v>92.0938</v>
      </c>
      <c r="D2" s="54" t="s">
        <v>1433</v>
      </c>
      <c r="E2" s="75" t="s">
        <v>106</v>
      </c>
      <c r="F2" s="12">
        <v>800.0</v>
      </c>
      <c r="G2" s="12">
        <v>806.0</v>
      </c>
      <c r="H2" s="17">
        <v>78.0</v>
      </c>
      <c r="I2" s="15">
        <f t="shared" ref="I2:I119" si="1">G2-F2</f>
        <v>6</v>
      </c>
      <c r="J2" s="18">
        <f t="shared" ref="J2:J119" si="2">I2/F2*100</f>
        <v>0.75</v>
      </c>
      <c r="K2" s="56">
        <v>2.19</v>
      </c>
      <c r="L2" s="19">
        <f t="shared" ref="L2:L119" si="3">H2/F2*100</f>
        <v>9.75</v>
      </c>
      <c r="M2" s="20">
        <f t="shared" ref="M2:M119" si="4">P2/F2</f>
        <v>174.3888197</v>
      </c>
      <c r="N2" s="21">
        <f t="shared" ref="N2:N119" si="5">(F2*K2-H2*3.04)/F2</f>
        <v>1.8936</v>
      </c>
      <c r="O2" s="21">
        <f t="shared" ref="O2:O119" si="6">N2*F2</f>
        <v>1514.88</v>
      </c>
      <c r="P2" s="22">
        <f t="shared" ref="P2:P119" si="7">O2*C2</f>
        <v>139511.0557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/>
      <c r="B3" s="11">
        <v>46034.0</v>
      </c>
      <c r="C3" s="12">
        <f>VLOOKUP(B:B,'Курс валют'!A:D,4,0)</f>
        <v>92.0938</v>
      </c>
      <c r="D3" s="13" t="s">
        <v>1434</v>
      </c>
      <c r="E3" s="14" t="s">
        <v>106</v>
      </c>
      <c r="F3" s="15">
        <v>800.0</v>
      </c>
      <c r="G3" s="15">
        <v>806.0</v>
      </c>
      <c r="H3" s="17">
        <v>78.0</v>
      </c>
      <c r="I3" s="15">
        <f t="shared" si="1"/>
        <v>6</v>
      </c>
      <c r="J3" s="18">
        <f t="shared" si="2"/>
        <v>0.75</v>
      </c>
      <c r="K3" s="17">
        <v>2.18</v>
      </c>
      <c r="L3" s="19">
        <f t="shared" si="3"/>
        <v>9.75</v>
      </c>
      <c r="M3" s="20">
        <f t="shared" si="4"/>
        <v>173.4678817</v>
      </c>
      <c r="N3" s="21">
        <f t="shared" si="5"/>
        <v>1.8836</v>
      </c>
      <c r="O3" s="21">
        <f t="shared" si="6"/>
        <v>1506.88</v>
      </c>
      <c r="P3" s="22">
        <f t="shared" si="7"/>
        <v>138774.3053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46034.0</v>
      </c>
      <c r="C4" s="12">
        <f>VLOOKUP(B:B,'Курс валют'!A:D,4,0)</f>
        <v>92.0938</v>
      </c>
      <c r="D4" s="13" t="s">
        <v>1435</v>
      </c>
      <c r="E4" s="14" t="s">
        <v>106</v>
      </c>
      <c r="F4" s="15">
        <v>800.0</v>
      </c>
      <c r="G4" s="12">
        <v>806.0</v>
      </c>
      <c r="H4" s="17">
        <v>78.0</v>
      </c>
      <c r="I4" s="15">
        <f t="shared" si="1"/>
        <v>6</v>
      </c>
      <c r="J4" s="18">
        <f t="shared" si="2"/>
        <v>0.75</v>
      </c>
      <c r="K4" s="17">
        <v>2.17</v>
      </c>
      <c r="L4" s="19">
        <f t="shared" si="3"/>
        <v>9.75</v>
      </c>
      <c r="M4" s="20">
        <f t="shared" si="4"/>
        <v>172.5469437</v>
      </c>
      <c r="N4" s="21">
        <f t="shared" si="5"/>
        <v>1.8736</v>
      </c>
      <c r="O4" s="21">
        <f t="shared" si="6"/>
        <v>1498.88</v>
      </c>
      <c r="P4" s="22">
        <f t="shared" si="7"/>
        <v>138037.5549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46034.0</v>
      </c>
      <c r="C5" s="12">
        <f>VLOOKUP(B:B,'Курс валют'!A:D,4,0)</f>
        <v>92.0938</v>
      </c>
      <c r="D5" s="13" t="s">
        <v>1436</v>
      </c>
      <c r="E5" s="35" t="s">
        <v>106</v>
      </c>
      <c r="F5" s="15">
        <v>800.0</v>
      </c>
      <c r="G5" s="15">
        <v>806.0</v>
      </c>
      <c r="H5" s="17">
        <v>78.0</v>
      </c>
      <c r="I5" s="15">
        <f t="shared" si="1"/>
        <v>6</v>
      </c>
      <c r="J5" s="18">
        <f t="shared" si="2"/>
        <v>0.75</v>
      </c>
      <c r="K5" s="17">
        <v>2.17</v>
      </c>
      <c r="L5" s="19">
        <f t="shared" si="3"/>
        <v>9.75</v>
      </c>
      <c r="M5" s="20">
        <f t="shared" si="4"/>
        <v>172.5469437</v>
      </c>
      <c r="N5" s="21">
        <f t="shared" si="5"/>
        <v>1.8736</v>
      </c>
      <c r="O5" s="21">
        <f t="shared" si="6"/>
        <v>1498.88</v>
      </c>
      <c r="P5" s="22">
        <f t="shared" si="7"/>
        <v>138037.5549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46034.0</v>
      </c>
      <c r="C6" s="12">
        <f>VLOOKUP(B:B,'Курс валют'!A:D,4,0)</f>
        <v>92.0938</v>
      </c>
      <c r="D6" s="13" t="s">
        <v>1437</v>
      </c>
      <c r="E6" s="35" t="s">
        <v>106</v>
      </c>
      <c r="F6" s="15">
        <v>800.0</v>
      </c>
      <c r="G6" s="12">
        <v>806.0</v>
      </c>
      <c r="H6" s="17">
        <v>78.0</v>
      </c>
      <c r="I6" s="15">
        <f t="shared" si="1"/>
        <v>6</v>
      </c>
      <c r="J6" s="18">
        <f t="shared" si="2"/>
        <v>0.75</v>
      </c>
      <c r="K6" s="17">
        <v>2.18</v>
      </c>
      <c r="L6" s="19">
        <f t="shared" si="3"/>
        <v>9.75</v>
      </c>
      <c r="M6" s="20">
        <f t="shared" si="4"/>
        <v>173.4678817</v>
      </c>
      <c r="N6" s="21">
        <f t="shared" si="5"/>
        <v>1.8836</v>
      </c>
      <c r="O6" s="21">
        <f t="shared" si="6"/>
        <v>1506.88</v>
      </c>
      <c r="P6" s="22">
        <f t="shared" si="7"/>
        <v>138774.3053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46034.0</v>
      </c>
      <c r="C7" s="12">
        <f>VLOOKUP(B:B,'Курс валют'!A:D,4,0)</f>
        <v>92.0938</v>
      </c>
      <c r="D7" s="13" t="s">
        <v>1438</v>
      </c>
      <c r="E7" s="35" t="s">
        <v>106</v>
      </c>
      <c r="F7" s="15">
        <v>800.0</v>
      </c>
      <c r="G7" s="15">
        <v>806.0</v>
      </c>
      <c r="H7" s="17">
        <v>78.0</v>
      </c>
      <c r="I7" s="15">
        <f t="shared" si="1"/>
        <v>6</v>
      </c>
      <c r="J7" s="18">
        <f t="shared" si="2"/>
        <v>0.75</v>
      </c>
      <c r="K7" s="17">
        <v>2.17</v>
      </c>
      <c r="L7" s="19">
        <f t="shared" si="3"/>
        <v>9.75</v>
      </c>
      <c r="M7" s="20">
        <f t="shared" si="4"/>
        <v>172.5469437</v>
      </c>
      <c r="N7" s="21">
        <f t="shared" si="5"/>
        <v>1.8736</v>
      </c>
      <c r="O7" s="21">
        <f t="shared" si="6"/>
        <v>1498.88</v>
      </c>
      <c r="P7" s="22">
        <f t="shared" si="7"/>
        <v>138037.5549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46034.0</v>
      </c>
      <c r="C8" s="12">
        <f>VLOOKUP(B:B,'Курс валют'!A:D,4,0)</f>
        <v>92.0938</v>
      </c>
      <c r="D8" s="15" t="s">
        <v>1439</v>
      </c>
      <c r="E8" s="35" t="s">
        <v>106</v>
      </c>
      <c r="F8" s="15">
        <v>800.0</v>
      </c>
      <c r="G8" s="12">
        <v>806.0</v>
      </c>
      <c r="H8" s="17">
        <v>78.0</v>
      </c>
      <c r="I8" s="15">
        <f t="shared" si="1"/>
        <v>6</v>
      </c>
      <c r="J8" s="18">
        <f t="shared" si="2"/>
        <v>0.75</v>
      </c>
      <c r="K8" s="17">
        <v>2.18</v>
      </c>
      <c r="L8" s="19">
        <f t="shared" si="3"/>
        <v>9.75</v>
      </c>
      <c r="M8" s="20">
        <f t="shared" si="4"/>
        <v>173.4678817</v>
      </c>
      <c r="N8" s="21">
        <f t="shared" si="5"/>
        <v>1.8836</v>
      </c>
      <c r="O8" s="21">
        <f t="shared" si="6"/>
        <v>1506.88</v>
      </c>
      <c r="P8" s="22">
        <f t="shared" si="7"/>
        <v>138774.3053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11"/>
      <c r="B9" s="11">
        <v>46034.0</v>
      </c>
      <c r="C9" s="12">
        <f>VLOOKUP(B:B,'Курс валют'!A:D,4,0)</f>
        <v>92.0938</v>
      </c>
      <c r="D9" s="13" t="s">
        <v>1440</v>
      </c>
      <c r="E9" s="35" t="s">
        <v>106</v>
      </c>
      <c r="F9" s="15">
        <v>800.0</v>
      </c>
      <c r="G9" s="15">
        <v>806.0</v>
      </c>
      <c r="H9" s="17">
        <v>78.0</v>
      </c>
      <c r="I9" s="15">
        <f t="shared" si="1"/>
        <v>6</v>
      </c>
      <c r="J9" s="18">
        <f t="shared" si="2"/>
        <v>0.75</v>
      </c>
      <c r="K9" s="17">
        <v>2.18</v>
      </c>
      <c r="L9" s="19">
        <f t="shared" si="3"/>
        <v>9.75</v>
      </c>
      <c r="M9" s="20">
        <f t="shared" si="4"/>
        <v>173.4678817</v>
      </c>
      <c r="N9" s="21">
        <f t="shared" si="5"/>
        <v>1.8836</v>
      </c>
      <c r="O9" s="21">
        <f t="shared" si="6"/>
        <v>1506.88</v>
      </c>
      <c r="P9" s="22">
        <f t="shared" si="7"/>
        <v>138774.3053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11"/>
      <c r="B10" s="11">
        <v>46034.0</v>
      </c>
      <c r="C10" s="12">
        <f>VLOOKUP(B:B,'Курс валют'!A:D,4,0)</f>
        <v>92.0938</v>
      </c>
      <c r="D10" s="13" t="s">
        <v>1441</v>
      </c>
      <c r="E10" s="35" t="s">
        <v>106</v>
      </c>
      <c r="F10" s="15">
        <v>800.0</v>
      </c>
      <c r="G10" s="12">
        <v>806.0</v>
      </c>
      <c r="H10" s="17">
        <v>78.0</v>
      </c>
      <c r="I10" s="15">
        <f t="shared" si="1"/>
        <v>6</v>
      </c>
      <c r="J10" s="18">
        <f t="shared" si="2"/>
        <v>0.75</v>
      </c>
      <c r="K10" s="17">
        <v>2.18</v>
      </c>
      <c r="L10" s="19">
        <f t="shared" si="3"/>
        <v>9.75</v>
      </c>
      <c r="M10" s="20">
        <f t="shared" si="4"/>
        <v>173.4678817</v>
      </c>
      <c r="N10" s="21">
        <f t="shared" si="5"/>
        <v>1.8836</v>
      </c>
      <c r="O10" s="21">
        <f t="shared" si="6"/>
        <v>1506.88</v>
      </c>
      <c r="P10" s="22">
        <f t="shared" si="7"/>
        <v>138774.3053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/>
      <c r="B11" s="11">
        <v>46034.0</v>
      </c>
      <c r="C11" s="12">
        <f>VLOOKUP(B:B,'Курс валют'!A:D,4,0)</f>
        <v>92.0938</v>
      </c>
      <c r="D11" s="13" t="s">
        <v>1442</v>
      </c>
      <c r="E11" s="35" t="s">
        <v>106</v>
      </c>
      <c r="F11" s="15">
        <v>800.0</v>
      </c>
      <c r="G11" s="15">
        <v>806.0</v>
      </c>
      <c r="H11" s="17">
        <v>78.0</v>
      </c>
      <c r="I11" s="15">
        <f t="shared" si="1"/>
        <v>6</v>
      </c>
      <c r="J11" s="18">
        <f t="shared" si="2"/>
        <v>0.75</v>
      </c>
      <c r="K11" s="17">
        <v>2.18</v>
      </c>
      <c r="L11" s="19">
        <f t="shared" si="3"/>
        <v>9.75</v>
      </c>
      <c r="M11" s="20">
        <f t="shared" si="4"/>
        <v>173.4678817</v>
      </c>
      <c r="N11" s="21">
        <f t="shared" si="5"/>
        <v>1.8836</v>
      </c>
      <c r="O11" s="21">
        <f t="shared" si="6"/>
        <v>1506.88</v>
      </c>
      <c r="P11" s="22">
        <f t="shared" si="7"/>
        <v>138774.3053</v>
      </c>
      <c r="R11" s="23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/>
      <c r="B12" s="11">
        <v>46035.0</v>
      </c>
      <c r="C12" s="12">
        <f>VLOOKUP(B:B,'Курс валют'!A:D,4,0)</f>
        <v>91.9668</v>
      </c>
      <c r="D12" s="13" t="s">
        <v>1443</v>
      </c>
      <c r="E12" s="26" t="s">
        <v>54</v>
      </c>
      <c r="F12" s="15">
        <v>800.0</v>
      </c>
      <c r="G12" s="15">
        <v>804.34</v>
      </c>
      <c r="H12" s="27">
        <v>0.0</v>
      </c>
      <c r="I12" s="15">
        <f t="shared" si="1"/>
        <v>4.34</v>
      </c>
      <c r="J12" s="18">
        <f t="shared" si="2"/>
        <v>0.5425</v>
      </c>
      <c r="K12" s="17">
        <v>2.01</v>
      </c>
      <c r="L12" s="19">
        <f t="shared" si="3"/>
        <v>0</v>
      </c>
      <c r="M12" s="20">
        <f t="shared" si="4"/>
        <v>184.853268</v>
      </c>
      <c r="N12" s="21">
        <f t="shared" si="5"/>
        <v>2.01</v>
      </c>
      <c r="O12" s="21">
        <f t="shared" si="6"/>
        <v>1608</v>
      </c>
      <c r="P12" s="22">
        <f t="shared" si="7"/>
        <v>147882.6144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/>
      <c r="B13" s="11">
        <v>46035.0</v>
      </c>
      <c r="C13" s="12">
        <f>VLOOKUP(B:B,'Курс валют'!A:D,4,0)</f>
        <v>91.9668</v>
      </c>
      <c r="D13" s="13" t="s">
        <v>1444</v>
      </c>
      <c r="E13" s="26" t="s">
        <v>54</v>
      </c>
      <c r="F13" s="15">
        <v>800.0</v>
      </c>
      <c r="G13" s="15">
        <v>804.34</v>
      </c>
      <c r="H13" s="17">
        <v>0.0</v>
      </c>
      <c r="I13" s="15">
        <f t="shared" si="1"/>
        <v>4.34</v>
      </c>
      <c r="J13" s="18">
        <f t="shared" si="2"/>
        <v>0.5425</v>
      </c>
      <c r="K13" s="17">
        <v>2.0</v>
      </c>
      <c r="L13" s="19">
        <f t="shared" si="3"/>
        <v>0</v>
      </c>
      <c r="M13" s="20">
        <f t="shared" si="4"/>
        <v>183.9336</v>
      </c>
      <c r="N13" s="29">
        <f t="shared" si="5"/>
        <v>2</v>
      </c>
      <c r="O13" s="21">
        <f t="shared" si="6"/>
        <v>1600</v>
      </c>
      <c r="P13" s="22">
        <f t="shared" si="7"/>
        <v>147146.88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/>
      <c r="B14" s="11">
        <v>46035.0</v>
      </c>
      <c r="C14" s="12">
        <f>VLOOKUP(B:B,'Курс валют'!A:D,4,0)</f>
        <v>91.9668</v>
      </c>
      <c r="D14" s="13" t="s">
        <v>1445</v>
      </c>
      <c r="E14" s="26" t="s">
        <v>54</v>
      </c>
      <c r="F14" s="15">
        <v>800.0</v>
      </c>
      <c r="G14" s="15">
        <v>804.34</v>
      </c>
      <c r="H14" s="27">
        <v>0.0</v>
      </c>
      <c r="I14" s="15">
        <f t="shared" si="1"/>
        <v>4.34</v>
      </c>
      <c r="J14" s="18">
        <f t="shared" si="2"/>
        <v>0.5425</v>
      </c>
      <c r="K14" s="17">
        <v>2.0</v>
      </c>
      <c r="L14" s="19">
        <f t="shared" si="3"/>
        <v>0</v>
      </c>
      <c r="M14" s="20">
        <f t="shared" si="4"/>
        <v>183.9336</v>
      </c>
      <c r="N14" s="21">
        <f t="shared" si="5"/>
        <v>2</v>
      </c>
      <c r="O14" s="21">
        <f t="shared" si="6"/>
        <v>1600</v>
      </c>
      <c r="P14" s="22">
        <f t="shared" si="7"/>
        <v>147146.88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/>
      <c r="B15" s="11">
        <v>46035.0</v>
      </c>
      <c r="C15" s="12">
        <f>VLOOKUP(B:B,'Курс валют'!A:D,4,0)</f>
        <v>91.9668</v>
      </c>
      <c r="D15" s="13" t="s">
        <v>1446</v>
      </c>
      <c r="E15" s="26" t="s">
        <v>54</v>
      </c>
      <c r="F15" s="15">
        <v>800.0</v>
      </c>
      <c r="G15" s="15">
        <v>804.34</v>
      </c>
      <c r="H15" s="27">
        <v>0.0</v>
      </c>
      <c r="I15" s="15">
        <f t="shared" si="1"/>
        <v>4.34</v>
      </c>
      <c r="J15" s="18">
        <f t="shared" si="2"/>
        <v>0.5425</v>
      </c>
      <c r="K15" s="17">
        <v>2.0</v>
      </c>
      <c r="L15" s="19">
        <f t="shared" si="3"/>
        <v>0</v>
      </c>
      <c r="M15" s="20">
        <f t="shared" si="4"/>
        <v>183.9336</v>
      </c>
      <c r="N15" s="21">
        <f t="shared" si="5"/>
        <v>2</v>
      </c>
      <c r="O15" s="21">
        <f t="shared" si="6"/>
        <v>1600</v>
      </c>
      <c r="P15" s="22">
        <f t="shared" si="7"/>
        <v>147146.88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11"/>
      <c r="B16" s="11">
        <v>46035.0</v>
      </c>
      <c r="C16" s="12">
        <f>VLOOKUP(B:B,'Курс валют'!A:D,4,0)</f>
        <v>91.9668</v>
      </c>
      <c r="D16" s="13" t="s">
        <v>1447</v>
      </c>
      <c r="E16" s="26" t="s">
        <v>54</v>
      </c>
      <c r="F16" s="15">
        <v>800.0</v>
      </c>
      <c r="G16" s="15">
        <v>804.34</v>
      </c>
      <c r="H16" s="27">
        <v>0.0</v>
      </c>
      <c r="I16" s="15">
        <f t="shared" si="1"/>
        <v>4.34</v>
      </c>
      <c r="J16" s="18">
        <f t="shared" si="2"/>
        <v>0.5425</v>
      </c>
      <c r="K16" s="17">
        <v>2.0</v>
      </c>
      <c r="L16" s="19">
        <f t="shared" si="3"/>
        <v>0</v>
      </c>
      <c r="M16" s="20">
        <f t="shared" si="4"/>
        <v>183.9336</v>
      </c>
      <c r="N16" s="29">
        <f t="shared" si="5"/>
        <v>2</v>
      </c>
      <c r="O16" s="21">
        <f t="shared" si="6"/>
        <v>1600</v>
      </c>
      <c r="P16" s="22">
        <f t="shared" si="7"/>
        <v>147146.88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>
      <c r="A17" s="11"/>
      <c r="B17" s="11">
        <v>46035.0</v>
      </c>
      <c r="C17" s="12">
        <f>VLOOKUP(B:B,'Курс валют'!A:D,4,0)</f>
        <v>91.9668</v>
      </c>
      <c r="D17" s="13" t="s">
        <v>1448</v>
      </c>
      <c r="E17" s="26" t="s">
        <v>54</v>
      </c>
      <c r="F17" s="15">
        <v>800.0</v>
      </c>
      <c r="G17" s="15">
        <v>804.34</v>
      </c>
      <c r="H17" s="27">
        <v>0.0</v>
      </c>
      <c r="I17" s="15">
        <f t="shared" si="1"/>
        <v>4.34</v>
      </c>
      <c r="J17" s="18">
        <f t="shared" si="2"/>
        <v>0.5425</v>
      </c>
      <c r="K17" s="17">
        <v>2.01</v>
      </c>
      <c r="L17" s="19">
        <f t="shared" si="3"/>
        <v>0</v>
      </c>
      <c r="M17" s="20">
        <f t="shared" si="4"/>
        <v>184.853268</v>
      </c>
      <c r="N17" s="29">
        <f t="shared" si="5"/>
        <v>2.01</v>
      </c>
      <c r="O17" s="21">
        <f t="shared" si="6"/>
        <v>1608</v>
      </c>
      <c r="P17" s="22">
        <f t="shared" si="7"/>
        <v>147882.6144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/>
      <c r="B18" s="11">
        <v>46035.0</v>
      </c>
      <c r="C18" s="12">
        <f>VLOOKUP(B:B,'Курс валют'!A:D,4,0)</f>
        <v>91.9668</v>
      </c>
      <c r="D18" s="13" t="s">
        <v>1449</v>
      </c>
      <c r="E18" s="26" t="s">
        <v>54</v>
      </c>
      <c r="F18" s="15">
        <v>800.0</v>
      </c>
      <c r="G18" s="15">
        <v>804.34</v>
      </c>
      <c r="H18" s="27">
        <v>0.0</v>
      </c>
      <c r="I18" s="15">
        <f t="shared" si="1"/>
        <v>4.34</v>
      </c>
      <c r="J18" s="18">
        <f t="shared" si="2"/>
        <v>0.5425</v>
      </c>
      <c r="K18" s="17">
        <v>2.0</v>
      </c>
      <c r="L18" s="19">
        <f t="shared" si="3"/>
        <v>0</v>
      </c>
      <c r="M18" s="20">
        <f t="shared" si="4"/>
        <v>183.9336</v>
      </c>
      <c r="N18" s="21">
        <f t="shared" si="5"/>
        <v>2</v>
      </c>
      <c r="O18" s="21">
        <f t="shared" si="6"/>
        <v>1600</v>
      </c>
      <c r="P18" s="22">
        <f t="shared" si="7"/>
        <v>147146.88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46035.0</v>
      </c>
      <c r="C19" s="12">
        <f>VLOOKUP(B:B,'Курс валют'!A:D,4,0)</f>
        <v>91.9668</v>
      </c>
      <c r="D19" s="13" t="s">
        <v>1450</v>
      </c>
      <c r="E19" s="26" t="s">
        <v>54</v>
      </c>
      <c r="F19" s="15">
        <v>800.0</v>
      </c>
      <c r="G19" s="15">
        <v>804.34</v>
      </c>
      <c r="H19" s="27">
        <v>0.0</v>
      </c>
      <c r="I19" s="15">
        <f t="shared" si="1"/>
        <v>4.34</v>
      </c>
      <c r="J19" s="18">
        <f t="shared" si="2"/>
        <v>0.5425</v>
      </c>
      <c r="K19" s="17">
        <v>2.0</v>
      </c>
      <c r="L19" s="19">
        <f t="shared" si="3"/>
        <v>0</v>
      </c>
      <c r="M19" s="20">
        <f t="shared" si="4"/>
        <v>183.9336</v>
      </c>
      <c r="N19" s="21">
        <f t="shared" si="5"/>
        <v>2</v>
      </c>
      <c r="O19" s="21">
        <f t="shared" si="6"/>
        <v>1600</v>
      </c>
      <c r="P19" s="22">
        <f t="shared" si="7"/>
        <v>147146.88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>
      <c r="A20" s="30"/>
      <c r="B20" s="11">
        <v>46035.0</v>
      </c>
      <c r="C20" s="12">
        <f>VLOOKUP(B:B,'Курс валют'!A:D,4,0)</f>
        <v>91.9668</v>
      </c>
      <c r="D20" s="13" t="s">
        <v>1451</v>
      </c>
      <c r="E20" s="26" t="s">
        <v>54</v>
      </c>
      <c r="F20" s="15">
        <v>800.0</v>
      </c>
      <c r="G20" s="15">
        <v>804.34</v>
      </c>
      <c r="H20" s="27">
        <v>0.0</v>
      </c>
      <c r="I20" s="15">
        <f t="shared" si="1"/>
        <v>4.34</v>
      </c>
      <c r="J20" s="18">
        <f t="shared" si="2"/>
        <v>0.5425</v>
      </c>
      <c r="K20" s="17">
        <v>2.0</v>
      </c>
      <c r="L20" s="19">
        <f t="shared" si="3"/>
        <v>0</v>
      </c>
      <c r="M20" s="20">
        <f t="shared" si="4"/>
        <v>183.9336</v>
      </c>
      <c r="N20" s="21">
        <f t="shared" si="5"/>
        <v>2</v>
      </c>
      <c r="O20" s="21">
        <f t="shared" si="6"/>
        <v>1600</v>
      </c>
      <c r="P20" s="22">
        <f t="shared" si="7"/>
        <v>147146.88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>
      <c r="A21" s="30"/>
      <c r="B21" s="11">
        <v>46035.0</v>
      </c>
      <c r="C21" s="12">
        <f>VLOOKUP(B:B,'Курс валют'!A:D,4,0)</f>
        <v>91.9668</v>
      </c>
      <c r="D21" s="13" t="s">
        <v>1452</v>
      </c>
      <c r="E21" s="26" t="s">
        <v>54</v>
      </c>
      <c r="F21" s="15">
        <v>800.0</v>
      </c>
      <c r="G21" s="15">
        <v>804.34</v>
      </c>
      <c r="H21" s="27">
        <v>0.0</v>
      </c>
      <c r="I21" s="15">
        <f t="shared" si="1"/>
        <v>4.34</v>
      </c>
      <c r="J21" s="18">
        <f t="shared" si="2"/>
        <v>0.5425</v>
      </c>
      <c r="K21" s="17">
        <v>2.0</v>
      </c>
      <c r="L21" s="19">
        <f t="shared" si="3"/>
        <v>0</v>
      </c>
      <c r="M21" s="20">
        <f t="shared" si="4"/>
        <v>183.9336</v>
      </c>
      <c r="N21" s="21">
        <f t="shared" si="5"/>
        <v>2</v>
      </c>
      <c r="O21" s="21">
        <f t="shared" si="6"/>
        <v>1600</v>
      </c>
      <c r="P21" s="22">
        <f t="shared" si="7"/>
        <v>147146.88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/>
      <c r="B22" s="11">
        <v>46036.0</v>
      </c>
      <c r="C22" s="12">
        <f>VLOOKUP(B:B,'Курс валют'!A:D,4,0)</f>
        <v>92.3973</v>
      </c>
      <c r="D22" s="13" t="s">
        <v>1453</v>
      </c>
      <c r="E22" s="35" t="s">
        <v>55</v>
      </c>
      <c r="F22" s="15">
        <v>1000.0</v>
      </c>
      <c r="G22" s="16">
        <v>1011.96</v>
      </c>
      <c r="H22" s="17">
        <v>0.0</v>
      </c>
      <c r="I22" s="16">
        <f t="shared" si="1"/>
        <v>11.96</v>
      </c>
      <c r="J22" s="18">
        <f t="shared" si="2"/>
        <v>1.196</v>
      </c>
      <c r="K22" s="17">
        <v>2.74</v>
      </c>
      <c r="L22" s="19">
        <f t="shared" si="3"/>
        <v>0</v>
      </c>
      <c r="M22" s="20">
        <f t="shared" si="4"/>
        <v>253.168602</v>
      </c>
      <c r="N22" s="21">
        <f t="shared" si="5"/>
        <v>2.74</v>
      </c>
      <c r="O22" s="21">
        <f t="shared" si="6"/>
        <v>2740</v>
      </c>
      <c r="P22" s="22">
        <f t="shared" si="7"/>
        <v>253168.602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>
      <c r="A23" s="30"/>
      <c r="B23" s="11">
        <v>46036.0</v>
      </c>
      <c r="C23" s="12">
        <f>VLOOKUP(B:B,'Курс валют'!A:D,4,0)</f>
        <v>92.3973</v>
      </c>
      <c r="D23" s="13" t="s">
        <v>1454</v>
      </c>
      <c r="E23" s="35" t="s">
        <v>55</v>
      </c>
      <c r="F23" s="15">
        <v>1000.0</v>
      </c>
      <c r="G23" s="16">
        <v>1011.96</v>
      </c>
      <c r="H23" s="17">
        <v>0.0</v>
      </c>
      <c r="I23" s="16">
        <f t="shared" si="1"/>
        <v>11.96</v>
      </c>
      <c r="J23" s="18">
        <f t="shared" si="2"/>
        <v>1.196</v>
      </c>
      <c r="K23" s="17">
        <v>2.74</v>
      </c>
      <c r="L23" s="19">
        <f t="shared" si="3"/>
        <v>0</v>
      </c>
      <c r="M23" s="20">
        <f t="shared" si="4"/>
        <v>253.168602</v>
      </c>
      <c r="N23" s="21">
        <f t="shared" si="5"/>
        <v>2.74</v>
      </c>
      <c r="O23" s="21">
        <f t="shared" si="6"/>
        <v>2740</v>
      </c>
      <c r="P23" s="22">
        <f t="shared" si="7"/>
        <v>253168.602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>
      <c r="A24" s="30"/>
      <c r="B24" s="11">
        <v>46037.0</v>
      </c>
      <c r="C24" s="12">
        <f>VLOOKUP(B:B,'Курс валют'!A:D,4,0)</f>
        <v>92.1964</v>
      </c>
      <c r="D24" s="13" t="s">
        <v>1455</v>
      </c>
      <c r="E24" s="59" t="s">
        <v>59</v>
      </c>
      <c r="F24" s="15">
        <v>2000.0</v>
      </c>
      <c r="G24" s="16">
        <v>2055.95</v>
      </c>
      <c r="H24" s="17">
        <v>0.0</v>
      </c>
      <c r="I24" s="16">
        <f t="shared" si="1"/>
        <v>55.95</v>
      </c>
      <c r="J24" s="18">
        <f t="shared" si="2"/>
        <v>2.7975</v>
      </c>
      <c r="K24" s="17">
        <v>2.24</v>
      </c>
      <c r="L24" s="19">
        <f t="shared" si="3"/>
        <v>0</v>
      </c>
      <c r="M24" s="20">
        <f t="shared" si="4"/>
        <v>206.519936</v>
      </c>
      <c r="N24" s="21">
        <f t="shared" si="5"/>
        <v>2.24</v>
      </c>
      <c r="O24" s="21">
        <f t="shared" si="6"/>
        <v>4480</v>
      </c>
      <c r="P24" s="22">
        <f t="shared" si="7"/>
        <v>413039.872</v>
      </c>
      <c r="R24" s="23"/>
      <c r="S24" s="24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46038.0</v>
      </c>
      <c r="C25" s="12">
        <f>VLOOKUP(B:B,'Курс валют'!A:D,4,0)</f>
        <v>91.8123</v>
      </c>
      <c r="D25" s="13" t="s">
        <v>1456</v>
      </c>
      <c r="E25" s="77" t="s">
        <v>59</v>
      </c>
      <c r="F25" s="15">
        <v>2000.0</v>
      </c>
      <c r="G25" s="16">
        <v>2055.95</v>
      </c>
      <c r="H25" s="17">
        <v>0.0</v>
      </c>
      <c r="I25" s="16">
        <f t="shared" si="1"/>
        <v>55.95</v>
      </c>
      <c r="J25" s="18">
        <f t="shared" si="2"/>
        <v>2.7975</v>
      </c>
      <c r="K25" s="17">
        <v>2.24</v>
      </c>
      <c r="L25" s="19">
        <f t="shared" si="3"/>
        <v>0</v>
      </c>
      <c r="M25" s="20">
        <f t="shared" si="4"/>
        <v>205.659552</v>
      </c>
      <c r="N25" s="21">
        <f t="shared" si="5"/>
        <v>2.24</v>
      </c>
      <c r="O25" s="21">
        <f t="shared" si="6"/>
        <v>4480</v>
      </c>
      <c r="P25" s="22">
        <f t="shared" si="7"/>
        <v>411319.104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46039.0</v>
      </c>
      <c r="C26" s="12">
        <f>VLOOKUP(B:B,'Курс валют'!A:D,4,0)</f>
        <v>90.5366</v>
      </c>
      <c r="D26" s="13" t="s">
        <v>1457</v>
      </c>
      <c r="E26" s="59" t="s">
        <v>81</v>
      </c>
      <c r="F26" s="15">
        <v>2000.0</v>
      </c>
      <c r="G26" s="16">
        <v>2040.45</v>
      </c>
      <c r="H26" s="17">
        <v>0.0</v>
      </c>
      <c r="I26" s="16">
        <f t="shared" si="1"/>
        <v>40.45</v>
      </c>
      <c r="J26" s="18">
        <f t="shared" si="2"/>
        <v>2.0225</v>
      </c>
      <c r="K26" s="17">
        <v>2.32</v>
      </c>
      <c r="L26" s="19">
        <f t="shared" si="3"/>
        <v>0</v>
      </c>
      <c r="M26" s="20">
        <f t="shared" si="4"/>
        <v>210.044912</v>
      </c>
      <c r="N26" s="21">
        <f t="shared" si="5"/>
        <v>2.32</v>
      </c>
      <c r="O26" s="21">
        <f t="shared" si="6"/>
        <v>4640</v>
      </c>
      <c r="P26" s="22">
        <f t="shared" si="7"/>
        <v>420089.824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 ht="15.0" customHeight="1">
      <c r="A27" s="30"/>
      <c r="B27" s="11">
        <v>46040.0</v>
      </c>
      <c r="C27" s="12">
        <f>VLOOKUP(B:B,'Курс валют'!A:D,4,0)</f>
        <v>90.5366</v>
      </c>
      <c r="D27" s="13" t="s">
        <v>1458</v>
      </c>
      <c r="E27" s="59" t="s">
        <v>95</v>
      </c>
      <c r="F27" s="15">
        <v>20.0</v>
      </c>
      <c r="G27" s="15">
        <v>21.72</v>
      </c>
      <c r="H27" s="17">
        <v>0.0</v>
      </c>
      <c r="I27" s="15">
        <f t="shared" si="1"/>
        <v>1.72</v>
      </c>
      <c r="J27" s="18">
        <f t="shared" si="2"/>
        <v>8.6</v>
      </c>
      <c r="K27" s="17">
        <v>2.4</v>
      </c>
      <c r="L27" s="19">
        <f t="shared" si="3"/>
        <v>0</v>
      </c>
      <c r="M27" s="20">
        <f t="shared" si="4"/>
        <v>217.28784</v>
      </c>
      <c r="N27" s="21">
        <f t="shared" si="5"/>
        <v>2.4</v>
      </c>
      <c r="O27" s="21">
        <f t="shared" si="6"/>
        <v>48</v>
      </c>
      <c r="P27" s="22">
        <f t="shared" si="7"/>
        <v>4345.7568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30"/>
      <c r="B28" s="11">
        <v>46040.0</v>
      </c>
      <c r="C28" s="12">
        <f>VLOOKUP(B:B,'Курс валют'!A:D,4,0)</f>
        <v>90.5366</v>
      </c>
      <c r="D28" s="13" t="s">
        <v>1459</v>
      </c>
      <c r="E28" s="59" t="s">
        <v>95</v>
      </c>
      <c r="F28" s="15">
        <v>20.0</v>
      </c>
      <c r="G28" s="15">
        <v>21.72</v>
      </c>
      <c r="H28" s="17">
        <v>0.0</v>
      </c>
      <c r="I28" s="15">
        <f t="shared" si="1"/>
        <v>1.72</v>
      </c>
      <c r="J28" s="18">
        <f t="shared" si="2"/>
        <v>8.6</v>
      </c>
      <c r="K28" s="17">
        <v>2.4</v>
      </c>
      <c r="L28" s="19">
        <f t="shared" si="3"/>
        <v>0</v>
      </c>
      <c r="M28" s="20">
        <f t="shared" si="4"/>
        <v>217.28784</v>
      </c>
      <c r="N28" s="21">
        <f t="shared" si="5"/>
        <v>2.4</v>
      </c>
      <c r="O28" s="21">
        <f t="shared" si="6"/>
        <v>48</v>
      </c>
      <c r="P28" s="22">
        <f t="shared" si="7"/>
        <v>4345.7568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46040.0</v>
      </c>
      <c r="C29" s="12">
        <f>VLOOKUP(B:B,'Курс валют'!A:D,4,0)</f>
        <v>90.5366</v>
      </c>
      <c r="D29" s="13" t="s">
        <v>1460</v>
      </c>
      <c r="E29" s="59" t="s">
        <v>104</v>
      </c>
      <c r="F29" s="15">
        <v>800.0</v>
      </c>
      <c r="G29" s="15">
        <v>806.95</v>
      </c>
      <c r="H29" s="17">
        <v>0.0</v>
      </c>
      <c r="I29" s="15">
        <f t="shared" si="1"/>
        <v>6.95</v>
      </c>
      <c r="J29" s="18">
        <f t="shared" si="2"/>
        <v>0.86875</v>
      </c>
      <c r="K29" s="17">
        <v>2.51</v>
      </c>
      <c r="L29" s="19">
        <f t="shared" si="3"/>
        <v>0</v>
      </c>
      <c r="M29" s="20">
        <f t="shared" si="4"/>
        <v>227.246866</v>
      </c>
      <c r="N29" s="21">
        <f t="shared" si="5"/>
        <v>2.51</v>
      </c>
      <c r="O29" s="21">
        <f t="shared" si="6"/>
        <v>2008</v>
      </c>
      <c r="P29" s="22">
        <f t="shared" si="7"/>
        <v>181797.4928</v>
      </c>
      <c r="R29" s="23"/>
      <c r="S29" s="57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46040.0</v>
      </c>
      <c r="C30" s="12">
        <f>VLOOKUP(B:B,'Курс валют'!A:D,4,0)</f>
        <v>90.5366</v>
      </c>
      <c r="D30" s="13" t="s">
        <v>1461</v>
      </c>
      <c r="E30" s="59" t="s">
        <v>104</v>
      </c>
      <c r="F30" s="76">
        <v>800.0</v>
      </c>
      <c r="G30" s="76">
        <v>806.95</v>
      </c>
      <c r="H30" s="58">
        <v>0.0</v>
      </c>
      <c r="I30" s="15">
        <f t="shared" si="1"/>
        <v>6.95</v>
      </c>
      <c r="J30" s="18">
        <f t="shared" si="2"/>
        <v>0.86875</v>
      </c>
      <c r="K30" s="58">
        <v>2.52</v>
      </c>
      <c r="L30" s="19">
        <f t="shared" si="3"/>
        <v>0</v>
      </c>
      <c r="M30" s="20">
        <f t="shared" si="4"/>
        <v>228.152232</v>
      </c>
      <c r="N30" s="21">
        <f t="shared" si="5"/>
        <v>2.52</v>
      </c>
      <c r="O30" s="21">
        <f t="shared" si="6"/>
        <v>2016</v>
      </c>
      <c r="P30" s="22">
        <f t="shared" si="7"/>
        <v>182521.7856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46040.0</v>
      </c>
      <c r="C31" s="12">
        <f>VLOOKUP(B:B,'Курс валют'!A:D,4,0)</f>
        <v>90.5366</v>
      </c>
      <c r="D31" s="13" t="s">
        <v>1462</v>
      </c>
      <c r="E31" s="59" t="s">
        <v>104</v>
      </c>
      <c r="F31" s="15">
        <v>800.0</v>
      </c>
      <c r="G31" s="15">
        <v>806.95</v>
      </c>
      <c r="H31" s="17">
        <v>0.0</v>
      </c>
      <c r="I31" s="15">
        <f t="shared" si="1"/>
        <v>6.95</v>
      </c>
      <c r="J31" s="18">
        <f t="shared" si="2"/>
        <v>0.86875</v>
      </c>
      <c r="K31" s="58">
        <v>2.52</v>
      </c>
      <c r="L31" s="19">
        <f t="shared" si="3"/>
        <v>0</v>
      </c>
      <c r="M31" s="20">
        <f t="shared" si="4"/>
        <v>228.152232</v>
      </c>
      <c r="N31" s="21">
        <f t="shared" si="5"/>
        <v>2.52</v>
      </c>
      <c r="O31" s="21">
        <f t="shared" si="6"/>
        <v>2016</v>
      </c>
      <c r="P31" s="22">
        <f t="shared" si="7"/>
        <v>182521.7856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46040.0</v>
      </c>
      <c r="C32" s="12">
        <f>VLOOKUP(B:B,'Курс валют'!A:D,4,0)</f>
        <v>90.5366</v>
      </c>
      <c r="D32" s="13" t="s">
        <v>1463</v>
      </c>
      <c r="E32" s="59" t="s">
        <v>104</v>
      </c>
      <c r="F32" s="15">
        <v>800.0</v>
      </c>
      <c r="G32" s="76">
        <v>806.95</v>
      </c>
      <c r="H32" s="17">
        <v>0.0</v>
      </c>
      <c r="I32" s="15">
        <f t="shared" si="1"/>
        <v>6.95</v>
      </c>
      <c r="J32" s="18">
        <f t="shared" si="2"/>
        <v>0.86875</v>
      </c>
      <c r="K32" s="58">
        <v>2.52</v>
      </c>
      <c r="L32" s="19">
        <f t="shared" si="3"/>
        <v>0</v>
      </c>
      <c r="M32" s="20">
        <f t="shared" si="4"/>
        <v>228.152232</v>
      </c>
      <c r="N32" s="21">
        <f t="shared" si="5"/>
        <v>2.52</v>
      </c>
      <c r="O32" s="21">
        <f t="shared" si="6"/>
        <v>2016</v>
      </c>
      <c r="P32" s="22">
        <f t="shared" si="7"/>
        <v>182521.7856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46041.0</v>
      </c>
      <c r="C33" s="12">
        <f>VLOOKUP(B:B,'Курс валют'!A:D,4,0)</f>
        <v>90.5366</v>
      </c>
      <c r="D33" s="13" t="s">
        <v>1464</v>
      </c>
      <c r="E33" s="59" t="s">
        <v>1465</v>
      </c>
      <c r="F33" s="15">
        <v>200.0</v>
      </c>
      <c r="G33" s="15">
        <v>204.45</v>
      </c>
      <c r="H33" s="17">
        <v>0.0</v>
      </c>
      <c r="I33" s="15">
        <f t="shared" si="1"/>
        <v>4.45</v>
      </c>
      <c r="J33" s="18">
        <f t="shared" si="2"/>
        <v>2.225</v>
      </c>
      <c r="K33" s="58">
        <v>2.73</v>
      </c>
      <c r="L33" s="19">
        <f t="shared" si="3"/>
        <v>0</v>
      </c>
      <c r="M33" s="20">
        <f t="shared" si="4"/>
        <v>247.164918</v>
      </c>
      <c r="N33" s="21">
        <f t="shared" si="5"/>
        <v>2.73</v>
      </c>
      <c r="O33" s="21">
        <f t="shared" si="6"/>
        <v>546</v>
      </c>
      <c r="P33" s="22">
        <f t="shared" si="7"/>
        <v>49432.9836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46041.0</v>
      </c>
      <c r="C34" s="12">
        <f>VLOOKUP(B:B,'Курс валют'!A:D,4,0)</f>
        <v>90.5366</v>
      </c>
      <c r="D34" s="13" t="s">
        <v>1466</v>
      </c>
      <c r="E34" s="59" t="s">
        <v>1389</v>
      </c>
      <c r="F34" s="15">
        <v>200.0</v>
      </c>
      <c r="G34" s="76">
        <v>204.45</v>
      </c>
      <c r="H34" s="17">
        <v>0.0</v>
      </c>
      <c r="I34" s="15">
        <f t="shared" si="1"/>
        <v>4.45</v>
      </c>
      <c r="J34" s="18">
        <f t="shared" si="2"/>
        <v>2.225</v>
      </c>
      <c r="K34" s="58">
        <v>2.47</v>
      </c>
      <c r="L34" s="19">
        <f t="shared" si="3"/>
        <v>0</v>
      </c>
      <c r="M34" s="20">
        <f t="shared" si="4"/>
        <v>223.625402</v>
      </c>
      <c r="N34" s="21">
        <f t="shared" si="5"/>
        <v>2.47</v>
      </c>
      <c r="O34" s="21">
        <f t="shared" si="6"/>
        <v>494</v>
      </c>
      <c r="P34" s="22">
        <f t="shared" si="7"/>
        <v>44725.0804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46041.0</v>
      </c>
      <c r="C35" s="12">
        <f>VLOOKUP(B:B,'Курс валют'!A:D,4,0)</f>
        <v>90.5366</v>
      </c>
      <c r="D35" s="13" t="s">
        <v>1467</v>
      </c>
      <c r="E35" s="59" t="s">
        <v>1468</v>
      </c>
      <c r="F35" s="15">
        <v>40.0</v>
      </c>
      <c r="G35" s="15">
        <v>41.0</v>
      </c>
      <c r="H35" s="17">
        <v>0.0</v>
      </c>
      <c r="I35" s="15">
        <f t="shared" si="1"/>
        <v>1</v>
      </c>
      <c r="J35" s="18">
        <f t="shared" si="2"/>
        <v>2.5</v>
      </c>
      <c r="K35" s="58">
        <v>3.64</v>
      </c>
      <c r="L35" s="19">
        <f t="shared" si="3"/>
        <v>0</v>
      </c>
      <c r="M35" s="20">
        <f t="shared" si="4"/>
        <v>329.553224</v>
      </c>
      <c r="N35" s="21">
        <f t="shared" si="5"/>
        <v>3.64</v>
      </c>
      <c r="O35" s="21">
        <f t="shared" si="6"/>
        <v>145.6</v>
      </c>
      <c r="P35" s="22">
        <f t="shared" si="7"/>
        <v>13182.12896</v>
      </c>
      <c r="R35" s="23" t="s">
        <v>1469</v>
      </c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46041.0</v>
      </c>
      <c r="C36" s="12">
        <f>VLOOKUP(B:B,'Курс валют'!A:D,4,0)</f>
        <v>90.5366</v>
      </c>
      <c r="D36" s="13" t="s">
        <v>1470</v>
      </c>
      <c r="E36" s="59" t="s">
        <v>61</v>
      </c>
      <c r="F36" s="15">
        <v>1100.0</v>
      </c>
      <c r="G36" s="60">
        <v>1110.86</v>
      </c>
      <c r="H36" s="17">
        <v>457.15</v>
      </c>
      <c r="I36" s="16">
        <f t="shared" si="1"/>
        <v>10.86</v>
      </c>
      <c r="J36" s="18">
        <f t="shared" si="2"/>
        <v>0.9872727273</v>
      </c>
      <c r="K36" s="58">
        <v>3.7</v>
      </c>
      <c r="L36" s="19">
        <f t="shared" si="3"/>
        <v>41.55909091</v>
      </c>
      <c r="M36" s="20">
        <f t="shared" si="4"/>
        <v>220.6018088</v>
      </c>
      <c r="N36" s="21">
        <f t="shared" si="5"/>
        <v>2.436603636</v>
      </c>
      <c r="O36" s="21">
        <f t="shared" si="6"/>
        <v>2680.264</v>
      </c>
      <c r="P36" s="22">
        <f t="shared" si="7"/>
        <v>242661.9897</v>
      </c>
      <c r="R36" s="23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46041.0</v>
      </c>
      <c r="C37" s="12">
        <f>VLOOKUP(B:B,'Курс валют'!A:D,4,0)</f>
        <v>90.5366</v>
      </c>
      <c r="D37" s="13" t="s">
        <v>1471</v>
      </c>
      <c r="E37" s="59" t="s">
        <v>61</v>
      </c>
      <c r="F37" s="15">
        <v>1100.0</v>
      </c>
      <c r="G37" s="16">
        <v>1110.86</v>
      </c>
      <c r="H37" s="17">
        <v>457.15</v>
      </c>
      <c r="I37" s="16">
        <f t="shared" si="1"/>
        <v>10.86</v>
      </c>
      <c r="J37" s="18">
        <f t="shared" si="2"/>
        <v>0.9872727273</v>
      </c>
      <c r="K37" s="58">
        <v>3.71</v>
      </c>
      <c r="L37" s="19">
        <f t="shared" si="3"/>
        <v>41.55909091</v>
      </c>
      <c r="M37" s="20">
        <f t="shared" si="4"/>
        <v>221.5071748</v>
      </c>
      <c r="N37" s="21">
        <f t="shared" si="5"/>
        <v>2.446603636</v>
      </c>
      <c r="O37" s="21">
        <f t="shared" si="6"/>
        <v>2691.264</v>
      </c>
      <c r="P37" s="22">
        <f t="shared" si="7"/>
        <v>243657.8923</v>
      </c>
      <c r="R37" s="78"/>
      <c r="S37" s="24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46041.0</v>
      </c>
      <c r="C38" s="12">
        <f>VLOOKUP(B:B,'Курс валют'!A:D,4,0)</f>
        <v>90.5366</v>
      </c>
      <c r="D38" s="13" t="s">
        <v>1472</v>
      </c>
      <c r="E38" s="59" t="s">
        <v>61</v>
      </c>
      <c r="F38" s="15">
        <v>1100.0</v>
      </c>
      <c r="G38" s="60">
        <v>1110.86</v>
      </c>
      <c r="H38" s="17">
        <v>457.15</v>
      </c>
      <c r="I38" s="16">
        <f t="shared" si="1"/>
        <v>10.86</v>
      </c>
      <c r="J38" s="18">
        <f t="shared" si="2"/>
        <v>0.9872727273</v>
      </c>
      <c r="K38" s="58">
        <v>3.76</v>
      </c>
      <c r="L38" s="19">
        <f t="shared" si="3"/>
        <v>41.55909091</v>
      </c>
      <c r="M38" s="20">
        <f t="shared" si="4"/>
        <v>226.0340048</v>
      </c>
      <c r="N38" s="21">
        <f t="shared" si="5"/>
        <v>2.496603636</v>
      </c>
      <c r="O38" s="21">
        <f t="shared" si="6"/>
        <v>2746.264</v>
      </c>
      <c r="P38" s="22">
        <f t="shared" si="7"/>
        <v>248637.4053</v>
      </c>
      <c r="R38" s="79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46041.0</v>
      </c>
      <c r="C39" s="12">
        <f>VLOOKUP(B:B,'Курс валют'!A:D,4,0)</f>
        <v>90.5366</v>
      </c>
      <c r="D39" s="13" t="s">
        <v>1473</v>
      </c>
      <c r="E39" s="77" t="s">
        <v>61</v>
      </c>
      <c r="F39" s="76">
        <v>1100.0</v>
      </c>
      <c r="G39" s="60">
        <v>1110.86</v>
      </c>
      <c r="H39" s="17">
        <v>457.15</v>
      </c>
      <c r="I39" s="16">
        <f t="shared" si="1"/>
        <v>10.86</v>
      </c>
      <c r="J39" s="18">
        <f t="shared" si="2"/>
        <v>0.9872727273</v>
      </c>
      <c r="K39" s="17">
        <v>3.76</v>
      </c>
      <c r="L39" s="19">
        <f t="shared" si="3"/>
        <v>41.55909091</v>
      </c>
      <c r="M39" s="20">
        <f t="shared" si="4"/>
        <v>226.0340048</v>
      </c>
      <c r="N39" s="21">
        <f t="shared" si="5"/>
        <v>2.496603636</v>
      </c>
      <c r="O39" s="21">
        <f t="shared" si="6"/>
        <v>2746.264</v>
      </c>
      <c r="P39" s="22">
        <f t="shared" si="7"/>
        <v>248637.4053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30">
        <v>46042.0</v>
      </c>
      <c r="C40" s="12">
        <f>VLOOKUP(B:B,'Курс валют'!A:D,4,0)</f>
        <v>90.1611</v>
      </c>
      <c r="D40" s="13" t="s">
        <v>1474</v>
      </c>
      <c r="E40" s="59" t="s">
        <v>61</v>
      </c>
      <c r="F40" s="15">
        <v>1100.0</v>
      </c>
      <c r="G40" s="61">
        <v>1110.86</v>
      </c>
      <c r="H40" s="58">
        <v>457.15</v>
      </c>
      <c r="I40" s="16">
        <f t="shared" si="1"/>
        <v>10.86</v>
      </c>
      <c r="J40" s="18">
        <f t="shared" si="2"/>
        <v>0.9872727273</v>
      </c>
      <c r="K40" s="17">
        <v>3.76</v>
      </c>
      <c r="L40" s="19">
        <f t="shared" si="3"/>
        <v>41.55909091</v>
      </c>
      <c r="M40" s="20">
        <f t="shared" si="4"/>
        <v>225.0965301</v>
      </c>
      <c r="N40" s="21">
        <f t="shared" si="5"/>
        <v>2.496603636</v>
      </c>
      <c r="O40" s="21">
        <f t="shared" si="6"/>
        <v>2746.264</v>
      </c>
      <c r="P40" s="22">
        <f t="shared" si="7"/>
        <v>247606.1831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11">
        <v>46042.0</v>
      </c>
      <c r="C41" s="12">
        <f>VLOOKUP(B:B,'Курс валют'!A:D,4,0)</f>
        <v>90.1611</v>
      </c>
      <c r="D41" s="13" t="s">
        <v>1475</v>
      </c>
      <c r="E41" s="59" t="s">
        <v>61</v>
      </c>
      <c r="F41" s="15">
        <v>1100.0</v>
      </c>
      <c r="G41" s="61">
        <v>1110.86</v>
      </c>
      <c r="H41" s="58">
        <v>457.15</v>
      </c>
      <c r="I41" s="16">
        <f t="shared" si="1"/>
        <v>10.86</v>
      </c>
      <c r="J41" s="18">
        <f t="shared" si="2"/>
        <v>0.9872727273</v>
      </c>
      <c r="K41" s="17">
        <v>3.76</v>
      </c>
      <c r="L41" s="19">
        <f t="shared" si="3"/>
        <v>41.55909091</v>
      </c>
      <c r="M41" s="20">
        <f t="shared" si="4"/>
        <v>225.0965301</v>
      </c>
      <c r="N41" s="21">
        <f t="shared" si="5"/>
        <v>2.496603636</v>
      </c>
      <c r="O41" s="21">
        <f t="shared" si="6"/>
        <v>2746.264</v>
      </c>
      <c r="P41" s="22">
        <f t="shared" si="7"/>
        <v>247606.1831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46042.0</v>
      </c>
      <c r="C42" s="12">
        <f>VLOOKUP(B:B,'Курс валют'!A:D,4,0)</f>
        <v>90.1611</v>
      </c>
      <c r="D42" s="13" t="s">
        <v>1476</v>
      </c>
      <c r="E42" s="59" t="s">
        <v>61</v>
      </c>
      <c r="F42" s="15">
        <v>1100.0</v>
      </c>
      <c r="G42" s="61">
        <v>1110.86</v>
      </c>
      <c r="H42" s="58">
        <v>457.15</v>
      </c>
      <c r="I42" s="16">
        <f t="shared" si="1"/>
        <v>10.86</v>
      </c>
      <c r="J42" s="18">
        <f t="shared" si="2"/>
        <v>0.9872727273</v>
      </c>
      <c r="K42" s="17">
        <v>3.76</v>
      </c>
      <c r="L42" s="19">
        <f t="shared" si="3"/>
        <v>41.55909091</v>
      </c>
      <c r="M42" s="20">
        <f t="shared" si="4"/>
        <v>225.0965301</v>
      </c>
      <c r="N42" s="21">
        <f t="shared" si="5"/>
        <v>2.496603636</v>
      </c>
      <c r="O42" s="21">
        <f t="shared" si="6"/>
        <v>2746.264</v>
      </c>
      <c r="P42" s="22">
        <f t="shared" si="7"/>
        <v>247606.1831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11">
        <v>46042.0</v>
      </c>
      <c r="C43" s="12">
        <f>VLOOKUP(B:B,'Курс валют'!A:D,4,0)</f>
        <v>90.1611</v>
      </c>
      <c r="D43" s="13" t="s">
        <v>1477</v>
      </c>
      <c r="E43" s="59" t="s">
        <v>61</v>
      </c>
      <c r="F43" s="15">
        <v>1100.0</v>
      </c>
      <c r="G43" s="61">
        <v>1110.86</v>
      </c>
      <c r="H43" s="58">
        <v>457.15</v>
      </c>
      <c r="I43" s="16">
        <f t="shared" si="1"/>
        <v>10.86</v>
      </c>
      <c r="J43" s="18">
        <f t="shared" si="2"/>
        <v>0.9872727273</v>
      </c>
      <c r="K43" s="17">
        <v>3.76</v>
      </c>
      <c r="L43" s="19">
        <f t="shared" si="3"/>
        <v>41.55909091</v>
      </c>
      <c r="M43" s="20">
        <f t="shared" si="4"/>
        <v>225.0965301</v>
      </c>
      <c r="N43" s="21">
        <f t="shared" si="5"/>
        <v>2.496603636</v>
      </c>
      <c r="O43" s="21">
        <f t="shared" si="6"/>
        <v>2746.264</v>
      </c>
      <c r="P43" s="22">
        <f t="shared" si="7"/>
        <v>247606.1831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46042.0</v>
      </c>
      <c r="C44" s="12">
        <f>VLOOKUP(B:B,'Курс валют'!A:D,4,0)</f>
        <v>90.1611</v>
      </c>
      <c r="D44" s="13" t="s">
        <v>1478</v>
      </c>
      <c r="E44" s="59" t="s">
        <v>61</v>
      </c>
      <c r="F44" s="15">
        <v>1100.0</v>
      </c>
      <c r="G44" s="61">
        <v>1110.86</v>
      </c>
      <c r="H44" s="58">
        <v>457.15</v>
      </c>
      <c r="I44" s="16">
        <f t="shared" si="1"/>
        <v>10.86</v>
      </c>
      <c r="J44" s="18">
        <f t="shared" si="2"/>
        <v>0.9872727273</v>
      </c>
      <c r="K44" s="17">
        <v>3.76</v>
      </c>
      <c r="L44" s="19">
        <f t="shared" si="3"/>
        <v>41.55909091</v>
      </c>
      <c r="M44" s="20">
        <f t="shared" si="4"/>
        <v>225.0965301</v>
      </c>
      <c r="N44" s="21">
        <f t="shared" si="5"/>
        <v>2.496603636</v>
      </c>
      <c r="O44" s="21">
        <f t="shared" si="6"/>
        <v>2746.264</v>
      </c>
      <c r="P44" s="22">
        <f t="shared" si="7"/>
        <v>247606.1831</v>
      </c>
      <c r="R44" s="23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46042.0</v>
      </c>
      <c r="C45" s="12">
        <f>VLOOKUP(B:B,'Курс валют'!A:D,4,0)</f>
        <v>90.1611</v>
      </c>
      <c r="D45" s="13" t="s">
        <v>1479</v>
      </c>
      <c r="E45" s="59" t="s">
        <v>61</v>
      </c>
      <c r="F45" s="15">
        <v>1100.0</v>
      </c>
      <c r="G45" s="61">
        <v>1110.86</v>
      </c>
      <c r="H45" s="58">
        <v>457.15</v>
      </c>
      <c r="I45" s="16">
        <f t="shared" si="1"/>
        <v>10.86</v>
      </c>
      <c r="J45" s="18">
        <f t="shared" si="2"/>
        <v>0.9872727273</v>
      </c>
      <c r="K45" s="17">
        <v>3.76</v>
      </c>
      <c r="L45" s="19">
        <f t="shared" si="3"/>
        <v>41.55909091</v>
      </c>
      <c r="M45" s="20">
        <f t="shared" si="4"/>
        <v>225.0965301</v>
      </c>
      <c r="N45" s="21">
        <f t="shared" si="5"/>
        <v>2.496603636</v>
      </c>
      <c r="O45" s="21">
        <f t="shared" si="6"/>
        <v>2746.264</v>
      </c>
      <c r="P45" s="22">
        <f t="shared" si="7"/>
        <v>247606.1831</v>
      </c>
      <c r="R45" s="23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46042.0</v>
      </c>
      <c r="C46" s="12">
        <f>VLOOKUP(B:B,'Курс валют'!A:D,4,0)</f>
        <v>90.1611</v>
      </c>
      <c r="D46" s="13" t="s">
        <v>1480</v>
      </c>
      <c r="E46" s="59" t="s">
        <v>61</v>
      </c>
      <c r="F46" s="15">
        <v>1100.0</v>
      </c>
      <c r="G46" s="61">
        <v>1110.86</v>
      </c>
      <c r="H46" s="58">
        <v>457.15</v>
      </c>
      <c r="I46" s="16">
        <f t="shared" si="1"/>
        <v>10.86</v>
      </c>
      <c r="J46" s="18">
        <f t="shared" si="2"/>
        <v>0.9872727273</v>
      </c>
      <c r="K46" s="17">
        <v>3.76</v>
      </c>
      <c r="L46" s="19">
        <f t="shared" si="3"/>
        <v>41.55909091</v>
      </c>
      <c r="M46" s="20">
        <f t="shared" si="4"/>
        <v>225.0965301</v>
      </c>
      <c r="N46" s="21">
        <f t="shared" si="5"/>
        <v>2.496603636</v>
      </c>
      <c r="O46" s="21">
        <f t="shared" si="6"/>
        <v>2746.264</v>
      </c>
      <c r="P46" s="22">
        <f t="shared" si="7"/>
        <v>247606.1831</v>
      </c>
      <c r="R46" s="23"/>
      <c r="S46" s="24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46042.0</v>
      </c>
      <c r="C47" s="12">
        <f>VLOOKUP(B:B,'Курс валют'!A:D,4,0)</f>
        <v>90.1611</v>
      </c>
      <c r="D47" s="13" t="s">
        <v>1481</v>
      </c>
      <c r="E47" s="59" t="s">
        <v>61</v>
      </c>
      <c r="F47" s="15">
        <v>1100.0</v>
      </c>
      <c r="G47" s="61">
        <v>1110.86</v>
      </c>
      <c r="H47" s="58">
        <v>457.15</v>
      </c>
      <c r="I47" s="16">
        <f t="shared" si="1"/>
        <v>10.86</v>
      </c>
      <c r="J47" s="18">
        <f t="shared" si="2"/>
        <v>0.9872727273</v>
      </c>
      <c r="K47" s="17">
        <v>3.76</v>
      </c>
      <c r="L47" s="19">
        <f t="shared" si="3"/>
        <v>41.55909091</v>
      </c>
      <c r="M47" s="20">
        <f t="shared" si="4"/>
        <v>225.0965301</v>
      </c>
      <c r="N47" s="21">
        <f t="shared" si="5"/>
        <v>2.496603636</v>
      </c>
      <c r="O47" s="21">
        <f t="shared" si="6"/>
        <v>2746.264</v>
      </c>
      <c r="P47" s="22">
        <f t="shared" si="7"/>
        <v>247606.1831</v>
      </c>
      <c r="R47" s="23"/>
      <c r="S47" s="24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46043.0</v>
      </c>
      <c r="C48" s="12">
        <f>VLOOKUP(B:B,'Курс валют'!A:D,4,0)</f>
        <v>91.1954</v>
      </c>
      <c r="D48" s="13" t="s">
        <v>1482</v>
      </c>
      <c r="E48" s="59" t="s">
        <v>61</v>
      </c>
      <c r="F48" s="15">
        <v>1100.0</v>
      </c>
      <c r="G48" s="61">
        <v>1110.86</v>
      </c>
      <c r="H48" s="58">
        <v>457.15</v>
      </c>
      <c r="I48" s="16">
        <f t="shared" si="1"/>
        <v>10.86</v>
      </c>
      <c r="J48" s="18">
        <f t="shared" si="2"/>
        <v>0.9872727273</v>
      </c>
      <c r="K48" s="17">
        <v>3.76</v>
      </c>
      <c r="L48" s="19">
        <f t="shared" si="3"/>
        <v>41.55909091</v>
      </c>
      <c r="M48" s="20">
        <f t="shared" si="4"/>
        <v>227.6787673</v>
      </c>
      <c r="N48" s="21">
        <f t="shared" si="5"/>
        <v>2.496603636</v>
      </c>
      <c r="O48" s="21">
        <f t="shared" si="6"/>
        <v>2746.264</v>
      </c>
      <c r="P48" s="22">
        <f t="shared" si="7"/>
        <v>250446.644</v>
      </c>
      <c r="R48" s="31"/>
      <c r="S48" s="24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46043.0</v>
      </c>
      <c r="C49" s="12">
        <f>VLOOKUP(B:B,'Курс валют'!A:D,4,0)</f>
        <v>91.1954</v>
      </c>
      <c r="D49" s="13" t="s">
        <v>1483</v>
      </c>
      <c r="E49" s="59" t="s">
        <v>61</v>
      </c>
      <c r="F49" s="15">
        <v>1100.0</v>
      </c>
      <c r="G49" s="61">
        <v>1110.86</v>
      </c>
      <c r="H49" s="58">
        <v>457.15</v>
      </c>
      <c r="I49" s="16">
        <f t="shared" si="1"/>
        <v>10.86</v>
      </c>
      <c r="J49" s="18">
        <f t="shared" si="2"/>
        <v>0.9872727273</v>
      </c>
      <c r="K49" s="17">
        <v>3.76</v>
      </c>
      <c r="L49" s="19">
        <f t="shared" si="3"/>
        <v>41.55909091</v>
      </c>
      <c r="M49" s="20">
        <f t="shared" si="4"/>
        <v>227.6787673</v>
      </c>
      <c r="N49" s="21">
        <f t="shared" si="5"/>
        <v>2.496603636</v>
      </c>
      <c r="O49" s="21">
        <f t="shared" si="6"/>
        <v>2746.264</v>
      </c>
      <c r="P49" s="22">
        <f t="shared" si="7"/>
        <v>250446.644</v>
      </c>
      <c r="R49" s="31"/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46043.0</v>
      </c>
      <c r="C50" s="12">
        <f>VLOOKUP(B:B,'Курс валют'!A:D,4,0)</f>
        <v>91.1954</v>
      </c>
      <c r="D50" s="13" t="s">
        <v>1484</v>
      </c>
      <c r="E50" s="59" t="s">
        <v>61</v>
      </c>
      <c r="F50" s="15">
        <v>1100.0</v>
      </c>
      <c r="G50" s="61">
        <v>1110.86</v>
      </c>
      <c r="H50" s="58">
        <v>457.15</v>
      </c>
      <c r="I50" s="16">
        <f t="shared" si="1"/>
        <v>10.86</v>
      </c>
      <c r="J50" s="18">
        <f t="shared" si="2"/>
        <v>0.9872727273</v>
      </c>
      <c r="K50" s="17">
        <v>3.76</v>
      </c>
      <c r="L50" s="19">
        <f t="shared" si="3"/>
        <v>41.55909091</v>
      </c>
      <c r="M50" s="20">
        <f t="shared" si="4"/>
        <v>227.6787673</v>
      </c>
      <c r="N50" s="21">
        <f t="shared" si="5"/>
        <v>2.496603636</v>
      </c>
      <c r="O50" s="21">
        <f t="shared" si="6"/>
        <v>2746.264</v>
      </c>
      <c r="P50" s="22">
        <f t="shared" si="7"/>
        <v>250446.644</v>
      </c>
      <c r="R50" s="31"/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46043.0</v>
      </c>
      <c r="C51" s="12">
        <f>VLOOKUP(B:B,'Курс валют'!A:D,4,0)</f>
        <v>91.1954</v>
      </c>
      <c r="D51" s="13" t="s">
        <v>1485</v>
      </c>
      <c r="E51" s="59" t="s">
        <v>61</v>
      </c>
      <c r="F51" s="15">
        <v>1100.0</v>
      </c>
      <c r="G51" s="61">
        <v>1110.86</v>
      </c>
      <c r="H51" s="58">
        <v>457.15</v>
      </c>
      <c r="I51" s="16">
        <f t="shared" si="1"/>
        <v>10.86</v>
      </c>
      <c r="J51" s="18">
        <f t="shared" si="2"/>
        <v>0.9872727273</v>
      </c>
      <c r="K51" s="17">
        <v>3.76</v>
      </c>
      <c r="L51" s="19">
        <f t="shared" si="3"/>
        <v>41.55909091</v>
      </c>
      <c r="M51" s="20">
        <f t="shared" si="4"/>
        <v>227.6787673</v>
      </c>
      <c r="N51" s="21">
        <f t="shared" si="5"/>
        <v>2.496603636</v>
      </c>
      <c r="O51" s="21">
        <f t="shared" si="6"/>
        <v>2746.264</v>
      </c>
      <c r="P51" s="22">
        <f t="shared" si="7"/>
        <v>250446.644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46043.0</v>
      </c>
      <c r="C52" s="12">
        <f>VLOOKUP(B:B,'Курс валют'!A:D,4,0)</f>
        <v>91.1954</v>
      </c>
      <c r="D52" s="13" t="s">
        <v>1486</v>
      </c>
      <c r="E52" s="59" t="s">
        <v>61</v>
      </c>
      <c r="F52" s="15">
        <v>1100.0</v>
      </c>
      <c r="G52" s="61">
        <v>1110.86</v>
      </c>
      <c r="H52" s="17">
        <v>457.15</v>
      </c>
      <c r="I52" s="16">
        <f t="shared" si="1"/>
        <v>10.86</v>
      </c>
      <c r="J52" s="18">
        <f t="shared" si="2"/>
        <v>0.9872727273</v>
      </c>
      <c r="K52" s="62">
        <v>3.76</v>
      </c>
      <c r="L52" s="19">
        <f t="shared" si="3"/>
        <v>41.55909091</v>
      </c>
      <c r="M52" s="20">
        <f t="shared" si="4"/>
        <v>227.6787673</v>
      </c>
      <c r="N52" s="21">
        <f t="shared" si="5"/>
        <v>2.496603636</v>
      </c>
      <c r="O52" s="21">
        <f t="shared" si="6"/>
        <v>2746.264</v>
      </c>
      <c r="P52" s="22">
        <f t="shared" si="7"/>
        <v>250446.644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46043.0</v>
      </c>
      <c r="C53" s="12">
        <f>VLOOKUP(B:B,'Курс валют'!A:D,4,0)</f>
        <v>91.1954</v>
      </c>
      <c r="D53" s="13" t="s">
        <v>1487</v>
      </c>
      <c r="E53" s="59" t="s">
        <v>61</v>
      </c>
      <c r="F53" s="15">
        <v>1100.0</v>
      </c>
      <c r="G53" s="61">
        <v>1110.86</v>
      </c>
      <c r="H53" s="17">
        <v>457.15</v>
      </c>
      <c r="I53" s="16">
        <f t="shared" si="1"/>
        <v>10.86</v>
      </c>
      <c r="J53" s="18">
        <f t="shared" si="2"/>
        <v>0.9872727273</v>
      </c>
      <c r="K53" s="62">
        <v>3.76</v>
      </c>
      <c r="L53" s="19">
        <f t="shared" si="3"/>
        <v>41.55909091</v>
      </c>
      <c r="M53" s="20">
        <f t="shared" si="4"/>
        <v>227.6787673</v>
      </c>
      <c r="N53" s="21">
        <f t="shared" si="5"/>
        <v>2.496603636</v>
      </c>
      <c r="O53" s="21">
        <f t="shared" si="6"/>
        <v>2746.264</v>
      </c>
      <c r="P53" s="22">
        <f t="shared" si="7"/>
        <v>250446.644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46043.0</v>
      </c>
      <c r="C54" s="12">
        <f>VLOOKUP(B:B,'Курс валют'!A:D,4,0)</f>
        <v>91.1954</v>
      </c>
      <c r="D54" s="13" t="s">
        <v>1488</v>
      </c>
      <c r="E54" s="59" t="s">
        <v>61</v>
      </c>
      <c r="F54" s="15">
        <v>1100.0</v>
      </c>
      <c r="G54" s="61">
        <v>1110.86</v>
      </c>
      <c r="H54" s="17">
        <v>182.15</v>
      </c>
      <c r="I54" s="16">
        <f t="shared" si="1"/>
        <v>10.86</v>
      </c>
      <c r="J54" s="18">
        <f t="shared" si="2"/>
        <v>0.9872727273</v>
      </c>
      <c r="K54" s="17">
        <v>3.02</v>
      </c>
      <c r="L54" s="19">
        <f t="shared" si="3"/>
        <v>16.55909091</v>
      </c>
      <c r="M54" s="20">
        <f t="shared" si="4"/>
        <v>229.5026753</v>
      </c>
      <c r="N54" s="21">
        <f t="shared" si="5"/>
        <v>2.516603636</v>
      </c>
      <c r="O54" s="21">
        <f t="shared" si="6"/>
        <v>2768.264</v>
      </c>
      <c r="P54" s="22">
        <f t="shared" si="7"/>
        <v>252452.9428</v>
      </c>
      <c r="R54" s="23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46043.0</v>
      </c>
      <c r="C55" s="12">
        <f>VLOOKUP(B:B,'Курс валют'!A:D,4,0)</f>
        <v>91.1954</v>
      </c>
      <c r="D55" s="13" t="s">
        <v>1489</v>
      </c>
      <c r="E55" s="59" t="s">
        <v>61</v>
      </c>
      <c r="F55" s="15">
        <v>1100.0</v>
      </c>
      <c r="G55" s="61">
        <v>1110.86</v>
      </c>
      <c r="H55" s="17">
        <v>457.15</v>
      </c>
      <c r="I55" s="16">
        <f t="shared" si="1"/>
        <v>10.86</v>
      </c>
      <c r="J55" s="18">
        <f t="shared" si="2"/>
        <v>0.9872727273</v>
      </c>
      <c r="K55" s="17">
        <v>3.76</v>
      </c>
      <c r="L55" s="19">
        <f t="shared" si="3"/>
        <v>41.55909091</v>
      </c>
      <c r="M55" s="20">
        <f t="shared" si="4"/>
        <v>227.6787673</v>
      </c>
      <c r="N55" s="21">
        <f t="shared" si="5"/>
        <v>2.496603636</v>
      </c>
      <c r="O55" s="21">
        <f t="shared" si="6"/>
        <v>2746.264</v>
      </c>
      <c r="P55" s="22">
        <f t="shared" si="7"/>
        <v>250446.644</v>
      </c>
      <c r="R55" s="23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46044.0</v>
      </c>
      <c r="C56" s="12">
        <f>VLOOKUP(B:B,'Курс валют'!A:D,4,0)</f>
        <v>90.7211</v>
      </c>
      <c r="D56" s="13" t="s">
        <v>1490</v>
      </c>
      <c r="E56" s="59" t="s">
        <v>64</v>
      </c>
      <c r="F56" s="15">
        <v>2200.0</v>
      </c>
      <c r="G56" s="61">
        <v>2252.82</v>
      </c>
      <c r="H56" s="27">
        <v>0.0</v>
      </c>
      <c r="I56" s="16">
        <f t="shared" si="1"/>
        <v>52.82</v>
      </c>
      <c r="J56" s="18">
        <f t="shared" si="2"/>
        <v>2.400909091</v>
      </c>
      <c r="K56" s="17">
        <v>2.49</v>
      </c>
      <c r="L56" s="19">
        <f t="shared" si="3"/>
        <v>0</v>
      </c>
      <c r="M56" s="20">
        <f t="shared" si="4"/>
        <v>225.895539</v>
      </c>
      <c r="N56" s="21">
        <f t="shared" si="5"/>
        <v>2.49</v>
      </c>
      <c r="O56" s="21">
        <f t="shared" si="6"/>
        <v>5478</v>
      </c>
      <c r="P56" s="22">
        <f t="shared" si="7"/>
        <v>496970.1858</v>
      </c>
      <c r="R56" s="31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>
        <v>46045.0</v>
      </c>
      <c r="C57" s="12">
        <f>VLOOKUP(B:B,'Курс валют'!A:D,4,0)</f>
        <v>88.7898</v>
      </c>
      <c r="D57" s="13" t="s">
        <v>1491</v>
      </c>
      <c r="E57" s="59" t="s">
        <v>64</v>
      </c>
      <c r="F57" s="15">
        <v>2200.0</v>
      </c>
      <c r="G57" s="61">
        <v>2253.92</v>
      </c>
      <c r="H57" s="27">
        <v>0.0</v>
      </c>
      <c r="I57" s="16">
        <f t="shared" si="1"/>
        <v>53.92</v>
      </c>
      <c r="J57" s="18">
        <f t="shared" si="2"/>
        <v>2.450909091</v>
      </c>
      <c r="K57" s="17">
        <v>2.49</v>
      </c>
      <c r="L57" s="19">
        <f t="shared" si="3"/>
        <v>0</v>
      </c>
      <c r="M57" s="20">
        <f t="shared" si="4"/>
        <v>221.086602</v>
      </c>
      <c r="N57" s="21">
        <f t="shared" si="5"/>
        <v>2.49</v>
      </c>
      <c r="O57" s="21">
        <f t="shared" si="6"/>
        <v>5478</v>
      </c>
      <c r="P57" s="22">
        <f t="shared" si="7"/>
        <v>486390.5244</v>
      </c>
      <c r="R57" s="31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>
        <v>46046.0</v>
      </c>
      <c r="C58" s="12">
        <f>VLOOKUP(B:B,'Курс валют'!A:D,4,0)</f>
        <v>89.0589</v>
      </c>
      <c r="D58" s="13" t="s">
        <v>1492</v>
      </c>
      <c r="E58" s="59" t="s">
        <v>64</v>
      </c>
      <c r="F58" s="15">
        <v>2200.0</v>
      </c>
      <c r="G58" s="61">
        <v>2258.22</v>
      </c>
      <c r="H58" s="17">
        <v>0.0</v>
      </c>
      <c r="I58" s="16">
        <f t="shared" si="1"/>
        <v>58.22</v>
      </c>
      <c r="J58" s="18">
        <f t="shared" si="2"/>
        <v>2.646363636</v>
      </c>
      <c r="K58" s="17">
        <v>2.5</v>
      </c>
      <c r="L58" s="19">
        <f t="shared" si="3"/>
        <v>0</v>
      </c>
      <c r="M58" s="20">
        <f t="shared" si="4"/>
        <v>222.64725</v>
      </c>
      <c r="N58" s="21">
        <f t="shared" si="5"/>
        <v>2.5</v>
      </c>
      <c r="O58" s="21">
        <f t="shared" si="6"/>
        <v>5500</v>
      </c>
      <c r="P58" s="22">
        <f t="shared" si="7"/>
        <v>489823.95</v>
      </c>
      <c r="R58" s="23"/>
      <c r="S58" s="24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>
        <v>46047.0</v>
      </c>
      <c r="C59" s="12">
        <f>VLOOKUP(B:B,'Курс валют'!A:D,4,0)</f>
        <v>89.0589</v>
      </c>
      <c r="D59" s="13" t="s">
        <v>1493</v>
      </c>
      <c r="E59" s="59" t="s">
        <v>82</v>
      </c>
      <c r="F59" s="15">
        <v>1600.0</v>
      </c>
      <c r="G59" s="61">
        <v>1600.0</v>
      </c>
      <c r="H59" s="27">
        <v>0.0</v>
      </c>
      <c r="I59" s="16">
        <f t="shared" si="1"/>
        <v>0</v>
      </c>
      <c r="J59" s="18">
        <f t="shared" si="2"/>
        <v>0</v>
      </c>
      <c r="K59" s="17">
        <v>2.69</v>
      </c>
      <c r="L59" s="19">
        <f t="shared" si="3"/>
        <v>0</v>
      </c>
      <c r="M59" s="20">
        <f t="shared" si="4"/>
        <v>239.568441</v>
      </c>
      <c r="N59" s="21">
        <f t="shared" si="5"/>
        <v>2.69</v>
      </c>
      <c r="O59" s="21">
        <f t="shared" si="6"/>
        <v>4304</v>
      </c>
      <c r="P59" s="22">
        <f t="shared" si="7"/>
        <v>383309.5056</v>
      </c>
      <c r="R59" s="23" t="s">
        <v>1494</v>
      </c>
      <c r="S59" s="24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>
        <v>46048.0</v>
      </c>
      <c r="C60" s="12">
        <f>VLOOKUP(B:B,'Курс валют'!A:D,4,0)</f>
        <v>89.0589</v>
      </c>
      <c r="D60" s="13" t="s">
        <v>1495</v>
      </c>
      <c r="E60" s="59" t="s">
        <v>106</v>
      </c>
      <c r="F60" s="15">
        <v>800.0</v>
      </c>
      <c r="G60" s="61">
        <v>804.5</v>
      </c>
      <c r="H60" s="17">
        <v>76.5</v>
      </c>
      <c r="I60" s="16">
        <f t="shared" si="1"/>
        <v>4.5</v>
      </c>
      <c r="J60" s="18">
        <f t="shared" si="2"/>
        <v>0.5625</v>
      </c>
      <c r="K60" s="17">
        <v>2.17</v>
      </c>
      <c r="L60" s="19">
        <f t="shared" si="3"/>
        <v>9.5625</v>
      </c>
      <c r="M60" s="20">
        <f t="shared" si="4"/>
        <v>167.3683908</v>
      </c>
      <c r="N60" s="21">
        <f t="shared" si="5"/>
        <v>1.8793</v>
      </c>
      <c r="O60" s="21">
        <f t="shared" si="6"/>
        <v>1503.44</v>
      </c>
      <c r="P60" s="22">
        <f t="shared" si="7"/>
        <v>133894.7126</v>
      </c>
      <c r="R60" s="23"/>
      <c r="S60" s="24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46048.0</v>
      </c>
      <c r="C61" s="12">
        <f>VLOOKUP(B:B,'Курс валют'!A:D,4,0)</f>
        <v>89.0589</v>
      </c>
      <c r="D61" s="13" t="s">
        <v>1496</v>
      </c>
      <c r="E61" s="59" t="s">
        <v>106</v>
      </c>
      <c r="F61" s="15">
        <v>800.0</v>
      </c>
      <c r="G61" s="61">
        <v>804.5</v>
      </c>
      <c r="H61" s="17">
        <v>76.5</v>
      </c>
      <c r="I61" s="16">
        <f t="shared" si="1"/>
        <v>4.5</v>
      </c>
      <c r="J61" s="18">
        <f t="shared" si="2"/>
        <v>0.5625</v>
      </c>
      <c r="K61" s="17">
        <v>2.16</v>
      </c>
      <c r="L61" s="19">
        <f t="shared" si="3"/>
        <v>9.5625</v>
      </c>
      <c r="M61" s="20">
        <f t="shared" si="4"/>
        <v>166.4778018</v>
      </c>
      <c r="N61" s="21">
        <f t="shared" si="5"/>
        <v>1.8693</v>
      </c>
      <c r="O61" s="21">
        <f t="shared" si="6"/>
        <v>1495.44</v>
      </c>
      <c r="P61" s="22">
        <f t="shared" si="7"/>
        <v>133182.2414</v>
      </c>
      <c r="R61" s="23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>
        <v>46048.0</v>
      </c>
      <c r="C62" s="12">
        <f>VLOOKUP(B:B,'Курс валют'!A:D,4,0)</f>
        <v>89.0589</v>
      </c>
      <c r="D62" s="13" t="s">
        <v>1497</v>
      </c>
      <c r="E62" s="59" t="s">
        <v>106</v>
      </c>
      <c r="F62" s="15">
        <v>800.0</v>
      </c>
      <c r="G62" s="61">
        <v>804.5</v>
      </c>
      <c r="H62" s="17">
        <v>76.5</v>
      </c>
      <c r="I62" s="16">
        <f t="shared" si="1"/>
        <v>4.5</v>
      </c>
      <c r="J62" s="18">
        <f t="shared" si="2"/>
        <v>0.5625</v>
      </c>
      <c r="K62" s="17">
        <v>2.16</v>
      </c>
      <c r="L62" s="19">
        <f t="shared" si="3"/>
        <v>9.5625</v>
      </c>
      <c r="M62" s="20">
        <f t="shared" si="4"/>
        <v>166.4778018</v>
      </c>
      <c r="N62" s="21">
        <f t="shared" si="5"/>
        <v>1.8693</v>
      </c>
      <c r="O62" s="21">
        <f t="shared" si="6"/>
        <v>1495.44</v>
      </c>
      <c r="P62" s="22">
        <f t="shared" si="7"/>
        <v>133182.2414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>
        <v>46048.0</v>
      </c>
      <c r="C63" s="12">
        <f>VLOOKUP(B:B,'Курс валют'!A:D,4,0)</f>
        <v>89.0589</v>
      </c>
      <c r="D63" s="13" t="s">
        <v>1498</v>
      </c>
      <c r="E63" s="59" t="s">
        <v>106</v>
      </c>
      <c r="F63" s="15">
        <v>800.0</v>
      </c>
      <c r="G63" s="61">
        <v>804.5</v>
      </c>
      <c r="H63" s="17">
        <v>76.5</v>
      </c>
      <c r="I63" s="16">
        <f t="shared" si="1"/>
        <v>4.5</v>
      </c>
      <c r="J63" s="18">
        <f t="shared" si="2"/>
        <v>0.5625</v>
      </c>
      <c r="K63" s="17">
        <v>2.16</v>
      </c>
      <c r="L63" s="19">
        <f t="shared" si="3"/>
        <v>9.5625</v>
      </c>
      <c r="M63" s="20">
        <f t="shared" si="4"/>
        <v>166.4778018</v>
      </c>
      <c r="N63" s="21">
        <f t="shared" si="5"/>
        <v>1.8693</v>
      </c>
      <c r="O63" s="21">
        <f t="shared" si="6"/>
        <v>1495.44</v>
      </c>
      <c r="P63" s="22">
        <f t="shared" si="7"/>
        <v>133182.2414</v>
      </c>
      <c r="R63" s="23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>
        <v>46048.0</v>
      </c>
      <c r="C64" s="12">
        <f>VLOOKUP(B:B,'Курс валют'!A:D,4,0)</f>
        <v>89.0589</v>
      </c>
      <c r="D64" s="13" t="s">
        <v>1499</v>
      </c>
      <c r="E64" s="59" t="s">
        <v>106</v>
      </c>
      <c r="F64" s="15">
        <v>800.0</v>
      </c>
      <c r="G64" s="61">
        <v>804.5</v>
      </c>
      <c r="H64" s="17">
        <v>76.5</v>
      </c>
      <c r="I64" s="16">
        <f t="shared" si="1"/>
        <v>4.5</v>
      </c>
      <c r="J64" s="18">
        <f t="shared" si="2"/>
        <v>0.5625</v>
      </c>
      <c r="K64" s="17">
        <v>2.16</v>
      </c>
      <c r="L64" s="19">
        <f t="shared" si="3"/>
        <v>9.5625</v>
      </c>
      <c r="M64" s="20">
        <f t="shared" si="4"/>
        <v>166.4778018</v>
      </c>
      <c r="N64" s="21">
        <f t="shared" si="5"/>
        <v>1.8693</v>
      </c>
      <c r="O64" s="21">
        <f t="shared" si="6"/>
        <v>1495.44</v>
      </c>
      <c r="P64" s="22">
        <f t="shared" si="7"/>
        <v>133182.2414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>
        <v>46048.0</v>
      </c>
      <c r="C65" s="12">
        <f>VLOOKUP(B:B,'Курс валют'!A:D,4,0)</f>
        <v>89.0589</v>
      </c>
      <c r="D65" s="13" t="s">
        <v>1500</v>
      </c>
      <c r="E65" s="64" t="s">
        <v>92</v>
      </c>
      <c r="F65" s="15">
        <v>1000.0</v>
      </c>
      <c r="G65" s="16">
        <v>1000.0</v>
      </c>
      <c r="H65" s="17">
        <v>0.0</v>
      </c>
      <c r="I65" s="16">
        <f t="shared" si="1"/>
        <v>0</v>
      </c>
      <c r="J65" s="18">
        <f t="shared" si="2"/>
        <v>0</v>
      </c>
      <c r="K65" s="17">
        <v>2.96</v>
      </c>
      <c r="L65" s="19">
        <f t="shared" si="3"/>
        <v>0</v>
      </c>
      <c r="M65" s="20">
        <f t="shared" si="4"/>
        <v>263.614344</v>
      </c>
      <c r="N65" s="21">
        <f t="shared" si="5"/>
        <v>2.96</v>
      </c>
      <c r="O65" s="21">
        <f t="shared" si="6"/>
        <v>2960</v>
      </c>
      <c r="P65" s="22">
        <f t="shared" si="7"/>
        <v>263614.344</v>
      </c>
      <c r="R65" s="23" t="s">
        <v>1501</v>
      </c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>
        <v>46048.0</v>
      </c>
      <c r="C66" s="12">
        <f>VLOOKUP(B:B,'Курс валют'!A:D,4,0)</f>
        <v>89.0589</v>
      </c>
      <c r="D66" s="13" t="s">
        <v>1502</v>
      </c>
      <c r="E66" s="64" t="s">
        <v>106</v>
      </c>
      <c r="F66" s="15">
        <v>800.0</v>
      </c>
      <c r="G66" s="16">
        <v>804.5</v>
      </c>
      <c r="H66" s="17">
        <v>76.5</v>
      </c>
      <c r="I66" s="16">
        <f t="shared" si="1"/>
        <v>4.5</v>
      </c>
      <c r="J66" s="18">
        <f t="shared" si="2"/>
        <v>0.5625</v>
      </c>
      <c r="K66" s="17">
        <v>2.16</v>
      </c>
      <c r="L66" s="19">
        <f t="shared" si="3"/>
        <v>9.5625</v>
      </c>
      <c r="M66" s="20">
        <f t="shared" si="4"/>
        <v>166.4778018</v>
      </c>
      <c r="N66" s="21">
        <f t="shared" si="5"/>
        <v>1.8693</v>
      </c>
      <c r="O66" s="21">
        <f t="shared" si="6"/>
        <v>1495.44</v>
      </c>
      <c r="P66" s="22">
        <f t="shared" si="7"/>
        <v>133182.2414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>
        <v>46048.0</v>
      </c>
      <c r="C67" s="12">
        <f>VLOOKUP(B:B,'Курс валют'!A:D,4,0)</f>
        <v>89.0589</v>
      </c>
      <c r="D67" s="13" t="s">
        <v>1503</v>
      </c>
      <c r="E67" s="64" t="s">
        <v>106</v>
      </c>
      <c r="F67" s="15">
        <v>800.0</v>
      </c>
      <c r="G67" s="16">
        <v>804.5</v>
      </c>
      <c r="H67" s="17">
        <v>76.5</v>
      </c>
      <c r="I67" s="16">
        <f t="shared" si="1"/>
        <v>4.5</v>
      </c>
      <c r="J67" s="18">
        <f t="shared" si="2"/>
        <v>0.5625</v>
      </c>
      <c r="K67" s="17">
        <v>2.16</v>
      </c>
      <c r="L67" s="19">
        <f t="shared" si="3"/>
        <v>9.5625</v>
      </c>
      <c r="M67" s="20">
        <f t="shared" si="4"/>
        <v>166.4778018</v>
      </c>
      <c r="N67" s="21">
        <f t="shared" si="5"/>
        <v>1.8693</v>
      </c>
      <c r="O67" s="21">
        <f t="shared" si="6"/>
        <v>1495.44</v>
      </c>
      <c r="P67" s="22">
        <f t="shared" si="7"/>
        <v>133182.2414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63"/>
      <c r="B68" s="11">
        <v>46048.0</v>
      </c>
      <c r="C68" s="12">
        <f>VLOOKUP(B:B,'Курс валют'!A:D,4,0)</f>
        <v>89.0589</v>
      </c>
      <c r="D68" s="13" t="s">
        <v>1504</v>
      </c>
      <c r="E68" s="64" t="s">
        <v>106</v>
      </c>
      <c r="F68" s="15">
        <v>800.0</v>
      </c>
      <c r="G68" s="16">
        <v>804.5</v>
      </c>
      <c r="H68" s="17">
        <v>76.5</v>
      </c>
      <c r="I68" s="16">
        <f t="shared" si="1"/>
        <v>4.5</v>
      </c>
      <c r="J68" s="18">
        <f t="shared" si="2"/>
        <v>0.5625</v>
      </c>
      <c r="K68" s="17">
        <v>2.16</v>
      </c>
      <c r="L68" s="19">
        <f t="shared" si="3"/>
        <v>9.5625</v>
      </c>
      <c r="M68" s="20">
        <f t="shared" si="4"/>
        <v>166.4778018</v>
      </c>
      <c r="N68" s="21">
        <f t="shared" si="5"/>
        <v>1.8693</v>
      </c>
      <c r="O68" s="21">
        <f t="shared" si="6"/>
        <v>1495.44</v>
      </c>
      <c r="P68" s="22">
        <f t="shared" si="7"/>
        <v>133182.2414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30"/>
      <c r="B69" s="11">
        <v>46048.0</v>
      </c>
      <c r="C69" s="12">
        <f>VLOOKUP(B:B,'Курс валют'!A:D,4,0)</f>
        <v>89.0589</v>
      </c>
      <c r="D69" s="13" t="s">
        <v>1505</v>
      </c>
      <c r="E69" s="64" t="s">
        <v>926</v>
      </c>
      <c r="F69" s="15">
        <v>600.0</v>
      </c>
      <c r="G69" s="16">
        <v>600.0</v>
      </c>
      <c r="H69" s="17">
        <v>0.0</v>
      </c>
      <c r="I69" s="16">
        <f t="shared" si="1"/>
        <v>0</v>
      </c>
      <c r="J69" s="18">
        <f t="shared" si="2"/>
        <v>0</v>
      </c>
      <c r="K69" s="17">
        <v>2.98</v>
      </c>
      <c r="L69" s="19">
        <f t="shared" si="3"/>
        <v>0</v>
      </c>
      <c r="M69" s="20">
        <f t="shared" si="4"/>
        <v>265.395522</v>
      </c>
      <c r="N69" s="21">
        <f t="shared" si="5"/>
        <v>2.98</v>
      </c>
      <c r="O69" s="21">
        <f t="shared" si="6"/>
        <v>1788</v>
      </c>
      <c r="P69" s="22">
        <f t="shared" si="7"/>
        <v>159237.3132</v>
      </c>
      <c r="R69" s="23" t="s">
        <v>1506</v>
      </c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63"/>
      <c r="B70" s="11">
        <v>46048.0</v>
      </c>
      <c r="C70" s="12">
        <f>VLOOKUP(B:B,'Курс валют'!A:D,4,0)</f>
        <v>89.0589</v>
      </c>
      <c r="D70" s="13" t="s">
        <v>1507</v>
      </c>
      <c r="E70" s="64" t="s">
        <v>106</v>
      </c>
      <c r="F70" s="15">
        <v>800.0</v>
      </c>
      <c r="G70" s="16">
        <v>804.5</v>
      </c>
      <c r="H70" s="17">
        <v>76.5</v>
      </c>
      <c r="I70" s="16">
        <f t="shared" si="1"/>
        <v>4.5</v>
      </c>
      <c r="J70" s="18">
        <f t="shared" si="2"/>
        <v>0.5625</v>
      </c>
      <c r="K70" s="17">
        <v>2.16</v>
      </c>
      <c r="L70" s="19">
        <f t="shared" si="3"/>
        <v>9.5625</v>
      </c>
      <c r="M70" s="20">
        <f t="shared" si="4"/>
        <v>166.4778018</v>
      </c>
      <c r="N70" s="21">
        <f t="shared" si="5"/>
        <v>1.8693</v>
      </c>
      <c r="O70" s="21">
        <f t="shared" si="6"/>
        <v>1495.44</v>
      </c>
      <c r="P70" s="22">
        <f t="shared" si="7"/>
        <v>133182.2414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63"/>
      <c r="B71" s="11">
        <v>46048.0</v>
      </c>
      <c r="C71" s="12">
        <f>VLOOKUP(B:B,'Курс валют'!A:D,4,0)</f>
        <v>89.0589</v>
      </c>
      <c r="D71" s="13" t="s">
        <v>1508</v>
      </c>
      <c r="E71" s="64" t="s">
        <v>106</v>
      </c>
      <c r="F71" s="15">
        <v>800.0</v>
      </c>
      <c r="G71" s="16">
        <v>804.5</v>
      </c>
      <c r="H71" s="17">
        <v>76.5</v>
      </c>
      <c r="I71" s="16">
        <f t="shared" si="1"/>
        <v>4.5</v>
      </c>
      <c r="J71" s="18">
        <f t="shared" si="2"/>
        <v>0.5625</v>
      </c>
      <c r="K71" s="17">
        <v>2.16</v>
      </c>
      <c r="L71" s="19">
        <f t="shared" si="3"/>
        <v>9.5625</v>
      </c>
      <c r="M71" s="20">
        <f t="shared" si="4"/>
        <v>166.4778018</v>
      </c>
      <c r="N71" s="21">
        <f t="shared" si="5"/>
        <v>1.8693</v>
      </c>
      <c r="O71" s="21">
        <f t="shared" si="6"/>
        <v>1495.44</v>
      </c>
      <c r="P71" s="22">
        <f t="shared" si="7"/>
        <v>133182.2414</v>
      </c>
      <c r="R71" s="79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63"/>
      <c r="B72" s="11">
        <v>46049.0</v>
      </c>
      <c r="C72" s="12">
        <f>VLOOKUP(B:B,'Курс валют'!A:D,4,0)</f>
        <v>90.2877</v>
      </c>
      <c r="D72" s="13" t="s">
        <v>1509</v>
      </c>
      <c r="E72" s="64" t="s">
        <v>53</v>
      </c>
      <c r="F72" s="15">
        <v>800.0</v>
      </c>
      <c r="G72" s="16">
        <v>803.96</v>
      </c>
      <c r="H72" s="17">
        <v>0.0</v>
      </c>
      <c r="I72" s="16">
        <f t="shared" si="1"/>
        <v>3.96</v>
      </c>
      <c r="J72" s="18">
        <f t="shared" si="2"/>
        <v>0.495</v>
      </c>
      <c r="K72" s="17">
        <v>1.97</v>
      </c>
      <c r="L72" s="19">
        <f t="shared" si="3"/>
        <v>0</v>
      </c>
      <c r="M72" s="20">
        <f t="shared" si="4"/>
        <v>177.866769</v>
      </c>
      <c r="N72" s="21">
        <f t="shared" si="5"/>
        <v>1.97</v>
      </c>
      <c r="O72" s="21">
        <f t="shared" si="6"/>
        <v>1576</v>
      </c>
      <c r="P72" s="22">
        <f t="shared" si="7"/>
        <v>142293.4152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63"/>
      <c r="B73" s="11">
        <v>46049.0</v>
      </c>
      <c r="C73" s="12">
        <f>VLOOKUP(B:B,'Курс валют'!A:D,4,0)</f>
        <v>90.2877</v>
      </c>
      <c r="D73" s="13" t="s">
        <v>1510</v>
      </c>
      <c r="E73" s="64" t="s">
        <v>53</v>
      </c>
      <c r="F73" s="15">
        <v>800.0</v>
      </c>
      <c r="G73" s="16">
        <v>803.96</v>
      </c>
      <c r="H73" s="17">
        <v>0.0</v>
      </c>
      <c r="I73" s="16">
        <f t="shared" si="1"/>
        <v>3.96</v>
      </c>
      <c r="J73" s="18">
        <f t="shared" si="2"/>
        <v>0.495</v>
      </c>
      <c r="K73" s="17">
        <v>1.97</v>
      </c>
      <c r="L73" s="19">
        <f t="shared" si="3"/>
        <v>0</v>
      </c>
      <c r="M73" s="20">
        <f t="shared" si="4"/>
        <v>177.866769</v>
      </c>
      <c r="N73" s="21">
        <f t="shared" si="5"/>
        <v>1.97</v>
      </c>
      <c r="O73" s="21">
        <f t="shared" si="6"/>
        <v>1576</v>
      </c>
      <c r="P73" s="22">
        <f t="shared" si="7"/>
        <v>142293.4152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/>
      <c r="B74" s="11">
        <v>46049.0</v>
      </c>
      <c r="C74" s="12">
        <f>VLOOKUP(B:B,'Курс валют'!A:D,4,0)</f>
        <v>90.2877</v>
      </c>
      <c r="D74" s="13" t="s">
        <v>1511</v>
      </c>
      <c r="E74" s="64" t="s">
        <v>53</v>
      </c>
      <c r="F74" s="15">
        <v>800.0</v>
      </c>
      <c r="G74" s="16">
        <v>803.96</v>
      </c>
      <c r="H74" s="17">
        <v>0.0</v>
      </c>
      <c r="I74" s="16">
        <f t="shared" si="1"/>
        <v>3.96</v>
      </c>
      <c r="J74" s="18">
        <f t="shared" si="2"/>
        <v>0.495</v>
      </c>
      <c r="K74" s="17">
        <v>1.97</v>
      </c>
      <c r="L74" s="19">
        <f t="shared" si="3"/>
        <v>0</v>
      </c>
      <c r="M74" s="20">
        <f t="shared" si="4"/>
        <v>177.866769</v>
      </c>
      <c r="N74" s="21">
        <f t="shared" si="5"/>
        <v>1.97</v>
      </c>
      <c r="O74" s="21">
        <f t="shared" si="6"/>
        <v>1576</v>
      </c>
      <c r="P74" s="22">
        <f t="shared" si="7"/>
        <v>142293.4152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/>
      <c r="B75" s="11">
        <v>46049.0</v>
      </c>
      <c r="C75" s="12">
        <f>VLOOKUP(B:B,'Курс валют'!A:D,4,0)</f>
        <v>90.2877</v>
      </c>
      <c r="D75" s="13" t="s">
        <v>1512</v>
      </c>
      <c r="E75" s="64" t="s">
        <v>104</v>
      </c>
      <c r="F75" s="15">
        <v>1000.0</v>
      </c>
      <c r="G75" s="16">
        <v>1009.0</v>
      </c>
      <c r="H75" s="17">
        <v>0.0</v>
      </c>
      <c r="I75" s="16">
        <f t="shared" si="1"/>
        <v>9</v>
      </c>
      <c r="J75" s="18">
        <f t="shared" si="2"/>
        <v>0.9</v>
      </c>
      <c r="K75" s="17">
        <v>2.52</v>
      </c>
      <c r="L75" s="19">
        <f t="shared" si="3"/>
        <v>0</v>
      </c>
      <c r="M75" s="20">
        <f t="shared" si="4"/>
        <v>227.525004</v>
      </c>
      <c r="N75" s="21">
        <f t="shared" si="5"/>
        <v>2.52</v>
      </c>
      <c r="O75" s="21">
        <f t="shared" si="6"/>
        <v>2520</v>
      </c>
      <c r="P75" s="22">
        <f t="shared" si="7"/>
        <v>227525.004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63"/>
      <c r="B76" s="11">
        <v>46049.0</v>
      </c>
      <c r="C76" s="12">
        <f>VLOOKUP(B:B,'Курс валют'!A:D,4,0)</f>
        <v>90.2877</v>
      </c>
      <c r="D76" s="13" t="s">
        <v>1513</v>
      </c>
      <c r="E76" s="64" t="s">
        <v>53</v>
      </c>
      <c r="F76" s="15">
        <v>800.0</v>
      </c>
      <c r="G76" s="15">
        <v>803.96</v>
      </c>
      <c r="H76" s="17">
        <v>0.0</v>
      </c>
      <c r="I76" s="15">
        <f t="shared" si="1"/>
        <v>3.96</v>
      </c>
      <c r="J76" s="18">
        <f t="shared" si="2"/>
        <v>0.495</v>
      </c>
      <c r="K76" s="17">
        <v>1.97</v>
      </c>
      <c r="L76" s="19">
        <f t="shared" si="3"/>
        <v>0</v>
      </c>
      <c r="M76" s="20">
        <f t="shared" si="4"/>
        <v>177.866769</v>
      </c>
      <c r="N76" s="21">
        <f t="shared" si="5"/>
        <v>1.97</v>
      </c>
      <c r="O76" s="21">
        <f t="shared" si="6"/>
        <v>1576</v>
      </c>
      <c r="P76" s="22">
        <f t="shared" si="7"/>
        <v>142293.4152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>
        <v>46049.0</v>
      </c>
      <c r="C77" s="12">
        <f>VLOOKUP(B:B,'Курс валют'!A:D,4,0)</f>
        <v>90.2877</v>
      </c>
      <c r="D77" s="13" t="s">
        <v>1514</v>
      </c>
      <c r="E77" s="64" t="s">
        <v>53</v>
      </c>
      <c r="F77" s="15">
        <v>800.0</v>
      </c>
      <c r="G77" s="15">
        <v>803.96</v>
      </c>
      <c r="H77" s="17">
        <v>0.0</v>
      </c>
      <c r="I77" s="15">
        <f t="shared" si="1"/>
        <v>3.96</v>
      </c>
      <c r="J77" s="18">
        <f t="shared" si="2"/>
        <v>0.495</v>
      </c>
      <c r="K77" s="17">
        <v>1.97</v>
      </c>
      <c r="L77" s="19">
        <f t="shared" si="3"/>
        <v>0</v>
      </c>
      <c r="M77" s="20">
        <f t="shared" si="4"/>
        <v>177.866769</v>
      </c>
      <c r="N77" s="21">
        <f t="shared" si="5"/>
        <v>1.97</v>
      </c>
      <c r="O77" s="21">
        <f t="shared" si="6"/>
        <v>1576</v>
      </c>
      <c r="P77" s="22">
        <f t="shared" si="7"/>
        <v>142293.4152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63"/>
      <c r="B78" s="11">
        <v>46049.0</v>
      </c>
      <c r="C78" s="12">
        <f>VLOOKUP(B:B,'Курс валют'!A:D,4,0)</f>
        <v>90.2877</v>
      </c>
      <c r="D78" s="13" t="s">
        <v>1515</v>
      </c>
      <c r="E78" s="64" t="s">
        <v>104</v>
      </c>
      <c r="F78" s="15">
        <v>1000.0</v>
      </c>
      <c r="G78" s="16">
        <v>1009.0</v>
      </c>
      <c r="H78" s="17">
        <v>0.0</v>
      </c>
      <c r="I78" s="16">
        <f t="shared" si="1"/>
        <v>9</v>
      </c>
      <c r="J78" s="18">
        <f t="shared" si="2"/>
        <v>0.9</v>
      </c>
      <c r="K78" s="17">
        <v>2.52</v>
      </c>
      <c r="L78" s="19">
        <f t="shared" si="3"/>
        <v>0</v>
      </c>
      <c r="M78" s="20">
        <f t="shared" si="4"/>
        <v>227.525004</v>
      </c>
      <c r="N78" s="21">
        <f t="shared" si="5"/>
        <v>2.52</v>
      </c>
      <c r="O78" s="21">
        <f t="shared" si="6"/>
        <v>2520</v>
      </c>
      <c r="P78" s="22">
        <f t="shared" si="7"/>
        <v>227525.004</v>
      </c>
      <c r="R78" s="79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>
        <v>46049.0</v>
      </c>
      <c r="C79" s="12">
        <f>VLOOKUP(B:B,'Курс валют'!A:D,4,0)</f>
        <v>90.2877</v>
      </c>
      <c r="D79" s="13" t="s">
        <v>1516</v>
      </c>
      <c r="E79" s="64" t="s">
        <v>53</v>
      </c>
      <c r="F79" s="15">
        <v>800.0</v>
      </c>
      <c r="G79" s="16">
        <v>803.96</v>
      </c>
      <c r="H79" s="17">
        <v>0.0</v>
      </c>
      <c r="I79" s="16">
        <f t="shared" si="1"/>
        <v>3.96</v>
      </c>
      <c r="J79" s="18">
        <f t="shared" si="2"/>
        <v>0.495</v>
      </c>
      <c r="K79" s="17">
        <v>1.97</v>
      </c>
      <c r="L79" s="19">
        <f t="shared" si="3"/>
        <v>0</v>
      </c>
      <c r="M79" s="20">
        <f t="shared" si="4"/>
        <v>177.866769</v>
      </c>
      <c r="N79" s="21">
        <f t="shared" si="5"/>
        <v>1.97</v>
      </c>
      <c r="O79" s="21">
        <f t="shared" si="6"/>
        <v>1576</v>
      </c>
      <c r="P79" s="22">
        <f t="shared" si="7"/>
        <v>142293.4152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>
        <v>46049.0</v>
      </c>
      <c r="C80" s="12">
        <f>VLOOKUP(B:B,'Курс валют'!A:D,4,0)</f>
        <v>90.2877</v>
      </c>
      <c r="D80" s="13" t="s">
        <v>1517</v>
      </c>
      <c r="E80" s="64" t="s">
        <v>53</v>
      </c>
      <c r="F80" s="15">
        <v>800.0</v>
      </c>
      <c r="G80" s="16">
        <v>803.96</v>
      </c>
      <c r="H80" s="17">
        <v>0.0</v>
      </c>
      <c r="I80" s="16">
        <f t="shared" si="1"/>
        <v>3.96</v>
      </c>
      <c r="J80" s="18">
        <f t="shared" si="2"/>
        <v>0.495</v>
      </c>
      <c r="K80" s="17">
        <v>1.97</v>
      </c>
      <c r="L80" s="19">
        <f t="shared" si="3"/>
        <v>0</v>
      </c>
      <c r="M80" s="20">
        <f t="shared" si="4"/>
        <v>177.866769</v>
      </c>
      <c r="N80" s="21">
        <f t="shared" si="5"/>
        <v>1.97</v>
      </c>
      <c r="O80" s="21">
        <f t="shared" si="6"/>
        <v>1576</v>
      </c>
      <c r="P80" s="22">
        <f t="shared" si="7"/>
        <v>142293.4152</v>
      </c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>
        <v>46049.0</v>
      </c>
      <c r="C81" s="12">
        <f>VLOOKUP(B:B,'Курс валют'!A:D,4,0)</f>
        <v>90.2877</v>
      </c>
      <c r="D81" s="13" t="s">
        <v>1518</v>
      </c>
      <c r="E81" s="59" t="s">
        <v>53</v>
      </c>
      <c r="F81" s="15">
        <v>800.0</v>
      </c>
      <c r="G81" s="16">
        <v>803.96</v>
      </c>
      <c r="H81" s="17">
        <v>0.0</v>
      </c>
      <c r="I81" s="16">
        <f t="shared" si="1"/>
        <v>3.96</v>
      </c>
      <c r="J81" s="18">
        <f t="shared" si="2"/>
        <v>0.495</v>
      </c>
      <c r="K81" s="17">
        <v>1.97</v>
      </c>
      <c r="L81" s="19">
        <f t="shared" si="3"/>
        <v>0</v>
      </c>
      <c r="M81" s="20">
        <f t="shared" si="4"/>
        <v>177.866769</v>
      </c>
      <c r="N81" s="21">
        <f t="shared" si="5"/>
        <v>1.97</v>
      </c>
      <c r="O81" s="21">
        <f t="shared" si="6"/>
        <v>1576</v>
      </c>
      <c r="P81" s="22">
        <f t="shared" si="7"/>
        <v>142293.4152</v>
      </c>
      <c r="R81" s="23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>
        <v>46049.0</v>
      </c>
      <c r="C82" s="12">
        <f>VLOOKUP(B:B,'Курс валют'!A:D,4,0)</f>
        <v>90.2877</v>
      </c>
      <c r="D82" s="13" t="s">
        <v>1519</v>
      </c>
      <c r="E82" s="59" t="s">
        <v>104</v>
      </c>
      <c r="F82" s="15">
        <v>1000.0</v>
      </c>
      <c r="G82" s="15">
        <v>1009.0</v>
      </c>
      <c r="H82" s="17">
        <v>0.0</v>
      </c>
      <c r="I82" s="15">
        <f t="shared" si="1"/>
        <v>9</v>
      </c>
      <c r="J82" s="18">
        <f t="shared" si="2"/>
        <v>0.9</v>
      </c>
      <c r="K82" s="17">
        <v>2.52</v>
      </c>
      <c r="L82" s="19">
        <f t="shared" si="3"/>
        <v>0</v>
      </c>
      <c r="M82" s="20">
        <f t="shared" si="4"/>
        <v>227.525004</v>
      </c>
      <c r="N82" s="21">
        <f t="shared" si="5"/>
        <v>2.52</v>
      </c>
      <c r="O82" s="21">
        <f t="shared" si="6"/>
        <v>2520</v>
      </c>
      <c r="P82" s="22">
        <f t="shared" si="7"/>
        <v>227525.004</v>
      </c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>
        <v>46049.0</v>
      </c>
      <c r="C83" s="12">
        <f>VLOOKUP(B:B,'Курс валют'!A:D,4,0)</f>
        <v>90.2877</v>
      </c>
      <c r="D83" s="13" t="s">
        <v>1520</v>
      </c>
      <c r="E83" s="59" t="s">
        <v>53</v>
      </c>
      <c r="F83" s="15">
        <v>800.0</v>
      </c>
      <c r="G83" s="15">
        <v>803.96</v>
      </c>
      <c r="H83" s="17">
        <v>0.0</v>
      </c>
      <c r="I83" s="15">
        <f t="shared" si="1"/>
        <v>3.96</v>
      </c>
      <c r="J83" s="18">
        <f t="shared" si="2"/>
        <v>0.495</v>
      </c>
      <c r="K83" s="17">
        <v>1.97</v>
      </c>
      <c r="L83" s="19">
        <f t="shared" si="3"/>
        <v>0</v>
      </c>
      <c r="M83" s="20">
        <f t="shared" si="4"/>
        <v>177.866769</v>
      </c>
      <c r="N83" s="21">
        <f t="shared" si="5"/>
        <v>1.97</v>
      </c>
      <c r="O83" s="21">
        <f t="shared" si="6"/>
        <v>1576</v>
      </c>
      <c r="P83" s="22">
        <f t="shared" si="7"/>
        <v>142293.4152</v>
      </c>
      <c r="R83" s="24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>
        <v>46049.0</v>
      </c>
      <c r="C84" s="12">
        <f>VLOOKUP(B:B,'Курс валют'!A:D,4,0)</f>
        <v>90.2877</v>
      </c>
      <c r="D84" s="13" t="s">
        <v>1521</v>
      </c>
      <c r="E84" s="59" t="s">
        <v>53</v>
      </c>
      <c r="F84" s="15">
        <v>800.0</v>
      </c>
      <c r="G84" s="15">
        <v>803.96</v>
      </c>
      <c r="H84" s="17">
        <v>0.0</v>
      </c>
      <c r="I84" s="15">
        <f t="shared" si="1"/>
        <v>3.96</v>
      </c>
      <c r="J84" s="18">
        <f t="shared" si="2"/>
        <v>0.495</v>
      </c>
      <c r="K84" s="17">
        <v>1.97</v>
      </c>
      <c r="L84" s="19">
        <f t="shared" si="3"/>
        <v>0</v>
      </c>
      <c r="M84" s="20">
        <f t="shared" si="4"/>
        <v>177.866769</v>
      </c>
      <c r="N84" s="21">
        <f t="shared" si="5"/>
        <v>1.97</v>
      </c>
      <c r="O84" s="21">
        <f t="shared" si="6"/>
        <v>1576</v>
      </c>
      <c r="P84" s="22">
        <f t="shared" si="7"/>
        <v>142293.4152</v>
      </c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>
        <v>46050.0</v>
      </c>
      <c r="C85" s="12">
        <f>VLOOKUP(B:B,'Курс валют'!A:D,4,0)</f>
        <v>90.9329</v>
      </c>
      <c r="D85" s="13" t="s">
        <v>1522</v>
      </c>
      <c r="E85" s="59" t="s">
        <v>54</v>
      </c>
      <c r="F85" s="15">
        <v>800.0</v>
      </c>
      <c r="G85" s="15">
        <v>804.34</v>
      </c>
      <c r="H85" s="17">
        <v>0.0</v>
      </c>
      <c r="I85" s="15">
        <f t="shared" si="1"/>
        <v>4.34</v>
      </c>
      <c r="J85" s="18">
        <f t="shared" si="2"/>
        <v>0.5425</v>
      </c>
      <c r="K85" s="17">
        <v>2.01</v>
      </c>
      <c r="L85" s="19">
        <f t="shared" si="3"/>
        <v>0</v>
      </c>
      <c r="M85" s="20">
        <f t="shared" si="4"/>
        <v>182.775129</v>
      </c>
      <c r="N85" s="21">
        <f t="shared" si="5"/>
        <v>2.01</v>
      </c>
      <c r="O85" s="21">
        <f t="shared" si="6"/>
        <v>1608</v>
      </c>
      <c r="P85" s="22">
        <f t="shared" si="7"/>
        <v>146220.1032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>
        <v>46050.0</v>
      </c>
      <c r="C86" s="12">
        <f>VLOOKUP(B:B,'Курс валют'!A:D,4,0)</f>
        <v>90.9329</v>
      </c>
      <c r="D86" s="13" t="s">
        <v>1523</v>
      </c>
      <c r="E86" s="59" t="s">
        <v>54</v>
      </c>
      <c r="F86" s="15">
        <v>800.0</v>
      </c>
      <c r="G86" s="15">
        <v>804.34</v>
      </c>
      <c r="H86" s="17">
        <v>0.0</v>
      </c>
      <c r="I86" s="15">
        <f t="shared" si="1"/>
        <v>4.34</v>
      </c>
      <c r="J86" s="18">
        <f t="shared" si="2"/>
        <v>0.5425</v>
      </c>
      <c r="K86" s="17">
        <v>2.0</v>
      </c>
      <c r="L86" s="19">
        <f t="shared" si="3"/>
        <v>0</v>
      </c>
      <c r="M86" s="20">
        <f t="shared" si="4"/>
        <v>181.8658</v>
      </c>
      <c r="N86" s="21">
        <f t="shared" si="5"/>
        <v>2</v>
      </c>
      <c r="O86" s="21">
        <f t="shared" si="6"/>
        <v>1600</v>
      </c>
      <c r="P86" s="22">
        <f t="shared" si="7"/>
        <v>145492.64</v>
      </c>
      <c r="R86" s="23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>
        <v>46050.0</v>
      </c>
      <c r="C87" s="12">
        <f>VLOOKUP(B:B,'Курс валют'!A:D,4,0)</f>
        <v>90.9329</v>
      </c>
      <c r="D87" s="13" t="s">
        <v>1524</v>
      </c>
      <c r="E87" s="59" t="s">
        <v>54</v>
      </c>
      <c r="F87" s="15">
        <v>800.0</v>
      </c>
      <c r="G87" s="15">
        <v>804.34</v>
      </c>
      <c r="H87" s="17">
        <v>0.0</v>
      </c>
      <c r="I87" s="15">
        <f t="shared" si="1"/>
        <v>4.34</v>
      </c>
      <c r="J87" s="18">
        <f t="shared" si="2"/>
        <v>0.5425</v>
      </c>
      <c r="K87" s="17">
        <v>2.0</v>
      </c>
      <c r="L87" s="19">
        <f t="shared" si="3"/>
        <v>0</v>
      </c>
      <c r="M87" s="20">
        <f t="shared" si="4"/>
        <v>181.8658</v>
      </c>
      <c r="N87" s="21">
        <f t="shared" si="5"/>
        <v>2</v>
      </c>
      <c r="O87" s="21">
        <f t="shared" si="6"/>
        <v>1600</v>
      </c>
      <c r="P87" s="22">
        <f t="shared" si="7"/>
        <v>145492.64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>
        <v>46050.0</v>
      </c>
      <c r="C88" s="12">
        <f>VLOOKUP(B:B,'Курс валют'!A:D,4,0)</f>
        <v>90.9329</v>
      </c>
      <c r="D88" s="13" t="s">
        <v>1525</v>
      </c>
      <c r="E88" s="59" t="s">
        <v>54</v>
      </c>
      <c r="F88" s="15">
        <v>800.0</v>
      </c>
      <c r="G88" s="15">
        <v>804.34</v>
      </c>
      <c r="H88" s="17">
        <v>0.0</v>
      </c>
      <c r="I88" s="15">
        <f t="shared" si="1"/>
        <v>4.34</v>
      </c>
      <c r="J88" s="18">
        <f t="shared" si="2"/>
        <v>0.5425</v>
      </c>
      <c r="K88" s="17">
        <v>2.0</v>
      </c>
      <c r="L88" s="19">
        <f t="shared" si="3"/>
        <v>0</v>
      </c>
      <c r="M88" s="20">
        <f t="shared" si="4"/>
        <v>181.8658</v>
      </c>
      <c r="N88" s="21">
        <f t="shared" si="5"/>
        <v>2</v>
      </c>
      <c r="O88" s="21">
        <f t="shared" si="6"/>
        <v>1600</v>
      </c>
      <c r="P88" s="22">
        <f t="shared" si="7"/>
        <v>145492.64</v>
      </c>
      <c r="R88" s="24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>
        <v>46050.0</v>
      </c>
      <c r="C89" s="12">
        <f>VLOOKUP(B:B,'Курс валют'!A:D,4,0)</f>
        <v>90.9329</v>
      </c>
      <c r="D89" s="13" t="s">
        <v>1526</v>
      </c>
      <c r="E89" s="59" t="s">
        <v>54</v>
      </c>
      <c r="F89" s="15">
        <v>800.0</v>
      </c>
      <c r="G89" s="15">
        <v>804.34</v>
      </c>
      <c r="H89" s="17">
        <v>0.0</v>
      </c>
      <c r="I89" s="15">
        <f t="shared" si="1"/>
        <v>4.34</v>
      </c>
      <c r="J89" s="18">
        <f t="shared" si="2"/>
        <v>0.5425</v>
      </c>
      <c r="K89" s="17">
        <v>2.0</v>
      </c>
      <c r="L89" s="19">
        <f t="shared" si="3"/>
        <v>0</v>
      </c>
      <c r="M89" s="20">
        <f t="shared" si="4"/>
        <v>181.8658</v>
      </c>
      <c r="N89" s="21">
        <f t="shared" si="5"/>
        <v>2</v>
      </c>
      <c r="O89" s="21">
        <f t="shared" si="6"/>
        <v>1600</v>
      </c>
      <c r="P89" s="22">
        <f t="shared" si="7"/>
        <v>145492.64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>
        <v>46050.0</v>
      </c>
      <c r="C90" s="12">
        <f>VLOOKUP(B:B,'Курс валют'!A:D,4,0)</f>
        <v>90.9329</v>
      </c>
      <c r="D90" s="13" t="s">
        <v>1527</v>
      </c>
      <c r="E90" s="59" t="s">
        <v>54</v>
      </c>
      <c r="F90" s="15">
        <v>800.0</v>
      </c>
      <c r="G90" s="15">
        <v>804.34</v>
      </c>
      <c r="H90" s="17">
        <v>0.0</v>
      </c>
      <c r="I90" s="15">
        <f t="shared" si="1"/>
        <v>4.34</v>
      </c>
      <c r="J90" s="18">
        <f t="shared" si="2"/>
        <v>0.5425</v>
      </c>
      <c r="K90" s="17">
        <v>2.0</v>
      </c>
      <c r="L90" s="19">
        <f t="shared" si="3"/>
        <v>0</v>
      </c>
      <c r="M90" s="20">
        <f t="shared" si="4"/>
        <v>181.8658</v>
      </c>
      <c r="N90" s="21">
        <f t="shared" si="5"/>
        <v>2</v>
      </c>
      <c r="O90" s="21">
        <f t="shared" si="6"/>
        <v>1600</v>
      </c>
      <c r="P90" s="22">
        <f t="shared" si="7"/>
        <v>145492.64</v>
      </c>
      <c r="R90" s="24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>
        <v>46050.0</v>
      </c>
      <c r="C91" s="12">
        <f>VLOOKUP(B:B,'Курс валют'!A:D,4,0)</f>
        <v>90.9329</v>
      </c>
      <c r="D91" s="13" t="s">
        <v>1528</v>
      </c>
      <c r="E91" s="59" t="s">
        <v>54</v>
      </c>
      <c r="F91" s="15">
        <v>800.0</v>
      </c>
      <c r="G91" s="15">
        <v>804.34</v>
      </c>
      <c r="H91" s="17">
        <v>0.0</v>
      </c>
      <c r="I91" s="15">
        <f t="shared" si="1"/>
        <v>4.34</v>
      </c>
      <c r="J91" s="18">
        <f t="shared" si="2"/>
        <v>0.5425</v>
      </c>
      <c r="K91" s="17">
        <v>2.0</v>
      </c>
      <c r="L91" s="19">
        <f t="shared" si="3"/>
        <v>0</v>
      </c>
      <c r="M91" s="20">
        <f t="shared" si="4"/>
        <v>181.8658</v>
      </c>
      <c r="N91" s="21">
        <f t="shared" si="5"/>
        <v>2</v>
      </c>
      <c r="O91" s="21">
        <f t="shared" si="6"/>
        <v>1600</v>
      </c>
      <c r="P91" s="22">
        <f t="shared" si="7"/>
        <v>145492.64</v>
      </c>
      <c r="R91" s="24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>
        <v>46050.0</v>
      </c>
      <c r="C92" s="12">
        <f>VLOOKUP(B:B,'Курс валют'!A:D,4,0)</f>
        <v>90.9329</v>
      </c>
      <c r="D92" s="13" t="s">
        <v>1529</v>
      </c>
      <c r="E92" s="59" t="s">
        <v>54</v>
      </c>
      <c r="F92" s="15">
        <v>800.0</v>
      </c>
      <c r="G92" s="15">
        <v>804.34</v>
      </c>
      <c r="H92" s="17">
        <v>0.0</v>
      </c>
      <c r="I92" s="15">
        <f t="shared" si="1"/>
        <v>4.34</v>
      </c>
      <c r="J92" s="18">
        <f t="shared" si="2"/>
        <v>0.5425</v>
      </c>
      <c r="K92" s="17">
        <v>2.0</v>
      </c>
      <c r="L92" s="19">
        <f t="shared" si="3"/>
        <v>0</v>
      </c>
      <c r="M92" s="20">
        <f t="shared" si="4"/>
        <v>181.8658</v>
      </c>
      <c r="N92" s="21">
        <f t="shared" si="5"/>
        <v>2</v>
      </c>
      <c r="O92" s="21">
        <f t="shared" si="6"/>
        <v>1600</v>
      </c>
      <c r="P92" s="22">
        <f t="shared" si="7"/>
        <v>145492.64</v>
      </c>
      <c r="R92" s="24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11">
        <v>46050.0</v>
      </c>
      <c r="C93" s="12">
        <f>VLOOKUP(B:B,'Курс валют'!A:D,4,0)</f>
        <v>90.9329</v>
      </c>
      <c r="D93" s="13" t="s">
        <v>1530</v>
      </c>
      <c r="E93" s="59" t="s">
        <v>54</v>
      </c>
      <c r="F93" s="15">
        <v>800.0</v>
      </c>
      <c r="G93" s="15">
        <v>804.34</v>
      </c>
      <c r="H93" s="17">
        <v>0.0</v>
      </c>
      <c r="I93" s="15">
        <f t="shared" si="1"/>
        <v>4.34</v>
      </c>
      <c r="J93" s="18">
        <f t="shared" si="2"/>
        <v>0.5425</v>
      </c>
      <c r="K93" s="17">
        <v>2.0</v>
      </c>
      <c r="L93" s="19">
        <f t="shared" si="3"/>
        <v>0</v>
      </c>
      <c r="M93" s="20">
        <f t="shared" si="4"/>
        <v>181.8658</v>
      </c>
      <c r="N93" s="21">
        <f t="shared" si="5"/>
        <v>2</v>
      </c>
      <c r="O93" s="21">
        <f t="shared" si="6"/>
        <v>1600</v>
      </c>
      <c r="P93" s="22">
        <f t="shared" si="7"/>
        <v>145492.64</v>
      </c>
      <c r="R93" s="24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>
        <v>46050.0</v>
      </c>
      <c r="C94" s="12">
        <f>VLOOKUP(B:B,'Курс валют'!A:D,4,0)</f>
        <v>90.9329</v>
      </c>
      <c r="D94" s="13" t="s">
        <v>1531</v>
      </c>
      <c r="E94" s="59" t="s">
        <v>54</v>
      </c>
      <c r="F94" s="15">
        <v>800.0</v>
      </c>
      <c r="G94" s="15">
        <v>804.34</v>
      </c>
      <c r="H94" s="17">
        <v>0.0</v>
      </c>
      <c r="I94" s="15">
        <f t="shared" si="1"/>
        <v>4.34</v>
      </c>
      <c r="J94" s="18">
        <f t="shared" si="2"/>
        <v>0.5425</v>
      </c>
      <c r="K94" s="17">
        <v>2.0</v>
      </c>
      <c r="L94" s="19">
        <f t="shared" si="3"/>
        <v>0</v>
      </c>
      <c r="M94" s="20">
        <f t="shared" si="4"/>
        <v>181.8658</v>
      </c>
      <c r="N94" s="21">
        <f t="shared" si="5"/>
        <v>2</v>
      </c>
      <c r="O94" s="21">
        <f t="shared" si="6"/>
        <v>1600</v>
      </c>
      <c r="P94" s="22">
        <f t="shared" si="7"/>
        <v>145492.64</v>
      </c>
      <c r="R94" s="24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>
        <v>46051.0</v>
      </c>
      <c r="C95" s="12">
        <f>VLOOKUP(B:B,'Курс валют'!A:D,4,0)</f>
        <v>91.2988</v>
      </c>
      <c r="D95" s="13" t="s">
        <v>1532</v>
      </c>
      <c r="E95" s="59" t="s">
        <v>54</v>
      </c>
      <c r="F95" s="15">
        <v>800.0</v>
      </c>
      <c r="G95" s="16">
        <v>804.34</v>
      </c>
      <c r="H95" s="17">
        <v>0.0</v>
      </c>
      <c r="I95" s="16">
        <f t="shared" si="1"/>
        <v>4.34</v>
      </c>
      <c r="J95" s="18">
        <f t="shared" si="2"/>
        <v>0.5425</v>
      </c>
      <c r="K95" s="17">
        <v>2.0</v>
      </c>
      <c r="L95" s="19">
        <f t="shared" si="3"/>
        <v>0</v>
      </c>
      <c r="M95" s="20">
        <f t="shared" si="4"/>
        <v>182.5976</v>
      </c>
      <c r="N95" s="21">
        <f t="shared" si="5"/>
        <v>2</v>
      </c>
      <c r="O95" s="21">
        <f t="shared" si="6"/>
        <v>1600</v>
      </c>
      <c r="P95" s="22">
        <f t="shared" si="7"/>
        <v>146078.08</v>
      </c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>
        <v>46051.0</v>
      </c>
      <c r="C96" s="12">
        <f>VLOOKUP(B:B,'Курс валют'!A:D,4,0)</f>
        <v>91.2988</v>
      </c>
      <c r="D96" s="13" t="s">
        <v>1533</v>
      </c>
      <c r="E96" s="59" t="s">
        <v>54</v>
      </c>
      <c r="F96" s="15">
        <v>800.0</v>
      </c>
      <c r="G96" s="16">
        <v>804.34</v>
      </c>
      <c r="H96" s="17">
        <v>0.0</v>
      </c>
      <c r="I96" s="16">
        <f t="shared" si="1"/>
        <v>4.34</v>
      </c>
      <c r="J96" s="18">
        <f t="shared" si="2"/>
        <v>0.5425</v>
      </c>
      <c r="K96" s="17">
        <v>2.0</v>
      </c>
      <c r="L96" s="19">
        <f t="shared" si="3"/>
        <v>0</v>
      </c>
      <c r="M96" s="20">
        <f t="shared" si="4"/>
        <v>182.5976</v>
      </c>
      <c r="N96" s="21">
        <f t="shared" si="5"/>
        <v>2</v>
      </c>
      <c r="O96" s="21">
        <f t="shared" si="6"/>
        <v>1600</v>
      </c>
      <c r="P96" s="22">
        <f t="shared" si="7"/>
        <v>146078.08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>
        <v>46051.0</v>
      </c>
      <c r="C97" s="12">
        <f>VLOOKUP(B:B,'Курс валют'!A:D,4,0)</f>
        <v>91.2988</v>
      </c>
      <c r="D97" s="13" t="s">
        <v>1534</v>
      </c>
      <c r="E97" s="59" t="s">
        <v>54</v>
      </c>
      <c r="F97" s="15">
        <v>800.0</v>
      </c>
      <c r="G97" s="16">
        <v>804.34</v>
      </c>
      <c r="H97" s="17">
        <v>0.0</v>
      </c>
      <c r="I97" s="16">
        <f t="shared" si="1"/>
        <v>4.34</v>
      </c>
      <c r="J97" s="18">
        <f t="shared" si="2"/>
        <v>0.5425</v>
      </c>
      <c r="K97" s="17">
        <v>2.0</v>
      </c>
      <c r="L97" s="19">
        <f t="shared" si="3"/>
        <v>0</v>
      </c>
      <c r="M97" s="20">
        <f t="shared" si="4"/>
        <v>182.5976</v>
      </c>
      <c r="N97" s="21">
        <f t="shared" si="5"/>
        <v>2</v>
      </c>
      <c r="O97" s="21">
        <f t="shared" si="6"/>
        <v>1600</v>
      </c>
      <c r="P97" s="22">
        <f t="shared" si="7"/>
        <v>146078.08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>
        <v>46051.0</v>
      </c>
      <c r="C98" s="12">
        <f>VLOOKUP(B:B,'Курс валют'!A:D,4,0)</f>
        <v>91.2988</v>
      </c>
      <c r="D98" s="13" t="s">
        <v>1535</v>
      </c>
      <c r="E98" s="59" t="s">
        <v>54</v>
      </c>
      <c r="F98" s="15">
        <v>800.0</v>
      </c>
      <c r="G98" s="16">
        <v>804.34</v>
      </c>
      <c r="H98" s="17">
        <v>0.0</v>
      </c>
      <c r="I98" s="16">
        <f t="shared" si="1"/>
        <v>4.34</v>
      </c>
      <c r="J98" s="18">
        <f t="shared" si="2"/>
        <v>0.5425</v>
      </c>
      <c r="K98" s="17">
        <v>2.0</v>
      </c>
      <c r="L98" s="19">
        <f t="shared" si="3"/>
        <v>0</v>
      </c>
      <c r="M98" s="20">
        <f t="shared" si="4"/>
        <v>182.5976</v>
      </c>
      <c r="N98" s="21">
        <f t="shared" si="5"/>
        <v>2</v>
      </c>
      <c r="O98" s="21">
        <f t="shared" si="6"/>
        <v>1600</v>
      </c>
      <c r="P98" s="22">
        <f t="shared" si="7"/>
        <v>146078.08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>
        <v>46051.0</v>
      </c>
      <c r="C99" s="12">
        <f>VLOOKUP(B:B,'Курс валют'!A:D,4,0)</f>
        <v>91.2988</v>
      </c>
      <c r="D99" s="13" t="s">
        <v>1536</v>
      </c>
      <c r="E99" s="59" t="s">
        <v>54</v>
      </c>
      <c r="F99" s="15">
        <v>800.0</v>
      </c>
      <c r="G99" s="16">
        <v>804.34</v>
      </c>
      <c r="H99" s="17">
        <v>0.0</v>
      </c>
      <c r="I99" s="16">
        <f t="shared" si="1"/>
        <v>4.34</v>
      </c>
      <c r="J99" s="18">
        <f t="shared" si="2"/>
        <v>0.5425</v>
      </c>
      <c r="K99" s="17">
        <v>2.0</v>
      </c>
      <c r="L99" s="19">
        <f t="shared" si="3"/>
        <v>0</v>
      </c>
      <c r="M99" s="20">
        <f t="shared" si="4"/>
        <v>182.5976</v>
      </c>
      <c r="N99" s="21">
        <f t="shared" si="5"/>
        <v>2</v>
      </c>
      <c r="O99" s="21">
        <f t="shared" si="6"/>
        <v>1600</v>
      </c>
      <c r="P99" s="22">
        <f t="shared" si="7"/>
        <v>146078.08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>
        <v>46051.0</v>
      </c>
      <c r="C100" s="12">
        <f>VLOOKUP(B:B,'Курс валют'!A:D,4,0)</f>
        <v>91.2988</v>
      </c>
      <c r="D100" s="13" t="s">
        <v>1537</v>
      </c>
      <c r="E100" s="59" t="s">
        <v>54</v>
      </c>
      <c r="F100" s="15">
        <v>800.0</v>
      </c>
      <c r="G100" s="16">
        <v>804.34</v>
      </c>
      <c r="H100" s="17">
        <v>0.0</v>
      </c>
      <c r="I100" s="16">
        <f t="shared" si="1"/>
        <v>4.34</v>
      </c>
      <c r="J100" s="18">
        <f t="shared" si="2"/>
        <v>0.5425</v>
      </c>
      <c r="K100" s="17">
        <v>2.0</v>
      </c>
      <c r="L100" s="19">
        <f t="shared" si="3"/>
        <v>0</v>
      </c>
      <c r="M100" s="20">
        <f t="shared" si="4"/>
        <v>182.5976</v>
      </c>
      <c r="N100" s="21">
        <f t="shared" si="5"/>
        <v>2</v>
      </c>
      <c r="O100" s="21">
        <f t="shared" si="6"/>
        <v>1600</v>
      </c>
      <c r="P100" s="22">
        <f t="shared" si="7"/>
        <v>146078.08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>
        <v>46051.0</v>
      </c>
      <c r="C101" s="12">
        <f>VLOOKUP(B:B,'Курс валют'!A:D,4,0)</f>
        <v>91.2988</v>
      </c>
      <c r="D101" s="13" t="s">
        <v>1538</v>
      </c>
      <c r="E101" s="59" t="s">
        <v>54</v>
      </c>
      <c r="F101" s="15">
        <v>800.0</v>
      </c>
      <c r="G101" s="16">
        <v>804.34</v>
      </c>
      <c r="H101" s="17">
        <v>0.0</v>
      </c>
      <c r="I101" s="16">
        <f t="shared" si="1"/>
        <v>4.34</v>
      </c>
      <c r="J101" s="18">
        <f t="shared" si="2"/>
        <v>0.5425</v>
      </c>
      <c r="K101" s="17">
        <v>2.0</v>
      </c>
      <c r="L101" s="19">
        <f t="shared" si="3"/>
        <v>0</v>
      </c>
      <c r="M101" s="20">
        <f t="shared" si="4"/>
        <v>182.5976</v>
      </c>
      <c r="N101" s="21">
        <f t="shared" si="5"/>
        <v>2</v>
      </c>
      <c r="O101" s="21">
        <f t="shared" si="6"/>
        <v>1600</v>
      </c>
      <c r="P101" s="22">
        <f t="shared" si="7"/>
        <v>146078.08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>
        <v>46051.0</v>
      </c>
      <c r="C102" s="12">
        <f>VLOOKUP(B:B,'Курс валют'!A:D,4,0)</f>
        <v>91.2988</v>
      </c>
      <c r="D102" s="13" t="s">
        <v>1539</v>
      </c>
      <c r="E102" s="59" t="s">
        <v>54</v>
      </c>
      <c r="F102" s="15">
        <v>800.0</v>
      </c>
      <c r="G102" s="16">
        <v>804.34</v>
      </c>
      <c r="H102" s="17">
        <v>0.0</v>
      </c>
      <c r="I102" s="16">
        <f t="shared" si="1"/>
        <v>4.34</v>
      </c>
      <c r="J102" s="18">
        <f t="shared" si="2"/>
        <v>0.5425</v>
      </c>
      <c r="K102" s="17">
        <v>2.0</v>
      </c>
      <c r="L102" s="19">
        <f t="shared" si="3"/>
        <v>0</v>
      </c>
      <c r="M102" s="20">
        <f t="shared" si="4"/>
        <v>182.5976</v>
      </c>
      <c r="N102" s="21">
        <f t="shared" si="5"/>
        <v>2</v>
      </c>
      <c r="O102" s="21">
        <f t="shared" si="6"/>
        <v>1600</v>
      </c>
      <c r="P102" s="22">
        <f t="shared" si="7"/>
        <v>146078.08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>
        <v>46051.0</v>
      </c>
      <c r="C103" s="12">
        <f>VLOOKUP(B:B,'Курс валют'!A:D,4,0)</f>
        <v>91.2988</v>
      </c>
      <c r="D103" s="13" t="s">
        <v>1540</v>
      </c>
      <c r="E103" s="59" t="s">
        <v>54</v>
      </c>
      <c r="F103" s="15">
        <v>800.0</v>
      </c>
      <c r="G103" s="16">
        <v>804.34</v>
      </c>
      <c r="H103" s="17">
        <v>0.0</v>
      </c>
      <c r="I103" s="16">
        <f t="shared" si="1"/>
        <v>4.34</v>
      </c>
      <c r="J103" s="18">
        <f t="shared" si="2"/>
        <v>0.5425</v>
      </c>
      <c r="K103" s="17">
        <v>2.0</v>
      </c>
      <c r="L103" s="19">
        <f t="shared" si="3"/>
        <v>0</v>
      </c>
      <c r="M103" s="20">
        <f t="shared" si="4"/>
        <v>182.5976</v>
      </c>
      <c r="N103" s="21">
        <f t="shared" si="5"/>
        <v>2</v>
      </c>
      <c r="O103" s="21">
        <f t="shared" si="6"/>
        <v>1600</v>
      </c>
      <c r="P103" s="22">
        <f t="shared" si="7"/>
        <v>146078.08</v>
      </c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>
        <v>46051.0</v>
      </c>
      <c r="C104" s="12">
        <f>VLOOKUP(B:B,'Курс валют'!A:D,4,0)</f>
        <v>91.2988</v>
      </c>
      <c r="D104" s="13" t="s">
        <v>1541</v>
      </c>
      <c r="E104" s="59" t="s">
        <v>54</v>
      </c>
      <c r="F104" s="15">
        <v>800.0</v>
      </c>
      <c r="G104" s="16">
        <v>804.34</v>
      </c>
      <c r="H104" s="17">
        <v>0.0</v>
      </c>
      <c r="I104" s="16">
        <f t="shared" si="1"/>
        <v>4.34</v>
      </c>
      <c r="J104" s="18">
        <f t="shared" si="2"/>
        <v>0.5425</v>
      </c>
      <c r="K104" s="17">
        <v>2.0</v>
      </c>
      <c r="L104" s="19">
        <f t="shared" si="3"/>
        <v>0</v>
      </c>
      <c r="M104" s="20">
        <f t="shared" si="4"/>
        <v>182.5976</v>
      </c>
      <c r="N104" s="21">
        <f t="shared" si="5"/>
        <v>2</v>
      </c>
      <c r="O104" s="21">
        <f t="shared" si="6"/>
        <v>1600</v>
      </c>
      <c r="P104" s="22">
        <f t="shared" si="7"/>
        <v>146078.08</v>
      </c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>
        <v>46051.0</v>
      </c>
      <c r="C105" s="12">
        <f>VLOOKUP(B:B,'Курс валют'!A:D,4,0)</f>
        <v>91.2988</v>
      </c>
      <c r="D105" s="13" t="s">
        <v>1542</v>
      </c>
      <c r="E105" s="59" t="s">
        <v>107</v>
      </c>
      <c r="F105" s="15">
        <v>2160.0</v>
      </c>
      <c r="G105" s="16">
        <v>2237.8</v>
      </c>
      <c r="H105" s="17">
        <v>0.0</v>
      </c>
      <c r="I105" s="16">
        <f t="shared" si="1"/>
        <v>77.8</v>
      </c>
      <c r="J105" s="18">
        <f t="shared" si="2"/>
        <v>3.601851852</v>
      </c>
      <c r="K105" s="17">
        <v>2.72</v>
      </c>
      <c r="L105" s="19">
        <f t="shared" si="3"/>
        <v>0</v>
      </c>
      <c r="M105" s="20">
        <f t="shared" si="4"/>
        <v>248.332736</v>
      </c>
      <c r="N105" s="21">
        <f t="shared" si="5"/>
        <v>2.72</v>
      </c>
      <c r="O105" s="21">
        <f t="shared" si="6"/>
        <v>5875.2</v>
      </c>
      <c r="P105" s="22">
        <f t="shared" si="7"/>
        <v>536398.7098</v>
      </c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>
        <v>46052.0</v>
      </c>
      <c r="C106" s="12">
        <f>VLOOKUP(B:B,'Курс валют'!A:D,4,0)</f>
        <v>90.9751</v>
      </c>
      <c r="D106" s="13" t="s">
        <v>1543</v>
      </c>
      <c r="E106" s="59" t="s">
        <v>71</v>
      </c>
      <c r="F106" s="15">
        <v>800.0</v>
      </c>
      <c r="G106" s="15">
        <v>803.93</v>
      </c>
      <c r="H106" s="17">
        <v>76.1</v>
      </c>
      <c r="I106" s="15">
        <f t="shared" si="1"/>
        <v>3.93</v>
      </c>
      <c r="J106" s="18">
        <f t="shared" si="2"/>
        <v>0.49125</v>
      </c>
      <c r="K106" s="17">
        <v>2.16</v>
      </c>
      <c r="L106" s="19">
        <f t="shared" si="3"/>
        <v>9.5125</v>
      </c>
      <c r="M106" s="20">
        <f t="shared" si="4"/>
        <v>170.1980366</v>
      </c>
      <c r="N106" s="21">
        <f t="shared" si="5"/>
        <v>1.87082</v>
      </c>
      <c r="O106" s="21">
        <f t="shared" si="6"/>
        <v>1496.656</v>
      </c>
      <c r="P106" s="22">
        <f t="shared" si="7"/>
        <v>136158.4293</v>
      </c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>
        <v>46052.0</v>
      </c>
      <c r="C107" s="12">
        <f>VLOOKUP(B:B,'Курс валют'!A:D,4,0)</f>
        <v>90.9751</v>
      </c>
      <c r="D107" s="13" t="s">
        <v>1544</v>
      </c>
      <c r="E107" s="59" t="s">
        <v>71</v>
      </c>
      <c r="F107" s="15">
        <v>800.0</v>
      </c>
      <c r="G107" s="15">
        <v>803.93</v>
      </c>
      <c r="H107" s="17">
        <v>76.1</v>
      </c>
      <c r="I107" s="15">
        <f t="shared" si="1"/>
        <v>3.93</v>
      </c>
      <c r="J107" s="18">
        <f t="shared" si="2"/>
        <v>0.49125</v>
      </c>
      <c r="K107" s="17">
        <v>2.15</v>
      </c>
      <c r="L107" s="19">
        <f t="shared" si="3"/>
        <v>9.5125</v>
      </c>
      <c r="M107" s="20">
        <f t="shared" si="4"/>
        <v>169.2882856</v>
      </c>
      <c r="N107" s="21">
        <f t="shared" si="5"/>
        <v>1.86082</v>
      </c>
      <c r="O107" s="21">
        <f t="shared" si="6"/>
        <v>1488.656</v>
      </c>
      <c r="P107" s="22">
        <f t="shared" si="7"/>
        <v>135430.6285</v>
      </c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>
        <v>46052.0</v>
      </c>
      <c r="C108" s="12">
        <f>VLOOKUP(B:B,'Курс валют'!A:D,4,0)</f>
        <v>90.9751</v>
      </c>
      <c r="D108" s="13" t="s">
        <v>1545</v>
      </c>
      <c r="E108" s="59" t="s">
        <v>71</v>
      </c>
      <c r="F108" s="15">
        <v>800.0</v>
      </c>
      <c r="G108" s="15">
        <v>803.93</v>
      </c>
      <c r="H108" s="17">
        <v>76.1</v>
      </c>
      <c r="I108" s="15">
        <f t="shared" si="1"/>
        <v>3.93</v>
      </c>
      <c r="J108" s="18">
        <f t="shared" si="2"/>
        <v>0.49125</v>
      </c>
      <c r="K108" s="17">
        <v>2.15</v>
      </c>
      <c r="L108" s="19">
        <f t="shared" si="3"/>
        <v>9.5125</v>
      </c>
      <c r="M108" s="20">
        <f t="shared" si="4"/>
        <v>169.2882856</v>
      </c>
      <c r="N108" s="21">
        <f t="shared" si="5"/>
        <v>1.86082</v>
      </c>
      <c r="O108" s="21">
        <f t="shared" si="6"/>
        <v>1488.656</v>
      </c>
      <c r="P108" s="22">
        <f t="shared" si="7"/>
        <v>135430.6285</v>
      </c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>
        <v>46052.0</v>
      </c>
      <c r="C109" s="12">
        <f>VLOOKUP(B:B,'Курс валют'!A:D,4,0)</f>
        <v>90.9751</v>
      </c>
      <c r="D109" s="13" t="s">
        <v>1546</v>
      </c>
      <c r="E109" s="59" t="s">
        <v>71</v>
      </c>
      <c r="F109" s="15">
        <v>800.0</v>
      </c>
      <c r="G109" s="15">
        <v>803.93</v>
      </c>
      <c r="H109" s="17">
        <v>76.1</v>
      </c>
      <c r="I109" s="15">
        <f t="shared" si="1"/>
        <v>3.93</v>
      </c>
      <c r="J109" s="18">
        <f t="shared" si="2"/>
        <v>0.49125</v>
      </c>
      <c r="K109" s="17">
        <v>2.15</v>
      </c>
      <c r="L109" s="19">
        <f t="shared" si="3"/>
        <v>9.5125</v>
      </c>
      <c r="M109" s="20">
        <f t="shared" si="4"/>
        <v>169.2882856</v>
      </c>
      <c r="N109" s="21">
        <f t="shared" si="5"/>
        <v>1.86082</v>
      </c>
      <c r="O109" s="21">
        <f t="shared" si="6"/>
        <v>1488.656</v>
      </c>
      <c r="P109" s="22">
        <f t="shared" si="7"/>
        <v>135430.6285</v>
      </c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>
        <v>46052.0</v>
      </c>
      <c r="C110" s="12">
        <f>VLOOKUP(B:B,'Курс валют'!A:D,4,0)</f>
        <v>90.9751</v>
      </c>
      <c r="D110" s="13" t="s">
        <v>1547</v>
      </c>
      <c r="E110" s="59" t="s">
        <v>71</v>
      </c>
      <c r="F110" s="15">
        <v>800.0</v>
      </c>
      <c r="G110" s="15">
        <v>803.93</v>
      </c>
      <c r="H110" s="17">
        <v>76.1</v>
      </c>
      <c r="I110" s="15">
        <f t="shared" si="1"/>
        <v>3.93</v>
      </c>
      <c r="J110" s="18">
        <f t="shared" si="2"/>
        <v>0.49125</v>
      </c>
      <c r="K110" s="17">
        <v>2.15</v>
      </c>
      <c r="L110" s="19">
        <f t="shared" si="3"/>
        <v>9.5125</v>
      </c>
      <c r="M110" s="20">
        <f t="shared" si="4"/>
        <v>169.2882856</v>
      </c>
      <c r="N110" s="21">
        <f t="shared" si="5"/>
        <v>1.86082</v>
      </c>
      <c r="O110" s="21">
        <f t="shared" si="6"/>
        <v>1488.656</v>
      </c>
      <c r="P110" s="22">
        <f t="shared" si="7"/>
        <v>135430.6285</v>
      </c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>
        <v>46052.0</v>
      </c>
      <c r="C111" s="12">
        <f>VLOOKUP(B:B,'Курс валют'!A:D,4,0)</f>
        <v>90.9751</v>
      </c>
      <c r="D111" s="13" t="s">
        <v>1548</v>
      </c>
      <c r="E111" s="59" t="s">
        <v>107</v>
      </c>
      <c r="F111" s="15">
        <v>2160.0</v>
      </c>
      <c r="G111" s="16">
        <v>2210.3</v>
      </c>
      <c r="H111" s="17">
        <v>0.0</v>
      </c>
      <c r="I111" s="16">
        <f t="shared" si="1"/>
        <v>50.3</v>
      </c>
      <c r="J111" s="18">
        <f t="shared" si="2"/>
        <v>2.328703704</v>
      </c>
      <c r="K111" s="17">
        <v>2.72</v>
      </c>
      <c r="L111" s="19">
        <f t="shared" si="3"/>
        <v>0</v>
      </c>
      <c r="M111" s="20">
        <f t="shared" si="4"/>
        <v>247.452272</v>
      </c>
      <c r="N111" s="21">
        <f t="shared" si="5"/>
        <v>2.72</v>
      </c>
      <c r="O111" s="21">
        <f t="shared" si="6"/>
        <v>5875.2</v>
      </c>
      <c r="P111" s="22">
        <f t="shared" si="7"/>
        <v>534496.9075</v>
      </c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>
        <v>46053.0</v>
      </c>
      <c r="C112" s="12">
        <f>VLOOKUP(B:B,'Курс валют'!A:D,4,0)</f>
        <v>90.468</v>
      </c>
      <c r="D112" s="13" t="s">
        <v>1549</v>
      </c>
      <c r="E112" s="59" t="s">
        <v>107</v>
      </c>
      <c r="F112" s="15">
        <v>2160.0</v>
      </c>
      <c r="G112" s="16">
        <v>2210.3</v>
      </c>
      <c r="H112" s="17">
        <v>0.0</v>
      </c>
      <c r="I112" s="16">
        <f t="shared" si="1"/>
        <v>50.3</v>
      </c>
      <c r="J112" s="18">
        <f t="shared" si="2"/>
        <v>2.328703704</v>
      </c>
      <c r="K112" s="17">
        <v>2.72</v>
      </c>
      <c r="L112" s="19">
        <f t="shared" si="3"/>
        <v>0</v>
      </c>
      <c r="M112" s="20">
        <f t="shared" si="4"/>
        <v>246.07296</v>
      </c>
      <c r="N112" s="21">
        <f t="shared" si="5"/>
        <v>2.72</v>
      </c>
      <c r="O112" s="21">
        <f t="shared" si="6"/>
        <v>5875.2</v>
      </c>
      <c r="P112" s="22">
        <f t="shared" si="7"/>
        <v>531517.5936</v>
      </c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>
        <v>46053.0</v>
      </c>
      <c r="C113" s="12">
        <f>VLOOKUP(B:B,'Курс валют'!A:D,4,0)</f>
        <v>90.468</v>
      </c>
      <c r="D113" s="13" t="s">
        <v>1550</v>
      </c>
      <c r="E113" s="59" t="s">
        <v>98</v>
      </c>
      <c r="F113" s="15">
        <v>9000.0</v>
      </c>
      <c r="G113" s="74">
        <v>9020.0</v>
      </c>
      <c r="H113" s="17">
        <v>0.0</v>
      </c>
      <c r="I113" s="74">
        <f t="shared" si="1"/>
        <v>20</v>
      </c>
      <c r="J113" s="18">
        <f t="shared" si="2"/>
        <v>0.2222222222</v>
      </c>
      <c r="K113" s="17">
        <v>2.05</v>
      </c>
      <c r="L113" s="19">
        <f t="shared" si="3"/>
        <v>0</v>
      </c>
      <c r="M113" s="20">
        <f t="shared" si="4"/>
        <v>185.4594</v>
      </c>
      <c r="N113" s="21">
        <f t="shared" si="5"/>
        <v>2.05</v>
      </c>
      <c r="O113" s="21">
        <f t="shared" si="6"/>
        <v>18450</v>
      </c>
      <c r="P113" s="22">
        <f t="shared" si="7"/>
        <v>1669134.6</v>
      </c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>
        <v>46053.0</v>
      </c>
      <c r="C114" s="12">
        <f>VLOOKUP(B:B,'Курс валют'!A:D,4,0)</f>
        <v>90.468</v>
      </c>
      <c r="D114" s="13" t="s">
        <v>1551</v>
      </c>
      <c r="E114" s="59" t="s">
        <v>170</v>
      </c>
      <c r="F114" s="15">
        <v>198.0</v>
      </c>
      <c r="G114" s="15">
        <v>200.0</v>
      </c>
      <c r="H114" s="17">
        <v>0.0</v>
      </c>
      <c r="I114" s="15">
        <f t="shared" si="1"/>
        <v>2</v>
      </c>
      <c r="J114" s="18">
        <f t="shared" si="2"/>
        <v>1.01010101</v>
      </c>
      <c r="K114" s="17">
        <v>2.42</v>
      </c>
      <c r="L114" s="19">
        <f t="shared" si="3"/>
        <v>0</v>
      </c>
      <c r="M114" s="20">
        <f t="shared" si="4"/>
        <v>218.93256</v>
      </c>
      <c r="N114" s="21">
        <f t="shared" si="5"/>
        <v>2.42</v>
      </c>
      <c r="O114" s="21">
        <f t="shared" si="6"/>
        <v>479.16</v>
      </c>
      <c r="P114" s="22">
        <f t="shared" si="7"/>
        <v>43348.64688</v>
      </c>
      <c r="R114" s="24" t="s">
        <v>1552</v>
      </c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12" t="str">
        <f>VLOOKUP(B:B,'Курс валют'!A:D,4,0)</f>
        <v>#N/A</v>
      </c>
      <c r="D115" s="13"/>
      <c r="E115" s="67"/>
      <c r="F115" s="67"/>
      <c r="G115" s="67"/>
      <c r="H115" s="65"/>
      <c r="I115" s="15">
        <f t="shared" si="1"/>
        <v>0</v>
      </c>
      <c r="J115" s="18" t="str">
        <f t="shared" si="2"/>
        <v>#DIV/0!</v>
      </c>
      <c r="K115" s="65"/>
      <c r="L115" s="19" t="str">
        <f t="shared" si="3"/>
        <v>#DIV/0!</v>
      </c>
      <c r="M115" s="20" t="str">
        <f t="shared" si="4"/>
        <v>#DIV/0!</v>
      </c>
      <c r="N115" s="21" t="str">
        <f t="shared" si="5"/>
        <v>#DIV/0!</v>
      </c>
      <c r="O115" s="21" t="str">
        <f t="shared" si="6"/>
        <v>#DIV/0!</v>
      </c>
      <c r="P115" s="22" t="str">
        <f t="shared" si="7"/>
        <v>#DIV/0!</v>
      </c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12" t="str">
        <f>VLOOKUP(B:B,'Курс валют'!A:D,4,0)</f>
        <v>#N/A</v>
      </c>
      <c r="D116" s="66"/>
      <c r="E116" s="67"/>
      <c r="F116" s="67"/>
      <c r="G116" s="67"/>
      <c r="H116" s="65"/>
      <c r="I116" s="15">
        <f t="shared" si="1"/>
        <v>0</v>
      </c>
      <c r="J116" s="18" t="str">
        <f t="shared" si="2"/>
        <v>#DIV/0!</v>
      </c>
      <c r="K116" s="65"/>
      <c r="L116" s="19" t="str">
        <f t="shared" si="3"/>
        <v>#DIV/0!</v>
      </c>
      <c r="M116" s="20" t="str">
        <f t="shared" si="4"/>
        <v>#DIV/0!</v>
      </c>
      <c r="N116" s="21" t="str">
        <f t="shared" si="5"/>
        <v>#DIV/0!</v>
      </c>
      <c r="O116" s="21" t="str">
        <f t="shared" si="6"/>
        <v>#DIV/0!</v>
      </c>
      <c r="P116" s="22" t="str">
        <f t="shared" si="7"/>
        <v>#DIV/0!</v>
      </c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12" t="str">
        <f>VLOOKUP(B:B,'Курс валют'!A:D,4,0)</f>
        <v>#N/A</v>
      </c>
      <c r="D117" s="66"/>
      <c r="E117" s="67"/>
      <c r="F117" s="67"/>
      <c r="G117" s="67"/>
      <c r="H117" s="65"/>
      <c r="I117" s="15">
        <f t="shared" si="1"/>
        <v>0</v>
      </c>
      <c r="J117" s="18" t="str">
        <f t="shared" si="2"/>
        <v>#DIV/0!</v>
      </c>
      <c r="K117" s="65"/>
      <c r="L117" s="19" t="str">
        <f t="shared" si="3"/>
        <v>#DIV/0!</v>
      </c>
      <c r="M117" s="20" t="str">
        <f t="shared" si="4"/>
        <v>#DIV/0!</v>
      </c>
      <c r="N117" s="21" t="str">
        <f t="shared" si="5"/>
        <v>#DIV/0!</v>
      </c>
      <c r="O117" s="21" t="str">
        <f t="shared" si="6"/>
        <v>#DIV/0!</v>
      </c>
      <c r="P117" s="22" t="str">
        <f t="shared" si="7"/>
        <v>#DIV/0!</v>
      </c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12" t="str">
        <f>VLOOKUP(B:B,'Курс валют'!A:D,4,0)</f>
        <v>#N/A</v>
      </c>
      <c r="D118" s="66"/>
      <c r="E118" s="67"/>
      <c r="F118" s="67"/>
      <c r="G118" s="67"/>
      <c r="H118" s="65"/>
      <c r="I118" s="15">
        <f t="shared" si="1"/>
        <v>0</v>
      </c>
      <c r="J118" s="18" t="str">
        <f t="shared" si="2"/>
        <v>#DIV/0!</v>
      </c>
      <c r="K118" s="65"/>
      <c r="L118" s="19" t="str">
        <f t="shared" si="3"/>
        <v>#DIV/0!</v>
      </c>
      <c r="M118" s="20" t="str">
        <f t="shared" si="4"/>
        <v>#DIV/0!</v>
      </c>
      <c r="N118" s="21" t="str">
        <f t="shared" si="5"/>
        <v>#DIV/0!</v>
      </c>
      <c r="O118" s="21" t="str">
        <f t="shared" si="6"/>
        <v>#DIV/0!</v>
      </c>
      <c r="P118" s="22" t="str">
        <f t="shared" si="7"/>
        <v>#DIV/0!</v>
      </c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12" t="str">
        <f>VLOOKUP(B:B,'Курс валют'!A:D,4,0)</f>
        <v>#N/A</v>
      </c>
      <c r="D119" s="66"/>
      <c r="E119" s="67"/>
      <c r="F119" s="67"/>
      <c r="G119" s="67"/>
      <c r="H119" s="65"/>
      <c r="I119" s="15">
        <f t="shared" si="1"/>
        <v>0</v>
      </c>
      <c r="J119" s="18" t="str">
        <f t="shared" si="2"/>
        <v>#DIV/0!</v>
      </c>
      <c r="K119" s="65"/>
      <c r="L119" s="19" t="str">
        <f t="shared" si="3"/>
        <v>#DIV/0!</v>
      </c>
      <c r="M119" s="20" t="str">
        <f t="shared" si="4"/>
        <v>#DIV/0!</v>
      </c>
      <c r="N119" s="21" t="str">
        <f t="shared" si="5"/>
        <v>#DIV/0!</v>
      </c>
      <c r="O119" s="21" t="str">
        <f t="shared" si="6"/>
        <v>#DIV/0!</v>
      </c>
      <c r="P119" s="22" t="str">
        <f t="shared" si="7"/>
        <v>#DIV/0!</v>
      </c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25"/>
      <c r="D120" s="69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25"/>
      <c r="D121" s="69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25"/>
      <c r="D122" s="69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/>
      <c r="C123" s="25"/>
      <c r="D123" s="69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B124" s="68"/>
      <c r="D124" s="69"/>
      <c r="H124" s="70"/>
      <c r="K124" s="70"/>
      <c r="L124" s="71"/>
      <c r="M124" s="72"/>
      <c r="P124" s="72"/>
    </row>
    <row r="125">
      <c r="B125" s="68"/>
      <c r="D125" s="69"/>
      <c r="H125" s="70"/>
      <c r="K125" s="70"/>
      <c r="L125" s="71"/>
      <c r="M125" s="72"/>
      <c r="P125" s="72"/>
    </row>
    <row r="126">
      <c r="B126" s="68"/>
      <c r="D126" s="69"/>
      <c r="H126" s="70"/>
      <c r="K126" s="70"/>
      <c r="L126" s="71"/>
      <c r="M126" s="72"/>
      <c r="P126" s="72"/>
    </row>
    <row r="127">
      <c r="B127" s="68"/>
      <c r="D127" s="69"/>
      <c r="H127" s="70"/>
      <c r="K127" s="70"/>
      <c r="L127" s="71"/>
      <c r="M127" s="72"/>
      <c r="P127" s="72"/>
    </row>
    <row r="128">
      <c r="B128" s="68"/>
      <c r="D128" s="69"/>
      <c r="H128" s="70"/>
      <c r="K128" s="70"/>
      <c r="L128" s="71"/>
      <c r="M128" s="72"/>
      <c r="P128" s="72"/>
    </row>
    <row r="129">
      <c r="B129" s="68"/>
      <c r="D129" s="69"/>
      <c r="H129" s="70"/>
      <c r="K129" s="70"/>
      <c r="L129" s="71"/>
      <c r="M129" s="72"/>
      <c r="P129" s="72"/>
    </row>
    <row r="130">
      <c r="B130" s="68"/>
      <c r="D130" s="69"/>
      <c r="H130" s="70"/>
      <c r="K130" s="70"/>
      <c r="L130" s="71"/>
      <c r="M130" s="72"/>
      <c r="P130" s="72"/>
    </row>
    <row r="131">
      <c r="B131" s="68"/>
      <c r="D131" s="69"/>
      <c r="H131" s="70"/>
      <c r="K131" s="70"/>
      <c r="L131" s="71"/>
      <c r="M131" s="72"/>
      <c r="P131" s="72"/>
    </row>
    <row r="132">
      <c r="B132" s="68"/>
      <c r="D132" s="69"/>
      <c r="H132" s="70"/>
      <c r="K132" s="70"/>
      <c r="L132" s="71"/>
      <c r="M132" s="72"/>
      <c r="P132" s="72"/>
    </row>
    <row r="133">
      <c r="B133" s="68"/>
      <c r="D133" s="69"/>
      <c r="H133" s="70"/>
      <c r="K133" s="70"/>
      <c r="L133" s="71"/>
      <c r="M133" s="72"/>
      <c r="P133" s="72"/>
    </row>
    <row r="134">
      <c r="B134" s="68"/>
      <c r="D134" s="69"/>
      <c r="H134" s="70"/>
      <c r="K134" s="70"/>
      <c r="L134" s="71"/>
      <c r="M134" s="72"/>
      <c r="P134" s="72"/>
    </row>
    <row r="135">
      <c r="B135" s="68"/>
      <c r="D135" s="69"/>
      <c r="H135" s="70"/>
      <c r="K135" s="70"/>
      <c r="L135" s="71"/>
      <c r="M135" s="72"/>
      <c r="P135" s="72"/>
    </row>
    <row r="136">
      <c r="B136" s="68"/>
      <c r="D136" s="69"/>
      <c r="H136" s="70"/>
      <c r="K136" s="70"/>
      <c r="L136" s="71"/>
      <c r="M136" s="72"/>
      <c r="P136" s="72"/>
    </row>
    <row r="137">
      <c r="B137" s="68"/>
      <c r="D137" s="69"/>
      <c r="H137" s="70"/>
      <c r="K137" s="70"/>
      <c r="L137" s="71"/>
      <c r="M137" s="72"/>
      <c r="P137" s="72"/>
    </row>
    <row r="138">
      <c r="B138" s="68"/>
      <c r="D138" s="69"/>
      <c r="H138" s="70"/>
      <c r="K138" s="70"/>
      <c r="L138" s="71"/>
      <c r="M138" s="72"/>
      <c r="P138" s="72"/>
    </row>
    <row r="139">
      <c r="B139" s="68"/>
      <c r="D139" s="69"/>
      <c r="H139" s="70"/>
      <c r="K139" s="70"/>
      <c r="L139" s="71"/>
      <c r="M139" s="72"/>
      <c r="P139" s="72"/>
    </row>
    <row r="140">
      <c r="B140" s="68"/>
      <c r="D140" s="69"/>
      <c r="H140" s="70"/>
      <c r="K140" s="70"/>
      <c r="L140" s="71"/>
      <c r="M140" s="72"/>
      <c r="P140" s="72"/>
    </row>
    <row r="141">
      <c r="B141" s="68"/>
      <c r="D141" s="69"/>
      <c r="H141" s="70"/>
      <c r="K141" s="70"/>
      <c r="L141" s="71"/>
      <c r="M141" s="72"/>
      <c r="P141" s="72"/>
    </row>
    <row r="142">
      <c r="B142" s="68"/>
      <c r="D142" s="69"/>
      <c r="H142" s="70"/>
      <c r="K142" s="70"/>
      <c r="L142" s="71"/>
      <c r="M142" s="72"/>
      <c r="P142" s="72"/>
    </row>
    <row r="143">
      <c r="B143" s="68"/>
      <c r="D143" s="69"/>
      <c r="H143" s="70"/>
      <c r="K143" s="70"/>
      <c r="L143" s="71"/>
      <c r="M143" s="72"/>
      <c r="P143" s="72"/>
    </row>
    <row r="144">
      <c r="B144" s="68"/>
      <c r="D144" s="69"/>
      <c r="H144" s="70"/>
      <c r="K144" s="70"/>
      <c r="L144" s="71"/>
      <c r="M144" s="72"/>
      <c r="P144" s="72"/>
    </row>
    <row r="145">
      <c r="B145" s="68"/>
      <c r="D145" s="69"/>
      <c r="H145" s="70"/>
      <c r="K145" s="70"/>
      <c r="L145" s="71"/>
      <c r="M145" s="72"/>
      <c r="P145" s="72"/>
    </row>
    <row r="146">
      <c r="B146" s="68"/>
      <c r="D146" s="69"/>
      <c r="H146" s="70"/>
      <c r="K146" s="70"/>
      <c r="L146" s="71"/>
      <c r="M146" s="72"/>
      <c r="P146" s="72"/>
    </row>
    <row r="147">
      <c r="B147" s="68"/>
      <c r="D147" s="69"/>
      <c r="H147" s="70"/>
      <c r="K147" s="70"/>
      <c r="L147" s="71"/>
      <c r="M147" s="72"/>
      <c r="P147" s="72"/>
    </row>
    <row r="148">
      <c r="B148" s="68"/>
      <c r="D148" s="69"/>
      <c r="H148" s="70"/>
      <c r="K148" s="70"/>
      <c r="L148" s="71"/>
      <c r="M148" s="72"/>
      <c r="P148" s="72"/>
    </row>
    <row r="149">
      <c r="B149" s="68"/>
      <c r="D149" s="69"/>
      <c r="H149" s="70"/>
      <c r="K149" s="70"/>
      <c r="L149" s="71"/>
      <c r="M149" s="72"/>
      <c r="P149" s="72"/>
    </row>
    <row r="150">
      <c r="B150" s="68"/>
      <c r="D150" s="69"/>
      <c r="H150" s="70"/>
      <c r="K150" s="70"/>
      <c r="L150" s="71"/>
      <c r="M150" s="72"/>
      <c r="P150" s="72"/>
    </row>
    <row r="151">
      <c r="B151" s="68"/>
      <c r="D151" s="69"/>
      <c r="H151" s="70"/>
      <c r="K151" s="70"/>
      <c r="L151" s="71"/>
      <c r="M151" s="72"/>
      <c r="P151" s="72"/>
    </row>
    <row r="152">
      <c r="B152" s="68"/>
      <c r="D152" s="69"/>
      <c r="H152" s="70"/>
      <c r="K152" s="70"/>
      <c r="L152" s="71"/>
      <c r="M152" s="72"/>
      <c r="P152" s="72"/>
    </row>
    <row r="153">
      <c r="B153" s="68"/>
      <c r="D153" s="69"/>
      <c r="H153" s="70"/>
      <c r="K153" s="70"/>
      <c r="L153" s="71"/>
      <c r="M153" s="72"/>
      <c r="P153" s="72"/>
    </row>
    <row r="154">
      <c r="B154" s="68"/>
      <c r="D154" s="69"/>
      <c r="H154" s="70"/>
      <c r="K154" s="70"/>
      <c r="L154" s="71"/>
      <c r="M154" s="72"/>
      <c r="P154" s="72"/>
    </row>
    <row r="155">
      <c r="B155" s="68"/>
      <c r="D155" s="69"/>
      <c r="H155" s="70"/>
      <c r="K155" s="70"/>
      <c r="L155" s="71"/>
      <c r="M155" s="72"/>
      <c r="P155" s="72"/>
    </row>
    <row r="156">
      <c r="B156" s="68"/>
      <c r="D156" s="69"/>
      <c r="H156" s="70"/>
      <c r="K156" s="70"/>
      <c r="L156" s="71"/>
      <c r="M156" s="72"/>
      <c r="P156" s="72"/>
    </row>
    <row r="157">
      <c r="B157" s="68"/>
      <c r="D157" s="69"/>
      <c r="H157" s="70"/>
      <c r="K157" s="70"/>
      <c r="L157" s="71"/>
      <c r="M157" s="72"/>
      <c r="P157" s="72"/>
    </row>
    <row r="158">
      <c r="B158" s="68"/>
      <c r="D158" s="69"/>
      <c r="H158" s="70"/>
      <c r="K158" s="70"/>
      <c r="L158" s="71"/>
      <c r="M158" s="72"/>
      <c r="P158" s="72"/>
    </row>
    <row r="159">
      <c r="B159" s="68"/>
      <c r="D159" s="69"/>
      <c r="H159" s="70"/>
      <c r="K159" s="70"/>
      <c r="L159" s="71"/>
      <c r="M159" s="72"/>
      <c r="P159" s="72"/>
    </row>
    <row r="160">
      <c r="B160" s="68"/>
      <c r="D160" s="69"/>
      <c r="H160" s="70"/>
      <c r="K160" s="70"/>
      <c r="L160" s="71"/>
      <c r="M160" s="72"/>
      <c r="P160" s="72"/>
    </row>
    <row r="161">
      <c r="B161" s="68"/>
      <c r="D161" s="69"/>
      <c r="H161" s="70"/>
      <c r="K161" s="70"/>
      <c r="L161" s="71"/>
      <c r="M161" s="72"/>
      <c r="P161" s="72"/>
    </row>
    <row r="162">
      <c r="B162" s="68"/>
      <c r="D162" s="69"/>
      <c r="H162" s="70"/>
      <c r="K162" s="70"/>
      <c r="L162" s="71"/>
      <c r="M162" s="72"/>
      <c r="P162" s="72"/>
    </row>
    <row r="163">
      <c r="B163" s="68"/>
      <c r="D163" s="69"/>
      <c r="H163" s="70"/>
      <c r="K163" s="70"/>
      <c r="L163" s="71"/>
      <c r="M163" s="72"/>
      <c r="P163" s="72"/>
    </row>
    <row r="164">
      <c r="B164" s="68"/>
      <c r="D164" s="69"/>
      <c r="H164" s="70"/>
      <c r="K164" s="70"/>
      <c r="L164" s="71"/>
      <c r="M164" s="72"/>
      <c r="P164" s="72"/>
    </row>
    <row r="165">
      <c r="B165" s="68"/>
      <c r="D165" s="69"/>
      <c r="H165" s="70"/>
      <c r="K165" s="70"/>
      <c r="L165" s="71"/>
      <c r="M165" s="72"/>
      <c r="P165" s="72"/>
    </row>
    <row r="166">
      <c r="B166" s="68"/>
      <c r="D166" s="69"/>
      <c r="H166" s="70"/>
      <c r="K166" s="70"/>
      <c r="L166" s="71"/>
      <c r="M166" s="72"/>
      <c r="P166" s="72"/>
    </row>
    <row r="167">
      <c r="B167" s="68"/>
      <c r="D167" s="69"/>
      <c r="H167" s="70"/>
      <c r="K167" s="70"/>
      <c r="L167" s="71"/>
      <c r="M167" s="72"/>
      <c r="P167" s="72"/>
    </row>
    <row r="168">
      <c r="B168" s="68"/>
      <c r="D168" s="69"/>
      <c r="H168" s="70"/>
      <c r="K168" s="70"/>
      <c r="L168" s="71"/>
      <c r="M168" s="72"/>
      <c r="P168" s="72"/>
    </row>
    <row r="169">
      <c r="B169" s="68"/>
      <c r="D169" s="69"/>
      <c r="H169" s="70"/>
      <c r="K169" s="70"/>
      <c r="L169" s="71"/>
      <c r="M169" s="72"/>
      <c r="P169" s="72"/>
    </row>
    <row r="170">
      <c r="B170" s="68"/>
      <c r="D170" s="69"/>
      <c r="H170" s="70"/>
      <c r="K170" s="70"/>
      <c r="L170" s="71"/>
      <c r="M170" s="72"/>
      <c r="P170" s="72"/>
    </row>
    <row r="171">
      <c r="B171" s="68"/>
      <c r="D171" s="69"/>
      <c r="H171" s="70"/>
      <c r="K171" s="70"/>
      <c r="L171" s="71"/>
      <c r="M171" s="72"/>
      <c r="P171" s="72"/>
    </row>
    <row r="172">
      <c r="B172" s="68"/>
      <c r="D172" s="69"/>
      <c r="H172" s="70"/>
      <c r="K172" s="70"/>
      <c r="L172" s="71"/>
      <c r="M172" s="72"/>
      <c r="P172" s="72"/>
    </row>
    <row r="173">
      <c r="B173" s="68"/>
      <c r="D173" s="69"/>
      <c r="H173" s="70"/>
      <c r="K173" s="70"/>
      <c r="L173" s="71"/>
      <c r="M173" s="72"/>
      <c r="P173" s="72"/>
    </row>
    <row r="174">
      <c r="B174" s="68"/>
      <c r="D174" s="69"/>
      <c r="H174" s="70"/>
      <c r="K174" s="70"/>
      <c r="L174" s="71"/>
      <c r="M174" s="72"/>
      <c r="P174" s="72"/>
    </row>
    <row r="175">
      <c r="B175" s="68"/>
      <c r="D175" s="69"/>
      <c r="H175" s="70"/>
      <c r="K175" s="70"/>
      <c r="L175" s="71"/>
      <c r="M175" s="72"/>
      <c r="P175" s="72"/>
    </row>
    <row r="176">
      <c r="B176" s="68"/>
      <c r="D176" s="69"/>
      <c r="H176" s="70"/>
      <c r="K176" s="70"/>
      <c r="L176" s="71"/>
      <c r="M176" s="72"/>
      <c r="P176" s="72"/>
    </row>
    <row r="177">
      <c r="B177" s="68"/>
      <c r="D177" s="69"/>
      <c r="H177" s="70"/>
      <c r="K177" s="70"/>
      <c r="L177" s="71"/>
      <c r="M177" s="72"/>
      <c r="P177" s="72"/>
    </row>
    <row r="178">
      <c r="B178" s="68"/>
      <c r="D178" s="69"/>
      <c r="H178" s="70"/>
      <c r="K178" s="70"/>
      <c r="L178" s="71"/>
      <c r="M178" s="72"/>
      <c r="P178" s="72"/>
    </row>
    <row r="179">
      <c r="B179" s="68"/>
      <c r="D179" s="69"/>
      <c r="H179" s="70"/>
      <c r="K179" s="70"/>
      <c r="L179" s="71"/>
      <c r="M179" s="72"/>
      <c r="P179" s="72"/>
    </row>
    <row r="180">
      <c r="B180" s="68"/>
      <c r="D180" s="69"/>
      <c r="H180" s="70"/>
      <c r="K180" s="70"/>
      <c r="L180" s="71"/>
      <c r="M180" s="72"/>
      <c r="P180" s="72"/>
    </row>
    <row r="181">
      <c r="B181" s="68"/>
      <c r="D181" s="69"/>
      <c r="H181" s="70"/>
      <c r="K181" s="70"/>
      <c r="L181" s="71"/>
      <c r="M181" s="72"/>
      <c r="P181" s="72"/>
    </row>
    <row r="182">
      <c r="B182" s="68"/>
      <c r="D182" s="69"/>
      <c r="H182" s="70"/>
      <c r="K182" s="70"/>
      <c r="L182" s="71"/>
      <c r="M182" s="72"/>
      <c r="P182" s="72"/>
    </row>
    <row r="183">
      <c r="B183" s="68"/>
      <c r="D183" s="69"/>
      <c r="H183" s="70"/>
      <c r="K183" s="70"/>
      <c r="L183" s="71"/>
      <c r="M183" s="72"/>
      <c r="P183" s="72"/>
    </row>
    <row r="184">
      <c r="B184" s="68"/>
      <c r="D184" s="69"/>
      <c r="H184" s="70"/>
      <c r="K184" s="70"/>
      <c r="L184" s="71"/>
      <c r="M184" s="72"/>
      <c r="P184" s="72"/>
    </row>
    <row r="185">
      <c r="B185" s="68"/>
      <c r="D185" s="69"/>
      <c r="H185" s="70"/>
      <c r="K185" s="70"/>
      <c r="L185" s="71"/>
      <c r="M185" s="72"/>
      <c r="P185" s="72"/>
    </row>
    <row r="186">
      <c r="B186" s="68"/>
      <c r="D186" s="69"/>
      <c r="H186" s="70"/>
      <c r="K186" s="70"/>
      <c r="L186" s="71"/>
      <c r="M186" s="72"/>
      <c r="P186" s="72"/>
    </row>
    <row r="187">
      <c r="B187" s="68"/>
      <c r="D187" s="69"/>
      <c r="H187" s="70"/>
      <c r="K187" s="70"/>
      <c r="L187" s="71"/>
      <c r="M187" s="72"/>
      <c r="P187" s="72"/>
    </row>
    <row r="188">
      <c r="B188" s="68"/>
      <c r="D188" s="69"/>
      <c r="H188" s="70"/>
      <c r="K188" s="70"/>
      <c r="L188" s="71"/>
      <c r="M188" s="72"/>
      <c r="P188" s="72"/>
    </row>
    <row r="189">
      <c r="B189" s="68"/>
      <c r="D189" s="69"/>
      <c r="H189" s="70"/>
      <c r="K189" s="70"/>
      <c r="L189" s="71"/>
      <c r="M189" s="72"/>
      <c r="P189" s="72"/>
    </row>
    <row r="190">
      <c r="B190" s="68"/>
      <c r="D190" s="69"/>
      <c r="H190" s="70"/>
      <c r="K190" s="70"/>
      <c r="L190" s="71"/>
      <c r="M190" s="72"/>
      <c r="P190" s="72"/>
    </row>
    <row r="191">
      <c r="B191" s="68"/>
      <c r="D191" s="69"/>
      <c r="H191" s="70"/>
      <c r="K191" s="70"/>
      <c r="L191" s="71"/>
      <c r="M191" s="72"/>
      <c r="P191" s="72"/>
    </row>
    <row r="192">
      <c r="B192" s="68"/>
      <c r="D192" s="69"/>
      <c r="H192" s="70"/>
      <c r="K192" s="70"/>
      <c r="L192" s="71"/>
      <c r="M192" s="72"/>
      <c r="P192" s="72"/>
    </row>
    <row r="193">
      <c r="B193" s="68"/>
      <c r="D193" s="69"/>
      <c r="H193" s="70"/>
      <c r="K193" s="70"/>
      <c r="L193" s="71"/>
      <c r="M193" s="72"/>
      <c r="P193" s="72"/>
    </row>
    <row r="194">
      <c r="B194" s="68"/>
      <c r="D194" s="69"/>
      <c r="H194" s="70"/>
      <c r="K194" s="70"/>
      <c r="L194" s="71"/>
      <c r="M194" s="72"/>
      <c r="P194" s="72"/>
    </row>
    <row r="195">
      <c r="B195" s="68"/>
      <c r="D195" s="69"/>
      <c r="H195" s="70"/>
      <c r="K195" s="70"/>
      <c r="L195" s="71"/>
      <c r="M195" s="72"/>
      <c r="P195" s="72"/>
    </row>
    <row r="196">
      <c r="B196" s="68"/>
      <c r="D196" s="69"/>
      <c r="H196" s="70"/>
      <c r="K196" s="70"/>
      <c r="L196" s="71"/>
      <c r="M196" s="72"/>
      <c r="P196" s="72"/>
    </row>
    <row r="197">
      <c r="B197" s="68"/>
      <c r="D197" s="69"/>
      <c r="H197" s="70"/>
      <c r="K197" s="70"/>
      <c r="L197" s="71"/>
      <c r="M197" s="72"/>
      <c r="P197" s="72"/>
    </row>
    <row r="198">
      <c r="B198" s="68"/>
      <c r="D198" s="69"/>
      <c r="H198" s="70"/>
      <c r="K198" s="70"/>
      <c r="L198" s="71"/>
      <c r="M198" s="72"/>
      <c r="P198" s="72"/>
    </row>
    <row r="199">
      <c r="B199" s="68"/>
      <c r="D199" s="69"/>
      <c r="H199" s="70"/>
      <c r="K199" s="70"/>
      <c r="L199" s="71"/>
      <c r="M199" s="72"/>
      <c r="P199" s="72"/>
    </row>
    <row r="200">
      <c r="B200" s="68"/>
      <c r="D200" s="69"/>
      <c r="H200" s="70"/>
      <c r="K200" s="70"/>
      <c r="L200" s="71"/>
      <c r="M200" s="72"/>
      <c r="P200" s="72"/>
    </row>
    <row r="201">
      <c r="B201" s="68"/>
      <c r="D201" s="69"/>
      <c r="H201" s="70"/>
      <c r="K201" s="70"/>
      <c r="L201" s="71"/>
      <c r="M201" s="72"/>
      <c r="P201" s="72"/>
    </row>
    <row r="202">
      <c r="B202" s="68"/>
      <c r="D202" s="69"/>
      <c r="H202" s="70"/>
      <c r="K202" s="70"/>
      <c r="L202" s="71"/>
      <c r="M202" s="72"/>
      <c r="P202" s="72"/>
    </row>
    <row r="203">
      <c r="B203" s="68"/>
      <c r="D203" s="69"/>
      <c r="H203" s="70"/>
      <c r="K203" s="70"/>
      <c r="L203" s="71"/>
      <c r="M203" s="72"/>
      <c r="P203" s="72"/>
    </row>
    <row r="204">
      <c r="B204" s="68"/>
      <c r="D204" s="69"/>
      <c r="H204" s="70"/>
      <c r="K204" s="70"/>
      <c r="L204" s="71"/>
      <c r="M204" s="72"/>
      <c r="P204" s="72"/>
    </row>
    <row r="205">
      <c r="B205" s="68"/>
      <c r="D205" s="69"/>
      <c r="H205" s="70"/>
      <c r="K205" s="70"/>
      <c r="L205" s="71"/>
      <c r="M205" s="72"/>
      <c r="P205" s="72"/>
    </row>
    <row r="206">
      <c r="B206" s="68"/>
      <c r="D206" s="69"/>
      <c r="H206" s="70"/>
      <c r="K206" s="70"/>
      <c r="L206" s="71"/>
      <c r="M206" s="72"/>
      <c r="P206" s="72"/>
    </row>
    <row r="207">
      <c r="B207" s="68"/>
      <c r="D207" s="69"/>
      <c r="H207" s="70"/>
      <c r="K207" s="70"/>
      <c r="L207" s="71"/>
      <c r="M207" s="72"/>
      <c r="P207" s="72"/>
    </row>
    <row r="208">
      <c r="B208" s="68"/>
      <c r="D208" s="69"/>
      <c r="H208" s="70"/>
      <c r="K208" s="70"/>
      <c r="L208" s="71"/>
      <c r="M208" s="72"/>
      <c r="P208" s="72"/>
    </row>
    <row r="209">
      <c r="B209" s="68"/>
      <c r="D209" s="69"/>
      <c r="H209" s="70"/>
      <c r="K209" s="70"/>
      <c r="L209" s="71"/>
      <c r="M209" s="72"/>
      <c r="P209" s="72"/>
    </row>
    <row r="210">
      <c r="B210" s="68"/>
      <c r="D210" s="69"/>
      <c r="H210" s="70"/>
      <c r="K210" s="70"/>
      <c r="L210" s="71"/>
      <c r="M210" s="72"/>
      <c r="P210" s="72"/>
    </row>
    <row r="211">
      <c r="B211" s="68"/>
      <c r="D211" s="69"/>
      <c r="H211" s="70"/>
      <c r="K211" s="70"/>
      <c r="L211" s="71"/>
      <c r="M211" s="72"/>
      <c r="P211" s="72"/>
    </row>
    <row r="212">
      <c r="B212" s="68"/>
      <c r="D212" s="69"/>
      <c r="H212" s="70"/>
      <c r="K212" s="70"/>
      <c r="L212" s="71"/>
      <c r="M212" s="72"/>
      <c r="P212" s="72"/>
    </row>
    <row r="213">
      <c r="B213" s="68"/>
      <c r="D213" s="69"/>
      <c r="H213" s="70"/>
      <c r="K213" s="70"/>
      <c r="L213" s="71"/>
      <c r="M213" s="72"/>
      <c r="P213" s="72"/>
    </row>
    <row r="214">
      <c r="B214" s="68"/>
      <c r="D214" s="69"/>
      <c r="H214" s="70"/>
      <c r="K214" s="70"/>
      <c r="L214" s="71"/>
      <c r="M214" s="72"/>
      <c r="P214" s="72"/>
    </row>
    <row r="215">
      <c r="B215" s="68"/>
      <c r="D215" s="69"/>
      <c r="H215" s="70"/>
      <c r="K215" s="70"/>
      <c r="L215" s="71"/>
      <c r="M215" s="72"/>
      <c r="P215" s="72"/>
    </row>
    <row r="216">
      <c r="B216" s="68"/>
      <c r="D216" s="69"/>
      <c r="H216" s="70"/>
      <c r="K216" s="70"/>
      <c r="L216" s="71"/>
      <c r="M216" s="72"/>
      <c r="P216" s="72"/>
    </row>
    <row r="217">
      <c r="B217" s="68"/>
      <c r="D217" s="69"/>
      <c r="H217" s="70"/>
      <c r="K217" s="70"/>
      <c r="L217" s="71"/>
      <c r="M217" s="72"/>
      <c r="P217" s="72"/>
    </row>
    <row r="218">
      <c r="B218" s="68"/>
      <c r="D218" s="69"/>
      <c r="H218" s="70"/>
      <c r="K218" s="70"/>
      <c r="L218" s="71"/>
      <c r="M218" s="72"/>
      <c r="P218" s="72"/>
    </row>
    <row r="219">
      <c r="B219" s="68"/>
      <c r="D219" s="69"/>
      <c r="H219" s="70"/>
      <c r="K219" s="70"/>
      <c r="L219" s="71"/>
      <c r="M219" s="72"/>
      <c r="P219" s="72"/>
    </row>
    <row r="220">
      <c r="B220" s="68"/>
      <c r="D220" s="69"/>
      <c r="H220" s="70"/>
      <c r="K220" s="70"/>
      <c r="L220" s="71"/>
      <c r="M220" s="72"/>
      <c r="P220" s="72"/>
    </row>
    <row r="221">
      <c r="B221" s="68"/>
      <c r="D221" s="69"/>
      <c r="H221" s="70"/>
      <c r="K221" s="70"/>
      <c r="L221" s="71"/>
      <c r="M221" s="72"/>
      <c r="P221" s="72"/>
    </row>
    <row r="222">
      <c r="B222" s="68"/>
      <c r="D222" s="69"/>
      <c r="H222" s="70"/>
      <c r="K222" s="70"/>
      <c r="L222" s="71"/>
      <c r="M222" s="72"/>
      <c r="P222" s="72"/>
    </row>
    <row r="223">
      <c r="B223" s="68"/>
      <c r="D223" s="69"/>
      <c r="H223" s="70"/>
      <c r="K223" s="70"/>
      <c r="L223" s="71"/>
      <c r="M223" s="72"/>
      <c r="P223" s="72"/>
    </row>
    <row r="224">
      <c r="B224" s="68"/>
      <c r="D224" s="69"/>
      <c r="H224" s="70"/>
      <c r="K224" s="70"/>
      <c r="L224" s="71"/>
      <c r="M224" s="72"/>
      <c r="P224" s="72"/>
    </row>
    <row r="225">
      <c r="B225" s="68"/>
      <c r="D225" s="69"/>
      <c r="H225" s="70"/>
      <c r="K225" s="70"/>
      <c r="L225" s="71"/>
      <c r="M225" s="72"/>
      <c r="P225" s="72"/>
    </row>
    <row r="226">
      <c r="B226" s="68"/>
      <c r="D226" s="69"/>
      <c r="H226" s="70"/>
      <c r="K226" s="70"/>
      <c r="L226" s="71"/>
      <c r="M226" s="72"/>
      <c r="P226" s="72"/>
    </row>
    <row r="227">
      <c r="B227" s="68"/>
      <c r="D227" s="69"/>
      <c r="H227" s="70"/>
      <c r="K227" s="70"/>
      <c r="L227" s="71"/>
      <c r="M227" s="72"/>
      <c r="P227" s="72"/>
    </row>
    <row r="228">
      <c r="B228" s="68"/>
      <c r="D228" s="69"/>
      <c r="H228" s="70"/>
      <c r="K228" s="70"/>
      <c r="L228" s="71"/>
      <c r="M228" s="72"/>
      <c r="P228" s="72"/>
    </row>
    <row r="229">
      <c r="B229" s="68"/>
      <c r="D229" s="69"/>
      <c r="H229" s="70"/>
      <c r="K229" s="70"/>
      <c r="L229" s="71"/>
      <c r="M229" s="72"/>
      <c r="P229" s="72"/>
    </row>
    <row r="230">
      <c r="B230" s="68"/>
      <c r="D230" s="69"/>
      <c r="H230" s="70"/>
      <c r="K230" s="70"/>
      <c r="L230" s="71"/>
      <c r="M230" s="72"/>
      <c r="P230" s="72"/>
    </row>
    <row r="231">
      <c r="B231" s="68"/>
      <c r="D231" s="69"/>
      <c r="H231" s="70"/>
      <c r="K231" s="70"/>
      <c r="L231" s="71"/>
      <c r="M231" s="72"/>
      <c r="P231" s="72"/>
    </row>
    <row r="232">
      <c r="B232" s="68"/>
      <c r="D232" s="69"/>
      <c r="H232" s="70"/>
      <c r="K232" s="70"/>
      <c r="L232" s="71"/>
      <c r="M232" s="72"/>
      <c r="P232" s="72"/>
    </row>
    <row r="233">
      <c r="B233" s="68"/>
      <c r="D233" s="69"/>
      <c r="H233" s="70"/>
      <c r="K233" s="70"/>
      <c r="L233" s="71"/>
      <c r="M233" s="72"/>
      <c r="P233" s="72"/>
    </row>
    <row r="234">
      <c r="B234" s="68"/>
      <c r="D234" s="69"/>
      <c r="H234" s="70"/>
      <c r="K234" s="70"/>
      <c r="L234" s="71"/>
      <c r="M234" s="72"/>
      <c r="P234" s="72"/>
    </row>
    <row r="235">
      <c r="B235" s="68"/>
      <c r="D235" s="69"/>
      <c r="H235" s="70"/>
      <c r="K235" s="70"/>
      <c r="L235" s="71"/>
      <c r="M235" s="72"/>
      <c r="P235" s="72"/>
    </row>
    <row r="236">
      <c r="B236" s="68"/>
      <c r="D236" s="69"/>
      <c r="H236" s="70"/>
      <c r="K236" s="70"/>
      <c r="L236" s="71"/>
      <c r="M236" s="72"/>
      <c r="P236" s="72"/>
    </row>
    <row r="237">
      <c r="B237" s="68"/>
      <c r="D237" s="69"/>
      <c r="H237" s="70"/>
      <c r="K237" s="70"/>
      <c r="L237" s="71"/>
      <c r="M237" s="72"/>
      <c r="P237" s="72"/>
    </row>
    <row r="238">
      <c r="B238" s="68"/>
      <c r="D238" s="69"/>
      <c r="H238" s="70"/>
      <c r="K238" s="70"/>
      <c r="L238" s="71"/>
      <c r="M238" s="72"/>
      <c r="P238" s="72"/>
    </row>
    <row r="239">
      <c r="B239" s="68"/>
      <c r="D239" s="69"/>
      <c r="H239" s="70"/>
      <c r="K239" s="70"/>
      <c r="L239" s="71"/>
      <c r="M239" s="72"/>
      <c r="P239" s="72"/>
    </row>
    <row r="240">
      <c r="B240" s="68"/>
      <c r="D240" s="69"/>
      <c r="H240" s="70"/>
      <c r="K240" s="70"/>
      <c r="L240" s="71"/>
      <c r="M240" s="72"/>
      <c r="P240" s="72"/>
    </row>
    <row r="241">
      <c r="B241" s="68"/>
      <c r="D241" s="69"/>
      <c r="H241" s="70"/>
      <c r="K241" s="70"/>
      <c r="L241" s="71"/>
      <c r="M241" s="72"/>
      <c r="P241" s="72"/>
    </row>
    <row r="242">
      <c r="B242" s="68"/>
      <c r="D242" s="69"/>
      <c r="H242" s="70"/>
      <c r="K242" s="70"/>
      <c r="L242" s="71"/>
      <c r="M242" s="72"/>
      <c r="P242" s="72"/>
    </row>
    <row r="243">
      <c r="B243" s="68"/>
      <c r="D243" s="69"/>
      <c r="H243" s="70"/>
      <c r="K243" s="70"/>
      <c r="L243" s="71"/>
      <c r="M243" s="72"/>
      <c r="P243" s="72"/>
    </row>
    <row r="244">
      <c r="B244" s="68"/>
      <c r="D244" s="69"/>
      <c r="H244" s="70"/>
      <c r="K244" s="70"/>
      <c r="L244" s="71"/>
      <c r="M244" s="72"/>
      <c r="P244" s="72"/>
    </row>
    <row r="245">
      <c r="B245" s="68"/>
      <c r="D245" s="69"/>
      <c r="H245" s="70"/>
      <c r="K245" s="70"/>
      <c r="L245" s="71"/>
      <c r="M245" s="72"/>
      <c r="P245" s="72"/>
    </row>
    <row r="246">
      <c r="B246" s="68"/>
      <c r="D246" s="69"/>
      <c r="H246" s="70"/>
      <c r="K246" s="70"/>
      <c r="L246" s="71"/>
      <c r="M246" s="72"/>
      <c r="P246" s="72"/>
    </row>
    <row r="247">
      <c r="B247" s="68"/>
      <c r="D247" s="69"/>
      <c r="H247" s="70"/>
      <c r="K247" s="70"/>
      <c r="L247" s="71"/>
      <c r="M247" s="72"/>
      <c r="P247" s="72"/>
    </row>
    <row r="248">
      <c r="B248" s="68"/>
      <c r="D248" s="69"/>
      <c r="H248" s="70"/>
      <c r="K248" s="70"/>
      <c r="L248" s="71"/>
      <c r="M248" s="72"/>
      <c r="P248" s="72"/>
    </row>
    <row r="249">
      <c r="B249" s="68"/>
      <c r="D249" s="69"/>
      <c r="H249" s="70"/>
      <c r="K249" s="70"/>
      <c r="L249" s="71"/>
      <c r="M249" s="72"/>
      <c r="P249" s="72"/>
    </row>
    <row r="250">
      <c r="B250" s="68"/>
      <c r="D250" s="69"/>
      <c r="H250" s="70"/>
      <c r="K250" s="70"/>
      <c r="L250" s="71"/>
      <c r="M250" s="72"/>
      <c r="P250" s="72"/>
    </row>
    <row r="251">
      <c r="B251" s="68"/>
      <c r="D251" s="69"/>
      <c r="H251" s="70"/>
      <c r="K251" s="70"/>
      <c r="L251" s="71"/>
      <c r="M251" s="72"/>
      <c r="P251" s="72"/>
    </row>
    <row r="252">
      <c r="B252" s="68"/>
      <c r="D252" s="69"/>
      <c r="H252" s="70"/>
      <c r="K252" s="70"/>
      <c r="L252" s="71"/>
      <c r="M252" s="72"/>
      <c r="P252" s="72"/>
    </row>
    <row r="253">
      <c r="B253" s="68"/>
      <c r="D253" s="69"/>
      <c r="H253" s="70"/>
      <c r="K253" s="70"/>
      <c r="L253" s="71"/>
      <c r="M253" s="72"/>
      <c r="P253" s="72"/>
    </row>
    <row r="254">
      <c r="B254" s="68"/>
      <c r="D254" s="69"/>
      <c r="H254" s="70"/>
      <c r="K254" s="70"/>
      <c r="L254" s="71"/>
      <c r="M254" s="72"/>
      <c r="P254" s="72"/>
    </row>
    <row r="255">
      <c r="B255" s="68"/>
      <c r="D255" s="69"/>
      <c r="H255" s="70"/>
      <c r="K255" s="70"/>
      <c r="L255" s="71"/>
      <c r="M255" s="72"/>
      <c r="P255" s="72"/>
    </row>
    <row r="256">
      <c r="B256" s="68"/>
      <c r="D256" s="69"/>
      <c r="H256" s="70"/>
      <c r="K256" s="70"/>
      <c r="L256" s="71"/>
      <c r="M256" s="72"/>
      <c r="P256" s="72"/>
    </row>
    <row r="257">
      <c r="B257" s="68"/>
      <c r="D257" s="69"/>
      <c r="H257" s="70"/>
      <c r="K257" s="70"/>
      <c r="L257" s="71"/>
      <c r="M257" s="72"/>
      <c r="P257" s="72"/>
    </row>
    <row r="258">
      <c r="B258" s="68"/>
      <c r="D258" s="69"/>
      <c r="H258" s="70"/>
      <c r="K258" s="70"/>
      <c r="L258" s="71"/>
      <c r="M258" s="72"/>
      <c r="P258" s="72"/>
    </row>
    <row r="259">
      <c r="B259" s="68"/>
      <c r="D259" s="69"/>
      <c r="H259" s="70"/>
      <c r="K259" s="70"/>
      <c r="L259" s="71"/>
      <c r="M259" s="72"/>
      <c r="P259" s="72"/>
    </row>
    <row r="260">
      <c r="B260" s="68"/>
      <c r="D260" s="69"/>
      <c r="H260" s="70"/>
      <c r="K260" s="70"/>
      <c r="L260" s="71"/>
      <c r="M260" s="72"/>
      <c r="P260" s="72"/>
    </row>
    <row r="261">
      <c r="B261" s="68"/>
      <c r="D261" s="69"/>
      <c r="H261" s="70"/>
      <c r="K261" s="70"/>
      <c r="L261" s="71"/>
      <c r="M261" s="72"/>
      <c r="P261" s="72"/>
    </row>
    <row r="262">
      <c r="B262" s="68"/>
      <c r="D262" s="69"/>
      <c r="H262" s="70"/>
      <c r="K262" s="70"/>
      <c r="L262" s="71"/>
      <c r="M262" s="72"/>
      <c r="P262" s="72"/>
    </row>
    <row r="263">
      <c r="B263" s="68"/>
      <c r="D263" s="69"/>
      <c r="H263" s="70"/>
      <c r="K263" s="70"/>
      <c r="L263" s="71"/>
      <c r="M263" s="72"/>
      <c r="P263" s="72"/>
    </row>
    <row r="264">
      <c r="B264" s="68"/>
      <c r="D264" s="69"/>
      <c r="H264" s="70"/>
      <c r="K264" s="70"/>
      <c r="L264" s="71"/>
      <c r="M264" s="72"/>
      <c r="P264" s="72"/>
    </row>
    <row r="265">
      <c r="B265" s="68"/>
      <c r="D265" s="69"/>
      <c r="H265" s="70"/>
      <c r="K265" s="70"/>
      <c r="L265" s="71"/>
      <c r="M265" s="72"/>
      <c r="P265" s="72"/>
    </row>
    <row r="266">
      <c r="B266" s="68"/>
      <c r="D266" s="69"/>
      <c r="H266" s="70"/>
      <c r="K266" s="70"/>
      <c r="L266" s="71"/>
      <c r="M266" s="72"/>
      <c r="P266" s="72"/>
    </row>
    <row r="267">
      <c r="B267" s="68"/>
      <c r="D267" s="69"/>
      <c r="H267" s="70"/>
      <c r="K267" s="70"/>
      <c r="L267" s="71"/>
      <c r="M267" s="72"/>
      <c r="P267" s="72"/>
    </row>
    <row r="268">
      <c r="B268" s="68"/>
      <c r="D268" s="69"/>
      <c r="H268" s="70"/>
      <c r="K268" s="70"/>
      <c r="L268" s="71"/>
      <c r="M268" s="72"/>
      <c r="P268" s="72"/>
    </row>
    <row r="269">
      <c r="B269" s="68"/>
      <c r="D269" s="69"/>
      <c r="H269" s="70"/>
      <c r="K269" s="70"/>
      <c r="L269" s="71"/>
      <c r="M269" s="72"/>
      <c r="P269" s="72"/>
    </row>
    <row r="270">
      <c r="B270" s="68"/>
      <c r="D270" s="69"/>
      <c r="H270" s="70"/>
      <c r="K270" s="70"/>
      <c r="L270" s="71"/>
      <c r="M270" s="72"/>
      <c r="P270" s="72"/>
    </row>
    <row r="271">
      <c r="B271" s="68"/>
      <c r="D271" s="69"/>
      <c r="H271" s="70"/>
      <c r="K271" s="70"/>
      <c r="L271" s="71"/>
      <c r="M271" s="72"/>
      <c r="P271" s="72"/>
    </row>
    <row r="272">
      <c r="B272" s="68"/>
      <c r="D272" s="69"/>
      <c r="H272" s="70"/>
      <c r="K272" s="70"/>
      <c r="L272" s="71"/>
      <c r="M272" s="72"/>
      <c r="P272" s="72"/>
    </row>
    <row r="273">
      <c r="B273" s="68"/>
      <c r="D273" s="69"/>
      <c r="H273" s="70"/>
      <c r="K273" s="70"/>
      <c r="L273" s="71"/>
      <c r="M273" s="72"/>
      <c r="P273" s="72"/>
    </row>
    <row r="274">
      <c r="B274" s="68"/>
      <c r="D274" s="69"/>
      <c r="H274" s="70"/>
      <c r="K274" s="70"/>
      <c r="L274" s="71"/>
      <c r="M274" s="72"/>
      <c r="P274" s="72"/>
    </row>
    <row r="275">
      <c r="B275" s="68"/>
      <c r="D275" s="69"/>
      <c r="H275" s="70"/>
      <c r="K275" s="70"/>
      <c r="L275" s="71"/>
      <c r="M275" s="72"/>
      <c r="P275" s="72"/>
    </row>
    <row r="276">
      <c r="B276" s="68"/>
      <c r="D276" s="69"/>
      <c r="H276" s="70"/>
      <c r="K276" s="70"/>
      <c r="L276" s="71"/>
      <c r="M276" s="72"/>
      <c r="P276" s="72"/>
    </row>
    <row r="277">
      <c r="B277" s="68"/>
      <c r="D277" s="69"/>
      <c r="H277" s="70"/>
      <c r="K277" s="70"/>
      <c r="L277" s="71"/>
      <c r="M277" s="72"/>
      <c r="P277" s="72"/>
    </row>
    <row r="278">
      <c r="B278" s="68"/>
      <c r="D278" s="69"/>
      <c r="H278" s="70"/>
      <c r="K278" s="70"/>
      <c r="L278" s="71"/>
      <c r="M278" s="72"/>
      <c r="P278" s="72"/>
    </row>
    <row r="279">
      <c r="B279" s="68"/>
      <c r="D279" s="69"/>
      <c r="H279" s="70"/>
      <c r="K279" s="70"/>
      <c r="L279" s="71"/>
      <c r="M279" s="72"/>
      <c r="P279" s="72"/>
    </row>
    <row r="280">
      <c r="B280" s="68"/>
      <c r="D280" s="69"/>
      <c r="H280" s="70"/>
      <c r="K280" s="70"/>
      <c r="L280" s="71"/>
      <c r="M280" s="72"/>
      <c r="P280" s="72"/>
    </row>
    <row r="281">
      <c r="B281" s="68"/>
      <c r="D281" s="69"/>
      <c r="H281" s="70"/>
      <c r="K281" s="70"/>
      <c r="L281" s="71"/>
      <c r="M281" s="72"/>
      <c r="P281" s="72"/>
    </row>
    <row r="282">
      <c r="B282" s="68"/>
      <c r="D282" s="69"/>
      <c r="H282" s="70"/>
      <c r="K282" s="70"/>
      <c r="L282" s="71"/>
      <c r="M282" s="72"/>
      <c r="P282" s="72"/>
    </row>
    <row r="283">
      <c r="B283" s="68"/>
      <c r="D283" s="69"/>
      <c r="H283" s="70"/>
      <c r="K283" s="70"/>
      <c r="L283" s="71"/>
      <c r="M283" s="72"/>
      <c r="P283" s="72"/>
    </row>
    <row r="284">
      <c r="B284" s="68"/>
      <c r="D284" s="69"/>
      <c r="H284" s="70"/>
      <c r="K284" s="70"/>
      <c r="L284" s="71"/>
      <c r="M284" s="72"/>
      <c r="P284" s="72"/>
    </row>
    <row r="285">
      <c r="B285" s="68"/>
      <c r="D285" s="69"/>
      <c r="H285" s="70"/>
      <c r="K285" s="70"/>
      <c r="L285" s="71"/>
      <c r="M285" s="72"/>
      <c r="P285" s="72"/>
    </row>
    <row r="286">
      <c r="B286" s="68"/>
      <c r="D286" s="69"/>
      <c r="H286" s="70"/>
      <c r="K286" s="70"/>
      <c r="L286" s="71"/>
      <c r="M286" s="72"/>
      <c r="P286" s="72"/>
    </row>
    <row r="287">
      <c r="B287" s="68"/>
      <c r="D287" s="69"/>
      <c r="H287" s="70"/>
      <c r="K287" s="70"/>
      <c r="L287" s="71"/>
      <c r="M287" s="72"/>
      <c r="P287" s="72"/>
    </row>
    <row r="288">
      <c r="B288" s="68"/>
      <c r="D288" s="69"/>
      <c r="H288" s="70"/>
      <c r="K288" s="70"/>
      <c r="L288" s="71"/>
      <c r="M288" s="72"/>
      <c r="P288" s="72"/>
    </row>
    <row r="289">
      <c r="B289" s="68"/>
      <c r="D289" s="69"/>
      <c r="H289" s="70"/>
      <c r="K289" s="70"/>
      <c r="L289" s="71"/>
      <c r="M289" s="72"/>
      <c r="P289" s="72"/>
    </row>
    <row r="290">
      <c r="B290" s="68"/>
      <c r="D290" s="69"/>
      <c r="H290" s="70"/>
      <c r="K290" s="70"/>
      <c r="L290" s="71"/>
      <c r="M290" s="72"/>
      <c r="P290" s="72"/>
    </row>
    <row r="291">
      <c r="B291" s="68"/>
      <c r="D291" s="69"/>
      <c r="H291" s="70"/>
      <c r="K291" s="70"/>
      <c r="L291" s="71"/>
      <c r="M291" s="72"/>
      <c r="P291" s="72"/>
    </row>
    <row r="292">
      <c r="B292" s="68"/>
      <c r="D292" s="69"/>
      <c r="H292" s="70"/>
      <c r="K292" s="70"/>
      <c r="L292" s="71"/>
      <c r="M292" s="72"/>
      <c r="P292" s="72"/>
    </row>
    <row r="293">
      <c r="B293" s="68"/>
      <c r="D293" s="69"/>
      <c r="H293" s="70"/>
      <c r="K293" s="70"/>
      <c r="L293" s="71"/>
      <c r="M293" s="72"/>
      <c r="P293" s="72"/>
    </row>
    <row r="294">
      <c r="B294" s="68"/>
      <c r="D294" s="69"/>
      <c r="H294" s="70"/>
      <c r="K294" s="70"/>
      <c r="L294" s="71"/>
      <c r="M294" s="72"/>
      <c r="P294" s="72"/>
    </row>
    <row r="295">
      <c r="B295" s="68"/>
      <c r="D295" s="69"/>
      <c r="H295" s="70"/>
      <c r="K295" s="70"/>
      <c r="L295" s="71"/>
      <c r="M295" s="72"/>
      <c r="P295" s="72"/>
    </row>
    <row r="296">
      <c r="B296" s="68"/>
      <c r="D296" s="69"/>
      <c r="H296" s="70"/>
      <c r="K296" s="70"/>
      <c r="L296" s="71"/>
      <c r="M296" s="72"/>
      <c r="P296" s="72"/>
    </row>
    <row r="297">
      <c r="B297" s="68"/>
      <c r="D297" s="69"/>
      <c r="H297" s="70"/>
      <c r="K297" s="70"/>
      <c r="L297" s="71"/>
      <c r="M297" s="72"/>
      <c r="P297" s="72"/>
    </row>
    <row r="298">
      <c r="B298" s="68"/>
      <c r="D298" s="69"/>
      <c r="H298" s="70"/>
      <c r="K298" s="70"/>
      <c r="L298" s="71"/>
      <c r="M298" s="72"/>
      <c r="P298" s="72"/>
    </row>
    <row r="299">
      <c r="B299" s="68"/>
      <c r="D299" s="69"/>
      <c r="H299" s="70"/>
      <c r="K299" s="70"/>
      <c r="L299" s="71"/>
      <c r="M299" s="72"/>
      <c r="P299" s="72"/>
    </row>
    <row r="300">
      <c r="B300" s="68"/>
      <c r="D300" s="69"/>
      <c r="H300" s="70"/>
      <c r="K300" s="70"/>
      <c r="L300" s="71"/>
      <c r="M300" s="72"/>
      <c r="P300" s="72"/>
    </row>
    <row r="301">
      <c r="B301" s="68"/>
      <c r="D301" s="69"/>
      <c r="H301" s="70"/>
      <c r="K301" s="70"/>
      <c r="L301" s="71"/>
      <c r="M301" s="72"/>
      <c r="P301" s="72"/>
    </row>
    <row r="302">
      <c r="B302" s="68"/>
      <c r="D302" s="69"/>
      <c r="H302" s="70"/>
      <c r="K302" s="70"/>
      <c r="L302" s="71"/>
      <c r="M302" s="72"/>
      <c r="P302" s="72"/>
    </row>
    <row r="303">
      <c r="B303" s="68"/>
      <c r="D303" s="69"/>
      <c r="H303" s="70"/>
      <c r="K303" s="70"/>
      <c r="L303" s="71"/>
      <c r="M303" s="72"/>
      <c r="P303" s="72"/>
    </row>
    <row r="304">
      <c r="B304" s="68"/>
      <c r="D304" s="69"/>
      <c r="H304" s="70"/>
      <c r="K304" s="70"/>
      <c r="L304" s="71"/>
      <c r="M304" s="72"/>
      <c r="P304" s="72"/>
    </row>
    <row r="305">
      <c r="B305" s="68"/>
      <c r="D305" s="69"/>
      <c r="H305" s="70"/>
      <c r="K305" s="70"/>
      <c r="L305" s="71"/>
      <c r="M305" s="72"/>
      <c r="P305" s="72"/>
    </row>
    <row r="306">
      <c r="B306" s="68"/>
      <c r="D306" s="69"/>
      <c r="H306" s="70"/>
      <c r="K306" s="70"/>
      <c r="L306" s="71"/>
      <c r="M306" s="72"/>
      <c r="P306" s="72"/>
    </row>
    <row r="307">
      <c r="B307" s="68"/>
      <c r="D307" s="69"/>
      <c r="H307" s="70"/>
      <c r="K307" s="70"/>
      <c r="L307" s="71"/>
      <c r="M307" s="72"/>
      <c r="P307" s="72"/>
    </row>
    <row r="308">
      <c r="B308" s="68"/>
      <c r="D308" s="69"/>
      <c r="H308" s="70"/>
      <c r="K308" s="70"/>
      <c r="L308" s="71"/>
      <c r="M308" s="72"/>
      <c r="P308" s="72"/>
    </row>
    <row r="309">
      <c r="B309" s="68"/>
      <c r="D309" s="69"/>
      <c r="H309" s="70"/>
      <c r="K309" s="70"/>
      <c r="L309" s="71"/>
      <c r="M309" s="72"/>
      <c r="P309" s="72"/>
    </row>
    <row r="310">
      <c r="B310" s="68"/>
      <c r="D310" s="69"/>
      <c r="H310" s="70"/>
      <c r="K310" s="70"/>
      <c r="L310" s="71"/>
      <c r="M310" s="72"/>
      <c r="P310" s="72"/>
    </row>
    <row r="311">
      <c r="B311" s="68"/>
      <c r="D311" s="69"/>
      <c r="H311" s="70"/>
      <c r="K311" s="70"/>
      <c r="L311" s="71"/>
      <c r="M311" s="72"/>
      <c r="P311" s="72"/>
    </row>
    <row r="312">
      <c r="B312" s="68"/>
      <c r="D312" s="69"/>
      <c r="H312" s="70"/>
      <c r="K312" s="70"/>
      <c r="L312" s="71"/>
      <c r="M312" s="72"/>
      <c r="P312" s="72"/>
    </row>
    <row r="313">
      <c r="B313" s="68"/>
      <c r="D313" s="69"/>
      <c r="H313" s="70"/>
      <c r="K313" s="70"/>
      <c r="L313" s="71"/>
      <c r="M313" s="72"/>
      <c r="P313" s="72"/>
    </row>
    <row r="314">
      <c r="B314" s="68"/>
      <c r="D314" s="69"/>
      <c r="H314" s="70"/>
      <c r="K314" s="70"/>
      <c r="L314" s="71"/>
      <c r="M314" s="72"/>
      <c r="P314" s="72"/>
    </row>
    <row r="315">
      <c r="B315" s="68"/>
      <c r="D315" s="69"/>
      <c r="H315" s="70"/>
      <c r="K315" s="70"/>
      <c r="L315" s="71"/>
      <c r="M315" s="72"/>
      <c r="P315" s="72"/>
    </row>
    <row r="316">
      <c r="B316" s="68"/>
      <c r="D316" s="69"/>
      <c r="H316" s="70"/>
      <c r="K316" s="70"/>
      <c r="L316" s="71"/>
      <c r="M316" s="72"/>
      <c r="P316" s="72"/>
    </row>
    <row r="317">
      <c r="B317" s="68"/>
      <c r="D317" s="69"/>
      <c r="H317" s="70"/>
      <c r="K317" s="70"/>
      <c r="L317" s="71"/>
      <c r="M317" s="72"/>
      <c r="P317" s="72"/>
    </row>
    <row r="318">
      <c r="B318" s="68"/>
      <c r="D318" s="69"/>
      <c r="H318" s="70"/>
      <c r="K318" s="70"/>
      <c r="L318" s="71"/>
      <c r="M318" s="72"/>
      <c r="P318" s="72"/>
    </row>
    <row r="319">
      <c r="B319" s="68"/>
      <c r="D319" s="69"/>
      <c r="H319" s="70"/>
      <c r="K319" s="70"/>
      <c r="L319" s="71"/>
      <c r="M319" s="72"/>
      <c r="P319" s="72"/>
    </row>
    <row r="320">
      <c r="B320" s="68"/>
      <c r="D320" s="69"/>
      <c r="H320" s="70"/>
      <c r="K320" s="70"/>
      <c r="L320" s="71"/>
      <c r="M320" s="72"/>
      <c r="P320" s="72"/>
    </row>
    <row r="321">
      <c r="B321" s="68"/>
      <c r="D321" s="69"/>
      <c r="H321" s="70"/>
      <c r="K321" s="70"/>
      <c r="L321" s="71"/>
      <c r="M321" s="72"/>
      <c r="P321" s="72"/>
    </row>
    <row r="322">
      <c r="B322" s="68"/>
      <c r="D322" s="69"/>
      <c r="H322" s="70"/>
      <c r="K322" s="70"/>
      <c r="L322" s="71"/>
      <c r="M322" s="72"/>
      <c r="P322" s="72"/>
    </row>
    <row r="323">
      <c r="B323" s="68"/>
      <c r="D323" s="69"/>
      <c r="H323" s="70"/>
      <c r="K323" s="70"/>
      <c r="L323" s="71"/>
      <c r="M323" s="72"/>
      <c r="P323" s="72"/>
    </row>
    <row r="324">
      <c r="B324" s="68"/>
      <c r="D324" s="69"/>
      <c r="H324" s="70"/>
      <c r="K324" s="70"/>
      <c r="L324" s="71"/>
      <c r="M324" s="72"/>
      <c r="P324" s="72"/>
    </row>
    <row r="325">
      <c r="B325" s="68"/>
      <c r="D325" s="69"/>
      <c r="H325" s="70"/>
      <c r="K325" s="70"/>
      <c r="L325" s="71"/>
      <c r="M325" s="72"/>
      <c r="P325" s="72"/>
    </row>
    <row r="326">
      <c r="B326" s="68"/>
      <c r="D326" s="69"/>
      <c r="H326" s="70"/>
      <c r="K326" s="70"/>
      <c r="L326" s="71"/>
      <c r="M326" s="72"/>
      <c r="P326" s="72"/>
    </row>
    <row r="327">
      <c r="B327" s="68"/>
      <c r="D327" s="69"/>
      <c r="H327" s="70"/>
      <c r="K327" s="70"/>
      <c r="L327" s="71"/>
      <c r="M327" s="72"/>
      <c r="P327" s="72"/>
    </row>
    <row r="328">
      <c r="B328" s="68"/>
      <c r="D328" s="69"/>
      <c r="H328" s="70"/>
      <c r="K328" s="70"/>
      <c r="L328" s="71"/>
      <c r="M328" s="72"/>
      <c r="P328" s="72"/>
    </row>
    <row r="329">
      <c r="B329" s="68"/>
      <c r="D329" s="69"/>
      <c r="H329" s="70"/>
      <c r="K329" s="70"/>
      <c r="L329" s="71"/>
      <c r="M329" s="72"/>
      <c r="P329" s="72"/>
    </row>
    <row r="330">
      <c r="B330" s="68"/>
      <c r="D330" s="69"/>
      <c r="H330" s="70"/>
      <c r="K330" s="70"/>
      <c r="L330" s="71"/>
      <c r="M330" s="72"/>
      <c r="P330" s="72"/>
    </row>
    <row r="331">
      <c r="B331" s="68"/>
      <c r="D331" s="69"/>
      <c r="H331" s="70"/>
      <c r="K331" s="70"/>
      <c r="L331" s="71"/>
      <c r="M331" s="72"/>
      <c r="P331" s="72"/>
    </row>
    <row r="332">
      <c r="B332" s="68"/>
      <c r="D332" s="69"/>
      <c r="H332" s="70"/>
      <c r="K332" s="70"/>
      <c r="L332" s="71"/>
      <c r="M332" s="72"/>
      <c r="P332" s="72"/>
    </row>
    <row r="333">
      <c r="B333" s="68"/>
      <c r="D333" s="69"/>
      <c r="H333" s="70"/>
      <c r="K333" s="70"/>
      <c r="L333" s="71"/>
      <c r="M333" s="72"/>
      <c r="P333" s="72"/>
    </row>
    <row r="334">
      <c r="B334" s="68"/>
      <c r="D334" s="69"/>
      <c r="H334" s="70"/>
      <c r="K334" s="70"/>
      <c r="L334" s="71"/>
      <c r="M334" s="72"/>
      <c r="P334" s="72"/>
    </row>
    <row r="335">
      <c r="B335" s="68"/>
      <c r="D335" s="69"/>
      <c r="H335" s="70"/>
      <c r="K335" s="70"/>
      <c r="L335" s="71"/>
      <c r="M335" s="72"/>
      <c r="P335" s="72"/>
    </row>
    <row r="336">
      <c r="B336" s="68"/>
      <c r="D336" s="69"/>
      <c r="H336" s="70"/>
      <c r="K336" s="70"/>
      <c r="L336" s="71"/>
      <c r="M336" s="72"/>
      <c r="P336" s="72"/>
    </row>
    <row r="337">
      <c r="B337" s="68"/>
      <c r="D337" s="69"/>
      <c r="H337" s="70"/>
      <c r="K337" s="70"/>
      <c r="L337" s="71"/>
      <c r="M337" s="72"/>
      <c r="P337" s="72"/>
    </row>
    <row r="338">
      <c r="B338" s="68"/>
      <c r="D338" s="69"/>
      <c r="H338" s="70"/>
      <c r="K338" s="70"/>
      <c r="L338" s="71"/>
      <c r="M338" s="72"/>
      <c r="P338" s="72"/>
    </row>
    <row r="339">
      <c r="B339" s="68"/>
      <c r="D339" s="69"/>
      <c r="H339" s="70"/>
      <c r="K339" s="70"/>
      <c r="L339" s="71"/>
      <c r="M339" s="72"/>
      <c r="P339" s="72"/>
    </row>
    <row r="340">
      <c r="B340" s="68"/>
      <c r="D340" s="69"/>
      <c r="H340" s="70"/>
      <c r="K340" s="70"/>
      <c r="L340" s="71"/>
      <c r="M340" s="72"/>
      <c r="P340" s="72"/>
    </row>
    <row r="341">
      <c r="B341" s="68"/>
      <c r="D341" s="69"/>
      <c r="H341" s="70"/>
      <c r="K341" s="70"/>
      <c r="L341" s="71"/>
      <c r="M341" s="72"/>
      <c r="P341" s="72"/>
    </row>
    <row r="342">
      <c r="B342" s="68"/>
      <c r="D342" s="69"/>
      <c r="H342" s="70"/>
      <c r="K342" s="70"/>
      <c r="L342" s="71"/>
      <c r="M342" s="72"/>
      <c r="P342" s="72"/>
    </row>
    <row r="343">
      <c r="B343" s="68"/>
      <c r="D343" s="69"/>
      <c r="H343" s="70"/>
      <c r="K343" s="70"/>
      <c r="L343" s="71"/>
      <c r="M343" s="72"/>
      <c r="P343" s="72"/>
    </row>
    <row r="344">
      <c r="B344" s="68"/>
      <c r="D344" s="69"/>
      <c r="H344" s="70"/>
      <c r="K344" s="70"/>
      <c r="L344" s="71"/>
      <c r="M344" s="72"/>
      <c r="P344" s="72"/>
    </row>
    <row r="345">
      <c r="B345" s="68"/>
      <c r="D345" s="69"/>
      <c r="H345" s="70"/>
      <c r="K345" s="70"/>
      <c r="L345" s="71"/>
      <c r="M345" s="72"/>
      <c r="P345" s="72"/>
    </row>
    <row r="346">
      <c r="B346" s="68"/>
      <c r="D346" s="69"/>
      <c r="H346" s="70"/>
      <c r="K346" s="70"/>
      <c r="L346" s="71"/>
      <c r="M346" s="72"/>
      <c r="P346" s="72"/>
    </row>
    <row r="347">
      <c r="B347" s="68"/>
      <c r="D347" s="69"/>
      <c r="H347" s="70"/>
      <c r="K347" s="70"/>
      <c r="L347" s="71"/>
      <c r="M347" s="72"/>
      <c r="P347" s="72"/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</sheetData>
  <autoFilter ref="$A$1:$AA$965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 hidden="1">
      <c r="A2" s="11"/>
      <c r="B2" s="11">
        <v>45992.0</v>
      </c>
      <c r="C2" s="12">
        <f>VLOOKUP(B:B,'Курс валют'!A:D,4,0)</f>
        <v>90.819</v>
      </c>
      <c r="D2" s="54" t="s">
        <v>1553</v>
      </c>
      <c r="E2" s="75" t="s">
        <v>1554</v>
      </c>
      <c r="F2" s="12">
        <v>7.73</v>
      </c>
      <c r="G2" s="12">
        <v>14.11</v>
      </c>
      <c r="H2" s="17">
        <v>0.0</v>
      </c>
      <c r="I2" s="15">
        <f t="shared" ref="I2:I106" si="1">G2-F2</f>
        <v>6.38</v>
      </c>
      <c r="J2" s="18">
        <f t="shared" ref="J2:J106" si="2">I2/F2*100</f>
        <v>82.53557568</v>
      </c>
      <c r="K2" s="56">
        <v>4.99</v>
      </c>
      <c r="L2" s="19">
        <f t="shared" ref="L2:L106" si="3">H2/F2*100</f>
        <v>0</v>
      </c>
      <c r="M2" s="20">
        <f t="shared" ref="M2:M106" si="4">P2/F2</f>
        <v>453.18681</v>
      </c>
      <c r="N2" s="21">
        <f t="shared" ref="N2:N45" si="5">(F2*K2-H2*3.04)/F2</f>
        <v>4.99</v>
      </c>
      <c r="O2" s="21">
        <f t="shared" ref="O2:O106" si="6">N2*F2</f>
        <v>38.5727</v>
      </c>
      <c r="P2" s="22">
        <f t="shared" ref="P2:P106" si="7">O2*C2</f>
        <v>3503.134041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 hidden="1">
      <c r="A3" s="11"/>
      <c r="B3" s="11">
        <v>45992.0</v>
      </c>
      <c r="C3" s="12">
        <f>VLOOKUP(B:B,'Курс валют'!A:D,4,0)</f>
        <v>90.819</v>
      </c>
      <c r="D3" s="13" t="s">
        <v>1555</v>
      </c>
      <c r="E3" s="14" t="s">
        <v>114</v>
      </c>
      <c r="F3" s="15">
        <v>7.73</v>
      </c>
      <c r="G3" s="15">
        <v>17.83</v>
      </c>
      <c r="H3" s="17">
        <v>0.0</v>
      </c>
      <c r="I3" s="15">
        <f t="shared" si="1"/>
        <v>10.1</v>
      </c>
      <c r="J3" s="18">
        <f t="shared" si="2"/>
        <v>130.6597671</v>
      </c>
      <c r="K3" s="17">
        <v>5.44</v>
      </c>
      <c r="L3" s="19">
        <f t="shared" si="3"/>
        <v>0</v>
      </c>
      <c r="M3" s="20">
        <f t="shared" si="4"/>
        <v>494.05536</v>
      </c>
      <c r="N3" s="21">
        <f t="shared" si="5"/>
        <v>5.44</v>
      </c>
      <c r="O3" s="21">
        <f t="shared" si="6"/>
        <v>42.0512</v>
      </c>
      <c r="P3" s="22">
        <f t="shared" si="7"/>
        <v>3819.047933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 hidden="1">
      <c r="A4" s="11"/>
      <c r="B4" s="83">
        <v>45992.0</v>
      </c>
      <c r="C4" s="12">
        <f>VLOOKUP(B:B,'Курс валют'!A:D,4,0)</f>
        <v>90.819</v>
      </c>
      <c r="D4" s="13" t="s">
        <v>17</v>
      </c>
      <c r="E4" s="14" t="s">
        <v>18</v>
      </c>
      <c r="F4" s="15">
        <v>4400.0</v>
      </c>
      <c r="G4" s="16">
        <v>4473.24</v>
      </c>
      <c r="H4" s="17">
        <v>78.84</v>
      </c>
      <c r="I4" s="16">
        <f t="shared" si="1"/>
        <v>73.24</v>
      </c>
      <c r="J4" s="18">
        <f t="shared" si="2"/>
        <v>1.664545455</v>
      </c>
      <c r="K4" s="17">
        <v>2.57</v>
      </c>
      <c r="L4" s="19">
        <f t="shared" si="3"/>
        <v>1.791818182</v>
      </c>
      <c r="M4" s="20">
        <f t="shared" si="4"/>
        <v>228.4578035</v>
      </c>
      <c r="N4" s="21">
        <f t="shared" si="5"/>
        <v>2.515528727</v>
      </c>
      <c r="O4" s="21">
        <f t="shared" si="6"/>
        <v>11068.3264</v>
      </c>
      <c r="P4" s="22">
        <f t="shared" si="7"/>
        <v>1005214.335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45993.0</v>
      </c>
      <c r="C5" s="12">
        <f>VLOOKUP(B:B,'Курс валют'!A:D,4,0)</f>
        <v>90.3438</v>
      </c>
      <c r="D5" s="13" t="s">
        <v>1556</v>
      </c>
      <c r="E5" s="35" t="s">
        <v>111</v>
      </c>
      <c r="F5" s="15">
        <v>200.0</v>
      </c>
      <c r="G5" s="15">
        <v>206.67</v>
      </c>
      <c r="H5" s="17">
        <v>0.0</v>
      </c>
      <c r="I5" s="15">
        <f t="shared" si="1"/>
        <v>6.67</v>
      </c>
      <c r="J5" s="18">
        <f t="shared" si="2"/>
        <v>3.335</v>
      </c>
      <c r="K5" s="17">
        <v>2.63</v>
      </c>
      <c r="L5" s="19">
        <f t="shared" si="3"/>
        <v>0</v>
      </c>
      <c r="M5" s="20">
        <f t="shared" si="4"/>
        <v>237.604194</v>
      </c>
      <c r="N5" s="21">
        <f t="shared" si="5"/>
        <v>2.63</v>
      </c>
      <c r="O5" s="21">
        <f t="shared" si="6"/>
        <v>526</v>
      </c>
      <c r="P5" s="22">
        <f t="shared" si="7"/>
        <v>47520.8388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45993.0</v>
      </c>
      <c r="C6" s="12">
        <f>VLOOKUP(B:B,'Курс валют'!A:D,4,0)</f>
        <v>90.3438</v>
      </c>
      <c r="D6" s="13" t="s">
        <v>1557</v>
      </c>
      <c r="E6" s="35" t="s">
        <v>111</v>
      </c>
      <c r="F6" s="15">
        <v>200.0</v>
      </c>
      <c r="G6" s="15">
        <v>206.67</v>
      </c>
      <c r="H6" s="17">
        <v>0.0</v>
      </c>
      <c r="I6" s="15">
        <f t="shared" si="1"/>
        <v>6.67</v>
      </c>
      <c r="J6" s="18">
        <f t="shared" si="2"/>
        <v>3.335</v>
      </c>
      <c r="K6" s="17">
        <v>2.63</v>
      </c>
      <c r="L6" s="19">
        <f t="shared" si="3"/>
        <v>0</v>
      </c>
      <c r="M6" s="20">
        <f t="shared" si="4"/>
        <v>237.604194</v>
      </c>
      <c r="N6" s="21">
        <f t="shared" si="5"/>
        <v>2.63</v>
      </c>
      <c r="O6" s="21">
        <f t="shared" si="6"/>
        <v>526</v>
      </c>
      <c r="P6" s="22">
        <f t="shared" si="7"/>
        <v>47520.8388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 hidden="1">
      <c r="A7" s="11"/>
      <c r="B7" s="11">
        <v>45993.0</v>
      </c>
      <c r="C7" s="12">
        <f>VLOOKUP(B:B,'Курс валют'!A:D,4,0)</f>
        <v>90.3438</v>
      </c>
      <c r="D7" s="13" t="s">
        <v>1558</v>
      </c>
      <c r="E7" s="35" t="s">
        <v>113</v>
      </c>
      <c r="F7" s="15">
        <v>200.0</v>
      </c>
      <c r="G7" s="15">
        <v>201.45</v>
      </c>
      <c r="H7" s="17">
        <v>0.0</v>
      </c>
      <c r="I7" s="15">
        <f t="shared" si="1"/>
        <v>1.45</v>
      </c>
      <c r="J7" s="18">
        <f t="shared" si="2"/>
        <v>0.725</v>
      </c>
      <c r="K7" s="17">
        <v>2.43</v>
      </c>
      <c r="L7" s="19">
        <f t="shared" si="3"/>
        <v>0</v>
      </c>
      <c r="M7" s="20">
        <f t="shared" si="4"/>
        <v>219.535434</v>
      </c>
      <c r="N7" s="21">
        <f t="shared" si="5"/>
        <v>2.43</v>
      </c>
      <c r="O7" s="21">
        <f t="shared" si="6"/>
        <v>486</v>
      </c>
      <c r="P7" s="22">
        <f t="shared" si="7"/>
        <v>43907.0868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 hidden="1">
      <c r="A8" s="11"/>
      <c r="B8" s="11">
        <v>45993.0</v>
      </c>
      <c r="C8" s="12">
        <f>VLOOKUP(B:B,'Курс валют'!A:D,4,0)</f>
        <v>90.3438</v>
      </c>
      <c r="D8" s="15" t="s">
        <v>1559</v>
      </c>
      <c r="E8" s="77" t="s">
        <v>73</v>
      </c>
      <c r="F8" s="15">
        <v>1000.0</v>
      </c>
      <c r="G8" s="15">
        <v>1000.0</v>
      </c>
      <c r="H8" s="17">
        <v>42.3</v>
      </c>
      <c r="I8" s="15">
        <f t="shared" si="1"/>
        <v>0</v>
      </c>
      <c r="J8" s="18">
        <f t="shared" si="2"/>
        <v>0</v>
      </c>
      <c r="K8" s="17">
        <v>2.74</v>
      </c>
      <c r="L8" s="19">
        <f t="shared" si="3"/>
        <v>4.23</v>
      </c>
      <c r="M8" s="20">
        <f t="shared" si="4"/>
        <v>235.9245221</v>
      </c>
      <c r="N8" s="21">
        <f t="shared" si="5"/>
        <v>2.611408</v>
      </c>
      <c r="O8" s="21">
        <f t="shared" si="6"/>
        <v>2611.408</v>
      </c>
      <c r="P8" s="22">
        <f t="shared" si="7"/>
        <v>235924.5221</v>
      </c>
      <c r="R8" s="23" t="s">
        <v>1101</v>
      </c>
      <c r="S8" s="24"/>
      <c r="T8" s="25"/>
      <c r="U8" s="25"/>
      <c r="V8" s="25"/>
      <c r="W8" s="25"/>
      <c r="X8" s="25"/>
      <c r="Y8" s="25"/>
      <c r="Z8" s="25"/>
      <c r="AA8" s="25"/>
    </row>
    <row r="9" hidden="1">
      <c r="A9" s="11"/>
      <c r="B9" s="11">
        <v>45994.0</v>
      </c>
      <c r="C9" s="12">
        <f>VLOOKUP(B:B,'Курс валют'!A:D,4,0)</f>
        <v>89.8514</v>
      </c>
      <c r="D9" s="13" t="s">
        <v>19</v>
      </c>
      <c r="E9" s="26" t="s">
        <v>18</v>
      </c>
      <c r="F9" s="15">
        <v>11000.0</v>
      </c>
      <c r="G9" s="15">
        <v>11333.1</v>
      </c>
      <c r="H9" s="17">
        <v>197.1</v>
      </c>
      <c r="I9" s="15">
        <f t="shared" si="1"/>
        <v>333.1</v>
      </c>
      <c r="J9" s="18">
        <f t="shared" si="2"/>
        <v>3.028181818</v>
      </c>
      <c r="K9" s="17">
        <v>2.61</v>
      </c>
      <c r="L9" s="19">
        <f t="shared" si="3"/>
        <v>1.791818182</v>
      </c>
      <c r="M9" s="20">
        <f t="shared" si="4"/>
        <v>229.6178339</v>
      </c>
      <c r="N9" s="21">
        <f t="shared" si="5"/>
        <v>2.555528727</v>
      </c>
      <c r="O9" s="21">
        <f t="shared" si="6"/>
        <v>28110.816</v>
      </c>
      <c r="P9" s="22">
        <f t="shared" si="7"/>
        <v>2525796.173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 hidden="1">
      <c r="A10" s="11"/>
      <c r="B10" s="11">
        <v>45994.0</v>
      </c>
      <c r="C10" s="12">
        <f>VLOOKUP(B:B,'Курс валют'!A:D,4,0)</f>
        <v>89.8514</v>
      </c>
      <c r="D10" s="13" t="s">
        <v>1560</v>
      </c>
      <c r="E10" s="26" t="s">
        <v>73</v>
      </c>
      <c r="F10" s="15">
        <v>600.0</v>
      </c>
      <c r="G10" s="15">
        <v>600.0</v>
      </c>
      <c r="H10" s="17">
        <v>0.0</v>
      </c>
      <c r="I10" s="15">
        <f t="shared" si="1"/>
        <v>0</v>
      </c>
      <c r="J10" s="18">
        <f t="shared" si="2"/>
        <v>0</v>
      </c>
      <c r="K10" s="17">
        <v>2.59</v>
      </c>
      <c r="L10" s="19">
        <f t="shared" si="3"/>
        <v>0</v>
      </c>
      <c r="M10" s="20">
        <f t="shared" si="4"/>
        <v>232.715126</v>
      </c>
      <c r="N10" s="21">
        <f t="shared" si="5"/>
        <v>2.59</v>
      </c>
      <c r="O10" s="21">
        <f t="shared" si="6"/>
        <v>1554</v>
      </c>
      <c r="P10" s="22">
        <f t="shared" si="7"/>
        <v>139629.0756</v>
      </c>
      <c r="R10" s="23" t="s">
        <v>1561</v>
      </c>
      <c r="S10" s="24"/>
      <c r="T10" s="25"/>
      <c r="U10" s="25"/>
      <c r="V10" s="25"/>
      <c r="W10" s="25"/>
      <c r="X10" s="25"/>
      <c r="Y10" s="25"/>
      <c r="Z10" s="25"/>
      <c r="AA10" s="25"/>
    </row>
    <row r="11" hidden="1">
      <c r="A11" s="11"/>
      <c r="B11" s="11">
        <v>45995.0</v>
      </c>
      <c r="C11" s="12">
        <f>VLOOKUP(B:B,'Курс валют'!A:D,4,0)</f>
        <v>90.5903</v>
      </c>
      <c r="D11" s="13" t="s">
        <v>1562</v>
      </c>
      <c r="E11" s="84" t="s">
        <v>73</v>
      </c>
      <c r="F11" s="15">
        <v>1200.0</v>
      </c>
      <c r="G11" s="15">
        <v>1200.0</v>
      </c>
      <c r="H11" s="17">
        <v>0.0</v>
      </c>
      <c r="I11" s="15">
        <f t="shared" si="1"/>
        <v>0</v>
      </c>
      <c r="J11" s="18">
        <f t="shared" si="2"/>
        <v>0</v>
      </c>
      <c r="K11" s="17">
        <v>2.62</v>
      </c>
      <c r="L11" s="19">
        <f t="shared" si="3"/>
        <v>0</v>
      </c>
      <c r="M11" s="20">
        <f t="shared" si="4"/>
        <v>237.346586</v>
      </c>
      <c r="N11" s="21">
        <f t="shared" si="5"/>
        <v>2.62</v>
      </c>
      <c r="O11" s="21">
        <f t="shared" si="6"/>
        <v>3144</v>
      </c>
      <c r="P11" s="22">
        <f t="shared" si="7"/>
        <v>284815.9032</v>
      </c>
      <c r="R11" s="23" t="s">
        <v>1563</v>
      </c>
      <c r="S11" s="24"/>
      <c r="T11" s="25"/>
      <c r="U11" s="25"/>
      <c r="V11" s="25"/>
      <c r="W11" s="25"/>
      <c r="X11" s="25"/>
      <c r="Y11" s="25"/>
      <c r="Z11" s="25"/>
      <c r="AA11" s="25"/>
    </row>
    <row r="12" hidden="1">
      <c r="A12" s="11"/>
      <c r="B12" s="83">
        <v>45995.0</v>
      </c>
      <c r="C12" s="12">
        <f>VLOOKUP(B:B,'Курс валют'!A:D,4,0)</f>
        <v>90.5903</v>
      </c>
      <c r="D12" s="13" t="s">
        <v>20</v>
      </c>
      <c r="E12" s="26" t="s">
        <v>18</v>
      </c>
      <c r="F12" s="15">
        <v>9900.0</v>
      </c>
      <c r="G12" s="15">
        <v>9965.8</v>
      </c>
      <c r="H12" s="27">
        <v>177.39</v>
      </c>
      <c r="I12" s="15">
        <f t="shared" si="1"/>
        <v>65.8</v>
      </c>
      <c r="J12" s="18">
        <f t="shared" si="2"/>
        <v>0.6646464646</v>
      </c>
      <c r="K12" s="17">
        <v>2.57</v>
      </c>
      <c r="L12" s="19">
        <f t="shared" si="3"/>
        <v>1.791818182</v>
      </c>
      <c r="M12" s="20">
        <f t="shared" si="4"/>
        <v>227.8825021</v>
      </c>
      <c r="N12" s="21">
        <f t="shared" si="5"/>
        <v>2.515528727</v>
      </c>
      <c r="O12" s="21">
        <f t="shared" si="6"/>
        <v>24903.7344</v>
      </c>
      <c r="P12" s="22">
        <f t="shared" si="7"/>
        <v>2256036.77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 hidden="1">
      <c r="A13" s="11"/>
      <c r="B13" s="11">
        <v>45996.0</v>
      </c>
      <c r="C13" s="12">
        <f>VLOOKUP(B:B,'Курс валют'!A:D,4,0)</f>
        <v>89.9011</v>
      </c>
      <c r="D13" s="13" t="s">
        <v>21</v>
      </c>
      <c r="E13" s="77" t="s">
        <v>18</v>
      </c>
      <c r="F13" s="15">
        <v>11000.0</v>
      </c>
      <c r="G13" s="15">
        <v>11093.1</v>
      </c>
      <c r="H13" s="17">
        <v>4072.29</v>
      </c>
      <c r="I13" s="15">
        <f t="shared" si="1"/>
        <v>93.1</v>
      </c>
      <c r="J13" s="18">
        <f t="shared" si="2"/>
        <v>0.8463636364</v>
      </c>
      <c r="K13" s="17">
        <v>3.57</v>
      </c>
      <c r="L13" s="19">
        <f t="shared" si="3"/>
        <v>37.02081818</v>
      </c>
      <c r="M13" s="20">
        <f t="shared" si="4"/>
        <v>219.7692738</v>
      </c>
      <c r="N13" s="29">
        <f t="shared" si="5"/>
        <v>2.444567127</v>
      </c>
      <c r="O13" s="21">
        <f t="shared" si="6"/>
        <v>26890.2384</v>
      </c>
      <c r="P13" s="22">
        <f t="shared" si="7"/>
        <v>2417462.011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 hidden="1">
      <c r="A14" s="11"/>
      <c r="B14" s="85">
        <v>45996.0</v>
      </c>
      <c r="C14" s="12">
        <f>VLOOKUP(B:B,'Курс валют'!A:D,4,0)</f>
        <v>89.9011</v>
      </c>
      <c r="D14" s="13" t="s">
        <v>1564</v>
      </c>
      <c r="E14" s="26" t="s">
        <v>73</v>
      </c>
      <c r="F14" s="15">
        <v>1200.0</v>
      </c>
      <c r="G14" s="15">
        <v>1200.0</v>
      </c>
      <c r="H14" s="17">
        <v>0.0</v>
      </c>
      <c r="I14" s="15">
        <f t="shared" si="1"/>
        <v>0</v>
      </c>
      <c r="J14" s="18">
        <f t="shared" si="2"/>
        <v>0</v>
      </c>
      <c r="K14" s="17">
        <v>2.56</v>
      </c>
      <c r="L14" s="19">
        <f t="shared" si="3"/>
        <v>0</v>
      </c>
      <c r="M14" s="20">
        <f t="shared" si="4"/>
        <v>230.146816</v>
      </c>
      <c r="N14" s="21">
        <f t="shared" si="5"/>
        <v>2.56</v>
      </c>
      <c r="O14" s="21">
        <f t="shared" si="6"/>
        <v>3072</v>
      </c>
      <c r="P14" s="22">
        <f t="shared" si="7"/>
        <v>276176.1792</v>
      </c>
      <c r="R14" s="23" t="s">
        <v>1101</v>
      </c>
      <c r="S14" s="24"/>
      <c r="T14" s="25"/>
      <c r="U14" s="25"/>
      <c r="V14" s="25"/>
      <c r="W14" s="25"/>
      <c r="X14" s="25"/>
      <c r="Y14" s="25"/>
      <c r="Z14" s="25"/>
      <c r="AA14" s="25"/>
    </row>
    <row r="15" hidden="1">
      <c r="A15" s="11"/>
      <c r="B15" s="86">
        <v>45997.0</v>
      </c>
      <c r="C15" s="12">
        <f>VLOOKUP(B:B,'Курс валют'!A:D,4,0)</f>
        <v>88.7028</v>
      </c>
      <c r="D15" s="13" t="s">
        <v>1565</v>
      </c>
      <c r="E15" s="26" t="s">
        <v>82</v>
      </c>
      <c r="F15" s="15">
        <v>1400.0</v>
      </c>
      <c r="G15" s="15">
        <v>1400.0</v>
      </c>
      <c r="H15" s="17">
        <v>0.0</v>
      </c>
      <c r="I15" s="15">
        <f t="shared" si="1"/>
        <v>0</v>
      </c>
      <c r="J15" s="18">
        <f t="shared" si="2"/>
        <v>0</v>
      </c>
      <c r="K15" s="17">
        <v>2.56</v>
      </c>
      <c r="L15" s="19">
        <f t="shared" si="3"/>
        <v>0</v>
      </c>
      <c r="M15" s="20">
        <f t="shared" si="4"/>
        <v>227.079168</v>
      </c>
      <c r="N15" s="21">
        <f t="shared" si="5"/>
        <v>2.56</v>
      </c>
      <c r="O15" s="21">
        <f t="shared" si="6"/>
        <v>3584</v>
      </c>
      <c r="P15" s="22">
        <f t="shared" si="7"/>
        <v>317910.8352</v>
      </c>
      <c r="R15" s="23" t="s">
        <v>1101</v>
      </c>
      <c r="S15" s="24"/>
      <c r="T15" s="25"/>
      <c r="U15" s="25"/>
      <c r="V15" s="25"/>
      <c r="W15" s="25"/>
      <c r="X15" s="25"/>
      <c r="Y15" s="25"/>
      <c r="Z15" s="25"/>
      <c r="AA15" s="25"/>
    </row>
    <row r="16" hidden="1">
      <c r="A16" s="11"/>
      <c r="B16" s="11">
        <v>45997.0</v>
      </c>
      <c r="C16" s="12">
        <f>VLOOKUP(B:B,'Курс валют'!A:D,4,0)</f>
        <v>88.7028</v>
      </c>
      <c r="D16" s="13" t="s">
        <v>22</v>
      </c>
      <c r="E16" s="77" t="s">
        <v>18</v>
      </c>
      <c r="F16" s="15">
        <v>9900.0</v>
      </c>
      <c r="G16" s="15">
        <v>9983.8</v>
      </c>
      <c r="H16" s="17">
        <v>4532.49</v>
      </c>
      <c r="I16" s="15">
        <f t="shared" si="1"/>
        <v>83.8</v>
      </c>
      <c r="J16" s="18">
        <f t="shared" si="2"/>
        <v>0.8464646465</v>
      </c>
      <c r="K16" s="17">
        <v>3.84</v>
      </c>
      <c r="L16" s="19">
        <f t="shared" si="3"/>
        <v>45.78272727</v>
      </c>
      <c r="M16" s="20">
        <f t="shared" si="4"/>
        <v>217.1626465</v>
      </c>
      <c r="N16" s="29">
        <f t="shared" si="5"/>
        <v>2.448205091</v>
      </c>
      <c r="O16" s="21">
        <f t="shared" si="6"/>
        <v>24237.2304</v>
      </c>
      <c r="P16" s="22">
        <f t="shared" si="7"/>
        <v>2149910.201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 hidden="1">
      <c r="A17" s="11"/>
      <c r="B17" s="11">
        <v>45998.0</v>
      </c>
      <c r="C17" s="12">
        <f>VLOOKUP(B:B,'Курс валют'!A:D,4,0)</f>
        <v>88.7028</v>
      </c>
      <c r="D17" s="13" t="s">
        <v>23</v>
      </c>
      <c r="E17" s="77" t="s">
        <v>18</v>
      </c>
      <c r="F17" s="15">
        <v>11000.0</v>
      </c>
      <c r="G17" s="15">
        <v>11093.1</v>
      </c>
      <c r="H17" s="17">
        <v>5036.1</v>
      </c>
      <c r="I17" s="15">
        <f t="shared" si="1"/>
        <v>93.1</v>
      </c>
      <c r="J17" s="18">
        <f t="shared" si="2"/>
        <v>0.8463636364</v>
      </c>
      <c r="K17" s="17">
        <v>3.52</v>
      </c>
      <c r="L17" s="19">
        <f t="shared" si="3"/>
        <v>45.78272727</v>
      </c>
      <c r="M17" s="20">
        <f t="shared" si="4"/>
        <v>188.7777505</v>
      </c>
      <c r="N17" s="29">
        <f t="shared" si="5"/>
        <v>2.128205091</v>
      </c>
      <c r="O17" s="21">
        <f t="shared" si="6"/>
        <v>23410.256</v>
      </c>
      <c r="P17" s="22">
        <f t="shared" si="7"/>
        <v>2076555.256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 hidden="1">
      <c r="A18" s="30"/>
      <c r="B18" s="11">
        <v>45999.0</v>
      </c>
      <c r="C18" s="12">
        <f>VLOOKUP(B:B,'Курс валют'!A:D,4,0)</f>
        <v>88.7028</v>
      </c>
      <c r="D18" s="13" t="s">
        <v>24</v>
      </c>
      <c r="E18" s="77" t="s">
        <v>18</v>
      </c>
      <c r="F18" s="15">
        <v>11000.0</v>
      </c>
      <c r="G18" s="15">
        <v>11093.1</v>
      </c>
      <c r="H18" s="17">
        <f>5036.1-96.88</f>
        <v>4939.22</v>
      </c>
      <c r="I18" s="15">
        <f t="shared" si="1"/>
        <v>93.1</v>
      </c>
      <c r="J18" s="18">
        <f t="shared" si="2"/>
        <v>0.8463636364</v>
      </c>
      <c r="K18" s="17">
        <v>3.5</v>
      </c>
      <c r="L18" s="19">
        <f t="shared" si="3"/>
        <v>44.902</v>
      </c>
      <c r="M18" s="20">
        <f t="shared" si="4"/>
        <v>189.378633</v>
      </c>
      <c r="N18" s="21">
        <f t="shared" si="5"/>
        <v>2.1349792</v>
      </c>
      <c r="O18" s="21">
        <f t="shared" si="6"/>
        <v>23484.7712</v>
      </c>
      <c r="P18" s="22">
        <f t="shared" si="7"/>
        <v>2083164.963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 hidden="1">
      <c r="A19" s="30"/>
      <c r="B19" s="11">
        <v>46000.0</v>
      </c>
      <c r="C19" s="12">
        <f>VLOOKUP(B:B,'Курс валют'!A:D,4,0)</f>
        <v>89.7054</v>
      </c>
      <c r="D19" s="13" t="s">
        <v>1566</v>
      </c>
      <c r="E19" s="35" t="s">
        <v>1567</v>
      </c>
      <c r="F19" s="15">
        <v>1100.0</v>
      </c>
      <c r="G19" s="15">
        <v>1110.32</v>
      </c>
      <c r="H19" s="17">
        <v>437.4</v>
      </c>
      <c r="I19" s="15">
        <f t="shared" si="1"/>
        <v>10.32</v>
      </c>
      <c r="J19" s="18">
        <f t="shared" si="2"/>
        <v>0.9381818182</v>
      </c>
      <c r="K19" s="17">
        <v>3.48</v>
      </c>
      <c r="L19" s="19">
        <f t="shared" si="3"/>
        <v>39.76363636</v>
      </c>
      <c r="M19" s="20">
        <f t="shared" si="4"/>
        <v>203.7375997</v>
      </c>
      <c r="N19" s="21">
        <f t="shared" si="5"/>
        <v>2.271185455</v>
      </c>
      <c r="O19" s="21">
        <f t="shared" si="6"/>
        <v>2498.304</v>
      </c>
      <c r="P19" s="22">
        <f t="shared" si="7"/>
        <v>224111.3596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 hidden="1">
      <c r="A20" s="30"/>
      <c r="B20" s="11">
        <v>46000.0</v>
      </c>
      <c r="C20" s="12">
        <f>VLOOKUP(B:B,'Курс валют'!A:D,4,0)</f>
        <v>89.7054</v>
      </c>
      <c r="D20" s="13" t="s">
        <v>1568</v>
      </c>
      <c r="E20" s="35" t="s">
        <v>112</v>
      </c>
      <c r="F20" s="15">
        <v>200.0</v>
      </c>
      <c r="G20" s="15">
        <v>203.35</v>
      </c>
      <c r="H20" s="17">
        <v>0.0</v>
      </c>
      <c r="I20" s="15">
        <f t="shared" si="1"/>
        <v>3.35</v>
      </c>
      <c r="J20" s="18">
        <f t="shared" si="2"/>
        <v>1.675</v>
      </c>
      <c r="K20" s="17">
        <v>2.76</v>
      </c>
      <c r="L20" s="19">
        <f t="shared" si="3"/>
        <v>0</v>
      </c>
      <c r="M20" s="20">
        <f t="shared" si="4"/>
        <v>247.586904</v>
      </c>
      <c r="N20" s="21">
        <f t="shared" si="5"/>
        <v>2.76</v>
      </c>
      <c r="O20" s="21">
        <f t="shared" si="6"/>
        <v>552</v>
      </c>
      <c r="P20" s="22">
        <f t="shared" si="7"/>
        <v>49517.3808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 hidden="1">
      <c r="A21" s="30"/>
      <c r="B21" s="11">
        <v>46000.0</v>
      </c>
      <c r="C21" s="12">
        <f>VLOOKUP(B:B,'Курс валют'!A:D,4,0)</f>
        <v>89.7054</v>
      </c>
      <c r="D21" s="13" t="s">
        <v>25</v>
      </c>
      <c r="E21" s="59" t="s">
        <v>18</v>
      </c>
      <c r="F21" s="15">
        <v>9900.0</v>
      </c>
      <c r="G21" s="15">
        <v>9988.3</v>
      </c>
      <c r="H21" s="34">
        <v>1868.79</v>
      </c>
      <c r="I21" s="15">
        <f t="shared" si="1"/>
        <v>88.3</v>
      </c>
      <c r="J21" s="18">
        <f t="shared" si="2"/>
        <v>0.8919191919</v>
      </c>
      <c r="K21" s="17">
        <v>2.71</v>
      </c>
      <c r="L21" s="19">
        <f t="shared" si="3"/>
        <v>18.87666667</v>
      </c>
      <c r="M21" s="20">
        <f t="shared" si="4"/>
        <v>191.6241304</v>
      </c>
      <c r="N21" s="21">
        <f t="shared" si="5"/>
        <v>2.136149333</v>
      </c>
      <c r="O21" s="21">
        <f t="shared" si="6"/>
        <v>21147.8784</v>
      </c>
      <c r="P21" s="22">
        <f t="shared" si="7"/>
        <v>1897078.891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 hidden="1">
      <c r="A22" s="30"/>
      <c r="B22" s="11">
        <v>46001.0</v>
      </c>
      <c r="C22" s="12">
        <f>VLOOKUP(B:B,'Курс валют'!A:D,4,0)</f>
        <v>89.4267</v>
      </c>
      <c r="D22" s="13" t="s">
        <v>26</v>
      </c>
      <c r="E22" s="35" t="s">
        <v>18</v>
      </c>
      <c r="F22" s="15">
        <v>11000.0</v>
      </c>
      <c r="G22" s="15">
        <v>11118.1</v>
      </c>
      <c r="H22" s="17">
        <v>5031.1</v>
      </c>
      <c r="I22" s="15">
        <f t="shared" si="1"/>
        <v>118.1</v>
      </c>
      <c r="J22" s="18">
        <f t="shared" si="2"/>
        <v>1.073636364</v>
      </c>
      <c r="K22" s="17">
        <v>3.52</v>
      </c>
      <c r="L22" s="19">
        <f t="shared" si="3"/>
        <v>45.73727273</v>
      </c>
      <c r="M22" s="20">
        <f t="shared" si="4"/>
        <v>190.4419296</v>
      </c>
      <c r="N22" s="21">
        <f t="shared" si="5"/>
        <v>2.129586909</v>
      </c>
      <c r="O22" s="21">
        <f t="shared" si="6"/>
        <v>23425.456</v>
      </c>
      <c r="P22" s="22">
        <f t="shared" si="7"/>
        <v>2094861.226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 hidden="1">
      <c r="A23" s="30"/>
      <c r="B23" s="11">
        <v>46002.0</v>
      </c>
      <c r="C23" s="12">
        <f>VLOOKUP(B:B,'Курс валют'!A:D,4,0)</f>
        <v>91.3806</v>
      </c>
      <c r="D23" s="13" t="s">
        <v>1569</v>
      </c>
      <c r="E23" s="35" t="s">
        <v>61</v>
      </c>
      <c r="F23" s="15">
        <v>11000.0</v>
      </c>
      <c r="G23" s="15">
        <v>11113.2</v>
      </c>
      <c r="H23" s="17">
        <v>4571.1</v>
      </c>
      <c r="I23" s="15">
        <f t="shared" si="1"/>
        <v>113.2</v>
      </c>
      <c r="J23" s="18">
        <f t="shared" si="2"/>
        <v>1.029090909</v>
      </c>
      <c r="K23" s="17">
        <v>3.47</v>
      </c>
      <c r="L23" s="19">
        <f t="shared" si="3"/>
        <v>41.55545455</v>
      </c>
      <c r="M23" s="20">
        <f t="shared" si="4"/>
        <v>201.650866</v>
      </c>
      <c r="N23" s="21">
        <f t="shared" si="5"/>
        <v>2.206714182</v>
      </c>
      <c r="O23" s="21">
        <f t="shared" si="6"/>
        <v>24273.856</v>
      </c>
      <c r="P23" s="22">
        <f t="shared" si="7"/>
        <v>2218159.526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 hidden="1">
      <c r="A24" s="30"/>
      <c r="B24" s="11">
        <v>46003.0</v>
      </c>
      <c r="C24" s="12">
        <f>VLOOKUP(B:B,'Курс валют'!A:D,4,0)</f>
        <v>92.9384</v>
      </c>
      <c r="D24" s="13" t="s">
        <v>1570</v>
      </c>
      <c r="E24" s="59" t="s">
        <v>61</v>
      </c>
      <c r="F24" s="15">
        <v>11000.0</v>
      </c>
      <c r="G24" s="15">
        <v>11113.2</v>
      </c>
      <c r="H24" s="17">
        <v>4571.1</v>
      </c>
      <c r="I24" s="15">
        <f t="shared" si="1"/>
        <v>113.2</v>
      </c>
      <c r="J24" s="18">
        <f t="shared" si="2"/>
        <v>1.029090909</v>
      </c>
      <c r="K24" s="17">
        <v>3.47</v>
      </c>
      <c r="L24" s="19">
        <f t="shared" si="3"/>
        <v>41.55545455</v>
      </c>
      <c r="M24" s="20">
        <f t="shared" si="4"/>
        <v>205.0884853</v>
      </c>
      <c r="N24" s="21">
        <f t="shared" si="5"/>
        <v>2.206714182</v>
      </c>
      <c r="O24" s="21">
        <f t="shared" si="6"/>
        <v>24273.856</v>
      </c>
      <c r="P24" s="22">
        <f t="shared" si="7"/>
        <v>2255973.338</v>
      </c>
      <c r="R24" s="23"/>
      <c r="S24" s="24"/>
      <c r="T24" s="25"/>
      <c r="U24" s="25"/>
      <c r="V24" s="25"/>
      <c r="W24" s="25"/>
      <c r="X24" s="25"/>
      <c r="Y24" s="25"/>
      <c r="Z24" s="25"/>
      <c r="AA24" s="25"/>
    </row>
    <row r="25" hidden="1">
      <c r="A25" s="30"/>
      <c r="B25" s="11">
        <v>46004.0</v>
      </c>
      <c r="C25" s="12">
        <f>VLOOKUP(B:B,'Курс валют'!A:D,4,0)</f>
        <v>93.5626</v>
      </c>
      <c r="D25" s="13" t="s">
        <v>1571</v>
      </c>
      <c r="E25" s="77" t="s">
        <v>61</v>
      </c>
      <c r="F25" s="15">
        <v>11000.0</v>
      </c>
      <c r="G25" s="15">
        <v>11113.2</v>
      </c>
      <c r="H25" s="17">
        <v>4571.1</v>
      </c>
      <c r="I25" s="15">
        <f t="shared" si="1"/>
        <v>113.2</v>
      </c>
      <c r="J25" s="18">
        <f t="shared" si="2"/>
        <v>1.029090909</v>
      </c>
      <c r="K25" s="17">
        <v>3.47</v>
      </c>
      <c r="L25" s="19">
        <f t="shared" si="3"/>
        <v>41.55545455</v>
      </c>
      <c r="M25" s="20">
        <f t="shared" si="4"/>
        <v>206.4659163</v>
      </c>
      <c r="N25" s="21">
        <f t="shared" si="5"/>
        <v>2.206714182</v>
      </c>
      <c r="O25" s="21">
        <f t="shared" si="6"/>
        <v>24273.856</v>
      </c>
      <c r="P25" s="22">
        <f t="shared" si="7"/>
        <v>2271125.079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 hidden="1">
      <c r="A26" s="30"/>
      <c r="B26" s="11">
        <v>46005.0</v>
      </c>
      <c r="C26" s="12">
        <f>VLOOKUP(B:B,'Курс валют'!A:D,4,0)</f>
        <v>93.5626</v>
      </c>
      <c r="D26" s="13" t="s">
        <v>1572</v>
      </c>
      <c r="E26" s="59" t="s">
        <v>61</v>
      </c>
      <c r="F26" s="15">
        <v>9900.0</v>
      </c>
      <c r="G26" s="15">
        <v>10002.0</v>
      </c>
      <c r="H26" s="17">
        <v>1221.39</v>
      </c>
      <c r="I26" s="15">
        <f t="shared" si="1"/>
        <v>102</v>
      </c>
      <c r="J26" s="18">
        <f t="shared" si="2"/>
        <v>1.03030303</v>
      </c>
      <c r="K26" s="17">
        <v>2.78</v>
      </c>
      <c r="L26" s="19">
        <f t="shared" si="3"/>
        <v>12.33727273</v>
      </c>
      <c r="M26" s="20">
        <f t="shared" si="4"/>
        <v>225.0130857</v>
      </c>
      <c r="N26" s="21">
        <f t="shared" si="5"/>
        <v>2.404946909</v>
      </c>
      <c r="O26" s="21">
        <f t="shared" si="6"/>
        <v>23808.9744</v>
      </c>
      <c r="P26" s="22">
        <f t="shared" si="7"/>
        <v>2227629.548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 ht="15.0" hidden="1" customHeight="1">
      <c r="A27" s="30"/>
      <c r="B27" s="11">
        <v>46006.0</v>
      </c>
      <c r="C27" s="12">
        <f>VLOOKUP(B:B,'Курс валют'!A:D,4,0)</f>
        <v>93.5626</v>
      </c>
      <c r="D27" s="13" t="s">
        <v>1573</v>
      </c>
      <c r="E27" s="59" t="s">
        <v>54</v>
      </c>
      <c r="F27" s="15">
        <v>8000.0</v>
      </c>
      <c r="G27" s="15">
        <v>8038.1</v>
      </c>
      <c r="H27" s="17">
        <v>0.0</v>
      </c>
      <c r="I27" s="15">
        <f t="shared" si="1"/>
        <v>38.1</v>
      </c>
      <c r="J27" s="18">
        <f t="shared" si="2"/>
        <v>0.47625</v>
      </c>
      <c r="K27" s="17">
        <v>2.01</v>
      </c>
      <c r="L27" s="19">
        <f t="shared" si="3"/>
        <v>0</v>
      </c>
      <c r="M27" s="20">
        <f t="shared" si="4"/>
        <v>188.060826</v>
      </c>
      <c r="N27" s="21">
        <f t="shared" si="5"/>
        <v>2.01</v>
      </c>
      <c r="O27" s="21">
        <f t="shared" si="6"/>
        <v>16080</v>
      </c>
      <c r="P27" s="22">
        <f t="shared" si="7"/>
        <v>1504486.608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 hidden="1">
      <c r="A28" s="30"/>
      <c r="B28" s="11">
        <v>46007.0</v>
      </c>
      <c r="C28" s="12">
        <f>VLOOKUP(B:B,'Курс валют'!A:D,4,0)</f>
        <v>93.2274</v>
      </c>
      <c r="D28" s="13" t="s">
        <v>1574</v>
      </c>
      <c r="E28" s="59" t="s">
        <v>54</v>
      </c>
      <c r="F28" s="15">
        <v>8000.0</v>
      </c>
      <c r="G28" s="15">
        <v>8043.4</v>
      </c>
      <c r="H28" s="17">
        <v>0.0</v>
      </c>
      <c r="I28" s="15">
        <f t="shared" si="1"/>
        <v>43.4</v>
      </c>
      <c r="J28" s="18">
        <f t="shared" si="2"/>
        <v>0.5425</v>
      </c>
      <c r="K28" s="17">
        <v>2.05</v>
      </c>
      <c r="L28" s="19">
        <f t="shared" si="3"/>
        <v>0</v>
      </c>
      <c r="M28" s="20">
        <f t="shared" si="4"/>
        <v>191.11617</v>
      </c>
      <c r="N28" s="21">
        <f t="shared" si="5"/>
        <v>2.05</v>
      </c>
      <c r="O28" s="21">
        <f t="shared" si="6"/>
        <v>16400</v>
      </c>
      <c r="P28" s="22">
        <f t="shared" si="7"/>
        <v>1528929.36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 hidden="1">
      <c r="A29" s="30"/>
      <c r="B29" s="11">
        <v>46008.0</v>
      </c>
      <c r="C29" s="12">
        <f>VLOOKUP(B:B,'Курс валют'!A:D,4,0)</f>
        <v>93.8054</v>
      </c>
      <c r="D29" s="13" t="s">
        <v>1575</v>
      </c>
      <c r="E29" s="59" t="s">
        <v>54</v>
      </c>
      <c r="F29" s="15">
        <v>800.0</v>
      </c>
      <c r="G29" s="15">
        <v>804.34</v>
      </c>
      <c r="H29" s="17">
        <v>0.0</v>
      </c>
      <c r="I29" s="15">
        <f t="shared" si="1"/>
        <v>4.34</v>
      </c>
      <c r="J29" s="18">
        <f t="shared" si="2"/>
        <v>0.5425</v>
      </c>
      <c r="K29" s="17">
        <v>2.06</v>
      </c>
      <c r="L29" s="19">
        <f t="shared" si="3"/>
        <v>0</v>
      </c>
      <c r="M29" s="20">
        <f t="shared" si="4"/>
        <v>193.239124</v>
      </c>
      <c r="N29" s="21">
        <f t="shared" si="5"/>
        <v>2.06</v>
      </c>
      <c r="O29" s="21">
        <f t="shared" si="6"/>
        <v>1648</v>
      </c>
      <c r="P29" s="22">
        <f t="shared" si="7"/>
        <v>154591.2992</v>
      </c>
      <c r="R29" s="23"/>
      <c r="S29" s="57"/>
      <c r="T29" s="25"/>
      <c r="U29" s="25"/>
      <c r="V29" s="25"/>
      <c r="W29" s="25"/>
      <c r="X29" s="25"/>
      <c r="Y29" s="25"/>
      <c r="Z29" s="25"/>
      <c r="AA29" s="25"/>
    </row>
    <row r="30" hidden="1">
      <c r="A30" s="30"/>
      <c r="B30" s="11">
        <v>46008.0</v>
      </c>
      <c r="C30" s="12">
        <f>VLOOKUP(B:B,'Курс валют'!A:D,4,0)</f>
        <v>93.8054</v>
      </c>
      <c r="D30" s="13" t="s">
        <v>1576</v>
      </c>
      <c r="E30" s="59" t="s">
        <v>54</v>
      </c>
      <c r="F30" s="76">
        <v>800.0</v>
      </c>
      <c r="G30" s="76">
        <v>804.34</v>
      </c>
      <c r="H30" s="58">
        <v>0.0</v>
      </c>
      <c r="I30" s="15">
        <f t="shared" si="1"/>
        <v>4.34</v>
      </c>
      <c r="J30" s="18">
        <f t="shared" si="2"/>
        <v>0.5425</v>
      </c>
      <c r="K30" s="58">
        <v>2.05</v>
      </c>
      <c r="L30" s="19">
        <f t="shared" si="3"/>
        <v>0</v>
      </c>
      <c r="M30" s="20">
        <f t="shared" si="4"/>
        <v>192.30107</v>
      </c>
      <c r="N30" s="21">
        <f t="shared" si="5"/>
        <v>2.05</v>
      </c>
      <c r="O30" s="21">
        <f t="shared" si="6"/>
        <v>1640</v>
      </c>
      <c r="P30" s="22">
        <f t="shared" si="7"/>
        <v>153840.856</v>
      </c>
      <c r="R30" s="23" t="s">
        <v>1101</v>
      </c>
      <c r="S30" s="57"/>
      <c r="T30" s="25"/>
      <c r="U30" s="25"/>
      <c r="V30" s="25"/>
      <c r="W30" s="25"/>
      <c r="X30" s="25"/>
      <c r="Y30" s="25"/>
      <c r="Z30" s="25"/>
      <c r="AA30" s="25"/>
    </row>
    <row r="31" hidden="1">
      <c r="A31" s="30"/>
      <c r="B31" s="11">
        <v>46008.0</v>
      </c>
      <c r="C31" s="12">
        <f>VLOOKUP(B:B,'Курс валют'!A:D,4,0)</f>
        <v>93.8054</v>
      </c>
      <c r="D31" s="13" t="s">
        <v>1577</v>
      </c>
      <c r="E31" s="59" t="s">
        <v>54</v>
      </c>
      <c r="F31" s="15">
        <v>800.0</v>
      </c>
      <c r="G31" s="15">
        <v>804.34</v>
      </c>
      <c r="H31" s="17">
        <v>0.0</v>
      </c>
      <c r="I31" s="15">
        <f t="shared" si="1"/>
        <v>4.34</v>
      </c>
      <c r="J31" s="18">
        <f t="shared" si="2"/>
        <v>0.5425</v>
      </c>
      <c r="K31" s="58">
        <v>2.05</v>
      </c>
      <c r="L31" s="19">
        <f t="shared" si="3"/>
        <v>0</v>
      </c>
      <c r="M31" s="20">
        <f t="shared" si="4"/>
        <v>192.30107</v>
      </c>
      <c r="N31" s="21">
        <f t="shared" si="5"/>
        <v>2.05</v>
      </c>
      <c r="O31" s="21">
        <f t="shared" si="6"/>
        <v>1640</v>
      </c>
      <c r="P31" s="22">
        <f t="shared" si="7"/>
        <v>153840.856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 hidden="1">
      <c r="A32" s="30"/>
      <c r="B32" s="11">
        <v>46008.0</v>
      </c>
      <c r="C32" s="12">
        <f>VLOOKUP(B:B,'Курс валют'!A:D,4,0)</f>
        <v>93.8054</v>
      </c>
      <c r="D32" s="13" t="s">
        <v>1578</v>
      </c>
      <c r="E32" s="59" t="s">
        <v>54</v>
      </c>
      <c r="F32" s="15">
        <v>800.0</v>
      </c>
      <c r="G32" s="76">
        <v>804.34</v>
      </c>
      <c r="H32" s="17">
        <v>0.0</v>
      </c>
      <c r="I32" s="15">
        <f t="shared" si="1"/>
        <v>4.34</v>
      </c>
      <c r="J32" s="18">
        <f t="shared" si="2"/>
        <v>0.5425</v>
      </c>
      <c r="K32" s="58">
        <v>2.05</v>
      </c>
      <c r="L32" s="19">
        <f t="shared" si="3"/>
        <v>0</v>
      </c>
      <c r="M32" s="20">
        <f t="shared" si="4"/>
        <v>192.30107</v>
      </c>
      <c r="N32" s="21">
        <f t="shared" si="5"/>
        <v>2.05</v>
      </c>
      <c r="O32" s="21">
        <f t="shared" si="6"/>
        <v>1640</v>
      </c>
      <c r="P32" s="22">
        <f t="shared" si="7"/>
        <v>153840.856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 hidden="1">
      <c r="A33" s="30"/>
      <c r="B33" s="11">
        <v>46008.0</v>
      </c>
      <c r="C33" s="12">
        <f>VLOOKUP(B:B,'Курс валют'!A:D,4,0)</f>
        <v>93.8054</v>
      </c>
      <c r="D33" s="13" t="s">
        <v>1579</v>
      </c>
      <c r="E33" s="59" t="s">
        <v>54</v>
      </c>
      <c r="F33" s="15">
        <v>800.0</v>
      </c>
      <c r="G33" s="15">
        <v>804.34</v>
      </c>
      <c r="H33" s="17">
        <v>0.0</v>
      </c>
      <c r="I33" s="15">
        <f t="shared" si="1"/>
        <v>4.34</v>
      </c>
      <c r="J33" s="18">
        <f t="shared" si="2"/>
        <v>0.5425</v>
      </c>
      <c r="K33" s="58">
        <v>2.05</v>
      </c>
      <c r="L33" s="19">
        <f t="shared" si="3"/>
        <v>0</v>
      </c>
      <c r="M33" s="20">
        <f t="shared" si="4"/>
        <v>192.30107</v>
      </c>
      <c r="N33" s="21">
        <f t="shared" si="5"/>
        <v>2.05</v>
      </c>
      <c r="O33" s="21">
        <f t="shared" si="6"/>
        <v>1640</v>
      </c>
      <c r="P33" s="22">
        <f t="shared" si="7"/>
        <v>153840.856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 hidden="1">
      <c r="A34" s="30"/>
      <c r="B34" s="11">
        <v>46008.0</v>
      </c>
      <c r="C34" s="12">
        <f>VLOOKUP(B:B,'Курс валют'!A:D,4,0)</f>
        <v>93.8054</v>
      </c>
      <c r="D34" s="13" t="s">
        <v>1580</v>
      </c>
      <c r="E34" s="59" t="s">
        <v>54</v>
      </c>
      <c r="F34" s="15">
        <v>800.0</v>
      </c>
      <c r="G34" s="76">
        <v>804.34</v>
      </c>
      <c r="H34" s="17">
        <v>0.0</v>
      </c>
      <c r="I34" s="15">
        <f t="shared" si="1"/>
        <v>4.34</v>
      </c>
      <c r="J34" s="18">
        <f t="shared" si="2"/>
        <v>0.5425</v>
      </c>
      <c r="K34" s="58">
        <v>2.05</v>
      </c>
      <c r="L34" s="19">
        <f t="shared" si="3"/>
        <v>0</v>
      </c>
      <c r="M34" s="20">
        <f t="shared" si="4"/>
        <v>192.30107</v>
      </c>
      <c r="N34" s="21">
        <f t="shared" si="5"/>
        <v>2.05</v>
      </c>
      <c r="O34" s="21">
        <f t="shared" si="6"/>
        <v>1640</v>
      </c>
      <c r="P34" s="22">
        <f t="shared" si="7"/>
        <v>153840.856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 hidden="1">
      <c r="A35" s="30"/>
      <c r="B35" s="11">
        <v>46008.0</v>
      </c>
      <c r="C35" s="12">
        <f>VLOOKUP(B:B,'Курс валют'!A:D,4,0)</f>
        <v>93.8054</v>
      </c>
      <c r="D35" s="13" t="s">
        <v>1581</v>
      </c>
      <c r="E35" s="59" t="s">
        <v>54</v>
      </c>
      <c r="F35" s="15">
        <v>800.0</v>
      </c>
      <c r="G35" s="15">
        <v>804.34</v>
      </c>
      <c r="H35" s="17">
        <v>0.0</v>
      </c>
      <c r="I35" s="15">
        <f t="shared" si="1"/>
        <v>4.34</v>
      </c>
      <c r="J35" s="18">
        <f t="shared" si="2"/>
        <v>0.5425</v>
      </c>
      <c r="K35" s="58">
        <v>2.05</v>
      </c>
      <c r="L35" s="19">
        <f t="shared" si="3"/>
        <v>0</v>
      </c>
      <c r="M35" s="20">
        <f t="shared" si="4"/>
        <v>192.30107</v>
      </c>
      <c r="N35" s="21">
        <f t="shared" si="5"/>
        <v>2.05</v>
      </c>
      <c r="O35" s="21">
        <f t="shared" si="6"/>
        <v>1640</v>
      </c>
      <c r="P35" s="22">
        <f t="shared" si="7"/>
        <v>153840.856</v>
      </c>
      <c r="R35" s="23"/>
      <c r="S35" s="25"/>
      <c r="T35" s="25"/>
      <c r="U35" s="25"/>
      <c r="V35" s="25"/>
      <c r="W35" s="25"/>
      <c r="X35" s="25"/>
      <c r="Y35" s="25"/>
      <c r="Z35" s="25"/>
      <c r="AA35" s="25"/>
    </row>
    <row r="36" hidden="1">
      <c r="A36" s="30"/>
      <c r="B36" s="11">
        <v>46008.0</v>
      </c>
      <c r="C36" s="12">
        <f>VLOOKUP(B:B,'Курс валют'!A:D,4,0)</f>
        <v>93.8054</v>
      </c>
      <c r="D36" s="13" t="s">
        <v>1582</v>
      </c>
      <c r="E36" s="59" t="s">
        <v>54</v>
      </c>
      <c r="F36" s="15">
        <v>800.0</v>
      </c>
      <c r="G36" s="76">
        <v>804.34</v>
      </c>
      <c r="H36" s="17">
        <v>0.0</v>
      </c>
      <c r="I36" s="15">
        <f t="shared" si="1"/>
        <v>4.34</v>
      </c>
      <c r="J36" s="18">
        <f t="shared" si="2"/>
        <v>0.5425</v>
      </c>
      <c r="K36" s="58">
        <v>2.05</v>
      </c>
      <c r="L36" s="19">
        <f t="shared" si="3"/>
        <v>0</v>
      </c>
      <c r="M36" s="20">
        <f t="shared" si="4"/>
        <v>192.30107</v>
      </c>
      <c r="N36" s="21">
        <f t="shared" si="5"/>
        <v>2.05</v>
      </c>
      <c r="O36" s="21">
        <f t="shared" si="6"/>
        <v>1640</v>
      </c>
      <c r="P36" s="22">
        <f t="shared" si="7"/>
        <v>153840.856</v>
      </c>
      <c r="R36" s="23"/>
      <c r="S36" s="25"/>
      <c r="T36" s="25"/>
      <c r="U36" s="25"/>
      <c r="V36" s="25"/>
      <c r="W36" s="25"/>
      <c r="X36" s="25"/>
      <c r="Y36" s="25"/>
      <c r="Z36" s="25"/>
      <c r="AA36" s="25"/>
    </row>
    <row r="37" hidden="1">
      <c r="A37" s="30"/>
      <c r="B37" s="11">
        <v>46008.0</v>
      </c>
      <c r="C37" s="12">
        <f>VLOOKUP(B:B,'Курс валют'!A:D,4,0)</f>
        <v>93.8054</v>
      </c>
      <c r="D37" s="13" t="s">
        <v>1583</v>
      </c>
      <c r="E37" s="59" t="s">
        <v>54</v>
      </c>
      <c r="F37" s="15">
        <v>800.0</v>
      </c>
      <c r="G37" s="15">
        <v>804.34</v>
      </c>
      <c r="H37" s="17">
        <v>0.0</v>
      </c>
      <c r="I37" s="15">
        <f t="shared" si="1"/>
        <v>4.34</v>
      </c>
      <c r="J37" s="18">
        <f t="shared" si="2"/>
        <v>0.5425</v>
      </c>
      <c r="K37" s="58">
        <v>2.05</v>
      </c>
      <c r="L37" s="19">
        <f t="shared" si="3"/>
        <v>0</v>
      </c>
      <c r="M37" s="20">
        <f t="shared" si="4"/>
        <v>192.30107</v>
      </c>
      <c r="N37" s="21">
        <f t="shared" si="5"/>
        <v>2.05</v>
      </c>
      <c r="O37" s="21">
        <f t="shared" si="6"/>
        <v>1640</v>
      </c>
      <c r="P37" s="22">
        <f t="shared" si="7"/>
        <v>153840.856</v>
      </c>
      <c r="R37" s="78"/>
      <c r="S37" s="24"/>
      <c r="T37" s="25"/>
      <c r="U37" s="25"/>
      <c r="V37" s="25"/>
      <c r="W37" s="25"/>
      <c r="X37" s="25"/>
      <c r="Y37" s="25"/>
      <c r="Z37" s="25"/>
      <c r="AA37" s="25"/>
    </row>
    <row r="38" hidden="1">
      <c r="A38" s="30"/>
      <c r="B38" s="11">
        <v>46008.0</v>
      </c>
      <c r="C38" s="12">
        <f>VLOOKUP(B:B,'Курс валют'!A:D,4,0)</f>
        <v>93.8054</v>
      </c>
      <c r="D38" s="13" t="s">
        <v>1584</v>
      </c>
      <c r="E38" s="59" t="s">
        <v>54</v>
      </c>
      <c r="F38" s="15">
        <v>800.0</v>
      </c>
      <c r="G38" s="76">
        <v>804.34</v>
      </c>
      <c r="H38" s="17">
        <v>0.0</v>
      </c>
      <c r="I38" s="15">
        <f t="shared" si="1"/>
        <v>4.34</v>
      </c>
      <c r="J38" s="18">
        <f t="shared" si="2"/>
        <v>0.5425</v>
      </c>
      <c r="K38" s="58">
        <v>2.05</v>
      </c>
      <c r="L38" s="19">
        <f t="shared" si="3"/>
        <v>0</v>
      </c>
      <c r="M38" s="20">
        <f t="shared" si="4"/>
        <v>192.30107</v>
      </c>
      <c r="N38" s="21">
        <f t="shared" si="5"/>
        <v>2.05</v>
      </c>
      <c r="O38" s="21">
        <f t="shared" si="6"/>
        <v>1640</v>
      </c>
      <c r="P38" s="22">
        <f t="shared" si="7"/>
        <v>153840.856</v>
      </c>
      <c r="R38" s="79"/>
      <c r="S38" s="24"/>
      <c r="T38" s="25"/>
      <c r="U38" s="25"/>
      <c r="V38" s="25"/>
      <c r="W38" s="25"/>
      <c r="X38" s="25"/>
      <c r="Y38" s="25"/>
      <c r="Z38" s="25"/>
      <c r="AA38" s="25"/>
    </row>
    <row r="39" hidden="1">
      <c r="A39" s="30"/>
      <c r="B39" s="11">
        <v>46008.0</v>
      </c>
      <c r="C39" s="12">
        <f>VLOOKUP(B:B,'Курс валют'!A:D,4,0)</f>
        <v>93.8054</v>
      </c>
      <c r="D39" s="13" t="s">
        <v>1585</v>
      </c>
      <c r="E39" s="77" t="s">
        <v>92</v>
      </c>
      <c r="F39" s="76">
        <v>400.0</v>
      </c>
      <c r="G39" s="76">
        <v>400.0</v>
      </c>
      <c r="H39" s="17">
        <v>0.0</v>
      </c>
      <c r="I39" s="15">
        <f t="shared" si="1"/>
        <v>0</v>
      </c>
      <c r="J39" s="18">
        <f t="shared" si="2"/>
        <v>0</v>
      </c>
      <c r="K39" s="17">
        <v>2.84</v>
      </c>
      <c r="L39" s="19">
        <f t="shared" si="3"/>
        <v>0</v>
      </c>
      <c r="M39" s="20">
        <f t="shared" si="4"/>
        <v>266.407336</v>
      </c>
      <c r="N39" s="21">
        <f t="shared" si="5"/>
        <v>2.84</v>
      </c>
      <c r="O39" s="21">
        <f t="shared" si="6"/>
        <v>1136</v>
      </c>
      <c r="P39" s="22">
        <f t="shared" si="7"/>
        <v>106562.9344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 hidden="1">
      <c r="A40" s="30"/>
      <c r="B40" s="30">
        <v>46009.0</v>
      </c>
      <c r="C40" s="12">
        <f>VLOOKUP(B:B,'Курс валют'!A:D,4,0)</f>
        <v>94.1478</v>
      </c>
      <c r="D40" s="13" t="s">
        <v>1586</v>
      </c>
      <c r="E40" s="59" t="s">
        <v>54</v>
      </c>
      <c r="F40" s="15">
        <v>800.0</v>
      </c>
      <c r="G40" s="13">
        <v>804.34</v>
      </c>
      <c r="H40" s="17">
        <v>0.0</v>
      </c>
      <c r="I40" s="15">
        <f t="shared" si="1"/>
        <v>4.34</v>
      </c>
      <c r="J40" s="18">
        <f t="shared" si="2"/>
        <v>0.5425</v>
      </c>
      <c r="K40" s="17">
        <v>2.05</v>
      </c>
      <c r="L40" s="19">
        <f t="shared" si="3"/>
        <v>0</v>
      </c>
      <c r="M40" s="20">
        <f t="shared" si="4"/>
        <v>193.00299</v>
      </c>
      <c r="N40" s="21">
        <f t="shared" si="5"/>
        <v>2.05</v>
      </c>
      <c r="O40" s="21">
        <f t="shared" si="6"/>
        <v>1640</v>
      </c>
      <c r="P40" s="22">
        <f t="shared" si="7"/>
        <v>154402.392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 hidden="1">
      <c r="A41" s="30"/>
      <c r="B41" s="11">
        <v>46009.0</v>
      </c>
      <c r="C41" s="12">
        <f>VLOOKUP(B:B,'Курс валют'!A:D,4,0)</f>
        <v>94.1478</v>
      </c>
      <c r="D41" s="13" t="s">
        <v>1587</v>
      </c>
      <c r="E41" s="59" t="s">
        <v>54</v>
      </c>
      <c r="F41" s="15">
        <v>800.0</v>
      </c>
      <c r="G41" s="13">
        <v>804.34</v>
      </c>
      <c r="H41" s="17">
        <v>0.0</v>
      </c>
      <c r="I41" s="15">
        <f t="shared" si="1"/>
        <v>4.34</v>
      </c>
      <c r="J41" s="18">
        <f t="shared" si="2"/>
        <v>0.5425</v>
      </c>
      <c r="K41" s="17">
        <v>2.05</v>
      </c>
      <c r="L41" s="19">
        <f t="shared" si="3"/>
        <v>0</v>
      </c>
      <c r="M41" s="20">
        <f t="shared" si="4"/>
        <v>193.00299</v>
      </c>
      <c r="N41" s="21">
        <f t="shared" si="5"/>
        <v>2.05</v>
      </c>
      <c r="O41" s="21">
        <f t="shared" si="6"/>
        <v>1640</v>
      </c>
      <c r="P41" s="22">
        <f t="shared" si="7"/>
        <v>154402.392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 hidden="1">
      <c r="A42" s="30"/>
      <c r="B42" s="11">
        <v>46009.0</v>
      </c>
      <c r="C42" s="12">
        <f>VLOOKUP(B:B,'Курс валют'!A:D,4,0)</f>
        <v>94.1478</v>
      </c>
      <c r="D42" s="13" t="s">
        <v>1588</v>
      </c>
      <c r="E42" s="59" t="s">
        <v>53</v>
      </c>
      <c r="F42" s="15">
        <v>800.0</v>
      </c>
      <c r="G42" s="61">
        <v>803.96</v>
      </c>
      <c r="H42" s="17">
        <v>0.0</v>
      </c>
      <c r="I42" s="16">
        <f t="shared" si="1"/>
        <v>3.96</v>
      </c>
      <c r="J42" s="18">
        <f t="shared" si="2"/>
        <v>0.495</v>
      </c>
      <c r="K42" s="17">
        <v>1.91</v>
      </c>
      <c r="L42" s="19">
        <f t="shared" si="3"/>
        <v>0</v>
      </c>
      <c r="M42" s="20">
        <f t="shared" si="4"/>
        <v>179.822298</v>
      </c>
      <c r="N42" s="21">
        <f t="shared" si="5"/>
        <v>1.91</v>
      </c>
      <c r="O42" s="21">
        <f t="shared" si="6"/>
        <v>1528</v>
      </c>
      <c r="P42" s="22">
        <f t="shared" si="7"/>
        <v>143857.8384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 hidden="1">
      <c r="A43" s="30"/>
      <c r="B43" s="11">
        <v>46009.0</v>
      </c>
      <c r="C43" s="12">
        <f>VLOOKUP(B:B,'Курс валют'!A:D,4,0)</f>
        <v>94.1478</v>
      </c>
      <c r="D43" s="13" t="s">
        <v>1589</v>
      </c>
      <c r="E43" s="59" t="s">
        <v>53</v>
      </c>
      <c r="F43" s="15">
        <v>800.0</v>
      </c>
      <c r="G43" s="13">
        <v>803.96</v>
      </c>
      <c r="H43" s="17">
        <v>0.0</v>
      </c>
      <c r="I43" s="15">
        <f t="shared" si="1"/>
        <v>3.96</v>
      </c>
      <c r="J43" s="18">
        <f t="shared" si="2"/>
        <v>0.495</v>
      </c>
      <c r="K43" s="17">
        <v>1.91</v>
      </c>
      <c r="L43" s="19">
        <f t="shared" si="3"/>
        <v>0</v>
      </c>
      <c r="M43" s="20">
        <f t="shared" si="4"/>
        <v>179.822298</v>
      </c>
      <c r="N43" s="21">
        <f t="shared" si="5"/>
        <v>1.91</v>
      </c>
      <c r="O43" s="21">
        <f t="shared" si="6"/>
        <v>1528</v>
      </c>
      <c r="P43" s="22">
        <f t="shared" si="7"/>
        <v>143857.8384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 hidden="1">
      <c r="A44" s="30"/>
      <c r="B44" s="11">
        <v>46009.0</v>
      </c>
      <c r="C44" s="12">
        <f>VLOOKUP(B:B,'Курс валют'!A:D,4,0)</f>
        <v>94.1478</v>
      </c>
      <c r="D44" s="13" t="s">
        <v>1590</v>
      </c>
      <c r="E44" s="59" t="s">
        <v>53</v>
      </c>
      <c r="F44" s="15">
        <v>800.0</v>
      </c>
      <c r="G44" s="61">
        <v>803.96</v>
      </c>
      <c r="H44" s="17">
        <v>0.0</v>
      </c>
      <c r="I44" s="16">
        <f t="shared" si="1"/>
        <v>3.96</v>
      </c>
      <c r="J44" s="18">
        <f t="shared" si="2"/>
        <v>0.495</v>
      </c>
      <c r="K44" s="17">
        <v>1.91</v>
      </c>
      <c r="L44" s="19">
        <f t="shared" si="3"/>
        <v>0</v>
      </c>
      <c r="M44" s="20">
        <f t="shared" si="4"/>
        <v>179.822298</v>
      </c>
      <c r="N44" s="21">
        <f t="shared" si="5"/>
        <v>1.91</v>
      </c>
      <c r="O44" s="21">
        <f t="shared" si="6"/>
        <v>1528</v>
      </c>
      <c r="P44" s="22">
        <f t="shared" si="7"/>
        <v>143857.8384</v>
      </c>
      <c r="R44" s="23"/>
      <c r="S44" s="25"/>
      <c r="T44" s="25"/>
      <c r="U44" s="25"/>
      <c r="V44" s="25"/>
      <c r="W44" s="25"/>
      <c r="X44" s="25"/>
      <c r="Y44" s="25"/>
      <c r="Z44" s="25"/>
      <c r="AA44" s="25"/>
    </row>
    <row r="45" hidden="1">
      <c r="A45" s="30"/>
      <c r="B45" s="11">
        <v>46009.0</v>
      </c>
      <c r="C45" s="12">
        <f>VLOOKUP(B:B,'Курс валют'!A:D,4,0)</f>
        <v>94.1478</v>
      </c>
      <c r="D45" s="13" t="s">
        <v>245</v>
      </c>
      <c r="E45" s="59" t="s">
        <v>53</v>
      </c>
      <c r="F45" s="15">
        <v>800.0</v>
      </c>
      <c r="G45" s="13">
        <v>803.96</v>
      </c>
      <c r="H45" s="17">
        <v>0.0</v>
      </c>
      <c r="I45" s="15">
        <f t="shared" si="1"/>
        <v>3.96</v>
      </c>
      <c r="J45" s="18">
        <f t="shared" si="2"/>
        <v>0.495</v>
      </c>
      <c r="K45" s="17">
        <v>1.91</v>
      </c>
      <c r="L45" s="19">
        <f t="shared" si="3"/>
        <v>0</v>
      </c>
      <c r="M45" s="20">
        <f t="shared" si="4"/>
        <v>179.822298</v>
      </c>
      <c r="N45" s="21">
        <f t="shared" si="5"/>
        <v>1.91</v>
      </c>
      <c r="O45" s="21">
        <f t="shared" si="6"/>
        <v>1528</v>
      </c>
      <c r="P45" s="22">
        <f t="shared" si="7"/>
        <v>143857.8384</v>
      </c>
      <c r="R45" s="23"/>
      <c r="S45" s="25"/>
      <c r="T45" s="25"/>
      <c r="U45" s="25"/>
      <c r="V45" s="25"/>
      <c r="W45" s="25"/>
      <c r="X45" s="25"/>
      <c r="Y45" s="25"/>
      <c r="Z45" s="25"/>
      <c r="AA45" s="25"/>
    </row>
    <row r="46" hidden="1">
      <c r="A46" s="30"/>
      <c r="B46" s="11">
        <v>46009.0</v>
      </c>
      <c r="C46" s="12">
        <f>VLOOKUP(B:B,'Курс валют'!A:D,4,0)</f>
        <v>94.1478</v>
      </c>
      <c r="D46" s="13" t="s">
        <v>1591</v>
      </c>
      <c r="E46" s="59" t="s">
        <v>53</v>
      </c>
      <c r="F46" s="15">
        <v>800.0</v>
      </c>
      <c r="G46" s="13">
        <v>803.96</v>
      </c>
      <c r="H46" s="17">
        <v>0.0</v>
      </c>
      <c r="I46" s="15">
        <f t="shared" si="1"/>
        <v>3.96</v>
      </c>
      <c r="J46" s="18">
        <f t="shared" si="2"/>
        <v>0.495</v>
      </c>
      <c r="K46" s="17">
        <v>1.91</v>
      </c>
      <c r="L46" s="19">
        <f t="shared" si="3"/>
        <v>0</v>
      </c>
      <c r="M46" s="20">
        <f t="shared" si="4"/>
        <v>179.822298</v>
      </c>
      <c r="N46" s="21">
        <f>(F46*K46-H46*2.45)/F46</f>
        <v>1.91</v>
      </c>
      <c r="O46" s="21">
        <f t="shared" si="6"/>
        <v>1528</v>
      </c>
      <c r="P46" s="22">
        <f t="shared" si="7"/>
        <v>143857.8384</v>
      </c>
      <c r="R46" s="23"/>
      <c r="S46" s="24"/>
      <c r="T46" s="25"/>
      <c r="U46" s="25"/>
      <c r="V46" s="25"/>
      <c r="W46" s="25"/>
      <c r="X46" s="25"/>
      <c r="Y46" s="25"/>
      <c r="Z46" s="25"/>
      <c r="AA46" s="25"/>
    </row>
    <row r="47" hidden="1">
      <c r="A47" s="30"/>
      <c r="B47" s="11">
        <v>46009.0</v>
      </c>
      <c r="C47" s="12">
        <f>VLOOKUP(B:B,'Курс валют'!A:D,4,0)</f>
        <v>94.1478</v>
      </c>
      <c r="D47" s="13" t="s">
        <v>1592</v>
      </c>
      <c r="E47" s="59" t="s">
        <v>53</v>
      </c>
      <c r="F47" s="15">
        <v>800.0</v>
      </c>
      <c r="G47" s="13">
        <v>803.96</v>
      </c>
      <c r="H47" s="58">
        <v>0.0</v>
      </c>
      <c r="I47" s="15">
        <f t="shared" si="1"/>
        <v>3.96</v>
      </c>
      <c r="J47" s="18">
        <f t="shared" si="2"/>
        <v>0.495</v>
      </c>
      <c r="K47" s="17">
        <v>1.91</v>
      </c>
      <c r="L47" s="19">
        <f t="shared" si="3"/>
        <v>0</v>
      </c>
      <c r="M47" s="20">
        <f t="shared" si="4"/>
        <v>179.822298</v>
      </c>
      <c r="N47" s="21">
        <f t="shared" ref="N47:N106" si="8">(F47*K47-H47*3.04)/F47</f>
        <v>1.91</v>
      </c>
      <c r="O47" s="21">
        <f t="shared" si="6"/>
        <v>1528</v>
      </c>
      <c r="P47" s="22">
        <f t="shared" si="7"/>
        <v>143857.8384</v>
      </c>
      <c r="R47" s="23"/>
      <c r="S47" s="24"/>
      <c r="T47" s="25"/>
      <c r="U47" s="25"/>
      <c r="V47" s="25"/>
      <c r="W47" s="25"/>
      <c r="X47" s="25"/>
      <c r="Y47" s="25"/>
      <c r="Z47" s="25"/>
      <c r="AA47" s="25"/>
    </row>
    <row r="48" hidden="1">
      <c r="A48" s="30"/>
      <c r="B48" s="11">
        <v>46009.0</v>
      </c>
      <c r="C48" s="12">
        <f>VLOOKUP(B:B,'Курс валют'!A:D,4,0)</f>
        <v>94.1478</v>
      </c>
      <c r="D48" s="13" t="s">
        <v>1593</v>
      </c>
      <c r="E48" s="59" t="s">
        <v>53</v>
      </c>
      <c r="F48" s="15">
        <v>800.0</v>
      </c>
      <c r="G48" s="13">
        <v>803.96</v>
      </c>
      <c r="H48" s="58">
        <v>0.0</v>
      </c>
      <c r="I48" s="15">
        <f t="shared" si="1"/>
        <v>3.96</v>
      </c>
      <c r="J48" s="18">
        <f t="shared" si="2"/>
        <v>0.495</v>
      </c>
      <c r="K48" s="17">
        <v>1.91</v>
      </c>
      <c r="L48" s="19">
        <f t="shared" si="3"/>
        <v>0</v>
      </c>
      <c r="M48" s="20">
        <f t="shared" si="4"/>
        <v>179.822298</v>
      </c>
      <c r="N48" s="21">
        <f t="shared" si="8"/>
        <v>1.91</v>
      </c>
      <c r="O48" s="21">
        <f t="shared" si="6"/>
        <v>1528</v>
      </c>
      <c r="P48" s="22">
        <f t="shared" si="7"/>
        <v>143857.8384</v>
      </c>
      <c r="R48" s="31"/>
      <c r="S48" s="24"/>
      <c r="T48" s="25"/>
      <c r="U48" s="25"/>
      <c r="V48" s="25"/>
      <c r="W48" s="25"/>
      <c r="X48" s="25"/>
      <c r="Y48" s="25"/>
      <c r="Z48" s="25"/>
      <c r="AA48" s="25"/>
    </row>
    <row r="49" hidden="1">
      <c r="A49" s="30"/>
      <c r="B49" s="11">
        <v>46009.0</v>
      </c>
      <c r="C49" s="12">
        <f>VLOOKUP(B:B,'Курс валют'!A:D,4,0)</f>
        <v>94.1478</v>
      </c>
      <c r="D49" s="13" t="s">
        <v>1594</v>
      </c>
      <c r="E49" s="59" t="s">
        <v>53</v>
      </c>
      <c r="F49" s="15">
        <v>800.0</v>
      </c>
      <c r="G49" s="13">
        <v>803.96</v>
      </c>
      <c r="H49" s="58">
        <v>0.0</v>
      </c>
      <c r="I49" s="15">
        <f t="shared" si="1"/>
        <v>3.96</v>
      </c>
      <c r="J49" s="18">
        <f t="shared" si="2"/>
        <v>0.495</v>
      </c>
      <c r="K49" s="17">
        <v>1.91</v>
      </c>
      <c r="L49" s="19">
        <f t="shared" si="3"/>
        <v>0</v>
      </c>
      <c r="M49" s="20">
        <f t="shared" si="4"/>
        <v>179.822298</v>
      </c>
      <c r="N49" s="21">
        <f t="shared" si="8"/>
        <v>1.91</v>
      </c>
      <c r="O49" s="21">
        <f t="shared" si="6"/>
        <v>1528</v>
      </c>
      <c r="P49" s="22">
        <f t="shared" si="7"/>
        <v>143857.8384</v>
      </c>
      <c r="R49" s="31"/>
      <c r="S49" s="24"/>
      <c r="T49" s="25"/>
      <c r="U49" s="25"/>
      <c r="V49" s="25"/>
      <c r="W49" s="25"/>
      <c r="X49" s="25"/>
      <c r="Y49" s="25"/>
      <c r="Z49" s="25"/>
      <c r="AA49" s="25"/>
    </row>
    <row r="50" hidden="1">
      <c r="A50" s="30"/>
      <c r="B50" s="11">
        <v>46009.0</v>
      </c>
      <c r="C50" s="12">
        <f>VLOOKUP(B:B,'Курс валют'!A:D,4,0)</f>
        <v>94.1478</v>
      </c>
      <c r="D50" s="13" t="s">
        <v>1595</v>
      </c>
      <c r="E50" s="59" t="s">
        <v>53</v>
      </c>
      <c r="F50" s="15">
        <v>800.0</v>
      </c>
      <c r="G50" s="13">
        <v>803.96</v>
      </c>
      <c r="H50" s="58">
        <v>0.0</v>
      </c>
      <c r="I50" s="15">
        <f t="shared" si="1"/>
        <v>3.96</v>
      </c>
      <c r="J50" s="18">
        <f t="shared" si="2"/>
        <v>0.495</v>
      </c>
      <c r="K50" s="17">
        <v>1.91</v>
      </c>
      <c r="L50" s="19">
        <f t="shared" si="3"/>
        <v>0</v>
      </c>
      <c r="M50" s="20">
        <f t="shared" si="4"/>
        <v>179.822298</v>
      </c>
      <c r="N50" s="21">
        <f t="shared" si="8"/>
        <v>1.91</v>
      </c>
      <c r="O50" s="21">
        <f t="shared" si="6"/>
        <v>1528</v>
      </c>
      <c r="P50" s="22">
        <f t="shared" si="7"/>
        <v>143857.8384</v>
      </c>
      <c r="R50" s="31"/>
      <c r="S50" s="24"/>
      <c r="T50" s="25"/>
      <c r="U50" s="25"/>
      <c r="V50" s="25"/>
      <c r="W50" s="25"/>
      <c r="X50" s="25"/>
      <c r="Y50" s="25"/>
      <c r="Z50" s="25"/>
      <c r="AA50" s="25"/>
    </row>
    <row r="51" hidden="1">
      <c r="A51" s="30"/>
      <c r="B51" s="11">
        <v>46009.0</v>
      </c>
      <c r="C51" s="12">
        <f>VLOOKUP(B:B,'Курс валют'!A:D,4,0)</f>
        <v>94.1478</v>
      </c>
      <c r="D51" s="13" t="s">
        <v>1596</v>
      </c>
      <c r="E51" s="59" t="s">
        <v>53</v>
      </c>
      <c r="F51" s="15">
        <v>800.0</v>
      </c>
      <c r="G51" s="13">
        <v>803.96</v>
      </c>
      <c r="H51" s="58">
        <v>0.0</v>
      </c>
      <c r="I51" s="15">
        <f t="shared" si="1"/>
        <v>3.96</v>
      </c>
      <c r="J51" s="18">
        <f t="shared" si="2"/>
        <v>0.495</v>
      </c>
      <c r="K51" s="17">
        <v>1.91</v>
      </c>
      <c r="L51" s="19">
        <f t="shared" si="3"/>
        <v>0</v>
      </c>
      <c r="M51" s="20">
        <f t="shared" si="4"/>
        <v>179.822298</v>
      </c>
      <c r="N51" s="21">
        <f t="shared" si="8"/>
        <v>1.91</v>
      </c>
      <c r="O51" s="21">
        <f t="shared" si="6"/>
        <v>1528</v>
      </c>
      <c r="P51" s="22">
        <f t="shared" si="7"/>
        <v>143857.8384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 hidden="1">
      <c r="A52" s="30"/>
      <c r="B52" s="11">
        <v>46009.0</v>
      </c>
      <c r="C52" s="12">
        <f>VLOOKUP(B:B,'Курс валют'!A:D,4,0)</f>
        <v>94.1478</v>
      </c>
      <c r="D52" s="13" t="s">
        <v>1597</v>
      </c>
      <c r="E52" s="59" t="s">
        <v>92</v>
      </c>
      <c r="F52" s="15">
        <v>400.0</v>
      </c>
      <c r="G52" s="13">
        <v>400.0</v>
      </c>
      <c r="H52" s="17">
        <v>0.0</v>
      </c>
      <c r="I52" s="15">
        <f t="shared" si="1"/>
        <v>0</v>
      </c>
      <c r="J52" s="18">
        <f t="shared" si="2"/>
        <v>0</v>
      </c>
      <c r="K52" s="62">
        <v>2.86</v>
      </c>
      <c r="L52" s="19">
        <f t="shared" si="3"/>
        <v>0</v>
      </c>
      <c r="M52" s="20">
        <f t="shared" si="4"/>
        <v>269.262708</v>
      </c>
      <c r="N52" s="21">
        <f t="shared" si="8"/>
        <v>2.86</v>
      </c>
      <c r="O52" s="21">
        <f t="shared" si="6"/>
        <v>1144</v>
      </c>
      <c r="P52" s="22">
        <f t="shared" si="7"/>
        <v>107705.0832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 hidden="1">
      <c r="A53" s="30"/>
      <c r="B53" s="11">
        <v>46010.0</v>
      </c>
      <c r="C53" s="12">
        <f>VLOOKUP(B:B,'Курс валют'!A:D,4,0)</f>
        <v>94.2524</v>
      </c>
      <c r="D53" s="13" t="s">
        <v>1598</v>
      </c>
      <c r="E53" s="59" t="s">
        <v>18</v>
      </c>
      <c r="F53" s="15">
        <v>1100.0</v>
      </c>
      <c r="G53" s="61">
        <v>1111.81</v>
      </c>
      <c r="H53" s="17">
        <v>503.11</v>
      </c>
      <c r="I53" s="16">
        <f t="shared" si="1"/>
        <v>11.81</v>
      </c>
      <c r="J53" s="18">
        <f t="shared" si="2"/>
        <v>1.073636364</v>
      </c>
      <c r="K53" s="62">
        <v>3.75</v>
      </c>
      <c r="L53" s="19">
        <f t="shared" si="3"/>
        <v>45.73727273</v>
      </c>
      <c r="M53" s="20">
        <f t="shared" si="4"/>
        <v>222.3967292</v>
      </c>
      <c r="N53" s="21">
        <f t="shared" si="8"/>
        <v>2.359586909</v>
      </c>
      <c r="O53" s="21">
        <f t="shared" si="6"/>
        <v>2595.5456</v>
      </c>
      <c r="P53" s="22">
        <f t="shared" si="7"/>
        <v>244636.4021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 hidden="1">
      <c r="A54" s="30"/>
      <c r="B54" s="11">
        <v>46010.0</v>
      </c>
      <c r="C54" s="12">
        <f>VLOOKUP(B:B,'Курс валют'!A:D,4,0)</f>
        <v>94.2524</v>
      </c>
      <c r="D54" s="13" t="s">
        <v>1599</v>
      </c>
      <c r="E54" s="59" t="s">
        <v>18</v>
      </c>
      <c r="F54" s="15">
        <v>1100.0</v>
      </c>
      <c r="G54" s="61">
        <v>1111.81</v>
      </c>
      <c r="H54" s="17">
        <v>503.11</v>
      </c>
      <c r="I54" s="16">
        <f t="shared" si="1"/>
        <v>11.81</v>
      </c>
      <c r="J54" s="18">
        <f t="shared" si="2"/>
        <v>1.073636364</v>
      </c>
      <c r="K54" s="17">
        <v>3.74</v>
      </c>
      <c r="L54" s="19">
        <f t="shared" si="3"/>
        <v>45.73727273</v>
      </c>
      <c r="M54" s="20">
        <f t="shared" si="4"/>
        <v>221.4542052</v>
      </c>
      <c r="N54" s="21">
        <f t="shared" si="8"/>
        <v>2.349586909</v>
      </c>
      <c r="O54" s="21">
        <f t="shared" si="6"/>
        <v>2584.5456</v>
      </c>
      <c r="P54" s="22">
        <f t="shared" si="7"/>
        <v>243599.6257</v>
      </c>
      <c r="R54" s="23"/>
      <c r="S54" s="25"/>
      <c r="T54" s="25"/>
      <c r="U54" s="25"/>
      <c r="V54" s="25"/>
      <c r="W54" s="25"/>
      <c r="X54" s="25"/>
      <c r="Y54" s="25"/>
      <c r="Z54" s="25"/>
      <c r="AA54" s="25"/>
    </row>
    <row r="55" hidden="1">
      <c r="A55" s="30"/>
      <c r="B55" s="11">
        <v>46010.0</v>
      </c>
      <c r="C55" s="12">
        <f>VLOOKUP(B:B,'Курс валют'!A:D,4,0)</f>
        <v>94.2524</v>
      </c>
      <c r="D55" s="13" t="s">
        <v>1600</v>
      </c>
      <c r="E55" s="59" t="s">
        <v>18</v>
      </c>
      <c r="F55" s="15">
        <v>1100.0</v>
      </c>
      <c r="G55" s="61">
        <v>1111.81</v>
      </c>
      <c r="H55" s="17">
        <v>503.11</v>
      </c>
      <c r="I55" s="16">
        <f t="shared" si="1"/>
        <v>11.81</v>
      </c>
      <c r="J55" s="18">
        <f t="shared" si="2"/>
        <v>1.073636364</v>
      </c>
      <c r="K55" s="17">
        <v>3.74</v>
      </c>
      <c r="L55" s="19">
        <f t="shared" si="3"/>
        <v>45.73727273</v>
      </c>
      <c r="M55" s="20">
        <f t="shared" si="4"/>
        <v>221.4542052</v>
      </c>
      <c r="N55" s="21">
        <f t="shared" si="8"/>
        <v>2.349586909</v>
      </c>
      <c r="O55" s="21">
        <f t="shared" si="6"/>
        <v>2584.5456</v>
      </c>
      <c r="P55" s="22">
        <f t="shared" si="7"/>
        <v>243599.6257</v>
      </c>
      <c r="R55" s="23"/>
      <c r="S55" s="25"/>
      <c r="T55" s="25"/>
      <c r="U55" s="25"/>
      <c r="V55" s="25"/>
      <c r="W55" s="25"/>
      <c r="X55" s="25"/>
      <c r="Y55" s="25"/>
      <c r="Z55" s="25"/>
      <c r="AA55" s="25"/>
    </row>
    <row r="56" hidden="1">
      <c r="A56" s="30"/>
      <c r="B56" s="11">
        <v>46010.0</v>
      </c>
      <c r="C56" s="12">
        <f>VLOOKUP(B:B,'Курс валют'!A:D,4,0)</f>
        <v>94.2524</v>
      </c>
      <c r="D56" s="13" t="s">
        <v>1601</v>
      </c>
      <c r="E56" s="59" t="s">
        <v>18</v>
      </c>
      <c r="F56" s="15">
        <v>1100.0</v>
      </c>
      <c r="G56" s="61">
        <v>1111.81</v>
      </c>
      <c r="H56" s="27">
        <v>503.11</v>
      </c>
      <c r="I56" s="16">
        <f t="shared" si="1"/>
        <v>11.81</v>
      </c>
      <c r="J56" s="18">
        <f t="shared" si="2"/>
        <v>1.073636364</v>
      </c>
      <c r="K56" s="17">
        <v>3.75</v>
      </c>
      <c r="L56" s="19">
        <f t="shared" si="3"/>
        <v>45.73727273</v>
      </c>
      <c r="M56" s="20">
        <f t="shared" si="4"/>
        <v>222.3967292</v>
      </c>
      <c r="N56" s="21">
        <f t="shared" si="8"/>
        <v>2.359586909</v>
      </c>
      <c r="O56" s="21">
        <f t="shared" si="6"/>
        <v>2595.5456</v>
      </c>
      <c r="P56" s="22">
        <f t="shared" si="7"/>
        <v>244636.4021</v>
      </c>
      <c r="R56" s="31"/>
      <c r="S56" s="25"/>
      <c r="T56" s="25"/>
      <c r="U56" s="25"/>
      <c r="V56" s="25"/>
      <c r="W56" s="25"/>
      <c r="X56" s="25"/>
      <c r="Y56" s="25"/>
      <c r="Z56" s="25"/>
      <c r="AA56" s="25"/>
    </row>
    <row r="57" hidden="1">
      <c r="A57" s="30"/>
      <c r="B57" s="11">
        <v>46010.0</v>
      </c>
      <c r="C57" s="12">
        <f>VLOOKUP(B:B,'Курс валют'!A:D,4,0)</f>
        <v>94.2524</v>
      </c>
      <c r="D57" s="13" t="s">
        <v>1602</v>
      </c>
      <c r="E57" s="59" t="s">
        <v>18</v>
      </c>
      <c r="F57" s="15">
        <v>1100.0</v>
      </c>
      <c r="G57" s="61">
        <v>1111.81</v>
      </c>
      <c r="H57" s="27">
        <v>503.11</v>
      </c>
      <c r="I57" s="16">
        <f t="shared" si="1"/>
        <v>11.81</v>
      </c>
      <c r="J57" s="18">
        <f t="shared" si="2"/>
        <v>1.073636364</v>
      </c>
      <c r="K57" s="17">
        <v>3.75</v>
      </c>
      <c r="L57" s="19">
        <f t="shared" si="3"/>
        <v>45.73727273</v>
      </c>
      <c r="M57" s="20">
        <f t="shared" si="4"/>
        <v>222.3967292</v>
      </c>
      <c r="N57" s="21">
        <f t="shared" si="8"/>
        <v>2.359586909</v>
      </c>
      <c r="O57" s="21">
        <f t="shared" si="6"/>
        <v>2595.5456</v>
      </c>
      <c r="P57" s="22">
        <f t="shared" si="7"/>
        <v>244636.4021</v>
      </c>
      <c r="R57" s="31"/>
      <c r="S57" s="25"/>
      <c r="T57" s="25"/>
      <c r="U57" s="25"/>
      <c r="V57" s="25"/>
      <c r="W57" s="25"/>
      <c r="X57" s="25"/>
      <c r="Y57" s="25"/>
      <c r="Z57" s="25"/>
      <c r="AA57" s="25"/>
    </row>
    <row r="58" hidden="1">
      <c r="A58" s="30"/>
      <c r="B58" s="11">
        <v>46010.0</v>
      </c>
      <c r="C58" s="12">
        <f>VLOOKUP(B:B,'Курс валют'!A:D,4,0)</f>
        <v>94.2524</v>
      </c>
      <c r="D58" s="13" t="s">
        <v>1603</v>
      </c>
      <c r="E58" s="59" t="s">
        <v>18</v>
      </c>
      <c r="F58" s="15">
        <v>1100.0</v>
      </c>
      <c r="G58" s="61">
        <v>1111.81</v>
      </c>
      <c r="H58" s="17">
        <v>503.11</v>
      </c>
      <c r="I58" s="16">
        <f t="shared" si="1"/>
        <v>11.81</v>
      </c>
      <c r="J58" s="18">
        <f t="shared" si="2"/>
        <v>1.073636364</v>
      </c>
      <c r="K58" s="17">
        <v>3.74</v>
      </c>
      <c r="L58" s="19">
        <f t="shared" si="3"/>
        <v>45.73727273</v>
      </c>
      <c r="M58" s="20">
        <f t="shared" si="4"/>
        <v>221.4542052</v>
      </c>
      <c r="N58" s="21">
        <f t="shared" si="8"/>
        <v>2.349586909</v>
      </c>
      <c r="O58" s="21">
        <f t="shared" si="6"/>
        <v>2584.5456</v>
      </c>
      <c r="P58" s="22">
        <f t="shared" si="7"/>
        <v>243599.6257</v>
      </c>
      <c r="R58" s="23"/>
      <c r="S58" s="24"/>
      <c r="T58" s="25"/>
      <c r="U58" s="25"/>
      <c r="V58" s="25"/>
      <c r="W58" s="25"/>
      <c r="X58" s="25"/>
      <c r="Y58" s="25"/>
      <c r="Z58" s="25"/>
      <c r="AA58" s="25"/>
    </row>
    <row r="59" hidden="1">
      <c r="A59" s="30"/>
      <c r="B59" s="11">
        <v>46010.0</v>
      </c>
      <c r="C59" s="12">
        <f>VLOOKUP(B:B,'Курс валют'!A:D,4,0)</f>
        <v>94.2524</v>
      </c>
      <c r="D59" s="13" t="s">
        <v>1604</v>
      </c>
      <c r="E59" s="59" t="s">
        <v>18</v>
      </c>
      <c r="F59" s="15">
        <v>1100.0</v>
      </c>
      <c r="G59" s="61">
        <v>1111.81</v>
      </c>
      <c r="H59" s="27">
        <v>503.11</v>
      </c>
      <c r="I59" s="16">
        <f t="shared" si="1"/>
        <v>11.81</v>
      </c>
      <c r="J59" s="18">
        <f t="shared" si="2"/>
        <v>1.073636364</v>
      </c>
      <c r="K59" s="17">
        <v>3.74</v>
      </c>
      <c r="L59" s="19">
        <f t="shared" si="3"/>
        <v>45.73727273</v>
      </c>
      <c r="M59" s="20">
        <f t="shared" si="4"/>
        <v>221.4542052</v>
      </c>
      <c r="N59" s="21">
        <f t="shared" si="8"/>
        <v>2.349586909</v>
      </c>
      <c r="O59" s="21">
        <f t="shared" si="6"/>
        <v>2584.5456</v>
      </c>
      <c r="P59" s="22">
        <f t="shared" si="7"/>
        <v>243599.6257</v>
      </c>
      <c r="R59" s="23"/>
      <c r="S59" s="24"/>
      <c r="T59" s="25"/>
      <c r="U59" s="25"/>
      <c r="V59" s="25"/>
      <c r="W59" s="25"/>
      <c r="X59" s="25"/>
      <c r="Y59" s="25"/>
      <c r="Z59" s="25"/>
      <c r="AA59" s="25"/>
    </row>
    <row r="60" hidden="1">
      <c r="A60" s="30"/>
      <c r="B60" s="11">
        <v>46010.0</v>
      </c>
      <c r="C60" s="12">
        <f>VLOOKUP(B:B,'Курс валют'!A:D,4,0)</f>
        <v>94.2524</v>
      </c>
      <c r="D60" s="13" t="s">
        <v>1605</v>
      </c>
      <c r="E60" s="59" t="s">
        <v>18</v>
      </c>
      <c r="F60" s="15">
        <v>1100.0</v>
      </c>
      <c r="G60" s="61">
        <v>1111.81</v>
      </c>
      <c r="H60" s="17">
        <v>503.11</v>
      </c>
      <c r="I60" s="16">
        <f t="shared" si="1"/>
        <v>11.81</v>
      </c>
      <c r="J60" s="18">
        <f t="shared" si="2"/>
        <v>1.073636364</v>
      </c>
      <c r="K60" s="17">
        <v>3.75</v>
      </c>
      <c r="L60" s="19">
        <f t="shared" si="3"/>
        <v>45.73727273</v>
      </c>
      <c r="M60" s="20">
        <f t="shared" si="4"/>
        <v>222.3967292</v>
      </c>
      <c r="N60" s="21">
        <f t="shared" si="8"/>
        <v>2.359586909</v>
      </c>
      <c r="O60" s="21">
        <f t="shared" si="6"/>
        <v>2595.5456</v>
      </c>
      <c r="P60" s="22">
        <f t="shared" si="7"/>
        <v>244636.4021</v>
      </c>
      <c r="R60" s="23"/>
      <c r="S60" s="24"/>
      <c r="T60" s="25"/>
      <c r="U60" s="25"/>
      <c r="V60" s="25"/>
      <c r="W60" s="25"/>
      <c r="X60" s="25"/>
      <c r="Y60" s="25"/>
      <c r="Z60" s="25"/>
      <c r="AA60" s="25"/>
    </row>
    <row r="61" hidden="1">
      <c r="A61" s="30"/>
      <c r="B61" s="11">
        <v>46010.0</v>
      </c>
      <c r="C61" s="12">
        <f>VLOOKUP(B:B,'Курс валют'!A:D,4,0)</f>
        <v>94.2524</v>
      </c>
      <c r="D61" s="13" t="s">
        <v>1606</v>
      </c>
      <c r="E61" s="64" t="s">
        <v>18</v>
      </c>
      <c r="F61" s="15">
        <v>1100.0</v>
      </c>
      <c r="G61" s="61">
        <v>1111.81</v>
      </c>
      <c r="H61" s="17">
        <v>503.11</v>
      </c>
      <c r="I61" s="16">
        <f t="shared" si="1"/>
        <v>11.81</v>
      </c>
      <c r="J61" s="18">
        <f t="shared" si="2"/>
        <v>1.073636364</v>
      </c>
      <c r="K61" s="17">
        <v>3.74</v>
      </c>
      <c r="L61" s="19">
        <f t="shared" si="3"/>
        <v>45.73727273</v>
      </c>
      <c r="M61" s="20">
        <f t="shared" si="4"/>
        <v>221.4542052</v>
      </c>
      <c r="N61" s="21">
        <f t="shared" si="8"/>
        <v>2.349586909</v>
      </c>
      <c r="O61" s="21">
        <f t="shared" si="6"/>
        <v>2584.5456</v>
      </c>
      <c r="P61" s="22">
        <f t="shared" si="7"/>
        <v>243599.6257</v>
      </c>
      <c r="R61" s="23"/>
      <c r="S61" s="25"/>
      <c r="T61" s="25"/>
      <c r="U61" s="25"/>
      <c r="V61" s="25"/>
      <c r="W61" s="25"/>
      <c r="X61" s="25"/>
      <c r="Y61" s="25"/>
      <c r="Z61" s="25"/>
      <c r="AA61" s="25"/>
    </row>
    <row r="62" hidden="1">
      <c r="A62" s="30"/>
      <c r="B62" s="11">
        <v>46010.0</v>
      </c>
      <c r="C62" s="12">
        <f>VLOOKUP(B:B,'Курс валют'!A:D,4,0)</f>
        <v>94.2524</v>
      </c>
      <c r="D62" s="13" t="s">
        <v>1607</v>
      </c>
      <c r="E62" s="59" t="s">
        <v>18</v>
      </c>
      <c r="F62" s="15">
        <v>1100.0</v>
      </c>
      <c r="G62" s="61">
        <v>1111.81</v>
      </c>
      <c r="H62" s="17">
        <v>503.11</v>
      </c>
      <c r="I62" s="16">
        <f t="shared" si="1"/>
        <v>11.81</v>
      </c>
      <c r="J62" s="18">
        <f t="shared" si="2"/>
        <v>1.073636364</v>
      </c>
      <c r="K62" s="17">
        <v>3.74</v>
      </c>
      <c r="L62" s="19">
        <f t="shared" si="3"/>
        <v>45.73727273</v>
      </c>
      <c r="M62" s="20">
        <f t="shared" si="4"/>
        <v>221.4542052</v>
      </c>
      <c r="N62" s="21">
        <f t="shared" si="8"/>
        <v>2.349586909</v>
      </c>
      <c r="O62" s="21">
        <f t="shared" si="6"/>
        <v>2584.5456</v>
      </c>
      <c r="P62" s="22">
        <f t="shared" si="7"/>
        <v>243599.6257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 hidden="1">
      <c r="A63" s="30"/>
      <c r="B63" s="11">
        <v>46011.0</v>
      </c>
      <c r="C63" s="12">
        <f>VLOOKUP(B:B,'Курс валют'!A:D,4,0)</f>
        <v>94.512</v>
      </c>
      <c r="D63" s="13" t="s">
        <v>1608</v>
      </c>
      <c r="E63" s="64" t="s">
        <v>104</v>
      </c>
      <c r="F63" s="15">
        <v>400.0</v>
      </c>
      <c r="G63" s="15">
        <v>404.4</v>
      </c>
      <c r="H63" s="17">
        <v>0.0</v>
      </c>
      <c r="I63" s="15">
        <f t="shared" si="1"/>
        <v>4.4</v>
      </c>
      <c r="J63" s="18">
        <f t="shared" si="2"/>
        <v>1.1</v>
      </c>
      <c r="K63" s="17">
        <v>3.18</v>
      </c>
      <c r="L63" s="19">
        <f t="shared" si="3"/>
        <v>0</v>
      </c>
      <c r="M63" s="20">
        <f t="shared" si="4"/>
        <v>300.54816</v>
      </c>
      <c r="N63" s="21">
        <f t="shared" si="8"/>
        <v>3.18</v>
      </c>
      <c r="O63" s="21">
        <f t="shared" si="6"/>
        <v>1272</v>
      </c>
      <c r="P63" s="22">
        <f t="shared" si="7"/>
        <v>120219.264</v>
      </c>
      <c r="R63" s="23" t="s">
        <v>1609</v>
      </c>
      <c r="S63" s="25"/>
      <c r="T63" s="25"/>
      <c r="U63" s="25"/>
      <c r="V63" s="25"/>
      <c r="W63" s="25"/>
      <c r="X63" s="25"/>
      <c r="Y63" s="25"/>
      <c r="Z63" s="25"/>
      <c r="AA63" s="25"/>
    </row>
    <row r="64" hidden="1">
      <c r="A64" s="30"/>
      <c r="B64" s="11">
        <v>46011.0</v>
      </c>
      <c r="C64" s="12">
        <f>VLOOKUP(B:B,'Курс валют'!A:D,4,0)</f>
        <v>94.512</v>
      </c>
      <c r="D64" s="13" t="s">
        <v>1610</v>
      </c>
      <c r="E64" s="64" t="s">
        <v>18</v>
      </c>
      <c r="F64" s="15">
        <v>1100.0</v>
      </c>
      <c r="G64" s="16">
        <v>1111.81</v>
      </c>
      <c r="H64" s="17">
        <v>503.11</v>
      </c>
      <c r="I64" s="16">
        <f t="shared" si="1"/>
        <v>11.81</v>
      </c>
      <c r="J64" s="18">
        <f t="shared" si="2"/>
        <v>1.073636364</v>
      </c>
      <c r="K64" s="17">
        <v>3.75</v>
      </c>
      <c r="L64" s="19">
        <f t="shared" si="3"/>
        <v>45.73727273</v>
      </c>
      <c r="M64" s="20">
        <f t="shared" si="4"/>
        <v>223.009278</v>
      </c>
      <c r="N64" s="21">
        <f t="shared" si="8"/>
        <v>2.359586909</v>
      </c>
      <c r="O64" s="21">
        <f t="shared" si="6"/>
        <v>2595.5456</v>
      </c>
      <c r="P64" s="22">
        <f t="shared" si="7"/>
        <v>245310.2057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 hidden="1">
      <c r="A65" s="30"/>
      <c r="B65" s="11">
        <v>46011.0</v>
      </c>
      <c r="C65" s="12">
        <f>VLOOKUP(B:B,'Курс валют'!A:D,4,0)</f>
        <v>94.512</v>
      </c>
      <c r="D65" s="13" t="s">
        <v>1611</v>
      </c>
      <c r="E65" s="64" t="s">
        <v>18</v>
      </c>
      <c r="F65" s="15">
        <v>1100.0</v>
      </c>
      <c r="G65" s="16">
        <v>1111.81</v>
      </c>
      <c r="H65" s="17">
        <v>503.11</v>
      </c>
      <c r="I65" s="16">
        <f t="shared" si="1"/>
        <v>11.81</v>
      </c>
      <c r="J65" s="18">
        <f t="shared" si="2"/>
        <v>1.073636364</v>
      </c>
      <c r="K65" s="17">
        <v>3.74</v>
      </c>
      <c r="L65" s="19">
        <f t="shared" si="3"/>
        <v>45.73727273</v>
      </c>
      <c r="M65" s="20">
        <f t="shared" si="4"/>
        <v>222.064158</v>
      </c>
      <c r="N65" s="21">
        <f t="shared" si="8"/>
        <v>2.349586909</v>
      </c>
      <c r="O65" s="21">
        <f t="shared" si="6"/>
        <v>2584.5456</v>
      </c>
      <c r="P65" s="22">
        <f t="shared" si="7"/>
        <v>244270.5737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 hidden="1">
      <c r="A66" s="30"/>
      <c r="B66" s="11">
        <v>46011.0</v>
      </c>
      <c r="C66" s="12">
        <f>VLOOKUP(B:B,'Курс валют'!A:D,4,0)</f>
        <v>94.512</v>
      </c>
      <c r="D66" s="13" t="s">
        <v>1612</v>
      </c>
      <c r="E66" s="64" t="s">
        <v>18</v>
      </c>
      <c r="F66" s="15">
        <v>1100.0</v>
      </c>
      <c r="G66" s="16">
        <v>1111.81</v>
      </c>
      <c r="H66" s="17">
        <v>503.11</v>
      </c>
      <c r="I66" s="16">
        <f t="shared" si="1"/>
        <v>11.81</v>
      </c>
      <c r="J66" s="18">
        <f t="shared" si="2"/>
        <v>1.073636364</v>
      </c>
      <c r="K66" s="17">
        <v>3.74</v>
      </c>
      <c r="L66" s="19">
        <f t="shared" si="3"/>
        <v>45.73727273</v>
      </c>
      <c r="M66" s="20">
        <f t="shared" si="4"/>
        <v>222.064158</v>
      </c>
      <c r="N66" s="21">
        <f t="shared" si="8"/>
        <v>2.349586909</v>
      </c>
      <c r="O66" s="21">
        <f t="shared" si="6"/>
        <v>2584.5456</v>
      </c>
      <c r="P66" s="22">
        <f t="shared" si="7"/>
        <v>244270.5737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 hidden="1">
      <c r="A67" s="30"/>
      <c r="B67" s="11">
        <v>46011.0</v>
      </c>
      <c r="C67" s="12">
        <f>VLOOKUP(B:B,'Курс валют'!A:D,4,0)</f>
        <v>94.512</v>
      </c>
      <c r="D67" s="13" t="s">
        <v>1613</v>
      </c>
      <c r="E67" s="64" t="s">
        <v>18</v>
      </c>
      <c r="F67" s="15">
        <v>1100.0</v>
      </c>
      <c r="G67" s="16">
        <v>1111.81</v>
      </c>
      <c r="H67" s="17">
        <v>503.11</v>
      </c>
      <c r="I67" s="16">
        <f t="shared" si="1"/>
        <v>11.81</v>
      </c>
      <c r="J67" s="18">
        <f t="shared" si="2"/>
        <v>1.073636364</v>
      </c>
      <c r="K67" s="17">
        <v>3.75</v>
      </c>
      <c r="L67" s="19">
        <f t="shared" si="3"/>
        <v>45.73727273</v>
      </c>
      <c r="M67" s="20">
        <f t="shared" si="4"/>
        <v>223.009278</v>
      </c>
      <c r="N67" s="21">
        <f t="shared" si="8"/>
        <v>2.359586909</v>
      </c>
      <c r="O67" s="21">
        <f t="shared" si="6"/>
        <v>2595.5456</v>
      </c>
      <c r="P67" s="22">
        <f t="shared" si="7"/>
        <v>245310.2057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 hidden="1">
      <c r="A68" s="63"/>
      <c r="B68" s="11">
        <v>46011.0</v>
      </c>
      <c r="C68" s="12">
        <f>VLOOKUP(B:B,'Курс валют'!A:D,4,0)</f>
        <v>94.512</v>
      </c>
      <c r="D68" s="13" t="s">
        <v>1614</v>
      </c>
      <c r="E68" s="64" t="s">
        <v>18</v>
      </c>
      <c r="F68" s="15">
        <v>1100.0</v>
      </c>
      <c r="G68" s="16">
        <v>1111.81</v>
      </c>
      <c r="H68" s="17">
        <v>503.11</v>
      </c>
      <c r="I68" s="16">
        <f t="shared" si="1"/>
        <v>11.81</v>
      </c>
      <c r="J68" s="18">
        <f t="shared" si="2"/>
        <v>1.073636364</v>
      </c>
      <c r="K68" s="17">
        <v>3.74</v>
      </c>
      <c r="L68" s="19">
        <f t="shared" si="3"/>
        <v>45.73727273</v>
      </c>
      <c r="M68" s="20">
        <f t="shared" si="4"/>
        <v>222.064158</v>
      </c>
      <c r="N68" s="21">
        <f t="shared" si="8"/>
        <v>2.349586909</v>
      </c>
      <c r="O68" s="21">
        <f t="shared" si="6"/>
        <v>2584.5456</v>
      </c>
      <c r="P68" s="22">
        <f t="shared" si="7"/>
        <v>244270.5737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 hidden="1">
      <c r="A69" s="30"/>
      <c r="B69" s="11">
        <v>46011.0</v>
      </c>
      <c r="C69" s="12">
        <f>VLOOKUP(B:B,'Курс валют'!A:D,4,0)</f>
        <v>94.512</v>
      </c>
      <c r="D69" s="13" t="s">
        <v>1615</v>
      </c>
      <c r="E69" s="64" t="s">
        <v>18</v>
      </c>
      <c r="F69" s="15">
        <v>1100.0</v>
      </c>
      <c r="G69" s="16">
        <v>1111.81</v>
      </c>
      <c r="H69" s="17">
        <v>503.11</v>
      </c>
      <c r="I69" s="16">
        <f t="shared" si="1"/>
        <v>11.81</v>
      </c>
      <c r="J69" s="18">
        <f t="shared" si="2"/>
        <v>1.073636364</v>
      </c>
      <c r="K69" s="17">
        <v>3.75</v>
      </c>
      <c r="L69" s="19">
        <f t="shared" si="3"/>
        <v>45.73727273</v>
      </c>
      <c r="M69" s="20">
        <f t="shared" si="4"/>
        <v>223.009278</v>
      </c>
      <c r="N69" s="21">
        <f t="shared" si="8"/>
        <v>2.359586909</v>
      </c>
      <c r="O69" s="21">
        <f t="shared" si="6"/>
        <v>2595.5456</v>
      </c>
      <c r="P69" s="22">
        <f t="shared" si="7"/>
        <v>245310.2057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 hidden="1">
      <c r="A70" s="63"/>
      <c r="B70" s="11">
        <v>46011.0</v>
      </c>
      <c r="C70" s="12">
        <f>VLOOKUP(B:B,'Курс валют'!A:D,4,0)</f>
        <v>94.512</v>
      </c>
      <c r="D70" s="13" t="s">
        <v>1616</v>
      </c>
      <c r="E70" s="64" t="s">
        <v>18</v>
      </c>
      <c r="F70" s="15">
        <v>1100.0</v>
      </c>
      <c r="G70" s="16">
        <v>1111.81</v>
      </c>
      <c r="H70" s="17">
        <v>503.11</v>
      </c>
      <c r="I70" s="16">
        <f t="shared" si="1"/>
        <v>11.81</v>
      </c>
      <c r="J70" s="18">
        <f t="shared" si="2"/>
        <v>1.073636364</v>
      </c>
      <c r="K70" s="17">
        <v>3.74</v>
      </c>
      <c r="L70" s="19">
        <f t="shared" si="3"/>
        <v>45.73727273</v>
      </c>
      <c r="M70" s="20">
        <f t="shared" si="4"/>
        <v>222.064158</v>
      </c>
      <c r="N70" s="21">
        <f t="shared" si="8"/>
        <v>2.349586909</v>
      </c>
      <c r="O70" s="21">
        <f t="shared" si="6"/>
        <v>2584.5456</v>
      </c>
      <c r="P70" s="22">
        <f t="shared" si="7"/>
        <v>244270.5737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 hidden="1">
      <c r="A71" s="63"/>
      <c r="B71" s="11">
        <v>46011.0</v>
      </c>
      <c r="C71" s="12">
        <f>VLOOKUP(B:B,'Курс валют'!A:D,4,0)</f>
        <v>94.512</v>
      </c>
      <c r="D71" s="13" t="s">
        <v>1617</v>
      </c>
      <c r="E71" s="64" t="s">
        <v>18</v>
      </c>
      <c r="F71" s="15">
        <v>1100.0</v>
      </c>
      <c r="G71" s="16">
        <v>1111.81</v>
      </c>
      <c r="H71" s="17">
        <v>503.11</v>
      </c>
      <c r="I71" s="16">
        <f t="shared" si="1"/>
        <v>11.81</v>
      </c>
      <c r="J71" s="18">
        <f t="shared" si="2"/>
        <v>1.073636364</v>
      </c>
      <c r="K71" s="17">
        <v>3.75</v>
      </c>
      <c r="L71" s="19">
        <f t="shared" si="3"/>
        <v>45.73727273</v>
      </c>
      <c r="M71" s="20">
        <f t="shared" si="4"/>
        <v>223.009278</v>
      </c>
      <c r="N71" s="21">
        <f t="shared" si="8"/>
        <v>2.359586909</v>
      </c>
      <c r="O71" s="21">
        <f t="shared" si="6"/>
        <v>2595.5456</v>
      </c>
      <c r="P71" s="22">
        <f t="shared" si="7"/>
        <v>245310.2057</v>
      </c>
      <c r="R71" s="79"/>
      <c r="S71" s="25"/>
      <c r="T71" s="25"/>
      <c r="U71" s="25"/>
      <c r="V71" s="25"/>
      <c r="W71" s="25"/>
      <c r="X71" s="25"/>
      <c r="Y71" s="25"/>
      <c r="Z71" s="25"/>
      <c r="AA71" s="25"/>
    </row>
    <row r="72" hidden="1">
      <c r="A72" s="63"/>
      <c r="B72" s="11">
        <v>46011.0</v>
      </c>
      <c r="C72" s="12">
        <f>VLOOKUP(B:B,'Курс валют'!A:D,4,0)</f>
        <v>94.512</v>
      </c>
      <c r="D72" s="13" t="s">
        <v>1618</v>
      </c>
      <c r="E72" s="64" t="s">
        <v>18</v>
      </c>
      <c r="F72" s="15">
        <v>1100.0</v>
      </c>
      <c r="G72" s="16">
        <v>1111.81</v>
      </c>
      <c r="H72" s="17">
        <v>503.11</v>
      </c>
      <c r="I72" s="16">
        <f t="shared" si="1"/>
        <v>11.81</v>
      </c>
      <c r="J72" s="18">
        <f t="shared" si="2"/>
        <v>1.073636364</v>
      </c>
      <c r="K72" s="17">
        <v>3.74</v>
      </c>
      <c r="L72" s="19">
        <f t="shared" si="3"/>
        <v>45.73727273</v>
      </c>
      <c r="M72" s="20">
        <f t="shared" si="4"/>
        <v>222.064158</v>
      </c>
      <c r="N72" s="21">
        <f t="shared" si="8"/>
        <v>2.349586909</v>
      </c>
      <c r="O72" s="21">
        <f t="shared" si="6"/>
        <v>2584.5456</v>
      </c>
      <c r="P72" s="22">
        <f t="shared" si="7"/>
        <v>244270.5737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 hidden="1">
      <c r="A73" s="63"/>
      <c r="B73" s="11">
        <v>46011.0</v>
      </c>
      <c r="C73" s="12">
        <f>VLOOKUP(B:B,'Курс валют'!A:D,4,0)</f>
        <v>94.512</v>
      </c>
      <c r="D73" s="13" t="s">
        <v>1619</v>
      </c>
      <c r="E73" s="64" t="s">
        <v>18</v>
      </c>
      <c r="F73" s="15">
        <v>1100.0</v>
      </c>
      <c r="G73" s="16">
        <v>1111.81</v>
      </c>
      <c r="H73" s="17">
        <v>503.11</v>
      </c>
      <c r="I73" s="16">
        <f t="shared" si="1"/>
        <v>11.81</v>
      </c>
      <c r="J73" s="18">
        <f t="shared" si="2"/>
        <v>1.073636364</v>
      </c>
      <c r="K73" s="17">
        <v>3.75</v>
      </c>
      <c r="L73" s="19">
        <f t="shared" si="3"/>
        <v>45.73727273</v>
      </c>
      <c r="M73" s="20">
        <f t="shared" si="4"/>
        <v>223.009278</v>
      </c>
      <c r="N73" s="21">
        <f t="shared" si="8"/>
        <v>2.359586909</v>
      </c>
      <c r="O73" s="21">
        <f t="shared" si="6"/>
        <v>2595.5456</v>
      </c>
      <c r="P73" s="22">
        <f t="shared" si="7"/>
        <v>245310.2057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 hidden="1">
      <c r="A74" s="63"/>
      <c r="B74" s="11">
        <v>46012.0</v>
      </c>
      <c r="C74" s="12">
        <f>VLOOKUP(B:B,'Курс валют'!A:D,4,0)</f>
        <v>94.512</v>
      </c>
      <c r="D74" s="13" t="s">
        <v>1620</v>
      </c>
      <c r="E74" s="64" t="s">
        <v>59</v>
      </c>
      <c r="F74" s="15">
        <v>2000.0</v>
      </c>
      <c r="G74" s="15">
        <v>2079.45</v>
      </c>
      <c r="H74" s="17">
        <v>0.0</v>
      </c>
      <c r="I74" s="15">
        <f t="shared" si="1"/>
        <v>79.45</v>
      </c>
      <c r="J74" s="18">
        <f t="shared" si="2"/>
        <v>3.9725</v>
      </c>
      <c r="K74" s="17">
        <v>2.38</v>
      </c>
      <c r="L74" s="19">
        <f t="shared" si="3"/>
        <v>0</v>
      </c>
      <c r="M74" s="20">
        <f t="shared" si="4"/>
        <v>224.93856</v>
      </c>
      <c r="N74" s="21">
        <f t="shared" si="8"/>
        <v>2.38</v>
      </c>
      <c r="O74" s="21">
        <f t="shared" si="6"/>
        <v>4760</v>
      </c>
      <c r="P74" s="22">
        <f t="shared" si="7"/>
        <v>449877.12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 hidden="1">
      <c r="A75" s="63"/>
      <c r="B75" s="11">
        <v>46012.0</v>
      </c>
      <c r="C75" s="12">
        <f>VLOOKUP(B:B,'Курс валют'!A:D,4,0)</f>
        <v>94.512</v>
      </c>
      <c r="D75" s="13" t="s">
        <v>1621</v>
      </c>
      <c r="E75" s="64" t="s">
        <v>18</v>
      </c>
      <c r="F75" s="15">
        <v>1100.0</v>
      </c>
      <c r="G75" s="16">
        <v>1111.81</v>
      </c>
      <c r="H75" s="17">
        <v>351.71</v>
      </c>
      <c r="I75" s="16">
        <f t="shared" si="1"/>
        <v>11.81</v>
      </c>
      <c r="J75" s="18">
        <f t="shared" si="2"/>
        <v>1.073636364</v>
      </c>
      <c r="K75" s="17">
        <v>3.34</v>
      </c>
      <c r="L75" s="19">
        <f t="shared" si="3"/>
        <v>31.97363636</v>
      </c>
      <c r="M75" s="20">
        <f t="shared" si="4"/>
        <v>223.8045535</v>
      </c>
      <c r="N75" s="21">
        <f t="shared" si="8"/>
        <v>2.368001455</v>
      </c>
      <c r="O75" s="21">
        <f t="shared" si="6"/>
        <v>2604.8016</v>
      </c>
      <c r="P75" s="22">
        <f t="shared" si="7"/>
        <v>246185.0088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 hidden="1">
      <c r="A76" s="63"/>
      <c r="B76" s="11">
        <v>46012.0</v>
      </c>
      <c r="C76" s="12">
        <f>VLOOKUP(B:B,'Курс валют'!A:D,4,0)</f>
        <v>94.512</v>
      </c>
      <c r="D76" s="13" t="s">
        <v>1622</v>
      </c>
      <c r="E76" s="64" t="s">
        <v>18</v>
      </c>
      <c r="F76" s="15">
        <v>1100.0</v>
      </c>
      <c r="G76" s="15">
        <v>1111.81</v>
      </c>
      <c r="H76" s="17">
        <v>19.71</v>
      </c>
      <c r="I76" s="15">
        <f t="shared" si="1"/>
        <v>11.81</v>
      </c>
      <c r="J76" s="18">
        <f t="shared" si="2"/>
        <v>1.073636364</v>
      </c>
      <c r="K76" s="17">
        <v>2.44</v>
      </c>
      <c r="L76" s="19">
        <f t="shared" si="3"/>
        <v>1.791818182</v>
      </c>
      <c r="M76" s="20">
        <f t="shared" si="4"/>
        <v>225.4610911</v>
      </c>
      <c r="N76" s="21">
        <f t="shared" si="8"/>
        <v>2.385528727</v>
      </c>
      <c r="O76" s="21">
        <f t="shared" si="6"/>
        <v>2624.0816</v>
      </c>
      <c r="P76" s="22">
        <f t="shared" si="7"/>
        <v>248007.2002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 hidden="1">
      <c r="A77" s="63"/>
      <c r="B77" s="11">
        <v>46012.0</v>
      </c>
      <c r="C77" s="12">
        <f>VLOOKUP(B:B,'Курс валют'!A:D,4,0)</f>
        <v>94.512</v>
      </c>
      <c r="D77" s="13" t="s">
        <v>1623</v>
      </c>
      <c r="E77" s="64" t="s">
        <v>18</v>
      </c>
      <c r="F77" s="15">
        <v>1100.0</v>
      </c>
      <c r="G77" s="16">
        <v>1111.81</v>
      </c>
      <c r="H77" s="17">
        <v>19.71</v>
      </c>
      <c r="I77" s="16">
        <f t="shared" si="1"/>
        <v>11.81</v>
      </c>
      <c r="J77" s="18">
        <f t="shared" si="2"/>
        <v>1.073636364</v>
      </c>
      <c r="K77" s="17">
        <v>2.44</v>
      </c>
      <c r="L77" s="19">
        <f t="shared" si="3"/>
        <v>1.791818182</v>
      </c>
      <c r="M77" s="20">
        <f t="shared" si="4"/>
        <v>225.4610911</v>
      </c>
      <c r="N77" s="21">
        <f t="shared" si="8"/>
        <v>2.385528727</v>
      </c>
      <c r="O77" s="21">
        <f t="shared" si="6"/>
        <v>2624.0816</v>
      </c>
      <c r="P77" s="22">
        <f t="shared" si="7"/>
        <v>248007.2002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 hidden="1">
      <c r="A78" s="63"/>
      <c r="B78" s="11">
        <v>46012.0</v>
      </c>
      <c r="C78" s="12">
        <f>VLOOKUP(B:B,'Курс валют'!A:D,4,0)</f>
        <v>94.512</v>
      </c>
      <c r="D78" s="13" t="s">
        <v>1624</v>
      </c>
      <c r="E78" s="64" t="s">
        <v>18</v>
      </c>
      <c r="F78" s="15">
        <v>1100.0</v>
      </c>
      <c r="G78" s="15">
        <v>1111.81</v>
      </c>
      <c r="H78" s="17">
        <v>19.71</v>
      </c>
      <c r="I78" s="15">
        <f t="shared" si="1"/>
        <v>11.81</v>
      </c>
      <c r="J78" s="18">
        <f t="shared" si="2"/>
        <v>1.073636364</v>
      </c>
      <c r="K78" s="17">
        <v>2.44</v>
      </c>
      <c r="L78" s="19">
        <f t="shared" si="3"/>
        <v>1.791818182</v>
      </c>
      <c r="M78" s="20">
        <f t="shared" si="4"/>
        <v>225.4610911</v>
      </c>
      <c r="N78" s="21">
        <f t="shared" si="8"/>
        <v>2.385528727</v>
      </c>
      <c r="O78" s="21">
        <f t="shared" si="6"/>
        <v>2624.0816</v>
      </c>
      <c r="P78" s="22">
        <f t="shared" si="7"/>
        <v>248007.2002</v>
      </c>
      <c r="R78" s="79"/>
      <c r="S78" s="25"/>
      <c r="T78" s="25"/>
      <c r="U78" s="25"/>
      <c r="V78" s="25"/>
      <c r="W78" s="25"/>
      <c r="X78" s="25"/>
      <c r="Y78" s="25"/>
      <c r="Z78" s="25"/>
      <c r="AA78" s="25"/>
    </row>
    <row r="79" hidden="1">
      <c r="A79" s="63"/>
      <c r="B79" s="11">
        <v>46012.0</v>
      </c>
      <c r="C79" s="12">
        <f>VLOOKUP(B:B,'Курс валют'!A:D,4,0)</f>
        <v>94.512</v>
      </c>
      <c r="D79" s="13" t="s">
        <v>1625</v>
      </c>
      <c r="E79" s="64" t="s">
        <v>18</v>
      </c>
      <c r="F79" s="15">
        <v>1100.0</v>
      </c>
      <c r="G79" s="16">
        <v>1111.81</v>
      </c>
      <c r="H79" s="17">
        <v>19.71</v>
      </c>
      <c r="I79" s="16">
        <f t="shared" si="1"/>
        <v>11.81</v>
      </c>
      <c r="J79" s="18">
        <f t="shared" si="2"/>
        <v>1.073636364</v>
      </c>
      <c r="K79" s="17">
        <v>2.44</v>
      </c>
      <c r="L79" s="19">
        <f t="shared" si="3"/>
        <v>1.791818182</v>
      </c>
      <c r="M79" s="20">
        <f t="shared" si="4"/>
        <v>225.4610911</v>
      </c>
      <c r="N79" s="21">
        <f t="shared" si="8"/>
        <v>2.385528727</v>
      </c>
      <c r="O79" s="21">
        <f t="shared" si="6"/>
        <v>2624.0816</v>
      </c>
      <c r="P79" s="22">
        <f t="shared" si="7"/>
        <v>248007.2002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 hidden="1">
      <c r="A80" s="63"/>
      <c r="B80" s="11">
        <v>46012.0</v>
      </c>
      <c r="C80" s="12">
        <f>VLOOKUP(B:B,'Курс валют'!A:D,4,0)</f>
        <v>94.512</v>
      </c>
      <c r="D80" s="13" t="s">
        <v>1626</v>
      </c>
      <c r="E80" s="59" t="s">
        <v>71</v>
      </c>
      <c r="F80" s="15">
        <v>800.0</v>
      </c>
      <c r="G80" s="15">
        <v>803.03</v>
      </c>
      <c r="H80" s="17">
        <v>76.0</v>
      </c>
      <c r="I80" s="15">
        <f t="shared" si="1"/>
        <v>3.03</v>
      </c>
      <c r="J80" s="18">
        <f t="shared" si="2"/>
        <v>0.37875</v>
      </c>
      <c r="K80" s="17">
        <v>2.21</v>
      </c>
      <c r="L80" s="19">
        <f t="shared" si="3"/>
        <v>9.5</v>
      </c>
      <c r="M80" s="20">
        <f t="shared" si="4"/>
        <v>181.5764544</v>
      </c>
      <c r="N80" s="21">
        <f t="shared" si="8"/>
        <v>1.9212</v>
      </c>
      <c r="O80" s="21">
        <f t="shared" si="6"/>
        <v>1536.96</v>
      </c>
      <c r="P80" s="22">
        <f t="shared" si="7"/>
        <v>145261.1635</v>
      </c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idden="1">
      <c r="A81" s="63"/>
      <c r="B81" s="11">
        <v>46012.0</v>
      </c>
      <c r="C81" s="12">
        <f>VLOOKUP(B:B,'Курс валют'!A:D,4,0)</f>
        <v>94.512</v>
      </c>
      <c r="D81" s="13" t="s">
        <v>1627</v>
      </c>
      <c r="E81" s="59" t="s">
        <v>71</v>
      </c>
      <c r="F81" s="15">
        <v>800.0</v>
      </c>
      <c r="G81" s="15">
        <v>803.03</v>
      </c>
      <c r="H81" s="17">
        <v>76.0</v>
      </c>
      <c r="I81" s="15">
        <f t="shared" si="1"/>
        <v>3.03</v>
      </c>
      <c r="J81" s="18">
        <f t="shared" si="2"/>
        <v>0.37875</v>
      </c>
      <c r="K81" s="17">
        <v>2.21</v>
      </c>
      <c r="L81" s="19">
        <f t="shared" si="3"/>
        <v>9.5</v>
      </c>
      <c r="M81" s="20">
        <f t="shared" si="4"/>
        <v>181.5764544</v>
      </c>
      <c r="N81" s="21">
        <f t="shared" si="8"/>
        <v>1.9212</v>
      </c>
      <c r="O81" s="21">
        <f t="shared" si="6"/>
        <v>1536.96</v>
      </c>
      <c r="P81" s="22">
        <f t="shared" si="7"/>
        <v>145261.1635</v>
      </c>
      <c r="R81" s="23"/>
      <c r="S81" s="25"/>
      <c r="T81" s="25"/>
      <c r="U81" s="25"/>
      <c r="V81" s="25"/>
      <c r="W81" s="25"/>
      <c r="X81" s="25"/>
      <c r="Y81" s="25"/>
      <c r="Z81" s="25"/>
      <c r="AA81" s="25"/>
    </row>
    <row r="82" hidden="1">
      <c r="A82" s="63"/>
      <c r="B82" s="11">
        <v>46012.0</v>
      </c>
      <c r="C82" s="12">
        <f>VLOOKUP(B:B,'Курс валют'!A:D,4,0)</f>
        <v>94.512</v>
      </c>
      <c r="D82" s="13" t="s">
        <v>1628</v>
      </c>
      <c r="E82" s="59" t="s">
        <v>71</v>
      </c>
      <c r="F82" s="15">
        <v>800.0</v>
      </c>
      <c r="G82" s="15">
        <v>803.03</v>
      </c>
      <c r="H82" s="17">
        <v>76.0</v>
      </c>
      <c r="I82" s="15">
        <f t="shared" si="1"/>
        <v>3.03</v>
      </c>
      <c r="J82" s="18">
        <f t="shared" si="2"/>
        <v>0.37875</v>
      </c>
      <c r="K82" s="17">
        <v>2.21</v>
      </c>
      <c r="L82" s="19">
        <f t="shared" si="3"/>
        <v>9.5</v>
      </c>
      <c r="M82" s="20">
        <f t="shared" si="4"/>
        <v>181.5764544</v>
      </c>
      <c r="N82" s="21">
        <f t="shared" si="8"/>
        <v>1.9212</v>
      </c>
      <c r="O82" s="21">
        <f t="shared" si="6"/>
        <v>1536.96</v>
      </c>
      <c r="P82" s="22">
        <f t="shared" si="7"/>
        <v>145261.1635</v>
      </c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idden="1">
      <c r="A83" s="63"/>
      <c r="B83" s="11">
        <v>46013.0</v>
      </c>
      <c r="C83" s="12">
        <f>VLOOKUP(B:B,'Курс валют'!A:D,4,0)</f>
        <v>94.512</v>
      </c>
      <c r="D83" s="13" t="s">
        <v>1629</v>
      </c>
      <c r="E83" s="59" t="s">
        <v>73</v>
      </c>
      <c r="F83" s="15">
        <v>2000.0</v>
      </c>
      <c r="G83" s="15">
        <v>2000.0</v>
      </c>
      <c r="H83" s="17">
        <v>0.0</v>
      </c>
      <c r="I83" s="15">
        <f t="shared" si="1"/>
        <v>0</v>
      </c>
      <c r="J83" s="18">
        <f t="shared" si="2"/>
        <v>0</v>
      </c>
      <c r="K83" s="17">
        <v>2.59</v>
      </c>
      <c r="L83" s="19">
        <f t="shared" si="3"/>
        <v>0</v>
      </c>
      <c r="M83" s="20">
        <f t="shared" si="4"/>
        <v>244.78608</v>
      </c>
      <c r="N83" s="21">
        <f t="shared" si="8"/>
        <v>2.59</v>
      </c>
      <c r="O83" s="21">
        <f t="shared" si="6"/>
        <v>5180</v>
      </c>
      <c r="P83" s="22">
        <f t="shared" si="7"/>
        <v>489572.16</v>
      </c>
      <c r="R83" s="24" t="s">
        <v>1630</v>
      </c>
      <c r="S83" s="25"/>
      <c r="T83" s="25"/>
      <c r="U83" s="25"/>
      <c r="V83" s="25"/>
      <c r="W83" s="25"/>
      <c r="X83" s="25"/>
      <c r="Y83" s="25"/>
      <c r="Z83" s="25"/>
      <c r="AA83" s="25"/>
    </row>
    <row r="84" hidden="1">
      <c r="A84" s="63"/>
      <c r="B84" s="11">
        <v>46013.0</v>
      </c>
      <c r="C84" s="12">
        <f>VLOOKUP(B:B,'Курс валют'!A:D,4,0)</f>
        <v>94.512</v>
      </c>
      <c r="D84" s="13" t="s">
        <v>1631</v>
      </c>
      <c r="E84" s="59" t="s">
        <v>59</v>
      </c>
      <c r="F84" s="15">
        <v>2000.0</v>
      </c>
      <c r="G84" s="16">
        <v>2079.5</v>
      </c>
      <c r="H84" s="17">
        <v>0.0</v>
      </c>
      <c r="I84" s="16">
        <f t="shared" si="1"/>
        <v>79.5</v>
      </c>
      <c r="J84" s="18">
        <f t="shared" si="2"/>
        <v>3.975</v>
      </c>
      <c r="K84" s="17">
        <v>2.38</v>
      </c>
      <c r="L84" s="19">
        <f t="shared" si="3"/>
        <v>0</v>
      </c>
      <c r="M84" s="20">
        <f t="shared" si="4"/>
        <v>224.93856</v>
      </c>
      <c r="N84" s="21">
        <f t="shared" si="8"/>
        <v>2.38</v>
      </c>
      <c r="O84" s="21">
        <f t="shared" si="6"/>
        <v>4760</v>
      </c>
      <c r="P84" s="22">
        <f t="shared" si="7"/>
        <v>449877.12</v>
      </c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idden="1">
      <c r="A85" s="63"/>
      <c r="B85" s="11">
        <v>46014.0</v>
      </c>
      <c r="C85" s="12">
        <f>VLOOKUP(B:B,'Курс валют'!A:D,4,0)</f>
        <v>92.8621</v>
      </c>
      <c r="D85" s="13" t="s">
        <v>1632</v>
      </c>
      <c r="E85" s="59" t="s">
        <v>81</v>
      </c>
      <c r="F85" s="15">
        <v>2000.0</v>
      </c>
      <c r="G85" s="15">
        <v>2068.05</v>
      </c>
      <c r="H85" s="17">
        <v>0.0</v>
      </c>
      <c r="I85" s="15">
        <f t="shared" si="1"/>
        <v>68.05</v>
      </c>
      <c r="J85" s="18">
        <f t="shared" si="2"/>
        <v>3.4025</v>
      </c>
      <c r="K85" s="17">
        <v>2.36</v>
      </c>
      <c r="L85" s="19">
        <f t="shared" si="3"/>
        <v>0</v>
      </c>
      <c r="M85" s="20">
        <f t="shared" si="4"/>
        <v>219.154556</v>
      </c>
      <c r="N85" s="21">
        <f t="shared" si="8"/>
        <v>2.36</v>
      </c>
      <c r="O85" s="21">
        <f t="shared" si="6"/>
        <v>4720</v>
      </c>
      <c r="P85" s="22">
        <f t="shared" si="7"/>
        <v>438309.112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idden="1">
      <c r="A86" s="63"/>
      <c r="B86" s="11">
        <v>46014.0</v>
      </c>
      <c r="C86" s="12">
        <f>VLOOKUP(B:B,'Курс валют'!A:D,4,0)</f>
        <v>92.8621</v>
      </c>
      <c r="D86" s="13" t="s">
        <v>1633</v>
      </c>
      <c r="E86" s="59" t="s">
        <v>73</v>
      </c>
      <c r="F86" s="15">
        <v>2000.0</v>
      </c>
      <c r="G86" s="15">
        <v>2000.0</v>
      </c>
      <c r="H86" s="17">
        <v>0.0</v>
      </c>
      <c r="I86" s="15">
        <f t="shared" si="1"/>
        <v>0</v>
      </c>
      <c r="J86" s="18">
        <f t="shared" si="2"/>
        <v>0</v>
      </c>
      <c r="K86" s="17">
        <v>2.59</v>
      </c>
      <c r="L86" s="19">
        <f t="shared" si="3"/>
        <v>0</v>
      </c>
      <c r="M86" s="20">
        <f t="shared" si="4"/>
        <v>240.512839</v>
      </c>
      <c r="N86" s="21">
        <f t="shared" si="8"/>
        <v>2.59</v>
      </c>
      <c r="O86" s="21">
        <f t="shared" si="6"/>
        <v>5180</v>
      </c>
      <c r="P86" s="22">
        <f t="shared" si="7"/>
        <v>481025.678</v>
      </c>
      <c r="R86" s="23"/>
      <c r="S86" s="25"/>
      <c r="T86" s="25"/>
      <c r="U86" s="25"/>
      <c r="V86" s="25"/>
      <c r="W86" s="25"/>
      <c r="X86" s="25"/>
      <c r="Y86" s="25"/>
      <c r="Z86" s="25"/>
      <c r="AA86" s="25"/>
    </row>
    <row r="87" hidden="1">
      <c r="A87" s="63"/>
      <c r="B87" s="11">
        <v>46015.0</v>
      </c>
      <c r="C87" s="12">
        <f>VLOOKUP(B:B,'Курс валют'!A:D,4,0)</f>
        <v>92.8137</v>
      </c>
      <c r="D87" s="13" t="s">
        <v>1634</v>
      </c>
      <c r="E87" s="59" t="s">
        <v>400</v>
      </c>
      <c r="F87" s="15">
        <v>463.6</v>
      </c>
      <c r="G87" s="15">
        <v>472.4</v>
      </c>
      <c r="H87" s="17"/>
      <c r="I87" s="15">
        <f t="shared" si="1"/>
        <v>8.8</v>
      </c>
      <c r="J87" s="18">
        <f t="shared" si="2"/>
        <v>1.898188093</v>
      </c>
      <c r="K87" s="17"/>
      <c r="L87" s="19">
        <f t="shared" si="3"/>
        <v>0</v>
      </c>
      <c r="M87" s="20">
        <f t="shared" si="4"/>
        <v>0</v>
      </c>
      <c r="N87" s="21">
        <f t="shared" si="8"/>
        <v>0</v>
      </c>
      <c r="O87" s="21">
        <f t="shared" si="6"/>
        <v>0</v>
      </c>
      <c r="P87" s="22">
        <f t="shared" si="7"/>
        <v>0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idden="1">
      <c r="A88" s="63"/>
      <c r="B88" s="11">
        <v>46015.0</v>
      </c>
      <c r="C88" s="12">
        <f>VLOOKUP(B:B,'Курс валют'!A:D,4,0)</f>
        <v>92.8137</v>
      </c>
      <c r="D88" s="13" t="s">
        <v>1635</v>
      </c>
      <c r="E88" s="59" t="s">
        <v>82</v>
      </c>
      <c r="F88" s="15">
        <v>1400.0</v>
      </c>
      <c r="G88" s="15">
        <v>1400.0</v>
      </c>
      <c r="H88" s="17">
        <v>0.0</v>
      </c>
      <c r="I88" s="15">
        <f t="shared" si="1"/>
        <v>0</v>
      </c>
      <c r="J88" s="18">
        <f t="shared" si="2"/>
        <v>0</v>
      </c>
      <c r="K88" s="17">
        <v>2.59</v>
      </c>
      <c r="L88" s="19">
        <f t="shared" si="3"/>
        <v>0</v>
      </c>
      <c r="M88" s="20">
        <f t="shared" si="4"/>
        <v>240.387483</v>
      </c>
      <c r="N88" s="21">
        <f t="shared" si="8"/>
        <v>2.59</v>
      </c>
      <c r="O88" s="21">
        <f t="shared" si="6"/>
        <v>3626</v>
      </c>
      <c r="P88" s="22">
        <f t="shared" si="7"/>
        <v>336542.4762</v>
      </c>
      <c r="R88" s="24" t="s">
        <v>1636</v>
      </c>
      <c r="S88" s="25"/>
      <c r="T88" s="25"/>
      <c r="U88" s="25"/>
      <c r="V88" s="25"/>
      <c r="W88" s="25"/>
      <c r="X88" s="25"/>
      <c r="Y88" s="25"/>
      <c r="Z88" s="25"/>
      <c r="AA88" s="25"/>
    </row>
    <row r="89" hidden="1">
      <c r="A89" s="63"/>
      <c r="B89" s="11">
        <v>46016.0</v>
      </c>
      <c r="C89" s="12">
        <f>VLOOKUP(B:B,'Курс валют'!A:D,4,0)</f>
        <v>92.4742</v>
      </c>
      <c r="D89" s="13" t="s">
        <v>1637</v>
      </c>
      <c r="E89" s="59" t="s">
        <v>53</v>
      </c>
      <c r="F89" s="15">
        <v>800.0</v>
      </c>
      <c r="G89" s="15">
        <v>806.55</v>
      </c>
      <c r="H89" s="17">
        <v>0.0</v>
      </c>
      <c r="I89" s="15">
        <f t="shared" si="1"/>
        <v>6.55</v>
      </c>
      <c r="J89" s="18">
        <f t="shared" si="2"/>
        <v>0.81875</v>
      </c>
      <c r="K89" s="17">
        <v>1.95</v>
      </c>
      <c r="L89" s="19">
        <f t="shared" si="3"/>
        <v>0</v>
      </c>
      <c r="M89" s="20">
        <f t="shared" si="4"/>
        <v>180.32469</v>
      </c>
      <c r="N89" s="21">
        <f t="shared" si="8"/>
        <v>1.95</v>
      </c>
      <c r="O89" s="21">
        <f t="shared" si="6"/>
        <v>1560</v>
      </c>
      <c r="P89" s="22">
        <f t="shared" si="7"/>
        <v>144259.752</v>
      </c>
      <c r="R89" s="23" t="s">
        <v>1638</v>
      </c>
      <c r="S89" s="25"/>
      <c r="T89" s="25"/>
      <c r="U89" s="25"/>
      <c r="V89" s="25"/>
      <c r="W89" s="25"/>
      <c r="X89" s="25"/>
      <c r="Y89" s="25"/>
      <c r="Z89" s="25"/>
      <c r="AA89" s="25"/>
    </row>
    <row r="90" hidden="1">
      <c r="A90" s="63"/>
      <c r="B90" s="11">
        <v>46016.0</v>
      </c>
      <c r="C90" s="12">
        <f>VLOOKUP(B:B,'Курс валют'!A:D,4,0)</f>
        <v>92.4742</v>
      </c>
      <c r="D90" s="13" t="s">
        <v>1639</v>
      </c>
      <c r="E90" s="59" t="s">
        <v>53</v>
      </c>
      <c r="F90" s="15">
        <v>800.0</v>
      </c>
      <c r="G90" s="15">
        <v>806.55</v>
      </c>
      <c r="H90" s="17">
        <v>0.0</v>
      </c>
      <c r="I90" s="15">
        <f t="shared" si="1"/>
        <v>6.55</v>
      </c>
      <c r="J90" s="18">
        <f t="shared" si="2"/>
        <v>0.81875</v>
      </c>
      <c r="K90" s="17">
        <v>1.94</v>
      </c>
      <c r="L90" s="19">
        <f t="shared" si="3"/>
        <v>0</v>
      </c>
      <c r="M90" s="20">
        <f t="shared" si="4"/>
        <v>179.399948</v>
      </c>
      <c r="N90" s="21">
        <f t="shared" si="8"/>
        <v>1.94</v>
      </c>
      <c r="O90" s="21">
        <f t="shared" si="6"/>
        <v>1552</v>
      </c>
      <c r="P90" s="22">
        <f t="shared" si="7"/>
        <v>143519.9584</v>
      </c>
      <c r="R90" s="24" t="s">
        <v>1640</v>
      </c>
      <c r="S90" s="25"/>
      <c r="T90" s="25"/>
      <c r="U90" s="25"/>
      <c r="V90" s="25"/>
      <c r="W90" s="25"/>
      <c r="X90" s="25"/>
      <c r="Y90" s="25"/>
      <c r="Z90" s="25"/>
      <c r="AA90" s="25"/>
    </row>
    <row r="91" hidden="1">
      <c r="A91" s="63"/>
      <c r="B91" s="11">
        <v>46016.0</v>
      </c>
      <c r="C91" s="12">
        <f>VLOOKUP(B:B,'Курс валют'!A:D,4,0)</f>
        <v>92.4742</v>
      </c>
      <c r="D91" s="13" t="s">
        <v>1641</v>
      </c>
      <c r="E91" s="59" t="s">
        <v>53</v>
      </c>
      <c r="F91" s="15">
        <v>800.0</v>
      </c>
      <c r="G91" s="15">
        <v>806.55</v>
      </c>
      <c r="H91" s="17">
        <v>0.0</v>
      </c>
      <c r="I91" s="15">
        <f t="shared" si="1"/>
        <v>6.55</v>
      </c>
      <c r="J91" s="18">
        <f t="shared" si="2"/>
        <v>0.81875</v>
      </c>
      <c r="K91" s="17">
        <v>1.95</v>
      </c>
      <c r="L91" s="19">
        <f t="shared" si="3"/>
        <v>0</v>
      </c>
      <c r="M91" s="20">
        <f t="shared" si="4"/>
        <v>180.32469</v>
      </c>
      <c r="N91" s="21">
        <f t="shared" si="8"/>
        <v>1.95</v>
      </c>
      <c r="O91" s="21">
        <f t="shared" si="6"/>
        <v>1560</v>
      </c>
      <c r="P91" s="22">
        <f t="shared" si="7"/>
        <v>144259.752</v>
      </c>
      <c r="R91" s="24" t="s">
        <v>1642</v>
      </c>
      <c r="S91" s="25"/>
      <c r="T91" s="25"/>
      <c r="U91" s="25"/>
      <c r="V91" s="25"/>
      <c r="W91" s="25"/>
      <c r="X91" s="25"/>
      <c r="Y91" s="25"/>
      <c r="Z91" s="25"/>
      <c r="AA91" s="25"/>
    </row>
    <row r="92" hidden="1">
      <c r="A92" s="63"/>
      <c r="B92" s="11">
        <v>46016.0</v>
      </c>
      <c r="C92" s="12">
        <f>VLOOKUP(B:B,'Курс валют'!A:D,4,0)</f>
        <v>92.4742</v>
      </c>
      <c r="D92" s="13" t="s">
        <v>1643</v>
      </c>
      <c r="E92" s="15" t="s">
        <v>107</v>
      </c>
      <c r="F92" s="15">
        <v>1920.0</v>
      </c>
      <c r="G92" s="16">
        <v>1969.85</v>
      </c>
      <c r="H92" s="17">
        <v>0.0</v>
      </c>
      <c r="I92" s="16">
        <f t="shared" si="1"/>
        <v>49.85</v>
      </c>
      <c r="J92" s="18">
        <f t="shared" si="2"/>
        <v>2.596354167</v>
      </c>
      <c r="K92" s="17">
        <v>2.66</v>
      </c>
      <c r="L92" s="19">
        <f t="shared" si="3"/>
        <v>0</v>
      </c>
      <c r="M92" s="20">
        <f t="shared" si="4"/>
        <v>245.981372</v>
      </c>
      <c r="N92" s="21">
        <f t="shared" si="8"/>
        <v>2.66</v>
      </c>
      <c r="O92" s="21">
        <f t="shared" si="6"/>
        <v>5107.2</v>
      </c>
      <c r="P92" s="22">
        <f t="shared" si="7"/>
        <v>472284.2342</v>
      </c>
      <c r="R92" s="24" t="s">
        <v>1644</v>
      </c>
      <c r="S92" s="25"/>
      <c r="T92" s="25"/>
      <c r="U92" s="25"/>
      <c r="V92" s="25"/>
      <c r="W92" s="25"/>
      <c r="X92" s="25"/>
      <c r="Y92" s="25"/>
      <c r="Z92" s="25"/>
      <c r="AA92" s="25"/>
    </row>
    <row r="93" hidden="1">
      <c r="A93" s="25"/>
      <c r="B93" s="11">
        <v>46016.0</v>
      </c>
      <c r="C93" s="12">
        <f>VLOOKUP(B:B,'Курс валют'!A:D,4,0)</f>
        <v>92.4742</v>
      </c>
      <c r="D93" s="13" t="s">
        <v>1645</v>
      </c>
      <c r="E93" s="15" t="s">
        <v>1646</v>
      </c>
      <c r="F93" s="15">
        <v>200.0</v>
      </c>
      <c r="G93" s="15">
        <v>203.02</v>
      </c>
      <c r="H93" s="17">
        <v>0.0</v>
      </c>
      <c r="I93" s="15">
        <f t="shared" si="1"/>
        <v>3.02</v>
      </c>
      <c r="J93" s="18">
        <f t="shared" si="2"/>
        <v>1.51</v>
      </c>
      <c r="K93" s="17">
        <v>2.02</v>
      </c>
      <c r="L93" s="19">
        <f t="shared" si="3"/>
        <v>0</v>
      </c>
      <c r="M93" s="20">
        <f t="shared" si="4"/>
        <v>186.797884</v>
      </c>
      <c r="N93" s="21">
        <f t="shared" si="8"/>
        <v>2.02</v>
      </c>
      <c r="O93" s="21">
        <f t="shared" si="6"/>
        <v>404</v>
      </c>
      <c r="P93" s="22">
        <f t="shared" si="7"/>
        <v>37359.5768</v>
      </c>
      <c r="R93" s="24" t="s">
        <v>1647</v>
      </c>
      <c r="S93" s="25"/>
      <c r="T93" s="25"/>
      <c r="U93" s="25"/>
      <c r="V93" s="25"/>
      <c r="W93" s="25"/>
      <c r="X93" s="25"/>
      <c r="Y93" s="25"/>
      <c r="Z93" s="25"/>
      <c r="AA93" s="25"/>
    </row>
    <row r="94" hidden="1">
      <c r="A94" s="25"/>
      <c r="B94" s="11">
        <v>46016.0</v>
      </c>
      <c r="C94" s="12">
        <f>VLOOKUP(B:B,'Курс валют'!A:D,4,0)</f>
        <v>92.4742</v>
      </c>
      <c r="D94" s="13" t="s">
        <v>1648</v>
      </c>
      <c r="E94" s="15" t="s">
        <v>1649</v>
      </c>
      <c r="F94" s="15">
        <v>200.0</v>
      </c>
      <c r="G94" s="15">
        <v>203.07</v>
      </c>
      <c r="H94" s="17">
        <v>0.0</v>
      </c>
      <c r="I94" s="15">
        <f t="shared" si="1"/>
        <v>3.07</v>
      </c>
      <c r="J94" s="18">
        <f t="shared" si="2"/>
        <v>1.535</v>
      </c>
      <c r="K94" s="17">
        <v>1.98</v>
      </c>
      <c r="L94" s="19">
        <f t="shared" si="3"/>
        <v>0</v>
      </c>
      <c r="M94" s="20">
        <f t="shared" si="4"/>
        <v>183.098916</v>
      </c>
      <c r="N94" s="21">
        <f t="shared" si="8"/>
        <v>1.98</v>
      </c>
      <c r="O94" s="21">
        <f t="shared" si="6"/>
        <v>396</v>
      </c>
      <c r="P94" s="22">
        <f t="shared" si="7"/>
        <v>36619.7832</v>
      </c>
      <c r="R94" s="24" t="s">
        <v>1650</v>
      </c>
      <c r="S94" s="25"/>
      <c r="T94" s="25"/>
      <c r="U94" s="25"/>
      <c r="V94" s="25"/>
      <c r="W94" s="25"/>
      <c r="X94" s="25"/>
      <c r="Y94" s="25"/>
      <c r="Z94" s="25"/>
      <c r="AA94" s="25"/>
    </row>
    <row r="95" hidden="1">
      <c r="A95" s="25"/>
      <c r="B95" s="11">
        <v>46017.0</v>
      </c>
      <c r="C95" s="12">
        <f>VLOOKUP(B:B,'Курс валют'!A:D,4,0)</f>
        <v>91.8902</v>
      </c>
      <c r="D95" s="13" t="s">
        <v>1651</v>
      </c>
      <c r="E95" s="15" t="s">
        <v>57</v>
      </c>
      <c r="F95" s="15">
        <v>1000.0</v>
      </c>
      <c r="G95" s="16">
        <v>1008.5</v>
      </c>
      <c r="H95" s="17">
        <v>0.0</v>
      </c>
      <c r="I95" s="16">
        <f t="shared" si="1"/>
        <v>8.5</v>
      </c>
      <c r="J95" s="18">
        <f t="shared" si="2"/>
        <v>0.85</v>
      </c>
      <c r="K95" s="17">
        <v>2.52</v>
      </c>
      <c r="L95" s="19">
        <f t="shared" si="3"/>
        <v>0</v>
      </c>
      <c r="M95" s="20">
        <f t="shared" si="4"/>
        <v>231.563304</v>
      </c>
      <c r="N95" s="21">
        <f t="shared" si="8"/>
        <v>2.52</v>
      </c>
      <c r="O95" s="21">
        <f t="shared" si="6"/>
        <v>2520</v>
      </c>
      <c r="P95" s="22">
        <f t="shared" si="7"/>
        <v>231563.304</v>
      </c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idden="1">
      <c r="A96" s="25"/>
      <c r="B96" s="11">
        <v>46017.0</v>
      </c>
      <c r="C96" s="12">
        <f>VLOOKUP(B:B,'Курс валют'!A:D,4,0)</f>
        <v>91.8902</v>
      </c>
      <c r="D96" s="13" t="s">
        <v>1652</v>
      </c>
      <c r="E96" s="15" t="s">
        <v>57</v>
      </c>
      <c r="F96" s="15">
        <v>1000.0</v>
      </c>
      <c r="G96" s="16">
        <v>1008.5</v>
      </c>
      <c r="H96" s="17">
        <v>0.0</v>
      </c>
      <c r="I96" s="16">
        <f t="shared" si="1"/>
        <v>8.5</v>
      </c>
      <c r="J96" s="18">
        <f t="shared" si="2"/>
        <v>0.85</v>
      </c>
      <c r="K96" s="17">
        <v>2.54</v>
      </c>
      <c r="L96" s="19">
        <f t="shared" si="3"/>
        <v>0</v>
      </c>
      <c r="M96" s="20">
        <f t="shared" si="4"/>
        <v>233.401108</v>
      </c>
      <c r="N96" s="21">
        <f t="shared" si="8"/>
        <v>2.54</v>
      </c>
      <c r="O96" s="21">
        <f t="shared" si="6"/>
        <v>2540</v>
      </c>
      <c r="P96" s="22">
        <f t="shared" si="7"/>
        <v>233401.108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idden="1">
      <c r="A97" s="25"/>
      <c r="B97" s="11">
        <v>46017.0</v>
      </c>
      <c r="C97" s="12">
        <f>VLOOKUP(B:B,'Курс валют'!A:D,4,0)</f>
        <v>91.8902</v>
      </c>
      <c r="D97" s="13" t="s">
        <v>1653</v>
      </c>
      <c r="E97" s="15" t="s">
        <v>98</v>
      </c>
      <c r="F97" s="15">
        <v>2160.0</v>
      </c>
      <c r="G97" s="16">
        <v>2182.5</v>
      </c>
      <c r="H97" s="17">
        <v>0.0</v>
      </c>
      <c r="I97" s="16">
        <f t="shared" si="1"/>
        <v>22.5</v>
      </c>
      <c r="J97" s="18">
        <f t="shared" si="2"/>
        <v>1.041666667</v>
      </c>
      <c r="K97" s="17">
        <v>2.0</v>
      </c>
      <c r="L97" s="19">
        <f t="shared" si="3"/>
        <v>0</v>
      </c>
      <c r="M97" s="20">
        <f t="shared" si="4"/>
        <v>183.7804</v>
      </c>
      <c r="N97" s="21">
        <f t="shared" si="8"/>
        <v>2</v>
      </c>
      <c r="O97" s="21">
        <f t="shared" si="6"/>
        <v>4320</v>
      </c>
      <c r="P97" s="22">
        <f t="shared" si="7"/>
        <v>396965.664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idden="1">
      <c r="A98" s="25"/>
      <c r="B98" s="11"/>
      <c r="C98" s="12" t="str">
        <f>VLOOKUP(B:B,'Курс валют'!A:D,4,0)</f>
        <v>#N/A</v>
      </c>
      <c r="D98" s="66"/>
      <c r="E98" s="67"/>
      <c r="F98" s="67"/>
      <c r="G98" s="67"/>
      <c r="H98" s="65"/>
      <c r="I98" s="15">
        <f t="shared" si="1"/>
        <v>0</v>
      </c>
      <c r="J98" s="18" t="str">
        <f t="shared" si="2"/>
        <v>#DIV/0!</v>
      </c>
      <c r="K98" s="65"/>
      <c r="L98" s="19" t="str">
        <f t="shared" si="3"/>
        <v>#DIV/0!</v>
      </c>
      <c r="M98" s="20" t="str">
        <f t="shared" si="4"/>
        <v>#DIV/0!</v>
      </c>
      <c r="N98" s="21" t="str">
        <f t="shared" si="8"/>
        <v>#DIV/0!</v>
      </c>
      <c r="O98" s="21" t="str">
        <f t="shared" si="6"/>
        <v>#DIV/0!</v>
      </c>
      <c r="P98" s="22" t="str">
        <f t="shared" si="7"/>
        <v>#DIV/0!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idden="1">
      <c r="A99" s="25"/>
      <c r="B99" s="11"/>
      <c r="C99" s="12" t="str">
        <f>VLOOKUP(B:B,'Курс валют'!A:D,4,0)</f>
        <v>#N/A</v>
      </c>
      <c r="D99" s="66"/>
      <c r="E99" s="67"/>
      <c r="F99" s="67"/>
      <c r="G99" s="67"/>
      <c r="H99" s="65"/>
      <c r="I99" s="15">
        <f t="shared" si="1"/>
        <v>0</v>
      </c>
      <c r="J99" s="18" t="str">
        <f t="shared" si="2"/>
        <v>#DIV/0!</v>
      </c>
      <c r="K99" s="65"/>
      <c r="L99" s="19" t="str">
        <f t="shared" si="3"/>
        <v>#DIV/0!</v>
      </c>
      <c r="M99" s="20" t="str">
        <f t="shared" si="4"/>
        <v>#DIV/0!</v>
      </c>
      <c r="N99" s="21" t="str">
        <f t="shared" si="8"/>
        <v>#DIV/0!</v>
      </c>
      <c r="O99" s="21" t="str">
        <f t="shared" si="6"/>
        <v>#DIV/0!</v>
      </c>
      <c r="P99" s="22" t="str">
        <f t="shared" si="7"/>
        <v>#DIV/0!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idden="1">
      <c r="A100" s="25"/>
      <c r="B100" s="11"/>
      <c r="C100" s="12" t="str">
        <f>VLOOKUP(B:B,'Курс валют'!A:D,4,0)</f>
        <v>#N/A</v>
      </c>
      <c r="D100" s="66"/>
      <c r="E100" s="67"/>
      <c r="F100" s="67"/>
      <c r="G100" s="67"/>
      <c r="H100" s="65"/>
      <c r="I100" s="15">
        <f t="shared" si="1"/>
        <v>0</v>
      </c>
      <c r="J100" s="18" t="str">
        <f t="shared" si="2"/>
        <v>#DIV/0!</v>
      </c>
      <c r="K100" s="65"/>
      <c r="L100" s="19" t="str">
        <f t="shared" si="3"/>
        <v>#DIV/0!</v>
      </c>
      <c r="M100" s="20" t="str">
        <f t="shared" si="4"/>
        <v>#DIV/0!</v>
      </c>
      <c r="N100" s="21" t="str">
        <f t="shared" si="8"/>
        <v>#DIV/0!</v>
      </c>
      <c r="O100" s="21" t="str">
        <f t="shared" si="6"/>
        <v>#DIV/0!</v>
      </c>
      <c r="P100" s="22" t="str">
        <f t="shared" si="7"/>
        <v>#DIV/0!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idden="1">
      <c r="A101" s="25"/>
      <c r="B101" s="11"/>
      <c r="C101" s="12" t="str">
        <f>VLOOKUP(B:B,'Курс валют'!A:D,4,0)</f>
        <v>#N/A</v>
      </c>
      <c r="D101" s="66"/>
      <c r="E101" s="67"/>
      <c r="F101" s="67"/>
      <c r="G101" s="67"/>
      <c r="H101" s="65"/>
      <c r="I101" s="15">
        <f t="shared" si="1"/>
        <v>0</v>
      </c>
      <c r="J101" s="18" t="str">
        <f t="shared" si="2"/>
        <v>#DIV/0!</v>
      </c>
      <c r="K101" s="65"/>
      <c r="L101" s="19" t="str">
        <f t="shared" si="3"/>
        <v>#DIV/0!</v>
      </c>
      <c r="M101" s="20" t="str">
        <f t="shared" si="4"/>
        <v>#DIV/0!</v>
      </c>
      <c r="N101" s="21" t="str">
        <f t="shared" si="8"/>
        <v>#DIV/0!</v>
      </c>
      <c r="O101" s="21" t="str">
        <f t="shared" si="6"/>
        <v>#DIV/0!</v>
      </c>
      <c r="P101" s="22" t="str">
        <f t="shared" si="7"/>
        <v>#DIV/0!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idden="1">
      <c r="A102" s="25"/>
      <c r="B102" s="11"/>
      <c r="C102" s="12" t="str">
        <f>VLOOKUP(B:B,'Курс валют'!A:D,4,0)</f>
        <v>#N/A</v>
      </c>
      <c r="D102" s="66"/>
      <c r="E102" s="67"/>
      <c r="F102" s="67"/>
      <c r="G102" s="67"/>
      <c r="H102" s="65"/>
      <c r="I102" s="15">
        <f t="shared" si="1"/>
        <v>0</v>
      </c>
      <c r="J102" s="18" t="str">
        <f t="shared" si="2"/>
        <v>#DIV/0!</v>
      </c>
      <c r="K102" s="65"/>
      <c r="L102" s="19" t="str">
        <f t="shared" si="3"/>
        <v>#DIV/0!</v>
      </c>
      <c r="M102" s="20" t="str">
        <f t="shared" si="4"/>
        <v>#DIV/0!</v>
      </c>
      <c r="N102" s="21" t="str">
        <f t="shared" si="8"/>
        <v>#DIV/0!</v>
      </c>
      <c r="O102" s="21" t="str">
        <f t="shared" si="6"/>
        <v>#DIV/0!</v>
      </c>
      <c r="P102" s="22" t="str">
        <f t="shared" si="7"/>
        <v>#DIV/0!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idden="1">
      <c r="A103" s="25"/>
      <c r="B103" s="11"/>
      <c r="C103" s="12" t="str">
        <f>VLOOKUP(B:B,'Курс валют'!A:D,4,0)</f>
        <v>#N/A</v>
      </c>
      <c r="D103" s="66"/>
      <c r="E103" s="67"/>
      <c r="F103" s="67"/>
      <c r="G103" s="67"/>
      <c r="H103" s="65"/>
      <c r="I103" s="15">
        <f t="shared" si="1"/>
        <v>0</v>
      </c>
      <c r="J103" s="18" t="str">
        <f t="shared" si="2"/>
        <v>#DIV/0!</v>
      </c>
      <c r="K103" s="65"/>
      <c r="L103" s="19" t="str">
        <f t="shared" si="3"/>
        <v>#DIV/0!</v>
      </c>
      <c r="M103" s="20" t="str">
        <f t="shared" si="4"/>
        <v>#DIV/0!</v>
      </c>
      <c r="N103" s="21" t="str">
        <f t="shared" si="8"/>
        <v>#DIV/0!</v>
      </c>
      <c r="O103" s="21" t="str">
        <f t="shared" si="6"/>
        <v>#DIV/0!</v>
      </c>
      <c r="P103" s="22" t="str">
        <f t="shared" si="7"/>
        <v>#DIV/0!</v>
      </c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idden="1">
      <c r="A104" s="25"/>
      <c r="B104" s="11"/>
      <c r="C104" s="12" t="str">
        <f>VLOOKUP(B:B,'Курс валют'!A:D,4,0)</f>
        <v>#N/A</v>
      </c>
      <c r="D104" s="66"/>
      <c r="E104" s="67"/>
      <c r="F104" s="67"/>
      <c r="G104" s="67"/>
      <c r="H104" s="65"/>
      <c r="I104" s="15">
        <f t="shared" si="1"/>
        <v>0</v>
      </c>
      <c r="J104" s="18" t="str">
        <f t="shared" si="2"/>
        <v>#DIV/0!</v>
      </c>
      <c r="K104" s="65"/>
      <c r="L104" s="19" t="str">
        <f t="shared" si="3"/>
        <v>#DIV/0!</v>
      </c>
      <c r="M104" s="20" t="str">
        <f t="shared" si="4"/>
        <v>#DIV/0!</v>
      </c>
      <c r="N104" s="21" t="str">
        <f t="shared" si="8"/>
        <v>#DIV/0!</v>
      </c>
      <c r="O104" s="21" t="str">
        <f t="shared" si="6"/>
        <v>#DIV/0!</v>
      </c>
      <c r="P104" s="22" t="str">
        <f t="shared" si="7"/>
        <v>#DIV/0!</v>
      </c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idden="1">
      <c r="A105" s="25"/>
      <c r="B105" s="11"/>
      <c r="C105" s="12" t="str">
        <f>VLOOKUP(B:B,'Курс валют'!A:D,4,0)</f>
        <v>#N/A</v>
      </c>
      <c r="D105" s="66"/>
      <c r="E105" s="67"/>
      <c r="F105" s="67"/>
      <c r="G105" s="67"/>
      <c r="H105" s="65"/>
      <c r="I105" s="15">
        <f t="shared" si="1"/>
        <v>0</v>
      </c>
      <c r="J105" s="18" t="str">
        <f t="shared" si="2"/>
        <v>#DIV/0!</v>
      </c>
      <c r="K105" s="65"/>
      <c r="L105" s="19" t="str">
        <f t="shared" si="3"/>
        <v>#DIV/0!</v>
      </c>
      <c r="M105" s="20" t="str">
        <f t="shared" si="4"/>
        <v>#DIV/0!</v>
      </c>
      <c r="N105" s="21" t="str">
        <f t="shared" si="8"/>
        <v>#DIV/0!</v>
      </c>
      <c r="O105" s="21" t="str">
        <f t="shared" si="6"/>
        <v>#DIV/0!</v>
      </c>
      <c r="P105" s="22" t="str">
        <f t="shared" si="7"/>
        <v>#DIV/0!</v>
      </c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idden="1">
      <c r="A106" s="25"/>
      <c r="B106" s="11"/>
      <c r="C106" s="12" t="str">
        <f>VLOOKUP(B:B,'Курс валют'!A:D,4,0)</f>
        <v>#N/A</v>
      </c>
      <c r="D106" s="66"/>
      <c r="E106" s="67"/>
      <c r="F106" s="67"/>
      <c r="G106" s="67"/>
      <c r="H106" s="65"/>
      <c r="I106" s="15">
        <f t="shared" si="1"/>
        <v>0</v>
      </c>
      <c r="J106" s="18" t="str">
        <f t="shared" si="2"/>
        <v>#DIV/0!</v>
      </c>
      <c r="K106" s="65"/>
      <c r="L106" s="19" t="str">
        <f t="shared" si="3"/>
        <v>#DIV/0!</v>
      </c>
      <c r="M106" s="20" t="str">
        <f t="shared" si="4"/>
        <v>#DIV/0!</v>
      </c>
      <c r="N106" s="21" t="str">
        <f t="shared" si="8"/>
        <v>#DIV/0!</v>
      </c>
      <c r="O106" s="21" t="str">
        <f t="shared" si="6"/>
        <v>#DIV/0!</v>
      </c>
      <c r="P106" s="22" t="str">
        <f t="shared" si="7"/>
        <v>#DIV/0!</v>
      </c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idden="1">
      <c r="A107" s="25"/>
      <c r="B107" s="11"/>
      <c r="C107" s="12" t="str">
        <f>VLOOKUP(B:B,'Курс валют'!A:D,4,0)</f>
        <v>#N/A</v>
      </c>
      <c r="D107" s="69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idden="1">
      <c r="A108" s="25"/>
      <c r="B108" s="11"/>
      <c r="C108" s="12" t="str">
        <f>VLOOKUP(B:B,'Курс валют'!A:D,4,0)</f>
        <v>#N/A</v>
      </c>
      <c r="D108" s="69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idden="1">
      <c r="A109" s="25"/>
      <c r="B109" s="11"/>
      <c r="C109" s="12" t="str">
        <f>VLOOKUP(B:B,'Курс валют'!A:D,4,0)</f>
        <v>#N/A</v>
      </c>
      <c r="D109" s="69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idden="1">
      <c r="A110" s="25"/>
      <c r="B110" s="11"/>
      <c r="C110" s="12" t="str">
        <f>VLOOKUP(B:B,'Курс валют'!A:D,4,0)</f>
        <v>#N/A</v>
      </c>
      <c r="D110" s="69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idden="1">
      <c r="A111" s="25"/>
      <c r="B111" s="11"/>
      <c r="C111" s="12" t="str">
        <f>VLOOKUP(B:B,'Курс валют'!A:D,4,0)</f>
        <v>#N/A</v>
      </c>
      <c r="D111" s="69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idden="1">
      <c r="A112" s="25"/>
      <c r="B112" s="11"/>
      <c r="C112" s="12" t="str">
        <f>VLOOKUP(B:B,'Курс валют'!A:D,4,0)</f>
        <v>#N/A</v>
      </c>
      <c r="D112" s="69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idden="1">
      <c r="A113" s="25"/>
      <c r="B113" s="11"/>
      <c r="C113" s="12" t="str">
        <f>VLOOKUP(B:B,'Курс валют'!A:D,4,0)</f>
        <v>#N/A</v>
      </c>
      <c r="D113" s="69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idden="1">
      <c r="A114" s="25"/>
      <c r="B114" s="11"/>
      <c r="C114" s="12" t="str">
        <f>VLOOKUP(B:B,'Курс валют'!A:D,4,0)</f>
        <v>#N/A</v>
      </c>
      <c r="D114" s="69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idden="1">
      <c r="A115" s="25"/>
      <c r="B115" s="11"/>
      <c r="C115" s="12" t="str">
        <f>VLOOKUP(B:B,'Курс валют'!A:D,4,0)</f>
        <v>#N/A</v>
      </c>
      <c r="D115" s="69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idden="1">
      <c r="A116" s="25"/>
      <c r="B116" s="11"/>
      <c r="C116" s="12" t="str">
        <f>VLOOKUP(B:B,'Курс валют'!A:D,4,0)</f>
        <v>#N/A</v>
      </c>
      <c r="D116" s="69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idden="1">
      <c r="A117" s="25"/>
      <c r="B117" s="11"/>
      <c r="C117" s="12" t="str">
        <f>VLOOKUP(B:B,'Курс валют'!A:D,4,0)</f>
        <v>#N/A</v>
      </c>
      <c r="D117" s="69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idden="1">
      <c r="A118" s="25"/>
      <c r="B118" s="11"/>
      <c r="C118" s="12" t="str">
        <f>VLOOKUP(B:B,'Курс валют'!A:D,4,0)</f>
        <v>#N/A</v>
      </c>
      <c r="D118" s="69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idden="1">
      <c r="A119" s="25"/>
      <c r="B119" s="11"/>
      <c r="C119" s="12" t="str">
        <f>VLOOKUP(B:B,'Курс валют'!A:D,4,0)</f>
        <v>#N/A</v>
      </c>
      <c r="D119" s="69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idden="1">
      <c r="A120" s="25"/>
      <c r="B120" s="11">
        <v>45988.0</v>
      </c>
      <c r="C120" s="25"/>
      <c r="D120" s="69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idden="1">
      <c r="A121" s="25"/>
      <c r="B121" s="11"/>
      <c r="C121" s="25"/>
      <c r="D121" s="69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idden="1">
      <c r="A122" s="25"/>
      <c r="B122" s="11"/>
      <c r="C122" s="25"/>
      <c r="D122" s="69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idden="1">
      <c r="A123" s="25"/>
      <c r="B123" s="11"/>
      <c r="C123" s="25"/>
      <c r="D123" s="69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idden="1">
      <c r="B124" s="68"/>
      <c r="D124" s="69"/>
      <c r="H124" s="70"/>
      <c r="K124" s="70"/>
      <c r="L124" s="71"/>
      <c r="M124" s="72"/>
      <c r="P124" s="72"/>
    </row>
    <row r="125" hidden="1">
      <c r="B125" s="68"/>
      <c r="D125" s="69"/>
      <c r="H125" s="70"/>
      <c r="K125" s="70"/>
      <c r="L125" s="71"/>
      <c r="M125" s="72"/>
      <c r="P125" s="72"/>
    </row>
    <row r="126" hidden="1">
      <c r="B126" s="68"/>
      <c r="D126" s="69"/>
      <c r="H126" s="70"/>
      <c r="K126" s="70"/>
      <c r="L126" s="71"/>
      <c r="M126" s="72"/>
      <c r="P126" s="72"/>
    </row>
    <row r="127" hidden="1">
      <c r="B127" s="68"/>
      <c r="D127" s="69"/>
      <c r="H127" s="70"/>
      <c r="K127" s="70"/>
      <c r="L127" s="71"/>
      <c r="M127" s="72"/>
      <c r="P127" s="72"/>
    </row>
    <row r="128" hidden="1">
      <c r="B128" s="68"/>
      <c r="D128" s="69"/>
      <c r="H128" s="70"/>
      <c r="K128" s="70"/>
      <c r="L128" s="71"/>
      <c r="M128" s="72"/>
      <c r="P128" s="72"/>
    </row>
    <row r="129" hidden="1">
      <c r="B129" s="68"/>
      <c r="D129" s="69"/>
      <c r="H129" s="70"/>
      <c r="K129" s="70"/>
      <c r="L129" s="71"/>
      <c r="M129" s="72"/>
      <c r="P129" s="72"/>
    </row>
    <row r="130" hidden="1">
      <c r="B130" s="68"/>
      <c r="D130" s="69"/>
      <c r="H130" s="70"/>
      <c r="K130" s="70"/>
      <c r="L130" s="71"/>
      <c r="M130" s="72"/>
      <c r="P130" s="72"/>
    </row>
    <row r="131" hidden="1">
      <c r="B131" s="68"/>
      <c r="D131" s="69"/>
      <c r="H131" s="70"/>
      <c r="K131" s="70"/>
      <c r="L131" s="71"/>
      <c r="M131" s="72"/>
      <c r="P131" s="72"/>
    </row>
    <row r="132" hidden="1">
      <c r="B132" s="68"/>
      <c r="D132" s="69"/>
      <c r="H132" s="70"/>
      <c r="K132" s="70"/>
      <c r="L132" s="71"/>
      <c r="M132" s="72"/>
      <c r="P132" s="72"/>
    </row>
    <row r="133" hidden="1">
      <c r="B133" s="68"/>
      <c r="D133" s="69"/>
      <c r="H133" s="70"/>
      <c r="K133" s="70"/>
      <c r="L133" s="71"/>
      <c r="M133" s="72"/>
      <c r="P133" s="72"/>
    </row>
    <row r="134" hidden="1">
      <c r="B134" s="68"/>
      <c r="D134" s="69"/>
      <c r="H134" s="70"/>
      <c r="K134" s="70"/>
      <c r="L134" s="71"/>
      <c r="M134" s="72"/>
      <c r="P134" s="72"/>
    </row>
    <row r="135" hidden="1">
      <c r="B135" s="68"/>
      <c r="D135" s="69"/>
      <c r="H135" s="70"/>
      <c r="K135" s="70"/>
      <c r="L135" s="71"/>
      <c r="M135" s="72"/>
      <c r="P135" s="72"/>
    </row>
    <row r="136" hidden="1">
      <c r="B136" s="68"/>
      <c r="D136" s="69"/>
      <c r="H136" s="70"/>
      <c r="K136" s="70"/>
      <c r="L136" s="71"/>
      <c r="M136" s="72"/>
      <c r="P136" s="72"/>
    </row>
    <row r="137" hidden="1">
      <c r="B137" s="68"/>
      <c r="D137" s="69"/>
      <c r="H137" s="70"/>
      <c r="K137" s="70"/>
      <c r="L137" s="71"/>
      <c r="M137" s="72"/>
      <c r="P137" s="72"/>
    </row>
    <row r="138" hidden="1">
      <c r="B138" s="68"/>
      <c r="D138" s="69"/>
      <c r="H138" s="70"/>
      <c r="K138" s="70"/>
      <c r="L138" s="71"/>
      <c r="M138" s="72"/>
      <c r="P138" s="72"/>
    </row>
    <row r="139" hidden="1">
      <c r="B139" s="68"/>
      <c r="D139" s="69"/>
      <c r="H139" s="70"/>
      <c r="K139" s="70"/>
      <c r="L139" s="71"/>
      <c r="M139" s="72"/>
      <c r="P139" s="72"/>
    </row>
    <row r="140" hidden="1">
      <c r="B140" s="68"/>
      <c r="D140" s="69"/>
      <c r="H140" s="70"/>
      <c r="K140" s="70"/>
      <c r="L140" s="71"/>
      <c r="M140" s="72"/>
      <c r="P140" s="72"/>
    </row>
    <row r="141" hidden="1">
      <c r="B141" s="68"/>
      <c r="D141" s="69"/>
      <c r="H141" s="70"/>
      <c r="K141" s="70"/>
      <c r="L141" s="71"/>
      <c r="M141" s="72"/>
      <c r="P141" s="72"/>
    </row>
    <row r="142" hidden="1">
      <c r="B142" s="68"/>
      <c r="D142" s="69"/>
      <c r="H142" s="70"/>
      <c r="K142" s="70"/>
      <c r="L142" s="71"/>
      <c r="M142" s="72"/>
      <c r="P142" s="72"/>
    </row>
    <row r="143" hidden="1">
      <c r="B143" s="68"/>
      <c r="D143" s="69"/>
      <c r="H143" s="70"/>
      <c r="K143" s="70"/>
      <c r="L143" s="71"/>
      <c r="M143" s="72"/>
      <c r="P143" s="72"/>
    </row>
    <row r="144" hidden="1">
      <c r="B144" s="68"/>
      <c r="D144" s="69"/>
      <c r="H144" s="70"/>
      <c r="K144" s="70"/>
      <c r="L144" s="71"/>
      <c r="M144" s="72"/>
      <c r="P144" s="72"/>
    </row>
    <row r="145" hidden="1">
      <c r="B145" s="68"/>
      <c r="D145" s="69"/>
      <c r="H145" s="70"/>
      <c r="K145" s="70"/>
      <c r="L145" s="71"/>
      <c r="M145" s="72"/>
      <c r="P145" s="72"/>
    </row>
    <row r="146" hidden="1">
      <c r="B146" s="68"/>
      <c r="D146" s="69"/>
      <c r="H146" s="70"/>
      <c r="K146" s="70"/>
      <c r="L146" s="71"/>
      <c r="M146" s="72"/>
      <c r="P146" s="72"/>
    </row>
    <row r="147" hidden="1">
      <c r="B147" s="68"/>
      <c r="D147" s="69"/>
      <c r="H147" s="70"/>
      <c r="K147" s="70"/>
      <c r="L147" s="71"/>
      <c r="M147" s="72"/>
      <c r="P147" s="72"/>
    </row>
    <row r="148" hidden="1">
      <c r="B148" s="68"/>
      <c r="D148" s="69"/>
      <c r="H148" s="70"/>
      <c r="K148" s="70"/>
      <c r="L148" s="71"/>
      <c r="M148" s="72"/>
      <c r="P148" s="72"/>
    </row>
    <row r="149" hidden="1">
      <c r="B149" s="68"/>
      <c r="D149" s="69"/>
      <c r="H149" s="70"/>
      <c r="K149" s="70"/>
      <c r="L149" s="71"/>
      <c r="M149" s="72"/>
      <c r="P149" s="72"/>
    </row>
    <row r="150" hidden="1">
      <c r="B150" s="68"/>
      <c r="D150" s="69"/>
      <c r="H150" s="70"/>
      <c r="K150" s="70"/>
      <c r="L150" s="71"/>
      <c r="M150" s="72"/>
      <c r="P150" s="72"/>
    </row>
    <row r="151" hidden="1">
      <c r="B151" s="68"/>
      <c r="D151" s="69"/>
      <c r="H151" s="70"/>
      <c r="K151" s="70"/>
      <c r="L151" s="71"/>
      <c r="M151" s="72"/>
      <c r="P151" s="72"/>
    </row>
    <row r="152" hidden="1">
      <c r="B152" s="68"/>
      <c r="D152" s="69"/>
      <c r="H152" s="70"/>
      <c r="K152" s="70"/>
      <c r="L152" s="71"/>
      <c r="M152" s="72"/>
      <c r="P152" s="72"/>
    </row>
    <row r="153" hidden="1">
      <c r="B153" s="68"/>
      <c r="D153" s="69"/>
      <c r="H153" s="70"/>
      <c r="K153" s="70"/>
      <c r="L153" s="71"/>
      <c r="M153" s="72"/>
      <c r="P153" s="72"/>
    </row>
    <row r="154" hidden="1">
      <c r="B154" s="68"/>
      <c r="D154" s="69"/>
      <c r="H154" s="70"/>
      <c r="K154" s="70"/>
      <c r="L154" s="71"/>
      <c r="M154" s="72"/>
      <c r="P154" s="72"/>
    </row>
    <row r="155" hidden="1">
      <c r="B155" s="68"/>
      <c r="D155" s="69"/>
      <c r="H155" s="70"/>
      <c r="K155" s="70"/>
      <c r="L155" s="71"/>
      <c r="M155" s="72"/>
      <c r="P155" s="72"/>
    </row>
    <row r="156" hidden="1">
      <c r="B156" s="68"/>
      <c r="D156" s="69"/>
      <c r="H156" s="70"/>
      <c r="K156" s="70"/>
      <c r="L156" s="71"/>
      <c r="M156" s="72"/>
      <c r="P156" s="72"/>
    </row>
    <row r="157" hidden="1">
      <c r="B157" s="68"/>
      <c r="D157" s="69"/>
      <c r="H157" s="70"/>
      <c r="K157" s="70"/>
      <c r="L157" s="71"/>
      <c r="M157" s="72"/>
      <c r="P157" s="72"/>
    </row>
    <row r="158" hidden="1">
      <c r="B158" s="68"/>
      <c r="D158" s="69"/>
      <c r="H158" s="70"/>
      <c r="K158" s="70"/>
      <c r="L158" s="71"/>
      <c r="M158" s="72"/>
      <c r="P158" s="72"/>
    </row>
    <row r="159" hidden="1">
      <c r="B159" s="68"/>
      <c r="D159" s="69"/>
      <c r="H159" s="70"/>
      <c r="K159" s="70"/>
      <c r="L159" s="71"/>
      <c r="M159" s="72"/>
      <c r="P159" s="72"/>
    </row>
    <row r="160" hidden="1">
      <c r="B160" s="68"/>
      <c r="D160" s="69"/>
      <c r="H160" s="70"/>
      <c r="K160" s="70"/>
      <c r="L160" s="71"/>
      <c r="M160" s="72"/>
      <c r="P160" s="72"/>
    </row>
    <row r="161" hidden="1">
      <c r="B161" s="68"/>
      <c r="D161" s="69"/>
      <c r="H161" s="70"/>
      <c r="K161" s="70"/>
      <c r="L161" s="71"/>
      <c r="M161" s="72"/>
      <c r="P161" s="72"/>
    </row>
    <row r="162" hidden="1">
      <c r="B162" s="68"/>
      <c r="D162" s="69"/>
      <c r="H162" s="70"/>
      <c r="K162" s="70"/>
      <c r="L162" s="71"/>
      <c r="M162" s="72"/>
      <c r="P162" s="72"/>
    </row>
    <row r="163" hidden="1">
      <c r="B163" s="68"/>
      <c r="D163" s="69"/>
      <c r="H163" s="70"/>
      <c r="K163" s="70"/>
      <c r="L163" s="71"/>
      <c r="M163" s="72"/>
      <c r="P163" s="72"/>
    </row>
    <row r="164" hidden="1">
      <c r="B164" s="68"/>
      <c r="D164" s="69"/>
      <c r="H164" s="70"/>
      <c r="K164" s="70"/>
      <c r="L164" s="71"/>
      <c r="M164" s="72"/>
      <c r="P164" s="72"/>
    </row>
    <row r="165" hidden="1">
      <c r="B165" s="68"/>
      <c r="D165" s="69"/>
      <c r="H165" s="70"/>
      <c r="K165" s="70"/>
      <c r="L165" s="71"/>
      <c r="M165" s="72"/>
      <c r="P165" s="72"/>
    </row>
    <row r="166" hidden="1">
      <c r="B166" s="68"/>
      <c r="D166" s="69"/>
      <c r="H166" s="70"/>
      <c r="K166" s="70"/>
      <c r="L166" s="71"/>
      <c r="M166" s="72"/>
      <c r="P166" s="72"/>
    </row>
    <row r="167" hidden="1">
      <c r="B167" s="68"/>
      <c r="D167" s="69"/>
      <c r="H167" s="70"/>
      <c r="K167" s="70"/>
      <c r="L167" s="71"/>
      <c r="M167" s="72"/>
      <c r="P167" s="72"/>
    </row>
    <row r="168" hidden="1">
      <c r="B168" s="68"/>
      <c r="D168" s="69"/>
      <c r="H168" s="70"/>
      <c r="K168" s="70"/>
      <c r="L168" s="71"/>
      <c r="M168" s="72"/>
      <c r="P168" s="72"/>
    </row>
    <row r="169" hidden="1">
      <c r="B169" s="68"/>
      <c r="D169" s="69"/>
      <c r="H169" s="70"/>
      <c r="K169" s="70"/>
      <c r="L169" s="71"/>
      <c r="M169" s="72"/>
      <c r="P169" s="72"/>
    </row>
    <row r="170" hidden="1">
      <c r="B170" s="68"/>
      <c r="D170" s="69"/>
      <c r="H170" s="70"/>
      <c r="K170" s="70"/>
      <c r="L170" s="71"/>
      <c r="M170" s="72"/>
      <c r="P170" s="72"/>
    </row>
    <row r="171" hidden="1">
      <c r="B171" s="68"/>
      <c r="D171" s="69"/>
      <c r="H171" s="70"/>
      <c r="K171" s="70"/>
      <c r="L171" s="71"/>
      <c r="M171" s="72"/>
      <c r="P171" s="72"/>
    </row>
    <row r="172" hidden="1">
      <c r="B172" s="68"/>
      <c r="D172" s="69"/>
      <c r="H172" s="70"/>
      <c r="K172" s="70"/>
      <c r="L172" s="71"/>
      <c r="M172" s="72"/>
      <c r="P172" s="72"/>
    </row>
    <row r="173" hidden="1">
      <c r="B173" s="68"/>
      <c r="D173" s="69"/>
      <c r="H173" s="70"/>
      <c r="K173" s="70"/>
      <c r="L173" s="71"/>
      <c r="M173" s="72"/>
      <c r="P173" s="72"/>
    </row>
    <row r="174" hidden="1">
      <c r="B174" s="68"/>
      <c r="D174" s="69"/>
      <c r="H174" s="70"/>
      <c r="K174" s="70"/>
      <c r="L174" s="71"/>
      <c r="M174" s="72"/>
      <c r="P174" s="72"/>
    </row>
    <row r="175" hidden="1">
      <c r="B175" s="68"/>
      <c r="D175" s="69"/>
      <c r="H175" s="70"/>
      <c r="K175" s="70"/>
      <c r="L175" s="71"/>
      <c r="M175" s="72"/>
      <c r="P175" s="72"/>
    </row>
    <row r="176" hidden="1">
      <c r="B176" s="68"/>
      <c r="D176" s="69"/>
      <c r="H176" s="70"/>
      <c r="K176" s="70"/>
      <c r="L176" s="71"/>
      <c r="M176" s="72"/>
      <c r="P176" s="72"/>
    </row>
    <row r="177" hidden="1">
      <c r="B177" s="68"/>
      <c r="D177" s="69"/>
      <c r="H177" s="70"/>
      <c r="K177" s="70"/>
      <c r="L177" s="71"/>
      <c r="M177" s="72"/>
      <c r="P177" s="72"/>
    </row>
    <row r="178" hidden="1">
      <c r="B178" s="68"/>
      <c r="D178" s="69"/>
      <c r="H178" s="70"/>
      <c r="K178" s="70"/>
      <c r="L178" s="71"/>
      <c r="M178" s="72"/>
      <c r="P178" s="72"/>
    </row>
    <row r="179" hidden="1">
      <c r="B179" s="68"/>
      <c r="D179" s="69"/>
      <c r="H179" s="70"/>
      <c r="K179" s="70"/>
      <c r="L179" s="71"/>
      <c r="M179" s="72"/>
      <c r="P179" s="72"/>
    </row>
    <row r="180" hidden="1">
      <c r="B180" s="68"/>
      <c r="D180" s="69"/>
      <c r="H180" s="70"/>
      <c r="K180" s="70"/>
      <c r="L180" s="71"/>
      <c r="M180" s="72"/>
      <c r="P180" s="72"/>
    </row>
    <row r="181" hidden="1">
      <c r="B181" s="68"/>
      <c r="D181" s="69"/>
      <c r="H181" s="70"/>
      <c r="K181" s="70"/>
      <c r="L181" s="71"/>
      <c r="M181" s="72"/>
      <c r="P181" s="72"/>
    </row>
    <row r="182" hidden="1">
      <c r="B182" s="68"/>
      <c r="D182" s="69"/>
      <c r="H182" s="70"/>
      <c r="K182" s="70"/>
      <c r="L182" s="71"/>
      <c r="M182" s="72"/>
      <c r="P182" s="72"/>
    </row>
    <row r="183" hidden="1">
      <c r="B183" s="68"/>
      <c r="D183" s="69"/>
      <c r="H183" s="70"/>
      <c r="K183" s="70"/>
      <c r="L183" s="71"/>
      <c r="M183" s="72"/>
      <c r="P183" s="72"/>
    </row>
    <row r="184" hidden="1">
      <c r="B184" s="68"/>
      <c r="D184" s="69"/>
      <c r="H184" s="70"/>
      <c r="K184" s="70"/>
      <c r="L184" s="71"/>
      <c r="M184" s="72"/>
      <c r="P184" s="72"/>
    </row>
    <row r="185" hidden="1">
      <c r="B185" s="68"/>
      <c r="D185" s="69"/>
      <c r="H185" s="70"/>
      <c r="K185" s="70"/>
      <c r="L185" s="71"/>
      <c r="M185" s="72"/>
      <c r="P185" s="72"/>
    </row>
    <row r="186" hidden="1">
      <c r="B186" s="68"/>
      <c r="D186" s="69"/>
      <c r="H186" s="70"/>
      <c r="K186" s="70"/>
      <c r="L186" s="71"/>
      <c r="M186" s="72"/>
      <c r="P186" s="72"/>
    </row>
    <row r="187" hidden="1">
      <c r="B187" s="68"/>
      <c r="D187" s="69"/>
      <c r="H187" s="70"/>
      <c r="K187" s="70"/>
      <c r="L187" s="71"/>
      <c r="M187" s="72"/>
      <c r="P187" s="72"/>
    </row>
    <row r="188" hidden="1">
      <c r="B188" s="68"/>
      <c r="D188" s="69"/>
      <c r="H188" s="70"/>
      <c r="K188" s="70"/>
      <c r="L188" s="71"/>
      <c r="M188" s="72"/>
      <c r="P188" s="72"/>
    </row>
    <row r="189" hidden="1">
      <c r="B189" s="68"/>
      <c r="D189" s="69"/>
      <c r="H189" s="70"/>
      <c r="K189" s="70"/>
      <c r="L189" s="71"/>
      <c r="M189" s="72"/>
      <c r="P189" s="72"/>
    </row>
    <row r="190" hidden="1">
      <c r="B190" s="68"/>
      <c r="D190" s="69"/>
      <c r="H190" s="70"/>
      <c r="K190" s="70"/>
      <c r="L190" s="71"/>
      <c r="M190" s="72"/>
      <c r="P190" s="72"/>
    </row>
    <row r="191" hidden="1">
      <c r="B191" s="68"/>
      <c r="D191" s="69"/>
      <c r="H191" s="70"/>
      <c r="K191" s="70"/>
      <c r="L191" s="71"/>
      <c r="M191" s="72"/>
      <c r="P191" s="72"/>
    </row>
    <row r="192" hidden="1">
      <c r="B192" s="68"/>
      <c r="D192" s="69"/>
      <c r="H192" s="70"/>
      <c r="K192" s="70"/>
      <c r="L192" s="71"/>
      <c r="M192" s="72"/>
      <c r="P192" s="72"/>
    </row>
    <row r="193" hidden="1">
      <c r="B193" s="68"/>
      <c r="D193" s="69"/>
      <c r="H193" s="70"/>
      <c r="K193" s="70"/>
      <c r="L193" s="71"/>
      <c r="M193" s="72"/>
      <c r="P193" s="72"/>
    </row>
    <row r="194" hidden="1">
      <c r="B194" s="68"/>
      <c r="D194" s="69"/>
      <c r="H194" s="70"/>
      <c r="K194" s="70"/>
      <c r="L194" s="71"/>
      <c r="M194" s="72"/>
      <c r="P194" s="72"/>
    </row>
    <row r="195" hidden="1">
      <c r="B195" s="68"/>
      <c r="D195" s="69"/>
      <c r="H195" s="70"/>
      <c r="K195" s="70"/>
      <c r="L195" s="71"/>
      <c r="M195" s="72"/>
      <c r="P195" s="72"/>
    </row>
    <row r="196" hidden="1">
      <c r="B196" s="68"/>
      <c r="D196" s="69"/>
      <c r="H196" s="70"/>
      <c r="K196" s="70"/>
      <c r="L196" s="71"/>
      <c r="M196" s="72"/>
      <c r="P196" s="72"/>
    </row>
    <row r="197" hidden="1">
      <c r="B197" s="68"/>
      <c r="D197" s="69"/>
      <c r="H197" s="70"/>
      <c r="K197" s="70"/>
      <c r="L197" s="71"/>
      <c r="M197" s="72"/>
      <c r="P197" s="72"/>
    </row>
    <row r="198" hidden="1">
      <c r="B198" s="68"/>
      <c r="D198" s="69"/>
      <c r="H198" s="70"/>
      <c r="K198" s="70"/>
      <c r="L198" s="71"/>
      <c r="M198" s="72"/>
      <c r="P198" s="72"/>
    </row>
    <row r="199" hidden="1">
      <c r="B199" s="68"/>
      <c r="D199" s="69"/>
      <c r="H199" s="70"/>
      <c r="K199" s="70"/>
      <c r="L199" s="71"/>
      <c r="M199" s="72"/>
      <c r="P199" s="72"/>
    </row>
    <row r="200" hidden="1">
      <c r="B200" s="68"/>
      <c r="D200" s="69"/>
      <c r="H200" s="70"/>
      <c r="K200" s="70"/>
      <c r="L200" s="71"/>
      <c r="M200" s="72"/>
      <c r="P200" s="72"/>
    </row>
    <row r="201" hidden="1">
      <c r="B201" s="68"/>
      <c r="D201" s="69"/>
      <c r="H201" s="70"/>
      <c r="K201" s="70"/>
      <c r="L201" s="71"/>
      <c r="M201" s="72"/>
      <c r="P201" s="72"/>
    </row>
    <row r="202" hidden="1">
      <c r="B202" s="68"/>
      <c r="D202" s="69"/>
      <c r="H202" s="70"/>
      <c r="K202" s="70"/>
      <c r="L202" s="71"/>
      <c r="M202" s="72"/>
      <c r="P202" s="72"/>
    </row>
    <row r="203" hidden="1">
      <c r="B203" s="68"/>
      <c r="D203" s="69"/>
      <c r="H203" s="70"/>
      <c r="K203" s="70"/>
      <c r="L203" s="71"/>
      <c r="M203" s="72"/>
      <c r="P203" s="72"/>
    </row>
    <row r="204" hidden="1">
      <c r="B204" s="68"/>
      <c r="D204" s="69"/>
      <c r="H204" s="70"/>
      <c r="K204" s="70"/>
      <c r="L204" s="71"/>
      <c r="M204" s="72"/>
      <c r="P204" s="72"/>
    </row>
    <row r="205" hidden="1">
      <c r="B205" s="68"/>
      <c r="D205" s="69"/>
      <c r="H205" s="70"/>
      <c r="K205" s="70"/>
      <c r="L205" s="71"/>
      <c r="M205" s="72"/>
      <c r="P205" s="72"/>
    </row>
    <row r="206" hidden="1">
      <c r="B206" s="68"/>
      <c r="D206" s="69"/>
      <c r="H206" s="70"/>
      <c r="K206" s="70"/>
      <c r="L206" s="71"/>
      <c r="M206" s="72"/>
      <c r="P206" s="72"/>
    </row>
    <row r="207" hidden="1">
      <c r="B207" s="68"/>
      <c r="D207" s="69"/>
      <c r="H207" s="70"/>
      <c r="K207" s="70"/>
      <c r="L207" s="71"/>
      <c r="M207" s="72"/>
      <c r="P207" s="72"/>
    </row>
    <row r="208" hidden="1">
      <c r="B208" s="68"/>
      <c r="D208" s="69"/>
      <c r="H208" s="70"/>
      <c r="K208" s="70"/>
      <c r="L208" s="71"/>
      <c r="M208" s="72"/>
      <c r="P208" s="72"/>
    </row>
    <row r="209" hidden="1">
      <c r="B209" s="68"/>
      <c r="D209" s="69"/>
      <c r="H209" s="70"/>
      <c r="K209" s="70"/>
      <c r="L209" s="71"/>
      <c r="M209" s="72"/>
      <c r="P209" s="72"/>
    </row>
    <row r="210" hidden="1">
      <c r="B210" s="68"/>
      <c r="D210" s="69"/>
      <c r="H210" s="70"/>
      <c r="K210" s="70"/>
      <c r="L210" s="71"/>
      <c r="M210" s="72"/>
      <c r="P210" s="72"/>
    </row>
    <row r="211" hidden="1">
      <c r="B211" s="68"/>
      <c r="D211" s="69"/>
      <c r="H211" s="70"/>
      <c r="K211" s="70"/>
      <c r="L211" s="71"/>
      <c r="M211" s="72"/>
      <c r="P211" s="72"/>
    </row>
    <row r="212" hidden="1">
      <c r="B212" s="68"/>
      <c r="D212" s="69"/>
      <c r="H212" s="70"/>
      <c r="K212" s="70"/>
      <c r="L212" s="71"/>
      <c r="M212" s="72"/>
      <c r="P212" s="72"/>
    </row>
    <row r="213" hidden="1">
      <c r="B213" s="68"/>
      <c r="D213" s="69"/>
      <c r="H213" s="70"/>
      <c r="K213" s="70"/>
      <c r="L213" s="71"/>
      <c r="M213" s="72"/>
      <c r="P213" s="72"/>
    </row>
    <row r="214" hidden="1">
      <c r="B214" s="68"/>
      <c r="D214" s="69"/>
      <c r="H214" s="70"/>
      <c r="K214" s="70"/>
      <c r="L214" s="71"/>
      <c r="M214" s="72"/>
      <c r="P214" s="72"/>
    </row>
    <row r="215" hidden="1">
      <c r="B215" s="68"/>
      <c r="D215" s="69"/>
      <c r="H215" s="70"/>
      <c r="K215" s="70"/>
      <c r="L215" s="71"/>
      <c r="M215" s="72"/>
      <c r="P215" s="72"/>
    </row>
    <row r="216" hidden="1">
      <c r="B216" s="68"/>
      <c r="D216" s="69"/>
      <c r="H216" s="70"/>
      <c r="K216" s="70"/>
      <c r="L216" s="71"/>
      <c r="M216" s="72"/>
      <c r="P216" s="72"/>
    </row>
    <row r="217" hidden="1">
      <c r="B217" s="68"/>
      <c r="D217" s="69"/>
      <c r="H217" s="70"/>
      <c r="K217" s="70"/>
      <c r="L217" s="71"/>
      <c r="M217" s="72"/>
      <c r="P217" s="72"/>
    </row>
    <row r="218" hidden="1">
      <c r="B218" s="68"/>
      <c r="D218" s="69"/>
      <c r="H218" s="70"/>
      <c r="K218" s="70"/>
      <c r="L218" s="71"/>
      <c r="M218" s="72"/>
      <c r="P218" s="72"/>
    </row>
    <row r="219" hidden="1">
      <c r="B219" s="68"/>
      <c r="D219" s="69"/>
      <c r="H219" s="70"/>
      <c r="K219" s="70"/>
      <c r="L219" s="71"/>
      <c r="M219" s="72"/>
      <c r="P219" s="72"/>
    </row>
    <row r="220" hidden="1">
      <c r="B220" s="68"/>
      <c r="D220" s="69"/>
      <c r="H220" s="70"/>
      <c r="K220" s="70"/>
      <c r="L220" s="71"/>
      <c r="M220" s="72"/>
      <c r="P220" s="72"/>
    </row>
    <row r="221" hidden="1">
      <c r="B221" s="68"/>
      <c r="D221" s="69"/>
      <c r="H221" s="70"/>
      <c r="K221" s="70"/>
      <c r="L221" s="71"/>
      <c r="M221" s="72"/>
      <c r="P221" s="72"/>
    </row>
    <row r="222" hidden="1">
      <c r="B222" s="68"/>
      <c r="D222" s="69"/>
      <c r="H222" s="70"/>
      <c r="K222" s="70"/>
      <c r="L222" s="71"/>
      <c r="M222" s="72"/>
      <c r="P222" s="72"/>
    </row>
    <row r="223" hidden="1">
      <c r="B223" s="68"/>
      <c r="D223" s="69"/>
      <c r="H223" s="70"/>
      <c r="K223" s="70"/>
      <c r="L223" s="71"/>
      <c r="M223" s="72"/>
      <c r="P223" s="72"/>
    </row>
    <row r="224" hidden="1">
      <c r="B224" s="68"/>
      <c r="D224" s="69"/>
      <c r="H224" s="70"/>
      <c r="K224" s="70"/>
      <c r="L224" s="71"/>
      <c r="M224" s="72"/>
      <c r="P224" s="72"/>
    </row>
    <row r="225" hidden="1">
      <c r="B225" s="68"/>
      <c r="D225" s="69"/>
      <c r="H225" s="70"/>
      <c r="K225" s="70"/>
      <c r="L225" s="71"/>
      <c r="M225" s="72"/>
      <c r="P225" s="72"/>
    </row>
    <row r="226" hidden="1">
      <c r="B226" s="68"/>
      <c r="D226" s="69"/>
      <c r="H226" s="70"/>
      <c r="K226" s="70"/>
      <c r="L226" s="71"/>
      <c r="M226" s="72"/>
      <c r="P226" s="72"/>
    </row>
    <row r="227" hidden="1">
      <c r="B227" s="68"/>
      <c r="D227" s="69"/>
      <c r="H227" s="70"/>
      <c r="K227" s="70"/>
      <c r="L227" s="71"/>
      <c r="M227" s="72"/>
      <c r="P227" s="72"/>
    </row>
    <row r="228" hidden="1">
      <c r="B228" s="68"/>
      <c r="D228" s="69"/>
      <c r="H228" s="70"/>
      <c r="K228" s="70"/>
      <c r="L228" s="71"/>
      <c r="M228" s="72"/>
      <c r="P228" s="72"/>
    </row>
    <row r="229" hidden="1">
      <c r="B229" s="68"/>
      <c r="D229" s="69"/>
      <c r="H229" s="70"/>
      <c r="K229" s="70"/>
      <c r="L229" s="71"/>
      <c r="M229" s="72"/>
      <c r="P229" s="72"/>
    </row>
    <row r="230" hidden="1">
      <c r="B230" s="68"/>
      <c r="D230" s="69"/>
      <c r="H230" s="70"/>
      <c r="K230" s="70"/>
      <c r="L230" s="71"/>
      <c r="M230" s="72"/>
      <c r="P230" s="72"/>
    </row>
    <row r="231" hidden="1">
      <c r="B231" s="68"/>
      <c r="D231" s="69"/>
      <c r="H231" s="70"/>
      <c r="K231" s="70"/>
      <c r="L231" s="71"/>
      <c r="M231" s="72"/>
      <c r="P231" s="72"/>
    </row>
    <row r="232" hidden="1">
      <c r="B232" s="68"/>
      <c r="D232" s="69"/>
      <c r="H232" s="70"/>
      <c r="K232" s="70"/>
      <c r="L232" s="71"/>
      <c r="M232" s="72"/>
      <c r="P232" s="72"/>
    </row>
    <row r="233" hidden="1">
      <c r="B233" s="68"/>
      <c r="D233" s="69"/>
      <c r="H233" s="70"/>
      <c r="K233" s="70"/>
      <c r="L233" s="71"/>
      <c r="M233" s="72"/>
      <c r="P233" s="72"/>
    </row>
    <row r="234" hidden="1">
      <c r="B234" s="68"/>
      <c r="D234" s="69"/>
      <c r="H234" s="70"/>
      <c r="K234" s="70"/>
      <c r="L234" s="71"/>
      <c r="M234" s="72"/>
      <c r="P234" s="72"/>
    </row>
    <row r="235" hidden="1">
      <c r="B235" s="68"/>
      <c r="D235" s="69"/>
      <c r="H235" s="70"/>
      <c r="K235" s="70"/>
      <c r="L235" s="71"/>
      <c r="M235" s="72"/>
      <c r="P235" s="72"/>
    </row>
    <row r="236" hidden="1">
      <c r="B236" s="68"/>
      <c r="D236" s="69"/>
      <c r="H236" s="70"/>
      <c r="K236" s="70"/>
      <c r="L236" s="71"/>
      <c r="M236" s="72"/>
      <c r="P236" s="72"/>
    </row>
    <row r="237" hidden="1">
      <c r="B237" s="68"/>
      <c r="D237" s="69"/>
      <c r="H237" s="70"/>
      <c r="K237" s="70"/>
      <c r="L237" s="71"/>
      <c r="M237" s="72"/>
      <c r="P237" s="72"/>
    </row>
    <row r="238" hidden="1">
      <c r="B238" s="68"/>
      <c r="D238" s="69"/>
      <c r="H238" s="70"/>
      <c r="K238" s="70"/>
      <c r="L238" s="71"/>
      <c r="M238" s="72"/>
      <c r="P238" s="72"/>
    </row>
    <row r="239" hidden="1">
      <c r="B239" s="68"/>
      <c r="D239" s="69"/>
      <c r="H239" s="70"/>
      <c r="K239" s="70"/>
      <c r="L239" s="71"/>
      <c r="M239" s="72"/>
      <c r="P239" s="72"/>
    </row>
    <row r="240" hidden="1">
      <c r="B240" s="68"/>
      <c r="D240" s="69"/>
      <c r="H240" s="70"/>
      <c r="K240" s="70"/>
      <c r="L240" s="71"/>
      <c r="M240" s="72"/>
      <c r="P240" s="72"/>
    </row>
    <row r="241" hidden="1">
      <c r="B241" s="68"/>
      <c r="D241" s="69"/>
      <c r="H241" s="70"/>
      <c r="K241" s="70"/>
      <c r="L241" s="71"/>
      <c r="M241" s="72"/>
      <c r="P241" s="72"/>
    </row>
    <row r="242" hidden="1">
      <c r="B242" s="68"/>
      <c r="D242" s="69"/>
      <c r="H242" s="70"/>
      <c r="K242" s="70"/>
      <c r="L242" s="71"/>
      <c r="M242" s="72"/>
      <c r="P242" s="72"/>
    </row>
    <row r="243" hidden="1">
      <c r="B243" s="68"/>
      <c r="D243" s="69"/>
      <c r="H243" s="70"/>
      <c r="K243" s="70"/>
      <c r="L243" s="71"/>
      <c r="M243" s="72"/>
      <c r="P243" s="72"/>
    </row>
    <row r="244" hidden="1">
      <c r="B244" s="68"/>
      <c r="D244" s="69"/>
      <c r="H244" s="70"/>
      <c r="K244" s="70"/>
      <c r="L244" s="71"/>
      <c r="M244" s="72"/>
      <c r="P244" s="72"/>
    </row>
    <row r="245" hidden="1">
      <c r="B245" s="68"/>
      <c r="D245" s="69"/>
      <c r="H245" s="70"/>
      <c r="K245" s="70"/>
      <c r="L245" s="71"/>
      <c r="M245" s="72"/>
      <c r="P245" s="72"/>
    </row>
    <row r="246" hidden="1">
      <c r="B246" s="68"/>
      <c r="D246" s="69"/>
      <c r="H246" s="70"/>
      <c r="K246" s="70"/>
      <c r="L246" s="71"/>
      <c r="M246" s="72"/>
      <c r="P246" s="72"/>
    </row>
    <row r="247" hidden="1">
      <c r="B247" s="68"/>
      <c r="D247" s="69"/>
      <c r="H247" s="70"/>
      <c r="K247" s="70"/>
      <c r="L247" s="71"/>
      <c r="M247" s="72"/>
      <c r="P247" s="72"/>
    </row>
    <row r="248" hidden="1">
      <c r="B248" s="68"/>
      <c r="D248" s="69"/>
      <c r="H248" s="70"/>
      <c r="K248" s="70"/>
      <c r="L248" s="71"/>
      <c r="M248" s="72"/>
      <c r="P248" s="72"/>
    </row>
    <row r="249" hidden="1">
      <c r="B249" s="68"/>
      <c r="D249" s="69"/>
      <c r="H249" s="70"/>
      <c r="K249" s="70"/>
      <c r="L249" s="71"/>
      <c r="M249" s="72"/>
      <c r="P249" s="72"/>
    </row>
    <row r="250" hidden="1">
      <c r="B250" s="68"/>
      <c r="D250" s="69"/>
      <c r="H250" s="70"/>
      <c r="K250" s="70"/>
      <c r="L250" s="71"/>
      <c r="M250" s="72"/>
      <c r="P250" s="72"/>
    </row>
    <row r="251" hidden="1">
      <c r="B251" s="68"/>
      <c r="D251" s="69"/>
      <c r="H251" s="70"/>
      <c r="K251" s="70"/>
      <c r="L251" s="71"/>
      <c r="M251" s="72"/>
      <c r="P251" s="72"/>
    </row>
    <row r="252" hidden="1">
      <c r="B252" s="68"/>
      <c r="D252" s="69"/>
      <c r="H252" s="70"/>
      <c r="K252" s="70"/>
      <c r="L252" s="71"/>
      <c r="M252" s="72"/>
      <c r="P252" s="72"/>
    </row>
    <row r="253" hidden="1">
      <c r="B253" s="68"/>
      <c r="D253" s="69"/>
      <c r="H253" s="70"/>
      <c r="K253" s="70"/>
      <c r="L253" s="71"/>
      <c r="M253" s="72"/>
      <c r="P253" s="72"/>
    </row>
    <row r="254" hidden="1">
      <c r="B254" s="68"/>
      <c r="D254" s="69"/>
      <c r="H254" s="70"/>
      <c r="K254" s="70"/>
      <c r="L254" s="71"/>
      <c r="M254" s="72"/>
      <c r="P254" s="72"/>
    </row>
    <row r="255" hidden="1">
      <c r="B255" s="68"/>
      <c r="D255" s="69"/>
      <c r="H255" s="70"/>
      <c r="K255" s="70"/>
      <c r="L255" s="71"/>
      <c r="M255" s="72"/>
      <c r="P255" s="72"/>
    </row>
    <row r="256" hidden="1">
      <c r="B256" s="68"/>
      <c r="D256" s="69"/>
      <c r="H256" s="70"/>
      <c r="K256" s="70"/>
      <c r="L256" s="71"/>
      <c r="M256" s="72"/>
      <c r="P256" s="72"/>
    </row>
    <row r="257" hidden="1">
      <c r="B257" s="68"/>
      <c r="D257" s="69"/>
      <c r="H257" s="70"/>
      <c r="K257" s="70"/>
      <c r="L257" s="71"/>
      <c r="M257" s="72"/>
      <c r="P257" s="72"/>
    </row>
    <row r="258" hidden="1">
      <c r="B258" s="68"/>
      <c r="D258" s="69"/>
      <c r="H258" s="70"/>
      <c r="K258" s="70"/>
      <c r="L258" s="71"/>
      <c r="M258" s="72"/>
      <c r="P258" s="72"/>
    </row>
    <row r="259" hidden="1">
      <c r="B259" s="68"/>
      <c r="D259" s="69"/>
      <c r="H259" s="70"/>
      <c r="K259" s="70"/>
      <c r="L259" s="71"/>
      <c r="M259" s="72"/>
      <c r="P259" s="72"/>
    </row>
    <row r="260" hidden="1">
      <c r="B260" s="68"/>
      <c r="D260" s="69"/>
      <c r="H260" s="70"/>
      <c r="K260" s="70"/>
      <c r="L260" s="71"/>
      <c r="M260" s="72"/>
      <c r="P260" s="72"/>
    </row>
    <row r="261" hidden="1">
      <c r="B261" s="68"/>
      <c r="D261" s="69"/>
      <c r="H261" s="70"/>
      <c r="K261" s="70"/>
      <c r="L261" s="71"/>
      <c r="M261" s="72"/>
      <c r="P261" s="72"/>
    </row>
    <row r="262" hidden="1">
      <c r="B262" s="68"/>
      <c r="D262" s="69"/>
      <c r="H262" s="70"/>
      <c r="K262" s="70"/>
      <c r="L262" s="71"/>
      <c r="M262" s="72"/>
      <c r="P262" s="72"/>
    </row>
    <row r="263" hidden="1">
      <c r="B263" s="68"/>
      <c r="D263" s="69"/>
      <c r="H263" s="70"/>
      <c r="K263" s="70"/>
      <c r="L263" s="71"/>
      <c r="M263" s="72"/>
      <c r="P263" s="72"/>
    </row>
    <row r="264" hidden="1">
      <c r="B264" s="68"/>
      <c r="D264" s="69"/>
      <c r="H264" s="70"/>
      <c r="K264" s="70"/>
      <c r="L264" s="71"/>
      <c r="M264" s="72"/>
      <c r="P264" s="72"/>
    </row>
    <row r="265" hidden="1">
      <c r="B265" s="68"/>
      <c r="D265" s="69"/>
      <c r="H265" s="70"/>
      <c r="K265" s="70"/>
      <c r="L265" s="71"/>
      <c r="M265" s="72"/>
      <c r="P265" s="72"/>
    </row>
    <row r="266" hidden="1">
      <c r="B266" s="68"/>
      <c r="D266" s="69"/>
      <c r="H266" s="70"/>
      <c r="K266" s="70"/>
      <c r="L266" s="71"/>
      <c r="M266" s="72"/>
      <c r="P266" s="72"/>
    </row>
    <row r="267" hidden="1">
      <c r="B267" s="68"/>
      <c r="D267" s="69"/>
      <c r="H267" s="70"/>
      <c r="K267" s="70"/>
      <c r="L267" s="71"/>
      <c r="M267" s="72"/>
      <c r="P267" s="72"/>
    </row>
    <row r="268" hidden="1">
      <c r="B268" s="68"/>
      <c r="D268" s="69"/>
      <c r="H268" s="70"/>
      <c r="K268" s="70"/>
      <c r="L268" s="71"/>
      <c r="M268" s="72"/>
      <c r="P268" s="72"/>
    </row>
    <row r="269" hidden="1">
      <c r="B269" s="68"/>
      <c r="D269" s="69"/>
      <c r="H269" s="70"/>
      <c r="K269" s="70"/>
      <c r="L269" s="71"/>
      <c r="M269" s="72"/>
      <c r="P269" s="72"/>
    </row>
    <row r="270" hidden="1">
      <c r="B270" s="68"/>
      <c r="D270" s="69"/>
      <c r="H270" s="70"/>
      <c r="K270" s="70"/>
      <c r="L270" s="71"/>
      <c r="M270" s="72"/>
      <c r="P270" s="72"/>
    </row>
    <row r="271" hidden="1">
      <c r="B271" s="68"/>
      <c r="D271" s="69"/>
      <c r="H271" s="70"/>
      <c r="K271" s="70"/>
      <c r="L271" s="71"/>
      <c r="M271" s="72"/>
      <c r="P271" s="72"/>
    </row>
    <row r="272" hidden="1">
      <c r="B272" s="68"/>
      <c r="D272" s="69"/>
      <c r="H272" s="70"/>
      <c r="K272" s="70"/>
      <c r="L272" s="71"/>
      <c r="M272" s="72"/>
      <c r="P272" s="72"/>
    </row>
    <row r="273" hidden="1">
      <c r="B273" s="68"/>
      <c r="D273" s="69"/>
      <c r="H273" s="70"/>
      <c r="K273" s="70"/>
      <c r="L273" s="71"/>
      <c r="M273" s="72"/>
      <c r="P273" s="72"/>
    </row>
    <row r="274" hidden="1">
      <c r="B274" s="68"/>
      <c r="D274" s="69"/>
      <c r="H274" s="70"/>
      <c r="K274" s="70"/>
      <c r="L274" s="71"/>
      <c r="M274" s="72"/>
      <c r="P274" s="72"/>
    </row>
    <row r="275" hidden="1">
      <c r="B275" s="68"/>
      <c r="D275" s="69"/>
      <c r="H275" s="70"/>
      <c r="K275" s="70"/>
      <c r="L275" s="71"/>
      <c r="M275" s="72"/>
      <c r="P275" s="72"/>
    </row>
    <row r="276" hidden="1">
      <c r="B276" s="68"/>
      <c r="D276" s="69"/>
      <c r="H276" s="70"/>
      <c r="K276" s="70"/>
      <c r="L276" s="71"/>
      <c r="M276" s="72"/>
      <c r="P276" s="72"/>
    </row>
    <row r="277" hidden="1">
      <c r="B277" s="68"/>
      <c r="D277" s="69"/>
      <c r="H277" s="70"/>
      <c r="K277" s="70"/>
      <c r="L277" s="71"/>
      <c r="M277" s="72"/>
      <c r="P277" s="72"/>
    </row>
    <row r="278" hidden="1">
      <c r="B278" s="68"/>
      <c r="D278" s="69"/>
      <c r="H278" s="70"/>
      <c r="K278" s="70"/>
      <c r="L278" s="71"/>
      <c r="M278" s="72"/>
      <c r="P278" s="72"/>
    </row>
    <row r="279" hidden="1">
      <c r="B279" s="68"/>
      <c r="D279" s="69"/>
      <c r="H279" s="70"/>
      <c r="K279" s="70"/>
      <c r="L279" s="71"/>
      <c r="M279" s="72"/>
      <c r="P279" s="72"/>
    </row>
    <row r="280" hidden="1">
      <c r="B280" s="68"/>
      <c r="D280" s="69"/>
      <c r="H280" s="70"/>
      <c r="K280" s="70"/>
      <c r="L280" s="71"/>
      <c r="M280" s="72"/>
      <c r="P280" s="72"/>
    </row>
    <row r="281" hidden="1">
      <c r="B281" s="68"/>
      <c r="D281" s="69"/>
      <c r="H281" s="70"/>
      <c r="K281" s="70"/>
      <c r="L281" s="71"/>
      <c r="M281" s="72"/>
      <c r="P281" s="72"/>
    </row>
    <row r="282" hidden="1">
      <c r="B282" s="68"/>
      <c r="D282" s="69"/>
      <c r="H282" s="70"/>
      <c r="K282" s="70"/>
      <c r="L282" s="71"/>
      <c r="M282" s="72"/>
      <c r="P282" s="72"/>
    </row>
    <row r="283" hidden="1">
      <c r="B283" s="68"/>
      <c r="D283" s="69"/>
      <c r="H283" s="70"/>
      <c r="K283" s="70"/>
      <c r="L283" s="71"/>
      <c r="M283" s="72"/>
      <c r="P283" s="72"/>
    </row>
    <row r="284" hidden="1">
      <c r="B284" s="68"/>
      <c r="D284" s="69"/>
      <c r="H284" s="70"/>
      <c r="K284" s="70"/>
      <c r="L284" s="71"/>
      <c r="M284" s="72"/>
      <c r="P284" s="72"/>
    </row>
    <row r="285" hidden="1">
      <c r="B285" s="68"/>
      <c r="D285" s="69"/>
      <c r="H285" s="70"/>
      <c r="K285" s="70"/>
      <c r="L285" s="71"/>
      <c r="M285" s="72"/>
      <c r="P285" s="72"/>
    </row>
    <row r="286" hidden="1">
      <c r="B286" s="68"/>
      <c r="D286" s="69"/>
      <c r="H286" s="70"/>
      <c r="K286" s="70"/>
      <c r="L286" s="71"/>
      <c r="M286" s="72"/>
      <c r="P286" s="72"/>
    </row>
    <row r="287" hidden="1">
      <c r="B287" s="68"/>
      <c r="D287" s="69"/>
      <c r="H287" s="70"/>
      <c r="K287" s="70"/>
      <c r="L287" s="71"/>
      <c r="M287" s="72"/>
      <c r="P287" s="72"/>
    </row>
    <row r="288" hidden="1">
      <c r="B288" s="68"/>
      <c r="D288" s="69"/>
      <c r="H288" s="70"/>
      <c r="K288" s="70"/>
      <c r="L288" s="71"/>
      <c r="M288" s="72"/>
      <c r="P288" s="72"/>
    </row>
    <row r="289" hidden="1">
      <c r="B289" s="68"/>
      <c r="D289" s="69"/>
      <c r="H289" s="70"/>
      <c r="K289" s="70"/>
      <c r="L289" s="71"/>
      <c r="M289" s="72"/>
      <c r="P289" s="72"/>
    </row>
    <row r="290" hidden="1">
      <c r="B290" s="68"/>
      <c r="D290" s="69"/>
      <c r="H290" s="70"/>
      <c r="K290" s="70"/>
      <c r="L290" s="71"/>
      <c r="M290" s="72"/>
      <c r="P290" s="72"/>
    </row>
    <row r="291" hidden="1">
      <c r="B291" s="68"/>
      <c r="D291" s="69"/>
      <c r="H291" s="70"/>
      <c r="K291" s="70"/>
      <c r="L291" s="71"/>
      <c r="M291" s="72"/>
      <c r="P291" s="72"/>
    </row>
    <row r="292" hidden="1">
      <c r="B292" s="68"/>
      <c r="D292" s="69"/>
      <c r="H292" s="70"/>
      <c r="K292" s="70"/>
      <c r="L292" s="71"/>
      <c r="M292" s="72"/>
      <c r="P292" s="72"/>
    </row>
    <row r="293" hidden="1">
      <c r="B293" s="68"/>
      <c r="D293" s="69"/>
      <c r="H293" s="70"/>
      <c r="K293" s="70"/>
      <c r="L293" s="71"/>
      <c r="M293" s="72"/>
      <c r="P293" s="72"/>
    </row>
    <row r="294" hidden="1">
      <c r="B294" s="68"/>
      <c r="D294" s="69"/>
      <c r="H294" s="70"/>
      <c r="K294" s="70"/>
      <c r="L294" s="71"/>
      <c r="M294" s="72"/>
      <c r="P294" s="72"/>
    </row>
    <row r="295" hidden="1">
      <c r="B295" s="68"/>
      <c r="D295" s="69"/>
      <c r="H295" s="70"/>
      <c r="K295" s="70"/>
      <c r="L295" s="71"/>
      <c r="M295" s="72"/>
      <c r="P295" s="72"/>
    </row>
    <row r="296" hidden="1">
      <c r="B296" s="68"/>
      <c r="D296" s="69"/>
      <c r="H296" s="70"/>
      <c r="K296" s="70"/>
      <c r="L296" s="71"/>
      <c r="M296" s="72"/>
      <c r="P296" s="72"/>
    </row>
    <row r="297" hidden="1">
      <c r="B297" s="68"/>
      <c r="D297" s="69"/>
      <c r="H297" s="70"/>
      <c r="K297" s="70"/>
      <c r="L297" s="71"/>
      <c r="M297" s="72"/>
      <c r="P297" s="72"/>
    </row>
    <row r="298" hidden="1">
      <c r="B298" s="68"/>
      <c r="D298" s="69"/>
      <c r="H298" s="70"/>
      <c r="K298" s="70"/>
      <c r="L298" s="71"/>
      <c r="M298" s="72"/>
      <c r="P298" s="72"/>
    </row>
    <row r="299" hidden="1">
      <c r="B299" s="68"/>
      <c r="D299" s="69"/>
      <c r="H299" s="70"/>
      <c r="K299" s="70"/>
      <c r="L299" s="71"/>
      <c r="M299" s="72"/>
      <c r="P299" s="72"/>
    </row>
    <row r="300" hidden="1">
      <c r="B300" s="68"/>
      <c r="D300" s="69"/>
      <c r="H300" s="70"/>
      <c r="K300" s="70"/>
      <c r="L300" s="71"/>
      <c r="M300" s="72"/>
      <c r="P300" s="72"/>
    </row>
    <row r="301" hidden="1">
      <c r="B301" s="68"/>
      <c r="D301" s="69"/>
      <c r="H301" s="70"/>
      <c r="K301" s="70"/>
      <c r="L301" s="71"/>
      <c r="M301" s="72"/>
      <c r="P301" s="72"/>
    </row>
    <row r="302" hidden="1">
      <c r="B302" s="68"/>
      <c r="D302" s="69"/>
      <c r="H302" s="70"/>
      <c r="K302" s="70"/>
      <c r="L302" s="71"/>
      <c r="M302" s="72"/>
      <c r="P302" s="72"/>
    </row>
    <row r="303" hidden="1">
      <c r="B303" s="68"/>
      <c r="D303" s="69"/>
      <c r="H303" s="70"/>
      <c r="K303" s="70"/>
      <c r="L303" s="71"/>
      <c r="M303" s="72"/>
      <c r="P303" s="72"/>
    </row>
    <row r="304" hidden="1">
      <c r="B304" s="68"/>
      <c r="D304" s="69"/>
      <c r="H304" s="70"/>
      <c r="K304" s="70"/>
      <c r="L304" s="71"/>
      <c r="M304" s="72"/>
      <c r="P304" s="72"/>
    </row>
    <row r="305" hidden="1">
      <c r="B305" s="68"/>
      <c r="D305" s="69"/>
      <c r="H305" s="70"/>
      <c r="K305" s="70"/>
      <c r="L305" s="71"/>
      <c r="M305" s="72"/>
      <c r="P305" s="72"/>
    </row>
    <row r="306" hidden="1">
      <c r="B306" s="68"/>
      <c r="D306" s="69"/>
      <c r="H306" s="70"/>
      <c r="K306" s="70"/>
      <c r="L306" s="71"/>
      <c r="M306" s="72"/>
      <c r="P306" s="72"/>
    </row>
    <row r="307" hidden="1">
      <c r="B307" s="68"/>
      <c r="D307" s="69"/>
      <c r="H307" s="70"/>
      <c r="K307" s="70"/>
      <c r="L307" s="71"/>
      <c r="M307" s="72"/>
      <c r="P307" s="72"/>
    </row>
    <row r="308" hidden="1">
      <c r="B308" s="68"/>
      <c r="D308" s="69"/>
      <c r="H308" s="70"/>
      <c r="K308" s="70"/>
      <c r="L308" s="71"/>
      <c r="M308" s="72"/>
      <c r="P308" s="72"/>
    </row>
    <row r="309" hidden="1">
      <c r="B309" s="68"/>
      <c r="D309" s="69"/>
      <c r="H309" s="70"/>
      <c r="K309" s="70"/>
      <c r="L309" s="71"/>
      <c r="M309" s="72"/>
      <c r="P309" s="72"/>
    </row>
    <row r="310" hidden="1">
      <c r="B310" s="68"/>
      <c r="D310" s="69"/>
      <c r="H310" s="70"/>
      <c r="K310" s="70"/>
      <c r="L310" s="71"/>
      <c r="M310" s="72"/>
      <c r="P310" s="72"/>
    </row>
    <row r="311" hidden="1">
      <c r="B311" s="68"/>
      <c r="D311" s="69"/>
      <c r="H311" s="70"/>
      <c r="K311" s="70"/>
      <c r="L311" s="71"/>
      <c r="M311" s="72"/>
      <c r="P311" s="72"/>
    </row>
    <row r="312" hidden="1">
      <c r="B312" s="68"/>
      <c r="D312" s="69"/>
      <c r="H312" s="70"/>
      <c r="K312" s="70"/>
      <c r="L312" s="71"/>
      <c r="M312" s="72"/>
      <c r="P312" s="72"/>
    </row>
    <row r="313" hidden="1">
      <c r="B313" s="68"/>
      <c r="D313" s="69"/>
      <c r="H313" s="70"/>
      <c r="K313" s="70"/>
      <c r="L313" s="71"/>
      <c r="M313" s="72"/>
      <c r="P313" s="72"/>
    </row>
    <row r="314" hidden="1">
      <c r="B314" s="68"/>
      <c r="D314" s="69"/>
      <c r="H314" s="70"/>
      <c r="K314" s="70"/>
      <c r="L314" s="71"/>
      <c r="M314" s="72"/>
      <c r="P314" s="72"/>
    </row>
    <row r="315" hidden="1">
      <c r="B315" s="68"/>
      <c r="D315" s="69"/>
      <c r="H315" s="70"/>
      <c r="K315" s="70"/>
      <c r="L315" s="71"/>
      <c r="M315" s="72"/>
      <c r="P315" s="72"/>
    </row>
    <row r="316" hidden="1">
      <c r="B316" s="68"/>
      <c r="D316" s="69"/>
      <c r="H316" s="70"/>
      <c r="K316" s="70"/>
      <c r="L316" s="71"/>
      <c r="M316" s="72"/>
      <c r="P316" s="72"/>
    </row>
    <row r="317" hidden="1">
      <c r="B317" s="68"/>
      <c r="D317" s="69"/>
      <c r="H317" s="70"/>
      <c r="K317" s="70"/>
      <c r="L317" s="71"/>
      <c r="M317" s="72"/>
      <c r="P317" s="72"/>
    </row>
    <row r="318" hidden="1">
      <c r="B318" s="68"/>
      <c r="D318" s="69"/>
      <c r="H318" s="70"/>
      <c r="K318" s="70"/>
      <c r="L318" s="71"/>
      <c r="M318" s="72"/>
      <c r="P318" s="72"/>
    </row>
    <row r="319" hidden="1">
      <c r="B319" s="68"/>
      <c r="D319" s="69"/>
      <c r="H319" s="70"/>
      <c r="K319" s="70"/>
      <c r="L319" s="71"/>
      <c r="M319" s="72"/>
      <c r="P319" s="72"/>
    </row>
    <row r="320" hidden="1">
      <c r="B320" s="68"/>
      <c r="D320" s="69"/>
      <c r="H320" s="70"/>
      <c r="K320" s="70"/>
      <c r="L320" s="71"/>
      <c r="M320" s="72"/>
      <c r="P320" s="72"/>
    </row>
    <row r="321" hidden="1">
      <c r="B321" s="68"/>
      <c r="D321" s="69"/>
      <c r="H321" s="70"/>
      <c r="K321" s="70"/>
      <c r="L321" s="71"/>
      <c r="M321" s="72"/>
      <c r="P321" s="72"/>
    </row>
    <row r="322" hidden="1">
      <c r="B322" s="68"/>
      <c r="D322" s="69"/>
      <c r="H322" s="70"/>
      <c r="K322" s="70"/>
      <c r="L322" s="71"/>
      <c r="M322" s="72"/>
      <c r="P322" s="72"/>
    </row>
    <row r="323" hidden="1">
      <c r="B323" s="68"/>
      <c r="D323" s="69"/>
      <c r="H323" s="70"/>
      <c r="K323" s="70"/>
      <c r="L323" s="71"/>
      <c r="M323" s="72"/>
      <c r="P323" s="72"/>
    </row>
    <row r="324" hidden="1">
      <c r="B324" s="68"/>
      <c r="D324" s="69"/>
      <c r="H324" s="70"/>
      <c r="K324" s="70"/>
      <c r="L324" s="71"/>
      <c r="M324" s="72"/>
      <c r="P324" s="72"/>
    </row>
    <row r="325" hidden="1">
      <c r="B325" s="68"/>
      <c r="D325" s="69"/>
      <c r="H325" s="70"/>
      <c r="K325" s="70"/>
      <c r="L325" s="71"/>
      <c r="M325" s="72"/>
      <c r="P325" s="72"/>
    </row>
    <row r="326" hidden="1">
      <c r="B326" s="68"/>
      <c r="D326" s="69"/>
      <c r="H326" s="70"/>
      <c r="K326" s="70"/>
      <c r="L326" s="71"/>
      <c r="M326" s="72"/>
      <c r="P326" s="72"/>
    </row>
    <row r="327" hidden="1">
      <c r="B327" s="68"/>
      <c r="D327" s="69"/>
      <c r="H327" s="70"/>
      <c r="K327" s="70"/>
      <c r="L327" s="71"/>
      <c r="M327" s="72"/>
      <c r="P327" s="72"/>
    </row>
    <row r="328" hidden="1">
      <c r="B328" s="68"/>
      <c r="D328" s="69"/>
      <c r="H328" s="70"/>
      <c r="K328" s="70"/>
      <c r="L328" s="71"/>
      <c r="M328" s="72"/>
      <c r="P328" s="72"/>
    </row>
    <row r="329" hidden="1">
      <c r="B329" s="68"/>
      <c r="D329" s="69"/>
      <c r="H329" s="70"/>
      <c r="K329" s="70"/>
      <c r="L329" s="71"/>
      <c r="M329" s="72"/>
      <c r="P329" s="72"/>
    </row>
    <row r="330" hidden="1">
      <c r="B330" s="68"/>
      <c r="D330" s="69"/>
      <c r="H330" s="70"/>
      <c r="K330" s="70"/>
      <c r="L330" s="71"/>
      <c r="M330" s="72"/>
      <c r="P330" s="72"/>
    </row>
    <row r="331" hidden="1">
      <c r="B331" s="68"/>
      <c r="D331" s="69"/>
      <c r="H331" s="70"/>
      <c r="K331" s="70"/>
      <c r="L331" s="71"/>
      <c r="M331" s="72"/>
      <c r="P331" s="72"/>
    </row>
    <row r="332" hidden="1">
      <c r="B332" s="68"/>
      <c r="D332" s="69"/>
      <c r="H332" s="70"/>
      <c r="K332" s="70"/>
      <c r="L332" s="71"/>
      <c r="M332" s="72"/>
      <c r="P332" s="72"/>
    </row>
    <row r="333" hidden="1">
      <c r="B333" s="68"/>
      <c r="D333" s="69"/>
      <c r="H333" s="70"/>
      <c r="K333" s="70"/>
      <c r="L333" s="71"/>
      <c r="M333" s="72"/>
      <c r="P333" s="72"/>
    </row>
    <row r="334" hidden="1">
      <c r="B334" s="68"/>
      <c r="D334" s="69"/>
      <c r="H334" s="70"/>
      <c r="K334" s="70"/>
      <c r="L334" s="71"/>
      <c r="M334" s="72"/>
      <c r="P334" s="72"/>
    </row>
    <row r="335" hidden="1">
      <c r="B335" s="68"/>
      <c r="D335" s="69"/>
      <c r="H335" s="70"/>
      <c r="K335" s="70"/>
      <c r="L335" s="71"/>
      <c r="M335" s="72"/>
      <c r="P335" s="72"/>
    </row>
    <row r="336" hidden="1">
      <c r="B336" s="68"/>
      <c r="D336" s="69"/>
      <c r="H336" s="70"/>
      <c r="K336" s="70"/>
      <c r="L336" s="71"/>
      <c r="M336" s="72"/>
      <c r="P336" s="72"/>
    </row>
    <row r="337" hidden="1">
      <c r="B337" s="68"/>
      <c r="D337" s="69"/>
      <c r="H337" s="70"/>
      <c r="K337" s="70"/>
      <c r="L337" s="71"/>
      <c r="M337" s="72"/>
      <c r="P337" s="72"/>
    </row>
    <row r="338" hidden="1">
      <c r="B338" s="68"/>
      <c r="D338" s="69"/>
      <c r="H338" s="70"/>
      <c r="K338" s="70"/>
      <c r="L338" s="71"/>
      <c r="M338" s="72"/>
      <c r="P338" s="72"/>
    </row>
    <row r="339" hidden="1">
      <c r="B339" s="68"/>
      <c r="D339" s="69"/>
      <c r="H339" s="70"/>
      <c r="K339" s="70"/>
      <c r="L339" s="71"/>
      <c r="M339" s="72"/>
      <c r="P339" s="72"/>
    </row>
    <row r="340" hidden="1">
      <c r="B340" s="68"/>
      <c r="D340" s="69"/>
      <c r="H340" s="70"/>
      <c r="K340" s="70"/>
      <c r="L340" s="71"/>
      <c r="M340" s="72"/>
      <c r="P340" s="72"/>
    </row>
    <row r="341" hidden="1">
      <c r="B341" s="68"/>
      <c r="D341" s="69"/>
      <c r="H341" s="70"/>
      <c r="K341" s="70"/>
      <c r="L341" s="71"/>
      <c r="M341" s="72"/>
      <c r="P341" s="72"/>
    </row>
    <row r="342" hidden="1">
      <c r="B342" s="68"/>
      <c r="D342" s="69"/>
      <c r="H342" s="70"/>
      <c r="K342" s="70"/>
      <c r="L342" s="71"/>
      <c r="M342" s="72"/>
      <c r="P342" s="72"/>
    </row>
    <row r="343" hidden="1">
      <c r="B343" s="68"/>
      <c r="D343" s="69"/>
      <c r="H343" s="70"/>
      <c r="K343" s="70"/>
      <c r="L343" s="71"/>
      <c r="M343" s="72"/>
      <c r="P343" s="72"/>
    </row>
    <row r="344" hidden="1">
      <c r="B344" s="68"/>
      <c r="D344" s="69"/>
      <c r="H344" s="70"/>
      <c r="K344" s="70"/>
      <c r="L344" s="71"/>
      <c r="M344" s="72"/>
      <c r="P344" s="72"/>
    </row>
    <row r="345" hidden="1">
      <c r="B345" s="68"/>
      <c r="D345" s="69"/>
      <c r="H345" s="70"/>
      <c r="K345" s="70"/>
      <c r="L345" s="71"/>
      <c r="M345" s="72"/>
      <c r="P345" s="72"/>
    </row>
    <row r="346" hidden="1">
      <c r="B346" s="68"/>
      <c r="D346" s="69"/>
      <c r="H346" s="70"/>
      <c r="K346" s="70"/>
      <c r="L346" s="71"/>
      <c r="M346" s="72"/>
      <c r="P346" s="72"/>
    </row>
    <row r="347" hidden="1">
      <c r="B347" s="68"/>
      <c r="D347" s="69"/>
      <c r="H347" s="70"/>
      <c r="K347" s="70"/>
      <c r="L347" s="71"/>
      <c r="M347" s="72"/>
      <c r="P347" s="72"/>
    </row>
    <row r="348" hidden="1">
      <c r="B348" s="68"/>
      <c r="D348" s="69"/>
      <c r="H348" s="70"/>
      <c r="K348" s="70"/>
      <c r="L348" s="71"/>
      <c r="M348" s="72"/>
      <c r="P348" s="72"/>
    </row>
    <row r="349" hidden="1">
      <c r="B349" s="68"/>
      <c r="D349" s="69"/>
      <c r="H349" s="70"/>
      <c r="K349" s="70"/>
      <c r="L349" s="71"/>
      <c r="M349" s="72"/>
      <c r="P349" s="72"/>
    </row>
    <row r="350" hidden="1">
      <c r="B350" s="68"/>
      <c r="D350" s="69"/>
      <c r="H350" s="70"/>
      <c r="K350" s="70"/>
      <c r="L350" s="71"/>
      <c r="M350" s="72"/>
      <c r="P350" s="72"/>
    </row>
    <row r="351" hidden="1">
      <c r="B351" s="68"/>
      <c r="D351" s="69"/>
      <c r="H351" s="70"/>
      <c r="K351" s="70"/>
      <c r="L351" s="71"/>
      <c r="M351" s="72"/>
      <c r="P351" s="72"/>
    </row>
    <row r="352" hidden="1">
      <c r="B352" s="68"/>
      <c r="D352" s="69"/>
      <c r="H352" s="70"/>
      <c r="K352" s="70"/>
      <c r="L352" s="71"/>
      <c r="M352" s="72"/>
      <c r="P352" s="72"/>
    </row>
    <row r="353" hidden="1">
      <c r="B353" s="68"/>
      <c r="D353" s="69"/>
      <c r="H353" s="70"/>
      <c r="K353" s="70"/>
      <c r="L353" s="71"/>
      <c r="M353" s="72"/>
      <c r="P353" s="72"/>
    </row>
    <row r="354" hidden="1">
      <c r="B354" s="68"/>
      <c r="D354" s="69"/>
      <c r="H354" s="70"/>
      <c r="K354" s="70"/>
      <c r="L354" s="71"/>
      <c r="M354" s="72"/>
      <c r="P354" s="72"/>
    </row>
    <row r="355" hidden="1">
      <c r="B355" s="68"/>
      <c r="D355" s="69"/>
      <c r="H355" s="70"/>
      <c r="K355" s="70"/>
      <c r="L355" s="71"/>
      <c r="M355" s="72"/>
      <c r="P355" s="72"/>
    </row>
    <row r="356" hidden="1">
      <c r="B356" s="68"/>
      <c r="D356" s="69"/>
      <c r="H356" s="70"/>
      <c r="K356" s="70"/>
      <c r="L356" s="71"/>
      <c r="M356" s="72"/>
      <c r="P356" s="72"/>
    </row>
    <row r="357" hidden="1">
      <c r="B357" s="68"/>
      <c r="D357" s="69"/>
      <c r="H357" s="70"/>
      <c r="K357" s="70"/>
      <c r="L357" s="71"/>
      <c r="M357" s="72"/>
      <c r="P357" s="72"/>
    </row>
    <row r="358" hidden="1">
      <c r="B358" s="68"/>
      <c r="D358" s="69"/>
      <c r="H358" s="70"/>
      <c r="K358" s="70"/>
      <c r="L358" s="71"/>
      <c r="M358" s="72"/>
      <c r="P358" s="72"/>
    </row>
    <row r="359" hidden="1">
      <c r="B359" s="68"/>
      <c r="D359" s="69"/>
      <c r="H359" s="70"/>
      <c r="K359" s="70"/>
      <c r="L359" s="71"/>
      <c r="M359" s="72"/>
      <c r="P359" s="72"/>
    </row>
    <row r="360" hidden="1">
      <c r="B360" s="68"/>
      <c r="D360" s="69"/>
      <c r="H360" s="70"/>
      <c r="K360" s="70"/>
      <c r="L360" s="71"/>
      <c r="M360" s="72"/>
      <c r="P360" s="72"/>
    </row>
    <row r="361" hidden="1">
      <c r="B361" s="68"/>
      <c r="D361" s="69"/>
      <c r="H361" s="70"/>
      <c r="K361" s="70"/>
      <c r="L361" s="71"/>
      <c r="M361" s="72"/>
      <c r="P361" s="72"/>
    </row>
    <row r="362" hidden="1">
      <c r="B362" s="68"/>
      <c r="D362" s="69"/>
      <c r="H362" s="70"/>
      <c r="K362" s="70"/>
      <c r="L362" s="71"/>
      <c r="M362" s="72"/>
      <c r="P362" s="72"/>
    </row>
    <row r="363" hidden="1">
      <c r="B363" s="68"/>
      <c r="D363" s="69"/>
      <c r="H363" s="70"/>
      <c r="K363" s="70"/>
      <c r="L363" s="71"/>
      <c r="M363" s="72"/>
      <c r="P363" s="72"/>
    </row>
    <row r="364" hidden="1">
      <c r="B364" s="68"/>
      <c r="D364" s="69"/>
      <c r="H364" s="70"/>
      <c r="K364" s="70"/>
      <c r="L364" s="71"/>
      <c r="M364" s="72"/>
      <c r="P364" s="72"/>
    </row>
    <row r="365" hidden="1">
      <c r="B365" s="68"/>
      <c r="D365" s="69"/>
      <c r="H365" s="70"/>
      <c r="K365" s="70"/>
      <c r="L365" s="71"/>
      <c r="M365" s="72"/>
      <c r="P365" s="72"/>
    </row>
    <row r="366" hidden="1">
      <c r="B366" s="68"/>
      <c r="D366" s="69"/>
      <c r="H366" s="70"/>
      <c r="K366" s="70"/>
      <c r="L366" s="71"/>
      <c r="M366" s="72"/>
      <c r="P366" s="72"/>
    </row>
    <row r="367" hidden="1">
      <c r="B367" s="68"/>
      <c r="D367" s="69"/>
      <c r="H367" s="70"/>
      <c r="K367" s="70"/>
      <c r="L367" s="71"/>
      <c r="M367" s="72"/>
      <c r="P367" s="72"/>
    </row>
    <row r="368" hidden="1">
      <c r="B368" s="68"/>
      <c r="D368" s="69"/>
      <c r="H368" s="70"/>
      <c r="K368" s="70"/>
      <c r="L368" s="71"/>
      <c r="M368" s="72"/>
      <c r="P368" s="72"/>
    </row>
    <row r="369" hidden="1">
      <c r="B369" s="68"/>
      <c r="D369" s="69"/>
      <c r="H369" s="70"/>
      <c r="K369" s="70"/>
      <c r="L369" s="71"/>
      <c r="M369" s="72"/>
      <c r="P369" s="72"/>
    </row>
    <row r="370" hidden="1">
      <c r="B370" s="68"/>
      <c r="D370" s="69"/>
      <c r="H370" s="70"/>
      <c r="K370" s="70"/>
      <c r="L370" s="71"/>
      <c r="M370" s="72"/>
      <c r="P370" s="72"/>
    </row>
    <row r="371" hidden="1">
      <c r="B371" s="68"/>
      <c r="D371" s="69"/>
      <c r="H371" s="70"/>
      <c r="K371" s="70"/>
      <c r="L371" s="71"/>
      <c r="M371" s="72"/>
      <c r="P371" s="72"/>
    </row>
    <row r="372" hidden="1">
      <c r="B372" s="68"/>
      <c r="D372" s="69"/>
      <c r="H372" s="70"/>
      <c r="K372" s="70"/>
      <c r="L372" s="71"/>
      <c r="M372" s="72"/>
      <c r="P372" s="72"/>
    </row>
    <row r="373" hidden="1">
      <c r="B373" s="68"/>
      <c r="D373" s="69"/>
      <c r="H373" s="70"/>
      <c r="K373" s="70"/>
      <c r="L373" s="71"/>
      <c r="M373" s="72"/>
      <c r="P373" s="72"/>
    </row>
    <row r="374" hidden="1">
      <c r="B374" s="68"/>
      <c r="D374" s="69"/>
      <c r="H374" s="70"/>
      <c r="K374" s="70"/>
      <c r="L374" s="71"/>
      <c r="M374" s="72"/>
      <c r="P374" s="72"/>
    </row>
    <row r="375" hidden="1">
      <c r="B375" s="68"/>
      <c r="D375" s="69"/>
      <c r="H375" s="70"/>
      <c r="K375" s="70"/>
      <c r="L375" s="71"/>
      <c r="M375" s="72"/>
      <c r="P375" s="72"/>
    </row>
    <row r="376" hidden="1">
      <c r="B376" s="68"/>
      <c r="D376" s="69"/>
      <c r="H376" s="70"/>
      <c r="K376" s="70"/>
      <c r="L376" s="71"/>
      <c r="M376" s="72"/>
      <c r="P376" s="72"/>
    </row>
    <row r="377" hidden="1">
      <c r="B377" s="68"/>
      <c r="D377" s="69"/>
      <c r="H377" s="70"/>
      <c r="K377" s="70"/>
      <c r="L377" s="71"/>
      <c r="M377" s="72"/>
      <c r="P377" s="72"/>
    </row>
    <row r="378" hidden="1">
      <c r="B378" s="68"/>
      <c r="D378" s="69"/>
      <c r="H378" s="70"/>
      <c r="K378" s="70"/>
      <c r="L378" s="71"/>
      <c r="M378" s="72"/>
      <c r="P378" s="72"/>
    </row>
    <row r="379" hidden="1">
      <c r="B379" s="68"/>
      <c r="D379" s="69"/>
      <c r="H379" s="70"/>
      <c r="K379" s="70"/>
      <c r="L379" s="71"/>
      <c r="M379" s="72"/>
      <c r="P379" s="72"/>
    </row>
    <row r="380" hidden="1">
      <c r="B380" s="68"/>
      <c r="D380" s="69"/>
      <c r="H380" s="70"/>
      <c r="K380" s="70"/>
      <c r="L380" s="71"/>
      <c r="M380" s="72"/>
      <c r="P380" s="72"/>
    </row>
    <row r="381" hidden="1">
      <c r="B381" s="68"/>
      <c r="D381" s="69"/>
      <c r="H381" s="70"/>
      <c r="K381" s="70"/>
      <c r="L381" s="71"/>
      <c r="M381" s="72"/>
      <c r="P381" s="72"/>
    </row>
    <row r="382" hidden="1">
      <c r="B382" s="68"/>
      <c r="D382" s="69"/>
      <c r="H382" s="70"/>
      <c r="K382" s="70"/>
      <c r="L382" s="71"/>
      <c r="M382" s="72"/>
      <c r="P382" s="72"/>
    </row>
    <row r="383" hidden="1">
      <c r="B383" s="68"/>
      <c r="D383" s="69"/>
      <c r="H383" s="70"/>
      <c r="K383" s="70"/>
      <c r="L383" s="71"/>
      <c r="M383" s="72"/>
      <c r="P383" s="72"/>
    </row>
    <row r="384" hidden="1">
      <c r="B384" s="68"/>
      <c r="D384" s="69"/>
      <c r="H384" s="70"/>
      <c r="K384" s="70"/>
      <c r="L384" s="71"/>
      <c r="M384" s="72"/>
      <c r="P384" s="72"/>
    </row>
    <row r="385" hidden="1">
      <c r="B385" s="68"/>
      <c r="D385" s="69"/>
      <c r="H385" s="70"/>
      <c r="K385" s="70"/>
      <c r="L385" s="71"/>
      <c r="M385" s="72"/>
      <c r="P385" s="72"/>
    </row>
    <row r="386" hidden="1">
      <c r="B386" s="68"/>
      <c r="D386" s="69"/>
      <c r="H386" s="70"/>
      <c r="K386" s="70"/>
      <c r="L386" s="71"/>
      <c r="M386" s="72"/>
      <c r="P386" s="72"/>
    </row>
    <row r="387" hidden="1">
      <c r="B387" s="68"/>
      <c r="D387" s="69"/>
      <c r="H387" s="70"/>
      <c r="K387" s="70"/>
      <c r="L387" s="71"/>
      <c r="M387" s="72"/>
      <c r="P387" s="72"/>
    </row>
    <row r="388" hidden="1">
      <c r="B388" s="68"/>
      <c r="D388" s="69"/>
      <c r="H388" s="70"/>
      <c r="K388" s="70"/>
      <c r="L388" s="71"/>
      <c r="M388" s="72"/>
      <c r="P388" s="72"/>
    </row>
    <row r="389" hidden="1">
      <c r="B389" s="68"/>
      <c r="D389" s="69"/>
      <c r="H389" s="70"/>
      <c r="K389" s="70"/>
      <c r="L389" s="71"/>
      <c r="M389" s="72"/>
      <c r="P389" s="72"/>
    </row>
    <row r="390" hidden="1">
      <c r="B390" s="68"/>
      <c r="D390" s="69"/>
      <c r="H390" s="70"/>
      <c r="K390" s="70"/>
      <c r="L390" s="71"/>
      <c r="M390" s="72"/>
      <c r="P390" s="72"/>
    </row>
    <row r="391" hidden="1">
      <c r="B391" s="68"/>
      <c r="D391" s="69"/>
      <c r="H391" s="70"/>
      <c r="K391" s="70"/>
      <c r="L391" s="71"/>
      <c r="M391" s="72"/>
      <c r="P391" s="72"/>
    </row>
    <row r="392" hidden="1">
      <c r="B392" s="68"/>
      <c r="D392" s="69"/>
      <c r="H392" s="70"/>
      <c r="K392" s="70"/>
      <c r="L392" s="71"/>
      <c r="M392" s="72"/>
      <c r="P392" s="72"/>
    </row>
    <row r="393" hidden="1">
      <c r="B393" s="68"/>
      <c r="D393" s="69"/>
      <c r="H393" s="70"/>
      <c r="K393" s="70"/>
      <c r="L393" s="71"/>
      <c r="M393" s="72"/>
      <c r="P393" s="72"/>
    </row>
    <row r="394" hidden="1">
      <c r="B394" s="68"/>
      <c r="D394" s="69"/>
      <c r="H394" s="70"/>
      <c r="K394" s="70"/>
      <c r="L394" s="71"/>
      <c r="M394" s="72"/>
      <c r="P394" s="72"/>
    </row>
    <row r="395" hidden="1">
      <c r="B395" s="68"/>
      <c r="D395" s="69"/>
      <c r="H395" s="70"/>
      <c r="K395" s="70"/>
      <c r="L395" s="71"/>
      <c r="M395" s="72"/>
      <c r="P395" s="72"/>
    </row>
    <row r="396" hidden="1">
      <c r="B396" s="68"/>
      <c r="D396" s="69"/>
      <c r="H396" s="70"/>
      <c r="K396" s="70"/>
      <c r="L396" s="71"/>
      <c r="M396" s="72"/>
      <c r="P396" s="72"/>
    </row>
    <row r="397" hidden="1">
      <c r="B397" s="68"/>
      <c r="D397" s="69"/>
      <c r="H397" s="70"/>
      <c r="K397" s="70"/>
      <c r="L397" s="71"/>
      <c r="M397" s="72"/>
      <c r="P397" s="72"/>
    </row>
    <row r="398" hidden="1">
      <c r="B398" s="68"/>
      <c r="D398" s="69"/>
      <c r="H398" s="70"/>
      <c r="K398" s="70"/>
      <c r="L398" s="71"/>
      <c r="M398" s="72"/>
      <c r="P398" s="72"/>
    </row>
    <row r="399" hidden="1">
      <c r="B399" s="68"/>
      <c r="D399" s="69"/>
      <c r="H399" s="70"/>
      <c r="K399" s="70"/>
      <c r="L399" s="71"/>
      <c r="M399" s="72"/>
      <c r="P399" s="72"/>
    </row>
    <row r="400" hidden="1">
      <c r="B400" s="68"/>
      <c r="D400" s="69"/>
      <c r="H400" s="70"/>
      <c r="K400" s="70"/>
      <c r="L400" s="71"/>
      <c r="M400" s="72"/>
      <c r="P400" s="72"/>
    </row>
    <row r="401" hidden="1">
      <c r="B401" s="68"/>
      <c r="D401" s="69"/>
      <c r="H401" s="70"/>
      <c r="K401" s="70"/>
      <c r="L401" s="71"/>
      <c r="M401" s="72"/>
      <c r="P401" s="72"/>
    </row>
    <row r="402" hidden="1">
      <c r="B402" s="68"/>
      <c r="D402" s="69"/>
      <c r="H402" s="70"/>
      <c r="K402" s="70"/>
      <c r="L402" s="71"/>
      <c r="M402" s="72"/>
      <c r="P402" s="72"/>
    </row>
    <row r="403" hidden="1">
      <c r="B403" s="68"/>
      <c r="D403" s="69"/>
      <c r="H403" s="70"/>
      <c r="K403" s="70"/>
      <c r="L403" s="71"/>
      <c r="M403" s="72"/>
      <c r="P403" s="72"/>
    </row>
    <row r="404" hidden="1">
      <c r="B404" s="68"/>
      <c r="D404" s="69"/>
      <c r="H404" s="70"/>
      <c r="K404" s="70"/>
      <c r="L404" s="71"/>
      <c r="M404" s="72"/>
      <c r="P404" s="72"/>
    </row>
    <row r="405" hidden="1">
      <c r="B405" s="68"/>
      <c r="D405" s="69"/>
      <c r="H405" s="70"/>
      <c r="K405" s="70"/>
      <c r="L405" s="71"/>
      <c r="M405" s="72"/>
      <c r="P405" s="72"/>
    </row>
    <row r="406" hidden="1">
      <c r="B406" s="68"/>
      <c r="D406" s="69"/>
      <c r="H406" s="70"/>
      <c r="K406" s="70"/>
      <c r="L406" s="71"/>
      <c r="M406" s="72"/>
      <c r="P406" s="72"/>
    </row>
    <row r="407" hidden="1">
      <c r="B407" s="68"/>
      <c r="D407" s="69"/>
      <c r="H407" s="70"/>
      <c r="K407" s="70"/>
      <c r="L407" s="71"/>
      <c r="M407" s="72"/>
      <c r="P407" s="72"/>
    </row>
    <row r="408" hidden="1">
      <c r="B408" s="68"/>
      <c r="D408" s="69"/>
      <c r="H408" s="70"/>
      <c r="K408" s="70"/>
      <c r="L408" s="71"/>
      <c r="M408" s="72"/>
      <c r="P408" s="72"/>
    </row>
    <row r="409" hidden="1">
      <c r="B409" s="68"/>
      <c r="D409" s="69"/>
      <c r="H409" s="70"/>
      <c r="K409" s="70"/>
      <c r="L409" s="71"/>
      <c r="M409" s="72"/>
      <c r="P409" s="72"/>
    </row>
    <row r="410" hidden="1">
      <c r="B410" s="68"/>
      <c r="D410" s="69"/>
      <c r="H410" s="70"/>
      <c r="K410" s="70"/>
      <c r="L410" s="71"/>
      <c r="M410" s="72"/>
      <c r="P410" s="72"/>
    </row>
    <row r="411" hidden="1">
      <c r="B411" s="68"/>
      <c r="D411" s="69"/>
      <c r="H411" s="70"/>
      <c r="K411" s="70"/>
      <c r="L411" s="71"/>
      <c r="M411" s="72"/>
      <c r="P411" s="72"/>
    </row>
    <row r="412" hidden="1">
      <c r="B412" s="68"/>
      <c r="D412" s="69"/>
      <c r="H412" s="70"/>
      <c r="K412" s="70"/>
      <c r="L412" s="71"/>
      <c r="M412" s="72"/>
      <c r="P412" s="72"/>
    </row>
    <row r="413" hidden="1">
      <c r="B413" s="68"/>
      <c r="D413" s="69"/>
      <c r="H413" s="70"/>
      <c r="K413" s="70"/>
      <c r="L413" s="71"/>
      <c r="M413" s="72"/>
      <c r="P413" s="72"/>
    </row>
    <row r="414" hidden="1">
      <c r="B414" s="68"/>
      <c r="D414" s="69"/>
      <c r="H414" s="70"/>
      <c r="K414" s="70"/>
      <c r="L414" s="71"/>
      <c r="M414" s="72"/>
      <c r="P414" s="72"/>
    </row>
    <row r="415" hidden="1">
      <c r="B415" s="68"/>
      <c r="D415" s="69"/>
      <c r="H415" s="70"/>
      <c r="K415" s="70"/>
      <c r="L415" s="71"/>
      <c r="M415" s="72"/>
      <c r="P415" s="72"/>
    </row>
    <row r="416" hidden="1">
      <c r="B416" s="68"/>
      <c r="D416" s="69"/>
      <c r="H416" s="70"/>
      <c r="K416" s="70"/>
      <c r="L416" s="71"/>
      <c r="M416" s="72"/>
      <c r="P416" s="72"/>
    </row>
    <row r="417" hidden="1">
      <c r="B417" s="68"/>
      <c r="D417" s="69"/>
      <c r="H417" s="70"/>
      <c r="K417" s="70"/>
      <c r="L417" s="71"/>
      <c r="M417" s="72"/>
      <c r="P417" s="72"/>
    </row>
    <row r="418" hidden="1">
      <c r="B418" s="68"/>
      <c r="D418" s="69"/>
      <c r="H418" s="70"/>
      <c r="K418" s="70"/>
      <c r="L418" s="71"/>
      <c r="M418" s="72"/>
      <c r="P418" s="72"/>
    </row>
    <row r="419" hidden="1">
      <c r="B419" s="68"/>
      <c r="D419" s="69"/>
      <c r="H419" s="70"/>
      <c r="K419" s="70"/>
      <c r="L419" s="71"/>
      <c r="M419" s="72"/>
      <c r="P419" s="72"/>
    </row>
    <row r="420" hidden="1">
      <c r="B420" s="68"/>
      <c r="D420" s="69"/>
      <c r="H420" s="70"/>
      <c r="K420" s="70"/>
      <c r="L420" s="71"/>
      <c r="M420" s="72"/>
      <c r="P420" s="72"/>
    </row>
    <row r="421" hidden="1">
      <c r="B421" s="68"/>
      <c r="D421" s="69"/>
      <c r="H421" s="70"/>
      <c r="K421" s="70"/>
      <c r="L421" s="71"/>
      <c r="M421" s="72"/>
      <c r="P421" s="72"/>
    </row>
    <row r="422" hidden="1">
      <c r="B422" s="68"/>
      <c r="D422" s="69"/>
      <c r="H422" s="70"/>
      <c r="K422" s="70"/>
      <c r="L422" s="71"/>
      <c r="M422" s="72"/>
      <c r="P422" s="72"/>
    </row>
    <row r="423" hidden="1">
      <c r="B423" s="68"/>
      <c r="D423" s="69"/>
      <c r="H423" s="70"/>
      <c r="K423" s="70"/>
      <c r="L423" s="71"/>
      <c r="M423" s="72"/>
      <c r="P423" s="72"/>
    </row>
    <row r="424" hidden="1">
      <c r="B424" s="68"/>
      <c r="D424" s="69"/>
      <c r="H424" s="70"/>
      <c r="K424" s="70"/>
      <c r="L424" s="71"/>
      <c r="M424" s="72"/>
      <c r="P424" s="72"/>
    </row>
    <row r="425" hidden="1">
      <c r="B425" s="68"/>
      <c r="D425" s="69"/>
      <c r="H425" s="70"/>
      <c r="K425" s="70"/>
      <c r="L425" s="71"/>
      <c r="M425" s="72"/>
      <c r="P425" s="72"/>
    </row>
    <row r="426" hidden="1">
      <c r="B426" s="68"/>
      <c r="D426" s="69"/>
      <c r="H426" s="70"/>
      <c r="K426" s="70"/>
      <c r="L426" s="71"/>
      <c r="M426" s="72"/>
      <c r="P426" s="72"/>
    </row>
    <row r="427" hidden="1">
      <c r="B427" s="68"/>
      <c r="D427" s="69"/>
      <c r="H427" s="70"/>
      <c r="K427" s="70"/>
      <c r="L427" s="71"/>
      <c r="M427" s="72"/>
      <c r="P427" s="72"/>
    </row>
    <row r="428" hidden="1">
      <c r="B428" s="68"/>
      <c r="D428" s="69"/>
      <c r="H428" s="70"/>
      <c r="K428" s="70"/>
      <c r="L428" s="71"/>
      <c r="M428" s="72"/>
      <c r="P428" s="72"/>
    </row>
    <row r="429" hidden="1">
      <c r="B429" s="68"/>
      <c r="D429" s="69"/>
      <c r="H429" s="70"/>
      <c r="K429" s="70"/>
      <c r="L429" s="71"/>
      <c r="M429" s="72"/>
      <c r="P429" s="72"/>
    </row>
    <row r="430" hidden="1">
      <c r="B430" s="68"/>
      <c r="D430" s="69"/>
      <c r="H430" s="70"/>
      <c r="K430" s="70"/>
      <c r="L430" s="71"/>
      <c r="M430" s="72"/>
      <c r="P430" s="72"/>
    </row>
    <row r="431" hidden="1">
      <c r="B431" s="68"/>
      <c r="D431" s="69"/>
      <c r="H431" s="70"/>
      <c r="K431" s="70"/>
      <c r="L431" s="71"/>
      <c r="M431" s="72"/>
      <c r="P431" s="72"/>
    </row>
    <row r="432" hidden="1">
      <c r="B432" s="68"/>
      <c r="D432" s="69"/>
      <c r="H432" s="70"/>
      <c r="K432" s="70"/>
      <c r="L432" s="71"/>
      <c r="M432" s="72"/>
      <c r="P432" s="72"/>
    </row>
    <row r="433" hidden="1">
      <c r="B433" s="68"/>
      <c r="D433" s="69"/>
      <c r="H433" s="70"/>
      <c r="K433" s="70"/>
      <c r="L433" s="71"/>
      <c r="M433" s="72"/>
      <c r="P433" s="72"/>
    </row>
    <row r="434" hidden="1">
      <c r="B434" s="68"/>
      <c r="D434" s="69"/>
      <c r="H434" s="70"/>
      <c r="K434" s="70"/>
      <c r="L434" s="71"/>
      <c r="M434" s="72"/>
      <c r="P434" s="72"/>
    </row>
    <row r="435" hidden="1">
      <c r="B435" s="68"/>
      <c r="D435" s="69"/>
      <c r="H435" s="70"/>
      <c r="K435" s="70"/>
      <c r="L435" s="71"/>
      <c r="M435" s="72"/>
      <c r="P435" s="72"/>
    </row>
    <row r="436" hidden="1">
      <c r="B436" s="68"/>
      <c r="D436" s="69"/>
      <c r="H436" s="70"/>
      <c r="K436" s="70"/>
      <c r="L436" s="71"/>
      <c r="M436" s="72"/>
      <c r="P436" s="72"/>
    </row>
    <row r="437" hidden="1">
      <c r="B437" s="68"/>
      <c r="D437" s="69"/>
      <c r="H437" s="70"/>
      <c r="K437" s="70"/>
      <c r="L437" s="71"/>
      <c r="M437" s="72"/>
      <c r="P437" s="72"/>
    </row>
    <row r="438" hidden="1">
      <c r="B438" s="68"/>
      <c r="D438" s="69"/>
      <c r="H438" s="70"/>
      <c r="K438" s="70"/>
      <c r="L438" s="71"/>
      <c r="M438" s="72"/>
      <c r="P438" s="72"/>
    </row>
    <row r="439" hidden="1">
      <c r="B439" s="68"/>
      <c r="D439" s="69"/>
      <c r="H439" s="70"/>
      <c r="K439" s="70"/>
      <c r="L439" s="71"/>
      <c r="M439" s="72"/>
      <c r="P439" s="72"/>
    </row>
    <row r="440" hidden="1">
      <c r="B440" s="68"/>
      <c r="D440" s="69"/>
      <c r="H440" s="70"/>
      <c r="K440" s="70"/>
      <c r="L440" s="71"/>
      <c r="M440" s="72"/>
      <c r="P440" s="72"/>
    </row>
    <row r="441" hidden="1">
      <c r="B441" s="68"/>
      <c r="D441" s="69"/>
      <c r="H441" s="70"/>
      <c r="K441" s="70"/>
      <c r="L441" s="71"/>
      <c r="M441" s="72"/>
      <c r="P441" s="72"/>
    </row>
    <row r="442" hidden="1">
      <c r="B442" s="68"/>
      <c r="D442" s="69"/>
      <c r="H442" s="70"/>
      <c r="K442" s="70"/>
      <c r="L442" s="71"/>
      <c r="M442" s="72"/>
      <c r="P442" s="72"/>
    </row>
    <row r="443" hidden="1">
      <c r="B443" s="68"/>
      <c r="D443" s="69"/>
      <c r="H443" s="70"/>
      <c r="K443" s="70"/>
      <c r="L443" s="71"/>
      <c r="M443" s="72"/>
      <c r="P443" s="72"/>
    </row>
    <row r="444" hidden="1">
      <c r="B444" s="68"/>
      <c r="D444" s="69"/>
      <c r="H444" s="70"/>
      <c r="K444" s="70"/>
      <c r="L444" s="71"/>
      <c r="M444" s="72"/>
      <c r="P444" s="72"/>
    </row>
    <row r="445" hidden="1">
      <c r="B445" s="68"/>
      <c r="D445" s="69"/>
      <c r="H445" s="70"/>
      <c r="K445" s="70"/>
      <c r="L445" s="71"/>
      <c r="M445" s="72"/>
      <c r="P445" s="72"/>
    </row>
    <row r="446" hidden="1">
      <c r="B446" s="68"/>
      <c r="D446" s="69"/>
      <c r="H446" s="70"/>
      <c r="K446" s="70"/>
      <c r="L446" s="71"/>
      <c r="M446" s="72"/>
      <c r="P446" s="72"/>
    </row>
    <row r="447" hidden="1">
      <c r="B447" s="68"/>
      <c r="D447" s="69"/>
      <c r="H447" s="70"/>
      <c r="K447" s="70"/>
      <c r="L447" s="71"/>
      <c r="M447" s="72"/>
      <c r="P447" s="72"/>
    </row>
    <row r="448" hidden="1">
      <c r="B448" s="68"/>
      <c r="D448" s="69"/>
      <c r="H448" s="70"/>
      <c r="K448" s="70"/>
      <c r="L448" s="71"/>
      <c r="M448" s="72"/>
      <c r="P448" s="72"/>
    </row>
    <row r="449" hidden="1">
      <c r="B449" s="68"/>
      <c r="D449" s="69"/>
      <c r="H449" s="70"/>
      <c r="K449" s="70"/>
      <c r="L449" s="71"/>
      <c r="M449" s="72"/>
      <c r="P449" s="72"/>
    </row>
    <row r="450" hidden="1">
      <c r="B450" s="68"/>
      <c r="D450" s="69"/>
      <c r="H450" s="70"/>
      <c r="K450" s="70"/>
      <c r="L450" s="71"/>
      <c r="M450" s="72"/>
      <c r="P450" s="72"/>
    </row>
    <row r="451" hidden="1">
      <c r="B451" s="68"/>
      <c r="D451" s="69"/>
      <c r="H451" s="70"/>
      <c r="K451" s="70"/>
      <c r="L451" s="71"/>
      <c r="M451" s="72"/>
      <c r="P451" s="72"/>
    </row>
    <row r="452" hidden="1">
      <c r="B452" s="68"/>
      <c r="D452" s="69"/>
      <c r="H452" s="70"/>
      <c r="K452" s="70"/>
      <c r="L452" s="71"/>
      <c r="M452" s="72"/>
      <c r="P452" s="72"/>
    </row>
    <row r="453" hidden="1">
      <c r="B453" s="68"/>
      <c r="D453" s="69"/>
      <c r="H453" s="70"/>
      <c r="K453" s="70"/>
      <c r="L453" s="71"/>
      <c r="M453" s="72"/>
      <c r="P453" s="72"/>
    </row>
    <row r="454" hidden="1">
      <c r="B454" s="68"/>
      <c r="D454" s="69"/>
      <c r="H454" s="70"/>
      <c r="K454" s="70"/>
      <c r="L454" s="71"/>
      <c r="M454" s="72"/>
      <c r="P454" s="72"/>
    </row>
    <row r="455" hidden="1">
      <c r="B455" s="68"/>
      <c r="D455" s="69"/>
      <c r="H455" s="70"/>
      <c r="K455" s="70"/>
      <c r="L455" s="71"/>
      <c r="M455" s="72"/>
      <c r="P455" s="72"/>
    </row>
    <row r="456" hidden="1">
      <c r="B456" s="68"/>
      <c r="D456" s="69"/>
      <c r="H456" s="70"/>
      <c r="K456" s="70"/>
      <c r="L456" s="71"/>
      <c r="M456" s="72"/>
      <c r="P456" s="72"/>
    </row>
    <row r="457" hidden="1">
      <c r="B457" s="68"/>
      <c r="D457" s="69"/>
      <c r="H457" s="70"/>
      <c r="K457" s="70"/>
      <c r="L457" s="71"/>
      <c r="M457" s="72"/>
      <c r="P457" s="72"/>
    </row>
    <row r="458" hidden="1">
      <c r="B458" s="68"/>
      <c r="D458" s="69"/>
      <c r="H458" s="70"/>
      <c r="K458" s="70"/>
      <c r="L458" s="71"/>
      <c r="M458" s="72"/>
      <c r="P458" s="72"/>
    </row>
    <row r="459" hidden="1">
      <c r="B459" s="68"/>
      <c r="D459" s="69"/>
      <c r="H459" s="70"/>
      <c r="K459" s="70"/>
      <c r="L459" s="71"/>
      <c r="M459" s="72"/>
      <c r="P459" s="72"/>
    </row>
    <row r="460" hidden="1">
      <c r="B460" s="68"/>
      <c r="D460" s="69"/>
      <c r="H460" s="70"/>
      <c r="K460" s="70"/>
      <c r="L460" s="71"/>
      <c r="M460" s="72"/>
      <c r="P460" s="72"/>
    </row>
    <row r="461" hidden="1">
      <c r="B461" s="68"/>
      <c r="D461" s="69"/>
      <c r="H461" s="70"/>
      <c r="K461" s="70"/>
      <c r="L461" s="71"/>
      <c r="M461" s="72"/>
      <c r="P461" s="72"/>
    </row>
    <row r="462" hidden="1">
      <c r="B462" s="68"/>
      <c r="D462" s="69"/>
      <c r="H462" s="70"/>
      <c r="K462" s="70"/>
      <c r="L462" s="71"/>
      <c r="M462" s="72"/>
      <c r="P462" s="72"/>
    </row>
    <row r="463" hidden="1">
      <c r="B463" s="68"/>
      <c r="D463" s="69"/>
      <c r="H463" s="70"/>
      <c r="K463" s="70"/>
      <c r="L463" s="71"/>
      <c r="M463" s="72"/>
      <c r="P463" s="72"/>
    </row>
    <row r="464" hidden="1">
      <c r="B464" s="68"/>
      <c r="D464" s="69"/>
      <c r="H464" s="70"/>
      <c r="K464" s="70"/>
      <c r="L464" s="71"/>
      <c r="M464" s="72"/>
      <c r="P464" s="72"/>
    </row>
    <row r="465" hidden="1">
      <c r="B465" s="68"/>
      <c r="D465" s="69"/>
      <c r="H465" s="70"/>
      <c r="K465" s="70"/>
      <c r="L465" s="71"/>
      <c r="M465" s="72"/>
      <c r="P465" s="72"/>
    </row>
    <row r="466" hidden="1">
      <c r="B466" s="68"/>
      <c r="D466" s="69"/>
      <c r="H466" s="70"/>
      <c r="K466" s="70"/>
      <c r="L466" s="71"/>
      <c r="M466" s="72"/>
      <c r="P466" s="72"/>
    </row>
    <row r="467" hidden="1">
      <c r="B467" s="68"/>
      <c r="D467" s="69"/>
      <c r="H467" s="70"/>
      <c r="K467" s="70"/>
      <c r="L467" s="71"/>
      <c r="M467" s="72"/>
      <c r="P467" s="72"/>
    </row>
    <row r="468" hidden="1">
      <c r="B468" s="68"/>
      <c r="D468" s="69"/>
      <c r="H468" s="70"/>
      <c r="K468" s="70"/>
      <c r="L468" s="71"/>
      <c r="M468" s="72"/>
      <c r="P468" s="72"/>
    </row>
    <row r="469" hidden="1">
      <c r="B469" s="68"/>
      <c r="D469" s="69"/>
      <c r="H469" s="70"/>
      <c r="K469" s="70"/>
      <c r="L469" s="71"/>
      <c r="M469" s="72"/>
      <c r="P469" s="72"/>
    </row>
    <row r="470" hidden="1">
      <c r="B470" s="68"/>
      <c r="D470" s="69"/>
      <c r="H470" s="70"/>
      <c r="K470" s="70"/>
      <c r="L470" s="71"/>
      <c r="M470" s="72"/>
      <c r="P470" s="72"/>
    </row>
    <row r="471" hidden="1">
      <c r="B471" s="68"/>
      <c r="D471" s="69"/>
      <c r="H471" s="70"/>
      <c r="K471" s="70"/>
      <c r="L471" s="71"/>
      <c r="M471" s="72"/>
      <c r="P471" s="72"/>
    </row>
    <row r="472" hidden="1">
      <c r="B472" s="68"/>
      <c r="D472" s="69"/>
      <c r="H472" s="70"/>
      <c r="K472" s="70"/>
      <c r="L472" s="71"/>
      <c r="M472" s="72"/>
      <c r="P472" s="72"/>
    </row>
    <row r="473" hidden="1">
      <c r="B473" s="68"/>
      <c r="D473" s="69"/>
      <c r="H473" s="70"/>
      <c r="K473" s="70"/>
      <c r="L473" s="71"/>
      <c r="M473" s="72"/>
      <c r="P473" s="72"/>
    </row>
    <row r="474" hidden="1">
      <c r="B474" s="68"/>
      <c r="D474" s="69"/>
      <c r="H474" s="70"/>
      <c r="K474" s="70"/>
      <c r="L474" s="71"/>
      <c r="M474" s="72"/>
      <c r="P474" s="72"/>
    </row>
    <row r="475" hidden="1">
      <c r="B475" s="68"/>
      <c r="D475" s="69"/>
      <c r="H475" s="70"/>
      <c r="K475" s="70"/>
      <c r="L475" s="71"/>
      <c r="M475" s="72"/>
      <c r="P475" s="72"/>
    </row>
    <row r="476" hidden="1">
      <c r="B476" s="68"/>
      <c r="D476" s="69"/>
      <c r="H476" s="70"/>
      <c r="K476" s="70"/>
      <c r="L476" s="71"/>
      <c r="M476" s="72"/>
      <c r="P476" s="72"/>
    </row>
    <row r="477" hidden="1">
      <c r="B477" s="68"/>
      <c r="D477" s="69"/>
      <c r="H477" s="70"/>
      <c r="K477" s="70"/>
      <c r="L477" s="71"/>
      <c r="M477" s="72"/>
      <c r="P477" s="72"/>
    </row>
    <row r="478" hidden="1">
      <c r="B478" s="68"/>
      <c r="D478" s="69"/>
      <c r="H478" s="70"/>
      <c r="K478" s="70"/>
      <c r="L478" s="71"/>
      <c r="M478" s="72"/>
      <c r="P478" s="72"/>
    </row>
    <row r="479" hidden="1">
      <c r="B479" s="68"/>
      <c r="D479" s="69"/>
      <c r="H479" s="70"/>
      <c r="K479" s="70"/>
      <c r="L479" s="71"/>
      <c r="M479" s="72"/>
      <c r="P479" s="72"/>
    </row>
    <row r="480" hidden="1">
      <c r="B480" s="68"/>
      <c r="D480" s="69"/>
      <c r="H480" s="70"/>
      <c r="K480" s="70"/>
      <c r="L480" s="71"/>
      <c r="M480" s="72"/>
      <c r="P480" s="72"/>
    </row>
    <row r="481" hidden="1">
      <c r="B481" s="68"/>
      <c r="D481" s="69"/>
      <c r="H481" s="70"/>
      <c r="K481" s="70"/>
      <c r="L481" s="71"/>
      <c r="M481" s="72"/>
      <c r="P481" s="72"/>
    </row>
    <row r="482" hidden="1">
      <c r="B482" s="68"/>
      <c r="D482" s="69"/>
      <c r="H482" s="70"/>
      <c r="K482" s="70"/>
      <c r="L482" s="71"/>
      <c r="M482" s="72"/>
      <c r="P482" s="72"/>
    </row>
    <row r="483" hidden="1">
      <c r="B483" s="68"/>
      <c r="D483" s="69"/>
      <c r="H483" s="70"/>
      <c r="K483" s="70"/>
      <c r="L483" s="71"/>
      <c r="M483" s="72"/>
      <c r="P483" s="72"/>
    </row>
    <row r="484" hidden="1">
      <c r="B484" s="68"/>
      <c r="D484" s="69"/>
      <c r="H484" s="70"/>
      <c r="K484" s="70"/>
      <c r="L484" s="71"/>
      <c r="M484" s="72"/>
      <c r="P484" s="72"/>
    </row>
    <row r="485" hidden="1">
      <c r="B485" s="68"/>
      <c r="D485" s="69"/>
      <c r="H485" s="70"/>
      <c r="K485" s="70"/>
      <c r="L485" s="71"/>
      <c r="M485" s="72"/>
      <c r="P485" s="72"/>
    </row>
    <row r="486" hidden="1">
      <c r="B486" s="68"/>
      <c r="D486" s="69"/>
      <c r="H486" s="70"/>
      <c r="K486" s="70"/>
      <c r="L486" s="71"/>
      <c r="M486" s="72"/>
      <c r="P486" s="72"/>
    </row>
    <row r="487" hidden="1">
      <c r="B487" s="68"/>
      <c r="D487" s="69"/>
      <c r="H487" s="70"/>
      <c r="K487" s="70"/>
      <c r="L487" s="71"/>
      <c r="M487" s="72"/>
      <c r="P487" s="72"/>
    </row>
    <row r="488" hidden="1">
      <c r="B488" s="68"/>
      <c r="D488" s="69"/>
      <c r="H488" s="70"/>
      <c r="K488" s="70"/>
      <c r="L488" s="71"/>
      <c r="M488" s="72"/>
      <c r="P488" s="72"/>
    </row>
    <row r="489" hidden="1">
      <c r="B489" s="68"/>
      <c r="D489" s="69"/>
      <c r="H489" s="70"/>
      <c r="K489" s="70"/>
      <c r="L489" s="71"/>
      <c r="M489" s="72"/>
      <c r="P489" s="72"/>
    </row>
    <row r="490" hidden="1">
      <c r="B490" s="68"/>
      <c r="D490" s="69"/>
      <c r="H490" s="70"/>
      <c r="K490" s="70"/>
      <c r="L490" s="71"/>
      <c r="M490" s="72"/>
      <c r="P490" s="72"/>
    </row>
    <row r="491" hidden="1">
      <c r="B491" s="68"/>
      <c r="D491" s="69"/>
      <c r="H491" s="70"/>
      <c r="K491" s="70"/>
      <c r="L491" s="71"/>
      <c r="M491" s="72"/>
      <c r="P491" s="72"/>
    </row>
    <row r="492" hidden="1">
      <c r="B492" s="68"/>
      <c r="D492" s="69"/>
      <c r="H492" s="70"/>
      <c r="K492" s="70"/>
      <c r="L492" s="71"/>
      <c r="M492" s="72"/>
      <c r="P492" s="72"/>
    </row>
    <row r="493" hidden="1">
      <c r="B493" s="68"/>
      <c r="D493" s="69"/>
      <c r="H493" s="70"/>
      <c r="K493" s="70"/>
      <c r="L493" s="71"/>
      <c r="M493" s="72"/>
      <c r="P493" s="72"/>
    </row>
    <row r="494" hidden="1">
      <c r="B494" s="68"/>
      <c r="D494" s="69"/>
      <c r="H494" s="70"/>
      <c r="K494" s="70"/>
      <c r="L494" s="71"/>
      <c r="M494" s="72"/>
      <c r="P494" s="72"/>
    </row>
    <row r="495" hidden="1">
      <c r="B495" s="68"/>
      <c r="D495" s="69"/>
      <c r="H495" s="70"/>
      <c r="K495" s="70"/>
      <c r="L495" s="71"/>
      <c r="M495" s="72"/>
      <c r="P495" s="72"/>
    </row>
    <row r="496" hidden="1">
      <c r="B496" s="68"/>
      <c r="D496" s="69"/>
      <c r="H496" s="70"/>
      <c r="K496" s="70"/>
      <c r="L496" s="71"/>
      <c r="M496" s="72"/>
      <c r="P496" s="72"/>
    </row>
    <row r="497" hidden="1">
      <c r="B497" s="68"/>
      <c r="D497" s="69"/>
      <c r="H497" s="70"/>
      <c r="K497" s="70"/>
      <c r="L497" s="71"/>
      <c r="M497" s="72"/>
      <c r="P497" s="72"/>
    </row>
    <row r="498" hidden="1">
      <c r="B498" s="68"/>
      <c r="D498" s="69"/>
      <c r="H498" s="70"/>
      <c r="K498" s="70"/>
      <c r="L498" s="71"/>
      <c r="M498" s="72"/>
      <c r="P498" s="72"/>
    </row>
    <row r="499" hidden="1">
      <c r="B499" s="68"/>
      <c r="D499" s="69"/>
      <c r="H499" s="70"/>
      <c r="K499" s="70"/>
      <c r="L499" s="71"/>
      <c r="M499" s="72"/>
      <c r="P499" s="72"/>
    </row>
    <row r="500" hidden="1">
      <c r="B500" s="68"/>
      <c r="D500" s="69"/>
      <c r="H500" s="70"/>
      <c r="K500" s="70"/>
      <c r="L500" s="71"/>
      <c r="M500" s="72"/>
      <c r="P500" s="72"/>
    </row>
    <row r="501" hidden="1">
      <c r="B501" s="68"/>
      <c r="D501" s="69"/>
      <c r="H501" s="70"/>
      <c r="K501" s="70"/>
      <c r="L501" s="71"/>
      <c r="M501" s="72"/>
      <c r="P501" s="72"/>
    </row>
    <row r="502" hidden="1">
      <c r="B502" s="68"/>
      <c r="D502" s="69"/>
      <c r="H502" s="70"/>
      <c r="K502" s="70"/>
      <c r="L502" s="71"/>
      <c r="M502" s="72"/>
      <c r="P502" s="72"/>
    </row>
    <row r="503" hidden="1">
      <c r="B503" s="68"/>
      <c r="D503" s="69"/>
      <c r="H503" s="70"/>
      <c r="K503" s="70"/>
      <c r="L503" s="71"/>
      <c r="M503" s="72"/>
      <c r="P503" s="72"/>
    </row>
    <row r="504" hidden="1">
      <c r="B504" s="68"/>
      <c r="D504" s="69"/>
      <c r="H504" s="70"/>
      <c r="K504" s="70"/>
      <c r="L504" s="71"/>
      <c r="M504" s="72"/>
      <c r="P504" s="72"/>
    </row>
    <row r="505" hidden="1">
      <c r="B505" s="68"/>
      <c r="D505" s="69"/>
      <c r="H505" s="70"/>
      <c r="K505" s="70"/>
      <c r="L505" s="71"/>
      <c r="M505" s="72"/>
      <c r="P505" s="72"/>
    </row>
    <row r="506" hidden="1">
      <c r="B506" s="68"/>
      <c r="D506" s="69"/>
      <c r="H506" s="70"/>
      <c r="K506" s="70"/>
      <c r="L506" s="71"/>
      <c r="M506" s="72"/>
      <c r="P506" s="72"/>
    </row>
    <row r="507" hidden="1">
      <c r="B507" s="68"/>
      <c r="D507" s="69"/>
      <c r="H507" s="70"/>
      <c r="K507" s="70"/>
      <c r="L507" s="71"/>
      <c r="M507" s="72"/>
      <c r="P507" s="72"/>
    </row>
    <row r="508" hidden="1">
      <c r="B508" s="68"/>
      <c r="D508" s="69"/>
      <c r="H508" s="70"/>
      <c r="K508" s="70"/>
      <c r="L508" s="71"/>
      <c r="M508" s="72"/>
      <c r="P508" s="72"/>
    </row>
    <row r="509" hidden="1">
      <c r="B509" s="68"/>
      <c r="D509" s="69"/>
      <c r="H509" s="70"/>
      <c r="K509" s="70"/>
      <c r="L509" s="71"/>
      <c r="M509" s="72"/>
      <c r="P509" s="72"/>
    </row>
    <row r="510" hidden="1">
      <c r="B510" s="68"/>
      <c r="D510" s="69"/>
      <c r="H510" s="70"/>
      <c r="K510" s="70"/>
      <c r="L510" s="71"/>
      <c r="M510" s="72"/>
      <c r="P510" s="72"/>
    </row>
    <row r="511" hidden="1">
      <c r="B511" s="68"/>
      <c r="D511" s="69"/>
      <c r="H511" s="70"/>
      <c r="K511" s="70"/>
      <c r="L511" s="71"/>
      <c r="M511" s="72"/>
      <c r="P511" s="72"/>
    </row>
    <row r="512" hidden="1">
      <c r="B512" s="68"/>
      <c r="D512" s="69"/>
      <c r="H512" s="70"/>
      <c r="K512" s="70"/>
      <c r="L512" s="71"/>
      <c r="M512" s="72"/>
      <c r="P512" s="72"/>
    </row>
    <row r="513" hidden="1">
      <c r="B513" s="68"/>
      <c r="D513" s="69"/>
      <c r="H513" s="70"/>
      <c r="K513" s="70"/>
      <c r="L513" s="71"/>
      <c r="M513" s="72"/>
      <c r="P513" s="72"/>
    </row>
    <row r="514" hidden="1">
      <c r="B514" s="68"/>
      <c r="D514" s="69"/>
      <c r="H514" s="70"/>
      <c r="K514" s="70"/>
      <c r="L514" s="71"/>
      <c r="M514" s="72"/>
      <c r="P514" s="72"/>
    </row>
    <row r="515" hidden="1">
      <c r="B515" s="68"/>
      <c r="D515" s="69"/>
      <c r="H515" s="70"/>
      <c r="K515" s="70"/>
      <c r="L515" s="71"/>
      <c r="M515" s="72"/>
      <c r="P515" s="72"/>
    </row>
    <row r="516" hidden="1">
      <c r="B516" s="68"/>
      <c r="D516" s="69"/>
      <c r="H516" s="70"/>
      <c r="K516" s="70"/>
      <c r="L516" s="71"/>
      <c r="M516" s="72"/>
      <c r="P516" s="72"/>
    </row>
    <row r="517" hidden="1">
      <c r="B517" s="68"/>
      <c r="D517" s="69"/>
      <c r="H517" s="70"/>
      <c r="K517" s="70"/>
      <c r="L517" s="71"/>
      <c r="M517" s="72"/>
      <c r="P517" s="72"/>
    </row>
    <row r="518" hidden="1">
      <c r="B518" s="68"/>
      <c r="D518" s="69"/>
      <c r="H518" s="70"/>
      <c r="K518" s="70"/>
      <c r="L518" s="71"/>
      <c r="M518" s="72"/>
      <c r="P518" s="72"/>
    </row>
    <row r="519" hidden="1">
      <c r="B519" s="68"/>
      <c r="D519" s="69"/>
      <c r="H519" s="70"/>
      <c r="K519" s="70"/>
      <c r="L519" s="71"/>
      <c r="M519" s="72"/>
      <c r="P519" s="72"/>
    </row>
    <row r="520" hidden="1">
      <c r="B520" s="68"/>
      <c r="D520" s="69"/>
      <c r="H520" s="70"/>
      <c r="K520" s="70"/>
      <c r="L520" s="71"/>
      <c r="M520" s="72"/>
      <c r="P520" s="72"/>
    </row>
    <row r="521" hidden="1">
      <c r="B521" s="68"/>
      <c r="D521" s="69"/>
      <c r="H521" s="70"/>
      <c r="K521" s="70"/>
      <c r="L521" s="71"/>
      <c r="M521" s="72"/>
      <c r="P521" s="72"/>
    </row>
    <row r="522" hidden="1">
      <c r="B522" s="68"/>
      <c r="D522" s="69"/>
      <c r="H522" s="70"/>
      <c r="K522" s="70"/>
      <c r="L522" s="71"/>
      <c r="M522" s="72"/>
      <c r="P522" s="72"/>
    </row>
    <row r="523" hidden="1">
      <c r="B523" s="68"/>
      <c r="D523" s="69"/>
      <c r="H523" s="70"/>
      <c r="K523" s="70"/>
      <c r="L523" s="71"/>
      <c r="M523" s="72"/>
      <c r="P523" s="72"/>
    </row>
    <row r="524" hidden="1">
      <c r="B524" s="68"/>
      <c r="D524" s="69"/>
      <c r="H524" s="70"/>
      <c r="K524" s="70"/>
      <c r="L524" s="71"/>
      <c r="M524" s="72"/>
      <c r="P524" s="72"/>
    </row>
    <row r="525" hidden="1">
      <c r="B525" s="68"/>
      <c r="D525" s="69"/>
      <c r="H525" s="70"/>
      <c r="K525" s="70"/>
      <c r="L525" s="71"/>
      <c r="M525" s="72"/>
      <c r="P525" s="72"/>
    </row>
    <row r="526" hidden="1">
      <c r="B526" s="68"/>
      <c r="D526" s="69"/>
      <c r="H526" s="70"/>
      <c r="K526" s="70"/>
      <c r="L526" s="71"/>
      <c r="M526" s="72"/>
      <c r="P526" s="72"/>
    </row>
    <row r="527" hidden="1">
      <c r="B527" s="68"/>
      <c r="D527" s="69"/>
      <c r="H527" s="70"/>
      <c r="K527" s="70"/>
      <c r="L527" s="71"/>
      <c r="M527" s="72"/>
      <c r="P527" s="72"/>
    </row>
    <row r="528" hidden="1">
      <c r="B528" s="68"/>
      <c r="D528" s="69"/>
      <c r="H528" s="70"/>
      <c r="K528" s="70"/>
      <c r="L528" s="71"/>
      <c r="M528" s="72"/>
      <c r="P528" s="72"/>
    </row>
    <row r="529" hidden="1">
      <c r="B529" s="68"/>
      <c r="D529" s="69"/>
      <c r="H529" s="70"/>
      <c r="K529" s="70"/>
      <c r="L529" s="71"/>
      <c r="M529" s="72"/>
      <c r="P529" s="72"/>
    </row>
    <row r="530" hidden="1">
      <c r="B530" s="68"/>
      <c r="D530" s="69"/>
      <c r="H530" s="70"/>
      <c r="K530" s="70"/>
      <c r="L530" s="71"/>
      <c r="M530" s="72"/>
      <c r="P530" s="72"/>
    </row>
    <row r="531" hidden="1">
      <c r="B531" s="68"/>
      <c r="D531" s="69"/>
      <c r="H531" s="70"/>
      <c r="K531" s="70"/>
      <c r="L531" s="71"/>
      <c r="M531" s="72"/>
      <c r="P531" s="72"/>
    </row>
    <row r="532" hidden="1">
      <c r="B532" s="68"/>
      <c r="D532" s="69"/>
      <c r="H532" s="70"/>
      <c r="K532" s="70"/>
      <c r="L532" s="71"/>
      <c r="M532" s="72"/>
      <c r="P532" s="72"/>
    </row>
    <row r="533" hidden="1">
      <c r="B533" s="68"/>
      <c r="D533" s="69"/>
      <c r="H533" s="70"/>
      <c r="K533" s="70"/>
      <c r="L533" s="71"/>
      <c r="M533" s="72"/>
      <c r="P533" s="72"/>
    </row>
    <row r="534" hidden="1">
      <c r="B534" s="68"/>
      <c r="D534" s="69"/>
      <c r="H534" s="70"/>
      <c r="K534" s="70"/>
      <c r="L534" s="71"/>
      <c r="M534" s="72"/>
      <c r="P534" s="72"/>
    </row>
    <row r="535" hidden="1">
      <c r="B535" s="68"/>
      <c r="D535" s="69"/>
      <c r="H535" s="70"/>
      <c r="K535" s="70"/>
      <c r="L535" s="71"/>
      <c r="M535" s="72"/>
      <c r="P535" s="72"/>
    </row>
    <row r="536" hidden="1">
      <c r="B536" s="68"/>
      <c r="D536" s="69"/>
      <c r="H536" s="70"/>
      <c r="K536" s="70"/>
      <c r="L536" s="71"/>
      <c r="M536" s="72"/>
      <c r="P536" s="72"/>
    </row>
    <row r="537" hidden="1">
      <c r="B537" s="68"/>
      <c r="D537" s="69"/>
      <c r="H537" s="70"/>
      <c r="K537" s="70"/>
      <c r="L537" s="71"/>
      <c r="M537" s="72"/>
      <c r="P537" s="72"/>
    </row>
    <row r="538" hidden="1">
      <c r="B538" s="68"/>
      <c r="D538" s="69"/>
      <c r="H538" s="70"/>
      <c r="K538" s="70"/>
      <c r="L538" s="71"/>
      <c r="M538" s="72"/>
      <c r="P538" s="72"/>
    </row>
    <row r="539" hidden="1">
      <c r="B539" s="68"/>
      <c r="D539" s="69"/>
      <c r="H539" s="70"/>
      <c r="K539" s="70"/>
      <c r="L539" s="71"/>
      <c r="M539" s="72"/>
      <c r="P539" s="72"/>
    </row>
    <row r="540" hidden="1">
      <c r="B540" s="68"/>
      <c r="D540" s="69"/>
      <c r="H540" s="70"/>
      <c r="K540" s="70"/>
      <c r="L540" s="71"/>
      <c r="M540" s="72"/>
      <c r="P540" s="72"/>
    </row>
    <row r="541" hidden="1">
      <c r="B541" s="68"/>
      <c r="D541" s="69"/>
      <c r="H541" s="70"/>
      <c r="K541" s="70"/>
      <c r="L541" s="71"/>
      <c r="M541" s="72"/>
      <c r="P541" s="72"/>
    </row>
    <row r="542" hidden="1">
      <c r="B542" s="68"/>
      <c r="D542" s="69"/>
      <c r="H542" s="70"/>
      <c r="K542" s="70"/>
      <c r="L542" s="71"/>
      <c r="M542" s="72"/>
      <c r="P542" s="72"/>
    </row>
    <row r="543" hidden="1">
      <c r="B543" s="68"/>
      <c r="D543" s="69"/>
      <c r="H543" s="70"/>
      <c r="K543" s="70"/>
      <c r="L543" s="71"/>
      <c r="M543" s="72"/>
      <c r="P543" s="72"/>
    </row>
    <row r="544" hidden="1">
      <c r="B544" s="68"/>
      <c r="D544" s="69"/>
      <c r="H544" s="70"/>
      <c r="K544" s="70"/>
      <c r="L544" s="71"/>
      <c r="M544" s="72"/>
      <c r="P544" s="72"/>
    </row>
    <row r="545" hidden="1">
      <c r="B545" s="68"/>
      <c r="D545" s="69"/>
      <c r="H545" s="70"/>
      <c r="K545" s="70"/>
      <c r="L545" s="71"/>
      <c r="M545" s="72"/>
      <c r="P545" s="72"/>
    </row>
    <row r="546" hidden="1">
      <c r="B546" s="68"/>
      <c r="D546" s="69"/>
      <c r="H546" s="70"/>
      <c r="K546" s="70"/>
      <c r="L546" s="71"/>
      <c r="M546" s="72"/>
      <c r="P546" s="72"/>
    </row>
    <row r="547" hidden="1">
      <c r="B547" s="68"/>
      <c r="D547" s="69"/>
      <c r="H547" s="70"/>
      <c r="K547" s="70"/>
      <c r="L547" s="71"/>
      <c r="M547" s="72"/>
      <c r="P547" s="72"/>
    </row>
    <row r="548" hidden="1">
      <c r="B548" s="68"/>
      <c r="D548" s="69"/>
      <c r="H548" s="70"/>
      <c r="K548" s="70"/>
      <c r="L548" s="71"/>
      <c r="M548" s="72"/>
      <c r="P548" s="72"/>
    </row>
    <row r="549" hidden="1">
      <c r="B549" s="68"/>
      <c r="D549" s="69"/>
      <c r="H549" s="70"/>
      <c r="K549" s="70"/>
      <c r="L549" s="71"/>
      <c r="M549" s="72"/>
      <c r="P549" s="72"/>
    </row>
    <row r="550" hidden="1">
      <c r="B550" s="68"/>
      <c r="D550" s="69"/>
      <c r="H550" s="70"/>
      <c r="K550" s="70"/>
      <c r="L550" s="71"/>
      <c r="M550" s="72"/>
      <c r="P550" s="72"/>
    </row>
    <row r="551" hidden="1">
      <c r="B551" s="68"/>
      <c r="D551" s="69"/>
      <c r="H551" s="70"/>
      <c r="K551" s="70"/>
      <c r="L551" s="71"/>
      <c r="M551" s="72"/>
      <c r="P551" s="72"/>
    </row>
    <row r="552" hidden="1">
      <c r="B552" s="68"/>
      <c r="D552" s="69"/>
      <c r="H552" s="70"/>
      <c r="K552" s="70"/>
      <c r="L552" s="71"/>
      <c r="M552" s="72"/>
      <c r="P552" s="72"/>
    </row>
    <row r="553" hidden="1">
      <c r="B553" s="68"/>
      <c r="D553" s="69"/>
      <c r="H553" s="70"/>
      <c r="K553" s="70"/>
      <c r="L553" s="71"/>
      <c r="M553" s="72"/>
      <c r="P553" s="72"/>
    </row>
    <row r="554" hidden="1">
      <c r="B554" s="68"/>
      <c r="D554" s="69"/>
      <c r="H554" s="70"/>
      <c r="K554" s="70"/>
      <c r="L554" s="71"/>
      <c r="M554" s="72"/>
      <c r="P554" s="72"/>
    </row>
    <row r="555" hidden="1">
      <c r="B555" s="68"/>
      <c r="D555" s="69"/>
      <c r="H555" s="70"/>
      <c r="K555" s="70"/>
      <c r="L555" s="71"/>
      <c r="M555" s="72"/>
      <c r="P555" s="72"/>
    </row>
    <row r="556" hidden="1">
      <c r="B556" s="68"/>
      <c r="D556" s="69"/>
      <c r="H556" s="70"/>
      <c r="K556" s="70"/>
      <c r="L556" s="71"/>
      <c r="M556" s="72"/>
      <c r="P556" s="72"/>
    </row>
    <row r="557" hidden="1">
      <c r="B557" s="68"/>
      <c r="D557" s="69"/>
      <c r="H557" s="70"/>
      <c r="K557" s="70"/>
      <c r="L557" s="71"/>
      <c r="M557" s="72"/>
      <c r="P557" s="72"/>
    </row>
    <row r="558" hidden="1">
      <c r="B558" s="68"/>
      <c r="D558" s="69"/>
      <c r="H558" s="70"/>
      <c r="K558" s="70"/>
      <c r="L558" s="71"/>
      <c r="M558" s="72"/>
      <c r="P558" s="72"/>
    </row>
    <row r="559" hidden="1">
      <c r="B559" s="68"/>
      <c r="D559" s="69"/>
      <c r="H559" s="70"/>
      <c r="K559" s="70"/>
      <c r="L559" s="71"/>
      <c r="M559" s="72"/>
      <c r="P559" s="72"/>
    </row>
    <row r="560" hidden="1">
      <c r="B560" s="68"/>
      <c r="D560" s="69"/>
      <c r="H560" s="70"/>
      <c r="K560" s="70"/>
      <c r="L560" s="71"/>
      <c r="M560" s="72"/>
      <c r="P560" s="72"/>
    </row>
    <row r="561" hidden="1">
      <c r="B561" s="68"/>
      <c r="D561" s="69"/>
      <c r="H561" s="70"/>
      <c r="K561" s="70"/>
      <c r="L561" s="71"/>
      <c r="M561" s="72"/>
      <c r="P561" s="72"/>
    </row>
    <row r="562" hidden="1">
      <c r="B562" s="68"/>
      <c r="D562" s="69"/>
      <c r="H562" s="70"/>
      <c r="K562" s="70"/>
      <c r="L562" s="71"/>
      <c r="M562" s="72"/>
      <c r="P562" s="72"/>
    </row>
    <row r="563" hidden="1">
      <c r="B563" s="68"/>
      <c r="D563" s="69"/>
      <c r="H563" s="70"/>
      <c r="K563" s="70"/>
      <c r="L563" s="71"/>
      <c r="M563" s="72"/>
      <c r="P563" s="72"/>
    </row>
    <row r="564" hidden="1">
      <c r="B564" s="68"/>
      <c r="D564" s="69"/>
      <c r="H564" s="70"/>
      <c r="K564" s="70"/>
      <c r="L564" s="71"/>
      <c r="M564" s="72"/>
      <c r="P564" s="72"/>
    </row>
    <row r="565" hidden="1">
      <c r="B565" s="68"/>
      <c r="D565" s="69"/>
      <c r="H565" s="70"/>
      <c r="K565" s="70"/>
      <c r="L565" s="71"/>
      <c r="M565" s="72"/>
      <c r="P565" s="72"/>
    </row>
    <row r="566" hidden="1">
      <c r="B566" s="68"/>
      <c r="D566" s="69"/>
      <c r="H566" s="70"/>
      <c r="K566" s="70"/>
      <c r="L566" s="71"/>
      <c r="M566" s="72"/>
      <c r="P566" s="72"/>
    </row>
    <row r="567" hidden="1">
      <c r="B567" s="68"/>
      <c r="D567" s="69"/>
      <c r="H567" s="70"/>
      <c r="K567" s="70"/>
      <c r="L567" s="71"/>
      <c r="M567" s="72"/>
      <c r="P567" s="72"/>
    </row>
    <row r="568" hidden="1">
      <c r="B568" s="68"/>
      <c r="D568" s="69"/>
      <c r="H568" s="70"/>
      <c r="K568" s="70"/>
      <c r="L568" s="71"/>
      <c r="M568" s="72"/>
      <c r="P568" s="72"/>
    </row>
    <row r="569" hidden="1">
      <c r="B569" s="68"/>
      <c r="D569" s="69"/>
      <c r="H569" s="70"/>
      <c r="K569" s="70"/>
      <c r="L569" s="71"/>
      <c r="M569" s="72"/>
      <c r="P569" s="72"/>
    </row>
    <row r="570" hidden="1">
      <c r="B570" s="68"/>
      <c r="D570" s="69"/>
      <c r="H570" s="70"/>
      <c r="K570" s="70"/>
      <c r="L570" s="71"/>
      <c r="M570" s="72"/>
      <c r="P570" s="72"/>
    </row>
    <row r="571" hidden="1">
      <c r="B571" s="68"/>
      <c r="D571" s="69"/>
      <c r="H571" s="70"/>
      <c r="K571" s="70"/>
      <c r="L571" s="71"/>
      <c r="M571" s="72"/>
      <c r="P571" s="72"/>
    </row>
    <row r="572" hidden="1">
      <c r="B572" s="68"/>
      <c r="D572" s="69"/>
      <c r="H572" s="70"/>
      <c r="K572" s="70"/>
      <c r="L572" s="71"/>
      <c r="M572" s="72"/>
      <c r="P572" s="72"/>
    </row>
    <row r="573" hidden="1">
      <c r="B573" s="68"/>
      <c r="D573" s="69"/>
      <c r="H573" s="70"/>
      <c r="K573" s="70"/>
      <c r="L573" s="71"/>
      <c r="M573" s="72"/>
      <c r="P573" s="72"/>
    </row>
    <row r="574" hidden="1">
      <c r="B574" s="68"/>
      <c r="D574" s="69"/>
      <c r="H574" s="70"/>
      <c r="K574" s="70"/>
      <c r="L574" s="71"/>
      <c r="M574" s="72"/>
      <c r="P574" s="72"/>
    </row>
    <row r="575" hidden="1">
      <c r="B575" s="68"/>
      <c r="D575" s="69"/>
      <c r="H575" s="70"/>
      <c r="K575" s="70"/>
      <c r="L575" s="71"/>
      <c r="M575" s="72"/>
      <c r="P575" s="72"/>
    </row>
    <row r="576" hidden="1">
      <c r="B576" s="68"/>
      <c r="D576" s="69"/>
      <c r="H576" s="70"/>
      <c r="K576" s="70"/>
      <c r="L576" s="71"/>
      <c r="M576" s="72"/>
      <c r="P576" s="72"/>
    </row>
    <row r="577" hidden="1">
      <c r="B577" s="68"/>
      <c r="D577" s="69"/>
      <c r="H577" s="70"/>
      <c r="K577" s="70"/>
      <c r="L577" s="71"/>
      <c r="M577" s="72"/>
      <c r="P577" s="72"/>
    </row>
    <row r="578" hidden="1">
      <c r="B578" s="68"/>
      <c r="D578" s="69"/>
      <c r="H578" s="70"/>
      <c r="K578" s="70"/>
      <c r="L578" s="71"/>
      <c r="M578" s="72"/>
      <c r="P578" s="72"/>
    </row>
    <row r="579" hidden="1">
      <c r="B579" s="68"/>
      <c r="D579" s="69"/>
      <c r="H579" s="70"/>
      <c r="K579" s="70"/>
      <c r="L579" s="71"/>
      <c r="M579" s="72"/>
      <c r="P579" s="72"/>
    </row>
    <row r="580" hidden="1">
      <c r="B580" s="68"/>
      <c r="D580" s="69"/>
      <c r="H580" s="70"/>
      <c r="K580" s="70"/>
      <c r="L580" s="71"/>
      <c r="M580" s="72"/>
      <c r="P580" s="72"/>
    </row>
    <row r="581" hidden="1">
      <c r="B581" s="68"/>
      <c r="D581" s="69"/>
      <c r="H581" s="70"/>
      <c r="K581" s="70"/>
      <c r="L581" s="71"/>
      <c r="M581" s="72"/>
      <c r="P581" s="72"/>
    </row>
    <row r="582" hidden="1">
      <c r="B582" s="68"/>
      <c r="D582" s="69"/>
      <c r="H582" s="70"/>
      <c r="K582" s="70"/>
      <c r="L582" s="71"/>
      <c r="M582" s="72"/>
      <c r="P582" s="72"/>
    </row>
    <row r="583" hidden="1">
      <c r="B583" s="68"/>
      <c r="D583" s="69"/>
      <c r="H583" s="70"/>
      <c r="K583" s="70"/>
      <c r="L583" s="71"/>
      <c r="M583" s="72"/>
      <c r="P583" s="72"/>
    </row>
    <row r="584" hidden="1">
      <c r="B584" s="68"/>
      <c r="D584" s="69"/>
      <c r="H584" s="70"/>
      <c r="K584" s="70"/>
      <c r="L584" s="71"/>
      <c r="M584" s="72"/>
      <c r="P584" s="72"/>
    </row>
    <row r="585" hidden="1">
      <c r="B585" s="68"/>
      <c r="D585" s="69"/>
      <c r="H585" s="70"/>
      <c r="K585" s="70"/>
      <c r="L585" s="71"/>
      <c r="M585" s="72"/>
      <c r="P585" s="72"/>
    </row>
    <row r="586" hidden="1">
      <c r="B586" s="68"/>
      <c r="D586" s="69"/>
      <c r="H586" s="70"/>
      <c r="K586" s="70"/>
      <c r="L586" s="71"/>
      <c r="M586" s="72"/>
      <c r="P586" s="72"/>
    </row>
    <row r="587" hidden="1">
      <c r="B587" s="68"/>
      <c r="D587" s="69"/>
      <c r="H587" s="70"/>
      <c r="K587" s="70"/>
      <c r="L587" s="71"/>
      <c r="M587" s="72"/>
      <c r="P587" s="72"/>
    </row>
    <row r="588" hidden="1">
      <c r="B588" s="68"/>
      <c r="D588" s="69"/>
      <c r="H588" s="70"/>
      <c r="K588" s="70"/>
      <c r="L588" s="71"/>
      <c r="M588" s="72"/>
      <c r="P588" s="72"/>
    </row>
    <row r="589" hidden="1">
      <c r="B589" s="68"/>
      <c r="D589" s="69"/>
      <c r="H589" s="70"/>
      <c r="K589" s="70"/>
      <c r="L589" s="71"/>
      <c r="M589" s="72"/>
      <c r="P589" s="72"/>
    </row>
    <row r="590" hidden="1">
      <c r="B590" s="68"/>
      <c r="D590" s="69"/>
      <c r="H590" s="70"/>
      <c r="K590" s="70"/>
      <c r="L590" s="71"/>
      <c r="M590" s="72"/>
      <c r="P590" s="72"/>
    </row>
    <row r="591" hidden="1">
      <c r="B591" s="68"/>
      <c r="D591" s="69"/>
      <c r="H591" s="70"/>
      <c r="K591" s="70"/>
      <c r="L591" s="71"/>
      <c r="M591" s="72"/>
      <c r="P591" s="72"/>
    </row>
    <row r="592" hidden="1">
      <c r="B592" s="68"/>
      <c r="D592" s="69"/>
      <c r="H592" s="70"/>
      <c r="K592" s="70"/>
      <c r="L592" s="71"/>
      <c r="M592" s="72"/>
      <c r="P592" s="72"/>
    </row>
    <row r="593" hidden="1">
      <c r="B593" s="68"/>
      <c r="D593" s="69"/>
      <c r="H593" s="70"/>
      <c r="K593" s="70"/>
      <c r="L593" s="71"/>
      <c r="M593" s="72"/>
      <c r="P593" s="72"/>
    </row>
    <row r="594" hidden="1">
      <c r="B594" s="68"/>
      <c r="D594" s="69"/>
      <c r="H594" s="70"/>
      <c r="K594" s="70"/>
      <c r="L594" s="71"/>
      <c r="M594" s="72"/>
      <c r="P594" s="72"/>
    </row>
    <row r="595" hidden="1">
      <c r="B595" s="68"/>
      <c r="D595" s="69"/>
      <c r="H595" s="70"/>
      <c r="K595" s="70"/>
      <c r="L595" s="71"/>
      <c r="M595" s="72"/>
      <c r="P595" s="72"/>
    </row>
    <row r="596" hidden="1">
      <c r="B596" s="68"/>
      <c r="D596" s="69"/>
      <c r="H596" s="70"/>
      <c r="K596" s="70"/>
      <c r="L596" s="71"/>
      <c r="M596" s="72"/>
      <c r="P596" s="72"/>
    </row>
    <row r="597" hidden="1">
      <c r="B597" s="68"/>
      <c r="D597" s="69"/>
      <c r="H597" s="70"/>
      <c r="K597" s="70"/>
      <c r="L597" s="71"/>
      <c r="M597" s="72"/>
      <c r="P597" s="72"/>
    </row>
    <row r="598" hidden="1">
      <c r="B598" s="68"/>
      <c r="D598" s="69"/>
      <c r="H598" s="70"/>
      <c r="K598" s="70"/>
      <c r="L598" s="71"/>
      <c r="M598" s="72"/>
      <c r="P598" s="72"/>
    </row>
    <row r="599" hidden="1">
      <c r="B599" s="68"/>
      <c r="D599" s="69"/>
      <c r="H599" s="70"/>
      <c r="K599" s="70"/>
      <c r="L599" s="71"/>
      <c r="M599" s="72"/>
      <c r="P599" s="72"/>
    </row>
    <row r="600" hidden="1">
      <c r="B600" s="68"/>
      <c r="D600" s="69"/>
      <c r="H600" s="70"/>
      <c r="K600" s="70"/>
      <c r="L600" s="71"/>
      <c r="M600" s="72"/>
      <c r="P600" s="72"/>
    </row>
    <row r="601" hidden="1">
      <c r="B601" s="68"/>
      <c r="D601" s="69"/>
      <c r="H601" s="70"/>
      <c r="K601" s="70"/>
      <c r="L601" s="71"/>
      <c r="M601" s="72"/>
      <c r="P601" s="72"/>
    </row>
    <row r="602" hidden="1">
      <c r="B602" s="68"/>
      <c r="D602" s="69"/>
      <c r="H602" s="70"/>
      <c r="K602" s="70"/>
      <c r="L602" s="71"/>
      <c r="M602" s="72"/>
      <c r="P602" s="72"/>
    </row>
    <row r="603" hidden="1">
      <c r="B603" s="68"/>
      <c r="D603" s="69"/>
      <c r="H603" s="70"/>
      <c r="K603" s="70"/>
      <c r="L603" s="71"/>
      <c r="M603" s="72"/>
      <c r="P603" s="72"/>
    </row>
    <row r="604" hidden="1">
      <c r="B604" s="68"/>
      <c r="D604" s="69"/>
      <c r="H604" s="70"/>
      <c r="K604" s="70"/>
      <c r="L604" s="71"/>
      <c r="M604" s="72"/>
      <c r="P604" s="72"/>
    </row>
    <row r="605" hidden="1">
      <c r="B605" s="68"/>
      <c r="D605" s="69"/>
      <c r="H605" s="70"/>
      <c r="K605" s="70"/>
      <c r="L605" s="71"/>
      <c r="M605" s="72"/>
      <c r="P605" s="72"/>
    </row>
    <row r="606" hidden="1">
      <c r="B606" s="68"/>
      <c r="D606" s="69"/>
      <c r="H606" s="70"/>
      <c r="K606" s="70"/>
      <c r="L606" s="71"/>
      <c r="M606" s="72"/>
      <c r="P606" s="72"/>
    </row>
    <row r="607" hidden="1">
      <c r="B607" s="68"/>
      <c r="D607" s="69"/>
      <c r="H607" s="70"/>
      <c r="K607" s="70"/>
      <c r="L607" s="71"/>
      <c r="M607" s="72"/>
      <c r="P607" s="72"/>
    </row>
    <row r="608" hidden="1">
      <c r="B608" s="68"/>
      <c r="D608" s="69"/>
      <c r="H608" s="70"/>
      <c r="K608" s="70"/>
      <c r="L608" s="71"/>
      <c r="M608" s="72"/>
      <c r="P608" s="72"/>
    </row>
    <row r="609" hidden="1">
      <c r="B609" s="68"/>
      <c r="D609" s="69"/>
      <c r="H609" s="70"/>
      <c r="K609" s="70"/>
      <c r="L609" s="71"/>
      <c r="M609" s="72"/>
      <c r="P609" s="72"/>
    </row>
    <row r="610" hidden="1">
      <c r="B610" s="68"/>
      <c r="D610" s="69"/>
      <c r="H610" s="70"/>
      <c r="K610" s="70"/>
      <c r="L610" s="71"/>
      <c r="M610" s="72"/>
      <c r="P610" s="72"/>
    </row>
    <row r="611" hidden="1">
      <c r="B611" s="68"/>
      <c r="D611" s="69"/>
      <c r="H611" s="70"/>
      <c r="K611" s="70"/>
      <c r="L611" s="71"/>
      <c r="M611" s="72"/>
      <c r="P611" s="72"/>
    </row>
    <row r="612" hidden="1">
      <c r="B612" s="68"/>
      <c r="D612" s="69"/>
      <c r="H612" s="70"/>
      <c r="K612" s="70"/>
      <c r="L612" s="71"/>
      <c r="M612" s="72"/>
      <c r="P612" s="72"/>
    </row>
    <row r="613" hidden="1">
      <c r="B613" s="68"/>
      <c r="D613" s="69"/>
      <c r="H613" s="70"/>
      <c r="K613" s="70"/>
      <c r="L613" s="71"/>
      <c r="M613" s="72"/>
      <c r="P613" s="72"/>
    </row>
    <row r="614" hidden="1">
      <c r="B614" s="68"/>
      <c r="D614" s="69"/>
      <c r="H614" s="70"/>
      <c r="K614" s="70"/>
      <c r="L614" s="71"/>
      <c r="M614" s="72"/>
      <c r="P614" s="72"/>
    </row>
    <row r="615" hidden="1">
      <c r="B615" s="68"/>
      <c r="D615" s="69"/>
      <c r="H615" s="70"/>
      <c r="K615" s="70"/>
      <c r="L615" s="71"/>
      <c r="M615" s="72"/>
      <c r="P615" s="72"/>
    </row>
    <row r="616" hidden="1">
      <c r="B616" s="68"/>
      <c r="D616" s="69"/>
      <c r="H616" s="70"/>
      <c r="K616" s="70"/>
      <c r="L616" s="71"/>
      <c r="M616" s="72"/>
      <c r="P616" s="72"/>
    </row>
    <row r="617" hidden="1">
      <c r="B617" s="68"/>
      <c r="D617" s="69"/>
      <c r="H617" s="70"/>
      <c r="K617" s="70"/>
      <c r="L617" s="71"/>
      <c r="M617" s="72"/>
      <c r="P617" s="72"/>
    </row>
    <row r="618" hidden="1">
      <c r="B618" s="68"/>
      <c r="D618" s="69"/>
      <c r="H618" s="70"/>
      <c r="K618" s="70"/>
      <c r="L618" s="71"/>
      <c r="M618" s="72"/>
      <c r="P618" s="72"/>
    </row>
    <row r="619" hidden="1">
      <c r="B619" s="68"/>
      <c r="D619" s="69"/>
      <c r="H619" s="70"/>
      <c r="K619" s="70"/>
      <c r="L619" s="71"/>
      <c r="M619" s="72"/>
      <c r="P619" s="72"/>
    </row>
    <row r="620" hidden="1">
      <c r="B620" s="68"/>
      <c r="D620" s="69"/>
      <c r="H620" s="70"/>
      <c r="K620" s="70"/>
      <c r="L620" s="71"/>
      <c r="M620" s="72"/>
      <c r="P620" s="72"/>
    </row>
    <row r="621" hidden="1">
      <c r="B621" s="68"/>
      <c r="D621" s="69"/>
      <c r="H621" s="70"/>
      <c r="K621" s="70"/>
      <c r="L621" s="71"/>
      <c r="M621" s="72"/>
      <c r="P621" s="72"/>
    </row>
    <row r="622" hidden="1">
      <c r="B622" s="68"/>
      <c r="D622" s="69"/>
      <c r="H622" s="70"/>
      <c r="K622" s="70"/>
      <c r="L622" s="71"/>
      <c r="M622" s="72"/>
      <c r="P622" s="72"/>
    </row>
    <row r="623" hidden="1">
      <c r="B623" s="68"/>
      <c r="D623" s="69"/>
      <c r="H623" s="70"/>
      <c r="K623" s="70"/>
      <c r="L623" s="71"/>
      <c r="M623" s="72"/>
      <c r="P623" s="72"/>
    </row>
    <row r="624" hidden="1">
      <c r="B624" s="68"/>
      <c r="D624" s="69"/>
      <c r="H624" s="70"/>
      <c r="K624" s="70"/>
      <c r="L624" s="71"/>
      <c r="M624" s="72"/>
      <c r="P624" s="72"/>
    </row>
    <row r="625" hidden="1">
      <c r="B625" s="68"/>
      <c r="D625" s="69"/>
      <c r="H625" s="70"/>
      <c r="K625" s="70"/>
      <c r="L625" s="71"/>
      <c r="M625" s="72"/>
      <c r="P625" s="72"/>
    </row>
    <row r="626" hidden="1">
      <c r="B626" s="68"/>
      <c r="D626" s="69"/>
      <c r="H626" s="70"/>
      <c r="K626" s="70"/>
      <c r="L626" s="71"/>
      <c r="M626" s="72"/>
      <c r="P626" s="72"/>
    </row>
    <row r="627" hidden="1">
      <c r="B627" s="68"/>
      <c r="D627" s="69"/>
      <c r="H627" s="70"/>
      <c r="K627" s="70"/>
      <c r="L627" s="71"/>
      <c r="M627" s="72"/>
      <c r="P627" s="72"/>
    </row>
    <row r="628" hidden="1">
      <c r="B628" s="68"/>
      <c r="D628" s="69"/>
      <c r="H628" s="70"/>
      <c r="K628" s="70"/>
      <c r="L628" s="71"/>
      <c r="M628" s="72"/>
      <c r="P628" s="72"/>
    </row>
    <row r="629" hidden="1">
      <c r="B629" s="68"/>
      <c r="D629" s="69"/>
      <c r="H629" s="70"/>
      <c r="K629" s="70"/>
      <c r="L629" s="71"/>
      <c r="M629" s="72"/>
      <c r="P629" s="72"/>
    </row>
    <row r="630" hidden="1">
      <c r="B630" s="68"/>
      <c r="D630" s="69"/>
      <c r="H630" s="70"/>
      <c r="K630" s="70"/>
      <c r="L630" s="71"/>
      <c r="M630" s="72"/>
      <c r="P630" s="72"/>
    </row>
    <row r="631" hidden="1">
      <c r="B631" s="68"/>
      <c r="D631" s="69"/>
      <c r="H631" s="70"/>
      <c r="K631" s="70"/>
      <c r="L631" s="71"/>
      <c r="M631" s="72"/>
      <c r="P631" s="72"/>
    </row>
    <row r="632" hidden="1">
      <c r="B632" s="68"/>
      <c r="D632" s="69"/>
      <c r="H632" s="70"/>
      <c r="K632" s="70"/>
      <c r="L632" s="71"/>
      <c r="M632" s="72"/>
      <c r="P632" s="72"/>
    </row>
    <row r="633" hidden="1">
      <c r="B633" s="68"/>
      <c r="D633" s="69"/>
      <c r="H633" s="70"/>
      <c r="K633" s="70"/>
      <c r="L633" s="71"/>
      <c r="M633" s="72"/>
      <c r="P633" s="72"/>
    </row>
    <row r="634" hidden="1">
      <c r="B634" s="68"/>
      <c r="D634" s="69"/>
      <c r="H634" s="70"/>
      <c r="K634" s="70"/>
      <c r="L634" s="71"/>
      <c r="M634" s="72"/>
      <c r="P634" s="72"/>
    </row>
    <row r="635" hidden="1">
      <c r="B635" s="68"/>
      <c r="D635" s="69"/>
      <c r="H635" s="70"/>
      <c r="K635" s="70"/>
      <c r="L635" s="71"/>
      <c r="M635" s="72"/>
      <c r="P635" s="72"/>
    </row>
    <row r="636" hidden="1">
      <c r="B636" s="68"/>
      <c r="D636" s="69"/>
      <c r="H636" s="70"/>
      <c r="K636" s="70"/>
      <c r="L636" s="71"/>
      <c r="M636" s="72"/>
      <c r="P636" s="72"/>
    </row>
    <row r="637" hidden="1">
      <c r="B637" s="68"/>
      <c r="D637" s="69"/>
      <c r="H637" s="70"/>
      <c r="K637" s="70"/>
      <c r="L637" s="71"/>
      <c r="M637" s="72"/>
      <c r="P637" s="72"/>
    </row>
    <row r="638" hidden="1">
      <c r="B638" s="68"/>
      <c r="D638" s="69"/>
      <c r="H638" s="70"/>
      <c r="K638" s="70"/>
      <c r="L638" s="71"/>
      <c r="M638" s="72"/>
      <c r="P638" s="72"/>
    </row>
    <row r="639" hidden="1">
      <c r="B639" s="68"/>
      <c r="D639" s="69"/>
      <c r="H639" s="70"/>
      <c r="K639" s="70"/>
      <c r="L639" s="71"/>
      <c r="M639" s="72"/>
      <c r="P639" s="72"/>
    </row>
    <row r="640" hidden="1">
      <c r="B640" s="68"/>
      <c r="D640" s="69"/>
      <c r="H640" s="70"/>
      <c r="K640" s="70"/>
      <c r="L640" s="71"/>
      <c r="M640" s="72"/>
      <c r="P640" s="72"/>
    </row>
    <row r="641" hidden="1">
      <c r="B641" s="68"/>
      <c r="D641" s="69"/>
      <c r="H641" s="70"/>
      <c r="K641" s="70"/>
      <c r="L641" s="71"/>
      <c r="M641" s="72"/>
      <c r="P641" s="72"/>
    </row>
    <row r="642" hidden="1">
      <c r="B642" s="68"/>
      <c r="D642" s="69"/>
      <c r="H642" s="70"/>
      <c r="K642" s="70"/>
      <c r="L642" s="71"/>
      <c r="M642" s="72"/>
      <c r="P642" s="72"/>
    </row>
    <row r="643" hidden="1">
      <c r="B643" s="68"/>
      <c r="D643" s="69"/>
      <c r="H643" s="70"/>
      <c r="K643" s="70"/>
      <c r="L643" s="71"/>
      <c r="M643" s="72"/>
      <c r="P643" s="72"/>
    </row>
    <row r="644" hidden="1">
      <c r="B644" s="68"/>
      <c r="D644" s="69"/>
      <c r="H644" s="70"/>
      <c r="K644" s="70"/>
      <c r="L644" s="71"/>
      <c r="M644" s="72"/>
      <c r="P644" s="72"/>
    </row>
    <row r="645" hidden="1">
      <c r="B645" s="68"/>
      <c r="D645" s="69"/>
      <c r="H645" s="70"/>
      <c r="K645" s="70"/>
      <c r="L645" s="71"/>
      <c r="M645" s="72"/>
      <c r="P645" s="72"/>
    </row>
    <row r="646" hidden="1">
      <c r="B646" s="68"/>
      <c r="D646" s="69"/>
      <c r="H646" s="70"/>
      <c r="K646" s="70"/>
      <c r="L646" s="71"/>
      <c r="M646" s="72"/>
      <c r="P646" s="72"/>
    </row>
    <row r="647" hidden="1">
      <c r="B647" s="68"/>
      <c r="D647" s="69"/>
      <c r="H647" s="70"/>
      <c r="K647" s="70"/>
      <c r="L647" s="71"/>
      <c r="M647" s="72"/>
      <c r="P647" s="72"/>
    </row>
    <row r="648" hidden="1">
      <c r="B648" s="68"/>
      <c r="D648" s="69"/>
      <c r="H648" s="70"/>
      <c r="K648" s="70"/>
      <c r="L648" s="71"/>
      <c r="M648" s="72"/>
      <c r="P648" s="72"/>
    </row>
    <row r="649" hidden="1">
      <c r="B649" s="68"/>
      <c r="D649" s="69"/>
      <c r="H649" s="70"/>
      <c r="K649" s="70"/>
      <c r="L649" s="71"/>
      <c r="M649" s="72"/>
      <c r="P649" s="72"/>
    </row>
    <row r="650" hidden="1">
      <c r="B650" s="68"/>
      <c r="D650" s="69"/>
      <c r="H650" s="70"/>
      <c r="K650" s="70"/>
      <c r="L650" s="71"/>
      <c r="M650" s="72"/>
      <c r="P650" s="72"/>
    </row>
    <row r="651" hidden="1">
      <c r="B651" s="68"/>
      <c r="D651" s="69"/>
      <c r="H651" s="70"/>
      <c r="K651" s="70"/>
      <c r="L651" s="71"/>
      <c r="M651" s="72"/>
      <c r="P651" s="72"/>
    </row>
    <row r="652" hidden="1">
      <c r="B652" s="68"/>
      <c r="D652" s="69"/>
      <c r="H652" s="70"/>
      <c r="K652" s="70"/>
      <c r="L652" s="71"/>
      <c r="M652" s="72"/>
      <c r="P652" s="72"/>
    </row>
    <row r="653" hidden="1">
      <c r="B653" s="68"/>
      <c r="D653" s="69"/>
      <c r="H653" s="70"/>
      <c r="K653" s="70"/>
      <c r="L653" s="71"/>
      <c r="M653" s="72"/>
      <c r="P653" s="72"/>
    </row>
    <row r="654" hidden="1">
      <c r="B654" s="68"/>
      <c r="D654" s="69"/>
      <c r="H654" s="70"/>
      <c r="K654" s="70"/>
      <c r="L654" s="71"/>
      <c r="M654" s="72"/>
      <c r="P654" s="72"/>
    </row>
    <row r="655" hidden="1">
      <c r="B655" s="68"/>
      <c r="D655" s="69"/>
      <c r="H655" s="70"/>
      <c r="K655" s="70"/>
      <c r="L655" s="71"/>
      <c r="M655" s="72"/>
      <c r="P655" s="72"/>
    </row>
    <row r="656" hidden="1">
      <c r="B656" s="68"/>
      <c r="D656" s="69"/>
      <c r="H656" s="70"/>
      <c r="K656" s="70"/>
      <c r="L656" s="71"/>
      <c r="M656" s="72"/>
      <c r="P656" s="72"/>
    </row>
    <row r="657" hidden="1">
      <c r="B657" s="68"/>
      <c r="D657" s="69"/>
      <c r="H657" s="70"/>
      <c r="K657" s="70"/>
      <c r="L657" s="71"/>
      <c r="M657" s="72"/>
      <c r="P657" s="72"/>
    </row>
    <row r="658" hidden="1">
      <c r="B658" s="68"/>
      <c r="D658" s="69"/>
      <c r="H658" s="70"/>
      <c r="K658" s="70"/>
      <c r="L658" s="71"/>
      <c r="M658" s="72"/>
      <c r="P658" s="72"/>
    </row>
    <row r="659" hidden="1">
      <c r="B659" s="68"/>
      <c r="D659" s="69"/>
      <c r="H659" s="70"/>
      <c r="K659" s="70"/>
      <c r="L659" s="71"/>
      <c r="M659" s="72"/>
      <c r="P659" s="72"/>
    </row>
    <row r="660" hidden="1">
      <c r="B660" s="68"/>
      <c r="D660" s="69"/>
      <c r="H660" s="70"/>
      <c r="K660" s="70"/>
      <c r="L660" s="71"/>
      <c r="M660" s="72"/>
      <c r="P660" s="72"/>
    </row>
    <row r="661" hidden="1">
      <c r="B661" s="68"/>
      <c r="D661" s="69"/>
      <c r="H661" s="70"/>
      <c r="K661" s="70"/>
      <c r="L661" s="71"/>
      <c r="M661" s="72"/>
      <c r="P661" s="72"/>
    </row>
    <row r="662" hidden="1">
      <c r="B662" s="68"/>
      <c r="D662" s="69"/>
      <c r="H662" s="70"/>
      <c r="K662" s="70"/>
      <c r="L662" s="71"/>
      <c r="M662" s="72"/>
      <c r="P662" s="72"/>
    </row>
    <row r="663" hidden="1">
      <c r="B663" s="68"/>
      <c r="D663" s="69"/>
      <c r="H663" s="70"/>
      <c r="K663" s="70"/>
      <c r="L663" s="71"/>
      <c r="M663" s="72"/>
      <c r="P663" s="72"/>
    </row>
    <row r="664" hidden="1">
      <c r="B664" s="68"/>
      <c r="D664" s="69"/>
      <c r="H664" s="70"/>
      <c r="K664" s="70"/>
      <c r="L664" s="71"/>
      <c r="M664" s="72"/>
      <c r="P664" s="72"/>
    </row>
    <row r="665" hidden="1">
      <c r="B665" s="68"/>
      <c r="D665" s="69"/>
      <c r="H665" s="70"/>
      <c r="K665" s="70"/>
      <c r="L665" s="71"/>
      <c r="M665" s="72"/>
      <c r="P665" s="72"/>
    </row>
    <row r="666" hidden="1">
      <c r="B666" s="68"/>
      <c r="D666" s="69"/>
      <c r="H666" s="70"/>
      <c r="K666" s="70"/>
      <c r="L666" s="71"/>
      <c r="M666" s="72"/>
      <c r="P666" s="72"/>
    </row>
    <row r="667" hidden="1">
      <c r="B667" s="68"/>
      <c r="D667" s="69"/>
      <c r="H667" s="70"/>
      <c r="K667" s="70"/>
      <c r="L667" s="71"/>
      <c r="M667" s="72"/>
      <c r="P667" s="72"/>
    </row>
    <row r="668" hidden="1">
      <c r="B668" s="68"/>
      <c r="D668" s="69"/>
      <c r="H668" s="70"/>
      <c r="K668" s="70"/>
      <c r="L668" s="71"/>
      <c r="M668" s="72"/>
      <c r="P668" s="72"/>
    </row>
    <row r="669" hidden="1">
      <c r="B669" s="68"/>
      <c r="D669" s="69"/>
      <c r="H669" s="70"/>
      <c r="K669" s="70"/>
      <c r="L669" s="71"/>
      <c r="M669" s="72"/>
      <c r="P669" s="72"/>
    </row>
    <row r="670" hidden="1">
      <c r="B670" s="68"/>
      <c r="D670" s="69"/>
      <c r="H670" s="70"/>
      <c r="K670" s="70"/>
      <c r="L670" s="71"/>
      <c r="M670" s="72"/>
      <c r="P670" s="72"/>
    </row>
    <row r="671" hidden="1">
      <c r="B671" s="68"/>
      <c r="D671" s="69"/>
      <c r="H671" s="70"/>
      <c r="K671" s="70"/>
      <c r="L671" s="71"/>
      <c r="M671" s="72"/>
      <c r="P671" s="72"/>
    </row>
    <row r="672" hidden="1">
      <c r="B672" s="68"/>
      <c r="D672" s="69"/>
      <c r="H672" s="70"/>
      <c r="K672" s="70"/>
      <c r="L672" s="71"/>
      <c r="M672" s="72"/>
      <c r="P672" s="72"/>
    </row>
    <row r="673" hidden="1">
      <c r="B673" s="68"/>
      <c r="D673" s="69"/>
      <c r="H673" s="70"/>
      <c r="K673" s="70"/>
      <c r="L673" s="71"/>
      <c r="M673" s="72"/>
      <c r="P673" s="72"/>
    </row>
    <row r="674" hidden="1">
      <c r="B674" s="68"/>
      <c r="D674" s="69"/>
      <c r="H674" s="70"/>
      <c r="K674" s="70"/>
      <c r="L674" s="71"/>
      <c r="M674" s="72"/>
      <c r="P674" s="72"/>
    </row>
    <row r="675" hidden="1">
      <c r="B675" s="68"/>
      <c r="D675" s="69"/>
      <c r="H675" s="70"/>
      <c r="K675" s="70"/>
      <c r="L675" s="71"/>
      <c r="M675" s="72"/>
      <c r="P675" s="72"/>
    </row>
    <row r="676" hidden="1">
      <c r="B676" s="68"/>
      <c r="D676" s="69"/>
      <c r="H676" s="70"/>
      <c r="K676" s="70"/>
      <c r="L676" s="71"/>
      <c r="M676" s="72"/>
      <c r="P676" s="72"/>
    </row>
    <row r="677" hidden="1">
      <c r="B677" s="68"/>
      <c r="D677" s="69"/>
      <c r="H677" s="70"/>
      <c r="K677" s="70"/>
      <c r="L677" s="71"/>
      <c r="M677" s="72"/>
      <c r="P677" s="72"/>
    </row>
    <row r="678" hidden="1">
      <c r="B678" s="68"/>
      <c r="D678" s="69"/>
      <c r="H678" s="70"/>
      <c r="K678" s="70"/>
      <c r="L678" s="71"/>
      <c r="M678" s="72"/>
      <c r="P678" s="72"/>
    </row>
    <row r="679" hidden="1">
      <c r="B679" s="68"/>
      <c r="D679" s="69"/>
      <c r="H679" s="70"/>
      <c r="K679" s="70"/>
      <c r="L679" s="71"/>
      <c r="M679" s="72"/>
      <c r="P679" s="72"/>
    </row>
    <row r="680" hidden="1">
      <c r="B680" s="68"/>
      <c r="D680" s="69"/>
      <c r="H680" s="70"/>
      <c r="K680" s="70"/>
      <c r="L680" s="71"/>
      <c r="M680" s="72"/>
      <c r="P680" s="72"/>
    </row>
    <row r="681" hidden="1">
      <c r="B681" s="68"/>
      <c r="D681" s="69"/>
      <c r="H681" s="70"/>
      <c r="K681" s="70"/>
      <c r="L681" s="71"/>
      <c r="M681" s="72"/>
      <c r="P681" s="72"/>
    </row>
    <row r="682" hidden="1">
      <c r="B682" s="68"/>
      <c r="D682" s="69"/>
      <c r="H682" s="70"/>
      <c r="K682" s="70"/>
      <c r="L682" s="71"/>
      <c r="M682" s="72"/>
      <c r="P682" s="72"/>
    </row>
    <row r="683" hidden="1">
      <c r="B683" s="68"/>
      <c r="D683" s="69"/>
      <c r="H683" s="70"/>
      <c r="K683" s="70"/>
      <c r="L683" s="71"/>
      <c r="M683" s="72"/>
      <c r="P683" s="72"/>
    </row>
    <row r="684" hidden="1">
      <c r="B684" s="68"/>
      <c r="D684" s="69"/>
      <c r="H684" s="70"/>
      <c r="K684" s="70"/>
      <c r="L684" s="71"/>
      <c r="M684" s="72"/>
      <c r="P684" s="72"/>
    </row>
    <row r="685" hidden="1">
      <c r="B685" s="68"/>
      <c r="D685" s="69"/>
      <c r="H685" s="70"/>
      <c r="K685" s="70"/>
      <c r="L685" s="71"/>
      <c r="M685" s="72"/>
      <c r="P685" s="72"/>
    </row>
    <row r="686" hidden="1">
      <c r="B686" s="68"/>
      <c r="D686" s="69"/>
      <c r="H686" s="70"/>
      <c r="K686" s="70"/>
      <c r="L686" s="71"/>
      <c r="M686" s="72"/>
      <c r="P686" s="72"/>
    </row>
    <row r="687" hidden="1">
      <c r="B687" s="68"/>
      <c r="D687" s="69"/>
      <c r="H687" s="70"/>
      <c r="K687" s="70"/>
      <c r="L687" s="71"/>
      <c r="M687" s="72"/>
      <c r="P687" s="72"/>
    </row>
    <row r="688" hidden="1">
      <c r="B688" s="68"/>
      <c r="D688" s="69"/>
      <c r="H688" s="70"/>
      <c r="K688" s="70"/>
      <c r="L688" s="71"/>
      <c r="M688" s="72"/>
      <c r="P688" s="72"/>
    </row>
    <row r="689" hidden="1">
      <c r="B689" s="68"/>
      <c r="D689" s="69"/>
      <c r="H689" s="70"/>
      <c r="K689" s="70"/>
      <c r="L689" s="71"/>
      <c r="M689" s="72"/>
      <c r="P689" s="72"/>
    </row>
    <row r="690" hidden="1">
      <c r="B690" s="68"/>
      <c r="D690" s="69"/>
      <c r="H690" s="70"/>
      <c r="K690" s="70"/>
      <c r="L690" s="71"/>
      <c r="M690" s="72"/>
      <c r="P690" s="72"/>
    </row>
    <row r="691" hidden="1">
      <c r="B691" s="68"/>
      <c r="D691" s="69"/>
      <c r="H691" s="70"/>
      <c r="K691" s="70"/>
      <c r="L691" s="71"/>
      <c r="M691" s="72"/>
      <c r="P691" s="72"/>
    </row>
    <row r="692" hidden="1">
      <c r="B692" s="68"/>
      <c r="D692" s="69"/>
      <c r="H692" s="70"/>
      <c r="K692" s="70"/>
      <c r="L692" s="71"/>
      <c r="M692" s="72"/>
      <c r="P692" s="72"/>
    </row>
    <row r="693" hidden="1">
      <c r="B693" s="68"/>
      <c r="D693" s="69"/>
      <c r="H693" s="70"/>
      <c r="K693" s="70"/>
      <c r="L693" s="71"/>
      <c r="M693" s="72"/>
      <c r="P693" s="72"/>
    </row>
    <row r="694" hidden="1">
      <c r="B694" s="68"/>
      <c r="D694" s="69"/>
      <c r="H694" s="70"/>
      <c r="K694" s="70"/>
      <c r="L694" s="71"/>
      <c r="M694" s="72"/>
      <c r="P694" s="72"/>
    </row>
    <row r="695" hidden="1">
      <c r="B695" s="68"/>
      <c r="D695" s="69"/>
      <c r="H695" s="70"/>
      <c r="K695" s="70"/>
      <c r="L695" s="71"/>
      <c r="M695" s="72"/>
      <c r="P695" s="72"/>
    </row>
    <row r="696" hidden="1">
      <c r="B696" s="68"/>
      <c r="D696" s="69"/>
      <c r="H696" s="70"/>
      <c r="K696" s="70"/>
      <c r="L696" s="71"/>
      <c r="M696" s="72"/>
      <c r="P696" s="72"/>
    </row>
    <row r="697" hidden="1">
      <c r="B697" s="68"/>
      <c r="D697" s="69"/>
      <c r="H697" s="70"/>
      <c r="K697" s="70"/>
      <c r="L697" s="71"/>
      <c r="M697" s="72"/>
      <c r="P697" s="72"/>
    </row>
    <row r="698" hidden="1">
      <c r="B698" s="68"/>
      <c r="D698" s="69"/>
      <c r="H698" s="70"/>
      <c r="K698" s="70"/>
      <c r="L698" s="71"/>
      <c r="M698" s="72"/>
      <c r="P698" s="72"/>
    </row>
    <row r="699" hidden="1">
      <c r="B699" s="68"/>
      <c r="D699" s="69"/>
      <c r="H699" s="70"/>
      <c r="K699" s="70"/>
      <c r="L699" s="71"/>
      <c r="M699" s="72"/>
      <c r="P699" s="72"/>
    </row>
    <row r="700" hidden="1">
      <c r="B700" s="68"/>
      <c r="D700" s="69"/>
      <c r="H700" s="70"/>
      <c r="K700" s="70"/>
      <c r="L700" s="71"/>
      <c r="M700" s="72"/>
      <c r="P700" s="72"/>
    </row>
    <row r="701" hidden="1">
      <c r="B701" s="68"/>
      <c r="D701" s="69"/>
      <c r="H701" s="70"/>
      <c r="K701" s="70"/>
      <c r="L701" s="71"/>
      <c r="M701" s="72"/>
      <c r="P701" s="72"/>
    </row>
    <row r="702" hidden="1">
      <c r="B702" s="68"/>
      <c r="D702" s="69"/>
      <c r="H702" s="70"/>
      <c r="K702" s="70"/>
      <c r="L702" s="71"/>
      <c r="M702" s="72"/>
      <c r="P702" s="72"/>
    </row>
    <row r="703" hidden="1">
      <c r="B703" s="68"/>
      <c r="D703" s="69"/>
      <c r="H703" s="70"/>
      <c r="K703" s="70"/>
      <c r="L703" s="71"/>
      <c r="M703" s="72"/>
      <c r="P703" s="72"/>
    </row>
    <row r="704" hidden="1">
      <c r="B704" s="68"/>
      <c r="D704" s="69"/>
      <c r="H704" s="70"/>
      <c r="K704" s="70"/>
      <c r="L704" s="71"/>
      <c r="M704" s="72"/>
      <c r="P704" s="72"/>
    </row>
    <row r="705" hidden="1">
      <c r="B705" s="68"/>
      <c r="D705" s="69"/>
      <c r="H705" s="70"/>
      <c r="K705" s="70"/>
      <c r="L705" s="71"/>
      <c r="M705" s="72"/>
      <c r="P705" s="72"/>
    </row>
    <row r="706" hidden="1">
      <c r="B706" s="68"/>
      <c r="D706" s="69"/>
      <c r="H706" s="70"/>
      <c r="K706" s="70"/>
      <c r="L706" s="71"/>
      <c r="M706" s="72"/>
      <c r="P706" s="72"/>
    </row>
    <row r="707" hidden="1">
      <c r="B707" s="68"/>
      <c r="D707" s="69"/>
      <c r="H707" s="70"/>
      <c r="K707" s="70"/>
      <c r="L707" s="71"/>
      <c r="M707" s="72"/>
      <c r="P707" s="72"/>
    </row>
    <row r="708" hidden="1">
      <c r="B708" s="68"/>
      <c r="D708" s="69"/>
      <c r="H708" s="70"/>
      <c r="K708" s="70"/>
      <c r="L708" s="71"/>
      <c r="M708" s="72"/>
      <c r="P708" s="72"/>
    </row>
    <row r="709" hidden="1">
      <c r="B709" s="68"/>
      <c r="D709" s="69"/>
      <c r="H709" s="70"/>
      <c r="K709" s="70"/>
      <c r="L709" s="71"/>
      <c r="M709" s="72"/>
      <c r="P709" s="72"/>
    </row>
    <row r="710" hidden="1">
      <c r="B710" s="68"/>
      <c r="D710" s="69"/>
      <c r="H710" s="70"/>
      <c r="K710" s="70"/>
      <c r="L710" s="71"/>
      <c r="M710" s="72"/>
      <c r="P710" s="72"/>
    </row>
    <row r="711" hidden="1">
      <c r="B711" s="68"/>
      <c r="D711" s="69"/>
      <c r="H711" s="70"/>
      <c r="K711" s="70"/>
      <c r="L711" s="71"/>
      <c r="M711" s="72"/>
      <c r="P711" s="72"/>
    </row>
    <row r="712" hidden="1">
      <c r="B712" s="68"/>
      <c r="D712" s="69"/>
      <c r="H712" s="70"/>
      <c r="K712" s="70"/>
      <c r="L712" s="71"/>
      <c r="M712" s="72"/>
      <c r="P712" s="72"/>
    </row>
    <row r="713" hidden="1">
      <c r="B713" s="68"/>
      <c r="D713" s="69"/>
      <c r="H713" s="70"/>
      <c r="K713" s="70"/>
      <c r="L713" s="71"/>
      <c r="M713" s="72"/>
      <c r="P713" s="72"/>
    </row>
    <row r="714" hidden="1">
      <c r="B714" s="68"/>
      <c r="D714" s="69"/>
      <c r="H714" s="70"/>
      <c r="K714" s="70"/>
      <c r="L714" s="71"/>
      <c r="M714" s="72"/>
      <c r="P714" s="72"/>
    </row>
    <row r="715" hidden="1">
      <c r="B715" s="68"/>
      <c r="D715" s="69"/>
      <c r="H715" s="70"/>
      <c r="K715" s="70"/>
      <c r="L715" s="71"/>
      <c r="M715" s="72"/>
      <c r="P715" s="72"/>
    </row>
    <row r="716" hidden="1">
      <c r="B716" s="68"/>
      <c r="D716" s="69"/>
      <c r="H716" s="70"/>
      <c r="K716" s="70"/>
      <c r="L716" s="71"/>
      <c r="M716" s="72"/>
      <c r="P716" s="72"/>
    </row>
    <row r="717" hidden="1">
      <c r="B717" s="68"/>
      <c r="D717" s="69"/>
      <c r="H717" s="70"/>
      <c r="K717" s="70"/>
      <c r="L717" s="71"/>
      <c r="M717" s="72"/>
      <c r="P717" s="72"/>
    </row>
    <row r="718" hidden="1">
      <c r="B718" s="68"/>
      <c r="D718" s="69"/>
      <c r="H718" s="70"/>
      <c r="K718" s="70"/>
      <c r="L718" s="71"/>
      <c r="M718" s="72"/>
      <c r="P718" s="72"/>
    </row>
    <row r="719" hidden="1">
      <c r="B719" s="68"/>
      <c r="D719" s="69"/>
      <c r="H719" s="70"/>
      <c r="K719" s="70"/>
      <c r="L719" s="71"/>
      <c r="M719" s="72"/>
      <c r="P719" s="72"/>
    </row>
    <row r="720" hidden="1">
      <c r="B720" s="68"/>
      <c r="D720" s="69"/>
      <c r="H720" s="70"/>
      <c r="K720" s="70"/>
      <c r="L720" s="71"/>
      <c r="M720" s="72"/>
      <c r="P720" s="72"/>
    </row>
    <row r="721" hidden="1">
      <c r="B721" s="68"/>
      <c r="D721" s="69"/>
      <c r="H721" s="70"/>
      <c r="K721" s="70"/>
      <c r="L721" s="71"/>
      <c r="M721" s="72"/>
      <c r="P721" s="72"/>
    </row>
    <row r="722" hidden="1">
      <c r="B722" s="68"/>
      <c r="D722" s="69"/>
      <c r="H722" s="70"/>
      <c r="K722" s="70"/>
      <c r="L722" s="71"/>
      <c r="M722" s="72"/>
      <c r="P722" s="72"/>
    </row>
    <row r="723" hidden="1">
      <c r="B723" s="68"/>
      <c r="D723" s="69"/>
      <c r="H723" s="70"/>
      <c r="K723" s="70"/>
      <c r="L723" s="71"/>
      <c r="M723" s="72"/>
      <c r="P723" s="72"/>
    </row>
    <row r="724" hidden="1">
      <c r="B724" s="68"/>
      <c r="D724" s="69"/>
      <c r="H724" s="70"/>
      <c r="K724" s="70"/>
      <c r="L724" s="71"/>
      <c r="M724" s="72"/>
      <c r="P724" s="72"/>
    </row>
    <row r="725" hidden="1">
      <c r="B725" s="68"/>
      <c r="D725" s="69"/>
      <c r="H725" s="70"/>
      <c r="K725" s="70"/>
      <c r="L725" s="71"/>
      <c r="M725" s="72"/>
      <c r="P725" s="72"/>
    </row>
    <row r="726" hidden="1">
      <c r="B726" s="68"/>
      <c r="D726" s="69"/>
      <c r="H726" s="70"/>
      <c r="K726" s="70"/>
      <c r="L726" s="71"/>
      <c r="M726" s="72"/>
      <c r="P726" s="72"/>
    </row>
    <row r="727" hidden="1">
      <c r="B727" s="68"/>
      <c r="D727" s="69"/>
      <c r="H727" s="70"/>
      <c r="K727" s="70"/>
      <c r="L727" s="71"/>
      <c r="M727" s="72"/>
      <c r="P727" s="72"/>
    </row>
    <row r="728" hidden="1">
      <c r="B728" s="68"/>
      <c r="D728" s="69"/>
      <c r="H728" s="70"/>
      <c r="K728" s="70"/>
      <c r="L728" s="71"/>
      <c r="M728" s="72"/>
      <c r="P728" s="72"/>
    </row>
    <row r="729" hidden="1">
      <c r="B729" s="68"/>
      <c r="D729" s="69"/>
      <c r="H729" s="70"/>
      <c r="K729" s="70"/>
      <c r="L729" s="71"/>
      <c r="M729" s="72"/>
      <c r="P729" s="72"/>
    </row>
    <row r="730" hidden="1">
      <c r="B730" s="68"/>
      <c r="D730" s="69"/>
      <c r="H730" s="70"/>
      <c r="K730" s="70"/>
      <c r="L730" s="71"/>
      <c r="M730" s="72"/>
      <c r="P730" s="72"/>
    </row>
    <row r="731" hidden="1">
      <c r="B731" s="68"/>
      <c r="D731" s="69"/>
      <c r="H731" s="70"/>
      <c r="K731" s="70"/>
      <c r="L731" s="71"/>
      <c r="M731" s="72"/>
      <c r="P731" s="72"/>
    </row>
    <row r="732" hidden="1">
      <c r="B732" s="68"/>
      <c r="D732" s="69"/>
      <c r="H732" s="70"/>
      <c r="K732" s="70"/>
      <c r="L732" s="71"/>
      <c r="M732" s="72"/>
      <c r="P732" s="72"/>
    </row>
    <row r="733" hidden="1">
      <c r="B733" s="68"/>
      <c r="D733" s="69"/>
      <c r="H733" s="70"/>
      <c r="K733" s="70"/>
      <c r="L733" s="71"/>
      <c r="M733" s="72"/>
      <c r="P733" s="72"/>
    </row>
    <row r="734" hidden="1">
      <c r="B734" s="68"/>
      <c r="D734" s="69"/>
      <c r="H734" s="70"/>
      <c r="K734" s="70"/>
      <c r="L734" s="71"/>
      <c r="M734" s="72"/>
      <c r="P734" s="72"/>
    </row>
    <row r="735" hidden="1">
      <c r="B735" s="68"/>
      <c r="D735" s="69"/>
      <c r="H735" s="70"/>
      <c r="K735" s="70"/>
      <c r="L735" s="71"/>
      <c r="M735" s="72"/>
      <c r="P735" s="72"/>
    </row>
    <row r="736" hidden="1">
      <c r="B736" s="68"/>
      <c r="D736" s="69"/>
      <c r="H736" s="70"/>
      <c r="K736" s="70"/>
      <c r="L736" s="71"/>
      <c r="M736" s="72"/>
      <c r="P736" s="72"/>
    </row>
    <row r="737" hidden="1">
      <c r="B737" s="68"/>
      <c r="D737" s="69"/>
      <c r="H737" s="70"/>
      <c r="K737" s="70"/>
      <c r="L737" s="71"/>
      <c r="M737" s="72"/>
      <c r="P737" s="72"/>
    </row>
    <row r="738" hidden="1">
      <c r="B738" s="68"/>
      <c r="D738" s="69"/>
      <c r="H738" s="70"/>
      <c r="K738" s="70"/>
      <c r="L738" s="71"/>
      <c r="M738" s="72"/>
      <c r="P738" s="72"/>
    </row>
    <row r="739" hidden="1">
      <c r="B739" s="68"/>
      <c r="D739" s="69"/>
      <c r="H739" s="70"/>
      <c r="K739" s="70"/>
      <c r="L739" s="71"/>
      <c r="M739" s="72"/>
      <c r="P739" s="72"/>
    </row>
    <row r="740" hidden="1">
      <c r="B740" s="68"/>
      <c r="D740" s="69"/>
      <c r="H740" s="70"/>
      <c r="K740" s="70"/>
      <c r="L740" s="71"/>
      <c r="M740" s="72"/>
      <c r="P740" s="72"/>
    </row>
    <row r="741" hidden="1">
      <c r="B741" s="68"/>
      <c r="D741" s="69"/>
      <c r="H741" s="70"/>
      <c r="K741" s="70"/>
      <c r="L741" s="71"/>
      <c r="M741" s="72"/>
      <c r="P741" s="72"/>
    </row>
    <row r="742" hidden="1">
      <c r="B742" s="68"/>
      <c r="D742" s="69"/>
      <c r="H742" s="70"/>
      <c r="K742" s="70"/>
      <c r="L742" s="71"/>
      <c r="M742" s="72"/>
      <c r="P742" s="72"/>
    </row>
    <row r="743" hidden="1">
      <c r="B743" s="68"/>
      <c r="D743" s="69"/>
      <c r="H743" s="70"/>
      <c r="K743" s="70"/>
      <c r="L743" s="71"/>
      <c r="M743" s="72"/>
      <c r="P743" s="72"/>
    </row>
    <row r="744" hidden="1">
      <c r="B744" s="68"/>
      <c r="D744" s="69"/>
      <c r="H744" s="70"/>
      <c r="K744" s="70"/>
      <c r="L744" s="71"/>
      <c r="M744" s="72"/>
      <c r="P744" s="72"/>
    </row>
    <row r="745" hidden="1">
      <c r="B745" s="68"/>
      <c r="D745" s="69"/>
      <c r="H745" s="70"/>
      <c r="K745" s="70"/>
      <c r="L745" s="71"/>
      <c r="M745" s="72"/>
      <c r="P745" s="72"/>
    </row>
    <row r="746" hidden="1">
      <c r="B746" s="68"/>
      <c r="D746" s="69"/>
      <c r="H746" s="70"/>
      <c r="K746" s="70"/>
      <c r="L746" s="71"/>
      <c r="M746" s="72"/>
      <c r="P746" s="72"/>
    </row>
    <row r="747" hidden="1">
      <c r="B747" s="68"/>
      <c r="D747" s="69"/>
      <c r="H747" s="70"/>
      <c r="K747" s="70"/>
      <c r="L747" s="71"/>
      <c r="M747" s="72"/>
      <c r="P747" s="72"/>
    </row>
    <row r="748" hidden="1">
      <c r="B748" s="68"/>
      <c r="D748" s="69"/>
      <c r="H748" s="70"/>
      <c r="K748" s="70"/>
      <c r="L748" s="71"/>
      <c r="M748" s="72"/>
      <c r="P748" s="72"/>
    </row>
    <row r="749" hidden="1">
      <c r="B749" s="68"/>
      <c r="D749" s="69"/>
      <c r="H749" s="70"/>
      <c r="K749" s="70"/>
      <c r="L749" s="71"/>
      <c r="M749" s="72"/>
      <c r="P749" s="72"/>
    </row>
    <row r="750" hidden="1">
      <c r="B750" s="68"/>
      <c r="D750" s="69"/>
      <c r="H750" s="70"/>
      <c r="K750" s="70"/>
      <c r="L750" s="71"/>
      <c r="M750" s="72"/>
      <c r="P750" s="72"/>
    </row>
    <row r="751" hidden="1">
      <c r="B751" s="68"/>
      <c r="D751" s="69"/>
      <c r="H751" s="70"/>
      <c r="K751" s="70"/>
      <c r="L751" s="71"/>
      <c r="M751" s="72"/>
      <c r="P751" s="72"/>
    </row>
    <row r="752" hidden="1">
      <c r="B752" s="68"/>
      <c r="D752" s="69"/>
      <c r="H752" s="70"/>
      <c r="K752" s="70"/>
      <c r="L752" s="71"/>
      <c r="M752" s="72"/>
      <c r="P752" s="72"/>
    </row>
    <row r="753" hidden="1">
      <c r="B753" s="68"/>
      <c r="D753" s="69"/>
      <c r="H753" s="70"/>
      <c r="K753" s="70"/>
      <c r="L753" s="71"/>
      <c r="M753" s="72"/>
      <c r="P753" s="72"/>
    </row>
    <row r="754" hidden="1">
      <c r="B754" s="68"/>
      <c r="D754" s="69"/>
      <c r="H754" s="70"/>
      <c r="K754" s="70"/>
      <c r="L754" s="71"/>
      <c r="M754" s="72"/>
      <c r="P754" s="72"/>
    </row>
    <row r="755" hidden="1">
      <c r="B755" s="68"/>
      <c r="D755" s="69"/>
      <c r="H755" s="70"/>
      <c r="K755" s="70"/>
      <c r="L755" s="71"/>
      <c r="M755" s="72"/>
      <c r="P755" s="72"/>
    </row>
    <row r="756" hidden="1">
      <c r="B756" s="68"/>
      <c r="D756" s="69"/>
      <c r="H756" s="70"/>
      <c r="K756" s="70"/>
      <c r="L756" s="71"/>
      <c r="M756" s="72"/>
      <c r="P756" s="72"/>
    </row>
    <row r="757" hidden="1">
      <c r="B757" s="68"/>
      <c r="D757" s="69"/>
      <c r="H757" s="70"/>
      <c r="K757" s="70"/>
      <c r="L757" s="71"/>
      <c r="M757" s="72"/>
      <c r="P757" s="72"/>
    </row>
    <row r="758" hidden="1">
      <c r="B758" s="68"/>
      <c r="D758" s="69"/>
      <c r="H758" s="70"/>
      <c r="K758" s="70"/>
      <c r="L758" s="71"/>
      <c r="M758" s="72"/>
      <c r="P758" s="72"/>
    </row>
    <row r="759" hidden="1">
      <c r="B759" s="68"/>
      <c r="D759" s="69"/>
      <c r="H759" s="70"/>
      <c r="K759" s="70"/>
      <c r="L759" s="71"/>
      <c r="M759" s="72"/>
      <c r="P759" s="72"/>
    </row>
    <row r="760" hidden="1">
      <c r="B760" s="68"/>
      <c r="D760" s="69"/>
      <c r="H760" s="70"/>
      <c r="K760" s="70"/>
      <c r="L760" s="71"/>
      <c r="M760" s="72"/>
      <c r="P760" s="72"/>
    </row>
    <row r="761" hidden="1">
      <c r="B761" s="68"/>
      <c r="D761" s="69"/>
      <c r="H761" s="70"/>
      <c r="K761" s="70"/>
      <c r="L761" s="71"/>
      <c r="M761" s="72"/>
      <c r="P761" s="72"/>
    </row>
    <row r="762" hidden="1">
      <c r="B762" s="68"/>
      <c r="D762" s="69"/>
      <c r="H762" s="70"/>
      <c r="K762" s="70"/>
      <c r="L762" s="71"/>
      <c r="M762" s="72"/>
      <c r="P762" s="72"/>
    </row>
    <row r="763" hidden="1">
      <c r="B763" s="68"/>
      <c r="D763" s="69"/>
      <c r="H763" s="70"/>
      <c r="K763" s="70"/>
      <c r="L763" s="71"/>
      <c r="M763" s="72"/>
      <c r="P763" s="72"/>
    </row>
    <row r="764" hidden="1">
      <c r="B764" s="68"/>
      <c r="D764" s="69"/>
      <c r="H764" s="70"/>
      <c r="K764" s="70"/>
      <c r="L764" s="71"/>
      <c r="M764" s="72"/>
      <c r="P764" s="72"/>
    </row>
    <row r="765" hidden="1">
      <c r="B765" s="68"/>
      <c r="D765" s="69"/>
      <c r="H765" s="70"/>
      <c r="K765" s="70"/>
      <c r="L765" s="71"/>
      <c r="M765" s="72"/>
      <c r="P765" s="72"/>
    </row>
    <row r="766" hidden="1">
      <c r="B766" s="68"/>
      <c r="D766" s="69"/>
      <c r="H766" s="70"/>
      <c r="K766" s="70"/>
      <c r="L766" s="71"/>
      <c r="M766" s="72"/>
      <c r="P766" s="72"/>
    </row>
    <row r="767" hidden="1">
      <c r="B767" s="68"/>
      <c r="D767" s="69"/>
      <c r="H767" s="70"/>
      <c r="K767" s="70"/>
      <c r="L767" s="71"/>
      <c r="M767" s="72"/>
      <c r="P767" s="72"/>
    </row>
    <row r="768" hidden="1">
      <c r="B768" s="68"/>
      <c r="D768" s="69"/>
      <c r="H768" s="70"/>
      <c r="K768" s="70"/>
      <c r="L768" s="71"/>
      <c r="M768" s="72"/>
      <c r="P768" s="72"/>
    </row>
    <row r="769" hidden="1">
      <c r="B769" s="68"/>
      <c r="D769" s="69"/>
      <c r="H769" s="70"/>
      <c r="K769" s="70"/>
      <c r="L769" s="71"/>
      <c r="M769" s="72"/>
      <c r="P769" s="72"/>
    </row>
    <row r="770" hidden="1">
      <c r="B770" s="68"/>
      <c r="D770" s="69"/>
      <c r="H770" s="70"/>
      <c r="K770" s="70"/>
      <c r="L770" s="71"/>
      <c r="M770" s="72"/>
      <c r="P770" s="72"/>
    </row>
    <row r="771" hidden="1">
      <c r="B771" s="68"/>
      <c r="D771" s="69"/>
      <c r="H771" s="70"/>
      <c r="K771" s="70"/>
      <c r="L771" s="71"/>
      <c r="M771" s="72"/>
      <c r="P771" s="72"/>
    </row>
    <row r="772" hidden="1">
      <c r="B772" s="68"/>
      <c r="D772" s="69"/>
      <c r="H772" s="70"/>
      <c r="K772" s="70"/>
      <c r="L772" s="71"/>
      <c r="M772" s="72"/>
      <c r="P772" s="72"/>
    </row>
    <row r="773" hidden="1">
      <c r="B773" s="68"/>
      <c r="D773" s="69"/>
      <c r="H773" s="70"/>
      <c r="K773" s="70"/>
      <c r="L773" s="71"/>
      <c r="M773" s="72"/>
      <c r="P773" s="72"/>
    </row>
    <row r="774" hidden="1">
      <c r="B774" s="68"/>
      <c r="D774" s="69"/>
      <c r="H774" s="70"/>
      <c r="K774" s="70"/>
      <c r="L774" s="71"/>
      <c r="M774" s="72"/>
      <c r="P774" s="72"/>
    </row>
    <row r="775" hidden="1">
      <c r="B775" s="68"/>
      <c r="D775" s="69"/>
      <c r="H775" s="70"/>
      <c r="K775" s="70"/>
      <c r="L775" s="71"/>
      <c r="M775" s="72"/>
      <c r="P775" s="72"/>
    </row>
    <row r="776" hidden="1">
      <c r="B776" s="68"/>
      <c r="D776" s="69"/>
      <c r="H776" s="70"/>
      <c r="K776" s="70"/>
      <c r="L776" s="71"/>
      <c r="M776" s="72"/>
      <c r="P776" s="72"/>
    </row>
    <row r="777" hidden="1">
      <c r="B777" s="68"/>
      <c r="D777" s="69"/>
      <c r="H777" s="70"/>
      <c r="K777" s="70"/>
      <c r="L777" s="71"/>
      <c r="M777" s="72"/>
      <c r="P777" s="72"/>
    </row>
    <row r="778" hidden="1">
      <c r="B778" s="68"/>
      <c r="D778" s="69"/>
      <c r="H778" s="70"/>
      <c r="K778" s="70"/>
      <c r="L778" s="71"/>
      <c r="M778" s="72"/>
      <c r="P778" s="72"/>
    </row>
    <row r="779" hidden="1">
      <c r="B779" s="68"/>
      <c r="D779" s="69"/>
      <c r="H779" s="70"/>
      <c r="K779" s="70"/>
      <c r="L779" s="71"/>
      <c r="M779" s="72"/>
      <c r="P779" s="72"/>
    </row>
    <row r="780" hidden="1">
      <c r="B780" s="68"/>
      <c r="D780" s="69"/>
      <c r="H780" s="70"/>
      <c r="K780" s="70"/>
      <c r="L780" s="71"/>
      <c r="M780" s="72"/>
      <c r="P780" s="72"/>
    </row>
    <row r="781" hidden="1">
      <c r="B781" s="68"/>
      <c r="D781" s="69"/>
      <c r="H781" s="70"/>
      <c r="K781" s="70"/>
      <c r="L781" s="71"/>
      <c r="M781" s="72"/>
      <c r="P781" s="72"/>
    </row>
    <row r="782" hidden="1">
      <c r="B782" s="68"/>
      <c r="D782" s="69"/>
      <c r="H782" s="70"/>
      <c r="K782" s="70"/>
      <c r="L782" s="71"/>
      <c r="M782" s="72"/>
      <c r="P782" s="72"/>
    </row>
    <row r="783" hidden="1">
      <c r="B783" s="68"/>
      <c r="D783" s="69"/>
      <c r="H783" s="70"/>
      <c r="K783" s="70"/>
      <c r="L783" s="71"/>
      <c r="M783" s="72"/>
      <c r="P783" s="72"/>
    </row>
    <row r="784" hidden="1">
      <c r="B784" s="68"/>
      <c r="D784" s="69"/>
      <c r="H784" s="70"/>
      <c r="K784" s="70"/>
      <c r="L784" s="71"/>
      <c r="M784" s="72"/>
      <c r="P784" s="72"/>
    </row>
    <row r="785" hidden="1">
      <c r="B785" s="68"/>
      <c r="D785" s="69"/>
      <c r="H785" s="70"/>
      <c r="K785" s="70"/>
      <c r="L785" s="71"/>
      <c r="M785" s="72"/>
      <c r="P785" s="72"/>
    </row>
    <row r="786" hidden="1">
      <c r="B786" s="68"/>
      <c r="D786" s="69"/>
      <c r="H786" s="70"/>
      <c r="K786" s="70"/>
      <c r="L786" s="71"/>
      <c r="M786" s="72"/>
      <c r="P786" s="72"/>
    </row>
    <row r="787" hidden="1">
      <c r="B787" s="68"/>
      <c r="D787" s="69"/>
      <c r="H787" s="70"/>
      <c r="K787" s="70"/>
      <c r="L787" s="71"/>
      <c r="M787" s="72"/>
      <c r="P787" s="72"/>
    </row>
    <row r="788" hidden="1">
      <c r="B788" s="68"/>
      <c r="D788" s="69"/>
      <c r="H788" s="70"/>
      <c r="K788" s="70"/>
      <c r="L788" s="71"/>
      <c r="M788" s="72"/>
      <c r="P788" s="72"/>
    </row>
    <row r="789" hidden="1">
      <c r="B789" s="68"/>
      <c r="D789" s="69"/>
      <c r="H789" s="70"/>
      <c r="K789" s="70"/>
      <c r="L789" s="71"/>
      <c r="M789" s="72"/>
      <c r="P789" s="72"/>
    </row>
    <row r="790" hidden="1">
      <c r="B790" s="68"/>
      <c r="D790" s="69"/>
      <c r="H790" s="70"/>
      <c r="K790" s="70"/>
      <c r="L790" s="71"/>
      <c r="M790" s="72"/>
      <c r="P790" s="72"/>
    </row>
    <row r="791" hidden="1">
      <c r="B791" s="68"/>
      <c r="D791" s="69"/>
      <c r="H791" s="70"/>
      <c r="K791" s="70"/>
      <c r="L791" s="71"/>
      <c r="M791" s="72"/>
      <c r="P791" s="72"/>
    </row>
    <row r="792" hidden="1">
      <c r="B792" s="68"/>
      <c r="D792" s="69"/>
      <c r="H792" s="70"/>
      <c r="K792" s="70"/>
      <c r="L792" s="71"/>
      <c r="M792" s="72"/>
      <c r="P792" s="72"/>
    </row>
    <row r="793" hidden="1">
      <c r="B793" s="68"/>
      <c r="D793" s="69"/>
      <c r="H793" s="70"/>
      <c r="K793" s="70"/>
      <c r="L793" s="71"/>
      <c r="M793" s="72"/>
      <c r="P793" s="72"/>
    </row>
    <row r="794" hidden="1">
      <c r="B794" s="68"/>
      <c r="D794" s="69"/>
      <c r="H794" s="70"/>
      <c r="K794" s="70"/>
      <c r="L794" s="71"/>
      <c r="M794" s="72"/>
      <c r="P794" s="72"/>
    </row>
    <row r="795" hidden="1">
      <c r="B795" s="68"/>
      <c r="D795" s="69"/>
      <c r="H795" s="70"/>
      <c r="K795" s="70"/>
      <c r="L795" s="71"/>
      <c r="M795" s="72"/>
      <c r="P795" s="72"/>
    </row>
    <row r="796" hidden="1">
      <c r="B796" s="68"/>
      <c r="D796" s="69"/>
      <c r="H796" s="70"/>
      <c r="K796" s="70"/>
      <c r="L796" s="71"/>
      <c r="M796" s="72"/>
      <c r="P796" s="72"/>
    </row>
    <row r="797" hidden="1">
      <c r="B797" s="68"/>
      <c r="D797" s="69"/>
      <c r="H797" s="70"/>
      <c r="K797" s="70"/>
      <c r="L797" s="71"/>
      <c r="M797" s="72"/>
      <c r="P797" s="72"/>
    </row>
    <row r="798" hidden="1">
      <c r="B798" s="68"/>
      <c r="D798" s="69"/>
      <c r="H798" s="70"/>
      <c r="K798" s="70"/>
      <c r="L798" s="71"/>
      <c r="M798" s="72"/>
      <c r="P798" s="72"/>
    </row>
    <row r="799" hidden="1">
      <c r="B799" s="68"/>
      <c r="D799" s="69"/>
      <c r="H799" s="70"/>
      <c r="K799" s="70"/>
      <c r="L799" s="71"/>
      <c r="M799" s="72"/>
      <c r="P799" s="72"/>
    </row>
    <row r="800" hidden="1">
      <c r="B800" s="68"/>
      <c r="D800" s="69"/>
      <c r="H800" s="70"/>
      <c r="K800" s="70"/>
      <c r="L800" s="71"/>
      <c r="M800" s="72"/>
      <c r="P800" s="72"/>
    </row>
    <row r="801" hidden="1">
      <c r="B801" s="68"/>
      <c r="D801" s="69"/>
      <c r="H801" s="70"/>
      <c r="K801" s="70"/>
      <c r="L801" s="71"/>
      <c r="M801" s="72"/>
      <c r="P801" s="72"/>
    </row>
    <row r="802" hidden="1">
      <c r="B802" s="68"/>
      <c r="D802" s="69"/>
      <c r="H802" s="70"/>
      <c r="K802" s="70"/>
      <c r="L802" s="71"/>
      <c r="M802" s="72"/>
      <c r="P802" s="72"/>
    </row>
    <row r="803" hidden="1">
      <c r="B803" s="68"/>
      <c r="D803" s="69"/>
      <c r="H803" s="70"/>
      <c r="K803" s="70"/>
      <c r="L803" s="71"/>
      <c r="M803" s="72"/>
      <c r="P803" s="72"/>
    </row>
    <row r="804" hidden="1">
      <c r="B804" s="68"/>
      <c r="D804" s="69"/>
      <c r="H804" s="70"/>
      <c r="K804" s="70"/>
      <c r="L804" s="71"/>
      <c r="M804" s="72"/>
      <c r="P804" s="72"/>
    </row>
    <row r="805" hidden="1">
      <c r="B805" s="68"/>
      <c r="D805" s="69"/>
      <c r="H805" s="70"/>
      <c r="K805" s="70"/>
      <c r="L805" s="71"/>
      <c r="M805" s="72"/>
      <c r="P805" s="72"/>
    </row>
    <row r="806" hidden="1">
      <c r="B806" s="68"/>
      <c r="D806" s="69"/>
      <c r="H806" s="70"/>
      <c r="K806" s="70"/>
      <c r="L806" s="71"/>
      <c r="M806" s="72"/>
      <c r="P806" s="72"/>
    </row>
    <row r="807" hidden="1">
      <c r="B807" s="68"/>
      <c r="D807" s="69"/>
      <c r="H807" s="70"/>
      <c r="K807" s="70"/>
      <c r="L807" s="71"/>
      <c r="M807" s="72"/>
      <c r="P807" s="72"/>
    </row>
    <row r="808" hidden="1">
      <c r="B808" s="68"/>
      <c r="D808" s="69"/>
      <c r="H808" s="70"/>
      <c r="K808" s="70"/>
      <c r="L808" s="71"/>
      <c r="M808" s="72"/>
      <c r="P808" s="72"/>
    </row>
    <row r="809" hidden="1">
      <c r="B809" s="68"/>
      <c r="D809" s="69"/>
      <c r="H809" s="70"/>
      <c r="K809" s="70"/>
      <c r="L809" s="71"/>
      <c r="M809" s="72"/>
      <c r="P809" s="72"/>
    </row>
    <row r="810" hidden="1">
      <c r="B810" s="68"/>
      <c r="D810" s="69"/>
      <c r="H810" s="70"/>
      <c r="K810" s="70"/>
      <c r="L810" s="71"/>
      <c r="M810" s="72"/>
      <c r="P810" s="72"/>
    </row>
    <row r="811" hidden="1">
      <c r="B811" s="68"/>
      <c r="D811" s="69"/>
      <c r="H811" s="70"/>
      <c r="K811" s="70"/>
      <c r="L811" s="71"/>
      <c r="M811" s="72"/>
      <c r="P811" s="72"/>
    </row>
    <row r="812" hidden="1">
      <c r="B812" s="68"/>
      <c r="D812" s="69"/>
      <c r="H812" s="70"/>
      <c r="K812" s="70"/>
      <c r="L812" s="71"/>
      <c r="M812" s="72"/>
      <c r="P812" s="72"/>
    </row>
    <row r="813" hidden="1">
      <c r="B813" s="68"/>
      <c r="D813" s="69"/>
      <c r="H813" s="70"/>
      <c r="K813" s="70"/>
      <c r="L813" s="71"/>
      <c r="M813" s="72"/>
      <c r="P813" s="72"/>
    </row>
    <row r="814" hidden="1">
      <c r="B814" s="68"/>
      <c r="D814" s="69"/>
      <c r="H814" s="70"/>
      <c r="K814" s="70"/>
      <c r="L814" s="71"/>
      <c r="M814" s="72"/>
      <c r="P814" s="72"/>
    </row>
    <row r="815" hidden="1">
      <c r="B815" s="68"/>
      <c r="D815" s="69"/>
      <c r="H815" s="70"/>
      <c r="K815" s="70"/>
      <c r="L815" s="71"/>
      <c r="M815" s="72"/>
      <c r="P815" s="72"/>
    </row>
    <row r="816" hidden="1">
      <c r="B816" s="68"/>
      <c r="D816" s="69"/>
      <c r="H816" s="70"/>
      <c r="K816" s="70"/>
      <c r="L816" s="71"/>
      <c r="M816" s="72"/>
      <c r="P816" s="72"/>
    </row>
    <row r="817" hidden="1">
      <c r="B817" s="68"/>
      <c r="D817" s="69"/>
      <c r="H817" s="70"/>
      <c r="K817" s="70"/>
      <c r="L817" s="71"/>
      <c r="M817" s="72"/>
      <c r="P817" s="72"/>
    </row>
    <row r="818" hidden="1">
      <c r="B818" s="68"/>
      <c r="D818" s="69"/>
      <c r="H818" s="70"/>
      <c r="K818" s="70"/>
      <c r="L818" s="71"/>
      <c r="M818" s="72"/>
      <c r="P818" s="72"/>
    </row>
    <row r="819" hidden="1">
      <c r="B819" s="68"/>
      <c r="D819" s="69"/>
      <c r="H819" s="70"/>
      <c r="K819" s="70"/>
      <c r="L819" s="71"/>
      <c r="M819" s="72"/>
      <c r="P819" s="72"/>
    </row>
    <row r="820" hidden="1">
      <c r="B820" s="68"/>
      <c r="D820" s="69"/>
      <c r="H820" s="70"/>
      <c r="K820" s="70"/>
      <c r="L820" s="71"/>
      <c r="M820" s="72"/>
      <c r="P820" s="72"/>
    </row>
    <row r="821" hidden="1">
      <c r="B821" s="68"/>
      <c r="D821" s="69"/>
      <c r="H821" s="70"/>
      <c r="K821" s="70"/>
      <c r="L821" s="71"/>
      <c r="M821" s="72"/>
      <c r="P821" s="72"/>
    </row>
    <row r="822" hidden="1">
      <c r="B822" s="68"/>
      <c r="D822" s="69"/>
      <c r="H822" s="70"/>
      <c r="K822" s="70"/>
      <c r="L822" s="71"/>
      <c r="M822" s="72"/>
      <c r="P822" s="72"/>
    </row>
    <row r="823" hidden="1">
      <c r="B823" s="68"/>
      <c r="D823" s="69"/>
      <c r="H823" s="70"/>
      <c r="K823" s="70"/>
      <c r="L823" s="71"/>
      <c r="M823" s="72"/>
      <c r="P823" s="72"/>
    </row>
    <row r="824" hidden="1">
      <c r="B824" s="68"/>
      <c r="D824" s="69"/>
      <c r="H824" s="70"/>
      <c r="K824" s="70"/>
      <c r="L824" s="71"/>
      <c r="M824" s="72"/>
      <c r="P824" s="72"/>
    </row>
    <row r="825" hidden="1">
      <c r="B825" s="68"/>
      <c r="D825" s="69"/>
      <c r="H825" s="70"/>
      <c r="K825" s="70"/>
      <c r="L825" s="71"/>
      <c r="M825" s="72"/>
      <c r="P825" s="72"/>
    </row>
    <row r="826" hidden="1">
      <c r="B826" s="68"/>
      <c r="D826" s="69"/>
      <c r="H826" s="70"/>
      <c r="K826" s="70"/>
      <c r="L826" s="71"/>
      <c r="M826" s="72"/>
      <c r="P826" s="72"/>
    </row>
    <row r="827" hidden="1">
      <c r="B827" s="68"/>
      <c r="D827" s="69"/>
      <c r="H827" s="70"/>
      <c r="K827" s="70"/>
      <c r="L827" s="71"/>
      <c r="M827" s="72"/>
      <c r="P827" s="72"/>
    </row>
    <row r="828" hidden="1">
      <c r="B828" s="68"/>
      <c r="D828" s="69"/>
      <c r="H828" s="70"/>
      <c r="K828" s="70"/>
      <c r="L828" s="71"/>
      <c r="M828" s="72"/>
      <c r="P828" s="72"/>
    </row>
    <row r="829" hidden="1">
      <c r="B829" s="68"/>
      <c r="D829" s="69"/>
      <c r="H829" s="70"/>
      <c r="K829" s="70"/>
      <c r="L829" s="71"/>
      <c r="M829" s="72"/>
      <c r="P829" s="72"/>
    </row>
    <row r="830" hidden="1">
      <c r="B830" s="68"/>
      <c r="D830" s="69"/>
      <c r="H830" s="70"/>
      <c r="K830" s="70"/>
      <c r="L830" s="71"/>
      <c r="M830" s="72"/>
      <c r="P830" s="72"/>
    </row>
    <row r="831" hidden="1">
      <c r="B831" s="68"/>
      <c r="D831" s="69"/>
      <c r="H831" s="70"/>
      <c r="K831" s="70"/>
      <c r="L831" s="71"/>
      <c r="M831" s="72"/>
      <c r="P831" s="72"/>
    </row>
    <row r="832" hidden="1">
      <c r="B832" s="68"/>
      <c r="D832" s="69"/>
      <c r="H832" s="70"/>
      <c r="K832" s="70"/>
      <c r="L832" s="71"/>
      <c r="M832" s="72"/>
      <c r="P832" s="72"/>
    </row>
    <row r="833" hidden="1">
      <c r="B833" s="68"/>
      <c r="D833" s="69"/>
      <c r="H833" s="70"/>
      <c r="K833" s="70"/>
      <c r="L833" s="71"/>
      <c r="M833" s="72"/>
      <c r="P833" s="72"/>
    </row>
    <row r="834" hidden="1">
      <c r="B834" s="68"/>
      <c r="D834" s="69"/>
      <c r="H834" s="70"/>
      <c r="K834" s="70"/>
      <c r="L834" s="71"/>
      <c r="M834" s="72"/>
      <c r="P834" s="72"/>
    </row>
    <row r="835" hidden="1">
      <c r="B835" s="68"/>
      <c r="D835" s="69"/>
      <c r="H835" s="70"/>
      <c r="K835" s="70"/>
      <c r="L835" s="71"/>
      <c r="M835" s="72"/>
      <c r="P835" s="72"/>
    </row>
    <row r="836" hidden="1">
      <c r="B836" s="68"/>
      <c r="D836" s="69"/>
      <c r="H836" s="70"/>
      <c r="K836" s="70"/>
      <c r="L836" s="71"/>
      <c r="M836" s="72"/>
      <c r="P836" s="72"/>
    </row>
    <row r="837" hidden="1">
      <c r="B837" s="68"/>
      <c r="D837" s="69"/>
      <c r="H837" s="70"/>
      <c r="K837" s="70"/>
      <c r="L837" s="71"/>
      <c r="M837" s="72"/>
      <c r="P837" s="72"/>
    </row>
    <row r="838" hidden="1">
      <c r="B838" s="68"/>
      <c r="D838" s="69"/>
      <c r="H838" s="70"/>
      <c r="K838" s="70"/>
      <c r="L838" s="71"/>
      <c r="M838" s="72"/>
      <c r="P838" s="72"/>
    </row>
    <row r="839" hidden="1">
      <c r="B839" s="68"/>
      <c r="D839" s="69"/>
      <c r="H839" s="70"/>
      <c r="K839" s="70"/>
      <c r="L839" s="71"/>
      <c r="M839" s="72"/>
      <c r="P839" s="72"/>
    </row>
    <row r="840" hidden="1">
      <c r="B840" s="68"/>
      <c r="D840" s="69"/>
      <c r="H840" s="70"/>
      <c r="K840" s="70"/>
      <c r="L840" s="71"/>
      <c r="M840" s="72"/>
      <c r="P840" s="72"/>
    </row>
    <row r="841" hidden="1">
      <c r="B841" s="68"/>
      <c r="D841" s="69"/>
      <c r="H841" s="70"/>
      <c r="K841" s="70"/>
      <c r="L841" s="71"/>
      <c r="M841" s="72"/>
      <c r="P841" s="72"/>
    </row>
    <row r="842" hidden="1">
      <c r="B842" s="68"/>
      <c r="D842" s="69"/>
      <c r="H842" s="70"/>
      <c r="K842" s="70"/>
      <c r="L842" s="71"/>
      <c r="M842" s="72"/>
      <c r="P842" s="72"/>
    </row>
    <row r="843" hidden="1">
      <c r="B843" s="68"/>
      <c r="D843" s="69"/>
      <c r="H843" s="70"/>
      <c r="K843" s="70"/>
      <c r="L843" s="71"/>
      <c r="M843" s="72"/>
      <c r="P843" s="72"/>
    </row>
    <row r="844" hidden="1">
      <c r="B844" s="68"/>
      <c r="D844" s="69"/>
      <c r="H844" s="70"/>
      <c r="K844" s="70"/>
      <c r="L844" s="71"/>
      <c r="M844" s="72"/>
      <c r="P844" s="72"/>
    </row>
    <row r="845" hidden="1">
      <c r="B845" s="68"/>
      <c r="D845" s="69"/>
      <c r="H845" s="70"/>
      <c r="K845" s="70"/>
      <c r="L845" s="71"/>
      <c r="M845" s="72"/>
      <c r="P845" s="72"/>
    </row>
    <row r="846" hidden="1">
      <c r="B846" s="68"/>
      <c r="D846" s="69"/>
      <c r="H846" s="70"/>
      <c r="K846" s="70"/>
      <c r="L846" s="71"/>
      <c r="M846" s="72"/>
      <c r="P846" s="72"/>
    </row>
    <row r="847" hidden="1">
      <c r="B847" s="68"/>
      <c r="D847" s="69"/>
      <c r="H847" s="70"/>
      <c r="K847" s="70"/>
      <c r="L847" s="71"/>
      <c r="M847" s="72"/>
      <c r="P847" s="72"/>
    </row>
    <row r="848" hidden="1">
      <c r="B848" s="68"/>
      <c r="D848" s="69"/>
      <c r="H848" s="70"/>
      <c r="K848" s="70"/>
      <c r="L848" s="71"/>
      <c r="M848" s="72"/>
      <c r="P848" s="72"/>
    </row>
    <row r="849" hidden="1">
      <c r="B849" s="68"/>
      <c r="D849" s="69"/>
      <c r="H849" s="70"/>
      <c r="K849" s="70"/>
      <c r="L849" s="71"/>
      <c r="M849" s="72"/>
      <c r="P849" s="72"/>
    </row>
    <row r="850" hidden="1">
      <c r="B850" s="68"/>
      <c r="D850" s="69"/>
      <c r="H850" s="70"/>
      <c r="K850" s="70"/>
      <c r="L850" s="71"/>
      <c r="M850" s="72"/>
      <c r="P850" s="72"/>
    </row>
    <row r="851" hidden="1">
      <c r="B851" s="68"/>
      <c r="D851" s="69"/>
      <c r="H851" s="70"/>
      <c r="K851" s="70"/>
      <c r="L851" s="71"/>
      <c r="M851" s="72"/>
      <c r="P851" s="72"/>
    </row>
    <row r="852" hidden="1">
      <c r="B852" s="68"/>
      <c r="D852" s="69"/>
      <c r="H852" s="70"/>
      <c r="K852" s="70"/>
      <c r="L852" s="71"/>
      <c r="M852" s="72"/>
      <c r="P852" s="72"/>
    </row>
    <row r="853" hidden="1">
      <c r="B853" s="68"/>
      <c r="D853" s="69"/>
      <c r="H853" s="70"/>
      <c r="K853" s="70"/>
      <c r="L853" s="71"/>
      <c r="M853" s="72"/>
      <c r="P853" s="72"/>
    </row>
    <row r="854" hidden="1">
      <c r="B854" s="68"/>
      <c r="D854" s="69"/>
      <c r="H854" s="70"/>
      <c r="K854" s="70"/>
      <c r="L854" s="71"/>
      <c r="M854" s="72"/>
      <c r="P854" s="72"/>
    </row>
    <row r="855" hidden="1">
      <c r="B855" s="68"/>
      <c r="D855" s="69"/>
      <c r="H855" s="70"/>
      <c r="K855" s="70"/>
      <c r="L855" s="71"/>
      <c r="M855" s="72"/>
      <c r="P855" s="72"/>
    </row>
    <row r="856" hidden="1">
      <c r="B856" s="68"/>
      <c r="D856" s="69"/>
      <c r="H856" s="70"/>
      <c r="K856" s="70"/>
      <c r="L856" s="71"/>
      <c r="M856" s="72"/>
      <c r="P856" s="72"/>
    </row>
    <row r="857" hidden="1">
      <c r="B857" s="68"/>
      <c r="D857" s="69"/>
      <c r="H857" s="70"/>
      <c r="K857" s="70"/>
      <c r="L857" s="71"/>
      <c r="M857" s="72"/>
      <c r="P857" s="72"/>
    </row>
    <row r="858" hidden="1">
      <c r="B858" s="68"/>
      <c r="D858" s="69"/>
      <c r="H858" s="70"/>
      <c r="K858" s="70"/>
      <c r="L858" s="71"/>
      <c r="M858" s="72"/>
      <c r="P858" s="72"/>
    </row>
    <row r="859" hidden="1">
      <c r="B859" s="68"/>
      <c r="D859" s="69"/>
      <c r="H859" s="70"/>
      <c r="K859" s="70"/>
      <c r="L859" s="71"/>
      <c r="M859" s="72"/>
      <c r="P859" s="72"/>
    </row>
    <row r="860" hidden="1">
      <c r="B860" s="68"/>
      <c r="D860" s="69"/>
      <c r="H860" s="70"/>
      <c r="K860" s="70"/>
      <c r="L860" s="71"/>
      <c r="M860" s="72"/>
      <c r="P860" s="72"/>
    </row>
    <row r="861" hidden="1">
      <c r="B861" s="68"/>
      <c r="D861" s="69"/>
      <c r="H861" s="70"/>
      <c r="K861" s="70"/>
      <c r="L861" s="71"/>
      <c r="M861" s="72"/>
      <c r="P861" s="72"/>
    </row>
    <row r="862" hidden="1">
      <c r="B862" s="68"/>
      <c r="D862" s="69"/>
      <c r="H862" s="70"/>
      <c r="K862" s="70"/>
      <c r="L862" s="71"/>
      <c r="M862" s="72"/>
      <c r="P862" s="72"/>
    </row>
    <row r="863" hidden="1">
      <c r="B863" s="68"/>
      <c r="D863" s="69"/>
      <c r="H863" s="70"/>
      <c r="K863" s="70"/>
      <c r="L863" s="71"/>
      <c r="M863" s="72"/>
      <c r="P863" s="72"/>
    </row>
    <row r="864" hidden="1">
      <c r="B864" s="68"/>
      <c r="D864" s="69"/>
      <c r="H864" s="70"/>
      <c r="K864" s="70"/>
      <c r="L864" s="71"/>
      <c r="M864" s="72"/>
      <c r="P864" s="72"/>
    </row>
    <row r="865" hidden="1">
      <c r="B865" s="68"/>
      <c r="D865" s="69"/>
      <c r="H865" s="70"/>
      <c r="K865" s="70"/>
      <c r="L865" s="71"/>
      <c r="M865" s="72"/>
      <c r="P865" s="72"/>
    </row>
    <row r="866" hidden="1">
      <c r="B866" s="68"/>
      <c r="D866" s="69"/>
      <c r="H866" s="70"/>
      <c r="K866" s="70"/>
      <c r="L866" s="71"/>
      <c r="M866" s="72"/>
      <c r="P866" s="72"/>
    </row>
    <row r="867" hidden="1">
      <c r="B867" s="68"/>
      <c r="D867" s="69"/>
      <c r="H867" s="70"/>
      <c r="K867" s="70"/>
      <c r="L867" s="71"/>
      <c r="M867" s="72"/>
      <c r="P867" s="72"/>
    </row>
    <row r="868" hidden="1">
      <c r="B868" s="68"/>
      <c r="D868" s="69"/>
      <c r="H868" s="70"/>
      <c r="K868" s="70"/>
      <c r="L868" s="71"/>
      <c r="M868" s="72"/>
      <c r="P868" s="72"/>
    </row>
    <row r="869" hidden="1">
      <c r="B869" s="68"/>
      <c r="D869" s="69"/>
      <c r="H869" s="70"/>
      <c r="K869" s="70"/>
      <c r="L869" s="71"/>
      <c r="M869" s="72"/>
      <c r="P869" s="72"/>
    </row>
    <row r="870" hidden="1">
      <c r="B870" s="68"/>
      <c r="D870" s="69"/>
      <c r="H870" s="70"/>
      <c r="K870" s="70"/>
      <c r="L870" s="71"/>
      <c r="M870" s="72"/>
      <c r="P870" s="72"/>
    </row>
    <row r="871" hidden="1">
      <c r="B871" s="68"/>
      <c r="D871" s="69"/>
      <c r="H871" s="70"/>
      <c r="K871" s="70"/>
      <c r="L871" s="71"/>
      <c r="M871" s="72"/>
      <c r="P871" s="72"/>
    </row>
    <row r="872" hidden="1">
      <c r="B872" s="68"/>
      <c r="D872" s="69"/>
      <c r="H872" s="70"/>
      <c r="K872" s="70"/>
      <c r="L872" s="71"/>
      <c r="M872" s="72"/>
      <c r="P872" s="72"/>
    </row>
    <row r="873" hidden="1">
      <c r="B873" s="68"/>
      <c r="D873" s="69"/>
      <c r="H873" s="70"/>
      <c r="K873" s="70"/>
      <c r="L873" s="71"/>
      <c r="M873" s="72"/>
      <c r="P873" s="72"/>
    </row>
    <row r="874" hidden="1">
      <c r="B874" s="68"/>
      <c r="D874" s="69"/>
      <c r="H874" s="70"/>
      <c r="K874" s="70"/>
      <c r="L874" s="71"/>
      <c r="M874" s="72"/>
      <c r="P874" s="72"/>
    </row>
    <row r="875" hidden="1">
      <c r="B875" s="68"/>
      <c r="D875" s="69"/>
      <c r="H875" s="70"/>
      <c r="K875" s="70"/>
      <c r="L875" s="71"/>
      <c r="M875" s="72"/>
      <c r="P875" s="72"/>
    </row>
    <row r="876" hidden="1">
      <c r="B876" s="68"/>
      <c r="D876" s="69"/>
      <c r="H876" s="70"/>
      <c r="K876" s="70"/>
      <c r="L876" s="71"/>
      <c r="M876" s="72"/>
      <c r="P876" s="72"/>
    </row>
    <row r="877" hidden="1">
      <c r="B877" s="68"/>
      <c r="D877" s="69"/>
      <c r="H877" s="70"/>
      <c r="K877" s="70"/>
      <c r="L877" s="71"/>
      <c r="M877" s="72"/>
      <c r="P877" s="72"/>
    </row>
    <row r="878" hidden="1">
      <c r="B878" s="68"/>
      <c r="D878" s="69"/>
      <c r="H878" s="70"/>
      <c r="K878" s="70"/>
      <c r="L878" s="71"/>
      <c r="M878" s="72"/>
      <c r="P878" s="72"/>
    </row>
    <row r="879" hidden="1">
      <c r="B879" s="68"/>
      <c r="D879" s="69"/>
      <c r="H879" s="70"/>
      <c r="K879" s="70"/>
      <c r="L879" s="71"/>
      <c r="M879" s="72"/>
      <c r="P879" s="72"/>
    </row>
    <row r="880" hidden="1">
      <c r="B880" s="68"/>
      <c r="D880" s="69"/>
      <c r="H880" s="70"/>
      <c r="K880" s="70"/>
      <c r="L880" s="71"/>
      <c r="M880" s="72"/>
      <c r="P880" s="72"/>
    </row>
    <row r="881" hidden="1">
      <c r="B881" s="68"/>
      <c r="D881" s="69"/>
      <c r="H881" s="70"/>
      <c r="K881" s="70"/>
      <c r="L881" s="71"/>
      <c r="M881" s="72"/>
      <c r="P881" s="72"/>
    </row>
    <row r="882" hidden="1">
      <c r="B882" s="68"/>
      <c r="D882" s="69"/>
      <c r="H882" s="70"/>
      <c r="K882" s="70"/>
      <c r="L882" s="71"/>
      <c r="M882" s="72"/>
      <c r="P882" s="72"/>
    </row>
    <row r="883" hidden="1">
      <c r="B883" s="68"/>
      <c r="D883" s="69"/>
      <c r="H883" s="70"/>
      <c r="K883" s="70"/>
      <c r="L883" s="71"/>
      <c r="M883" s="72"/>
      <c r="P883" s="72"/>
    </row>
    <row r="884" hidden="1">
      <c r="B884" s="68"/>
      <c r="D884" s="69"/>
      <c r="H884" s="70"/>
      <c r="K884" s="70"/>
      <c r="L884" s="71"/>
      <c r="M884" s="72"/>
      <c r="P884" s="72"/>
    </row>
    <row r="885" hidden="1">
      <c r="B885" s="68"/>
      <c r="D885" s="69"/>
      <c r="H885" s="70"/>
      <c r="K885" s="70"/>
      <c r="L885" s="71"/>
      <c r="M885" s="72"/>
      <c r="P885" s="72"/>
    </row>
    <row r="886" hidden="1">
      <c r="B886" s="68"/>
      <c r="D886" s="69"/>
      <c r="H886" s="70"/>
      <c r="K886" s="70"/>
      <c r="L886" s="71"/>
      <c r="M886" s="72"/>
      <c r="P886" s="72"/>
    </row>
    <row r="887" hidden="1">
      <c r="B887" s="68"/>
      <c r="D887" s="69"/>
      <c r="H887" s="70"/>
      <c r="K887" s="70"/>
      <c r="L887" s="71"/>
      <c r="M887" s="72"/>
      <c r="P887" s="72"/>
    </row>
    <row r="888" hidden="1">
      <c r="B888" s="68"/>
      <c r="D888" s="69"/>
      <c r="H888" s="70"/>
      <c r="K888" s="70"/>
      <c r="L888" s="71"/>
      <c r="M888" s="72"/>
      <c r="P888" s="72"/>
    </row>
    <row r="889" hidden="1">
      <c r="B889" s="68"/>
      <c r="D889" s="69"/>
      <c r="H889" s="70"/>
      <c r="K889" s="70"/>
      <c r="L889" s="71"/>
      <c r="M889" s="72"/>
      <c r="P889" s="72"/>
    </row>
    <row r="890" hidden="1">
      <c r="B890" s="68"/>
      <c r="D890" s="69"/>
      <c r="H890" s="70"/>
      <c r="K890" s="70"/>
      <c r="L890" s="71"/>
      <c r="M890" s="72"/>
      <c r="P890" s="72"/>
    </row>
    <row r="891" hidden="1">
      <c r="B891" s="68"/>
      <c r="D891" s="69"/>
      <c r="H891" s="70"/>
      <c r="K891" s="70"/>
      <c r="L891" s="71"/>
      <c r="M891" s="72"/>
      <c r="P891" s="72"/>
    </row>
    <row r="892" hidden="1">
      <c r="B892" s="68"/>
      <c r="D892" s="69"/>
      <c r="H892" s="70"/>
      <c r="K892" s="70"/>
      <c r="L892" s="71"/>
      <c r="M892" s="72"/>
      <c r="P892" s="72"/>
    </row>
    <row r="893" hidden="1">
      <c r="B893" s="68"/>
      <c r="D893" s="69"/>
      <c r="H893" s="70"/>
      <c r="K893" s="70"/>
      <c r="L893" s="71"/>
      <c r="M893" s="72"/>
      <c r="P893" s="72"/>
    </row>
    <row r="894" hidden="1">
      <c r="B894" s="68"/>
      <c r="D894" s="69"/>
      <c r="H894" s="70"/>
      <c r="K894" s="70"/>
      <c r="L894" s="71"/>
      <c r="M894" s="72"/>
      <c r="P894" s="72"/>
    </row>
    <row r="895" hidden="1">
      <c r="B895" s="68"/>
      <c r="D895" s="69"/>
      <c r="H895" s="70"/>
      <c r="K895" s="70"/>
      <c r="L895" s="71"/>
      <c r="M895" s="72"/>
      <c r="P895" s="72"/>
    </row>
    <row r="896" hidden="1">
      <c r="B896" s="68"/>
      <c r="D896" s="69"/>
      <c r="H896" s="70"/>
      <c r="K896" s="70"/>
      <c r="L896" s="71"/>
      <c r="M896" s="72"/>
      <c r="P896" s="72"/>
    </row>
    <row r="897" hidden="1">
      <c r="B897" s="68"/>
      <c r="D897" s="69"/>
      <c r="H897" s="70"/>
      <c r="K897" s="70"/>
      <c r="L897" s="71"/>
      <c r="M897" s="72"/>
      <c r="P897" s="72"/>
    </row>
    <row r="898" hidden="1">
      <c r="B898" s="68"/>
      <c r="D898" s="69"/>
      <c r="H898" s="70"/>
      <c r="K898" s="70"/>
      <c r="L898" s="71"/>
      <c r="M898" s="72"/>
      <c r="P898" s="72"/>
    </row>
    <row r="899" hidden="1">
      <c r="B899" s="68"/>
      <c r="D899" s="69"/>
      <c r="H899" s="70"/>
      <c r="K899" s="70"/>
      <c r="L899" s="71"/>
      <c r="M899" s="72"/>
      <c r="P899" s="72"/>
    </row>
    <row r="900" hidden="1">
      <c r="B900" s="68"/>
      <c r="D900" s="69"/>
      <c r="H900" s="70"/>
      <c r="K900" s="70"/>
      <c r="L900" s="71"/>
      <c r="M900" s="72"/>
      <c r="P900" s="72"/>
    </row>
    <row r="901" hidden="1">
      <c r="B901" s="68"/>
      <c r="D901" s="69"/>
      <c r="H901" s="70"/>
      <c r="K901" s="70"/>
      <c r="L901" s="71"/>
      <c r="M901" s="72"/>
      <c r="P901" s="72"/>
    </row>
    <row r="902" hidden="1">
      <c r="B902" s="68"/>
      <c r="D902" s="69"/>
      <c r="H902" s="70"/>
      <c r="K902" s="70"/>
      <c r="L902" s="71"/>
      <c r="M902" s="72"/>
      <c r="P902" s="72"/>
    </row>
    <row r="903" hidden="1">
      <c r="B903" s="68"/>
      <c r="D903" s="69"/>
      <c r="H903" s="70"/>
      <c r="K903" s="70"/>
      <c r="L903" s="71"/>
      <c r="M903" s="72"/>
      <c r="P903" s="72"/>
    </row>
    <row r="904" hidden="1">
      <c r="B904" s="68"/>
      <c r="D904" s="69"/>
      <c r="H904" s="70"/>
      <c r="K904" s="70"/>
      <c r="L904" s="71"/>
      <c r="M904" s="72"/>
      <c r="P904" s="72"/>
    </row>
    <row r="905" hidden="1">
      <c r="B905" s="68"/>
      <c r="D905" s="69"/>
      <c r="H905" s="70"/>
      <c r="K905" s="70"/>
      <c r="L905" s="71"/>
      <c r="M905" s="72"/>
      <c r="P905" s="72"/>
    </row>
    <row r="906" hidden="1">
      <c r="B906" s="68"/>
      <c r="D906" s="69"/>
      <c r="H906" s="70"/>
      <c r="K906" s="70"/>
      <c r="L906" s="71"/>
      <c r="M906" s="72"/>
      <c r="P906" s="72"/>
    </row>
    <row r="907" hidden="1">
      <c r="B907" s="68"/>
      <c r="D907" s="69"/>
      <c r="H907" s="70"/>
      <c r="K907" s="70"/>
      <c r="L907" s="71"/>
      <c r="M907" s="72"/>
      <c r="P907" s="72"/>
    </row>
    <row r="908" hidden="1">
      <c r="B908" s="68"/>
      <c r="D908" s="69"/>
      <c r="H908" s="70"/>
      <c r="K908" s="70"/>
      <c r="L908" s="71"/>
      <c r="M908" s="72"/>
      <c r="P908" s="72"/>
    </row>
    <row r="909" hidden="1">
      <c r="B909" s="68"/>
      <c r="D909" s="69"/>
      <c r="H909" s="70"/>
      <c r="K909" s="70"/>
      <c r="L909" s="71"/>
      <c r="M909" s="72"/>
      <c r="P909" s="72"/>
    </row>
    <row r="910" hidden="1">
      <c r="B910" s="68"/>
      <c r="D910" s="69"/>
      <c r="H910" s="70"/>
      <c r="K910" s="70"/>
      <c r="L910" s="71"/>
      <c r="M910" s="72"/>
      <c r="P910" s="72"/>
    </row>
    <row r="911" hidden="1">
      <c r="B911" s="68"/>
      <c r="D911" s="69"/>
      <c r="H911" s="70"/>
      <c r="K911" s="70"/>
      <c r="L911" s="71"/>
      <c r="M911" s="72"/>
      <c r="P911" s="72"/>
    </row>
    <row r="912" hidden="1">
      <c r="B912" s="68"/>
      <c r="D912" s="69"/>
      <c r="H912" s="70"/>
      <c r="K912" s="70"/>
      <c r="L912" s="71"/>
      <c r="M912" s="72"/>
      <c r="P912" s="72"/>
    </row>
    <row r="913" hidden="1">
      <c r="B913" s="68"/>
      <c r="D913" s="69"/>
      <c r="H913" s="70"/>
      <c r="K913" s="70"/>
      <c r="L913" s="71"/>
      <c r="M913" s="72"/>
      <c r="P913" s="72"/>
    </row>
    <row r="914" hidden="1">
      <c r="B914" s="68"/>
      <c r="D914" s="69"/>
      <c r="H914" s="70"/>
      <c r="K914" s="70"/>
      <c r="L914" s="71"/>
      <c r="M914" s="72"/>
      <c r="P914" s="72"/>
    </row>
    <row r="915" hidden="1">
      <c r="B915" s="68"/>
      <c r="D915" s="69"/>
      <c r="H915" s="70"/>
      <c r="K915" s="70"/>
      <c r="L915" s="71"/>
      <c r="M915" s="72"/>
      <c r="P915" s="72"/>
    </row>
    <row r="916" hidden="1">
      <c r="B916" s="68"/>
      <c r="D916" s="69"/>
      <c r="H916" s="70"/>
      <c r="K916" s="70"/>
      <c r="L916" s="71"/>
      <c r="M916" s="72"/>
      <c r="P916" s="72"/>
    </row>
    <row r="917" hidden="1">
      <c r="B917" s="68"/>
      <c r="D917" s="69"/>
      <c r="H917" s="70"/>
      <c r="K917" s="70"/>
      <c r="L917" s="71"/>
      <c r="M917" s="72"/>
      <c r="P917" s="72"/>
    </row>
    <row r="918" hidden="1">
      <c r="B918" s="68"/>
      <c r="D918" s="69"/>
      <c r="H918" s="70"/>
      <c r="K918" s="70"/>
      <c r="L918" s="71"/>
      <c r="M918" s="72"/>
      <c r="P918" s="72"/>
    </row>
    <row r="919" hidden="1">
      <c r="B919" s="68"/>
      <c r="D919" s="69"/>
      <c r="H919" s="70"/>
      <c r="K919" s="70"/>
      <c r="L919" s="71"/>
      <c r="M919" s="72"/>
      <c r="P919" s="72"/>
    </row>
    <row r="920" hidden="1">
      <c r="B920" s="68"/>
      <c r="D920" s="69"/>
      <c r="H920" s="70"/>
      <c r="K920" s="70"/>
      <c r="L920" s="71"/>
      <c r="M920" s="72"/>
      <c r="P920" s="72"/>
    </row>
    <row r="921" hidden="1">
      <c r="B921" s="68"/>
      <c r="D921" s="69"/>
      <c r="H921" s="70"/>
      <c r="K921" s="70"/>
      <c r="L921" s="71"/>
      <c r="M921" s="72"/>
      <c r="P921" s="72"/>
    </row>
    <row r="922" hidden="1">
      <c r="B922" s="68"/>
      <c r="D922" s="69"/>
      <c r="H922" s="70"/>
      <c r="K922" s="70"/>
      <c r="L922" s="71"/>
      <c r="M922" s="72"/>
      <c r="P922" s="72"/>
    </row>
    <row r="923" hidden="1">
      <c r="B923" s="68"/>
      <c r="D923" s="69"/>
      <c r="H923" s="70"/>
      <c r="K923" s="70"/>
      <c r="L923" s="71"/>
      <c r="M923" s="72"/>
      <c r="P923" s="72"/>
    </row>
    <row r="924" hidden="1">
      <c r="B924" s="68"/>
      <c r="D924" s="69"/>
      <c r="H924" s="70"/>
      <c r="K924" s="70"/>
      <c r="L924" s="71"/>
      <c r="M924" s="72"/>
      <c r="P924" s="72"/>
    </row>
    <row r="925" hidden="1">
      <c r="B925" s="68"/>
      <c r="D925" s="69"/>
      <c r="H925" s="70"/>
      <c r="K925" s="70"/>
      <c r="L925" s="71"/>
      <c r="M925" s="72"/>
      <c r="P925" s="72"/>
    </row>
    <row r="926" hidden="1">
      <c r="B926" s="68"/>
      <c r="D926" s="69"/>
      <c r="H926" s="70"/>
      <c r="K926" s="70"/>
      <c r="L926" s="71"/>
      <c r="M926" s="72"/>
      <c r="P926" s="72"/>
    </row>
    <row r="927" hidden="1">
      <c r="B927" s="68"/>
      <c r="D927" s="69"/>
      <c r="H927" s="70"/>
      <c r="K927" s="70"/>
      <c r="L927" s="71"/>
      <c r="M927" s="72"/>
      <c r="P927" s="72"/>
    </row>
    <row r="928" hidden="1">
      <c r="B928" s="68"/>
      <c r="D928" s="69"/>
      <c r="H928" s="70"/>
      <c r="K928" s="70"/>
      <c r="L928" s="71"/>
      <c r="M928" s="72"/>
      <c r="P928" s="72"/>
    </row>
    <row r="929" hidden="1">
      <c r="B929" s="68"/>
      <c r="D929" s="69"/>
      <c r="H929" s="70"/>
      <c r="K929" s="70"/>
      <c r="L929" s="71"/>
      <c r="M929" s="72"/>
      <c r="P929" s="72"/>
    </row>
    <row r="930" hidden="1">
      <c r="B930" s="68"/>
      <c r="D930" s="69"/>
      <c r="H930" s="70"/>
      <c r="K930" s="70"/>
      <c r="L930" s="71"/>
      <c r="M930" s="72"/>
      <c r="P930" s="72"/>
    </row>
    <row r="931" hidden="1">
      <c r="B931" s="68"/>
      <c r="D931" s="69"/>
      <c r="H931" s="70"/>
      <c r="K931" s="70"/>
      <c r="L931" s="71"/>
      <c r="M931" s="72"/>
      <c r="P931" s="72"/>
    </row>
    <row r="932" hidden="1">
      <c r="B932" s="68"/>
      <c r="D932" s="69"/>
      <c r="H932" s="70"/>
      <c r="K932" s="70"/>
      <c r="L932" s="71"/>
      <c r="M932" s="72"/>
      <c r="P932" s="72"/>
    </row>
    <row r="933" hidden="1">
      <c r="B933" s="68"/>
      <c r="D933" s="69"/>
      <c r="H933" s="70"/>
      <c r="K933" s="70"/>
      <c r="L933" s="71"/>
      <c r="M933" s="72"/>
      <c r="P933" s="72"/>
    </row>
    <row r="934" hidden="1">
      <c r="B934" s="68"/>
      <c r="D934" s="69"/>
      <c r="H934" s="70"/>
      <c r="K934" s="70"/>
      <c r="L934" s="71"/>
      <c r="M934" s="72"/>
      <c r="P934" s="72"/>
    </row>
    <row r="935" hidden="1">
      <c r="B935" s="68"/>
      <c r="D935" s="69"/>
      <c r="H935" s="70"/>
      <c r="K935" s="70"/>
      <c r="L935" s="71"/>
      <c r="M935" s="72"/>
      <c r="P935" s="72"/>
    </row>
    <row r="936" hidden="1">
      <c r="B936" s="68"/>
      <c r="D936" s="69"/>
      <c r="H936" s="70"/>
      <c r="K936" s="70"/>
      <c r="L936" s="71"/>
      <c r="M936" s="72"/>
      <c r="P936" s="72"/>
    </row>
    <row r="937" hidden="1">
      <c r="B937" s="68"/>
      <c r="D937" s="69"/>
      <c r="H937" s="70"/>
      <c r="K937" s="70"/>
      <c r="L937" s="71"/>
      <c r="M937" s="72"/>
      <c r="P937" s="72"/>
    </row>
    <row r="938" hidden="1">
      <c r="B938" s="68"/>
      <c r="D938" s="69"/>
      <c r="H938" s="70"/>
      <c r="K938" s="70"/>
      <c r="L938" s="71"/>
      <c r="M938" s="72"/>
      <c r="P938" s="72"/>
    </row>
    <row r="939" hidden="1">
      <c r="B939" s="68"/>
      <c r="D939" s="69"/>
      <c r="H939" s="70"/>
      <c r="K939" s="70"/>
      <c r="L939" s="71"/>
      <c r="M939" s="72"/>
      <c r="P939" s="72"/>
    </row>
    <row r="940" hidden="1">
      <c r="B940" s="68"/>
      <c r="D940" s="69"/>
      <c r="H940" s="70"/>
      <c r="K940" s="70"/>
      <c r="L940" s="71"/>
      <c r="M940" s="72"/>
      <c r="P940" s="72"/>
    </row>
    <row r="941" hidden="1">
      <c r="B941" s="68"/>
      <c r="D941" s="69"/>
      <c r="H941" s="70"/>
      <c r="K941" s="70"/>
      <c r="L941" s="71"/>
      <c r="M941" s="72"/>
      <c r="P941" s="72"/>
    </row>
    <row r="942" hidden="1">
      <c r="B942" s="68"/>
      <c r="D942" s="69"/>
      <c r="H942" s="70"/>
      <c r="K942" s="70"/>
      <c r="L942" s="71"/>
      <c r="M942" s="72"/>
      <c r="P942" s="72"/>
    </row>
    <row r="943" hidden="1">
      <c r="B943" s="68"/>
      <c r="D943" s="69"/>
      <c r="H943" s="70"/>
      <c r="K943" s="70"/>
      <c r="L943" s="71"/>
      <c r="M943" s="72"/>
      <c r="P943" s="72"/>
    </row>
    <row r="944" hidden="1">
      <c r="B944" s="68"/>
      <c r="D944" s="69"/>
      <c r="H944" s="70"/>
      <c r="K944" s="70"/>
      <c r="L944" s="71"/>
      <c r="M944" s="72"/>
      <c r="P944" s="72"/>
    </row>
    <row r="945" hidden="1">
      <c r="B945" s="68"/>
      <c r="D945" s="69"/>
      <c r="H945" s="70"/>
      <c r="K945" s="70"/>
      <c r="L945" s="71"/>
      <c r="M945" s="72"/>
      <c r="P945" s="72"/>
    </row>
    <row r="946" hidden="1">
      <c r="B946" s="68"/>
      <c r="D946" s="69"/>
      <c r="H946" s="70"/>
      <c r="K946" s="70"/>
      <c r="L946" s="71"/>
      <c r="M946" s="72"/>
      <c r="P946" s="72"/>
    </row>
    <row r="947" hidden="1">
      <c r="B947" s="68"/>
      <c r="D947" s="69"/>
      <c r="H947" s="70"/>
      <c r="K947" s="70"/>
      <c r="L947" s="71"/>
      <c r="M947" s="72"/>
      <c r="P947" s="72"/>
    </row>
    <row r="948" hidden="1">
      <c r="B948" s="68"/>
      <c r="D948" s="69"/>
      <c r="H948" s="70"/>
      <c r="K948" s="70"/>
      <c r="L948" s="71"/>
      <c r="M948" s="72"/>
      <c r="P948" s="72"/>
    </row>
    <row r="949" hidden="1">
      <c r="B949" s="68"/>
      <c r="D949" s="69"/>
      <c r="H949" s="70"/>
      <c r="K949" s="70"/>
      <c r="L949" s="71"/>
      <c r="M949" s="72"/>
      <c r="P949" s="72"/>
    </row>
    <row r="950" hidden="1">
      <c r="B950" s="68"/>
      <c r="D950" s="69"/>
      <c r="H950" s="70"/>
      <c r="K950" s="70"/>
      <c r="L950" s="71"/>
      <c r="M950" s="72"/>
      <c r="P950" s="72"/>
    </row>
    <row r="951" hidden="1">
      <c r="B951" s="68"/>
      <c r="D951" s="69"/>
      <c r="H951" s="70"/>
      <c r="K951" s="70"/>
      <c r="L951" s="71"/>
      <c r="M951" s="72"/>
      <c r="P951" s="72"/>
    </row>
    <row r="952" hidden="1">
      <c r="B952" s="68"/>
      <c r="D952" s="69"/>
      <c r="H952" s="70"/>
      <c r="K952" s="70"/>
      <c r="L952" s="71"/>
      <c r="M952" s="72"/>
      <c r="P952" s="72"/>
    </row>
    <row r="953" hidden="1">
      <c r="B953" s="68"/>
      <c r="D953" s="69"/>
      <c r="H953" s="70"/>
      <c r="K953" s="70"/>
      <c r="L953" s="71"/>
      <c r="M953" s="72"/>
      <c r="P953" s="72"/>
    </row>
    <row r="954" hidden="1">
      <c r="B954" s="68"/>
      <c r="D954" s="69"/>
      <c r="H954" s="70"/>
      <c r="K954" s="70"/>
      <c r="L954" s="71"/>
      <c r="M954" s="72"/>
      <c r="P954" s="72"/>
    </row>
    <row r="955" hidden="1">
      <c r="B955" s="68"/>
      <c r="D955" s="69"/>
      <c r="H955" s="70"/>
      <c r="K955" s="70"/>
      <c r="L955" s="71"/>
      <c r="M955" s="72"/>
      <c r="P955" s="72"/>
    </row>
    <row r="956" hidden="1">
      <c r="B956" s="68"/>
      <c r="D956" s="69"/>
      <c r="H956" s="70"/>
      <c r="K956" s="70"/>
      <c r="L956" s="71"/>
      <c r="M956" s="72"/>
      <c r="P956" s="72"/>
    </row>
    <row r="957" hidden="1">
      <c r="B957" s="68"/>
      <c r="D957" s="69"/>
      <c r="H957" s="70"/>
      <c r="K957" s="70"/>
      <c r="L957" s="71"/>
      <c r="M957" s="72"/>
      <c r="P957" s="72"/>
    </row>
    <row r="958" hidden="1">
      <c r="B958" s="68"/>
      <c r="D958" s="69"/>
      <c r="H958" s="70"/>
      <c r="K958" s="70"/>
      <c r="L958" s="71"/>
      <c r="M958" s="72"/>
      <c r="P958" s="72"/>
    </row>
    <row r="959" hidden="1">
      <c r="B959" s="68"/>
      <c r="D959" s="69"/>
      <c r="H959" s="70"/>
      <c r="K959" s="70"/>
      <c r="L959" s="71"/>
      <c r="M959" s="72"/>
      <c r="P959" s="72"/>
    </row>
    <row r="960" hidden="1">
      <c r="B960" s="68"/>
      <c r="D960" s="69"/>
      <c r="H960" s="70"/>
      <c r="K960" s="70"/>
      <c r="L960" s="71"/>
      <c r="M960" s="72"/>
      <c r="P960" s="72"/>
    </row>
    <row r="961" hidden="1">
      <c r="B961" s="68"/>
      <c r="D961" s="69"/>
      <c r="H961" s="70"/>
      <c r="K961" s="70"/>
      <c r="L961" s="71"/>
      <c r="M961" s="72"/>
      <c r="P961" s="72"/>
    </row>
    <row r="962" hidden="1">
      <c r="B962" s="68"/>
      <c r="D962" s="69"/>
      <c r="H962" s="70"/>
      <c r="K962" s="70"/>
      <c r="L962" s="71"/>
      <c r="M962" s="72"/>
      <c r="P962" s="72"/>
    </row>
    <row r="963" hidden="1">
      <c r="B963" s="68"/>
      <c r="D963" s="69"/>
      <c r="H963" s="70"/>
      <c r="K963" s="70"/>
      <c r="L963" s="71"/>
      <c r="M963" s="72"/>
      <c r="P963" s="72"/>
    </row>
    <row r="964" hidden="1">
      <c r="B964" s="68"/>
      <c r="D964" s="69"/>
      <c r="H964" s="70"/>
      <c r="K964" s="70"/>
      <c r="L964" s="71"/>
      <c r="M964" s="72"/>
      <c r="P964" s="72"/>
    </row>
    <row r="965" hidden="1">
      <c r="B965" s="68"/>
      <c r="D965" s="69"/>
      <c r="H965" s="70"/>
      <c r="K965" s="70"/>
      <c r="L965" s="71"/>
      <c r="M965" s="72"/>
      <c r="P965" s="72"/>
    </row>
  </sheetData>
  <autoFilter ref="$A$1:$AA$965">
    <filterColumn colId="4">
      <filters>
        <filter val="Клей Starkbond 525A 2.0 бочка 200 кг"/>
      </filters>
    </filterColumn>
  </autoFilter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 hidden="1">
      <c r="A2" s="11"/>
      <c r="B2" s="11">
        <v>45962.0</v>
      </c>
      <c r="C2" s="12">
        <f>VLOOKUP(B:B,'Курс валют'!A:D,4,0)</f>
        <v>93.3893</v>
      </c>
      <c r="D2" s="54" t="s">
        <v>1654</v>
      </c>
      <c r="E2" s="75" t="s">
        <v>18</v>
      </c>
      <c r="F2" s="12">
        <v>11000.0</v>
      </c>
      <c r="G2" s="12">
        <v>11094.0</v>
      </c>
      <c r="H2" s="17">
        <v>4840.0</v>
      </c>
      <c r="I2" s="15">
        <f t="shared" ref="I2:I102" si="1">G2-F2</f>
        <v>94</v>
      </c>
      <c r="J2" s="18">
        <f t="shared" ref="J2:J102" si="2">I2/F2*100</f>
        <v>0.8545454545</v>
      </c>
      <c r="K2" s="56">
        <v>3.6</v>
      </c>
      <c r="L2" s="19">
        <f t="shared" ref="L2:L102" si="3">H2/F2*100</f>
        <v>44</v>
      </c>
      <c r="M2" s="20">
        <f t="shared" ref="M2:M102" si="4">P2/F2</f>
        <v>211.2839523</v>
      </c>
      <c r="N2" s="21">
        <f t="shared" ref="N2:N48" si="5">(F2*K2-H2*3.04)/F2</f>
        <v>2.2624</v>
      </c>
      <c r="O2" s="21">
        <f t="shared" ref="O2:O102" si="6">N2*F2</f>
        <v>24886.4</v>
      </c>
      <c r="P2" s="22">
        <f t="shared" ref="P2:P102" si="7">O2*C2</f>
        <v>2324123.476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 hidden="1">
      <c r="A3" s="11"/>
      <c r="B3" s="87">
        <v>45963.0</v>
      </c>
      <c r="C3" s="12">
        <f>VLOOKUP(B:B,'Курс валют'!A:D,4,0)</f>
        <v>93.3848</v>
      </c>
      <c r="D3" s="13" t="s">
        <v>1655</v>
      </c>
      <c r="E3" s="14" t="s">
        <v>59</v>
      </c>
      <c r="F3" s="15">
        <v>2000.0</v>
      </c>
      <c r="G3" s="15">
        <v>2024.96</v>
      </c>
      <c r="H3" s="17">
        <v>0.0</v>
      </c>
      <c r="I3" s="15">
        <f t="shared" si="1"/>
        <v>24.96</v>
      </c>
      <c r="J3" s="18">
        <f t="shared" si="2"/>
        <v>1.248</v>
      </c>
      <c r="K3" s="17">
        <v>2.3</v>
      </c>
      <c r="L3" s="19">
        <f t="shared" si="3"/>
        <v>0</v>
      </c>
      <c r="M3" s="20">
        <f t="shared" si="4"/>
        <v>214.78504</v>
      </c>
      <c r="N3" s="21">
        <f t="shared" si="5"/>
        <v>2.3</v>
      </c>
      <c r="O3" s="21">
        <f t="shared" si="6"/>
        <v>4600</v>
      </c>
      <c r="P3" s="22">
        <f t="shared" si="7"/>
        <v>429570.08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 hidden="1">
      <c r="A4" s="11"/>
      <c r="B4" s="11">
        <v>45963.0</v>
      </c>
      <c r="C4" s="12">
        <f>VLOOKUP(B:B,'Курс валют'!A:D,4,0)</f>
        <v>93.3848</v>
      </c>
      <c r="D4" s="13" t="s">
        <v>1656</v>
      </c>
      <c r="E4" s="14" t="s">
        <v>18</v>
      </c>
      <c r="F4" s="15">
        <v>11000.0</v>
      </c>
      <c r="G4" s="15">
        <v>11094.0</v>
      </c>
      <c r="H4" s="17">
        <v>4840.0</v>
      </c>
      <c r="I4" s="15">
        <f t="shared" si="1"/>
        <v>94</v>
      </c>
      <c r="J4" s="18">
        <f t="shared" si="2"/>
        <v>0.8545454545</v>
      </c>
      <c r="K4" s="17">
        <v>3.67</v>
      </c>
      <c r="L4" s="19">
        <f t="shared" si="3"/>
        <v>44</v>
      </c>
      <c r="M4" s="20">
        <f t="shared" si="4"/>
        <v>217.8107075</v>
      </c>
      <c r="N4" s="21">
        <f t="shared" si="5"/>
        <v>2.3324</v>
      </c>
      <c r="O4" s="21">
        <f t="shared" si="6"/>
        <v>25656.4</v>
      </c>
      <c r="P4" s="22">
        <f t="shared" si="7"/>
        <v>2395917.783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 hidden="1">
      <c r="A5" s="11"/>
      <c r="B5" s="87">
        <v>45964.0</v>
      </c>
      <c r="C5" s="12">
        <f>VLOOKUP(B:B,'Курс валют'!A:D,4,0)</f>
        <v>93.3848</v>
      </c>
      <c r="D5" s="13" t="s">
        <v>1657</v>
      </c>
      <c r="E5" s="35" t="s">
        <v>59</v>
      </c>
      <c r="F5" s="15">
        <v>2000.0</v>
      </c>
      <c r="G5" s="15">
        <v>2024.96</v>
      </c>
      <c r="H5" s="17">
        <v>0.0</v>
      </c>
      <c r="I5" s="15">
        <f t="shared" si="1"/>
        <v>24.96</v>
      </c>
      <c r="J5" s="18">
        <f t="shared" si="2"/>
        <v>1.248</v>
      </c>
      <c r="K5" s="17">
        <v>2.3</v>
      </c>
      <c r="L5" s="19">
        <f t="shared" si="3"/>
        <v>0</v>
      </c>
      <c r="M5" s="20">
        <f t="shared" si="4"/>
        <v>214.78504</v>
      </c>
      <c r="N5" s="21">
        <f t="shared" si="5"/>
        <v>2.3</v>
      </c>
      <c r="O5" s="21">
        <f t="shared" si="6"/>
        <v>4600</v>
      </c>
      <c r="P5" s="22">
        <f t="shared" si="7"/>
        <v>429570.08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 hidden="1">
      <c r="A6" s="11"/>
      <c r="B6" s="11">
        <v>45964.0</v>
      </c>
      <c r="C6" s="12">
        <f>VLOOKUP(B:B,'Курс валют'!A:D,4,0)</f>
        <v>93.3848</v>
      </c>
      <c r="D6" s="13" t="s">
        <v>1658</v>
      </c>
      <c r="E6" s="35" t="s">
        <v>18</v>
      </c>
      <c r="F6" s="15">
        <v>11000.0</v>
      </c>
      <c r="G6" s="15">
        <v>11094.0</v>
      </c>
      <c r="H6" s="17">
        <v>4838.5</v>
      </c>
      <c r="I6" s="15">
        <f t="shared" si="1"/>
        <v>94</v>
      </c>
      <c r="J6" s="18">
        <f t="shared" si="2"/>
        <v>0.8545454545</v>
      </c>
      <c r="K6" s="17">
        <v>3.68</v>
      </c>
      <c r="L6" s="19">
        <f t="shared" si="3"/>
        <v>43.98636364</v>
      </c>
      <c r="M6" s="20">
        <f t="shared" si="4"/>
        <v>218.7832678</v>
      </c>
      <c r="N6" s="21">
        <f t="shared" si="5"/>
        <v>2.342814545</v>
      </c>
      <c r="O6" s="21">
        <f t="shared" si="6"/>
        <v>25770.96</v>
      </c>
      <c r="P6" s="22">
        <f t="shared" si="7"/>
        <v>2406615.945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 hidden="1">
      <c r="A7" s="11"/>
      <c r="B7" s="87">
        <v>45965.0</v>
      </c>
      <c r="C7" s="12">
        <f>VLOOKUP(B:B,'Курс валют'!A:D,4,0)</f>
        <v>93.3848</v>
      </c>
      <c r="D7" s="13" t="s">
        <v>1659</v>
      </c>
      <c r="E7" s="35" t="s">
        <v>59</v>
      </c>
      <c r="F7" s="15">
        <v>2000.0</v>
      </c>
      <c r="G7" s="15">
        <v>2024.96</v>
      </c>
      <c r="H7" s="17">
        <v>0.0</v>
      </c>
      <c r="I7" s="15">
        <f t="shared" si="1"/>
        <v>24.96</v>
      </c>
      <c r="J7" s="18">
        <f t="shared" si="2"/>
        <v>1.248</v>
      </c>
      <c r="K7" s="17">
        <v>2.3</v>
      </c>
      <c r="L7" s="19">
        <f t="shared" si="3"/>
        <v>0</v>
      </c>
      <c r="M7" s="20">
        <f t="shared" si="4"/>
        <v>214.78504</v>
      </c>
      <c r="N7" s="21">
        <f t="shared" si="5"/>
        <v>2.3</v>
      </c>
      <c r="O7" s="21">
        <f t="shared" si="6"/>
        <v>4600</v>
      </c>
      <c r="P7" s="22">
        <f t="shared" si="7"/>
        <v>429570.08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 hidden="1">
      <c r="A8" s="11"/>
      <c r="B8" s="11">
        <v>45965.0</v>
      </c>
      <c r="C8" s="12">
        <f>VLOOKUP(B:B,'Курс валют'!A:D,4,0)</f>
        <v>93.3848</v>
      </c>
      <c r="D8" s="13" t="s">
        <v>1660</v>
      </c>
      <c r="E8" s="26" t="s">
        <v>18</v>
      </c>
      <c r="F8" s="15">
        <v>11000.0</v>
      </c>
      <c r="G8" s="15">
        <v>11094.0</v>
      </c>
      <c r="H8" s="17">
        <v>4840.0</v>
      </c>
      <c r="I8" s="15">
        <f t="shared" si="1"/>
        <v>94</v>
      </c>
      <c r="J8" s="18">
        <f t="shared" si="2"/>
        <v>0.8545454545</v>
      </c>
      <c r="K8" s="17">
        <v>3.68</v>
      </c>
      <c r="L8" s="19">
        <f t="shared" si="3"/>
        <v>44</v>
      </c>
      <c r="M8" s="20">
        <f t="shared" si="4"/>
        <v>218.7445555</v>
      </c>
      <c r="N8" s="21">
        <f t="shared" si="5"/>
        <v>2.3424</v>
      </c>
      <c r="O8" s="21">
        <f t="shared" si="6"/>
        <v>25766.4</v>
      </c>
      <c r="P8" s="22">
        <f t="shared" si="7"/>
        <v>2406190.111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 hidden="1">
      <c r="A9" s="11"/>
      <c r="B9" s="87">
        <v>45966.0</v>
      </c>
      <c r="C9" s="12">
        <f>VLOOKUP(B:B,'Курс валют'!A:D,4,0)</f>
        <v>93.3848</v>
      </c>
      <c r="D9" s="13" t="s">
        <v>1661</v>
      </c>
      <c r="E9" s="26" t="s">
        <v>59</v>
      </c>
      <c r="F9" s="15">
        <v>2000.0</v>
      </c>
      <c r="G9" s="15">
        <v>2024.96</v>
      </c>
      <c r="H9" s="17">
        <v>0.0</v>
      </c>
      <c r="I9" s="15">
        <f t="shared" si="1"/>
        <v>24.96</v>
      </c>
      <c r="J9" s="18">
        <f t="shared" si="2"/>
        <v>1.248</v>
      </c>
      <c r="K9" s="17">
        <v>2.3</v>
      </c>
      <c r="L9" s="19">
        <f t="shared" si="3"/>
        <v>0</v>
      </c>
      <c r="M9" s="20">
        <f t="shared" si="4"/>
        <v>214.78504</v>
      </c>
      <c r="N9" s="21">
        <f t="shared" si="5"/>
        <v>2.3</v>
      </c>
      <c r="O9" s="21">
        <f t="shared" si="6"/>
        <v>4600</v>
      </c>
      <c r="P9" s="22">
        <f t="shared" si="7"/>
        <v>429570.08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 hidden="1">
      <c r="A10" s="11"/>
      <c r="B10" s="88">
        <v>45966.0</v>
      </c>
      <c r="C10" s="12">
        <f>VLOOKUP(B:B,'Курс валют'!A:D,4,0)</f>
        <v>93.3848</v>
      </c>
      <c r="D10" s="13" t="s">
        <v>1662</v>
      </c>
      <c r="E10" s="26" t="s">
        <v>61</v>
      </c>
      <c r="F10" s="15">
        <v>11000.0</v>
      </c>
      <c r="G10" s="15">
        <v>11133.0</v>
      </c>
      <c r="H10" s="17">
        <v>4381.0</v>
      </c>
      <c r="I10" s="15">
        <f t="shared" si="1"/>
        <v>133</v>
      </c>
      <c r="J10" s="18">
        <f t="shared" si="2"/>
        <v>1.209090909</v>
      </c>
      <c r="K10" s="17">
        <v>3.59</v>
      </c>
      <c r="L10" s="19">
        <f t="shared" si="3"/>
        <v>39.82727273</v>
      </c>
      <c r="M10" s="20">
        <f t="shared" si="4"/>
        <v>222.1858703</v>
      </c>
      <c r="N10" s="21">
        <f t="shared" si="5"/>
        <v>2.379250909</v>
      </c>
      <c r="O10" s="21">
        <f t="shared" si="6"/>
        <v>26171.76</v>
      </c>
      <c r="P10" s="22">
        <f t="shared" si="7"/>
        <v>2444044.573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 hidden="1">
      <c r="A11" s="11"/>
      <c r="B11" s="11">
        <v>45967.0</v>
      </c>
      <c r="C11" s="12">
        <f>VLOOKUP(B:B,'Курс валют'!A:D,4,0)</f>
        <v>93.5131</v>
      </c>
      <c r="D11" s="13" t="s">
        <v>1663</v>
      </c>
      <c r="E11" s="84" t="s">
        <v>18</v>
      </c>
      <c r="F11" s="15">
        <v>1100.0</v>
      </c>
      <c r="G11" s="15">
        <v>1112.3</v>
      </c>
      <c r="H11" s="17">
        <v>484.0</v>
      </c>
      <c r="I11" s="15">
        <f t="shared" si="1"/>
        <v>12.3</v>
      </c>
      <c r="J11" s="18">
        <f t="shared" si="2"/>
        <v>1.118181818</v>
      </c>
      <c r="K11" s="17">
        <v>3.69</v>
      </c>
      <c r="L11" s="19">
        <f t="shared" si="3"/>
        <v>44</v>
      </c>
      <c r="M11" s="20">
        <f t="shared" si="4"/>
        <v>219.9802164</v>
      </c>
      <c r="N11" s="21">
        <f t="shared" si="5"/>
        <v>2.3524</v>
      </c>
      <c r="O11" s="21">
        <f t="shared" si="6"/>
        <v>2587.64</v>
      </c>
      <c r="P11" s="22">
        <f t="shared" si="7"/>
        <v>241978.2381</v>
      </c>
      <c r="R11" s="23" t="s">
        <v>1664</v>
      </c>
      <c r="S11" s="24"/>
      <c r="T11" s="25"/>
      <c r="U11" s="25"/>
      <c r="V11" s="25"/>
      <c r="W11" s="25"/>
      <c r="X11" s="25"/>
      <c r="Y11" s="25"/>
      <c r="Z11" s="25"/>
      <c r="AA11" s="25"/>
    </row>
    <row r="12" hidden="1">
      <c r="A12" s="11"/>
      <c r="B12" s="11">
        <v>45967.0</v>
      </c>
      <c r="C12" s="12">
        <f>VLOOKUP(B:B,'Курс валют'!A:D,4,0)</f>
        <v>93.5131</v>
      </c>
      <c r="D12" s="13" t="s">
        <v>1665</v>
      </c>
      <c r="E12" s="26" t="s">
        <v>54</v>
      </c>
      <c r="F12" s="15">
        <v>6400.0</v>
      </c>
      <c r="G12" s="15">
        <v>6432.4</v>
      </c>
      <c r="H12" s="27">
        <v>0.0</v>
      </c>
      <c r="I12" s="15">
        <f t="shared" si="1"/>
        <v>32.4</v>
      </c>
      <c r="J12" s="18">
        <f t="shared" si="2"/>
        <v>0.50625</v>
      </c>
      <c r="K12" s="17">
        <v>1.92</v>
      </c>
      <c r="L12" s="19">
        <f t="shared" si="3"/>
        <v>0</v>
      </c>
      <c r="M12" s="20">
        <f t="shared" si="4"/>
        <v>179.545152</v>
      </c>
      <c r="N12" s="21">
        <f t="shared" si="5"/>
        <v>1.92</v>
      </c>
      <c r="O12" s="21">
        <f t="shared" si="6"/>
        <v>12288</v>
      </c>
      <c r="P12" s="22">
        <f t="shared" si="7"/>
        <v>1149088.973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 hidden="1">
      <c r="A13" s="11"/>
      <c r="B13" s="87">
        <v>45967.0</v>
      </c>
      <c r="C13" s="12">
        <f>VLOOKUP(B:B,'Курс валют'!A:D,4,0)</f>
        <v>93.5131</v>
      </c>
      <c r="D13" s="13" t="s">
        <v>1666</v>
      </c>
      <c r="E13" s="26" t="s">
        <v>73</v>
      </c>
      <c r="F13" s="15">
        <v>2000.0</v>
      </c>
      <c r="G13" s="15">
        <v>2024.96</v>
      </c>
      <c r="H13" s="17">
        <v>298.69</v>
      </c>
      <c r="I13" s="15">
        <f t="shared" si="1"/>
        <v>24.96</v>
      </c>
      <c r="J13" s="18">
        <f t="shared" si="2"/>
        <v>1.248</v>
      </c>
      <c r="K13" s="17">
        <v>2.42</v>
      </c>
      <c r="L13" s="19">
        <f t="shared" si="3"/>
        <v>14.9345</v>
      </c>
      <c r="M13" s="20">
        <f t="shared" si="4"/>
        <v>183.8459317</v>
      </c>
      <c r="N13" s="21">
        <f t="shared" si="5"/>
        <v>1.9659912</v>
      </c>
      <c r="O13" s="21">
        <f t="shared" si="6"/>
        <v>3931.9824</v>
      </c>
      <c r="P13" s="22">
        <f t="shared" si="7"/>
        <v>367691.8634</v>
      </c>
      <c r="R13" s="23" t="s">
        <v>1667</v>
      </c>
      <c r="S13" s="24"/>
      <c r="T13" s="25"/>
      <c r="U13" s="25"/>
      <c r="V13" s="25"/>
      <c r="W13" s="25"/>
      <c r="X13" s="25"/>
      <c r="Y13" s="25"/>
      <c r="Z13" s="25"/>
      <c r="AA13" s="25"/>
    </row>
    <row r="14" hidden="1">
      <c r="A14" s="11"/>
      <c r="B14" s="11">
        <v>45968.0</v>
      </c>
      <c r="C14" s="12">
        <f>VLOOKUP(B:B,'Курс валют'!A:D,4,0)</f>
        <v>93.7641</v>
      </c>
      <c r="D14" s="13" t="s">
        <v>1668</v>
      </c>
      <c r="E14" s="26" t="s">
        <v>54</v>
      </c>
      <c r="F14" s="15">
        <v>4000.0</v>
      </c>
      <c r="G14" s="15">
        <v>4018.55</v>
      </c>
      <c r="H14" s="17">
        <v>0.0</v>
      </c>
      <c r="I14" s="15">
        <f t="shared" si="1"/>
        <v>18.55</v>
      </c>
      <c r="J14" s="18">
        <f t="shared" si="2"/>
        <v>0.46375</v>
      </c>
      <c r="K14" s="17">
        <v>1.91</v>
      </c>
      <c r="L14" s="19">
        <f t="shared" si="3"/>
        <v>0</v>
      </c>
      <c r="M14" s="20">
        <f t="shared" si="4"/>
        <v>179.089431</v>
      </c>
      <c r="N14" s="21">
        <f t="shared" si="5"/>
        <v>1.91</v>
      </c>
      <c r="O14" s="21">
        <f t="shared" si="6"/>
        <v>7640</v>
      </c>
      <c r="P14" s="22">
        <f t="shared" si="7"/>
        <v>716357.724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 hidden="1">
      <c r="A15" s="11"/>
      <c r="B15" s="89">
        <v>45968.0</v>
      </c>
      <c r="C15" s="12">
        <f>VLOOKUP(B:B,'Курс валют'!A:D,4,0)</f>
        <v>93.7641</v>
      </c>
      <c r="D15" s="13" t="s">
        <v>1669</v>
      </c>
      <c r="E15" s="26" t="s">
        <v>81</v>
      </c>
      <c r="F15" s="15">
        <v>2000.0</v>
      </c>
      <c r="G15" s="15">
        <v>2024.15</v>
      </c>
      <c r="H15" s="17">
        <v>0.0</v>
      </c>
      <c r="I15" s="15">
        <f t="shared" si="1"/>
        <v>24.15</v>
      </c>
      <c r="J15" s="18">
        <f t="shared" si="2"/>
        <v>1.2075</v>
      </c>
      <c r="K15" s="17">
        <v>2.3</v>
      </c>
      <c r="L15" s="19">
        <f t="shared" si="3"/>
        <v>0</v>
      </c>
      <c r="M15" s="20">
        <f t="shared" si="4"/>
        <v>215.65743</v>
      </c>
      <c r="N15" s="21">
        <f t="shared" si="5"/>
        <v>2.3</v>
      </c>
      <c r="O15" s="21">
        <f t="shared" si="6"/>
        <v>4600</v>
      </c>
      <c r="P15" s="22">
        <f t="shared" si="7"/>
        <v>431314.86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 hidden="1">
      <c r="A16" s="11"/>
      <c r="B16" s="11">
        <v>45968.0</v>
      </c>
      <c r="C16" s="12">
        <f>VLOOKUP(B:B,'Курс валют'!A:D,4,0)</f>
        <v>93.7641</v>
      </c>
      <c r="D16" s="13" t="s">
        <v>1670</v>
      </c>
      <c r="E16" s="26" t="s">
        <v>71</v>
      </c>
      <c r="F16" s="15">
        <v>4000.0</v>
      </c>
      <c r="G16" s="15">
        <v>4018.05</v>
      </c>
      <c r="H16" s="17">
        <v>152.04</v>
      </c>
      <c r="I16" s="15">
        <f t="shared" si="1"/>
        <v>18.05</v>
      </c>
      <c r="J16" s="18">
        <f t="shared" si="2"/>
        <v>0.45125</v>
      </c>
      <c r="K16" s="17">
        <v>2.12</v>
      </c>
      <c r="L16" s="19">
        <f t="shared" si="3"/>
        <v>3.801</v>
      </c>
      <c r="M16" s="20">
        <f t="shared" si="4"/>
        <v>187.9454127</v>
      </c>
      <c r="N16" s="21">
        <f t="shared" si="5"/>
        <v>2.0044496</v>
      </c>
      <c r="O16" s="21">
        <f t="shared" si="6"/>
        <v>8017.7984</v>
      </c>
      <c r="P16" s="22">
        <f t="shared" si="7"/>
        <v>751781.651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 hidden="1">
      <c r="A17" s="11"/>
      <c r="B17" s="11">
        <v>45969.0</v>
      </c>
      <c r="C17" s="12">
        <f>VLOOKUP(B:B,'Курс валют'!A:D,4,0)</f>
        <v>93.8365</v>
      </c>
      <c r="D17" s="13" t="s">
        <v>1671</v>
      </c>
      <c r="E17" s="26" t="s">
        <v>53</v>
      </c>
      <c r="F17" s="15">
        <v>8000.0</v>
      </c>
      <c r="G17" s="15">
        <v>8058.0</v>
      </c>
      <c r="H17" s="17">
        <v>0.0</v>
      </c>
      <c r="I17" s="15">
        <f t="shared" si="1"/>
        <v>58</v>
      </c>
      <c r="J17" s="18">
        <f t="shared" si="2"/>
        <v>0.725</v>
      </c>
      <c r="K17" s="17">
        <v>1.92</v>
      </c>
      <c r="L17" s="19">
        <f t="shared" si="3"/>
        <v>0</v>
      </c>
      <c r="M17" s="20">
        <f t="shared" si="4"/>
        <v>180.16608</v>
      </c>
      <c r="N17" s="21">
        <f t="shared" si="5"/>
        <v>1.92</v>
      </c>
      <c r="O17" s="21">
        <f t="shared" si="6"/>
        <v>15360</v>
      </c>
      <c r="P17" s="22">
        <f t="shared" si="7"/>
        <v>1441328.64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 hidden="1">
      <c r="A18" s="30"/>
      <c r="B18" s="11">
        <v>45970.0</v>
      </c>
      <c r="C18" s="12">
        <f>VLOOKUP(B:B,'Курс валют'!A:D,4,0)</f>
        <v>93.8365</v>
      </c>
      <c r="D18" s="13" t="s">
        <v>1672</v>
      </c>
      <c r="E18" s="26" t="s">
        <v>53</v>
      </c>
      <c r="F18" s="15">
        <v>8000.0</v>
      </c>
      <c r="G18" s="15">
        <v>8056.6</v>
      </c>
      <c r="H18" s="17">
        <v>0.0</v>
      </c>
      <c r="I18" s="15">
        <f t="shared" si="1"/>
        <v>56.6</v>
      </c>
      <c r="J18" s="18">
        <f t="shared" si="2"/>
        <v>0.7075</v>
      </c>
      <c r="K18" s="17">
        <v>1.93</v>
      </c>
      <c r="L18" s="19">
        <f t="shared" si="3"/>
        <v>0</v>
      </c>
      <c r="M18" s="20">
        <f t="shared" si="4"/>
        <v>181.104445</v>
      </c>
      <c r="N18" s="21">
        <f t="shared" si="5"/>
        <v>1.93</v>
      </c>
      <c r="O18" s="21">
        <f t="shared" si="6"/>
        <v>15440</v>
      </c>
      <c r="P18" s="22">
        <f t="shared" si="7"/>
        <v>1448835.56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45970.0</v>
      </c>
      <c r="C19" s="12">
        <f>VLOOKUP(B:B,'Курс валют'!A:D,4,0)</f>
        <v>93.8365</v>
      </c>
      <c r="D19" s="13" t="s">
        <v>1673</v>
      </c>
      <c r="E19" s="35" t="s">
        <v>111</v>
      </c>
      <c r="F19" s="15">
        <v>200.0</v>
      </c>
      <c r="G19" s="15">
        <v>202.3</v>
      </c>
      <c r="H19" s="17">
        <v>62.5</v>
      </c>
      <c r="I19" s="15">
        <f t="shared" si="1"/>
        <v>2.3</v>
      </c>
      <c r="J19" s="18">
        <f t="shared" si="2"/>
        <v>1.15</v>
      </c>
      <c r="K19" s="17">
        <v>3.34</v>
      </c>
      <c r="L19" s="19">
        <f t="shared" si="3"/>
        <v>31.25</v>
      </c>
      <c r="M19" s="20">
        <f t="shared" si="4"/>
        <v>224.269235</v>
      </c>
      <c r="N19" s="21">
        <f t="shared" si="5"/>
        <v>2.39</v>
      </c>
      <c r="O19" s="21">
        <f t="shared" si="6"/>
        <v>478</v>
      </c>
      <c r="P19" s="22">
        <f t="shared" si="7"/>
        <v>44853.847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 hidden="1">
      <c r="A20" s="30"/>
      <c r="B20" s="11">
        <v>45971.0</v>
      </c>
      <c r="C20" s="12">
        <f>VLOOKUP(B:B,'Курс валют'!A:D,4,0)</f>
        <v>93.8365</v>
      </c>
      <c r="D20" s="13" t="s">
        <v>1674</v>
      </c>
      <c r="E20" s="35" t="s">
        <v>110</v>
      </c>
      <c r="F20" s="15">
        <v>120.0</v>
      </c>
      <c r="G20" s="15">
        <v>121.11</v>
      </c>
      <c r="H20" s="17">
        <v>0.0</v>
      </c>
      <c r="I20" s="15">
        <f t="shared" si="1"/>
        <v>1.11</v>
      </c>
      <c r="J20" s="18">
        <f t="shared" si="2"/>
        <v>0.925</v>
      </c>
      <c r="K20" s="17">
        <v>2.67</v>
      </c>
      <c r="L20" s="19">
        <f t="shared" si="3"/>
        <v>0</v>
      </c>
      <c r="M20" s="20">
        <f t="shared" si="4"/>
        <v>250.543455</v>
      </c>
      <c r="N20" s="21">
        <f t="shared" si="5"/>
        <v>2.67</v>
      </c>
      <c r="O20" s="21">
        <f t="shared" si="6"/>
        <v>320.4</v>
      </c>
      <c r="P20" s="22">
        <f t="shared" si="7"/>
        <v>30065.2146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 hidden="1">
      <c r="A21" s="30"/>
      <c r="B21" s="11">
        <v>45971.0</v>
      </c>
      <c r="C21" s="12">
        <f>VLOOKUP(B:B,'Курс валют'!A:D,4,0)</f>
        <v>93.8365</v>
      </c>
      <c r="D21" s="13" t="s">
        <v>1675</v>
      </c>
      <c r="E21" s="35" t="s">
        <v>109</v>
      </c>
      <c r="F21" s="15">
        <v>200.0</v>
      </c>
      <c r="G21" s="15">
        <v>203.0</v>
      </c>
      <c r="H21" s="17">
        <v>0.0</v>
      </c>
      <c r="I21" s="15">
        <f t="shared" si="1"/>
        <v>3</v>
      </c>
      <c r="J21" s="18">
        <f t="shared" si="2"/>
        <v>1.5</v>
      </c>
      <c r="K21" s="17">
        <v>2.57</v>
      </c>
      <c r="L21" s="19">
        <f t="shared" si="3"/>
        <v>0</v>
      </c>
      <c r="M21" s="20">
        <f t="shared" si="4"/>
        <v>241.159805</v>
      </c>
      <c r="N21" s="21">
        <f t="shared" si="5"/>
        <v>2.57</v>
      </c>
      <c r="O21" s="21">
        <f t="shared" si="6"/>
        <v>514</v>
      </c>
      <c r="P21" s="22">
        <f t="shared" si="7"/>
        <v>48231.961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 hidden="1">
      <c r="A22" s="30"/>
      <c r="B22" s="87">
        <v>45971.0</v>
      </c>
      <c r="C22" s="12">
        <f>VLOOKUP(B:B,'Курс валют'!A:D,4,0)</f>
        <v>93.8365</v>
      </c>
      <c r="D22" s="13" t="s">
        <v>1676</v>
      </c>
      <c r="E22" s="35" t="s">
        <v>63</v>
      </c>
      <c r="F22" s="15">
        <v>1800.0</v>
      </c>
      <c r="G22" s="15">
        <v>1822.92</v>
      </c>
      <c r="H22" s="17">
        <v>719.5</v>
      </c>
      <c r="I22" s="15">
        <f t="shared" si="1"/>
        <v>22.92</v>
      </c>
      <c r="J22" s="18">
        <f t="shared" si="2"/>
        <v>1.273333333</v>
      </c>
      <c r="K22" s="17">
        <v>3.09</v>
      </c>
      <c r="L22" s="19">
        <f t="shared" si="3"/>
        <v>39.97222222</v>
      </c>
      <c r="M22" s="20">
        <f t="shared" si="4"/>
        <v>175.9288407</v>
      </c>
      <c r="N22" s="21">
        <f t="shared" si="5"/>
        <v>1.874844444</v>
      </c>
      <c r="O22" s="21">
        <f t="shared" si="6"/>
        <v>3374.72</v>
      </c>
      <c r="P22" s="22">
        <f t="shared" si="7"/>
        <v>316671.9133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 hidden="1">
      <c r="A23" s="30"/>
      <c r="B23" s="90">
        <v>45971.0</v>
      </c>
      <c r="C23" s="12">
        <f>VLOOKUP(B:B,'Курс валют'!A:D,4,0)</f>
        <v>93.8365</v>
      </c>
      <c r="D23" s="13" t="s">
        <v>1677</v>
      </c>
      <c r="E23" s="35" t="s">
        <v>104</v>
      </c>
      <c r="F23" s="15">
        <v>3200.0</v>
      </c>
      <c r="G23" s="15">
        <v>3229.0</v>
      </c>
      <c r="H23" s="17">
        <v>0.0</v>
      </c>
      <c r="I23" s="15">
        <f t="shared" si="1"/>
        <v>29</v>
      </c>
      <c r="J23" s="18">
        <f t="shared" si="2"/>
        <v>0.90625</v>
      </c>
      <c r="K23" s="17">
        <v>2.63</v>
      </c>
      <c r="L23" s="19">
        <f t="shared" si="3"/>
        <v>0</v>
      </c>
      <c r="M23" s="20">
        <f t="shared" si="4"/>
        <v>246.789995</v>
      </c>
      <c r="N23" s="21">
        <f t="shared" si="5"/>
        <v>2.63</v>
      </c>
      <c r="O23" s="21">
        <f t="shared" si="6"/>
        <v>8416</v>
      </c>
      <c r="P23" s="22">
        <f t="shared" si="7"/>
        <v>789727.984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 hidden="1">
      <c r="A24" s="30"/>
      <c r="B24" s="11">
        <v>45972.0</v>
      </c>
      <c r="C24" s="12">
        <f>VLOOKUP(B:B,'Курс валют'!A:D,4,0)</f>
        <v>93.9287</v>
      </c>
      <c r="D24" s="13" t="s">
        <v>1678</v>
      </c>
      <c r="E24" s="59" t="s">
        <v>71</v>
      </c>
      <c r="F24" s="15">
        <v>200.0</v>
      </c>
      <c r="G24" s="15">
        <v>201.66</v>
      </c>
      <c r="H24" s="17">
        <v>19.83</v>
      </c>
      <c r="I24" s="15">
        <f t="shared" si="1"/>
        <v>1.66</v>
      </c>
      <c r="J24" s="18">
        <f t="shared" si="2"/>
        <v>0.83</v>
      </c>
      <c r="K24" s="17">
        <v>2.2</v>
      </c>
      <c r="L24" s="19">
        <f t="shared" si="3"/>
        <v>9.915</v>
      </c>
      <c r="M24" s="20">
        <f t="shared" si="4"/>
        <v>178.331527</v>
      </c>
      <c r="N24" s="21">
        <f t="shared" si="5"/>
        <v>1.898584</v>
      </c>
      <c r="O24" s="21">
        <f t="shared" si="6"/>
        <v>379.7168</v>
      </c>
      <c r="P24" s="22">
        <f t="shared" si="7"/>
        <v>35666.30539</v>
      </c>
      <c r="R24" s="23" t="s">
        <v>1679</v>
      </c>
      <c r="S24" s="24"/>
      <c r="T24" s="25"/>
      <c r="U24" s="25"/>
      <c r="V24" s="25"/>
      <c r="W24" s="25"/>
      <c r="X24" s="25"/>
      <c r="Y24" s="25"/>
      <c r="Z24" s="25"/>
      <c r="AA24" s="25"/>
    </row>
    <row r="25" hidden="1">
      <c r="A25" s="30"/>
      <c r="B25" s="11">
        <v>45972.0</v>
      </c>
      <c r="C25" s="12">
        <f>VLOOKUP(B:B,'Курс валют'!A:D,4,0)</f>
        <v>93.9287</v>
      </c>
      <c r="D25" s="13" t="s">
        <v>1680</v>
      </c>
      <c r="E25" s="77" t="s">
        <v>68</v>
      </c>
      <c r="F25" s="15">
        <v>8000.0</v>
      </c>
      <c r="G25" s="15">
        <v>8025.0</v>
      </c>
      <c r="H25" s="17">
        <v>757.5</v>
      </c>
      <c r="I25" s="15">
        <f t="shared" si="1"/>
        <v>25</v>
      </c>
      <c r="J25" s="18">
        <f t="shared" si="2"/>
        <v>0.3125</v>
      </c>
      <c r="K25" s="17">
        <v>2.28</v>
      </c>
      <c r="L25" s="19">
        <f t="shared" si="3"/>
        <v>9.46875</v>
      </c>
      <c r="M25" s="20">
        <f t="shared" si="4"/>
        <v>187.1200597</v>
      </c>
      <c r="N25" s="21">
        <f t="shared" si="5"/>
        <v>1.99215</v>
      </c>
      <c r="O25" s="21">
        <f t="shared" si="6"/>
        <v>15937.2</v>
      </c>
      <c r="P25" s="22">
        <f t="shared" si="7"/>
        <v>1496960.478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 hidden="1">
      <c r="A26" s="30"/>
      <c r="B26" s="11">
        <v>45973.0</v>
      </c>
      <c r="C26" s="12">
        <f>VLOOKUP(B:B,'Курс валют'!A:D,4,0)</f>
        <v>94.1954</v>
      </c>
      <c r="D26" s="13" t="s">
        <v>1681</v>
      </c>
      <c r="E26" s="59" t="s">
        <v>68</v>
      </c>
      <c r="F26" s="15">
        <v>8000.0</v>
      </c>
      <c r="G26" s="15">
        <v>8023.8</v>
      </c>
      <c r="H26" s="17">
        <v>757.5</v>
      </c>
      <c r="I26" s="15">
        <f t="shared" si="1"/>
        <v>23.8</v>
      </c>
      <c r="J26" s="18">
        <f t="shared" si="2"/>
        <v>0.2975</v>
      </c>
      <c r="K26" s="17">
        <v>2.24</v>
      </c>
      <c r="L26" s="19">
        <f t="shared" si="3"/>
        <v>9.46875</v>
      </c>
      <c r="M26" s="20">
        <f t="shared" si="4"/>
        <v>183.8835501</v>
      </c>
      <c r="N26" s="21">
        <f t="shared" si="5"/>
        <v>1.95215</v>
      </c>
      <c r="O26" s="21">
        <f t="shared" si="6"/>
        <v>15617.2</v>
      </c>
      <c r="P26" s="22">
        <f t="shared" si="7"/>
        <v>1471068.401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 ht="15.0" hidden="1" customHeight="1">
      <c r="A27" s="30"/>
      <c r="B27" s="87">
        <v>45973.0</v>
      </c>
      <c r="C27" s="12">
        <f>VLOOKUP(B:B,'Курс валют'!A:D,4,0)</f>
        <v>94.1954</v>
      </c>
      <c r="D27" s="13" t="s">
        <v>1682</v>
      </c>
      <c r="E27" s="59" t="s">
        <v>63</v>
      </c>
      <c r="F27" s="15">
        <v>1800.0</v>
      </c>
      <c r="G27" s="15">
        <v>1810.22</v>
      </c>
      <c r="H27" s="17">
        <v>719.5</v>
      </c>
      <c r="I27" s="15">
        <f t="shared" si="1"/>
        <v>10.22</v>
      </c>
      <c r="J27" s="18">
        <f t="shared" si="2"/>
        <v>0.5677777778</v>
      </c>
      <c r="K27" s="17">
        <v>3.06</v>
      </c>
      <c r="L27" s="19">
        <f t="shared" si="3"/>
        <v>39.97222222</v>
      </c>
      <c r="M27" s="20">
        <f t="shared" si="4"/>
        <v>173.7758604</v>
      </c>
      <c r="N27" s="21">
        <f t="shared" si="5"/>
        <v>1.844844444</v>
      </c>
      <c r="O27" s="21">
        <f t="shared" si="6"/>
        <v>3320.72</v>
      </c>
      <c r="P27" s="22">
        <f t="shared" si="7"/>
        <v>312796.5487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 hidden="1">
      <c r="A28" s="30"/>
      <c r="B28" s="91">
        <v>45974.0</v>
      </c>
      <c r="C28" s="12">
        <f>VLOOKUP(B:B,'Курс валют'!A:D,4,0)</f>
        <v>94.1893</v>
      </c>
      <c r="D28" s="13" t="s">
        <v>1683</v>
      </c>
      <c r="E28" s="59" t="s">
        <v>104</v>
      </c>
      <c r="F28" s="15">
        <v>3200.0</v>
      </c>
      <c r="G28" s="15">
        <v>3226.8</v>
      </c>
      <c r="H28" s="17">
        <v>0.0</v>
      </c>
      <c r="I28" s="15">
        <f t="shared" si="1"/>
        <v>26.8</v>
      </c>
      <c r="J28" s="18">
        <f t="shared" si="2"/>
        <v>0.8375</v>
      </c>
      <c r="K28" s="17">
        <v>2.65</v>
      </c>
      <c r="L28" s="19">
        <f t="shared" si="3"/>
        <v>0</v>
      </c>
      <c r="M28" s="20">
        <f t="shared" si="4"/>
        <v>249.601645</v>
      </c>
      <c r="N28" s="21">
        <f t="shared" si="5"/>
        <v>2.65</v>
      </c>
      <c r="O28" s="21">
        <f t="shared" si="6"/>
        <v>8480</v>
      </c>
      <c r="P28" s="22">
        <f t="shared" si="7"/>
        <v>798725.264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 hidden="1">
      <c r="A29" s="30"/>
      <c r="B29" s="90">
        <v>45974.0</v>
      </c>
      <c r="C29" s="12">
        <f>VLOOKUP(B:B,'Курс валют'!A:D,4,0)</f>
        <v>94.1893</v>
      </c>
      <c r="D29" s="13" t="s">
        <v>1684</v>
      </c>
      <c r="E29" s="59" t="s">
        <v>71</v>
      </c>
      <c r="F29" s="15">
        <v>4000.0</v>
      </c>
      <c r="G29" s="15">
        <v>4022.15</v>
      </c>
      <c r="H29" s="17">
        <v>75.8</v>
      </c>
      <c r="I29" s="15">
        <f t="shared" si="1"/>
        <v>22.15</v>
      </c>
      <c r="J29" s="18">
        <f t="shared" si="2"/>
        <v>0.55375</v>
      </c>
      <c r="K29" s="17">
        <v>1.95</v>
      </c>
      <c r="L29" s="19">
        <f t="shared" si="3"/>
        <v>1.895</v>
      </c>
      <c r="M29" s="20">
        <f t="shared" si="4"/>
        <v>178.2430778</v>
      </c>
      <c r="N29" s="21">
        <f t="shared" si="5"/>
        <v>1.892392</v>
      </c>
      <c r="O29" s="21">
        <f t="shared" si="6"/>
        <v>7569.568</v>
      </c>
      <c r="P29" s="22">
        <f t="shared" si="7"/>
        <v>712972.3112</v>
      </c>
      <c r="R29" s="23"/>
      <c r="S29" s="57"/>
      <c r="T29" s="25"/>
      <c r="U29" s="25"/>
      <c r="V29" s="25"/>
      <c r="W29" s="25"/>
      <c r="X29" s="25"/>
      <c r="Y29" s="25"/>
      <c r="Z29" s="25"/>
      <c r="AA29" s="25"/>
    </row>
    <row r="30" hidden="1">
      <c r="A30" s="30"/>
      <c r="B30" s="11">
        <v>45975.0</v>
      </c>
      <c r="C30" s="12">
        <f>VLOOKUP(B:B,'Курс валют'!A:D,4,0)</f>
        <v>93.6953</v>
      </c>
      <c r="D30" s="13" t="s">
        <v>1685</v>
      </c>
      <c r="E30" s="77" t="s">
        <v>18</v>
      </c>
      <c r="F30" s="76">
        <v>880.0</v>
      </c>
      <c r="G30" s="76">
        <v>882.76</v>
      </c>
      <c r="H30" s="58">
        <f>319+77</f>
        <v>396</v>
      </c>
      <c r="I30" s="15">
        <f t="shared" si="1"/>
        <v>2.76</v>
      </c>
      <c r="J30" s="18">
        <f t="shared" si="2"/>
        <v>0.3136363636</v>
      </c>
      <c r="K30" s="58">
        <v>3.72</v>
      </c>
      <c r="L30" s="19">
        <f t="shared" si="3"/>
        <v>45</v>
      </c>
      <c r="M30" s="20">
        <f t="shared" si="4"/>
        <v>220.3713456</v>
      </c>
      <c r="N30" s="21">
        <f t="shared" si="5"/>
        <v>2.352</v>
      </c>
      <c r="O30" s="21">
        <f t="shared" si="6"/>
        <v>2069.76</v>
      </c>
      <c r="P30" s="22">
        <f t="shared" si="7"/>
        <v>193926.7841</v>
      </c>
      <c r="R30" s="23" t="s">
        <v>1679</v>
      </c>
      <c r="S30" s="57"/>
      <c r="T30" s="25"/>
      <c r="U30" s="25"/>
      <c r="V30" s="25"/>
      <c r="W30" s="25"/>
      <c r="X30" s="25"/>
      <c r="Y30" s="25"/>
      <c r="Z30" s="25"/>
      <c r="AA30" s="25"/>
    </row>
    <row r="31" hidden="1">
      <c r="A31" s="30"/>
      <c r="B31" s="11">
        <v>45975.0</v>
      </c>
      <c r="C31" s="12">
        <f>VLOOKUP(B:B,'Курс валют'!A:D,4,0)</f>
        <v>93.6953</v>
      </c>
      <c r="D31" s="13" t="s">
        <v>1686</v>
      </c>
      <c r="E31" s="77" t="s">
        <v>106</v>
      </c>
      <c r="F31" s="15">
        <v>3200.0</v>
      </c>
      <c r="G31" s="15">
        <v>3210.08</v>
      </c>
      <c r="H31" s="17">
        <v>303.6</v>
      </c>
      <c r="I31" s="15">
        <f t="shared" si="1"/>
        <v>10.08</v>
      </c>
      <c r="J31" s="18">
        <f t="shared" si="2"/>
        <v>0.315</v>
      </c>
      <c r="K31" s="17">
        <v>2.2</v>
      </c>
      <c r="L31" s="19">
        <f t="shared" si="3"/>
        <v>9.4875</v>
      </c>
      <c r="M31" s="20">
        <f t="shared" si="4"/>
        <v>179.1060616</v>
      </c>
      <c r="N31" s="21">
        <f t="shared" si="5"/>
        <v>1.91158</v>
      </c>
      <c r="O31" s="21">
        <f t="shared" si="6"/>
        <v>6117.056</v>
      </c>
      <c r="P31" s="22">
        <f t="shared" si="7"/>
        <v>573139.397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 hidden="1">
      <c r="A32" s="30"/>
      <c r="B32" s="11">
        <v>45975.0</v>
      </c>
      <c r="C32" s="12">
        <f>VLOOKUP(B:B,'Курс валют'!A:D,4,0)</f>
        <v>93.6953</v>
      </c>
      <c r="D32" s="13" t="s">
        <v>1687</v>
      </c>
      <c r="E32" s="77" t="s">
        <v>55</v>
      </c>
      <c r="F32" s="15">
        <v>1000.0</v>
      </c>
      <c r="G32" s="15">
        <v>1008.06</v>
      </c>
      <c r="H32" s="17">
        <v>0.0</v>
      </c>
      <c r="I32" s="15">
        <f t="shared" si="1"/>
        <v>8.06</v>
      </c>
      <c r="J32" s="18">
        <f t="shared" si="2"/>
        <v>0.806</v>
      </c>
      <c r="K32" s="17">
        <v>2.66</v>
      </c>
      <c r="L32" s="19">
        <f t="shared" si="3"/>
        <v>0</v>
      </c>
      <c r="M32" s="20">
        <f t="shared" si="4"/>
        <v>249.229498</v>
      </c>
      <c r="N32" s="21">
        <f t="shared" si="5"/>
        <v>2.66</v>
      </c>
      <c r="O32" s="21">
        <f t="shared" si="6"/>
        <v>2660</v>
      </c>
      <c r="P32" s="22">
        <f t="shared" si="7"/>
        <v>249229.498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 hidden="1">
      <c r="A33" s="30"/>
      <c r="B33" s="11">
        <v>45975.0</v>
      </c>
      <c r="C33" s="12">
        <f>VLOOKUP(B:B,'Курс валют'!A:D,4,0)</f>
        <v>93.6953</v>
      </c>
      <c r="D33" s="13" t="s">
        <v>1688</v>
      </c>
      <c r="E33" s="77" t="s">
        <v>18</v>
      </c>
      <c r="F33" s="15">
        <v>9900.0</v>
      </c>
      <c r="G33" s="13">
        <v>9968.49</v>
      </c>
      <c r="H33" s="17">
        <v>77.968</v>
      </c>
      <c r="I33" s="15">
        <f t="shared" si="1"/>
        <v>68.49</v>
      </c>
      <c r="J33" s="18">
        <f t="shared" si="2"/>
        <v>0.6918181818</v>
      </c>
      <c r="K33" s="17">
        <v>2.4</v>
      </c>
      <c r="L33" s="19">
        <f t="shared" si="3"/>
        <v>0.7875555556</v>
      </c>
      <c r="M33" s="20">
        <f t="shared" si="4"/>
        <v>222.6254963</v>
      </c>
      <c r="N33" s="21">
        <f t="shared" si="5"/>
        <v>2.376058311</v>
      </c>
      <c r="O33" s="21">
        <f t="shared" si="6"/>
        <v>23522.97728</v>
      </c>
      <c r="P33" s="22">
        <f t="shared" si="7"/>
        <v>2203992.413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 hidden="1">
      <c r="A34" s="30"/>
      <c r="B34" s="88">
        <v>45976.0</v>
      </c>
      <c r="C34" s="12">
        <f>VLOOKUP(B:B,'Курс валют'!A:D,4,0)</f>
        <v>95.0987</v>
      </c>
      <c r="D34" s="13" t="s">
        <v>1689</v>
      </c>
      <c r="E34" s="59" t="s">
        <v>61</v>
      </c>
      <c r="F34" s="15">
        <v>11000.0</v>
      </c>
      <c r="G34" s="13">
        <v>11120.1</v>
      </c>
      <c r="H34" s="17">
        <v>197.1</v>
      </c>
      <c r="I34" s="15">
        <f t="shared" si="1"/>
        <v>120.1</v>
      </c>
      <c r="J34" s="18">
        <f t="shared" si="2"/>
        <v>1.091818182</v>
      </c>
      <c r="K34" s="17">
        <v>2.54</v>
      </c>
      <c r="L34" s="19">
        <f t="shared" si="3"/>
        <v>1.791818182</v>
      </c>
      <c r="M34" s="20">
        <f t="shared" si="4"/>
        <v>236.3705508</v>
      </c>
      <c r="N34" s="21">
        <f t="shared" si="5"/>
        <v>2.485528727</v>
      </c>
      <c r="O34" s="21">
        <f t="shared" si="6"/>
        <v>27340.816</v>
      </c>
      <c r="P34" s="22">
        <f t="shared" si="7"/>
        <v>2600076.059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 hidden="1">
      <c r="A35" s="30"/>
      <c r="B35" s="11">
        <v>45976.0</v>
      </c>
      <c r="C35" s="12">
        <f>VLOOKUP(B:B,'Курс валют'!A:D,4,0)</f>
        <v>95.0987</v>
      </c>
      <c r="D35" s="13" t="s">
        <v>1690</v>
      </c>
      <c r="E35" s="59" t="s">
        <v>106</v>
      </c>
      <c r="F35" s="15">
        <v>6400.0</v>
      </c>
      <c r="G35" s="13">
        <v>6430.24</v>
      </c>
      <c r="H35" s="17">
        <v>608.4</v>
      </c>
      <c r="I35" s="15">
        <f t="shared" si="1"/>
        <v>30.24</v>
      </c>
      <c r="J35" s="18">
        <f t="shared" si="2"/>
        <v>0.4725</v>
      </c>
      <c r="K35" s="17">
        <v>2.21</v>
      </c>
      <c r="L35" s="19">
        <f t="shared" si="3"/>
        <v>9.50625</v>
      </c>
      <c r="M35" s="20">
        <f t="shared" si="4"/>
        <v>182.6855537</v>
      </c>
      <c r="N35" s="21">
        <f t="shared" si="5"/>
        <v>1.92101</v>
      </c>
      <c r="O35" s="21">
        <f t="shared" si="6"/>
        <v>12294.464</v>
      </c>
      <c r="P35" s="22">
        <f t="shared" si="7"/>
        <v>1169187.544</v>
      </c>
      <c r="R35" s="23"/>
      <c r="S35" s="25"/>
      <c r="T35" s="25"/>
      <c r="U35" s="25"/>
      <c r="V35" s="25"/>
      <c r="W35" s="25"/>
      <c r="X35" s="25"/>
      <c r="Y35" s="25"/>
      <c r="Z35" s="25"/>
      <c r="AA35" s="25"/>
    </row>
    <row r="36" hidden="1">
      <c r="A36" s="30"/>
      <c r="B36" s="11">
        <v>45977.0</v>
      </c>
      <c r="C36" s="12">
        <f>VLOOKUP(B:B,'Курс валют'!A:D,4,0)</f>
        <v>95.0987</v>
      </c>
      <c r="D36" s="13" t="s">
        <v>1691</v>
      </c>
      <c r="E36" s="59" t="s">
        <v>106</v>
      </c>
      <c r="F36" s="15">
        <v>3200.0</v>
      </c>
      <c r="G36" s="13">
        <v>3215.12</v>
      </c>
      <c r="H36" s="17">
        <v>304.2</v>
      </c>
      <c r="I36" s="15">
        <f t="shared" si="1"/>
        <v>15.12</v>
      </c>
      <c r="J36" s="18">
        <f t="shared" si="2"/>
        <v>0.4725</v>
      </c>
      <c r="K36" s="17">
        <v>2.16</v>
      </c>
      <c r="L36" s="19">
        <f t="shared" si="3"/>
        <v>9.50625</v>
      </c>
      <c r="M36" s="20">
        <f t="shared" si="4"/>
        <v>177.9306187</v>
      </c>
      <c r="N36" s="21">
        <f t="shared" si="5"/>
        <v>1.87101</v>
      </c>
      <c r="O36" s="21">
        <f t="shared" si="6"/>
        <v>5987.232</v>
      </c>
      <c r="P36" s="22">
        <f t="shared" si="7"/>
        <v>569377.9798</v>
      </c>
      <c r="R36" s="23"/>
      <c r="S36" s="25"/>
      <c r="T36" s="25"/>
      <c r="U36" s="25"/>
      <c r="V36" s="25"/>
      <c r="W36" s="25"/>
      <c r="X36" s="25"/>
      <c r="Y36" s="25"/>
      <c r="Z36" s="25"/>
      <c r="AA36" s="25"/>
    </row>
    <row r="37" hidden="1">
      <c r="A37" s="30"/>
      <c r="B37" s="88">
        <v>45977.0</v>
      </c>
      <c r="C37" s="12">
        <f>VLOOKUP(B:B,'Курс валют'!A:D,4,0)</f>
        <v>95.0987</v>
      </c>
      <c r="D37" s="13" t="s">
        <v>1692</v>
      </c>
      <c r="E37" s="59" t="s">
        <v>61</v>
      </c>
      <c r="F37" s="15">
        <v>11000.0</v>
      </c>
      <c r="G37" s="13">
        <v>11125.1</v>
      </c>
      <c r="H37" s="17">
        <v>197.1</v>
      </c>
      <c r="I37" s="15">
        <f t="shared" si="1"/>
        <v>125.1</v>
      </c>
      <c r="J37" s="18">
        <f t="shared" si="2"/>
        <v>1.137272727</v>
      </c>
      <c r="K37" s="17">
        <v>2.55</v>
      </c>
      <c r="L37" s="19">
        <f t="shared" si="3"/>
        <v>1.791818182</v>
      </c>
      <c r="M37" s="20">
        <f t="shared" si="4"/>
        <v>237.3215378</v>
      </c>
      <c r="N37" s="21">
        <f t="shared" si="5"/>
        <v>2.495528727</v>
      </c>
      <c r="O37" s="21">
        <f t="shared" si="6"/>
        <v>27450.816</v>
      </c>
      <c r="P37" s="22">
        <f t="shared" si="7"/>
        <v>2610536.916</v>
      </c>
      <c r="R37" s="78"/>
      <c r="S37" s="24"/>
      <c r="T37" s="25"/>
      <c r="U37" s="25"/>
      <c r="V37" s="25"/>
      <c r="W37" s="25"/>
      <c r="X37" s="25"/>
      <c r="Y37" s="25"/>
      <c r="Z37" s="25"/>
      <c r="AA37" s="25"/>
    </row>
    <row r="38" hidden="1">
      <c r="A38" s="30"/>
      <c r="B38" s="11">
        <v>45978.0</v>
      </c>
      <c r="C38" s="12">
        <f>VLOOKUP(B:B,'Курс валют'!A:D,4,0)</f>
        <v>95.0987</v>
      </c>
      <c r="D38" s="13" t="s">
        <v>1693</v>
      </c>
      <c r="E38" s="59" t="s">
        <v>54</v>
      </c>
      <c r="F38" s="15">
        <v>8000.0</v>
      </c>
      <c r="G38" s="13">
        <v>8039.6</v>
      </c>
      <c r="H38" s="17">
        <v>0.0</v>
      </c>
      <c r="I38" s="15">
        <f t="shared" si="1"/>
        <v>39.6</v>
      </c>
      <c r="J38" s="18">
        <f t="shared" si="2"/>
        <v>0.495</v>
      </c>
      <c r="K38" s="17">
        <v>1.91</v>
      </c>
      <c r="L38" s="19">
        <f t="shared" si="3"/>
        <v>0</v>
      </c>
      <c r="M38" s="20">
        <f t="shared" si="4"/>
        <v>181.638517</v>
      </c>
      <c r="N38" s="21">
        <f t="shared" si="5"/>
        <v>1.91</v>
      </c>
      <c r="O38" s="21">
        <f t="shared" si="6"/>
        <v>15280</v>
      </c>
      <c r="P38" s="22">
        <f t="shared" si="7"/>
        <v>1453108.136</v>
      </c>
      <c r="R38" s="79"/>
      <c r="S38" s="24"/>
      <c r="T38" s="25"/>
      <c r="U38" s="25"/>
      <c r="V38" s="25"/>
      <c r="W38" s="25"/>
      <c r="X38" s="25"/>
      <c r="Y38" s="25"/>
      <c r="Z38" s="25"/>
      <c r="AA38" s="25"/>
    </row>
    <row r="39" hidden="1">
      <c r="A39" s="30"/>
      <c r="B39" s="11">
        <v>45979.0</v>
      </c>
      <c r="C39" s="12">
        <f>VLOOKUP(B:B,'Курс валют'!A:D,4,0)</f>
        <v>96.3063</v>
      </c>
      <c r="D39" s="13" t="s">
        <v>1694</v>
      </c>
      <c r="E39" s="59" t="s">
        <v>54</v>
      </c>
      <c r="F39" s="15">
        <v>8000.0</v>
      </c>
      <c r="G39" s="13">
        <v>8042.36</v>
      </c>
      <c r="H39" s="17">
        <v>0.0</v>
      </c>
      <c r="I39" s="15">
        <f t="shared" si="1"/>
        <v>42.36</v>
      </c>
      <c r="J39" s="18">
        <f t="shared" si="2"/>
        <v>0.5295</v>
      </c>
      <c r="K39" s="17">
        <v>1.91</v>
      </c>
      <c r="L39" s="19">
        <f t="shared" si="3"/>
        <v>0</v>
      </c>
      <c r="M39" s="20">
        <f t="shared" si="4"/>
        <v>183.945033</v>
      </c>
      <c r="N39" s="21">
        <f t="shared" si="5"/>
        <v>1.91</v>
      </c>
      <c r="O39" s="21">
        <f t="shared" si="6"/>
        <v>15280</v>
      </c>
      <c r="P39" s="22">
        <f t="shared" si="7"/>
        <v>1471560.264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 hidden="1">
      <c r="A40" s="30"/>
      <c r="B40" s="11">
        <v>45980.0</v>
      </c>
      <c r="C40" s="12">
        <f>VLOOKUP(B:B,'Курс валют'!A:D,4,0)</f>
        <v>93.9295</v>
      </c>
      <c r="D40" s="13" t="s">
        <v>1695</v>
      </c>
      <c r="E40" s="59" t="s">
        <v>18</v>
      </c>
      <c r="F40" s="15">
        <v>1100.0</v>
      </c>
      <c r="G40" s="13">
        <v>1115.51</v>
      </c>
      <c r="H40" s="17">
        <v>19.71</v>
      </c>
      <c r="I40" s="15">
        <f t="shared" si="1"/>
        <v>15.51</v>
      </c>
      <c r="J40" s="18">
        <f t="shared" si="2"/>
        <v>1.41</v>
      </c>
      <c r="K40" s="17">
        <v>2.4</v>
      </c>
      <c r="L40" s="19">
        <f t="shared" si="3"/>
        <v>1.791818182</v>
      </c>
      <c r="M40" s="20">
        <f t="shared" si="4"/>
        <v>220.3143406</v>
      </c>
      <c r="N40" s="21">
        <f t="shared" si="5"/>
        <v>2.345528727</v>
      </c>
      <c r="O40" s="21">
        <f t="shared" si="6"/>
        <v>2580.0816</v>
      </c>
      <c r="P40" s="22">
        <f t="shared" si="7"/>
        <v>242345.7746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 hidden="1">
      <c r="A41" s="30"/>
      <c r="B41" s="11">
        <v>45980.0</v>
      </c>
      <c r="C41" s="12">
        <f>VLOOKUP(B:B,'Курс валют'!A:D,4,0)</f>
        <v>93.9295</v>
      </c>
      <c r="D41" s="13" t="s">
        <v>1696</v>
      </c>
      <c r="E41" s="59" t="s">
        <v>54</v>
      </c>
      <c r="F41" s="15">
        <v>6400.0</v>
      </c>
      <c r="G41" s="61">
        <v>6427.12</v>
      </c>
      <c r="H41" s="17">
        <v>0.0</v>
      </c>
      <c r="I41" s="16">
        <f t="shared" si="1"/>
        <v>27.12</v>
      </c>
      <c r="J41" s="18">
        <f t="shared" si="2"/>
        <v>0.42375</v>
      </c>
      <c r="K41" s="17">
        <v>1.9</v>
      </c>
      <c r="L41" s="19">
        <f t="shared" si="3"/>
        <v>0</v>
      </c>
      <c r="M41" s="20">
        <f t="shared" si="4"/>
        <v>178.46605</v>
      </c>
      <c r="N41" s="21">
        <f t="shared" si="5"/>
        <v>1.9</v>
      </c>
      <c r="O41" s="21">
        <f t="shared" si="6"/>
        <v>12160</v>
      </c>
      <c r="P41" s="22">
        <f t="shared" si="7"/>
        <v>1142182.72</v>
      </c>
      <c r="R41" s="31"/>
      <c r="S41" s="25"/>
      <c r="T41" s="25"/>
      <c r="U41" s="25"/>
      <c r="V41" s="25"/>
      <c r="W41" s="25"/>
      <c r="X41" s="25"/>
      <c r="Y41" s="25"/>
      <c r="Z41" s="25"/>
      <c r="AA41" s="25"/>
    </row>
    <row r="42" hidden="1">
      <c r="A42" s="30"/>
      <c r="B42" s="11">
        <v>45980.0</v>
      </c>
      <c r="C42" s="12">
        <f>VLOOKUP(B:B,'Курс валют'!A:D,4,0)</f>
        <v>93.9295</v>
      </c>
      <c r="D42" s="13" t="s">
        <v>1697</v>
      </c>
      <c r="E42" s="59" t="s">
        <v>106</v>
      </c>
      <c r="F42" s="15">
        <v>4800.0</v>
      </c>
      <c r="G42" s="13">
        <v>4826.88</v>
      </c>
      <c r="H42" s="17">
        <v>456.3</v>
      </c>
      <c r="I42" s="15">
        <f t="shared" si="1"/>
        <v>26.88</v>
      </c>
      <c r="J42" s="18">
        <f t="shared" si="2"/>
        <v>0.56</v>
      </c>
      <c r="K42" s="17">
        <v>2.16</v>
      </c>
      <c r="L42" s="19">
        <f t="shared" si="3"/>
        <v>9.50625</v>
      </c>
      <c r="M42" s="20">
        <f t="shared" si="4"/>
        <v>175.7430338</v>
      </c>
      <c r="N42" s="21">
        <f t="shared" si="5"/>
        <v>1.87101</v>
      </c>
      <c r="O42" s="21">
        <f t="shared" si="6"/>
        <v>8980.848</v>
      </c>
      <c r="P42" s="22">
        <f t="shared" si="7"/>
        <v>843566.5622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 hidden="1">
      <c r="A43" s="30"/>
      <c r="B43" s="30">
        <v>45981.0</v>
      </c>
      <c r="C43" s="12">
        <f>VLOOKUP(B:B,'Курс валют'!A:D,4,0)</f>
        <v>93.7804</v>
      </c>
      <c r="D43" s="13" t="s">
        <v>1698</v>
      </c>
      <c r="E43" s="59" t="s">
        <v>106</v>
      </c>
      <c r="F43" s="15">
        <v>12800.0</v>
      </c>
      <c r="G43" s="13">
        <v>12871.68</v>
      </c>
      <c r="H43" s="17">
        <v>1216.8</v>
      </c>
      <c r="I43" s="15">
        <f t="shared" si="1"/>
        <v>71.68</v>
      </c>
      <c r="J43" s="18">
        <f t="shared" si="2"/>
        <v>0.56</v>
      </c>
      <c r="K43" s="17">
        <v>2.12</v>
      </c>
      <c r="L43" s="19">
        <f t="shared" si="3"/>
        <v>9.50625</v>
      </c>
      <c r="M43" s="20">
        <f t="shared" si="4"/>
        <v>171.7128502</v>
      </c>
      <c r="N43" s="21">
        <f t="shared" si="5"/>
        <v>1.83101</v>
      </c>
      <c r="O43" s="21">
        <f t="shared" si="6"/>
        <v>23436.928</v>
      </c>
      <c r="P43" s="22">
        <f t="shared" si="7"/>
        <v>2197924.483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 hidden="1">
      <c r="A44" s="30"/>
      <c r="B44" s="11">
        <v>45982.0</v>
      </c>
      <c r="C44" s="12">
        <f>VLOOKUP(B:B,'Курс валют'!A:D,4,0)</f>
        <v>92.6047</v>
      </c>
      <c r="D44" s="13" t="s">
        <v>1699</v>
      </c>
      <c r="E44" s="59" t="s">
        <v>18</v>
      </c>
      <c r="F44" s="15">
        <v>9900.0</v>
      </c>
      <c r="G44" s="13">
        <v>9988.29</v>
      </c>
      <c r="H44" s="17">
        <v>177.38</v>
      </c>
      <c r="I44" s="15">
        <f t="shared" si="1"/>
        <v>88.29</v>
      </c>
      <c r="J44" s="18">
        <f t="shared" si="2"/>
        <v>0.8918181818</v>
      </c>
      <c r="K44" s="17">
        <v>2.46</v>
      </c>
      <c r="L44" s="19">
        <f t="shared" si="3"/>
        <v>1.791717172</v>
      </c>
      <c r="M44" s="20">
        <f t="shared" si="4"/>
        <v>222.7635505</v>
      </c>
      <c r="N44" s="21">
        <f t="shared" si="5"/>
        <v>2.405531798</v>
      </c>
      <c r="O44" s="21">
        <f t="shared" si="6"/>
        <v>23814.7648</v>
      </c>
      <c r="P44" s="22">
        <f t="shared" si="7"/>
        <v>2205359.15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 hidden="1">
      <c r="A45" s="30"/>
      <c r="B45" s="11">
        <v>45983.0</v>
      </c>
      <c r="C45" s="12">
        <f>VLOOKUP(B:B,'Курс валют'!A:D,4,0)</f>
        <v>90.5625</v>
      </c>
      <c r="D45" s="13" t="s">
        <v>1700</v>
      </c>
      <c r="E45" s="59" t="s">
        <v>18</v>
      </c>
      <c r="F45" s="15">
        <v>11000.0</v>
      </c>
      <c r="G45" s="61">
        <v>11098.1</v>
      </c>
      <c r="H45" s="17">
        <v>197.1</v>
      </c>
      <c r="I45" s="16">
        <f t="shared" si="1"/>
        <v>98.1</v>
      </c>
      <c r="J45" s="18">
        <f t="shared" si="2"/>
        <v>0.8918181818</v>
      </c>
      <c r="K45" s="17">
        <v>2.44</v>
      </c>
      <c r="L45" s="19">
        <f t="shared" si="3"/>
        <v>1.791818182</v>
      </c>
      <c r="M45" s="20">
        <f t="shared" si="4"/>
        <v>216.0394454</v>
      </c>
      <c r="N45" s="21">
        <f t="shared" si="5"/>
        <v>2.385528727</v>
      </c>
      <c r="O45" s="21">
        <f t="shared" si="6"/>
        <v>26240.816</v>
      </c>
      <c r="P45" s="22">
        <f t="shared" si="7"/>
        <v>2376433.899</v>
      </c>
      <c r="R45" s="23"/>
      <c r="S45" s="24"/>
      <c r="T45" s="25"/>
      <c r="U45" s="25"/>
      <c r="V45" s="25"/>
      <c r="W45" s="25"/>
      <c r="X45" s="25"/>
      <c r="Y45" s="25"/>
      <c r="Z45" s="25"/>
      <c r="AA45" s="25"/>
    </row>
    <row r="46" hidden="1">
      <c r="A46" s="30"/>
      <c r="B46" s="11">
        <v>45983.0</v>
      </c>
      <c r="C46" s="12">
        <f>VLOOKUP(B:B,'Курс валют'!A:D,4,0)</f>
        <v>90.5625</v>
      </c>
      <c r="D46" s="13" t="s">
        <v>1701</v>
      </c>
      <c r="E46" s="59" t="s">
        <v>107</v>
      </c>
      <c r="F46" s="15">
        <v>2400.0</v>
      </c>
      <c r="G46" s="13">
        <v>2480.76</v>
      </c>
      <c r="H46" s="17">
        <v>0.0</v>
      </c>
      <c r="I46" s="15">
        <f t="shared" si="1"/>
        <v>80.76</v>
      </c>
      <c r="J46" s="18">
        <f t="shared" si="2"/>
        <v>3.365</v>
      </c>
      <c r="K46" s="17">
        <v>2.69</v>
      </c>
      <c r="L46" s="19">
        <f t="shared" si="3"/>
        <v>0</v>
      </c>
      <c r="M46" s="20">
        <f t="shared" si="4"/>
        <v>243.613125</v>
      </c>
      <c r="N46" s="21">
        <f t="shared" si="5"/>
        <v>2.69</v>
      </c>
      <c r="O46" s="21">
        <f t="shared" si="6"/>
        <v>6456</v>
      </c>
      <c r="P46" s="22">
        <f t="shared" si="7"/>
        <v>584671.5</v>
      </c>
      <c r="R46" s="23"/>
      <c r="S46" s="24"/>
      <c r="T46" s="25"/>
      <c r="U46" s="25"/>
      <c r="V46" s="25"/>
      <c r="W46" s="25"/>
      <c r="X46" s="25"/>
      <c r="Y46" s="25"/>
      <c r="Z46" s="25"/>
      <c r="AA46" s="25"/>
    </row>
    <row r="47" hidden="1">
      <c r="A47" s="30"/>
      <c r="B47" s="11">
        <v>45984.0</v>
      </c>
      <c r="C47" s="12">
        <f>VLOOKUP(B:B,'Курс валют'!A:D,4,0)</f>
        <v>90.5625</v>
      </c>
      <c r="D47" s="13" t="s">
        <v>1702</v>
      </c>
      <c r="E47" s="59" t="s">
        <v>118</v>
      </c>
      <c r="F47" s="15">
        <v>562.4</v>
      </c>
      <c r="G47" s="61">
        <v>571.79</v>
      </c>
      <c r="H47" s="17">
        <v>0.0</v>
      </c>
      <c r="I47" s="16">
        <f t="shared" si="1"/>
        <v>9.39</v>
      </c>
      <c r="J47" s="18">
        <f t="shared" si="2"/>
        <v>1.669630156</v>
      </c>
      <c r="K47" s="17">
        <v>1.44</v>
      </c>
      <c r="L47" s="19">
        <f t="shared" si="3"/>
        <v>0</v>
      </c>
      <c r="M47" s="20">
        <f t="shared" si="4"/>
        <v>130.41</v>
      </c>
      <c r="N47" s="21">
        <f t="shared" si="5"/>
        <v>1.44</v>
      </c>
      <c r="O47" s="21">
        <f t="shared" si="6"/>
        <v>809.856</v>
      </c>
      <c r="P47" s="22">
        <f t="shared" si="7"/>
        <v>73342.584</v>
      </c>
      <c r="R47" s="23" t="s">
        <v>1703</v>
      </c>
      <c r="S47" s="25"/>
      <c r="T47" s="25"/>
      <c r="U47" s="25"/>
      <c r="V47" s="25"/>
      <c r="W47" s="25"/>
      <c r="X47" s="25"/>
      <c r="Y47" s="25"/>
      <c r="Z47" s="25"/>
      <c r="AA47" s="25"/>
    </row>
    <row r="48" hidden="1">
      <c r="A48" s="30"/>
      <c r="B48" s="11">
        <v>45984.0</v>
      </c>
      <c r="C48" s="12">
        <f>VLOOKUP(B:B,'Курс валют'!A:D,4,0)</f>
        <v>90.5625</v>
      </c>
      <c r="D48" s="13" t="s">
        <v>1704</v>
      </c>
      <c r="E48" s="59" t="s">
        <v>107</v>
      </c>
      <c r="F48" s="15">
        <v>2400.0</v>
      </c>
      <c r="G48" s="13">
        <v>2490.76</v>
      </c>
      <c r="H48" s="17">
        <v>0.0</v>
      </c>
      <c r="I48" s="15">
        <f t="shared" si="1"/>
        <v>90.76</v>
      </c>
      <c r="J48" s="18">
        <f t="shared" si="2"/>
        <v>3.781666667</v>
      </c>
      <c r="K48" s="17">
        <v>2.7</v>
      </c>
      <c r="L48" s="19">
        <f t="shared" si="3"/>
        <v>0</v>
      </c>
      <c r="M48" s="20">
        <f t="shared" si="4"/>
        <v>244.51875</v>
      </c>
      <c r="N48" s="21">
        <f t="shared" si="5"/>
        <v>2.7</v>
      </c>
      <c r="O48" s="21">
        <f t="shared" si="6"/>
        <v>6480</v>
      </c>
      <c r="P48" s="22">
        <f t="shared" si="7"/>
        <v>586845</v>
      </c>
      <c r="R48" s="23"/>
      <c r="S48" s="25"/>
      <c r="T48" s="25"/>
      <c r="U48" s="25"/>
      <c r="V48" s="25"/>
      <c r="W48" s="25"/>
      <c r="X48" s="25"/>
      <c r="Y48" s="25"/>
      <c r="Z48" s="25"/>
      <c r="AA48" s="25"/>
    </row>
    <row r="49" hidden="1">
      <c r="A49" s="30"/>
      <c r="B49" s="11">
        <v>45985.0</v>
      </c>
      <c r="C49" s="12">
        <f>VLOOKUP(B:B,'Курс валют'!A:D,4,0)</f>
        <v>90.5625</v>
      </c>
      <c r="D49" s="13" t="s">
        <v>1705</v>
      </c>
      <c r="E49" s="59" t="s">
        <v>107</v>
      </c>
      <c r="F49" s="15">
        <v>2320.0</v>
      </c>
      <c r="G49" s="13">
        <v>2407.13</v>
      </c>
      <c r="H49" s="17">
        <v>0.0</v>
      </c>
      <c r="I49" s="15">
        <f t="shared" si="1"/>
        <v>87.13</v>
      </c>
      <c r="J49" s="18">
        <f t="shared" si="2"/>
        <v>3.755603448</v>
      </c>
      <c r="K49" s="17">
        <v>2.71</v>
      </c>
      <c r="L49" s="19">
        <f t="shared" si="3"/>
        <v>0</v>
      </c>
      <c r="M49" s="20">
        <f t="shared" si="4"/>
        <v>245.424375</v>
      </c>
      <c r="N49" s="21">
        <f>(F49*K49-H49*2.45)/F49</f>
        <v>2.71</v>
      </c>
      <c r="O49" s="21">
        <f t="shared" si="6"/>
        <v>6287.2</v>
      </c>
      <c r="P49" s="22">
        <f t="shared" si="7"/>
        <v>569384.55</v>
      </c>
      <c r="R49" s="23" t="s">
        <v>1706</v>
      </c>
      <c r="S49" s="24"/>
      <c r="T49" s="25"/>
      <c r="U49" s="25"/>
      <c r="V49" s="25"/>
      <c r="W49" s="25"/>
      <c r="X49" s="25"/>
      <c r="Y49" s="25"/>
      <c r="Z49" s="25"/>
      <c r="AA49" s="25"/>
    </row>
    <row r="50" hidden="1">
      <c r="A50" s="30"/>
      <c r="B50" s="11">
        <v>45985.0</v>
      </c>
      <c r="C50" s="12">
        <f>VLOOKUP(B:B,'Курс валют'!A:D,4,0)</f>
        <v>90.5625</v>
      </c>
      <c r="D50" s="13" t="s">
        <v>1707</v>
      </c>
      <c r="E50" s="59" t="s">
        <v>18</v>
      </c>
      <c r="F50" s="15">
        <v>6600.0</v>
      </c>
      <c r="G50" s="13">
        <v>6708.36</v>
      </c>
      <c r="H50" s="58">
        <v>118.26</v>
      </c>
      <c r="I50" s="15">
        <f t="shared" si="1"/>
        <v>108.36</v>
      </c>
      <c r="J50" s="18">
        <f t="shared" si="2"/>
        <v>1.641818182</v>
      </c>
      <c r="K50" s="17">
        <v>2.47</v>
      </c>
      <c r="L50" s="19">
        <f t="shared" si="3"/>
        <v>1.791818182</v>
      </c>
      <c r="M50" s="20">
        <f t="shared" si="4"/>
        <v>218.7563204</v>
      </c>
      <c r="N50" s="21">
        <f t="shared" ref="N50:N102" si="8">(F50*K50-H50*3.04)/F50</f>
        <v>2.415528727</v>
      </c>
      <c r="O50" s="21">
        <f t="shared" si="6"/>
        <v>15942.4896</v>
      </c>
      <c r="P50" s="22">
        <f t="shared" si="7"/>
        <v>1443791.714</v>
      </c>
      <c r="R50" s="23"/>
      <c r="S50" s="24"/>
      <c r="T50" s="25"/>
      <c r="U50" s="25"/>
      <c r="V50" s="25"/>
      <c r="W50" s="25"/>
      <c r="X50" s="25"/>
      <c r="Y50" s="25"/>
      <c r="Z50" s="25"/>
      <c r="AA50" s="25"/>
    </row>
    <row r="51" hidden="1">
      <c r="A51" s="30"/>
      <c r="B51" s="11">
        <v>45985.0</v>
      </c>
      <c r="C51" s="12">
        <f>VLOOKUP(B:B,'Курс валют'!A:D,4,0)</f>
        <v>90.5625</v>
      </c>
      <c r="D51" s="13" t="s">
        <v>1708</v>
      </c>
      <c r="E51" s="59" t="s">
        <v>18</v>
      </c>
      <c r="F51" s="15">
        <v>4400.0</v>
      </c>
      <c r="G51" s="13">
        <v>4457.4</v>
      </c>
      <c r="H51" s="58">
        <f>62.8+97+94.46*3</f>
        <v>443.18</v>
      </c>
      <c r="I51" s="15">
        <f t="shared" si="1"/>
        <v>57.4</v>
      </c>
      <c r="J51" s="18">
        <f t="shared" si="2"/>
        <v>1.304545455</v>
      </c>
      <c r="K51" s="17">
        <v>2.72</v>
      </c>
      <c r="L51" s="19">
        <f t="shared" si="3"/>
        <v>10.07227273</v>
      </c>
      <c r="M51" s="20">
        <f t="shared" si="4"/>
        <v>218.600026</v>
      </c>
      <c r="N51" s="21">
        <f t="shared" si="8"/>
        <v>2.413802909</v>
      </c>
      <c r="O51" s="21">
        <f t="shared" si="6"/>
        <v>10620.7328</v>
      </c>
      <c r="P51" s="22">
        <f t="shared" si="7"/>
        <v>961840.1142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 hidden="1">
      <c r="A52" s="30"/>
      <c r="B52" s="11">
        <v>45986.0</v>
      </c>
      <c r="C52" s="12">
        <f>VLOOKUP(B:B,'Курс валют'!A:D,4,0)</f>
        <v>91.3672</v>
      </c>
      <c r="D52" s="13" t="s">
        <v>1709</v>
      </c>
      <c r="E52" s="59" t="s">
        <v>71</v>
      </c>
      <c r="F52" s="15">
        <v>1647.0</v>
      </c>
      <c r="G52" s="13">
        <v>1660.661</v>
      </c>
      <c r="H52" s="58">
        <v>180.0</v>
      </c>
      <c r="I52" s="15">
        <f t="shared" si="1"/>
        <v>13.661</v>
      </c>
      <c r="J52" s="18">
        <f t="shared" si="2"/>
        <v>0.8294474803</v>
      </c>
      <c r="K52" s="17">
        <v>2.21</v>
      </c>
      <c r="L52" s="19">
        <f t="shared" si="3"/>
        <v>10.92896175</v>
      </c>
      <c r="M52" s="20">
        <f t="shared" si="4"/>
        <v>171.5656335</v>
      </c>
      <c r="N52" s="21">
        <f t="shared" si="8"/>
        <v>1.877759563</v>
      </c>
      <c r="O52" s="21">
        <f t="shared" si="6"/>
        <v>3092.67</v>
      </c>
      <c r="P52" s="22">
        <f t="shared" si="7"/>
        <v>282568.5984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 hidden="1">
      <c r="A53" s="30"/>
      <c r="B53" s="11">
        <v>45986.0</v>
      </c>
      <c r="C53" s="12">
        <f>VLOOKUP(B:B,'Курс валют'!A:D,4,0)</f>
        <v>91.3672</v>
      </c>
      <c r="D53" s="13" t="s">
        <v>1710</v>
      </c>
      <c r="E53" s="59" t="s">
        <v>55</v>
      </c>
      <c r="F53" s="15">
        <v>3000.0</v>
      </c>
      <c r="G53" s="13">
        <v>3033.3</v>
      </c>
      <c r="H53" s="58">
        <v>0.0</v>
      </c>
      <c r="I53" s="15">
        <f t="shared" si="1"/>
        <v>33.3</v>
      </c>
      <c r="J53" s="18">
        <f t="shared" si="2"/>
        <v>1.11</v>
      </c>
      <c r="K53" s="17">
        <v>2.7</v>
      </c>
      <c r="L53" s="19">
        <f t="shared" si="3"/>
        <v>0</v>
      </c>
      <c r="M53" s="20">
        <f t="shared" si="4"/>
        <v>246.69144</v>
      </c>
      <c r="N53" s="21">
        <f t="shared" si="8"/>
        <v>2.7</v>
      </c>
      <c r="O53" s="21">
        <f t="shared" si="6"/>
        <v>8100</v>
      </c>
      <c r="P53" s="22">
        <f t="shared" si="7"/>
        <v>740074.32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 hidden="1">
      <c r="A54" s="30"/>
      <c r="B54" s="11">
        <v>45987.0</v>
      </c>
      <c r="C54" s="12">
        <f>VLOOKUP(B:B,'Курс валют'!A:D,4,0)</f>
        <v>90.9698</v>
      </c>
      <c r="D54" s="13" t="s">
        <v>1711</v>
      </c>
      <c r="E54" s="59" t="s">
        <v>53</v>
      </c>
      <c r="F54" s="15">
        <v>800.0</v>
      </c>
      <c r="G54" s="13">
        <v>804.79</v>
      </c>
      <c r="H54" s="58">
        <v>0.0</v>
      </c>
      <c r="I54" s="15">
        <f t="shared" si="1"/>
        <v>4.79</v>
      </c>
      <c r="J54" s="18">
        <f t="shared" si="2"/>
        <v>0.59875</v>
      </c>
      <c r="K54" s="17">
        <v>1.95</v>
      </c>
      <c r="L54" s="19">
        <f t="shared" si="3"/>
        <v>0</v>
      </c>
      <c r="M54" s="20">
        <f t="shared" si="4"/>
        <v>177.39111</v>
      </c>
      <c r="N54" s="21">
        <f t="shared" si="8"/>
        <v>1.95</v>
      </c>
      <c r="O54" s="21">
        <f t="shared" si="6"/>
        <v>1560</v>
      </c>
      <c r="P54" s="22">
        <f t="shared" si="7"/>
        <v>141912.888</v>
      </c>
      <c r="R54" s="31"/>
      <c r="S54" s="24"/>
      <c r="T54" s="25"/>
      <c r="U54" s="25"/>
      <c r="V54" s="25"/>
      <c r="W54" s="25"/>
      <c r="X54" s="25"/>
      <c r="Y54" s="25"/>
      <c r="Z54" s="25"/>
      <c r="AA54" s="25"/>
    </row>
    <row r="55" hidden="1">
      <c r="A55" s="30"/>
      <c r="B55" s="11">
        <v>45988.0</v>
      </c>
      <c r="C55" s="12">
        <f>VLOOKUP(B:B,'Курс валют'!A:D,4,0)</f>
        <v>91.5047</v>
      </c>
      <c r="D55" s="13" t="s">
        <v>1712</v>
      </c>
      <c r="E55" s="59" t="s">
        <v>109</v>
      </c>
      <c r="F55" s="15">
        <v>1000.0</v>
      </c>
      <c r="G55" s="13">
        <v>1009.0</v>
      </c>
      <c r="H55" s="17">
        <v>0.0</v>
      </c>
      <c r="I55" s="15">
        <f t="shared" si="1"/>
        <v>9</v>
      </c>
      <c r="J55" s="18">
        <f t="shared" si="2"/>
        <v>0.9</v>
      </c>
      <c r="K55" s="62">
        <v>2.51</v>
      </c>
      <c r="L55" s="19">
        <f t="shared" si="3"/>
        <v>0</v>
      </c>
      <c r="M55" s="20">
        <f t="shared" si="4"/>
        <v>229.676797</v>
      </c>
      <c r="N55" s="21">
        <f t="shared" si="8"/>
        <v>2.51</v>
      </c>
      <c r="O55" s="21">
        <f t="shared" si="6"/>
        <v>2510</v>
      </c>
      <c r="P55" s="22">
        <f t="shared" si="7"/>
        <v>229676.797</v>
      </c>
      <c r="R55" s="31"/>
      <c r="S55" s="24"/>
      <c r="T55" s="25"/>
      <c r="U55" s="25"/>
      <c r="V55" s="25"/>
      <c r="W55" s="25"/>
      <c r="X55" s="25"/>
      <c r="Y55" s="25"/>
      <c r="Z55" s="25"/>
      <c r="AA55" s="25"/>
    </row>
    <row r="56" hidden="1">
      <c r="A56" s="30"/>
      <c r="B56" s="11">
        <v>45988.0</v>
      </c>
      <c r="C56" s="12">
        <f>VLOOKUP(B:B,'Курс валют'!A:D,4,0)</f>
        <v>91.5047</v>
      </c>
      <c r="D56" s="13" t="s">
        <v>1713</v>
      </c>
      <c r="E56" s="59" t="s">
        <v>98</v>
      </c>
      <c r="F56" s="15">
        <v>360.0</v>
      </c>
      <c r="G56" s="13">
        <v>361.0</v>
      </c>
      <c r="H56" s="17">
        <v>0.0</v>
      </c>
      <c r="I56" s="15">
        <f t="shared" si="1"/>
        <v>1</v>
      </c>
      <c r="J56" s="18">
        <f t="shared" si="2"/>
        <v>0.2777777778</v>
      </c>
      <c r="K56" s="62">
        <v>2.05</v>
      </c>
      <c r="L56" s="19">
        <f t="shared" si="3"/>
        <v>0</v>
      </c>
      <c r="M56" s="20">
        <f t="shared" si="4"/>
        <v>187.584635</v>
      </c>
      <c r="N56" s="21">
        <f t="shared" si="8"/>
        <v>2.05</v>
      </c>
      <c r="O56" s="21">
        <f t="shared" si="6"/>
        <v>738</v>
      </c>
      <c r="P56" s="22">
        <f t="shared" si="7"/>
        <v>67530.4686</v>
      </c>
      <c r="R56" s="31"/>
      <c r="S56" s="24"/>
      <c r="T56" s="25"/>
      <c r="U56" s="25"/>
      <c r="V56" s="25"/>
      <c r="W56" s="25"/>
      <c r="X56" s="25"/>
      <c r="Y56" s="25"/>
      <c r="Z56" s="25"/>
      <c r="AA56" s="25"/>
    </row>
    <row r="57" hidden="1">
      <c r="A57" s="30"/>
      <c r="B57" s="83">
        <v>45988.0</v>
      </c>
      <c r="C57" s="12">
        <f>VLOOKUP(B:B,'Курс валют'!A:D,4,0)</f>
        <v>91.5047</v>
      </c>
      <c r="D57" s="13" t="s">
        <v>1714</v>
      </c>
      <c r="E57" s="59" t="s">
        <v>18</v>
      </c>
      <c r="F57" s="15">
        <v>1100.0</v>
      </c>
      <c r="G57" s="13">
        <v>1111.31</v>
      </c>
      <c r="H57" s="17">
        <f>19.71</f>
        <v>19.71</v>
      </c>
      <c r="I57" s="15">
        <f t="shared" si="1"/>
        <v>11.31</v>
      </c>
      <c r="J57" s="18">
        <f t="shared" si="2"/>
        <v>1.028181818</v>
      </c>
      <c r="K57" s="17">
        <v>2.54</v>
      </c>
      <c r="L57" s="19">
        <f t="shared" si="3"/>
        <v>1.791818182</v>
      </c>
      <c r="M57" s="20">
        <f t="shared" si="4"/>
        <v>227.4375605</v>
      </c>
      <c r="N57" s="21">
        <f t="shared" si="8"/>
        <v>2.485528727</v>
      </c>
      <c r="O57" s="21">
        <f t="shared" si="6"/>
        <v>2734.0816</v>
      </c>
      <c r="P57" s="22">
        <f t="shared" si="7"/>
        <v>250181.3166</v>
      </c>
      <c r="R57" s="23"/>
      <c r="S57" s="25"/>
      <c r="T57" s="25"/>
      <c r="U57" s="25"/>
      <c r="V57" s="25"/>
      <c r="W57" s="25"/>
      <c r="X57" s="25"/>
      <c r="Y57" s="25"/>
      <c r="Z57" s="25"/>
      <c r="AA57" s="25"/>
    </row>
    <row r="58" hidden="1">
      <c r="A58" s="30"/>
      <c r="B58" s="11">
        <v>45988.0</v>
      </c>
      <c r="C58" s="12">
        <f>VLOOKUP(B:B,'Курс валют'!A:D,4,0)</f>
        <v>91.5047</v>
      </c>
      <c r="D58" s="13" t="s">
        <v>1715</v>
      </c>
      <c r="E58" s="64" t="s">
        <v>68</v>
      </c>
      <c r="F58" s="15">
        <v>4000.0</v>
      </c>
      <c r="G58" s="13">
        <v>4022.45</v>
      </c>
      <c r="H58" s="17">
        <v>379.4</v>
      </c>
      <c r="I58" s="15">
        <f t="shared" si="1"/>
        <v>22.45</v>
      </c>
      <c r="J58" s="18">
        <f t="shared" si="2"/>
        <v>0.56125</v>
      </c>
      <c r="K58" s="17">
        <v>2.16</v>
      </c>
      <c r="L58" s="19">
        <f t="shared" si="3"/>
        <v>9.485</v>
      </c>
      <c r="M58" s="20">
        <f t="shared" si="4"/>
        <v>171.2653208</v>
      </c>
      <c r="N58" s="21">
        <f t="shared" si="8"/>
        <v>1.871656</v>
      </c>
      <c r="O58" s="21">
        <f t="shared" si="6"/>
        <v>7486.624</v>
      </c>
      <c r="P58" s="22">
        <f t="shared" si="7"/>
        <v>685061.2831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 hidden="1">
      <c r="A59" s="30"/>
      <c r="B59" s="89">
        <v>45988.0</v>
      </c>
      <c r="C59" s="12">
        <f>VLOOKUP(B:B,'Курс валют'!A:D,4,0)</f>
        <v>91.5047</v>
      </c>
      <c r="D59" s="13" t="s">
        <v>1716</v>
      </c>
      <c r="E59" s="59" t="s">
        <v>81</v>
      </c>
      <c r="F59" s="15">
        <v>2000.0</v>
      </c>
      <c r="G59" s="15">
        <v>2062.15</v>
      </c>
      <c r="H59" s="27">
        <v>0.0</v>
      </c>
      <c r="I59" s="15">
        <f t="shared" si="1"/>
        <v>62.15</v>
      </c>
      <c r="J59" s="18">
        <f t="shared" si="2"/>
        <v>3.1075</v>
      </c>
      <c r="K59" s="17">
        <v>2.36</v>
      </c>
      <c r="L59" s="19">
        <f t="shared" si="3"/>
        <v>0</v>
      </c>
      <c r="M59" s="20">
        <f t="shared" si="4"/>
        <v>215.951092</v>
      </c>
      <c r="N59" s="21">
        <f t="shared" si="8"/>
        <v>2.36</v>
      </c>
      <c r="O59" s="21">
        <f t="shared" si="6"/>
        <v>4720</v>
      </c>
      <c r="P59" s="22">
        <f t="shared" si="7"/>
        <v>431902.184</v>
      </c>
      <c r="R59" s="31"/>
      <c r="S59" s="25"/>
      <c r="T59" s="25"/>
      <c r="U59" s="25"/>
      <c r="V59" s="25"/>
      <c r="W59" s="25"/>
      <c r="X59" s="25"/>
      <c r="Y59" s="25"/>
      <c r="Z59" s="25"/>
      <c r="AA59" s="25"/>
    </row>
    <row r="60" hidden="1">
      <c r="A60" s="30"/>
      <c r="B60" s="11">
        <v>45989.0</v>
      </c>
      <c r="C60" s="12">
        <f>VLOOKUP(B:B,'Курс валют'!A:D,4,0)</f>
        <v>90.788</v>
      </c>
      <c r="D60" s="13" t="s">
        <v>1717</v>
      </c>
      <c r="E60" s="59" t="s">
        <v>64</v>
      </c>
      <c r="F60" s="15">
        <v>2200.0</v>
      </c>
      <c r="G60" s="15">
        <v>2244.44</v>
      </c>
      <c r="H60" s="27">
        <v>0.0</v>
      </c>
      <c r="I60" s="15">
        <f t="shared" si="1"/>
        <v>44.44</v>
      </c>
      <c r="J60" s="18">
        <f t="shared" si="2"/>
        <v>2.02</v>
      </c>
      <c r="K60" s="17">
        <v>2.56</v>
      </c>
      <c r="L60" s="19">
        <f t="shared" si="3"/>
        <v>0</v>
      </c>
      <c r="M60" s="20">
        <f t="shared" si="4"/>
        <v>232.41728</v>
      </c>
      <c r="N60" s="21">
        <f t="shared" si="8"/>
        <v>2.56</v>
      </c>
      <c r="O60" s="21">
        <f t="shared" si="6"/>
        <v>5632</v>
      </c>
      <c r="P60" s="22">
        <f t="shared" si="7"/>
        <v>511318.016</v>
      </c>
      <c r="R60" s="31"/>
      <c r="S60" s="25"/>
      <c r="T60" s="25"/>
      <c r="U60" s="25"/>
      <c r="V60" s="25"/>
      <c r="W60" s="25"/>
      <c r="X60" s="25"/>
      <c r="Y60" s="25"/>
      <c r="Z60" s="25"/>
      <c r="AA60" s="25"/>
    </row>
    <row r="61" hidden="1">
      <c r="A61" s="30"/>
      <c r="B61" s="11">
        <v>45989.0</v>
      </c>
      <c r="C61" s="12">
        <f>VLOOKUP(B:B,'Курс валют'!A:D,4,0)</f>
        <v>90.788</v>
      </c>
      <c r="D61" s="13" t="s">
        <v>1718</v>
      </c>
      <c r="E61" s="64" t="s">
        <v>68</v>
      </c>
      <c r="F61" s="15">
        <v>7200.0</v>
      </c>
      <c r="G61" s="15">
        <v>7240.41</v>
      </c>
      <c r="H61" s="17">
        <v>682.92</v>
      </c>
      <c r="I61" s="15">
        <f t="shared" si="1"/>
        <v>40.41</v>
      </c>
      <c r="J61" s="18">
        <f t="shared" si="2"/>
        <v>0.56125</v>
      </c>
      <c r="K61" s="17">
        <v>2.17</v>
      </c>
      <c r="L61" s="19">
        <f t="shared" si="3"/>
        <v>9.485</v>
      </c>
      <c r="M61" s="20">
        <f t="shared" si="4"/>
        <v>170.8317849</v>
      </c>
      <c r="N61" s="21">
        <f t="shared" si="8"/>
        <v>1.881656</v>
      </c>
      <c r="O61" s="21">
        <f t="shared" si="6"/>
        <v>13547.9232</v>
      </c>
      <c r="P61" s="22">
        <f t="shared" si="7"/>
        <v>1229988.851</v>
      </c>
      <c r="R61" s="23"/>
      <c r="S61" s="24"/>
      <c r="T61" s="25"/>
      <c r="U61" s="25"/>
      <c r="V61" s="25"/>
      <c r="W61" s="25"/>
      <c r="X61" s="25"/>
      <c r="Y61" s="25"/>
      <c r="Z61" s="25"/>
      <c r="AA61" s="25"/>
    </row>
    <row r="62" hidden="1">
      <c r="A62" s="30"/>
      <c r="B62" s="11">
        <v>45990.0</v>
      </c>
      <c r="C62" s="12">
        <f>VLOOKUP(B:B,'Курс валют'!A:D,4,0)</f>
        <v>90.819</v>
      </c>
      <c r="D62" s="13" t="s">
        <v>1719</v>
      </c>
      <c r="E62" s="64" t="s">
        <v>64</v>
      </c>
      <c r="F62" s="15">
        <v>1800.0</v>
      </c>
      <c r="G62" s="15">
        <v>1842.75</v>
      </c>
      <c r="H62" s="27">
        <v>0.0</v>
      </c>
      <c r="I62" s="15">
        <f t="shared" si="1"/>
        <v>42.75</v>
      </c>
      <c r="J62" s="18">
        <f t="shared" si="2"/>
        <v>2.375</v>
      </c>
      <c r="K62" s="17">
        <v>2.59</v>
      </c>
      <c r="L62" s="19">
        <f t="shared" si="3"/>
        <v>0</v>
      </c>
      <c r="M62" s="20">
        <f t="shared" si="4"/>
        <v>235.22121</v>
      </c>
      <c r="N62" s="21">
        <f t="shared" si="8"/>
        <v>2.59</v>
      </c>
      <c r="O62" s="21">
        <f t="shared" si="6"/>
        <v>4662</v>
      </c>
      <c r="P62" s="22">
        <f t="shared" si="7"/>
        <v>423398.178</v>
      </c>
      <c r="R62" s="23"/>
      <c r="S62" s="24"/>
      <c r="T62" s="25"/>
      <c r="U62" s="25"/>
      <c r="V62" s="25"/>
      <c r="W62" s="25"/>
      <c r="X62" s="25"/>
      <c r="Y62" s="25"/>
      <c r="Z62" s="25"/>
      <c r="AA62" s="25"/>
    </row>
    <row r="63" hidden="1">
      <c r="A63" s="30"/>
      <c r="B63" s="11">
        <v>45990.0</v>
      </c>
      <c r="C63" s="12">
        <f>VLOOKUP(B:B,'Курс валют'!A:D,4,0)</f>
        <v>90.819</v>
      </c>
      <c r="D63" s="13" t="s">
        <v>1720</v>
      </c>
      <c r="E63" s="64" t="s">
        <v>106</v>
      </c>
      <c r="F63" s="15">
        <v>8000.0</v>
      </c>
      <c r="G63" s="15">
        <v>8044.8</v>
      </c>
      <c r="H63" s="17">
        <v>761.5</v>
      </c>
      <c r="I63" s="15">
        <f t="shared" si="1"/>
        <v>44.8</v>
      </c>
      <c r="J63" s="18">
        <f t="shared" si="2"/>
        <v>0.56</v>
      </c>
      <c r="K63" s="17">
        <v>2.11</v>
      </c>
      <c r="L63" s="19">
        <f t="shared" si="3"/>
        <v>9.51875</v>
      </c>
      <c r="M63" s="20">
        <f t="shared" si="4"/>
        <v>165.347796</v>
      </c>
      <c r="N63" s="21">
        <f t="shared" si="8"/>
        <v>1.82063</v>
      </c>
      <c r="O63" s="21">
        <f t="shared" si="6"/>
        <v>14565.04</v>
      </c>
      <c r="P63" s="22">
        <f t="shared" si="7"/>
        <v>1322782.368</v>
      </c>
      <c r="R63" s="23"/>
      <c r="S63" s="24"/>
      <c r="T63" s="25"/>
      <c r="U63" s="25"/>
      <c r="V63" s="25"/>
      <c r="W63" s="25"/>
      <c r="X63" s="25"/>
      <c r="Y63" s="25"/>
      <c r="Z63" s="25"/>
      <c r="AA63" s="25"/>
    </row>
    <row r="64" hidden="1">
      <c r="A64" s="30"/>
      <c r="B64" s="11">
        <v>45991.0</v>
      </c>
      <c r="C64" s="12">
        <f>VLOOKUP(B:B,'Курс валют'!A:D,4,0)</f>
        <v>90.819</v>
      </c>
      <c r="D64" s="13" t="s">
        <v>1721</v>
      </c>
      <c r="E64" s="64" t="s">
        <v>98</v>
      </c>
      <c r="F64" s="15">
        <v>6600.0</v>
      </c>
      <c r="G64" s="15">
        <v>6620.0</v>
      </c>
      <c r="H64" s="17">
        <v>0.0</v>
      </c>
      <c r="I64" s="15">
        <f t="shared" si="1"/>
        <v>20</v>
      </c>
      <c r="J64" s="18">
        <f t="shared" si="2"/>
        <v>0.303030303</v>
      </c>
      <c r="K64" s="17">
        <v>2.04</v>
      </c>
      <c r="L64" s="19">
        <f t="shared" si="3"/>
        <v>0</v>
      </c>
      <c r="M64" s="20">
        <f t="shared" si="4"/>
        <v>185.27076</v>
      </c>
      <c r="N64" s="21">
        <f t="shared" si="8"/>
        <v>2.04</v>
      </c>
      <c r="O64" s="21">
        <f t="shared" si="6"/>
        <v>13464</v>
      </c>
      <c r="P64" s="22">
        <f t="shared" si="7"/>
        <v>1222787.016</v>
      </c>
      <c r="R64" s="23" t="s">
        <v>1722</v>
      </c>
      <c r="S64" s="25"/>
      <c r="T64" s="25"/>
      <c r="U64" s="25"/>
      <c r="V64" s="25"/>
      <c r="W64" s="25"/>
      <c r="X64" s="25"/>
      <c r="Y64" s="25"/>
      <c r="Z64" s="25"/>
      <c r="AA64" s="25"/>
    </row>
    <row r="65" hidden="1">
      <c r="A65" s="30"/>
      <c r="B65" s="11"/>
      <c r="C65" s="12" t="str">
        <f>VLOOKUP(B:B,'Курс валют'!A:D,4,0)</f>
        <v>#N/A</v>
      </c>
      <c r="D65" s="13"/>
      <c r="E65" s="64"/>
      <c r="F65" s="15"/>
      <c r="G65" s="15"/>
      <c r="H65" s="17"/>
      <c r="I65" s="15">
        <f t="shared" si="1"/>
        <v>0</v>
      </c>
      <c r="J65" s="18" t="str">
        <f t="shared" si="2"/>
        <v>#DIV/0!</v>
      </c>
      <c r="K65" s="17"/>
      <c r="L65" s="19" t="str">
        <f t="shared" si="3"/>
        <v>#DIV/0!</v>
      </c>
      <c r="M65" s="20" t="str">
        <f t="shared" si="4"/>
        <v>#DIV/0!</v>
      </c>
      <c r="N65" s="21" t="str">
        <f t="shared" si="8"/>
        <v>#DIV/0!</v>
      </c>
      <c r="O65" s="21" t="str">
        <f t="shared" si="6"/>
        <v>#DIV/0!</v>
      </c>
      <c r="P65" s="22" t="str">
        <f t="shared" si="7"/>
        <v>#DIV/0!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 hidden="1">
      <c r="A66" s="30"/>
      <c r="B66" s="11"/>
      <c r="C66" s="12" t="str">
        <f>VLOOKUP(B:B,'Курс валют'!A:D,4,0)</f>
        <v>#N/A</v>
      </c>
      <c r="D66" s="13"/>
      <c r="E66" s="64"/>
      <c r="F66" s="15"/>
      <c r="G66" s="15"/>
      <c r="H66" s="17"/>
      <c r="I66" s="15">
        <f t="shared" si="1"/>
        <v>0</v>
      </c>
      <c r="J66" s="18" t="str">
        <f t="shared" si="2"/>
        <v>#DIV/0!</v>
      </c>
      <c r="K66" s="17"/>
      <c r="L66" s="19" t="str">
        <f t="shared" si="3"/>
        <v>#DIV/0!</v>
      </c>
      <c r="M66" s="20" t="str">
        <f t="shared" si="4"/>
        <v>#DIV/0!</v>
      </c>
      <c r="N66" s="21" t="str">
        <f t="shared" si="8"/>
        <v>#DIV/0!</v>
      </c>
      <c r="O66" s="21" t="str">
        <f t="shared" si="6"/>
        <v>#DIV/0!</v>
      </c>
      <c r="P66" s="22" t="str">
        <f t="shared" si="7"/>
        <v>#DIV/0!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 hidden="1">
      <c r="A67" s="30"/>
      <c r="B67" s="11"/>
      <c r="C67" s="12" t="str">
        <f>VLOOKUP(B:B,'Курс валют'!A:D,4,0)</f>
        <v>#N/A</v>
      </c>
      <c r="D67" s="13"/>
      <c r="E67" s="64"/>
      <c r="F67" s="15"/>
      <c r="G67" s="15"/>
      <c r="H67" s="17"/>
      <c r="I67" s="15">
        <f t="shared" si="1"/>
        <v>0</v>
      </c>
      <c r="J67" s="18" t="str">
        <f t="shared" si="2"/>
        <v>#DIV/0!</v>
      </c>
      <c r="K67" s="17"/>
      <c r="L67" s="19" t="str">
        <f t="shared" si="3"/>
        <v>#DIV/0!</v>
      </c>
      <c r="M67" s="20" t="str">
        <f t="shared" si="4"/>
        <v>#DIV/0!</v>
      </c>
      <c r="N67" s="21" t="str">
        <f t="shared" si="8"/>
        <v>#DIV/0!</v>
      </c>
      <c r="O67" s="21" t="str">
        <f t="shared" si="6"/>
        <v>#DIV/0!</v>
      </c>
      <c r="P67" s="22" t="str">
        <f t="shared" si="7"/>
        <v>#DIV/0!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 hidden="1">
      <c r="A68" s="30"/>
      <c r="B68" s="11"/>
      <c r="C68" s="12" t="str">
        <f>VLOOKUP(B:B,'Курс валют'!A:D,4,0)</f>
        <v>#N/A</v>
      </c>
      <c r="D68" s="13"/>
      <c r="E68" s="64"/>
      <c r="F68" s="15"/>
      <c r="G68" s="15"/>
      <c r="H68" s="17"/>
      <c r="I68" s="15">
        <f t="shared" si="1"/>
        <v>0</v>
      </c>
      <c r="J68" s="18" t="str">
        <f t="shared" si="2"/>
        <v>#DIV/0!</v>
      </c>
      <c r="K68" s="17"/>
      <c r="L68" s="19" t="str">
        <f t="shared" si="3"/>
        <v>#DIV/0!</v>
      </c>
      <c r="M68" s="20" t="str">
        <f t="shared" si="4"/>
        <v>#DIV/0!</v>
      </c>
      <c r="N68" s="21" t="str">
        <f t="shared" si="8"/>
        <v>#DIV/0!</v>
      </c>
      <c r="O68" s="21" t="str">
        <f t="shared" si="6"/>
        <v>#DIV/0!</v>
      </c>
      <c r="P68" s="22" t="str">
        <f t="shared" si="7"/>
        <v>#DIV/0!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 hidden="1">
      <c r="A69" s="30"/>
      <c r="B69" s="11"/>
      <c r="C69" s="12" t="str">
        <f>VLOOKUP(B:B,'Курс валют'!A:D,4,0)</f>
        <v>#N/A</v>
      </c>
      <c r="D69" s="13"/>
      <c r="E69" s="64"/>
      <c r="F69" s="15"/>
      <c r="G69" s="15"/>
      <c r="H69" s="17"/>
      <c r="I69" s="15">
        <f t="shared" si="1"/>
        <v>0</v>
      </c>
      <c r="J69" s="18" t="str">
        <f t="shared" si="2"/>
        <v>#DIV/0!</v>
      </c>
      <c r="K69" s="17"/>
      <c r="L69" s="19" t="str">
        <f t="shared" si="3"/>
        <v>#DIV/0!</v>
      </c>
      <c r="M69" s="20" t="str">
        <f t="shared" si="4"/>
        <v>#DIV/0!</v>
      </c>
      <c r="N69" s="21" t="str">
        <f t="shared" si="8"/>
        <v>#DIV/0!</v>
      </c>
      <c r="O69" s="21" t="str">
        <f t="shared" si="6"/>
        <v>#DIV/0!</v>
      </c>
      <c r="P69" s="22" t="str">
        <f t="shared" si="7"/>
        <v>#DIV/0!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 hidden="1">
      <c r="A70" s="30"/>
      <c r="B70" s="11"/>
      <c r="C70" s="12" t="str">
        <f>VLOOKUP(B:B,'Курс валют'!A:D,4,0)</f>
        <v>#N/A</v>
      </c>
      <c r="D70" s="13"/>
      <c r="E70" s="77"/>
      <c r="F70" s="15"/>
      <c r="G70" s="15"/>
      <c r="H70" s="17"/>
      <c r="I70" s="15">
        <f t="shared" si="1"/>
        <v>0</v>
      </c>
      <c r="J70" s="18" t="str">
        <f t="shared" si="2"/>
        <v>#DIV/0!</v>
      </c>
      <c r="K70" s="17"/>
      <c r="L70" s="19" t="str">
        <f t="shared" si="3"/>
        <v>#DIV/0!</v>
      </c>
      <c r="M70" s="20" t="str">
        <f t="shared" si="4"/>
        <v>#DIV/0!</v>
      </c>
      <c r="N70" s="21" t="str">
        <f t="shared" si="8"/>
        <v>#DIV/0!</v>
      </c>
      <c r="O70" s="21" t="str">
        <f t="shared" si="6"/>
        <v>#DIV/0!</v>
      </c>
      <c r="P70" s="22" t="str">
        <f t="shared" si="7"/>
        <v>#DIV/0!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 hidden="1">
      <c r="A71" s="63"/>
      <c r="B71" s="11"/>
      <c r="C71" s="12" t="str">
        <f>VLOOKUP(B:B,'Курс валют'!A:D,4,0)</f>
        <v>#N/A</v>
      </c>
      <c r="D71" s="13"/>
      <c r="E71" s="64"/>
      <c r="F71" s="15"/>
      <c r="G71" s="15"/>
      <c r="H71" s="17"/>
      <c r="I71" s="15">
        <f t="shared" si="1"/>
        <v>0</v>
      </c>
      <c r="J71" s="18" t="str">
        <f t="shared" si="2"/>
        <v>#DIV/0!</v>
      </c>
      <c r="K71" s="17"/>
      <c r="L71" s="19" t="str">
        <f t="shared" si="3"/>
        <v>#DIV/0!</v>
      </c>
      <c r="M71" s="20" t="str">
        <f t="shared" si="4"/>
        <v>#DIV/0!</v>
      </c>
      <c r="N71" s="21" t="str">
        <f t="shared" si="8"/>
        <v>#DIV/0!</v>
      </c>
      <c r="O71" s="21" t="str">
        <f t="shared" si="6"/>
        <v>#DIV/0!</v>
      </c>
      <c r="P71" s="22" t="str">
        <f t="shared" si="7"/>
        <v>#DIV/0!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 hidden="1">
      <c r="A72" s="30"/>
      <c r="B72" s="11"/>
      <c r="C72" s="12" t="str">
        <f>VLOOKUP(B:B,'Курс валют'!A:D,4,0)</f>
        <v>#N/A</v>
      </c>
      <c r="D72" s="13"/>
      <c r="E72" s="64"/>
      <c r="F72" s="15"/>
      <c r="G72" s="15"/>
      <c r="H72" s="17"/>
      <c r="I72" s="15">
        <f t="shared" si="1"/>
        <v>0</v>
      </c>
      <c r="J72" s="18" t="str">
        <f t="shared" si="2"/>
        <v>#DIV/0!</v>
      </c>
      <c r="K72" s="17"/>
      <c r="L72" s="19" t="str">
        <f t="shared" si="3"/>
        <v>#DIV/0!</v>
      </c>
      <c r="M72" s="20" t="str">
        <f t="shared" si="4"/>
        <v>#DIV/0!</v>
      </c>
      <c r="N72" s="21" t="str">
        <f t="shared" si="8"/>
        <v>#DIV/0!</v>
      </c>
      <c r="O72" s="21" t="str">
        <f t="shared" si="6"/>
        <v>#DIV/0!</v>
      </c>
      <c r="P72" s="22" t="str">
        <f t="shared" si="7"/>
        <v>#DIV/0!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 hidden="1">
      <c r="A73" s="63"/>
      <c r="B73" s="11"/>
      <c r="C73" s="12" t="str">
        <f>VLOOKUP(B:B,'Курс валют'!A:D,4,0)</f>
        <v>#N/A</v>
      </c>
      <c r="D73" s="13"/>
      <c r="E73" s="64"/>
      <c r="F73" s="15"/>
      <c r="G73" s="15"/>
      <c r="H73" s="17"/>
      <c r="I73" s="15">
        <f t="shared" si="1"/>
        <v>0</v>
      </c>
      <c r="J73" s="18" t="str">
        <f t="shared" si="2"/>
        <v>#DIV/0!</v>
      </c>
      <c r="K73" s="17"/>
      <c r="L73" s="19" t="str">
        <f t="shared" si="3"/>
        <v>#DIV/0!</v>
      </c>
      <c r="M73" s="20" t="str">
        <f t="shared" si="4"/>
        <v>#DIV/0!</v>
      </c>
      <c r="N73" s="21" t="str">
        <f t="shared" si="8"/>
        <v>#DIV/0!</v>
      </c>
      <c r="O73" s="21" t="str">
        <f t="shared" si="6"/>
        <v>#DIV/0!</v>
      </c>
      <c r="P73" s="22" t="str">
        <f t="shared" si="7"/>
        <v>#DIV/0!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 hidden="1">
      <c r="A74" s="63"/>
      <c r="B74" s="11"/>
      <c r="C74" s="12" t="str">
        <f>VLOOKUP(B:B,'Курс валют'!A:D,4,0)</f>
        <v>#N/A</v>
      </c>
      <c r="D74" s="13"/>
      <c r="E74" s="64"/>
      <c r="F74" s="15"/>
      <c r="G74" s="15"/>
      <c r="H74" s="17"/>
      <c r="I74" s="15">
        <f t="shared" si="1"/>
        <v>0</v>
      </c>
      <c r="J74" s="18" t="str">
        <f t="shared" si="2"/>
        <v>#DIV/0!</v>
      </c>
      <c r="K74" s="17"/>
      <c r="L74" s="19" t="str">
        <f t="shared" si="3"/>
        <v>#DIV/0!</v>
      </c>
      <c r="M74" s="20" t="str">
        <f t="shared" si="4"/>
        <v>#DIV/0!</v>
      </c>
      <c r="N74" s="21" t="str">
        <f t="shared" si="8"/>
        <v>#DIV/0!</v>
      </c>
      <c r="O74" s="21" t="str">
        <f t="shared" si="6"/>
        <v>#DIV/0!</v>
      </c>
      <c r="P74" s="22" t="str">
        <f t="shared" si="7"/>
        <v>#DIV/0!</v>
      </c>
      <c r="R74" s="79"/>
      <c r="S74" s="25"/>
      <c r="T74" s="25"/>
      <c r="U74" s="25"/>
      <c r="V74" s="25"/>
      <c r="W74" s="25"/>
      <c r="X74" s="25"/>
      <c r="Y74" s="25"/>
      <c r="Z74" s="25"/>
      <c r="AA74" s="25"/>
    </row>
    <row r="75" hidden="1">
      <c r="A75" s="63"/>
      <c r="B75" s="11"/>
      <c r="C75" s="12" t="str">
        <f>VLOOKUP(B:B,'Курс валют'!A:D,4,0)</f>
        <v>#N/A</v>
      </c>
      <c r="D75" s="13"/>
      <c r="E75" s="64"/>
      <c r="F75" s="15"/>
      <c r="G75" s="15"/>
      <c r="H75" s="17"/>
      <c r="I75" s="15">
        <f t="shared" si="1"/>
        <v>0</v>
      </c>
      <c r="J75" s="18" t="str">
        <f t="shared" si="2"/>
        <v>#DIV/0!</v>
      </c>
      <c r="K75" s="17"/>
      <c r="L75" s="19" t="str">
        <f t="shared" si="3"/>
        <v>#DIV/0!</v>
      </c>
      <c r="M75" s="20" t="str">
        <f t="shared" si="4"/>
        <v>#DIV/0!</v>
      </c>
      <c r="N75" s="21" t="str">
        <f t="shared" si="8"/>
        <v>#DIV/0!</v>
      </c>
      <c r="O75" s="21" t="str">
        <f t="shared" si="6"/>
        <v>#DIV/0!</v>
      </c>
      <c r="P75" s="22" t="str">
        <f t="shared" si="7"/>
        <v>#DIV/0!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 hidden="1">
      <c r="A76" s="63"/>
      <c r="B76" s="11"/>
      <c r="C76" s="12" t="str">
        <f>VLOOKUP(B:B,'Курс валют'!A:D,4,0)</f>
        <v>#N/A</v>
      </c>
      <c r="D76" s="13"/>
      <c r="E76" s="64"/>
      <c r="F76" s="15"/>
      <c r="G76" s="15"/>
      <c r="H76" s="17"/>
      <c r="I76" s="15">
        <f t="shared" si="1"/>
        <v>0</v>
      </c>
      <c r="J76" s="18" t="str">
        <f t="shared" si="2"/>
        <v>#DIV/0!</v>
      </c>
      <c r="K76" s="17"/>
      <c r="L76" s="19" t="str">
        <f t="shared" si="3"/>
        <v>#DIV/0!</v>
      </c>
      <c r="M76" s="20" t="str">
        <f t="shared" si="4"/>
        <v>#DIV/0!</v>
      </c>
      <c r="N76" s="21" t="str">
        <f t="shared" si="8"/>
        <v>#DIV/0!</v>
      </c>
      <c r="O76" s="21" t="str">
        <f t="shared" si="6"/>
        <v>#DIV/0!</v>
      </c>
      <c r="P76" s="22" t="str">
        <f t="shared" si="7"/>
        <v>#DIV/0!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 hidden="1">
      <c r="A77" s="63"/>
      <c r="B77" s="11"/>
      <c r="C77" s="12" t="str">
        <f>VLOOKUP(B:B,'Курс валют'!A:D,4,0)</f>
        <v>#N/A</v>
      </c>
      <c r="D77" s="13"/>
      <c r="E77" s="64"/>
      <c r="F77" s="15"/>
      <c r="G77" s="15"/>
      <c r="H77" s="17"/>
      <c r="I77" s="15">
        <f t="shared" si="1"/>
        <v>0</v>
      </c>
      <c r="J77" s="18" t="str">
        <f t="shared" si="2"/>
        <v>#DIV/0!</v>
      </c>
      <c r="K77" s="17"/>
      <c r="L77" s="19" t="str">
        <f t="shared" si="3"/>
        <v>#DIV/0!</v>
      </c>
      <c r="M77" s="20" t="str">
        <f t="shared" si="4"/>
        <v>#DIV/0!</v>
      </c>
      <c r="N77" s="21" t="str">
        <f t="shared" si="8"/>
        <v>#DIV/0!</v>
      </c>
      <c r="O77" s="21" t="str">
        <f t="shared" si="6"/>
        <v>#DIV/0!</v>
      </c>
      <c r="P77" s="22" t="str">
        <f t="shared" si="7"/>
        <v>#DIV/0!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 hidden="1">
      <c r="A78" s="63"/>
      <c r="B78" s="11"/>
      <c r="C78" s="12" t="str">
        <f>VLOOKUP(B:B,'Курс валют'!A:D,4,0)</f>
        <v>#N/A</v>
      </c>
      <c r="D78" s="13"/>
      <c r="E78" s="64"/>
      <c r="F78" s="15"/>
      <c r="G78" s="15"/>
      <c r="H78" s="17"/>
      <c r="I78" s="15">
        <f t="shared" si="1"/>
        <v>0</v>
      </c>
      <c r="J78" s="18" t="str">
        <f t="shared" si="2"/>
        <v>#DIV/0!</v>
      </c>
      <c r="K78" s="17"/>
      <c r="L78" s="19" t="str">
        <f t="shared" si="3"/>
        <v>#DIV/0!</v>
      </c>
      <c r="M78" s="20" t="str">
        <f t="shared" si="4"/>
        <v>#DIV/0!</v>
      </c>
      <c r="N78" s="21" t="str">
        <f t="shared" si="8"/>
        <v>#DIV/0!</v>
      </c>
      <c r="O78" s="21" t="str">
        <f t="shared" si="6"/>
        <v>#DIV/0!</v>
      </c>
      <c r="P78" s="22" t="str">
        <f t="shared" si="7"/>
        <v>#DIV/0!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 hidden="1">
      <c r="A79" s="63"/>
      <c r="B79" s="11"/>
      <c r="C79" s="12" t="str">
        <f>VLOOKUP(B:B,'Курс валют'!A:D,4,0)</f>
        <v>#N/A</v>
      </c>
      <c r="D79" s="13"/>
      <c r="E79" s="64"/>
      <c r="F79" s="15"/>
      <c r="G79" s="15"/>
      <c r="H79" s="17"/>
      <c r="I79" s="15">
        <f t="shared" si="1"/>
        <v>0</v>
      </c>
      <c r="J79" s="18" t="str">
        <f t="shared" si="2"/>
        <v>#DIV/0!</v>
      </c>
      <c r="K79" s="17"/>
      <c r="L79" s="19" t="str">
        <f t="shared" si="3"/>
        <v>#DIV/0!</v>
      </c>
      <c r="M79" s="20" t="str">
        <f t="shared" si="4"/>
        <v>#DIV/0!</v>
      </c>
      <c r="N79" s="21" t="str">
        <f t="shared" si="8"/>
        <v>#DIV/0!</v>
      </c>
      <c r="O79" s="21" t="str">
        <f t="shared" si="6"/>
        <v>#DIV/0!</v>
      </c>
      <c r="P79" s="22" t="str">
        <f t="shared" si="7"/>
        <v>#DIV/0!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 hidden="1">
      <c r="A80" s="63"/>
      <c r="B80" s="11"/>
      <c r="C80" s="12" t="str">
        <f>VLOOKUP(B:B,'Курс валют'!A:D,4,0)</f>
        <v>#N/A</v>
      </c>
      <c r="D80" s="13"/>
      <c r="E80" s="64"/>
      <c r="F80" s="15"/>
      <c r="G80" s="15"/>
      <c r="H80" s="17"/>
      <c r="I80" s="15">
        <f t="shared" si="1"/>
        <v>0</v>
      </c>
      <c r="J80" s="18" t="str">
        <f t="shared" si="2"/>
        <v>#DIV/0!</v>
      </c>
      <c r="K80" s="17"/>
      <c r="L80" s="19" t="str">
        <f t="shared" si="3"/>
        <v>#DIV/0!</v>
      </c>
      <c r="M80" s="20" t="str">
        <f t="shared" si="4"/>
        <v>#DIV/0!</v>
      </c>
      <c r="N80" s="21" t="str">
        <f t="shared" si="8"/>
        <v>#DIV/0!</v>
      </c>
      <c r="O80" s="21" t="str">
        <f t="shared" si="6"/>
        <v>#DIV/0!</v>
      </c>
      <c r="P80" s="22" t="str">
        <f t="shared" si="7"/>
        <v>#DIV/0!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 hidden="1">
      <c r="A81" s="63"/>
      <c r="B81" s="11"/>
      <c r="C81" s="12" t="str">
        <f>VLOOKUP(B:B,'Курс валют'!A:D,4,0)</f>
        <v>#N/A</v>
      </c>
      <c r="D81" s="13"/>
      <c r="E81" s="59"/>
      <c r="F81" s="15"/>
      <c r="G81" s="15"/>
      <c r="H81" s="17"/>
      <c r="I81" s="15">
        <f t="shared" si="1"/>
        <v>0</v>
      </c>
      <c r="J81" s="18" t="str">
        <f t="shared" si="2"/>
        <v>#DIV/0!</v>
      </c>
      <c r="K81" s="17"/>
      <c r="L81" s="19" t="str">
        <f t="shared" si="3"/>
        <v>#DIV/0!</v>
      </c>
      <c r="M81" s="20" t="str">
        <f t="shared" si="4"/>
        <v>#DIV/0!</v>
      </c>
      <c r="N81" s="21" t="str">
        <f t="shared" si="8"/>
        <v>#DIV/0!</v>
      </c>
      <c r="O81" s="21" t="str">
        <f t="shared" si="6"/>
        <v>#DIV/0!</v>
      </c>
      <c r="P81" s="22" t="str">
        <f t="shared" si="7"/>
        <v>#DIV/0!</v>
      </c>
      <c r="R81" s="79"/>
      <c r="S81" s="25"/>
      <c r="T81" s="25"/>
      <c r="U81" s="25"/>
      <c r="V81" s="25"/>
      <c r="W81" s="25"/>
      <c r="X81" s="25"/>
      <c r="Y81" s="25"/>
      <c r="Z81" s="25"/>
      <c r="AA81" s="25"/>
    </row>
    <row r="82" hidden="1">
      <c r="A82" s="63"/>
      <c r="B82" s="11"/>
      <c r="C82" s="12" t="str">
        <f>VLOOKUP(B:B,'Курс валют'!A:D,4,0)</f>
        <v>#N/A</v>
      </c>
      <c r="D82" s="13"/>
      <c r="E82" s="59"/>
      <c r="F82" s="15"/>
      <c r="G82" s="15"/>
      <c r="H82" s="17"/>
      <c r="I82" s="15">
        <f t="shared" si="1"/>
        <v>0</v>
      </c>
      <c r="J82" s="18" t="str">
        <f t="shared" si="2"/>
        <v>#DIV/0!</v>
      </c>
      <c r="K82" s="17"/>
      <c r="L82" s="19" t="str">
        <f t="shared" si="3"/>
        <v>#DIV/0!</v>
      </c>
      <c r="M82" s="20" t="str">
        <f t="shared" si="4"/>
        <v>#DIV/0!</v>
      </c>
      <c r="N82" s="21" t="str">
        <f t="shared" si="8"/>
        <v>#DIV/0!</v>
      </c>
      <c r="O82" s="21" t="str">
        <f t="shared" si="6"/>
        <v>#DIV/0!</v>
      </c>
      <c r="P82" s="22" t="str">
        <f t="shared" si="7"/>
        <v>#DIV/0!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 hidden="1">
      <c r="A83" s="63"/>
      <c r="B83" s="11"/>
      <c r="C83" s="12" t="str">
        <f>VLOOKUP(B:B,'Курс валют'!A:D,4,0)</f>
        <v>#N/A</v>
      </c>
      <c r="D83" s="13"/>
      <c r="E83" s="59"/>
      <c r="F83" s="15"/>
      <c r="G83" s="15"/>
      <c r="H83" s="17"/>
      <c r="I83" s="15">
        <f t="shared" si="1"/>
        <v>0</v>
      </c>
      <c r="J83" s="18" t="str">
        <f t="shared" si="2"/>
        <v>#DIV/0!</v>
      </c>
      <c r="K83" s="17"/>
      <c r="L83" s="19" t="str">
        <f t="shared" si="3"/>
        <v>#DIV/0!</v>
      </c>
      <c r="M83" s="20" t="str">
        <f t="shared" si="4"/>
        <v>#DIV/0!</v>
      </c>
      <c r="N83" s="21" t="str">
        <f t="shared" si="8"/>
        <v>#DIV/0!</v>
      </c>
      <c r="O83" s="21" t="str">
        <f t="shared" si="6"/>
        <v>#DIV/0!</v>
      </c>
      <c r="P83" s="22" t="str">
        <f t="shared" si="7"/>
        <v>#DIV/0!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idden="1">
      <c r="A84" s="63"/>
      <c r="B84" s="11"/>
      <c r="C84" s="12" t="str">
        <f>VLOOKUP(B:B,'Курс валют'!A:D,4,0)</f>
        <v>#N/A</v>
      </c>
      <c r="D84" s="13"/>
      <c r="E84" s="59"/>
      <c r="F84" s="15"/>
      <c r="G84" s="15"/>
      <c r="H84" s="17"/>
      <c r="I84" s="15">
        <f t="shared" si="1"/>
        <v>0</v>
      </c>
      <c r="J84" s="18" t="str">
        <f t="shared" si="2"/>
        <v>#DIV/0!</v>
      </c>
      <c r="K84" s="17"/>
      <c r="L84" s="19" t="str">
        <f t="shared" si="3"/>
        <v>#DIV/0!</v>
      </c>
      <c r="M84" s="20" t="str">
        <f t="shared" si="4"/>
        <v>#DIV/0!</v>
      </c>
      <c r="N84" s="21" t="str">
        <f t="shared" si="8"/>
        <v>#DIV/0!</v>
      </c>
      <c r="O84" s="21" t="str">
        <f t="shared" si="6"/>
        <v>#DIV/0!</v>
      </c>
      <c r="P84" s="22" t="str">
        <f t="shared" si="7"/>
        <v>#DIV/0!</v>
      </c>
      <c r="R84" s="23"/>
      <c r="S84" s="25"/>
      <c r="T84" s="25"/>
      <c r="U84" s="25"/>
      <c r="V84" s="25"/>
      <c r="W84" s="25"/>
      <c r="X84" s="25"/>
      <c r="Y84" s="25"/>
      <c r="Z84" s="25"/>
      <c r="AA84" s="25"/>
    </row>
    <row r="85" hidden="1">
      <c r="A85" s="63"/>
      <c r="B85" s="11"/>
      <c r="C85" s="12" t="str">
        <f>VLOOKUP(B:B,'Курс валют'!A:D,4,0)</f>
        <v>#N/A</v>
      </c>
      <c r="D85" s="13"/>
      <c r="E85" s="59"/>
      <c r="F85" s="15"/>
      <c r="G85" s="15"/>
      <c r="H85" s="17"/>
      <c r="I85" s="15">
        <f t="shared" si="1"/>
        <v>0</v>
      </c>
      <c r="J85" s="18" t="str">
        <f t="shared" si="2"/>
        <v>#DIV/0!</v>
      </c>
      <c r="K85" s="17"/>
      <c r="L85" s="19" t="str">
        <f t="shared" si="3"/>
        <v>#DIV/0!</v>
      </c>
      <c r="M85" s="20" t="str">
        <f t="shared" si="4"/>
        <v>#DIV/0!</v>
      </c>
      <c r="N85" s="21" t="str">
        <f t="shared" si="8"/>
        <v>#DIV/0!</v>
      </c>
      <c r="O85" s="21" t="str">
        <f t="shared" si="6"/>
        <v>#DIV/0!</v>
      </c>
      <c r="P85" s="22" t="str">
        <f t="shared" si="7"/>
        <v>#DIV/0!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idden="1">
      <c r="A86" s="63"/>
      <c r="B86" s="11"/>
      <c r="C86" s="12" t="str">
        <f>VLOOKUP(B:B,'Курс валют'!A:D,4,0)</f>
        <v>#N/A</v>
      </c>
      <c r="D86" s="13"/>
      <c r="E86" s="59"/>
      <c r="F86" s="15"/>
      <c r="G86" s="15"/>
      <c r="H86" s="17"/>
      <c r="I86" s="15">
        <f t="shared" si="1"/>
        <v>0</v>
      </c>
      <c r="J86" s="18" t="str">
        <f t="shared" si="2"/>
        <v>#DIV/0!</v>
      </c>
      <c r="K86" s="17"/>
      <c r="L86" s="19" t="str">
        <f t="shared" si="3"/>
        <v>#DIV/0!</v>
      </c>
      <c r="M86" s="20" t="str">
        <f t="shared" si="4"/>
        <v>#DIV/0!</v>
      </c>
      <c r="N86" s="21" t="str">
        <f t="shared" si="8"/>
        <v>#DIV/0!</v>
      </c>
      <c r="O86" s="21" t="str">
        <f t="shared" si="6"/>
        <v>#DIV/0!</v>
      </c>
      <c r="P86" s="22" t="str">
        <f t="shared" si="7"/>
        <v>#DIV/0!</v>
      </c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idden="1">
      <c r="A87" s="63"/>
      <c r="B87" s="11"/>
      <c r="C87" s="12" t="str">
        <f>VLOOKUP(B:B,'Курс валют'!A:D,4,0)</f>
        <v>#N/A</v>
      </c>
      <c r="D87" s="13"/>
      <c r="E87" s="59"/>
      <c r="F87" s="15"/>
      <c r="G87" s="15"/>
      <c r="H87" s="17"/>
      <c r="I87" s="15">
        <f t="shared" si="1"/>
        <v>0</v>
      </c>
      <c r="J87" s="18" t="str">
        <f t="shared" si="2"/>
        <v>#DIV/0!</v>
      </c>
      <c r="K87" s="17"/>
      <c r="L87" s="19" t="str">
        <f t="shared" si="3"/>
        <v>#DIV/0!</v>
      </c>
      <c r="M87" s="20" t="str">
        <f t="shared" si="4"/>
        <v>#DIV/0!</v>
      </c>
      <c r="N87" s="21" t="str">
        <f t="shared" si="8"/>
        <v>#DIV/0!</v>
      </c>
      <c r="O87" s="21" t="str">
        <f t="shared" si="6"/>
        <v>#DIV/0!</v>
      </c>
      <c r="P87" s="22" t="str">
        <f t="shared" si="7"/>
        <v>#DIV/0!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idden="1">
      <c r="A88" s="63"/>
      <c r="B88" s="11"/>
      <c r="C88" s="12" t="str">
        <f>VLOOKUP(B:B,'Курс валют'!A:D,4,0)</f>
        <v>#N/A</v>
      </c>
      <c r="D88" s="13"/>
      <c r="E88" s="59"/>
      <c r="F88" s="15"/>
      <c r="G88" s="15"/>
      <c r="H88" s="17"/>
      <c r="I88" s="15">
        <f t="shared" si="1"/>
        <v>0</v>
      </c>
      <c r="J88" s="18" t="str">
        <f t="shared" si="2"/>
        <v>#DIV/0!</v>
      </c>
      <c r="K88" s="17"/>
      <c r="L88" s="19" t="str">
        <f t="shared" si="3"/>
        <v>#DIV/0!</v>
      </c>
      <c r="M88" s="20" t="str">
        <f t="shared" si="4"/>
        <v>#DIV/0!</v>
      </c>
      <c r="N88" s="21" t="str">
        <f t="shared" si="8"/>
        <v>#DIV/0!</v>
      </c>
      <c r="O88" s="21" t="str">
        <f t="shared" si="6"/>
        <v>#DIV/0!</v>
      </c>
      <c r="P88" s="22" t="str">
        <f t="shared" si="7"/>
        <v>#DIV/0!</v>
      </c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idden="1">
      <c r="A89" s="63"/>
      <c r="B89" s="11"/>
      <c r="C89" s="12" t="str">
        <f>VLOOKUP(B:B,'Курс валют'!A:D,4,0)</f>
        <v>#N/A</v>
      </c>
      <c r="D89" s="13"/>
      <c r="E89" s="59"/>
      <c r="F89" s="15"/>
      <c r="G89" s="15"/>
      <c r="H89" s="17"/>
      <c r="I89" s="15">
        <f t="shared" si="1"/>
        <v>0</v>
      </c>
      <c r="J89" s="18" t="str">
        <f t="shared" si="2"/>
        <v>#DIV/0!</v>
      </c>
      <c r="K89" s="17"/>
      <c r="L89" s="19" t="str">
        <f t="shared" si="3"/>
        <v>#DIV/0!</v>
      </c>
      <c r="M89" s="20" t="str">
        <f t="shared" si="4"/>
        <v>#DIV/0!</v>
      </c>
      <c r="N89" s="21" t="str">
        <f t="shared" si="8"/>
        <v>#DIV/0!</v>
      </c>
      <c r="O89" s="21" t="str">
        <f t="shared" si="6"/>
        <v>#DIV/0!</v>
      </c>
      <c r="P89" s="22" t="str">
        <f t="shared" si="7"/>
        <v>#DIV/0!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 hidden="1">
      <c r="A90" s="63"/>
      <c r="B90" s="11"/>
      <c r="C90" s="12" t="str">
        <f>VLOOKUP(B:B,'Курс валют'!A:D,4,0)</f>
        <v>#N/A</v>
      </c>
      <c r="D90" s="13"/>
      <c r="E90" s="59"/>
      <c r="F90" s="15"/>
      <c r="G90" s="15"/>
      <c r="H90" s="17"/>
      <c r="I90" s="15">
        <f t="shared" si="1"/>
        <v>0</v>
      </c>
      <c r="J90" s="18" t="str">
        <f t="shared" si="2"/>
        <v>#DIV/0!</v>
      </c>
      <c r="K90" s="17"/>
      <c r="L90" s="19" t="str">
        <f t="shared" si="3"/>
        <v>#DIV/0!</v>
      </c>
      <c r="M90" s="20" t="str">
        <f t="shared" si="4"/>
        <v>#DIV/0!</v>
      </c>
      <c r="N90" s="21" t="str">
        <f t="shared" si="8"/>
        <v>#DIV/0!</v>
      </c>
      <c r="O90" s="21" t="str">
        <f t="shared" si="6"/>
        <v>#DIV/0!</v>
      </c>
      <c r="P90" s="22" t="str">
        <f t="shared" si="7"/>
        <v>#DIV/0!</v>
      </c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idden="1">
      <c r="A91" s="63"/>
      <c r="B91" s="11"/>
      <c r="C91" s="12" t="str">
        <f>VLOOKUP(B:B,'Курс валют'!A:D,4,0)</f>
        <v>#N/A</v>
      </c>
      <c r="D91" s="13"/>
      <c r="E91" s="59"/>
      <c r="F91" s="15"/>
      <c r="G91" s="15"/>
      <c r="H91" s="17"/>
      <c r="I91" s="15">
        <f t="shared" si="1"/>
        <v>0</v>
      </c>
      <c r="J91" s="18" t="str">
        <f t="shared" si="2"/>
        <v>#DIV/0!</v>
      </c>
      <c r="K91" s="17"/>
      <c r="L91" s="19" t="str">
        <f t="shared" si="3"/>
        <v>#DIV/0!</v>
      </c>
      <c r="M91" s="20" t="str">
        <f t="shared" si="4"/>
        <v>#DIV/0!</v>
      </c>
      <c r="N91" s="21" t="str">
        <f t="shared" si="8"/>
        <v>#DIV/0!</v>
      </c>
      <c r="O91" s="21" t="str">
        <f t="shared" si="6"/>
        <v>#DIV/0!</v>
      </c>
      <c r="P91" s="22" t="str">
        <f t="shared" si="7"/>
        <v>#DIV/0!</v>
      </c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idden="1">
      <c r="A92" s="63"/>
      <c r="B92" s="11"/>
      <c r="C92" s="12" t="str">
        <f>VLOOKUP(B:B,'Курс валют'!A:D,4,0)</f>
        <v>#N/A</v>
      </c>
      <c r="D92" s="13"/>
      <c r="E92" s="59"/>
      <c r="F92" s="15"/>
      <c r="G92" s="15"/>
      <c r="H92" s="17"/>
      <c r="I92" s="15">
        <f t="shared" si="1"/>
        <v>0</v>
      </c>
      <c r="J92" s="18" t="str">
        <f t="shared" si="2"/>
        <v>#DIV/0!</v>
      </c>
      <c r="K92" s="17"/>
      <c r="L92" s="19" t="str">
        <f t="shared" si="3"/>
        <v>#DIV/0!</v>
      </c>
      <c r="M92" s="20" t="str">
        <f t="shared" si="4"/>
        <v>#DIV/0!</v>
      </c>
      <c r="N92" s="21" t="str">
        <f t="shared" si="8"/>
        <v>#DIV/0!</v>
      </c>
      <c r="O92" s="21" t="str">
        <f t="shared" si="6"/>
        <v>#DIV/0!</v>
      </c>
      <c r="P92" s="22" t="str">
        <f t="shared" si="7"/>
        <v>#DIV/0!</v>
      </c>
      <c r="R92" s="23"/>
      <c r="S92" s="25"/>
      <c r="T92" s="25"/>
      <c r="U92" s="25"/>
      <c r="V92" s="25"/>
      <c r="W92" s="25"/>
      <c r="X92" s="25"/>
      <c r="Y92" s="25"/>
      <c r="Z92" s="25"/>
      <c r="AA92" s="25"/>
    </row>
    <row r="93" hidden="1">
      <c r="A93" s="63"/>
      <c r="B93" s="11"/>
      <c r="C93" s="12" t="str">
        <f>VLOOKUP(B:B,'Курс валют'!A:D,4,0)</f>
        <v>#N/A</v>
      </c>
      <c r="D93" s="13"/>
      <c r="E93" s="59"/>
      <c r="F93" s="15"/>
      <c r="G93" s="15"/>
      <c r="H93" s="17"/>
      <c r="I93" s="15">
        <f t="shared" si="1"/>
        <v>0</v>
      </c>
      <c r="J93" s="18" t="str">
        <f t="shared" si="2"/>
        <v>#DIV/0!</v>
      </c>
      <c r="K93" s="17"/>
      <c r="L93" s="19" t="str">
        <f t="shared" si="3"/>
        <v>#DIV/0!</v>
      </c>
      <c r="M93" s="20" t="str">
        <f t="shared" si="4"/>
        <v>#DIV/0!</v>
      </c>
      <c r="N93" s="21" t="str">
        <f t="shared" si="8"/>
        <v>#DIV/0!</v>
      </c>
      <c r="O93" s="21" t="str">
        <f t="shared" si="6"/>
        <v>#DIV/0!</v>
      </c>
      <c r="P93" s="22" t="str">
        <f t="shared" si="7"/>
        <v>#DIV/0!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idden="1">
      <c r="A94" s="63"/>
      <c r="B94" s="11"/>
      <c r="C94" s="12" t="str">
        <f>VLOOKUP(B:B,'Курс валют'!A:D,4,0)</f>
        <v>#N/A</v>
      </c>
      <c r="D94" s="13"/>
      <c r="E94" s="59"/>
      <c r="F94" s="15"/>
      <c r="G94" s="15"/>
      <c r="H94" s="17"/>
      <c r="I94" s="15">
        <f t="shared" si="1"/>
        <v>0</v>
      </c>
      <c r="J94" s="18" t="str">
        <f t="shared" si="2"/>
        <v>#DIV/0!</v>
      </c>
      <c r="K94" s="17"/>
      <c r="L94" s="19" t="str">
        <f t="shared" si="3"/>
        <v>#DIV/0!</v>
      </c>
      <c r="M94" s="20" t="str">
        <f t="shared" si="4"/>
        <v>#DIV/0!</v>
      </c>
      <c r="N94" s="21" t="str">
        <f t="shared" si="8"/>
        <v>#DIV/0!</v>
      </c>
      <c r="O94" s="21" t="str">
        <f t="shared" si="6"/>
        <v>#DIV/0!</v>
      </c>
      <c r="P94" s="22" t="str">
        <f t="shared" si="7"/>
        <v>#DIV/0!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idden="1">
      <c r="A95" s="63"/>
      <c r="B95" s="11"/>
      <c r="C95" s="12" t="str">
        <f>VLOOKUP(B:B,'Курс валют'!A:D,4,0)</f>
        <v>#N/A</v>
      </c>
      <c r="D95" s="66"/>
      <c r="E95" s="67"/>
      <c r="F95" s="67"/>
      <c r="G95" s="67"/>
      <c r="H95" s="65"/>
      <c r="I95" s="15">
        <f t="shared" si="1"/>
        <v>0</v>
      </c>
      <c r="J95" s="18" t="str">
        <f t="shared" si="2"/>
        <v>#DIV/0!</v>
      </c>
      <c r="K95" s="65"/>
      <c r="L95" s="19" t="str">
        <f t="shared" si="3"/>
        <v>#DIV/0!</v>
      </c>
      <c r="M95" s="20" t="str">
        <f t="shared" si="4"/>
        <v>#DIV/0!</v>
      </c>
      <c r="N95" s="21" t="str">
        <f t="shared" si="8"/>
        <v>#DIV/0!</v>
      </c>
      <c r="O95" s="21" t="str">
        <f t="shared" si="6"/>
        <v>#DIV/0!</v>
      </c>
      <c r="P95" s="22" t="str">
        <f t="shared" si="7"/>
        <v>#DIV/0!</v>
      </c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idden="1">
      <c r="A96" s="25"/>
      <c r="B96" s="11"/>
      <c r="C96" s="12" t="str">
        <f>VLOOKUP(B:B,'Курс валют'!A:D,4,0)</f>
        <v>#N/A</v>
      </c>
      <c r="D96" s="66"/>
      <c r="E96" s="67"/>
      <c r="F96" s="67"/>
      <c r="G96" s="67"/>
      <c r="H96" s="65"/>
      <c r="I96" s="15">
        <f t="shared" si="1"/>
        <v>0</v>
      </c>
      <c r="J96" s="18" t="str">
        <f t="shared" si="2"/>
        <v>#DIV/0!</v>
      </c>
      <c r="K96" s="65"/>
      <c r="L96" s="19" t="str">
        <f t="shared" si="3"/>
        <v>#DIV/0!</v>
      </c>
      <c r="M96" s="20" t="str">
        <f t="shared" si="4"/>
        <v>#DIV/0!</v>
      </c>
      <c r="N96" s="21" t="str">
        <f t="shared" si="8"/>
        <v>#DIV/0!</v>
      </c>
      <c r="O96" s="21" t="str">
        <f t="shared" si="6"/>
        <v>#DIV/0!</v>
      </c>
      <c r="P96" s="22" t="str">
        <f t="shared" si="7"/>
        <v>#DIV/0!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idden="1">
      <c r="A97" s="25"/>
      <c r="B97" s="11"/>
      <c r="C97" s="12" t="str">
        <f>VLOOKUP(B:B,'Курс валют'!A:D,4,0)</f>
        <v>#N/A</v>
      </c>
      <c r="D97" s="66"/>
      <c r="E97" s="67"/>
      <c r="F97" s="67"/>
      <c r="G97" s="67"/>
      <c r="H97" s="65"/>
      <c r="I97" s="15">
        <f t="shared" si="1"/>
        <v>0</v>
      </c>
      <c r="J97" s="18" t="str">
        <f t="shared" si="2"/>
        <v>#DIV/0!</v>
      </c>
      <c r="K97" s="65"/>
      <c r="L97" s="19" t="str">
        <f t="shared" si="3"/>
        <v>#DIV/0!</v>
      </c>
      <c r="M97" s="20" t="str">
        <f t="shared" si="4"/>
        <v>#DIV/0!</v>
      </c>
      <c r="N97" s="21" t="str">
        <f t="shared" si="8"/>
        <v>#DIV/0!</v>
      </c>
      <c r="O97" s="21" t="str">
        <f t="shared" si="6"/>
        <v>#DIV/0!</v>
      </c>
      <c r="P97" s="22" t="str">
        <f t="shared" si="7"/>
        <v>#DIV/0!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idden="1">
      <c r="A98" s="25"/>
      <c r="B98" s="11"/>
      <c r="C98" s="12" t="str">
        <f>VLOOKUP(B:B,'Курс валют'!A:D,4,0)</f>
        <v>#N/A</v>
      </c>
      <c r="D98" s="66"/>
      <c r="E98" s="67"/>
      <c r="F98" s="67"/>
      <c r="G98" s="67"/>
      <c r="H98" s="65"/>
      <c r="I98" s="15">
        <f t="shared" si="1"/>
        <v>0</v>
      </c>
      <c r="J98" s="18" t="str">
        <f t="shared" si="2"/>
        <v>#DIV/0!</v>
      </c>
      <c r="K98" s="65"/>
      <c r="L98" s="19" t="str">
        <f t="shared" si="3"/>
        <v>#DIV/0!</v>
      </c>
      <c r="M98" s="20" t="str">
        <f t="shared" si="4"/>
        <v>#DIV/0!</v>
      </c>
      <c r="N98" s="21" t="str">
        <f t="shared" si="8"/>
        <v>#DIV/0!</v>
      </c>
      <c r="O98" s="21" t="str">
        <f t="shared" si="6"/>
        <v>#DIV/0!</v>
      </c>
      <c r="P98" s="22" t="str">
        <f t="shared" si="7"/>
        <v>#DIV/0!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idden="1">
      <c r="A99" s="25"/>
      <c r="B99" s="11"/>
      <c r="C99" s="12" t="str">
        <f>VLOOKUP(B:B,'Курс валют'!A:D,4,0)</f>
        <v>#N/A</v>
      </c>
      <c r="D99" s="66"/>
      <c r="E99" s="67"/>
      <c r="F99" s="67"/>
      <c r="G99" s="67"/>
      <c r="H99" s="65"/>
      <c r="I99" s="15">
        <f t="shared" si="1"/>
        <v>0</v>
      </c>
      <c r="J99" s="18" t="str">
        <f t="shared" si="2"/>
        <v>#DIV/0!</v>
      </c>
      <c r="K99" s="65"/>
      <c r="L99" s="19" t="str">
        <f t="shared" si="3"/>
        <v>#DIV/0!</v>
      </c>
      <c r="M99" s="20" t="str">
        <f t="shared" si="4"/>
        <v>#DIV/0!</v>
      </c>
      <c r="N99" s="21" t="str">
        <f t="shared" si="8"/>
        <v>#DIV/0!</v>
      </c>
      <c r="O99" s="21" t="str">
        <f t="shared" si="6"/>
        <v>#DIV/0!</v>
      </c>
      <c r="P99" s="22" t="str">
        <f t="shared" si="7"/>
        <v>#DIV/0!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idden="1">
      <c r="A100" s="25"/>
      <c r="B100" s="11"/>
      <c r="C100" s="12" t="str">
        <f>VLOOKUP(B:B,'Курс валют'!A:D,4,0)</f>
        <v>#N/A</v>
      </c>
      <c r="D100" s="66"/>
      <c r="E100" s="67"/>
      <c r="F100" s="67"/>
      <c r="G100" s="67"/>
      <c r="H100" s="65"/>
      <c r="I100" s="15">
        <f t="shared" si="1"/>
        <v>0</v>
      </c>
      <c r="J100" s="18" t="str">
        <f t="shared" si="2"/>
        <v>#DIV/0!</v>
      </c>
      <c r="K100" s="65"/>
      <c r="L100" s="19" t="str">
        <f t="shared" si="3"/>
        <v>#DIV/0!</v>
      </c>
      <c r="M100" s="20" t="str">
        <f t="shared" si="4"/>
        <v>#DIV/0!</v>
      </c>
      <c r="N100" s="21" t="str">
        <f t="shared" si="8"/>
        <v>#DIV/0!</v>
      </c>
      <c r="O100" s="21" t="str">
        <f t="shared" si="6"/>
        <v>#DIV/0!</v>
      </c>
      <c r="P100" s="22" t="str">
        <f t="shared" si="7"/>
        <v>#DIV/0!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idden="1">
      <c r="A101" s="25"/>
      <c r="B101" s="11"/>
      <c r="C101" s="12" t="str">
        <f>VLOOKUP(B:B,'Курс валют'!A:D,4,0)</f>
        <v>#N/A</v>
      </c>
      <c r="D101" s="66"/>
      <c r="E101" s="67"/>
      <c r="F101" s="67"/>
      <c r="G101" s="67"/>
      <c r="H101" s="65"/>
      <c r="I101" s="15">
        <f t="shared" si="1"/>
        <v>0</v>
      </c>
      <c r="J101" s="18" t="str">
        <f t="shared" si="2"/>
        <v>#DIV/0!</v>
      </c>
      <c r="K101" s="65"/>
      <c r="L101" s="19" t="str">
        <f t="shared" si="3"/>
        <v>#DIV/0!</v>
      </c>
      <c r="M101" s="20" t="str">
        <f t="shared" si="4"/>
        <v>#DIV/0!</v>
      </c>
      <c r="N101" s="21" t="str">
        <f t="shared" si="8"/>
        <v>#DIV/0!</v>
      </c>
      <c r="O101" s="21" t="str">
        <f t="shared" si="6"/>
        <v>#DIV/0!</v>
      </c>
      <c r="P101" s="22" t="str">
        <f t="shared" si="7"/>
        <v>#DIV/0!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idden="1">
      <c r="A102" s="25"/>
      <c r="B102" s="11"/>
      <c r="C102" s="12" t="str">
        <f>VLOOKUP(B:B,'Курс валют'!A:D,4,0)</f>
        <v>#N/A</v>
      </c>
      <c r="D102" s="66"/>
      <c r="E102" s="67"/>
      <c r="F102" s="67"/>
      <c r="G102" s="67"/>
      <c r="H102" s="65"/>
      <c r="I102" s="15">
        <f t="shared" si="1"/>
        <v>0</v>
      </c>
      <c r="J102" s="18" t="str">
        <f t="shared" si="2"/>
        <v>#DIV/0!</v>
      </c>
      <c r="K102" s="65"/>
      <c r="L102" s="19" t="str">
        <f t="shared" si="3"/>
        <v>#DIV/0!</v>
      </c>
      <c r="M102" s="20" t="str">
        <f t="shared" si="4"/>
        <v>#DIV/0!</v>
      </c>
      <c r="N102" s="21" t="str">
        <f t="shared" si="8"/>
        <v>#DIV/0!</v>
      </c>
      <c r="O102" s="21" t="str">
        <f t="shared" si="6"/>
        <v>#DIV/0!</v>
      </c>
      <c r="P102" s="22" t="str">
        <f t="shared" si="7"/>
        <v>#DIV/0!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idden="1">
      <c r="A103" s="25"/>
      <c r="B103" s="11"/>
      <c r="C103" s="12" t="str">
        <f>VLOOKUP(B:B,'Курс валют'!A:D,4,0)</f>
        <v>#N/A</v>
      </c>
      <c r="D103" s="69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idden="1">
      <c r="A104" s="25"/>
      <c r="B104" s="11"/>
      <c r="C104" s="12" t="str">
        <f>VLOOKUP(B:B,'Курс валют'!A:D,4,0)</f>
        <v>#N/A</v>
      </c>
      <c r="D104" s="69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idden="1">
      <c r="A105" s="25"/>
      <c r="B105" s="11"/>
      <c r="C105" s="12" t="str">
        <f>VLOOKUP(B:B,'Курс валют'!A:D,4,0)</f>
        <v>#N/A</v>
      </c>
      <c r="D105" s="69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idden="1">
      <c r="A106" s="25"/>
      <c r="B106" s="11"/>
      <c r="C106" s="12" t="str">
        <f>VLOOKUP(B:B,'Курс валют'!A:D,4,0)</f>
        <v>#N/A</v>
      </c>
      <c r="D106" s="69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idden="1">
      <c r="A107" s="25"/>
      <c r="B107" s="11"/>
      <c r="C107" s="12" t="str">
        <f>VLOOKUP(B:B,'Курс валют'!A:D,4,0)</f>
        <v>#N/A</v>
      </c>
      <c r="D107" s="69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idden="1">
      <c r="A108" s="25"/>
      <c r="B108" s="11"/>
      <c r="C108" s="12" t="str">
        <f>VLOOKUP(B:B,'Курс валют'!A:D,4,0)</f>
        <v>#N/A</v>
      </c>
      <c r="D108" s="69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idden="1">
      <c r="A109" s="25"/>
      <c r="B109" s="11"/>
      <c r="C109" s="12" t="str">
        <f>VLOOKUP(B:B,'Курс валют'!A:D,4,0)</f>
        <v>#N/A</v>
      </c>
      <c r="D109" s="69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idden="1">
      <c r="A110" s="25"/>
      <c r="B110" s="11"/>
      <c r="C110" s="12" t="str">
        <f>VLOOKUP(B:B,'Курс валют'!A:D,4,0)</f>
        <v>#N/A</v>
      </c>
      <c r="D110" s="69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idden="1">
      <c r="A111" s="25"/>
      <c r="B111" s="11"/>
      <c r="C111" s="12" t="str">
        <f>VLOOKUP(B:B,'Курс валют'!A:D,4,0)</f>
        <v>#N/A</v>
      </c>
      <c r="D111" s="69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idden="1">
      <c r="A112" s="25"/>
      <c r="B112" s="11"/>
      <c r="C112" s="12" t="str">
        <f>VLOOKUP(B:B,'Курс валют'!A:D,4,0)</f>
        <v>#N/A</v>
      </c>
      <c r="D112" s="69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idden="1">
      <c r="A113" s="25"/>
      <c r="B113" s="11"/>
      <c r="C113" s="12" t="str">
        <f>VLOOKUP(B:B,'Курс валют'!A:D,4,0)</f>
        <v>#N/A</v>
      </c>
      <c r="D113" s="69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idden="1">
      <c r="A114" s="25"/>
      <c r="B114" s="11"/>
      <c r="C114" s="12" t="str">
        <f>VLOOKUP(B:B,'Курс валют'!A:D,4,0)</f>
        <v>#N/A</v>
      </c>
      <c r="D114" s="69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idden="1">
      <c r="A115" s="25"/>
      <c r="B115" s="11"/>
      <c r="C115" s="12" t="str">
        <f>VLOOKUP(B:B,'Курс валют'!A:D,4,0)</f>
        <v>#N/A</v>
      </c>
      <c r="D115" s="69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idden="1">
      <c r="A116" s="25"/>
      <c r="B116" s="11"/>
      <c r="C116" s="12" t="str">
        <f>VLOOKUP(B:B,'Курс валют'!A:D,4,0)</f>
        <v>#N/A</v>
      </c>
      <c r="D116" s="69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idden="1">
      <c r="A117" s="25"/>
      <c r="B117" s="11"/>
      <c r="C117" s="12" t="str">
        <f>VLOOKUP(B:B,'Курс валют'!A:D,4,0)</f>
        <v>#N/A</v>
      </c>
      <c r="D117" s="69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idden="1">
      <c r="A118" s="25"/>
      <c r="B118" s="11"/>
      <c r="C118" s="12" t="str">
        <f>VLOOKUP(B:B,'Курс валют'!A:D,4,0)</f>
        <v>#N/A</v>
      </c>
      <c r="D118" s="69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idden="1">
      <c r="A119" s="25"/>
      <c r="B119" s="11"/>
      <c r="C119" s="12" t="str">
        <f>VLOOKUP(B:B,'Курс валют'!A:D,4,0)</f>
        <v>#N/A</v>
      </c>
      <c r="D119" s="69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idden="1">
      <c r="A120" s="25"/>
      <c r="B120" s="11"/>
      <c r="C120" s="12" t="str">
        <f>VLOOKUP(B:B,'Курс валют'!A:D,4,0)</f>
        <v>#N/A</v>
      </c>
      <c r="D120" s="69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idden="1">
      <c r="A121" s="25"/>
      <c r="B121" s="11"/>
      <c r="C121" s="12" t="str">
        <f>VLOOKUP(B:B,'Курс валют'!A:D,4,0)</f>
        <v>#N/A</v>
      </c>
      <c r="D121" s="69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idden="1">
      <c r="A122" s="25"/>
      <c r="B122" s="11"/>
      <c r="C122" s="12" t="str">
        <f>VLOOKUP(B:B,'Курс валют'!A:D,4,0)</f>
        <v>#N/A</v>
      </c>
      <c r="D122" s="69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idden="1">
      <c r="A123" s="25"/>
      <c r="B123" s="11">
        <v>45988.0</v>
      </c>
      <c r="C123" s="25"/>
      <c r="D123" s="69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idden="1">
      <c r="A124" s="25"/>
      <c r="B124" s="11"/>
      <c r="C124" s="25"/>
      <c r="E124" s="25"/>
      <c r="F124" s="25"/>
      <c r="G124" s="25"/>
      <c r="H124" s="80"/>
      <c r="I124" s="25"/>
      <c r="J124" s="25"/>
      <c r="K124" s="80"/>
      <c r="L124" s="81"/>
      <c r="M124" s="82"/>
      <c r="N124" s="25"/>
      <c r="O124" s="25"/>
      <c r="P124" s="82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idden="1">
      <c r="A125" s="25"/>
      <c r="B125" s="11"/>
      <c r="C125" s="25"/>
      <c r="D125" s="69"/>
      <c r="E125" s="25"/>
      <c r="F125" s="25"/>
      <c r="G125" s="25"/>
      <c r="H125" s="80"/>
      <c r="I125" s="25"/>
      <c r="J125" s="25"/>
      <c r="K125" s="80"/>
      <c r="L125" s="81"/>
      <c r="M125" s="82"/>
      <c r="N125" s="25"/>
      <c r="O125" s="25"/>
      <c r="P125" s="82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idden="1">
      <c r="A126" s="25"/>
      <c r="B126" s="11"/>
      <c r="C126" s="25"/>
      <c r="D126" s="69"/>
      <c r="E126" s="25"/>
      <c r="F126" s="25"/>
      <c r="G126" s="25"/>
      <c r="H126" s="80"/>
      <c r="I126" s="25"/>
      <c r="J126" s="25"/>
      <c r="K126" s="80"/>
      <c r="L126" s="81"/>
      <c r="M126" s="82"/>
      <c r="N126" s="25"/>
      <c r="O126" s="25"/>
      <c r="P126" s="82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idden="1">
      <c r="B127" s="68"/>
      <c r="D127" s="69"/>
      <c r="H127" s="70"/>
      <c r="K127" s="70"/>
      <c r="L127" s="71"/>
      <c r="M127" s="72"/>
      <c r="P127" s="72"/>
    </row>
    <row r="128" hidden="1">
      <c r="B128" s="68"/>
      <c r="D128" s="69"/>
      <c r="H128" s="70"/>
      <c r="K128" s="70"/>
      <c r="L128" s="71"/>
      <c r="M128" s="72"/>
      <c r="P128" s="72"/>
    </row>
    <row r="129" hidden="1">
      <c r="B129" s="68"/>
      <c r="D129" s="69"/>
      <c r="H129" s="70"/>
      <c r="K129" s="70"/>
      <c r="L129" s="71"/>
      <c r="M129" s="72"/>
      <c r="P129" s="72"/>
    </row>
    <row r="130" hidden="1">
      <c r="B130" s="68"/>
      <c r="D130" s="69"/>
      <c r="H130" s="70"/>
      <c r="K130" s="70"/>
      <c r="L130" s="71"/>
      <c r="M130" s="72"/>
      <c r="P130" s="72"/>
    </row>
    <row r="131" hidden="1">
      <c r="B131" s="68"/>
      <c r="D131" s="69"/>
      <c r="H131" s="70"/>
      <c r="K131" s="70"/>
      <c r="L131" s="71"/>
      <c r="M131" s="72"/>
      <c r="P131" s="72"/>
    </row>
    <row r="132" hidden="1">
      <c r="B132" s="68"/>
      <c r="D132" s="69"/>
      <c r="H132" s="70"/>
      <c r="K132" s="70"/>
      <c r="L132" s="71"/>
      <c r="M132" s="72"/>
      <c r="P132" s="72"/>
    </row>
    <row r="133" hidden="1">
      <c r="B133" s="68"/>
      <c r="D133" s="69"/>
      <c r="H133" s="70"/>
      <c r="K133" s="70"/>
      <c r="L133" s="71"/>
      <c r="M133" s="72"/>
      <c r="P133" s="72"/>
    </row>
    <row r="134" hidden="1">
      <c r="B134" s="68"/>
      <c r="D134" s="69"/>
      <c r="H134" s="70"/>
      <c r="K134" s="70"/>
      <c r="L134" s="71"/>
      <c r="M134" s="72"/>
      <c r="P134" s="72"/>
    </row>
    <row r="135" hidden="1">
      <c r="B135" s="68"/>
      <c r="D135" s="69"/>
      <c r="H135" s="70"/>
      <c r="K135" s="70"/>
      <c r="L135" s="71"/>
      <c r="M135" s="72"/>
      <c r="P135" s="72"/>
    </row>
    <row r="136" hidden="1">
      <c r="B136" s="68"/>
      <c r="D136" s="69"/>
      <c r="H136" s="70"/>
      <c r="K136" s="70"/>
      <c r="L136" s="71"/>
      <c r="M136" s="72"/>
      <c r="P136" s="72"/>
    </row>
    <row r="137" hidden="1">
      <c r="B137" s="68"/>
      <c r="D137" s="69"/>
      <c r="H137" s="70"/>
      <c r="K137" s="70"/>
      <c r="L137" s="71"/>
      <c r="M137" s="72"/>
      <c r="P137" s="72"/>
    </row>
    <row r="138" hidden="1">
      <c r="B138" s="68"/>
      <c r="D138" s="69"/>
      <c r="H138" s="70"/>
      <c r="K138" s="70"/>
      <c r="L138" s="71"/>
      <c r="M138" s="72"/>
      <c r="P138" s="72"/>
    </row>
    <row r="139" hidden="1">
      <c r="B139" s="68"/>
      <c r="D139" s="69"/>
      <c r="H139" s="70"/>
      <c r="K139" s="70"/>
      <c r="L139" s="71"/>
      <c r="M139" s="72"/>
      <c r="P139" s="72"/>
    </row>
    <row r="140" hidden="1">
      <c r="B140" s="68"/>
      <c r="D140" s="69"/>
      <c r="H140" s="70"/>
      <c r="K140" s="70"/>
      <c r="L140" s="71"/>
      <c r="M140" s="72"/>
      <c r="P140" s="72"/>
    </row>
    <row r="141" hidden="1">
      <c r="B141" s="68"/>
      <c r="D141" s="69"/>
      <c r="H141" s="70"/>
      <c r="K141" s="70"/>
      <c r="L141" s="71"/>
      <c r="M141" s="72"/>
      <c r="P141" s="72"/>
    </row>
    <row r="142" hidden="1">
      <c r="B142" s="68"/>
      <c r="D142" s="69"/>
      <c r="H142" s="70"/>
      <c r="K142" s="70"/>
      <c r="L142" s="71"/>
      <c r="M142" s="72"/>
      <c r="P142" s="72"/>
    </row>
    <row r="143" hidden="1">
      <c r="B143" s="68"/>
      <c r="D143" s="69"/>
      <c r="H143" s="70"/>
      <c r="K143" s="70"/>
      <c r="L143" s="71"/>
      <c r="M143" s="72"/>
      <c r="P143" s="72"/>
    </row>
    <row r="144" hidden="1">
      <c r="B144" s="68"/>
      <c r="D144" s="69"/>
      <c r="H144" s="70"/>
      <c r="K144" s="70"/>
      <c r="L144" s="71"/>
      <c r="M144" s="72"/>
      <c r="P144" s="72"/>
    </row>
    <row r="145" hidden="1">
      <c r="B145" s="68"/>
      <c r="D145" s="69"/>
      <c r="H145" s="70"/>
      <c r="K145" s="70"/>
      <c r="L145" s="71"/>
      <c r="M145" s="72"/>
      <c r="P145" s="72"/>
    </row>
    <row r="146" hidden="1">
      <c r="B146" s="68"/>
      <c r="D146" s="69"/>
      <c r="H146" s="70"/>
      <c r="K146" s="70"/>
      <c r="L146" s="71"/>
      <c r="M146" s="72"/>
      <c r="P146" s="72"/>
    </row>
    <row r="147" hidden="1">
      <c r="B147" s="68"/>
      <c r="D147" s="69"/>
      <c r="H147" s="70"/>
      <c r="K147" s="70"/>
      <c r="L147" s="71"/>
      <c r="M147" s="72"/>
      <c r="P147" s="72"/>
    </row>
    <row r="148" hidden="1">
      <c r="B148" s="68"/>
      <c r="D148" s="69"/>
      <c r="H148" s="70"/>
      <c r="K148" s="70"/>
      <c r="L148" s="71"/>
      <c r="M148" s="72"/>
      <c r="P148" s="72"/>
    </row>
    <row r="149" hidden="1">
      <c r="B149" s="68"/>
      <c r="D149" s="69"/>
      <c r="H149" s="70"/>
      <c r="K149" s="70"/>
      <c r="L149" s="71"/>
      <c r="M149" s="72"/>
      <c r="P149" s="72"/>
    </row>
    <row r="150" hidden="1">
      <c r="B150" s="68"/>
      <c r="D150" s="69"/>
      <c r="H150" s="70"/>
      <c r="K150" s="70"/>
      <c r="L150" s="71"/>
      <c r="M150" s="72"/>
      <c r="P150" s="72"/>
    </row>
    <row r="151" hidden="1">
      <c r="B151" s="68"/>
      <c r="D151" s="69"/>
      <c r="H151" s="70"/>
      <c r="K151" s="70"/>
      <c r="L151" s="71"/>
      <c r="M151" s="72"/>
      <c r="P151" s="72"/>
    </row>
    <row r="152" hidden="1">
      <c r="B152" s="68"/>
      <c r="D152" s="69"/>
      <c r="H152" s="70"/>
      <c r="K152" s="70"/>
      <c r="L152" s="71"/>
      <c r="M152" s="72"/>
      <c r="P152" s="72"/>
    </row>
    <row r="153" hidden="1">
      <c r="B153" s="68"/>
      <c r="D153" s="69"/>
      <c r="H153" s="70"/>
      <c r="K153" s="70"/>
      <c r="L153" s="71"/>
      <c r="M153" s="72"/>
      <c r="P153" s="72"/>
    </row>
    <row r="154" hidden="1">
      <c r="B154" s="68"/>
      <c r="D154" s="69"/>
      <c r="H154" s="70"/>
      <c r="K154" s="70"/>
      <c r="L154" s="71"/>
      <c r="M154" s="72"/>
      <c r="P154" s="72"/>
    </row>
    <row r="155" hidden="1">
      <c r="B155" s="68"/>
      <c r="D155" s="69"/>
      <c r="H155" s="70"/>
      <c r="K155" s="70"/>
      <c r="L155" s="71"/>
      <c r="M155" s="72"/>
      <c r="P155" s="72"/>
    </row>
    <row r="156" hidden="1">
      <c r="B156" s="68"/>
      <c r="D156" s="69"/>
      <c r="H156" s="70"/>
      <c r="K156" s="70"/>
      <c r="L156" s="71"/>
      <c r="M156" s="72"/>
      <c r="P156" s="72"/>
    </row>
    <row r="157" hidden="1">
      <c r="B157" s="68"/>
      <c r="D157" s="69"/>
      <c r="H157" s="70"/>
      <c r="K157" s="70"/>
      <c r="L157" s="71"/>
      <c r="M157" s="72"/>
      <c r="P157" s="72"/>
    </row>
    <row r="158" hidden="1">
      <c r="B158" s="68"/>
      <c r="D158" s="69"/>
      <c r="H158" s="70"/>
      <c r="K158" s="70"/>
      <c r="L158" s="71"/>
      <c r="M158" s="72"/>
      <c r="P158" s="72"/>
    </row>
    <row r="159" hidden="1">
      <c r="B159" s="68"/>
      <c r="D159" s="69"/>
      <c r="H159" s="70"/>
      <c r="K159" s="70"/>
      <c r="L159" s="71"/>
      <c r="M159" s="72"/>
      <c r="P159" s="72"/>
    </row>
    <row r="160" hidden="1">
      <c r="B160" s="68"/>
      <c r="D160" s="69"/>
      <c r="H160" s="70"/>
      <c r="K160" s="70"/>
      <c r="L160" s="71"/>
      <c r="M160" s="72"/>
      <c r="P160" s="72"/>
    </row>
    <row r="161" hidden="1">
      <c r="B161" s="68"/>
      <c r="D161" s="69"/>
      <c r="H161" s="70"/>
      <c r="K161" s="70"/>
      <c r="L161" s="71"/>
      <c r="M161" s="72"/>
      <c r="P161" s="72"/>
    </row>
    <row r="162" hidden="1">
      <c r="B162" s="68"/>
      <c r="D162" s="69"/>
      <c r="H162" s="70"/>
      <c r="K162" s="70"/>
      <c r="L162" s="71"/>
      <c r="M162" s="72"/>
      <c r="P162" s="72"/>
    </row>
    <row r="163" hidden="1">
      <c r="B163" s="68"/>
      <c r="D163" s="69"/>
      <c r="H163" s="70"/>
      <c r="K163" s="70"/>
      <c r="L163" s="71"/>
      <c r="M163" s="72"/>
      <c r="P163" s="72"/>
    </row>
    <row r="164" hidden="1">
      <c r="B164" s="68"/>
      <c r="D164" s="69"/>
      <c r="H164" s="70"/>
      <c r="K164" s="70"/>
      <c r="L164" s="71"/>
      <c r="M164" s="72"/>
      <c r="P164" s="72"/>
    </row>
    <row r="165" hidden="1">
      <c r="B165" s="68"/>
      <c r="D165" s="69"/>
      <c r="H165" s="70"/>
      <c r="K165" s="70"/>
      <c r="L165" s="71"/>
      <c r="M165" s="72"/>
      <c r="P165" s="72"/>
    </row>
    <row r="166" hidden="1">
      <c r="B166" s="68"/>
      <c r="D166" s="69"/>
      <c r="H166" s="70"/>
      <c r="K166" s="70"/>
      <c r="L166" s="71"/>
      <c r="M166" s="72"/>
      <c r="P166" s="72"/>
    </row>
    <row r="167" hidden="1">
      <c r="B167" s="68"/>
      <c r="D167" s="69"/>
      <c r="H167" s="70"/>
      <c r="K167" s="70"/>
      <c r="L167" s="71"/>
      <c r="M167" s="72"/>
      <c r="P167" s="72"/>
    </row>
    <row r="168" hidden="1">
      <c r="B168" s="68"/>
      <c r="D168" s="69"/>
      <c r="H168" s="70"/>
      <c r="K168" s="70"/>
      <c r="L168" s="71"/>
      <c r="M168" s="72"/>
      <c r="P168" s="72"/>
    </row>
    <row r="169" hidden="1">
      <c r="B169" s="68"/>
      <c r="D169" s="69"/>
      <c r="H169" s="70"/>
      <c r="K169" s="70"/>
      <c r="L169" s="71"/>
      <c r="M169" s="72"/>
      <c r="P169" s="72"/>
    </row>
    <row r="170" hidden="1">
      <c r="B170" s="68"/>
      <c r="D170" s="69"/>
      <c r="H170" s="70"/>
      <c r="K170" s="70"/>
      <c r="L170" s="71"/>
      <c r="M170" s="72"/>
      <c r="P170" s="72"/>
    </row>
    <row r="171" hidden="1">
      <c r="B171" s="68"/>
      <c r="D171" s="69"/>
      <c r="H171" s="70"/>
      <c r="K171" s="70"/>
      <c r="L171" s="71"/>
      <c r="M171" s="72"/>
      <c r="P171" s="72"/>
    </row>
    <row r="172" hidden="1">
      <c r="B172" s="68"/>
      <c r="D172" s="69"/>
      <c r="H172" s="70"/>
      <c r="K172" s="70"/>
      <c r="L172" s="71"/>
      <c r="M172" s="72"/>
      <c r="P172" s="72"/>
    </row>
    <row r="173" hidden="1">
      <c r="B173" s="68"/>
      <c r="D173" s="69"/>
      <c r="H173" s="70"/>
      <c r="K173" s="70"/>
      <c r="L173" s="71"/>
      <c r="M173" s="72"/>
      <c r="P173" s="72"/>
    </row>
    <row r="174" hidden="1">
      <c r="B174" s="68"/>
      <c r="D174" s="69"/>
      <c r="H174" s="70"/>
      <c r="K174" s="70"/>
      <c r="L174" s="71"/>
      <c r="M174" s="72"/>
      <c r="P174" s="72"/>
    </row>
    <row r="175" hidden="1">
      <c r="B175" s="68"/>
      <c r="D175" s="69"/>
      <c r="H175" s="70"/>
      <c r="K175" s="70"/>
      <c r="L175" s="71"/>
      <c r="M175" s="72"/>
      <c r="P175" s="72"/>
    </row>
    <row r="176" hidden="1">
      <c r="B176" s="68"/>
      <c r="D176" s="69"/>
      <c r="H176" s="70"/>
      <c r="K176" s="70"/>
      <c r="L176" s="71"/>
      <c r="M176" s="72"/>
      <c r="P176" s="72"/>
    </row>
    <row r="177" hidden="1">
      <c r="B177" s="68"/>
      <c r="D177" s="69"/>
      <c r="H177" s="70"/>
      <c r="K177" s="70"/>
      <c r="L177" s="71"/>
      <c r="M177" s="72"/>
      <c r="P177" s="72"/>
    </row>
    <row r="178" hidden="1">
      <c r="B178" s="68"/>
      <c r="D178" s="69"/>
      <c r="H178" s="70"/>
      <c r="K178" s="70"/>
      <c r="L178" s="71"/>
      <c r="M178" s="72"/>
      <c r="P178" s="72"/>
    </row>
    <row r="179" hidden="1">
      <c r="B179" s="68"/>
      <c r="D179" s="69"/>
      <c r="H179" s="70"/>
      <c r="K179" s="70"/>
      <c r="L179" s="71"/>
      <c r="M179" s="72"/>
      <c r="P179" s="72"/>
    </row>
    <row r="180" hidden="1">
      <c r="B180" s="68"/>
      <c r="D180" s="69"/>
      <c r="H180" s="70"/>
      <c r="K180" s="70"/>
      <c r="L180" s="71"/>
      <c r="M180" s="72"/>
      <c r="P180" s="72"/>
    </row>
    <row r="181" hidden="1">
      <c r="B181" s="68"/>
      <c r="D181" s="69"/>
      <c r="H181" s="70"/>
      <c r="K181" s="70"/>
      <c r="L181" s="71"/>
      <c r="M181" s="72"/>
      <c r="P181" s="72"/>
    </row>
    <row r="182" hidden="1">
      <c r="B182" s="68"/>
      <c r="D182" s="69"/>
      <c r="H182" s="70"/>
      <c r="K182" s="70"/>
      <c r="L182" s="71"/>
      <c r="M182" s="72"/>
      <c r="P182" s="72"/>
    </row>
    <row r="183" hidden="1">
      <c r="B183" s="68"/>
      <c r="D183" s="69"/>
      <c r="H183" s="70"/>
      <c r="K183" s="70"/>
      <c r="L183" s="71"/>
      <c r="M183" s="72"/>
      <c r="P183" s="72"/>
    </row>
    <row r="184" hidden="1">
      <c r="B184" s="68"/>
      <c r="D184" s="69"/>
      <c r="H184" s="70"/>
      <c r="K184" s="70"/>
      <c r="L184" s="71"/>
      <c r="M184" s="72"/>
      <c r="P184" s="72"/>
    </row>
    <row r="185" hidden="1">
      <c r="B185" s="68"/>
      <c r="D185" s="69"/>
      <c r="H185" s="70"/>
      <c r="K185" s="70"/>
      <c r="L185" s="71"/>
      <c r="M185" s="72"/>
      <c r="P185" s="72"/>
    </row>
    <row r="186" hidden="1">
      <c r="B186" s="68"/>
      <c r="D186" s="69"/>
      <c r="H186" s="70"/>
      <c r="K186" s="70"/>
      <c r="L186" s="71"/>
      <c r="M186" s="72"/>
      <c r="P186" s="72"/>
    </row>
    <row r="187" hidden="1">
      <c r="B187" s="68"/>
      <c r="D187" s="69"/>
      <c r="H187" s="70"/>
      <c r="K187" s="70"/>
      <c r="L187" s="71"/>
      <c r="M187" s="72"/>
      <c r="P187" s="72"/>
    </row>
    <row r="188" hidden="1">
      <c r="B188" s="68"/>
      <c r="D188" s="69"/>
      <c r="H188" s="70"/>
      <c r="K188" s="70"/>
      <c r="L188" s="71"/>
      <c r="M188" s="72"/>
      <c r="P188" s="72"/>
    </row>
    <row r="189" hidden="1">
      <c r="B189" s="68"/>
      <c r="D189" s="69"/>
      <c r="H189" s="70"/>
      <c r="K189" s="70"/>
      <c r="L189" s="71"/>
      <c r="M189" s="72"/>
      <c r="P189" s="72"/>
    </row>
    <row r="190" hidden="1">
      <c r="B190" s="68"/>
      <c r="D190" s="69"/>
      <c r="H190" s="70"/>
      <c r="K190" s="70"/>
      <c r="L190" s="71"/>
      <c r="M190" s="72"/>
      <c r="P190" s="72"/>
    </row>
    <row r="191" hidden="1">
      <c r="B191" s="68"/>
      <c r="D191" s="69"/>
      <c r="H191" s="70"/>
      <c r="K191" s="70"/>
      <c r="L191" s="71"/>
      <c r="M191" s="72"/>
      <c r="P191" s="72"/>
    </row>
    <row r="192" hidden="1">
      <c r="B192" s="68"/>
      <c r="D192" s="69"/>
      <c r="H192" s="70"/>
      <c r="K192" s="70"/>
      <c r="L192" s="71"/>
      <c r="M192" s="72"/>
      <c r="P192" s="72"/>
    </row>
    <row r="193" hidden="1">
      <c r="B193" s="68"/>
      <c r="D193" s="69"/>
      <c r="H193" s="70"/>
      <c r="K193" s="70"/>
      <c r="L193" s="71"/>
      <c r="M193" s="72"/>
      <c r="P193" s="72"/>
    </row>
    <row r="194" hidden="1">
      <c r="B194" s="68"/>
      <c r="D194" s="69"/>
      <c r="H194" s="70"/>
      <c r="K194" s="70"/>
      <c r="L194" s="71"/>
      <c r="M194" s="72"/>
      <c r="P194" s="72"/>
    </row>
    <row r="195" hidden="1">
      <c r="B195" s="68"/>
      <c r="D195" s="69"/>
      <c r="H195" s="70"/>
      <c r="K195" s="70"/>
      <c r="L195" s="71"/>
      <c r="M195" s="72"/>
      <c r="P195" s="72"/>
    </row>
    <row r="196" hidden="1">
      <c r="B196" s="68"/>
      <c r="D196" s="69"/>
      <c r="H196" s="70"/>
      <c r="K196" s="70"/>
      <c r="L196" s="71"/>
      <c r="M196" s="72"/>
      <c r="P196" s="72"/>
    </row>
    <row r="197" hidden="1">
      <c r="B197" s="68"/>
      <c r="D197" s="69"/>
      <c r="H197" s="70"/>
      <c r="K197" s="70"/>
      <c r="L197" s="71"/>
      <c r="M197" s="72"/>
      <c r="P197" s="72"/>
    </row>
    <row r="198" hidden="1">
      <c r="B198" s="68"/>
      <c r="D198" s="69"/>
      <c r="H198" s="70"/>
      <c r="K198" s="70"/>
      <c r="L198" s="71"/>
      <c r="M198" s="72"/>
      <c r="P198" s="72"/>
    </row>
    <row r="199" hidden="1">
      <c r="B199" s="68"/>
      <c r="D199" s="69"/>
      <c r="H199" s="70"/>
      <c r="K199" s="70"/>
      <c r="L199" s="71"/>
      <c r="M199" s="72"/>
      <c r="P199" s="72"/>
    </row>
    <row r="200" hidden="1">
      <c r="B200" s="68"/>
      <c r="D200" s="69"/>
      <c r="H200" s="70"/>
      <c r="K200" s="70"/>
      <c r="L200" s="71"/>
      <c r="M200" s="72"/>
      <c r="P200" s="72"/>
    </row>
    <row r="201" hidden="1">
      <c r="B201" s="68"/>
      <c r="D201" s="69"/>
      <c r="H201" s="70"/>
      <c r="K201" s="70"/>
      <c r="L201" s="71"/>
      <c r="M201" s="72"/>
      <c r="P201" s="72"/>
    </row>
    <row r="202" hidden="1">
      <c r="B202" s="68"/>
      <c r="D202" s="69"/>
      <c r="H202" s="70"/>
      <c r="K202" s="70"/>
      <c r="L202" s="71"/>
      <c r="M202" s="72"/>
      <c r="P202" s="72"/>
    </row>
    <row r="203" hidden="1">
      <c r="B203" s="68"/>
      <c r="D203" s="69"/>
      <c r="H203" s="70"/>
      <c r="K203" s="70"/>
      <c r="L203" s="71"/>
      <c r="M203" s="72"/>
      <c r="P203" s="72"/>
    </row>
    <row r="204" hidden="1">
      <c r="B204" s="68"/>
      <c r="D204" s="69"/>
      <c r="H204" s="70"/>
      <c r="K204" s="70"/>
      <c r="L204" s="71"/>
      <c r="M204" s="72"/>
      <c r="P204" s="72"/>
    </row>
    <row r="205" hidden="1">
      <c r="B205" s="68"/>
      <c r="D205" s="69"/>
      <c r="H205" s="70"/>
      <c r="K205" s="70"/>
      <c r="L205" s="71"/>
      <c r="M205" s="72"/>
      <c r="P205" s="72"/>
    </row>
    <row r="206" hidden="1">
      <c r="B206" s="68"/>
      <c r="D206" s="69"/>
      <c r="H206" s="70"/>
      <c r="K206" s="70"/>
      <c r="L206" s="71"/>
      <c r="M206" s="72"/>
      <c r="P206" s="72"/>
    </row>
    <row r="207" hidden="1">
      <c r="B207" s="68"/>
      <c r="D207" s="69"/>
      <c r="H207" s="70"/>
      <c r="K207" s="70"/>
      <c r="L207" s="71"/>
      <c r="M207" s="72"/>
      <c r="P207" s="72"/>
    </row>
    <row r="208" hidden="1">
      <c r="B208" s="68"/>
      <c r="D208" s="69"/>
      <c r="H208" s="70"/>
      <c r="K208" s="70"/>
      <c r="L208" s="71"/>
      <c r="M208" s="72"/>
      <c r="P208" s="72"/>
    </row>
    <row r="209" hidden="1">
      <c r="B209" s="68"/>
      <c r="D209" s="69"/>
      <c r="H209" s="70"/>
      <c r="K209" s="70"/>
      <c r="L209" s="71"/>
      <c r="M209" s="72"/>
      <c r="P209" s="72"/>
    </row>
    <row r="210" hidden="1">
      <c r="B210" s="68"/>
      <c r="D210" s="69"/>
      <c r="H210" s="70"/>
      <c r="K210" s="70"/>
      <c r="L210" s="71"/>
      <c r="M210" s="72"/>
      <c r="P210" s="72"/>
    </row>
    <row r="211" hidden="1">
      <c r="B211" s="68"/>
      <c r="D211" s="69"/>
      <c r="H211" s="70"/>
      <c r="K211" s="70"/>
      <c r="L211" s="71"/>
      <c r="M211" s="72"/>
      <c r="P211" s="72"/>
    </row>
    <row r="212" hidden="1">
      <c r="B212" s="68"/>
      <c r="D212" s="69"/>
      <c r="H212" s="70"/>
      <c r="K212" s="70"/>
      <c r="L212" s="71"/>
      <c r="M212" s="72"/>
      <c r="P212" s="72"/>
    </row>
    <row r="213" hidden="1">
      <c r="B213" s="68"/>
      <c r="D213" s="69"/>
      <c r="H213" s="70"/>
      <c r="K213" s="70"/>
      <c r="L213" s="71"/>
      <c r="M213" s="72"/>
      <c r="P213" s="72"/>
    </row>
    <row r="214" hidden="1">
      <c r="B214" s="68"/>
      <c r="D214" s="69"/>
      <c r="H214" s="70"/>
      <c r="K214" s="70"/>
      <c r="L214" s="71"/>
      <c r="M214" s="72"/>
      <c r="P214" s="72"/>
    </row>
    <row r="215" hidden="1">
      <c r="B215" s="68"/>
      <c r="D215" s="69"/>
      <c r="H215" s="70"/>
      <c r="K215" s="70"/>
      <c r="L215" s="71"/>
      <c r="M215" s="72"/>
      <c r="P215" s="72"/>
    </row>
    <row r="216" hidden="1">
      <c r="B216" s="68"/>
      <c r="D216" s="69"/>
      <c r="H216" s="70"/>
      <c r="K216" s="70"/>
      <c r="L216" s="71"/>
      <c r="M216" s="72"/>
      <c r="P216" s="72"/>
    </row>
    <row r="217" hidden="1">
      <c r="B217" s="68"/>
      <c r="D217" s="69"/>
      <c r="H217" s="70"/>
      <c r="K217" s="70"/>
      <c r="L217" s="71"/>
      <c r="M217" s="72"/>
      <c r="P217" s="72"/>
    </row>
    <row r="218" hidden="1">
      <c r="B218" s="68"/>
      <c r="D218" s="69"/>
      <c r="H218" s="70"/>
      <c r="K218" s="70"/>
      <c r="L218" s="71"/>
      <c r="M218" s="72"/>
      <c r="P218" s="72"/>
    </row>
    <row r="219" hidden="1">
      <c r="B219" s="68"/>
      <c r="D219" s="69"/>
      <c r="H219" s="70"/>
      <c r="K219" s="70"/>
      <c r="L219" s="71"/>
      <c r="M219" s="72"/>
      <c r="P219" s="72"/>
    </row>
    <row r="220" hidden="1">
      <c r="B220" s="68"/>
      <c r="D220" s="69"/>
      <c r="H220" s="70"/>
      <c r="K220" s="70"/>
      <c r="L220" s="71"/>
      <c r="M220" s="72"/>
      <c r="P220" s="72"/>
    </row>
    <row r="221" hidden="1">
      <c r="B221" s="68"/>
      <c r="D221" s="69"/>
      <c r="H221" s="70"/>
      <c r="K221" s="70"/>
      <c r="L221" s="71"/>
      <c r="M221" s="72"/>
      <c r="P221" s="72"/>
    </row>
    <row r="222" hidden="1">
      <c r="B222" s="68"/>
      <c r="D222" s="69"/>
      <c r="H222" s="70"/>
      <c r="K222" s="70"/>
      <c r="L222" s="71"/>
      <c r="M222" s="72"/>
      <c r="P222" s="72"/>
    </row>
    <row r="223" hidden="1">
      <c r="B223" s="68"/>
      <c r="D223" s="69"/>
      <c r="H223" s="70"/>
      <c r="K223" s="70"/>
      <c r="L223" s="71"/>
      <c r="M223" s="72"/>
      <c r="P223" s="72"/>
    </row>
    <row r="224" hidden="1">
      <c r="B224" s="68"/>
      <c r="D224" s="69"/>
      <c r="H224" s="70"/>
      <c r="K224" s="70"/>
      <c r="L224" s="71"/>
      <c r="M224" s="72"/>
      <c r="P224" s="72"/>
    </row>
    <row r="225" hidden="1">
      <c r="B225" s="68"/>
      <c r="D225" s="69"/>
      <c r="H225" s="70"/>
      <c r="K225" s="70"/>
      <c r="L225" s="71"/>
      <c r="M225" s="72"/>
      <c r="P225" s="72"/>
    </row>
    <row r="226" hidden="1">
      <c r="B226" s="68"/>
      <c r="D226" s="69"/>
      <c r="H226" s="70"/>
      <c r="K226" s="70"/>
      <c r="L226" s="71"/>
      <c r="M226" s="72"/>
      <c r="P226" s="72"/>
    </row>
    <row r="227" hidden="1">
      <c r="B227" s="68"/>
      <c r="D227" s="69"/>
      <c r="H227" s="70"/>
      <c r="K227" s="70"/>
      <c r="L227" s="71"/>
      <c r="M227" s="72"/>
      <c r="P227" s="72"/>
    </row>
    <row r="228" hidden="1">
      <c r="B228" s="68"/>
      <c r="D228" s="69"/>
      <c r="H228" s="70"/>
      <c r="K228" s="70"/>
      <c r="L228" s="71"/>
      <c r="M228" s="72"/>
      <c r="P228" s="72"/>
    </row>
    <row r="229" hidden="1">
      <c r="B229" s="68"/>
      <c r="D229" s="69"/>
      <c r="H229" s="70"/>
      <c r="K229" s="70"/>
      <c r="L229" s="71"/>
      <c r="M229" s="72"/>
      <c r="P229" s="72"/>
    </row>
    <row r="230" hidden="1">
      <c r="B230" s="68"/>
      <c r="D230" s="69"/>
      <c r="H230" s="70"/>
      <c r="K230" s="70"/>
      <c r="L230" s="71"/>
      <c r="M230" s="72"/>
      <c r="P230" s="72"/>
    </row>
    <row r="231" hidden="1">
      <c r="B231" s="68"/>
      <c r="D231" s="69"/>
      <c r="H231" s="70"/>
      <c r="K231" s="70"/>
      <c r="L231" s="71"/>
      <c r="M231" s="72"/>
      <c r="P231" s="72"/>
    </row>
    <row r="232" hidden="1">
      <c r="B232" s="68"/>
      <c r="D232" s="69"/>
      <c r="H232" s="70"/>
      <c r="K232" s="70"/>
      <c r="L232" s="71"/>
      <c r="M232" s="72"/>
      <c r="P232" s="72"/>
    </row>
    <row r="233" hidden="1">
      <c r="B233" s="68"/>
      <c r="D233" s="69"/>
      <c r="H233" s="70"/>
      <c r="K233" s="70"/>
      <c r="L233" s="71"/>
      <c r="M233" s="72"/>
      <c r="P233" s="72"/>
    </row>
    <row r="234" hidden="1">
      <c r="B234" s="68"/>
      <c r="D234" s="69"/>
      <c r="H234" s="70"/>
      <c r="K234" s="70"/>
      <c r="L234" s="71"/>
      <c r="M234" s="72"/>
      <c r="P234" s="72"/>
    </row>
    <row r="235" hidden="1">
      <c r="B235" s="68"/>
      <c r="D235" s="69"/>
      <c r="H235" s="70"/>
      <c r="K235" s="70"/>
      <c r="L235" s="71"/>
      <c r="M235" s="72"/>
      <c r="P235" s="72"/>
    </row>
    <row r="236" hidden="1">
      <c r="B236" s="68"/>
      <c r="D236" s="69"/>
      <c r="H236" s="70"/>
      <c r="K236" s="70"/>
      <c r="L236" s="71"/>
      <c r="M236" s="72"/>
      <c r="P236" s="72"/>
    </row>
    <row r="237" hidden="1">
      <c r="B237" s="68"/>
      <c r="D237" s="69"/>
      <c r="H237" s="70"/>
      <c r="K237" s="70"/>
      <c r="L237" s="71"/>
      <c r="M237" s="72"/>
      <c r="P237" s="72"/>
    </row>
    <row r="238" hidden="1">
      <c r="B238" s="68"/>
      <c r="D238" s="69"/>
      <c r="H238" s="70"/>
      <c r="K238" s="70"/>
      <c r="L238" s="71"/>
      <c r="M238" s="72"/>
      <c r="P238" s="72"/>
    </row>
    <row r="239" hidden="1">
      <c r="B239" s="68"/>
      <c r="D239" s="69"/>
      <c r="H239" s="70"/>
      <c r="K239" s="70"/>
      <c r="L239" s="71"/>
      <c r="M239" s="72"/>
      <c r="P239" s="72"/>
    </row>
    <row r="240" hidden="1">
      <c r="B240" s="68"/>
      <c r="D240" s="69"/>
      <c r="H240" s="70"/>
      <c r="K240" s="70"/>
      <c r="L240" s="71"/>
      <c r="M240" s="72"/>
      <c r="P240" s="72"/>
    </row>
    <row r="241" hidden="1">
      <c r="B241" s="68"/>
      <c r="D241" s="69"/>
      <c r="H241" s="70"/>
      <c r="K241" s="70"/>
      <c r="L241" s="71"/>
      <c r="M241" s="72"/>
      <c r="P241" s="72"/>
    </row>
    <row r="242" hidden="1">
      <c r="B242" s="68"/>
      <c r="D242" s="69"/>
      <c r="H242" s="70"/>
      <c r="K242" s="70"/>
      <c r="L242" s="71"/>
      <c r="M242" s="72"/>
      <c r="P242" s="72"/>
    </row>
    <row r="243" hidden="1">
      <c r="B243" s="68"/>
      <c r="D243" s="69"/>
      <c r="H243" s="70"/>
      <c r="K243" s="70"/>
      <c r="L243" s="71"/>
      <c r="M243" s="72"/>
      <c r="P243" s="72"/>
    </row>
    <row r="244" hidden="1">
      <c r="B244" s="68"/>
      <c r="D244" s="69"/>
      <c r="H244" s="70"/>
      <c r="K244" s="70"/>
      <c r="L244" s="71"/>
      <c r="M244" s="72"/>
      <c r="P244" s="72"/>
    </row>
    <row r="245" hidden="1">
      <c r="B245" s="68"/>
      <c r="D245" s="69"/>
      <c r="H245" s="70"/>
      <c r="K245" s="70"/>
      <c r="L245" s="71"/>
      <c r="M245" s="72"/>
      <c r="P245" s="72"/>
    </row>
    <row r="246" hidden="1">
      <c r="B246" s="68"/>
      <c r="D246" s="69"/>
      <c r="H246" s="70"/>
      <c r="K246" s="70"/>
      <c r="L246" s="71"/>
      <c r="M246" s="72"/>
      <c r="P246" s="72"/>
    </row>
    <row r="247" hidden="1">
      <c r="B247" s="68"/>
      <c r="D247" s="69"/>
      <c r="H247" s="70"/>
      <c r="K247" s="70"/>
      <c r="L247" s="71"/>
      <c r="M247" s="72"/>
      <c r="P247" s="72"/>
    </row>
    <row r="248" hidden="1">
      <c r="B248" s="68"/>
      <c r="D248" s="69"/>
      <c r="H248" s="70"/>
      <c r="K248" s="70"/>
      <c r="L248" s="71"/>
      <c r="M248" s="72"/>
      <c r="P248" s="72"/>
    </row>
    <row r="249" hidden="1">
      <c r="B249" s="68"/>
      <c r="D249" s="69"/>
      <c r="H249" s="70"/>
      <c r="K249" s="70"/>
      <c r="L249" s="71"/>
      <c r="M249" s="72"/>
      <c r="P249" s="72"/>
    </row>
    <row r="250" hidden="1">
      <c r="B250" s="68"/>
      <c r="D250" s="69"/>
      <c r="H250" s="70"/>
      <c r="K250" s="70"/>
      <c r="L250" s="71"/>
      <c r="M250" s="72"/>
      <c r="P250" s="72"/>
    </row>
    <row r="251" hidden="1">
      <c r="B251" s="68"/>
      <c r="D251" s="69"/>
      <c r="H251" s="70"/>
      <c r="K251" s="70"/>
      <c r="L251" s="71"/>
      <c r="M251" s="72"/>
      <c r="P251" s="72"/>
    </row>
    <row r="252" hidden="1">
      <c r="B252" s="68"/>
      <c r="D252" s="69"/>
      <c r="H252" s="70"/>
      <c r="K252" s="70"/>
      <c r="L252" s="71"/>
      <c r="M252" s="72"/>
      <c r="P252" s="72"/>
    </row>
    <row r="253" hidden="1">
      <c r="B253" s="68"/>
      <c r="D253" s="69"/>
      <c r="H253" s="70"/>
      <c r="K253" s="70"/>
      <c r="L253" s="71"/>
      <c r="M253" s="72"/>
      <c r="P253" s="72"/>
    </row>
    <row r="254" hidden="1">
      <c r="B254" s="68"/>
      <c r="D254" s="69"/>
      <c r="H254" s="70"/>
      <c r="K254" s="70"/>
      <c r="L254" s="71"/>
      <c r="M254" s="72"/>
      <c r="P254" s="72"/>
    </row>
    <row r="255" hidden="1">
      <c r="B255" s="68"/>
      <c r="D255" s="69"/>
      <c r="H255" s="70"/>
      <c r="K255" s="70"/>
      <c r="L255" s="71"/>
      <c r="M255" s="72"/>
      <c r="P255" s="72"/>
    </row>
    <row r="256" hidden="1">
      <c r="B256" s="68"/>
      <c r="D256" s="69"/>
      <c r="H256" s="70"/>
      <c r="K256" s="70"/>
      <c r="L256" s="71"/>
      <c r="M256" s="72"/>
      <c r="P256" s="72"/>
    </row>
    <row r="257" hidden="1">
      <c r="B257" s="68"/>
      <c r="D257" s="69"/>
      <c r="H257" s="70"/>
      <c r="K257" s="70"/>
      <c r="L257" s="71"/>
      <c r="M257" s="72"/>
      <c r="P257" s="72"/>
    </row>
    <row r="258" hidden="1">
      <c r="B258" s="68"/>
      <c r="D258" s="69"/>
      <c r="H258" s="70"/>
      <c r="K258" s="70"/>
      <c r="L258" s="71"/>
      <c r="M258" s="72"/>
      <c r="P258" s="72"/>
    </row>
    <row r="259" hidden="1">
      <c r="B259" s="68"/>
      <c r="D259" s="69"/>
      <c r="H259" s="70"/>
      <c r="K259" s="70"/>
      <c r="L259" s="71"/>
      <c r="M259" s="72"/>
      <c r="P259" s="72"/>
    </row>
    <row r="260" hidden="1">
      <c r="B260" s="68"/>
      <c r="D260" s="69"/>
      <c r="H260" s="70"/>
      <c r="K260" s="70"/>
      <c r="L260" s="71"/>
      <c r="M260" s="72"/>
      <c r="P260" s="72"/>
    </row>
    <row r="261" hidden="1">
      <c r="B261" s="68"/>
      <c r="D261" s="69"/>
      <c r="H261" s="70"/>
      <c r="K261" s="70"/>
      <c r="L261" s="71"/>
      <c r="M261" s="72"/>
      <c r="P261" s="72"/>
    </row>
    <row r="262" hidden="1">
      <c r="B262" s="68"/>
      <c r="D262" s="69"/>
      <c r="H262" s="70"/>
      <c r="K262" s="70"/>
      <c r="L262" s="71"/>
      <c r="M262" s="72"/>
      <c r="P262" s="72"/>
    </row>
    <row r="263" hidden="1">
      <c r="B263" s="68"/>
      <c r="D263" s="69"/>
      <c r="H263" s="70"/>
      <c r="K263" s="70"/>
      <c r="L263" s="71"/>
      <c r="M263" s="72"/>
      <c r="P263" s="72"/>
    </row>
    <row r="264" hidden="1">
      <c r="B264" s="68"/>
      <c r="D264" s="69"/>
      <c r="H264" s="70"/>
      <c r="K264" s="70"/>
      <c r="L264" s="71"/>
      <c r="M264" s="72"/>
      <c r="P264" s="72"/>
    </row>
    <row r="265" hidden="1">
      <c r="B265" s="68"/>
      <c r="D265" s="69"/>
      <c r="H265" s="70"/>
      <c r="K265" s="70"/>
      <c r="L265" s="71"/>
      <c r="M265" s="72"/>
      <c r="P265" s="72"/>
    </row>
    <row r="266" hidden="1">
      <c r="B266" s="68"/>
      <c r="D266" s="69"/>
      <c r="H266" s="70"/>
      <c r="K266" s="70"/>
      <c r="L266" s="71"/>
      <c r="M266" s="72"/>
      <c r="P266" s="72"/>
    </row>
    <row r="267" hidden="1">
      <c r="B267" s="68"/>
      <c r="D267" s="69"/>
      <c r="H267" s="70"/>
      <c r="K267" s="70"/>
      <c r="L267" s="71"/>
      <c r="M267" s="72"/>
      <c r="P267" s="72"/>
    </row>
    <row r="268" hidden="1">
      <c r="B268" s="68"/>
      <c r="D268" s="69"/>
      <c r="H268" s="70"/>
      <c r="K268" s="70"/>
      <c r="L268" s="71"/>
      <c r="M268" s="72"/>
      <c r="P268" s="72"/>
    </row>
    <row r="269" hidden="1">
      <c r="B269" s="68"/>
      <c r="D269" s="69"/>
      <c r="H269" s="70"/>
      <c r="K269" s="70"/>
      <c r="L269" s="71"/>
      <c r="M269" s="72"/>
      <c r="P269" s="72"/>
    </row>
    <row r="270" hidden="1">
      <c r="B270" s="68"/>
      <c r="D270" s="69"/>
      <c r="H270" s="70"/>
      <c r="K270" s="70"/>
      <c r="L270" s="71"/>
      <c r="M270" s="72"/>
      <c r="P270" s="72"/>
    </row>
    <row r="271" hidden="1">
      <c r="B271" s="68"/>
      <c r="D271" s="69"/>
      <c r="H271" s="70"/>
      <c r="K271" s="70"/>
      <c r="L271" s="71"/>
      <c r="M271" s="72"/>
      <c r="P271" s="72"/>
    </row>
    <row r="272" hidden="1">
      <c r="B272" s="68"/>
      <c r="D272" s="69"/>
      <c r="H272" s="70"/>
      <c r="K272" s="70"/>
      <c r="L272" s="71"/>
      <c r="M272" s="72"/>
      <c r="P272" s="72"/>
    </row>
    <row r="273" hidden="1">
      <c r="B273" s="68"/>
      <c r="D273" s="69"/>
      <c r="H273" s="70"/>
      <c r="K273" s="70"/>
      <c r="L273" s="71"/>
      <c r="M273" s="72"/>
      <c r="P273" s="72"/>
    </row>
    <row r="274" hidden="1">
      <c r="B274" s="68"/>
      <c r="D274" s="69"/>
      <c r="H274" s="70"/>
      <c r="K274" s="70"/>
      <c r="L274" s="71"/>
      <c r="M274" s="72"/>
      <c r="P274" s="72"/>
    </row>
    <row r="275" hidden="1">
      <c r="B275" s="68"/>
      <c r="D275" s="69"/>
      <c r="H275" s="70"/>
      <c r="K275" s="70"/>
      <c r="L275" s="71"/>
      <c r="M275" s="72"/>
      <c r="P275" s="72"/>
    </row>
    <row r="276" hidden="1">
      <c r="B276" s="68"/>
      <c r="D276" s="69"/>
      <c r="H276" s="70"/>
      <c r="K276" s="70"/>
      <c r="L276" s="71"/>
      <c r="M276" s="72"/>
      <c r="P276" s="72"/>
    </row>
    <row r="277" hidden="1">
      <c r="B277" s="68"/>
      <c r="D277" s="69"/>
      <c r="H277" s="70"/>
      <c r="K277" s="70"/>
      <c r="L277" s="71"/>
      <c r="M277" s="72"/>
      <c r="P277" s="72"/>
    </row>
    <row r="278" hidden="1">
      <c r="B278" s="68"/>
      <c r="D278" s="69"/>
      <c r="H278" s="70"/>
      <c r="K278" s="70"/>
      <c r="L278" s="71"/>
      <c r="M278" s="72"/>
      <c r="P278" s="72"/>
    </row>
    <row r="279" hidden="1">
      <c r="B279" s="68"/>
      <c r="D279" s="69"/>
      <c r="H279" s="70"/>
      <c r="K279" s="70"/>
      <c r="L279" s="71"/>
      <c r="M279" s="72"/>
      <c r="P279" s="72"/>
    </row>
    <row r="280" hidden="1">
      <c r="B280" s="68"/>
      <c r="D280" s="69"/>
      <c r="H280" s="70"/>
      <c r="K280" s="70"/>
      <c r="L280" s="71"/>
      <c r="M280" s="72"/>
      <c r="P280" s="72"/>
    </row>
    <row r="281" hidden="1">
      <c r="B281" s="68"/>
      <c r="D281" s="69"/>
      <c r="H281" s="70"/>
      <c r="K281" s="70"/>
      <c r="L281" s="71"/>
      <c r="M281" s="72"/>
      <c r="P281" s="72"/>
    </row>
    <row r="282" hidden="1">
      <c r="B282" s="68"/>
      <c r="D282" s="69"/>
      <c r="H282" s="70"/>
      <c r="K282" s="70"/>
      <c r="L282" s="71"/>
      <c r="M282" s="72"/>
      <c r="P282" s="72"/>
    </row>
    <row r="283" hidden="1">
      <c r="B283" s="68"/>
      <c r="D283" s="69"/>
      <c r="H283" s="70"/>
      <c r="K283" s="70"/>
      <c r="L283" s="71"/>
      <c r="M283" s="72"/>
      <c r="P283" s="72"/>
    </row>
    <row r="284" hidden="1">
      <c r="B284" s="68"/>
      <c r="D284" s="69"/>
      <c r="H284" s="70"/>
      <c r="K284" s="70"/>
      <c r="L284" s="71"/>
      <c r="M284" s="72"/>
      <c r="P284" s="72"/>
    </row>
    <row r="285" hidden="1">
      <c r="B285" s="68"/>
      <c r="D285" s="69"/>
      <c r="H285" s="70"/>
      <c r="K285" s="70"/>
      <c r="L285" s="71"/>
      <c r="M285" s="72"/>
      <c r="P285" s="72"/>
    </row>
    <row r="286" hidden="1">
      <c r="B286" s="68"/>
      <c r="D286" s="69"/>
      <c r="H286" s="70"/>
      <c r="K286" s="70"/>
      <c r="L286" s="71"/>
      <c r="M286" s="72"/>
      <c r="P286" s="72"/>
    </row>
    <row r="287" hidden="1">
      <c r="B287" s="68"/>
      <c r="D287" s="69"/>
      <c r="H287" s="70"/>
      <c r="K287" s="70"/>
      <c r="L287" s="71"/>
      <c r="M287" s="72"/>
      <c r="P287" s="72"/>
    </row>
    <row r="288" hidden="1">
      <c r="B288" s="68"/>
      <c r="D288" s="69"/>
      <c r="H288" s="70"/>
      <c r="K288" s="70"/>
      <c r="L288" s="71"/>
      <c r="M288" s="72"/>
      <c r="P288" s="72"/>
    </row>
    <row r="289" hidden="1">
      <c r="B289" s="68"/>
      <c r="D289" s="69"/>
      <c r="H289" s="70"/>
      <c r="K289" s="70"/>
      <c r="L289" s="71"/>
      <c r="M289" s="72"/>
      <c r="P289" s="72"/>
    </row>
    <row r="290" hidden="1">
      <c r="B290" s="68"/>
      <c r="D290" s="69"/>
      <c r="H290" s="70"/>
      <c r="K290" s="70"/>
      <c r="L290" s="71"/>
      <c r="M290" s="72"/>
      <c r="P290" s="72"/>
    </row>
    <row r="291" hidden="1">
      <c r="B291" s="68"/>
      <c r="D291" s="69"/>
      <c r="H291" s="70"/>
      <c r="K291" s="70"/>
      <c r="L291" s="71"/>
      <c r="M291" s="72"/>
      <c r="P291" s="72"/>
    </row>
    <row r="292" hidden="1">
      <c r="B292" s="68"/>
      <c r="D292" s="69"/>
      <c r="H292" s="70"/>
      <c r="K292" s="70"/>
      <c r="L292" s="71"/>
      <c r="M292" s="72"/>
      <c r="P292" s="72"/>
    </row>
    <row r="293" hidden="1">
      <c r="B293" s="68"/>
      <c r="D293" s="69"/>
      <c r="H293" s="70"/>
      <c r="K293" s="70"/>
      <c r="L293" s="71"/>
      <c r="M293" s="72"/>
      <c r="P293" s="72"/>
    </row>
    <row r="294" hidden="1">
      <c r="B294" s="68"/>
      <c r="D294" s="69"/>
      <c r="H294" s="70"/>
      <c r="K294" s="70"/>
      <c r="L294" s="71"/>
      <c r="M294" s="72"/>
      <c r="P294" s="72"/>
    </row>
    <row r="295" hidden="1">
      <c r="B295" s="68"/>
      <c r="D295" s="69"/>
      <c r="H295" s="70"/>
      <c r="K295" s="70"/>
      <c r="L295" s="71"/>
      <c r="M295" s="72"/>
      <c r="P295" s="72"/>
    </row>
    <row r="296" hidden="1">
      <c r="B296" s="68"/>
      <c r="D296" s="69"/>
      <c r="H296" s="70"/>
      <c r="K296" s="70"/>
      <c r="L296" s="71"/>
      <c r="M296" s="72"/>
      <c r="P296" s="72"/>
    </row>
    <row r="297" hidden="1">
      <c r="B297" s="68"/>
      <c r="D297" s="69"/>
      <c r="H297" s="70"/>
      <c r="K297" s="70"/>
      <c r="L297" s="71"/>
      <c r="M297" s="72"/>
      <c r="P297" s="72"/>
    </row>
    <row r="298" hidden="1">
      <c r="B298" s="68"/>
      <c r="D298" s="69"/>
      <c r="H298" s="70"/>
      <c r="K298" s="70"/>
      <c r="L298" s="71"/>
      <c r="M298" s="72"/>
      <c r="P298" s="72"/>
    </row>
    <row r="299" hidden="1">
      <c r="B299" s="68"/>
      <c r="D299" s="69"/>
      <c r="H299" s="70"/>
      <c r="K299" s="70"/>
      <c r="L299" s="71"/>
      <c r="M299" s="72"/>
      <c r="P299" s="72"/>
    </row>
    <row r="300" hidden="1">
      <c r="B300" s="68"/>
      <c r="D300" s="69"/>
      <c r="H300" s="70"/>
      <c r="K300" s="70"/>
      <c r="L300" s="71"/>
      <c r="M300" s="72"/>
      <c r="P300" s="72"/>
    </row>
    <row r="301" hidden="1">
      <c r="B301" s="68"/>
      <c r="D301" s="69"/>
      <c r="H301" s="70"/>
      <c r="K301" s="70"/>
      <c r="L301" s="71"/>
      <c r="M301" s="72"/>
      <c r="P301" s="72"/>
    </row>
    <row r="302" hidden="1">
      <c r="B302" s="68"/>
      <c r="D302" s="69"/>
      <c r="H302" s="70"/>
      <c r="K302" s="70"/>
      <c r="L302" s="71"/>
      <c r="M302" s="72"/>
      <c r="P302" s="72"/>
    </row>
    <row r="303" hidden="1">
      <c r="B303" s="68"/>
      <c r="D303" s="69"/>
      <c r="H303" s="70"/>
      <c r="K303" s="70"/>
      <c r="L303" s="71"/>
      <c r="M303" s="72"/>
      <c r="P303" s="72"/>
    </row>
    <row r="304" hidden="1">
      <c r="B304" s="68"/>
      <c r="D304" s="69"/>
      <c r="H304" s="70"/>
      <c r="K304" s="70"/>
      <c r="L304" s="71"/>
      <c r="M304" s="72"/>
      <c r="P304" s="72"/>
    </row>
    <row r="305" hidden="1">
      <c r="B305" s="68"/>
      <c r="D305" s="69"/>
      <c r="H305" s="70"/>
      <c r="K305" s="70"/>
      <c r="L305" s="71"/>
      <c r="M305" s="72"/>
      <c r="P305" s="72"/>
    </row>
    <row r="306" hidden="1">
      <c r="B306" s="68"/>
      <c r="D306" s="69"/>
      <c r="H306" s="70"/>
      <c r="K306" s="70"/>
      <c r="L306" s="71"/>
      <c r="M306" s="72"/>
      <c r="P306" s="72"/>
    </row>
    <row r="307" hidden="1">
      <c r="B307" s="68"/>
      <c r="D307" s="69"/>
      <c r="H307" s="70"/>
      <c r="K307" s="70"/>
      <c r="L307" s="71"/>
      <c r="M307" s="72"/>
      <c r="P307" s="72"/>
    </row>
    <row r="308" hidden="1">
      <c r="B308" s="68"/>
      <c r="D308" s="69"/>
      <c r="H308" s="70"/>
      <c r="K308" s="70"/>
      <c r="L308" s="71"/>
      <c r="M308" s="72"/>
      <c r="P308" s="72"/>
    </row>
    <row r="309" hidden="1">
      <c r="B309" s="68"/>
      <c r="D309" s="69"/>
      <c r="H309" s="70"/>
      <c r="K309" s="70"/>
      <c r="L309" s="71"/>
      <c r="M309" s="72"/>
      <c r="P309" s="72"/>
    </row>
    <row r="310" hidden="1">
      <c r="B310" s="68"/>
      <c r="D310" s="69"/>
      <c r="H310" s="70"/>
      <c r="K310" s="70"/>
      <c r="L310" s="71"/>
      <c r="M310" s="72"/>
      <c r="P310" s="72"/>
    </row>
    <row r="311" hidden="1">
      <c r="B311" s="68"/>
      <c r="D311" s="69"/>
      <c r="H311" s="70"/>
      <c r="K311" s="70"/>
      <c r="L311" s="71"/>
      <c r="M311" s="72"/>
      <c r="P311" s="72"/>
    </row>
    <row r="312" hidden="1">
      <c r="B312" s="68"/>
      <c r="D312" s="69"/>
      <c r="H312" s="70"/>
      <c r="K312" s="70"/>
      <c r="L312" s="71"/>
      <c r="M312" s="72"/>
      <c r="P312" s="72"/>
    </row>
    <row r="313" hidden="1">
      <c r="B313" s="68"/>
      <c r="D313" s="69"/>
      <c r="H313" s="70"/>
      <c r="K313" s="70"/>
      <c r="L313" s="71"/>
      <c r="M313" s="72"/>
      <c r="P313" s="72"/>
    </row>
    <row r="314" hidden="1">
      <c r="B314" s="68"/>
      <c r="D314" s="69"/>
      <c r="H314" s="70"/>
      <c r="K314" s="70"/>
      <c r="L314" s="71"/>
      <c r="M314" s="72"/>
      <c r="P314" s="72"/>
    </row>
    <row r="315" hidden="1">
      <c r="B315" s="68"/>
      <c r="D315" s="69"/>
      <c r="H315" s="70"/>
      <c r="K315" s="70"/>
      <c r="L315" s="71"/>
      <c r="M315" s="72"/>
      <c r="P315" s="72"/>
    </row>
    <row r="316" hidden="1">
      <c r="B316" s="68"/>
      <c r="D316" s="69"/>
      <c r="H316" s="70"/>
      <c r="K316" s="70"/>
      <c r="L316" s="71"/>
      <c r="M316" s="72"/>
      <c r="P316" s="72"/>
    </row>
    <row r="317" hidden="1">
      <c r="B317" s="68"/>
      <c r="D317" s="69"/>
      <c r="H317" s="70"/>
      <c r="K317" s="70"/>
      <c r="L317" s="71"/>
      <c r="M317" s="72"/>
      <c r="P317" s="72"/>
    </row>
    <row r="318" hidden="1">
      <c r="B318" s="68"/>
      <c r="D318" s="69"/>
      <c r="H318" s="70"/>
      <c r="K318" s="70"/>
      <c r="L318" s="71"/>
      <c r="M318" s="72"/>
      <c r="P318" s="72"/>
    </row>
    <row r="319" hidden="1">
      <c r="B319" s="68"/>
      <c r="D319" s="69"/>
      <c r="H319" s="70"/>
      <c r="K319" s="70"/>
      <c r="L319" s="71"/>
      <c r="M319" s="72"/>
      <c r="P319" s="72"/>
    </row>
    <row r="320" hidden="1">
      <c r="B320" s="68"/>
      <c r="D320" s="69"/>
      <c r="H320" s="70"/>
      <c r="K320" s="70"/>
      <c r="L320" s="71"/>
      <c r="M320" s="72"/>
      <c r="P320" s="72"/>
    </row>
    <row r="321" hidden="1">
      <c r="B321" s="68"/>
      <c r="D321" s="69"/>
      <c r="H321" s="70"/>
      <c r="K321" s="70"/>
      <c r="L321" s="71"/>
      <c r="M321" s="72"/>
      <c r="P321" s="72"/>
    </row>
    <row r="322" hidden="1">
      <c r="B322" s="68"/>
      <c r="D322" s="69"/>
      <c r="H322" s="70"/>
      <c r="K322" s="70"/>
      <c r="L322" s="71"/>
      <c r="M322" s="72"/>
      <c r="P322" s="72"/>
    </row>
    <row r="323" hidden="1">
      <c r="B323" s="68"/>
      <c r="D323" s="69"/>
      <c r="H323" s="70"/>
      <c r="K323" s="70"/>
      <c r="L323" s="71"/>
      <c r="M323" s="72"/>
      <c r="P323" s="72"/>
    </row>
    <row r="324" hidden="1">
      <c r="B324" s="68"/>
      <c r="D324" s="69"/>
      <c r="H324" s="70"/>
      <c r="K324" s="70"/>
      <c r="L324" s="71"/>
      <c r="M324" s="72"/>
      <c r="P324" s="72"/>
    </row>
    <row r="325" hidden="1">
      <c r="B325" s="68"/>
      <c r="D325" s="69"/>
      <c r="H325" s="70"/>
      <c r="K325" s="70"/>
      <c r="L325" s="71"/>
      <c r="M325" s="72"/>
      <c r="P325" s="72"/>
    </row>
    <row r="326" hidden="1">
      <c r="B326" s="68"/>
      <c r="D326" s="69"/>
      <c r="H326" s="70"/>
      <c r="K326" s="70"/>
      <c r="L326" s="71"/>
      <c r="M326" s="72"/>
      <c r="P326" s="72"/>
    </row>
    <row r="327" hidden="1">
      <c r="B327" s="68"/>
      <c r="D327" s="69"/>
      <c r="H327" s="70"/>
      <c r="K327" s="70"/>
      <c r="L327" s="71"/>
      <c r="M327" s="72"/>
      <c r="P327" s="72"/>
    </row>
    <row r="328" hidden="1">
      <c r="B328" s="68"/>
      <c r="D328" s="69"/>
      <c r="H328" s="70"/>
      <c r="K328" s="70"/>
      <c r="L328" s="71"/>
      <c r="M328" s="72"/>
      <c r="P328" s="72"/>
    </row>
    <row r="329" hidden="1">
      <c r="B329" s="68"/>
      <c r="D329" s="69"/>
      <c r="H329" s="70"/>
      <c r="K329" s="70"/>
      <c r="L329" s="71"/>
      <c r="M329" s="72"/>
      <c r="P329" s="72"/>
    </row>
    <row r="330" hidden="1">
      <c r="B330" s="68"/>
      <c r="D330" s="69"/>
      <c r="H330" s="70"/>
      <c r="K330" s="70"/>
      <c r="L330" s="71"/>
      <c r="M330" s="72"/>
      <c r="P330" s="72"/>
    </row>
    <row r="331" hidden="1">
      <c r="B331" s="68"/>
      <c r="D331" s="69"/>
      <c r="H331" s="70"/>
      <c r="K331" s="70"/>
      <c r="L331" s="71"/>
      <c r="M331" s="72"/>
      <c r="P331" s="72"/>
    </row>
    <row r="332" hidden="1">
      <c r="B332" s="68"/>
      <c r="D332" s="69"/>
      <c r="H332" s="70"/>
      <c r="K332" s="70"/>
      <c r="L332" s="71"/>
      <c r="M332" s="72"/>
      <c r="P332" s="72"/>
    </row>
    <row r="333" hidden="1">
      <c r="B333" s="68"/>
      <c r="D333" s="69"/>
      <c r="H333" s="70"/>
      <c r="K333" s="70"/>
      <c r="L333" s="71"/>
      <c r="M333" s="72"/>
      <c r="P333" s="72"/>
    </row>
    <row r="334" hidden="1">
      <c r="B334" s="68"/>
      <c r="D334" s="69"/>
      <c r="H334" s="70"/>
      <c r="K334" s="70"/>
      <c r="L334" s="71"/>
      <c r="M334" s="72"/>
      <c r="P334" s="72"/>
    </row>
    <row r="335" hidden="1">
      <c r="B335" s="68"/>
      <c r="D335" s="69"/>
      <c r="H335" s="70"/>
      <c r="K335" s="70"/>
      <c r="L335" s="71"/>
      <c r="M335" s="72"/>
      <c r="P335" s="72"/>
    </row>
    <row r="336" hidden="1">
      <c r="B336" s="68"/>
      <c r="D336" s="69"/>
      <c r="H336" s="70"/>
      <c r="K336" s="70"/>
      <c r="L336" s="71"/>
      <c r="M336" s="72"/>
      <c r="P336" s="72"/>
    </row>
    <row r="337" hidden="1">
      <c r="B337" s="68"/>
      <c r="D337" s="69"/>
      <c r="H337" s="70"/>
      <c r="K337" s="70"/>
      <c r="L337" s="71"/>
      <c r="M337" s="72"/>
      <c r="P337" s="72"/>
    </row>
    <row r="338" hidden="1">
      <c r="B338" s="68"/>
      <c r="D338" s="69"/>
      <c r="H338" s="70"/>
      <c r="K338" s="70"/>
      <c r="L338" s="71"/>
      <c r="M338" s="72"/>
      <c r="P338" s="72"/>
    </row>
    <row r="339" hidden="1">
      <c r="B339" s="68"/>
      <c r="D339" s="69"/>
      <c r="H339" s="70"/>
      <c r="K339" s="70"/>
      <c r="L339" s="71"/>
      <c r="M339" s="72"/>
      <c r="P339" s="72"/>
    </row>
    <row r="340" hidden="1">
      <c r="B340" s="68"/>
      <c r="D340" s="69"/>
      <c r="H340" s="70"/>
      <c r="K340" s="70"/>
      <c r="L340" s="71"/>
      <c r="M340" s="72"/>
      <c r="P340" s="72"/>
    </row>
    <row r="341" hidden="1">
      <c r="B341" s="68"/>
      <c r="D341" s="69"/>
      <c r="H341" s="70"/>
      <c r="K341" s="70"/>
      <c r="L341" s="71"/>
      <c r="M341" s="72"/>
      <c r="P341" s="72"/>
    </row>
    <row r="342" hidden="1">
      <c r="B342" s="68"/>
      <c r="D342" s="69"/>
      <c r="H342" s="70"/>
      <c r="K342" s="70"/>
      <c r="L342" s="71"/>
      <c r="M342" s="72"/>
      <c r="P342" s="72"/>
    </row>
    <row r="343" hidden="1">
      <c r="B343" s="68"/>
      <c r="D343" s="69"/>
      <c r="H343" s="70"/>
      <c r="K343" s="70"/>
      <c r="L343" s="71"/>
      <c r="M343" s="72"/>
      <c r="P343" s="72"/>
    </row>
    <row r="344" hidden="1">
      <c r="B344" s="68"/>
      <c r="D344" s="69"/>
      <c r="H344" s="70"/>
      <c r="K344" s="70"/>
      <c r="L344" s="71"/>
      <c r="M344" s="72"/>
      <c r="P344" s="72"/>
    </row>
    <row r="345" hidden="1">
      <c r="B345" s="68"/>
      <c r="D345" s="69"/>
      <c r="H345" s="70"/>
      <c r="K345" s="70"/>
      <c r="L345" s="71"/>
      <c r="M345" s="72"/>
      <c r="P345" s="72"/>
    </row>
    <row r="346" hidden="1">
      <c r="B346" s="68"/>
      <c r="D346" s="69"/>
      <c r="H346" s="70"/>
      <c r="K346" s="70"/>
      <c r="L346" s="71"/>
      <c r="M346" s="72"/>
      <c r="P346" s="72"/>
    </row>
    <row r="347" hidden="1">
      <c r="B347" s="68"/>
      <c r="D347" s="69"/>
      <c r="H347" s="70"/>
      <c r="K347" s="70"/>
      <c r="L347" s="71"/>
      <c r="M347" s="72"/>
      <c r="P347" s="72"/>
    </row>
    <row r="348" hidden="1">
      <c r="B348" s="68"/>
      <c r="D348" s="69"/>
      <c r="H348" s="70"/>
      <c r="K348" s="70"/>
      <c r="L348" s="71"/>
      <c r="M348" s="72"/>
      <c r="P348" s="72"/>
    </row>
    <row r="349" hidden="1">
      <c r="B349" s="68"/>
      <c r="D349" s="69"/>
      <c r="H349" s="70"/>
      <c r="K349" s="70"/>
      <c r="L349" s="71"/>
      <c r="M349" s="72"/>
      <c r="P349" s="72"/>
    </row>
    <row r="350" hidden="1">
      <c r="B350" s="68"/>
      <c r="D350" s="69"/>
      <c r="H350" s="70"/>
      <c r="K350" s="70"/>
      <c r="L350" s="71"/>
      <c r="M350" s="72"/>
      <c r="P350" s="72"/>
    </row>
    <row r="351" hidden="1">
      <c r="B351" s="68"/>
      <c r="D351" s="69"/>
      <c r="H351" s="70"/>
      <c r="K351" s="70"/>
      <c r="L351" s="71"/>
      <c r="M351" s="72"/>
      <c r="P351" s="72"/>
    </row>
    <row r="352" hidden="1">
      <c r="B352" s="68"/>
      <c r="D352" s="69"/>
      <c r="H352" s="70"/>
      <c r="K352" s="70"/>
      <c r="L352" s="71"/>
      <c r="M352" s="72"/>
      <c r="P352" s="72"/>
    </row>
    <row r="353" hidden="1">
      <c r="B353" s="68"/>
      <c r="D353" s="69"/>
      <c r="H353" s="70"/>
      <c r="K353" s="70"/>
      <c r="L353" s="71"/>
      <c r="M353" s="72"/>
      <c r="P353" s="72"/>
    </row>
    <row r="354" hidden="1">
      <c r="B354" s="68"/>
      <c r="D354" s="69"/>
      <c r="H354" s="70"/>
      <c r="K354" s="70"/>
      <c r="L354" s="71"/>
      <c r="M354" s="72"/>
      <c r="P354" s="72"/>
    </row>
    <row r="355" hidden="1">
      <c r="B355" s="68"/>
      <c r="D355" s="69"/>
      <c r="H355" s="70"/>
      <c r="K355" s="70"/>
      <c r="L355" s="71"/>
      <c r="M355" s="72"/>
      <c r="P355" s="72"/>
    </row>
    <row r="356" hidden="1">
      <c r="B356" s="68"/>
      <c r="D356" s="69"/>
      <c r="H356" s="70"/>
      <c r="K356" s="70"/>
      <c r="L356" s="71"/>
      <c r="M356" s="72"/>
      <c r="P356" s="72"/>
    </row>
    <row r="357" hidden="1">
      <c r="B357" s="68"/>
      <c r="D357" s="69"/>
      <c r="H357" s="70"/>
      <c r="K357" s="70"/>
      <c r="L357" s="71"/>
      <c r="M357" s="72"/>
      <c r="P357" s="72"/>
    </row>
    <row r="358" hidden="1">
      <c r="B358" s="68"/>
      <c r="D358" s="69"/>
      <c r="H358" s="70"/>
      <c r="K358" s="70"/>
      <c r="L358" s="71"/>
      <c r="M358" s="72"/>
      <c r="P358" s="72"/>
    </row>
    <row r="359" hidden="1">
      <c r="B359" s="68"/>
      <c r="D359" s="69"/>
      <c r="H359" s="70"/>
      <c r="K359" s="70"/>
      <c r="L359" s="71"/>
      <c r="M359" s="72"/>
      <c r="P359" s="72"/>
    </row>
    <row r="360" hidden="1">
      <c r="B360" s="68"/>
      <c r="D360" s="69"/>
      <c r="H360" s="70"/>
      <c r="K360" s="70"/>
      <c r="L360" s="71"/>
      <c r="M360" s="72"/>
      <c r="P360" s="72"/>
    </row>
    <row r="361" hidden="1">
      <c r="B361" s="68"/>
      <c r="D361" s="69"/>
      <c r="H361" s="70"/>
      <c r="K361" s="70"/>
      <c r="L361" s="71"/>
      <c r="M361" s="72"/>
      <c r="P361" s="72"/>
    </row>
    <row r="362" hidden="1">
      <c r="B362" s="68"/>
      <c r="D362" s="69"/>
      <c r="H362" s="70"/>
      <c r="K362" s="70"/>
      <c r="L362" s="71"/>
      <c r="M362" s="72"/>
      <c r="P362" s="72"/>
    </row>
    <row r="363" hidden="1">
      <c r="B363" s="68"/>
      <c r="D363" s="69"/>
      <c r="H363" s="70"/>
      <c r="K363" s="70"/>
      <c r="L363" s="71"/>
      <c r="M363" s="72"/>
      <c r="P363" s="72"/>
    </row>
    <row r="364" hidden="1">
      <c r="B364" s="68"/>
      <c r="D364" s="69"/>
      <c r="H364" s="70"/>
      <c r="K364" s="70"/>
      <c r="L364" s="71"/>
      <c r="M364" s="72"/>
      <c r="P364" s="72"/>
    </row>
    <row r="365" hidden="1">
      <c r="B365" s="68"/>
      <c r="D365" s="69"/>
      <c r="H365" s="70"/>
      <c r="K365" s="70"/>
      <c r="L365" s="71"/>
      <c r="M365" s="72"/>
      <c r="P365" s="72"/>
    </row>
    <row r="366" hidden="1">
      <c r="B366" s="68"/>
      <c r="D366" s="69"/>
      <c r="H366" s="70"/>
      <c r="K366" s="70"/>
      <c r="L366" s="71"/>
      <c r="M366" s="72"/>
      <c r="P366" s="72"/>
    </row>
    <row r="367" hidden="1">
      <c r="B367" s="68"/>
      <c r="D367" s="69"/>
      <c r="H367" s="70"/>
      <c r="K367" s="70"/>
      <c r="L367" s="71"/>
      <c r="M367" s="72"/>
      <c r="P367" s="72"/>
    </row>
    <row r="368" hidden="1">
      <c r="B368" s="68"/>
      <c r="D368" s="69"/>
      <c r="H368" s="70"/>
      <c r="K368" s="70"/>
      <c r="L368" s="71"/>
      <c r="M368" s="72"/>
      <c r="P368" s="72"/>
    </row>
    <row r="369" hidden="1">
      <c r="B369" s="68"/>
      <c r="D369" s="69"/>
      <c r="H369" s="70"/>
      <c r="K369" s="70"/>
      <c r="L369" s="71"/>
      <c r="M369" s="72"/>
      <c r="P369" s="72"/>
    </row>
    <row r="370" hidden="1">
      <c r="B370" s="68"/>
      <c r="D370" s="69"/>
      <c r="H370" s="70"/>
      <c r="K370" s="70"/>
      <c r="L370" s="71"/>
      <c r="M370" s="72"/>
      <c r="P370" s="72"/>
    </row>
    <row r="371" hidden="1">
      <c r="B371" s="68"/>
      <c r="D371" s="69"/>
      <c r="H371" s="70"/>
      <c r="K371" s="70"/>
      <c r="L371" s="71"/>
      <c r="M371" s="72"/>
      <c r="P371" s="72"/>
    </row>
    <row r="372" hidden="1">
      <c r="B372" s="68"/>
      <c r="D372" s="69"/>
      <c r="H372" s="70"/>
      <c r="K372" s="70"/>
      <c r="L372" s="71"/>
      <c r="M372" s="72"/>
      <c r="P372" s="72"/>
    </row>
    <row r="373" hidden="1">
      <c r="B373" s="68"/>
      <c r="D373" s="69"/>
      <c r="H373" s="70"/>
      <c r="K373" s="70"/>
      <c r="L373" s="71"/>
      <c r="M373" s="72"/>
      <c r="P373" s="72"/>
    </row>
    <row r="374" hidden="1">
      <c r="B374" s="68"/>
      <c r="D374" s="69"/>
      <c r="H374" s="70"/>
      <c r="K374" s="70"/>
      <c r="L374" s="71"/>
      <c r="M374" s="72"/>
      <c r="P374" s="72"/>
    </row>
    <row r="375" hidden="1">
      <c r="B375" s="68"/>
      <c r="D375" s="69"/>
      <c r="H375" s="70"/>
      <c r="K375" s="70"/>
      <c r="L375" s="71"/>
      <c r="M375" s="72"/>
      <c r="P375" s="72"/>
    </row>
    <row r="376" hidden="1">
      <c r="B376" s="68"/>
      <c r="D376" s="69"/>
      <c r="H376" s="70"/>
      <c r="K376" s="70"/>
      <c r="L376" s="71"/>
      <c r="M376" s="72"/>
      <c r="P376" s="72"/>
    </row>
    <row r="377" hidden="1">
      <c r="B377" s="68"/>
      <c r="D377" s="69"/>
      <c r="H377" s="70"/>
      <c r="K377" s="70"/>
      <c r="L377" s="71"/>
      <c r="M377" s="72"/>
      <c r="P377" s="72"/>
    </row>
    <row r="378" hidden="1">
      <c r="B378" s="68"/>
      <c r="D378" s="69"/>
      <c r="H378" s="70"/>
      <c r="K378" s="70"/>
      <c r="L378" s="71"/>
      <c r="M378" s="72"/>
      <c r="P378" s="72"/>
    </row>
    <row r="379" hidden="1">
      <c r="B379" s="68"/>
      <c r="D379" s="69"/>
      <c r="H379" s="70"/>
      <c r="K379" s="70"/>
      <c r="L379" s="71"/>
      <c r="M379" s="72"/>
      <c r="P379" s="72"/>
    </row>
    <row r="380" hidden="1">
      <c r="B380" s="68"/>
      <c r="D380" s="69"/>
      <c r="H380" s="70"/>
      <c r="K380" s="70"/>
      <c r="L380" s="71"/>
      <c r="M380" s="72"/>
      <c r="P380" s="72"/>
    </row>
    <row r="381" hidden="1">
      <c r="B381" s="68"/>
      <c r="D381" s="69"/>
      <c r="H381" s="70"/>
      <c r="K381" s="70"/>
      <c r="L381" s="71"/>
      <c r="M381" s="72"/>
      <c r="P381" s="72"/>
    </row>
    <row r="382" hidden="1">
      <c r="B382" s="68"/>
      <c r="D382" s="69"/>
      <c r="H382" s="70"/>
      <c r="K382" s="70"/>
      <c r="L382" s="71"/>
      <c r="M382" s="72"/>
      <c r="P382" s="72"/>
    </row>
    <row r="383" hidden="1">
      <c r="B383" s="68"/>
      <c r="D383" s="69"/>
      <c r="H383" s="70"/>
      <c r="K383" s="70"/>
      <c r="L383" s="71"/>
      <c r="M383" s="72"/>
      <c r="P383" s="72"/>
    </row>
    <row r="384" hidden="1">
      <c r="B384" s="68"/>
      <c r="D384" s="69"/>
      <c r="H384" s="70"/>
      <c r="K384" s="70"/>
      <c r="L384" s="71"/>
      <c r="M384" s="72"/>
      <c r="P384" s="72"/>
    </row>
    <row r="385" hidden="1">
      <c r="B385" s="68"/>
      <c r="D385" s="69"/>
      <c r="H385" s="70"/>
      <c r="K385" s="70"/>
      <c r="L385" s="71"/>
      <c r="M385" s="72"/>
      <c r="P385" s="72"/>
    </row>
    <row r="386" hidden="1">
      <c r="B386" s="68"/>
      <c r="D386" s="69"/>
      <c r="H386" s="70"/>
      <c r="K386" s="70"/>
      <c r="L386" s="71"/>
      <c r="M386" s="72"/>
      <c r="P386" s="72"/>
    </row>
    <row r="387" hidden="1">
      <c r="B387" s="68"/>
      <c r="D387" s="69"/>
      <c r="H387" s="70"/>
      <c r="K387" s="70"/>
      <c r="L387" s="71"/>
      <c r="M387" s="72"/>
      <c r="P387" s="72"/>
    </row>
    <row r="388" hidden="1">
      <c r="B388" s="68"/>
      <c r="D388" s="69"/>
      <c r="H388" s="70"/>
      <c r="K388" s="70"/>
      <c r="L388" s="71"/>
      <c r="M388" s="72"/>
      <c r="P388" s="72"/>
    </row>
    <row r="389" hidden="1">
      <c r="B389" s="68"/>
      <c r="D389" s="69"/>
      <c r="H389" s="70"/>
      <c r="K389" s="70"/>
      <c r="L389" s="71"/>
      <c r="M389" s="72"/>
      <c r="P389" s="72"/>
    </row>
    <row r="390" hidden="1">
      <c r="B390" s="68"/>
      <c r="D390" s="69"/>
      <c r="H390" s="70"/>
      <c r="K390" s="70"/>
      <c r="L390" s="71"/>
      <c r="M390" s="72"/>
      <c r="P390" s="72"/>
    </row>
    <row r="391" hidden="1">
      <c r="B391" s="68"/>
      <c r="D391" s="69"/>
      <c r="H391" s="70"/>
      <c r="K391" s="70"/>
      <c r="L391" s="71"/>
      <c r="M391" s="72"/>
      <c r="P391" s="72"/>
    </row>
    <row r="392" hidden="1">
      <c r="B392" s="68"/>
      <c r="D392" s="69"/>
      <c r="H392" s="70"/>
      <c r="K392" s="70"/>
      <c r="L392" s="71"/>
      <c r="M392" s="72"/>
      <c r="P392" s="72"/>
    </row>
    <row r="393" hidden="1">
      <c r="B393" s="68"/>
      <c r="D393" s="69"/>
      <c r="H393" s="70"/>
      <c r="K393" s="70"/>
      <c r="L393" s="71"/>
      <c r="M393" s="72"/>
      <c r="P393" s="72"/>
    </row>
    <row r="394" hidden="1">
      <c r="B394" s="68"/>
      <c r="D394" s="69"/>
      <c r="H394" s="70"/>
      <c r="K394" s="70"/>
      <c r="L394" s="71"/>
      <c r="M394" s="72"/>
      <c r="P394" s="72"/>
    </row>
    <row r="395" hidden="1">
      <c r="B395" s="68"/>
      <c r="D395" s="69"/>
      <c r="H395" s="70"/>
      <c r="K395" s="70"/>
      <c r="L395" s="71"/>
      <c r="M395" s="72"/>
      <c r="P395" s="72"/>
    </row>
    <row r="396" hidden="1">
      <c r="B396" s="68"/>
      <c r="D396" s="69"/>
      <c r="H396" s="70"/>
      <c r="K396" s="70"/>
      <c r="L396" s="71"/>
      <c r="M396" s="72"/>
      <c r="P396" s="72"/>
    </row>
    <row r="397" hidden="1">
      <c r="B397" s="68"/>
      <c r="D397" s="69"/>
      <c r="H397" s="70"/>
      <c r="K397" s="70"/>
      <c r="L397" s="71"/>
      <c r="M397" s="72"/>
      <c r="P397" s="72"/>
    </row>
    <row r="398" hidden="1">
      <c r="B398" s="68"/>
      <c r="D398" s="69"/>
      <c r="H398" s="70"/>
      <c r="K398" s="70"/>
      <c r="L398" s="71"/>
      <c r="M398" s="72"/>
      <c r="P398" s="72"/>
    </row>
    <row r="399" hidden="1">
      <c r="B399" s="68"/>
      <c r="D399" s="69"/>
      <c r="H399" s="70"/>
      <c r="K399" s="70"/>
      <c r="L399" s="71"/>
      <c r="M399" s="72"/>
      <c r="P399" s="72"/>
    </row>
    <row r="400" hidden="1">
      <c r="B400" s="68"/>
      <c r="D400" s="69"/>
      <c r="H400" s="70"/>
      <c r="K400" s="70"/>
      <c r="L400" s="71"/>
      <c r="M400" s="72"/>
      <c r="P400" s="72"/>
    </row>
    <row r="401" hidden="1">
      <c r="B401" s="68"/>
      <c r="D401" s="69"/>
      <c r="H401" s="70"/>
      <c r="K401" s="70"/>
      <c r="L401" s="71"/>
      <c r="M401" s="72"/>
      <c r="P401" s="72"/>
    </row>
    <row r="402" hidden="1">
      <c r="B402" s="68"/>
      <c r="D402" s="69"/>
      <c r="H402" s="70"/>
      <c r="K402" s="70"/>
      <c r="L402" s="71"/>
      <c r="M402" s="72"/>
      <c r="P402" s="72"/>
    </row>
    <row r="403" hidden="1">
      <c r="B403" s="68"/>
      <c r="D403" s="69"/>
      <c r="H403" s="70"/>
      <c r="K403" s="70"/>
      <c r="L403" s="71"/>
      <c r="M403" s="72"/>
      <c r="P403" s="72"/>
    </row>
    <row r="404" hidden="1">
      <c r="B404" s="68"/>
      <c r="D404" s="69"/>
      <c r="H404" s="70"/>
      <c r="K404" s="70"/>
      <c r="L404" s="71"/>
      <c r="M404" s="72"/>
      <c r="P404" s="72"/>
    </row>
    <row r="405" hidden="1">
      <c r="B405" s="68"/>
      <c r="D405" s="69"/>
      <c r="H405" s="70"/>
      <c r="K405" s="70"/>
      <c r="L405" s="71"/>
      <c r="M405" s="72"/>
      <c r="P405" s="72"/>
    </row>
    <row r="406" hidden="1">
      <c r="B406" s="68"/>
      <c r="D406" s="69"/>
      <c r="H406" s="70"/>
      <c r="K406" s="70"/>
      <c r="L406" s="71"/>
      <c r="M406" s="72"/>
      <c r="P406" s="72"/>
    </row>
    <row r="407" hidden="1">
      <c r="B407" s="68"/>
      <c r="D407" s="69"/>
      <c r="H407" s="70"/>
      <c r="K407" s="70"/>
      <c r="L407" s="71"/>
      <c r="M407" s="72"/>
      <c r="P407" s="72"/>
    </row>
    <row r="408" hidden="1">
      <c r="B408" s="68"/>
      <c r="D408" s="69"/>
      <c r="H408" s="70"/>
      <c r="K408" s="70"/>
      <c r="L408" s="71"/>
      <c r="M408" s="72"/>
      <c r="P408" s="72"/>
    </row>
    <row r="409" hidden="1">
      <c r="B409" s="68"/>
      <c r="D409" s="69"/>
      <c r="H409" s="70"/>
      <c r="K409" s="70"/>
      <c r="L409" s="71"/>
      <c r="M409" s="72"/>
      <c r="P409" s="72"/>
    </row>
    <row r="410" hidden="1">
      <c r="B410" s="68"/>
      <c r="D410" s="69"/>
      <c r="H410" s="70"/>
      <c r="K410" s="70"/>
      <c r="L410" s="71"/>
      <c r="M410" s="72"/>
      <c r="P410" s="72"/>
    </row>
    <row r="411" hidden="1">
      <c r="B411" s="68"/>
      <c r="D411" s="69"/>
      <c r="H411" s="70"/>
      <c r="K411" s="70"/>
      <c r="L411" s="71"/>
      <c r="M411" s="72"/>
      <c r="P411" s="72"/>
    </row>
    <row r="412" hidden="1">
      <c r="B412" s="68"/>
      <c r="D412" s="69"/>
      <c r="H412" s="70"/>
      <c r="K412" s="70"/>
      <c r="L412" s="71"/>
      <c r="M412" s="72"/>
      <c r="P412" s="72"/>
    </row>
    <row r="413" hidden="1">
      <c r="B413" s="68"/>
      <c r="D413" s="69"/>
      <c r="H413" s="70"/>
      <c r="K413" s="70"/>
      <c r="L413" s="71"/>
      <c r="M413" s="72"/>
      <c r="P413" s="72"/>
    </row>
    <row r="414" hidden="1">
      <c r="B414" s="68"/>
      <c r="D414" s="69"/>
      <c r="H414" s="70"/>
      <c r="K414" s="70"/>
      <c r="L414" s="71"/>
      <c r="M414" s="72"/>
      <c r="P414" s="72"/>
    </row>
    <row r="415" hidden="1">
      <c r="B415" s="68"/>
      <c r="D415" s="69"/>
      <c r="H415" s="70"/>
      <c r="K415" s="70"/>
      <c r="L415" s="71"/>
      <c r="M415" s="72"/>
      <c r="P415" s="72"/>
    </row>
    <row r="416" hidden="1">
      <c r="B416" s="68"/>
      <c r="D416" s="69"/>
      <c r="H416" s="70"/>
      <c r="K416" s="70"/>
      <c r="L416" s="71"/>
      <c r="M416" s="72"/>
      <c r="P416" s="72"/>
    </row>
    <row r="417" hidden="1">
      <c r="B417" s="68"/>
      <c r="D417" s="69"/>
      <c r="H417" s="70"/>
      <c r="K417" s="70"/>
      <c r="L417" s="71"/>
      <c r="M417" s="72"/>
      <c r="P417" s="72"/>
    </row>
    <row r="418" hidden="1">
      <c r="B418" s="68"/>
      <c r="D418" s="69"/>
      <c r="H418" s="70"/>
      <c r="K418" s="70"/>
      <c r="L418" s="71"/>
      <c r="M418" s="72"/>
      <c r="P418" s="72"/>
    </row>
    <row r="419" hidden="1">
      <c r="B419" s="68"/>
      <c r="D419" s="69"/>
      <c r="H419" s="70"/>
      <c r="K419" s="70"/>
      <c r="L419" s="71"/>
      <c r="M419" s="72"/>
      <c r="P419" s="72"/>
    </row>
    <row r="420" hidden="1">
      <c r="B420" s="68"/>
      <c r="D420" s="69"/>
      <c r="H420" s="70"/>
      <c r="K420" s="70"/>
      <c r="L420" s="71"/>
      <c r="M420" s="72"/>
      <c r="P420" s="72"/>
    </row>
    <row r="421" hidden="1">
      <c r="B421" s="68"/>
      <c r="D421" s="69"/>
      <c r="H421" s="70"/>
      <c r="K421" s="70"/>
      <c r="L421" s="71"/>
      <c r="M421" s="72"/>
      <c r="P421" s="72"/>
    </row>
    <row r="422" hidden="1">
      <c r="B422" s="68"/>
      <c r="D422" s="69"/>
      <c r="H422" s="70"/>
      <c r="K422" s="70"/>
      <c r="L422" s="71"/>
      <c r="M422" s="72"/>
      <c r="P422" s="72"/>
    </row>
    <row r="423" hidden="1">
      <c r="B423" s="68"/>
      <c r="D423" s="69"/>
      <c r="H423" s="70"/>
      <c r="K423" s="70"/>
      <c r="L423" s="71"/>
      <c r="M423" s="72"/>
      <c r="P423" s="72"/>
    </row>
    <row r="424" hidden="1">
      <c r="B424" s="68"/>
      <c r="D424" s="69"/>
      <c r="H424" s="70"/>
      <c r="K424" s="70"/>
      <c r="L424" s="71"/>
      <c r="M424" s="72"/>
      <c r="P424" s="72"/>
    </row>
    <row r="425" hidden="1">
      <c r="B425" s="68"/>
      <c r="D425" s="69"/>
      <c r="H425" s="70"/>
      <c r="K425" s="70"/>
      <c r="L425" s="71"/>
      <c r="M425" s="72"/>
      <c r="P425" s="72"/>
    </row>
    <row r="426" hidden="1">
      <c r="B426" s="68"/>
      <c r="D426" s="69"/>
      <c r="H426" s="70"/>
      <c r="K426" s="70"/>
      <c r="L426" s="71"/>
      <c r="M426" s="72"/>
      <c r="P426" s="72"/>
    </row>
    <row r="427" hidden="1">
      <c r="B427" s="68"/>
      <c r="D427" s="69"/>
      <c r="H427" s="70"/>
      <c r="K427" s="70"/>
      <c r="L427" s="71"/>
      <c r="M427" s="72"/>
      <c r="P427" s="72"/>
    </row>
    <row r="428" hidden="1">
      <c r="B428" s="68"/>
      <c r="D428" s="69"/>
      <c r="H428" s="70"/>
      <c r="K428" s="70"/>
      <c r="L428" s="71"/>
      <c r="M428" s="72"/>
      <c r="P428" s="72"/>
    </row>
    <row r="429" hidden="1">
      <c r="B429" s="68"/>
      <c r="D429" s="69"/>
      <c r="H429" s="70"/>
      <c r="K429" s="70"/>
      <c r="L429" s="71"/>
      <c r="M429" s="72"/>
      <c r="P429" s="72"/>
    </row>
    <row r="430" hidden="1">
      <c r="B430" s="68"/>
      <c r="D430" s="69"/>
      <c r="H430" s="70"/>
      <c r="K430" s="70"/>
      <c r="L430" s="71"/>
      <c r="M430" s="72"/>
      <c r="P430" s="72"/>
    </row>
    <row r="431" hidden="1">
      <c r="B431" s="68"/>
      <c r="D431" s="69"/>
      <c r="H431" s="70"/>
      <c r="K431" s="70"/>
      <c r="L431" s="71"/>
      <c r="M431" s="72"/>
      <c r="P431" s="72"/>
    </row>
    <row r="432" hidden="1">
      <c r="B432" s="68"/>
      <c r="D432" s="69"/>
      <c r="H432" s="70"/>
      <c r="K432" s="70"/>
      <c r="L432" s="71"/>
      <c r="M432" s="72"/>
      <c r="P432" s="72"/>
    </row>
    <row r="433" hidden="1">
      <c r="B433" s="68"/>
      <c r="D433" s="69"/>
      <c r="H433" s="70"/>
      <c r="K433" s="70"/>
      <c r="L433" s="71"/>
      <c r="M433" s="72"/>
      <c r="P433" s="72"/>
    </row>
    <row r="434" hidden="1">
      <c r="B434" s="68"/>
      <c r="D434" s="69"/>
      <c r="H434" s="70"/>
      <c r="K434" s="70"/>
      <c r="L434" s="71"/>
      <c r="M434" s="72"/>
      <c r="P434" s="72"/>
    </row>
    <row r="435" hidden="1">
      <c r="B435" s="68"/>
      <c r="D435" s="69"/>
      <c r="H435" s="70"/>
      <c r="K435" s="70"/>
      <c r="L435" s="71"/>
      <c r="M435" s="72"/>
      <c r="P435" s="72"/>
    </row>
    <row r="436" hidden="1">
      <c r="B436" s="68"/>
      <c r="D436" s="69"/>
      <c r="H436" s="70"/>
      <c r="K436" s="70"/>
      <c r="L436" s="71"/>
      <c r="M436" s="72"/>
      <c r="P436" s="72"/>
    </row>
    <row r="437" hidden="1">
      <c r="B437" s="68"/>
      <c r="D437" s="69"/>
      <c r="H437" s="70"/>
      <c r="K437" s="70"/>
      <c r="L437" s="71"/>
      <c r="M437" s="72"/>
      <c r="P437" s="72"/>
    </row>
    <row r="438" hidden="1">
      <c r="B438" s="68"/>
      <c r="D438" s="69"/>
      <c r="H438" s="70"/>
      <c r="K438" s="70"/>
      <c r="L438" s="71"/>
      <c r="M438" s="72"/>
      <c r="P438" s="72"/>
    </row>
    <row r="439" hidden="1">
      <c r="B439" s="68"/>
      <c r="D439" s="69"/>
      <c r="H439" s="70"/>
      <c r="K439" s="70"/>
      <c r="L439" s="71"/>
      <c r="M439" s="72"/>
      <c r="P439" s="72"/>
    </row>
    <row r="440" hidden="1">
      <c r="B440" s="68"/>
      <c r="D440" s="69"/>
      <c r="H440" s="70"/>
      <c r="K440" s="70"/>
      <c r="L440" s="71"/>
      <c r="M440" s="72"/>
      <c r="P440" s="72"/>
    </row>
    <row r="441" hidden="1">
      <c r="B441" s="68"/>
      <c r="D441" s="69"/>
      <c r="H441" s="70"/>
      <c r="K441" s="70"/>
      <c r="L441" s="71"/>
      <c r="M441" s="72"/>
      <c r="P441" s="72"/>
    </row>
    <row r="442" hidden="1">
      <c r="B442" s="68"/>
      <c r="D442" s="69"/>
      <c r="H442" s="70"/>
      <c r="K442" s="70"/>
      <c r="L442" s="71"/>
      <c r="M442" s="72"/>
      <c r="P442" s="72"/>
    </row>
    <row r="443" hidden="1">
      <c r="B443" s="68"/>
      <c r="D443" s="69"/>
      <c r="H443" s="70"/>
      <c r="K443" s="70"/>
      <c r="L443" s="71"/>
      <c r="M443" s="72"/>
      <c r="P443" s="72"/>
    </row>
    <row r="444" hidden="1">
      <c r="B444" s="68"/>
      <c r="D444" s="69"/>
      <c r="H444" s="70"/>
      <c r="K444" s="70"/>
      <c r="L444" s="71"/>
      <c r="M444" s="72"/>
      <c r="P444" s="72"/>
    </row>
    <row r="445" hidden="1">
      <c r="B445" s="68"/>
      <c r="D445" s="69"/>
      <c r="H445" s="70"/>
      <c r="K445" s="70"/>
      <c r="L445" s="71"/>
      <c r="M445" s="72"/>
      <c r="P445" s="72"/>
    </row>
    <row r="446" hidden="1">
      <c r="B446" s="68"/>
      <c r="D446" s="69"/>
      <c r="H446" s="70"/>
      <c r="K446" s="70"/>
      <c r="L446" s="71"/>
      <c r="M446" s="72"/>
      <c r="P446" s="72"/>
    </row>
    <row r="447" hidden="1">
      <c r="B447" s="68"/>
      <c r="D447" s="69"/>
      <c r="H447" s="70"/>
      <c r="K447" s="70"/>
      <c r="L447" s="71"/>
      <c r="M447" s="72"/>
      <c r="P447" s="72"/>
    </row>
    <row r="448" hidden="1">
      <c r="B448" s="68"/>
      <c r="D448" s="69"/>
      <c r="H448" s="70"/>
      <c r="K448" s="70"/>
      <c r="L448" s="71"/>
      <c r="M448" s="72"/>
      <c r="P448" s="72"/>
    </row>
    <row r="449" hidden="1">
      <c r="B449" s="68"/>
      <c r="D449" s="69"/>
      <c r="H449" s="70"/>
      <c r="K449" s="70"/>
      <c r="L449" s="71"/>
      <c r="M449" s="72"/>
      <c r="P449" s="72"/>
    </row>
    <row r="450" hidden="1">
      <c r="B450" s="68"/>
      <c r="D450" s="69"/>
      <c r="H450" s="70"/>
      <c r="K450" s="70"/>
      <c r="L450" s="71"/>
      <c r="M450" s="72"/>
      <c r="P450" s="72"/>
    </row>
    <row r="451" hidden="1">
      <c r="B451" s="68"/>
      <c r="D451" s="69"/>
      <c r="H451" s="70"/>
      <c r="K451" s="70"/>
      <c r="L451" s="71"/>
      <c r="M451" s="72"/>
      <c r="P451" s="72"/>
    </row>
    <row r="452" hidden="1">
      <c r="B452" s="68"/>
      <c r="D452" s="69"/>
      <c r="H452" s="70"/>
      <c r="K452" s="70"/>
      <c r="L452" s="71"/>
      <c r="M452" s="72"/>
      <c r="P452" s="72"/>
    </row>
    <row r="453" hidden="1">
      <c r="B453" s="68"/>
      <c r="D453" s="69"/>
      <c r="H453" s="70"/>
      <c r="K453" s="70"/>
      <c r="L453" s="71"/>
      <c r="M453" s="72"/>
      <c r="P453" s="72"/>
    </row>
    <row r="454" hidden="1">
      <c r="B454" s="68"/>
      <c r="D454" s="69"/>
      <c r="H454" s="70"/>
      <c r="K454" s="70"/>
      <c r="L454" s="71"/>
      <c r="M454" s="72"/>
      <c r="P454" s="72"/>
    </row>
    <row r="455" hidden="1">
      <c r="B455" s="68"/>
      <c r="D455" s="69"/>
      <c r="H455" s="70"/>
      <c r="K455" s="70"/>
      <c r="L455" s="71"/>
      <c r="M455" s="72"/>
      <c r="P455" s="72"/>
    </row>
    <row r="456" hidden="1">
      <c r="B456" s="68"/>
      <c r="D456" s="69"/>
      <c r="H456" s="70"/>
      <c r="K456" s="70"/>
      <c r="L456" s="71"/>
      <c r="M456" s="72"/>
      <c r="P456" s="72"/>
    </row>
    <row r="457" hidden="1">
      <c r="B457" s="68"/>
      <c r="D457" s="69"/>
      <c r="H457" s="70"/>
      <c r="K457" s="70"/>
      <c r="L457" s="71"/>
      <c r="M457" s="72"/>
      <c r="P457" s="72"/>
    </row>
    <row r="458" hidden="1">
      <c r="B458" s="68"/>
      <c r="D458" s="69"/>
      <c r="H458" s="70"/>
      <c r="K458" s="70"/>
      <c r="L458" s="71"/>
      <c r="M458" s="72"/>
      <c r="P458" s="72"/>
    </row>
    <row r="459" hidden="1">
      <c r="B459" s="68"/>
      <c r="D459" s="69"/>
      <c r="H459" s="70"/>
      <c r="K459" s="70"/>
      <c r="L459" s="71"/>
      <c r="M459" s="72"/>
      <c r="P459" s="72"/>
    </row>
    <row r="460" hidden="1">
      <c r="B460" s="68"/>
      <c r="D460" s="69"/>
      <c r="H460" s="70"/>
      <c r="K460" s="70"/>
      <c r="L460" s="71"/>
      <c r="M460" s="72"/>
      <c r="P460" s="72"/>
    </row>
    <row r="461" hidden="1">
      <c r="B461" s="68"/>
      <c r="D461" s="69"/>
      <c r="H461" s="70"/>
      <c r="K461" s="70"/>
      <c r="L461" s="71"/>
      <c r="M461" s="72"/>
      <c r="P461" s="72"/>
    </row>
    <row r="462" hidden="1">
      <c r="B462" s="68"/>
      <c r="D462" s="69"/>
      <c r="H462" s="70"/>
      <c r="K462" s="70"/>
      <c r="L462" s="71"/>
      <c r="M462" s="72"/>
      <c r="P462" s="72"/>
    </row>
    <row r="463" hidden="1">
      <c r="B463" s="68"/>
      <c r="D463" s="69"/>
      <c r="H463" s="70"/>
      <c r="K463" s="70"/>
      <c r="L463" s="71"/>
      <c r="M463" s="72"/>
      <c r="P463" s="72"/>
    </row>
    <row r="464" hidden="1">
      <c r="B464" s="68"/>
      <c r="D464" s="69"/>
      <c r="H464" s="70"/>
      <c r="K464" s="70"/>
      <c r="L464" s="71"/>
      <c r="M464" s="72"/>
      <c r="P464" s="72"/>
    </row>
    <row r="465" hidden="1">
      <c r="B465" s="68"/>
      <c r="D465" s="69"/>
      <c r="H465" s="70"/>
      <c r="K465" s="70"/>
      <c r="L465" s="71"/>
      <c r="M465" s="72"/>
      <c r="P465" s="72"/>
    </row>
    <row r="466" hidden="1">
      <c r="B466" s="68"/>
      <c r="D466" s="69"/>
      <c r="H466" s="70"/>
      <c r="K466" s="70"/>
      <c r="L466" s="71"/>
      <c r="M466" s="72"/>
      <c r="P466" s="72"/>
    </row>
    <row r="467" hidden="1">
      <c r="B467" s="68"/>
      <c r="D467" s="69"/>
      <c r="H467" s="70"/>
      <c r="K467" s="70"/>
      <c r="L467" s="71"/>
      <c r="M467" s="72"/>
      <c r="P467" s="72"/>
    </row>
    <row r="468" hidden="1">
      <c r="B468" s="68"/>
      <c r="D468" s="69"/>
      <c r="H468" s="70"/>
      <c r="K468" s="70"/>
      <c r="L468" s="71"/>
      <c r="M468" s="72"/>
      <c r="P468" s="72"/>
    </row>
    <row r="469" hidden="1">
      <c r="B469" s="68"/>
      <c r="D469" s="69"/>
      <c r="H469" s="70"/>
      <c r="K469" s="70"/>
      <c r="L469" s="71"/>
      <c r="M469" s="72"/>
      <c r="P469" s="72"/>
    </row>
    <row r="470" hidden="1">
      <c r="B470" s="68"/>
      <c r="D470" s="69"/>
      <c r="H470" s="70"/>
      <c r="K470" s="70"/>
      <c r="L470" s="71"/>
      <c r="M470" s="72"/>
      <c r="P470" s="72"/>
    </row>
    <row r="471" hidden="1">
      <c r="B471" s="68"/>
      <c r="D471" s="69"/>
      <c r="H471" s="70"/>
      <c r="K471" s="70"/>
      <c r="L471" s="71"/>
      <c r="M471" s="72"/>
      <c r="P471" s="72"/>
    </row>
    <row r="472" hidden="1">
      <c r="B472" s="68"/>
      <c r="D472" s="69"/>
      <c r="H472" s="70"/>
      <c r="K472" s="70"/>
      <c r="L472" s="71"/>
      <c r="M472" s="72"/>
      <c r="P472" s="72"/>
    </row>
    <row r="473" hidden="1">
      <c r="B473" s="68"/>
      <c r="D473" s="69"/>
      <c r="H473" s="70"/>
      <c r="K473" s="70"/>
      <c r="L473" s="71"/>
      <c r="M473" s="72"/>
      <c r="P473" s="72"/>
    </row>
    <row r="474" hidden="1">
      <c r="B474" s="68"/>
      <c r="D474" s="69"/>
      <c r="H474" s="70"/>
      <c r="K474" s="70"/>
      <c r="L474" s="71"/>
      <c r="M474" s="72"/>
      <c r="P474" s="72"/>
    </row>
    <row r="475" hidden="1">
      <c r="B475" s="68"/>
      <c r="D475" s="69"/>
      <c r="H475" s="70"/>
      <c r="K475" s="70"/>
      <c r="L475" s="71"/>
      <c r="M475" s="72"/>
      <c r="P475" s="72"/>
    </row>
    <row r="476" hidden="1">
      <c r="B476" s="68"/>
      <c r="D476" s="69"/>
      <c r="H476" s="70"/>
      <c r="K476" s="70"/>
      <c r="L476" s="71"/>
      <c r="M476" s="72"/>
      <c r="P476" s="72"/>
    </row>
    <row r="477" hidden="1">
      <c r="B477" s="68"/>
      <c r="D477" s="69"/>
      <c r="H477" s="70"/>
      <c r="K477" s="70"/>
      <c r="L477" s="71"/>
      <c r="M477" s="72"/>
      <c r="P477" s="72"/>
    </row>
    <row r="478" hidden="1">
      <c r="B478" s="68"/>
      <c r="D478" s="69"/>
      <c r="H478" s="70"/>
      <c r="K478" s="70"/>
      <c r="L478" s="71"/>
      <c r="M478" s="72"/>
      <c r="P478" s="72"/>
    </row>
    <row r="479" hidden="1">
      <c r="B479" s="68"/>
      <c r="D479" s="69"/>
      <c r="H479" s="70"/>
      <c r="K479" s="70"/>
      <c r="L479" s="71"/>
      <c r="M479" s="72"/>
      <c r="P479" s="72"/>
    </row>
    <row r="480" hidden="1">
      <c r="B480" s="68"/>
      <c r="D480" s="69"/>
      <c r="H480" s="70"/>
      <c r="K480" s="70"/>
      <c r="L480" s="71"/>
      <c r="M480" s="72"/>
      <c r="P480" s="72"/>
    </row>
    <row r="481" hidden="1">
      <c r="B481" s="68"/>
      <c r="D481" s="69"/>
      <c r="H481" s="70"/>
      <c r="K481" s="70"/>
      <c r="L481" s="71"/>
      <c r="M481" s="72"/>
      <c r="P481" s="72"/>
    </row>
    <row r="482" hidden="1">
      <c r="B482" s="68"/>
      <c r="D482" s="69"/>
      <c r="H482" s="70"/>
      <c r="K482" s="70"/>
      <c r="L482" s="71"/>
      <c r="M482" s="72"/>
      <c r="P482" s="72"/>
    </row>
    <row r="483" hidden="1">
      <c r="B483" s="68"/>
      <c r="D483" s="69"/>
      <c r="H483" s="70"/>
      <c r="K483" s="70"/>
      <c r="L483" s="71"/>
      <c r="M483" s="72"/>
      <c r="P483" s="72"/>
    </row>
    <row r="484" hidden="1">
      <c r="B484" s="68"/>
      <c r="D484" s="69"/>
      <c r="H484" s="70"/>
      <c r="K484" s="70"/>
      <c r="L484" s="71"/>
      <c r="M484" s="72"/>
      <c r="P484" s="72"/>
    </row>
    <row r="485" hidden="1">
      <c r="B485" s="68"/>
      <c r="D485" s="69"/>
      <c r="H485" s="70"/>
      <c r="K485" s="70"/>
      <c r="L485" s="71"/>
      <c r="M485" s="72"/>
      <c r="P485" s="72"/>
    </row>
    <row r="486" hidden="1">
      <c r="B486" s="68"/>
      <c r="D486" s="69"/>
      <c r="H486" s="70"/>
      <c r="K486" s="70"/>
      <c r="L486" s="71"/>
      <c r="M486" s="72"/>
      <c r="P486" s="72"/>
    </row>
    <row r="487" hidden="1">
      <c r="B487" s="68"/>
      <c r="D487" s="69"/>
      <c r="H487" s="70"/>
      <c r="K487" s="70"/>
      <c r="L487" s="71"/>
      <c r="M487" s="72"/>
      <c r="P487" s="72"/>
    </row>
    <row r="488" hidden="1">
      <c r="B488" s="68"/>
      <c r="D488" s="69"/>
      <c r="H488" s="70"/>
      <c r="K488" s="70"/>
      <c r="L488" s="71"/>
      <c r="M488" s="72"/>
      <c r="P488" s="72"/>
    </row>
    <row r="489" hidden="1">
      <c r="B489" s="68"/>
      <c r="D489" s="69"/>
      <c r="H489" s="70"/>
      <c r="K489" s="70"/>
      <c r="L489" s="71"/>
      <c r="M489" s="72"/>
      <c r="P489" s="72"/>
    </row>
    <row r="490" hidden="1">
      <c r="B490" s="68"/>
      <c r="D490" s="69"/>
      <c r="H490" s="70"/>
      <c r="K490" s="70"/>
      <c r="L490" s="71"/>
      <c r="M490" s="72"/>
      <c r="P490" s="72"/>
    </row>
    <row r="491" hidden="1">
      <c r="B491" s="68"/>
      <c r="D491" s="69"/>
      <c r="H491" s="70"/>
      <c r="K491" s="70"/>
      <c r="L491" s="71"/>
      <c r="M491" s="72"/>
      <c r="P491" s="72"/>
    </row>
    <row r="492" hidden="1">
      <c r="B492" s="68"/>
      <c r="D492" s="69"/>
      <c r="H492" s="70"/>
      <c r="K492" s="70"/>
      <c r="L492" s="71"/>
      <c r="M492" s="72"/>
      <c r="P492" s="72"/>
    </row>
    <row r="493" hidden="1">
      <c r="B493" s="68"/>
      <c r="D493" s="69"/>
      <c r="H493" s="70"/>
      <c r="K493" s="70"/>
      <c r="L493" s="71"/>
      <c r="M493" s="72"/>
      <c r="P493" s="72"/>
    </row>
    <row r="494" hidden="1">
      <c r="B494" s="68"/>
      <c r="D494" s="69"/>
      <c r="H494" s="70"/>
      <c r="K494" s="70"/>
      <c r="L494" s="71"/>
      <c r="M494" s="72"/>
      <c r="P494" s="72"/>
    </row>
    <row r="495" hidden="1">
      <c r="B495" s="68"/>
      <c r="D495" s="69"/>
      <c r="H495" s="70"/>
      <c r="K495" s="70"/>
      <c r="L495" s="71"/>
      <c r="M495" s="72"/>
      <c r="P495" s="72"/>
    </row>
    <row r="496" hidden="1">
      <c r="B496" s="68"/>
      <c r="D496" s="69"/>
      <c r="H496" s="70"/>
      <c r="K496" s="70"/>
      <c r="L496" s="71"/>
      <c r="M496" s="72"/>
      <c r="P496" s="72"/>
    </row>
    <row r="497" hidden="1">
      <c r="B497" s="68"/>
      <c r="D497" s="69"/>
      <c r="H497" s="70"/>
      <c r="K497" s="70"/>
      <c r="L497" s="71"/>
      <c r="M497" s="72"/>
      <c r="P497" s="72"/>
    </row>
    <row r="498" hidden="1">
      <c r="B498" s="68"/>
      <c r="D498" s="69"/>
      <c r="H498" s="70"/>
      <c r="K498" s="70"/>
      <c r="L498" s="71"/>
      <c r="M498" s="72"/>
      <c r="P498" s="72"/>
    </row>
    <row r="499" hidden="1">
      <c r="B499" s="68"/>
      <c r="D499" s="69"/>
      <c r="H499" s="70"/>
      <c r="K499" s="70"/>
      <c r="L499" s="71"/>
      <c r="M499" s="72"/>
      <c r="P499" s="72"/>
    </row>
    <row r="500" hidden="1">
      <c r="B500" s="68"/>
      <c r="D500" s="69"/>
      <c r="H500" s="70"/>
      <c r="K500" s="70"/>
      <c r="L500" s="71"/>
      <c r="M500" s="72"/>
      <c r="P500" s="72"/>
    </row>
    <row r="501" hidden="1">
      <c r="B501" s="68"/>
      <c r="D501" s="69"/>
      <c r="H501" s="70"/>
      <c r="K501" s="70"/>
      <c r="L501" s="71"/>
      <c r="M501" s="72"/>
      <c r="P501" s="72"/>
    </row>
    <row r="502" hidden="1">
      <c r="B502" s="68"/>
      <c r="D502" s="69"/>
      <c r="H502" s="70"/>
      <c r="K502" s="70"/>
      <c r="L502" s="71"/>
      <c r="M502" s="72"/>
      <c r="P502" s="72"/>
    </row>
    <row r="503" hidden="1">
      <c r="B503" s="68"/>
      <c r="D503" s="69"/>
      <c r="H503" s="70"/>
      <c r="K503" s="70"/>
      <c r="L503" s="71"/>
      <c r="M503" s="72"/>
      <c r="P503" s="72"/>
    </row>
    <row r="504" hidden="1">
      <c r="B504" s="68"/>
      <c r="D504" s="69"/>
      <c r="H504" s="70"/>
      <c r="K504" s="70"/>
      <c r="L504" s="71"/>
      <c r="M504" s="72"/>
      <c r="P504" s="72"/>
    </row>
    <row r="505" hidden="1">
      <c r="B505" s="68"/>
      <c r="D505" s="69"/>
      <c r="H505" s="70"/>
      <c r="K505" s="70"/>
      <c r="L505" s="71"/>
      <c r="M505" s="72"/>
      <c r="P505" s="72"/>
    </row>
    <row r="506" hidden="1">
      <c r="B506" s="68"/>
      <c r="D506" s="69"/>
      <c r="H506" s="70"/>
      <c r="K506" s="70"/>
      <c r="L506" s="71"/>
      <c r="M506" s="72"/>
      <c r="P506" s="72"/>
    </row>
    <row r="507" hidden="1">
      <c r="B507" s="68"/>
      <c r="D507" s="69"/>
      <c r="H507" s="70"/>
      <c r="K507" s="70"/>
      <c r="L507" s="71"/>
      <c r="M507" s="72"/>
      <c r="P507" s="72"/>
    </row>
    <row r="508" hidden="1">
      <c r="B508" s="68"/>
      <c r="D508" s="69"/>
      <c r="H508" s="70"/>
      <c r="K508" s="70"/>
      <c r="L508" s="71"/>
      <c r="M508" s="72"/>
      <c r="P508" s="72"/>
    </row>
    <row r="509" hidden="1">
      <c r="B509" s="68"/>
      <c r="D509" s="69"/>
      <c r="H509" s="70"/>
      <c r="K509" s="70"/>
      <c r="L509" s="71"/>
      <c r="M509" s="72"/>
      <c r="P509" s="72"/>
    </row>
    <row r="510" hidden="1">
      <c r="B510" s="68"/>
      <c r="D510" s="69"/>
      <c r="H510" s="70"/>
      <c r="K510" s="70"/>
      <c r="L510" s="71"/>
      <c r="M510" s="72"/>
      <c r="P510" s="72"/>
    </row>
    <row r="511" hidden="1">
      <c r="B511" s="68"/>
      <c r="D511" s="69"/>
      <c r="H511" s="70"/>
      <c r="K511" s="70"/>
      <c r="L511" s="71"/>
      <c r="M511" s="72"/>
      <c r="P511" s="72"/>
    </row>
    <row r="512" hidden="1">
      <c r="B512" s="68"/>
      <c r="D512" s="69"/>
      <c r="H512" s="70"/>
      <c r="K512" s="70"/>
      <c r="L512" s="71"/>
      <c r="M512" s="72"/>
      <c r="P512" s="72"/>
    </row>
    <row r="513" hidden="1">
      <c r="B513" s="68"/>
      <c r="D513" s="69"/>
      <c r="H513" s="70"/>
      <c r="K513" s="70"/>
      <c r="L513" s="71"/>
      <c r="M513" s="72"/>
      <c r="P513" s="72"/>
    </row>
    <row r="514" hidden="1">
      <c r="B514" s="68"/>
      <c r="D514" s="69"/>
      <c r="H514" s="70"/>
      <c r="K514" s="70"/>
      <c r="L514" s="71"/>
      <c r="M514" s="72"/>
      <c r="P514" s="72"/>
    </row>
    <row r="515" hidden="1">
      <c r="B515" s="68"/>
      <c r="D515" s="69"/>
      <c r="H515" s="70"/>
      <c r="K515" s="70"/>
      <c r="L515" s="71"/>
      <c r="M515" s="72"/>
      <c r="P515" s="72"/>
    </row>
    <row r="516" hidden="1">
      <c r="B516" s="68"/>
      <c r="D516" s="69"/>
      <c r="H516" s="70"/>
      <c r="K516" s="70"/>
      <c r="L516" s="71"/>
      <c r="M516" s="72"/>
      <c r="P516" s="72"/>
    </row>
    <row r="517" hidden="1">
      <c r="B517" s="68"/>
      <c r="D517" s="69"/>
      <c r="H517" s="70"/>
      <c r="K517" s="70"/>
      <c r="L517" s="71"/>
      <c r="M517" s="72"/>
      <c r="P517" s="72"/>
    </row>
    <row r="518" hidden="1">
      <c r="B518" s="68"/>
      <c r="D518" s="69"/>
      <c r="H518" s="70"/>
      <c r="K518" s="70"/>
      <c r="L518" s="71"/>
      <c r="M518" s="72"/>
      <c r="P518" s="72"/>
    </row>
    <row r="519" hidden="1">
      <c r="B519" s="68"/>
      <c r="D519" s="69"/>
      <c r="H519" s="70"/>
      <c r="K519" s="70"/>
      <c r="L519" s="71"/>
      <c r="M519" s="72"/>
      <c r="P519" s="72"/>
    </row>
    <row r="520" hidden="1">
      <c r="B520" s="68"/>
      <c r="D520" s="69"/>
      <c r="H520" s="70"/>
      <c r="K520" s="70"/>
      <c r="L520" s="71"/>
      <c r="M520" s="72"/>
      <c r="P520" s="72"/>
    </row>
    <row r="521" hidden="1">
      <c r="B521" s="68"/>
      <c r="D521" s="69"/>
      <c r="H521" s="70"/>
      <c r="K521" s="70"/>
      <c r="L521" s="71"/>
      <c r="M521" s="72"/>
      <c r="P521" s="72"/>
    </row>
    <row r="522" hidden="1">
      <c r="B522" s="68"/>
      <c r="D522" s="69"/>
      <c r="H522" s="70"/>
      <c r="K522" s="70"/>
      <c r="L522" s="71"/>
      <c r="M522" s="72"/>
      <c r="P522" s="72"/>
    </row>
    <row r="523" hidden="1">
      <c r="B523" s="68"/>
      <c r="D523" s="69"/>
      <c r="H523" s="70"/>
      <c r="K523" s="70"/>
      <c r="L523" s="71"/>
      <c r="M523" s="72"/>
      <c r="P523" s="72"/>
    </row>
    <row r="524" hidden="1">
      <c r="B524" s="68"/>
      <c r="D524" s="69"/>
      <c r="H524" s="70"/>
      <c r="K524" s="70"/>
      <c r="L524" s="71"/>
      <c r="M524" s="72"/>
      <c r="P524" s="72"/>
    </row>
    <row r="525" hidden="1">
      <c r="B525" s="68"/>
      <c r="D525" s="69"/>
      <c r="H525" s="70"/>
      <c r="K525" s="70"/>
      <c r="L525" s="71"/>
      <c r="M525" s="72"/>
      <c r="P525" s="72"/>
    </row>
    <row r="526" hidden="1">
      <c r="B526" s="68"/>
      <c r="D526" s="69"/>
      <c r="H526" s="70"/>
      <c r="K526" s="70"/>
      <c r="L526" s="71"/>
      <c r="M526" s="72"/>
      <c r="P526" s="72"/>
    </row>
    <row r="527" hidden="1">
      <c r="B527" s="68"/>
      <c r="D527" s="69"/>
      <c r="H527" s="70"/>
      <c r="K527" s="70"/>
      <c r="L527" s="71"/>
      <c r="M527" s="72"/>
      <c r="P527" s="72"/>
    </row>
    <row r="528" hidden="1">
      <c r="B528" s="68"/>
      <c r="D528" s="69"/>
      <c r="H528" s="70"/>
      <c r="K528" s="70"/>
      <c r="L528" s="71"/>
      <c r="M528" s="72"/>
      <c r="P528" s="72"/>
    </row>
    <row r="529" hidden="1">
      <c r="B529" s="68"/>
      <c r="D529" s="69"/>
      <c r="H529" s="70"/>
      <c r="K529" s="70"/>
      <c r="L529" s="71"/>
      <c r="M529" s="72"/>
      <c r="P529" s="72"/>
    </row>
    <row r="530" hidden="1">
      <c r="B530" s="68"/>
      <c r="D530" s="69"/>
      <c r="H530" s="70"/>
      <c r="K530" s="70"/>
      <c r="L530" s="71"/>
      <c r="M530" s="72"/>
      <c r="P530" s="72"/>
    </row>
    <row r="531" hidden="1">
      <c r="B531" s="68"/>
      <c r="D531" s="69"/>
      <c r="H531" s="70"/>
      <c r="K531" s="70"/>
      <c r="L531" s="71"/>
      <c r="M531" s="72"/>
      <c r="P531" s="72"/>
    </row>
    <row r="532" hidden="1">
      <c r="B532" s="68"/>
      <c r="D532" s="69"/>
      <c r="H532" s="70"/>
      <c r="K532" s="70"/>
      <c r="L532" s="71"/>
      <c r="M532" s="72"/>
      <c r="P532" s="72"/>
    </row>
    <row r="533" hidden="1">
      <c r="B533" s="68"/>
      <c r="D533" s="69"/>
      <c r="H533" s="70"/>
      <c r="K533" s="70"/>
      <c r="L533" s="71"/>
      <c r="M533" s="72"/>
      <c r="P533" s="72"/>
    </row>
    <row r="534" hidden="1">
      <c r="B534" s="68"/>
      <c r="D534" s="69"/>
      <c r="H534" s="70"/>
      <c r="K534" s="70"/>
      <c r="L534" s="71"/>
      <c r="M534" s="72"/>
      <c r="P534" s="72"/>
    </row>
    <row r="535" hidden="1">
      <c r="B535" s="68"/>
      <c r="D535" s="69"/>
      <c r="H535" s="70"/>
      <c r="K535" s="70"/>
      <c r="L535" s="71"/>
      <c r="M535" s="72"/>
      <c r="P535" s="72"/>
    </row>
    <row r="536" hidden="1">
      <c r="B536" s="68"/>
      <c r="D536" s="69"/>
      <c r="H536" s="70"/>
      <c r="K536" s="70"/>
      <c r="L536" s="71"/>
      <c r="M536" s="72"/>
      <c r="P536" s="72"/>
    </row>
    <row r="537" hidden="1">
      <c r="B537" s="68"/>
      <c r="D537" s="69"/>
      <c r="H537" s="70"/>
      <c r="K537" s="70"/>
      <c r="L537" s="71"/>
      <c r="M537" s="72"/>
      <c r="P537" s="72"/>
    </row>
    <row r="538" hidden="1">
      <c r="B538" s="68"/>
      <c r="D538" s="69"/>
      <c r="H538" s="70"/>
      <c r="K538" s="70"/>
      <c r="L538" s="71"/>
      <c r="M538" s="72"/>
      <c r="P538" s="72"/>
    </row>
    <row r="539" hidden="1">
      <c r="B539" s="68"/>
      <c r="D539" s="69"/>
      <c r="H539" s="70"/>
      <c r="K539" s="70"/>
      <c r="L539" s="71"/>
      <c r="M539" s="72"/>
      <c r="P539" s="72"/>
    </row>
    <row r="540" hidden="1">
      <c r="B540" s="68"/>
      <c r="D540" s="69"/>
      <c r="H540" s="70"/>
      <c r="K540" s="70"/>
      <c r="L540" s="71"/>
      <c r="M540" s="72"/>
      <c r="P540" s="72"/>
    </row>
    <row r="541" hidden="1">
      <c r="B541" s="68"/>
      <c r="D541" s="69"/>
      <c r="H541" s="70"/>
      <c r="K541" s="70"/>
      <c r="L541" s="71"/>
      <c r="M541" s="72"/>
      <c r="P541" s="72"/>
    </row>
    <row r="542" hidden="1">
      <c r="B542" s="68"/>
      <c r="D542" s="69"/>
      <c r="H542" s="70"/>
      <c r="K542" s="70"/>
      <c r="L542" s="71"/>
      <c r="M542" s="72"/>
      <c r="P542" s="72"/>
    </row>
    <row r="543" hidden="1">
      <c r="B543" s="68"/>
      <c r="D543" s="69"/>
      <c r="H543" s="70"/>
      <c r="K543" s="70"/>
      <c r="L543" s="71"/>
      <c r="M543" s="72"/>
      <c r="P543" s="72"/>
    </row>
    <row r="544" hidden="1">
      <c r="B544" s="68"/>
      <c r="D544" s="69"/>
      <c r="H544" s="70"/>
      <c r="K544" s="70"/>
      <c r="L544" s="71"/>
      <c r="M544" s="72"/>
      <c r="P544" s="72"/>
    </row>
    <row r="545" hidden="1">
      <c r="B545" s="68"/>
      <c r="D545" s="69"/>
      <c r="H545" s="70"/>
      <c r="K545" s="70"/>
      <c r="L545" s="71"/>
      <c r="M545" s="72"/>
      <c r="P545" s="72"/>
    </row>
    <row r="546" hidden="1">
      <c r="B546" s="68"/>
      <c r="D546" s="69"/>
      <c r="H546" s="70"/>
      <c r="K546" s="70"/>
      <c r="L546" s="71"/>
      <c r="M546" s="72"/>
      <c r="P546" s="72"/>
    </row>
    <row r="547" hidden="1">
      <c r="B547" s="68"/>
      <c r="D547" s="69"/>
      <c r="H547" s="70"/>
      <c r="K547" s="70"/>
      <c r="L547" s="71"/>
      <c r="M547" s="72"/>
      <c r="P547" s="72"/>
    </row>
    <row r="548" hidden="1">
      <c r="B548" s="68"/>
      <c r="D548" s="69"/>
      <c r="H548" s="70"/>
      <c r="K548" s="70"/>
      <c r="L548" s="71"/>
      <c r="M548" s="72"/>
      <c r="P548" s="72"/>
    </row>
    <row r="549" hidden="1">
      <c r="B549" s="68"/>
      <c r="D549" s="69"/>
      <c r="H549" s="70"/>
      <c r="K549" s="70"/>
      <c r="L549" s="71"/>
      <c r="M549" s="72"/>
      <c r="P549" s="72"/>
    </row>
    <row r="550" hidden="1">
      <c r="B550" s="68"/>
      <c r="D550" s="69"/>
      <c r="H550" s="70"/>
      <c r="K550" s="70"/>
      <c r="L550" s="71"/>
      <c r="M550" s="72"/>
      <c r="P550" s="72"/>
    </row>
    <row r="551" hidden="1">
      <c r="B551" s="68"/>
      <c r="D551" s="69"/>
      <c r="H551" s="70"/>
      <c r="K551" s="70"/>
      <c r="L551" s="71"/>
      <c r="M551" s="72"/>
      <c r="P551" s="72"/>
    </row>
    <row r="552" hidden="1">
      <c r="B552" s="68"/>
      <c r="D552" s="69"/>
      <c r="H552" s="70"/>
      <c r="K552" s="70"/>
      <c r="L552" s="71"/>
      <c r="M552" s="72"/>
      <c r="P552" s="72"/>
    </row>
    <row r="553" hidden="1">
      <c r="B553" s="68"/>
      <c r="D553" s="69"/>
      <c r="H553" s="70"/>
      <c r="K553" s="70"/>
      <c r="L553" s="71"/>
      <c r="M553" s="72"/>
      <c r="P553" s="72"/>
    </row>
    <row r="554" hidden="1">
      <c r="B554" s="68"/>
      <c r="D554" s="69"/>
      <c r="H554" s="70"/>
      <c r="K554" s="70"/>
      <c r="L554" s="71"/>
      <c r="M554" s="72"/>
      <c r="P554" s="72"/>
    </row>
    <row r="555" hidden="1">
      <c r="B555" s="68"/>
      <c r="D555" s="69"/>
      <c r="H555" s="70"/>
      <c r="K555" s="70"/>
      <c r="L555" s="71"/>
      <c r="M555" s="72"/>
      <c r="P555" s="72"/>
    </row>
    <row r="556" hidden="1">
      <c r="B556" s="68"/>
      <c r="D556" s="69"/>
      <c r="H556" s="70"/>
      <c r="K556" s="70"/>
      <c r="L556" s="71"/>
      <c r="M556" s="72"/>
      <c r="P556" s="72"/>
    </row>
    <row r="557" hidden="1">
      <c r="B557" s="68"/>
      <c r="D557" s="69"/>
      <c r="H557" s="70"/>
      <c r="K557" s="70"/>
      <c r="L557" s="71"/>
      <c r="M557" s="72"/>
      <c r="P557" s="72"/>
    </row>
    <row r="558" hidden="1">
      <c r="B558" s="68"/>
      <c r="D558" s="69"/>
      <c r="H558" s="70"/>
      <c r="K558" s="70"/>
      <c r="L558" s="71"/>
      <c r="M558" s="72"/>
      <c r="P558" s="72"/>
    </row>
    <row r="559" hidden="1">
      <c r="B559" s="68"/>
      <c r="D559" s="69"/>
      <c r="H559" s="70"/>
      <c r="K559" s="70"/>
      <c r="L559" s="71"/>
      <c r="M559" s="72"/>
      <c r="P559" s="72"/>
    </row>
    <row r="560" hidden="1">
      <c r="B560" s="68"/>
      <c r="D560" s="69"/>
      <c r="H560" s="70"/>
      <c r="K560" s="70"/>
      <c r="L560" s="71"/>
      <c r="M560" s="72"/>
      <c r="P560" s="72"/>
    </row>
    <row r="561" hidden="1">
      <c r="B561" s="68"/>
      <c r="D561" s="69"/>
      <c r="H561" s="70"/>
      <c r="K561" s="70"/>
      <c r="L561" s="71"/>
      <c r="M561" s="72"/>
      <c r="P561" s="72"/>
    </row>
    <row r="562" hidden="1">
      <c r="B562" s="68"/>
      <c r="D562" s="69"/>
      <c r="H562" s="70"/>
      <c r="K562" s="70"/>
      <c r="L562" s="71"/>
      <c r="M562" s="72"/>
      <c r="P562" s="72"/>
    </row>
    <row r="563" hidden="1">
      <c r="B563" s="68"/>
      <c r="D563" s="69"/>
      <c r="H563" s="70"/>
      <c r="K563" s="70"/>
      <c r="L563" s="71"/>
      <c r="M563" s="72"/>
      <c r="P563" s="72"/>
    </row>
    <row r="564" hidden="1">
      <c r="B564" s="68"/>
      <c r="D564" s="69"/>
      <c r="H564" s="70"/>
      <c r="K564" s="70"/>
      <c r="L564" s="71"/>
      <c r="M564" s="72"/>
      <c r="P564" s="72"/>
    </row>
    <row r="565" hidden="1">
      <c r="B565" s="68"/>
      <c r="D565" s="69"/>
      <c r="H565" s="70"/>
      <c r="K565" s="70"/>
      <c r="L565" s="71"/>
      <c r="M565" s="72"/>
      <c r="P565" s="72"/>
    </row>
    <row r="566" hidden="1">
      <c r="B566" s="68"/>
      <c r="D566" s="69"/>
      <c r="H566" s="70"/>
      <c r="K566" s="70"/>
      <c r="L566" s="71"/>
      <c r="M566" s="72"/>
      <c r="P566" s="72"/>
    </row>
    <row r="567" hidden="1">
      <c r="B567" s="68"/>
      <c r="D567" s="69"/>
      <c r="H567" s="70"/>
      <c r="K567" s="70"/>
      <c r="L567" s="71"/>
      <c r="M567" s="72"/>
      <c r="P567" s="72"/>
    </row>
    <row r="568" hidden="1">
      <c r="B568" s="68"/>
      <c r="D568" s="69"/>
      <c r="H568" s="70"/>
      <c r="K568" s="70"/>
      <c r="L568" s="71"/>
      <c r="M568" s="72"/>
      <c r="P568" s="72"/>
    </row>
    <row r="569" hidden="1">
      <c r="B569" s="68"/>
      <c r="D569" s="69"/>
      <c r="H569" s="70"/>
      <c r="K569" s="70"/>
      <c r="L569" s="71"/>
      <c r="M569" s="72"/>
      <c r="P569" s="72"/>
    </row>
    <row r="570" hidden="1">
      <c r="B570" s="68"/>
      <c r="D570" s="69"/>
      <c r="H570" s="70"/>
      <c r="K570" s="70"/>
      <c r="L570" s="71"/>
      <c r="M570" s="72"/>
      <c r="P570" s="72"/>
    </row>
    <row r="571" hidden="1">
      <c r="B571" s="68"/>
      <c r="D571" s="69"/>
      <c r="H571" s="70"/>
      <c r="K571" s="70"/>
      <c r="L571" s="71"/>
      <c r="M571" s="72"/>
      <c r="P571" s="72"/>
    </row>
    <row r="572" hidden="1">
      <c r="B572" s="68"/>
      <c r="D572" s="69"/>
      <c r="H572" s="70"/>
      <c r="K572" s="70"/>
      <c r="L572" s="71"/>
      <c r="M572" s="72"/>
      <c r="P572" s="72"/>
    </row>
    <row r="573" hidden="1">
      <c r="B573" s="68"/>
      <c r="D573" s="69"/>
      <c r="H573" s="70"/>
      <c r="K573" s="70"/>
      <c r="L573" s="71"/>
      <c r="M573" s="72"/>
      <c r="P573" s="72"/>
    </row>
    <row r="574" hidden="1">
      <c r="B574" s="68"/>
      <c r="D574" s="69"/>
      <c r="H574" s="70"/>
      <c r="K574" s="70"/>
      <c r="L574" s="71"/>
      <c r="M574" s="72"/>
      <c r="P574" s="72"/>
    </row>
    <row r="575" hidden="1">
      <c r="B575" s="68"/>
      <c r="D575" s="69"/>
      <c r="H575" s="70"/>
      <c r="K575" s="70"/>
      <c r="L575" s="71"/>
      <c r="M575" s="72"/>
      <c r="P575" s="72"/>
    </row>
    <row r="576" hidden="1">
      <c r="B576" s="68"/>
      <c r="D576" s="69"/>
      <c r="H576" s="70"/>
      <c r="K576" s="70"/>
      <c r="L576" s="71"/>
      <c r="M576" s="72"/>
      <c r="P576" s="72"/>
    </row>
    <row r="577" hidden="1">
      <c r="B577" s="68"/>
      <c r="D577" s="69"/>
      <c r="H577" s="70"/>
      <c r="K577" s="70"/>
      <c r="L577" s="71"/>
      <c r="M577" s="72"/>
      <c r="P577" s="72"/>
    </row>
    <row r="578" hidden="1">
      <c r="B578" s="68"/>
      <c r="D578" s="69"/>
      <c r="H578" s="70"/>
      <c r="K578" s="70"/>
      <c r="L578" s="71"/>
      <c r="M578" s="72"/>
      <c r="P578" s="72"/>
    </row>
    <row r="579" hidden="1">
      <c r="B579" s="68"/>
      <c r="D579" s="69"/>
      <c r="H579" s="70"/>
      <c r="K579" s="70"/>
      <c r="L579" s="71"/>
      <c r="M579" s="72"/>
      <c r="P579" s="72"/>
    </row>
    <row r="580" hidden="1">
      <c r="B580" s="68"/>
      <c r="D580" s="69"/>
      <c r="H580" s="70"/>
      <c r="K580" s="70"/>
      <c r="L580" s="71"/>
      <c r="M580" s="72"/>
      <c r="P580" s="72"/>
    </row>
    <row r="581" hidden="1">
      <c r="B581" s="68"/>
      <c r="D581" s="69"/>
      <c r="H581" s="70"/>
      <c r="K581" s="70"/>
      <c r="L581" s="71"/>
      <c r="M581" s="72"/>
      <c r="P581" s="72"/>
    </row>
    <row r="582" hidden="1">
      <c r="B582" s="68"/>
      <c r="D582" s="69"/>
      <c r="H582" s="70"/>
      <c r="K582" s="70"/>
      <c r="L582" s="71"/>
      <c r="M582" s="72"/>
      <c r="P582" s="72"/>
    </row>
    <row r="583" hidden="1">
      <c r="B583" s="68"/>
      <c r="D583" s="69"/>
      <c r="H583" s="70"/>
      <c r="K583" s="70"/>
      <c r="L583" s="71"/>
      <c r="M583" s="72"/>
      <c r="P583" s="72"/>
    </row>
    <row r="584" hidden="1">
      <c r="B584" s="68"/>
      <c r="D584" s="69"/>
      <c r="H584" s="70"/>
      <c r="K584" s="70"/>
      <c r="L584" s="71"/>
      <c r="M584" s="72"/>
      <c r="P584" s="72"/>
    </row>
    <row r="585" hidden="1">
      <c r="B585" s="68"/>
      <c r="D585" s="69"/>
      <c r="H585" s="70"/>
      <c r="K585" s="70"/>
      <c r="L585" s="71"/>
      <c r="M585" s="72"/>
      <c r="P585" s="72"/>
    </row>
    <row r="586" hidden="1">
      <c r="B586" s="68"/>
      <c r="D586" s="69"/>
      <c r="H586" s="70"/>
      <c r="K586" s="70"/>
      <c r="L586" s="71"/>
      <c r="M586" s="72"/>
      <c r="P586" s="72"/>
    </row>
    <row r="587" hidden="1">
      <c r="B587" s="68"/>
      <c r="D587" s="69"/>
      <c r="H587" s="70"/>
      <c r="K587" s="70"/>
      <c r="L587" s="71"/>
      <c r="M587" s="72"/>
      <c r="P587" s="72"/>
    </row>
    <row r="588" hidden="1">
      <c r="B588" s="68"/>
      <c r="D588" s="69"/>
      <c r="H588" s="70"/>
      <c r="K588" s="70"/>
      <c r="L588" s="71"/>
      <c r="M588" s="72"/>
      <c r="P588" s="72"/>
    </row>
    <row r="589" hidden="1">
      <c r="B589" s="68"/>
      <c r="D589" s="69"/>
      <c r="H589" s="70"/>
      <c r="K589" s="70"/>
      <c r="L589" s="71"/>
      <c r="M589" s="72"/>
      <c r="P589" s="72"/>
    </row>
    <row r="590" hidden="1">
      <c r="B590" s="68"/>
      <c r="D590" s="69"/>
      <c r="H590" s="70"/>
      <c r="K590" s="70"/>
      <c r="L590" s="71"/>
      <c r="M590" s="72"/>
      <c r="P590" s="72"/>
    </row>
    <row r="591" hidden="1">
      <c r="B591" s="68"/>
      <c r="D591" s="69"/>
      <c r="H591" s="70"/>
      <c r="K591" s="70"/>
      <c r="L591" s="71"/>
      <c r="M591" s="72"/>
      <c r="P591" s="72"/>
    </row>
    <row r="592" hidden="1">
      <c r="B592" s="68"/>
      <c r="D592" s="69"/>
      <c r="H592" s="70"/>
      <c r="K592" s="70"/>
      <c r="L592" s="71"/>
      <c r="M592" s="72"/>
      <c r="P592" s="72"/>
    </row>
    <row r="593" hidden="1">
      <c r="B593" s="68"/>
      <c r="D593" s="69"/>
      <c r="H593" s="70"/>
      <c r="K593" s="70"/>
      <c r="L593" s="71"/>
      <c r="M593" s="72"/>
      <c r="P593" s="72"/>
    </row>
    <row r="594" hidden="1">
      <c r="B594" s="68"/>
      <c r="D594" s="69"/>
      <c r="H594" s="70"/>
      <c r="K594" s="70"/>
      <c r="L594" s="71"/>
      <c r="M594" s="72"/>
      <c r="P594" s="72"/>
    </row>
    <row r="595" hidden="1">
      <c r="B595" s="68"/>
      <c r="D595" s="69"/>
      <c r="H595" s="70"/>
      <c r="K595" s="70"/>
      <c r="L595" s="71"/>
      <c r="M595" s="72"/>
      <c r="P595" s="72"/>
    </row>
    <row r="596" hidden="1">
      <c r="B596" s="68"/>
      <c r="D596" s="69"/>
      <c r="H596" s="70"/>
      <c r="K596" s="70"/>
      <c r="L596" s="71"/>
      <c r="M596" s="72"/>
      <c r="P596" s="72"/>
    </row>
    <row r="597" hidden="1">
      <c r="B597" s="68"/>
      <c r="D597" s="69"/>
      <c r="H597" s="70"/>
      <c r="K597" s="70"/>
      <c r="L597" s="71"/>
      <c r="M597" s="72"/>
      <c r="P597" s="72"/>
    </row>
    <row r="598" hidden="1">
      <c r="B598" s="68"/>
      <c r="D598" s="69"/>
      <c r="H598" s="70"/>
      <c r="K598" s="70"/>
      <c r="L598" s="71"/>
      <c r="M598" s="72"/>
      <c r="P598" s="72"/>
    </row>
    <row r="599" hidden="1">
      <c r="B599" s="68"/>
      <c r="D599" s="69"/>
      <c r="H599" s="70"/>
      <c r="K599" s="70"/>
      <c r="L599" s="71"/>
      <c r="M599" s="72"/>
      <c r="P599" s="72"/>
    </row>
    <row r="600" hidden="1">
      <c r="B600" s="68"/>
      <c r="D600" s="69"/>
      <c r="H600" s="70"/>
      <c r="K600" s="70"/>
      <c r="L600" s="71"/>
      <c r="M600" s="72"/>
      <c r="P600" s="72"/>
    </row>
    <row r="601" hidden="1">
      <c r="B601" s="68"/>
      <c r="D601" s="69"/>
      <c r="H601" s="70"/>
      <c r="K601" s="70"/>
      <c r="L601" s="71"/>
      <c r="M601" s="72"/>
      <c r="P601" s="72"/>
    </row>
    <row r="602" hidden="1">
      <c r="B602" s="68"/>
      <c r="D602" s="69"/>
      <c r="H602" s="70"/>
      <c r="K602" s="70"/>
      <c r="L602" s="71"/>
      <c r="M602" s="72"/>
      <c r="P602" s="72"/>
    </row>
    <row r="603" hidden="1">
      <c r="B603" s="68"/>
      <c r="D603" s="69"/>
      <c r="H603" s="70"/>
      <c r="K603" s="70"/>
      <c r="L603" s="71"/>
      <c r="M603" s="72"/>
      <c r="P603" s="72"/>
    </row>
    <row r="604" hidden="1">
      <c r="B604" s="68"/>
      <c r="D604" s="69"/>
      <c r="H604" s="70"/>
      <c r="K604" s="70"/>
      <c r="L604" s="71"/>
      <c r="M604" s="72"/>
      <c r="P604" s="72"/>
    </row>
    <row r="605" hidden="1">
      <c r="B605" s="68"/>
      <c r="D605" s="69"/>
      <c r="H605" s="70"/>
      <c r="K605" s="70"/>
      <c r="L605" s="71"/>
      <c r="M605" s="72"/>
      <c r="P605" s="72"/>
    </row>
    <row r="606" hidden="1">
      <c r="B606" s="68"/>
      <c r="D606" s="69"/>
      <c r="H606" s="70"/>
      <c r="K606" s="70"/>
      <c r="L606" s="71"/>
      <c r="M606" s="72"/>
      <c r="P606" s="72"/>
    </row>
    <row r="607" hidden="1">
      <c r="B607" s="68"/>
      <c r="D607" s="69"/>
      <c r="H607" s="70"/>
      <c r="K607" s="70"/>
      <c r="L607" s="71"/>
      <c r="M607" s="72"/>
      <c r="P607" s="72"/>
    </row>
    <row r="608" hidden="1">
      <c r="B608" s="68"/>
      <c r="D608" s="69"/>
      <c r="H608" s="70"/>
      <c r="K608" s="70"/>
      <c r="L608" s="71"/>
      <c r="M608" s="72"/>
      <c r="P608" s="72"/>
    </row>
    <row r="609" hidden="1">
      <c r="B609" s="68"/>
      <c r="D609" s="69"/>
      <c r="H609" s="70"/>
      <c r="K609" s="70"/>
      <c r="L609" s="71"/>
      <c r="M609" s="72"/>
      <c r="P609" s="72"/>
    </row>
    <row r="610" hidden="1">
      <c r="B610" s="68"/>
      <c r="D610" s="69"/>
      <c r="H610" s="70"/>
      <c r="K610" s="70"/>
      <c r="L610" s="71"/>
      <c r="M610" s="72"/>
      <c r="P610" s="72"/>
    </row>
    <row r="611" hidden="1">
      <c r="B611" s="68"/>
      <c r="D611" s="69"/>
      <c r="H611" s="70"/>
      <c r="K611" s="70"/>
      <c r="L611" s="71"/>
      <c r="M611" s="72"/>
      <c r="P611" s="72"/>
    </row>
    <row r="612" hidden="1">
      <c r="B612" s="68"/>
      <c r="D612" s="69"/>
      <c r="H612" s="70"/>
      <c r="K612" s="70"/>
      <c r="L612" s="71"/>
      <c r="M612" s="72"/>
      <c r="P612" s="72"/>
    </row>
    <row r="613" hidden="1">
      <c r="B613" s="68"/>
      <c r="D613" s="69"/>
      <c r="H613" s="70"/>
      <c r="K613" s="70"/>
      <c r="L613" s="71"/>
      <c r="M613" s="72"/>
      <c r="P613" s="72"/>
    </row>
    <row r="614" hidden="1">
      <c r="B614" s="68"/>
      <c r="D614" s="69"/>
      <c r="H614" s="70"/>
      <c r="K614" s="70"/>
      <c r="L614" s="71"/>
      <c r="M614" s="72"/>
      <c r="P614" s="72"/>
    </row>
    <row r="615" hidden="1">
      <c r="B615" s="68"/>
      <c r="D615" s="69"/>
      <c r="H615" s="70"/>
      <c r="K615" s="70"/>
      <c r="L615" s="71"/>
      <c r="M615" s="72"/>
      <c r="P615" s="72"/>
    </row>
    <row r="616" hidden="1">
      <c r="B616" s="68"/>
      <c r="D616" s="69"/>
      <c r="H616" s="70"/>
      <c r="K616" s="70"/>
      <c r="L616" s="71"/>
      <c r="M616" s="72"/>
      <c r="P616" s="72"/>
    </row>
    <row r="617" hidden="1">
      <c r="B617" s="68"/>
      <c r="D617" s="69"/>
      <c r="H617" s="70"/>
      <c r="K617" s="70"/>
      <c r="L617" s="71"/>
      <c r="M617" s="72"/>
      <c r="P617" s="72"/>
    </row>
    <row r="618" hidden="1">
      <c r="B618" s="68"/>
      <c r="D618" s="69"/>
      <c r="H618" s="70"/>
      <c r="K618" s="70"/>
      <c r="L618" s="71"/>
      <c r="M618" s="72"/>
      <c r="P618" s="72"/>
    </row>
    <row r="619" hidden="1">
      <c r="B619" s="68"/>
      <c r="D619" s="69"/>
      <c r="H619" s="70"/>
      <c r="K619" s="70"/>
      <c r="L619" s="71"/>
      <c r="M619" s="72"/>
      <c r="P619" s="72"/>
    </row>
    <row r="620" hidden="1">
      <c r="B620" s="68"/>
      <c r="D620" s="69"/>
      <c r="H620" s="70"/>
      <c r="K620" s="70"/>
      <c r="L620" s="71"/>
      <c r="M620" s="72"/>
      <c r="P620" s="72"/>
    </row>
    <row r="621" hidden="1">
      <c r="B621" s="68"/>
      <c r="D621" s="69"/>
      <c r="H621" s="70"/>
      <c r="K621" s="70"/>
      <c r="L621" s="71"/>
      <c r="M621" s="72"/>
      <c r="P621" s="72"/>
    </row>
    <row r="622" hidden="1">
      <c r="B622" s="68"/>
      <c r="D622" s="69"/>
      <c r="H622" s="70"/>
      <c r="K622" s="70"/>
      <c r="L622" s="71"/>
      <c r="M622" s="72"/>
      <c r="P622" s="72"/>
    </row>
    <row r="623" hidden="1">
      <c r="B623" s="68"/>
      <c r="D623" s="69"/>
      <c r="H623" s="70"/>
      <c r="K623" s="70"/>
      <c r="L623" s="71"/>
      <c r="M623" s="72"/>
      <c r="P623" s="72"/>
    </row>
    <row r="624" hidden="1">
      <c r="B624" s="68"/>
      <c r="D624" s="69"/>
      <c r="H624" s="70"/>
      <c r="K624" s="70"/>
      <c r="L624" s="71"/>
      <c r="M624" s="72"/>
      <c r="P624" s="72"/>
    </row>
    <row r="625" hidden="1">
      <c r="B625" s="68"/>
      <c r="D625" s="69"/>
      <c r="H625" s="70"/>
      <c r="K625" s="70"/>
      <c r="L625" s="71"/>
      <c r="M625" s="72"/>
      <c r="P625" s="72"/>
    </row>
    <row r="626" hidden="1">
      <c r="B626" s="68"/>
      <c r="D626" s="69"/>
      <c r="H626" s="70"/>
      <c r="K626" s="70"/>
      <c r="L626" s="71"/>
      <c r="M626" s="72"/>
      <c r="P626" s="72"/>
    </row>
    <row r="627" hidden="1">
      <c r="B627" s="68"/>
      <c r="D627" s="69"/>
      <c r="H627" s="70"/>
      <c r="K627" s="70"/>
      <c r="L627" s="71"/>
      <c r="M627" s="72"/>
      <c r="P627" s="72"/>
    </row>
    <row r="628" hidden="1">
      <c r="B628" s="68"/>
      <c r="D628" s="69"/>
      <c r="H628" s="70"/>
      <c r="K628" s="70"/>
      <c r="L628" s="71"/>
      <c r="M628" s="72"/>
      <c r="P628" s="72"/>
    </row>
    <row r="629" hidden="1">
      <c r="B629" s="68"/>
      <c r="D629" s="69"/>
      <c r="H629" s="70"/>
      <c r="K629" s="70"/>
      <c r="L629" s="71"/>
      <c r="M629" s="72"/>
      <c r="P629" s="72"/>
    </row>
    <row r="630" hidden="1">
      <c r="B630" s="68"/>
      <c r="D630" s="69"/>
      <c r="H630" s="70"/>
      <c r="K630" s="70"/>
      <c r="L630" s="71"/>
      <c r="M630" s="72"/>
      <c r="P630" s="72"/>
    </row>
    <row r="631" hidden="1">
      <c r="B631" s="68"/>
      <c r="D631" s="69"/>
      <c r="H631" s="70"/>
      <c r="K631" s="70"/>
      <c r="L631" s="71"/>
      <c r="M631" s="72"/>
      <c r="P631" s="72"/>
    </row>
    <row r="632" hidden="1">
      <c r="B632" s="68"/>
      <c r="D632" s="69"/>
      <c r="H632" s="70"/>
      <c r="K632" s="70"/>
      <c r="L632" s="71"/>
      <c r="M632" s="72"/>
      <c r="P632" s="72"/>
    </row>
    <row r="633" hidden="1">
      <c r="B633" s="68"/>
      <c r="D633" s="69"/>
      <c r="H633" s="70"/>
      <c r="K633" s="70"/>
      <c r="L633" s="71"/>
      <c r="M633" s="72"/>
      <c r="P633" s="72"/>
    </row>
    <row r="634" hidden="1">
      <c r="B634" s="68"/>
      <c r="D634" s="69"/>
      <c r="H634" s="70"/>
      <c r="K634" s="70"/>
      <c r="L634" s="71"/>
      <c r="M634" s="72"/>
      <c r="P634" s="72"/>
    </row>
    <row r="635" hidden="1">
      <c r="B635" s="68"/>
      <c r="D635" s="69"/>
      <c r="H635" s="70"/>
      <c r="K635" s="70"/>
      <c r="L635" s="71"/>
      <c r="M635" s="72"/>
      <c r="P635" s="72"/>
    </row>
    <row r="636" hidden="1">
      <c r="B636" s="68"/>
      <c r="D636" s="69"/>
      <c r="H636" s="70"/>
      <c r="K636" s="70"/>
      <c r="L636" s="71"/>
      <c r="M636" s="72"/>
      <c r="P636" s="72"/>
    </row>
    <row r="637" hidden="1">
      <c r="B637" s="68"/>
      <c r="D637" s="69"/>
      <c r="H637" s="70"/>
      <c r="K637" s="70"/>
      <c r="L637" s="71"/>
      <c r="M637" s="72"/>
      <c r="P637" s="72"/>
    </row>
    <row r="638" hidden="1">
      <c r="B638" s="68"/>
      <c r="D638" s="69"/>
      <c r="H638" s="70"/>
      <c r="K638" s="70"/>
      <c r="L638" s="71"/>
      <c r="M638" s="72"/>
      <c r="P638" s="72"/>
    </row>
    <row r="639" hidden="1">
      <c r="B639" s="68"/>
      <c r="D639" s="69"/>
      <c r="H639" s="70"/>
      <c r="K639" s="70"/>
      <c r="L639" s="71"/>
      <c r="M639" s="72"/>
      <c r="P639" s="72"/>
    </row>
    <row r="640" hidden="1">
      <c r="B640" s="68"/>
      <c r="D640" s="69"/>
      <c r="H640" s="70"/>
      <c r="K640" s="70"/>
      <c r="L640" s="71"/>
      <c r="M640" s="72"/>
      <c r="P640" s="72"/>
    </row>
    <row r="641" hidden="1">
      <c r="B641" s="68"/>
      <c r="D641" s="69"/>
      <c r="H641" s="70"/>
      <c r="K641" s="70"/>
      <c r="L641" s="71"/>
      <c r="M641" s="72"/>
      <c r="P641" s="72"/>
    </row>
    <row r="642" hidden="1">
      <c r="B642" s="68"/>
      <c r="D642" s="69"/>
      <c r="H642" s="70"/>
      <c r="K642" s="70"/>
      <c r="L642" s="71"/>
      <c r="M642" s="72"/>
      <c r="P642" s="72"/>
    </row>
    <row r="643" hidden="1">
      <c r="B643" s="68"/>
      <c r="D643" s="69"/>
      <c r="H643" s="70"/>
      <c r="K643" s="70"/>
      <c r="L643" s="71"/>
      <c r="M643" s="72"/>
      <c r="P643" s="72"/>
    </row>
    <row r="644" hidden="1">
      <c r="B644" s="68"/>
      <c r="D644" s="69"/>
      <c r="H644" s="70"/>
      <c r="K644" s="70"/>
      <c r="L644" s="71"/>
      <c r="M644" s="72"/>
      <c r="P644" s="72"/>
    </row>
    <row r="645" hidden="1">
      <c r="B645" s="68"/>
      <c r="D645" s="69"/>
      <c r="H645" s="70"/>
      <c r="K645" s="70"/>
      <c r="L645" s="71"/>
      <c r="M645" s="72"/>
      <c r="P645" s="72"/>
    </row>
    <row r="646" hidden="1">
      <c r="B646" s="68"/>
      <c r="D646" s="69"/>
      <c r="H646" s="70"/>
      <c r="K646" s="70"/>
      <c r="L646" s="71"/>
      <c r="M646" s="72"/>
      <c r="P646" s="72"/>
    </row>
    <row r="647" hidden="1">
      <c r="B647" s="68"/>
      <c r="D647" s="69"/>
      <c r="H647" s="70"/>
      <c r="K647" s="70"/>
      <c r="L647" s="71"/>
      <c r="M647" s="72"/>
      <c r="P647" s="72"/>
    </row>
    <row r="648" hidden="1">
      <c r="B648" s="68"/>
      <c r="D648" s="69"/>
      <c r="H648" s="70"/>
      <c r="K648" s="70"/>
      <c r="L648" s="71"/>
      <c r="M648" s="72"/>
      <c r="P648" s="72"/>
    </row>
    <row r="649" hidden="1">
      <c r="B649" s="68"/>
      <c r="D649" s="69"/>
      <c r="H649" s="70"/>
      <c r="K649" s="70"/>
      <c r="L649" s="71"/>
      <c r="M649" s="72"/>
      <c r="P649" s="72"/>
    </row>
    <row r="650" hidden="1">
      <c r="B650" s="68"/>
      <c r="D650" s="69"/>
      <c r="H650" s="70"/>
      <c r="K650" s="70"/>
      <c r="L650" s="71"/>
      <c r="M650" s="72"/>
      <c r="P650" s="72"/>
    </row>
    <row r="651" hidden="1">
      <c r="B651" s="68"/>
      <c r="D651" s="69"/>
      <c r="H651" s="70"/>
      <c r="K651" s="70"/>
      <c r="L651" s="71"/>
      <c r="M651" s="72"/>
      <c r="P651" s="72"/>
    </row>
    <row r="652" hidden="1">
      <c r="B652" s="68"/>
      <c r="D652" s="69"/>
      <c r="H652" s="70"/>
      <c r="K652" s="70"/>
      <c r="L652" s="71"/>
      <c r="M652" s="72"/>
      <c r="P652" s="72"/>
    </row>
    <row r="653" hidden="1">
      <c r="B653" s="68"/>
      <c r="D653" s="69"/>
      <c r="H653" s="70"/>
      <c r="K653" s="70"/>
      <c r="L653" s="71"/>
      <c r="M653" s="72"/>
      <c r="P653" s="72"/>
    </row>
    <row r="654" hidden="1">
      <c r="B654" s="68"/>
      <c r="D654" s="69"/>
      <c r="H654" s="70"/>
      <c r="K654" s="70"/>
      <c r="L654" s="71"/>
      <c r="M654" s="72"/>
      <c r="P654" s="72"/>
    </row>
    <row r="655" hidden="1">
      <c r="B655" s="68"/>
      <c r="D655" s="69"/>
      <c r="H655" s="70"/>
      <c r="K655" s="70"/>
      <c r="L655" s="71"/>
      <c r="M655" s="72"/>
      <c r="P655" s="72"/>
    </row>
    <row r="656" hidden="1">
      <c r="B656" s="68"/>
      <c r="D656" s="69"/>
      <c r="H656" s="70"/>
      <c r="K656" s="70"/>
      <c r="L656" s="71"/>
      <c r="M656" s="72"/>
      <c r="P656" s="72"/>
    </row>
    <row r="657" hidden="1">
      <c r="B657" s="68"/>
      <c r="D657" s="69"/>
      <c r="H657" s="70"/>
      <c r="K657" s="70"/>
      <c r="L657" s="71"/>
      <c r="M657" s="72"/>
      <c r="P657" s="72"/>
    </row>
    <row r="658" hidden="1">
      <c r="B658" s="68"/>
      <c r="D658" s="69"/>
      <c r="H658" s="70"/>
      <c r="K658" s="70"/>
      <c r="L658" s="71"/>
      <c r="M658" s="72"/>
      <c r="P658" s="72"/>
    </row>
    <row r="659" hidden="1">
      <c r="B659" s="68"/>
      <c r="D659" s="69"/>
      <c r="H659" s="70"/>
      <c r="K659" s="70"/>
      <c r="L659" s="71"/>
      <c r="M659" s="72"/>
      <c r="P659" s="72"/>
    </row>
    <row r="660" hidden="1">
      <c r="B660" s="68"/>
      <c r="D660" s="69"/>
      <c r="H660" s="70"/>
      <c r="K660" s="70"/>
      <c r="L660" s="71"/>
      <c r="M660" s="72"/>
      <c r="P660" s="72"/>
    </row>
    <row r="661" hidden="1">
      <c r="B661" s="68"/>
      <c r="D661" s="69"/>
      <c r="H661" s="70"/>
      <c r="K661" s="70"/>
      <c r="L661" s="71"/>
      <c r="M661" s="72"/>
      <c r="P661" s="72"/>
    </row>
    <row r="662" hidden="1">
      <c r="B662" s="68"/>
      <c r="D662" s="69"/>
      <c r="H662" s="70"/>
      <c r="K662" s="70"/>
      <c r="L662" s="71"/>
      <c r="M662" s="72"/>
      <c r="P662" s="72"/>
    </row>
    <row r="663" hidden="1">
      <c r="B663" s="68"/>
      <c r="D663" s="69"/>
      <c r="H663" s="70"/>
      <c r="K663" s="70"/>
      <c r="L663" s="71"/>
      <c r="M663" s="72"/>
      <c r="P663" s="72"/>
    </row>
    <row r="664" hidden="1">
      <c r="B664" s="68"/>
      <c r="D664" s="69"/>
      <c r="H664" s="70"/>
      <c r="K664" s="70"/>
      <c r="L664" s="71"/>
      <c r="M664" s="72"/>
      <c r="P664" s="72"/>
    </row>
    <row r="665" hidden="1">
      <c r="B665" s="68"/>
      <c r="D665" s="69"/>
      <c r="H665" s="70"/>
      <c r="K665" s="70"/>
      <c r="L665" s="71"/>
      <c r="M665" s="72"/>
      <c r="P665" s="72"/>
    </row>
    <row r="666" hidden="1">
      <c r="B666" s="68"/>
      <c r="D666" s="69"/>
      <c r="H666" s="70"/>
      <c r="K666" s="70"/>
      <c r="L666" s="71"/>
      <c r="M666" s="72"/>
      <c r="P666" s="72"/>
    </row>
    <row r="667" hidden="1">
      <c r="B667" s="68"/>
      <c r="D667" s="69"/>
      <c r="H667" s="70"/>
      <c r="K667" s="70"/>
      <c r="L667" s="71"/>
      <c r="M667" s="72"/>
      <c r="P667" s="72"/>
    </row>
    <row r="668" hidden="1">
      <c r="B668" s="68"/>
      <c r="D668" s="69"/>
      <c r="H668" s="70"/>
      <c r="K668" s="70"/>
      <c r="L668" s="71"/>
      <c r="M668" s="72"/>
      <c r="P668" s="72"/>
    </row>
    <row r="669" hidden="1">
      <c r="B669" s="68"/>
      <c r="D669" s="69"/>
      <c r="H669" s="70"/>
      <c r="K669" s="70"/>
      <c r="L669" s="71"/>
      <c r="M669" s="72"/>
      <c r="P669" s="72"/>
    </row>
    <row r="670" hidden="1">
      <c r="B670" s="68"/>
      <c r="D670" s="69"/>
      <c r="H670" s="70"/>
      <c r="K670" s="70"/>
      <c r="L670" s="71"/>
      <c r="M670" s="72"/>
      <c r="P670" s="72"/>
    </row>
    <row r="671" hidden="1">
      <c r="B671" s="68"/>
      <c r="D671" s="69"/>
      <c r="H671" s="70"/>
      <c r="K671" s="70"/>
      <c r="L671" s="71"/>
      <c r="M671" s="72"/>
      <c r="P671" s="72"/>
    </row>
    <row r="672" hidden="1">
      <c r="B672" s="68"/>
      <c r="D672" s="69"/>
      <c r="H672" s="70"/>
      <c r="K672" s="70"/>
      <c r="L672" s="71"/>
      <c r="M672" s="72"/>
      <c r="P672" s="72"/>
    </row>
    <row r="673" hidden="1">
      <c r="B673" s="68"/>
      <c r="D673" s="69"/>
      <c r="H673" s="70"/>
      <c r="K673" s="70"/>
      <c r="L673" s="71"/>
      <c r="M673" s="72"/>
      <c r="P673" s="72"/>
    </row>
    <row r="674" hidden="1">
      <c r="B674" s="68"/>
      <c r="D674" s="69"/>
      <c r="H674" s="70"/>
      <c r="K674" s="70"/>
      <c r="L674" s="71"/>
      <c r="M674" s="72"/>
      <c r="P674" s="72"/>
    </row>
    <row r="675" hidden="1">
      <c r="B675" s="68"/>
      <c r="D675" s="69"/>
      <c r="H675" s="70"/>
      <c r="K675" s="70"/>
      <c r="L675" s="71"/>
      <c r="M675" s="72"/>
      <c r="P675" s="72"/>
    </row>
    <row r="676" hidden="1">
      <c r="B676" s="68"/>
      <c r="D676" s="69"/>
      <c r="H676" s="70"/>
      <c r="K676" s="70"/>
      <c r="L676" s="71"/>
      <c r="M676" s="72"/>
      <c r="P676" s="72"/>
    </row>
    <row r="677" hidden="1">
      <c r="B677" s="68"/>
      <c r="D677" s="69"/>
      <c r="H677" s="70"/>
      <c r="K677" s="70"/>
      <c r="L677" s="71"/>
      <c r="M677" s="72"/>
      <c r="P677" s="72"/>
    </row>
    <row r="678" hidden="1">
      <c r="B678" s="68"/>
      <c r="D678" s="69"/>
      <c r="H678" s="70"/>
      <c r="K678" s="70"/>
      <c r="L678" s="71"/>
      <c r="M678" s="72"/>
      <c r="P678" s="72"/>
    </row>
    <row r="679" hidden="1">
      <c r="B679" s="68"/>
      <c r="D679" s="69"/>
      <c r="H679" s="70"/>
      <c r="K679" s="70"/>
      <c r="L679" s="71"/>
      <c r="M679" s="72"/>
      <c r="P679" s="72"/>
    </row>
    <row r="680" hidden="1">
      <c r="B680" s="68"/>
      <c r="D680" s="69"/>
      <c r="H680" s="70"/>
      <c r="K680" s="70"/>
      <c r="L680" s="71"/>
      <c r="M680" s="72"/>
      <c r="P680" s="72"/>
    </row>
    <row r="681" hidden="1">
      <c r="B681" s="68"/>
      <c r="D681" s="69"/>
      <c r="H681" s="70"/>
      <c r="K681" s="70"/>
      <c r="L681" s="71"/>
      <c r="M681" s="72"/>
      <c r="P681" s="72"/>
    </row>
    <row r="682" hidden="1">
      <c r="B682" s="68"/>
      <c r="D682" s="69"/>
      <c r="H682" s="70"/>
      <c r="K682" s="70"/>
      <c r="L682" s="71"/>
      <c r="M682" s="72"/>
      <c r="P682" s="72"/>
    </row>
    <row r="683" hidden="1">
      <c r="B683" s="68"/>
      <c r="D683" s="69"/>
      <c r="H683" s="70"/>
      <c r="K683" s="70"/>
      <c r="L683" s="71"/>
      <c r="M683" s="72"/>
      <c r="P683" s="72"/>
    </row>
    <row r="684" hidden="1">
      <c r="B684" s="68"/>
      <c r="D684" s="69"/>
      <c r="H684" s="70"/>
      <c r="K684" s="70"/>
      <c r="L684" s="71"/>
      <c r="M684" s="72"/>
      <c r="P684" s="72"/>
    </row>
    <row r="685" hidden="1">
      <c r="B685" s="68"/>
      <c r="D685" s="69"/>
      <c r="H685" s="70"/>
      <c r="K685" s="70"/>
      <c r="L685" s="71"/>
      <c r="M685" s="72"/>
      <c r="P685" s="72"/>
    </row>
    <row r="686" hidden="1">
      <c r="B686" s="68"/>
      <c r="D686" s="69"/>
      <c r="H686" s="70"/>
      <c r="K686" s="70"/>
      <c r="L686" s="71"/>
      <c r="M686" s="72"/>
      <c r="P686" s="72"/>
    </row>
    <row r="687" hidden="1">
      <c r="B687" s="68"/>
      <c r="D687" s="69"/>
      <c r="H687" s="70"/>
      <c r="K687" s="70"/>
      <c r="L687" s="71"/>
      <c r="M687" s="72"/>
      <c r="P687" s="72"/>
    </row>
    <row r="688" hidden="1">
      <c r="B688" s="68"/>
      <c r="D688" s="69"/>
      <c r="H688" s="70"/>
      <c r="K688" s="70"/>
      <c r="L688" s="71"/>
      <c r="M688" s="72"/>
      <c r="P688" s="72"/>
    </row>
    <row r="689" hidden="1">
      <c r="B689" s="68"/>
      <c r="D689" s="69"/>
      <c r="H689" s="70"/>
      <c r="K689" s="70"/>
      <c r="L689" s="71"/>
      <c r="M689" s="72"/>
      <c r="P689" s="72"/>
    </row>
    <row r="690" hidden="1">
      <c r="B690" s="68"/>
      <c r="D690" s="69"/>
      <c r="H690" s="70"/>
      <c r="K690" s="70"/>
      <c r="L690" s="71"/>
      <c r="M690" s="72"/>
      <c r="P690" s="72"/>
    </row>
    <row r="691" hidden="1">
      <c r="B691" s="68"/>
      <c r="D691" s="69"/>
      <c r="H691" s="70"/>
      <c r="K691" s="70"/>
      <c r="L691" s="71"/>
      <c r="M691" s="72"/>
      <c r="P691" s="72"/>
    </row>
    <row r="692" hidden="1">
      <c r="B692" s="68"/>
      <c r="D692" s="69"/>
      <c r="H692" s="70"/>
      <c r="K692" s="70"/>
      <c r="L692" s="71"/>
      <c r="M692" s="72"/>
      <c r="P692" s="72"/>
    </row>
    <row r="693" hidden="1">
      <c r="B693" s="68"/>
      <c r="D693" s="69"/>
      <c r="H693" s="70"/>
      <c r="K693" s="70"/>
      <c r="L693" s="71"/>
      <c r="M693" s="72"/>
      <c r="P693" s="72"/>
    </row>
    <row r="694" hidden="1">
      <c r="B694" s="68"/>
      <c r="D694" s="69"/>
      <c r="H694" s="70"/>
      <c r="K694" s="70"/>
      <c r="L694" s="71"/>
      <c r="M694" s="72"/>
      <c r="P694" s="72"/>
    </row>
    <row r="695" hidden="1">
      <c r="B695" s="68"/>
      <c r="D695" s="69"/>
      <c r="H695" s="70"/>
      <c r="K695" s="70"/>
      <c r="L695" s="71"/>
      <c r="M695" s="72"/>
      <c r="P695" s="72"/>
    </row>
    <row r="696" hidden="1">
      <c r="B696" s="68"/>
      <c r="D696" s="69"/>
      <c r="H696" s="70"/>
      <c r="K696" s="70"/>
      <c r="L696" s="71"/>
      <c r="M696" s="72"/>
      <c r="P696" s="72"/>
    </row>
    <row r="697" hidden="1">
      <c r="B697" s="68"/>
      <c r="D697" s="69"/>
      <c r="H697" s="70"/>
      <c r="K697" s="70"/>
      <c r="L697" s="71"/>
      <c r="M697" s="72"/>
      <c r="P697" s="72"/>
    </row>
    <row r="698" hidden="1">
      <c r="B698" s="68"/>
      <c r="D698" s="69"/>
      <c r="H698" s="70"/>
      <c r="K698" s="70"/>
      <c r="L698" s="71"/>
      <c r="M698" s="72"/>
      <c r="P698" s="72"/>
    </row>
    <row r="699" hidden="1">
      <c r="B699" s="68"/>
      <c r="D699" s="69"/>
      <c r="H699" s="70"/>
      <c r="K699" s="70"/>
      <c r="L699" s="71"/>
      <c r="M699" s="72"/>
      <c r="P699" s="72"/>
    </row>
    <row r="700" hidden="1">
      <c r="B700" s="68"/>
      <c r="D700" s="69"/>
      <c r="H700" s="70"/>
      <c r="K700" s="70"/>
      <c r="L700" s="71"/>
      <c r="M700" s="72"/>
      <c r="P700" s="72"/>
    </row>
    <row r="701" hidden="1">
      <c r="B701" s="68"/>
      <c r="D701" s="69"/>
      <c r="H701" s="70"/>
      <c r="K701" s="70"/>
      <c r="L701" s="71"/>
      <c r="M701" s="72"/>
      <c r="P701" s="72"/>
    </row>
    <row r="702" hidden="1">
      <c r="B702" s="68"/>
      <c r="D702" s="69"/>
      <c r="H702" s="70"/>
      <c r="K702" s="70"/>
      <c r="L702" s="71"/>
      <c r="M702" s="72"/>
      <c r="P702" s="72"/>
    </row>
    <row r="703" hidden="1">
      <c r="B703" s="68"/>
      <c r="D703" s="69"/>
      <c r="H703" s="70"/>
      <c r="K703" s="70"/>
      <c r="L703" s="71"/>
      <c r="M703" s="72"/>
      <c r="P703" s="72"/>
    </row>
    <row r="704" hidden="1">
      <c r="B704" s="68"/>
      <c r="D704" s="69"/>
      <c r="H704" s="70"/>
      <c r="K704" s="70"/>
      <c r="L704" s="71"/>
      <c r="M704" s="72"/>
      <c r="P704" s="72"/>
    </row>
    <row r="705" hidden="1">
      <c r="B705" s="68"/>
      <c r="D705" s="69"/>
      <c r="H705" s="70"/>
      <c r="K705" s="70"/>
      <c r="L705" s="71"/>
      <c r="M705" s="72"/>
      <c r="P705" s="72"/>
    </row>
    <row r="706" hidden="1">
      <c r="B706" s="68"/>
      <c r="D706" s="69"/>
      <c r="H706" s="70"/>
      <c r="K706" s="70"/>
      <c r="L706" s="71"/>
      <c r="M706" s="72"/>
      <c r="P706" s="72"/>
    </row>
    <row r="707" hidden="1">
      <c r="B707" s="68"/>
      <c r="D707" s="69"/>
      <c r="H707" s="70"/>
      <c r="K707" s="70"/>
      <c r="L707" s="71"/>
      <c r="M707" s="72"/>
      <c r="P707" s="72"/>
    </row>
    <row r="708" hidden="1">
      <c r="B708" s="68"/>
      <c r="D708" s="69"/>
      <c r="H708" s="70"/>
      <c r="K708" s="70"/>
      <c r="L708" s="71"/>
      <c r="M708" s="72"/>
      <c r="P708" s="72"/>
    </row>
    <row r="709" hidden="1">
      <c r="B709" s="68"/>
      <c r="D709" s="69"/>
      <c r="H709" s="70"/>
      <c r="K709" s="70"/>
      <c r="L709" s="71"/>
      <c r="M709" s="72"/>
      <c r="P709" s="72"/>
    </row>
    <row r="710" hidden="1">
      <c r="B710" s="68"/>
      <c r="D710" s="69"/>
      <c r="H710" s="70"/>
      <c r="K710" s="70"/>
      <c r="L710" s="71"/>
      <c r="M710" s="72"/>
      <c r="P710" s="72"/>
    </row>
    <row r="711" hidden="1">
      <c r="B711" s="68"/>
      <c r="D711" s="69"/>
      <c r="H711" s="70"/>
      <c r="K711" s="70"/>
      <c r="L711" s="71"/>
      <c r="M711" s="72"/>
      <c r="P711" s="72"/>
    </row>
    <row r="712" hidden="1">
      <c r="B712" s="68"/>
      <c r="D712" s="69"/>
      <c r="H712" s="70"/>
      <c r="K712" s="70"/>
      <c r="L712" s="71"/>
      <c r="M712" s="72"/>
      <c r="P712" s="72"/>
    </row>
    <row r="713" hidden="1">
      <c r="B713" s="68"/>
      <c r="D713" s="69"/>
      <c r="H713" s="70"/>
      <c r="K713" s="70"/>
      <c r="L713" s="71"/>
      <c r="M713" s="72"/>
      <c r="P713" s="72"/>
    </row>
    <row r="714" hidden="1">
      <c r="B714" s="68"/>
      <c r="D714" s="69"/>
      <c r="H714" s="70"/>
      <c r="K714" s="70"/>
      <c r="L714" s="71"/>
      <c r="M714" s="72"/>
      <c r="P714" s="72"/>
    </row>
    <row r="715" hidden="1">
      <c r="B715" s="68"/>
      <c r="D715" s="69"/>
      <c r="H715" s="70"/>
      <c r="K715" s="70"/>
      <c r="L715" s="71"/>
      <c r="M715" s="72"/>
      <c r="P715" s="72"/>
    </row>
    <row r="716" hidden="1">
      <c r="B716" s="68"/>
      <c r="D716" s="69"/>
      <c r="H716" s="70"/>
      <c r="K716" s="70"/>
      <c r="L716" s="71"/>
      <c r="M716" s="72"/>
      <c r="P716" s="72"/>
    </row>
    <row r="717" hidden="1">
      <c r="B717" s="68"/>
      <c r="D717" s="69"/>
      <c r="H717" s="70"/>
      <c r="K717" s="70"/>
      <c r="L717" s="71"/>
      <c r="M717" s="72"/>
      <c r="P717" s="72"/>
    </row>
    <row r="718" hidden="1">
      <c r="B718" s="68"/>
      <c r="D718" s="69"/>
      <c r="H718" s="70"/>
      <c r="K718" s="70"/>
      <c r="L718" s="71"/>
      <c r="M718" s="72"/>
      <c r="P718" s="72"/>
    </row>
    <row r="719" hidden="1">
      <c r="B719" s="68"/>
      <c r="D719" s="69"/>
      <c r="H719" s="70"/>
      <c r="K719" s="70"/>
      <c r="L719" s="71"/>
      <c r="M719" s="72"/>
      <c r="P719" s="72"/>
    </row>
    <row r="720" hidden="1">
      <c r="B720" s="68"/>
      <c r="D720" s="69"/>
      <c r="H720" s="70"/>
      <c r="K720" s="70"/>
      <c r="L720" s="71"/>
      <c r="M720" s="72"/>
      <c r="P720" s="72"/>
    </row>
    <row r="721" hidden="1">
      <c r="B721" s="68"/>
      <c r="D721" s="69"/>
      <c r="H721" s="70"/>
      <c r="K721" s="70"/>
      <c r="L721" s="71"/>
      <c r="M721" s="72"/>
      <c r="P721" s="72"/>
    </row>
    <row r="722" hidden="1">
      <c r="B722" s="68"/>
      <c r="D722" s="69"/>
      <c r="H722" s="70"/>
      <c r="K722" s="70"/>
      <c r="L722" s="71"/>
      <c r="M722" s="72"/>
      <c r="P722" s="72"/>
    </row>
    <row r="723" hidden="1">
      <c r="B723" s="68"/>
      <c r="D723" s="69"/>
      <c r="H723" s="70"/>
      <c r="K723" s="70"/>
      <c r="L723" s="71"/>
      <c r="M723" s="72"/>
      <c r="P723" s="72"/>
    </row>
    <row r="724" hidden="1">
      <c r="B724" s="68"/>
      <c r="D724" s="69"/>
      <c r="H724" s="70"/>
      <c r="K724" s="70"/>
      <c r="L724" s="71"/>
      <c r="M724" s="72"/>
      <c r="P724" s="72"/>
    </row>
    <row r="725" hidden="1">
      <c r="B725" s="68"/>
      <c r="D725" s="69"/>
      <c r="H725" s="70"/>
      <c r="K725" s="70"/>
      <c r="L725" s="71"/>
      <c r="M725" s="72"/>
      <c r="P725" s="72"/>
    </row>
    <row r="726" hidden="1">
      <c r="B726" s="68"/>
      <c r="D726" s="69"/>
      <c r="H726" s="70"/>
      <c r="K726" s="70"/>
      <c r="L726" s="71"/>
      <c r="M726" s="72"/>
      <c r="P726" s="72"/>
    </row>
    <row r="727" hidden="1">
      <c r="B727" s="68"/>
      <c r="D727" s="69"/>
      <c r="H727" s="70"/>
      <c r="K727" s="70"/>
      <c r="L727" s="71"/>
      <c r="M727" s="72"/>
      <c r="P727" s="72"/>
    </row>
    <row r="728" hidden="1">
      <c r="B728" s="68"/>
      <c r="D728" s="69"/>
      <c r="H728" s="70"/>
      <c r="K728" s="70"/>
      <c r="L728" s="71"/>
      <c r="M728" s="72"/>
      <c r="P728" s="72"/>
    </row>
    <row r="729" hidden="1">
      <c r="B729" s="68"/>
      <c r="D729" s="69"/>
      <c r="H729" s="70"/>
      <c r="K729" s="70"/>
      <c r="L729" s="71"/>
      <c r="M729" s="72"/>
      <c r="P729" s="72"/>
    </row>
    <row r="730" hidden="1">
      <c r="B730" s="68"/>
      <c r="D730" s="69"/>
      <c r="H730" s="70"/>
      <c r="K730" s="70"/>
      <c r="L730" s="71"/>
      <c r="M730" s="72"/>
      <c r="P730" s="72"/>
    </row>
    <row r="731" hidden="1">
      <c r="B731" s="68"/>
      <c r="D731" s="69"/>
      <c r="H731" s="70"/>
      <c r="K731" s="70"/>
      <c r="L731" s="71"/>
      <c r="M731" s="72"/>
      <c r="P731" s="72"/>
    </row>
    <row r="732" hidden="1">
      <c r="B732" s="68"/>
      <c r="D732" s="69"/>
      <c r="H732" s="70"/>
      <c r="K732" s="70"/>
      <c r="L732" s="71"/>
      <c r="M732" s="72"/>
      <c r="P732" s="72"/>
    </row>
    <row r="733" hidden="1">
      <c r="B733" s="68"/>
      <c r="D733" s="69"/>
      <c r="H733" s="70"/>
      <c r="K733" s="70"/>
      <c r="L733" s="71"/>
      <c r="M733" s="72"/>
      <c r="P733" s="72"/>
    </row>
    <row r="734" hidden="1">
      <c r="B734" s="68"/>
      <c r="D734" s="69"/>
      <c r="H734" s="70"/>
      <c r="K734" s="70"/>
      <c r="L734" s="71"/>
      <c r="M734" s="72"/>
      <c r="P734" s="72"/>
    </row>
    <row r="735" hidden="1">
      <c r="B735" s="68"/>
      <c r="D735" s="69"/>
      <c r="H735" s="70"/>
      <c r="K735" s="70"/>
      <c r="L735" s="71"/>
      <c r="M735" s="72"/>
      <c r="P735" s="72"/>
    </row>
    <row r="736" hidden="1">
      <c r="B736" s="68"/>
      <c r="D736" s="69"/>
      <c r="H736" s="70"/>
      <c r="K736" s="70"/>
      <c r="L736" s="71"/>
      <c r="M736" s="72"/>
      <c r="P736" s="72"/>
    </row>
    <row r="737" hidden="1">
      <c r="B737" s="68"/>
      <c r="D737" s="69"/>
      <c r="H737" s="70"/>
      <c r="K737" s="70"/>
      <c r="L737" s="71"/>
      <c r="M737" s="72"/>
      <c r="P737" s="72"/>
    </row>
    <row r="738" hidden="1">
      <c r="B738" s="68"/>
      <c r="D738" s="69"/>
      <c r="H738" s="70"/>
      <c r="K738" s="70"/>
      <c r="L738" s="71"/>
      <c r="M738" s="72"/>
      <c r="P738" s="72"/>
    </row>
    <row r="739" hidden="1">
      <c r="B739" s="68"/>
      <c r="D739" s="69"/>
      <c r="H739" s="70"/>
      <c r="K739" s="70"/>
      <c r="L739" s="71"/>
      <c r="M739" s="72"/>
      <c r="P739" s="72"/>
    </row>
    <row r="740" hidden="1">
      <c r="B740" s="68"/>
      <c r="D740" s="69"/>
      <c r="H740" s="70"/>
      <c r="K740" s="70"/>
      <c r="L740" s="71"/>
      <c r="M740" s="72"/>
      <c r="P740" s="72"/>
    </row>
    <row r="741" hidden="1">
      <c r="B741" s="68"/>
      <c r="D741" s="69"/>
      <c r="H741" s="70"/>
      <c r="K741" s="70"/>
      <c r="L741" s="71"/>
      <c r="M741" s="72"/>
      <c r="P741" s="72"/>
    </row>
    <row r="742" hidden="1">
      <c r="B742" s="68"/>
      <c r="D742" s="69"/>
      <c r="H742" s="70"/>
      <c r="K742" s="70"/>
      <c r="L742" s="71"/>
      <c r="M742" s="72"/>
      <c r="P742" s="72"/>
    </row>
    <row r="743" hidden="1">
      <c r="B743" s="68"/>
      <c r="D743" s="69"/>
      <c r="H743" s="70"/>
      <c r="K743" s="70"/>
      <c r="L743" s="71"/>
      <c r="M743" s="72"/>
      <c r="P743" s="72"/>
    </row>
    <row r="744" hidden="1">
      <c r="B744" s="68"/>
      <c r="D744" s="69"/>
      <c r="H744" s="70"/>
      <c r="K744" s="70"/>
      <c r="L744" s="71"/>
      <c r="M744" s="72"/>
      <c r="P744" s="72"/>
    </row>
    <row r="745" hidden="1">
      <c r="B745" s="68"/>
      <c r="D745" s="69"/>
      <c r="H745" s="70"/>
      <c r="K745" s="70"/>
      <c r="L745" s="71"/>
      <c r="M745" s="72"/>
      <c r="P745" s="72"/>
    </row>
    <row r="746" hidden="1">
      <c r="B746" s="68"/>
      <c r="D746" s="69"/>
      <c r="H746" s="70"/>
      <c r="K746" s="70"/>
      <c r="L746" s="71"/>
      <c r="M746" s="72"/>
      <c r="P746" s="72"/>
    </row>
    <row r="747" hidden="1">
      <c r="B747" s="68"/>
      <c r="D747" s="69"/>
      <c r="H747" s="70"/>
      <c r="K747" s="70"/>
      <c r="L747" s="71"/>
      <c r="M747" s="72"/>
      <c r="P747" s="72"/>
    </row>
    <row r="748" hidden="1">
      <c r="B748" s="68"/>
      <c r="D748" s="69"/>
      <c r="H748" s="70"/>
      <c r="K748" s="70"/>
      <c r="L748" s="71"/>
      <c r="M748" s="72"/>
      <c r="P748" s="72"/>
    </row>
    <row r="749" hidden="1">
      <c r="B749" s="68"/>
      <c r="D749" s="69"/>
      <c r="H749" s="70"/>
      <c r="K749" s="70"/>
      <c r="L749" s="71"/>
      <c r="M749" s="72"/>
      <c r="P749" s="72"/>
    </row>
    <row r="750" hidden="1">
      <c r="B750" s="68"/>
      <c r="D750" s="69"/>
      <c r="H750" s="70"/>
      <c r="K750" s="70"/>
      <c r="L750" s="71"/>
      <c r="M750" s="72"/>
      <c r="P750" s="72"/>
    </row>
    <row r="751" hidden="1">
      <c r="B751" s="68"/>
      <c r="D751" s="69"/>
      <c r="H751" s="70"/>
      <c r="K751" s="70"/>
      <c r="L751" s="71"/>
      <c r="M751" s="72"/>
      <c r="P751" s="72"/>
    </row>
    <row r="752" hidden="1">
      <c r="B752" s="68"/>
      <c r="D752" s="69"/>
      <c r="H752" s="70"/>
      <c r="K752" s="70"/>
      <c r="L752" s="71"/>
      <c r="M752" s="72"/>
      <c r="P752" s="72"/>
    </row>
    <row r="753" hidden="1">
      <c r="B753" s="68"/>
      <c r="D753" s="69"/>
      <c r="H753" s="70"/>
      <c r="K753" s="70"/>
      <c r="L753" s="71"/>
      <c r="M753" s="72"/>
      <c r="P753" s="72"/>
    </row>
    <row r="754" hidden="1">
      <c r="B754" s="68"/>
      <c r="D754" s="69"/>
      <c r="H754" s="70"/>
      <c r="K754" s="70"/>
      <c r="L754" s="71"/>
      <c r="M754" s="72"/>
      <c r="P754" s="72"/>
    </row>
    <row r="755" hidden="1">
      <c r="B755" s="68"/>
      <c r="D755" s="69"/>
      <c r="H755" s="70"/>
      <c r="K755" s="70"/>
      <c r="L755" s="71"/>
      <c r="M755" s="72"/>
      <c r="P755" s="72"/>
    </row>
    <row r="756" hidden="1">
      <c r="B756" s="68"/>
      <c r="D756" s="69"/>
      <c r="H756" s="70"/>
      <c r="K756" s="70"/>
      <c r="L756" s="71"/>
      <c r="M756" s="72"/>
      <c r="P756" s="72"/>
    </row>
    <row r="757" hidden="1">
      <c r="B757" s="68"/>
      <c r="D757" s="69"/>
      <c r="H757" s="70"/>
      <c r="K757" s="70"/>
      <c r="L757" s="71"/>
      <c r="M757" s="72"/>
      <c r="P757" s="72"/>
    </row>
    <row r="758" hidden="1">
      <c r="B758" s="68"/>
      <c r="D758" s="69"/>
      <c r="H758" s="70"/>
      <c r="K758" s="70"/>
      <c r="L758" s="71"/>
      <c r="M758" s="72"/>
      <c r="P758" s="72"/>
    </row>
    <row r="759" hidden="1">
      <c r="B759" s="68"/>
      <c r="D759" s="69"/>
      <c r="H759" s="70"/>
      <c r="K759" s="70"/>
      <c r="L759" s="71"/>
      <c r="M759" s="72"/>
      <c r="P759" s="72"/>
    </row>
    <row r="760" hidden="1">
      <c r="B760" s="68"/>
      <c r="D760" s="69"/>
      <c r="H760" s="70"/>
      <c r="K760" s="70"/>
      <c r="L760" s="71"/>
      <c r="M760" s="72"/>
      <c r="P760" s="72"/>
    </row>
    <row r="761" hidden="1">
      <c r="B761" s="68"/>
      <c r="D761" s="69"/>
      <c r="H761" s="70"/>
      <c r="K761" s="70"/>
      <c r="L761" s="71"/>
      <c r="M761" s="72"/>
      <c r="P761" s="72"/>
    </row>
    <row r="762" hidden="1">
      <c r="B762" s="68"/>
      <c r="D762" s="69"/>
      <c r="H762" s="70"/>
      <c r="K762" s="70"/>
      <c r="L762" s="71"/>
      <c r="M762" s="72"/>
      <c r="P762" s="72"/>
    </row>
    <row r="763" hidden="1">
      <c r="B763" s="68"/>
      <c r="D763" s="69"/>
      <c r="H763" s="70"/>
      <c r="K763" s="70"/>
      <c r="L763" s="71"/>
      <c r="M763" s="72"/>
      <c r="P763" s="72"/>
    </row>
    <row r="764" hidden="1">
      <c r="B764" s="68"/>
      <c r="D764" s="69"/>
      <c r="H764" s="70"/>
      <c r="K764" s="70"/>
      <c r="L764" s="71"/>
      <c r="M764" s="72"/>
      <c r="P764" s="72"/>
    </row>
    <row r="765" hidden="1">
      <c r="B765" s="68"/>
      <c r="D765" s="69"/>
      <c r="H765" s="70"/>
      <c r="K765" s="70"/>
      <c r="L765" s="71"/>
      <c r="M765" s="72"/>
      <c r="P765" s="72"/>
    </row>
    <row r="766" hidden="1">
      <c r="B766" s="68"/>
      <c r="D766" s="69"/>
      <c r="H766" s="70"/>
      <c r="K766" s="70"/>
      <c r="L766" s="71"/>
      <c r="M766" s="72"/>
      <c r="P766" s="72"/>
    </row>
    <row r="767" hidden="1">
      <c r="B767" s="68"/>
      <c r="D767" s="69"/>
      <c r="H767" s="70"/>
      <c r="K767" s="70"/>
      <c r="L767" s="71"/>
      <c r="M767" s="72"/>
      <c r="P767" s="72"/>
    </row>
    <row r="768" hidden="1">
      <c r="B768" s="68"/>
      <c r="D768" s="69"/>
      <c r="H768" s="70"/>
      <c r="K768" s="70"/>
      <c r="L768" s="71"/>
      <c r="M768" s="72"/>
      <c r="P768" s="72"/>
    </row>
    <row r="769" hidden="1">
      <c r="B769" s="68"/>
      <c r="D769" s="69"/>
      <c r="H769" s="70"/>
      <c r="K769" s="70"/>
      <c r="L769" s="71"/>
      <c r="M769" s="72"/>
      <c r="P769" s="72"/>
    </row>
    <row r="770" hidden="1">
      <c r="B770" s="68"/>
      <c r="D770" s="69"/>
      <c r="H770" s="70"/>
      <c r="K770" s="70"/>
      <c r="L770" s="71"/>
      <c r="M770" s="72"/>
      <c r="P770" s="72"/>
    </row>
    <row r="771" hidden="1">
      <c r="B771" s="68"/>
      <c r="D771" s="69"/>
      <c r="H771" s="70"/>
      <c r="K771" s="70"/>
      <c r="L771" s="71"/>
      <c r="M771" s="72"/>
      <c r="P771" s="72"/>
    </row>
    <row r="772" hidden="1">
      <c r="B772" s="68"/>
      <c r="D772" s="69"/>
      <c r="H772" s="70"/>
      <c r="K772" s="70"/>
      <c r="L772" s="71"/>
      <c r="M772" s="72"/>
      <c r="P772" s="72"/>
    </row>
    <row r="773" hidden="1">
      <c r="B773" s="68"/>
      <c r="D773" s="69"/>
      <c r="H773" s="70"/>
      <c r="K773" s="70"/>
      <c r="L773" s="71"/>
      <c r="M773" s="72"/>
      <c r="P773" s="72"/>
    </row>
    <row r="774" hidden="1">
      <c r="B774" s="68"/>
      <c r="D774" s="69"/>
      <c r="H774" s="70"/>
      <c r="K774" s="70"/>
      <c r="L774" s="71"/>
      <c r="M774" s="72"/>
      <c r="P774" s="72"/>
    </row>
    <row r="775" hidden="1">
      <c r="B775" s="68"/>
      <c r="D775" s="69"/>
      <c r="H775" s="70"/>
      <c r="K775" s="70"/>
      <c r="L775" s="71"/>
      <c r="M775" s="72"/>
      <c r="P775" s="72"/>
    </row>
    <row r="776" hidden="1">
      <c r="B776" s="68"/>
      <c r="D776" s="69"/>
      <c r="H776" s="70"/>
      <c r="K776" s="70"/>
      <c r="L776" s="71"/>
      <c r="M776" s="72"/>
      <c r="P776" s="72"/>
    </row>
    <row r="777" hidden="1">
      <c r="B777" s="68"/>
      <c r="D777" s="69"/>
      <c r="H777" s="70"/>
      <c r="K777" s="70"/>
      <c r="L777" s="71"/>
      <c r="M777" s="72"/>
      <c r="P777" s="72"/>
    </row>
    <row r="778" hidden="1">
      <c r="B778" s="68"/>
      <c r="D778" s="69"/>
      <c r="H778" s="70"/>
      <c r="K778" s="70"/>
      <c r="L778" s="71"/>
      <c r="M778" s="72"/>
      <c r="P778" s="72"/>
    </row>
    <row r="779" hidden="1">
      <c r="B779" s="68"/>
      <c r="D779" s="69"/>
      <c r="H779" s="70"/>
      <c r="K779" s="70"/>
      <c r="L779" s="71"/>
      <c r="M779" s="72"/>
      <c r="P779" s="72"/>
    </row>
    <row r="780" hidden="1">
      <c r="B780" s="68"/>
      <c r="D780" s="69"/>
      <c r="H780" s="70"/>
      <c r="K780" s="70"/>
      <c r="L780" s="71"/>
      <c r="M780" s="72"/>
      <c r="P780" s="72"/>
    </row>
    <row r="781" hidden="1">
      <c r="B781" s="68"/>
      <c r="D781" s="69"/>
      <c r="H781" s="70"/>
      <c r="K781" s="70"/>
      <c r="L781" s="71"/>
      <c r="M781" s="72"/>
      <c r="P781" s="72"/>
    </row>
    <row r="782" hidden="1">
      <c r="B782" s="68"/>
      <c r="D782" s="69"/>
      <c r="H782" s="70"/>
      <c r="K782" s="70"/>
      <c r="L782" s="71"/>
      <c r="M782" s="72"/>
      <c r="P782" s="72"/>
    </row>
    <row r="783" hidden="1">
      <c r="B783" s="68"/>
      <c r="D783" s="69"/>
      <c r="H783" s="70"/>
      <c r="K783" s="70"/>
      <c r="L783" s="71"/>
      <c r="M783" s="72"/>
      <c r="P783" s="72"/>
    </row>
    <row r="784" hidden="1">
      <c r="B784" s="68"/>
      <c r="D784" s="69"/>
      <c r="H784" s="70"/>
      <c r="K784" s="70"/>
      <c r="L784" s="71"/>
      <c r="M784" s="72"/>
      <c r="P784" s="72"/>
    </row>
    <row r="785" hidden="1">
      <c r="B785" s="68"/>
      <c r="D785" s="69"/>
      <c r="H785" s="70"/>
      <c r="K785" s="70"/>
      <c r="L785" s="71"/>
      <c r="M785" s="72"/>
      <c r="P785" s="72"/>
    </row>
    <row r="786" hidden="1">
      <c r="B786" s="68"/>
      <c r="D786" s="69"/>
      <c r="H786" s="70"/>
      <c r="K786" s="70"/>
      <c r="L786" s="71"/>
      <c r="M786" s="72"/>
      <c r="P786" s="72"/>
    </row>
    <row r="787" hidden="1">
      <c r="B787" s="68"/>
      <c r="D787" s="69"/>
      <c r="H787" s="70"/>
      <c r="K787" s="70"/>
      <c r="L787" s="71"/>
      <c r="M787" s="72"/>
      <c r="P787" s="72"/>
    </row>
    <row r="788" hidden="1">
      <c r="B788" s="68"/>
      <c r="D788" s="69"/>
      <c r="H788" s="70"/>
      <c r="K788" s="70"/>
      <c r="L788" s="71"/>
      <c r="M788" s="72"/>
      <c r="P788" s="72"/>
    </row>
    <row r="789" hidden="1">
      <c r="B789" s="68"/>
      <c r="D789" s="69"/>
      <c r="H789" s="70"/>
      <c r="K789" s="70"/>
      <c r="L789" s="71"/>
      <c r="M789" s="72"/>
      <c r="P789" s="72"/>
    </row>
    <row r="790" hidden="1">
      <c r="B790" s="68"/>
      <c r="D790" s="69"/>
      <c r="H790" s="70"/>
      <c r="K790" s="70"/>
      <c r="L790" s="71"/>
      <c r="M790" s="72"/>
      <c r="P790" s="72"/>
    </row>
    <row r="791" hidden="1">
      <c r="B791" s="68"/>
      <c r="D791" s="69"/>
      <c r="H791" s="70"/>
      <c r="K791" s="70"/>
      <c r="L791" s="71"/>
      <c r="M791" s="72"/>
      <c r="P791" s="72"/>
    </row>
    <row r="792" hidden="1">
      <c r="B792" s="68"/>
      <c r="D792" s="69"/>
      <c r="H792" s="70"/>
      <c r="K792" s="70"/>
      <c r="L792" s="71"/>
      <c r="M792" s="72"/>
      <c r="P792" s="72"/>
    </row>
    <row r="793" hidden="1">
      <c r="B793" s="68"/>
      <c r="D793" s="69"/>
      <c r="H793" s="70"/>
      <c r="K793" s="70"/>
      <c r="L793" s="71"/>
      <c r="M793" s="72"/>
      <c r="P793" s="72"/>
    </row>
    <row r="794" hidden="1">
      <c r="B794" s="68"/>
      <c r="D794" s="69"/>
      <c r="H794" s="70"/>
      <c r="K794" s="70"/>
      <c r="L794" s="71"/>
      <c r="M794" s="72"/>
      <c r="P794" s="72"/>
    </row>
    <row r="795" hidden="1">
      <c r="B795" s="68"/>
      <c r="D795" s="69"/>
      <c r="H795" s="70"/>
      <c r="K795" s="70"/>
      <c r="L795" s="71"/>
      <c r="M795" s="72"/>
      <c r="P795" s="72"/>
    </row>
    <row r="796" hidden="1">
      <c r="B796" s="68"/>
      <c r="D796" s="69"/>
      <c r="H796" s="70"/>
      <c r="K796" s="70"/>
      <c r="L796" s="71"/>
      <c r="M796" s="72"/>
      <c r="P796" s="72"/>
    </row>
    <row r="797" hidden="1">
      <c r="B797" s="68"/>
      <c r="D797" s="69"/>
      <c r="H797" s="70"/>
      <c r="K797" s="70"/>
      <c r="L797" s="71"/>
      <c r="M797" s="72"/>
      <c r="P797" s="72"/>
    </row>
    <row r="798" hidden="1">
      <c r="B798" s="68"/>
      <c r="D798" s="69"/>
      <c r="H798" s="70"/>
      <c r="K798" s="70"/>
      <c r="L798" s="71"/>
      <c r="M798" s="72"/>
      <c r="P798" s="72"/>
    </row>
    <row r="799" hidden="1">
      <c r="B799" s="68"/>
      <c r="D799" s="69"/>
      <c r="H799" s="70"/>
      <c r="K799" s="70"/>
      <c r="L799" s="71"/>
      <c r="M799" s="72"/>
      <c r="P799" s="72"/>
    </row>
    <row r="800" hidden="1">
      <c r="B800" s="68"/>
      <c r="D800" s="69"/>
      <c r="H800" s="70"/>
      <c r="K800" s="70"/>
      <c r="L800" s="71"/>
      <c r="M800" s="72"/>
      <c r="P800" s="72"/>
    </row>
    <row r="801" hidden="1">
      <c r="B801" s="68"/>
      <c r="D801" s="69"/>
      <c r="H801" s="70"/>
      <c r="K801" s="70"/>
      <c r="L801" s="71"/>
      <c r="M801" s="72"/>
      <c r="P801" s="72"/>
    </row>
    <row r="802" hidden="1">
      <c r="B802" s="68"/>
      <c r="D802" s="69"/>
      <c r="H802" s="70"/>
      <c r="K802" s="70"/>
      <c r="L802" s="71"/>
      <c r="M802" s="72"/>
      <c r="P802" s="72"/>
    </row>
    <row r="803" hidden="1">
      <c r="B803" s="68"/>
      <c r="D803" s="69"/>
      <c r="H803" s="70"/>
      <c r="K803" s="70"/>
      <c r="L803" s="71"/>
      <c r="M803" s="72"/>
      <c r="P803" s="72"/>
    </row>
    <row r="804" hidden="1">
      <c r="B804" s="68"/>
      <c r="D804" s="69"/>
      <c r="H804" s="70"/>
      <c r="K804" s="70"/>
      <c r="L804" s="71"/>
      <c r="M804" s="72"/>
      <c r="P804" s="72"/>
    </row>
    <row r="805" hidden="1">
      <c r="B805" s="68"/>
      <c r="D805" s="69"/>
      <c r="H805" s="70"/>
      <c r="K805" s="70"/>
      <c r="L805" s="71"/>
      <c r="M805" s="72"/>
      <c r="P805" s="72"/>
    </row>
    <row r="806" hidden="1">
      <c r="B806" s="68"/>
      <c r="D806" s="69"/>
      <c r="H806" s="70"/>
      <c r="K806" s="70"/>
      <c r="L806" s="71"/>
      <c r="M806" s="72"/>
      <c r="P806" s="72"/>
    </row>
    <row r="807" hidden="1">
      <c r="B807" s="68"/>
      <c r="D807" s="69"/>
      <c r="H807" s="70"/>
      <c r="K807" s="70"/>
      <c r="L807" s="71"/>
      <c r="M807" s="72"/>
      <c r="P807" s="72"/>
    </row>
    <row r="808" hidden="1">
      <c r="B808" s="68"/>
      <c r="D808" s="69"/>
      <c r="H808" s="70"/>
      <c r="K808" s="70"/>
      <c r="L808" s="71"/>
      <c r="M808" s="72"/>
      <c r="P808" s="72"/>
    </row>
    <row r="809" hidden="1">
      <c r="B809" s="68"/>
      <c r="D809" s="69"/>
      <c r="H809" s="70"/>
      <c r="K809" s="70"/>
      <c r="L809" s="71"/>
      <c r="M809" s="72"/>
      <c r="P809" s="72"/>
    </row>
    <row r="810" hidden="1">
      <c r="B810" s="68"/>
      <c r="D810" s="69"/>
      <c r="H810" s="70"/>
      <c r="K810" s="70"/>
      <c r="L810" s="71"/>
      <c r="M810" s="72"/>
      <c r="P810" s="72"/>
    </row>
    <row r="811" hidden="1">
      <c r="B811" s="68"/>
      <c r="D811" s="69"/>
      <c r="H811" s="70"/>
      <c r="K811" s="70"/>
      <c r="L811" s="71"/>
      <c r="M811" s="72"/>
      <c r="P811" s="72"/>
    </row>
    <row r="812" hidden="1">
      <c r="B812" s="68"/>
      <c r="D812" s="69"/>
      <c r="H812" s="70"/>
      <c r="K812" s="70"/>
      <c r="L812" s="71"/>
      <c r="M812" s="72"/>
      <c r="P812" s="72"/>
    </row>
    <row r="813" hidden="1">
      <c r="B813" s="68"/>
      <c r="D813" s="69"/>
      <c r="H813" s="70"/>
      <c r="K813" s="70"/>
      <c r="L813" s="71"/>
      <c r="M813" s="72"/>
      <c r="P813" s="72"/>
    </row>
    <row r="814" hidden="1">
      <c r="B814" s="68"/>
      <c r="D814" s="69"/>
      <c r="H814" s="70"/>
      <c r="K814" s="70"/>
      <c r="L814" s="71"/>
      <c r="M814" s="72"/>
      <c r="P814" s="72"/>
    </row>
    <row r="815" hidden="1">
      <c r="B815" s="68"/>
      <c r="D815" s="69"/>
      <c r="H815" s="70"/>
      <c r="K815" s="70"/>
      <c r="L815" s="71"/>
      <c r="M815" s="72"/>
      <c r="P815" s="72"/>
    </row>
    <row r="816" hidden="1">
      <c r="B816" s="68"/>
      <c r="D816" s="69"/>
      <c r="H816" s="70"/>
      <c r="K816" s="70"/>
      <c r="L816" s="71"/>
      <c r="M816" s="72"/>
      <c r="P816" s="72"/>
    </row>
    <row r="817" hidden="1">
      <c r="B817" s="68"/>
      <c r="D817" s="69"/>
      <c r="H817" s="70"/>
      <c r="K817" s="70"/>
      <c r="L817" s="71"/>
      <c r="M817" s="72"/>
      <c r="P817" s="72"/>
    </row>
    <row r="818" hidden="1">
      <c r="B818" s="68"/>
      <c r="D818" s="69"/>
      <c r="H818" s="70"/>
      <c r="K818" s="70"/>
      <c r="L818" s="71"/>
      <c r="M818" s="72"/>
      <c r="P818" s="72"/>
    </row>
    <row r="819" hidden="1">
      <c r="B819" s="68"/>
      <c r="D819" s="69"/>
      <c r="H819" s="70"/>
      <c r="K819" s="70"/>
      <c r="L819" s="71"/>
      <c r="M819" s="72"/>
      <c r="P819" s="72"/>
    </row>
    <row r="820" hidden="1">
      <c r="B820" s="68"/>
      <c r="D820" s="69"/>
      <c r="H820" s="70"/>
      <c r="K820" s="70"/>
      <c r="L820" s="71"/>
      <c r="M820" s="72"/>
      <c r="P820" s="72"/>
    </row>
    <row r="821" hidden="1">
      <c r="B821" s="68"/>
      <c r="D821" s="69"/>
      <c r="H821" s="70"/>
      <c r="K821" s="70"/>
      <c r="L821" s="71"/>
      <c r="M821" s="72"/>
      <c r="P821" s="72"/>
    </row>
    <row r="822" hidden="1">
      <c r="B822" s="68"/>
      <c r="D822" s="69"/>
      <c r="H822" s="70"/>
      <c r="K822" s="70"/>
      <c r="L822" s="71"/>
      <c r="M822" s="72"/>
      <c r="P822" s="72"/>
    </row>
    <row r="823" hidden="1">
      <c r="B823" s="68"/>
      <c r="D823" s="69"/>
      <c r="H823" s="70"/>
      <c r="K823" s="70"/>
      <c r="L823" s="71"/>
      <c r="M823" s="72"/>
      <c r="P823" s="72"/>
    </row>
    <row r="824" hidden="1">
      <c r="B824" s="68"/>
      <c r="D824" s="69"/>
      <c r="H824" s="70"/>
      <c r="K824" s="70"/>
      <c r="L824" s="71"/>
      <c r="M824" s="72"/>
      <c r="P824" s="72"/>
    </row>
    <row r="825" hidden="1">
      <c r="B825" s="68"/>
      <c r="D825" s="69"/>
      <c r="H825" s="70"/>
      <c r="K825" s="70"/>
      <c r="L825" s="71"/>
      <c r="M825" s="72"/>
      <c r="P825" s="72"/>
    </row>
    <row r="826" hidden="1">
      <c r="B826" s="68"/>
      <c r="D826" s="69"/>
      <c r="H826" s="70"/>
      <c r="K826" s="70"/>
      <c r="L826" s="71"/>
      <c r="M826" s="72"/>
      <c r="P826" s="72"/>
    </row>
    <row r="827" hidden="1">
      <c r="B827" s="68"/>
      <c r="D827" s="69"/>
      <c r="H827" s="70"/>
      <c r="K827" s="70"/>
      <c r="L827" s="71"/>
      <c r="M827" s="72"/>
      <c r="P827" s="72"/>
    </row>
    <row r="828" hidden="1">
      <c r="B828" s="68"/>
      <c r="D828" s="69"/>
      <c r="H828" s="70"/>
      <c r="K828" s="70"/>
      <c r="L828" s="71"/>
      <c r="M828" s="72"/>
      <c r="P828" s="72"/>
    </row>
    <row r="829" hidden="1">
      <c r="B829" s="68"/>
      <c r="D829" s="69"/>
      <c r="H829" s="70"/>
      <c r="K829" s="70"/>
      <c r="L829" s="71"/>
      <c r="M829" s="72"/>
      <c r="P829" s="72"/>
    </row>
    <row r="830" hidden="1">
      <c r="B830" s="68"/>
      <c r="D830" s="69"/>
      <c r="H830" s="70"/>
      <c r="K830" s="70"/>
      <c r="L830" s="71"/>
      <c r="M830" s="72"/>
      <c r="P830" s="72"/>
    </row>
    <row r="831" hidden="1">
      <c r="B831" s="68"/>
      <c r="D831" s="69"/>
      <c r="H831" s="70"/>
      <c r="K831" s="70"/>
      <c r="L831" s="71"/>
      <c r="M831" s="72"/>
      <c r="P831" s="72"/>
    </row>
    <row r="832" hidden="1">
      <c r="B832" s="68"/>
      <c r="D832" s="69"/>
      <c r="H832" s="70"/>
      <c r="K832" s="70"/>
      <c r="L832" s="71"/>
      <c r="M832" s="72"/>
      <c r="P832" s="72"/>
    </row>
    <row r="833" hidden="1">
      <c r="B833" s="68"/>
      <c r="D833" s="69"/>
      <c r="H833" s="70"/>
      <c r="K833" s="70"/>
      <c r="L833" s="71"/>
      <c r="M833" s="72"/>
      <c r="P833" s="72"/>
    </row>
    <row r="834" hidden="1">
      <c r="B834" s="68"/>
      <c r="D834" s="69"/>
      <c r="H834" s="70"/>
      <c r="K834" s="70"/>
      <c r="L834" s="71"/>
      <c r="M834" s="72"/>
      <c r="P834" s="72"/>
    </row>
    <row r="835" hidden="1">
      <c r="B835" s="68"/>
      <c r="D835" s="69"/>
      <c r="H835" s="70"/>
      <c r="K835" s="70"/>
      <c r="L835" s="71"/>
      <c r="M835" s="72"/>
      <c r="P835" s="72"/>
    </row>
    <row r="836" hidden="1">
      <c r="B836" s="68"/>
      <c r="D836" s="69"/>
      <c r="H836" s="70"/>
      <c r="K836" s="70"/>
      <c r="L836" s="71"/>
      <c r="M836" s="72"/>
      <c r="P836" s="72"/>
    </row>
    <row r="837" hidden="1">
      <c r="B837" s="68"/>
      <c r="D837" s="69"/>
      <c r="H837" s="70"/>
      <c r="K837" s="70"/>
      <c r="L837" s="71"/>
      <c r="M837" s="72"/>
      <c r="P837" s="72"/>
    </row>
    <row r="838" hidden="1">
      <c r="B838" s="68"/>
      <c r="D838" s="69"/>
      <c r="H838" s="70"/>
      <c r="K838" s="70"/>
      <c r="L838" s="71"/>
      <c r="M838" s="72"/>
      <c r="P838" s="72"/>
    </row>
    <row r="839" hidden="1">
      <c r="B839" s="68"/>
      <c r="D839" s="69"/>
      <c r="H839" s="70"/>
      <c r="K839" s="70"/>
      <c r="L839" s="71"/>
      <c r="M839" s="72"/>
      <c r="P839" s="72"/>
    </row>
    <row r="840" hidden="1">
      <c r="B840" s="68"/>
      <c r="D840" s="69"/>
      <c r="H840" s="70"/>
      <c r="K840" s="70"/>
      <c r="L840" s="71"/>
      <c r="M840" s="72"/>
      <c r="P840" s="72"/>
    </row>
    <row r="841" hidden="1">
      <c r="B841" s="68"/>
      <c r="D841" s="69"/>
      <c r="H841" s="70"/>
      <c r="K841" s="70"/>
      <c r="L841" s="71"/>
      <c r="M841" s="72"/>
      <c r="P841" s="72"/>
    </row>
    <row r="842" hidden="1">
      <c r="B842" s="68"/>
      <c r="D842" s="69"/>
      <c r="H842" s="70"/>
      <c r="K842" s="70"/>
      <c r="L842" s="71"/>
      <c r="M842" s="72"/>
      <c r="P842" s="72"/>
    </row>
    <row r="843" hidden="1">
      <c r="B843" s="68"/>
      <c r="D843" s="69"/>
      <c r="H843" s="70"/>
      <c r="K843" s="70"/>
      <c r="L843" s="71"/>
      <c r="M843" s="72"/>
      <c r="P843" s="72"/>
    </row>
    <row r="844" hidden="1">
      <c r="B844" s="68"/>
      <c r="D844" s="69"/>
      <c r="H844" s="70"/>
      <c r="K844" s="70"/>
      <c r="L844" s="71"/>
      <c r="M844" s="72"/>
      <c r="P844" s="72"/>
    </row>
    <row r="845" hidden="1">
      <c r="B845" s="68"/>
      <c r="D845" s="69"/>
      <c r="H845" s="70"/>
      <c r="K845" s="70"/>
      <c r="L845" s="71"/>
      <c r="M845" s="72"/>
      <c r="P845" s="72"/>
    </row>
    <row r="846" hidden="1">
      <c r="B846" s="68"/>
      <c r="D846" s="69"/>
      <c r="H846" s="70"/>
      <c r="K846" s="70"/>
      <c r="L846" s="71"/>
      <c r="M846" s="72"/>
      <c r="P846" s="72"/>
    </row>
    <row r="847" hidden="1">
      <c r="B847" s="68"/>
      <c r="D847" s="69"/>
      <c r="H847" s="70"/>
      <c r="K847" s="70"/>
      <c r="L847" s="71"/>
      <c r="M847" s="72"/>
      <c r="P847" s="72"/>
    </row>
    <row r="848" hidden="1">
      <c r="B848" s="68"/>
      <c r="D848" s="69"/>
      <c r="H848" s="70"/>
      <c r="K848" s="70"/>
      <c r="L848" s="71"/>
      <c r="M848" s="72"/>
      <c r="P848" s="72"/>
    </row>
    <row r="849" hidden="1">
      <c r="B849" s="68"/>
      <c r="D849" s="69"/>
      <c r="H849" s="70"/>
      <c r="K849" s="70"/>
      <c r="L849" s="71"/>
      <c r="M849" s="72"/>
      <c r="P849" s="72"/>
    </row>
    <row r="850" hidden="1">
      <c r="B850" s="68"/>
      <c r="D850" s="69"/>
      <c r="H850" s="70"/>
      <c r="K850" s="70"/>
      <c r="L850" s="71"/>
      <c r="M850" s="72"/>
      <c r="P850" s="72"/>
    </row>
    <row r="851" hidden="1">
      <c r="B851" s="68"/>
      <c r="D851" s="69"/>
      <c r="H851" s="70"/>
      <c r="K851" s="70"/>
      <c r="L851" s="71"/>
      <c r="M851" s="72"/>
      <c r="P851" s="72"/>
    </row>
    <row r="852" hidden="1">
      <c r="B852" s="68"/>
      <c r="D852" s="69"/>
      <c r="H852" s="70"/>
      <c r="K852" s="70"/>
      <c r="L852" s="71"/>
      <c r="M852" s="72"/>
      <c r="P852" s="72"/>
    </row>
    <row r="853" hidden="1">
      <c r="B853" s="68"/>
      <c r="D853" s="69"/>
      <c r="H853" s="70"/>
      <c r="K853" s="70"/>
      <c r="L853" s="71"/>
      <c r="M853" s="72"/>
      <c r="P853" s="72"/>
    </row>
    <row r="854" hidden="1">
      <c r="B854" s="68"/>
      <c r="D854" s="69"/>
      <c r="H854" s="70"/>
      <c r="K854" s="70"/>
      <c r="L854" s="71"/>
      <c r="M854" s="72"/>
      <c r="P854" s="72"/>
    </row>
    <row r="855" hidden="1">
      <c r="B855" s="68"/>
      <c r="D855" s="69"/>
      <c r="H855" s="70"/>
      <c r="K855" s="70"/>
      <c r="L855" s="71"/>
      <c r="M855" s="72"/>
      <c r="P855" s="72"/>
    </row>
    <row r="856" hidden="1">
      <c r="B856" s="68"/>
      <c r="D856" s="69"/>
      <c r="H856" s="70"/>
      <c r="K856" s="70"/>
      <c r="L856" s="71"/>
      <c r="M856" s="72"/>
      <c r="P856" s="72"/>
    </row>
    <row r="857" hidden="1">
      <c r="B857" s="68"/>
      <c r="D857" s="69"/>
      <c r="H857" s="70"/>
      <c r="K857" s="70"/>
      <c r="L857" s="71"/>
      <c r="M857" s="72"/>
      <c r="P857" s="72"/>
    </row>
    <row r="858" hidden="1">
      <c r="B858" s="68"/>
      <c r="D858" s="69"/>
      <c r="H858" s="70"/>
      <c r="K858" s="70"/>
      <c r="L858" s="71"/>
      <c r="M858" s="72"/>
      <c r="P858" s="72"/>
    </row>
    <row r="859" hidden="1">
      <c r="B859" s="68"/>
      <c r="D859" s="69"/>
      <c r="H859" s="70"/>
      <c r="K859" s="70"/>
      <c r="L859" s="71"/>
      <c r="M859" s="72"/>
      <c r="P859" s="72"/>
    </row>
    <row r="860" hidden="1">
      <c r="B860" s="68"/>
      <c r="D860" s="69"/>
      <c r="H860" s="70"/>
      <c r="K860" s="70"/>
      <c r="L860" s="71"/>
      <c r="M860" s="72"/>
      <c r="P860" s="72"/>
    </row>
    <row r="861" hidden="1">
      <c r="B861" s="68"/>
      <c r="D861" s="69"/>
      <c r="H861" s="70"/>
      <c r="K861" s="70"/>
      <c r="L861" s="71"/>
      <c r="M861" s="72"/>
      <c r="P861" s="72"/>
    </row>
    <row r="862" hidden="1">
      <c r="B862" s="68"/>
      <c r="D862" s="69"/>
      <c r="H862" s="70"/>
      <c r="K862" s="70"/>
      <c r="L862" s="71"/>
      <c r="M862" s="72"/>
      <c r="P862" s="72"/>
    </row>
    <row r="863" hidden="1">
      <c r="B863" s="68"/>
      <c r="D863" s="69"/>
      <c r="H863" s="70"/>
      <c r="K863" s="70"/>
      <c r="L863" s="71"/>
      <c r="M863" s="72"/>
      <c r="P863" s="72"/>
    </row>
    <row r="864" hidden="1">
      <c r="B864" s="68"/>
      <c r="D864" s="69"/>
      <c r="H864" s="70"/>
      <c r="K864" s="70"/>
      <c r="L864" s="71"/>
      <c r="M864" s="72"/>
      <c r="P864" s="72"/>
    </row>
    <row r="865" hidden="1">
      <c r="B865" s="68"/>
      <c r="D865" s="69"/>
      <c r="H865" s="70"/>
      <c r="K865" s="70"/>
      <c r="L865" s="71"/>
      <c r="M865" s="72"/>
      <c r="P865" s="72"/>
    </row>
    <row r="866" hidden="1">
      <c r="B866" s="68"/>
      <c r="D866" s="69"/>
      <c r="H866" s="70"/>
      <c r="K866" s="70"/>
      <c r="L866" s="71"/>
      <c r="M866" s="72"/>
      <c r="P866" s="72"/>
    </row>
    <row r="867" hidden="1">
      <c r="B867" s="68"/>
      <c r="D867" s="69"/>
      <c r="H867" s="70"/>
      <c r="K867" s="70"/>
      <c r="L867" s="71"/>
      <c r="M867" s="72"/>
      <c r="P867" s="72"/>
    </row>
    <row r="868" hidden="1">
      <c r="B868" s="68"/>
      <c r="D868" s="69"/>
      <c r="H868" s="70"/>
      <c r="K868" s="70"/>
      <c r="L868" s="71"/>
      <c r="M868" s="72"/>
      <c r="P868" s="72"/>
    </row>
    <row r="869" hidden="1">
      <c r="B869" s="68"/>
      <c r="D869" s="69"/>
      <c r="H869" s="70"/>
      <c r="K869" s="70"/>
      <c r="L869" s="71"/>
      <c r="M869" s="72"/>
      <c r="P869" s="72"/>
    </row>
    <row r="870" hidden="1">
      <c r="B870" s="68"/>
      <c r="D870" s="69"/>
      <c r="H870" s="70"/>
      <c r="K870" s="70"/>
      <c r="L870" s="71"/>
      <c r="M870" s="72"/>
      <c r="P870" s="72"/>
    </row>
    <row r="871" hidden="1">
      <c r="B871" s="68"/>
      <c r="D871" s="69"/>
      <c r="H871" s="70"/>
      <c r="K871" s="70"/>
      <c r="L871" s="71"/>
      <c r="M871" s="72"/>
      <c r="P871" s="72"/>
    </row>
    <row r="872" hidden="1">
      <c r="B872" s="68"/>
      <c r="D872" s="69"/>
      <c r="H872" s="70"/>
      <c r="K872" s="70"/>
      <c r="L872" s="71"/>
      <c r="M872" s="72"/>
      <c r="P872" s="72"/>
    </row>
    <row r="873" hidden="1">
      <c r="B873" s="68"/>
      <c r="D873" s="69"/>
      <c r="H873" s="70"/>
      <c r="K873" s="70"/>
      <c r="L873" s="71"/>
      <c r="M873" s="72"/>
      <c r="P873" s="72"/>
    </row>
    <row r="874" hidden="1">
      <c r="B874" s="68"/>
      <c r="D874" s="69"/>
      <c r="H874" s="70"/>
      <c r="K874" s="70"/>
      <c r="L874" s="71"/>
      <c r="M874" s="72"/>
      <c r="P874" s="72"/>
    </row>
    <row r="875" hidden="1">
      <c r="B875" s="68"/>
      <c r="D875" s="69"/>
      <c r="H875" s="70"/>
      <c r="K875" s="70"/>
      <c r="L875" s="71"/>
      <c r="M875" s="72"/>
      <c r="P875" s="72"/>
    </row>
    <row r="876" hidden="1">
      <c r="B876" s="68"/>
      <c r="D876" s="69"/>
      <c r="H876" s="70"/>
      <c r="K876" s="70"/>
      <c r="L876" s="71"/>
      <c r="M876" s="72"/>
      <c r="P876" s="72"/>
    </row>
    <row r="877" hidden="1">
      <c r="B877" s="68"/>
      <c r="D877" s="69"/>
      <c r="H877" s="70"/>
      <c r="K877" s="70"/>
      <c r="L877" s="71"/>
      <c r="M877" s="72"/>
      <c r="P877" s="72"/>
    </row>
    <row r="878" hidden="1">
      <c r="B878" s="68"/>
      <c r="D878" s="69"/>
      <c r="H878" s="70"/>
      <c r="K878" s="70"/>
      <c r="L878" s="71"/>
      <c r="M878" s="72"/>
      <c r="P878" s="72"/>
    </row>
    <row r="879" hidden="1">
      <c r="B879" s="68"/>
      <c r="D879" s="69"/>
      <c r="H879" s="70"/>
      <c r="K879" s="70"/>
      <c r="L879" s="71"/>
      <c r="M879" s="72"/>
      <c r="P879" s="72"/>
    </row>
    <row r="880" hidden="1">
      <c r="B880" s="68"/>
      <c r="D880" s="69"/>
      <c r="H880" s="70"/>
      <c r="K880" s="70"/>
      <c r="L880" s="71"/>
      <c r="M880" s="72"/>
      <c r="P880" s="72"/>
    </row>
    <row r="881" hidden="1">
      <c r="B881" s="68"/>
      <c r="D881" s="69"/>
      <c r="H881" s="70"/>
      <c r="K881" s="70"/>
      <c r="L881" s="71"/>
      <c r="M881" s="72"/>
      <c r="P881" s="72"/>
    </row>
    <row r="882" hidden="1">
      <c r="B882" s="68"/>
      <c r="D882" s="69"/>
      <c r="H882" s="70"/>
      <c r="K882" s="70"/>
      <c r="L882" s="71"/>
      <c r="M882" s="72"/>
      <c r="P882" s="72"/>
    </row>
    <row r="883" hidden="1">
      <c r="B883" s="68"/>
      <c r="D883" s="69"/>
      <c r="H883" s="70"/>
      <c r="K883" s="70"/>
      <c r="L883" s="71"/>
      <c r="M883" s="72"/>
      <c r="P883" s="72"/>
    </row>
    <row r="884" hidden="1">
      <c r="B884" s="68"/>
      <c r="D884" s="69"/>
      <c r="H884" s="70"/>
      <c r="K884" s="70"/>
      <c r="L884" s="71"/>
      <c r="M884" s="72"/>
      <c r="P884" s="72"/>
    </row>
    <row r="885" hidden="1">
      <c r="B885" s="68"/>
      <c r="D885" s="69"/>
      <c r="H885" s="70"/>
      <c r="K885" s="70"/>
      <c r="L885" s="71"/>
      <c r="M885" s="72"/>
      <c r="P885" s="72"/>
    </row>
    <row r="886" hidden="1">
      <c r="B886" s="68"/>
      <c r="D886" s="69"/>
      <c r="H886" s="70"/>
      <c r="K886" s="70"/>
      <c r="L886" s="71"/>
      <c r="M886" s="72"/>
      <c r="P886" s="72"/>
    </row>
    <row r="887" hidden="1">
      <c r="B887" s="68"/>
      <c r="D887" s="69"/>
      <c r="H887" s="70"/>
      <c r="K887" s="70"/>
      <c r="L887" s="71"/>
      <c r="M887" s="72"/>
      <c r="P887" s="72"/>
    </row>
    <row r="888" hidden="1">
      <c r="B888" s="68"/>
      <c r="D888" s="69"/>
      <c r="H888" s="70"/>
      <c r="K888" s="70"/>
      <c r="L888" s="71"/>
      <c r="M888" s="72"/>
      <c r="P888" s="72"/>
    </row>
    <row r="889" hidden="1">
      <c r="B889" s="68"/>
      <c r="D889" s="69"/>
      <c r="H889" s="70"/>
      <c r="K889" s="70"/>
      <c r="L889" s="71"/>
      <c r="M889" s="72"/>
      <c r="P889" s="72"/>
    </row>
    <row r="890" hidden="1">
      <c r="B890" s="68"/>
      <c r="D890" s="69"/>
      <c r="H890" s="70"/>
      <c r="K890" s="70"/>
      <c r="L890" s="71"/>
      <c r="M890" s="72"/>
      <c r="P890" s="72"/>
    </row>
    <row r="891" hidden="1">
      <c r="B891" s="68"/>
      <c r="D891" s="69"/>
      <c r="H891" s="70"/>
      <c r="K891" s="70"/>
      <c r="L891" s="71"/>
      <c r="M891" s="72"/>
      <c r="P891" s="72"/>
    </row>
    <row r="892" hidden="1">
      <c r="B892" s="68"/>
      <c r="D892" s="69"/>
      <c r="H892" s="70"/>
      <c r="K892" s="70"/>
      <c r="L892" s="71"/>
      <c r="M892" s="72"/>
      <c r="P892" s="72"/>
    </row>
    <row r="893" hidden="1">
      <c r="B893" s="68"/>
      <c r="D893" s="69"/>
      <c r="H893" s="70"/>
      <c r="K893" s="70"/>
      <c r="L893" s="71"/>
      <c r="M893" s="72"/>
      <c r="P893" s="72"/>
    </row>
    <row r="894" hidden="1">
      <c r="B894" s="68"/>
      <c r="D894" s="69"/>
      <c r="H894" s="70"/>
      <c r="K894" s="70"/>
      <c r="L894" s="71"/>
      <c r="M894" s="72"/>
      <c r="P894" s="72"/>
    </row>
    <row r="895" hidden="1">
      <c r="B895" s="68"/>
      <c r="D895" s="69"/>
      <c r="H895" s="70"/>
      <c r="K895" s="70"/>
      <c r="L895" s="71"/>
      <c r="M895" s="72"/>
      <c r="P895" s="72"/>
    </row>
    <row r="896" hidden="1">
      <c r="B896" s="68"/>
      <c r="D896" s="69"/>
      <c r="H896" s="70"/>
      <c r="K896" s="70"/>
      <c r="L896" s="71"/>
      <c r="M896" s="72"/>
      <c r="P896" s="72"/>
    </row>
    <row r="897" hidden="1">
      <c r="B897" s="68"/>
      <c r="D897" s="69"/>
      <c r="H897" s="70"/>
      <c r="K897" s="70"/>
      <c r="L897" s="71"/>
      <c r="M897" s="72"/>
      <c r="P897" s="72"/>
    </row>
    <row r="898" hidden="1">
      <c r="B898" s="68"/>
      <c r="D898" s="69"/>
      <c r="H898" s="70"/>
      <c r="K898" s="70"/>
      <c r="L898" s="71"/>
      <c r="M898" s="72"/>
      <c r="P898" s="72"/>
    </row>
    <row r="899" hidden="1">
      <c r="B899" s="68"/>
      <c r="D899" s="69"/>
      <c r="H899" s="70"/>
      <c r="K899" s="70"/>
      <c r="L899" s="71"/>
      <c r="M899" s="72"/>
      <c r="P899" s="72"/>
    </row>
    <row r="900" hidden="1">
      <c r="B900" s="68"/>
      <c r="D900" s="69"/>
      <c r="H900" s="70"/>
      <c r="K900" s="70"/>
      <c r="L900" s="71"/>
      <c r="M900" s="72"/>
      <c r="P900" s="72"/>
    </row>
    <row r="901" hidden="1">
      <c r="B901" s="68"/>
      <c r="D901" s="69"/>
      <c r="H901" s="70"/>
      <c r="K901" s="70"/>
      <c r="L901" s="71"/>
      <c r="M901" s="72"/>
      <c r="P901" s="72"/>
    </row>
    <row r="902" hidden="1">
      <c r="B902" s="68"/>
      <c r="D902" s="69"/>
      <c r="H902" s="70"/>
      <c r="K902" s="70"/>
      <c r="L902" s="71"/>
      <c r="M902" s="72"/>
      <c r="P902" s="72"/>
    </row>
    <row r="903" hidden="1">
      <c r="B903" s="68"/>
      <c r="D903" s="69"/>
      <c r="H903" s="70"/>
      <c r="K903" s="70"/>
      <c r="L903" s="71"/>
      <c r="M903" s="72"/>
      <c r="P903" s="72"/>
    </row>
    <row r="904" hidden="1">
      <c r="B904" s="68"/>
      <c r="D904" s="69"/>
      <c r="H904" s="70"/>
      <c r="K904" s="70"/>
      <c r="L904" s="71"/>
      <c r="M904" s="72"/>
      <c r="P904" s="72"/>
    </row>
    <row r="905" hidden="1">
      <c r="B905" s="68"/>
      <c r="D905" s="69"/>
      <c r="H905" s="70"/>
      <c r="K905" s="70"/>
      <c r="L905" s="71"/>
      <c r="M905" s="72"/>
      <c r="P905" s="72"/>
    </row>
    <row r="906" hidden="1">
      <c r="B906" s="68"/>
      <c r="D906" s="69"/>
      <c r="H906" s="70"/>
      <c r="K906" s="70"/>
      <c r="L906" s="71"/>
      <c r="M906" s="72"/>
      <c r="P906" s="72"/>
    </row>
    <row r="907" hidden="1">
      <c r="B907" s="68"/>
      <c r="D907" s="69"/>
      <c r="H907" s="70"/>
      <c r="K907" s="70"/>
      <c r="L907" s="71"/>
      <c r="M907" s="72"/>
      <c r="P907" s="72"/>
    </row>
    <row r="908" hidden="1">
      <c r="B908" s="68"/>
      <c r="D908" s="69"/>
      <c r="H908" s="70"/>
      <c r="K908" s="70"/>
      <c r="L908" s="71"/>
      <c r="M908" s="72"/>
      <c r="P908" s="72"/>
    </row>
    <row r="909" hidden="1">
      <c r="B909" s="68"/>
      <c r="D909" s="69"/>
      <c r="H909" s="70"/>
      <c r="K909" s="70"/>
      <c r="L909" s="71"/>
      <c r="M909" s="72"/>
      <c r="P909" s="72"/>
    </row>
    <row r="910" hidden="1">
      <c r="B910" s="68"/>
      <c r="D910" s="69"/>
      <c r="H910" s="70"/>
      <c r="K910" s="70"/>
      <c r="L910" s="71"/>
      <c r="M910" s="72"/>
      <c r="P910" s="72"/>
    </row>
    <row r="911" hidden="1">
      <c r="B911" s="68"/>
      <c r="D911" s="69"/>
      <c r="H911" s="70"/>
      <c r="K911" s="70"/>
      <c r="L911" s="71"/>
      <c r="M911" s="72"/>
      <c r="P911" s="72"/>
    </row>
    <row r="912" hidden="1">
      <c r="B912" s="68"/>
      <c r="D912" s="69"/>
      <c r="H912" s="70"/>
      <c r="K912" s="70"/>
      <c r="L912" s="71"/>
      <c r="M912" s="72"/>
      <c r="P912" s="72"/>
    </row>
    <row r="913" hidden="1">
      <c r="B913" s="68"/>
      <c r="D913" s="69"/>
      <c r="H913" s="70"/>
      <c r="K913" s="70"/>
      <c r="L913" s="71"/>
      <c r="M913" s="72"/>
      <c r="P913" s="72"/>
    </row>
    <row r="914" hidden="1">
      <c r="B914" s="68"/>
      <c r="D914" s="69"/>
      <c r="H914" s="70"/>
      <c r="K914" s="70"/>
      <c r="L914" s="71"/>
      <c r="M914" s="72"/>
      <c r="P914" s="72"/>
    </row>
    <row r="915" hidden="1">
      <c r="B915" s="68"/>
      <c r="D915" s="69"/>
      <c r="H915" s="70"/>
      <c r="K915" s="70"/>
      <c r="L915" s="71"/>
      <c r="M915" s="72"/>
      <c r="P915" s="72"/>
    </row>
    <row r="916" hidden="1">
      <c r="B916" s="68"/>
      <c r="D916" s="69"/>
      <c r="H916" s="70"/>
      <c r="K916" s="70"/>
      <c r="L916" s="71"/>
      <c r="M916" s="72"/>
      <c r="P916" s="72"/>
    </row>
    <row r="917" hidden="1">
      <c r="B917" s="68"/>
      <c r="D917" s="69"/>
      <c r="H917" s="70"/>
      <c r="K917" s="70"/>
      <c r="L917" s="71"/>
      <c r="M917" s="72"/>
      <c r="P917" s="72"/>
    </row>
    <row r="918" hidden="1">
      <c r="B918" s="68"/>
      <c r="D918" s="69"/>
      <c r="H918" s="70"/>
      <c r="K918" s="70"/>
      <c r="L918" s="71"/>
      <c r="M918" s="72"/>
      <c r="P918" s="72"/>
    </row>
    <row r="919" hidden="1">
      <c r="B919" s="68"/>
      <c r="D919" s="69"/>
      <c r="H919" s="70"/>
      <c r="K919" s="70"/>
      <c r="L919" s="71"/>
      <c r="M919" s="72"/>
      <c r="P919" s="72"/>
    </row>
    <row r="920" hidden="1">
      <c r="B920" s="68"/>
      <c r="D920" s="69"/>
      <c r="H920" s="70"/>
      <c r="K920" s="70"/>
      <c r="L920" s="71"/>
      <c r="M920" s="72"/>
      <c r="P920" s="72"/>
    </row>
    <row r="921" hidden="1">
      <c r="B921" s="68"/>
      <c r="D921" s="69"/>
      <c r="H921" s="70"/>
      <c r="K921" s="70"/>
      <c r="L921" s="71"/>
      <c r="M921" s="72"/>
      <c r="P921" s="72"/>
    </row>
    <row r="922" hidden="1">
      <c r="B922" s="68"/>
      <c r="D922" s="69"/>
      <c r="H922" s="70"/>
      <c r="K922" s="70"/>
      <c r="L922" s="71"/>
      <c r="M922" s="72"/>
      <c r="P922" s="72"/>
    </row>
    <row r="923" hidden="1">
      <c r="B923" s="68"/>
      <c r="D923" s="69"/>
      <c r="H923" s="70"/>
      <c r="K923" s="70"/>
      <c r="L923" s="71"/>
      <c r="M923" s="72"/>
      <c r="P923" s="72"/>
    </row>
    <row r="924" hidden="1">
      <c r="B924" s="68"/>
      <c r="D924" s="69"/>
      <c r="H924" s="70"/>
      <c r="K924" s="70"/>
      <c r="L924" s="71"/>
      <c r="M924" s="72"/>
      <c r="P924" s="72"/>
    </row>
    <row r="925" hidden="1">
      <c r="B925" s="68"/>
      <c r="D925" s="69"/>
      <c r="H925" s="70"/>
      <c r="K925" s="70"/>
      <c r="L925" s="71"/>
      <c r="M925" s="72"/>
      <c r="P925" s="72"/>
    </row>
    <row r="926" hidden="1">
      <c r="B926" s="68"/>
      <c r="D926" s="69"/>
      <c r="H926" s="70"/>
      <c r="K926" s="70"/>
      <c r="L926" s="71"/>
      <c r="M926" s="72"/>
      <c r="P926" s="72"/>
    </row>
    <row r="927" hidden="1">
      <c r="B927" s="68"/>
      <c r="D927" s="69"/>
      <c r="H927" s="70"/>
      <c r="K927" s="70"/>
      <c r="L927" s="71"/>
      <c r="M927" s="72"/>
      <c r="P927" s="72"/>
    </row>
    <row r="928" hidden="1">
      <c r="B928" s="68"/>
      <c r="D928" s="69"/>
      <c r="H928" s="70"/>
      <c r="K928" s="70"/>
      <c r="L928" s="71"/>
      <c r="M928" s="72"/>
      <c r="P928" s="72"/>
    </row>
    <row r="929" hidden="1">
      <c r="B929" s="68"/>
      <c r="D929" s="69"/>
      <c r="H929" s="70"/>
      <c r="K929" s="70"/>
      <c r="L929" s="71"/>
      <c r="M929" s="72"/>
      <c r="P929" s="72"/>
    </row>
    <row r="930" hidden="1">
      <c r="B930" s="68"/>
      <c r="D930" s="69"/>
      <c r="H930" s="70"/>
      <c r="K930" s="70"/>
      <c r="L930" s="71"/>
      <c r="M930" s="72"/>
      <c r="P930" s="72"/>
    </row>
    <row r="931" hidden="1">
      <c r="B931" s="68"/>
      <c r="D931" s="69"/>
      <c r="H931" s="70"/>
      <c r="K931" s="70"/>
      <c r="L931" s="71"/>
      <c r="M931" s="72"/>
      <c r="P931" s="72"/>
    </row>
    <row r="932" hidden="1">
      <c r="B932" s="68"/>
      <c r="D932" s="69"/>
      <c r="H932" s="70"/>
      <c r="K932" s="70"/>
      <c r="L932" s="71"/>
      <c r="M932" s="72"/>
      <c r="P932" s="72"/>
    </row>
    <row r="933" hidden="1">
      <c r="B933" s="68"/>
      <c r="D933" s="69"/>
      <c r="H933" s="70"/>
      <c r="K933" s="70"/>
      <c r="L933" s="71"/>
      <c r="M933" s="72"/>
      <c r="P933" s="72"/>
    </row>
    <row r="934" hidden="1">
      <c r="B934" s="68"/>
      <c r="D934" s="69"/>
      <c r="H934" s="70"/>
      <c r="K934" s="70"/>
      <c r="L934" s="71"/>
      <c r="M934" s="72"/>
      <c r="P934" s="72"/>
    </row>
    <row r="935" hidden="1">
      <c r="B935" s="68"/>
      <c r="D935" s="69"/>
      <c r="H935" s="70"/>
      <c r="K935" s="70"/>
      <c r="L935" s="71"/>
      <c r="M935" s="72"/>
      <c r="P935" s="72"/>
    </row>
    <row r="936" hidden="1">
      <c r="B936" s="68"/>
      <c r="D936" s="69"/>
      <c r="H936" s="70"/>
      <c r="K936" s="70"/>
      <c r="L936" s="71"/>
      <c r="M936" s="72"/>
      <c r="P936" s="72"/>
    </row>
    <row r="937" hidden="1">
      <c r="B937" s="68"/>
      <c r="D937" s="69"/>
      <c r="H937" s="70"/>
      <c r="K937" s="70"/>
      <c r="L937" s="71"/>
      <c r="M937" s="72"/>
      <c r="P937" s="72"/>
    </row>
    <row r="938" hidden="1">
      <c r="B938" s="68"/>
      <c r="D938" s="69"/>
      <c r="H938" s="70"/>
      <c r="K938" s="70"/>
      <c r="L938" s="71"/>
      <c r="M938" s="72"/>
      <c r="P938" s="72"/>
    </row>
    <row r="939" hidden="1">
      <c r="B939" s="68"/>
      <c r="D939" s="69"/>
      <c r="H939" s="70"/>
      <c r="K939" s="70"/>
      <c r="L939" s="71"/>
      <c r="M939" s="72"/>
      <c r="P939" s="72"/>
    </row>
    <row r="940" hidden="1">
      <c r="B940" s="68"/>
      <c r="D940" s="69"/>
      <c r="H940" s="70"/>
      <c r="K940" s="70"/>
      <c r="L940" s="71"/>
      <c r="M940" s="72"/>
      <c r="P940" s="72"/>
    </row>
    <row r="941" hidden="1">
      <c r="B941" s="68"/>
      <c r="D941" s="69"/>
      <c r="H941" s="70"/>
      <c r="K941" s="70"/>
      <c r="L941" s="71"/>
      <c r="M941" s="72"/>
      <c r="P941" s="72"/>
    </row>
    <row r="942" hidden="1">
      <c r="B942" s="68"/>
      <c r="D942" s="69"/>
      <c r="H942" s="70"/>
      <c r="K942" s="70"/>
      <c r="L942" s="71"/>
      <c r="M942" s="72"/>
      <c r="P942" s="72"/>
    </row>
    <row r="943" hidden="1">
      <c r="B943" s="68"/>
      <c r="D943" s="69"/>
      <c r="H943" s="70"/>
      <c r="K943" s="70"/>
      <c r="L943" s="71"/>
      <c r="M943" s="72"/>
      <c r="P943" s="72"/>
    </row>
    <row r="944" hidden="1">
      <c r="B944" s="68"/>
      <c r="D944" s="69"/>
      <c r="H944" s="70"/>
      <c r="K944" s="70"/>
      <c r="L944" s="71"/>
      <c r="M944" s="72"/>
      <c r="P944" s="72"/>
    </row>
    <row r="945" hidden="1">
      <c r="B945" s="68"/>
      <c r="D945" s="69"/>
      <c r="H945" s="70"/>
      <c r="K945" s="70"/>
      <c r="L945" s="71"/>
      <c r="M945" s="72"/>
      <c r="P945" s="72"/>
    </row>
    <row r="946" hidden="1">
      <c r="B946" s="68"/>
      <c r="D946" s="69"/>
      <c r="H946" s="70"/>
      <c r="K946" s="70"/>
      <c r="L946" s="71"/>
      <c r="M946" s="72"/>
      <c r="P946" s="72"/>
    </row>
    <row r="947" hidden="1">
      <c r="B947" s="68"/>
      <c r="D947" s="69"/>
      <c r="H947" s="70"/>
      <c r="K947" s="70"/>
      <c r="L947" s="71"/>
      <c r="M947" s="72"/>
      <c r="P947" s="72"/>
    </row>
    <row r="948" hidden="1">
      <c r="B948" s="68"/>
      <c r="D948" s="69"/>
      <c r="H948" s="70"/>
      <c r="K948" s="70"/>
      <c r="L948" s="71"/>
      <c r="M948" s="72"/>
      <c r="P948" s="72"/>
    </row>
    <row r="949" hidden="1">
      <c r="B949" s="68"/>
      <c r="D949" s="69"/>
      <c r="H949" s="70"/>
      <c r="K949" s="70"/>
      <c r="L949" s="71"/>
      <c r="M949" s="72"/>
      <c r="P949" s="72"/>
    </row>
    <row r="950" hidden="1">
      <c r="B950" s="68"/>
      <c r="D950" s="69"/>
      <c r="H950" s="70"/>
      <c r="K950" s="70"/>
      <c r="L950" s="71"/>
      <c r="M950" s="72"/>
      <c r="P950" s="72"/>
    </row>
    <row r="951" hidden="1">
      <c r="B951" s="68"/>
      <c r="D951" s="69"/>
      <c r="H951" s="70"/>
      <c r="K951" s="70"/>
      <c r="L951" s="71"/>
      <c r="M951" s="72"/>
      <c r="P951" s="72"/>
    </row>
    <row r="952" hidden="1">
      <c r="B952" s="68"/>
      <c r="D952" s="69"/>
      <c r="H952" s="70"/>
      <c r="K952" s="70"/>
      <c r="L952" s="71"/>
      <c r="M952" s="72"/>
      <c r="P952" s="72"/>
    </row>
    <row r="953" hidden="1">
      <c r="B953" s="68"/>
      <c r="D953" s="69"/>
      <c r="H953" s="70"/>
      <c r="K953" s="70"/>
      <c r="L953" s="71"/>
      <c r="M953" s="72"/>
      <c r="P953" s="72"/>
    </row>
    <row r="954" hidden="1">
      <c r="B954" s="68"/>
      <c r="D954" s="69"/>
      <c r="H954" s="70"/>
      <c r="K954" s="70"/>
      <c r="L954" s="71"/>
      <c r="M954" s="72"/>
      <c r="P954" s="72"/>
    </row>
    <row r="955" hidden="1">
      <c r="B955" s="68"/>
      <c r="D955" s="69"/>
      <c r="H955" s="70"/>
      <c r="K955" s="70"/>
      <c r="L955" s="71"/>
      <c r="M955" s="72"/>
      <c r="P955" s="72"/>
    </row>
    <row r="956" hidden="1">
      <c r="B956" s="68"/>
      <c r="D956" s="69"/>
      <c r="H956" s="70"/>
      <c r="K956" s="70"/>
      <c r="L956" s="71"/>
      <c r="M956" s="72"/>
      <c r="P956" s="72"/>
    </row>
    <row r="957" hidden="1">
      <c r="B957" s="68"/>
      <c r="D957" s="69"/>
      <c r="H957" s="70"/>
      <c r="K957" s="70"/>
      <c r="L957" s="71"/>
      <c r="M957" s="72"/>
      <c r="P957" s="72"/>
    </row>
    <row r="958" hidden="1">
      <c r="B958" s="68"/>
      <c r="D958" s="69"/>
      <c r="H958" s="70"/>
      <c r="K958" s="70"/>
      <c r="L958" s="71"/>
      <c r="M958" s="72"/>
      <c r="P958" s="72"/>
    </row>
    <row r="959" hidden="1">
      <c r="B959" s="68"/>
      <c r="D959" s="69"/>
      <c r="H959" s="70"/>
      <c r="K959" s="70"/>
      <c r="L959" s="71"/>
      <c r="M959" s="72"/>
      <c r="P959" s="72"/>
    </row>
    <row r="960" hidden="1">
      <c r="B960" s="68"/>
      <c r="D960" s="69"/>
      <c r="H960" s="70"/>
      <c r="K960" s="70"/>
      <c r="L960" s="71"/>
      <c r="M960" s="72"/>
      <c r="P960" s="72"/>
    </row>
    <row r="961" hidden="1">
      <c r="B961" s="68"/>
      <c r="D961" s="69"/>
      <c r="H961" s="70"/>
      <c r="K961" s="70"/>
      <c r="L961" s="71"/>
      <c r="M961" s="72"/>
      <c r="P961" s="72"/>
    </row>
    <row r="962" hidden="1">
      <c r="B962" s="68"/>
      <c r="D962" s="69"/>
      <c r="H962" s="70"/>
      <c r="K962" s="70"/>
      <c r="L962" s="71"/>
      <c r="M962" s="72"/>
      <c r="P962" s="72"/>
    </row>
    <row r="963" hidden="1">
      <c r="B963" s="68"/>
      <c r="D963" s="69"/>
      <c r="H963" s="70"/>
      <c r="K963" s="70"/>
      <c r="L963" s="71"/>
      <c r="M963" s="72"/>
      <c r="P963" s="72"/>
    </row>
    <row r="964" hidden="1">
      <c r="B964" s="68"/>
      <c r="D964" s="69"/>
      <c r="H964" s="70"/>
      <c r="K964" s="70"/>
      <c r="L964" s="71"/>
      <c r="M964" s="72"/>
      <c r="P964" s="72"/>
    </row>
    <row r="965" hidden="1">
      <c r="B965" s="68"/>
      <c r="D965" s="69"/>
      <c r="H965" s="70"/>
      <c r="K965" s="70"/>
      <c r="L965" s="71"/>
      <c r="M965" s="72"/>
      <c r="P965" s="72"/>
    </row>
    <row r="966" hidden="1">
      <c r="B966" s="68"/>
      <c r="D966" s="69"/>
      <c r="H966" s="70"/>
      <c r="K966" s="70"/>
      <c r="L966" s="71"/>
      <c r="M966" s="72"/>
      <c r="P966" s="72"/>
    </row>
    <row r="967" hidden="1">
      <c r="B967" s="68"/>
      <c r="D967" s="69"/>
      <c r="H967" s="70"/>
      <c r="K967" s="70"/>
      <c r="L967" s="71"/>
      <c r="M967" s="72"/>
      <c r="P967" s="72"/>
    </row>
    <row r="968" hidden="1">
      <c r="B968" s="68"/>
      <c r="D968" s="69"/>
      <c r="H968" s="70"/>
      <c r="K968" s="70"/>
      <c r="L968" s="71"/>
      <c r="M968" s="72"/>
      <c r="P968" s="72"/>
    </row>
  </sheetData>
  <autoFilter ref="$A$1:$AA$968">
    <filterColumn colId="4">
      <filters>
        <filter val="Клей Starkbond 525A 2.0 бочка 200 кг"/>
      </filters>
    </filterColumn>
  </autoFilter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8.63"/>
    <col customWidth="1" min="11" max="11" width="22.13"/>
  </cols>
  <sheetData>
    <row r="2">
      <c r="A2" s="92" t="s">
        <v>1723</v>
      </c>
      <c r="B2" s="92" t="s">
        <v>1724</v>
      </c>
      <c r="C2" s="93" t="s">
        <v>1725</v>
      </c>
      <c r="D2" s="92" t="s">
        <v>1726</v>
      </c>
      <c r="E2" s="92" t="s">
        <v>1727</v>
      </c>
      <c r="F2" s="92" t="s">
        <v>1728</v>
      </c>
      <c r="G2" s="94" t="s">
        <v>1729</v>
      </c>
      <c r="H2" s="92" t="s">
        <v>1730</v>
      </c>
      <c r="I2" s="92" t="s">
        <v>1731</v>
      </c>
      <c r="J2" s="92" t="s">
        <v>1732</v>
      </c>
      <c r="K2" s="94" t="s">
        <v>1733</v>
      </c>
      <c r="L2" s="95"/>
    </row>
    <row r="3">
      <c r="A3" s="96" t="s">
        <v>1734</v>
      </c>
      <c r="B3" s="97">
        <v>45796.0</v>
      </c>
      <c r="C3" s="98" t="s">
        <v>1735</v>
      </c>
      <c r="D3" s="99">
        <v>19000.0</v>
      </c>
      <c r="E3" s="99">
        <v>56430.0</v>
      </c>
      <c r="F3" s="99">
        <v>5189680.88</v>
      </c>
      <c r="G3" s="100"/>
      <c r="H3" s="101"/>
      <c r="I3" s="99">
        <v>56430.0</v>
      </c>
      <c r="J3" s="99">
        <v>5189680.88</v>
      </c>
      <c r="K3" s="101"/>
      <c r="L3" s="95"/>
    </row>
    <row r="4">
      <c r="A4" s="101"/>
      <c r="B4" s="101"/>
      <c r="C4" s="102" t="s">
        <v>1736</v>
      </c>
      <c r="D4" s="101"/>
      <c r="E4" s="99">
        <v>1121.1</v>
      </c>
      <c r="F4" s="99">
        <v>103104.0</v>
      </c>
      <c r="G4" s="100"/>
      <c r="H4" s="96" t="s">
        <v>1737</v>
      </c>
      <c r="I4" s="99">
        <v>1121.1</v>
      </c>
      <c r="J4" s="99">
        <v>103104.0</v>
      </c>
      <c r="K4" s="101"/>
      <c r="L4" s="95"/>
    </row>
    <row r="5">
      <c r="A5" s="101"/>
      <c r="B5" s="101"/>
      <c r="C5" s="102" t="s">
        <v>1738</v>
      </c>
      <c r="D5" s="101"/>
      <c r="E5" s="99">
        <v>5255.16</v>
      </c>
      <c r="F5" s="99">
        <v>483300.0</v>
      </c>
      <c r="G5" s="100"/>
      <c r="H5" s="96" t="s">
        <v>1737</v>
      </c>
      <c r="I5" s="99">
        <v>5255.16</v>
      </c>
      <c r="J5" s="99">
        <v>483300.0</v>
      </c>
      <c r="K5" s="101"/>
      <c r="L5" s="95"/>
    </row>
    <row r="6">
      <c r="A6" s="101"/>
      <c r="B6" s="101"/>
      <c r="C6" s="102" t="s">
        <v>1739</v>
      </c>
      <c r="D6" s="101"/>
      <c r="E6" s="99">
        <v>326.21</v>
      </c>
      <c r="F6" s="99">
        <v>30000.0</v>
      </c>
      <c r="G6" s="100"/>
      <c r="H6" s="103">
        <v>0.2</v>
      </c>
      <c r="I6" s="99">
        <v>271.84</v>
      </c>
      <c r="J6" s="99">
        <v>25000.0</v>
      </c>
      <c r="K6" s="101"/>
      <c r="L6" s="95"/>
    </row>
    <row r="7">
      <c r="A7" s="101"/>
      <c r="B7" s="101"/>
      <c r="C7" s="102" t="s">
        <v>1740</v>
      </c>
      <c r="D7" s="101"/>
      <c r="E7" s="99">
        <v>2598.77</v>
      </c>
      <c r="F7" s="99">
        <v>239000.0</v>
      </c>
      <c r="G7" s="100"/>
      <c r="H7" s="103">
        <v>0.0</v>
      </c>
      <c r="I7" s="99">
        <v>2598.77</v>
      </c>
      <c r="J7" s="99">
        <v>239000.0</v>
      </c>
      <c r="K7" s="101"/>
      <c r="L7" s="95"/>
    </row>
    <row r="8">
      <c r="A8" s="101"/>
      <c r="B8" s="101"/>
      <c r="C8" s="102" t="s">
        <v>1741</v>
      </c>
      <c r="D8" s="101"/>
      <c r="E8" s="99">
        <v>231.36</v>
      </c>
      <c r="F8" s="99">
        <v>21277.48</v>
      </c>
      <c r="G8" s="100"/>
      <c r="H8" s="103">
        <v>0.2</v>
      </c>
      <c r="I8" s="99">
        <v>192.8</v>
      </c>
      <c r="J8" s="99">
        <v>17731.23</v>
      </c>
      <c r="K8" s="101"/>
      <c r="L8" s="95"/>
    </row>
    <row r="9">
      <c r="A9" s="101"/>
      <c r="B9" s="101"/>
      <c r="C9" s="102" t="s">
        <v>1742</v>
      </c>
      <c r="D9" s="101"/>
      <c r="E9" s="99">
        <v>840.82</v>
      </c>
      <c r="F9" s="99">
        <v>77327.63</v>
      </c>
      <c r="G9" s="100"/>
      <c r="H9" s="103">
        <v>0.2</v>
      </c>
      <c r="I9" s="99">
        <v>700.69</v>
      </c>
      <c r="J9" s="99">
        <v>64439.69</v>
      </c>
      <c r="K9" s="101"/>
      <c r="L9" s="95"/>
    </row>
    <row r="10">
      <c r="A10" s="101"/>
      <c r="B10" s="101"/>
      <c r="C10" s="102" t="s">
        <v>1743</v>
      </c>
      <c r="D10" s="101"/>
      <c r="E10" s="99">
        <v>54.8</v>
      </c>
      <c r="F10" s="99">
        <v>5040.0</v>
      </c>
      <c r="G10" s="100"/>
      <c r="H10" s="103">
        <v>0.2</v>
      </c>
      <c r="I10" s="99">
        <v>45.67</v>
      </c>
      <c r="J10" s="99">
        <v>4200.0</v>
      </c>
      <c r="K10" s="101"/>
      <c r="L10" s="95"/>
      <c r="M10" s="42" t="s">
        <v>1744</v>
      </c>
      <c r="N10" s="50">
        <f>K16-K34</f>
        <v>0.4916666667</v>
      </c>
      <c r="O10" s="42" t="s">
        <v>1745</v>
      </c>
    </row>
    <row r="11">
      <c r="A11" s="101"/>
      <c r="B11" s="101"/>
      <c r="C11" s="104"/>
      <c r="D11" s="101"/>
      <c r="E11" s="99">
        <v>0.0</v>
      </c>
      <c r="F11" s="101"/>
      <c r="G11" s="100"/>
      <c r="H11" s="103">
        <v>0.2</v>
      </c>
      <c r="I11" s="99">
        <v>0.0</v>
      </c>
      <c r="J11" s="99">
        <v>0.0</v>
      </c>
      <c r="K11" s="101"/>
      <c r="L11" s="95"/>
      <c r="M11" s="42" t="s">
        <v>1746</v>
      </c>
      <c r="N11" s="42">
        <v>607.7</v>
      </c>
      <c r="O11" s="42" t="s">
        <v>1747</v>
      </c>
    </row>
    <row r="12">
      <c r="A12" s="101"/>
      <c r="B12" s="101"/>
      <c r="C12" s="102" t="s">
        <v>1748</v>
      </c>
      <c r="D12" s="101"/>
      <c r="E12" s="99">
        <v>12791.46</v>
      </c>
      <c r="F12" s="99">
        <v>1176388.68</v>
      </c>
      <c r="G12" s="100"/>
      <c r="H12" s="101"/>
      <c r="I12" s="99">
        <v>12791.46</v>
      </c>
      <c r="J12" s="99">
        <v>1176388.68</v>
      </c>
      <c r="K12" s="101"/>
      <c r="L12" s="95"/>
      <c r="M12" s="42" t="s">
        <v>1749</v>
      </c>
      <c r="N12" s="50">
        <f>N11*N10</f>
        <v>298.7858333</v>
      </c>
    </row>
    <row r="13">
      <c r="A13" s="101"/>
      <c r="B13" s="101"/>
      <c r="C13" s="102" t="s">
        <v>1750</v>
      </c>
      <c r="D13" s="101"/>
      <c r="E13" s="99">
        <v>3045.59</v>
      </c>
      <c r="F13" s="99">
        <v>280092.54</v>
      </c>
      <c r="G13" s="100"/>
      <c r="H13" s="101"/>
      <c r="I13" s="99">
        <v>3045.59</v>
      </c>
      <c r="J13" s="99">
        <v>280092.54</v>
      </c>
      <c r="K13" s="101"/>
      <c r="L13" s="95"/>
      <c r="M13" s="42" t="s">
        <v>1751</v>
      </c>
      <c r="N13" s="50">
        <f>N12/1100</f>
        <v>0.2716234848</v>
      </c>
    </row>
    <row r="14">
      <c r="A14" s="101"/>
      <c r="B14" s="101"/>
      <c r="C14" s="102" t="s">
        <v>1752</v>
      </c>
      <c r="D14" s="101"/>
      <c r="E14" s="99">
        <v>299.46</v>
      </c>
      <c r="F14" s="99">
        <v>27540.0</v>
      </c>
      <c r="G14" s="100"/>
      <c r="H14" s="101"/>
      <c r="I14" s="99">
        <v>299.46</v>
      </c>
      <c r="J14" s="99">
        <v>27540.0</v>
      </c>
      <c r="K14" s="101"/>
      <c r="L14" s="95"/>
    </row>
    <row r="15">
      <c r="A15" s="100"/>
      <c r="B15" s="100"/>
      <c r="C15" s="105" t="s">
        <v>1753</v>
      </c>
      <c r="D15" s="106">
        <v>19000.0</v>
      </c>
      <c r="E15" s="106">
        <v>82994.73</v>
      </c>
      <c r="F15" s="106">
        <v>7632751.21</v>
      </c>
      <c r="G15" s="107">
        <v>4.37</v>
      </c>
      <c r="H15" s="100"/>
      <c r="I15" s="106">
        <v>66616.02</v>
      </c>
      <c r="J15" s="106">
        <v>6126455.8</v>
      </c>
      <c r="K15" s="106"/>
      <c r="L15" s="108" t="s">
        <v>1754</v>
      </c>
      <c r="M15" s="42" t="s">
        <v>1755</v>
      </c>
    </row>
    <row r="16">
      <c r="A16" s="95"/>
      <c r="B16" s="95"/>
      <c r="C16" s="109"/>
      <c r="D16" s="95"/>
      <c r="E16" s="95"/>
      <c r="F16" s="95"/>
      <c r="G16" s="110">
        <v>4.368143556</v>
      </c>
      <c r="H16" s="95"/>
      <c r="I16" s="95"/>
      <c r="J16" s="95"/>
      <c r="K16" s="111">
        <f>G15-G15/6</f>
        <v>3.641666667</v>
      </c>
      <c r="L16" s="95"/>
      <c r="M16" s="112">
        <v>45740.0</v>
      </c>
      <c r="N16" s="42">
        <v>93.2547</v>
      </c>
    </row>
    <row r="17">
      <c r="A17" s="95"/>
      <c r="B17" s="95"/>
      <c r="C17" s="113" t="s">
        <v>1756</v>
      </c>
      <c r="D17" s="95"/>
      <c r="E17" s="95"/>
      <c r="F17" s="95"/>
      <c r="G17" s="110">
        <v>401.7237479</v>
      </c>
      <c r="H17" s="95"/>
      <c r="I17" s="95"/>
      <c r="J17" s="95"/>
      <c r="K17" s="114">
        <v>322.4450422</v>
      </c>
      <c r="L17" s="95"/>
      <c r="M17" s="112">
        <v>45869.0</v>
      </c>
      <c r="N17" s="42">
        <v>96.8504</v>
      </c>
    </row>
    <row r="18">
      <c r="A18" s="95"/>
      <c r="B18" s="95"/>
      <c r="C18" s="109"/>
      <c r="D18" s="95"/>
      <c r="E18" s="95"/>
      <c r="F18" s="95"/>
      <c r="G18" s="115"/>
      <c r="H18" s="95"/>
      <c r="I18" s="95"/>
      <c r="J18" s="95"/>
      <c r="K18" s="95"/>
      <c r="L18" s="95"/>
      <c r="M18" s="116">
        <v>45854.0</v>
      </c>
      <c r="N18" s="42">
        <v>92.9762</v>
      </c>
      <c r="O18" s="50">
        <f>AVERAGE(N17:N18)</f>
        <v>94.9133</v>
      </c>
    </row>
    <row r="19">
      <c r="A19" s="95"/>
      <c r="B19" s="95"/>
      <c r="C19" s="109"/>
      <c r="D19" s="95"/>
      <c r="E19" s="95"/>
      <c r="F19" s="95"/>
      <c r="G19" s="115"/>
      <c r="H19" s="95"/>
      <c r="I19" s="95"/>
      <c r="J19" s="95"/>
      <c r="K19" s="95"/>
      <c r="L19" s="95"/>
      <c r="N19" s="50">
        <f>N16-O18</f>
        <v>-1.6586</v>
      </c>
    </row>
    <row r="20">
      <c r="N20" s="50">
        <f>N19/89.9011</f>
        <v>-0.01844916247</v>
      </c>
    </row>
    <row r="21">
      <c r="A21" s="92" t="s">
        <v>1723</v>
      </c>
      <c r="B21" s="92" t="s">
        <v>1724</v>
      </c>
      <c r="C21" s="93" t="s">
        <v>1725</v>
      </c>
      <c r="D21" s="92" t="s">
        <v>1726</v>
      </c>
      <c r="E21" s="92" t="s">
        <v>1727</v>
      </c>
      <c r="F21" s="92" t="s">
        <v>1728</v>
      </c>
      <c r="G21" s="94" t="s">
        <v>1729</v>
      </c>
      <c r="H21" s="92" t="s">
        <v>1730</v>
      </c>
      <c r="I21" s="92" t="s">
        <v>1731</v>
      </c>
      <c r="J21" s="92" t="s">
        <v>1732</v>
      </c>
      <c r="K21" s="94" t="s">
        <v>1733</v>
      </c>
      <c r="L21" s="95"/>
      <c r="M21" s="117" t="s">
        <v>1757</v>
      </c>
      <c r="N21" s="50">
        <f>N13+N20</f>
        <v>0.2531743224</v>
      </c>
    </row>
    <row r="22">
      <c r="A22" s="99">
        <v>83.0</v>
      </c>
      <c r="B22" s="118">
        <v>45971.0</v>
      </c>
      <c r="C22" s="98" t="s">
        <v>1758</v>
      </c>
      <c r="D22" s="99">
        <v>20250.0</v>
      </c>
      <c r="E22" s="119" t="s">
        <v>1759</v>
      </c>
      <c r="F22" s="119" t="s">
        <v>1760</v>
      </c>
      <c r="G22" s="100"/>
      <c r="H22" s="101"/>
      <c r="I22" s="119" t="s">
        <v>1759</v>
      </c>
      <c r="J22" s="119" t="s">
        <v>1760</v>
      </c>
      <c r="K22" s="101"/>
      <c r="L22" s="95"/>
      <c r="M22" s="95"/>
    </row>
    <row r="23">
      <c r="A23" s="101"/>
      <c r="B23" s="101"/>
      <c r="C23" s="102" t="s">
        <v>1761</v>
      </c>
      <c r="D23" s="101"/>
      <c r="E23" s="99">
        <v>5792.03</v>
      </c>
      <c r="F23" s="99">
        <v>523274.05</v>
      </c>
      <c r="G23" s="100"/>
      <c r="H23" s="96" t="s">
        <v>1737</v>
      </c>
      <c r="I23" s="99">
        <v>5792.03</v>
      </c>
      <c r="J23" s="99">
        <v>523274.05</v>
      </c>
      <c r="K23" s="101"/>
      <c r="L23" s="95"/>
      <c r="M23" s="95"/>
    </row>
    <row r="24">
      <c r="A24" s="101"/>
      <c r="B24" s="101"/>
      <c r="C24" s="102" t="s">
        <v>1762</v>
      </c>
      <c r="D24" s="101"/>
      <c r="E24" s="99">
        <v>863.37</v>
      </c>
      <c r="F24" s="99">
        <v>78000.0</v>
      </c>
      <c r="G24" s="100"/>
      <c r="H24" s="103">
        <v>0.0</v>
      </c>
      <c r="I24" s="99">
        <v>863.37</v>
      </c>
      <c r="J24" s="99">
        <v>78000.0</v>
      </c>
      <c r="K24" s="101"/>
      <c r="L24" s="95"/>
      <c r="M24" s="95"/>
    </row>
    <row r="25">
      <c r="A25" s="101"/>
      <c r="B25" s="101"/>
      <c r="C25" s="102" t="s">
        <v>1763</v>
      </c>
      <c r="D25" s="101"/>
      <c r="E25" s="99">
        <v>332.06</v>
      </c>
      <c r="F25" s="99">
        <v>30000.0</v>
      </c>
      <c r="G25" s="100"/>
      <c r="H25" s="103">
        <v>0.2</v>
      </c>
      <c r="I25" s="99">
        <v>276.72</v>
      </c>
      <c r="J25" s="99">
        <v>25000.0</v>
      </c>
      <c r="K25" s="101"/>
      <c r="L25" s="95"/>
      <c r="M25" s="95"/>
    </row>
    <row r="26">
      <c r="A26" s="101"/>
      <c r="B26" s="101"/>
      <c r="C26" s="102" t="s">
        <v>1764</v>
      </c>
      <c r="D26" s="101"/>
      <c r="E26" s="99">
        <v>100.43</v>
      </c>
      <c r="F26" s="99">
        <v>9073.48</v>
      </c>
      <c r="G26" s="100"/>
      <c r="H26" s="103">
        <v>0.2</v>
      </c>
      <c r="I26" s="99">
        <v>98.64</v>
      </c>
      <c r="J26" s="99">
        <v>8911.45</v>
      </c>
      <c r="K26" s="101"/>
      <c r="L26" s="95"/>
      <c r="M26" s="95"/>
    </row>
    <row r="27">
      <c r="A27" s="101"/>
      <c r="B27" s="101"/>
      <c r="C27" s="102" t="s">
        <v>1765</v>
      </c>
      <c r="D27" s="101"/>
      <c r="E27" s="99">
        <v>287.79</v>
      </c>
      <c r="F27" s="99">
        <v>26000.0</v>
      </c>
      <c r="G27" s="100"/>
      <c r="H27" s="103">
        <v>0.0</v>
      </c>
      <c r="I27" s="99">
        <v>287.79</v>
      </c>
      <c r="J27" s="99">
        <v>26000.0</v>
      </c>
      <c r="K27" s="101"/>
      <c r="L27" s="95"/>
      <c r="M27" s="95"/>
    </row>
    <row r="28">
      <c r="A28" s="101"/>
      <c r="B28" s="101"/>
      <c r="C28" s="102" t="s">
        <v>1766</v>
      </c>
      <c r="D28" s="101"/>
      <c r="E28" s="99">
        <v>2490.49</v>
      </c>
      <c r="F28" s="99">
        <v>225000.0</v>
      </c>
      <c r="G28" s="100"/>
      <c r="H28" s="103">
        <v>0.0</v>
      </c>
      <c r="I28" s="99">
        <v>2490.49</v>
      </c>
      <c r="J28" s="99">
        <v>225000.0</v>
      </c>
      <c r="K28" s="101"/>
      <c r="L28" s="95"/>
      <c r="M28" s="95"/>
    </row>
    <row r="29">
      <c r="A29" s="101"/>
      <c r="B29" s="101"/>
      <c r="C29" s="104"/>
      <c r="D29" s="101"/>
      <c r="E29" s="99">
        <v>0.0</v>
      </c>
      <c r="F29" s="101"/>
      <c r="G29" s="100"/>
      <c r="H29" s="103">
        <v>0.0</v>
      </c>
      <c r="I29" s="99">
        <v>0.0</v>
      </c>
      <c r="J29" s="99">
        <v>0.0</v>
      </c>
      <c r="K29" s="101"/>
      <c r="L29" s="95"/>
      <c r="M29" s="95"/>
    </row>
    <row r="30">
      <c r="A30" s="101"/>
      <c r="B30" s="101"/>
      <c r="C30" s="102" t="s">
        <v>1748</v>
      </c>
      <c r="D30" s="101"/>
      <c r="E30" s="99">
        <v>12103.99</v>
      </c>
      <c r="F30" s="99">
        <v>1093520.45</v>
      </c>
      <c r="G30" s="100"/>
      <c r="H30" s="101"/>
      <c r="I30" s="101"/>
      <c r="J30" s="101"/>
      <c r="K30" s="101"/>
      <c r="L30" s="95"/>
      <c r="M30" s="95"/>
    </row>
    <row r="31">
      <c r="A31" s="101"/>
      <c r="B31" s="101"/>
      <c r="C31" s="102" t="s">
        <v>1750</v>
      </c>
      <c r="D31" s="101"/>
      <c r="E31" s="99">
        <v>2881.9</v>
      </c>
      <c r="F31" s="99">
        <v>260362.01</v>
      </c>
      <c r="G31" s="100"/>
      <c r="H31" s="101"/>
      <c r="I31" s="99">
        <v>2881.9</v>
      </c>
      <c r="J31" s="99">
        <v>518185.47</v>
      </c>
      <c r="K31" s="101"/>
      <c r="L31" s="95"/>
      <c r="M31" s="95"/>
    </row>
    <row r="32">
      <c r="A32" s="101"/>
      <c r="B32" s="101"/>
      <c r="C32" s="102" t="s">
        <v>1752</v>
      </c>
      <c r="D32" s="101"/>
      <c r="E32" s="99">
        <v>236.25</v>
      </c>
      <c r="F32" s="99">
        <v>21344.0</v>
      </c>
      <c r="G32" s="100"/>
      <c r="H32" s="101"/>
      <c r="I32" s="99">
        <v>236.25</v>
      </c>
      <c r="J32" s="99">
        <v>30000.0</v>
      </c>
      <c r="K32" s="101"/>
      <c r="L32" s="95"/>
      <c r="M32" s="95"/>
    </row>
    <row r="33">
      <c r="A33" s="100"/>
      <c r="B33" s="100"/>
      <c r="C33" s="105" t="s">
        <v>1753</v>
      </c>
      <c r="D33" s="106">
        <v>20250.0</v>
      </c>
      <c r="E33" s="106">
        <v>75004.57</v>
      </c>
      <c r="F33" s="106">
        <v>6913330.49</v>
      </c>
      <c r="G33" s="107">
        <v>3.7</v>
      </c>
      <c r="H33" s="100"/>
      <c r="I33" s="106">
        <v>62843.44</v>
      </c>
      <c r="J33" s="106">
        <v>6081127.47</v>
      </c>
      <c r="K33" s="106"/>
      <c r="L33" s="108" t="s">
        <v>1767</v>
      </c>
      <c r="M33" s="120">
        <v>90.3438</v>
      </c>
    </row>
    <row r="34">
      <c r="A34" s="95"/>
      <c r="B34" s="95"/>
      <c r="C34" s="109"/>
      <c r="D34" s="95"/>
      <c r="E34" s="95"/>
      <c r="F34" s="95"/>
      <c r="G34" s="110">
        <v>3.78</v>
      </c>
      <c r="H34" s="95"/>
      <c r="I34" s="95"/>
      <c r="J34" s="95"/>
      <c r="K34" s="111">
        <f>G34-G34/6</f>
        <v>3.15</v>
      </c>
      <c r="L34" s="95"/>
      <c r="M34" s="95"/>
    </row>
    <row r="35">
      <c r="A35" s="95"/>
      <c r="B35" s="95"/>
      <c r="C35" s="113" t="s">
        <v>1768</v>
      </c>
      <c r="D35" s="95"/>
      <c r="E35" s="95"/>
      <c r="F35" s="95"/>
      <c r="G35" s="110">
        <v>341.4</v>
      </c>
      <c r="H35" s="95"/>
      <c r="I35" s="95"/>
      <c r="J35" s="95"/>
      <c r="K35" s="114">
        <v>280.3711218</v>
      </c>
      <c r="L35" s="95"/>
      <c r="M35" s="95"/>
    </row>
    <row r="36">
      <c r="A36" s="95"/>
      <c r="B36" s="95"/>
      <c r="C36" s="109"/>
      <c r="D36" s="95"/>
      <c r="E36" s="95"/>
      <c r="F36" s="95"/>
      <c r="G36" s="115"/>
      <c r="H36" s="95"/>
      <c r="I36" s="95"/>
      <c r="J36" s="95"/>
      <c r="K36" s="95"/>
      <c r="L36" s="95"/>
      <c r="M36" s="95"/>
    </row>
    <row r="37">
      <c r="A37" s="95"/>
      <c r="B37" s="95"/>
      <c r="C37" s="109"/>
      <c r="D37" s="95"/>
      <c r="E37" s="95"/>
      <c r="F37" s="95"/>
      <c r="G37" s="115"/>
      <c r="H37" s="95"/>
      <c r="I37" s="95"/>
      <c r="J37" s="95"/>
      <c r="K37" s="95"/>
      <c r="L37" s="95"/>
      <c r="M37" s="95"/>
    </row>
    <row r="38">
      <c r="A38" s="95"/>
      <c r="B38" s="95"/>
      <c r="C38" s="109"/>
      <c r="D38" s="95"/>
      <c r="E38" s="95"/>
      <c r="F38" s="95"/>
      <c r="G38" s="115"/>
      <c r="H38" s="95"/>
      <c r="I38" s="95"/>
      <c r="J38" s="95"/>
      <c r="K38" s="95"/>
      <c r="L38" s="95"/>
      <c r="M38" s="95"/>
    </row>
    <row r="39">
      <c r="A39" s="92" t="s">
        <v>1769</v>
      </c>
      <c r="B39" s="93" t="s">
        <v>1725</v>
      </c>
      <c r="C39" s="92" t="s">
        <v>1726</v>
      </c>
      <c r="D39" s="92" t="s">
        <v>1727</v>
      </c>
      <c r="E39" s="92" t="s">
        <v>1728</v>
      </c>
      <c r="F39" s="94" t="s">
        <v>1729</v>
      </c>
      <c r="G39" s="92" t="s">
        <v>1730</v>
      </c>
      <c r="H39" s="92" t="s">
        <v>1731</v>
      </c>
      <c r="I39" s="92" t="s">
        <v>1732</v>
      </c>
      <c r="J39" s="94" t="s">
        <v>1733</v>
      </c>
      <c r="K39" s="95"/>
      <c r="L39" s="95"/>
    </row>
    <row r="40">
      <c r="A40" s="97">
        <v>45993.0</v>
      </c>
      <c r="B40" s="121" t="s">
        <v>1770</v>
      </c>
      <c r="C40" s="99">
        <v>49820.0</v>
      </c>
      <c r="D40" s="119" t="s">
        <v>1771</v>
      </c>
      <c r="E40" s="119" t="s">
        <v>1772</v>
      </c>
      <c r="F40" s="100"/>
      <c r="G40" s="101"/>
      <c r="H40" s="119" t="s">
        <v>1771</v>
      </c>
      <c r="I40" s="119" t="s">
        <v>1772</v>
      </c>
      <c r="J40" s="101"/>
      <c r="K40" s="95"/>
      <c r="L40" s="95"/>
    </row>
    <row r="41">
      <c r="A41" s="101"/>
      <c r="B41" s="102" t="s">
        <v>1773</v>
      </c>
      <c r="C41" s="101"/>
      <c r="D41" s="99">
        <v>262.64</v>
      </c>
      <c r="E41" s="99">
        <v>24000.0</v>
      </c>
      <c r="F41" s="100"/>
      <c r="G41" s="103">
        <v>0.2</v>
      </c>
      <c r="H41" s="99">
        <v>262.64</v>
      </c>
      <c r="I41" s="99">
        <v>20000.0</v>
      </c>
      <c r="J41" s="101"/>
      <c r="K41" s="95"/>
      <c r="L41" s="95" t="str">
        <f>D40/49820</f>
        <v>#VALUE!</v>
      </c>
    </row>
    <row r="42">
      <c r="A42" s="101"/>
      <c r="B42" s="102" t="s">
        <v>1774</v>
      </c>
      <c r="C42" s="101"/>
      <c r="D42" s="99">
        <v>13768.82</v>
      </c>
      <c r="E42" s="119" t="s">
        <v>1775</v>
      </c>
      <c r="F42" s="100"/>
      <c r="G42" s="96" t="s">
        <v>1737</v>
      </c>
      <c r="H42" s="99">
        <v>13768.82</v>
      </c>
      <c r="I42" s="99">
        <v>1258203.38</v>
      </c>
      <c r="J42" s="101"/>
      <c r="K42" s="95"/>
      <c r="L42" s="95"/>
    </row>
    <row r="43">
      <c r="A43" s="101"/>
      <c r="B43" s="102" t="s">
        <v>1776</v>
      </c>
      <c r="C43" s="101"/>
      <c r="D43" s="99">
        <v>2473.17</v>
      </c>
      <c r="E43" s="99">
        <v>226000.0</v>
      </c>
      <c r="F43" s="100"/>
      <c r="G43" s="99">
        <v>0.0</v>
      </c>
      <c r="H43" s="99">
        <v>2473.17</v>
      </c>
      <c r="I43" s="99">
        <v>226000.0</v>
      </c>
      <c r="J43" s="101"/>
      <c r="K43" s="95"/>
      <c r="L43" s="95"/>
    </row>
    <row r="44">
      <c r="A44" s="101"/>
      <c r="B44" s="102" t="s">
        <v>1777</v>
      </c>
      <c r="C44" s="101"/>
      <c r="D44" s="99">
        <v>230.77</v>
      </c>
      <c r="E44" s="99">
        <v>21088.0</v>
      </c>
      <c r="F44" s="100"/>
      <c r="G44" s="103">
        <v>0.0</v>
      </c>
      <c r="H44" s="99">
        <v>230.77</v>
      </c>
      <c r="I44" s="99">
        <v>21088.0</v>
      </c>
      <c r="J44" s="101"/>
      <c r="K44" s="95"/>
      <c r="L44" s="95"/>
    </row>
    <row r="45">
      <c r="A45" s="101"/>
      <c r="B45" s="102" t="s">
        <v>1778</v>
      </c>
      <c r="C45" s="101"/>
      <c r="D45" s="99">
        <v>108.56</v>
      </c>
      <c r="E45" s="99">
        <v>9920.23</v>
      </c>
      <c r="F45" s="100"/>
      <c r="G45" s="103">
        <v>0.2</v>
      </c>
      <c r="H45" s="99">
        <v>108.56</v>
      </c>
      <c r="I45" s="99">
        <v>9920.23</v>
      </c>
      <c r="J45" s="101"/>
      <c r="K45" s="95"/>
      <c r="L45" s="95"/>
    </row>
    <row r="46">
      <c r="A46" s="101"/>
      <c r="B46" s="104"/>
      <c r="C46" s="101"/>
      <c r="D46" s="99">
        <v>0.0</v>
      </c>
      <c r="E46" s="101"/>
      <c r="F46" s="100"/>
      <c r="G46" s="103">
        <v>0.2</v>
      </c>
      <c r="H46" s="99">
        <v>0.0</v>
      </c>
      <c r="I46" s="101"/>
      <c r="J46" s="101"/>
      <c r="K46" s="95"/>
      <c r="L46" s="95"/>
    </row>
    <row r="47">
      <c r="A47" s="101"/>
      <c r="B47" s="104"/>
      <c r="C47" s="101"/>
      <c r="D47" s="99">
        <v>0.0</v>
      </c>
      <c r="E47" s="101"/>
      <c r="F47" s="100"/>
      <c r="G47" s="103">
        <v>0.2</v>
      </c>
      <c r="H47" s="99">
        <v>0.0</v>
      </c>
      <c r="I47" s="101"/>
      <c r="J47" s="101"/>
      <c r="K47" s="95"/>
      <c r="L47" s="95"/>
    </row>
    <row r="48">
      <c r="A48" s="101"/>
      <c r="B48" s="102" t="s">
        <v>1779</v>
      </c>
      <c r="C48" s="101"/>
      <c r="D48" s="99">
        <v>146.64</v>
      </c>
      <c r="E48" s="99">
        <v>13400.0</v>
      </c>
      <c r="F48" s="100"/>
      <c r="G48" s="103">
        <v>0.2</v>
      </c>
      <c r="H48" s="99">
        <v>146.64</v>
      </c>
      <c r="I48" s="99">
        <v>11166.66</v>
      </c>
      <c r="J48" s="101"/>
      <c r="K48" s="95"/>
      <c r="L48" s="95"/>
    </row>
    <row r="49">
      <c r="A49" s="101"/>
      <c r="B49" s="102" t="s">
        <v>1748</v>
      </c>
      <c r="C49" s="101"/>
      <c r="D49" s="99">
        <v>25487.4</v>
      </c>
      <c r="E49" s="99">
        <v>2329054.17</v>
      </c>
      <c r="F49" s="100"/>
      <c r="G49" s="101"/>
      <c r="H49" s="101"/>
      <c r="I49" s="101"/>
      <c r="J49" s="101"/>
      <c r="K49" s="95"/>
      <c r="L49" s="95"/>
    </row>
    <row r="50">
      <c r="A50" s="101"/>
      <c r="B50" s="102" t="s">
        <v>1750</v>
      </c>
      <c r="C50" s="101"/>
      <c r="D50" s="99">
        <v>6068.43</v>
      </c>
      <c r="E50" s="99">
        <v>554536.71</v>
      </c>
      <c r="F50" s="100"/>
      <c r="G50" s="101"/>
      <c r="H50" s="99">
        <v>6068.43</v>
      </c>
      <c r="I50" s="99">
        <v>554536.71</v>
      </c>
      <c r="J50" s="101"/>
      <c r="K50" s="95"/>
      <c r="L50" s="95"/>
    </row>
    <row r="51">
      <c r="A51" s="101"/>
      <c r="B51" s="102" t="s">
        <v>1752</v>
      </c>
      <c r="C51" s="101"/>
      <c r="D51" s="99">
        <v>328.3</v>
      </c>
      <c r="E51" s="99">
        <v>30000.0</v>
      </c>
      <c r="F51" s="100"/>
      <c r="G51" s="101"/>
      <c r="H51" s="99">
        <v>328.3</v>
      </c>
      <c r="I51" s="99">
        <v>30000.0</v>
      </c>
      <c r="J51" s="101"/>
      <c r="K51" s="95"/>
      <c r="L51" s="95"/>
    </row>
    <row r="52">
      <c r="A52" s="100"/>
      <c r="B52" s="105" t="s">
        <v>1753</v>
      </c>
      <c r="C52" s="106">
        <v>49820.0</v>
      </c>
      <c r="D52" s="106">
        <v>155132.73</v>
      </c>
      <c r="E52" s="106">
        <v>1.480499337E7</v>
      </c>
      <c r="F52" s="107">
        <v>3.11</v>
      </c>
      <c r="G52" s="100"/>
      <c r="H52" s="106">
        <v>129645.33</v>
      </c>
      <c r="I52" s="106">
        <v>1.246970586E7</v>
      </c>
      <c r="J52" s="106">
        <v>2.6</v>
      </c>
      <c r="K52" s="115"/>
      <c r="L52" s="110">
        <v>91.3806</v>
      </c>
    </row>
    <row r="53">
      <c r="A53" s="95"/>
      <c r="B53" s="109"/>
      <c r="C53" s="95"/>
      <c r="D53" s="95"/>
      <c r="E53" s="95"/>
      <c r="F53" s="110">
        <v>3.251999639</v>
      </c>
      <c r="G53" s="95"/>
      <c r="H53" s="95"/>
      <c r="I53" s="95"/>
      <c r="J53" s="95"/>
      <c r="K53" s="95"/>
      <c r="L53" s="95"/>
    </row>
    <row r="54">
      <c r="A54" s="95"/>
      <c r="B54" s="113" t="s">
        <v>1780</v>
      </c>
      <c r="C54" s="95"/>
      <c r="D54" s="95"/>
      <c r="E54" s="95"/>
      <c r="F54" s="110">
        <v>297.1696782</v>
      </c>
      <c r="G54" s="95"/>
      <c r="H54" s="95"/>
      <c r="I54" s="95"/>
      <c r="J54" s="114">
        <v>237.7974331</v>
      </c>
      <c r="K54" s="95"/>
      <c r="L54" s="95"/>
    </row>
    <row r="55">
      <c r="A55" s="95"/>
      <c r="B55" s="109"/>
      <c r="C55" s="95"/>
      <c r="D55" s="95"/>
      <c r="E55" s="95"/>
      <c r="F55" s="115"/>
      <c r="G55" s="95"/>
      <c r="H55" s="95"/>
      <c r="I55" s="95"/>
      <c r="J55" s="95"/>
      <c r="K55" s="95"/>
      <c r="L55" s="95"/>
    </row>
    <row r="56">
      <c r="A56" s="95"/>
      <c r="B56" s="109"/>
      <c r="C56" s="117" t="s">
        <v>1781</v>
      </c>
      <c r="D56" s="117" t="s">
        <v>1782</v>
      </c>
      <c r="E56" s="95"/>
      <c r="F56" s="115"/>
      <c r="G56" s="95"/>
      <c r="H56" s="95"/>
      <c r="I56" s="95"/>
      <c r="J56" s="95"/>
      <c r="K56" s="95"/>
      <c r="L56" s="95"/>
    </row>
    <row r="57">
      <c r="A57" s="95"/>
      <c r="B57" s="109"/>
      <c r="C57" s="95"/>
      <c r="D57" s="95"/>
      <c r="E57" s="95"/>
      <c r="F57" s="115"/>
      <c r="G57" s="95"/>
      <c r="H57" s="95"/>
      <c r="I57" s="95"/>
      <c r="J57" s="95"/>
      <c r="K57" s="95"/>
      <c r="L57" s="95"/>
    </row>
    <row r="58">
      <c r="A58" s="95"/>
      <c r="B58" s="109"/>
      <c r="C58" s="95"/>
      <c r="D58" s="95"/>
      <c r="E58" s="95"/>
      <c r="F58" s="115"/>
      <c r="G58" s="95"/>
      <c r="H58" s="95"/>
      <c r="I58" s="95"/>
      <c r="J58" s="95"/>
      <c r="K58" s="95"/>
      <c r="L58" s="95"/>
    </row>
    <row r="59">
      <c r="A59" s="122">
        <v>45915.0</v>
      </c>
      <c r="B59" s="123" t="s">
        <v>1783</v>
      </c>
      <c r="C59" s="124" t="s">
        <v>1782</v>
      </c>
      <c r="D59" s="125" t="s">
        <v>1784</v>
      </c>
      <c r="E59" s="126"/>
      <c r="F59" s="127" t="s">
        <v>1785</v>
      </c>
      <c r="G59" s="126"/>
      <c r="H59" s="128" t="s">
        <v>1786</v>
      </c>
      <c r="I59" s="95"/>
      <c r="J59" s="95"/>
      <c r="K59" s="95"/>
      <c r="L59" s="95"/>
    </row>
    <row r="60">
      <c r="A60" s="129">
        <v>45919.0</v>
      </c>
      <c r="B60" s="130" t="s">
        <v>1787</v>
      </c>
      <c r="C60" s="131" t="s">
        <v>1788</v>
      </c>
      <c r="D60" s="131">
        <v>11.67</v>
      </c>
      <c r="E60" s="131" t="s">
        <v>1789</v>
      </c>
      <c r="F60" s="106">
        <v>98.9773</v>
      </c>
      <c r="G60" s="99">
        <v>52849.0</v>
      </c>
      <c r="H60" s="101"/>
      <c r="I60" s="95"/>
      <c r="J60" s="95"/>
      <c r="K60" s="95"/>
      <c r="L60" s="95"/>
    </row>
    <row r="61">
      <c r="A61" s="129">
        <v>45932.0</v>
      </c>
      <c r="B61" s="130" t="s">
        <v>1790</v>
      </c>
      <c r="C61" s="131" t="s">
        <v>1788</v>
      </c>
      <c r="D61" s="99">
        <v>11.392</v>
      </c>
      <c r="E61" s="131" t="s">
        <v>1791</v>
      </c>
      <c r="F61" s="106">
        <v>95.6382</v>
      </c>
      <c r="G61" s="99">
        <v>53409.0</v>
      </c>
      <c r="H61" s="101"/>
      <c r="I61" s="95"/>
      <c r="J61" s="95"/>
      <c r="K61" s="95"/>
      <c r="L61" s="95"/>
    </row>
    <row r="62">
      <c r="A62" s="129">
        <v>45993.0</v>
      </c>
      <c r="B62" s="130" t="s">
        <v>1792</v>
      </c>
      <c r="C62" s="131" t="s">
        <v>1782</v>
      </c>
      <c r="D62" s="101"/>
      <c r="E62" s="99" t="s">
        <v>1772</v>
      </c>
      <c r="F62" s="100"/>
      <c r="G62" s="99">
        <v>106258.0</v>
      </c>
      <c r="H62" s="101"/>
      <c r="I62" s="95"/>
      <c r="J62" s="95"/>
      <c r="K62" s="95"/>
      <c r="L62" s="95"/>
    </row>
    <row r="64">
      <c r="K64" s="42" t="s">
        <v>1793</v>
      </c>
    </row>
    <row r="65">
      <c r="K65" s="42">
        <v>209.47</v>
      </c>
      <c r="L65" s="50">
        <f>(K65/2343)*100</f>
        <v>8.940247546</v>
      </c>
    </row>
    <row r="66">
      <c r="K66" s="42" t="s">
        <v>1794</v>
      </c>
    </row>
    <row r="70">
      <c r="A70" s="42" t="s">
        <v>1795</v>
      </c>
    </row>
    <row r="71">
      <c r="A71" s="92" t="s">
        <v>1723</v>
      </c>
      <c r="B71" s="92" t="s">
        <v>1724</v>
      </c>
      <c r="C71" s="93" t="s">
        <v>1725</v>
      </c>
      <c r="D71" s="92" t="s">
        <v>1726</v>
      </c>
      <c r="E71" s="92" t="s">
        <v>1727</v>
      </c>
      <c r="F71" s="92" t="s">
        <v>1728</v>
      </c>
      <c r="G71" s="94" t="s">
        <v>1729</v>
      </c>
      <c r="H71" s="92" t="s">
        <v>1730</v>
      </c>
      <c r="I71" s="92" t="s">
        <v>1731</v>
      </c>
      <c r="J71" s="92" t="s">
        <v>1732</v>
      </c>
      <c r="K71" s="94" t="s">
        <v>1733</v>
      </c>
      <c r="L71" s="95"/>
    </row>
    <row r="72">
      <c r="A72" s="99">
        <v>228.0</v>
      </c>
      <c r="B72" s="132"/>
      <c r="C72" s="98" t="s">
        <v>1770</v>
      </c>
      <c r="D72" s="99">
        <v>47000.0</v>
      </c>
      <c r="E72" s="99">
        <v>96046.72</v>
      </c>
      <c r="F72" s="99">
        <v>8844308.92</v>
      </c>
      <c r="G72" s="100"/>
      <c r="H72" s="101"/>
      <c r="I72" s="99">
        <v>96046.72</v>
      </c>
      <c r="J72" s="99">
        <v>8844308.92</v>
      </c>
      <c r="K72" s="101"/>
      <c r="L72" s="95"/>
    </row>
    <row r="73">
      <c r="A73" s="101"/>
      <c r="B73" s="101"/>
      <c r="C73" s="102" t="s">
        <v>1796</v>
      </c>
      <c r="D73" s="101"/>
      <c r="E73" s="99">
        <v>443.2</v>
      </c>
      <c r="F73" s="99">
        <v>40811.42</v>
      </c>
      <c r="G73" s="100"/>
      <c r="H73" s="96" t="s">
        <v>1737</v>
      </c>
      <c r="I73" s="99">
        <v>443.2</v>
      </c>
      <c r="J73" s="99">
        <v>40811.42</v>
      </c>
      <c r="K73" s="101"/>
      <c r="L73" s="95"/>
    </row>
    <row r="74">
      <c r="A74" s="101"/>
      <c r="B74" s="101"/>
      <c r="C74" s="102" t="s">
        <v>1797</v>
      </c>
      <c r="D74" s="101"/>
      <c r="E74" s="99">
        <v>1954.75</v>
      </c>
      <c r="F74" s="99">
        <v>180000.0</v>
      </c>
      <c r="G74" s="100"/>
      <c r="H74" s="103">
        <v>0.0</v>
      </c>
      <c r="I74" s="99">
        <v>1954.75</v>
      </c>
      <c r="J74" s="99">
        <v>180000.0</v>
      </c>
      <c r="K74" s="101"/>
      <c r="L74" s="95"/>
    </row>
    <row r="75">
      <c r="A75" s="101"/>
      <c r="B75" s="101"/>
      <c r="C75" s="102" t="s">
        <v>1798</v>
      </c>
      <c r="D75" s="101"/>
      <c r="E75" s="99">
        <v>15034.06</v>
      </c>
      <c r="F75" s="99">
        <v>1384387.52</v>
      </c>
      <c r="G75" s="100"/>
      <c r="H75" s="103">
        <v>0.0</v>
      </c>
      <c r="I75" s="99">
        <v>15034.06</v>
      </c>
      <c r="J75" s="99">
        <v>1384387.52</v>
      </c>
      <c r="K75" s="101"/>
      <c r="L75" s="95"/>
    </row>
    <row r="76">
      <c r="A76" s="101"/>
      <c r="B76" s="101"/>
      <c r="C76" s="102" t="s">
        <v>1799</v>
      </c>
      <c r="D76" s="101"/>
      <c r="E76" s="99">
        <v>192.38</v>
      </c>
      <c r="F76" s="99">
        <v>17715.0</v>
      </c>
      <c r="G76" s="100"/>
      <c r="H76" s="96" t="s">
        <v>1737</v>
      </c>
      <c r="I76" s="99">
        <v>192.38</v>
      </c>
      <c r="J76" s="99">
        <v>17715.0</v>
      </c>
      <c r="K76" s="101"/>
      <c r="L76" s="95"/>
    </row>
    <row r="77">
      <c r="A77" s="101"/>
      <c r="B77" s="101"/>
      <c r="C77" s="102" t="s">
        <v>1800</v>
      </c>
      <c r="D77" s="101"/>
      <c r="E77" s="99">
        <v>325.79</v>
      </c>
      <c r="F77" s="99">
        <v>30000.0</v>
      </c>
      <c r="G77" s="100"/>
      <c r="H77" s="103">
        <v>0.2</v>
      </c>
      <c r="I77" s="99">
        <v>271.49</v>
      </c>
      <c r="J77" s="99">
        <v>25000.0</v>
      </c>
      <c r="K77" s="101"/>
      <c r="L77" s="95"/>
    </row>
    <row r="78">
      <c r="A78" s="101"/>
      <c r="B78" s="101"/>
      <c r="C78" s="102" t="s">
        <v>1801</v>
      </c>
      <c r="D78" s="101"/>
      <c r="E78" s="99">
        <v>1954.75</v>
      </c>
      <c r="F78" s="99">
        <v>180000.0</v>
      </c>
      <c r="G78" s="100"/>
      <c r="H78" s="103">
        <v>0.0</v>
      </c>
      <c r="I78" s="99">
        <v>1954.75</v>
      </c>
      <c r="J78" s="99">
        <v>180000.0</v>
      </c>
      <c r="K78" s="101"/>
      <c r="L78" s="95"/>
    </row>
    <row r="79">
      <c r="A79" s="101"/>
      <c r="B79" s="101"/>
      <c r="C79" s="102" t="s">
        <v>1802</v>
      </c>
      <c r="D79" s="101"/>
      <c r="E79" s="99">
        <v>709.94</v>
      </c>
      <c r="F79" s="99">
        <v>65374.0</v>
      </c>
      <c r="G79" s="100"/>
      <c r="H79" s="103">
        <v>0.2</v>
      </c>
      <c r="I79" s="99">
        <v>709.94</v>
      </c>
      <c r="J79" s="99">
        <v>65374.0</v>
      </c>
      <c r="K79" s="101"/>
      <c r="L79" s="95"/>
    </row>
    <row r="80">
      <c r="A80" s="101"/>
      <c r="B80" s="101"/>
      <c r="C80" s="102" t="s">
        <v>1748</v>
      </c>
      <c r="D80" s="101"/>
      <c r="E80" s="99">
        <v>23634.87</v>
      </c>
      <c r="F80" s="99">
        <v>2176378.96</v>
      </c>
      <c r="G80" s="100"/>
      <c r="H80" s="101"/>
      <c r="I80" s="101"/>
      <c r="J80" s="101"/>
      <c r="K80" s="101"/>
      <c r="L80" s="95"/>
    </row>
    <row r="81">
      <c r="A81" s="101"/>
      <c r="B81" s="101"/>
      <c r="C81" s="102" t="s">
        <v>1750</v>
      </c>
      <c r="D81" s="101"/>
      <c r="E81" s="99">
        <v>5627.35</v>
      </c>
      <c r="F81" s="99">
        <v>518185.47</v>
      </c>
      <c r="G81" s="100"/>
      <c r="H81" s="101"/>
      <c r="I81" s="99">
        <v>5627.35</v>
      </c>
      <c r="J81" s="101"/>
      <c r="K81" s="101"/>
      <c r="L81" s="95"/>
    </row>
    <row r="82">
      <c r="A82" s="101"/>
      <c r="B82" s="101"/>
      <c r="C82" s="102" t="s">
        <v>1752</v>
      </c>
      <c r="D82" s="101"/>
      <c r="E82" s="99">
        <v>325.79</v>
      </c>
      <c r="F82" s="99">
        <v>30000.0</v>
      </c>
      <c r="G82" s="100"/>
      <c r="H82" s="101"/>
      <c r="I82" s="99">
        <v>325.79</v>
      </c>
      <c r="J82" s="101"/>
      <c r="K82" s="101"/>
      <c r="L82" s="95"/>
    </row>
    <row r="83">
      <c r="A83" s="100"/>
      <c r="B83" s="100"/>
      <c r="C83" s="105" t="s">
        <v>1753</v>
      </c>
      <c r="D83" s="106">
        <v>47000.0</v>
      </c>
      <c r="E83" s="106">
        <v>146249.61</v>
      </c>
      <c r="F83" s="106">
        <v>1.346716129E7</v>
      </c>
      <c r="G83" s="107">
        <v>3.11</v>
      </c>
      <c r="H83" s="100"/>
      <c r="I83" s="106">
        <v>116607.3</v>
      </c>
      <c r="J83" s="106">
        <v>1.044950786E7</v>
      </c>
      <c r="K83" s="106">
        <v>2.48</v>
      </c>
      <c r="L83" s="115"/>
    </row>
    <row r="84">
      <c r="A84" s="95"/>
      <c r="B84" s="95"/>
      <c r="C84" s="109"/>
      <c r="D84" s="95"/>
      <c r="E84" s="95"/>
      <c r="F84" s="95"/>
      <c r="G84" s="110">
        <v>3.11</v>
      </c>
      <c r="H84" s="95"/>
      <c r="I84" s="95"/>
      <c r="J84" s="95"/>
      <c r="K84" s="95"/>
      <c r="L84" s="95"/>
    </row>
    <row r="85">
      <c r="A85" s="95"/>
      <c r="B85" s="95"/>
      <c r="C85" s="113" t="s">
        <v>1803</v>
      </c>
      <c r="D85" s="95"/>
      <c r="E85" s="95"/>
      <c r="F85" s="95"/>
      <c r="G85" s="110">
        <v>286.54</v>
      </c>
      <c r="H85" s="95"/>
      <c r="I85" s="95"/>
      <c r="J85" s="95"/>
      <c r="K85" s="114">
        <v>228.4595077</v>
      </c>
      <c r="L85" s="95"/>
    </row>
    <row r="86">
      <c r="A86" s="95"/>
      <c r="B86" s="95"/>
      <c r="C86" s="109"/>
      <c r="D86" s="95"/>
      <c r="E86" s="95"/>
      <c r="F86" s="95"/>
      <c r="G86" s="115"/>
      <c r="H86" s="95"/>
      <c r="I86" s="95"/>
      <c r="J86" s="95"/>
      <c r="K86" s="95"/>
      <c r="L86" s="95"/>
    </row>
    <row r="87">
      <c r="A87" s="95"/>
      <c r="B87" s="95"/>
      <c r="C87" s="113" t="s">
        <v>1804</v>
      </c>
      <c r="D87" s="95"/>
      <c r="E87" s="95"/>
      <c r="F87" s="95"/>
      <c r="G87" s="115"/>
      <c r="H87" s="95"/>
      <c r="I87" s="95"/>
      <c r="J87" s="95"/>
      <c r="K87" s="95"/>
      <c r="L87" s="95"/>
    </row>
    <row r="88">
      <c r="A88" s="95"/>
      <c r="B88" s="95"/>
      <c r="C88" s="133">
        <v>799000.0</v>
      </c>
      <c r="D88" s="117" t="s">
        <v>1781</v>
      </c>
      <c r="E88" s="95"/>
      <c r="F88" s="95"/>
      <c r="G88" s="115"/>
      <c r="H88" s="95"/>
      <c r="I88" s="95"/>
      <c r="J88" s="95"/>
      <c r="K88" s="95"/>
      <c r="L88" s="95"/>
    </row>
    <row r="89">
      <c r="A89" s="95"/>
      <c r="B89" s="95"/>
      <c r="C89" s="133">
        <v>11.2382</v>
      </c>
      <c r="D89" s="117" t="s">
        <v>1805</v>
      </c>
      <c r="F89" s="95"/>
      <c r="G89" s="115"/>
      <c r="H89" s="95"/>
      <c r="I89" s="95"/>
      <c r="J89" s="95"/>
      <c r="K89" s="95"/>
      <c r="L89" s="95"/>
    </row>
    <row r="90">
      <c r="A90" s="95"/>
      <c r="B90" s="95"/>
      <c r="C90" s="120">
        <v>93.4891</v>
      </c>
      <c r="D90" s="117" t="s">
        <v>1806</v>
      </c>
      <c r="F90" s="95"/>
      <c r="G90" s="115"/>
      <c r="H90" s="95"/>
      <c r="I90" s="95"/>
      <c r="J90" s="95"/>
      <c r="K90" s="95"/>
      <c r="L90" s="95"/>
    </row>
    <row r="91">
      <c r="A91" s="95"/>
      <c r="B91" s="95"/>
      <c r="C91" s="134"/>
      <c r="D91" s="95"/>
      <c r="E91" s="95"/>
      <c r="F91" s="95"/>
      <c r="G91" s="115"/>
      <c r="H91" s="95"/>
      <c r="I91" s="95"/>
      <c r="J91" s="95"/>
      <c r="K91" s="95"/>
      <c r="L91" s="95"/>
    </row>
    <row r="92">
      <c r="A92" s="95"/>
      <c r="B92" s="95"/>
      <c r="C92" s="133">
        <v>8979321.8</v>
      </c>
      <c r="D92" s="95"/>
      <c r="E92" s="95"/>
      <c r="F92" s="95"/>
      <c r="G92" s="115"/>
      <c r="H92" s="95"/>
      <c r="I92" s="95"/>
      <c r="J92" s="95"/>
      <c r="K92" s="95"/>
      <c r="L92" s="95"/>
    </row>
    <row r="93">
      <c r="A93" s="95"/>
      <c r="B93" s="95"/>
      <c r="C93" s="135" t="s">
        <v>1807</v>
      </c>
      <c r="D93" s="95"/>
      <c r="E93" s="95"/>
      <c r="F93" s="95"/>
      <c r="G93" s="115"/>
      <c r="H93" s="95"/>
      <c r="I93" s="95"/>
      <c r="J93" s="95"/>
      <c r="K93" s="95"/>
      <c r="L93" s="95"/>
    </row>
    <row r="94">
      <c r="A94" s="95"/>
      <c r="B94" s="95"/>
      <c r="C94" s="136"/>
      <c r="D94" s="95"/>
      <c r="E94" s="95"/>
      <c r="F94" s="95"/>
      <c r="G94" s="115"/>
      <c r="H94" s="95"/>
      <c r="I94" s="95"/>
      <c r="J94" s="95"/>
      <c r="K94" s="95"/>
      <c r="L94" s="95"/>
    </row>
    <row r="95">
      <c r="A95" s="95"/>
      <c r="B95" s="95"/>
      <c r="C95" s="109"/>
      <c r="D95" s="95"/>
      <c r="E95" s="95"/>
      <c r="F95" s="95"/>
      <c r="G95" s="115"/>
      <c r="H95" s="95"/>
      <c r="I95" s="95"/>
      <c r="J95" s="95"/>
      <c r="K95" s="95"/>
      <c r="L95" s="95"/>
    </row>
    <row r="96">
      <c r="A96" s="95"/>
      <c r="B96" s="95"/>
      <c r="C96" s="109"/>
      <c r="D96" s="95"/>
      <c r="E96" s="95"/>
      <c r="F96" s="95"/>
      <c r="G96" s="115"/>
      <c r="H96" s="95"/>
      <c r="I96" s="95"/>
      <c r="J96" s="95"/>
      <c r="K96" s="95"/>
      <c r="L96" s="95"/>
    </row>
    <row r="97">
      <c r="A97" s="95"/>
      <c r="B97" s="95"/>
      <c r="C97" s="109"/>
      <c r="D97" s="95"/>
      <c r="E97" s="95"/>
      <c r="F97" s="95"/>
      <c r="G97" s="115"/>
      <c r="H97" s="95"/>
      <c r="I97" s="95"/>
      <c r="J97" s="95"/>
      <c r="K97" s="95"/>
      <c r="L97" s="95"/>
    </row>
    <row r="100">
      <c r="A100" s="137" t="s">
        <v>1808</v>
      </c>
      <c r="B100" s="121" t="s">
        <v>1809</v>
      </c>
      <c r="C100" s="99">
        <v>20000.0</v>
      </c>
      <c r="D100" s="99">
        <v>20207.77</v>
      </c>
      <c r="E100" s="131" t="s">
        <v>1810</v>
      </c>
      <c r="F100" s="100"/>
      <c r="G100" s="101"/>
      <c r="H100" s="99">
        <v>20207.77</v>
      </c>
      <c r="I100" s="119" t="s">
        <v>1810</v>
      </c>
      <c r="J100" s="101"/>
      <c r="K100" s="95"/>
    </row>
    <row r="101">
      <c r="A101" s="101"/>
      <c r="B101" s="102" t="s">
        <v>1811</v>
      </c>
      <c r="C101" s="101"/>
      <c r="D101" s="99">
        <v>2008.95</v>
      </c>
      <c r="E101" s="99">
        <v>182451.07</v>
      </c>
      <c r="F101" s="100"/>
      <c r="G101" s="103">
        <v>0.0</v>
      </c>
      <c r="H101" s="99">
        <v>2008.95</v>
      </c>
      <c r="I101" s="99">
        <v>182451.07</v>
      </c>
      <c r="J101" s="101"/>
      <c r="K101" s="95"/>
    </row>
    <row r="102">
      <c r="A102" s="101"/>
      <c r="B102" s="102" t="s">
        <v>1812</v>
      </c>
      <c r="C102" s="101"/>
      <c r="D102" s="99">
        <v>94.69</v>
      </c>
      <c r="E102" s="99">
        <v>8600.0</v>
      </c>
      <c r="F102" s="100"/>
      <c r="G102" s="103">
        <v>0.0</v>
      </c>
      <c r="H102" s="99">
        <v>94.69</v>
      </c>
      <c r="I102" s="99">
        <v>8600.0</v>
      </c>
      <c r="J102" s="101"/>
      <c r="K102" s="95"/>
    </row>
    <row r="103">
      <c r="A103" s="101"/>
      <c r="B103" s="102" t="s">
        <v>1813</v>
      </c>
      <c r="C103" s="101"/>
      <c r="D103" s="99">
        <v>101.3</v>
      </c>
      <c r="E103" s="99">
        <v>9200.0</v>
      </c>
      <c r="F103" s="100"/>
      <c r="G103" s="99">
        <v>0.0</v>
      </c>
      <c r="H103" s="99">
        <v>101.3</v>
      </c>
      <c r="I103" s="99">
        <v>9200.0</v>
      </c>
      <c r="J103" s="101"/>
      <c r="K103" s="95"/>
    </row>
    <row r="104">
      <c r="A104" s="101"/>
      <c r="B104" s="102" t="s">
        <v>1814</v>
      </c>
      <c r="C104" s="101"/>
      <c r="D104" s="99">
        <v>187.19</v>
      </c>
      <c r="E104" s="99">
        <v>17000.0</v>
      </c>
      <c r="F104" s="100"/>
      <c r="G104" s="103">
        <v>0.0</v>
      </c>
      <c r="H104" s="99">
        <v>187.19</v>
      </c>
      <c r="I104" s="99">
        <v>17000.0</v>
      </c>
      <c r="J104" s="101"/>
      <c r="K104" s="95"/>
    </row>
    <row r="105">
      <c r="A105" s="101"/>
      <c r="B105" s="102" t="s">
        <v>1815</v>
      </c>
      <c r="C105" s="101"/>
      <c r="D105" s="99">
        <v>418.47</v>
      </c>
      <c r="E105" s="99">
        <v>38005.0</v>
      </c>
      <c r="F105" s="100"/>
      <c r="G105" s="103">
        <v>0.2</v>
      </c>
      <c r="H105" s="99">
        <v>348.72</v>
      </c>
      <c r="I105" s="99">
        <v>31670.83</v>
      </c>
      <c r="J105" s="101"/>
      <c r="K105" s="95"/>
    </row>
    <row r="106">
      <c r="A106" s="101"/>
      <c r="B106" s="102" t="s">
        <v>1816</v>
      </c>
      <c r="C106" s="101"/>
      <c r="D106" s="99">
        <v>506.5</v>
      </c>
      <c r="E106" s="99">
        <v>46000.0</v>
      </c>
      <c r="F106" s="100"/>
      <c r="G106" s="103">
        <v>0.2</v>
      </c>
      <c r="H106" s="99">
        <v>422.08</v>
      </c>
      <c r="I106" s="99">
        <v>38333.33</v>
      </c>
      <c r="J106" s="101"/>
      <c r="K106" s="95"/>
    </row>
    <row r="107">
      <c r="A107" s="101"/>
      <c r="B107" s="102" t="s">
        <v>1817</v>
      </c>
      <c r="C107" s="101"/>
      <c r="D107" s="99">
        <v>1706.69</v>
      </c>
      <c r="E107" s="99">
        <v>155000.0</v>
      </c>
      <c r="F107" s="100"/>
      <c r="G107" s="103">
        <v>0.2</v>
      </c>
      <c r="H107" s="99">
        <v>1706.69</v>
      </c>
      <c r="I107" s="99">
        <v>155000.0</v>
      </c>
      <c r="J107" s="101"/>
      <c r="K107" s="95"/>
    </row>
    <row r="108">
      <c r="A108" s="101"/>
      <c r="B108" s="102" t="s">
        <v>1818</v>
      </c>
      <c r="C108" s="101"/>
      <c r="D108" s="99">
        <v>330.33</v>
      </c>
      <c r="E108" s="99">
        <v>30000.0</v>
      </c>
      <c r="F108" s="100"/>
      <c r="G108" s="103">
        <v>0.2</v>
      </c>
      <c r="H108" s="99">
        <v>330.33</v>
      </c>
      <c r="I108" s="99">
        <v>25000.0</v>
      </c>
      <c r="J108" s="101"/>
      <c r="K108" s="95"/>
    </row>
    <row r="109">
      <c r="A109" s="101"/>
      <c r="B109" s="102" t="s">
        <v>1748</v>
      </c>
      <c r="C109" s="101"/>
      <c r="D109" s="99">
        <v>4994.18</v>
      </c>
      <c r="E109" s="99">
        <v>453566.07</v>
      </c>
      <c r="F109" s="100"/>
      <c r="G109" s="101"/>
      <c r="H109" s="101"/>
      <c r="I109" s="101"/>
      <c r="J109" s="101"/>
      <c r="K109" s="95"/>
    </row>
    <row r="110">
      <c r="A110" s="101"/>
      <c r="B110" s="102" t="s">
        <v>1750</v>
      </c>
      <c r="C110" s="101"/>
      <c r="D110" s="99">
        <v>960.42</v>
      </c>
      <c r="E110" s="99">
        <v>87224.24</v>
      </c>
      <c r="F110" s="100"/>
      <c r="G110" s="101"/>
      <c r="H110" s="99">
        <v>960.42</v>
      </c>
      <c r="I110" s="99">
        <v>87224.24</v>
      </c>
      <c r="J110" s="101"/>
      <c r="K110" s="95"/>
    </row>
    <row r="111">
      <c r="A111" s="101"/>
      <c r="B111" s="102" t="s">
        <v>1752</v>
      </c>
      <c r="C111" s="101"/>
      <c r="D111" s="99">
        <v>129.33</v>
      </c>
      <c r="E111" s="99">
        <v>11746.0</v>
      </c>
      <c r="F111" s="100"/>
      <c r="G111" s="101"/>
      <c r="H111" s="99">
        <v>129.33</v>
      </c>
      <c r="I111" s="99">
        <v>11746.0</v>
      </c>
      <c r="J111" s="101"/>
      <c r="K111" s="95"/>
    </row>
    <row r="112">
      <c r="A112" s="100"/>
      <c r="B112" s="105" t="s">
        <v>1753</v>
      </c>
      <c r="C112" s="106">
        <v>20000.0</v>
      </c>
      <c r="D112" s="106">
        <v>31645.82</v>
      </c>
      <c r="E112" s="106">
        <v>2880793.38</v>
      </c>
      <c r="F112" s="107">
        <v>1.58</v>
      </c>
      <c r="G112" s="100"/>
      <c r="H112" s="106">
        <v>26497.48</v>
      </c>
      <c r="I112" s="106">
        <v>2408226.47</v>
      </c>
      <c r="J112" s="106">
        <v>1.32</v>
      </c>
      <c r="K112" s="115"/>
    </row>
    <row r="113">
      <c r="A113" s="95"/>
      <c r="B113" s="109"/>
      <c r="C113" s="95"/>
      <c r="D113" s="95"/>
      <c r="E113" s="95"/>
      <c r="F113" s="110">
        <v>1.586008093</v>
      </c>
      <c r="G113" s="95"/>
      <c r="H113" s="95"/>
      <c r="I113" s="95"/>
      <c r="J113" s="95"/>
      <c r="K113" s="95"/>
    </row>
    <row r="114">
      <c r="A114" s="95"/>
      <c r="B114" s="113" t="s">
        <v>1819</v>
      </c>
      <c r="C114" s="95"/>
      <c r="D114" s="95"/>
      <c r="E114" s="95"/>
      <c r="F114" s="110">
        <v>144.039669</v>
      </c>
      <c r="G114" s="95"/>
      <c r="H114" s="95"/>
      <c r="I114" s="95"/>
      <c r="J114" s="114">
        <v>120.3237467</v>
      </c>
      <c r="K114" s="95"/>
    </row>
    <row r="115">
      <c r="A115" s="95"/>
      <c r="B115" s="109"/>
      <c r="C115" s="95"/>
      <c r="D115" s="95"/>
      <c r="E115" s="95"/>
      <c r="F115" s="115"/>
      <c r="G115" s="95"/>
      <c r="H115" s="95"/>
      <c r="I115" s="95"/>
      <c r="J115" s="95"/>
      <c r="K115" s="95"/>
    </row>
    <row r="116">
      <c r="A116" s="95"/>
      <c r="B116" s="109"/>
      <c r="C116" s="95"/>
      <c r="D116" s="95"/>
      <c r="E116" s="95"/>
      <c r="F116" s="115"/>
      <c r="G116" s="95"/>
      <c r="H116" s="95"/>
      <c r="I116" s="95"/>
      <c r="J116" s="95"/>
      <c r="K116" s="95"/>
    </row>
    <row r="117">
      <c r="A117" s="95"/>
      <c r="B117" s="109"/>
      <c r="C117" s="95"/>
      <c r="D117" s="95"/>
      <c r="E117" s="95"/>
      <c r="F117" s="115"/>
      <c r="G117" s="95"/>
      <c r="H117" s="95"/>
      <c r="I117" s="95"/>
      <c r="J117" s="95"/>
      <c r="K117" s="95"/>
    </row>
    <row r="118">
      <c r="A118" s="95"/>
      <c r="B118" s="109"/>
      <c r="C118" s="95"/>
      <c r="D118" s="95"/>
      <c r="E118" s="95"/>
      <c r="F118" s="115"/>
      <c r="G118" s="95"/>
      <c r="H118" s="95"/>
      <c r="I118" s="95"/>
      <c r="J118" s="95"/>
      <c r="K118" s="95"/>
    </row>
    <row r="119">
      <c r="A119" s="95"/>
      <c r="B119" s="119" t="s">
        <v>1820</v>
      </c>
      <c r="C119" s="95"/>
      <c r="D119" s="95"/>
      <c r="E119" s="95"/>
      <c r="F119" s="115"/>
      <c r="G119" s="95"/>
      <c r="H119" s="95"/>
      <c r="I119" s="95"/>
      <c r="J119" s="95"/>
      <c r="K119" s="95"/>
    </row>
    <row r="120">
      <c r="A120" s="95"/>
      <c r="B120" s="109"/>
      <c r="C120" s="95"/>
      <c r="D120" s="95"/>
      <c r="E120" s="95"/>
      <c r="F120" s="115"/>
      <c r="G120" s="95"/>
      <c r="H120" s="95"/>
      <c r="I120" s="95"/>
      <c r="J120" s="95"/>
      <c r="K120" s="95"/>
    </row>
    <row r="124">
      <c r="A124" s="92" t="s">
        <v>1723</v>
      </c>
      <c r="B124" s="92" t="s">
        <v>1724</v>
      </c>
      <c r="C124" s="93" t="s">
        <v>1725</v>
      </c>
      <c r="D124" s="92" t="s">
        <v>1726</v>
      </c>
      <c r="E124" s="92" t="s">
        <v>1727</v>
      </c>
      <c r="F124" s="92" t="s">
        <v>1728</v>
      </c>
      <c r="G124" s="94" t="s">
        <v>1729</v>
      </c>
      <c r="H124" s="92" t="s">
        <v>1730</v>
      </c>
      <c r="I124" s="92" t="s">
        <v>1731</v>
      </c>
      <c r="J124" s="92" t="s">
        <v>1732</v>
      </c>
      <c r="K124" s="94" t="s">
        <v>1733</v>
      </c>
    </row>
    <row r="125">
      <c r="A125" s="96" t="s">
        <v>1821</v>
      </c>
      <c r="B125" s="97">
        <v>45850.0</v>
      </c>
      <c r="C125" s="98" t="s">
        <v>1735</v>
      </c>
      <c r="D125" s="99">
        <v>20250.0</v>
      </c>
      <c r="E125" s="99">
        <v>49815.0</v>
      </c>
      <c r="F125" s="99">
        <v>4581321.16</v>
      </c>
      <c r="G125" s="100"/>
      <c r="H125" s="101"/>
      <c r="I125" s="99">
        <v>49815.0</v>
      </c>
      <c r="J125" s="99">
        <v>4581321.16</v>
      </c>
      <c r="K125" s="101"/>
    </row>
    <row r="126">
      <c r="A126" s="101"/>
      <c r="B126" s="101"/>
      <c r="C126" s="102" t="s">
        <v>1822</v>
      </c>
      <c r="D126" s="101"/>
      <c r="E126" s="99">
        <v>1725.52</v>
      </c>
      <c r="F126" s="99">
        <v>158690.58</v>
      </c>
      <c r="G126" s="100"/>
      <c r="H126" s="96" t="s">
        <v>1737</v>
      </c>
      <c r="I126" s="99">
        <v>1725.52</v>
      </c>
      <c r="J126" s="99">
        <v>158690.58</v>
      </c>
      <c r="K126" s="101"/>
    </row>
    <row r="127">
      <c r="A127" s="101"/>
      <c r="B127" s="101"/>
      <c r="C127" s="102" t="s">
        <v>1823</v>
      </c>
      <c r="D127" s="101"/>
      <c r="E127" s="99">
        <v>6630.09</v>
      </c>
      <c r="F127" s="99">
        <v>609747.06</v>
      </c>
      <c r="G127" s="100"/>
      <c r="H127" s="96" t="s">
        <v>1737</v>
      </c>
      <c r="I127" s="99">
        <v>6630.09</v>
      </c>
      <c r="J127" s="99">
        <v>609747.06</v>
      </c>
      <c r="K127" s="101"/>
    </row>
    <row r="128">
      <c r="A128" s="101"/>
      <c r="B128" s="101"/>
      <c r="C128" s="102" t="s">
        <v>1824</v>
      </c>
      <c r="D128" s="101"/>
      <c r="E128" s="99">
        <v>326.21</v>
      </c>
      <c r="F128" s="99">
        <v>30000.0</v>
      </c>
      <c r="G128" s="100"/>
      <c r="H128" s="103">
        <v>0.2</v>
      </c>
      <c r="I128" s="99">
        <v>271.84</v>
      </c>
      <c r="J128" s="99">
        <v>25000.0</v>
      </c>
      <c r="K128" s="101"/>
    </row>
    <row r="129">
      <c r="A129" s="101"/>
      <c r="B129" s="101"/>
      <c r="C129" s="102" t="s">
        <v>1825</v>
      </c>
      <c r="D129" s="101"/>
      <c r="E129" s="99">
        <v>2557.45</v>
      </c>
      <c r="F129" s="99">
        <v>235200.0</v>
      </c>
      <c r="G129" s="100"/>
      <c r="H129" s="103">
        <v>0.0</v>
      </c>
      <c r="I129" s="99">
        <v>2557.45</v>
      </c>
      <c r="J129" s="99">
        <v>235200.0</v>
      </c>
      <c r="K129" s="101"/>
    </row>
    <row r="130">
      <c r="A130" s="101"/>
      <c r="B130" s="101"/>
      <c r="C130" s="102" t="s">
        <v>1826</v>
      </c>
      <c r="D130" s="101"/>
      <c r="E130" s="99">
        <v>352.3</v>
      </c>
      <c r="F130" s="99">
        <v>32400.0</v>
      </c>
      <c r="G130" s="100"/>
      <c r="H130" s="103">
        <v>0.2</v>
      </c>
      <c r="I130" s="99">
        <v>352.3</v>
      </c>
      <c r="J130" s="99">
        <v>32400.0</v>
      </c>
      <c r="K130" s="101"/>
    </row>
    <row r="131">
      <c r="A131" s="101"/>
      <c r="B131" s="101"/>
      <c r="C131" s="104"/>
      <c r="D131" s="101"/>
      <c r="E131" s="99">
        <v>0.0</v>
      </c>
      <c r="F131" s="101"/>
      <c r="G131" s="100"/>
      <c r="H131" s="103">
        <v>0.0</v>
      </c>
      <c r="I131" s="99">
        <v>0.0</v>
      </c>
      <c r="J131" s="101"/>
      <c r="K131" s="101"/>
    </row>
    <row r="132">
      <c r="A132" s="101"/>
      <c r="B132" s="101"/>
      <c r="C132" s="104"/>
      <c r="D132" s="101"/>
      <c r="E132" s="99">
        <v>0.0</v>
      </c>
      <c r="F132" s="101"/>
      <c r="G132" s="100"/>
      <c r="H132" s="103">
        <v>0.2</v>
      </c>
      <c r="I132" s="99">
        <v>0.0</v>
      </c>
      <c r="J132" s="101"/>
      <c r="K132" s="101"/>
    </row>
    <row r="133">
      <c r="A133" s="101"/>
      <c r="B133" s="101"/>
      <c r="C133" s="104"/>
      <c r="D133" s="101"/>
      <c r="E133" s="99">
        <v>0.0</v>
      </c>
      <c r="F133" s="101"/>
      <c r="G133" s="100"/>
      <c r="H133" s="103">
        <v>0.2</v>
      </c>
      <c r="I133" s="99">
        <v>0.0</v>
      </c>
      <c r="J133" s="99">
        <v>0.0</v>
      </c>
      <c r="K133" s="101"/>
    </row>
    <row r="134">
      <c r="A134" s="101"/>
      <c r="B134" s="101"/>
      <c r="C134" s="102" t="s">
        <v>1748</v>
      </c>
      <c r="D134" s="101"/>
      <c r="E134" s="99">
        <v>12031.04</v>
      </c>
      <c r="F134" s="99">
        <v>1106454.65</v>
      </c>
      <c r="G134" s="100"/>
      <c r="H134" s="101"/>
      <c r="I134" s="101"/>
      <c r="J134" s="101"/>
      <c r="K134" s="101"/>
    </row>
    <row r="135">
      <c r="A135" s="101"/>
      <c r="B135" s="101"/>
      <c r="C135" s="102" t="s">
        <v>1750</v>
      </c>
      <c r="D135" s="101"/>
      <c r="E135" s="99">
        <v>2864.53</v>
      </c>
      <c r="F135" s="99">
        <v>263441.58</v>
      </c>
      <c r="G135" s="100"/>
      <c r="H135" s="101"/>
      <c r="I135" s="99">
        <v>2864.53</v>
      </c>
      <c r="J135" s="99">
        <v>263441.58</v>
      </c>
      <c r="K135" s="101"/>
    </row>
    <row r="136">
      <c r="A136" s="101"/>
      <c r="B136" s="101"/>
      <c r="C136" s="102" t="s">
        <v>1752</v>
      </c>
      <c r="D136" s="101"/>
      <c r="E136" s="99">
        <v>232.08</v>
      </c>
      <c r="F136" s="99">
        <v>21344.0</v>
      </c>
      <c r="G136" s="100"/>
      <c r="H136" s="101"/>
      <c r="I136" s="99">
        <v>232.08</v>
      </c>
      <c r="J136" s="99">
        <v>21344.0</v>
      </c>
      <c r="K136" s="101"/>
    </row>
    <row r="137">
      <c r="A137" s="100"/>
      <c r="B137" s="100"/>
      <c r="C137" s="105" t="s">
        <v>1753</v>
      </c>
      <c r="D137" s="106">
        <v>20250.0</v>
      </c>
      <c r="E137" s="106">
        <v>76534.21</v>
      </c>
      <c r="F137" s="106">
        <v>7038599.03</v>
      </c>
      <c r="G137" s="107">
        <v>3.78</v>
      </c>
      <c r="H137" s="100"/>
      <c r="I137" s="106">
        <v>64448.81</v>
      </c>
      <c r="J137" s="106">
        <v>5927144.38</v>
      </c>
      <c r="K137" s="106">
        <v>3.18</v>
      </c>
    </row>
    <row r="138">
      <c r="A138" s="95"/>
      <c r="B138" s="95"/>
      <c r="C138" s="109"/>
      <c r="D138" s="95"/>
      <c r="E138" s="95"/>
      <c r="F138" s="95"/>
      <c r="G138" s="110">
        <v>3.779467321</v>
      </c>
      <c r="H138" s="95"/>
      <c r="I138" s="95"/>
      <c r="J138" s="95"/>
      <c r="K138" s="95"/>
    </row>
    <row r="139">
      <c r="A139" s="95"/>
      <c r="B139" s="95"/>
      <c r="C139" s="113" t="s">
        <v>1756</v>
      </c>
      <c r="D139" s="95"/>
      <c r="E139" s="95"/>
      <c r="F139" s="95"/>
      <c r="G139" s="110">
        <v>347.5851373</v>
      </c>
      <c r="H139" s="95"/>
      <c r="I139" s="95"/>
      <c r="J139" s="95"/>
      <c r="K139" s="114">
        <v>292.6984879</v>
      </c>
    </row>
    <row r="140">
      <c r="A140" s="95"/>
      <c r="B140" s="95"/>
      <c r="C140" s="109"/>
      <c r="D140" s="95"/>
      <c r="E140" s="95"/>
      <c r="F140" s="95"/>
      <c r="G140" s="115"/>
      <c r="H140" s="95"/>
      <c r="I140" s="95"/>
      <c r="J140" s="95"/>
      <c r="K140" s="95"/>
    </row>
    <row r="141">
      <c r="A141" s="95"/>
      <c r="B141" s="95"/>
      <c r="C141" s="109"/>
      <c r="D141" s="95"/>
      <c r="E141" s="95"/>
      <c r="F141" s="95"/>
      <c r="G141" s="115"/>
      <c r="H141" s="95"/>
      <c r="I141" s="95"/>
      <c r="J141" s="95"/>
      <c r="K141" s="95"/>
    </row>
    <row r="142">
      <c r="A142" s="95"/>
      <c r="B142" s="95"/>
      <c r="C142" s="109"/>
      <c r="D142" s="95"/>
      <c r="E142" s="95"/>
      <c r="F142" s="95"/>
      <c r="G142" s="115"/>
      <c r="H142" s="95"/>
      <c r="I142" s="95"/>
      <c r="J142" s="95"/>
      <c r="K142" s="95"/>
    </row>
    <row r="143">
      <c r="A143" s="95"/>
      <c r="B143" s="95"/>
      <c r="C143" s="109"/>
      <c r="D143" s="95"/>
      <c r="E143" s="95"/>
      <c r="F143" s="95"/>
      <c r="G143" s="115"/>
      <c r="H143" s="95"/>
      <c r="I143" s="95"/>
      <c r="J143" s="95"/>
      <c r="K143" s="95"/>
    </row>
    <row r="144">
      <c r="A144" s="95"/>
      <c r="B144" s="95"/>
      <c r="C144" s="109"/>
      <c r="D144" s="95"/>
      <c r="E144" s="95"/>
      <c r="F144" s="95"/>
      <c r="G144" s="115"/>
      <c r="H144" s="95"/>
      <c r="I144" s="95"/>
      <c r="J144" s="95"/>
      <c r="K144" s="95"/>
    </row>
    <row r="145">
      <c r="A145" s="95"/>
      <c r="B145" s="95"/>
      <c r="C145" s="134"/>
      <c r="D145" s="95"/>
      <c r="E145" s="95"/>
      <c r="F145" s="95"/>
      <c r="G145" s="115"/>
      <c r="H145" s="95"/>
      <c r="I145" s="95"/>
      <c r="J145" s="95"/>
      <c r="K145" s="95"/>
    </row>
    <row r="146">
      <c r="A146" s="95"/>
      <c r="B146" s="95"/>
      <c r="C146" s="109"/>
      <c r="D146" s="95"/>
      <c r="E146" s="95"/>
      <c r="F146" s="95"/>
      <c r="G146" s="115"/>
      <c r="H146" s="95"/>
      <c r="I146" s="95"/>
      <c r="J146" s="95"/>
      <c r="K146" s="95"/>
    </row>
    <row r="147">
      <c r="A147" s="95"/>
      <c r="B147" s="95"/>
      <c r="C147" s="136"/>
      <c r="D147" s="95"/>
      <c r="E147" s="95"/>
      <c r="F147" s="95"/>
      <c r="G147" s="115"/>
      <c r="H147" s="95"/>
      <c r="I147" s="95"/>
      <c r="J147" s="95"/>
      <c r="K147" s="95"/>
    </row>
    <row r="148">
      <c r="A148" s="95"/>
      <c r="B148" s="95"/>
      <c r="C148" s="136"/>
      <c r="D148" s="95"/>
      <c r="E148" s="95"/>
      <c r="F148" s="95"/>
      <c r="G148" s="115"/>
      <c r="H148" s="95"/>
      <c r="I148" s="95"/>
      <c r="J148" s="95"/>
      <c r="K148" s="95"/>
    </row>
    <row r="149">
      <c r="A149" s="96" t="s">
        <v>1821</v>
      </c>
      <c r="B149" s="97">
        <v>45826.0</v>
      </c>
      <c r="C149" s="98" t="s">
        <v>1735</v>
      </c>
      <c r="D149" s="99">
        <v>20250.0</v>
      </c>
      <c r="E149" s="99">
        <v>50017.5</v>
      </c>
      <c r="F149" s="99">
        <v>4599944.42</v>
      </c>
      <c r="G149" s="100"/>
      <c r="H149" s="101"/>
      <c r="I149" s="99">
        <v>50017.5</v>
      </c>
      <c r="J149" s="99">
        <v>4599944.42</v>
      </c>
      <c r="K149" s="101"/>
    </row>
    <row r="150">
      <c r="A150" s="101"/>
      <c r="B150" s="101"/>
      <c r="C150" s="102" t="s">
        <v>1827</v>
      </c>
      <c r="D150" s="101"/>
      <c r="E150" s="99">
        <v>2714.56</v>
      </c>
      <c r="F150" s="99">
        <v>249648.85</v>
      </c>
      <c r="G150" s="100"/>
      <c r="H150" s="96" t="s">
        <v>1737</v>
      </c>
      <c r="I150" s="99">
        <v>2714.56</v>
      </c>
      <c r="J150" s="99">
        <v>249648.85</v>
      </c>
      <c r="K150" s="101"/>
    </row>
    <row r="151">
      <c r="A151" s="101"/>
      <c r="B151" s="101"/>
      <c r="C151" s="102" t="s">
        <v>1828</v>
      </c>
      <c r="D151" s="101"/>
      <c r="E151" s="99">
        <v>6700.49</v>
      </c>
      <c r="F151" s="99">
        <v>616221.84</v>
      </c>
      <c r="G151" s="100"/>
      <c r="H151" s="96" t="s">
        <v>1737</v>
      </c>
      <c r="I151" s="99">
        <v>6700.49</v>
      </c>
      <c r="J151" s="99">
        <v>616221.84</v>
      </c>
      <c r="K151" s="101"/>
    </row>
    <row r="152">
      <c r="A152" s="101"/>
      <c r="B152" s="101"/>
      <c r="C152" s="102" t="s">
        <v>1829</v>
      </c>
      <c r="D152" s="101"/>
      <c r="E152" s="99">
        <v>326.21</v>
      </c>
      <c r="F152" s="99">
        <v>30000.0</v>
      </c>
      <c r="G152" s="100"/>
      <c r="H152" s="103">
        <v>0.2</v>
      </c>
      <c r="I152" s="99">
        <v>271.84</v>
      </c>
      <c r="J152" s="99">
        <v>25000.0</v>
      </c>
      <c r="K152" s="101"/>
    </row>
    <row r="153">
      <c r="A153" s="101"/>
      <c r="B153" s="101"/>
      <c r="C153" s="102" t="s">
        <v>1830</v>
      </c>
      <c r="D153" s="101"/>
      <c r="E153" s="99">
        <v>2435.66</v>
      </c>
      <c r="F153" s="99">
        <v>224000.0</v>
      </c>
      <c r="G153" s="100"/>
      <c r="H153" s="103">
        <v>0.0</v>
      </c>
      <c r="I153" s="99">
        <v>2435.66</v>
      </c>
      <c r="J153" s="99">
        <v>224000.0</v>
      </c>
      <c r="K153" s="101"/>
    </row>
    <row r="154">
      <c r="A154" s="101"/>
      <c r="B154" s="101"/>
      <c r="C154" s="102" t="s">
        <v>1831</v>
      </c>
      <c r="D154" s="101"/>
      <c r="E154" s="99">
        <v>234.87</v>
      </c>
      <c r="F154" s="99">
        <v>21600.0</v>
      </c>
      <c r="G154" s="100"/>
      <c r="H154" s="103">
        <v>0.2</v>
      </c>
      <c r="I154" s="99">
        <v>219.5</v>
      </c>
      <c r="J154" s="99">
        <v>20186.92</v>
      </c>
      <c r="K154" s="101"/>
    </row>
    <row r="155">
      <c r="A155" s="101"/>
      <c r="B155" s="101"/>
      <c r="C155" s="102" t="s">
        <v>1822</v>
      </c>
      <c r="D155" s="101"/>
      <c r="E155" s="99">
        <v>0.0</v>
      </c>
      <c r="F155" s="101"/>
      <c r="G155" s="100"/>
      <c r="H155" s="103">
        <v>0.0</v>
      </c>
      <c r="I155" s="99">
        <v>0.0</v>
      </c>
      <c r="J155" s="101"/>
      <c r="K155" s="101"/>
    </row>
    <row r="156">
      <c r="A156" s="101"/>
      <c r="B156" s="101"/>
      <c r="C156" s="102" t="s">
        <v>1823</v>
      </c>
      <c r="D156" s="101"/>
      <c r="E156" s="99">
        <v>0.0</v>
      </c>
      <c r="F156" s="101"/>
      <c r="G156" s="100"/>
      <c r="H156" s="103">
        <v>0.2</v>
      </c>
      <c r="I156" s="99">
        <v>0.0</v>
      </c>
      <c r="J156" s="101"/>
      <c r="K156" s="101"/>
    </row>
    <row r="157">
      <c r="A157" s="101"/>
      <c r="B157" s="101"/>
      <c r="C157" s="102" t="s">
        <v>1832</v>
      </c>
      <c r="D157" s="101"/>
      <c r="E157" s="99">
        <v>0.0</v>
      </c>
      <c r="F157" s="101"/>
      <c r="G157" s="100"/>
      <c r="H157" s="103">
        <v>0.2</v>
      </c>
      <c r="I157" s="99">
        <v>0.0</v>
      </c>
      <c r="J157" s="99">
        <v>0.0</v>
      </c>
      <c r="K157" s="101"/>
    </row>
    <row r="158">
      <c r="A158" s="101"/>
      <c r="B158" s="101"/>
      <c r="C158" s="102" t="s">
        <v>1748</v>
      </c>
      <c r="D158" s="101"/>
      <c r="E158" s="99">
        <v>12254.96</v>
      </c>
      <c r="F158" s="99">
        <v>1127048.01</v>
      </c>
      <c r="G158" s="100"/>
      <c r="H158" s="101"/>
      <c r="I158" s="101"/>
      <c r="J158" s="101"/>
      <c r="K158" s="101"/>
    </row>
    <row r="159">
      <c r="A159" s="101"/>
      <c r="B159" s="101"/>
      <c r="C159" s="102" t="s">
        <v>1750</v>
      </c>
      <c r="D159" s="101"/>
      <c r="E159" s="99">
        <v>2917.85</v>
      </c>
      <c r="F159" s="99">
        <v>268344.76</v>
      </c>
      <c r="G159" s="100"/>
      <c r="H159" s="101"/>
      <c r="I159" s="99">
        <v>2917.85</v>
      </c>
      <c r="J159" s="99">
        <v>268344.76</v>
      </c>
      <c r="K159" s="101"/>
    </row>
    <row r="160">
      <c r="A160" s="101"/>
      <c r="B160" s="101"/>
      <c r="C160" s="102" t="s">
        <v>1752</v>
      </c>
      <c r="D160" s="101"/>
      <c r="E160" s="99">
        <v>232.08</v>
      </c>
      <c r="F160" s="99">
        <v>21344.0</v>
      </c>
      <c r="G160" s="100"/>
      <c r="H160" s="101"/>
      <c r="I160" s="99">
        <v>232.08</v>
      </c>
      <c r="J160" s="99">
        <v>21344.0</v>
      </c>
      <c r="K160" s="101"/>
    </row>
    <row r="161">
      <c r="A161" s="100"/>
      <c r="B161" s="100"/>
      <c r="C161" s="105" t="s">
        <v>1753</v>
      </c>
      <c r="D161" s="106">
        <v>20250.0</v>
      </c>
      <c r="E161" s="106">
        <v>77834.17</v>
      </c>
      <c r="F161" s="106">
        <v>7158151.88</v>
      </c>
      <c r="G161" s="107">
        <v>3.84</v>
      </c>
      <c r="H161" s="100"/>
      <c r="I161" s="106">
        <v>65509.48</v>
      </c>
      <c r="J161" s="106">
        <v>6024690.79</v>
      </c>
      <c r="K161" s="106">
        <v>3.24</v>
      </c>
    </row>
    <row r="162">
      <c r="A162" s="95"/>
      <c r="B162" s="95"/>
      <c r="C162" s="109"/>
      <c r="D162" s="95"/>
      <c r="E162" s="95"/>
      <c r="F162" s="95"/>
      <c r="G162" s="110">
        <v>3.843662778</v>
      </c>
      <c r="H162" s="95"/>
      <c r="I162" s="95"/>
      <c r="J162" s="95"/>
      <c r="K162" s="95"/>
    </row>
    <row r="163">
      <c r="A163" s="95"/>
      <c r="B163" s="95"/>
      <c r="C163" s="113" t="s">
        <v>1756</v>
      </c>
      <c r="D163" s="95"/>
      <c r="E163" s="95"/>
      <c r="F163" s="95"/>
      <c r="G163" s="110">
        <v>353.4889816</v>
      </c>
      <c r="H163" s="95"/>
      <c r="I163" s="95"/>
      <c r="J163" s="95"/>
      <c r="K163" s="114">
        <v>297.5155944</v>
      </c>
    </row>
    <row r="164">
      <c r="A164" s="95"/>
      <c r="B164" s="95"/>
      <c r="C164" s="109"/>
      <c r="D164" s="95"/>
      <c r="E164" s="95"/>
      <c r="F164" s="95"/>
      <c r="G164" s="115"/>
      <c r="H164" s="95"/>
      <c r="I164" s="95"/>
      <c r="J164" s="95"/>
      <c r="K164" s="95"/>
    </row>
    <row r="168">
      <c r="A168" s="95"/>
      <c r="B168" s="95"/>
      <c r="C168" s="109"/>
      <c r="D168" s="95"/>
      <c r="E168" s="95"/>
      <c r="F168" s="95"/>
      <c r="G168" s="115"/>
      <c r="H168" s="95"/>
      <c r="I168" s="95"/>
      <c r="J168" s="95"/>
      <c r="K168" s="95"/>
    </row>
  </sheetData>
  <mergeCells count="2">
    <mergeCell ref="D89:E89"/>
    <mergeCell ref="D90:E90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54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 hidden="1">
      <c r="A2" s="11"/>
      <c r="B2" s="11">
        <v>45931.0</v>
      </c>
      <c r="C2" s="12">
        <f>VLOOKUP(B:B,'Курс валют'!A:D,4,0)</f>
        <v>96.8644</v>
      </c>
      <c r="D2" s="54" t="s">
        <v>1833</v>
      </c>
      <c r="E2" s="75" t="s">
        <v>104</v>
      </c>
      <c r="F2" s="12">
        <v>3200.0</v>
      </c>
      <c r="G2" s="12">
        <v>3239.6</v>
      </c>
      <c r="H2" s="17">
        <v>0.0</v>
      </c>
      <c r="I2" s="15">
        <f t="shared" ref="I2:I102" si="1">G2-F2</f>
        <v>39.6</v>
      </c>
      <c r="J2" s="18">
        <f t="shared" ref="J2:J102" si="2">I2/F2*100</f>
        <v>1.2375</v>
      </c>
      <c r="K2" s="56">
        <v>2.7</v>
      </c>
      <c r="L2" s="19">
        <f t="shared" ref="L2:L102" si="3">H2/F2*100</f>
        <v>0</v>
      </c>
      <c r="M2" s="20">
        <f t="shared" ref="M2:M102" si="4">P2/F2</f>
        <v>261.53388</v>
      </c>
      <c r="N2" s="21">
        <f t="shared" ref="N2:N48" si="5">(F2*K2-H2*3.04)/F2</f>
        <v>2.7</v>
      </c>
      <c r="O2" s="21">
        <f t="shared" ref="O2:O102" si="6">N2*F2</f>
        <v>8640</v>
      </c>
      <c r="P2" s="22">
        <f t="shared" ref="P2:P102" si="7">O2*C2</f>
        <v>836908.416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 hidden="1">
      <c r="A3" s="11"/>
      <c r="B3" s="11">
        <v>45932.0</v>
      </c>
      <c r="C3" s="12">
        <f>VLOOKUP(B:B,'Курс валют'!A:D,4,0)</f>
        <v>95.6382</v>
      </c>
      <c r="D3" s="13" t="s">
        <v>1834</v>
      </c>
      <c r="E3" s="14" t="s">
        <v>105</v>
      </c>
      <c r="F3" s="15">
        <v>23.18</v>
      </c>
      <c r="G3" s="15">
        <v>23.18</v>
      </c>
      <c r="H3" s="17">
        <v>0.0</v>
      </c>
      <c r="I3" s="15">
        <f t="shared" si="1"/>
        <v>0</v>
      </c>
      <c r="J3" s="18">
        <f t="shared" si="2"/>
        <v>0</v>
      </c>
      <c r="K3" s="17">
        <v>1.65</v>
      </c>
      <c r="L3" s="19">
        <f t="shared" si="3"/>
        <v>0</v>
      </c>
      <c r="M3" s="20">
        <f t="shared" si="4"/>
        <v>157.80303</v>
      </c>
      <c r="N3" s="21">
        <f t="shared" si="5"/>
        <v>1.65</v>
      </c>
      <c r="O3" s="21">
        <f t="shared" si="6"/>
        <v>38.247</v>
      </c>
      <c r="P3" s="22">
        <f t="shared" si="7"/>
        <v>3657.874235</v>
      </c>
      <c r="R3" s="23" t="s">
        <v>1835</v>
      </c>
      <c r="S3" s="24"/>
      <c r="T3" s="25"/>
      <c r="U3" s="25"/>
      <c r="V3" s="25"/>
      <c r="W3" s="25"/>
      <c r="X3" s="25"/>
      <c r="Y3" s="25"/>
      <c r="Z3" s="25"/>
      <c r="AA3" s="25"/>
    </row>
    <row r="4" hidden="1">
      <c r="A4" s="11"/>
      <c r="B4" s="11">
        <v>45932.0</v>
      </c>
      <c r="C4" s="12">
        <f>VLOOKUP(B:B,'Курс валют'!A:D,4,0)</f>
        <v>95.6382</v>
      </c>
      <c r="D4" s="13" t="s">
        <v>1836</v>
      </c>
      <c r="E4" s="14" t="s">
        <v>106</v>
      </c>
      <c r="F4" s="15">
        <v>9600.0</v>
      </c>
      <c r="G4" s="15">
        <v>9719.16</v>
      </c>
      <c r="H4" s="17">
        <v>919.2</v>
      </c>
      <c r="I4" s="15">
        <f t="shared" si="1"/>
        <v>119.16</v>
      </c>
      <c r="J4" s="18">
        <f t="shared" si="2"/>
        <v>1.24125</v>
      </c>
      <c r="K4" s="17">
        <v>2.0</v>
      </c>
      <c r="L4" s="19">
        <f t="shared" si="3"/>
        <v>9.575</v>
      </c>
      <c r="M4" s="20">
        <f t="shared" si="4"/>
        <v>163.4380327</v>
      </c>
      <c r="N4" s="21">
        <f t="shared" si="5"/>
        <v>1.70892</v>
      </c>
      <c r="O4" s="21">
        <f t="shared" si="6"/>
        <v>16405.632</v>
      </c>
      <c r="P4" s="22">
        <f t="shared" si="7"/>
        <v>1569005.114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 hidden="1">
      <c r="A5" s="11"/>
      <c r="B5" s="11">
        <v>45932.0</v>
      </c>
      <c r="C5" s="12">
        <f>VLOOKUP(B:B,'Курс валют'!A:D,4,0)</f>
        <v>95.6382</v>
      </c>
      <c r="D5" s="13" t="s">
        <v>1837</v>
      </c>
      <c r="E5" s="35" t="s">
        <v>59</v>
      </c>
      <c r="F5" s="15">
        <v>2000.0</v>
      </c>
      <c r="G5" s="15">
        <v>2031.04</v>
      </c>
      <c r="H5" s="17">
        <v>0.0</v>
      </c>
      <c r="I5" s="15">
        <f t="shared" si="1"/>
        <v>31.04</v>
      </c>
      <c r="J5" s="18">
        <f t="shared" si="2"/>
        <v>1.552</v>
      </c>
      <c r="K5" s="17">
        <v>2.25</v>
      </c>
      <c r="L5" s="19">
        <f t="shared" si="3"/>
        <v>0</v>
      </c>
      <c r="M5" s="20">
        <f t="shared" si="4"/>
        <v>215.18595</v>
      </c>
      <c r="N5" s="21">
        <f t="shared" si="5"/>
        <v>2.25</v>
      </c>
      <c r="O5" s="21">
        <f t="shared" si="6"/>
        <v>4500</v>
      </c>
      <c r="P5" s="22">
        <f t="shared" si="7"/>
        <v>430371.9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 hidden="1">
      <c r="A6" s="11"/>
      <c r="B6" s="11">
        <v>45933.0</v>
      </c>
      <c r="C6" s="12">
        <f>VLOOKUP(B:B,'Курс валют'!A:D,4,0)</f>
        <v>95.3411</v>
      </c>
      <c r="D6" s="13" t="s">
        <v>1838</v>
      </c>
      <c r="E6" s="35" t="s">
        <v>106</v>
      </c>
      <c r="F6" s="15">
        <v>6400.0</v>
      </c>
      <c r="G6" s="15">
        <v>6479.44</v>
      </c>
      <c r="H6" s="17">
        <v>612.8</v>
      </c>
      <c r="I6" s="15">
        <f t="shared" si="1"/>
        <v>79.44</v>
      </c>
      <c r="J6" s="18">
        <f t="shared" si="2"/>
        <v>1.24125</v>
      </c>
      <c r="K6" s="17">
        <v>2.0</v>
      </c>
      <c r="L6" s="19">
        <f t="shared" si="3"/>
        <v>9.575</v>
      </c>
      <c r="M6" s="20">
        <f t="shared" si="4"/>
        <v>162.9303126</v>
      </c>
      <c r="N6" s="21">
        <f t="shared" si="5"/>
        <v>1.70892</v>
      </c>
      <c r="O6" s="21">
        <f t="shared" si="6"/>
        <v>10937.088</v>
      </c>
      <c r="P6" s="22">
        <f t="shared" si="7"/>
        <v>1042754.001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 hidden="1">
      <c r="A7" s="11"/>
      <c r="B7" s="11">
        <v>45933.0</v>
      </c>
      <c r="C7" s="12">
        <f>VLOOKUP(B:B,'Курс валют'!A:D,4,0)</f>
        <v>95.3411</v>
      </c>
      <c r="D7" s="13" t="s">
        <v>1839</v>
      </c>
      <c r="E7" s="35" t="s">
        <v>68</v>
      </c>
      <c r="F7" s="15">
        <v>3200.0</v>
      </c>
      <c r="G7" s="15">
        <v>3240.32</v>
      </c>
      <c r="H7" s="17">
        <v>305.6</v>
      </c>
      <c r="I7" s="15">
        <f t="shared" si="1"/>
        <v>40.32</v>
      </c>
      <c r="J7" s="18">
        <f t="shared" si="2"/>
        <v>1.26</v>
      </c>
      <c r="K7" s="17">
        <v>2.06</v>
      </c>
      <c r="L7" s="19">
        <f t="shared" si="3"/>
        <v>9.55</v>
      </c>
      <c r="M7" s="20">
        <f t="shared" si="4"/>
        <v>168.7232378</v>
      </c>
      <c r="N7" s="21">
        <f t="shared" si="5"/>
        <v>1.76968</v>
      </c>
      <c r="O7" s="21">
        <f t="shared" si="6"/>
        <v>5662.976</v>
      </c>
      <c r="P7" s="22">
        <f t="shared" si="7"/>
        <v>539914.3611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 hidden="1">
      <c r="A8" s="11"/>
      <c r="B8" s="11">
        <v>45934.0</v>
      </c>
      <c r="C8" s="12">
        <f>VLOOKUP(B:B,'Курс валют'!A:D,4,0)</f>
        <v>96.0525</v>
      </c>
      <c r="D8" s="13" t="s">
        <v>1840</v>
      </c>
      <c r="E8" s="26" t="s">
        <v>59</v>
      </c>
      <c r="F8" s="15">
        <v>2000.0</v>
      </c>
      <c r="G8" s="15">
        <v>2024.0</v>
      </c>
      <c r="H8" s="17">
        <v>0.0</v>
      </c>
      <c r="I8" s="15">
        <f t="shared" si="1"/>
        <v>24</v>
      </c>
      <c r="J8" s="18">
        <f t="shared" si="2"/>
        <v>1.2</v>
      </c>
      <c r="K8" s="17">
        <v>2.28</v>
      </c>
      <c r="L8" s="19">
        <f t="shared" si="3"/>
        <v>0</v>
      </c>
      <c r="M8" s="20">
        <f t="shared" si="4"/>
        <v>218.9997</v>
      </c>
      <c r="N8" s="21">
        <f t="shared" si="5"/>
        <v>2.28</v>
      </c>
      <c r="O8" s="21">
        <f t="shared" si="6"/>
        <v>4560</v>
      </c>
      <c r="P8" s="22">
        <f t="shared" si="7"/>
        <v>437999.4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 hidden="1">
      <c r="A9" s="11"/>
      <c r="B9" s="11">
        <v>45934.0</v>
      </c>
      <c r="C9" s="12">
        <f>VLOOKUP(B:B,'Курс валют'!A:D,4,0)</f>
        <v>96.0525</v>
      </c>
      <c r="D9" s="13" t="s">
        <v>1841</v>
      </c>
      <c r="E9" s="26" t="s">
        <v>68</v>
      </c>
      <c r="F9" s="15">
        <v>4800.0</v>
      </c>
      <c r="G9" s="15">
        <v>4860.6</v>
      </c>
      <c r="H9" s="17">
        <v>458.4</v>
      </c>
      <c r="I9" s="15">
        <f t="shared" si="1"/>
        <v>60.6</v>
      </c>
      <c r="J9" s="18">
        <f t="shared" si="2"/>
        <v>1.2625</v>
      </c>
      <c r="K9" s="17">
        <v>2.06</v>
      </c>
      <c r="L9" s="19">
        <f t="shared" si="3"/>
        <v>9.55</v>
      </c>
      <c r="M9" s="20">
        <f t="shared" si="4"/>
        <v>169.9821882</v>
      </c>
      <c r="N9" s="21">
        <f t="shared" si="5"/>
        <v>1.76968</v>
      </c>
      <c r="O9" s="21">
        <f t="shared" si="6"/>
        <v>8494.464</v>
      </c>
      <c r="P9" s="22">
        <f t="shared" si="7"/>
        <v>815914.5034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 hidden="1">
      <c r="A10" s="11"/>
      <c r="B10" s="11">
        <v>45934.0</v>
      </c>
      <c r="C10" s="12">
        <f>VLOOKUP(B:B,'Курс валют'!A:D,4,0)</f>
        <v>96.0525</v>
      </c>
      <c r="D10" s="13" t="s">
        <v>1842</v>
      </c>
      <c r="E10" s="26" t="s">
        <v>53</v>
      </c>
      <c r="F10" s="15">
        <v>4800.0</v>
      </c>
      <c r="G10" s="15">
        <v>4860.42</v>
      </c>
      <c r="H10" s="17">
        <v>0.0</v>
      </c>
      <c r="I10" s="15">
        <f t="shared" si="1"/>
        <v>60.42</v>
      </c>
      <c r="J10" s="18">
        <f t="shared" si="2"/>
        <v>1.25875</v>
      </c>
      <c r="K10" s="17">
        <v>2.04</v>
      </c>
      <c r="L10" s="19">
        <f t="shared" si="3"/>
        <v>0</v>
      </c>
      <c r="M10" s="20">
        <f t="shared" si="4"/>
        <v>195.9471</v>
      </c>
      <c r="N10" s="21">
        <f t="shared" si="5"/>
        <v>2.04</v>
      </c>
      <c r="O10" s="21">
        <f t="shared" si="6"/>
        <v>9792</v>
      </c>
      <c r="P10" s="22">
        <f t="shared" si="7"/>
        <v>940546.08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 hidden="1">
      <c r="A11" s="11"/>
      <c r="B11" s="11">
        <v>45935.0</v>
      </c>
      <c r="C11" s="12">
        <f>VLOOKUP(B:B,'Курс валют'!A:D,4,0)</f>
        <v>96.0525</v>
      </c>
      <c r="D11" s="13" t="s">
        <v>1843</v>
      </c>
      <c r="E11" s="84" t="s">
        <v>107</v>
      </c>
      <c r="F11" s="15">
        <v>1920.0</v>
      </c>
      <c r="G11" s="15">
        <v>1934.1</v>
      </c>
      <c r="H11" s="17">
        <v>0.0</v>
      </c>
      <c r="I11" s="15">
        <f t="shared" si="1"/>
        <v>14.1</v>
      </c>
      <c r="J11" s="18">
        <f t="shared" si="2"/>
        <v>0.734375</v>
      </c>
      <c r="K11" s="17">
        <v>2.63</v>
      </c>
      <c r="L11" s="19">
        <f t="shared" si="3"/>
        <v>0</v>
      </c>
      <c r="M11" s="20">
        <f t="shared" si="4"/>
        <v>252.618075</v>
      </c>
      <c r="N11" s="21">
        <f t="shared" si="5"/>
        <v>2.63</v>
      </c>
      <c r="O11" s="21">
        <f t="shared" si="6"/>
        <v>5049.6</v>
      </c>
      <c r="P11" s="22">
        <f t="shared" si="7"/>
        <v>485026.704</v>
      </c>
      <c r="R11" s="79"/>
      <c r="S11" s="24"/>
      <c r="T11" s="25"/>
      <c r="U11" s="25"/>
      <c r="V11" s="25"/>
      <c r="W11" s="25"/>
      <c r="X11" s="25"/>
      <c r="Y11" s="25"/>
      <c r="Z11" s="25"/>
      <c r="AA11" s="25"/>
    </row>
    <row r="12" hidden="1">
      <c r="A12" s="11"/>
      <c r="B12" s="90">
        <v>45935.0</v>
      </c>
      <c r="C12" s="12">
        <f>VLOOKUP(B:B,'Курс валют'!A:D,4,0)</f>
        <v>96.0525</v>
      </c>
      <c r="D12" s="13" t="s">
        <v>1844</v>
      </c>
      <c r="E12" s="26" t="s">
        <v>18</v>
      </c>
      <c r="F12" s="15">
        <v>11000.0</v>
      </c>
      <c r="G12" s="15">
        <v>11119.0</v>
      </c>
      <c r="H12" s="27">
        <v>4861.0</v>
      </c>
      <c r="I12" s="15">
        <f t="shared" si="1"/>
        <v>119</v>
      </c>
      <c r="J12" s="18">
        <f t="shared" si="2"/>
        <v>1.081818182</v>
      </c>
      <c r="K12" s="17">
        <v>3.55</v>
      </c>
      <c r="L12" s="19">
        <f t="shared" si="3"/>
        <v>44.19090909</v>
      </c>
      <c r="M12" s="20">
        <f t="shared" si="4"/>
        <v>211.9490972</v>
      </c>
      <c r="N12" s="21">
        <f t="shared" si="5"/>
        <v>2.206596364</v>
      </c>
      <c r="O12" s="21">
        <f t="shared" si="6"/>
        <v>24272.56</v>
      </c>
      <c r="P12" s="22">
        <f t="shared" si="7"/>
        <v>2331440.069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 hidden="1">
      <c r="A13" s="11"/>
      <c r="B13" s="11">
        <v>45936.0</v>
      </c>
      <c r="C13" s="12">
        <f>VLOOKUP(B:B,'Курс валют'!A:D,4,0)</f>
        <v>96.0525</v>
      </c>
      <c r="D13" s="13" t="s">
        <v>1845</v>
      </c>
      <c r="E13" s="26" t="s">
        <v>107</v>
      </c>
      <c r="F13" s="15">
        <v>1920.0</v>
      </c>
      <c r="G13" s="15">
        <v>1934.1</v>
      </c>
      <c r="H13" s="17">
        <v>0.0</v>
      </c>
      <c r="I13" s="15">
        <f t="shared" si="1"/>
        <v>14.1</v>
      </c>
      <c r="J13" s="18">
        <f t="shared" si="2"/>
        <v>0.734375</v>
      </c>
      <c r="K13" s="17">
        <v>2.63</v>
      </c>
      <c r="L13" s="19">
        <f t="shared" si="3"/>
        <v>0</v>
      </c>
      <c r="M13" s="20">
        <f t="shared" si="4"/>
        <v>252.618075</v>
      </c>
      <c r="N13" s="21">
        <f t="shared" si="5"/>
        <v>2.63</v>
      </c>
      <c r="O13" s="21">
        <f t="shared" si="6"/>
        <v>5049.6</v>
      </c>
      <c r="P13" s="22">
        <f t="shared" si="7"/>
        <v>485026.704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 hidden="1">
      <c r="A14" s="11"/>
      <c r="B14" s="90">
        <v>45936.0</v>
      </c>
      <c r="C14" s="12">
        <f>VLOOKUP(B:B,'Курс валют'!A:D,4,0)</f>
        <v>96.0525</v>
      </c>
      <c r="D14" s="13" t="s">
        <v>1846</v>
      </c>
      <c r="E14" s="26" t="s">
        <v>18</v>
      </c>
      <c r="F14" s="15">
        <v>11000.0</v>
      </c>
      <c r="G14" s="15">
        <v>11119.0</v>
      </c>
      <c r="H14" s="17">
        <v>4870.0</v>
      </c>
      <c r="I14" s="15">
        <f t="shared" si="1"/>
        <v>119</v>
      </c>
      <c r="J14" s="18">
        <f t="shared" si="2"/>
        <v>1.081818182</v>
      </c>
      <c r="K14" s="17">
        <v>3.56</v>
      </c>
      <c r="L14" s="19">
        <f t="shared" si="3"/>
        <v>44.27272727</v>
      </c>
      <c r="M14" s="20">
        <f t="shared" si="4"/>
        <v>212.6707135</v>
      </c>
      <c r="N14" s="21">
        <f t="shared" si="5"/>
        <v>2.214109091</v>
      </c>
      <c r="O14" s="21">
        <f t="shared" si="6"/>
        <v>24355.2</v>
      </c>
      <c r="P14" s="22">
        <f t="shared" si="7"/>
        <v>2339377.848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 hidden="1">
      <c r="A15" s="11"/>
      <c r="B15" s="11">
        <v>45937.0</v>
      </c>
      <c r="C15" s="12">
        <f>VLOOKUP(B:B,'Курс валют'!A:D,4,0)</f>
        <v>96.8345</v>
      </c>
      <c r="D15" s="13" t="s">
        <v>1847</v>
      </c>
      <c r="E15" s="26" t="s">
        <v>108</v>
      </c>
      <c r="F15" s="15">
        <v>92.72</v>
      </c>
      <c r="G15" s="15">
        <v>96.3</v>
      </c>
      <c r="H15" s="17">
        <v>0.0</v>
      </c>
      <c r="I15" s="15">
        <f t="shared" si="1"/>
        <v>3.58</v>
      </c>
      <c r="J15" s="18">
        <f t="shared" si="2"/>
        <v>3.861087144</v>
      </c>
      <c r="K15" s="17">
        <v>2.05</v>
      </c>
      <c r="L15" s="19">
        <f t="shared" si="3"/>
        <v>0</v>
      </c>
      <c r="M15" s="20">
        <f t="shared" si="4"/>
        <v>198.510725</v>
      </c>
      <c r="N15" s="21">
        <f t="shared" si="5"/>
        <v>2.05</v>
      </c>
      <c r="O15" s="21">
        <f t="shared" si="6"/>
        <v>190.076</v>
      </c>
      <c r="P15" s="22">
        <f t="shared" si="7"/>
        <v>18405.91442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 hidden="1">
      <c r="A16" s="11"/>
      <c r="B16" s="11">
        <v>45937.0</v>
      </c>
      <c r="C16" s="12">
        <f>VLOOKUP(B:B,'Курс валют'!A:D,4,0)</f>
        <v>96.8345</v>
      </c>
      <c r="D16" s="13" t="s">
        <v>1848</v>
      </c>
      <c r="E16" s="26" t="s">
        <v>107</v>
      </c>
      <c r="F16" s="15">
        <v>1680.0</v>
      </c>
      <c r="G16" s="15">
        <v>1691.55</v>
      </c>
      <c r="H16" s="17">
        <v>0.0</v>
      </c>
      <c r="I16" s="15">
        <f t="shared" si="1"/>
        <v>11.55</v>
      </c>
      <c r="J16" s="18">
        <f t="shared" si="2"/>
        <v>0.6875</v>
      </c>
      <c r="K16" s="17">
        <v>2.65</v>
      </c>
      <c r="L16" s="19">
        <f t="shared" si="3"/>
        <v>0</v>
      </c>
      <c r="M16" s="20">
        <f t="shared" si="4"/>
        <v>256.611425</v>
      </c>
      <c r="N16" s="21">
        <f t="shared" si="5"/>
        <v>2.65</v>
      </c>
      <c r="O16" s="21">
        <f t="shared" si="6"/>
        <v>4452</v>
      </c>
      <c r="P16" s="22">
        <f t="shared" si="7"/>
        <v>431107.194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 hidden="1">
      <c r="A17" s="11"/>
      <c r="B17" s="90">
        <v>45937.0</v>
      </c>
      <c r="C17" s="12">
        <f>VLOOKUP(B:B,'Курс валют'!A:D,4,0)</f>
        <v>96.8345</v>
      </c>
      <c r="D17" s="13" t="s">
        <v>1849</v>
      </c>
      <c r="E17" s="26" t="s">
        <v>18</v>
      </c>
      <c r="F17" s="15">
        <v>2200.0</v>
      </c>
      <c r="G17" s="15">
        <v>2223.8</v>
      </c>
      <c r="H17" s="17">
        <v>974.0</v>
      </c>
      <c r="I17" s="15">
        <f t="shared" si="1"/>
        <v>23.8</v>
      </c>
      <c r="J17" s="18">
        <f t="shared" si="2"/>
        <v>1.081818182</v>
      </c>
      <c r="K17" s="17">
        <v>3.55</v>
      </c>
      <c r="L17" s="19">
        <f t="shared" si="3"/>
        <v>44.27272727</v>
      </c>
      <c r="M17" s="20">
        <f t="shared" si="4"/>
        <v>213.4338018</v>
      </c>
      <c r="N17" s="21">
        <f t="shared" si="5"/>
        <v>2.204109091</v>
      </c>
      <c r="O17" s="21">
        <f t="shared" si="6"/>
        <v>4849.04</v>
      </c>
      <c r="P17" s="22">
        <f t="shared" si="7"/>
        <v>469554.3639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 hidden="1">
      <c r="A18" s="30"/>
      <c r="B18" s="90">
        <v>45938.0</v>
      </c>
      <c r="C18" s="12">
        <f>VLOOKUP(B:B,'Курс валют'!A:D,4,0)</f>
        <v>95.6722</v>
      </c>
      <c r="D18" s="13" t="s">
        <v>1850</v>
      </c>
      <c r="E18" s="26" t="s">
        <v>18</v>
      </c>
      <c r="F18" s="15">
        <v>5500.0</v>
      </c>
      <c r="G18" s="15">
        <v>5559.5</v>
      </c>
      <c r="H18" s="17">
        <v>2435.0</v>
      </c>
      <c r="I18" s="15">
        <f t="shared" si="1"/>
        <v>59.5</v>
      </c>
      <c r="J18" s="18">
        <f t="shared" si="2"/>
        <v>1.081818182</v>
      </c>
      <c r="K18" s="17">
        <v>3.55</v>
      </c>
      <c r="L18" s="19">
        <f t="shared" si="3"/>
        <v>44.27272727</v>
      </c>
      <c r="M18" s="20">
        <f t="shared" si="4"/>
        <v>210.8719658</v>
      </c>
      <c r="N18" s="21">
        <f t="shared" si="5"/>
        <v>2.204109091</v>
      </c>
      <c r="O18" s="21">
        <f t="shared" si="6"/>
        <v>12122.6</v>
      </c>
      <c r="P18" s="22">
        <f t="shared" si="7"/>
        <v>1159795.812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 hidden="1">
      <c r="A19" s="30"/>
      <c r="B19" s="11">
        <v>45938.0</v>
      </c>
      <c r="C19" s="12">
        <f>VLOOKUP(B:B,'Курс валют'!A:D,4,0)</f>
        <v>95.6722</v>
      </c>
      <c r="D19" s="13" t="s">
        <v>1851</v>
      </c>
      <c r="E19" s="35" t="s">
        <v>63</v>
      </c>
      <c r="F19" s="15">
        <v>2250.0</v>
      </c>
      <c r="G19" s="15">
        <v>2275.53</v>
      </c>
      <c r="H19" s="17">
        <v>908.0</v>
      </c>
      <c r="I19" s="15">
        <f t="shared" si="1"/>
        <v>25.53</v>
      </c>
      <c r="J19" s="18">
        <f t="shared" si="2"/>
        <v>1.134666667</v>
      </c>
      <c r="K19" s="17">
        <v>3.1</v>
      </c>
      <c r="L19" s="19">
        <f t="shared" si="3"/>
        <v>40.35555556</v>
      </c>
      <c r="M19" s="20">
        <f t="shared" si="4"/>
        <v>179.2123146</v>
      </c>
      <c r="N19" s="21">
        <f t="shared" si="5"/>
        <v>1.873191111</v>
      </c>
      <c r="O19" s="21">
        <f t="shared" si="6"/>
        <v>4214.68</v>
      </c>
      <c r="P19" s="22">
        <f t="shared" si="7"/>
        <v>403227.7079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 hidden="1">
      <c r="A20" s="30"/>
      <c r="B20" s="11">
        <v>45938.0</v>
      </c>
      <c r="C20" s="12">
        <f>VLOOKUP(B:B,'Курс валют'!A:D,4,0)</f>
        <v>95.6722</v>
      </c>
      <c r="D20" s="13" t="s">
        <v>1852</v>
      </c>
      <c r="E20" s="35" t="s">
        <v>61</v>
      </c>
      <c r="F20" s="15">
        <v>5500.0</v>
      </c>
      <c r="G20" s="15">
        <v>5563.65</v>
      </c>
      <c r="H20" s="17">
        <v>2205.0</v>
      </c>
      <c r="I20" s="15">
        <f t="shared" si="1"/>
        <v>63.65</v>
      </c>
      <c r="J20" s="18">
        <f t="shared" si="2"/>
        <v>1.157272727</v>
      </c>
      <c r="K20" s="17">
        <v>3.5</v>
      </c>
      <c r="L20" s="19">
        <f t="shared" si="3"/>
        <v>40.09090909</v>
      </c>
      <c r="M20" s="20">
        <f t="shared" si="4"/>
        <v>218.2509016</v>
      </c>
      <c r="N20" s="21">
        <f t="shared" si="5"/>
        <v>2.281236364</v>
      </c>
      <c r="O20" s="21">
        <f t="shared" si="6"/>
        <v>12546.8</v>
      </c>
      <c r="P20" s="22">
        <f t="shared" si="7"/>
        <v>1200379.959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 hidden="1">
      <c r="A21" s="30"/>
      <c r="B21" s="11">
        <v>45939.0</v>
      </c>
      <c r="C21" s="12">
        <f>VLOOKUP(B:B,'Курс валют'!A:D,4,0)</f>
        <v>94.9351</v>
      </c>
      <c r="D21" s="13" t="s">
        <v>1853</v>
      </c>
      <c r="E21" s="35" t="s">
        <v>59</v>
      </c>
      <c r="F21" s="15">
        <v>2000.0</v>
      </c>
      <c r="G21" s="15">
        <v>2016.64</v>
      </c>
      <c r="H21" s="17">
        <v>0.0</v>
      </c>
      <c r="I21" s="15">
        <f t="shared" si="1"/>
        <v>16.64</v>
      </c>
      <c r="J21" s="18">
        <f t="shared" si="2"/>
        <v>0.832</v>
      </c>
      <c r="K21" s="17">
        <v>2.31</v>
      </c>
      <c r="L21" s="19">
        <f t="shared" si="3"/>
        <v>0</v>
      </c>
      <c r="M21" s="20">
        <f t="shared" si="4"/>
        <v>219.300081</v>
      </c>
      <c r="N21" s="21">
        <f t="shared" si="5"/>
        <v>2.31</v>
      </c>
      <c r="O21" s="21">
        <f t="shared" si="6"/>
        <v>4620</v>
      </c>
      <c r="P21" s="22">
        <f t="shared" si="7"/>
        <v>438600.162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 hidden="1">
      <c r="A22" s="30"/>
      <c r="B22" s="11">
        <v>45939.0</v>
      </c>
      <c r="C22" s="12">
        <f>VLOOKUP(B:B,'Курс валют'!A:D,4,0)</f>
        <v>94.9351</v>
      </c>
      <c r="D22" s="13" t="s">
        <v>1854</v>
      </c>
      <c r="E22" s="35" t="s">
        <v>61</v>
      </c>
      <c r="F22" s="15">
        <v>11000.0</v>
      </c>
      <c r="G22" s="15">
        <v>11127.3</v>
      </c>
      <c r="H22" s="17">
        <v>4410.0</v>
      </c>
      <c r="I22" s="15">
        <f t="shared" si="1"/>
        <v>127.3</v>
      </c>
      <c r="J22" s="18">
        <f t="shared" si="2"/>
        <v>1.157272727</v>
      </c>
      <c r="K22" s="17">
        <v>3.5</v>
      </c>
      <c r="L22" s="19">
        <f t="shared" si="3"/>
        <v>40.09090909</v>
      </c>
      <c r="M22" s="20">
        <f t="shared" si="4"/>
        <v>216.5694023</v>
      </c>
      <c r="N22" s="21">
        <f t="shared" si="5"/>
        <v>2.281236364</v>
      </c>
      <c r="O22" s="21">
        <f t="shared" si="6"/>
        <v>25093.6</v>
      </c>
      <c r="P22" s="22">
        <f t="shared" si="7"/>
        <v>2382263.425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 hidden="1">
      <c r="A23" s="30"/>
      <c r="B23" s="11">
        <v>45940.0</v>
      </c>
      <c r="C23" s="12">
        <f>VLOOKUP(B:B,'Курс валют'!A:D,4,0)</f>
        <v>94.703</v>
      </c>
      <c r="D23" s="13" t="s">
        <v>1855</v>
      </c>
      <c r="E23" s="35" t="s">
        <v>59</v>
      </c>
      <c r="F23" s="15">
        <v>2000.0</v>
      </c>
      <c r="G23" s="15">
        <v>2016.64</v>
      </c>
      <c r="H23" s="17">
        <v>0.0</v>
      </c>
      <c r="I23" s="15">
        <f t="shared" si="1"/>
        <v>16.64</v>
      </c>
      <c r="J23" s="18">
        <f t="shared" si="2"/>
        <v>0.832</v>
      </c>
      <c r="K23" s="17">
        <v>2.32</v>
      </c>
      <c r="L23" s="19">
        <f t="shared" si="3"/>
        <v>0</v>
      </c>
      <c r="M23" s="20">
        <f t="shared" si="4"/>
        <v>219.71096</v>
      </c>
      <c r="N23" s="21">
        <f t="shared" si="5"/>
        <v>2.32</v>
      </c>
      <c r="O23" s="21">
        <f t="shared" si="6"/>
        <v>4640</v>
      </c>
      <c r="P23" s="22">
        <f t="shared" si="7"/>
        <v>439421.92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 hidden="1">
      <c r="A24" s="30"/>
      <c r="B24" s="11">
        <v>45940.0</v>
      </c>
      <c r="C24" s="12">
        <f>VLOOKUP(B:B,'Курс валют'!A:D,4,0)</f>
        <v>94.703</v>
      </c>
      <c r="D24" s="13" t="s">
        <v>1856</v>
      </c>
      <c r="E24" s="59" t="s">
        <v>61</v>
      </c>
      <c r="F24" s="15">
        <v>9900.0</v>
      </c>
      <c r="G24" s="15">
        <v>10014.57</v>
      </c>
      <c r="H24" s="17">
        <v>3969.0</v>
      </c>
      <c r="I24" s="15">
        <f t="shared" si="1"/>
        <v>114.57</v>
      </c>
      <c r="J24" s="18">
        <f t="shared" si="2"/>
        <v>1.157272727</v>
      </c>
      <c r="K24" s="17">
        <v>3.35</v>
      </c>
      <c r="L24" s="19">
        <f t="shared" si="3"/>
        <v>40.09090909</v>
      </c>
      <c r="M24" s="20">
        <f t="shared" si="4"/>
        <v>201.8344773</v>
      </c>
      <c r="N24" s="21">
        <f t="shared" si="5"/>
        <v>2.131236364</v>
      </c>
      <c r="O24" s="21">
        <f t="shared" si="6"/>
        <v>21099.24</v>
      </c>
      <c r="P24" s="22">
        <f t="shared" si="7"/>
        <v>1998161.326</v>
      </c>
      <c r="R24" s="31"/>
      <c r="S24" s="24"/>
      <c r="T24" s="25"/>
      <c r="U24" s="25"/>
      <c r="V24" s="25"/>
      <c r="W24" s="25"/>
      <c r="X24" s="25"/>
      <c r="Y24" s="25"/>
      <c r="Z24" s="25"/>
      <c r="AA24" s="25"/>
    </row>
    <row r="25" hidden="1">
      <c r="A25" s="30"/>
      <c r="B25" s="11">
        <v>45941.0</v>
      </c>
      <c r="C25" s="12">
        <f>VLOOKUP(B:B,'Курс валют'!A:D,4,0)</f>
        <v>94.0491</v>
      </c>
      <c r="D25" s="13" t="s">
        <v>1857</v>
      </c>
      <c r="E25" s="77" t="s">
        <v>59</v>
      </c>
      <c r="F25" s="15">
        <v>2000.0</v>
      </c>
      <c r="G25" s="15">
        <v>2016.64</v>
      </c>
      <c r="H25" s="17">
        <v>0.0</v>
      </c>
      <c r="I25" s="15">
        <f t="shared" si="1"/>
        <v>16.64</v>
      </c>
      <c r="J25" s="18">
        <f t="shared" si="2"/>
        <v>0.832</v>
      </c>
      <c r="K25" s="17">
        <v>2.32</v>
      </c>
      <c r="L25" s="19">
        <f t="shared" si="3"/>
        <v>0</v>
      </c>
      <c r="M25" s="20">
        <f t="shared" si="4"/>
        <v>218.193912</v>
      </c>
      <c r="N25" s="21">
        <f t="shared" si="5"/>
        <v>2.32</v>
      </c>
      <c r="O25" s="21">
        <f t="shared" si="6"/>
        <v>4640</v>
      </c>
      <c r="P25" s="22">
        <f t="shared" si="7"/>
        <v>436387.824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 hidden="1">
      <c r="A26" s="30"/>
      <c r="B26" s="11">
        <v>45941.0</v>
      </c>
      <c r="C26" s="12">
        <f>VLOOKUP(B:B,'Курс валют'!A:D,4,0)</f>
        <v>94.0491</v>
      </c>
      <c r="D26" s="13" t="s">
        <v>1858</v>
      </c>
      <c r="E26" s="59" t="s">
        <v>61</v>
      </c>
      <c r="F26" s="15">
        <v>11000.0</v>
      </c>
      <c r="G26" s="15">
        <v>11127.3</v>
      </c>
      <c r="H26" s="17">
        <v>4410.0</v>
      </c>
      <c r="I26" s="15">
        <f t="shared" si="1"/>
        <v>127.3</v>
      </c>
      <c r="J26" s="18">
        <f t="shared" si="2"/>
        <v>1.157272727</v>
      </c>
      <c r="K26" s="17">
        <v>3.54</v>
      </c>
      <c r="L26" s="19">
        <f t="shared" si="3"/>
        <v>40.09090909</v>
      </c>
      <c r="M26" s="20">
        <f t="shared" si="4"/>
        <v>218.3101909</v>
      </c>
      <c r="N26" s="21">
        <f t="shared" si="5"/>
        <v>2.321236364</v>
      </c>
      <c r="O26" s="21">
        <f t="shared" si="6"/>
        <v>25533.6</v>
      </c>
      <c r="P26" s="22">
        <f t="shared" si="7"/>
        <v>2401412.1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 ht="15.0" customHeight="1">
      <c r="A27" s="30"/>
      <c r="B27" s="11">
        <v>45942.0</v>
      </c>
      <c r="C27" s="12">
        <f>VLOOKUP(B:B,'Курс валют'!A:D,4,0)</f>
        <v>94.0491</v>
      </c>
      <c r="D27" s="13" t="s">
        <v>1859</v>
      </c>
      <c r="E27" s="59" t="s">
        <v>54</v>
      </c>
      <c r="F27" s="15">
        <v>8000.0</v>
      </c>
      <c r="G27" s="15">
        <v>8093.8</v>
      </c>
      <c r="H27" s="17">
        <v>0.0</v>
      </c>
      <c r="I27" s="15">
        <f t="shared" si="1"/>
        <v>93.8</v>
      </c>
      <c r="J27" s="18">
        <f t="shared" si="2"/>
        <v>1.1725</v>
      </c>
      <c r="K27" s="17">
        <v>1.99</v>
      </c>
      <c r="L27" s="19">
        <f t="shared" si="3"/>
        <v>0</v>
      </c>
      <c r="M27" s="20">
        <f t="shared" si="4"/>
        <v>187.157709</v>
      </c>
      <c r="N27" s="21">
        <f t="shared" si="5"/>
        <v>1.99</v>
      </c>
      <c r="O27" s="21">
        <f t="shared" si="6"/>
        <v>15920</v>
      </c>
      <c r="P27" s="22">
        <f t="shared" si="7"/>
        <v>1497261.672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 hidden="1">
      <c r="A28" s="30"/>
      <c r="B28" s="11">
        <v>45942.0</v>
      </c>
      <c r="C28" s="12">
        <f>VLOOKUP(B:B,'Курс валют'!A:D,4,0)</f>
        <v>94.0491</v>
      </c>
      <c r="D28" s="13" t="s">
        <v>1857</v>
      </c>
      <c r="E28" s="59" t="s">
        <v>73</v>
      </c>
      <c r="F28" s="15">
        <v>1400.0</v>
      </c>
      <c r="G28" s="15">
        <v>1400.0</v>
      </c>
      <c r="H28" s="17">
        <v>0.0</v>
      </c>
      <c r="I28" s="15">
        <f t="shared" si="1"/>
        <v>0</v>
      </c>
      <c r="J28" s="18">
        <f t="shared" si="2"/>
        <v>0</v>
      </c>
      <c r="K28" s="17">
        <v>2.52</v>
      </c>
      <c r="L28" s="19">
        <f t="shared" si="3"/>
        <v>0</v>
      </c>
      <c r="M28" s="20">
        <f t="shared" si="4"/>
        <v>237.003732</v>
      </c>
      <c r="N28" s="21">
        <f t="shared" si="5"/>
        <v>2.52</v>
      </c>
      <c r="O28" s="21">
        <f t="shared" si="6"/>
        <v>3528</v>
      </c>
      <c r="P28" s="22">
        <f t="shared" si="7"/>
        <v>331805.2248</v>
      </c>
      <c r="R28" s="23" t="s">
        <v>1101</v>
      </c>
      <c r="S28" s="25"/>
      <c r="T28" s="25"/>
      <c r="U28" s="25"/>
      <c r="V28" s="25"/>
      <c r="W28" s="25"/>
      <c r="X28" s="25"/>
      <c r="Y28" s="25"/>
      <c r="Z28" s="25"/>
      <c r="AA28" s="25"/>
    </row>
    <row r="29" hidden="1">
      <c r="A29" s="30"/>
      <c r="B29" s="11">
        <v>45942.0</v>
      </c>
      <c r="C29" s="12">
        <f>VLOOKUP(B:B,'Курс валют'!A:D,4,0)</f>
        <v>94.0491</v>
      </c>
      <c r="D29" s="13" t="s">
        <v>1860</v>
      </c>
      <c r="E29" s="59" t="s">
        <v>1861</v>
      </c>
      <c r="F29" s="15">
        <v>400.0</v>
      </c>
      <c r="G29" s="15">
        <v>400.0</v>
      </c>
      <c r="H29" s="17">
        <v>0.0</v>
      </c>
      <c r="I29" s="15">
        <f t="shared" si="1"/>
        <v>0</v>
      </c>
      <c r="J29" s="18">
        <f t="shared" si="2"/>
        <v>0</v>
      </c>
      <c r="K29" s="17">
        <v>2.57</v>
      </c>
      <c r="L29" s="19">
        <f t="shared" si="3"/>
        <v>0</v>
      </c>
      <c r="M29" s="20">
        <f t="shared" si="4"/>
        <v>241.706187</v>
      </c>
      <c r="N29" s="21">
        <f t="shared" si="5"/>
        <v>2.57</v>
      </c>
      <c r="O29" s="21">
        <f t="shared" si="6"/>
        <v>1028</v>
      </c>
      <c r="P29" s="22">
        <f t="shared" si="7"/>
        <v>96682.4748</v>
      </c>
      <c r="R29" s="23" t="s">
        <v>1101</v>
      </c>
      <c r="S29" s="57"/>
      <c r="T29" s="25"/>
      <c r="U29" s="25"/>
      <c r="V29" s="25"/>
      <c r="W29" s="25"/>
      <c r="X29" s="25"/>
      <c r="Y29" s="25"/>
      <c r="Z29" s="25"/>
      <c r="AA29" s="25"/>
    </row>
    <row r="30" hidden="1">
      <c r="A30" s="30"/>
      <c r="B30" s="11">
        <v>45943.0</v>
      </c>
      <c r="C30" s="12">
        <f>VLOOKUP(B:B,'Курс валют'!A:D,4,0)</f>
        <v>94.0491</v>
      </c>
      <c r="D30" s="13" t="s">
        <v>1855</v>
      </c>
      <c r="E30" s="77" t="s">
        <v>82</v>
      </c>
      <c r="F30" s="76">
        <v>1400.0</v>
      </c>
      <c r="G30" s="76">
        <v>1400.0</v>
      </c>
      <c r="H30" s="58">
        <v>0.0</v>
      </c>
      <c r="I30" s="15">
        <f t="shared" si="1"/>
        <v>0</v>
      </c>
      <c r="J30" s="18">
        <f t="shared" si="2"/>
        <v>0</v>
      </c>
      <c r="K30" s="58">
        <v>2.51</v>
      </c>
      <c r="L30" s="19">
        <f t="shared" si="3"/>
        <v>0</v>
      </c>
      <c r="M30" s="20">
        <f t="shared" si="4"/>
        <v>236.063241</v>
      </c>
      <c r="N30" s="21">
        <f t="shared" si="5"/>
        <v>2.51</v>
      </c>
      <c r="O30" s="21">
        <f t="shared" si="6"/>
        <v>3514</v>
      </c>
      <c r="P30" s="22">
        <f t="shared" si="7"/>
        <v>330488.5374</v>
      </c>
      <c r="R30" s="23" t="s">
        <v>1862</v>
      </c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45943.0</v>
      </c>
      <c r="C31" s="12">
        <f>VLOOKUP(B:B,'Курс валют'!A:D,4,0)</f>
        <v>94.0491</v>
      </c>
      <c r="D31" s="13" t="s">
        <v>1863</v>
      </c>
      <c r="E31" s="77" t="s">
        <v>54</v>
      </c>
      <c r="F31" s="15">
        <v>8000.0</v>
      </c>
      <c r="G31" s="15">
        <v>8093.8</v>
      </c>
      <c r="H31" s="17">
        <v>0.0</v>
      </c>
      <c r="I31" s="15">
        <f t="shared" si="1"/>
        <v>93.8</v>
      </c>
      <c r="J31" s="18">
        <f t="shared" si="2"/>
        <v>1.1725</v>
      </c>
      <c r="K31" s="17">
        <v>1.98</v>
      </c>
      <c r="L31" s="19">
        <f t="shared" si="3"/>
        <v>0</v>
      </c>
      <c r="M31" s="20">
        <f t="shared" si="4"/>
        <v>186.217218</v>
      </c>
      <c r="N31" s="21">
        <f t="shared" si="5"/>
        <v>1.98</v>
      </c>
      <c r="O31" s="21">
        <f t="shared" si="6"/>
        <v>15840</v>
      </c>
      <c r="P31" s="22">
        <f t="shared" si="7"/>
        <v>1489737.744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 hidden="1">
      <c r="A32" s="30"/>
      <c r="B32" s="11">
        <v>45943.0</v>
      </c>
      <c r="C32" s="12">
        <f>VLOOKUP(B:B,'Курс валют'!A:D,4,0)</f>
        <v>94.0491</v>
      </c>
      <c r="D32" s="13" t="s">
        <v>1864</v>
      </c>
      <c r="E32" s="77" t="s">
        <v>61</v>
      </c>
      <c r="F32" s="15">
        <v>1100.0</v>
      </c>
      <c r="G32" s="15">
        <v>1112.73</v>
      </c>
      <c r="H32" s="17">
        <v>441.0</v>
      </c>
      <c r="I32" s="15">
        <f t="shared" si="1"/>
        <v>12.73</v>
      </c>
      <c r="J32" s="18">
        <f t="shared" si="2"/>
        <v>1.157272727</v>
      </c>
      <c r="K32" s="17">
        <v>3.54</v>
      </c>
      <c r="L32" s="19">
        <f t="shared" si="3"/>
        <v>40.09090909</v>
      </c>
      <c r="M32" s="20">
        <f t="shared" si="4"/>
        <v>218.3101909</v>
      </c>
      <c r="N32" s="21">
        <f t="shared" si="5"/>
        <v>2.321236364</v>
      </c>
      <c r="O32" s="21">
        <f t="shared" si="6"/>
        <v>2553.36</v>
      </c>
      <c r="P32" s="22">
        <f t="shared" si="7"/>
        <v>240141.21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45944.0</v>
      </c>
      <c r="C33" s="12">
        <f>VLOOKUP(B:B,'Курс валют'!A:D,4,0)</f>
        <v>93.9181</v>
      </c>
      <c r="D33" s="13" t="s">
        <v>1865</v>
      </c>
      <c r="E33" s="77" t="s">
        <v>54</v>
      </c>
      <c r="F33" s="15">
        <v>12000.0</v>
      </c>
      <c r="G33" s="13">
        <v>12140.7</v>
      </c>
      <c r="H33" s="17">
        <v>0.0</v>
      </c>
      <c r="I33" s="15">
        <f t="shared" si="1"/>
        <v>140.7</v>
      </c>
      <c r="J33" s="18">
        <f t="shared" si="2"/>
        <v>1.1725</v>
      </c>
      <c r="K33" s="17">
        <v>1.89</v>
      </c>
      <c r="L33" s="19">
        <f t="shared" si="3"/>
        <v>0</v>
      </c>
      <c r="M33" s="20">
        <f t="shared" si="4"/>
        <v>177.505209</v>
      </c>
      <c r="N33" s="21">
        <f t="shared" si="5"/>
        <v>1.89</v>
      </c>
      <c r="O33" s="21">
        <f t="shared" si="6"/>
        <v>22680</v>
      </c>
      <c r="P33" s="22">
        <f t="shared" si="7"/>
        <v>2130062.508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45945.0</v>
      </c>
      <c r="C34" s="12">
        <f>VLOOKUP(B:B,'Курс валют'!A:D,4,0)</f>
        <v>92.6816</v>
      </c>
      <c r="D34" s="13" t="s">
        <v>1866</v>
      </c>
      <c r="E34" s="59" t="s">
        <v>54</v>
      </c>
      <c r="F34" s="15">
        <v>4000.0</v>
      </c>
      <c r="G34" s="13">
        <v>4046.9</v>
      </c>
      <c r="H34" s="17">
        <v>0.0</v>
      </c>
      <c r="I34" s="15">
        <f t="shared" si="1"/>
        <v>46.9</v>
      </c>
      <c r="J34" s="18">
        <f t="shared" si="2"/>
        <v>1.1725</v>
      </c>
      <c r="K34" s="17">
        <v>1.89</v>
      </c>
      <c r="L34" s="19">
        <f t="shared" si="3"/>
        <v>0</v>
      </c>
      <c r="M34" s="20">
        <f t="shared" si="4"/>
        <v>175.168224</v>
      </c>
      <c r="N34" s="21">
        <f t="shared" si="5"/>
        <v>1.89</v>
      </c>
      <c r="O34" s="21">
        <f t="shared" si="6"/>
        <v>7560</v>
      </c>
      <c r="P34" s="22">
        <f t="shared" si="7"/>
        <v>700672.896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 hidden="1">
      <c r="A35" s="30"/>
      <c r="B35" s="11">
        <v>45945.0</v>
      </c>
      <c r="C35" s="12">
        <f>VLOOKUP(B:B,'Курс валют'!A:D,4,0)</f>
        <v>92.6816</v>
      </c>
      <c r="D35" s="13" t="s">
        <v>1867</v>
      </c>
      <c r="E35" s="59" t="s">
        <v>98</v>
      </c>
      <c r="F35" s="15">
        <v>7740.0</v>
      </c>
      <c r="G35" s="13">
        <v>7817.4</v>
      </c>
      <c r="H35" s="17">
        <v>0.0</v>
      </c>
      <c r="I35" s="15">
        <f t="shared" si="1"/>
        <v>77.4</v>
      </c>
      <c r="J35" s="18">
        <f t="shared" si="2"/>
        <v>1</v>
      </c>
      <c r="K35" s="17">
        <v>2.04</v>
      </c>
      <c r="L35" s="19">
        <f t="shared" si="3"/>
        <v>0</v>
      </c>
      <c r="M35" s="20">
        <f t="shared" si="4"/>
        <v>189.070464</v>
      </c>
      <c r="N35" s="21">
        <f t="shared" si="5"/>
        <v>2.04</v>
      </c>
      <c r="O35" s="21">
        <f t="shared" si="6"/>
        <v>15789.6</v>
      </c>
      <c r="P35" s="22">
        <f t="shared" si="7"/>
        <v>1463405.391</v>
      </c>
      <c r="R35" s="23" t="s">
        <v>1868</v>
      </c>
      <c r="S35" s="25"/>
      <c r="T35" s="25"/>
      <c r="U35" s="25"/>
      <c r="V35" s="25"/>
      <c r="W35" s="25"/>
      <c r="X35" s="25"/>
      <c r="Y35" s="25"/>
      <c r="Z35" s="25"/>
      <c r="AA35" s="25"/>
    </row>
    <row r="36" hidden="1">
      <c r="A36" s="30"/>
      <c r="B36" s="11">
        <v>45946.0</v>
      </c>
      <c r="C36" s="12">
        <f>VLOOKUP(B:B,'Курс валют'!A:D,4,0)</f>
        <v>91.7258</v>
      </c>
      <c r="D36" s="13" t="s">
        <v>1869</v>
      </c>
      <c r="E36" s="59" t="s">
        <v>73</v>
      </c>
      <c r="F36" s="15">
        <v>1600.0</v>
      </c>
      <c r="G36" s="13">
        <v>1600.0</v>
      </c>
      <c r="H36" s="17">
        <v>0.0</v>
      </c>
      <c r="I36" s="15">
        <f t="shared" si="1"/>
        <v>0</v>
      </c>
      <c r="J36" s="18">
        <f t="shared" si="2"/>
        <v>0</v>
      </c>
      <c r="K36" s="17">
        <v>2.49</v>
      </c>
      <c r="L36" s="19">
        <f t="shared" si="3"/>
        <v>0</v>
      </c>
      <c r="M36" s="20">
        <f t="shared" si="4"/>
        <v>228.397242</v>
      </c>
      <c r="N36" s="21">
        <f t="shared" si="5"/>
        <v>2.49</v>
      </c>
      <c r="O36" s="21">
        <f t="shared" si="6"/>
        <v>3984</v>
      </c>
      <c r="P36" s="22">
        <f t="shared" si="7"/>
        <v>365435.5872</v>
      </c>
      <c r="R36" s="23" t="s">
        <v>1101</v>
      </c>
      <c r="S36" s="25"/>
      <c r="T36" s="25"/>
      <c r="U36" s="25"/>
      <c r="V36" s="25"/>
      <c r="W36" s="25"/>
      <c r="X36" s="25"/>
      <c r="Y36" s="25"/>
      <c r="Z36" s="25"/>
      <c r="AA36" s="25"/>
    </row>
    <row r="37" hidden="1">
      <c r="A37" s="30"/>
      <c r="B37" s="138">
        <v>45946.0</v>
      </c>
      <c r="C37" s="12">
        <f>VLOOKUP(B:B,'Курс валют'!A:D,4,0)</f>
        <v>91.7258</v>
      </c>
      <c r="D37" s="13" t="s">
        <v>1870</v>
      </c>
      <c r="E37" s="59" t="s">
        <v>18</v>
      </c>
      <c r="F37" s="15">
        <v>11000.0</v>
      </c>
      <c r="G37" s="13">
        <v>11119.0</v>
      </c>
      <c r="H37" s="17">
        <v>5069.0</v>
      </c>
      <c r="I37" s="15">
        <f t="shared" si="1"/>
        <v>119</v>
      </c>
      <c r="J37" s="18">
        <f t="shared" si="2"/>
        <v>1.081818182</v>
      </c>
      <c r="K37" s="17">
        <v>3.52</v>
      </c>
      <c r="L37" s="19">
        <f t="shared" si="3"/>
        <v>46.08181818</v>
      </c>
      <c r="M37" s="20">
        <f t="shared" si="4"/>
        <v>194.3773102</v>
      </c>
      <c r="N37" s="21">
        <f t="shared" si="5"/>
        <v>2.119112727</v>
      </c>
      <c r="O37" s="21">
        <f t="shared" si="6"/>
        <v>23310.24</v>
      </c>
      <c r="P37" s="22">
        <f t="shared" si="7"/>
        <v>2138150.412</v>
      </c>
      <c r="R37" s="78"/>
      <c r="S37" s="24"/>
      <c r="T37" s="25"/>
      <c r="U37" s="25"/>
      <c r="V37" s="25"/>
      <c r="W37" s="25"/>
      <c r="X37" s="25"/>
      <c r="Y37" s="25"/>
      <c r="Z37" s="25"/>
      <c r="AA37" s="25"/>
    </row>
    <row r="38" hidden="1">
      <c r="A38" s="30"/>
      <c r="B38" s="90">
        <v>45947.0</v>
      </c>
      <c r="C38" s="12">
        <f>VLOOKUP(B:B,'Курс валют'!A:D,4,0)</f>
        <v>92.0834</v>
      </c>
      <c r="D38" s="13" t="s">
        <v>1871</v>
      </c>
      <c r="E38" s="59" t="s">
        <v>18</v>
      </c>
      <c r="F38" s="15">
        <v>11000.0</v>
      </c>
      <c r="G38" s="13">
        <v>11119.0</v>
      </c>
      <c r="H38" s="17">
        <v>5838.0</v>
      </c>
      <c r="I38" s="15">
        <f t="shared" si="1"/>
        <v>119</v>
      </c>
      <c r="J38" s="18">
        <f t="shared" si="2"/>
        <v>1.081818182</v>
      </c>
      <c r="K38" s="17">
        <v>3.59</v>
      </c>
      <c r="L38" s="19">
        <f t="shared" si="3"/>
        <v>53.07272727</v>
      </c>
      <c r="M38" s="20">
        <f t="shared" si="4"/>
        <v>182.0110439</v>
      </c>
      <c r="N38" s="21">
        <f t="shared" si="5"/>
        <v>1.976589091</v>
      </c>
      <c r="O38" s="21">
        <f t="shared" si="6"/>
        <v>21742.48</v>
      </c>
      <c r="P38" s="22">
        <f t="shared" si="7"/>
        <v>2002121.483</v>
      </c>
      <c r="R38" s="79"/>
      <c r="S38" s="24"/>
      <c r="T38" s="25"/>
      <c r="U38" s="25"/>
      <c r="V38" s="25"/>
      <c r="W38" s="25"/>
      <c r="X38" s="25"/>
      <c r="Y38" s="25"/>
      <c r="Z38" s="25"/>
      <c r="AA38" s="25"/>
    </row>
    <row r="39" hidden="1">
      <c r="A39" s="30"/>
      <c r="B39" s="90">
        <v>45948.0</v>
      </c>
      <c r="C39" s="12">
        <f>VLOOKUP(B:B,'Курс валют'!A:D,4,0)</f>
        <v>94.5835</v>
      </c>
      <c r="D39" s="13" t="s">
        <v>1872</v>
      </c>
      <c r="E39" s="59" t="s">
        <v>18</v>
      </c>
      <c r="F39" s="15">
        <v>11000.0</v>
      </c>
      <c r="G39" s="13">
        <v>11119.0</v>
      </c>
      <c r="H39" s="17">
        <v>4870.0</v>
      </c>
      <c r="I39" s="15">
        <f t="shared" si="1"/>
        <v>119</v>
      </c>
      <c r="J39" s="18">
        <f t="shared" si="2"/>
        <v>1.081818182</v>
      </c>
      <c r="K39" s="17">
        <v>3.4</v>
      </c>
      <c r="L39" s="19">
        <f t="shared" si="3"/>
        <v>44.27272727</v>
      </c>
      <c r="M39" s="20">
        <f t="shared" si="4"/>
        <v>194.2848272</v>
      </c>
      <c r="N39" s="21">
        <f t="shared" si="5"/>
        <v>2.054109091</v>
      </c>
      <c r="O39" s="21">
        <f t="shared" si="6"/>
        <v>22595.2</v>
      </c>
      <c r="P39" s="22">
        <f t="shared" si="7"/>
        <v>2137133.099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 hidden="1">
      <c r="A40" s="30"/>
      <c r="B40" s="11">
        <v>45948.0</v>
      </c>
      <c r="C40" s="12">
        <f>VLOOKUP(B:B,'Курс валют'!A:D,4,0)</f>
        <v>94.5835</v>
      </c>
      <c r="D40" s="13" t="s">
        <v>1873</v>
      </c>
      <c r="E40" s="59" t="s">
        <v>53</v>
      </c>
      <c r="F40" s="15">
        <v>9600.0</v>
      </c>
      <c r="G40" s="13">
        <v>9701.64</v>
      </c>
      <c r="H40" s="17">
        <v>0.0</v>
      </c>
      <c r="I40" s="15">
        <f t="shared" si="1"/>
        <v>101.64</v>
      </c>
      <c r="J40" s="18">
        <f t="shared" si="2"/>
        <v>1.05875</v>
      </c>
      <c r="K40" s="17">
        <v>1.9</v>
      </c>
      <c r="L40" s="19">
        <f t="shared" si="3"/>
        <v>0</v>
      </c>
      <c r="M40" s="20">
        <f t="shared" si="4"/>
        <v>179.70865</v>
      </c>
      <c r="N40" s="21">
        <f t="shared" si="5"/>
        <v>1.9</v>
      </c>
      <c r="O40" s="21">
        <f t="shared" si="6"/>
        <v>18240</v>
      </c>
      <c r="P40" s="22">
        <f t="shared" si="7"/>
        <v>1725203.04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 hidden="1">
      <c r="A41" s="30"/>
      <c r="B41" s="90">
        <v>45949.0</v>
      </c>
      <c r="C41" s="12">
        <f>VLOOKUP(B:B,'Курс валют'!A:D,4,0)</f>
        <v>94.5835</v>
      </c>
      <c r="D41" s="13" t="s">
        <v>1874</v>
      </c>
      <c r="E41" s="59" t="s">
        <v>18</v>
      </c>
      <c r="F41" s="15">
        <v>11000.0</v>
      </c>
      <c r="G41" s="61">
        <v>11055.6</v>
      </c>
      <c r="H41" s="17">
        <v>4840.0</v>
      </c>
      <c r="I41" s="16">
        <f t="shared" si="1"/>
        <v>55.6</v>
      </c>
      <c r="J41" s="18">
        <f t="shared" si="2"/>
        <v>0.5054545455</v>
      </c>
      <c r="K41" s="17">
        <v>3.38</v>
      </c>
      <c r="L41" s="19">
        <f t="shared" si="3"/>
        <v>44</v>
      </c>
      <c r="M41" s="20">
        <f t="shared" si="4"/>
        <v>193.1773404</v>
      </c>
      <c r="N41" s="21">
        <f t="shared" si="5"/>
        <v>2.0424</v>
      </c>
      <c r="O41" s="21">
        <f t="shared" si="6"/>
        <v>22466.4</v>
      </c>
      <c r="P41" s="22">
        <f t="shared" si="7"/>
        <v>2124950.744</v>
      </c>
      <c r="R41" s="31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45949.0</v>
      </c>
      <c r="C42" s="12">
        <f>VLOOKUP(B:B,'Курс валют'!A:D,4,0)</f>
        <v>94.5835</v>
      </c>
      <c r="D42" s="13" t="s">
        <v>1875</v>
      </c>
      <c r="E42" s="59" t="s">
        <v>54</v>
      </c>
      <c r="F42" s="15">
        <v>5600.0</v>
      </c>
      <c r="G42" s="13">
        <v>5635.84</v>
      </c>
      <c r="H42" s="17">
        <v>0.0</v>
      </c>
      <c r="I42" s="15">
        <f t="shared" si="1"/>
        <v>35.84</v>
      </c>
      <c r="J42" s="18">
        <f t="shared" si="2"/>
        <v>0.64</v>
      </c>
      <c r="K42" s="17">
        <v>1.88</v>
      </c>
      <c r="L42" s="19">
        <f t="shared" si="3"/>
        <v>0</v>
      </c>
      <c r="M42" s="20">
        <f t="shared" si="4"/>
        <v>177.81698</v>
      </c>
      <c r="N42" s="21">
        <f t="shared" si="5"/>
        <v>1.88</v>
      </c>
      <c r="O42" s="21">
        <f t="shared" si="6"/>
        <v>10528</v>
      </c>
      <c r="P42" s="22">
        <f t="shared" si="7"/>
        <v>995775.088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 hidden="1">
      <c r="A43" s="30"/>
      <c r="B43" s="139">
        <v>45950.0</v>
      </c>
      <c r="C43" s="12">
        <f>VLOOKUP(B:B,'Курс валют'!A:D,4,0)</f>
        <v>94.5835</v>
      </c>
      <c r="D43" s="13" t="s">
        <v>1876</v>
      </c>
      <c r="E43" s="59" t="s">
        <v>18</v>
      </c>
      <c r="F43" s="15">
        <v>11000.0</v>
      </c>
      <c r="G43" s="13">
        <v>11055.6</v>
      </c>
      <c r="H43" s="17">
        <v>4840.0</v>
      </c>
      <c r="I43" s="15">
        <f t="shared" si="1"/>
        <v>55.6</v>
      </c>
      <c r="J43" s="18">
        <f t="shared" si="2"/>
        <v>0.5054545455</v>
      </c>
      <c r="K43" s="17">
        <v>3.38</v>
      </c>
      <c r="L43" s="19">
        <f t="shared" si="3"/>
        <v>44</v>
      </c>
      <c r="M43" s="20">
        <f t="shared" si="4"/>
        <v>193.1773404</v>
      </c>
      <c r="N43" s="21">
        <f t="shared" si="5"/>
        <v>2.0424</v>
      </c>
      <c r="O43" s="21">
        <f t="shared" si="6"/>
        <v>22466.4</v>
      </c>
      <c r="P43" s="22">
        <f t="shared" si="7"/>
        <v>2124950.744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45950.0</v>
      </c>
      <c r="C44" s="12">
        <f>VLOOKUP(B:B,'Курс валют'!A:D,4,0)</f>
        <v>94.5835</v>
      </c>
      <c r="D44" s="13" t="s">
        <v>1877</v>
      </c>
      <c r="E44" s="59" t="s">
        <v>54</v>
      </c>
      <c r="F44" s="15">
        <v>2400.0</v>
      </c>
      <c r="G44" s="13">
        <v>2415.36</v>
      </c>
      <c r="H44" s="17">
        <v>0.0</v>
      </c>
      <c r="I44" s="15">
        <f t="shared" si="1"/>
        <v>15.36</v>
      </c>
      <c r="J44" s="18">
        <f t="shared" si="2"/>
        <v>0.64</v>
      </c>
      <c r="K44" s="17">
        <v>1.87</v>
      </c>
      <c r="L44" s="19">
        <f t="shared" si="3"/>
        <v>0</v>
      </c>
      <c r="M44" s="20">
        <f t="shared" si="4"/>
        <v>176.871145</v>
      </c>
      <c r="N44" s="21">
        <f t="shared" si="5"/>
        <v>1.87</v>
      </c>
      <c r="O44" s="21">
        <f t="shared" si="6"/>
        <v>4488</v>
      </c>
      <c r="P44" s="22">
        <f t="shared" si="7"/>
        <v>424490.748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 hidden="1">
      <c r="A45" s="30"/>
      <c r="B45" s="90">
        <v>45951.0</v>
      </c>
      <c r="C45" s="12">
        <f>VLOOKUP(B:B,'Курс валют'!A:D,4,0)</f>
        <v>94.3845</v>
      </c>
      <c r="D45" s="13" t="s">
        <v>1878</v>
      </c>
      <c r="E45" s="59" t="s">
        <v>18</v>
      </c>
      <c r="F45" s="15">
        <v>11000.0</v>
      </c>
      <c r="G45" s="61">
        <v>11055.6</v>
      </c>
      <c r="H45" s="17">
        <v>4840.0</v>
      </c>
      <c r="I45" s="16">
        <f t="shared" si="1"/>
        <v>55.6</v>
      </c>
      <c r="J45" s="18">
        <f t="shared" si="2"/>
        <v>0.5054545455</v>
      </c>
      <c r="K45" s="17">
        <v>3.38</v>
      </c>
      <c r="L45" s="19">
        <f t="shared" si="3"/>
        <v>44</v>
      </c>
      <c r="M45" s="20">
        <f t="shared" si="4"/>
        <v>192.7709028</v>
      </c>
      <c r="N45" s="21">
        <f t="shared" si="5"/>
        <v>2.0424</v>
      </c>
      <c r="O45" s="21">
        <f t="shared" si="6"/>
        <v>22466.4</v>
      </c>
      <c r="P45" s="22">
        <f t="shared" si="7"/>
        <v>2120479.931</v>
      </c>
      <c r="R45" s="23"/>
      <c r="S45" s="24"/>
      <c r="T45" s="25"/>
      <c r="U45" s="25"/>
      <c r="V45" s="25"/>
      <c r="W45" s="25"/>
      <c r="X45" s="25"/>
      <c r="Y45" s="25"/>
      <c r="Z45" s="25"/>
      <c r="AA45" s="25"/>
    </row>
    <row r="46" hidden="1">
      <c r="A46" s="30"/>
      <c r="B46" s="11">
        <v>45951.0</v>
      </c>
      <c r="C46" s="12">
        <f>VLOOKUP(B:B,'Курс валют'!A:D,4,0)</f>
        <v>94.3845</v>
      </c>
      <c r="D46" s="13" t="s">
        <v>1879</v>
      </c>
      <c r="E46" s="59" t="s">
        <v>53</v>
      </c>
      <c r="F46" s="15">
        <v>4800.0</v>
      </c>
      <c r="G46" s="13">
        <v>4833.84</v>
      </c>
      <c r="H46" s="17">
        <v>0.0</v>
      </c>
      <c r="I46" s="15">
        <f t="shared" si="1"/>
        <v>33.84</v>
      </c>
      <c r="J46" s="18">
        <f t="shared" si="2"/>
        <v>0.705</v>
      </c>
      <c r="K46" s="17">
        <v>1.88</v>
      </c>
      <c r="L46" s="19">
        <f t="shared" si="3"/>
        <v>0</v>
      </c>
      <c r="M46" s="20">
        <f t="shared" si="4"/>
        <v>177.44286</v>
      </c>
      <c r="N46" s="21">
        <f t="shared" si="5"/>
        <v>1.88</v>
      </c>
      <c r="O46" s="21">
        <f t="shared" si="6"/>
        <v>9024</v>
      </c>
      <c r="P46" s="22">
        <f t="shared" si="7"/>
        <v>851725.728</v>
      </c>
      <c r="R46" s="23"/>
      <c r="S46" s="24"/>
      <c r="T46" s="25"/>
      <c r="U46" s="25"/>
      <c r="V46" s="25"/>
      <c r="W46" s="25"/>
      <c r="X46" s="25"/>
      <c r="Y46" s="25"/>
      <c r="Z46" s="25"/>
      <c r="AA46" s="25"/>
    </row>
    <row r="47" hidden="1">
      <c r="A47" s="30"/>
      <c r="B47" s="11">
        <v>45952.0</v>
      </c>
      <c r="C47" s="12">
        <f>VLOOKUP(B:B,'Курс валют'!A:D,4,0)</f>
        <v>94.6656</v>
      </c>
      <c r="D47" s="13" t="s">
        <v>1880</v>
      </c>
      <c r="E47" s="59" t="s">
        <v>55</v>
      </c>
      <c r="F47" s="15">
        <v>1000.0</v>
      </c>
      <c r="G47" s="61">
        <v>1009.52</v>
      </c>
      <c r="H47" s="17">
        <v>0.0</v>
      </c>
      <c r="I47" s="16">
        <f t="shared" si="1"/>
        <v>9.52</v>
      </c>
      <c r="J47" s="18">
        <f t="shared" si="2"/>
        <v>0.952</v>
      </c>
      <c r="K47" s="17">
        <v>2.62</v>
      </c>
      <c r="L47" s="19">
        <f t="shared" si="3"/>
        <v>0</v>
      </c>
      <c r="M47" s="20">
        <f t="shared" si="4"/>
        <v>248.023872</v>
      </c>
      <c r="N47" s="21">
        <f t="shared" si="5"/>
        <v>2.62</v>
      </c>
      <c r="O47" s="21">
        <f t="shared" si="6"/>
        <v>2620</v>
      </c>
      <c r="P47" s="22">
        <f t="shared" si="7"/>
        <v>248023.872</v>
      </c>
      <c r="R47" s="23"/>
      <c r="S47" s="25"/>
      <c r="T47" s="25"/>
      <c r="U47" s="25"/>
      <c r="V47" s="25"/>
      <c r="W47" s="25"/>
      <c r="X47" s="25"/>
      <c r="Y47" s="25"/>
      <c r="Z47" s="25"/>
      <c r="AA47" s="25"/>
    </row>
    <row r="48" hidden="1">
      <c r="A48" s="30"/>
      <c r="B48" s="11">
        <v>45952.0</v>
      </c>
      <c r="C48" s="12">
        <f>VLOOKUP(B:B,'Курс валют'!A:D,4,0)</f>
        <v>94.6656</v>
      </c>
      <c r="D48" s="13" t="s">
        <v>1881</v>
      </c>
      <c r="E48" s="59" t="s">
        <v>92</v>
      </c>
      <c r="F48" s="15">
        <v>1000.0</v>
      </c>
      <c r="G48" s="13">
        <v>1009.52</v>
      </c>
      <c r="H48" s="17">
        <v>0.0</v>
      </c>
      <c r="I48" s="15">
        <f t="shared" si="1"/>
        <v>9.52</v>
      </c>
      <c r="J48" s="18">
        <f t="shared" si="2"/>
        <v>0.952</v>
      </c>
      <c r="K48" s="17">
        <v>2.73</v>
      </c>
      <c r="L48" s="19">
        <f t="shared" si="3"/>
        <v>0</v>
      </c>
      <c r="M48" s="20">
        <f t="shared" si="4"/>
        <v>258.437088</v>
      </c>
      <c r="N48" s="21">
        <f t="shared" si="5"/>
        <v>2.73</v>
      </c>
      <c r="O48" s="21">
        <f t="shared" si="6"/>
        <v>2730</v>
      </c>
      <c r="P48" s="22">
        <f t="shared" si="7"/>
        <v>258437.088</v>
      </c>
      <c r="R48" s="23"/>
      <c r="S48" s="25"/>
      <c r="T48" s="25"/>
      <c r="U48" s="25"/>
      <c r="V48" s="25"/>
      <c r="W48" s="25"/>
      <c r="X48" s="25"/>
      <c r="Y48" s="25"/>
      <c r="Z48" s="25"/>
      <c r="AA48" s="25"/>
    </row>
    <row r="49" hidden="1">
      <c r="A49" s="30"/>
      <c r="B49" s="90">
        <v>45952.0</v>
      </c>
      <c r="C49" s="12">
        <f>VLOOKUP(B:B,'Курс валют'!A:D,4,0)</f>
        <v>94.6656</v>
      </c>
      <c r="D49" s="13" t="s">
        <v>1882</v>
      </c>
      <c r="E49" s="59" t="s">
        <v>18</v>
      </c>
      <c r="F49" s="15">
        <v>8800.0</v>
      </c>
      <c r="G49" s="13">
        <v>8844.48</v>
      </c>
      <c r="H49" s="17">
        <v>2745.0</v>
      </c>
      <c r="I49" s="15">
        <f t="shared" si="1"/>
        <v>44.48</v>
      </c>
      <c r="J49" s="18">
        <f t="shared" si="2"/>
        <v>0.5054545455</v>
      </c>
      <c r="K49" s="17">
        <v>2.99</v>
      </c>
      <c r="L49" s="19">
        <f t="shared" si="3"/>
        <v>31.19318182</v>
      </c>
      <c r="M49" s="20">
        <f t="shared" si="4"/>
        <v>210.7035728</v>
      </c>
      <c r="N49" s="21">
        <f>(F49*K49-H49*2.45)/F49</f>
        <v>2.225767045</v>
      </c>
      <c r="O49" s="21">
        <f t="shared" si="6"/>
        <v>19586.75</v>
      </c>
      <c r="P49" s="22">
        <f t="shared" si="7"/>
        <v>1854191.441</v>
      </c>
      <c r="S49" s="24"/>
      <c r="T49" s="25"/>
      <c r="U49" s="25"/>
      <c r="V49" s="25"/>
      <c r="W49" s="25"/>
      <c r="X49" s="25"/>
      <c r="Y49" s="25"/>
      <c r="Z49" s="25"/>
      <c r="AA49" s="25"/>
    </row>
    <row r="50" hidden="1">
      <c r="A50" s="30"/>
      <c r="B50" s="11">
        <v>45953.0</v>
      </c>
      <c r="C50" s="12">
        <f>VLOOKUP(B:B,'Курс валют'!A:D,4,0)</f>
        <v>94.7543</v>
      </c>
      <c r="D50" s="13" t="s">
        <v>1883</v>
      </c>
      <c r="E50" s="59" t="s">
        <v>61</v>
      </c>
      <c r="F50" s="15">
        <v>11000.0</v>
      </c>
      <c r="G50" s="13">
        <v>11057.2</v>
      </c>
      <c r="H50" s="58">
        <v>0.0</v>
      </c>
      <c r="I50" s="15">
        <f t="shared" si="1"/>
        <v>57.2</v>
      </c>
      <c r="J50" s="18">
        <f t="shared" si="2"/>
        <v>0.52</v>
      </c>
      <c r="K50" s="17">
        <v>2.21</v>
      </c>
      <c r="L50" s="19">
        <f t="shared" si="3"/>
        <v>0</v>
      </c>
      <c r="M50" s="20">
        <f t="shared" si="4"/>
        <v>209.407003</v>
      </c>
      <c r="N50" s="21">
        <f t="shared" ref="N50:N102" si="8">(F50*K50-H50*3.04)/F50</f>
        <v>2.21</v>
      </c>
      <c r="O50" s="21">
        <f t="shared" si="6"/>
        <v>24310</v>
      </c>
      <c r="P50" s="22">
        <f t="shared" si="7"/>
        <v>2303477.033</v>
      </c>
      <c r="R50" s="23"/>
      <c r="S50" s="24"/>
      <c r="T50" s="25"/>
      <c r="U50" s="25"/>
      <c r="V50" s="25"/>
      <c r="W50" s="25"/>
      <c r="X50" s="25"/>
      <c r="Y50" s="25"/>
      <c r="Z50" s="25"/>
      <c r="AA50" s="25"/>
    </row>
    <row r="51" hidden="1">
      <c r="A51" s="30"/>
      <c r="B51" s="11">
        <v>45953.0</v>
      </c>
      <c r="C51" s="12">
        <f>VLOOKUP(B:B,'Курс валют'!A:D,4,0)</f>
        <v>94.7543</v>
      </c>
      <c r="D51" s="13" t="s">
        <v>1884</v>
      </c>
      <c r="E51" s="59" t="s">
        <v>71</v>
      </c>
      <c r="F51" s="15">
        <v>4000.0</v>
      </c>
      <c r="G51" s="13">
        <v>4015.05</v>
      </c>
      <c r="H51" s="58">
        <v>0.0</v>
      </c>
      <c r="I51" s="15">
        <f t="shared" si="1"/>
        <v>15.05</v>
      </c>
      <c r="J51" s="18">
        <f t="shared" si="2"/>
        <v>0.37625</v>
      </c>
      <c r="K51" s="17">
        <v>1.91</v>
      </c>
      <c r="L51" s="19">
        <f t="shared" si="3"/>
        <v>0</v>
      </c>
      <c r="M51" s="20">
        <f t="shared" si="4"/>
        <v>180.980713</v>
      </c>
      <c r="N51" s="21">
        <f t="shared" si="8"/>
        <v>1.91</v>
      </c>
      <c r="O51" s="21">
        <f t="shared" si="6"/>
        <v>7640</v>
      </c>
      <c r="P51" s="22">
        <f t="shared" si="7"/>
        <v>723922.852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 hidden="1">
      <c r="A52" s="30"/>
      <c r="B52" s="11">
        <v>45954.0</v>
      </c>
      <c r="C52" s="12">
        <f>VLOOKUP(B:B,'Курс валют'!A:D,4,0)</f>
        <v>94.3889</v>
      </c>
      <c r="D52" s="13" t="s">
        <v>1885</v>
      </c>
      <c r="E52" s="59" t="s">
        <v>61</v>
      </c>
      <c r="F52" s="15">
        <v>7700.0</v>
      </c>
      <c r="G52" s="13">
        <v>7740.04</v>
      </c>
      <c r="H52" s="58">
        <v>0.0</v>
      </c>
      <c r="I52" s="15">
        <f t="shared" si="1"/>
        <v>40.04</v>
      </c>
      <c r="J52" s="18">
        <f t="shared" si="2"/>
        <v>0.52</v>
      </c>
      <c r="K52" s="17">
        <v>2.21</v>
      </c>
      <c r="L52" s="19">
        <f t="shared" si="3"/>
        <v>0</v>
      </c>
      <c r="M52" s="20">
        <f t="shared" si="4"/>
        <v>208.599469</v>
      </c>
      <c r="N52" s="21">
        <f t="shared" si="8"/>
        <v>2.21</v>
      </c>
      <c r="O52" s="21">
        <f t="shared" si="6"/>
        <v>17017</v>
      </c>
      <c r="P52" s="22">
        <f t="shared" si="7"/>
        <v>1606215.911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 hidden="1">
      <c r="A53" s="30"/>
      <c r="B53" s="11">
        <v>45954.0</v>
      </c>
      <c r="C53" s="12">
        <f>VLOOKUP(B:B,'Курс валют'!A:D,4,0)</f>
        <v>94.3889</v>
      </c>
      <c r="D53" s="13" t="s">
        <v>1886</v>
      </c>
      <c r="E53" s="59" t="s">
        <v>55</v>
      </c>
      <c r="F53" s="15">
        <v>1000.0</v>
      </c>
      <c r="G53" s="13">
        <v>1009.52</v>
      </c>
      <c r="H53" s="58">
        <v>0.0</v>
      </c>
      <c r="I53" s="15">
        <f t="shared" si="1"/>
        <v>9.52</v>
      </c>
      <c r="J53" s="18">
        <f t="shared" si="2"/>
        <v>0.952</v>
      </c>
      <c r="K53" s="17">
        <v>2.58</v>
      </c>
      <c r="L53" s="19">
        <f t="shared" si="3"/>
        <v>0</v>
      </c>
      <c r="M53" s="20">
        <f t="shared" si="4"/>
        <v>243.523362</v>
      </c>
      <c r="N53" s="21">
        <f t="shared" si="8"/>
        <v>2.58</v>
      </c>
      <c r="O53" s="21">
        <f t="shared" si="6"/>
        <v>2580</v>
      </c>
      <c r="P53" s="22">
        <f t="shared" si="7"/>
        <v>243523.362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 hidden="1">
      <c r="A54" s="30"/>
      <c r="B54" s="11">
        <v>45954.0</v>
      </c>
      <c r="C54" s="12">
        <f>VLOOKUP(B:B,'Курс валют'!A:D,4,0)</f>
        <v>94.3889</v>
      </c>
      <c r="D54" s="13" t="s">
        <v>1887</v>
      </c>
      <c r="E54" s="59" t="s">
        <v>92</v>
      </c>
      <c r="F54" s="15">
        <v>1000.0</v>
      </c>
      <c r="G54" s="13">
        <v>1009.52</v>
      </c>
      <c r="H54" s="58">
        <v>0.0</v>
      </c>
      <c r="I54" s="15">
        <f t="shared" si="1"/>
        <v>9.52</v>
      </c>
      <c r="J54" s="18">
        <f t="shared" si="2"/>
        <v>0.952</v>
      </c>
      <c r="K54" s="17">
        <v>2.77</v>
      </c>
      <c r="L54" s="19">
        <f t="shared" si="3"/>
        <v>0</v>
      </c>
      <c r="M54" s="20">
        <f t="shared" si="4"/>
        <v>261.457253</v>
      </c>
      <c r="N54" s="21">
        <f t="shared" si="8"/>
        <v>2.77</v>
      </c>
      <c r="O54" s="21">
        <f t="shared" si="6"/>
        <v>2770</v>
      </c>
      <c r="P54" s="22">
        <f t="shared" si="7"/>
        <v>261457.253</v>
      </c>
      <c r="R54" s="31"/>
      <c r="S54" s="24"/>
      <c r="T54" s="25"/>
      <c r="U54" s="25"/>
      <c r="V54" s="25"/>
      <c r="W54" s="25"/>
      <c r="X54" s="25"/>
      <c r="Y54" s="25"/>
      <c r="Z54" s="25"/>
      <c r="AA54" s="25"/>
    </row>
    <row r="55" hidden="1">
      <c r="A55" s="30"/>
      <c r="B55" s="11">
        <v>45955.0</v>
      </c>
      <c r="C55" s="12">
        <f>VLOOKUP(B:B,'Курс валют'!A:D,4,0)</f>
        <v>94.082</v>
      </c>
      <c r="D55" s="13" t="s">
        <v>1888</v>
      </c>
      <c r="E55" s="59" t="s">
        <v>61</v>
      </c>
      <c r="F55" s="15">
        <v>3300.0</v>
      </c>
      <c r="G55" s="13">
        <v>3317.16</v>
      </c>
      <c r="H55" s="17">
        <v>0.0</v>
      </c>
      <c r="I55" s="15">
        <f t="shared" si="1"/>
        <v>17.16</v>
      </c>
      <c r="J55" s="18">
        <f t="shared" si="2"/>
        <v>0.52</v>
      </c>
      <c r="K55" s="62">
        <v>2.21</v>
      </c>
      <c r="L55" s="19">
        <f t="shared" si="3"/>
        <v>0</v>
      </c>
      <c r="M55" s="20">
        <f t="shared" si="4"/>
        <v>207.92122</v>
      </c>
      <c r="N55" s="21">
        <f t="shared" si="8"/>
        <v>2.21</v>
      </c>
      <c r="O55" s="21">
        <f t="shared" si="6"/>
        <v>7293</v>
      </c>
      <c r="P55" s="22">
        <f t="shared" si="7"/>
        <v>686140.026</v>
      </c>
      <c r="R55" s="31"/>
      <c r="S55" s="24"/>
      <c r="T55" s="25"/>
      <c r="U55" s="25"/>
      <c r="V55" s="25"/>
      <c r="W55" s="25"/>
      <c r="X55" s="25"/>
      <c r="Y55" s="25"/>
      <c r="Z55" s="25"/>
      <c r="AA55" s="25"/>
    </row>
    <row r="56" hidden="1">
      <c r="A56" s="30"/>
      <c r="B56" s="90">
        <v>45955.0</v>
      </c>
      <c r="C56" s="12">
        <f>VLOOKUP(B:B,'Курс валют'!A:D,4,0)</f>
        <v>94.082</v>
      </c>
      <c r="D56" s="13" t="s">
        <v>1889</v>
      </c>
      <c r="E56" s="59" t="s">
        <v>18</v>
      </c>
      <c r="F56" s="15">
        <v>6600.0</v>
      </c>
      <c r="G56" s="13">
        <v>6633.36</v>
      </c>
      <c r="H56" s="17">
        <v>0.0</v>
      </c>
      <c r="I56" s="15">
        <f t="shared" si="1"/>
        <v>33.36</v>
      </c>
      <c r="J56" s="18">
        <f t="shared" si="2"/>
        <v>0.5054545455</v>
      </c>
      <c r="K56" s="62">
        <v>2.12</v>
      </c>
      <c r="L56" s="19">
        <f t="shared" si="3"/>
        <v>0</v>
      </c>
      <c r="M56" s="20">
        <f t="shared" si="4"/>
        <v>199.45384</v>
      </c>
      <c r="N56" s="21">
        <f t="shared" si="8"/>
        <v>2.12</v>
      </c>
      <c r="O56" s="21">
        <f t="shared" si="6"/>
        <v>13992</v>
      </c>
      <c r="P56" s="22">
        <f t="shared" si="7"/>
        <v>1316395.344</v>
      </c>
      <c r="R56" s="31"/>
      <c r="S56" s="24"/>
      <c r="T56" s="25"/>
      <c r="U56" s="25"/>
      <c r="V56" s="25"/>
      <c r="W56" s="25"/>
      <c r="X56" s="25"/>
      <c r="Y56" s="25"/>
      <c r="Z56" s="25"/>
      <c r="AA56" s="25"/>
    </row>
    <row r="57" hidden="1">
      <c r="A57" s="30"/>
      <c r="B57" s="11">
        <v>45955.0</v>
      </c>
      <c r="C57" s="12">
        <f>VLOOKUP(B:B,'Курс валют'!A:D,4,0)</f>
        <v>94.082</v>
      </c>
      <c r="D57" s="13" t="s">
        <v>1890</v>
      </c>
      <c r="E57" s="59" t="s">
        <v>69</v>
      </c>
      <c r="F57" s="15">
        <v>4000.0</v>
      </c>
      <c r="G57" s="13">
        <v>4049.65</v>
      </c>
      <c r="H57" s="17">
        <v>0.0</v>
      </c>
      <c r="I57" s="15">
        <f t="shared" si="1"/>
        <v>49.65</v>
      </c>
      <c r="J57" s="18">
        <f t="shared" si="2"/>
        <v>1.24125</v>
      </c>
      <c r="K57" s="17">
        <v>1.92</v>
      </c>
      <c r="L57" s="19">
        <f t="shared" si="3"/>
        <v>0</v>
      </c>
      <c r="M57" s="20">
        <f t="shared" si="4"/>
        <v>180.63744</v>
      </c>
      <c r="N57" s="21">
        <f t="shared" si="8"/>
        <v>1.92</v>
      </c>
      <c r="O57" s="21">
        <f t="shared" si="6"/>
        <v>7680</v>
      </c>
      <c r="P57" s="22">
        <f t="shared" si="7"/>
        <v>722549.76</v>
      </c>
      <c r="R57" s="23"/>
      <c r="S57" s="25"/>
      <c r="T57" s="25"/>
      <c r="U57" s="25"/>
      <c r="V57" s="25"/>
      <c r="W57" s="25"/>
      <c r="X57" s="25"/>
      <c r="Y57" s="25"/>
      <c r="Z57" s="25"/>
      <c r="AA57" s="25"/>
    </row>
    <row r="58" hidden="1">
      <c r="A58" s="30"/>
      <c r="B58" s="90">
        <v>45956.0</v>
      </c>
      <c r="C58" s="12">
        <f>VLOOKUP(B:B,'Курс валют'!A:D,4,0)</f>
        <v>94.082</v>
      </c>
      <c r="D58" s="13" t="s">
        <v>1891</v>
      </c>
      <c r="E58" s="64" t="s">
        <v>18</v>
      </c>
      <c r="F58" s="15">
        <v>15400.0</v>
      </c>
      <c r="G58" s="13">
        <v>15477.84</v>
      </c>
      <c r="H58" s="17">
        <v>0.0</v>
      </c>
      <c r="I58" s="15">
        <f t="shared" si="1"/>
        <v>77.84</v>
      </c>
      <c r="J58" s="18">
        <f t="shared" si="2"/>
        <v>0.5054545455</v>
      </c>
      <c r="K58" s="17">
        <v>2.19</v>
      </c>
      <c r="L58" s="19">
        <f t="shared" si="3"/>
        <v>0</v>
      </c>
      <c r="M58" s="20">
        <f t="shared" si="4"/>
        <v>206.03958</v>
      </c>
      <c r="N58" s="21">
        <f t="shared" si="8"/>
        <v>2.19</v>
      </c>
      <c r="O58" s="21">
        <f t="shared" si="6"/>
        <v>33726</v>
      </c>
      <c r="P58" s="22">
        <f t="shared" si="7"/>
        <v>3173009.532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 hidden="1">
      <c r="A59" s="30"/>
      <c r="B59" s="90">
        <v>45957.0</v>
      </c>
      <c r="C59" s="12">
        <f>VLOOKUP(B:B,'Курс валют'!A:D,4,0)</f>
        <v>94.082</v>
      </c>
      <c r="D59" s="13" t="s">
        <v>1892</v>
      </c>
      <c r="E59" s="59" t="s">
        <v>18</v>
      </c>
      <c r="F59" s="15">
        <v>15400.0</v>
      </c>
      <c r="G59" s="15">
        <v>15533.84</v>
      </c>
      <c r="H59" s="27">
        <v>6292.0</v>
      </c>
      <c r="I59" s="15">
        <f t="shared" si="1"/>
        <v>133.84</v>
      </c>
      <c r="J59" s="18">
        <f t="shared" si="2"/>
        <v>0.8690909091</v>
      </c>
      <c r="K59" s="17">
        <v>3.48</v>
      </c>
      <c r="L59" s="19">
        <f t="shared" si="3"/>
        <v>40.85714286</v>
      </c>
      <c r="M59" s="20">
        <f t="shared" si="4"/>
        <v>210.5501399</v>
      </c>
      <c r="N59" s="21">
        <f t="shared" si="8"/>
        <v>2.237942857</v>
      </c>
      <c r="O59" s="21">
        <f t="shared" si="6"/>
        <v>34464.32</v>
      </c>
      <c r="P59" s="22">
        <f t="shared" si="7"/>
        <v>3242472.154</v>
      </c>
      <c r="R59" s="31"/>
      <c r="S59" s="25"/>
      <c r="T59" s="25"/>
      <c r="U59" s="25"/>
      <c r="V59" s="25"/>
      <c r="W59" s="25"/>
      <c r="X59" s="25"/>
      <c r="Y59" s="25"/>
      <c r="Z59" s="25"/>
      <c r="AA59" s="25"/>
    </row>
    <row r="60" hidden="1">
      <c r="A60" s="30"/>
      <c r="B60" s="90">
        <v>45958.0</v>
      </c>
      <c r="C60" s="12">
        <f>VLOOKUP(B:B,'Курс валют'!A:D,4,0)</f>
        <v>92.0233</v>
      </c>
      <c r="D60" s="13" t="s">
        <v>1893</v>
      </c>
      <c r="E60" s="59" t="s">
        <v>18</v>
      </c>
      <c r="F60" s="15">
        <v>8800.0</v>
      </c>
      <c r="G60" s="15">
        <v>8844.48</v>
      </c>
      <c r="H60" s="27">
        <v>3872.0</v>
      </c>
      <c r="I60" s="15">
        <f t="shared" si="1"/>
        <v>44.48</v>
      </c>
      <c r="J60" s="18">
        <f t="shared" si="2"/>
        <v>0.5054545455</v>
      </c>
      <c r="K60" s="17">
        <v>3.58</v>
      </c>
      <c r="L60" s="19">
        <f t="shared" si="3"/>
        <v>44</v>
      </c>
      <c r="M60" s="20">
        <f t="shared" si="4"/>
        <v>206.3530479</v>
      </c>
      <c r="N60" s="21">
        <f t="shared" si="8"/>
        <v>2.2424</v>
      </c>
      <c r="O60" s="21">
        <f t="shared" si="6"/>
        <v>19733.12</v>
      </c>
      <c r="P60" s="22">
        <f t="shared" si="7"/>
        <v>1815906.822</v>
      </c>
      <c r="R60" s="31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45958.0</v>
      </c>
      <c r="C61" s="12">
        <f>VLOOKUP(B:B,'Курс валют'!A:D,4,0)</f>
        <v>92.0233</v>
      </c>
      <c r="D61" s="13" t="s">
        <v>1894</v>
      </c>
      <c r="E61" s="64" t="s">
        <v>54</v>
      </c>
      <c r="F61" s="15">
        <v>4800.0</v>
      </c>
      <c r="G61" s="15">
        <v>4830.72</v>
      </c>
      <c r="H61" s="17">
        <v>0.0</v>
      </c>
      <c r="I61" s="15">
        <f t="shared" si="1"/>
        <v>30.72</v>
      </c>
      <c r="J61" s="18">
        <f t="shared" si="2"/>
        <v>0.64</v>
      </c>
      <c r="K61" s="17">
        <v>1.85</v>
      </c>
      <c r="L61" s="19">
        <f t="shared" si="3"/>
        <v>0</v>
      </c>
      <c r="M61" s="20">
        <f t="shared" si="4"/>
        <v>170.243105</v>
      </c>
      <c r="N61" s="21">
        <f t="shared" si="8"/>
        <v>1.85</v>
      </c>
      <c r="O61" s="21">
        <f t="shared" si="6"/>
        <v>8880</v>
      </c>
      <c r="P61" s="22">
        <f t="shared" si="7"/>
        <v>817166.904</v>
      </c>
      <c r="R61" s="23"/>
      <c r="S61" s="24"/>
      <c r="T61" s="25"/>
      <c r="U61" s="25"/>
      <c r="V61" s="25"/>
      <c r="W61" s="25"/>
      <c r="X61" s="25"/>
      <c r="Y61" s="25"/>
      <c r="Z61" s="25"/>
      <c r="AA61" s="25"/>
    </row>
    <row r="62" hidden="1">
      <c r="A62" s="30"/>
      <c r="B62" s="90">
        <v>45959.0</v>
      </c>
      <c r="C62" s="12">
        <f>VLOOKUP(B:B,'Курс валют'!A:D,4,0)</f>
        <v>92.9395</v>
      </c>
      <c r="D62" s="13" t="s">
        <v>1895</v>
      </c>
      <c r="E62" s="64" t="s">
        <v>18</v>
      </c>
      <c r="F62" s="15">
        <v>8800.0</v>
      </c>
      <c r="G62" s="15">
        <v>8844.48</v>
      </c>
      <c r="H62" s="27">
        <v>3872.0</v>
      </c>
      <c r="I62" s="15">
        <f t="shared" si="1"/>
        <v>44.48</v>
      </c>
      <c r="J62" s="18">
        <f t="shared" si="2"/>
        <v>0.5054545455</v>
      </c>
      <c r="K62" s="17">
        <v>3.57</v>
      </c>
      <c r="L62" s="19">
        <f t="shared" si="3"/>
        <v>44</v>
      </c>
      <c r="M62" s="20">
        <f t="shared" si="4"/>
        <v>207.4781398</v>
      </c>
      <c r="N62" s="21">
        <f t="shared" si="8"/>
        <v>2.2324</v>
      </c>
      <c r="O62" s="21">
        <f t="shared" si="6"/>
        <v>19645.12</v>
      </c>
      <c r="P62" s="22">
        <f t="shared" si="7"/>
        <v>1825807.63</v>
      </c>
      <c r="R62" s="23"/>
      <c r="S62" s="24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>
        <v>45959.0</v>
      </c>
      <c r="C63" s="12">
        <f>VLOOKUP(B:B,'Курс валют'!A:D,4,0)</f>
        <v>92.9395</v>
      </c>
      <c r="D63" s="13" t="s">
        <v>1896</v>
      </c>
      <c r="E63" s="64" t="s">
        <v>54</v>
      </c>
      <c r="F63" s="15">
        <v>3200.0</v>
      </c>
      <c r="G63" s="15">
        <v>3244.8</v>
      </c>
      <c r="H63" s="17">
        <v>0.0</v>
      </c>
      <c r="I63" s="15">
        <f t="shared" si="1"/>
        <v>44.8</v>
      </c>
      <c r="J63" s="18">
        <f t="shared" si="2"/>
        <v>1.4</v>
      </c>
      <c r="K63" s="17">
        <v>1.8</v>
      </c>
      <c r="L63" s="19">
        <f t="shared" si="3"/>
        <v>0</v>
      </c>
      <c r="M63" s="20">
        <f t="shared" si="4"/>
        <v>167.2911</v>
      </c>
      <c r="N63" s="21">
        <f t="shared" si="8"/>
        <v>1.8</v>
      </c>
      <c r="O63" s="21">
        <f t="shared" si="6"/>
        <v>5760</v>
      </c>
      <c r="P63" s="22">
        <f t="shared" si="7"/>
        <v>535331.52</v>
      </c>
      <c r="R63" s="23"/>
      <c r="S63" s="24"/>
      <c r="T63" s="25"/>
      <c r="U63" s="25"/>
      <c r="V63" s="25"/>
      <c r="W63" s="25"/>
      <c r="X63" s="25"/>
      <c r="Y63" s="25"/>
      <c r="Z63" s="25"/>
      <c r="AA63" s="25"/>
    </row>
    <row r="64" hidden="1">
      <c r="A64" s="30"/>
      <c r="B64" s="11">
        <v>45959.0</v>
      </c>
      <c r="C64" s="12">
        <f>VLOOKUP(B:B,'Курс валют'!A:D,4,0)</f>
        <v>92.9395</v>
      </c>
      <c r="D64" s="13" t="s">
        <v>1897</v>
      </c>
      <c r="E64" s="64" t="s">
        <v>53</v>
      </c>
      <c r="F64" s="15">
        <v>1600.0</v>
      </c>
      <c r="G64" s="15">
        <v>1617.68</v>
      </c>
      <c r="H64" s="17">
        <v>0.0</v>
      </c>
      <c r="I64" s="15">
        <f t="shared" si="1"/>
        <v>17.68</v>
      </c>
      <c r="J64" s="18">
        <f t="shared" si="2"/>
        <v>1.105</v>
      </c>
      <c r="K64" s="17">
        <v>1.87</v>
      </c>
      <c r="L64" s="19">
        <f t="shared" si="3"/>
        <v>0</v>
      </c>
      <c r="M64" s="20">
        <f t="shared" si="4"/>
        <v>173.796865</v>
      </c>
      <c r="N64" s="21">
        <f t="shared" si="8"/>
        <v>1.87</v>
      </c>
      <c r="O64" s="21">
        <f t="shared" si="6"/>
        <v>2992</v>
      </c>
      <c r="P64" s="22">
        <f t="shared" si="7"/>
        <v>278074.984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 hidden="1">
      <c r="A65" s="30"/>
      <c r="B65" s="90">
        <v>45960.0</v>
      </c>
      <c r="C65" s="12">
        <f>VLOOKUP(B:B,'Курс валют'!A:D,4,0)</f>
        <v>92.2466</v>
      </c>
      <c r="D65" s="13" t="s">
        <v>1898</v>
      </c>
      <c r="E65" s="64" t="s">
        <v>18</v>
      </c>
      <c r="F65" s="15">
        <v>220.0</v>
      </c>
      <c r="G65" s="15">
        <v>222.0</v>
      </c>
      <c r="H65" s="17">
        <v>97.2</v>
      </c>
      <c r="I65" s="15">
        <f t="shared" si="1"/>
        <v>2</v>
      </c>
      <c r="J65" s="18">
        <f t="shared" si="2"/>
        <v>0.9090909091</v>
      </c>
      <c r="K65" s="17">
        <v>3.46</v>
      </c>
      <c r="L65" s="19">
        <f t="shared" si="3"/>
        <v>44.18181818</v>
      </c>
      <c r="M65" s="20">
        <f t="shared" si="4"/>
        <v>195.2743117</v>
      </c>
      <c r="N65" s="21">
        <f t="shared" si="8"/>
        <v>2.116872727</v>
      </c>
      <c r="O65" s="21">
        <f t="shared" si="6"/>
        <v>465.712</v>
      </c>
      <c r="P65" s="22">
        <f t="shared" si="7"/>
        <v>42960.34858</v>
      </c>
      <c r="R65" s="23" t="s">
        <v>1899</v>
      </c>
      <c r="S65" s="25"/>
      <c r="T65" s="25"/>
      <c r="U65" s="25"/>
      <c r="V65" s="25"/>
      <c r="W65" s="25"/>
      <c r="X65" s="25"/>
      <c r="Y65" s="25"/>
      <c r="Z65" s="25"/>
      <c r="AA65" s="25"/>
    </row>
    <row r="66" hidden="1">
      <c r="A66" s="30"/>
      <c r="B66" s="11">
        <v>45960.0</v>
      </c>
      <c r="C66" s="12">
        <f>VLOOKUP(B:B,'Курс валют'!A:D,4,0)</f>
        <v>92.2466</v>
      </c>
      <c r="D66" s="13" t="s">
        <v>1900</v>
      </c>
      <c r="E66" s="64" t="s">
        <v>210</v>
      </c>
      <c r="F66" s="15">
        <v>20.0</v>
      </c>
      <c r="G66" s="15">
        <v>22.0</v>
      </c>
      <c r="H66" s="17">
        <v>0.0</v>
      </c>
      <c r="I66" s="15">
        <f t="shared" si="1"/>
        <v>2</v>
      </c>
      <c r="J66" s="18">
        <f t="shared" si="2"/>
        <v>10</v>
      </c>
      <c r="K66" s="17">
        <v>2.87</v>
      </c>
      <c r="L66" s="19">
        <f t="shared" si="3"/>
        <v>0</v>
      </c>
      <c r="M66" s="20">
        <f t="shared" si="4"/>
        <v>264.747742</v>
      </c>
      <c r="N66" s="21">
        <f t="shared" si="8"/>
        <v>2.87</v>
      </c>
      <c r="O66" s="21">
        <f t="shared" si="6"/>
        <v>57.4</v>
      </c>
      <c r="P66" s="22">
        <f t="shared" si="7"/>
        <v>5294.95484</v>
      </c>
      <c r="R66" s="23" t="s">
        <v>1901</v>
      </c>
      <c r="S66" s="25"/>
      <c r="T66" s="25"/>
      <c r="U66" s="25"/>
      <c r="V66" s="25"/>
      <c r="W66" s="25"/>
      <c r="X66" s="25"/>
      <c r="Y66" s="25"/>
      <c r="Z66" s="25"/>
      <c r="AA66" s="25"/>
    </row>
    <row r="67" hidden="1">
      <c r="A67" s="30"/>
      <c r="B67" s="11">
        <v>45960.0</v>
      </c>
      <c r="C67" s="12">
        <f>VLOOKUP(B:B,'Курс валют'!A:D,4,0)</f>
        <v>92.2466</v>
      </c>
      <c r="D67" s="13" t="s">
        <v>1902</v>
      </c>
      <c r="E67" s="64" t="s">
        <v>53</v>
      </c>
      <c r="F67" s="15">
        <v>200.0</v>
      </c>
      <c r="G67" s="15">
        <v>202.0</v>
      </c>
      <c r="H67" s="17">
        <v>0.0</v>
      </c>
      <c r="I67" s="15">
        <f t="shared" si="1"/>
        <v>2</v>
      </c>
      <c r="J67" s="18">
        <f t="shared" si="2"/>
        <v>1</v>
      </c>
      <c r="K67" s="17">
        <v>1.88</v>
      </c>
      <c r="L67" s="19">
        <f t="shared" si="3"/>
        <v>0</v>
      </c>
      <c r="M67" s="20">
        <f t="shared" si="4"/>
        <v>173.423608</v>
      </c>
      <c r="N67" s="21">
        <f t="shared" si="8"/>
        <v>1.88</v>
      </c>
      <c r="O67" s="21">
        <f t="shared" si="6"/>
        <v>376</v>
      </c>
      <c r="P67" s="22">
        <f t="shared" si="7"/>
        <v>34684.7216</v>
      </c>
      <c r="R67" s="23" t="s">
        <v>1901</v>
      </c>
      <c r="S67" s="25"/>
      <c r="T67" s="25"/>
      <c r="U67" s="25"/>
      <c r="V67" s="25"/>
      <c r="W67" s="25"/>
      <c r="X67" s="25"/>
      <c r="Y67" s="25"/>
      <c r="Z67" s="25"/>
      <c r="AA67" s="25"/>
    </row>
    <row r="68" hidden="1">
      <c r="A68" s="30"/>
      <c r="B68" s="11">
        <v>45960.0</v>
      </c>
      <c r="C68" s="12">
        <f>VLOOKUP(B:B,'Курс валют'!A:D,4,0)</f>
        <v>92.2466</v>
      </c>
      <c r="D68" s="13" t="s">
        <v>1903</v>
      </c>
      <c r="E68" s="64" t="s">
        <v>53</v>
      </c>
      <c r="F68" s="15">
        <v>3200.0</v>
      </c>
      <c r="G68" s="15">
        <v>3208.16</v>
      </c>
      <c r="H68" s="17">
        <v>0.0</v>
      </c>
      <c r="I68" s="15">
        <f t="shared" si="1"/>
        <v>8.16</v>
      </c>
      <c r="J68" s="18">
        <f t="shared" si="2"/>
        <v>0.255</v>
      </c>
      <c r="K68" s="17">
        <v>1.88</v>
      </c>
      <c r="L68" s="19">
        <f t="shared" si="3"/>
        <v>0</v>
      </c>
      <c r="M68" s="20">
        <f t="shared" si="4"/>
        <v>173.423608</v>
      </c>
      <c r="N68" s="21">
        <f t="shared" si="8"/>
        <v>1.88</v>
      </c>
      <c r="O68" s="21">
        <f t="shared" si="6"/>
        <v>6016</v>
      </c>
      <c r="P68" s="22">
        <f t="shared" si="7"/>
        <v>554955.5456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 hidden="1">
      <c r="A69" s="30"/>
      <c r="B69" s="11">
        <v>45960.0</v>
      </c>
      <c r="C69" s="12">
        <f>VLOOKUP(B:B,'Курс валют'!A:D,4,0)</f>
        <v>92.2466</v>
      </c>
      <c r="D69" s="13" t="s">
        <v>1904</v>
      </c>
      <c r="E69" s="64" t="s">
        <v>69</v>
      </c>
      <c r="F69" s="15">
        <v>4000.0</v>
      </c>
      <c r="G69" s="15">
        <v>4013.65</v>
      </c>
      <c r="H69" s="17">
        <v>0.0</v>
      </c>
      <c r="I69" s="15">
        <f t="shared" si="1"/>
        <v>13.65</v>
      </c>
      <c r="J69" s="18">
        <f t="shared" si="2"/>
        <v>0.34125</v>
      </c>
      <c r="K69" s="17">
        <v>1.91</v>
      </c>
      <c r="L69" s="19">
        <f t="shared" si="3"/>
        <v>0</v>
      </c>
      <c r="M69" s="20">
        <f t="shared" si="4"/>
        <v>176.191006</v>
      </c>
      <c r="N69" s="21">
        <f t="shared" si="8"/>
        <v>1.91</v>
      </c>
      <c r="O69" s="21">
        <f t="shared" si="6"/>
        <v>7640</v>
      </c>
      <c r="P69" s="22">
        <f t="shared" si="7"/>
        <v>704764.024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 hidden="1">
      <c r="A70" s="30"/>
      <c r="B70" s="11">
        <v>45961.0</v>
      </c>
      <c r="C70" s="12">
        <f>VLOOKUP(B:B,'Курс валют'!A:D,4,0)</f>
        <v>93.3894</v>
      </c>
      <c r="D70" s="13" t="s">
        <v>1905</v>
      </c>
      <c r="E70" s="77" t="s">
        <v>53</v>
      </c>
      <c r="F70" s="15">
        <v>8000.0</v>
      </c>
      <c r="G70" s="15">
        <v>8020.5</v>
      </c>
      <c r="H70" s="17">
        <v>0.0</v>
      </c>
      <c r="I70" s="15">
        <f t="shared" si="1"/>
        <v>20.5</v>
      </c>
      <c r="J70" s="18">
        <f t="shared" si="2"/>
        <v>0.25625</v>
      </c>
      <c r="K70" s="17">
        <v>1.87</v>
      </c>
      <c r="L70" s="19">
        <f t="shared" si="3"/>
        <v>0</v>
      </c>
      <c r="M70" s="20">
        <f t="shared" si="4"/>
        <v>174.638178</v>
      </c>
      <c r="N70" s="21">
        <f t="shared" si="8"/>
        <v>1.87</v>
      </c>
      <c r="O70" s="21">
        <f t="shared" si="6"/>
        <v>14960</v>
      </c>
      <c r="P70" s="22">
        <f t="shared" si="7"/>
        <v>1397105.424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 hidden="1">
      <c r="A71" s="63"/>
      <c r="B71" s="11">
        <v>45961.0</v>
      </c>
      <c r="C71" s="12">
        <f>VLOOKUP(B:B,'Курс валют'!A:D,4,0)</f>
        <v>93.3894</v>
      </c>
      <c r="D71" s="13" t="s">
        <v>1906</v>
      </c>
      <c r="E71" s="64" t="s">
        <v>122</v>
      </c>
      <c r="F71" s="15">
        <v>115.9</v>
      </c>
      <c r="G71" s="15">
        <v>120.0</v>
      </c>
      <c r="H71" s="17">
        <v>0.0</v>
      </c>
      <c r="I71" s="15">
        <f t="shared" si="1"/>
        <v>4.1</v>
      </c>
      <c r="J71" s="18">
        <f t="shared" si="2"/>
        <v>3.537532355</v>
      </c>
      <c r="K71" s="17">
        <v>1.98</v>
      </c>
      <c r="L71" s="19">
        <f t="shared" si="3"/>
        <v>0</v>
      </c>
      <c r="M71" s="20">
        <f t="shared" si="4"/>
        <v>184.911012</v>
      </c>
      <c r="N71" s="21">
        <f t="shared" si="8"/>
        <v>1.98</v>
      </c>
      <c r="O71" s="21">
        <f t="shared" si="6"/>
        <v>229.482</v>
      </c>
      <c r="P71" s="22">
        <f t="shared" si="7"/>
        <v>21431.18629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 hidden="1">
      <c r="A72" s="30"/>
      <c r="B72" s="11">
        <v>45961.0</v>
      </c>
      <c r="C72" s="12">
        <f>VLOOKUP(B:B,'Курс валют'!A:D,4,0)</f>
        <v>93.3894</v>
      </c>
      <c r="D72" s="13" t="s">
        <v>1907</v>
      </c>
      <c r="E72" s="64" t="s">
        <v>122</v>
      </c>
      <c r="F72" s="15">
        <v>115.9</v>
      </c>
      <c r="G72" s="15">
        <v>120.0</v>
      </c>
      <c r="H72" s="17">
        <v>0.0</v>
      </c>
      <c r="I72" s="15">
        <f t="shared" si="1"/>
        <v>4.1</v>
      </c>
      <c r="J72" s="18">
        <f t="shared" si="2"/>
        <v>3.537532355</v>
      </c>
      <c r="K72" s="17">
        <v>1.98</v>
      </c>
      <c r="L72" s="19">
        <f t="shared" si="3"/>
        <v>0</v>
      </c>
      <c r="M72" s="20">
        <f t="shared" si="4"/>
        <v>184.911012</v>
      </c>
      <c r="N72" s="21">
        <f t="shared" si="8"/>
        <v>1.98</v>
      </c>
      <c r="O72" s="21">
        <f t="shared" si="6"/>
        <v>229.482</v>
      </c>
      <c r="P72" s="22">
        <f t="shared" si="7"/>
        <v>21431.18629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 hidden="1">
      <c r="A73" s="63"/>
      <c r="B73" s="11"/>
      <c r="C73" s="12" t="str">
        <f>VLOOKUP(B:B,'Курс валют'!A:D,4,0)</f>
        <v>#N/A</v>
      </c>
      <c r="D73" s="13"/>
      <c r="E73" s="64"/>
      <c r="F73" s="15"/>
      <c r="G73" s="15"/>
      <c r="H73" s="17"/>
      <c r="I73" s="15">
        <f t="shared" si="1"/>
        <v>0</v>
      </c>
      <c r="J73" s="18" t="str">
        <f t="shared" si="2"/>
        <v>#DIV/0!</v>
      </c>
      <c r="K73" s="17"/>
      <c r="L73" s="19" t="str">
        <f t="shared" si="3"/>
        <v>#DIV/0!</v>
      </c>
      <c r="M73" s="20" t="str">
        <f t="shared" si="4"/>
        <v>#DIV/0!</v>
      </c>
      <c r="N73" s="21" t="str">
        <f t="shared" si="8"/>
        <v>#DIV/0!</v>
      </c>
      <c r="O73" s="21" t="str">
        <f t="shared" si="6"/>
        <v>#DIV/0!</v>
      </c>
      <c r="P73" s="22" t="str">
        <f t="shared" si="7"/>
        <v>#DIV/0!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 hidden="1">
      <c r="A74" s="63"/>
      <c r="B74" s="11"/>
      <c r="C74" s="12" t="str">
        <f>VLOOKUP(B:B,'Курс валют'!A:D,4,0)</f>
        <v>#N/A</v>
      </c>
      <c r="D74" s="13"/>
      <c r="E74" s="64"/>
      <c r="F74" s="15"/>
      <c r="G74" s="15"/>
      <c r="H74" s="17"/>
      <c r="I74" s="15">
        <f t="shared" si="1"/>
        <v>0</v>
      </c>
      <c r="J74" s="18" t="str">
        <f t="shared" si="2"/>
        <v>#DIV/0!</v>
      </c>
      <c r="K74" s="17"/>
      <c r="L74" s="19" t="str">
        <f t="shared" si="3"/>
        <v>#DIV/0!</v>
      </c>
      <c r="M74" s="20" t="str">
        <f t="shared" si="4"/>
        <v>#DIV/0!</v>
      </c>
      <c r="N74" s="21" t="str">
        <f t="shared" si="8"/>
        <v>#DIV/0!</v>
      </c>
      <c r="O74" s="21" t="str">
        <f t="shared" si="6"/>
        <v>#DIV/0!</v>
      </c>
      <c r="P74" s="22" t="str">
        <f t="shared" si="7"/>
        <v>#DIV/0!</v>
      </c>
      <c r="R74" s="79"/>
      <c r="S74" s="25"/>
      <c r="T74" s="25"/>
      <c r="U74" s="25"/>
      <c r="V74" s="25"/>
      <c r="W74" s="25"/>
      <c r="X74" s="25"/>
      <c r="Y74" s="25"/>
      <c r="Z74" s="25"/>
      <c r="AA74" s="25"/>
    </row>
    <row r="75" hidden="1">
      <c r="A75" s="63"/>
      <c r="B75" s="11"/>
      <c r="C75" s="12" t="str">
        <f>VLOOKUP(B:B,'Курс валют'!A:D,4,0)</f>
        <v>#N/A</v>
      </c>
      <c r="D75" s="13"/>
      <c r="E75" s="64"/>
      <c r="F75" s="15"/>
      <c r="G75" s="15"/>
      <c r="H75" s="17"/>
      <c r="I75" s="15">
        <f t="shared" si="1"/>
        <v>0</v>
      </c>
      <c r="J75" s="18" t="str">
        <f t="shared" si="2"/>
        <v>#DIV/0!</v>
      </c>
      <c r="K75" s="17"/>
      <c r="L75" s="19" t="str">
        <f t="shared" si="3"/>
        <v>#DIV/0!</v>
      </c>
      <c r="M75" s="20" t="str">
        <f t="shared" si="4"/>
        <v>#DIV/0!</v>
      </c>
      <c r="N75" s="21" t="str">
        <f t="shared" si="8"/>
        <v>#DIV/0!</v>
      </c>
      <c r="O75" s="21" t="str">
        <f t="shared" si="6"/>
        <v>#DIV/0!</v>
      </c>
      <c r="P75" s="22" t="str">
        <f t="shared" si="7"/>
        <v>#DIV/0!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 hidden="1">
      <c r="A76" s="63"/>
      <c r="B76" s="11"/>
      <c r="C76" s="12" t="str">
        <f>VLOOKUP(B:B,'Курс валют'!A:D,4,0)</f>
        <v>#N/A</v>
      </c>
      <c r="D76" s="13"/>
      <c r="E76" s="64"/>
      <c r="F76" s="15"/>
      <c r="G76" s="15"/>
      <c r="H76" s="17"/>
      <c r="I76" s="15">
        <f t="shared" si="1"/>
        <v>0</v>
      </c>
      <c r="J76" s="18" t="str">
        <f t="shared" si="2"/>
        <v>#DIV/0!</v>
      </c>
      <c r="K76" s="17"/>
      <c r="L76" s="19" t="str">
        <f t="shared" si="3"/>
        <v>#DIV/0!</v>
      </c>
      <c r="M76" s="20" t="str">
        <f t="shared" si="4"/>
        <v>#DIV/0!</v>
      </c>
      <c r="N76" s="21" t="str">
        <f t="shared" si="8"/>
        <v>#DIV/0!</v>
      </c>
      <c r="O76" s="21" t="str">
        <f t="shared" si="6"/>
        <v>#DIV/0!</v>
      </c>
      <c r="P76" s="22" t="str">
        <f t="shared" si="7"/>
        <v>#DIV/0!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 hidden="1">
      <c r="A77" s="63"/>
      <c r="B77" s="11"/>
      <c r="C77" s="12" t="str">
        <f>VLOOKUP(B:B,'Курс валют'!A:D,4,0)</f>
        <v>#N/A</v>
      </c>
      <c r="D77" s="13"/>
      <c r="E77" s="64"/>
      <c r="F77" s="15"/>
      <c r="G77" s="15"/>
      <c r="H77" s="17"/>
      <c r="I77" s="15">
        <f t="shared" si="1"/>
        <v>0</v>
      </c>
      <c r="J77" s="18" t="str">
        <f t="shared" si="2"/>
        <v>#DIV/0!</v>
      </c>
      <c r="K77" s="17"/>
      <c r="L77" s="19" t="str">
        <f t="shared" si="3"/>
        <v>#DIV/0!</v>
      </c>
      <c r="M77" s="20" t="str">
        <f t="shared" si="4"/>
        <v>#DIV/0!</v>
      </c>
      <c r="N77" s="21" t="str">
        <f t="shared" si="8"/>
        <v>#DIV/0!</v>
      </c>
      <c r="O77" s="21" t="str">
        <f t="shared" si="6"/>
        <v>#DIV/0!</v>
      </c>
      <c r="P77" s="22" t="str">
        <f t="shared" si="7"/>
        <v>#DIV/0!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 hidden="1">
      <c r="A78" s="63"/>
      <c r="B78" s="11"/>
      <c r="C78" s="12" t="str">
        <f>VLOOKUP(B:B,'Курс валют'!A:D,4,0)</f>
        <v>#N/A</v>
      </c>
      <c r="D78" s="13"/>
      <c r="E78" s="64"/>
      <c r="F78" s="15"/>
      <c r="G78" s="15"/>
      <c r="H78" s="17"/>
      <c r="I78" s="15">
        <f t="shared" si="1"/>
        <v>0</v>
      </c>
      <c r="J78" s="18" t="str">
        <f t="shared" si="2"/>
        <v>#DIV/0!</v>
      </c>
      <c r="K78" s="17"/>
      <c r="L78" s="19" t="str">
        <f t="shared" si="3"/>
        <v>#DIV/0!</v>
      </c>
      <c r="M78" s="20" t="str">
        <f t="shared" si="4"/>
        <v>#DIV/0!</v>
      </c>
      <c r="N78" s="21" t="str">
        <f t="shared" si="8"/>
        <v>#DIV/0!</v>
      </c>
      <c r="O78" s="21" t="str">
        <f t="shared" si="6"/>
        <v>#DIV/0!</v>
      </c>
      <c r="P78" s="22" t="str">
        <f t="shared" si="7"/>
        <v>#DIV/0!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 hidden="1">
      <c r="A79" s="63"/>
      <c r="B79" s="11"/>
      <c r="C79" s="12" t="str">
        <f>VLOOKUP(B:B,'Курс валют'!A:D,4,0)</f>
        <v>#N/A</v>
      </c>
      <c r="D79" s="13"/>
      <c r="E79" s="64"/>
      <c r="F79" s="15"/>
      <c r="G79" s="15"/>
      <c r="H79" s="17"/>
      <c r="I79" s="15">
        <f t="shared" si="1"/>
        <v>0</v>
      </c>
      <c r="J79" s="18" t="str">
        <f t="shared" si="2"/>
        <v>#DIV/0!</v>
      </c>
      <c r="K79" s="17"/>
      <c r="L79" s="19" t="str">
        <f t="shared" si="3"/>
        <v>#DIV/0!</v>
      </c>
      <c r="M79" s="20" t="str">
        <f t="shared" si="4"/>
        <v>#DIV/0!</v>
      </c>
      <c r="N79" s="21" t="str">
        <f t="shared" si="8"/>
        <v>#DIV/0!</v>
      </c>
      <c r="O79" s="21" t="str">
        <f t="shared" si="6"/>
        <v>#DIV/0!</v>
      </c>
      <c r="P79" s="22" t="str">
        <f t="shared" si="7"/>
        <v>#DIV/0!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 hidden="1">
      <c r="A80" s="63"/>
      <c r="B80" s="11"/>
      <c r="C80" s="12" t="str">
        <f>VLOOKUP(B:B,'Курс валют'!A:D,4,0)</f>
        <v>#N/A</v>
      </c>
      <c r="D80" s="13"/>
      <c r="E80" s="64"/>
      <c r="F80" s="15"/>
      <c r="G80" s="15"/>
      <c r="H80" s="17"/>
      <c r="I80" s="15">
        <f t="shared" si="1"/>
        <v>0</v>
      </c>
      <c r="J80" s="18" t="str">
        <f t="shared" si="2"/>
        <v>#DIV/0!</v>
      </c>
      <c r="K80" s="17"/>
      <c r="L80" s="19" t="str">
        <f t="shared" si="3"/>
        <v>#DIV/0!</v>
      </c>
      <c r="M80" s="20" t="str">
        <f t="shared" si="4"/>
        <v>#DIV/0!</v>
      </c>
      <c r="N80" s="21" t="str">
        <f t="shared" si="8"/>
        <v>#DIV/0!</v>
      </c>
      <c r="O80" s="21" t="str">
        <f t="shared" si="6"/>
        <v>#DIV/0!</v>
      </c>
      <c r="P80" s="22" t="str">
        <f t="shared" si="7"/>
        <v>#DIV/0!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 hidden="1">
      <c r="A81" s="63"/>
      <c r="B81" s="11"/>
      <c r="C81" s="12" t="str">
        <f>VLOOKUP(B:B,'Курс валют'!A:D,4,0)</f>
        <v>#N/A</v>
      </c>
      <c r="D81" s="13"/>
      <c r="E81" s="59"/>
      <c r="F81" s="15"/>
      <c r="G81" s="15"/>
      <c r="H81" s="17"/>
      <c r="I81" s="15">
        <f t="shared" si="1"/>
        <v>0</v>
      </c>
      <c r="J81" s="18" t="str">
        <f t="shared" si="2"/>
        <v>#DIV/0!</v>
      </c>
      <c r="K81" s="17"/>
      <c r="L81" s="19" t="str">
        <f t="shared" si="3"/>
        <v>#DIV/0!</v>
      </c>
      <c r="M81" s="20" t="str">
        <f t="shared" si="4"/>
        <v>#DIV/0!</v>
      </c>
      <c r="N81" s="21" t="str">
        <f t="shared" si="8"/>
        <v>#DIV/0!</v>
      </c>
      <c r="O81" s="21" t="str">
        <f t="shared" si="6"/>
        <v>#DIV/0!</v>
      </c>
      <c r="P81" s="22" t="str">
        <f t="shared" si="7"/>
        <v>#DIV/0!</v>
      </c>
      <c r="R81" s="79"/>
      <c r="S81" s="25"/>
      <c r="T81" s="25"/>
      <c r="U81" s="25"/>
      <c r="V81" s="25"/>
      <c r="W81" s="25"/>
      <c r="X81" s="25"/>
      <c r="Y81" s="25"/>
      <c r="Z81" s="25"/>
      <c r="AA81" s="25"/>
    </row>
    <row r="82" hidden="1">
      <c r="A82" s="63"/>
      <c r="B82" s="11"/>
      <c r="C82" s="12" t="str">
        <f>VLOOKUP(B:B,'Курс валют'!A:D,4,0)</f>
        <v>#N/A</v>
      </c>
      <c r="D82" s="13"/>
      <c r="E82" s="59"/>
      <c r="F82" s="15"/>
      <c r="G82" s="15"/>
      <c r="H82" s="17"/>
      <c r="I82" s="15">
        <f t="shared" si="1"/>
        <v>0</v>
      </c>
      <c r="J82" s="18" t="str">
        <f t="shared" si="2"/>
        <v>#DIV/0!</v>
      </c>
      <c r="K82" s="17"/>
      <c r="L82" s="19" t="str">
        <f t="shared" si="3"/>
        <v>#DIV/0!</v>
      </c>
      <c r="M82" s="20" t="str">
        <f t="shared" si="4"/>
        <v>#DIV/0!</v>
      </c>
      <c r="N82" s="21" t="str">
        <f t="shared" si="8"/>
        <v>#DIV/0!</v>
      </c>
      <c r="O82" s="21" t="str">
        <f t="shared" si="6"/>
        <v>#DIV/0!</v>
      </c>
      <c r="P82" s="22" t="str">
        <f t="shared" si="7"/>
        <v>#DIV/0!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 hidden="1">
      <c r="A83" s="63"/>
      <c r="B83" s="11"/>
      <c r="C83" s="12" t="str">
        <f>VLOOKUP(B:B,'Курс валют'!A:D,4,0)</f>
        <v>#N/A</v>
      </c>
      <c r="D83" s="13"/>
      <c r="E83" s="59"/>
      <c r="F83" s="15"/>
      <c r="G83" s="15"/>
      <c r="H83" s="17"/>
      <c r="I83" s="15">
        <f t="shared" si="1"/>
        <v>0</v>
      </c>
      <c r="J83" s="18" t="str">
        <f t="shared" si="2"/>
        <v>#DIV/0!</v>
      </c>
      <c r="K83" s="17"/>
      <c r="L83" s="19" t="str">
        <f t="shared" si="3"/>
        <v>#DIV/0!</v>
      </c>
      <c r="M83" s="20" t="str">
        <f t="shared" si="4"/>
        <v>#DIV/0!</v>
      </c>
      <c r="N83" s="21" t="str">
        <f t="shared" si="8"/>
        <v>#DIV/0!</v>
      </c>
      <c r="O83" s="21" t="str">
        <f t="shared" si="6"/>
        <v>#DIV/0!</v>
      </c>
      <c r="P83" s="22" t="str">
        <f t="shared" si="7"/>
        <v>#DIV/0!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idden="1">
      <c r="A84" s="63"/>
      <c r="B84" s="11"/>
      <c r="C84" s="12" t="str">
        <f>VLOOKUP(B:B,'Курс валют'!A:D,4,0)</f>
        <v>#N/A</v>
      </c>
      <c r="D84" s="13"/>
      <c r="E84" s="59"/>
      <c r="F84" s="15"/>
      <c r="G84" s="15"/>
      <c r="H84" s="17"/>
      <c r="I84" s="15">
        <f t="shared" si="1"/>
        <v>0</v>
      </c>
      <c r="J84" s="18" t="str">
        <f t="shared" si="2"/>
        <v>#DIV/0!</v>
      </c>
      <c r="K84" s="17"/>
      <c r="L84" s="19" t="str">
        <f t="shared" si="3"/>
        <v>#DIV/0!</v>
      </c>
      <c r="M84" s="20" t="str">
        <f t="shared" si="4"/>
        <v>#DIV/0!</v>
      </c>
      <c r="N84" s="21" t="str">
        <f t="shared" si="8"/>
        <v>#DIV/0!</v>
      </c>
      <c r="O84" s="21" t="str">
        <f t="shared" si="6"/>
        <v>#DIV/0!</v>
      </c>
      <c r="P84" s="22" t="str">
        <f t="shared" si="7"/>
        <v>#DIV/0!</v>
      </c>
      <c r="R84" s="23"/>
      <c r="S84" s="25"/>
      <c r="T84" s="25"/>
      <c r="U84" s="25"/>
      <c r="V84" s="25"/>
      <c r="W84" s="25"/>
      <c r="X84" s="25"/>
      <c r="Y84" s="25"/>
      <c r="Z84" s="25"/>
      <c r="AA84" s="25"/>
    </row>
    <row r="85" hidden="1">
      <c r="A85" s="63"/>
      <c r="B85" s="11"/>
      <c r="C85" s="12" t="str">
        <f>VLOOKUP(B:B,'Курс валют'!A:D,4,0)</f>
        <v>#N/A</v>
      </c>
      <c r="D85" s="13"/>
      <c r="E85" s="59"/>
      <c r="F85" s="15"/>
      <c r="G85" s="15"/>
      <c r="H85" s="17"/>
      <c r="I85" s="15">
        <f t="shared" si="1"/>
        <v>0</v>
      </c>
      <c r="J85" s="18" t="str">
        <f t="shared" si="2"/>
        <v>#DIV/0!</v>
      </c>
      <c r="K85" s="17"/>
      <c r="L85" s="19" t="str">
        <f t="shared" si="3"/>
        <v>#DIV/0!</v>
      </c>
      <c r="M85" s="20" t="str">
        <f t="shared" si="4"/>
        <v>#DIV/0!</v>
      </c>
      <c r="N85" s="21" t="str">
        <f t="shared" si="8"/>
        <v>#DIV/0!</v>
      </c>
      <c r="O85" s="21" t="str">
        <f t="shared" si="6"/>
        <v>#DIV/0!</v>
      </c>
      <c r="P85" s="22" t="str">
        <f t="shared" si="7"/>
        <v>#DIV/0!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idden="1">
      <c r="A86" s="63"/>
      <c r="B86" s="11"/>
      <c r="C86" s="12" t="str">
        <f>VLOOKUP(B:B,'Курс валют'!A:D,4,0)</f>
        <v>#N/A</v>
      </c>
      <c r="D86" s="13"/>
      <c r="E86" s="59"/>
      <c r="F86" s="15"/>
      <c r="G86" s="15"/>
      <c r="H86" s="17"/>
      <c r="I86" s="15">
        <f t="shared" si="1"/>
        <v>0</v>
      </c>
      <c r="J86" s="18" t="str">
        <f t="shared" si="2"/>
        <v>#DIV/0!</v>
      </c>
      <c r="K86" s="17"/>
      <c r="L86" s="19" t="str">
        <f t="shared" si="3"/>
        <v>#DIV/0!</v>
      </c>
      <c r="M86" s="20" t="str">
        <f t="shared" si="4"/>
        <v>#DIV/0!</v>
      </c>
      <c r="N86" s="21" t="str">
        <f t="shared" si="8"/>
        <v>#DIV/0!</v>
      </c>
      <c r="O86" s="21" t="str">
        <f t="shared" si="6"/>
        <v>#DIV/0!</v>
      </c>
      <c r="P86" s="22" t="str">
        <f t="shared" si="7"/>
        <v>#DIV/0!</v>
      </c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idden="1">
      <c r="A87" s="63"/>
      <c r="B87" s="11"/>
      <c r="C87" s="12" t="str">
        <f>VLOOKUP(B:B,'Курс валют'!A:D,4,0)</f>
        <v>#N/A</v>
      </c>
      <c r="D87" s="13"/>
      <c r="E87" s="59"/>
      <c r="F87" s="15"/>
      <c r="G87" s="15"/>
      <c r="H87" s="17"/>
      <c r="I87" s="15">
        <f t="shared" si="1"/>
        <v>0</v>
      </c>
      <c r="J87" s="18" t="str">
        <f t="shared" si="2"/>
        <v>#DIV/0!</v>
      </c>
      <c r="K87" s="17"/>
      <c r="L87" s="19" t="str">
        <f t="shared" si="3"/>
        <v>#DIV/0!</v>
      </c>
      <c r="M87" s="20" t="str">
        <f t="shared" si="4"/>
        <v>#DIV/0!</v>
      </c>
      <c r="N87" s="21" t="str">
        <f t="shared" si="8"/>
        <v>#DIV/0!</v>
      </c>
      <c r="O87" s="21" t="str">
        <f t="shared" si="6"/>
        <v>#DIV/0!</v>
      </c>
      <c r="P87" s="22" t="str">
        <f t="shared" si="7"/>
        <v>#DIV/0!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idden="1">
      <c r="A88" s="63"/>
      <c r="B88" s="11"/>
      <c r="C88" s="12" t="str">
        <f>VLOOKUP(B:B,'Курс валют'!A:D,4,0)</f>
        <v>#N/A</v>
      </c>
      <c r="D88" s="13"/>
      <c r="E88" s="59"/>
      <c r="F88" s="15"/>
      <c r="G88" s="15"/>
      <c r="H88" s="17"/>
      <c r="I88" s="15">
        <f t="shared" si="1"/>
        <v>0</v>
      </c>
      <c r="J88" s="18" t="str">
        <f t="shared" si="2"/>
        <v>#DIV/0!</v>
      </c>
      <c r="K88" s="17"/>
      <c r="L88" s="19" t="str">
        <f t="shared" si="3"/>
        <v>#DIV/0!</v>
      </c>
      <c r="M88" s="20" t="str">
        <f t="shared" si="4"/>
        <v>#DIV/0!</v>
      </c>
      <c r="N88" s="21" t="str">
        <f t="shared" si="8"/>
        <v>#DIV/0!</v>
      </c>
      <c r="O88" s="21" t="str">
        <f t="shared" si="6"/>
        <v>#DIV/0!</v>
      </c>
      <c r="P88" s="22" t="str">
        <f t="shared" si="7"/>
        <v>#DIV/0!</v>
      </c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idden="1">
      <c r="A89" s="63"/>
      <c r="B89" s="11"/>
      <c r="C89" s="12" t="str">
        <f>VLOOKUP(B:B,'Курс валют'!A:D,4,0)</f>
        <v>#N/A</v>
      </c>
      <c r="D89" s="13"/>
      <c r="E89" s="59"/>
      <c r="F89" s="15"/>
      <c r="G89" s="15"/>
      <c r="H89" s="17"/>
      <c r="I89" s="15">
        <f t="shared" si="1"/>
        <v>0</v>
      </c>
      <c r="J89" s="18" t="str">
        <f t="shared" si="2"/>
        <v>#DIV/0!</v>
      </c>
      <c r="K89" s="17"/>
      <c r="L89" s="19" t="str">
        <f t="shared" si="3"/>
        <v>#DIV/0!</v>
      </c>
      <c r="M89" s="20" t="str">
        <f t="shared" si="4"/>
        <v>#DIV/0!</v>
      </c>
      <c r="N89" s="21" t="str">
        <f t="shared" si="8"/>
        <v>#DIV/0!</v>
      </c>
      <c r="O89" s="21" t="str">
        <f t="shared" si="6"/>
        <v>#DIV/0!</v>
      </c>
      <c r="P89" s="22" t="str">
        <f t="shared" si="7"/>
        <v>#DIV/0!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 hidden="1">
      <c r="A90" s="63"/>
      <c r="B90" s="11"/>
      <c r="C90" s="12" t="str">
        <f>VLOOKUP(B:B,'Курс валют'!A:D,4,0)</f>
        <v>#N/A</v>
      </c>
      <c r="D90" s="13"/>
      <c r="E90" s="59"/>
      <c r="F90" s="15"/>
      <c r="G90" s="15"/>
      <c r="H90" s="17"/>
      <c r="I90" s="15">
        <f t="shared" si="1"/>
        <v>0</v>
      </c>
      <c r="J90" s="18" t="str">
        <f t="shared" si="2"/>
        <v>#DIV/0!</v>
      </c>
      <c r="K90" s="17"/>
      <c r="L90" s="19" t="str">
        <f t="shared" si="3"/>
        <v>#DIV/0!</v>
      </c>
      <c r="M90" s="20" t="str">
        <f t="shared" si="4"/>
        <v>#DIV/0!</v>
      </c>
      <c r="N90" s="21" t="str">
        <f t="shared" si="8"/>
        <v>#DIV/0!</v>
      </c>
      <c r="O90" s="21" t="str">
        <f t="shared" si="6"/>
        <v>#DIV/0!</v>
      </c>
      <c r="P90" s="22" t="str">
        <f t="shared" si="7"/>
        <v>#DIV/0!</v>
      </c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idden="1">
      <c r="A91" s="63"/>
      <c r="B91" s="11"/>
      <c r="C91" s="12" t="str">
        <f>VLOOKUP(B:B,'Курс валют'!A:D,4,0)</f>
        <v>#N/A</v>
      </c>
      <c r="D91" s="13"/>
      <c r="E91" s="59"/>
      <c r="F91" s="15"/>
      <c r="G91" s="15"/>
      <c r="H91" s="17"/>
      <c r="I91" s="15">
        <f t="shared" si="1"/>
        <v>0</v>
      </c>
      <c r="J91" s="18" t="str">
        <f t="shared" si="2"/>
        <v>#DIV/0!</v>
      </c>
      <c r="K91" s="17"/>
      <c r="L91" s="19" t="str">
        <f t="shared" si="3"/>
        <v>#DIV/0!</v>
      </c>
      <c r="M91" s="20" t="str">
        <f t="shared" si="4"/>
        <v>#DIV/0!</v>
      </c>
      <c r="N91" s="21" t="str">
        <f t="shared" si="8"/>
        <v>#DIV/0!</v>
      </c>
      <c r="O91" s="21" t="str">
        <f t="shared" si="6"/>
        <v>#DIV/0!</v>
      </c>
      <c r="P91" s="22" t="str">
        <f t="shared" si="7"/>
        <v>#DIV/0!</v>
      </c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idden="1">
      <c r="A92" s="63"/>
      <c r="B92" s="11"/>
      <c r="C92" s="12" t="str">
        <f>VLOOKUP(B:B,'Курс валют'!A:D,4,0)</f>
        <v>#N/A</v>
      </c>
      <c r="D92" s="13"/>
      <c r="E92" s="59"/>
      <c r="F92" s="15"/>
      <c r="G92" s="15"/>
      <c r="H92" s="17"/>
      <c r="I92" s="15">
        <f t="shared" si="1"/>
        <v>0</v>
      </c>
      <c r="J92" s="18" t="str">
        <f t="shared" si="2"/>
        <v>#DIV/0!</v>
      </c>
      <c r="K92" s="17"/>
      <c r="L92" s="19" t="str">
        <f t="shared" si="3"/>
        <v>#DIV/0!</v>
      </c>
      <c r="M92" s="20" t="str">
        <f t="shared" si="4"/>
        <v>#DIV/0!</v>
      </c>
      <c r="N92" s="21" t="str">
        <f t="shared" si="8"/>
        <v>#DIV/0!</v>
      </c>
      <c r="O92" s="21" t="str">
        <f t="shared" si="6"/>
        <v>#DIV/0!</v>
      </c>
      <c r="P92" s="22" t="str">
        <f t="shared" si="7"/>
        <v>#DIV/0!</v>
      </c>
      <c r="R92" s="23"/>
      <c r="S92" s="25"/>
      <c r="T92" s="25"/>
      <c r="U92" s="25"/>
      <c r="V92" s="25"/>
      <c r="W92" s="25"/>
      <c r="X92" s="25"/>
      <c r="Y92" s="25"/>
      <c r="Z92" s="25"/>
      <c r="AA92" s="25"/>
    </row>
    <row r="93" hidden="1">
      <c r="A93" s="63"/>
      <c r="B93" s="11"/>
      <c r="C93" s="12" t="str">
        <f>VLOOKUP(B:B,'Курс валют'!A:D,4,0)</f>
        <v>#N/A</v>
      </c>
      <c r="D93" s="13"/>
      <c r="E93" s="59"/>
      <c r="F93" s="15"/>
      <c r="G93" s="15"/>
      <c r="H93" s="17"/>
      <c r="I93" s="15">
        <f t="shared" si="1"/>
        <v>0</v>
      </c>
      <c r="J93" s="18" t="str">
        <f t="shared" si="2"/>
        <v>#DIV/0!</v>
      </c>
      <c r="K93" s="17"/>
      <c r="L93" s="19" t="str">
        <f t="shared" si="3"/>
        <v>#DIV/0!</v>
      </c>
      <c r="M93" s="20" t="str">
        <f t="shared" si="4"/>
        <v>#DIV/0!</v>
      </c>
      <c r="N93" s="21" t="str">
        <f t="shared" si="8"/>
        <v>#DIV/0!</v>
      </c>
      <c r="O93" s="21" t="str">
        <f t="shared" si="6"/>
        <v>#DIV/0!</v>
      </c>
      <c r="P93" s="22" t="str">
        <f t="shared" si="7"/>
        <v>#DIV/0!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idden="1">
      <c r="A94" s="63"/>
      <c r="B94" s="11"/>
      <c r="C94" s="12" t="str">
        <f>VLOOKUP(B:B,'Курс валют'!A:D,4,0)</f>
        <v>#N/A</v>
      </c>
      <c r="D94" s="13"/>
      <c r="E94" s="59"/>
      <c r="F94" s="15"/>
      <c r="G94" s="15"/>
      <c r="H94" s="17"/>
      <c r="I94" s="15">
        <f t="shared" si="1"/>
        <v>0</v>
      </c>
      <c r="J94" s="18" t="str">
        <f t="shared" si="2"/>
        <v>#DIV/0!</v>
      </c>
      <c r="K94" s="17"/>
      <c r="L94" s="19" t="str">
        <f t="shared" si="3"/>
        <v>#DIV/0!</v>
      </c>
      <c r="M94" s="20" t="str">
        <f t="shared" si="4"/>
        <v>#DIV/0!</v>
      </c>
      <c r="N94" s="21" t="str">
        <f t="shared" si="8"/>
        <v>#DIV/0!</v>
      </c>
      <c r="O94" s="21" t="str">
        <f t="shared" si="6"/>
        <v>#DIV/0!</v>
      </c>
      <c r="P94" s="22" t="str">
        <f t="shared" si="7"/>
        <v>#DIV/0!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idden="1">
      <c r="A95" s="63"/>
      <c r="B95" s="11"/>
      <c r="C95" s="12" t="str">
        <f>VLOOKUP(B:B,'Курс валют'!A:D,4,0)</f>
        <v>#N/A</v>
      </c>
      <c r="D95" s="66"/>
      <c r="E95" s="67"/>
      <c r="F95" s="67"/>
      <c r="G95" s="67"/>
      <c r="H95" s="65"/>
      <c r="I95" s="15">
        <f t="shared" si="1"/>
        <v>0</v>
      </c>
      <c r="J95" s="18" t="str">
        <f t="shared" si="2"/>
        <v>#DIV/0!</v>
      </c>
      <c r="K95" s="65"/>
      <c r="L95" s="19" t="str">
        <f t="shared" si="3"/>
        <v>#DIV/0!</v>
      </c>
      <c r="M95" s="20" t="str">
        <f t="shared" si="4"/>
        <v>#DIV/0!</v>
      </c>
      <c r="N95" s="21" t="str">
        <f t="shared" si="8"/>
        <v>#DIV/0!</v>
      </c>
      <c r="O95" s="21" t="str">
        <f t="shared" si="6"/>
        <v>#DIV/0!</v>
      </c>
      <c r="P95" s="22" t="str">
        <f t="shared" si="7"/>
        <v>#DIV/0!</v>
      </c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idden="1">
      <c r="A96" s="25"/>
      <c r="B96" s="11"/>
      <c r="C96" s="12" t="str">
        <f>VLOOKUP(B:B,'Курс валют'!A:D,4,0)</f>
        <v>#N/A</v>
      </c>
      <c r="D96" s="66"/>
      <c r="E96" s="67"/>
      <c r="F96" s="67"/>
      <c r="G96" s="67"/>
      <c r="H96" s="65"/>
      <c r="I96" s="15">
        <f t="shared" si="1"/>
        <v>0</v>
      </c>
      <c r="J96" s="18" t="str">
        <f t="shared" si="2"/>
        <v>#DIV/0!</v>
      </c>
      <c r="K96" s="65"/>
      <c r="L96" s="19" t="str">
        <f t="shared" si="3"/>
        <v>#DIV/0!</v>
      </c>
      <c r="M96" s="20" t="str">
        <f t="shared" si="4"/>
        <v>#DIV/0!</v>
      </c>
      <c r="N96" s="21" t="str">
        <f t="shared" si="8"/>
        <v>#DIV/0!</v>
      </c>
      <c r="O96" s="21" t="str">
        <f t="shared" si="6"/>
        <v>#DIV/0!</v>
      </c>
      <c r="P96" s="22" t="str">
        <f t="shared" si="7"/>
        <v>#DIV/0!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idden="1">
      <c r="A97" s="25"/>
      <c r="B97" s="11"/>
      <c r="C97" s="12" t="str">
        <f>VLOOKUP(B:B,'Курс валют'!A:D,4,0)</f>
        <v>#N/A</v>
      </c>
      <c r="D97" s="66"/>
      <c r="E97" s="67"/>
      <c r="F97" s="67"/>
      <c r="G97" s="67"/>
      <c r="H97" s="65"/>
      <c r="I97" s="15">
        <f t="shared" si="1"/>
        <v>0</v>
      </c>
      <c r="J97" s="18" t="str">
        <f t="shared" si="2"/>
        <v>#DIV/0!</v>
      </c>
      <c r="K97" s="65"/>
      <c r="L97" s="19" t="str">
        <f t="shared" si="3"/>
        <v>#DIV/0!</v>
      </c>
      <c r="M97" s="20" t="str">
        <f t="shared" si="4"/>
        <v>#DIV/0!</v>
      </c>
      <c r="N97" s="21" t="str">
        <f t="shared" si="8"/>
        <v>#DIV/0!</v>
      </c>
      <c r="O97" s="21" t="str">
        <f t="shared" si="6"/>
        <v>#DIV/0!</v>
      </c>
      <c r="P97" s="22" t="str">
        <f t="shared" si="7"/>
        <v>#DIV/0!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idden="1">
      <c r="A98" s="25"/>
      <c r="B98" s="11"/>
      <c r="C98" s="12" t="str">
        <f>VLOOKUP(B:B,'Курс валют'!A:D,4,0)</f>
        <v>#N/A</v>
      </c>
      <c r="D98" s="66"/>
      <c r="E98" s="67"/>
      <c r="F98" s="67"/>
      <c r="G98" s="67"/>
      <c r="H98" s="65"/>
      <c r="I98" s="15">
        <f t="shared" si="1"/>
        <v>0</v>
      </c>
      <c r="J98" s="18" t="str">
        <f t="shared" si="2"/>
        <v>#DIV/0!</v>
      </c>
      <c r="K98" s="65"/>
      <c r="L98" s="19" t="str">
        <f t="shared" si="3"/>
        <v>#DIV/0!</v>
      </c>
      <c r="M98" s="20" t="str">
        <f t="shared" si="4"/>
        <v>#DIV/0!</v>
      </c>
      <c r="N98" s="21" t="str">
        <f t="shared" si="8"/>
        <v>#DIV/0!</v>
      </c>
      <c r="O98" s="21" t="str">
        <f t="shared" si="6"/>
        <v>#DIV/0!</v>
      </c>
      <c r="P98" s="22" t="str">
        <f t="shared" si="7"/>
        <v>#DIV/0!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idden="1">
      <c r="A99" s="25"/>
      <c r="B99" s="11"/>
      <c r="C99" s="12" t="str">
        <f>VLOOKUP(B:B,'Курс валют'!A:D,4,0)</f>
        <v>#N/A</v>
      </c>
      <c r="D99" s="66"/>
      <c r="E99" s="67"/>
      <c r="F99" s="67"/>
      <c r="G99" s="67"/>
      <c r="H99" s="65"/>
      <c r="I99" s="15">
        <f t="shared" si="1"/>
        <v>0</v>
      </c>
      <c r="J99" s="18" t="str">
        <f t="shared" si="2"/>
        <v>#DIV/0!</v>
      </c>
      <c r="K99" s="65"/>
      <c r="L99" s="19" t="str">
        <f t="shared" si="3"/>
        <v>#DIV/0!</v>
      </c>
      <c r="M99" s="20" t="str">
        <f t="shared" si="4"/>
        <v>#DIV/0!</v>
      </c>
      <c r="N99" s="21" t="str">
        <f t="shared" si="8"/>
        <v>#DIV/0!</v>
      </c>
      <c r="O99" s="21" t="str">
        <f t="shared" si="6"/>
        <v>#DIV/0!</v>
      </c>
      <c r="P99" s="22" t="str">
        <f t="shared" si="7"/>
        <v>#DIV/0!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idden="1">
      <c r="A100" s="25"/>
      <c r="B100" s="11"/>
      <c r="C100" s="12" t="str">
        <f>VLOOKUP(B:B,'Курс валют'!A:D,4,0)</f>
        <v>#N/A</v>
      </c>
      <c r="D100" s="66"/>
      <c r="E100" s="67"/>
      <c r="F100" s="67"/>
      <c r="G100" s="67"/>
      <c r="H100" s="65"/>
      <c r="I100" s="15">
        <f t="shared" si="1"/>
        <v>0</v>
      </c>
      <c r="J100" s="18" t="str">
        <f t="shared" si="2"/>
        <v>#DIV/0!</v>
      </c>
      <c r="K100" s="65"/>
      <c r="L100" s="19" t="str">
        <f t="shared" si="3"/>
        <v>#DIV/0!</v>
      </c>
      <c r="M100" s="20" t="str">
        <f t="shared" si="4"/>
        <v>#DIV/0!</v>
      </c>
      <c r="N100" s="21" t="str">
        <f t="shared" si="8"/>
        <v>#DIV/0!</v>
      </c>
      <c r="O100" s="21" t="str">
        <f t="shared" si="6"/>
        <v>#DIV/0!</v>
      </c>
      <c r="P100" s="22" t="str">
        <f t="shared" si="7"/>
        <v>#DIV/0!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idden="1">
      <c r="A101" s="25"/>
      <c r="B101" s="11"/>
      <c r="C101" s="12" t="str">
        <f>VLOOKUP(B:B,'Курс валют'!A:D,4,0)</f>
        <v>#N/A</v>
      </c>
      <c r="D101" s="66"/>
      <c r="E101" s="67"/>
      <c r="F101" s="67"/>
      <c r="G101" s="67"/>
      <c r="H101" s="65"/>
      <c r="I101" s="15">
        <f t="shared" si="1"/>
        <v>0</v>
      </c>
      <c r="J101" s="18" t="str">
        <f t="shared" si="2"/>
        <v>#DIV/0!</v>
      </c>
      <c r="K101" s="65"/>
      <c r="L101" s="19" t="str">
        <f t="shared" si="3"/>
        <v>#DIV/0!</v>
      </c>
      <c r="M101" s="20" t="str">
        <f t="shared" si="4"/>
        <v>#DIV/0!</v>
      </c>
      <c r="N101" s="21" t="str">
        <f t="shared" si="8"/>
        <v>#DIV/0!</v>
      </c>
      <c r="O101" s="21" t="str">
        <f t="shared" si="6"/>
        <v>#DIV/0!</v>
      </c>
      <c r="P101" s="22" t="str">
        <f t="shared" si="7"/>
        <v>#DIV/0!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idden="1">
      <c r="A102" s="25"/>
      <c r="B102" s="11"/>
      <c r="C102" s="12" t="str">
        <f>VLOOKUP(B:B,'Курс валют'!A:D,4,0)</f>
        <v>#N/A</v>
      </c>
      <c r="D102" s="66"/>
      <c r="E102" s="67"/>
      <c r="F102" s="67"/>
      <c r="G102" s="67"/>
      <c r="H102" s="65"/>
      <c r="I102" s="15">
        <f t="shared" si="1"/>
        <v>0</v>
      </c>
      <c r="J102" s="18" t="str">
        <f t="shared" si="2"/>
        <v>#DIV/0!</v>
      </c>
      <c r="K102" s="65"/>
      <c r="L102" s="19" t="str">
        <f t="shared" si="3"/>
        <v>#DIV/0!</v>
      </c>
      <c r="M102" s="20" t="str">
        <f t="shared" si="4"/>
        <v>#DIV/0!</v>
      </c>
      <c r="N102" s="21" t="str">
        <f t="shared" si="8"/>
        <v>#DIV/0!</v>
      </c>
      <c r="O102" s="21" t="str">
        <f t="shared" si="6"/>
        <v>#DIV/0!</v>
      </c>
      <c r="P102" s="22" t="str">
        <f t="shared" si="7"/>
        <v>#DIV/0!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idden="1">
      <c r="A103" s="25"/>
      <c r="B103" s="11"/>
      <c r="C103" s="12" t="str">
        <f>VLOOKUP(B:B,'Курс валют'!A:D,4,0)</f>
        <v>#N/A</v>
      </c>
      <c r="D103" s="69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idden="1">
      <c r="A104" s="25"/>
      <c r="B104" s="11"/>
      <c r="C104" s="12" t="str">
        <f>VLOOKUP(B:B,'Курс валют'!A:D,4,0)</f>
        <v>#N/A</v>
      </c>
      <c r="D104" s="69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idden="1">
      <c r="A105" s="25"/>
      <c r="B105" s="11"/>
      <c r="C105" s="12" t="str">
        <f>VLOOKUP(B:B,'Курс валют'!A:D,4,0)</f>
        <v>#N/A</v>
      </c>
      <c r="D105" s="69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idden="1">
      <c r="A106" s="25"/>
      <c r="B106" s="11"/>
      <c r="C106" s="12" t="str">
        <f>VLOOKUP(B:B,'Курс валют'!A:D,4,0)</f>
        <v>#N/A</v>
      </c>
      <c r="D106" s="69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idden="1">
      <c r="A107" s="25"/>
      <c r="B107" s="11"/>
      <c r="C107" s="12" t="str">
        <f>VLOOKUP(B:B,'Курс валют'!A:D,4,0)</f>
        <v>#N/A</v>
      </c>
      <c r="D107" s="69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idden="1">
      <c r="A108" s="25"/>
      <c r="B108" s="11"/>
      <c r="C108" s="12" t="str">
        <f>VLOOKUP(B:B,'Курс валют'!A:D,4,0)</f>
        <v>#N/A</v>
      </c>
      <c r="D108" s="69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idden="1">
      <c r="A109" s="25"/>
      <c r="B109" s="11"/>
      <c r="C109" s="12" t="str">
        <f>VLOOKUP(B:B,'Курс валют'!A:D,4,0)</f>
        <v>#N/A</v>
      </c>
      <c r="D109" s="69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idden="1">
      <c r="A110" s="25"/>
      <c r="B110" s="11"/>
      <c r="C110" s="12" t="str">
        <f>VLOOKUP(B:B,'Курс валют'!A:D,4,0)</f>
        <v>#N/A</v>
      </c>
      <c r="D110" s="69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idden="1">
      <c r="A111" s="25"/>
      <c r="B111" s="11"/>
      <c r="C111" s="12" t="str">
        <f>VLOOKUP(B:B,'Курс валют'!A:D,4,0)</f>
        <v>#N/A</v>
      </c>
      <c r="D111" s="69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idden="1">
      <c r="A112" s="25"/>
      <c r="B112" s="11"/>
      <c r="C112" s="12" t="str">
        <f>VLOOKUP(B:B,'Курс валют'!A:D,4,0)</f>
        <v>#N/A</v>
      </c>
      <c r="D112" s="69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idden="1">
      <c r="A113" s="25"/>
      <c r="B113" s="11"/>
      <c r="C113" s="12" t="str">
        <f>VLOOKUP(B:B,'Курс валют'!A:D,4,0)</f>
        <v>#N/A</v>
      </c>
      <c r="D113" s="69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idden="1">
      <c r="A114" s="25"/>
      <c r="B114" s="11"/>
      <c r="C114" s="12" t="str">
        <f>VLOOKUP(B:B,'Курс валют'!A:D,4,0)</f>
        <v>#N/A</v>
      </c>
      <c r="D114" s="69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idden="1">
      <c r="A115" s="25"/>
      <c r="B115" s="11"/>
      <c r="C115" s="12" t="str">
        <f>VLOOKUP(B:B,'Курс валют'!A:D,4,0)</f>
        <v>#N/A</v>
      </c>
      <c r="D115" s="69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idden="1">
      <c r="A116" s="25"/>
      <c r="B116" s="11"/>
      <c r="C116" s="12" t="str">
        <f>VLOOKUP(B:B,'Курс валют'!A:D,4,0)</f>
        <v>#N/A</v>
      </c>
      <c r="D116" s="69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idden="1">
      <c r="A117" s="25"/>
      <c r="B117" s="11"/>
      <c r="C117" s="12" t="str">
        <f>VLOOKUP(B:B,'Курс валют'!A:D,4,0)</f>
        <v>#N/A</v>
      </c>
      <c r="D117" s="69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idden="1">
      <c r="A118" s="25"/>
      <c r="B118" s="11"/>
      <c r="C118" s="12" t="str">
        <f>VLOOKUP(B:B,'Курс валют'!A:D,4,0)</f>
        <v>#N/A</v>
      </c>
      <c r="D118" s="69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idden="1">
      <c r="A119" s="25"/>
      <c r="B119" s="11"/>
      <c r="C119" s="12" t="str">
        <f>VLOOKUP(B:B,'Курс валют'!A:D,4,0)</f>
        <v>#N/A</v>
      </c>
      <c r="D119" s="69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idden="1">
      <c r="A120" s="25"/>
      <c r="B120" s="11"/>
      <c r="C120" s="12" t="str">
        <f>VLOOKUP(B:B,'Курс валют'!A:D,4,0)</f>
        <v>#N/A</v>
      </c>
      <c r="D120" s="69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idden="1">
      <c r="A121" s="25"/>
      <c r="B121" s="11"/>
      <c r="C121" s="12" t="str">
        <f>VLOOKUP(B:B,'Курс валют'!A:D,4,0)</f>
        <v>#N/A</v>
      </c>
      <c r="D121" s="69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idden="1">
      <c r="A122" s="25"/>
      <c r="B122" s="11"/>
      <c r="C122" s="12" t="str">
        <f>VLOOKUP(B:B,'Курс валют'!A:D,4,0)</f>
        <v>#N/A</v>
      </c>
      <c r="D122" s="69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idden="1">
      <c r="A123" s="25"/>
      <c r="B123" s="11"/>
      <c r="C123" s="25"/>
      <c r="D123" s="69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idden="1">
      <c r="A124" s="25"/>
      <c r="B124" s="11"/>
      <c r="C124" s="25"/>
      <c r="D124" s="69"/>
      <c r="E124" s="25"/>
      <c r="F124" s="25"/>
      <c r="G124" s="25"/>
      <c r="H124" s="80"/>
      <c r="I124" s="25"/>
      <c r="J124" s="25"/>
      <c r="K124" s="80"/>
      <c r="L124" s="81"/>
      <c r="M124" s="82"/>
      <c r="N124" s="25"/>
      <c r="O124" s="25"/>
      <c r="P124" s="82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idden="1">
      <c r="A125" s="25"/>
      <c r="B125" s="11"/>
      <c r="C125" s="25"/>
      <c r="D125" s="69"/>
      <c r="E125" s="25"/>
      <c r="F125" s="25"/>
      <c r="G125" s="25"/>
      <c r="H125" s="80"/>
      <c r="I125" s="25"/>
      <c r="J125" s="25"/>
      <c r="K125" s="80"/>
      <c r="L125" s="81"/>
      <c r="M125" s="82"/>
      <c r="N125" s="25"/>
      <c r="O125" s="25"/>
      <c r="P125" s="82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idden="1">
      <c r="A126" s="25"/>
      <c r="B126" s="11"/>
      <c r="C126" s="25"/>
      <c r="D126" s="69"/>
      <c r="E126" s="25"/>
      <c r="F126" s="25"/>
      <c r="G126" s="25"/>
      <c r="H126" s="80"/>
      <c r="I126" s="25"/>
      <c r="J126" s="25"/>
      <c r="K126" s="80"/>
      <c r="L126" s="81"/>
      <c r="M126" s="82"/>
      <c r="N126" s="25"/>
      <c r="O126" s="25"/>
      <c r="P126" s="82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idden="1">
      <c r="B127" s="68"/>
      <c r="D127" s="69"/>
      <c r="H127" s="70"/>
      <c r="K127" s="70"/>
      <c r="L127" s="71"/>
      <c r="M127" s="72"/>
      <c r="P127" s="72"/>
    </row>
    <row r="128" hidden="1">
      <c r="B128" s="68"/>
      <c r="D128" s="69"/>
      <c r="H128" s="70"/>
      <c r="K128" s="70"/>
      <c r="L128" s="71"/>
      <c r="M128" s="72"/>
      <c r="P128" s="72"/>
    </row>
    <row r="129" hidden="1">
      <c r="B129" s="68"/>
      <c r="D129" s="69"/>
      <c r="H129" s="70"/>
      <c r="K129" s="70"/>
      <c r="L129" s="71"/>
      <c r="M129" s="72"/>
      <c r="P129" s="72"/>
    </row>
    <row r="130" hidden="1">
      <c r="B130" s="68"/>
      <c r="D130" s="69"/>
      <c r="H130" s="70"/>
      <c r="K130" s="70"/>
      <c r="L130" s="71"/>
      <c r="M130" s="72"/>
      <c r="P130" s="72"/>
    </row>
    <row r="131" hidden="1">
      <c r="B131" s="68"/>
      <c r="D131" s="69"/>
      <c r="H131" s="70"/>
      <c r="K131" s="70"/>
      <c r="L131" s="71"/>
      <c r="M131" s="72"/>
      <c r="P131" s="72"/>
    </row>
    <row r="132" hidden="1">
      <c r="B132" s="68"/>
      <c r="D132" s="69"/>
      <c r="H132" s="70"/>
      <c r="K132" s="70"/>
      <c r="L132" s="71"/>
      <c r="M132" s="72"/>
      <c r="P132" s="72"/>
    </row>
    <row r="133" hidden="1">
      <c r="B133" s="68"/>
      <c r="D133" s="69"/>
      <c r="H133" s="70"/>
      <c r="K133" s="70"/>
      <c r="L133" s="71"/>
      <c r="M133" s="72"/>
      <c r="P133" s="72"/>
    </row>
    <row r="134" hidden="1">
      <c r="B134" s="68"/>
      <c r="D134" s="69"/>
      <c r="H134" s="70"/>
      <c r="K134" s="70"/>
      <c r="L134" s="71"/>
      <c r="M134" s="72"/>
      <c r="P134" s="72"/>
    </row>
    <row r="135" hidden="1">
      <c r="B135" s="68"/>
      <c r="D135" s="69"/>
      <c r="H135" s="70"/>
      <c r="K135" s="70"/>
      <c r="L135" s="71"/>
      <c r="M135" s="72"/>
      <c r="P135" s="72"/>
    </row>
    <row r="136" hidden="1">
      <c r="B136" s="68"/>
      <c r="D136" s="69"/>
      <c r="H136" s="70"/>
      <c r="K136" s="70"/>
      <c r="L136" s="71"/>
      <c r="M136" s="72"/>
      <c r="P136" s="72"/>
    </row>
    <row r="137" hidden="1">
      <c r="B137" s="68"/>
      <c r="D137" s="69"/>
      <c r="H137" s="70"/>
      <c r="K137" s="70"/>
      <c r="L137" s="71"/>
      <c r="M137" s="72"/>
      <c r="P137" s="72"/>
    </row>
    <row r="138" hidden="1">
      <c r="B138" s="68"/>
      <c r="D138" s="69"/>
      <c r="H138" s="70"/>
      <c r="K138" s="70"/>
      <c r="L138" s="71"/>
      <c r="M138" s="72"/>
      <c r="P138" s="72"/>
    </row>
    <row r="139" hidden="1">
      <c r="B139" s="68"/>
      <c r="D139" s="69"/>
      <c r="H139" s="70"/>
      <c r="K139" s="70"/>
      <c r="L139" s="71"/>
      <c r="M139" s="72"/>
      <c r="P139" s="72"/>
    </row>
    <row r="140" hidden="1">
      <c r="B140" s="68"/>
      <c r="D140" s="69"/>
      <c r="H140" s="70"/>
      <c r="K140" s="70"/>
      <c r="L140" s="71"/>
      <c r="M140" s="72"/>
      <c r="P140" s="72"/>
    </row>
    <row r="141" hidden="1">
      <c r="B141" s="68"/>
      <c r="D141" s="69"/>
      <c r="H141" s="70"/>
      <c r="K141" s="70"/>
      <c r="L141" s="71"/>
      <c r="M141" s="72"/>
      <c r="P141" s="72"/>
    </row>
    <row r="142" hidden="1">
      <c r="B142" s="68"/>
      <c r="D142" s="69"/>
      <c r="H142" s="70"/>
      <c r="K142" s="70"/>
      <c r="L142" s="71"/>
      <c r="M142" s="72"/>
      <c r="P142" s="72"/>
    </row>
    <row r="143" hidden="1">
      <c r="B143" s="68"/>
      <c r="D143" s="69"/>
      <c r="H143" s="70"/>
      <c r="K143" s="70"/>
      <c r="L143" s="71"/>
      <c r="M143" s="72"/>
      <c r="P143" s="72"/>
    </row>
    <row r="144" hidden="1">
      <c r="B144" s="68"/>
      <c r="D144" s="69"/>
      <c r="H144" s="70"/>
      <c r="K144" s="70"/>
      <c r="L144" s="71"/>
      <c r="M144" s="72"/>
      <c r="P144" s="72"/>
    </row>
    <row r="145" hidden="1">
      <c r="B145" s="68"/>
      <c r="D145" s="69"/>
      <c r="H145" s="70"/>
      <c r="K145" s="70"/>
      <c r="L145" s="71"/>
      <c r="M145" s="72"/>
      <c r="P145" s="72"/>
    </row>
    <row r="146" hidden="1">
      <c r="B146" s="68"/>
      <c r="D146" s="69"/>
      <c r="H146" s="70"/>
      <c r="K146" s="70"/>
      <c r="L146" s="71"/>
      <c r="M146" s="72"/>
      <c r="P146" s="72"/>
    </row>
    <row r="147" hidden="1">
      <c r="B147" s="68"/>
      <c r="D147" s="69"/>
      <c r="H147" s="70"/>
      <c r="K147" s="70"/>
      <c r="L147" s="71"/>
      <c r="M147" s="72"/>
      <c r="P147" s="72"/>
    </row>
    <row r="148" hidden="1">
      <c r="B148" s="68"/>
      <c r="D148" s="69"/>
      <c r="H148" s="70"/>
      <c r="K148" s="70"/>
      <c r="L148" s="71"/>
      <c r="M148" s="72"/>
      <c r="P148" s="72"/>
    </row>
    <row r="149" hidden="1">
      <c r="B149" s="68"/>
      <c r="D149" s="69"/>
      <c r="H149" s="70"/>
      <c r="K149" s="70"/>
      <c r="L149" s="71"/>
      <c r="M149" s="72"/>
      <c r="P149" s="72"/>
    </row>
    <row r="150" hidden="1">
      <c r="B150" s="68"/>
      <c r="D150" s="69"/>
      <c r="H150" s="70"/>
      <c r="K150" s="70"/>
      <c r="L150" s="71"/>
      <c r="M150" s="72"/>
      <c r="P150" s="72"/>
    </row>
    <row r="151" hidden="1">
      <c r="B151" s="68"/>
      <c r="D151" s="69"/>
      <c r="H151" s="70"/>
      <c r="K151" s="70"/>
      <c r="L151" s="71"/>
      <c r="M151" s="72"/>
      <c r="P151" s="72"/>
    </row>
    <row r="152" hidden="1">
      <c r="B152" s="68"/>
      <c r="D152" s="69"/>
      <c r="H152" s="70"/>
      <c r="K152" s="70"/>
      <c r="L152" s="71"/>
      <c r="M152" s="72"/>
      <c r="P152" s="72"/>
    </row>
    <row r="153" hidden="1">
      <c r="B153" s="68"/>
      <c r="D153" s="69"/>
      <c r="H153" s="70"/>
      <c r="K153" s="70"/>
      <c r="L153" s="71"/>
      <c r="M153" s="72"/>
      <c r="P153" s="72"/>
    </row>
    <row r="154" hidden="1">
      <c r="B154" s="68"/>
      <c r="D154" s="69"/>
      <c r="H154" s="70"/>
      <c r="K154" s="70"/>
      <c r="L154" s="71"/>
      <c r="M154" s="72"/>
      <c r="P154" s="72"/>
    </row>
    <row r="155" hidden="1">
      <c r="B155" s="68"/>
      <c r="D155" s="69"/>
      <c r="H155" s="70"/>
      <c r="K155" s="70"/>
      <c r="L155" s="71"/>
      <c r="M155" s="72"/>
      <c r="P155" s="72"/>
    </row>
    <row r="156" hidden="1">
      <c r="B156" s="68"/>
      <c r="D156" s="69"/>
      <c r="H156" s="70"/>
      <c r="K156" s="70"/>
      <c r="L156" s="71"/>
      <c r="M156" s="72"/>
      <c r="P156" s="72"/>
    </row>
    <row r="157" hidden="1">
      <c r="B157" s="68"/>
      <c r="D157" s="69"/>
      <c r="H157" s="70"/>
      <c r="K157" s="70"/>
      <c r="L157" s="71"/>
      <c r="M157" s="72"/>
      <c r="P157" s="72"/>
    </row>
    <row r="158" hidden="1">
      <c r="B158" s="68"/>
      <c r="D158" s="69"/>
      <c r="H158" s="70"/>
      <c r="K158" s="70"/>
      <c r="L158" s="71"/>
      <c r="M158" s="72"/>
      <c r="P158" s="72"/>
    </row>
    <row r="159" hidden="1">
      <c r="B159" s="68"/>
      <c r="D159" s="69"/>
      <c r="H159" s="70"/>
      <c r="K159" s="70"/>
      <c r="L159" s="71"/>
      <c r="M159" s="72"/>
      <c r="P159" s="72"/>
    </row>
    <row r="160" hidden="1">
      <c r="B160" s="68"/>
      <c r="D160" s="69"/>
      <c r="H160" s="70"/>
      <c r="K160" s="70"/>
      <c r="L160" s="71"/>
      <c r="M160" s="72"/>
      <c r="P160" s="72"/>
    </row>
    <row r="161" hidden="1">
      <c r="B161" s="68"/>
      <c r="D161" s="69"/>
      <c r="H161" s="70"/>
      <c r="K161" s="70"/>
      <c r="L161" s="71"/>
      <c r="M161" s="72"/>
      <c r="P161" s="72"/>
    </row>
    <row r="162" hidden="1">
      <c r="B162" s="68"/>
      <c r="D162" s="69"/>
      <c r="H162" s="70"/>
      <c r="K162" s="70"/>
      <c r="L162" s="71"/>
      <c r="M162" s="72"/>
      <c r="P162" s="72"/>
    </row>
    <row r="163" hidden="1">
      <c r="B163" s="68"/>
      <c r="D163" s="69"/>
      <c r="H163" s="70"/>
      <c r="K163" s="70"/>
      <c r="L163" s="71"/>
      <c r="M163" s="72"/>
      <c r="P163" s="72"/>
    </row>
    <row r="164" hidden="1">
      <c r="B164" s="68"/>
      <c r="D164" s="69"/>
      <c r="H164" s="70"/>
      <c r="K164" s="70"/>
      <c r="L164" s="71"/>
      <c r="M164" s="72"/>
      <c r="P164" s="72"/>
    </row>
    <row r="165" hidden="1">
      <c r="B165" s="68"/>
      <c r="D165" s="69"/>
      <c r="H165" s="70"/>
      <c r="K165" s="70"/>
      <c r="L165" s="71"/>
      <c r="M165" s="72"/>
      <c r="P165" s="72"/>
    </row>
    <row r="166" hidden="1">
      <c r="B166" s="68"/>
      <c r="D166" s="69"/>
      <c r="H166" s="70"/>
      <c r="K166" s="70"/>
      <c r="L166" s="71"/>
      <c r="M166" s="72"/>
      <c r="P166" s="72"/>
    </row>
    <row r="167" hidden="1">
      <c r="B167" s="68"/>
      <c r="D167" s="69"/>
      <c r="H167" s="70"/>
      <c r="K167" s="70"/>
      <c r="L167" s="71"/>
      <c r="M167" s="72"/>
      <c r="P167" s="72"/>
    </row>
    <row r="168" hidden="1">
      <c r="B168" s="68"/>
      <c r="D168" s="69"/>
      <c r="H168" s="70"/>
      <c r="K168" s="70"/>
      <c r="L168" s="71"/>
      <c r="M168" s="72"/>
      <c r="P168" s="72"/>
    </row>
    <row r="169" hidden="1">
      <c r="B169" s="68"/>
      <c r="D169" s="69"/>
      <c r="H169" s="70"/>
      <c r="K169" s="70"/>
      <c r="L169" s="71"/>
      <c r="M169" s="72"/>
      <c r="P169" s="72"/>
    </row>
    <row r="170" hidden="1">
      <c r="B170" s="68"/>
      <c r="D170" s="69"/>
      <c r="H170" s="70"/>
      <c r="K170" s="70"/>
      <c r="L170" s="71"/>
      <c r="M170" s="72"/>
      <c r="P170" s="72"/>
    </row>
    <row r="171" hidden="1">
      <c r="B171" s="68"/>
      <c r="D171" s="69"/>
      <c r="H171" s="70"/>
      <c r="K171" s="70"/>
      <c r="L171" s="71"/>
      <c r="M171" s="72"/>
      <c r="P171" s="72"/>
    </row>
    <row r="172" hidden="1">
      <c r="B172" s="68"/>
      <c r="D172" s="69"/>
      <c r="H172" s="70"/>
      <c r="K172" s="70"/>
      <c r="L172" s="71"/>
      <c r="M172" s="72"/>
      <c r="P172" s="72"/>
    </row>
    <row r="173" hidden="1">
      <c r="B173" s="68"/>
      <c r="D173" s="69"/>
      <c r="H173" s="70"/>
      <c r="K173" s="70"/>
      <c r="L173" s="71"/>
      <c r="M173" s="72"/>
      <c r="P173" s="72"/>
    </row>
    <row r="174" hidden="1">
      <c r="B174" s="68"/>
      <c r="D174" s="69"/>
      <c r="H174" s="70"/>
      <c r="K174" s="70"/>
      <c r="L174" s="71"/>
      <c r="M174" s="72"/>
      <c r="P174" s="72"/>
    </row>
    <row r="175" hidden="1">
      <c r="B175" s="68"/>
      <c r="D175" s="69"/>
      <c r="H175" s="70"/>
      <c r="K175" s="70"/>
      <c r="L175" s="71"/>
      <c r="M175" s="72"/>
      <c r="P175" s="72"/>
    </row>
    <row r="176" hidden="1">
      <c r="B176" s="68"/>
      <c r="D176" s="69"/>
      <c r="H176" s="70"/>
      <c r="K176" s="70"/>
      <c r="L176" s="71"/>
      <c r="M176" s="72"/>
      <c r="P176" s="72"/>
    </row>
    <row r="177" hidden="1">
      <c r="B177" s="68"/>
      <c r="D177" s="69"/>
      <c r="H177" s="70"/>
      <c r="K177" s="70"/>
      <c r="L177" s="71"/>
      <c r="M177" s="72"/>
      <c r="P177" s="72"/>
    </row>
    <row r="178" hidden="1">
      <c r="B178" s="68"/>
      <c r="D178" s="69"/>
      <c r="H178" s="70"/>
      <c r="K178" s="70"/>
      <c r="L178" s="71"/>
      <c r="M178" s="72"/>
      <c r="P178" s="72"/>
    </row>
    <row r="179" hidden="1">
      <c r="B179" s="68"/>
      <c r="D179" s="69"/>
      <c r="H179" s="70"/>
      <c r="K179" s="70"/>
      <c r="L179" s="71"/>
      <c r="M179" s="72"/>
      <c r="P179" s="72"/>
    </row>
    <row r="180" hidden="1">
      <c r="B180" s="68"/>
      <c r="D180" s="69"/>
      <c r="H180" s="70"/>
      <c r="K180" s="70"/>
      <c r="L180" s="71"/>
      <c r="M180" s="72"/>
      <c r="P180" s="72"/>
    </row>
    <row r="181" hidden="1">
      <c r="B181" s="68"/>
      <c r="D181" s="69"/>
      <c r="H181" s="70"/>
      <c r="K181" s="70"/>
      <c r="L181" s="71"/>
      <c r="M181" s="72"/>
      <c r="P181" s="72"/>
    </row>
    <row r="182" hidden="1">
      <c r="B182" s="68"/>
      <c r="D182" s="69"/>
      <c r="H182" s="70"/>
      <c r="K182" s="70"/>
      <c r="L182" s="71"/>
      <c r="M182" s="72"/>
      <c r="P182" s="72"/>
    </row>
    <row r="183" hidden="1">
      <c r="B183" s="68"/>
      <c r="D183" s="69"/>
      <c r="H183" s="70"/>
      <c r="K183" s="70"/>
      <c r="L183" s="71"/>
      <c r="M183" s="72"/>
      <c r="P183" s="72"/>
    </row>
    <row r="184" hidden="1">
      <c r="B184" s="68"/>
      <c r="D184" s="69"/>
      <c r="H184" s="70"/>
      <c r="K184" s="70"/>
      <c r="L184" s="71"/>
      <c r="M184" s="72"/>
      <c r="P184" s="72"/>
    </row>
    <row r="185" hidden="1">
      <c r="B185" s="68"/>
      <c r="D185" s="69"/>
      <c r="H185" s="70"/>
      <c r="K185" s="70"/>
      <c r="L185" s="71"/>
      <c r="M185" s="72"/>
      <c r="P185" s="72"/>
    </row>
    <row r="186" hidden="1">
      <c r="B186" s="68"/>
      <c r="D186" s="69"/>
      <c r="H186" s="70"/>
      <c r="K186" s="70"/>
      <c r="L186" s="71"/>
      <c r="M186" s="72"/>
      <c r="P186" s="72"/>
    </row>
    <row r="187" hidden="1">
      <c r="B187" s="68"/>
      <c r="D187" s="69"/>
      <c r="H187" s="70"/>
      <c r="K187" s="70"/>
      <c r="L187" s="71"/>
      <c r="M187" s="72"/>
      <c r="P187" s="72"/>
    </row>
    <row r="188" hidden="1">
      <c r="B188" s="68"/>
      <c r="D188" s="69"/>
      <c r="H188" s="70"/>
      <c r="K188" s="70"/>
      <c r="L188" s="71"/>
      <c r="M188" s="72"/>
      <c r="P188" s="72"/>
    </row>
    <row r="189" hidden="1">
      <c r="B189" s="68"/>
      <c r="D189" s="69"/>
      <c r="H189" s="70"/>
      <c r="K189" s="70"/>
      <c r="L189" s="71"/>
      <c r="M189" s="72"/>
      <c r="P189" s="72"/>
    </row>
    <row r="190" hidden="1">
      <c r="B190" s="68"/>
      <c r="D190" s="69"/>
      <c r="H190" s="70"/>
      <c r="K190" s="70"/>
      <c r="L190" s="71"/>
      <c r="M190" s="72"/>
      <c r="P190" s="72"/>
    </row>
    <row r="191" hidden="1">
      <c r="B191" s="68"/>
      <c r="D191" s="69"/>
      <c r="H191" s="70"/>
      <c r="K191" s="70"/>
      <c r="L191" s="71"/>
      <c r="M191" s="72"/>
      <c r="P191" s="72"/>
    </row>
    <row r="192" hidden="1">
      <c r="B192" s="68"/>
      <c r="D192" s="69"/>
      <c r="H192" s="70"/>
      <c r="K192" s="70"/>
      <c r="L192" s="71"/>
      <c r="M192" s="72"/>
      <c r="P192" s="72"/>
    </row>
    <row r="193" hidden="1">
      <c r="B193" s="68"/>
      <c r="D193" s="69"/>
      <c r="H193" s="70"/>
      <c r="K193" s="70"/>
      <c r="L193" s="71"/>
      <c r="M193" s="72"/>
      <c r="P193" s="72"/>
    </row>
    <row r="194" hidden="1">
      <c r="B194" s="68"/>
      <c r="D194" s="69"/>
      <c r="H194" s="70"/>
      <c r="K194" s="70"/>
      <c r="L194" s="71"/>
      <c r="M194" s="72"/>
      <c r="P194" s="72"/>
    </row>
    <row r="195" hidden="1">
      <c r="B195" s="68"/>
      <c r="D195" s="69"/>
      <c r="H195" s="70"/>
      <c r="K195" s="70"/>
      <c r="L195" s="71"/>
      <c r="M195" s="72"/>
      <c r="P195" s="72"/>
    </row>
    <row r="196" hidden="1">
      <c r="B196" s="68"/>
      <c r="D196" s="69"/>
      <c r="H196" s="70"/>
      <c r="K196" s="70"/>
      <c r="L196" s="71"/>
      <c r="M196" s="72"/>
      <c r="P196" s="72"/>
    </row>
    <row r="197" hidden="1">
      <c r="B197" s="68"/>
      <c r="D197" s="69"/>
      <c r="H197" s="70"/>
      <c r="K197" s="70"/>
      <c r="L197" s="71"/>
      <c r="M197" s="72"/>
      <c r="P197" s="72"/>
    </row>
    <row r="198" hidden="1">
      <c r="B198" s="68"/>
      <c r="D198" s="69"/>
      <c r="H198" s="70"/>
      <c r="K198" s="70"/>
      <c r="L198" s="71"/>
      <c r="M198" s="72"/>
      <c r="P198" s="72"/>
    </row>
    <row r="199" hidden="1">
      <c r="B199" s="68"/>
      <c r="D199" s="69"/>
      <c r="H199" s="70"/>
      <c r="K199" s="70"/>
      <c r="L199" s="71"/>
      <c r="M199" s="72"/>
      <c r="P199" s="72"/>
    </row>
    <row r="200" hidden="1">
      <c r="B200" s="68"/>
      <c r="D200" s="69"/>
      <c r="H200" s="70"/>
      <c r="K200" s="70"/>
      <c r="L200" s="71"/>
      <c r="M200" s="72"/>
      <c r="P200" s="72"/>
    </row>
    <row r="201" hidden="1">
      <c r="B201" s="68"/>
      <c r="D201" s="69"/>
      <c r="H201" s="70"/>
      <c r="K201" s="70"/>
      <c r="L201" s="71"/>
      <c r="M201" s="72"/>
      <c r="P201" s="72"/>
    </row>
    <row r="202" hidden="1">
      <c r="B202" s="68"/>
      <c r="D202" s="69"/>
      <c r="H202" s="70"/>
      <c r="K202" s="70"/>
      <c r="L202" s="71"/>
      <c r="M202" s="72"/>
      <c r="P202" s="72"/>
    </row>
    <row r="203" hidden="1">
      <c r="B203" s="68"/>
      <c r="D203" s="69"/>
      <c r="H203" s="70"/>
      <c r="K203" s="70"/>
      <c r="L203" s="71"/>
      <c r="M203" s="72"/>
      <c r="P203" s="72"/>
    </row>
    <row r="204" hidden="1">
      <c r="B204" s="68"/>
      <c r="D204" s="69"/>
      <c r="H204" s="70"/>
      <c r="K204" s="70"/>
      <c r="L204" s="71"/>
      <c r="M204" s="72"/>
      <c r="P204" s="72"/>
    </row>
    <row r="205" hidden="1">
      <c r="B205" s="68"/>
      <c r="D205" s="69"/>
      <c r="H205" s="70"/>
      <c r="K205" s="70"/>
      <c r="L205" s="71"/>
      <c r="M205" s="72"/>
      <c r="P205" s="72"/>
    </row>
    <row r="206" hidden="1">
      <c r="B206" s="68"/>
      <c r="D206" s="69"/>
      <c r="H206" s="70"/>
      <c r="K206" s="70"/>
      <c r="L206" s="71"/>
      <c r="M206" s="72"/>
      <c r="P206" s="72"/>
    </row>
    <row r="207" hidden="1">
      <c r="B207" s="68"/>
      <c r="D207" s="69"/>
      <c r="H207" s="70"/>
      <c r="K207" s="70"/>
      <c r="L207" s="71"/>
      <c r="M207" s="72"/>
      <c r="P207" s="72"/>
    </row>
    <row r="208" hidden="1">
      <c r="B208" s="68"/>
      <c r="D208" s="69"/>
      <c r="H208" s="70"/>
      <c r="K208" s="70"/>
      <c r="L208" s="71"/>
      <c r="M208" s="72"/>
      <c r="P208" s="72"/>
    </row>
    <row r="209" hidden="1">
      <c r="B209" s="68"/>
      <c r="D209" s="69"/>
      <c r="H209" s="70"/>
      <c r="K209" s="70"/>
      <c r="L209" s="71"/>
      <c r="M209" s="72"/>
      <c r="P209" s="72"/>
    </row>
    <row r="210" hidden="1">
      <c r="B210" s="68"/>
      <c r="D210" s="69"/>
      <c r="H210" s="70"/>
      <c r="K210" s="70"/>
      <c r="L210" s="71"/>
      <c r="M210" s="72"/>
      <c r="P210" s="72"/>
    </row>
    <row r="211" hidden="1">
      <c r="B211" s="68"/>
      <c r="D211" s="69"/>
      <c r="H211" s="70"/>
      <c r="K211" s="70"/>
      <c r="L211" s="71"/>
      <c r="M211" s="72"/>
      <c r="P211" s="72"/>
    </row>
    <row r="212" hidden="1">
      <c r="B212" s="68"/>
      <c r="D212" s="69"/>
      <c r="H212" s="70"/>
      <c r="K212" s="70"/>
      <c r="L212" s="71"/>
      <c r="M212" s="72"/>
      <c r="P212" s="72"/>
    </row>
    <row r="213" hidden="1">
      <c r="B213" s="68"/>
      <c r="D213" s="69"/>
      <c r="H213" s="70"/>
      <c r="K213" s="70"/>
      <c r="L213" s="71"/>
      <c r="M213" s="72"/>
      <c r="P213" s="72"/>
    </row>
    <row r="214" hidden="1">
      <c r="B214" s="68"/>
      <c r="D214" s="69"/>
      <c r="H214" s="70"/>
      <c r="K214" s="70"/>
      <c r="L214" s="71"/>
      <c r="M214" s="72"/>
      <c r="P214" s="72"/>
    </row>
    <row r="215" hidden="1">
      <c r="B215" s="68"/>
      <c r="D215" s="69"/>
      <c r="H215" s="70"/>
      <c r="K215" s="70"/>
      <c r="L215" s="71"/>
      <c r="M215" s="72"/>
      <c r="P215" s="72"/>
    </row>
    <row r="216" hidden="1">
      <c r="B216" s="68"/>
      <c r="D216" s="69"/>
      <c r="H216" s="70"/>
      <c r="K216" s="70"/>
      <c r="L216" s="71"/>
      <c r="M216" s="72"/>
      <c r="P216" s="72"/>
    </row>
    <row r="217" hidden="1">
      <c r="B217" s="68"/>
      <c r="D217" s="69"/>
      <c r="H217" s="70"/>
      <c r="K217" s="70"/>
      <c r="L217" s="71"/>
      <c r="M217" s="72"/>
      <c r="P217" s="72"/>
    </row>
    <row r="218" hidden="1">
      <c r="B218" s="68"/>
      <c r="D218" s="69"/>
      <c r="H218" s="70"/>
      <c r="K218" s="70"/>
      <c r="L218" s="71"/>
      <c r="M218" s="72"/>
      <c r="P218" s="72"/>
    </row>
    <row r="219" hidden="1">
      <c r="B219" s="68"/>
      <c r="D219" s="69"/>
      <c r="H219" s="70"/>
      <c r="K219" s="70"/>
      <c r="L219" s="71"/>
      <c r="M219" s="72"/>
      <c r="P219" s="72"/>
    </row>
    <row r="220" hidden="1">
      <c r="B220" s="68"/>
      <c r="D220" s="69"/>
      <c r="H220" s="70"/>
      <c r="K220" s="70"/>
      <c r="L220" s="71"/>
      <c r="M220" s="72"/>
      <c r="P220" s="72"/>
    </row>
    <row r="221" hidden="1">
      <c r="B221" s="68"/>
      <c r="D221" s="69"/>
      <c r="H221" s="70"/>
      <c r="K221" s="70"/>
      <c r="L221" s="71"/>
      <c r="M221" s="72"/>
      <c r="P221" s="72"/>
    </row>
    <row r="222" hidden="1">
      <c r="B222" s="68"/>
      <c r="D222" s="69"/>
      <c r="H222" s="70"/>
      <c r="K222" s="70"/>
      <c r="L222" s="71"/>
      <c r="M222" s="72"/>
      <c r="P222" s="72"/>
    </row>
    <row r="223" hidden="1">
      <c r="B223" s="68"/>
      <c r="D223" s="69"/>
      <c r="H223" s="70"/>
      <c r="K223" s="70"/>
      <c r="L223" s="71"/>
      <c r="M223" s="72"/>
      <c r="P223" s="72"/>
    </row>
    <row r="224" hidden="1">
      <c r="B224" s="68"/>
      <c r="D224" s="69"/>
      <c r="H224" s="70"/>
      <c r="K224" s="70"/>
      <c r="L224" s="71"/>
      <c r="M224" s="72"/>
      <c r="P224" s="72"/>
    </row>
    <row r="225" hidden="1">
      <c r="B225" s="68"/>
      <c r="D225" s="69"/>
      <c r="H225" s="70"/>
      <c r="K225" s="70"/>
      <c r="L225" s="71"/>
      <c r="M225" s="72"/>
      <c r="P225" s="72"/>
    </row>
    <row r="226" hidden="1">
      <c r="B226" s="68"/>
      <c r="D226" s="69"/>
      <c r="H226" s="70"/>
      <c r="K226" s="70"/>
      <c r="L226" s="71"/>
      <c r="M226" s="72"/>
      <c r="P226" s="72"/>
    </row>
    <row r="227" hidden="1">
      <c r="B227" s="68"/>
      <c r="D227" s="69"/>
      <c r="H227" s="70"/>
      <c r="K227" s="70"/>
      <c r="L227" s="71"/>
      <c r="M227" s="72"/>
      <c r="P227" s="72"/>
    </row>
    <row r="228" hidden="1">
      <c r="B228" s="68"/>
      <c r="D228" s="69"/>
      <c r="H228" s="70"/>
      <c r="K228" s="70"/>
      <c r="L228" s="71"/>
      <c r="M228" s="72"/>
      <c r="P228" s="72"/>
    </row>
    <row r="229" hidden="1">
      <c r="B229" s="68"/>
      <c r="D229" s="69"/>
      <c r="H229" s="70"/>
      <c r="K229" s="70"/>
      <c r="L229" s="71"/>
      <c r="M229" s="72"/>
      <c r="P229" s="72"/>
    </row>
    <row r="230" hidden="1">
      <c r="B230" s="68"/>
      <c r="D230" s="69"/>
      <c r="H230" s="70"/>
      <c r="K230" s="70"/>
      <c r="L230" s="71"/>
      <c r="M230" s="72"/>
      <c r="P230" s="72"/>
    </row>
    <row r="231" hidden="1">
      <c r="B231" s="68"/>
      <c r="D231" s="69"/>
      <c r="H231" s="70"/>
      <c r="K231" s="70"/>
      <c r="L231" s="71"/>
      <c r="M231" s="72"/>
      <c r="P231" s="72"/>
    </row>
    <row r="232" hidden="1">
      <c r="B232" s="68"/>
      <c r="D232" s="69"/>
      <c r="H232" s="70"/>
      <c r="K232" s="70"/>
      <c r="L232" s="71"/>
      <c r="M232" s="72"/>
      <c r="P232" s="72"/>
    </row>
    <row r="233" hidden="1">
      <c r="B233" s="68"/>
      <c r="D233" s="69"/>
      <c r="H233" s="70"/>
      <c r="K233" s="70"/>
      <c r="L233" s="71"/>
      <c r="M233" s="72"/>
      <c r="P233" s="72"/>
    </row>
    <row r="234" hidden="1">
      <c r="B234" s="68"/>
      <c r="D234" s="69"/>
      <c r="H234" s="70"/>
      <c r="K234" s="70"/>
      <c r="L234" s="71"/>
      <c r="M234" s="72"/>
      <c r="P234" s="72"/>
    </row>
    <row r="235" hidden="1">
      <c r="B235" s="68"/>
      <c r="D235" s="69"/>
      <c r="H235" s="70"/>
      <c r="K235" s="70"/>
      <c r="L235" s="71"/>
      <c r="M235" s="72"/>
      <c r="P235" s="72"/>
    </row>
    <row r="236" hidden="1">
      <c r="B236" s="68"/>
      <c r="D236" s="69"/>
      <c r="H236" s="70"/>
      <c r="K236" s="70"/>
      <c r="L236" s="71"/>
      <c r="M236" s="72"/>
      <c r="P236" s="72"/>
    </row>
    <row r="237" hidden="1">
      <c r="B237" s="68"/>
      <c r="D237" s="69"/>
      <c r="H237" s="70"/>
      <c r="K237" s="70"/>
      <c r="L237" s="71"/>
      <c r="M237" s="72"/>
      <c r="P237" s="72"/>
    </row>
    <row r="238" hidden="1">
      <c r="B238" s="68"/>
      <c r="D238" s="69"/>
      <c r="H238" s="70"/>
      <c r="K238" s="70"/>
      <c r="L238" s="71"/>
      <c r="M238" s="72"/>
      <c r="P238" s="72"/>
    </row>
    <row r="239" hidden="1">
      <c r="B239" s="68"/>
      <c r="D239" s="69"/>
      <c r="H239" s="70"/>
      <c r="K239" s="70"/>
      <c r="L239" s="71"/>
      <c r="M239" s="72"/>
      <c r="P239" s="72"/>
    </row>
    <row r="240" hidden="1">
      <c r="B240" s="68"/>
      <c r="D240" s="69"/>
      <c r="H240" s="70"/>
      <c r="K240" s="70"/>
      <c r="L240" s="71"/>
      <c r="M240" s="72"/>
      <c r="P240" s="72"/>
    </row>
    <row r="241" hidden="1">
      <c r="B241" s="68"/>
      <c r="D241" s="69"/>
      <c r="H241" s="70"/>
      <c r="K241" s="70"/>
      <c r="L241" s="71"/>
      <c r="M241" s="72"/>
      <c r="P241" s="72"/>
    </row>
    <row r="242" hidden="1">
      <c r="B242" s="68"/>
      <c r="D242" s="69"/>
      <c r="H242" s="70"/>
      <c r="K242" s="70"/>
      <c r="L242" s="71"/>
      <c r="M242" s="72"/>
      <c r="P242" s="72"/>
    </row>
    <row r="243" hidden="1">
      <c r="B243" s="68"/>
      <c r="D243" s="69"/>
      <c r="H243" s="70"/>
      <c r="K243" s="70"/>
      <c r="L243" s="71"/>
      <c r="M243" s="72"/>
      <c r="P243" s="72"/>
    </row>
    <row r="244" hidden="1">
      <c r="B244" s="68"/>
      <c r="D244" s="69"/>
      <c r="H244" s="70"/>
      <c r="K244" s="70"/>
      <c r="L244" s="71"/>
      <c r="M244" s="72"/>
      <c r="P244" s="72"/>
    </row>
    <row r="245" hidden="1">
      <c r="B245" s="68"/>
      <c r="D245" s="69"/>
      <c r="H245" s="70"/>
      <c r="K245" s="70"/>
      <c r="L245" s="71"/>
      <c r="M245" s="72"/>
      <c r="P245" s="72"/>
    </row>
    <row r="246" hidden="1">
      <c r="B246" s="68"/>
      <c r="D246" s="69"/>
      <c r="H246" s="70"/>
      <c r="K246" s="70"/>
      <c r="L246" s="71"/>
      <c r="M246" s="72"/>
      <c r="P246" s="72"/>
    </row>
    <row r="247" hidden="1">
      <c r="B247" s="68"/>
      <c r="D247" s="69"/>
      <c r="H247" s="70"/>
      <c r="K247" s="70"/>
      <c r="L247" s="71"/>
      <c r="M247" s="72"/>
      <c r="P247" s="72"/>
    </row>
    <row r="248" hidden="1">
      <c r="B248" s="68"/>
      <c r="D248" s="69"/>
      <c r="H248" s="70"/>
      <c r="K248" s="70"/>
      <c r="L248" s="71"/>
      <c r="M248" s="72"/>
      <c r="P248" s="72"/>
    </row>
    <row r="249" hidden="1">
      <c r="B249" s="68"/>
      <c r="D249" s="69"/>
      <c r="H249" s="70"/>
      <c r="K249" s="70"/>
      <c r="L249" s="71"/>
      <c r="M249" s="72"/>
      <c r="P249" s="72"/>
    </row>
    <row r="250" hidden="1">
      <c r="B250" s="68"/>
      <c r="D250" s="69"/>
      <c r="H250" s="70"/>
      <c r="K250" s="70"/>
      <c r="L250" s="71"/>
      <c r="M250" s="72"/>
      <c r="P250" s="72"/>
    </row>
    <row r="251" hidden="1">
      <c r="B251" s="68"/>
      <c r="D251" s="69"/>
      <c r="H251" s="70"/>
      <c r="K251" s="70"/>
      <c r="L251" s="71"/>
      <c r="M251" s="72"/>
      <c r="P251" s="72"/>
    </row>
    <row r="252" hidden="1">
      <c r="B252" s="68"/>
      <c r="D252" s="69"/>
      <c r="H252" s="70"/>
      <c r="K252" s="70"/>
      <c r="L252" s="71"/>
      <c r="M252" s="72"/>
      <c r="P252" s="72"/>
    </row>
    <row r="253" hidden="1">
      <c r="B253" s="68"/>
      <c r="D253" s="69"/>
      <c r="H253" s="70"/>
      <c r="K253" s="70"/>
      <c r="L253" s="71"/>
      <c r="M253" s="72"/>
      <c r="P253" s="72"/>
    </row>
    <row r="254" hidden="1">
      <c r="B254" s="68"/>
      <c r="D254" s="69"/>
      <c r="H254" s="70"/>
      <c r="K254" s="70"/>
      <c r="L254" s="71"/>
      <c r="M254" s="72"/>
      <c r="P254" s="72"/>
    </row>
    <row r="255" hidden="1">
      <c r="B255" s="68"/>
      <c r="D255" s="69"/>
      <c r="H255" s="70"/>
      <c r="K255" s="70"/>
      <c r="L255" s="71"/>
      <c r="M255" s="72"/>
      <c r="P255" s="72"/>
    </row>
    <row r="256" hidden="1">
      <c r="B256" s="68"/>
      <c r="D256" s="69"/>
      <c r="H256" s="70"/>
      <c r="K256" s="70"/>
      <c r="L256" s="71"/>
      <c r="M256" s="72"/>
      <c r="P256" s="72"/>
    </row>
    <row r="257" hidden="1">
      <c r="B257" s="68"/>
      <c r="D257" s="69"/>
      <c r="H257" s="70"/>
      <c r="K257" s="70"/>
      <c r="L257" s="71"/>
      <c r="M257" s="72"/>
      <c r="P257" s="72"/>
    </row>
    <row r="258" hidden="1">
      <c r="B258" s="68"/>
      <c r="D258" s="69"/>
      <c r="H258" s="70"/>
      <c r="K258" s="70"/>
      <c r="L258" s="71"/>
      <c r="M258" s="72"/>
      <c r="P258" s="72"/>
    </row>
    <row r="259" hidden="1">
      <c r="B259" s="68"/>
      <c r="D259" s="69"/>
      <c r="H259" s="70"/>
      <c r="K259" s="70"/>
      <c r="L259" s="71"/>
      <c r="M259" s="72"/>
      <c r="P259" s="72"/>
    </row>
    <row r="260" hidden="1">
      <c r="B260" s="68"/>
      <c r="D260" s="69"/>
      <c r="H260" s="70"/>
      <c r="K260" s="70"/>
      <c r="L260" s="71"/>
      <c r="M260" s="72"/>
      <c r="P260" s="72"/>
    </row>
    <row r="261" hidden="1">
      <c r="B261" s="68"/>
      <c r="D261" s="69"/>
      <c r="H261" s="70"/>
      <c r="K261" s="70"/>
      <c r="L261" s="71"/>
      <c r="M261" s="72"/>
      <c r="P261" s="72"/>
    </row>
    <row r="262" hidden="1">
      <c r="B262" s="68"/>
      <c r="D262" s="69"/>
      <c r="H262" s="70"/>
      <c r="K262" s="70"/>
      <c r="L262" s="71"/>
      <c r="M262" s="72"/>
      <c r="P262" s="72"/>
    </row>
    <row r="263" hidden="1">
      <c r="B263" s="68"/>
      <c r="D263" s="69"/>
      <c r="H263" s="70"/>
      <c r="K263" s="70"/>
      <c r="L263" s="71"/>
      <c r="M263" s="72"/>
      <c r="P263" s="72"/>
    </row>
    <row r="264" hidden="1">
      <c r="B264" s="68"/>
      <c r="D264" s="69"/>
      <c r="H264" s="70"/>
      <c r="K264" s="70"/>
      <c r="L264" s="71"/>
      <c r="M264" s="72"/>
      <c r="P264" s="72"/>
    </row>
    <row r="265" hidden="1">
      <c r="B265" s="68"/>
      <c r="D265" s="69"/>
      <c r="H265" s="70"/>
      <c r="K265" s="70"/>
      <c r="L265" s="71"/>
      <c r="M265" s="72"/>
      <c r="P265" s="72"/>
    </row>
    <row r="266" hidden="1">
      <c r="B266" s="68"/>
      <c r="D266" s="69"/>
      <c r="H266" s="70"/>
      <c r="K266" s="70"/>
      <c r="L266" s="71"/>
      <c r="M266" s="72"/>
      <c r="P266" s="72"/>
    </row>
    <row r="267" hidden="1">
      <c r="B267" s="68"/>
      <c r="D267" s="69"/>
      <c r="H267" s="70"/>
      <c r="K267" s="70"/>
      <c r="L267" s="71"/>
      <c r="M267" s="72"/>
      <c r="P267" s="72"/>
    </row>
    <row r="268" hidden="1">
      <c r="B268" s="68"/>
      <c r="D268" s="69"/>
      <c r="H268" s="70"/>
      <c r="K268" s="70"/>
      <c r="L268" s="71"/>
      <c r="M268" s="72"/>
      <c r="P268" s="72"/>
    </row>
    <row r="269" hidden="1">
      <c r="B269" s="68"/>
      <c r="D269" s="69"/>
      <c r="H269" s="70"/>
      <c r="K269" s="70"/>
      <c r="L269" s="71"/>
      <c r="M269" s="72"/>
      <c r="P269" s="72"/>
    </row>
    <row r="270" hidden="1">
      <c r="B270" s="68"/>
      <c r="D270" s="69"/>
      <c r="H270" s="70"/>
      <c r="K270" s="70"/>
      <c r="L270" s="71"/>
      <c r="M270" s="72"/>
      <c r="P270" s="72"/>
    </row>
    <row r="271" hidden="1">
      <c r="B271" s="68"/>
      <c r="D271" s="69"/>
      <c r="H271" s="70"/>
      <c r="K271" s="70"/>
      <c r="L271" s="71"/>
      <c r="M271" s="72"/>
      <c r="P271" s="72"/>
    </row>
    <row r="272" hidden="1">
      <c r="B272" s="68"/>
      <c r="D272" s="69"/>
      <c r="H272" s="70"/>
      <c r="K272" s="70"/>
      <c r="L272" s="71"/>
      <c r="M272" s="72"/>
      <c r="P272" s="72"/>
    </row>
    <row r="273" hidden="1">
      <c r="B273" s="68"/>
      <c r="D273" s="69"/>
      <c r="H273" s="70"/>
      <c r="K273" s="70"/>
      <c r="L273" s="71"/>
      <c r="M273" s="72"/>
      <c r="P273" s="72"/>
    </row>
    <row r="274" hidden="1">
      <c r="B274" s="68"/>
      <c r="D274" s="69"/>
      <c r="H274" s="70"/>
      <c r="K274" s="70"/>
      <c r="L274" s="71"/>
      <c r="M274" s="72"/>
      <c r="P274" s="72"/>
    </row>
    <row r="275" hidden="1">
      <c r="B275" s="68"/>
      <c r="D275" s="69"/>
      <c r="H275" s="70"/>
      <c r="K275" s="70"/>
      <c r="L275" s="71"/>
      <c r="M275" s="72"/>
      <c r="P275" s="72"/>
    </row>
    <row r="276" hidden="1">
      <c r="B276" s="68"/>
      <c r="D276" s="69"/>
      <c r="H276" s="70"/>
      <c r="K276" s="70"/>
      <c r="L276" s="71"/>
      <c r="M276" s="72"/>
      <c r="P276" s="72"/>
    </row>
    <row r="277" hidden="1">
      <c r="B277" s="68"/>
      <c r="D277" s="69"/>
      <c r="H277" s="70"/>
      <c r="K277" s="70"/>
      <c r="L277" s="71"/>
      <c r="M277" s="72"/>
      <c r="P277" s="72"/>
    </row>
    <row r="278" hidden="1">
      <c r="B278" s="68"/>
      <c r="D278" s="69"/>
      <c r="H278" s="70"/>
      <c r="K278" s="70"/>
      <c r="L278" s="71"/>
      <c r="M278" s="72"/>
      <c r="P278" s="72"/>
    </row>
    <row r="279" hidden="1">
      <c r="B279" s="68"/>
      <c r="D279" s="69"/>
      <c r="H279" s="70"/>
      <c r="K279" s="70"/>
      <c r="L279" s="71"/>
      <c r="M279" s="72"/>
      <c r="P279" s="72"/>
    </row>
    <row r="280" hidden="1">
      <c r="B280" s="68"/>
      <c r="D280" s="69"/>
      <c r="H280" s="70"/>
      <c r="K280" s="70"/>
      <c r="L280" s="71"/>
      <c r="M280" s="72"/>
      <c r="P280" s="72"/>
    </row>
    <row r="281" hidden="1">
      <c r="B281" s="68"/>
      <c r="D281" s="69"/>
      <c r="H281" s="70"/>
      <c r="K281" s="70"/>
      <c r="L281" s="71"/>
      <c r="M281" s="72"/>
      <c r="P281" s="72"/>
    </row>
    <row r="282" hidden="1">
      <c r="B282" s="68"/>
      <c r="D282" s="69"/>
      <c r="H282" s="70"/>
      <c r="K282" s="70"/>
      <c r="L282" s="71"/>
      <c r="M282" s="72"/>
      <c r="P282" s="72"/>
    </row>
    <row r="283" hidden="1">
      <c r="B283" s="68"/>
      <c r="D283" s="69"/>
      <c r="H283" s="70"/>
      <c r="K283" s="70"/>
      <c r="L283" s="71"/>
      <c r="M283" s="72"/>
      <c r="P283" s="72"/>
    </row>
    <row r="284" hidden="1">
      <c r="B284" s="68"/>
      <c r="D284" s="69"/>
      <c r="H284" s="70"/>
      <c r="K284" s="70"/>
      <c r="L284" s="71"/>
      <c r="M284" s="72"/>
      <c r="P284" s="72"/>
    </row>
    <row r="285" hidden="1">
      <c r="B285" s="68"/>
      <c r="D285" s="69"/>
      <c r="H285" s="70"/>
      <c r="K285" s="70"/>
      <c r="L285" s="71"/>
      <c r="M285" s="72"/>
      <c r="P285" s="72"/>
    </row>
    <row r="286" hidden="1">
      <c r="B286" s="68"/>
      <c r="D286" s="69"/>
      <c r="H286" s="70"/>
      <c r="K286" s="70"/>
      <c r="L286" s="71"/>
      <c r="M286" s="72"/>
      <c r="P286" s="72"/>
    </row>
    <row r="287" hidden="1">
      <c r="B287" s="68"/>
      <c r="D287" s="69"/>
      <c r="H287" s="70"/>
      <c r="K287" s="70"/>
      <c r="L287" s="71"/>
      <c r="M287" s="72"/>
      <c r="P287" s="72"/>
    </row>
    <row r="288" hidden="1">
      <c r="B288" s="68"/>
      <c r="D288" s="69"/>
      <c r="H288" s="70"/>
      <c r="K288" s="70"/>
      <c r="L288" s="71"/>
      <c r="M288" s="72"/>
      <c r="P288" s="72"/>
    </row>
    <row r="289" hidden="1">
      <c r="B289" s="68"/>
      <c r="D289" s="69"/>
      <c r="H289" s="70"/>
      <c r="K289" s="70"/>
      <c r="L289" s="71"/>
      <c r="M289" s="72"/>
      <c r="P289" s="72"/>
    </row>
    <row r="290" hidden="1">
      <c r="B290" s="68"/>
      <c r="D290" s="69"/>
      <c r="H290" s="70"/>
      <c r="K290" s="70"/>
      <c r="L290" s="71"/>
      <c r="M290" s="72"/>
      <c r="P290" s="72"/>
    </row>
    <row r="291" hidden="1">
      <c r="B291" s="68"/>
      <c r="D291" s="69"/>
      <c r="H291" s="70"/>
      <c r="K291" s="70"/>
      <c r="L291" s="71"/>
      <c r="M291" s="72"/>
      <c r="P291" s="72"/>
    </row>
    <row r="292" hidden="1">
      <c r="B292" s="68"/>
      <c r="D292" s="69"/>
      <c r="H292" s="70"/>
      <c r="K292" s="70"/>
      <c r="L292" s="71"/>
      <c r="M292" s="72"/>
      <c r="P292" s="72"/>
    </row>
    <row r="293" hidden="1">
      <c r="B293" s="68"/>
      <c r="D293" s="69"/>
      <c r="H293" s="70"/>
      <c r="K293" s="70"/>
      <c r="L293" s="71"/>
      <c r="M293" s="72"/>
      <c r="P293" s="72"/>
    </row>
    <row r="294" hidden="1">
      <c r="B294" s="68"/>
      <c r="D294" s="69"/>
      <c r="H294" s="70"/>
      <c r="K294" s="70"/>
      <c r="L294" s="71"/>
      <c r="M294" s="72"/>
      <c r="P294" s="72"/>
    </row>
    <row r="295" hidden="1">
      <c r="B295" s="68"/>
      <c r="D295" s="69"/>
      <c r="H295" s="70"/>
      <c r="K295" s="70"/>
      <c r="L295" s="71"/>
      <c r="M295" s="72"/>
      <c r="P295" s="72"/>
    </row>
    <row r="296" hidden="1">
      <c r="B296" s="68"/>
      <c r="D296" s="69"/>
      <c r="H296" s="70"/>
      <c r="K296" s="70"/>
      <c r="L296" s="71"/>
      <c r="M296" s="72"/>
      <c r="P296" s="72"/>
    </row>
    <row r="297" hidden="1">
      <c r="B297" s="68"/>
      <c r="D297" s="69"/>
      <c r="H297" s="70"/>
      <c r="K297" s="70"/>
      <c r="L297" s="71"/>
      <c r="M297" s="72"/>
      <c r="P297" s="72"/>
    </row>
    <row r="298" hidden="1">
      <c r="B298" s="68"/>
      <c r="D298" s="69"/>
      <c r="H298" s="70"/>
      <c r="K298" s="70"/>
      <c r="L298" s="71"/>
      <c r="M298" s="72"/>
      <c r="P298" s="72"/>
    </row>
    <row r="299" hidden="1">
      <c r="B299" s="68"/>
      <c r="D299" s="69"/>
      <c r="H299" s="70"/>
      <c r="K299" s="70"/>
      <c r="L299" s="71"/>
      <c r="M299" s="72"/>
      <c r="P299" s="72"/>
    </row>
    <row r="300" hidden="1">
      <c r="B300" s="68"/>
      <c r="D300" s="69"/>
      <c r="H300" s="70"/>
      <c r="K300" s="70"/>
      <c r="L300" s="71"/>
      <c r="M300" s="72"/>
      <c r="P300" s="72"/>
    </row>
    <row r="301" hidden="1">
      <c r="B301" s="68"/>
      <c r="D301" s="69"/>
      <c r="H301" s="70"/>
      <c r="K301" s="70"/>
      <c r="L301" s="71"/>
      <c r="M301" s="72"/>
      <c r="P301" s="72"/>
    </row>
    <row r="302" hidden="1">
      <c r="B302" s="68"/>
      <c r="D302" s="69"/>
      <c r="H302" s="70"/>
      <c r="K302" s="70"/>
      <c r="L302" s="71"/>
      <c r="M302" s="72"/>
      <c r="P302" s="72"/>
    </row>
    <row r="303" hidden="1">
      <c r="B303" s="68"/>
      <c r="D303" s="69"/>
      <c r="H303" s="70"/>
      <c r="K303" s="70"/>
      <c r="L303" s="71"/>
      <c r="M303" s="72"/>
      <c r="P303" s="72"/>
    </row>
    <row r="304" hidden="1">
      <c r="B304" s="68"/>
      <c r="D304" s="69"/>
      <c r="H304" s="70"/>
      <c r="K304" s="70"/>
      <c r="L304" s="71"/>
      <c r="M304" s="72"/>
      <c r="P304" s="72"/>
    </row>
    <row r="305" hidden="1">
      <c r="B305" s="68"/>
      <c r="D305" s="69"/>
      <c r="H305" s="70"/>
      <c r="K305" s="70"/>
      <c r="L305" s="71"/>
      <c r="M305" s="72"/>
      <c r="P305" s="72"/>
    </row>
    <row r="306" hidden="1">
      <c r="B306" s="68"/>
      <c r="D306" s="69"/>
      <c r="H306" s="70"/>
      <c r="K306" s="70"/>
      <c r="L306" s="71"/>
      <c r="M306" s="72"/>
      <c r="P306" s="72"/>
    </row>
    <row r="307" hidden="1">
      <c r="B307" s="68"/>
      <c r="D307" s="69"/>
      <c r="H307" s="70"/>
      <c r="K307" s="70"/>
      <c r="L307" s="71"/>
      <c r="M307" s="72"/>
      <c r="P307" s="72"/>
    </row>
    <row r="308" hidden="1">
      <c r="B308" s="68"/>
      <c r="D308" s="69"/>
      <c r="H308" s="70"/>
      <c r="K308" s="70"/>
      <c r="L308" s="71"/>
      <c r="M308" s="72"/>
      <c r="P308" s="72"/>
    </row>
    <row r="309" hidden="1">
      <c r="B309" s="68"/>
      <c r="D309" s="69"/>
      <c r="H309" s="70"/>
      <c r="K309" s="70"/>
      <c r="L309" s="71"/>
      <c r="M309" s="72"/>
      <c r="P309" s="72"/>
    </row>
    <row r="310" hidden="1">
      <c r="B310" s="68"/>
      <c r="D310" s="69"/>
      <c r="H310" s="70"/>
      <c r="K310" s="70"/>
      <c r="L310" s="71"/>
      <c r="M310" s="72"/>
      <c r="P310" s="72"/>
    </row>
    <row r="311" hidden="1">
      <c r="B311" s="68"/>
      <c r="D311" s="69"/>
      <c r="H311" s="70"/>
      <c r="K311" s="70"/>
      <c r="L311" s="71"/>
      <c r="M311" s="72"/>
      <c r="P311" s="72"/>
    </row>
    <row r="312" hidden="1">
      <c r="B312" s="68"/>
      <c r="D312" s="69"/>
      <c r="H312" s="70"/>
      <c r="K312" s="70"/>
      <c r="L312" s="71"/>
      <c r="M312" s="72"/>
      <c r="P312" s="72"/>
    </row>
    <row r="313" hidden="1">
      <c r="B313" s="68"/>
      <c r="D313" s="69"/>
      <c r="H313" s="70"/>
      <c r="K313" s="70"/>
      <c r="L313" s="71"/>
      <c r="M313" s="72"/>
      <c r="P313" s="72"/>
    </row>
    <row r="314" hidden="1">
      <c r="B314" s="68"/>
      <c r="D314" s="69"/>
      <c r="H314" s="70"/>
      <c r="K314" s="70"/>
      <c r="L314" s="71"/>
      <c r="M314" s="72"/>
      <c r="P314" s="72"/>
    </row>
    <row r="315" hidden="1">
      <c r="B315" s="68"/>
      <c r="D315" s="69"/>
      <c r="H315" s="70"/>
      <c r="K315" s="70"/>
      <c r="L315" s="71"/>
      <c r="M315" s="72"/>
      <c r="P315" s="72"/>
    </row>
    <row r="316" hidden="1">
      <c r="B316" s="68"/>
      <c r="D316" s="69"/>
      <c r="H316" s="70"/>
      <c r="K316" s="70"/>
      <c r="L316" s="71"/>
      <c r="M316" s="72"/>
      <c r="P316" s="72"/>
    </row>
    <row r="317" hidden="1">
      <c r="B317" s="68"/>
      <c r="D317" s="69"/>
      <c r="H317" s="70"/>
      <c r="K317" s="70"/>
      <c r="L317" s="71"/>
      <c r="M317" s="72"/>
      <c r="P317" s="72"/>
    </row>
    <row r="318" hidden="1">
      <c r="B318" s="68"/>
      <c r="D318" s="69"/>
      <c r="H318" s="70"/>
      <c r="K318" s="70"/>
      <c r="L318" s="71"/>
      <c r="M318" s="72"/>
      <c r="P318" s="72"/>
    </row>
    <row r="319" hidden="1">
      <c r="B319" s="68"/>
      <c r="D319" s="69"/>
      <c r="H319" s="70"/>
      <c r="K319" s="70"/>
      <c r="L319" s="71"/>
      <c r="M319" s="72"/>
      <c r="P319" s="72"/>
    </row>
    <row r="320" hidden="1">
      <c r="B320" s="68"/>
      <c r="D320" s="69"/>
      <c r="H320" s="70"/>
      <c r="K320" s="70"/>
      <c r="L320" s="71"/>
      <c r="M320" s="72"/>
      <c r="P320" s="72"/>
    </row>
    <row r="321" hidden="1">
      <c r="B321" s="68"/>
      <c r="D321" s="69"/>
      <c r="H321" s="70"/>
      <c r="K321" s="70"/>
      <c r="L321" s="71"/>
      <c r="M321" s="72"/>
      <c r="P321" s="72"/>
    </row>
    <row r="322" hidden="1">
      <c r="B322" s="68"/>
      <c r="D322" s="69"/>
      <c r="H322" s="70"/>
      <c r="K322" s="70"/>
      <c r="L322" s="71"/>
      <c r="M322" s="72"/>
      <c r="P322" s="72"/>
    </row>
    <row r="323" hidden="1">
      <c r="B323" s="68"/>
      <c r="D323" s="69"/>
      <c r="H323" s="70"/>
      <c r="K323" s="70"/>
      <c r="L323" s="71"/>
      <c r="M323" s="72"/>
      <c r="P323" s="72"/>
    </row>
    <row r="324" hidden="1">
      <c r="B324" s="68"/>
      <c r="D324" s="69"/>
      <c r="H324" s="70"/>
      <c r="K324" s="70"/>
      <c r="L324" s="71"/>
      <c r="M324" s="72"/>
      <c r="P324" s="72"/>
    </row>
    <row r="325" hidden="1">
      <c r="B325" s="68"/>
      <c r="D325" s="69"/>
      <c r="H325" s="70"/>
      <c r="K325" s="70"/>
      <c r="L325" s="71"/>
      <c r="M325" s="72"/>
      <c r="P325" s="72"/>
    </row>
    <row r="326" hidden="1">
      <c r="B326" s="68"/>
      <c r="D326" s="69"/>
      <c r="H326" s="70"/>
      <c r="K326" s="70"/>
      <c r="L326" s="71"/>
      <c r="M326" s="72"/>
      <c r="P326" s="72"/>
    </row>
    <row r="327" hidden="1">
      <c r="B327" s="68"/>
      <c r="D327" s="69"/>
      <c r="H327" s="70"/>
      <c r="K327" s="70"/>
      <c r="L327" s="71"/>
      <c r="M327" s="72"/>
      <c r="P327" s="72"/>
    </row>
    <row r="328" hidden="1">
      <c r="B328" s="68"/>
      <c r="D328" s="69"/>
      <c r="H328" s="70"/>
      <c r="K328" s="70"/>
      <c r="L328" s="71"/>
      <c r="M328" s="72"/>
      <c r="P328" s="72"/>
    </row>
    <row r="329" hidden="1">
      <c r="B329" s="68"/>
      <c r="D329" s="69"/>
      <c r="H329" s="70"/>
      <c r="K329" s="70"/>
      <c r="L329" s="71"/>
      <c r="M329" s="72"/>
      <c r="P329" s="72"/>
    </row>
    <row r="330" hidden="1">
      <c r="B330" s="68"/>
      <c r="D330" s="69"/>
      <c r="H330" s="70"/>
      <c r="K330" s="70"/>
      <c r="L330" s="71"/>
      <c r="M330" s="72"/>
      <c r="P330" s="72"/>
    </row>
    <row r="331" hidden="1">
      <c r="B331" s="68"/>
      <c r="D331" s="69"/>
      <c r="H331" s="70"/>
      <c r="K331" s="70"/>
      <c r="L331" s="71"/>
      <c r="M331" s="72"/>
      <c r="P331" s="72"/>
    </row>
    <row r="332" hidden="1">
      <c r="B332" s="68"/>
      <c r="D332" s="69"/>
      <c r="H332" s="70"/>
      <c r="K332" s="70"/>
      <c r="L332" s="71"/>
      <c r="M332" s="72"/>
      <c r="P332" s="72"/>
    </row>
    <row r="333" hidden="1">
      <c r="B333" s="68"/>
      <c r="D333" s="69"/>
      <c r="H333" s="70"/>
      <c r="K333" s="70"/>
      <c r="L333" s="71"/>
      <c r="M333" s="72"/>
      <c r="P333" s="72"/>
    </row>
    <row r="334" hidden="1">
      <c r="B334" s="68"/>
      <c r="D334" s="69"/>
      <c r="H334" s="70"/>
      <c r="K334" s="70"/>
      <c r="L334" s="71"/>
      <c r="M334" s="72"/>
      <c r="P334" s="72"/>
    </row>
    <row r="335" hidden="1">
      <c r="B335" s="68"/>
      <c r="D335" s="69"/>
      <c r="H335" s="70"/>
      <c r="K335" s="70"/>
      <c r="L335" s="71"/>
      <c r="M335" s="72"/>
      <c r="P335" s="72"/>
    </row>
    <row r="336" hidden="1">
      <c r="B336" s="68"/>
      <c r="D336" s="69"/>
      <c r="H336" s="70"/>
      <c r="K336" s="70"/>
      <c r="L336" s="71"/>
      <c r="M336" s="72"/>
      <c r="P336" s="72"/>
    </row>
    <row r="337" hidden="1">
      <c r="B337" s="68"/>
      <c r="D337" s="69"/>
      <c r="H337" s="70"/>
      <c r="K337" s="70"/>
      <c r="L337" s="71"/>
      <c r="M337" s="72"/>
      <c r="P337" s="72"/>
    </row>
    <row r="338" hidden="1">
      <c r="B338" s="68"/>
      <c r="D338" s="69"/>
      <c r="H338" s="70"/>
      <c r="K338" s="70"/>
      <c r="L338" s="71"/>
      <c r="M338" s="72"/>
      <c r="P338" s="72"/>
    </row>
    <row r="339" hidden="1">
      <c r="B339" s="68"/>
      <c r="D339" s="69"/>
      <c r="H339" s="70"/>
      <c r="K339" s="70"/>
      <c r="L339" s="71"/>
      <c r="M339" s="72"/>
      <c r="P339" s="72"/>
    </row>
    <row r="340" hidden="1">
      <c r="B340" s="68"/>
      <c r="D340" s="69"/>
      <c r="H340" s="70"/>
      <c r="K340" s="70"/>
      <c r="L340" s="71"/>
      <c r="M340" s="72"/>
      <c r="P340" s="72"/>
    </row>
    <row r="341" hidden="1">
      <c r="B341" s="68"/>
      <c r="D341" s="69"/>
      <c r="H341" s="70"/>
      <c r="K341" s="70"/>
      <c r="L341" s="71"/>
      <c r="M341" s="72"/>
      <c r="P341" s="72"/>
    </row>
    <row r="342" hidden="1">
      <c r="B342" s="68"/>
      <c r="D342" s="69"/>
      <c r="H342" s="70"/>
      <c r="K342" s="70"/>
      <c r="L342" s="71"/>
      <c r="M342" s="72"/>
      <c r="P342" s="72"/>
    </row>
    <row r="343" hidden="1">
      <c r="B343" s="68"/>
      <c r="D343" s="69"/>
      <c r="H343" s="70"/>
      <c r="K343" s="70"/>
      <c r="L343" s="71"/>
      <c r="M343" s="72"/>
      <c r="P343" s="72"/>
    </row>
    <row r="344" hidden="1">
      <c r="B344" s="68"/>
      <c r="D344" s="69"/>
      <c r="H344" s="70"/>
      <c r="K344" s="70"/>
      <c r="L344" s="71"/>
      <c r="M344" s="72"/>
      <c r="P344" s="72"/>
    </row>
    <row r="345" hidden="1">
      <c r="B345" s="68"/>
      <c r="D345" s="69"/>
      <c r="H345" s="70"/>
      <c r="K345" s="70"/>
      <c r="L345" s="71"/>
      <c r="M345" s="72"/>
      <c r="P345" s="72"/>
    </row>
    <row r="346" hidden="1">
      <c r="B346" s="68"/>
      <c r="D346" s="69"/>
      <c r="H346" s="70"/>
      <c r="K346" s="70"/>
      <c r="L346" s="71"/>
      <c r="M346" s="72"/>
      <c r="P346" s="72"/>
    </row>
    <row r="347" hidden="1">
      <c r="B347" s="68"/>
      <c r="D347" s="69"/>
      <c r="H347" s="70"/>
      <c r="K347" s="70"/>
      <c r="L347" s="71"/>
      <c r="M347" s="72"/>
      <c r="P347" s="72"/>
    </row>
    <row r="348" hidden="1">
      <c r="B348" s="68"/>
      <c r="D348" s="69"/>
      <c r="H348" s="70"/>
      <c r="K348" s="70"/>
      <c r="L348" s="71"/>
      <c r="M348" s="72"/>
      <c r="P348" s="72"/>
    </row>
    <row r="349" hidden="1">
      <c r="B349" s="68"/>
      <c r="D349" s="69"/>
      <c r="H349" s="70"/>
      <c r="K349" s="70"/>
      <c r="L349" s="71"/>
      <c r="M349" s="72"/>
      <c r="P349" s="72"/>
    </row>
    <row r="350" hidden="1">
      <c r="B350" s="68"/>
      <c r="D350" s="69"/>
      <c r="H350" s="70"/>
      <c r="K350" s="70"/>
      <c r="L350" s="71"/>
      <c r="M350" s="72"/>
      <c r="P350" s="72"/>
    </row>
    <row r="351" hidden="1">
      <c r="B351" s="68"/>
      <c r="D351" s="69"/>
      <c r="H351" s="70"/>
      <c r="K351" s="70"/>
      <c r="L351" s="71"/>
      <c r="M351" s="72"/>
      <c r="P351" s="72"/>
    </row>
    <row r="352" hidden="1">
      <c r="B352" s="68"/>
      <c r="D352" s="69"/>
      <c r="H352" s="70"/>
      <c r="K352" s="70"/>
      <c r="L352" s="71"/>
      <c r="M352" s="72"/>
      <c r="P352" s="72"/>
    </row>
    <row r="353" hidden="1">
      <c r="B353" s="68"/>
      <c r="D353" s="69"/>
      <c r="H353" s="70"/>
      <c r="K353" s="70"/>
      <c r="L353" s="71"/>
      <c r="M353" s="72"/>
      <c r="P353" s="72"/>
    </row>
    <row r="354" hidden="1">
      <c r="B354" s="68"/>
      <c r="D354" s="69"/>
      <c r="H354" s="70"/>
      <c r="K354" s="70"/>
      <c r="L354" s="71"/>
      <c r="M354" s="72"/>
      <c r="P354" s="72"/>
    </row>
    <row r="355" hidden="1">
      <c r="B355" s="68"/>
      <c r="D355" s="69"/>
      <c r="H355" s="70"/>
      <c r="K355" s="70"/>
      <c r="L355" s="71"/>
      <c r="M355" s="72"/>
      <c r="P355" s="72"/>
    </row>
    <row r="356" hidden="1">
      <c r="B356" s="68"/>
      <c r="D356" s="69"/>
      <c r="H356" s="70"/>
      <c r="K356" s="70"/>
      <c r="L356" s="71"/>
      <c r="M356" s="72"/>
      <c r="P356" s="72"/>
    </row>
    <row r="357" hidden="1">
      <c r="B357" s="68"/>
      <c r="D357" s="69"/>
      <c r="H357" s="70"/>
      <c r="K357" s="70"/>
      <c r="L357" s="71"/>
      <c r="M357" s="72"/>
      <c r="P357" s="72"/>
    </row>
    <row r="358" hidden="1">
      <c r="B358" s="68"/>
      <c r="D358" s="69"/>
      <c r="H358" s="70"/>
      <c r="K358" s="70"/>
      <c r="L358" s="71"/>
      <c r="M358" s="72"/>
      <c r="P358" s="72"/>
    </row>
    <row r="359" hidden="1">
      <c r="B359" s="68"/>
      <c r="D359" s="69"/>
      <c r="H359" s="70"/>
      <c r="K359" s="70"/>
      <c r="L359" s="71"/>
      <c r="M359" s="72"/>
      <c r="P359" s="72"/>
    </row>
    <row r="360" hidden="1">
      <c r="B360" s="68"/>
      <c r="D360" s="69"/>
      <c r="H360" s="70"/>
      <c r="K360" s="70"/>
      <c r="L360" s="71"/>
      <c r="M360" s="72"/>
      <c r="P360" s="72"/>
    </row>
    <row r="361" hidden="1">
      <c r="B361" s="68"/>
      <c r="D361" s="69"/>
      <c r="H361" s="70"/>
      <c r="K361" s="70"/>
      <c r="L361" s="71"/>
      <c r="M361" s="72"/>
      <c r="P361" s="72"/>
    </row>
    <row r="362" hidden="1">
      <c r="B362" s="68"/>
      <c r="D362" s="69"/>
      <c r="H362" s="70"/>
      <c r="K362" s="70"/>
      <c r="L362" s="71"/>
      <c r="M362" s="72"/>
      <c r="P362" s="72"/>
    </row>
    <row r="363" hidden="1">
      <c r="B363" s="68"/>
      <c r="D363" s="69"/>
      <c r="H363" s="70"/>
      <c r="K363" s="70"/>
      <c r="L363" s="71"/>
      <c r="M363" s="72"/>
      <c r="P363" s="72"/>
    </row>
    <row r="364" hidden="1">
      <c r="B364" s="68"/>
      <c r="D364" s="69"/>
      <c r="H364" s="70"/>
      <c r="K364" s="70"/>
      <c r="L364" s="71"/>
      <c r="M364" s="72"/>
      <c r="P364" s="72"/>
    </row>
    <row r="365" hidden="1">
      <c r="B365" s="68"/>
      <c r="D365" s="69"/>
      <c r="H365" s="70"/>
      <c r="K365" s="70"/>
      <c r="L365" s="71"/>
      <c r="M365" s="72"/>
      <c r="P365" s="72"/>
    </row>
    <row r="366" hidden="1">
      <c r="B366" s="68"/>
      <c r="D366" s="69"/>
      <c r="H366" s="70"/>
      <c r="K366" s="70"/>
      <c r="L366" s="71"/>
      <c r="M366" s="72"/>
      <c r="P366" s="72"/>
    </row>
    <row r="367" hidden="1">
      <c r="B367" s="68"/>
      <c r="D367" s="69"/>
      <c r="H367" s="70"/>
      <c r="K367" s="70"/>
      <c r="L367" s="71"/>
      <c r="M367" s="72"/>
      <c r="P367" s="72"/>
    </row>
    <row r="368" hidden="1">
      <c r="B368" s="68"/>
      <c r="D368" s="69"/>
      <c r="H368" s="70"/>
      <c r="K368" s="70"/>
      <c r="L368" s="71"/>
      <c r="M368" s="72"/>
      <c r="P368" s="72"/>
    </row>
    <row r="369" hidden="1">
      <c r="B369" s="68"/>
      <c r="D369" s="69"/>
      <c r="H369" s="70"/>
      <c r="K369" s="70"/>
      <c r="L369" s="71"/>
      <c r="M369" s="72"/>
      <c r="P369" s="72"/>
    </row>
    <row r="370" hidden="1">
      <c r="B370" s="68"/>
      <c r="D370" s="69"/>
      <c r="H370" s="70"/>
      <c r="K370" s="70"/>
      <c r="L370" s="71"/>
      <c r="M370" s="72"/>
      <c r="P370" s="72"/>
    </row>
    <row r="371" hidden="1">
      <c r="B371" s="68"/>
      <c r="D371" s="69"/>
      <c r="H371" s="70"/>
      <c r="K371" s="70"/>
      <c r="L371" s="71"/>
      <c r="M371" s="72"/>
      <c r="P371" s="72"/>
    </row>
    <row r="372" hidden="1">
      <c r="B372" s="68"/>
      <c r="D372" s="69"/>
      <c r="H372" s="70"/>
      <c r="K372" s="70"/>
      <c r="L372" s="71"/>
      <c r="M372" s="72"/>
      <c r="P372" s="72"/>
    </row>
    <row r="373" hidden="1">
      <c r="B373" s="68"/>
      <c r="D373" s="69"/>
      <c r="H373" s="70"/>
      <c r="K373" s="70"/>
      <c r="L373" s="71"/>
      <c r="M373" s="72"/>
      <c r="P373" s="72"/>
    </row>
    <row r="374" hidden="1">
      <c r="B374" s="68"/>
      <c r="D374" s="69"/>
      <c r="H374" s="70"/>
      <c r="K374" s="70"/>
      <c r="L374" s="71"/>
      <c r="M374" s="72"/>
      <c r="P374" s="72"/>
    </row>
    <row r="375" hidden="1">
      <c r="B375" s="68"/>
      <c r="D375" s="69"/>
      <c r="H375" s="70"/>
      <c r="K375" s="70"/>
      <c r="L375" s="71"/>
      <c r="M375" s="72"/>
      <c r="P375" s="72"/>
    </row>
    <row r="376" hidden="1">
      <c r="B376" s="68"/>
      <c r="D376" s="69"/>
      <c r="H376" s="70"/>
      <c r="K376" s="70"/>
      <c r="L376" s="71"/>
      <c r="M376" s="72"/>
      <c r="P376" s="72"/>
    </row>
    <row r="377" hidden="1">
      <c r="B377" s="68"/>
      <c r="D377" s="69"/>
      <c r="H377" s="70"/>
      <c r="K377" s="70"/>
      <c r="L377" s="71"/>
      <c r="M377" s="72"/>
      <c r="P377" s="72"/>
    </row>
    <row r="378" hidden="1">
      <c r="B378" s="68"/>
      <c r="D378" s="69"/>
      <c r="H378" s="70"/>
      <c r="K378" s="70"/>
      <c r="L378" s="71"/>
      <c r="M378" s="72"/>
      <c r="P378" s="72"/>
    </row>
    <row r="379" hidden="1">
      <c r="B379" s="68"/>
      <c r="D379" s="69"/>
      <c r="H379" s="70"/>
      <c r="K379" s="70"/>
      <c r="L379" s="71"/>
      <c r="M379" s="72"/>
      <c r="P379" s="72"/>
    </row>
    <row r="380" hidden="1">
      <c r="B380" s="68"/>
      <c r="D380" s="69"/>
      <c r="H380" s="70"/>
      <c r="K380" s="70"/>
      <c r="L380" s="71"/>
      <c r="M380" s="72"/>
      <c r="P380" s="72"/>
    </row>
    <row r="381" hidden="1">
      <c r="B381" s="68"/>
      <c r="D381" s="69"/>
      <c r="H381" s="70"/>
      <c r="K381" s="70"/>
      <c r="L381" s="71"/>
      <c r="M381" s="72"/>
      <c r="P381" s="72"/>
    </row>
    <row r="382" hidden="1">
      <c r="B382" s="68"/>
      <c r="D382" s="69"/>
      <c r="H382" s="70"/>
      <c r="K382" s="70"/>
      <c r="L382" s="71"/>
      <c r="M382" s="72"/>
      <c r="P382" s="72"/>
    </row>
    <row r="383" hidden="1">
      <c r="B383" s="68"/>
      <c r="D383" s="69"/>
      <c r="H383" s="70"/>
      <c r="K383" s="70"/>
      <c r="L383" s="71"/>
      <c r="M383" s="72"/>
      <c r="P383" s="72"/>
    </row>
    <row r="384" hidden="1">
      <c r="B384" s="68"/>
      <c r="D384" s="69"/>
      <c r="H384" s="70"/>
      <c r="K384" s="70"/>
      <c r="L384" s="71"/>
      <c r="M384" s="72"/>
      <c r="P384" s="72"/>
    </row>
    <row r="385" hidden="1">
      <c r="B385" s="68"/>
      <c r="D385" s="69"/>
      <c r="H385" s="70"/>
      <c r="K385" s="70"/>
      <c r="L385" s="71"/>
      <c r="M385" s="72"/>
      <c r="P385" s="72"/>
    </row>
    <row r="386" hidden="1">
      <c r="B386" s="68"/>
      <c r="D386" s="69"/>
      <c r="H386" s="70"/>
      <c r="K386" s="70"/>
      <c r="L386" s="71"/>
      <c r="M386" s="72"/>
      <c r="P386" s="72"/>
    </row>
    <row r="387" hidden="1">
      <c r="B387" s="68"/>
      <c r="D387" s="69"/>
      <c r="H387" s="70"/>
      <c r="K387" s="70"/>
      <c r="L387" s="71"/>
      <c r="M387" s="72"/>
      <c r="P387" s="72"/>
    </row>
    <row r="388" hidden="1">
      <c r="B388" s="68"/>
      <c r="D388" s="69"/>
      <c r="H388" s="70"/>
      <c r="K388" s="70"/>
      <c r="L388" s="71"/>
      <c r="M388" s="72"/>
      <c r="P388" s="72"/>
    </row>
    <row r="389" hidden="1">
      <c r="B389" s="68"/>
      <c r="D389" s="69"/>
      <c r="H389" s="70"/>
      <c r="K389" s="70"/>
      <c r="L389" s="71"/>
      <c r="M389" s="72"/>
      <c r="P389" s="72"/>
    </row>
    <row r="390" hidden="1">
      <c r="B390" s="68"/>
      <c r="D390" s="69"/>
      <c r="H390" s="70"/>
      <c r="K390" s="70"/>
      <c r="L390" s="71"/>
      <c r="M390" s="72"/>
      <c r="P390" s="72"/>
    </row>
    <row r="391" hidden="1">
      <c r="B391" s="68"/>
      <c r="D391" s="69"/>
      <c r="H391" s="70"/>
      <c r="K391" s="70"/>
      <c r="L391" s="71"/>
      <c r="M391" s="72"/>
      <c r="P391" s="72"/>
    </row>
    <row r="392" hidden="1">
      <c r="B392" s="68"/>
      <c r="D392" s="69"/>
      <c r="H392" s="70"/>
      <c r="K392" s="70"/>
      <c r="L392" s="71"/>
      <c r="M392" s="72"/>
      <c r="P392" s="72"/>
    </row>
    <row r="393" hidden="1">
      <c r="B393" s="68"/>
      <c r="D393" s="69"/>
      <c r="H393" s="70"/>
      <c r="K393" s="70"/>
      <c r="L393" s="71"/>
      <c r="M393" s="72"/>
      <c r="P393" s="72"/>
    </row>
    <row r="394" hidden="1">
      <c r="B394" s="68"/>
      <c r="D394" s="69"/>
      <c r="H394" s="70"/>
      <c r="K394" s="70"/>
      <c r="L394" s="71"/>
      <c r="M394" s="72"/>
      <c r="P394" s="72"/>
    </row>
    <row r="395" hidden="1">
      <c r="B395" s="68"/>
      <c r="D395" s="69"/>
      <c r="H395" s="70"/>
      <c r="K395" s="70"/>
      <c r="L395" s="71"/>
      <c r="M395" s="72"/>
      <c r="P395" s="72"/>
    </row>
    <row r="396" hidden="1">
      <c r="B396" s="68"/>
      <c r="D396" s="69"/>
      <c r="H396" s="70"/>
      <c r="K396" s="70"/>
      <c r="L396" s="71"/>
      <c r="M396" s="72"/>
      <c r="P396" s="72"/>
    </row>
    <row r="397" hidden="1">
      <c r="B397" s="68"/>
      <c r="D397" s="69"/>
      <c r="H397" s="70"/>
      <c r="K397" s="70"/>
      <c r="L397" s="71"/>
      <c r="M397" s="72"/>
      <c r="P397" s="72"/>
    </row>
    <row r="398" hidden="1">
      <c r="B398" s="68"/>
      <c r="D398" s="69"/>
      <c r="H398" s="70"/>
      <c r="K398" s="70"/>
      <c r="L398" s="71"/>
      <c r="M398" s="72"/>
      <c r="P398" s="72"/>
    </row>
    <row r="399" hidden="1">
      <c r="B399" s="68"/>
      <c r="D399" s="69"/>
      <c r="H399" s="70"/>
      <c r="K399" s="70"/>
      <c r="L399" s="71"/>
      <c r="M399" s="72"/>
      <c r="P399" s="72"/>
    </row>
    <row r="400" hidden="1">
      <c r="B400" s="68"/>
      <c r="D400" s="69"/>
      <c r="H400" s="70"/>
      <c r="K400" s="70"/>
      <c r="L400" s="71"/>
      <c r="M400" s="72"/>
      <c r="P400" s="72"/>
    </row>
    <row r="401" hidden="1">
      <c r="B401" s="68"/>
      <c r="D401" s="69"/>
      <c r="H401" s="70"/>
      <c r="K401" s="70"/>
      <c r="L401" s="71"/>
      <c r="M401" s="72"/>
      <c r="P401" s="72"/>
    </row>
    <row r="402" hidden="1">
      <c r="B402" s="68"/>
      <c r="D402" s="69"/>
      <c r="H402" s="70"/>
      <c r="K402" s="70"/>
      <c r="L402" s="71"/>
      <c r="M402" s="72"/>
      <c r="P402" s="72"/>
    </row>
    <row r="403" hidden="1">
      <c r="B403" s="68"/>
      <c r="D403" s="69"/>
      <c r="H403" s="70"/>
      <c r="K403" s="70"/>
      <c r="L403" s="71"/>
      <c r="M403" s="72"/>
      <c r="P403" s="72"/>
    </row>
    <row r="404" hidden="1">
      <c r="B404" s="68"/>
      <c r="D404" s="69"/>
      <c r="H404" s="70"/>
      <c r="K404" s="70"/>
      <c r="L404" s="71"/>
      <c r="M404" s="72"/>
      <c r="P404" s="72"/>
    </row>
    <row r="405" hidden="1">
      <c r="B405" s="68"/>
      <c r="D405" s="69"/>
      <c r="H405" s="70"/>
      <c r="K405" s="70"/>
      <c r="L405" s="71"/>
      <c r="M405" s="72"/>
      <c r="P405" s="72"/>
    </row>
    <row r="406" hidden="1">
      <c r="B406" s="68"/>
      <c r="D406" s="69"/>
      <c r="H406" s="70"/>
      <c r="K406" s="70"/>
      <c r="L406" s="71"/>
      <c r="M406" s="72"/>
      <c r="P406" s="72"/>
    </row>
    <row r="407" hidden="1">
      <c r="B407" s="68"/>
      <c r="D407" s="69"/>
      <c r="H407" s="70"/>
      <c r="K407" s="70"/>
      <c r="L407" s="71"/>
      <c r="M407" s="72"/>
      <c r="P407" s="72"/>
    </row>
    <row r="408" hidden="1">
      <c r="B408" s="68"/>
      <c r="D408" s="69"/>
      <c r="H408" s="70"/>
      <c r="K408" s="70"/>
      <c r="L408" s="71"/>
      <c r="M408" s="72"/>
      <c r="P408" s="72"/>
    </row>
    <row r="409" hidden="1">
      <c r="B409" s="68"/>
      <c r="D409" s="69"/>
      <c r="H409" s="70"/>
      <c r="K409" s="70"/>
      <c r="L409" s="71"/>
      <c r="M409" s="72"/>
      <c r="P409" s="72"/>
    </row>
    <row r="410" hidden="1">
      <c r="B410" s="68"/>
      <c r="D410" s="69"/>
      <c r="H410" s="70"/>
      <c r="K410" s="70"/>
      <c r="L410" s="71"/>
      <c r="M410" s="72"/>
      <c r="P410" s="72"/>
    </row>
    <row r="411" hidden="1">
      <c r="B411" s="68"/>
      <c r="D411" s="69"/>
      <c r="H411" s="70"/>
      <c r="K411" s="70"/>
      <c r="L411" s="71"/>
      <c r="M411" s="72"/>
      <c r="P411" s="72"/>
    </row>
    <row r="412" hidden="1">
      <c r="B412" s="68"/>
      <c r="D412" s="69"/>
      <c r="H412" s="70"/>
      <c r="K412" s="70"/>
      <c r="L412" s="71"/>
      <c r="M412" s="72"/>
      <c r="P412" s="72"/>
    </row>
    <row r="413" hidden="1">
      <c r="B413" s="68"/>
      <c r="D413" s="69"/>
      <c r="H413" s="70"/>
      <c r="K413" s="70"/>
      <c r="L413" s="71"/>
      <c r="M413" s="72"/>
      <c r="P413" s="72"/>
    </row>
    <row r="414" hidden="1">
      <c r="B414" s="68"/>
      <c r="D414" s="69"/>
      <c r="H414" s="70"/>
      <c r="K414" s="70"/>
      <c r="L414" s="71"/>
      <c r="M414" s="72"/>
      <c r="P414" s="72"/>
    </row>
    <row r="415" hidden="1">
      <c r="B415" s="68"/>
      <c r="D415" s="69"/>
      <c r="H415" s="70"/>
      <c r="K415" s="70"/>
      <c r="L415" s="71"/>
      <c r="M415" s="72"/>
      <c r="P415" s="72"/>
    </row>
    <row r="416" hidden="1">
      <c r="B416" s="68"/>
      <c r="D416" s="69"/>
      <c r="H416" s="70"/>
      <c r="K416" s="70"/>
      <c r="L416" s="71"/>
      <c r="M416" s="72"/>
      <c r="P416" s="72"/>
    </row>
    <row r="417" hidden="1">
      <c r="B417" s="68"/>
      <c r="D417" s="69"/>
      <c r="H417" s="70"/>
      <c r="K417" s="70"/>
      <c r="L417" s="71"/>
      <c r="M417" s="72"/>
      <c r="P417" s="72"/>
    </row>
    <row r="418" hidden="1">
      <c r="B418" s="68"/>
      <c r="D418" s="69"/>
      <c r="H418" s="70"/>
      <c r="K418" s="70"/>
      <c r="L418" s="71"/>
      <c r="M418" s="72"/>
      <c r="P418" s="72"/>
    </row>
    <row r="419" hidden="1">
      <c r="B419" s="68"/>
      <c r="D419" s="69"/>
      <c r="H419" s="70"/>
      <c r="K419" s="70"/>
      <c r="L419" s="71"/>
      <c r="M419" s="72"/>
      <c r="P419" s="72"/>
    </row>
    <row r="420" hidden="1">
      <c r="B420" s="68"/>
      <c r="D420" s="69"/>
      <c r="H420" s="70"/>
      <c r="K420" s="70"/>
      <c r="L420" s="71"/>
      <c r="M420" s="72"/>
      <c r="P420" s="72"/>
    </row>
    <row r="421" hidden="1">
      <c r="B421" s="68"/>
      <c r="D421" s="69"/>
      <c r="H421" s="70"/>
      <c r="K421" s="70"/>
      <c r="L421" s="71"/>
      <c r="M421" s="72"/>
      <c r="P421" s="72"/>
    </row>
    <row r="422" hidden="1">
      <c r="B422" s="68"/>
      <c r="D422" s="69"/>
      <c r="H422" s="70"/>
      <c r="K422" s="70"/>
      <c r="L422" s="71"/>
      <c r="M422" s="72"/>
      <c r="P422" s="72"/>
    </row>
    <row r="423" hidden="1">
      <c r="B423" s="68"/>
      <c r="D423" s="69"/>
      <c r="H423" s="70"/>
      <c r="K423" s="70"/>
      <c r="L423" s="71"/>
      <c r="M423" s="72"/>
      <c r="P423" s="72"/>
    </row>
    <row r="424" hidden="1">
      <c r="B424" s="68"/>
      <c r="D424" s="69"/>
      <c r="H424" s="70"/>
      <c r="K424" s="70"/>
      <c r="L424" s="71"/>
      <c r="M424" s="72"/>
      <c r="P424" s="72"/>
    </row>
    <row r="425" hidden="1">
      <c r="B425" s="68"/>
      <c r="D425" s="69"/>
      <c r="H425" s="70"/>
      <c r="K425" s="70"/>
      <c r="L425" s="71"/>
      <c r="M425" s="72"/>
      <c r="P425" s="72"/>
    </row>
    <row r="426" hidden="1">
      <c r="B426" s="68"/>
      <c r="D426" s="69"/>
      <c r="H426" s="70"/>
      <c r="K426" s="70"/>
      <c r="L426" s="71"/>
      <c r="M426" s="72"/>
      <c r="P426" s="72"/>
    </row>
    <row r="427" hidden="1">
      <c r="B427" s="68"/>
      <c r="D427" s="69"/>
      <c r="H427" s="70"/>
      <c r="K427" s="70"/>
      <c r="L427" s="71"/>
      <c r="M427" s="72"/>
      <c r="P427" s="72"/>
    </row>
    <row r="428" hidden="1">
      <c r="B428" s="68"/>
      <c r="D428" s="69"/>
      <c r="H428" s="70"/>
      <c r="K428" s="70"/>
      <c r="L428" s="71"/>
      <c r="M428" s="72"/>
      <c r="P428" s="72"/>
    </row>
    <row r="429" hidden="1">
      <c r="B429" s="68"/>
      <c r="D429" s="69"/>
      <c r="H429" s="70"/>
      <c r="K429" s="70"/>
      <c r="L429" s="71"/>
      <c r="M429" s="72"/>
      <c r="P429" s="72"/>
    </row>
    <row r="430" hidden="1">
      <c r="B430" s="68"/>
      <c r="D430" s="69"/>
      <c r="H430" s="70"/>
      <c r="K430" s="70"/>
      <c r="L430" s="71"/>
      <c r="M430" s="72"/>
      <c r="P430" s="72"/>
    </row>
    <row r="431" hidden="1">
      <c r="B431" s="68"/>
      <c r="D431" s="69"/>
      <c r="H431" s="70"/>
      <c r="K431" s="70"/>
      <c r="L431" s="71"/>
      <c r="M431" s="72"/>
      <c r="P431" s="72"/>
    </row>
    <row r="432" hidden="1">
      <c r="B432" s="68"/>
      <c r="D432" s="69"/>
      <c r="H432" s="70"/>
      <c r="K432" s="70"/>
      <c r="L432" s="71"/>
      <c r="M432" s="72"/>
      <c r="P432" s="72"/>
    </row>
    <row r="433" hidden="1">
      <c r="B433" s="68"/>
      <c r="D433" s="69"/>
      <c r="H433" s="70"/>
      <c r="K433" s="70"/>
      <c r="L433" s="71"/>
      <c r="M433" s="72"/>
      <c r="P433" s="72"/>
    </row>
    <row r="434" hidden="1">
      <c r="B434" s="68"/>
      <c r="D434" s="69"/>
      <c r="H434" s="70"/>
      <c r="K434" s="70"/>
      <c r="L434" s="71"/>
      <c r="M434" s="72"/>
      <c r="P434" s="72"/>
    </row>
    <row r="435" hidden="1">
      <c r="B435" s="68"/>
      <c r="D435" s="69"/>
      <c r="H435" s="70"/>
      <c r="K435" s="70"/>
      <c r="L435" s="71"/>
      <c r="M435" s="72"/>
      <c r="P435" s="72"/>
    </row>
    <row r="436" hidden="1">
      <c r="B436" s="68"/>
      <c r="D436" s="69"/>
      <c r="H436" s="70"/>
      <c r="K436" s="70"/>
      <c r="L436" s="71"/>
      <c r="M436" s="72"/>
      <c r="P436" s="72"/>
    </row>
    <row r="437" hidden="1">
      <c r="B437" s="68"/>
      <c r="D437" s="69"/>
      <c r="H437" s="70"/>
      <c r="K437" s="70"/>
      <c r="L437" s="71"/>
      <c r="M437" s="72"/>
      <c r="P437" s="72"/>
    </row>
    <row r="438" hidden="1">
      <c r="B438" s="68"/>
      <c r="D438" s="69"/>
      <c r="H438" s="70"/>
      <c r="K438" s="70"/>
      <c r="L438" s="71"/>
      <c r="M438" s="72"/>
      <c r="P438" s="72"/>
    </row>
    <row r="439" hidden="1">
      <c r="B439" s="68"/>
      <c r="D439" s="69"/>
      <c r="H439" s="70"/>
      <c r="K439" s="70"/>
      <c r="L439" s="71"/>
      <c r="M439" s="72"/>
      <c r="P439" s="72"/>
    </row>
    <row r="440" hidden="1">
      <c r="B440" s="68"/>
      <c r="D440" s="69"/>
      <c r="H440" s="70"/>
      <c r="K440" s="70"/>
      <c r="L440" s="71"/>
      <c r="M440" s="72"/>
      <c r="P440" s="72"/>
    </row>
    <row r="441" hidden="1">
      <c r="B441" s="68"/>
      <c r="D441" s="69"/>
      <c r="H441" s="70"/>
      <c r="K441" s="70"/>
      <c r="L441" s="71"/>
      <c r="M441" s="72"/>
      <c r="P441" s="72"/>
    </row>
    <row r="442" hidden="1">
      <c r="B442" s="68"/>
      <c r="D442" s="69"/>
      <c r="H442" s="70"/>
      <c r="K442" s="70"/>
      <c r="L442" s="71"/>
      <c r="M442" s="72"/>
      <c r="P442" s="72"/>
    </row>
    <row r="443" hidden="1">
      <c r="B443" s="68"/>
      <c r="D443" s="69"/>
      <c r="H443" s="70"/>
      <c r="K443" s="70"/>
      <c r="L443" s="71"/>
      <c r="M443" s="72"/>
      <c r="P443" s="72"/>
    </row>
    <row r="444" hidden="1">
      <c r="B444" s="68"/>
      <c r="D444" s="69"/>
      <c r="H444" s="70"/>
      <c r="K444" s="70"/>
      <c r="L444" s="71"/>
      <c r="M444" s="72"/>
      <c r="P444" s="72"/>
    </row>
    <row r="445" hidden="1">
      <c r="B445" s="68"/>
      <c r="D445" s="69"/>
      <c r="H445" s="70"/>
      <c r="K445" s="70"/>
      <c r="L445" s="71"/>
      <c r="M445" s="72"/>
      <c r="P445" s="72"/>
    </row>
    <row r="446" hidden="1">
      <c r="B446" s="68"/>
      <c r="D446" s="69"/>
      <c r="H446" s="70"/>
      <c r="K446" s="70"/>
      <c r="L446" s="71"/>
      <c r="M446" s="72"/>
      <c r="P446" s="72"/>
    </row>
    <row r="447" hidden="1">
      <c r="B447" s="68"/>
      <c r="D447" s="69"/>
      <c r="H447" s="70"/>
      <c r="K447" s="70"/>
      <c r="L447" s="71"/>
      <c r="M447" s="72"/>
      <c r="P447" s="72"/>
    </row>
    <row r="448" hidden="1">
      <c r="B448" s="68"/>
      <c r="D448" s="69"/>
      <c r="H448" s="70"/>
      <c r="K448" s="70"/>
      <c r="L448" s="71"/>
      <c r="M448" s="72"/>
      <c r="P448" s="72"/>
    </row>
    <row r="449" hidden="1">
      <c r="B449" s="68"/>
      <c r="D449" s="69"/>
      <c r="H449" s="70"/>
      <c r="K449" s="70"/>
      <c r="L449" s="71"/>
      <c r="M449" s="72"/>
      <c r="P449" s="72"/>
    </row>
    <row r="450" hidden="1">
      <c r="B450" s="68"/>
      <c r="D450" s="69"/>
      <c r="H450" s="70"/>
      <c r="K450" s="70"/>
      <c r="L450" s="71"/>
      <c r="M450" s="72"/>
      <c r="P450" s="72"/>
    </row>
    <row r="451" hidden="1">
      <c r="B451" s="68"/>
      <c r="D451" s="69"/>
      <c r="H451" s="70"/>
      <c r="K451" s="70"/>
      <c r="L451" s="71"/>
      <c r="M451" s="72"/>
      <c r="P451" s="72"/>
    </row>
    <row r="452" hidden="1">
      <c r="B452" s="68"/>
      <c r="D452" s="69"/>
      <c r="H452" s="70"/>
      <c r="K452" s="70"/>
      <c r="L452" s="71"/>
      <c r="M452" s="72"/>
      <c r="P452" s="72"/>
    </row>
    <row r="453" hidden="1">
      <c r="B453" s="68"/>
      <c r="D453" s="69"/>
      <c r="H453" s="70"/>
      <c r="K453" s="70"/>
      <c r="L453" s="71"/>
      <c r="M453" s="72"/>
      <c r="P453" s="72"/>
    </row>
    <row r="454" hidden="1">
      <c r="B454" s="68"/>
      <c r="D454" s="69"/>
      <c r="H454" s="70"/>
      <c r="K454" s="70"/>
      <c r="L454" s="71"/>
      <c r="M454" s="72"/>
      <c r="P454" s="72"/>
    </row>
    <row r="455" hidden="1">
      <c r="B455" s="68"/>
      <c r="D455" s="69"/>
      <c r="H455" s="70"/>
      <c r="K455" s="70"/>
      <c r="L455" s="71"/>
      <c r="M455" s="72"/>
      <c r="P455" s="72"/>
    </row>
    <row r="456" hidden="1">
      <c r="B456" s="68"/>
      <c r="D456" s="69"/>
      <c r="H456" s="70"/>
      <c r="K456" s="70"/>
      <c r="L456" s="71"/>
      <c r="M456" s="72"/>
      <c r="P456" s="72"/>
    </row>
    <row r="457" hidden="1">
      <c r="B457" s="68"/>
      <c r="D457" s="69"/>
      <c r="H457" s="70"/>
      <c r="K457" s="70"/>
      <c r="L457" s="71"/>
      <c r="M457" s="72"/>
      <c r="P457" s="72"/>
    </row>
    <row r="458" hidden="1">
      <c r="B458" s="68"/>
      <c r="D458" s="69"/>
      <c r="H458" s="70"/>
      <c r="K458" s="70"/>
      <c r="L458" s="71"/>
      <c r="M458" s="72"/>
      <c r="P458" s="72"/>
    </row>
    <row r="459" hidden="1">
      <c r="B459" s="68"/>
      <c r="D459" s="69"/>
      <c r="H459" s="70"/>
      <c r="K459" s="70"/>
      <c r="L459" s="71"/>
      <c r="M459" s="72"/>
      <c r="P459" s="72"/>
    </row>
    <row r="460" hidden="1">
      <c r="B460" s="68"/>
      <c r="D460" s="69"/>
      <c r="H460" s="70"/>
      <c r="K460" s="70"/>
      <c r="L460" s="71"/>
      <c r="M460" s="72"/>
      <c r="P460" s="72"/>
    </row>
    <row r="461" hidden="1">
      <c r="B461" s="68"/>
      <c r="D461" s="69"/>
      <c r="H461" s="70"/>
      <c r="K461" s="70"/>
      <c r="L461" s="71"/>
      <c r="M461" s="72"/>
      <c r="P461" s="72"/>
    </row>
    <row r="462" hidden="1">
      <c r="B462" s="68"/>
      <c r="D462" s="69"/>
      <c r="H462" s="70"/>
      <c r="K462" s="70"/>
      <c r="L462" s="71"/>
      <c r="M462" s="72"/>
      <c r="P462" s="72"/>
    </row>
    <row r="463" hidden="1">
      <c r="B463" s="68"/>
      <c r="D463" s="69"/>
      <c r="H463" s="70"/>
      <c r="K463" s="70"/>
      <c r="L463" s="71"/>
      <c r="M463" s="72"/>
      <c r="P463" s="72"/>
    </row>
    <row r="464" hidden="1">
      <c r="B464" s="68"/>
      <c r="D464" s="69"/>
      <c r="H464" s="70"/>
      <c r="K464" s="70"/>
      <c r="L464" s="71"/>
      <c r="M464" s="72"/>
      <c r="P464" s="72"/>
    </row>
    <row r="465" hidden="1">
      <c r="B465" s="68"/>
      <c r="D465" s="69"/>
      <c r="H465" s="70"/>
      <c r="K465" s="70"/>
      <c r="L465" s="71"/>
      <c r="M465" s="72"/>
      <c r="P465" s="72"/>
    </row>
    <row r="466" hidden="1">
      <c r="B466" s="68"/>
      <c r="D466" s="69"/>
      <c r="H466" s="70"/>
      <c r="K466" s="70"/>
      <c r="L466" s="71"/>
      <c r="M466" s="72"/>
      <c r="P466" s="72"/>
    </row>
    <row r="467" hidden="1">
      <c r="B467" s="68"/>
      <c r="D467" s="69"/>
      <c r="H467" s="70"/>
      <c r="K467" s="70"/>
      <c r="L467" s="71"/>
      <c r="M467" s="72"/>
      <c r="P467" s="72"/>
    </row>
    <row r="468" hidden="1">
      <c r="B468" s="68"/>
      <c r="D468" s="69"/>
      <c r="H468" s="70"/>
      <c r="K468" s="70"/>
      <c r="L468" s="71"/>
      <c r="M468" s="72"/>
      <c r="P468" s="72"/>
    </row>
    <row r="469" hidden="1">
      <c r="B469" s="68"/>
      <c r="D469" s="69"/>
      <c r="H469" s="70"/>
      <c r="K469" s="70"/>
      <c r="L469" s="71"/>
      <c r="M469" s="72"/>
      <c r="P469" s="72"/>
    </row>
    <row r="470" hidden="1">
      <c r="B470" s="68"/>
      <c r="D470" s="69"/>
      <c r="H470" s="70"/>
      <c r="K470" s="70"/>
      <c r="L470" s="71"/>
      <c r="M470" s="72"/>
      <c r="P470" s="72"/>
    </row>
    <row r="471" hidden="1">
      <c r="B471" s="68"/>
      <c r="D471" s="69"/>
      <c r="H471" s="70"/>
      <c r="K471" s="70"/>
      <c r="L471" s="71"/>
      <c r="M471" s="72"/>
      <c r="P471" s="72"/>
    </row>
    <row r="472" hidden="1">
      <c r="B472" s="68"/>
      <c r="D472" s="69"/>
      <c r="H472" s="70"/>
      <c r="K472" s="70"/>
      <c r="L472" s="71"/>
      <c r="M472" s="72"/>
      <c r="P472" s="72"/>
    </row>
    <row r="473" hidden="1">
      <c r="B473" s="68"/>
      <c r="D473" s="69"/>
      <c r="H473" s="70"/>
      <c r="K473" s="70"/>
      <c r="L473" s="71"/>
      <c r="M473" s="72"/>
      <c r="P473" s="72"/>
    </row>
    <row r="474" hidden="1">
      <c r="B474" s="68"/>
      <c r="D474" s="69"/>
      <c r="H474" s="70"/>
      <c r="K474" s="70"/>
      <c r="L474" s="71"/>
      <c r="M474" s="72"/>
      <c r="P474" s="72"/>
    </row>
    <row r="475" hidden="1">
      <c r="B475" s="68"/>
      <c r="D475" s="69"/>
      <c r="H475" s="70"/>
      <c r="K475" s="70"/>
      <c r="L475" s="71"/>
      <c r="M475" s="72"/>
      <c r="P475" s="72"/>
    </row>
    <row r="476" hidden="1">
      <c r="B476" s="68"/>
      <c r="D476" s="69"/>
      <c r="H476" s="70"/>
      <c r="K476" s="70"/>
      <c r="L476" s="71"/>
      <c r="M476" s="72"/>
      <c r="P476" s="72"/>
    </row>
    <row r="477" hidden="1">
      <c r="B477" s="68"/>
      <c r="D477" s="69"/>
      <c r="H477" s="70"/>
      <c r="K477" s="70"/>
      <c r="L477" s="71"/>
      <c r="M477" s="72"/>
      <c r="P477" s="72"/>
    </row>
    <row r="478" hidden="1">
      <c r="B478" s="68"/>
      <c r="D478" s="69"/>
      <c r="H478" s="70"/>
      <c r="K478" s="70"/>
      <c r="L478" s="71"/>
      <c r="M478" s="72"/>
      <c r="P478" s="72"/>
    </row>
    <row r="479" hidden="1">
      <c r="B479" s="68"/>
      <c r="D479" s="69"/>
      <c r="H479" s="70"/>
      <c r="K479" s="70"/>
      <c r="L479" s="71"/>
      <c r="M479" s="72"/>
      <c r="P479" s="72"/>
    </row>
    <row r="480" hidden="1">
      <c r="B480" s="68"/>
      <c r="D480" s="69"/>
      <c r="H480" s="70"/>
      <c r="K480" s="70"/>
      <c r="L480" s="71"/>
      <c r="M480" s="72"/>
      <c r="P480" s="72"/>
    </row>
    <row r="481" hidden="1">
      <c r="B481" s="68"/>
      <c r="D481" s="69"/>
      <c r="H481" s="70"/>
      <c r="K481" s="70"/>
      <c r="L481" s="71"/>
      <c r="M481" s="72"/>
      <c r="P481" s="72"/>
    </row>
    <row r="482" hidden="1">
      <c r="B482" s="68"/>
      <c r="D482" s="69"/>
      <c r="H482" s="70"/>
      <c r="K482" s="70"/>
      <c r="L482" s="71"/>
      <c r="M482" s="72"/>
      <c r="P482" s="72"/>
    </row>
    <row r="483" hidden="1">
      <c r="B483" s="68"/>
      <c r="D483" s="69"/>
      <c r="H483" s="70"/>
      <c r="K483" s="70"/>
      <c r="L483" s="71"/>
      <c r="M483" s="72"/>
      <c r="P483" s="72"/>
    </row>
    <row r="484" hidden="1">
      <c r="B484" s="68"/>
      <c r="D484" s="69"/>
      <c r="H484" s="70"/>
      <c r="K484" s="70"/>
      <c r="L484" s="71"/>
      <c r="M484" s="72"/>
      <c r="P484" s="72"/>
    </row>
    <row r="485" hidden="1">
      <c r="B485" s="68"/>
      <c r="D485" s="69"/>
      <c r="H485" s="70"/>
      <c r="K485" s="70"/>
      <c r="L485" s="71"/>
      <c r="M485" s="72"/>
      <c r="P485" s="72"/>
    </row>
    <row r="486" hidden="1">
      <c r="B486" s="68"/>
      <c r="D486" s="69"/>
      <c r="H486" s="70"/>
      <c r="K486" s="70"/>
      <c r="L486" s="71"/>
      <c r="M486" s="72"/>
      <c r="P486" s="72"/>
    </row>
    <row r="487" hidden="1">
      <c r="B487" s="68"/>
      <c r="D487" s="69"/>
      <c r="H487" s="70"/>
      <c r="K487" s="70"/>
      <c r="L487" s="71"/>
      <c r="M487" s="72"/>
      <c r="P487" s="72"/>
    </row>
    <row r="488" hidden="1">
      <c r="B488" s="68"/>
      <c r="D488" s="69"/>
      <c r="H488" s="70"/>
      <c r="K488" s="70"/>
      <c r="L488" s="71"/>
      <c r="M488" s="72"/>
      <c r="P488" s="72"/>
    </row>
    <row r="489" hidden="1">
      <c r="B489" s="68"/>
      <c r="D489" s="69"/>
      <c r="H489" s="70"/>
      <c r="K489" s="70"/>
      <c r="L489" s="71"/>
      <c r="M489" s="72"/>
      <c r="P489" s="72"/>
    </row>
    <row r="490" hidden="1">
      <c r="B490" s="68"/>
      <c r="D490" s="69"/>
      <c r="H490" s="70"/>
      <c r="K490" s="70"/>
      <c r="L490" s="71"/>
      <c r="M490" s="72"/>
      <c r="P490" s="72"/>
    </row>
    <row r="491" hidden="1">
      <c r="B491" s="68"/>
      <c r="D491" s="69"/>
      <c r="H491" s="70"/>
      <c r="K491" s="70"/>
      <c r="L491" s="71"/>
      <c r="M491" s="72"/>
      <c r="P491" s="72"/>
    </row>
    <row r="492" hidden="1">
      <c r="B492" s="68"/>
      <c r="D492" s="69"/>
      <c r="H492" s="70"/>
      <c r="K492" s="70"/>
      <c r="L492" s="71"/>
      <c r="M492" s="72"/>
      <c r="P492" s="72"/>
    </row>
    <row r="493" hidden="1">
      <c r="B493" s="68"/>
      <c r="D493" s="69"/>
      <c r="H493" s="70"/>
      <c r="K493" s="70"/>
      <c r="L493" s="71"/>
      <c r="M493" s="72"/>
      <c r="P493" s="72"/>
    </row>
    <row r="494" hidden="1">
      <c r="B494" s="68"/>
      <c r="D494" s="69"/>
      <c r="H494" s="70"/>
      <c r="K494" s="70"/>
      <c r="L494" s="71"/>
      <c r="M494" s="72"/>
      <c r="P494" s="72"/>
    </row>
    <row r="495" hidden="1">
      <c r="B495" s="68"/>
      <c r="D495" s="69"/>
      <c r="H495" s="70"/>
      <c r="K495" s="70"/>
      <c r="L495" s="71"/>
      <c r="M495" s="72"/>
      <c r="P495" s="72"/>
    </row>
    <row r="496" hidden="1">
      <c r="B496" s="68"/>
      <c r="D496" s="69"/>
      <c r="H496" s="70"/>
      <c r="K496" s="70"/>
      <c r="L496" s="71"/>
      <c r="M496" s="72"/>
      <c r="P496" s="72"/>
    </row>
    <row r="497" hidden="1">
      <c r="B497" s="68"/>
      <c r="D497" s="69"/>
      <c r="H497" s="70"/>
      <c r="K497" s="70"/>
      <c r="L497" s="71"/>
      <c r="M497" s="72"/>
      <c r="P497" s="72"/>
    </row>
    <row r="498" hidden="1">
      <c r="B498" s="68"/>
      <c r="D498" s="69"/>
      <c r="H498" s="70"/>
      <c r="K498" s="70"/>
      <c r="L498" s="71"/>
      <c r="M498" s="72"/>
      <c r="P498" s="72"/>
    </row>
    <row r="499" hidden="1">
      <c r="B499" s="68"/>
      <c r="D499" s="69"/>
      <c r="H499" s="70"/>
      <c r="K499" s="70"/>
      <c r="L499" s="71"/>
      <c r="M499" s="72"/>
      <c r="P499" s="72"/>
    </row>
    <row r="500" hidden="1">
      <c r="B500" s="68"/>
      <c r="D500" s="69"/>
      <c r="H500" s="70"/>
      <c r="K500" s="70"/>
      <c r="L500" s="71"/>
      <c r="M500" s="72"/>
      <c r="P500" s="72"/>
    </row>
    <row r="501" hidden="1">
      <c r="B501" s="68"/>
      <c r="D501" s="69"/>
      <c r="H501" s="70"/>
      <c r="K501" s="70"/>
      <c r="L501" s="71"/>
      <c r="M501" s="72"/>
      <c r="P501" s="72"/>
    </row>
    <row r="502" hidden="1">
      <c r="B502" s="68"/>
      <c r="D502" s="69"/>
      <c r="H502" s="70"/>
      <c r="K502" s="70"/>
      <c r="L502" s="71"/>
      <c r="M502" s="72"/>
      <c r="P502" s="72"/>
    </row>
    <row r="503" hidden="1">
      <c r="B503" s="68"/>
      <c r="D503" s="69"/>
      <c r="H503" s="70"/>
      <c r="K503" s="70"/>
      <c r="L503" s="71"/>
      <c r="M503" s="72"/>
      <c r="P503" s="72"/>
    </row>
    <row r="504" hidden="1">
      <c r="B504" s="68"/>
      <c r="D504" s="69"/>
      <c r="H504" s="70"/>
      <c r="K504" s="70"/>
      <c r="L504" s="71"/>
      <c r="M504" s="72"/>
      <c r="P504" s="72"/>
    </row>
    <row r="505" hidden="1">
      <c r="B505" s="68"/>
      <c r="D505" s="69"/>
      <c r="H505" s="70"/>
      <c r="K505" s="70"/>
      <c r="L505" s="71"/>
      <c r="M505" s="72"/>
      <c r="P505" s="72"/>
    </row>
    <row r="506" hidden="1">
      <c r="B506" s="68"/>
      <c r="D506" s="69"/>
      <c r="H506" s="70"/>
      <c r="K506" s="70"/>
      <c r="L506" s="71"/>
      <c r="M506" s="72"/>
      <c r="P506" s="72"/>
    </row>
    <row r="507" hidden="1">
      <c r="B507" s="68"/>
      <c r="D507" s="69"/>
      <c r="H507" s="70"/>
      <c r="K507" s="70"/>
      <c r="L507" s="71"/>
      <c r="M507" s="72"/>
      <c r="P507" s="72"/>
    </row>
    <row r="508" hidden="1">
      <c r="B508" s="68"/>
      <c r="D508" s="69"/>
      <c r="H508" s="70"/>
      <c r="K508" s="70"/>
      <c r="L508" s="71"/>
      <c r="M508" s="72"/>
      <c r="P508" s="72"/>
    </row>
    <row r="509" hidden="1">
      <c r="B509" s="68"/>
      <c r="D509" s="69"/>
      <c r="H509" s="70"/>
      <c r="K509" s="70"/>
      <c r="L509" s="71"/>
      <c r="M509" s="72"/>
      <c r="P509" s="72"/>
    </row>
    <row r="510" hidden="1">
      <c r="B510" s="68"/>
      <c r="D510" s="69"/>
      <c r="H510" s="70"/>
      <c r="K510" s="70"/>
      <c r="L510" s="71"/>
      <c r="M510" s="72"/>
      <c r="P510" s="72"/>
    </row>
    <row r="511" hidden="1">
      <c r="B511" s="68"/>
      <c r="D511" s="69"/>
      <c r="H511" s="70"/>
      <c r="K511" s="70"/>
      <c r="L511" s="71"/>
      <c r="M511" s="72"/>
      <c r="P511" s="72"/>
    </row>
    <row r="512" hidden="1">
      <c r="B512" s="68"/>
      <c r="D512" s="69"/>
      <c r="H512" s="70"/>
      <c r="K512" s="70"/>
      <c r="L512" s="71"/>
      <c r="M512" s="72"/>
      <c r="P512" s="72"/>
    </row>
    <row r="513" hidden="1">
      <c r="B513" s="68"/>
      <c r="D513" s="69"/>
      <c r="H513" s="70"/>
      <c r="K513" s="70"/>
      <c r="L513" s="71"/>
      <c r="M513" s="72"/>
      <c r="P513" s="72"/>
    </row>
    <row r="514" hidden="1">
      <c r="B514" s="68"/>
      <c r="D514" s="69"/>
      <c r="H514" s="70"/>
      <c r="K514" s="70"/>
      <c r="L514" s="71"/>
      <c r="M514" s="72"/>
      <c r="P514" s="72"/>
    </row>
    <row r="515" hidden="1">
      <c r="B515" s="68"/>
      <c r="D515" s="69"/>
      <c r="H515" s="70"/>
      <c r="K515" s="70"/>
      <c r="L515" s="71"/>
      <c r="M515" s="72"/>
      <c r="P515" s="72"/>
    </row>
    <row r="516" hidden="1">
      <c r="B516" s="68"/>
      <c r="D516" s="69"/>
      <c r="H516" s="70"/>
      <c r="K516" s="70"/>
      <c r="L516" s="71"/>
      <c r="M516" s="72"/>
      <c r="P516" s="72"/>
    </row>
    <row r="517" hidden="1">
      <c r="B517" s="68"/>
      <c r="D517" s="69"/>
      <c r="H517" s="70"/>
      <c r="K517" s="70"/>
      <c r="L517" s="71"/>
      <c r="M517" s="72"/>
      <c r="P517" s="72"/>
    </row>
    <row r="518" hidden="1">
      <c r="B518" s="68"/>
      <c r="D518" s="69"/>
      <c r="H518" s="70"/>
      <c r="K518" s="70"/>
      <c r="L518" s="71"/>
      <c r="M518" s="72"/>
      <c r="P518" s="72"/>
    </row>
    <row r="519" hidden="1">
      <c r="B519" s="68"/>
      <c r="D519" s="69"/>
      <c r="H519" s="70"/>
      <c r="K519" s="70"/>
      <c r="L519" s="71"/>
      <c r="M519" s="72"/>
      <c r="P519" s="72"/>
    </row>
    <row r="520" hidden="1">
      <c r="B520" s="68"/>
      <c r="D520" s="69"/>
      <c r="H520" s="70"/>
      <c r="K520" s="70"/>
      <c r="L520" s="71"/>
      <c r="M520" s="72"/>
      <c r="P520" s="72"/>
    </row>
    <row r="521" hidden="1">
      <c r="B521" s="68"/>
      <c r="D521" s="69"/>
      <c r="H521" s="70"/>
      <c r="K521" s="70"/>
      <c r="L521" s="71"/>
      <c r="M521" s="72"/>
      <c r="P521" s="72"/>
    </row>
    <row r="522" hidden="1">
      <c r="B522" s="68"/>
      <c r="D522" s="69"/>
      <c r="H522" s="70"/>
      <c r="K522" s="70"/>
      <c r="L522" s="71"/>
      <c r="M522" s="72"/>
      <c r="P522" s="72"/>
    </row>
    <row r="523" hidden="1">
      <c r="B523" s="68"/>
      <c r="D523" s="69"/>
      <c r="H523" s="70"/>
      <c r="K523" s="70"/>
      <c r="L523" s="71"/>
      <c r="M523" s="72"/>
      <c r="P523" s="72"/>
    </row>
    <row r="524" hidden="1">
      <c r="B524" s="68"/>
      <c r="D524" s="69"/>
      <c r="H524" s="70"/>
      <c r="K524" s="70"/>
      <c r="L524" s="71"/>
      <c r="M524" s="72"/>
      <c r="P524" s="72"/>
    </row>
    <row r="525" hidden="1">
      <c r="B525" s="68"/>
      <c r="D525" s="69"/>
      <c r="H525" s="70"/>
      <c r="K525" s="70"/>
      <c r="L525" s="71"/>
      <c r="M525" s="72"/>
      <c r="P525" s="72"/>
    </row>
    <row r="526" hidden="1">
      <c r="B526" s="68"/>
      <c r="D526" s="69"/>
      <c r="H526" s="70"/>
      <c r="K526" s="70"/>
      <c r="L526" s="71"/>
      <c r="M526" s="72"/>
      <c r="P526" s="72"/>
    </row>
    <row r="527" hidden="1">
      <c r="B527" s="68"/>
      <c r="D527" s="69"/>
      <c r="H527" s="70"/>
      <c r="K527" s="70"/>
      <c r="L527" s="71"/>
      <c r="M527" s="72"/>
      <c r="P527" s="72"/>
    </row>
    <row r="528" hidden="1">
      <c r="B528" s="68"/>
      <c r="D528" s="69"/>
      <c r="H528" s="70"/>
      <c r="K528" s="70"/>
      <c r="L528" s="71"/>
      <c r="M528" s="72"/>
      <c r="P528" s="72"/>
    </row>
    <row r="529" hidden="1">
      <c r="B529" s="68"/>
      <c r="D529" s="69"/>
      <c r="H529" s="70"/>
      <c r="K529" s="70"/>
      <c r="L529" s="71"/>
      <c r="M529" s="72"/>
      <c r="P529" s="72"/>
    </row>
    <row r="530" hidden="1">
      <c r="B530" s="68"/>
      <c r="D530" s="69"/>
      <c r="H530" s="70"/>
      <c r="K530" s="70"/>
      <c r="L530" s="71"/>
      <c r="M530" s="72"/>
      <c r="P530" s="72"/>
    </row>
    <row r="531" hidden="1">
      <c r="B531" s="68"/>
      <c r="D531" s="69"/>
      <c r="H531" s="70"/>
      <c r="K531" s="70"/>
      <c r="L531" s="71"/>
      <c r="M531" s="72"/>
      <c r="P531" s="72"/>
    </row>
    <row r="532" hidden="1">
      <c r="B532" s="68"/>
      <c r="D532" s="69"/>
      <c r="H532" s="70"/>
      <c r="K532" s="70"/>
      <c r="L532" s="71"/>
      <c r="M532" s="72"/>
      <c r="P532" s="72"/>
    </row>
    <row r="533" hidden="1">
      <c r="B533" s="68"/>
      <c r="D533" s="69"/>
      <c r="H533" s="70"/>
      <c r="K533" s="70"/>
      <c r="L533" s="71"/>
      <c r="M533" s="72"/>
      <c r="P533" s="72"/>
    </row>
    <row r="534" hidden="1">
      <c r="B534" s="68"/>
      <c r="D534" s="69"/>
      <c r="H534" s="70"/>
      <c r="K534" s="70"/>
      <c r="L534" s="71"/>
      <c r="M534" s="72"/>
      <c r="P534" s="72"/>
    </row>
    <row r="535" hidden="1">
      <c r="B535" s="68"/>
      <c r="D535" s="69"/>
      <c r="H535" s="70"/>
      <c r="K535" s="70"/>
      <c r="L535" s="71"/>
      <c r="M535" s="72"/>
      <c r="P535" s="72"/>
    </row>
    <row r="536" hidden="1">
      <c r="B536" s="68"/>
      <c r="D536" s="69"/>
      <c r="H536" s="70"/>
      <c r="K536" s="70"/>
      <c r="L536" s="71"/>
      <c r="M536" s="72"/>
      <c r="P536" s="72"/>
    </row>
    <row r="537" hidden="1">
      <c r="B537" s="68"/>
      <c r="D537" s="69"/>
      <c r="H537" s="70"/>
      <c r="K537" s="70"/>
      <c r="L537" s="71"/>
      <c r="M537" s="72"/>
      <c r="P537" s="72"/>
    </row>
    <row r="538" hidden="1">
      <c r="B538" s="68"/>
      <c r="D538" s="69"/>
      <c r="H538" s="70"/>
      <c r="K538" s="70"/>
      <c r="L538" s="71"/>
      <c r="M538" s="72"/>
      <c r="P538" s="72"/>
    </row>
    <row r="539" hidden="1">
      <c r="B539" s="68"/>
      <c r="D539" s="69"/>
      <c r="H539" s="70"/>
      <c r="K539" s="70"/>
      <c r="L539" s="71"/>
      <c r="M539" s="72"/>
      <c r="P539" s="72"/>
    </row>
    <row r="540" hidden="1">
      <c r="B540" s="68"/>
      <c r="D540" s="69"/>
      <c r="H540" s="70"/>
      <c r="K540" s="70"/>
      <c r="L540" s="71"/>
      <c r="M540" s="72"/>
      <c r="P540" s="72"/>
    </row>
    <row r="541" hidden="1">
      <c r="B541" s="68"/>
      <c r="D541" s="69"/>
      <c r="H541" s="70"/>
      <c r="K541" s="70"/>
      <c r="L541" s="71"/>
      <c r="M541" s="72"/>
      <c r="P541" s="72"/>
    </row>
    <row r="542" hidden="1">
      <c r="B542" s="68"/>
      <c r="D542" s="69"/>
      <c r="H542" s="70"/>
      <c r="K542" s="70"/>
      <c r="L542" s="71"/>
      <c r="M542" s="72"/>
      <c r="P542" s="72"/>
    </row>
    <row r="543" hidden="1">
      <c r="B543" s="68"/>
      <c r="D543" s="69"/>
      <c r="H543" s="70"/>
      <c r="K543" s="70"/>
      <c r="L543" s="71"/>
      <c r="M543" s="72"/>
      <c r="P543" s="72"/>
    </row>
    <row r="544" hidden="1">
      <c r="B544" s="68"/>
      <c r="D544" s="69"/>
      <c r="H544" s="70"/>
      <c r="K544" s="70"/>
      <c r="L544" s="71"/>
      <c r="M544" s="72"/>
      <c r="P544" s="72"/>
    </row>
    <row r="545" hidden="1">
      <c r="B545" s="68"/>
      <c r="D545" s="69"/>
      <c r="H545" s="70"/>
      <c r="K545" s="70"/>
      <c r="L545" s="71"/>
      <c r="M545" s="72"/>
      <c r="P545" s="72"/>
    </row>
    <row r="546" hidden="1">
      <c r="B546" s="68"/>
      <c r="D546" s="69"/>
      <c r="H546" s="70"/>
      <c r="K546" s="70"/>
      <c r="L546" s="71"/>
      <c r="M546" s="72"/>
      <c r="P546" s="72"/>
    </row>
    <row r="547" hidden="1">
      <c r="B547" s="68"/>
      <c r="D547" s="69"/>
      <c r="H547" s="70"/>
      <c r="K547" s="70"/>
      <c r="L547" s="71"/>
      <c r="M547" s="72"/>
      <c r="P547" s="72"/>
    </row>
    <row r="548" hidden="1">
      <c r="B548" s="68"/>
      <c r="D548" s="69"/>
      <c r="H548" s="70"/>
      <c r="K548" s="70"/>
      <c r="L548" s="71"/>
      <c r="M548" s="72"/>
      <c r="P548" s="72"/>
    </row>
    <row r="549" hidden="1">
      <c r="B549" s="68"/>
      <c r="D549" s="69"/>
      <c r="H549" s="70"/>
      <c r="K549" s="70"/>
      <c r="L549" s="71"/>
      <c r="M549" s="72"/>
      <c r="P549" s="72"/>
    </row>
    <row r="550" hidden="1">
      <c r="B550" s="68"/>
      <c r="D550" s="69"/>
      <c r="H550" s="70"/>
      <c r="K550" s="70"/>
      <c r="L550" s="71"/>
      <c r="M550" s="72"/>
      <c r="P550" s="72"/>
    </row>
    <row r="551" hidden="1">
      <c r="B551" s="68"/>
      <c r="D551" s="69"/>
      <c r="H551" s="70"/>
      <c r="K551" s="70"/>
      <c r="L551" s="71"/>
      <c r="M551" s="72"/>
      <c r="P551" s="72"/>
    </row>
    <row r="552" hidden="1">
      <c r="B552" s="68"/>
      <c r="D552" s="69"/>
      <c r="H552" s="70"/>
      <c r="K552" s="70"/>
      <c r="L552" s="71"/>
      <c r="M552" s="72"/>
      <c r="P552" s="72"/>
    </row>
    <row r="553" hidden="1">
      <c r="B553" s="68"/>
      <c r="D553" s="69"/>
      <c r="H553" s="70"/>
      <c r="K553" s="70"/>
      <c r="L553" s="71"/>
      <c r="M553" s="72"/>
      <c r="P553" s="72"/>
    </row>
    <row r="554" hidden="1">
      <c r="B554" s="68"/>
      <c r="D554" s="69"/>
      <c r="H554" s="70"/>
      <c r="K554" s="70"/>
      <c r="L554" s="71"/>
      <c r="M554" s="72"/>
      <c r="P554" s="72"/>
    </row>
    <row r="555" hidden="1">
      <c r="B555" s="68"/>
      <c r="D555" s="69"/>
      <c r="H555" s="70"/>
      <c r="K555" s="70"/>
      <c r="L555" s="71"/>
      <c r="M555" s="72"/>
      <c r="P555" s="72"/>
    </row>
    <row r="556" hidden="1">
      <c r="B556" s="68"/>
      <c r="D556" s="69"/>
      <c r="H556" s="70"/>
      <c r="K556" s="70"/>
      <c r="L556" s="71"/>
      <c r="M556" s="72"/>
      <c r="P556" s="72"/>
    </row>
    <row r="557" hidden="1">
      <c r="B557" s="68"/>
      <c r="D557" s="69"/>
      <c r="H557" s="70"/>
      <c r="K557" s="70"/>
      <c r="L557" s="71"/>
      <c r="M557" s="72"/>
      <c r="P557" s="72"/>
    </row>
    <row r="558" hidden="1">
      <c r="B558" s="68"/>
      <c r="D558" s="69"/>
      <c r="H558" s="70"/>
      <c r="K558" s="70"/>
      <c r="L558" s="71"/>
      <c r="M558" s="72"/>
      <c r="P558" s="72"/>
    </row>
    <row r="559" hidden="1">
      <c r="B559" s="68"/>
      <c r="D559" s="69"/>
      <c r="H559" s="70"/>
      <c r="K559" s="70"/>
      <c r="L559" s="71"/>
      <c r="M559" s="72"/>
      <c r="P559" s="72"/>
    </row>
    <row r="560" hidden="1">
      <c r="B560" s="68"/>
      <c r="D560" s="69"/>
      <c r="H560" s="70"/>
      <c r="K560" s="70"/>
      <c r="L560" s="71"/>
      <c r="M560" s="72"/>
      <c r="P560" s="72"/>
    </row>
    <row r="561" hidden="1">
      <c r="B561" s="68"/>
      <c r="D561" s="69"/>
      <c r="H561" s="70"/>
      <c r="K561" s="70"/>
      <c r="L561" s="71"/>
      <c r="M561" s="72"/>
      <c r="P561" s="72"/>
    </row>
    <row r="562" hidden="1">
      <c r="B562" s="68"/>
      <c r="D562" s="69"/>
      <c r="H562" s="70"/>
      <c r="K562" s="70"/>
      <c r="L562" s="71"/>
      <c r="M562" s="72"/>
      <c r="P562" s="72"/>
    </row>
    <row r="563" hidden="1">
      <c r="B563" s="68"/>
      <c r="D563" s="69"/>
      <c r="H563" s="70"/>
      <c r="K563" s="70"/>
      <c r="L563" s="71"/>
      <c r="M563" s="72"/>
      <c r="P563" s="72"/>
    </row>
    <row r="564" hidden="1">
      <c r="B564" s="68"/>
      <c r="D564" s="69"/>
      <c r="H564" s="70"/>
      <c r="K564" s="70"/>
      <c r="L564" s="71"/>
      <c r="M564" s="72"/>
      <c r="P564" s="72"/>
    </row>
    <row r="565" hidden="1">
      <c r="B565" s="68"/>
      <c r="D565" s="69"/>
      <c r="H565" s="70"/>
      <c r="K565" s="70"/>
      <c r="L565" s="71"/>
      <c r="M565" s="72"/>
      <c r="P565" s="72"/>
    </row>
    <row r="566" hidden="1">
      <c r="B566" s="68"/>
      <c r="D566" s="69"/>
      <c r="H566" s="70"/>
      <c r="K566" s="70"/>
      <c r="L566" s="71"/>
      <c r="M566" s="72"/>
      <c r="P566" s="72"/>
    </row>
    <row r="567" hidden="1">
      <c r="B567" s="68"/>
      <c r="D567" s="69"/>
      <c r="H567" s="70"/>
      <c r="K567" s="70"/>
      <c r="L567" s="71"/>
      <c r="M567" s="72"/>
      <c r="P567" s="72"/>
    </row>
    <row r="568" hidden="1">
      <c r="B568" s="68"/>
      <c r="D568" s="69"/>
      <c r="H568" s="70"/>
      <c r="K568" s="70"/>
      <c r="L568" s="71"/>
      <c r="M568" s="72"/>
      <c r="P568" s="72"/>
    </row>
    <row r="569" hidden="1">
      <c r="B569" s="68"/>
      <c r="D569" s="69"/>
      <c r="H569" s="70"/>
      <c r="K569" s="70"/>
      <c r="L569" s="71"/>
      <c r="M569" s="72"/>
      <c r="P569" s="72"/>
    </row>
    <row r="570" hidden="1">
      <c r="B570" s="68"/>
      <c r="D570" s="69"/>
      <c r="H570" s="70"/>
      <c r="K570" s="70"/>
      <c r="L570" s="71"/>
      <c r="M570" s="72"/>
      <c r="P570" s="72"/>
    </row>
    <row r="571" hidden="1">
      <c r="B571" s="68"/>
      <c r="D571" s="69"/>
      <c r="H571" s="70"/>
      <c r="K571" s="70"/>
      <c r="L571" s="71"/>
      <c r="M571" s="72"/>
      <c r="P571" s="72"/>
    </row>
    <row r="572" hidden="1">
      <c r="B572" s="68"/>
      <c r="D572" s="69"/>
      <c r="H572" s="70"/>
      <c r="K572" s="70"/>
      <c r="L572" s="71"/>
      <c r="M572" s="72"/>
      <c r="P572" s="72"/>
    </row>
    <row r="573" hidden="1">
      <c r="B573" s="68"/>
      <c r="D573" s="69"/>
      <c r="H573" s="70"/>
      <c r="K573" s="70"/>
      <c r="L573" s="71"/>
      <c r="M573" s="72"/>
      <c r="P573" s="72"/>
    </row>
    <row r="574" hidden="1">
      <c r="B574" s="68"/>
      <c r="D574" s="69"/>
      <c r="H574" s="70"/>
      <c r="K574" s="70"/>
      <c r="L574" s="71"/>
      <c r="M574" s="72"/>
      <c r="P574" s="72"/>
    </row>
    <row r="575" hidden="1">
      <c r="B575" s="68"/>
      <c r="D575" s="69"/>
      <c r="H575" s="70"/>
      <c r="K575" s="70"/>
      <c r="L575" s="71"/>
      <c r="M575" s="72"/>
      <c r="P575" s="72"/>
    </row>
    <row r="576" hidden="1">
      <c r="B576" s="68"/>
      <c r="D576" s="69"/>
      <c r="H576" s="70"/>
      <c r="K576" s="70"/>
      <c r="L576" s="71"/>
      <c r="M576" s="72"/>
      <c r="P576" s="72"/>
    </row>
    <row r="577" hidden="1">
      <c r="B577" s="68"/>
      <c r="D577" s="69"/>
      <c r="H577" s="70"/>
      <c r="K577" s="70"/>
      <c r="L577" s="71"/>
      <c r="M577" s="72"/>
      <c r="P577" s="72"/>
    </row>
    <row r="578" hidden="1">
      <c r="B578" s="68"/>
      <c r="D578" s="69"/>
      <c r="H578" s="70"/>
      <c r="K578" s="70"/>
      <c r="L578" s="71"/>
      <c r="M578" s="72"/>
      <c r="P578" s="72"/>
    </row>
    <row r="579" hidden="1">
      <c r="B579" s="68"/>
      <c r="D579" s="69"/>
      <c r="H579" s="70"/>
      <c r="K579" s="70"/>
      <c r="L579" s="71"/>
      <c r="M579" s="72"/>
      <c r="P579" s="72"/>
    </row>
    <row r="580" hidden="1">
      <c r="B580" s="68"/>
      <c r="D580" s="69"/>
      <c r="H580" s="70"/>
      <c r="K580" s="70"/>
      <c r="L580" s="71"/>
      <c r="M580" s="72"/>
      <c r="P580" s="72"/>
    </row>
    <row r="581" hidden="1">
      <c r="B581" s="68"/>
      <c r="D581" s="69"/>
      <c r="H581" s="70"/>
      <c r="K581" s="70"/>
      <c r="L581" s="71"/>
      <c r="M581" s="72"/>
      <c r="P581" s="72"/>
    </row>
    <row r="582" hidden="1">
      <c r="B582" s="68"/>
      <c r="D582" s="69"/>
      <c r="H582" s="70"/>
      <c r="K582" s="70"/>
      <c r="L582" s="71"/>
      <c r="M582" s="72"/>
      <c r="P582" s="72"/>
    </row>
    <row r="583" hidden="1">
      <c r="B583" s="68"/>
      <c r="D583" s="69"/>
      <c r="H583" s="70"/>
      <c r="K583" s="70"/>
      <c r="L583" s="71"/>
      <c r="M583" s="72"/>
      <c r="P583" s="72"/>
    </row>
    <row r="584" hidden="1">
      <c r="B584" s="68"/>
      <c r="D584" s="69"/>
      <c r="H584" s="70"/>
      <c r="K584" s="70"/>
      <c r="L584" s="71"/>
      <c r="M584" s="72"/>
      <c r="P584" s="72"/>
    </row>
    <row r="585" hidden="1">
      <c r="B585" s="68"/>
      <c r="D585" s="69"/>
      <c r="H585" s="70"/>
      <c r="K585" s="70"/>
      <c r="L585" s="71"/>
      <c r="M585" s="72"/>
      <c r="P585" s="72"/>
    </row>
    <row r="586" hidden="1">
      <c r="B586" s="68"/>
      <c r="D586" s="69"/>
      <c r="H586" s="70"/>
      <c r="K586" s="70"/>
      <c r="L586" s="71"/>
      <c r="M586" s="72"/>
      <c r="P586" s="72"/>
    </row>
    <row r="587" hidden="1">
      <c r="B587" s="68"/>
      <c r="D587" s="69"/>
      <c r="H587" s="70"/>
      <c r="K587" s="70"/>
      <c r="L587" s="71"/>
      <c r="M587" s="72"/>
      <c r="P587" s="72"/>
    </row>
    <row r="588" hidden="1">
      <c r="B588" s="68"/>
      <c r="D588" s="69"/>
      <c r="H588" s="70"/>
      <c r="K588" s="70"/>
      <c r="L588" s="71"/>
      <c r="M588" s="72"/>
      <c r="P588" s="72"/>
    </row>
    <row r="589" hidden="1">
      <c r="B589" s="68"/>
      <c r="D589" s="69"/>
      <c r="H589" s="70"/>
      <c r="K589" s="70"/>
      <c r="L589" s="71"/>
      <c r="M589" s="72"/>
      <c r="P589" s="72"/>
    </row>
    <row r="590" hidden="1">
      <c r="B590" s="68"/>
      <c r="D590" s="69"/>
      <c r="H590" s="70"/>
      <c r="K590" s="70"/>
      <c r="L590" s="71"/>
      <c r="M590" s="72"/>
      <c r="P590" s="72"/>
    </row>
    <row r="591" hidden="1">
      <c r="B591" s="68"/>
      <c r="D591" s="69"/>
      <c r="H591" s="70"/>
      <c r="K591" s="70"/>
      <c r="L591" s="71"/>
      <c r="M591" s="72"/>
      <c r="P591" s="72"/>
    </row>
    <row r="592" hidden="1">
      <c r="B592" s="68"/>
      <c r="D592" s="69"/>
      <c r="H592" s="70"/>
      <c r="K592" s="70"/>
      <c r="L592" s="71"/>
      <c r="M592" s="72"/>
      <c r="P592" s="72"/>
    </row>
    <row r="593" hidden="1">
      <c r="B593" s="68"/>
      <c r="D593" s="69"/>
      <c r="H593" s="70"/>
      <c r="K593" s="70"/>
      <c r="L593" s="71"/>
      <c r="M593" s="72"/>
      <c r="P593" s="72"/>
    </row>
    <row r="594" hidden="1">
      <c r="B594" s="68"/>
      <c r="D594" s="69"/>
      <c r="H594" s="70"/>
      <c r="K594" s="70"/>
      <c r="L594" s="71"/>
      <c r="M594" s="72"/>
      <c r="P594" s="72"/>
    </row>
    <row r="595" hidden="1">
      <c r="B595" s="68"/>
      <c r="D595" s="69"/>
      <c r="H595" s="70"/>
      <c r="K595" s="70"/>
      <c r="L595" s="71"/>
      <c r="M595" s="72"/>
      <c r="P595" s="72"/>
    </row>
    <row r="596" hidden="1">
      <c r="B596" s="68"/>
      <c r="D596" s="69"/>
      <c r="H596" s="70"/>
      <c r="K596" s="70"/>
      <c r="L596" s="71"/>
      <c r="M596" s="72"/>
      <c r="P596" s="72"/>
    </row>
    <row r="597" hidden="1">
      <c r="B597" s="68"/>
      <c r="D597" s="69"/>
      <c r="H597" s="70"/>
      <c r="K597" s="70"/>
      <c r="L597" s="71"/>
      <c r="M597" s="72"/>
      <c r="P597" s="72"/>
    </row>
    <row r="598" hidden="1">
      <c r="B598" s="68"/>
      <c r="D598" s="69"/>
      <c r="H598" s="70"/>
      <c r="K598" s="70"/>
      <c r="L598" s="71"/>
      <c r="M598" s="72"/>
      <c r="P598" s="72"/>
    </row>
    <row r="599" hidden="1">
      <c r="B599" s="68"/>
      <c r="D599" s="69"/>
      <c r="H599" s="70"/>
      <c r="K599" s="70"/>
      <c r="L599" s="71"/>
      <c r="M599" s="72"/>
      <c r="P599" s="72"/>
    </row>
    <row r="600" hidden="1">
      <c r="B600" s="68"/>
      <c r="D600" s="69"/>
      <c r="H600" s="70"/>
      <c r="K600" s="70"/>
      <c r="L600" s="71"/>
      <c r="M600" s="72"/>
      <c r="P600" s="72"/>
    </row>
    <row r="601" hidden="1">
      <c r="B601" s="68"/>
      <c r="D601" s="69"/>
      <c r="H601" s="70"/>
      <c r="K601" s="70"/>
      <c r="L601" s="71"/>
      <c r="M601" s="72"/>
      <c r="P601" s="72"/>
    </row>
    <row r="602" hidden="1">
      <c r="B602" s="68"/>
      <c r="D602" s="69"/>
      <c r="H602" s="70"/>
      <c r="K602" s="70"/>
      <c r="L602" s="71"/>
      <c r="M602" s="72"/>
      <c r="P602" s="72"/>
    </row>
    <row r="603" hidden="1">
      <c r="B603" s="68"/>
      <c r="D603" s="69"/>
      <c r="H603" s="70"/>
      <c r="K603" s="70"/>
      <c r="L603" s="71"/>
      <c r="M603" s="72"/>
      <c r="P603" s="72"/>
    </row>
    <row r="604" hidden="1">
      <c r="B604" s="68"/>
      <c r="D604" s="69"/>
      <c r="H604" s="70"/>
      <c r="K604" s="70"/>
      <c r="L604" s="71"/>
      <c r="M604" s="72"/>
      <c r="P604" s="72"/>
    </row>
    <row r="605" hidden="1">
      <c r="B605" s="68"/>
      <c r="D605" s="69"/>
      <c r="H605" s="70"/>
      <c r="K605" s="70"/>
      <c r="L605" s="71"/>
      <c r="M605" s="72"/>
      <c r="P605" s="72"/>
    </row>
    <row r="606" hidden="1">
      <c r="B606" s="68"/>
      <c r="D606" s="69"/>
      <c r="H606" s="70"/>
      <c r="K606" s="70"/>
      <c r="L606" s="71"/>
      <c r="M606" s="72"/>
      <c r="P606" s="72"/>
    </row>
    <row r="607" hidden="1">
      <c r="B607" s="68"/>
      <c r="D607" s="69"/>
      <c r="H607" s="70"/>
      <c r="K607" s="70"/>
      <c r="L607" s="71"/>
      <c r="M607" s="72"/>
      <c r="P607" s="72"/>
    </row>
    <row r="608" hidden="1">
      <c r="B608" s="68"/>
      <c r="D608" s="69"/>
      <c r="H608" s="70"/>
      <c r="K608" s="70"/>
      <c r="L608" s="71"/>
      <c r="M608" s="72"/>
      <c r="P608" s="72"/>
    </row>
    <row r="609" hidden="1">
      <c r="B609" s="68"/>
      <c r="D609" s="69"/>
      <c r="H609" s="70"/>
      <c r="K609" s="70"/>
      <c r="L609" s="71"/>
      <c r="M609" s="72"/>
      <c r="P609" s="72"/>
    </row>
    <row r="610" hidden="1">
      <c r="B610" s="68"/>
      <c r="D610" s="69"/>
      <c r="H610" s="70"/>
      <c r="K610" s="70"/>
      <c r="L610" s="71"/>
      <c r="M610" s="72"/>
      <c r="P610" s="72"/>
    </row>
    <row r="611" hidden="1">
      <c r="B611" s="68"/>
      <c r="D611" s="69"/>
      <c r="H611" s="70"/>
      <c r="K611" s="70"/>
      <c r="L611" s="71"/>
      <c r="M611" s="72"/>
      <c r="P611" s="72"/>
    </row>
    <row r="612" hidden="1">
      <c r="B612" s="68"/>
      <c r="D612" s="69"/>
      <c r="H612" s="70"/>
      <c r="K612" s="70"/>
      <c r="L612" s="71"/>
      <c r="M612" s="72"/>
      <c r="P612" s="72"/>
    </row>
    <row r="613" hidden="1">
      <c r="B613" s="68"/>
      <c r="D613" s="69"/>
      <c r="H613" s="70"/>
      <c r="K613" s="70"/>
      <c r="L613" s="71"/>
      <c r="M613" s="72"/>
      <c r="P613" s="72"/>
    </row>
    <row r="614" hidden="1">
      <c r="B614" s="68"/>
      <c r="D614" s="69"/>
      <c r="H614" s="70"/>
      <c r="K614" s="70"/>
      <c r="L614" s="71"/>
      <c r="M614" s="72"/>
      <c r="P614" s="72"/>
    </row>
    <row r="615" hidden="1">
      <c r="B615" s="68"/>
      <c r="D615" s="69"/>
      <c r="H615" s="70"/>
      <c r="K615" s="70"/>
      <c r="L615" s="71"/>
      <c r="M615" s="72"/>
      <c r="P615" s="72"/>
    </row>
    <row r="616" hidden="1">
      <c r="B616" s="68"/>
      <c r="D616" s="69"/>
      <c r="H616" s="70"/>
      <c r="K616" s="70"/>
      <c r="L616" s="71"/>
      <c r="M616" s="72"/>
      <c r="P616" s="72"/>
    </row>
    <row r="617" hidden="1">
      <c r="B617" s="68"/>
      <c r="D617" s="69"/>
      <c r="H617" s="70"/>
      <c r="K617" s="70"/>
      <c r="L617" s="71"/>
      <c r="M617" s="72"/>
      <c r="P617" s="72"/>
    </row>
    <row r="618" hidden="1">
      <c r="B618" s="68"/>
      <c r="D618" s="69"/>
      <c r="H618" s="70"/>
      <c r="K618" s="70"/>
      <c r="L618" s="71"/>
      <c r="M618" s="72"/>
      <c r="P618" s="72"/>
    </row>
    <row r="619" hidden="1">
      <c r="B619" s="68"/>
      <c r="D619" s="69"/>
      <c r="H619" s="70"/>
      <c r="K619" s="70"/>
      <c r="L619" s="71"/>
      <c r="M619" s="72"/>
      <c r="P619" s="72"/>
    </row>
    <row r="620" hidden="1">
      <c r="B620" s="68"/>
      <c r="D620" s="69"/>
      <c r="H620" s="70"/>
      <c r="K620" s="70"/>
      <c r="L620" s="71"/>
      <c r="M620" s="72"/>
      <c r="P620" s="72"/>
    </row>
    <row r="621" hidden="1">
      <c r="B621" s="68"/>
      <c r="D621" s="69"/>
      <c r="H621" s="70"/>
      <c r="K621" s="70"/>
      <c r="L621" s="71"/>
      <c r="M621" s="72"/>
      <c r="P621" s="72"/>
    </row>
    <row r="622" hidden="1">
      <c r="B622" s="68"/>
      <c r="D622" s="69"/>
      <c r="H622" s="70"/>
      <c r="K622" s="70"/>
      <c r="L622" s="71"/>
      <c r="M622" s="72"/>
      <c r="P622" s="72"/>
    </row>
    <row r="623" hidden="1">
      <c r="B623" s="68"/>
      <c r="D623" s="69"/>
      <c r="H623" s="70"/>
      <c r="K623" s="70"/>
      <c r="L623" s="71"/>
      <c r="M623" s="72"/>
      <c r="P623" s="72"/>
    </row>
    <row r="624" hidden="1">
      <c r="B624" s="68"/>
      <c r="D624" s="69"/>
      <c r="H624" s="70"/>
      <c r="K624" s="70"/>
      <c r="L624" s="71"/>
      <c r="M624" s="72"/>
      <c r="P624" s="72"/>
    </row>
    <row r="625" hidden="1">
      <c r="B625" s="68"/>
      <c r="D625" s="69"/>
      <c r="H625" s="70"/>
      <c r="K625" s="70"/>
      <c r="L625" s="71"/>
      <c r="M625" s="72"/>
      <c r="P625" s="72"/>
    </row>
    <row r="626" hidden="1">
      <c r="B626" s="68"/>
      <c r="D626" s="69"/>
      <c r="H626" s="70"/>
      <c r="K626" s="70"/>
      <c r="L626" s="71"/>
      <c r="M626" s="72"/>
      <c r="P626" s="72"/>
    </row>
    <row r="627" hidden="1">
      <c r="B627" s="68"/>
      <c r="D627" s="69"/>
      <c r="H627" s="70"/>
      <c r="K627" s="70"/>
      <c r="L627" s="71"/>
      <c r="M627" s="72"/>
      <c r="P627" s="72"/>
    </row>
    <row r="628" hidden="1">
      <c r="B628" s="68"/>
      <c r="D628" s="69"/>
      <c r="H628" s="70"/>
      <c r="K628" s="70"/>
      <c r="L628" s="71"/>
      <c r="M628" s="72"/>
      <c r="P628" s="72"/>
    </row>
    <row r="629" hidden="1">
      <c r="B629" s="68"/>
      <c r="D629" s="69"/>
      <c r="H629" s="70"/>
      <c r="K629" s="70"/>
      <c r="L629" s="71"/>
      <c r="M629" s="72"/>
      <c r="P629" s="72"/>
    </row>
    <row r="630" hidden="1">
      <c r="B630" s="68"/>
      <c r="D630" s="69"/>
      <c r="H630" s="70"/>
      <c r="K630" s="70"/>
      <c r="L630" s="71"/>
      <c r="M630" s="72"/>
      <c r="P630" s="72"/>
    </row>
    <row r="631" hidden="1">
      <c r="B631" s="68"/>
      <c r="D631" s="69"/>
      <c r="H631" s="70"/>
      <c r="K631" s="70"/>
      <c r="L631" s="71"/>
      <c r="M631" s="72"/>
      <c r="P631" s="72"/>
    </row>
    <row r="632" hidden="1">
      <c r="B632" s="68"/>
      <c r="D632" s="69"/>
      <c r="H632" s="70"/>
      <c r="K632" s="70"/>
      <c r="L632" s="71"/>
      <c r="M632" s="72"/>
      <c r="P632" s="72"/>
    </row>
    <row r="633" hidden="1">
      <c r="B633" s="68"/>
      <c r="D633" s="69"/>
      <c r="H633" s="70"/>
      <c r="K633" s="70"/>
      <c r="L633" s="71"/>
      <c r="M633" s="72"/>
      <c r="P633" s="72"/>
    </row>
    <row r="634" hidden="1">
      <c r="B634" s="68"/>
      <c r="D634" s="69"/>
      <c r="H634" s="70"/>
      <c r="K634" s="70"/>
      <c r="L634" s="71"/>
      <c r="M634" s="72"/>
      <c r="P634" s="72"/>
    </row>
    <row r="635" hidden="1">
      <c r="B635" s="68"/>
      <c r="D635" s="69"/>
      <c r="H635" s="70"/>
      <c r="K635" s="70"/>
      <c r="L635" s="71"/>
      <c r="M635" s="72"/>
      <c r="P635" s="72"/>
    </row>
    <row r="636" hidden="1">
      <c r="B636" s="68"/>
      <c r="D636" s="69"/>
      <c r="H636" s="70"/>
      <c r="K636" s="70"/>
      <c r="L636" s="71"/>
      <c r="M636" s="72"/>
      <c r="P636" s="72"/>
    </row>
    <row r="637" hidden="1">
      <c r="B637" s="68"/>
      <c r="D637" s="69"/>
      <c r="H637" s="70"/>
      <c r="K637" s="70"/>
      <c r="L637" s="71"/>
      <c r="M637" s="72"/>
      <c r="P637" s="72"/>
    </row>
    <row r="638" hidden="1">
      <c r="B638" s="68"/>
      <c r="D638" s="69"/>
      <c r="H638" s="70"/>
      <c r="K638" s="70"/>
      <c r="L638" s="71"/>
      <c r="M638" s="72"/>
      <c r="P638" s="72"/>
    </row>
    <row r="639" hidden="1">
      <c r="B639" s="68"/>
      <c r="D639" s="69"/>
      <c r="H639" s="70"/>
      <c r="K639" s="70"/>
      <c r="L639" s="71"/>
      <c r="M639" s="72"/>
      <c r="P639" s="72"/>
    </row>
    <row r="640" hidden="1">
      <c r="B640" s="68"/>
      <c r="D640" s="69"/>
      <c r="H640" s="70"/>
      <c r="K640" s="70"/>
      <c r="L640" s="71"/>
      <c r="M640" s="72"/>
      <c r="P640" s="72"/>
    </row>
    <row r="641" hidden="1">
      <c r="B641" s="68"/>
      <c r="D641" s="69"/>
      <c r="H641" s="70"/>
      <c r="K641" s="70"/>
      <c r="L641" s="71"/>
      <c r="M641" s="72"/>
      <c r="P641" s="72"/>
    </row>
    <row r="642" hidden="1">
      <c r="B642" s="68"/>
      <c r="D642" s="69"/>
      <c r="H642" s="70"/>
      <c r="K642" s="70"/>
      <c r="L642" s="71"/>
      <c r="M642" s="72"/>
      <c r="P642" s="72"/>
    </row>
    <row r="643" hidden="1">
      <c r="B643" s="68"/>
      <c r="D643" s="69"/>
      <c r="H643" s="70"/>
      <c r="K643" s="70"/>
      <c r="L643" s="71"/>
      <c r="M643" s="72"/>
      <c r="P643" s="72"/>
    </row>
    <row r="644" hidden="1">
      <c r="B644" s="68"/>
      <c r="D644" s="69"/>
      <c r="H644" s="70"/>
      <c r="K644" s="70"/>
      <c r="L644" s="71"/>
      <c r="M644" s="72"/>
      <c r="P644" s="72"/>
    </row>
    <row r="645" hidden="1">
      <c r="B645" s="68"/>
      <c r="D645" s="69"/>
      <c r="H645" s="70"/>
      <c r="K645" s="70"/>
      <c r="L645" s="71"/>
      <c r="M645" s="72"/>
      <c r="P645" s="72"/>
    </row>
    <row r="646" hidden="1">
      <c r="B646" s="68"/>
      <c r="D646" s="69"/>
      <c r="H646" s="70"/>
      <c r="K646" s="70"/>
      <c r="L646" s="71"/>
      <c r="M646" s="72"/>
      <c r="P646" s="72"/>
    </row>
    <row r="647" hidden="1">
      <c r="B647" s="68"/>
      <c r="D647" s="69"/>
      <c r="H647" s="70"/>
      <c r="K647" s="70"/>
      <c r="L647" s="71"/>
      <c r="M647" s="72"/>
      <c r="P647" s="72"/>
    </row>
    <row r="648" hidden="1">
      <c r="B648" s="68"/>
      <c r="D648" s="69"/>
      <c r="H648" s="70"/>
      <c r="K648" s="70"/>
      <c r="L648" s="71"/>
      <c r="M648" s="72"/>
      <c r="P648" s="72"/>
    </row>
    <row r="649" hidden="1">
      <c r="B649" s="68"/>
      <c r="D649" s="69"/>
      <c r="H649" s="70"/>
      <c r="K649" s="70"/>
      <c r="L649" s="71"/>
      <c r="M649" s="72"/>
      <c r="P649" s="72"/>
    </row>
    <row r="650" hidden="1">
      <c r="B650" s="68"/>
      <c r="D650" s="69"/>
      <c r="H650" s="70"/>
      <c r="K650" s="70"/>
      <c r="L650" s="71"/>
      <c r="M650" s="72"/>
      <c r="P650" s="72"/>
    </row>
    <row r="651" hidden="1">
      <c r="B651" s="68"/>
      <c r="D651" s="69"/>
      <c r="H651" s="70"/>
      <c r="K651" s="70"/>
      <c r="L651" s="71"/>
      <c r="M651" s="72"/>
      <c r="P651" s="72"/>
    </row>
    <row r="652" hidden="1">
      <c r="B652" s="68"/>
      <c r="D652" s="69"/>
      <c r="H652" s="70"/>
      <c r="K652" s="70"/>
      <c r="L652" s="71"/>
      <c r="M652" s="72"/>
      <c r="P652" s="72"/>
    </row>
    <row r="653" hidden="1">
      <c r="B653" s="68"/>
      <c r="D653" s="69"/>
      <c r="H653" s="70"/>
      <c r="K653" s="70"/>
      <c r="L653" s="71"/>
      <c r="M653" s="72"/>
      <c r="P653" s="72"/>
    </row>
    <row r="654" hidden="1">
      <c r="B654" s="68"/>
      <c r="D654" s="69"/>
      <c r="H654" s="70"/>
      <c r="K654" s="70"/>
      <c r="L654" s="71"/>
      <c r="M654" s="72"/>
      <c r="P654" s="72"/>
    </row>
    <row r="655" hidden="1">
      <c r="B655" s="68"/>
      <c r="D655" s="69"/>
      <c r="H655" s="70"/>
      <c r="K655" s="70"/>
      <c r="L655" s="71"/>
      <c r="M655" s="72"/>
      <c r="P655" s="72"/>
    </row>
    <row r="656" hidden="1">
      <c r="B656" s="68"/>
      <c r="D656" s="69"/>
      <c r="H656" s="70"/>
      <c r="K656" s="70"/>
      <c r="L656" s="71"/>
      <c r="M656" s="72"/>
      <c r="P656" s="72"/>
    </row>
    <row r="657" hidden="1">
      <c r="B657" s="68"/>
      <c r="D657" s="69"/>
      <c r="H657" s="70"/>
      <c r="K657" s="70"/>
      <c r="L657" s="71"/>
      <c r="M657" s="72"/>
      <c r="P657" s="72"/>
    </row>
    <row r="658" hidden="1">
      <c r="B658" s="68"/>
      <c r="D658" s="69"/>
      <c r="H658" s="70"/>
      <c r="K658" s="70"/>
      <c r="L658" s="71"/>
      <c r="M658" s="72"/>
      <c r="P658" s="72"/>
    </row>
    <row r="659" hidden="1">
      <c r="B659" s="68"/>
      <c r="D659" s="69"/>
      <c r="H659" s="70"/>
      <c r="K659" s="70"/>
      <c r="L659" s="71"/>
      <c r="M659" s="72"/>
      <c r="P659" s="72"/>
    </row>
    <row r="660" hidden="1">
      <c r="B660" s="68"/>
      <c r="D660" s="69"/>
      <c r="H660" s="70"/>
      <c r="K660" s="70"/>
      <c r="L660" s="71"/>
      <c r="M660" s="72"/>
      <c r="P660" s="72"/>
    </row>
    <row r="661" hidden="1">
      <c r="B661" s="68"/>
      <c r="D661" s="69"/>
      <c r="H661" s="70"/>
      <c r="K661" s="70"/>
      <c r="L661" s="71"/>
      <c r="M661" s="72"/>
      <c r="P661" s="72"/>
    </row>
    <row r="662" hidden="1">
      <c r="B662" s="68"/>
      <c r="D662" s="69"/>
      <c r="H662" s="70"/>
      <c r="K662" s="70"/>
      <c r="L662" s="71"/>
      <c r="M662" s="72"/>
      <c r="P662" s="72"/>
    </row>
    <row r="663" hidden="1">
      <c r="B663" s="68"/>
      <c r="D663" s="69"/>
      <c r="H663" s="70"/>
      <c r="K663" s="70"/>
      <c r="L663" s="71"/>
      <c r="M663" s="72"/>
      <c r="P663" s="72"/>
    </row>
    <row r="664" hidden="1">
      <c r="B664" s="68"/>
      <c r="D664" s="69"/>
      <c r="H664" s="70"/>
      <c r="K664" s="70"/>
      <c r="L664" s="71"/>
      <c r="M664" s="72"/>
      <c r="P664" s="72"/>
    </row>
    <row r="665" hidden="1">
      <c r="B665" s="68"/>
      <c r="D665" s="69"/>
      <c r="H665" s="70"/>
      <c r="K665" s="70"/>
      <c r="L665" s="71"/>
      <c r="M665" s="72"/>
      <c r="P665" s="72"/>
    </row>
    <row r="666" hidden="1">
      <c r="B666" s="68"/>
      <c r="D666" s="69"/>
      <c r="H666" s="70"/>
      <c r="K666" s="70"/>
      <c r="L666" s="71"/>
      <c r="M666" s="72"/>
      <c r="P666" s="72"/>
    </row>
    <row r="667" hidden="1">
      <c r="B667" s="68"/>
      <c r="D667" s="69"/>
      <c r="H667" s="70"/>
      <c r="K667" s="70"/>
      <c r="L667" s="71"/>
      <c r="M667" s="72"/>
      <c r="P667" s="72"/>
    </row>
    <row r="668" hidden="1">
      <c r="B668" s="68"/>
      <c r="D668" s="69"/>
      <c r="H668" s="70"/>
      <c r="K668" s="70"/>
      <c r="L668" s="71"/>
      <c r="M668" s="72"/>
      <c r="P668" s="72"/>
    </row>
    <row r="669" hidden="1">
      <c r="B669" s="68"/>
      <c r="D669" s="69"/>
      <c r="H669" s="70"/>
      <c r="K669" s="70"/>
      <c r="L669" s="71"/>
      <c r="M669" s="72"/>
      <c r="P669" s="72"/>
    </row>
    <row r="670" hidden="1">
      <c r="B670" s="68"/>
      <c r="D670" s="69"/>
      <c r="H670" s="70"/>
      <c r="K670" s="70"/>
      <c r="L670" s="71"/>
      <c r="M670" s="72"/>
      <c r="P670" s="72"/>
    </row>
    <row r="671" hidden="1">
      <c r="B671" s="68"/>
      <c r="D671" s="69"/>
      <c r="H671" s="70"/>
      <c r="K671" s="70"/>
      <c r="L671" s="71"/>
      <c r="M671" s="72"/>
      <c r="P671" s="72"/>
    </row>
    <row r="672" hidden="1">
      <c r="B672" s="68"/>
      <c r="D672" s="69"/>
      <c r="H672" s="70"/>
      <c r="K672" s="70"/>
      <c r="L672" s="71"/>
      <c r="M672" s="72"/>
      <c r="P672" s="72"/>
    </row>
    <row r="673" hidden="1">
      <c r="B673" s="68"/>
      <c r="D673" s="69"/>
      <c r="H673" s="70"/>
      <c r="K673" s="70"/>
      <c r="L673" s="71"/>
      <c r="M673" s="72"/>
      <c r="P673" s="72"/>
    </row>
    <row r="674" hidden="1">
      <c r="B674" s="68"/>
      <c r="D674" s="69"/>
      <c r="H674" s="70"/>
      <c r="K674" s="70"/>
      <c r="L674" s="71"/>
      <c r="M674" s="72"/>
      <c r="P674" s="72"/>
    </row>
    <row r="675" hidden="1">
      <c r="B675" s="68"/>
      <c r="D675" s="69"/>
      <c r="H675" s="70"/>
      <c r="K675" s="70"/>
      <c r="L675" s="71"/>
      <c r="M675" s="72"/>
      <c r="P675" s="72"/>
    </row>
    <row r="676" hidden="1">
      <c r="B676" s="68"/>
      <c r="D676" s="69"/>
      <c r="H676" s="70"/>
      <c r="K676" s="70"/>
      <c r="L676" s="71"/>
      <c r="M676" s="72"/>
      <c r="P676" s="72"/>
    </row>
    <row r="677" hidden="1">
      <c r="B677" s="68"/>
      <c r="D677" s="69"/>
      <c r="H677" s="70"/>
      <c r="K677" s="70"/>
      <c r="L677" s="71"/>
      <c r="M677" s="72"/>
      <c r="P677" s="72"/>
    </row>
    <row r="678" hidden="1">
      <c r="B678" s="68"/>
      <c r="D678" s="69"/>
      <c r="H678" s="70"/>
      <c r="K678" s="70"/>
      <c r="L678" s="71"/>
      <c r="M678" s="72"/>
      <c r="P678" s="72"/>
    </row>
    <row r="679" hidden="1">
      <c r="B679" s="68"/>
      <c r="D679" s="69"/>
      <c r="H679" s="70"/>
      <c r="K679" s="70"/>
      <c r="L679" s="71"/>
      <c r="M679" s="72"/>
      <c r="P679" s="72"/>
    </row>
    <row r="680" hidden="1">
      <c r="B680" s="68"/>
      <c r="D680" s="69"/>
      <c r="H680" s="70"/>
      <c r="K680" s="70"/>
      <c r="L680" s="71"/>
      <c r="M680" s="72"/>
      <c r="P680" s="72"/>
    </row>
    <row r="681" hidden="1">
      <c r="B681" s="68"/>
      <c r="D681" s="69"/>
      <c r="H681" s="70"/>
      <c r="K681" s="70"/>
      <c r="L681" s="71"/>
      <c r="M681" s="72"/>
      <c r="P681" s="72"/>
    </row>
    <row r="682" hidden="1">
      <c r="B682" s="68"/>
      <c r="D682" s="69"/>
      <c r="H682" s="70"/>
      <c r="K682" s="70"/>
      <c r="L682" s="71"/>
      <c r="M682" s="72"/>
      <c r="P682" s="72"/>
    </row>
    <row r="683" hidden="1">
      <c r="B683" s="68"/>
      <c r="D683" s="69"/>
      <c r="H683" s="70"/>
      <c r="K683" s="70"/>
      <c r="L683" s="71"/>
      <c r="M683" s="72"/>
      <c r="P683" s="72"/>
    </row>
    <row r="684" hidden="1">
      <c r="B684" s="68"/>
      <c r="D684" s="69"/>
      <c r="H684" s="70"/>
      <c r="K684" s="70"/>
      <c r="L684" s="71"/>
      <c r="M684" s="72"/>
      <c r="P684" s="72"/>
    </row>
    <row r="685" hidden="1">
      <c r="B685" s="68"/>
      <c r="D685" s="69"/>
      <c r="H685" s="70"/>
      <c r="K685" s="70"/>
      <c r="L685" s="71"/>
      <c r="M685" s="72"/>
      <c r="P685" s="72"/>
    </row>
    <row r="686" hidden="1">
      <c r="B686" s="68"/>
      <c r="D686" s="69"/>
      <c r="H686" s="70"/>
      <c r="K686" s="70"/>
      <c r="L686" s="71"/>
      <c r="M686" s="72"/>
      <c r="P686" s="72"/>
    </row>
    <row r="687" hidden="1">
      <c r="B687" s="68"/>
      <c r="D687" s="69"/>
      <c r="H687" s="70"/>
      <c r="K687" s="70"/>
      <c r="L687" s="71"/>
      <c r="M687" s="72"/>
      <c r="P687" s="72"/>
    </row>
    <row r="688" hidden="1">
      <c r="B688" s="68"/>
      <c r="D688" s="69"/>
      <c r="H688" s="70"/>
      <c r="K688" s="70"/>
      <c r="L688" s="71"/>
      <c r="M688" s="72"/>
      <c r="P688" s="72"/>
    </row>
    <row r="689" hidden="1">
      <c r="B689" s="68"/>
      <c r="D689" s="69"/>
      <c r="H689" s="70"/>
      <c r="K689" s="70"/>
      <c r="L689" s="71"/>
      <c r="M689" s="72"/>
      <c r="P689" s="72"/>
    </row>
    <row r="690" hidden="1">
      <c r="B690" s="68"/>
      <c r="D690" s="69"/>
      <c r="H690" s="70"/>
      <c r="K690" s="70"/>
      <c r="L690" s="71"/>
      <c r="M690" s="72"/>
      <c r="P690" s="72"/>
    </row>
    <row r="691" hidden="1">
      <c r="B691" s="68"/>
      <c r="D691" s="69"/>
      <c r="H691" s="70"/>
      <c r="K691" s="70"/>
      <c r="L691" s="71"/>
      <c r="M691" s="72"/>
      <c r="P691" s="72"/>
    </row>
    <row r="692" hidden="1">
      <c r="B692" s="68"/>
      <c r="D692" s="69"/>
      <c r="H692" s="70"/>
      <c r="K692" s="70"/>
      <c r="L692" s="71"/>
      <c r="M692" s="72"/>
      <c r="P692" s="72"/>
    </row>
    <row r="693" hidden="1">
      <c r="B693" s="68"/>
      <c r="D693" s="69"/>
      <c r="H693" s="70"/>
      <c r="K693" s="70"/>
      <c r="L693" s="71"/>
      <c r="M693" s="72"/>
      <c r="P693" s="72"/>
    </row>
    <row r="694" hidden="1">
      <c r="B694" s="68"/>
      <c r="D694" s="69"/>
      <c r="H694" s="70"/>
      <c r="K694" s="70"/>
      <c r="L694" s="71"/>
      <c r="M694" s="72"/>
      <c r="P694" s="72"/>
    </row>
    <row r="695" hidden="1">
      <c r="B695" s="68"/>
      <c r="D695" s="69"/>
      <c r="H695" s="70"/>
      <c r="K695" s="70"/>
      <c r="L695" s="71"/>
      <c r="M695" s="72"/>
      <c r="P695" s="72"/>
    </row>
    <row r="696" hidden="1">
      <c r="B696" s="68"/>
      <c r="D696" s="69"/>
      <c r="H696" s="70"/>
      <c r="K696" s="70"/>
      <c r="L696" s="71"/>
      <c r="M696" s="72"/>
      <c r="P696" s="72"/>
    </row>
    <row r="697" hidden="1">
      <c r="B697" s="68"/>
      <c r="D697" s="69"/>
      <c r="H697" s="70"/>
      <c r="K697" s="70"/>
      <c r="L697" s="71"/>
      <c r="M697" s="72"/>
      <c r="P697" s="72"/>
    </row>
    <row r="698" hidden="1">
      <c r="B698" s="68"/>
      <c r="D698" s="69"/>
      <c r="H698" s="70"/>
      <c r="K698" s="70"/>
      <c r="L698" s="71"/>
      <c r="M698" s="72"/>
      <c r="P698" s="72"/>
    </row>
    <row r="699" hidden="1">
      <c r="B699" s="68"/>
      <c r="D699" s="69"/>
      <c r="H699" s="70"/>
      <c r="K699" s="70"/>
      <c r="L699" s="71"/>
      <c r="M699" s="72"/>
      <c r="P699" s="72"/>
    </row>
    <row r="700" hidden="1">
      <c r="B700" s="68"/>
      <c r="D700" s="69"/>
      <c r="H700" s="70"/>
      <c r="K700" s="70"/>
      <c r="L700" s="71"/>
      <c r="M700" s="72"/>
      <c r="P700" s="72"/>
    </row>
    <row r="701" hidden="1">
      <c r="B701" s="68"/>
      <c r="D701" s="69"/>
      <c r="H701" s="70"/>
      <c r="K701" s="70"/>
      <c r="L701" s="71"/>
      <c r="M701" s="72"/>
      <c r="P701" s="72"/>
    </row>
    <row r="702" hidden="1">
      <c r="B702" s="68"/>
      <c r="D702" s="69"/>
      <c r="H702" s="70"/>
      <c r="K702" s="70"/>
      <c r="L702" s="71"/>
      <c r="M702" s="72"/>
      <c r="P702" s="72"/>
    </row>
    <row r="703" hidden="1">
      <c r="B703" s="68"/>
      <c r="D703" s="69"/>
      <c r="H703" s="70"/>
      <c r="K703" s="70"/>
      <c r="L703" s="71"/>
      <c r="M703" s="72"/>
      <c r="P703" s="72"/>
    </row>
    <row r="704" hidden="1">
      <c r="B704" s="68"/>
      <c r="D704" s="69"/>
      <c r="H704" s="70"/>
      <c r="K704" s="70"/>
      <c r="L704" s="71"/>
      <c r="M704" s="72"/>
      <c r="P704" s="72"/>
    </row>
    <row r="705" hidden="1">
      <c r="B705" s="68"/>
      <c r="D705" s="69"/>
      <c r="H705" s="70"/>
      <c r="K705" s="70"/>
      <c r="L705" s="71"/>
      <c r="M705" s="72"/>
      <c r="P705" s="72"/>
    </row>
    <row r="706" hidden="1">
      <c r="B706" s="68"/>
      <c r="D706" s="69"/>
      <c r="H706" s="70"/>
      <c r="K706" s="70"/>
      <c r="L706" s="71"/>
      <c r="M706" s="72"/>
      <c r="P706" s="72"/>
    </row>
    <row r="707" hidden="1">
      <c r="B707" s="68"/>
      <c r="D707" s="69"/>
      <c r="H707" s="70"/>
      <c r="K707" s="70"/>
      <c r="L707" s="71"/>
      <c r="M707" s="72"/>
      <c r="P707" s="72"/>
    </row>
    <row r="708" hidden="1">
      <c r="B708" s="68"/>
      <c r="D708" s="69"/>
      <c r="H708" s="70"/>
      <c r="K708" s="70"/>
      <c r="L708" s="71"/>
      <c r="M708" s="72"/>
      <c r="P708" s="72"/>
    </row>
    <row r="709" hidden="1">
      <c r="B709" s="68"/>
      <c r="D709" s="69"/>
      <c r="H709" s="70"/>
      <c r="K709" s="70"/>
      <c r="L709" s="71"/>
      <c r="M709" s="72"/>
      <c r="P709" s="72"/>
    </row>
    <row r="710" hidden="1">
      <c r="B710" s="68"/>
      <c r="D710" s="69"/>
      <c r="H710" s="70"/>
      <c r="K710" s="70"/>
      <c r="L710" s="71"/>
      <c r="M710" s="72"/>
      <c r="P710" s="72"/>
    </row>
    <row r="711" hidden="1">
      <c r="B711" s="68"/>
      <c r="D711" s="69"/>
      <c r="H711" s="70"/>
      <c r="K711" s="70"/>
      <c r="L711" s="71"/>
      <c r="M711" s="72"/>
      <c r="P711" s="72"/>
    </row>
    <row r="712" hidden="1">
      <c r="B712" s="68"/>
      <c r="D712" s="69"/>
      <c r="H712" s="70"/>
      <c r="K712" s="70"/>
      <c r="L712" s="71"/>
      <c r="M712" s="72"/>
      <c r="P712" s="72"/>
    </row>
    <row r="713" hidden="1">
      <c r="B713" s="68"/>
      <c r="D713" s="69"/>
      <c r="H713" s="70"/>
      <c r="K713" s="70"/>
      <c r="L713" s="71"/>
      <c r="M713" s="72"/>
      <c r="P713" s="72"/>
    </row>
    <row r="714" hidden="1">
      <c r="B714" s="68"/>
      <c r="D714" s="69"/>
      <c r="H714" s="70"/>
      <c r="K714" s="70"/>
      <c r="L714" s="71"/>
      <c r="M714" s="72"/>
      <c r="P714" s="72"/>
    </row>
    <row r="715" hidden="1">
      <c r="B715" s="68"/>
      <c r="D715" s="69"/>
      <c r="H715" s="70"/>
      <c r="K715" s="70"/>
      <c r="L715" s="71"/>
      <c r="M715" s="72"/>
      <c r="P715" s="72"/>
    </row>
    <row r="716" hidden="1">
      <c r="B716" s="68"/>
      <c r="D716" s="69"/>
      <c r="H716" s="70"/>
      <c r="K716" s="70"/>
      <c r="L716" s="71"/>
      <c r="M716" s="72"/>
      <c r="P716" s="72"/>
    </row>
    <row r="717" hidden="1">
      <c r="B717" s="68"/>
      <c r="D717" s="69"/>
      <c r="H717" s="70"/>
      <c r="K717" s="70"/>
      <c r="L717" s="71"/>
      <c r="M717" s="72"/>
      <c r="P717" s="72"/>
    </row>
    <row r="718" hidden="1">
      <c r="B718" s="68"/>
      <c r="D718" s="69"/>
      <c r="H718" s="70"/>
      <c r="K718" s="70"/>
      <c r="L718" s="71"/>
      <c r="M718" s="72"/>
      <c r="P718" s="72"/>
    </row>
    <row r="719" hidden="1">
      <c r="B719" s="68"/>
      <c r="D719" s="69"/>
      <c r="H719" s="70"/>
      <c r="K719" s="70"/>
      <c r="L719" s="71"/>
      <c r="M719" s="72"/>
      <c r="P719" s="72"/>
    </row>
    <row r="720" hidden="1">
      <c r="B720" s="68"/>
      <c r="D720" s="69"/>
      <c r="H720" s="70"/>
      <c r="K720" s="70"/>
      <c r="L720" s="71"/>
      <c r="M720" s="72"/>
      <c r="P720" s="72"/>
    </row>
    <row r="721" hidden="1">
      <c r="B721" s="68"/>
      <c r="D721" s="69"/>
      <c r="H721" s="70"/>
      <c r="K721" s="70"/>
      <c r="L721" s="71"/>
      <c r="M721" s="72"/>
      <c r="P721" s="72"/>
    </row>
    <row r="722" hidden="1">
      <c r="B722" s="68"/>
      <c r="D722" s="69"/>
      <c r="H722" s="70"/>
      <c r="K722" s="70"/>
      <c r="L722" s="71"/>
      <c r="M722" s="72"/>
      <c r="P722" s="72"/>
    </row>
    <row r="723" hidden="1">
      <c r="B723" s="68"/>
      <c r="D723" s="69"/>
      <c r="H723" s="70"/>
      <c r="K723" s="70"/>
      <c r="L723" s="71"/>
      <c r="M723" s="72"/>
      <c r="P723" s="72"/>
    </row>
    <row r="724" hidden="1">
      <c r="B724" s="68"/>
      <c r="D724" s="69"/>
      <c r="H724" s="70"/>
      <c r="K724" s="70"/>
      <c r="L724" s="71"/>
      <c r="M724" s="72"/>
      <c r="P724" s="72"/>
    </row>
    <row r="725" hidden="1">
      <c r="B725" s="68"/>
      <c r="D725" s="69"/>
      <c r="H725" s="70"/>
      <c r="K725" s="70"/>
      <c r="L725" s="71"/>
      <c r="M725" s="72"/>
      <c r="P725" s="72"/>
    </row>
    <row r="726" hidden="1">
      <c r="B726" s="68"/>
      <c r="D726" s="69"/>
      <c r="H726" s="70"/>
      <c r="K726" s="70"/>
      <c r="L726" s="71"/>
      <c r="M726" s="72"/>
      <c r="P726" s="72"/>
    </row>
    <row r="727" hidden="1">
      <c r="B727" s="68"/>
      <c r="D727" s="69"/>
      <c r="H727" s="70"/>
      <c r="K727" s="70"/>
      <c r="L727" s="71"/>
      <c r="M727" s="72"/>
      <c r="P727" s="72"/>
    </row>
    <row r="728" hidden="1">
      <c r="B728" s="68"/>
      <c r="D728" s="69"/>
      <c r="H728" s="70"/>
      <c r="K728" s="70"/>
      <c r="L728" s="71"/>
      <c r="M728" s="72"/>
      <c r="P728" s="72"/>
    </row>
    <row r="729" hidden="1">
      <c r="B729" s="68"/>
      <c r="D729" s="69"/>
      <c r="H729" s="70"/>
      <c r="K729" s="70"/>
      <c r="L729" s="71"/>
      <c r="M729" s="72"/>
      <c r="P729" s="72"/>
    </row>
    <row r="730" hidden="1">
      <c r="B730" s="68"/>
      <c r="D730" s="69"/>
      <c r="H730" s="70"/>
      <c r="K730" s="70"/>
      <c r="L730" s="71"/>
      <c r="M730" s="72"/>
      <c r="P730" s="72"/>
    </row>
    <row r="731" hidden="1">
      <c r="B731" s="68"/>
      <c r="D731" s="69"/>
      <c r="H731" s="70"/>
      <c r="K731" s="70"/>
      <c r="L731" s="71"/>
      <c r="M731" s="72"/>
      <c r="P731" s="72"/>
    </row>
    <row r="732" hidden="1">
      <c r="B732" s="68"/>
      <c r="D732" s="69"/>
      <c r="H732" s="70"/>
      <c r="K732" s="70"/>
      <c r="L732" s="71"/>
      <c r="M732" s="72"/>
      <c r="P732" s="72"/>
    </row>
    <row r="733" hidden="1">
      <c r="B733" s="68"/>
      <c r="D733" s="69"/>
      <c r="H733" s="70"/>
      <c r="K733" s="70"/>
      <c r="L733" s="71"/>
      <c r="M733" s="72"/>
      <c r="P733" s="72"/>
    </row>
    <row r="734" hidden="1">
      <c r="B734" s="68"/>
      <c r="D734" s="69"/>
      <c r="H734" s="70"/>
      <c r="K734" s="70"/>
      <c r="L734" s="71"/>
      <c r="M734" s="72"/>
      <c r="P734" s="72"/>
    </row>
    <row r="735" hidden="1">
      <c r="B735" s="68"/>
      <c r="D735" s="69"/>
      <c r="H735" s="70"/>
      <c r="K735" s="70"/>
      <c r="L735" s="71"/>
      <c r="M735" s="72"/>
      <c r="P735" s="72"/>
    </row>
    <row r="736" hidden="1">
      <c r="B736" s="68"/>
      <c r="D736" s="69"/>
      <c r="H736" s="70"/>
      <c r="K736" s="70"/>
      <c r="L736" s="71"/>
      <c r="M736" s="72"/>
      <c r="P736" s="72"/>
    </row>
    <row r="737" hidden="1">
      <c r="B737" s="68"/>
      <c r="D737" s="69"/>
      <c r="H737" s="70"/>
      <c r="K737" s="70"/>
      <c r="L737" s="71"/>
      <c r="M737" s="72"/>
      <c r="P737" s="72"/>
    </row>
    <row r="738" hidden="1">
      <c r="B738" s="68"/>
      <c r="D738" s="69"/>
      <c r="H738" s="70"/>
      <c r="K738" s="70"/>
      <c r="L738" s="71"/>
      <c r="M738" s="72"/>
      <c r="P738" s="72"/>
    </row>
    <row r="739" hidden="1">
      <c r="B739" s="68"/>
      <c r="D739" s="69"/>
      <c r="H739" s="70"/>
      <c r="K739" s="70"/>
      <c r="L739" s="71"/>
      <c r="M739" s="72"/>
      <c r="P739" s="72"/>
    </row>
    <row r="740" hidden="1">
      <c r="B740" s="68"/>
      <c r="D740" s="69"/>
      <c r="H740" s="70"/>
      <c r="K740" s="70"/>
      <c r="L740" s="71"/>
      <c r="M740" s="72"/>
      <c r="P740" s="72"/>
    </row>
    <row r="741" hidden="1">
      <c r="B741" s="68"/>
      <c r="D741" s="69"/>
      <c r="H741" s="70"/>
      <c r="K741" s="70"/>
      <c r="L741" s="71"/>
      <c r="M741" s="72"/>
      <c r="P741" s="72"/>
    </row>
    <row r="742" hidden="1">
      <c r="B742" s="68"/>
      <c r="D742" s="69"/>
      <c r="H742" s="70"/>
      <c r="K742" s="70"/>
      <c r="L742" s="71"/>
      <c r="M742" s="72"/>
      <c r="P742" s="72"/>
    </row>
    <row r="743" hidden="1">
      <c r="B743" s="68"/>
      <c r="D743" s="69"/>
      <c r="H743" s="70"/>
      <c r="K743" s="70"/>
      <c r="L743" s="71"/>
      <c r="M743" s="72"/>
      <c r="P743" s="72"/>
    </row>
    <row r="744" hidden="1">
      <c r="B744" s="68"/>
      <c r="D744" s="69"/>
      <c r="H744" s="70"/>
      <c r="K744" s="70"/>
      <c r="L744" s="71"/>
      <c r="M744" s="72"/>
      <c r="P744" s="72"/>
    </row>
    <row r="745" hidden="1">
      <c r="B745" s="68"/>
      <c r="D745" s="69"/>
      <c r="H745" s="70"/>
      <c r="K745" s="70"/>
      <c r="L745" s="71"/>
      <c r="M745" s="72"/>
      <c r="P745" s="72"/>
    </row>
    <row r="746" hidden="1">
      <c r="B746" s="68"/>
      <c r="D746" s="69"/>
      <c r="H746" s="70"/>
      <c r="K746" s="70"/>
      <c r="L746" s="71"/>
      <c r="M746" s="72"/>
      <c r="P746" s="72"/>
    </row>
    <row r="747" hidden="1">
      <c r="B747" s="68"/>
      <c r="D747" s="69"/>
      <c r="H747" s="70"/>
      <c r="K747" s="70"/>
      <c r="L747" s="71"/>
      <c r="M747" s="72"/>
      <c r="P747" s="72"/>
    </row>
    <row r="748" hidden="1">
      <c r="B748" s="68"/>
      <c r="D748" s="69"/>
      <c r="H748" s="70"/>
      <c r="K748" s="70"/>
      <c r="L748" s="71"/>
      <c r="M748" s="72"/>
      <c r="P748" s="72"/>
    </row>
    <row r="749" hidden="1">
      <c r="B749" s="68"/>
      <c r="D749" s="69"/>
      <c r="H749" s="70"/>
      <c r="K749" s="70"/>
      <c r="L749" s="71"/>
      <c r="M749" s="72"/>
      <c r="P749" s="72"/>
    </row>
    <row r="750" hidden="1">
      <c r="B750" s="68"/>
      <c r="D750" s="69"/>
      <c r="H750" s="70"/>
      <c r="K750" s="70"/>
      <c r="L750" s="71"/>
      <c r="M750" s="72"/>
      <c r="P750" s="72"/>
    </row>
    <row r="751" hidden="1">
      <c r="B751" s="68"/>
      <c r="D751" s="69"/>
      <c r="H751" s="70"/>
      <c r="K751" s="70"/>
      <c r="L751" s="71"/>
      <c r="M751" s="72"/>
      <c r="P751" s="72"/>
    </row>
    <row r="752" hidden="1">
      <c r="B752" s="68"/>
      <c r="D752" s="69"/>
      <c r="H752" s="70"/>
      <c r="K752" s="70"/>
      <c r="L752" s="71"/>
      <c r="M752" s="72"/>
      <c r="P752" s="72"/>
    </row>
    <row r="753" hidden="1">
      <c r="B753" s="68"/>
      <c r="D753" s="69"/>
      <c r="H753" s="70"/>
      <c r="K753" s="70"/>
      <c r="L753" s="71"/>
      <c r="M753" s="72"/>
      <c r="P753" s="72"/>
    </row>
    <row r="754" hidden="1">
      <c r="B754" s="68"/>
      <c r="D754" s="69"/>
      <c r="H754" s="70"/>
      <c r="K754" s="70"/>
      <c r="L754" s="71"/>
      <c r="M754" s="72"/>
      <c r="P754" s="72"/>
    </row>
    <row r="755" hidden="1">
      <c r="B755" s="68"/>
      <c r="D755" s="69"/>
      <c r="H755" s="70"/>
      <c r="K755" s="70"/>
      <c r="L755" s="71"/>
      <c r="M755" s="72"/>
      <c r="P755" s="72"/>
    </row>
    <row r="756" hidden="1">
      <c r="B756" s="68"/>
      <c r="D756" s="69"/>
      <c r="H756" s="70"/>
      <c r="K756" s="70"/>
      <c r="L756" s="71"/>
      <c r="M756" s="72"/>
      <c r="P756" s="72"/>
    </row>
    <row r="757" hidden="1">
      <c r="B757" s="68"/>
      <c r="D757" s="69"/>
      <c r="H757" s="70"/>
      <c r="K757" s="70"/>
      <c r="L757" s="71"/>
      <c r="M757" s="72"/>
      <c r="P757" s="72"/>
    </row>
    <row r="758" hidden="1">
      <c r="B758" s="68"/>
      <c r="D758" s="69"/>
      <c r="H758" s="70"/>
      <c r="K758" s="70"/>
      <c r="L758" s="71"/>
      <c r="M758" s="72"/>
      <c r="P758" s="72"/>
    </row>
    <row r="759" hidden="1">
      <c r="B759" s="68"/>
      <c r="D759" s="69"/>
      <c r="H759" s="70"/>
      <c r="K759" s="70"/>
      <c r="L759" s="71"/>
      <c r="M759" s="72"/>
      <c r="P759" s="72"/>
    </row>
    <row r="760" hidden="1">
      <c r="B760" s="68"/>
      <c r="D760" s="69"/>
      <c r="H760" s="70"/>
      <c r="K760" s="70"/>
      <c r="L760" s="71"/>
      <c r="M760" s="72"/>
      <c r="P760" s="72"/>
    </row>
    <row r="761" hidden="1">
      <c r="B761" s="68"/>
      <c r="D761" s="69"/>
      <c r="H761" s="70"/>
      <c r="K761" s="70"/>
      <c r="L761" s="71"/>
      <c r="M761" s="72"/>
      <c r="P761" s="72"/>
    </row>
    <row r="762" hidden="1">
      <c r="B762" s="68"/>
      <c r="D762" s="69"/>
      <c r="H762" s="70"/>
      <c r="K762" s="70"/>
      <c r="L762" s="71"/>
      <c r="M762" s="72"/>
      <c r="P762" s="72"/>
    </row>
    <row r="763" hidden="1">
      <c r="B763" s="68"/>
      <c r="D763" s="69"/>
      <c r="H763" s="70"/>
      <c r="K763" s="70"/>
      <c r="L763" s="71"/>
      <c r="M763" s="72"/>
      <c r="P763" s="72"/>
    </row>
    <row r="764" hidden="1">
      <c r="B764" s="68"/>
      <c r="D764" s="69"/>
      <c r="H764" s="70"/>
      <c r="K764" s="70"/>
      <c r="L764" s="71"/>
      <c r="M764" s="72"/>
      <c r="P764" s="72"/>
    </row>
    <row r="765" hidden="1">
      <c r="B765" s="68"/>
      <c r="D765" s="69"/>
      <c r="H765" s="70"/>
      <c r="K765" s="70"/>
      <c r="L765" s="71"/>
      <c r="M765" s="72"/>
      <c r="P765" s="72"/>
    </row>
    <row r="766" hidden="1">
      <c r="B766" s="68"/>
      <c r="D766" s="69"/>
      <c r="H766" s="70"/>
      <c r="K766" s="70"/>
      <c r="L766" s="71"/>
      <c r="M766" s="72"/>
      <c r="P766" s="72"/>
    </row>
    <row r="767" hidden="1">
      <c r="B767" s="68"/>
      <c r="D767" s="69"/>
      <c r="H767" s="70"/>
      <c r="K767" s="70"/>
      <c r="L767" s="71"/>
      <c r="M767" s="72"/>
      <c r="P767" s="72"/>
    </row>
    <row r="768" hidden="1">
      <c r="B768" s="68"/>
      <c r="D768" s="69"/>
      <c r="H768" s="70"/>
      <c r="K768" s="70"/>
      <c r="L768" s="71"/>
      <c r="M768" s="72"/>
      <c r="P768" s="72"/>
    </row>
    <row r="769" hidden="1">
      <c r="B769" s="68"/>
      <c r="D769" s="69"/>
      <c r="H769" s="70"/>
      <c r="K769" s="70"/>
      <c r="L769" s="71"/>
      <c r="M769" s="72"/>
      <c r="P769" s="72"/>
    </row>
    <row r="770" hidden="1">
      <c r="B770" s="68"/>
      <c r="D770" s="69"/>
      <c r="H770" s="70"/>
      <c r="K770" s="70"/>
      <c r="L770" s="71"/>
      <c r="M770" s="72"/>
      <c r="P770" s="72"/>
    </row>
    <row r="771" hidden="1">
      <c r="B771" s="68"/>
      <c r="D771" s="69"/>
      <c r="H771" s="70"/>
      <c r="K771" s="70"/>
      <c r="L771" s="71"/>
      <c r="M771" s="72"/>
      <c r="P771" s="72"/>
    </row>
    <row r="772" hidden="1">
      <c r="B772" s="68"/>
      <c r="D772" s="69"/>
      <c r="H772" s="70"/>
      <c r="K772" s="70"/>
      <c r="L772" s="71"/>
      <c r="M772" s="72"/>
      <c r="P772" s="72"/>
    </row>
    <row r="773" hidden="1">
      <c r="B773" s="68"/>
      <c r="D773" s="69"/>
      <c r="H773" s="70"/>
      <c r="K773" s="70"/>
      <c r="L773" s="71"/>
      <c r="M773" s="72"/>
      <c r="P773" s="72"/>
    </row>
    <row r="774" hidden="1">
      <c r="B774" s="68"/>
      <c r="D774" s="69"/>
      <c r="H774" s="70"/>
      <c r="K774" s="70"/>
      <c r="L774" s="71"/>
      <c r="M774" s="72"/>
      <c r="P774" s="72"/>
    </row>
    <row r="775" hidden="1">
      <c r="B775" s="68"/>
      <c r="D775" s="69"/>
      <c r="H775" s="70"/>
      <c r="K775" s="70"/>
      <c r="L775" s="71"/>
      <c r="M775" s="72"/>
      <c r="P775" s="72"/>
    </row>
    <row r="776" hidden="1">
      <c r="B776" s="68"/>
      <c r="D776" s="69"/>
      <c r="H776" s="70"/>
      <c r="K776" s="70"/>
      <c r="L776" s="71"/>
      <c r="M776" s="72"/>
      <c r="P776" s="72"/>
    </row>
    <row r="777" hidden="1">
      <c r="B777" s="68"/>
      <c r="D777" s="69"/>
      <c r="H777" s="70"/>
      <c r="K777" s="70"/>
      <c r="L777" s="71"/>
      <c r="M777" s="72"/>
      <c r="P777" s="72"/>
    </row>
    <row r="778" hidden="1">
      <c r="B778" s="68"/>
      <c r="D778" s="69"/>
      <c r="H778" s="70"/>
      <c r="K778" s="70"/>
      <c r="L778" s="71"/>
      <c r="M778" s="72"/>
      <c r="P778" s="72"/>
    </row>
    <row r="779" hidden="1">
      <c r="B779" s="68"/>
      <c r="D779" s="69"/>
      <c r="H779" s="70"/>
      <c r="K779" s="70"/>
      <c r="L779" s="71"/>
      <c r="M779" s="72"/>
      <c r="P779" s="72"/>
    </row>
    <row r="780" hidden="1">
      <c r="B780" s="68"/>
      <c r="D780" s="69"/>
      <c r="H780" s="70"/>
      <c r="K780" s="70"/>
      <c r="L780" s="71"/>
      <c r="M780" s="72"/>
      <c r="P780" s="72"/>
    </row>
    <row r="781" hidden="1">
      <c r="B781" s="68"/>
      <c r="D781" s="69"/>
      <c r="H781" s="70"/>
      <c r="K781" s="70"/>
      <c r="L781" s="71"/>
      <c r="M781" s="72"/>
      <c r="P781" s="72"/>
    </row>
    <row r="782" hidden="1">
      <c r="B782" s="68"/>
      <c r="D782" s="69"/>
      <c r="H782" s="70"/>
      <c r="K782" s="70"/>
      <c r="L782" s="71"/>
      <c r="M782" s="72"/>
      <c r="P782" s="72"/>
    </row>
    <row r="783" hidden="1">
      <c r="B783" s="68"/>
      <c r="D783" s="69"/>
      <c r="H783" s="70"/>
      <c r="K783" s="70"/>
      <c r="L783" s="71"/>
      <c r="M783" s="72"/>
      <c r="P783" s="72"/>
    </row>
    <row r="784" hidden="1">
      <c r="B784" s="68"/>
      <c r="D784" s="69"/>
      <c r="H784" s="70"/>
      <c r="K784" s="70"/>
      <c r="L784" s="71"/>
      <c r="M784" s="72"/>
      <c r="P784" s="72"/>
    </row>
    <row r="785" hidden="1">
      <c r="B785" s="68"/>
      <c r="D785" s="69"/>
      <c r="H785" s="70"/>
      <c r="K785" s="70"/>
      <c r="L785" s="71"/>
      <c r="M785" s="72"/>
      <c r="P785" s="72"/>
    </row>
    <row r="786" hidden="1">
      <c r="B786" s="68"/>
      <c r="D786" s="69"/>
      <c r="H786" s="70"/>
      <c r="K786" s="70"/>
      <c r="L786" s="71"/>
      <c r="M786" s="72"/>
      <c r="P786" s="72"/>
    </row>
    <row r="787" hidden="1">
      <c r="B787" s="68"/>
      <c r="D787" s="69"/>
      <c r="H787" s="70"/>
      <c r="K787" s="70"/>
      <c r="L787" s="71"/>
      <c r="M787" s="72"/>
      <c r="P787" s="72"/>
    </row>
    <row r="788" hidden="1">
      <c r="B788" s="68"/>
      <c r="D788" s="69"/>
      <c r="H788" s="70"/>
      <c r="K788" s="70"/>
      <c r="L788" s="71"/>
      <c r="M788" s="72"/>
      <c r="P788" s="72"/>
    </row>
    <row r="789" hidden="1">
      <c r="B789" s="68"/>
      <c r="D789" s="69"/>
      <c r="H789" s="70"/>
      <c r="K789" s="70"/>
      <c r="L789" s="71"/>
      <c r="M789" s="72"/>
      <c r="P789" s="72"/>
    </row>
    <row r="790" hidden="1">
      <c r="B790" s="68"/>
      <c r="D790" s="69"/>
      <c r="H790" s="70"/>
      <c r="K790" s="70"/>
      <c r="L790" s="71"/>
      <c r="M790" s="72"/>
      <c r="P790" s="72"/>
    </row>
    <row r="791" hidden="1">
      <c r="B791" s="68"/>
      <c r="D791" s="69"/>
      <c r="H791" s="70"/>
      <c r="K791" s="70"/>
      <c r="L791" s="71"/>
      <c r="M791" s="72"/>
      <c r="P791" s="72"/>
    </row>
    <row r="792" hidden="1">
      <c r="B792" s="68"/>
      <c r="D792" s="69"/>
      <c r="H792" s="70"/>
      <c r="K792" s="70"/>
      <c r="L792" s="71"/>
      <c r="M792" s="72"/>
      <c r="P792" s="72"/>
    </row>
    <row r="793" hidden="1">
      <c r="B793" s="68"/>
      <c r="D793" s="69"/>
      <c r="H793" s="70"/>
      <c r="K793" s="70"/>
      <c r="L793" s="71"/>
      <c r="M793" s="72"/>
      <c r="P793" s="72"/>
    </row>
    <row r="794" hidden="1">
      <c r="B794" s="68"/>
      <c r="D794" s="69"/>
      <c r="H794" s="70"/>
      <c r="K794" s="70"/>
      <c r="L794" s="71"/>
      <c r="M794" s="72"/>
      <c r="P794" s="72"/>
    </row>
    <row r="795" hidden="1">
      <c r="B795" s="68"/>
      <c r="D795" s="69"/>
      <c r="H795" s="70"/>
      <c r="K795" s="70"/>
      <c r="L795" s="71"/>
      <c r="M795" s="72"/>
      <c r="P795" s="72"/>
    </row>
    <row r="796" hidden="1">
      <c r="B796" s="68"/>
      <c r="D796" s="69"/>
      <c r="H796" s="70"/>
      <c r="K796" s="70"/>
      <c r="L796" s="71"/>
      <c r="M796" s="72"/>
      <c r="P796" s="72"/>
    </row>
    <row r="797" hidden="1">
      <c r="B797" s="68"/>
      <c r="D797" s="69"/>
      <c r="H797" s="70"/>
      <c r="K797" s="70"/>
      <c r="L797" s="71"/>
      <c r="M797" s="72"/>
      <c r="P797" s="72"/>
    </row>
    <row r="798" hidden="1">
      <c r="B798" s="68"/>
      <c r="D798" s="69"/>
      <c r="H798" s="70"/>
      <c r="K798" s="70"/>
      <c r="L798" s="71"/>
      <c r="M798" s="72"/>
      <c r="P798" s="72"/>
    </row>
    <row r="799" hidden="1">
      <c r="B799" s="68"/>
      <c r="D799" s="69"/>
      <c r="H799" s="70"/>
      <c r="K799" s="70"/>
      <c r="L799" s="71"/>
      <c r="M799" s="72"/>
      <c r="P799" s="72"/>
    </row>
    <row r="800" hidden="1">
      <c r="B800" s="68"/>
      <c r="D800" s="69"/>
      <c r="H800" s="70"/>
      <c r="K800" s="70"/>
      <c r="L800" s="71"/>
      <c r="M800" s="72"/>
      <c r="P800" s="72"/>
    </row>
    <row r="801" hidden="1">
      <c r="B801" s="68"/>
      <c r="D801" s="69"/>
      <c r="H801" s="70"/>
      <c r="K801" s="70"/>
      <c r="L801" s="71"/>
      <c r="M801" s="72"/>
      <c r="P801" s="72"/>
    </row>
    <row r="802" hidden="1">
      <c r="B802" s="68"/>
      <c r="D802" s="69"/>
      <c r="H802" s="70"/>
      <c r="K802" s="70"/>
      <c r="L802" s="71"/>
      <c r="M802" s="72"/>
      <c r="P802" s="72"/>
    </row>
    <row r="803" hidden="1">
      <c r="B803" s="68"/>
      <c r="D803" s="69"/>
      <c r="H803" s="70"/>
      <c r="K803" s="70"/>
      <c r="L803" s="71"/>
      <c r="M803" s="72"/>
      <c r="P803" s="72"/>
    </row>
    <row r="804" hidden="1">
      <c r="B804" s="68"/>
      <c r="D804" s="69"/>
      <c r="H804" s="70"/>
      <c r="K804" s="70"/>
      <c r="L804" s="71"/>
      <c r="M804" s="72"/>
      <c r="P804" s="72"/>
    </row>
    <row r="805" hidden="1">
      <c r="B805" s="68"/>
      <c r="D805" s="69"/>
      <c r="H805" s="70"/>
      <c r="K805" s="70"/>
      <c r="L805" s="71"/>
      <c r="M805" s="72"/>
      <c r="P805" s="72"/>
    </row>
    <row r="806" hidden="1">
      <c r="B806" s="68"/>
      <c r="D806" s="69"/>
      <c r="H806" s="70"/>
      <c r="K806" s="70"/>
      <c r="L806" s="71"/>
      <c r="M806" s="72"/>
      <c r="P806" s="72"/>
    </row>
    <row r="807" hidden="1">
      <c r="B807" s="68"/>
      <c r="D807" s="69"/>
      <c r="H807" s="70"/>
      <c r="K807" s="70"/>
      <c r="L807" s="71"/>
      <c r="M807" s="72"/>
      <c r="P807" s="72"/>
    </row>
    <row r="808" hidden="1">
      <c r="B808" s="68"/>
      <c r="D808" s="69"/>
      <c r="H808" s="70"/>
      <c r="K808" s="70"/>
      <c r="L808" s="71"/>
      <c r="M808" s="72"/>
      <c r="P808" s="72"/>
    </row>
    <row r="809" hidden="1">
      <c r="B809" s="68"/>
      <c r="D809" s="69"/>
      <c r="H809" s="70"/>
      <c r="K809" s="70"/>
      <c r="L809" s="71"/>
      <c r="M809" s="72"/>
      <c r="P809" s="72"/>
    </row>
    <row r="810" hidden="1">
      <c r="B810" s="68"/>
      <c r="D810" s="69"/>
      <c r="H810" s="70"/>
      <c r="K810" s="70"/>
      <c r="L810" s="71"/>
      <c r="M810" s="72"/>
      <c r="P810" s="72"/>
    </row>
    <row r="811" hidden="1">
      <c r="B811" s="68"/>
      <c r="D811" s="69"/>
      <c r="H811" s="70"/>
      <c r="K811" s="70"/>
      <c r="L811" s="71"/>
      <c r="M811" s="72"/>
      <c r="P811" s="72"/>
    </row>
    <row r="812" hidden="1">
      <c r="B812" s="68"/>
      <c r="D812" s="69"/>
      <c r="H812" s="70"/>
      <c r="K812" s="70"/>
      <c r="L812" s="71"/>
      <c r="M812" s="72"/>
      <c r="P812" s="72"/>
    </row>
    <row r="813" hidden="1">
      <c r="B813" s="68"/>
      <c r="D813" s="69"/>
      <c r="H813" s="70"/>
      <c r="K813" s="70"/>
      <c r="L813" s="71"/>
      <c r="M813" s="72"/>
      <c r="P813" s="72"/>
    </row>
    <row r="814" hidden="1">
      <c r="B814" s="68"/>
      <c r="D814" s="69"/>
      <c r="H814" s="70"/>
      <c r="K814" s="70"/>
      <c r="L814" s="71"/>
      <c r="M814" s="72"/>
      <c r="P814" s="72"/>
    </row>
    <row r="815" hidden="1">
      <c r="B815" s="68"/>
      <c r="D815" s="69"/>
      <c r="H815" s="70"/>
      <c r="K815" s="70"/>
      <c r="L815" s="71"/>
      <c r="M815" s="72"/>
      <c r="P815" s="72"/>
    </row>
    <row r="816" hidden="1">
      <c r="B816" s="68"/>
      <c r="D816" s="69"/>
      <c r="H816" s="70"/>
      <c r="K816" s="70"/>
      <c r="L816" s="71"/>
      <c r="M816" s="72"/>
      <c r="P816" s="72"/>
    </row>
    <row r="817" hidden="1">
      <c r="B817" s="68"/>
      <c r="D817" s="69"/>
      <c r="H817" s="70"/>
      <c r="K817" s="70"/>
      <c r="L817" s="71"/>
      <c r="M817" s="72"/>
      <c r="P817" s="72"/>
    </row>
    <row r="818" hidden="1">
      <c r="B818" s="68"/>
      <c r="D818" s="69"/>
      <c r="H818" s="70"/>
      <c r="K818" s="70"/>
      <c r="L818" s="71"/>
      <c r="M818" s="72"/>
      <c r="P818" s="72"/>
    </row>
    <row r="819" hidden="1">
      <c r="B819" s="68"/>
      <c r="D819" s="69"/>
      <c r="H819" s="70"/>
      <c r="K819" s="70"/>
      <c r="L819" s="71"/>
      <c r="M819" s="72"/>
      <c r="P819" s="72"/>
    </row>
    <row r="820" hidden="1">
      <c r="B820" s="68"/>
      <c r="D820" s="69"/>
      <c r="H820" s="70"/>
      <c r="K820" s="70"/>
      <c r="L820" s="71"/>
      <c r="M820" s="72"/>
      <c r="P820" s="72"/>
    </row>
    <row r="821" hidden="1">
      <c r="B821" s="68"/>
      <c r="D821" s="69"/>
      <c r="H821" s="70"/>
      <c r="K821" s="70"/>
      <c r="L821" s="71"/>
      <c r="M821" s="72"/>
      <c r="P821" s="72"/>
    </row>
    <row r="822" hidden="1">
      <c r="B822" s="68"/>
      <c r="D822" s="69"/>
      <c r="H822" s="70"/>
      <c r="K822" s="70"/>
      <c r="L822" s="71"/>
      <c r="M822" s="72"/>
      <c r="P822" s="72"/>
    </row>
    <row r="823" hidden="1">
      <c r="B823" s="68"/>
      <c r="D823" s="69"/>
      <c r="H823" s="70"/>
      <c r="K823" s="70"/>
      <c r="L823" s="71"/>
      <c r="M823" s="72"/>
      <c r="P823" s="72"/>
    </row>
    <row r="824" hidden="1">
      <c r="B824" s="68"/>
      <c r="D824" s="69"/>
      <c r="H824" s="70"/>
      <c r="K824" s="70"/>
      <c r="L824" s="71"/>
      <c r="M824" s="72"/>
      <c r="P824" s="72"/>
    </row>
    <row r="825" hidden="1">
      <c r="B825" s="68"/>
      <c r="D825" s="69"/>
      <c r="H825" s="70"/>
      <c r="K825" s="70"/>
      <c r="L825" s="71"/>
      <c r="M825" s="72"/>
      <c r="P825" s="72"/>
    </row>
    <row r="826" hidden="1">
      <c r="B826" s="68"/>
      <c r="D826" s="69"/>
      <c r="H826" s="70"/>
      <c r="K826" s="70"/>
      <c r="L826" s="71"/>
      <c r="M826" s="72"/>
      <c r="P826" s="72"/>
    </row>
    <row r="827" hidden="1">
      <c r="B827" s="68"/>
      <c r="D827" s="69"/>
      <c r="H827" s="70"/>
      <c r="K827" s="70"/>
      <c r="L827" s="71"/>
      <c r="M827" s="72"/>
      <c r="P827" s="72"/>
    </row>
    <row r="828" hidden="1">
      <c r="B828" s="68"/>
      <c r="D828" s="69"/>
      <c r="H828" s="70"/>
      <c r="K828" s="70"/>
      <c r="L828" s="71"/>
      <c r="M828" s="72"/>
      <c r="P828" s="72"/>
    </row>
    <row r="829" hidden="1">
      <c r="B829" s="68"/>
      <c r="D829" s="69"/>
      <c r="H829" s="70"/>
      <c r="K829" s="70"/>
      <c r="L829" s="71"/>
      <c r="M829" s="72"/>
      <c r="P829" s="72"/>
    </row>
    <row r="830" hidden="1">
      <c r="B830" s="68"/>
      <c r="D830" s="69"/>
      <c r="H830" s="70"/>
      <c r="K830" s="70"/>
      <c r="L830" s="71"/>
      <c r="M830" s="72"/>
      <c r="P830" s="72"/>
    </row>
    <row r="831" hidden="1">
      <c r="B831" s="68"/>
      <c r="D831" s="69"/>
      <c r="H831" s="70"/>
      <c r="K831" s="70"/>
      <c r="L831" s="71"/>
      <c r="M831" s="72"/>
      <c r="P831" s="72"/>
    </row>
    <row r="832" hidden="1">
      <c r="B832" s="68"/>
      <c r="D832" s="69"/>
      <c r="H832" s="70"/>
      <c r="K832" s="70"/>
      <c r="L832" s="71"/>
      <c r="M832" s="72"/>
      <c r="P832" s="72"/>
    </row>
    <row r="833" hidden="1">
      <c r="B833" s="68"/>
      <c r="D833" s="69"/>
      <c r="H833" s="70"/>
      <c r="K833" s="70"/>
      <c r="L833" s="71"/>
      <c r="M833" s="72"/>
      <c r="P833" s="72"/>
    </row>
    <row r="834" hidden="1">
      <c r="B834" s="68"/>
      <c r="D834" s="69"/>
      <c r="H834" s="70"/>
      <c r="K834" s="70"/>
      <c r="L834" s="71"/>
      <c r="M834" s="72"/>
      <c r="P834" s="72"/>
    </row>
    <row r="835" hidden="1">
      <c r="B835" s="68"/>
      <c r="D835" s="69"/>
      <c r="H835" s="70"/>
      <c r="K835" s="70"/>
      <c r="L835" s="71"/>
      <c r="M835" s="72"/>
      <c r="P835" s="72"/>
    </row>
    <row r="836" hidden="1">
      <c r="B836" s="68"/>
      <c r="D836" s="69"/>
      <c r="H836" s="70"/>
      <c r="K836" s="70"/>
      <c r="L836" s="71"/>
      <c r="M836" s="72"/>
      <c r="P836" s="72"/>
    </row>
    <row r="837" hidden="1">
      <c r="B837" s="68"/>
      <c r="D837" s="69"/>
      <c r="H837" s="70"/>
      <c r="K837" s="70"/>
      <c r="L837" s="71"/>
      <c r="M837" s="72"/>
      <c r="P837" s="72"/>
    </row>
    <row r="838" hidden="1">
      <c r="B838" s="68"/>
      <c r="D838" s="69"/>
      <c r="H838" s="70"/>
      <c r="K838" s="70"/>
      <c r="L838" s="71"/>
      <c r="M838" s="72"/>
      <c r="P838" s="72"/>
    </row>
    <row r="839" hidden="1">
      <c r="B839" s="68"/>
      <c r="D839" s="69"/>
      <c r="H839" s="70"/>
      <c r="K839" s="70"/>
      <c r="L839" s="71"/>
      <c r="M839" s="72"/>
      <c r="P839" s="72"/>
    </row>
    <row r="840" hidden="1">
      <c r="B840" s="68"/>
      <c r="D840" s="69"/>
      <c r="H840" s="70"/>
      <c r="K840" s="70"/>
      <c r="L840" s="71"/>
      <c r="M840" s="72"/>
      <c r="P840" s="72"/>
    </row>
    <row r="841" hidden="1">
      <c r="B841" s="68"/>
      <c r="D841" s="69"/>
      <c r="H841" s="70"/>
      <c r="K841" s="70"/>
      <c r="L841" s="71"/>
      <c r="M841" s="72"/>
      <c r="P841" s="72"/>
    </row>
    <row r="842" hidden="1">
      <c r="B842" s="68"/>
      <c r="D842" s="69"/>
      <c r="H842" s="70"/>
      <c r="K842" s="70"/>
      <c r="L842" s="71"/>
      <c r="M842" s="72"/>
      <c r="P842" s="72"/>
    </row>
    <row r="843" hidden="1">
      <c r="B843" s="68"/>
      <c r="D843" s="69"/>
      <c r="H843" s="70"/>
      <c r="K843" s="70"/>
      <c r="L843" s="71"/>
      <c r="M843" s="72"/>
      <c r="P843" s="72"/>
    </row>
    <row r="844" hidden="1">
      <c r="B844" s="68"/>
      <c r="D844" s="69"/>
      <c r="H844" s="70"/>
      <c r="K844" s="70"/>
      <c r="L844" s="71"/>
      <c r="M844" s="72"/>
      <c r="P844" s="72"/>
    </row>
    <row r="845" hidden="1">
      <c r="B845" s="68"/>
      <c r="D845" s="69"/>
      <c r="H845" s="70"/>
      <c r="K845" s="70"/>
      <c r="L845" s="71"/>
      <c r="M845" s="72"/>
      <c r="P845" s="72"/>
    </row>
    <row r="846" hidden="1">
      <c r="B846" s="68"/>
      <c r="D846" s="69"/>
      <c r="H846" s="70"/>
      <c r="K846" s="70"/>
      <c r="L846" s="71"/>
      <c r="M846" s="72"/>
      <c r="P846" s="72"/>
    </row>
    <row r="847" hidden="1">
      <c r="B847" s="68"/>
      <c r="D847" s="69"/>
      <c r="H847" s="70"/>
      <c r="K847" s="70"/>
      <c r="L847" s="71"/>
      <c r="M847" s="72"/>
      <c r="P847" s="72"/>
    </row>
    <row r="848" hidden="1">
      <c r="B848" s="68"/>
      <c r="D848" s="69"/>
      <c r="H848" s="70"/>
      <c r="K848" s="70"/>
      <c r="L848" s="71"/>
      <c r="M848" s="72"/>
      <c r="P848" s="72"/>
    </row>
    <row r="849" hidden="1">
      <c r="B849" s="68"/>
      <c r="D849" s="69"/>
      <c r="H849" s="70"/>
      <c r="K849" s="70"/>
      <c r="L849" s="71"/>
      <c r="M849" s="72"/>
      <c r="P849" s="72"/>
    </row>
    <row r="850" hidden="1">
      <c r="B850" s="68"/>
      <c r="D850" s="69"/>
      <c r="H850" s="70"/>
      <c r="K850" s="70"/>
      <c r="L850" s="71"/>
      <c r="M850" s="72"/>
      <c r="P850" s="72"/>
    </row>
    <row r="851" hidden="1">
      <c r="B851" s="68"/>
      <c r="D851" s="69"/>
      <c r="H851" s="70"/>
      <c r="K851" s="70"/>
      <c r="L851" s="71"/>
      <c r="M851" s="72"/>
      <c r="P851" s="72"/>
    </row>
    <row r="852" hidden="1">
      <c r="B852" s="68"/>
      <c r="D852" s="69"/>
      <c r="H852" s="70"/>
      <c r="K852" s="70"/>
      <c r="L852" s="71"/>
      <c r="M852" s="72"/>
      <c r="P852" s="72"/>
    </row>
    <row r="853" hidden="1">
      <c r="B853" s="68"/>
      <c r="D853" s="69"/>
      <c r="H853" s="70"/>
      <c r="K853" s="70"/>
      <c r="L853" s="71"/>
      <c r="M853" s="72"/>
      <c r="P853" s="72"/>
    </row>
    <row r="854" hidden="1">
      <c r="B854" s="68"/>
      <c r="D854" s="69"/>
      <c r="H854" s="70"/>
      <c r="K854" s="70"/>
      <c r="L854" s="71"/>
      <c r="M854" s="72"/>
      <c r="P854" s="72"/>
    </row>
    <row r="855" hidden="1">
      <c r="B855" s="68"/>
      <c r="D855" s="69"/>
      <c r="H855" s="70"/>
      <c r="K855" s="70"/>
      <c r="L855" s="71"/>
      <c r="M855" s="72"/>
      <c r="P855" s="72"/>
    </row>
    <row r="856" hidden="1">
      <c r="B856" s="68"/>
      <c r="D856" s="69"/>
      <c r="H856" s="70"/>
      <c r="K856" s="70"/>
      <c r="L856" s="71"/>
      <c r="M856" s="72"/>
      <c r="P856" s="72"/>
    </row>
    <row r="857" hidden="1">
      <c r="B857" s="68"/>
      <c r="D857" s="69"/>
      <c r="H857" s="70"/>
      <c r="K857" s="70"/>
      <c r="L857" s="71"/>
      <c r="M857" s="72"/>
      <c r="P857" s="72"/>
    </row>
    <row r="858" hidden="1">
      <c r="B858" s="68"/>
      <c r="D858" s="69"/>
      <c r="H858" s="70"/>
      <c r="K858" s="70"/>
      <c r="L858" s="71"/>
      <c r="M858" s="72"/>
      <c r="P858" s="72"/>
    </row>
    <row r="859" hidden="1">
      <c r="B859" s="68"/>
      <c r="D859" s="69"/>
      <c r="H859" s="70"/>
      <c r="K859" s="70"/>
      <c r="L859" s="71"/>
      <c r="M859" s="72"/>
      <c r="P859" s="72"/>
    </row>
    <row r="860" hidden="1">
      <c r="B860" s="68"/>
      <c r="D860" s="69"/>
      <c r="H860" s="70"/>
      <c r="K860" s="70"/>
      <c r="L860" s="71"/>
      <c r="M860" s="72"/>
      <c r="P860" s="72"/>
    </row>
    <row r="861" hidden="1">
      <c r="B861" s="68"/>
      <c r="D861" s="69"/>
      <c r="H861" s="70"/>
      <c r="K861" s="70"/>
      <c r="L861" s="71"/>
      <c r="M861" s="72"/>
      <c r="P861" s="72"/>
    </row>
    <row r="862" hidden="1">
      <c r="B862" s="68"/>
      <c r="D862" s="69"/>
      <c r="H862" s="70"/>
      <c r="K862" s="70"/>
      <c r="L862" s="71"/>
      <c r="M862" s="72"/>
      <c r="P862" s="72"/>
    </row>
    <row r="863" hidden="1">
      <c r="B863" s="68"/>
      <c r="D863" s="69"/>
      <c r="H863" s="70"/>
      <c r="K863" s="70"/>
      <c r="L863" s="71"/>
      <c r="M863" s="72"/>
      <c r="P863" s="72"/>
    </row>
    <row r="864" hidden="1">
      <c r="B864" s="68"/>
      <c r="D864" s="69"/>
      <c r="H864" s="70"/>
      <c r="K864" s="70"/>
      <c r="L864" s="71"/>
      <c r="M864" s="72"/>
      <c r="P864" s="72"/>
    </row>
    <row r="865" hidden="1">
      <c r="B865" s="68"/>
      <c r="D865" s="69"/>
      <c r="H865" s="70"/>
      <c r="K865" s="70"/>
      <c r="L865" s="71"/>
      <c r="M865" s="72"/>
      <c r="P865" s="72"/>
    </row>
    <row r="866" hidden="1">
      <c r="B866" s="68"/>
      <c r="D866" s="69"/>
      <c r="H866" s="70"/>
      <c r="K866" s="70"/>
      <c r="L866" s="71"/>
      <c r="M866" s="72"/>
      <c r="P866" s="72"/>
    </row>
    <row r="867" hidden="1">
      <c r="B867" s="68"/>
      <c r="D867" s="69"/>
      <c r="H867" s="70"/>
      <c r="K867" s="70"/>
      <c r="L867" s="71"/>
      <c r="M867" s="72"/>
      <c r="P867" s="72"/>
    </row>
    <row r="868" hidden="1">
      <c r="B868" s="68"/>
      <c r="D868" s="69"/>
      <c r="H868" s="70"/>
      <c r="K868" s="70"/>
      <c r="L868" s="71"/>
      <c r="M868" s="72"/>
      <c r="P868" s="72"/>
    </row>
    <row r="869" hidden="1">
      <c r="B869" s="68"/>
      <c r="D869" s="69"/>
      <c r="H869" s="70"/>
      <c r="K869" s="70"/>
      <c r="L869" s="71"/>
      <c r="M869" s="72"/>
      <c r="P869" s="72"/>
    </row>
    <row r="870" hidden="1">
      <c r="B870" s="68"/>
      <c r="D870" s="69"/>
      <c r="H870" s="70"/>
      <c r="K870" s="70"/>
      <c r="L870" s="71"/>
      <c r="M870" s="72"/>
      <c r="P870" s="72"/>
    </row>
    <row r="871" hidden="1">
      <c r="B871" s="68"/>
      <c r="D871" s="69"/>
      <c r="H871" s="70"/>
      <c r="K871" s="70"/>
      <c r="L871" s="71"/>
      <c r="M871" s="72"/>
      <c r="P871" s="72"/>
    </row>
    <row r="872" hidden="1">
      <c r="B872" s="68"/>
      <c r="D872" s="69"/>
      <c r="H872" s="70"/>
      <c r="K872" s="70"/>
      <c r="L872" s="71"/>
      <c r="M872" s="72"/>
      <c r="P872" s="72"/>
    </row>
    <row r="873" hidden="1">
      <c r="B873" s="68"/>
      <c r="D873" s="69"/>
      <c r="H873" s="70"/>
      <c r="K873" s="70"/>
      <c r="L873" s="71"/>
      <c r="M873" s="72"/>
      <c r="P873" s="72"/>
    </row>
    <row r="874" hidden="1">
      <c r="B874" s="68"/>
      <c r="D874" s="69"/>
      <c r="H874" s="70"/>
      <c r="K874" s="70"/>
      <c r="L874" s="71"/>
      <c r="M874" s="72"/>
      <c r="P874" s="72"/>
    </row>
    <row r="875" hidden="1">
      <c r="B875" s="68"/>
      <c r="D875" s="69"/>
      <c r="H875" s="70"/>
      <c r="K875" s="70"/>
      <c r="L875" s="71"/>
      <c r="M875" s="72"/>
      <c r="P875" s="72"/>
    </row>
    <row r="876" hidden="1">
      <c r="B876" s="68"/>
      <c r="D876" s="69"/>
      <c r="H876" s="70"/>
      <c r="K876" s="70"/>
      <c r="L876" s="71"/>
      <c r="M876" s="72"/>
      <c r="P876" s="72"/>
    </row>
    <row r="877" hidden="1">
      <c r="B877" s="68"/>
      <c r="D877" s="69"/>
      <c r="H877" s="70"/>
      <c r="K877" s="70"/>
      <c r="L877" s="71"/>
      <c r="M877" s="72"/>
      <c r="P877" s="72"/>
    </row>
    <row r="878" hidden="1">
      <c r="B878" s="68"/>
      <c r="D878" s="69"/>
      <c r="H878" s="70"/>
      <c r="K878" s="70"/>
      <c r="L878" s="71"/>
      <c r="M878" s="72"/>
      <c r="P878" s="72"/>
    </row>
    <row r="879" hidden="1">
      <c r="B879" s="68"/>
      <c r="D879" s="69"/>
      <c r="H879" s="70"/>
      <c r="K879" s="70"/>
      <c r="L879" s="71"/>
      <c r="M879" s="72"/>
      <c r="P879" s="72"/>
    </row>
    <row r="880" hidden="1">
      <c r="B880" s="68"/>
      <c r="D880" s="69"/>
      <c r="H880" s="70"/>
      <c r="K880" s="70"/>
      <c r="L880" s="71"/>
      <c r="M880" s="72"/>
      <c r="P880" s="72"/>
    </row>
    <row r="881" hidden="1">
      <c r="B881" s="68"/>
      <c r="D881" s="69"/>
      <c r="H881" s="70"/>
      <c r="K881" s="70"/>
      <c r="L881" s="71"/>
      <c r="M881" s="72"/>
      <c r="P881" s="72"/>
    </row>
    <row r="882" hidden="1">
      <c r="B882" s="68"/>
      <c r="D882" s="69"/>
      <c r="H882" s="70"/>
      <c r="K882" s="70"/>
      <c r="L882" s="71"/>
      <c r="M882" s="72"/>
      <c r="P882" s="72"/>
    </row>
    <row r="883" hidden="1">
      <c r="B883" s="68"/>
      <c r="D883" s="69"/>
      <c r="H883" s="70"/>
      <c r="K883" s="70"/>
      <c r="L883" s="71"/>
      <c r="M883" s="72"/>
      <c r="P883" s="72"/>
    </row>
    <row r="884" hidden="1">
      <c r="B884" s="68"/>
      <c r="D884" s="69"/>
      <c r="H884" s="70"/>
      <c r="K884" s="70"/>
      <c r="L884" s="71"/>
      <c r="M884" s="72"/>
      <c r="P884" s="72"/>
    </row>
    <row r="885" hidden="1">
      <c r="B885" s="68"/>
      <c r="D885" s="69"/>
      <c r="H885" s="70"/>
      <c r="K885" s="70"/>
      <c r="L885" s="71"/>
      <c r="M885" s="72"/>
      <c r="P885" s="72"/>
    </row>
    <row r="886" hidden="1">
      <c r="B886" s="68"/>
      <c r="D886" s="69"/>
      <c r="H886" s="70"/>
      <c r="K886" s="70"/>
      <c r="L886" s="71"/>
      <c r="M886" s="72"/>
      <c r="P886" s="72"/>
    </row>
    <row r="887" hidden="1">
      <c r="B887" s="68"/>
      <c r="D887" s="69"/>
      <c r="H887" s="70"/>
      <c r="K887" s="70"/>
      <c r="L887" s="71"/>
      <c r="M887" s="72"/>
      <c r="P887" s="72"/>
    </row>
    <row r="888" hidden="1">
      <c r="B888" s="68"/>
      <c r="D888" s="69"/>
      <c r="H888" s="70"/>
      <c r="K888" s="70"/>
      <c r="L888" s="71"/>
      <c r="M888" s="72"/>
      <c r="P888" s="72"/>
    </row>
    <row r="889" hidden="1">
      <c r="B889" s="68"/>
      <c r="D889" s="69"/>
      <c r="H889" s="70"/>
      <c r="K889" s="70"/>
      <c r="L889" s="71"/>
      <c r="M889" s="72"/>
      <c r="P889" s="72"/>
    </row>
    <row r="890" hidden="1">
      <c r="B890" s="68"/>
      <c r="D890" s="69"/>
      <c r="H890" s="70"/>
      <c r="K890" s="70"/>
      <c r="L890" s="71"/>
      <c r="M890" s="72"/>
      <c r="P890" s="72"/>
    </row>
    <row r="891" hidden="1">
      <c r="B891" s="68"/>
      <c r="D891" s="69"/>
      <c r="H891" s="70"/>
      <c r="K891" s="70"/>
      <c r="L891" s="71"/>
      <c r="M891" s="72"/>
      <c r="P891" s="72"/>
    </row>
    <row r="892" hidden="1">
      <c r="B892" s="68"/>
      <c r="D892" s="69"/>
      <c r="H892" s="70"/>
      <c r="K892" s="70"/>
      <c r="L892" s="71"/>
      <c r="M892" s="72"/>
      <c r="P892" s="72"/>
    </row>
    <row r="893" hidden="1">
      <c r="B893" s="68"/>
      <c r="D893" s="69"/>
      <c r="H893" s="70"/>
      <c r="K893" s="70"/>
      <c r="L893" s="71"/>
      <c r="M893" s="72"/>
      <c r="P893" s="72"/>
    </row>
    <row r="894" hidden="1">
      <c r="B894" s="68"/>
      <c r="D894" s="69"/>
      <c r="H894" s="70"/>
      <c r="K894" s="70"/>
      <c r="L894" s="71"/>
      <c r="M894" s="72"/>
      <c r="P894" s="72"/>
    </row>
    <row r="895" hidden="1">
      <c r="B895" s="68"/>
      <c r="D895" s="69"/>
      <c r="H895" s="70"/>
      <c r="K895" s="70"/>
      <c r="L895" s="71"/>
      <c r="M895" s="72"/>
      <c r="P895" s="72"/>
    </row>
    <row r="896" hidden="1">
      <c r="B896" s="68"/>
      <c r="D896" s="69"/>
      <c r="H896" s="70"/>
      <c r="K896" s="70"/>
      <c r="L896" s="71"/>
      <c r="M896" s="72"/>
      <c r="P896" s="72"/>
    </row>
    <row r="897" hidden="1">
      <c r="B897" s="68"/>
      <c r="D897" s="69"/>
      <c r="H897" s="70"/>
      <c r="K897" s="70"/>
      <c r="L897" s="71"/>
      <c r="M897" s="72"/>
      <c r="P897" s="72"/>
    </row>
    <row r="898" hidden="1">
      <c r="B898" s="68"/>
      <c r="D898" s="69"/>
      <c r="H898" s="70"/>
      <c r="K898" s="70"/>
      <c r="L898" s="71"/>
      <c r="M898" s="72"/>
      <c r="P898" s="72"/>
    </row>
    <row r="899" hidden="1">
      <c r="B899" s="68"/>
      <c r="D899" s="69"/>
      <c r="H899" s="70"/>
      <c r="K899" s="70"/>
      <c r="L899" s="71"/>
      <c r="M899" s="72"/>
      <c r="P899" s="72"/>
    </row>
    <row r="900" hidden="1">
      <c r="B900" s="68"/>
      <c r="D900" s="69"/>
      <c r="H900" s="70"/>
      <c r="K900" s="70"/>
      <c r="L900" s="71"/>
      <c r="M900" s="72"/>
      <c r="P900" s="72"/>
    </row>
    <row r="901" hidden="1">
      <c r="B901" s="68"/>
      <c r="D901" s="69"/>
      <c r="H901" s="70"/>
      <c r="K901" s="70"/>
      <c r="L901" s="71"/>
      <c r="M901" s="72"/>
      <c r="P901" s="72"/>
    </row>
    <row r="902" hidden="1">
      <c r="B902" s="68"/>
      <c r="D902" s="69"/>
      <c r="H902" s="70"/>
      <c r="K902" s="70"/>
      <c r="L902" s="71"/>
      <c r="M902" s="72"/>
      <c r="P902" s="72"/>
    </row>
    <row r="903" hidden="1">
      <c r="B903" s="68"/>
      <c r="D903" s="69"/>
      <c r="H903" s="70"/>
      <c r="K903" s="70"/>
      <c r="L903" s="71"/>
      <c r="M903" s="72"/>
      <c r="P903" s="72"/>
    </row>
    <row r="904" hidden="1">
      <c r="B904" s="68"/>
      <c r="D904" s="69"/>
      <c r="H904" s="70"/>
      <c r="K904" s="70"/>
      <c r="L904" s="71"/>
      <c r="M904" s="72"/>
      <c r="P904" s="72"/>
    </row>
    <row r="905" hidden="1">
      <c r="B905" s="68"/>
      <c r="D905" s="69"/>
      <c r="H905" s="70"/>
      <c r="K905" s="70"/>
      <c r="L905" s="71"/>
      <c r="M905" s="72"/>
      <c r="P905" s="72"/>
    </row>
    <row r="906" hidden="1">
      <c r="B906" s="68"/>
      <c r="D906" s="69"/>
      <c r="H906" s="70"/>
      <c r="K906" s="70"/>
      <c r="L906" s="71"/>
      <c r="M906" s="72"/>
      <c r="P906" s="72"/>
    </row>
    <row r="907" hidden="1">
      <c r="B907" s="68"/>
      <c r="D907" s="69"/>
      <c r="H907" s="70"/>
      <c r="K907" s="70"/>
      <c r="L907" s="71"/>
      <c r="M907" s="72"/>
      <c r="P907" s="72"/>
    </row>
    <row r="908" hidden="1">
      <c r="B908" s="68"/>
      <c r="D908" s="69"/>
      <c r="H908" s="70"/>
      <c r="K908" s="70"/>
      <c r="L908" s="71"/>
      <c r="M908" s="72"/>
      <c r="P908" s="72"/>
    </row>
    <row r="909" hidden="1">
      <c r="B909" s="68"/>
      <c r="D909" s="69"/>
      <c r="H909" s="70"/>
      <c r="K909" s="70"/>
      <c r="L909" s="71"/>
      <c r="M909" s="72"/>
      <c r="P909" s="72"/>
    </row>
    <row r="910" hidden="1">
      <c r="B910" s="68"/>
      <c r="D910" s="69"/>
      <c r="H910" s="70"/>
      <c r="K910" s="70"/>
      <c r="L910" s="71"/>
      <c r="M910" s="72"/>
      <c r="P910" s="72"/>
    </row>
    <row r="911" hidden="1">
      <c r="B911" s="68"/>
      <c r="D911" s="69"/>
      <c r="H911" s="70"/>
      <c r="K911" s="70"/>
      <c r="L911" s="71"/>
      <c r="M911" s="72"/>
      <c r="P911" s="72"/>
    </row>
    <row r="912" hidden="1">
      <c r="B912" s="68"/>
      <c r="D912" s="69"/>
      <c r="H912" s="70"/>
      <c r="K912" s="70"/>
      <c r="L912" s="71"/>
      <c r="M912" s="72"/>
      <c r="P912" s="72"/>
    </row>
    <row r="913" hidden="1">
      <c r="B913" s="68"/>
      <c r="D913" s="69"/>
      <c r="H913" s="70"/>
      <c r="K913" s="70"/>
      <c r="L913" s="71"/>
      <c r="M913" s="72"/>
      <c r="P913" s="72"/>
    </row>
    <row r="914" hidden="1">
      <c r="B914" s="68"/>
      <c r="D914" s="69"/>
      <c r="H914" s="70"/>
      <c r="K914" s="70"/>
      <c r="L914" s="71"/>
      <c r="M914" s="72"/>
      <c r="P914" s="72"/>
    </row>
    <row r="915" hidden="1">
      <c r="B915" s="68"/>
      <c r="D915" s="69"/>
      <c r="H915" s="70"/>
      <c r="K915" s="70"/>
      <c r="L915" s="71"/>
      <c r="M915" s="72"/>
      <c r="P915" s="72"/>
    </row>
    <row r="916" hidden="1">
      <c r="B916" s="68"/>
      <c r="D916" s="69"/>
      <c r="H916" s="70"/>
      <c r="K916" s="70"/>
      <c r="L916" s="71"/>
      <c r="M916" s="72"/>
      <c r="P916" s="72"/>
    </row>
    <row r="917" hidden="1">
      <c r="B917" s="68"/>
      <c r="D917" s="69"/>
      <c r="H917" s="70"/>
      <c r="K917" s="70"/>
      <c r="L917" s="71"/>
      <c r="M917" s="72"/>
      <c r="P917" s="72"/>
    </row>
    <row r="918" hidden="1">
      <c r="B918" s="68"/>
      <c r="D918" s="69"/>
      <c r="H918" s="70"/>
      <c r="K918" s="70"/>
      <c r="L918" s="71"/>
      <c r="M918" s="72"/>
      <c r="P918" s="72"/>
    </row>
    <row r="919" hidden="1">
      <c r="B919" s="68"/>
      <c r="D919" s="69"/>
      <c r="H919" s="70"/>
      <c r="K919" s="70"/>
      <c r="L919" s="71"/>
      <c r="M919" s="72"/>
      <c r="P919" s="72"/>
    </row>
    <row r="920" hidden="1">
      <c r="B920" s="68"/>
      <c r="D920" s="69"/>
      <c r="H920" s="70"/>
      <c r="K920" s="70"/>
      <c r="L920" s="71"/>
      <c r="M920" s="72"/>
      <c r="P920" s="72"/>
    </row>
    <row r="921" hidden="1">
      <c r="B921" s="68"/>
      <c r="D921" s="69"/>
      <c r="H921" s="70"/>
      <c r="K921" s="70"/>
      <c r="L921" s="71"/>
      <c r="M921" s="72"/>
      <c r="P921" s="72"/>
    </row>
    <row r="922" hidden="1">
      <c r="B922" s="68"/>
      <c r="D922" s="69"/>
      <c r="H922" s="70"/>
      <c r="K922" s="70"/>
      <c r="L922" s="71"/>
      <c r="M922" s="72"/>
      <c r="P922" s="72"/>
    </row>
    <row r="923" hidden="1">
      <c r="B923" s="68"/>
      <c r="D923" s="69"/>
      <c r="H923" s="70"/>
      <c r="K923" s="70"/>
      <c r="L923" s="71"/>
      <c r="M923" s="72"/>
      <c r="P923" s="72"/>
    </row>
    <row r="924" hidden="1">
      <c r="B924" s="68"/>
      <c r="D924" s="69"/>
      <c r="H924" s="70"/>
      <c r="K924" s="70"/>
      <c r="L924" s="71"/>
      <c r="M924" s="72"/>
      <c r="P924" s="72"/>
    </row>
    <row r="925" hidden="1">
      <c r="B925" s="68"/>
      <c r="D925" s="69"/>
      <c r="H925" s="70"/>
      <c r="K925" s="70"/>
      <c r="L925" s="71"/>
      <c r="M925" s="72"/>
      <c r="P925" s="72"/>
    </row>
    <row r="926" hidden="1">
      <c r="B926" s="68"/>
      <c r="D926" s="69"/>
      <c r="H926" s="70"/>
      <c r="K926" s="70"/>
      <c r="L926" s="71"/>
      <c r="M926" s="72"/>
      <c r="P926" s="72"/>
    </row>
    <row r="927" hidden="1">
      <c r="B927" s="68"/>
      <c r="D927" s="69"/>
      <c r="H927" s="70"/>
      <c r="K927" s="70"/>
      <c r="L927" s="71"/>
      <c r="M927" s="72"/>
      <c r="P927" s="72"/>
    </row>
    <row r="928" hidden="1">
      <c r="B928" s="68"/>
      <c r="D928" s="69"/>
      <c r="H928" s="70"/>
      <c r="K928" s="70"/>
      <c r="L928" s="71"/>
      <c r="M928" s="72"/>
      <c r="P928" s="72"/>
    </row>
    <row r="929" hidden="1">
      <c r="B929" s="68"/>
      <c r="D929" s="69"/>
      <c r="H929" s="70"/>
      <c r="K929" s="70"/>
      <c r="L929" s="71"/>
      <c r="M929" s="72"/>
      <c r="P929" s="72"/>
    </row>
    <row r="930" hidden="1">
      <c r="B930" s="68"/>
      <c r="D930" s="69"/>
      <c r="H930" s="70"/>
      <c r="K930" s="70"/>
      <c r="L930" s="71"/>
      <c r="M930" s="72"/>
      <c r="P930" s="72"/>
    </row>
    <row r="931" hidden="1">
      <c r="B931" s="68"/>
      <c r="D931" s="69"/>
      <c r="H931" s="70"/>
      <c r="K931" s="70"/>
      <c r="L931" s="71"/>
      <c r="M931" s="72"/>
      <c r="P931" s="72"/>
    </row>
    <row r="932" hidden="1">
      <c r="B932" s="68"/>
      <c r="D932" s="69"/>
      <c r="H932" s="70"/>
      <c r="K932" s="70"/>
      <c r="L932" s="71"/>
      <c r="M932" s="72"/>
      <c r="P932" s="72"/>
    </row>
    <row r="933" hidden="1">
      <c r="B933" s="68"/>
      <c r="D933" s="69"/>
      <c r="H933" s="70"/>
      <c r="K933" s="70"/>
      <c r="L933" s="71"/>
      <c r="M933" s="72"/>
      <c r="P933" s="72"/>
    </row>
    <row r="934" hidden="1">
      <c r="B934" s="68"/>
      <c r="D934" s="69"/>
      <c r="H934" s="70"/>
      <c r="K934" s="70"/>
      <c r="L934" s="71"/>
      <c r="M934" s="72"/>
      <c r="P934" s="72"/>
    </row>
    <row r="935" hidden="1">
      <c r="B935" s="68"/>
      <c r="D935" s="69"/>
      <c r="H935" s="70"/>
      <c r="K935" s="70"/>
      <c r="L935" s="71"/>
      <c r="M935" s="72"/>
      <c r="P935" s="72"/>
    </row>
    <row r="936" hidden="1">
      <c r="B936" s="68"/>
      <c r="D936" s="69"/>
      <c r="H936" s="70"/>
      <c r="K936" s="70"/>
      <c r="L936" s="71"/>
      <c r="M936" s="72"/>
      <c r="P936" s="72"/>
    </row>
    <row r="937" hidden="1">
      <c r="B937" s="68"/>
      <c r="D937" s="69"/>
      <c r="H937" s="70"/>
      <c r="K937" s="70"/>
      <c r="L937" s="71"/>
      <c r="M937" s="72"/>
      <c r="P937" s="72"/>
    </row>
    <row r="938" hidden="1">
      <c r="B938" s="68"/>
      <c r="D938" s="69"/>
      <c r="H938" s="70"/>
      <c r="K938" s="70"/>
      <c r="L938" s="71"/>
      <c r="M938" s="72"/>
      <c r="P938" s="72"/>
    </row>
    <row r="939" hidden="1">
      <c r="B939" s="68"/>
      <c r="D939" s="69"/>
      <c r="H939" s="70"/>
      <c r="K939" s="70"/>
      <c r="L939" s="71"/>
      <c r="M939" s="72"/>
      <c r="P939" s="72"/>
    </row>
    <row r="940" hidden="1">
      <c r="B940" s="68"/>
      <c r="D940" s="69"/>
      <c r="H940" s="70"/>
      <c r="K940" s="70"/>
      <c r="L940" s="71"/>
      <c r="M940" s="72"/>
      <c r="P940" s="72"/>
    </row>
    <row r="941" hidden="1">
      <c r="B941" s="68"/>
      <c r="D941" s="69"/>
      <c r="H941" s="70"/>
      <c r="K941" s="70"/>
      <c r="L941" s="71"/>
      <c r="M941" s="72"/>
      <c r="P941" s="72"/>
    </row>
    <row r="942" hidden="1">
      <c r="B942" s="68"/>
      <c r="D942" s="69"/>
      <c r="H942" s="70"/>
      <c r="K942" s="70"/>
      <c r="L942" s="71"/>
      <c r="M942" s="72"/>
      <c r="P942" s="72"/>
    </row>
    <row r="943" hidden="1">
      <c r="B943" s="68"/>
      <c r="D943" s="69"/>
      <c r="H943" s="70"/>
      <c r="K943" s="70"/>
      <c r="L943" s="71"/>
      <c r="M943" s="72"/>
      <c r="P943" s="72"/>
    </row>
    <row r="944" hidden="1">
      <c r="B944" s="68"/>
      <c r="D944" s="69"/>
      <c r="H944" s="70"/>
      <c r="K944" s="70"/>
      <c r="L944" s="71"/>
      <c r="M944" s="72"/>
      <c r="P944" s="72"/>
    </row>
    <row r="945" hidden="1">
      <c r="B945" s="68"/>
      <c r="D945" s="69"/>
      <c r="H945" s="70"/>
      <c r="K945" s="70"/>
      <c r="L945" s="71"/>
      <c r="M945" s="72"/>
      <c r="P945" s="72"/>
    </row>
    <row r="946" hidden="1">
      <c r="B946" s="68"/>
      <c r="D946" s="69"/>
      <c r="H946" s="70"/>
      <c r="K946" s="70"/>
      <c r="L946" s="71"/>
      <c r="M946" s="72"/>
      <c r="P946" s="72"/>
    </row>
    <row r="947" hidden="1">
      <c r="B947" s="68"/>
      <c r="D947" s="69"/>
      <c r="H947" s="70"/>
      <c r="K947" s="70"/>
      <c r="L947" s="71"/>
      <c r="M947" s="72"/>
      <c r="P947" s="72"/>
    </row>
    <row r="948" hidden="1">
      <c r="B948" s="68"/>
      <c r="D948" s="69"/>
      <c r="H948" s="70"/>
      <c r="K948" s="70"/>
      <c r="L948" s="71"/>
      <c r="M948" s="72"/>
      <c r="P948" s="72"/>
    </row>
    <row r="949" hidden="1">
      <c r="B949" s="68"/>
      <c r="D949" s="69"/>
      <c r="H949" s="70"/>
      <c r="K949" s="70"/>
      <c r="L949" s="71"/>
      <c r="M949" s="72"/>
      <c r="P949" s="72"/>
    </row>
    <row r="950" hidden="1">
      <c r="B950" s="68"/>
      <c r="D950" s="69"/>
      <c r="H950" s="70"/>
      <c r="K950" s="70"/>
      <c r="L950" s="71"/>
      <c r="M950" s="72"/>
      <c r="P950" s="72"/>
    </row>
    <row r="951" hidden="1">
      <c r="B951" s="68"/>
      <c r="D951" s="69"/>
      <c r="H951" s="70"/>
      <c r="K951" s="70"/>
      <c r="L951" s="71"/>
      <c r="M951" s="72"/>
      <c r="P951" s="72"/>
    </row>
    <row r="952" hidden="1">
      <c r="B952" s="68"/>
      <c r="D952" s="69"/>
      <c r="H952" s="70"/>
      <c r="K952" s="70"/>
      <c r="L952" s="71"/>
      <c r="M952" s="72"/>
      <c r="P952" s="72"/>
    </row>
    <row r="953" hidden="1">
      <c r="B953" s="68"/>
      <c r="D953" s="69"/>
      <c r="H953" s="70"/>
      <c r="K953" s="70"/>
      <c r="L953" s="71"/>
      <c r="M953" s="72"/>
      <c r="P953" s="72"/>
    </row>
    <row r="954" hidden="1">
      <c r="B954" s="68"/>
      <c r="D954" s="69"/>
      <c r="H954" s="70"/>
      <c r="K954" s="70"/>
      <c r="L954" s="71"/>
      <c r="M954" s="72"/>
      <c r="P954" s="72"/>
    </row>
    <row r="955" hidden="1">
      <c r="B955" s="68"/>
      <c r="D955" s="69"/>
      <c r="H955" s="70"/>
      <c r="K955" s="70"/>
      <c r="L955" s="71"/>
      <c r="M955" s="72"/>
      <c r="P955" s="72"/>
    </row>
    <row r="956" hidden="1">
      <c r="B956" s="68"/>
      <c r="D956" s="69"/>
      <c r="H956" s="70"/>
      <c r="K956" s="70"/>
      <c r="L956" s="71"/>
      <c r="M956" s="72"/>
      <c r="P956" s="72"/>
    </row>
    <row r="957" hidden="1">
      <c r="B957" s="68"/>
      <c r="D957" s="69"/>
      <c r="H957" s="70"/>
      <c r="K957" s="70"/>
      <c r="L957" s="71"/>
      <c r="M957" s="72"/>
      <c r="P957" s="72"/>
    </row>
    <row r="958" hidden="1">
      <c r="B958" s="68"/>
      <c r="D958" s="69"/>
      <c r="H958" s="70"/>
      <c r="K958" s="70"/>
      <c r="L958" s="71"/>
      <c r="M958" s="72"/>
      <c r="P958" s="72"/>
    </row>
    <row r="959" hidden="1">
      <c r="B959" s="68"/>
      <c r="D959" s="69"/>
      <c r="H959" s="70"/>
      <c r="K959" s="70"/>
      <c r="L959" s="71"/>
      <c r="M959" s="72"/>
      <c r="P959" s="72"/>
    </row>
    <row r="960" hidden="1">
      <c r="B960" s="68"/>
      <c r="D960" s="69"/>
      <c r="H960" s="70"/>
      <c r="K960" s="70"/>
      <c r="L960" s="71"/>
      <c r="M960" s="72"/>
      <c r="P960" s="72"/>
    </row>
    <row r="961" hidden="1">
      <c r="B961" s="68"/>
      <c r="D961" s="69"/>
      <c r="H961" s="70"/>
      <c r="K961" s="70"/>
      <c r="L961" s="71"/>
      <c r="M961" s="72"/>
      <c r="P961" s="72"/>
    </row>
    <row r="962" hidden="1">
      <c r="B962" s="68"/>
      <c r="D962" s="69"/>
      <c r="H962" s="70"/>
      <c r="K962" s="70"/>
      <c r="L962" s="71"/>
      <c r="M962" s="72"/>
      <c r="P962" s="72"/>
    </row>
    <row r="963" hidden="1">
      <c r="B963" s="68"/>
      <c r="D963" s="69"/>
      <c r="H963" s="70"/>
      <c r="K963" s="70"/>
      <c r="L963" s="71"/>
      <c r="M963" s="72"/>
      <c r="P963" s="72"/>
    </row>
    <row r="964" hidden="1">
      <c r="B964" s="68"/>
      <c r="D964" s="69"/>
      <c r="H964" s="70"/>
      <c r="K964" s="70"/>
      <c r="L964" s="71"/>
      <c r="M964" s="72"/>
      <c r="P964" s="72"/>
    </row>
    <row r="965" hidden="1">
      <c r="B965" s="68"/>
      <c r="D965" s="69"/>
      <c r="H965" s="70"/>
      <c r="K965" s="70"/>
      <c r="L965" s="71"/>
      <c r="M965" s="72"/>
      <c r="P965" s="72"/>
    </row>
    <row r="966" hidden="1">
      <c r="B966" s="68"/>
      <c r="D966" s="69"/>
      <c r="H966" s="70"/>
      <c r="K966" s="70"/>
      <c r="L966" s="71"/>
      <c r="M966" s="72"/>
      <c r="P966" s="72"/>
    </row>
    <row r="967" hidden="1">
      <c r="B967" s="68"/>
      <c r="D967" s="69"/>
      <c r="H967" s="70"/>
      <c r="K967" s="70"/>
      <c r="L967" s="71"/>
      <c r="M967" s="72"/>
      <c r="P967" s="72"/>
    </row>
    <row r="968" hidden="1">
      <c r="B968" s="68"/>
      <c r="D968" s="69"/>
      <c r="H968" s="70"/>
      <c r="K968" s="70"/>
      <c r="L968" s="71"/>
      <c r="M968" s="72"/>
      <c r="P968" s="72"/>
    </row>
  </sheetData>
  <autoFilter ref="$A$1:$AA$968">
    <filterColumn colId="4">
      <filters>
        <filter val="Отвердитель Starkbond 521C 11.0 бочка 200кг"/>
      </filters>
    </filterColumn>
  </autoFilter>
  <drawing r:id="rId4"/>
  <legacy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1">
        <v>45901.0</v>
      </c>
      <c r="C2" s="12">
        <f>VLOOKUP(B:B,'Курс валют'!A:D,4,0)</f>
        <v>94.0479</v>
      </c>
      <c r="D2" s="54" t="s">
        <v>1909</v>
      </c>
      <c r="E2" s="75" t="s">
        <v>18</v>
      </c>
      <c r="F2" s="12">
        <v>11000.0</v>
      </c>
      <c r="G2" s="12">
        <v>11130.0</v>
      </c>
      <c r="H2" s="17">
        <v>5076.0</v>
      </c>
      <c r="I2" s="15">
        <f t="shared" ref="I2:I102" si="1">G2-F2</f>
        <v>130</v>
      </c>
      <c r="J2" s="18">
        <f t="shared" ref="J2:J20" si="2">I2/F2*100</f>
        <v>1.181818182</v>
      </c>
      <c r="K2" s="56">
        <v>3.78</v>
      </c>
      <c r="L2" s="19">
        <f t="shared" ref="L2:L102" si="3">H2/F2*100</f>
        <v>46.14545455</v>
      </c>
      <c r="M2" s="20">
        <f t="shared" ref="M2:M102" si="4">P2/F2</f>
        <v>223.5686159</v>
      </c>
      <c r="N2" s="21">
        <f t="shared" ref="N2:N48" si="5">(F2*K2-H2*3.04)/F2</f>
        <v>2.377178182</v>
      </c>
      <c r="O2" s="21">
        <f t="shared" ref="O2:O102" si="6">N2*F2</f>
        <v>26148.96</v>
      </c>
      <c r="P2" s="22">
        <f t="shared" ref="P2:P102" si="7">O2*C2</f>
        <v>2459254.775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/>
      <c r="B3" s="11">
        <v>45902.0</v>
      </c>
      <c r="C3" s="12">
        <f>VLOOKUP(B:B,'Курс валют'!A:D,4,0)</f>
        <v>94.3841</v>
      </c>
      <c r="D3" s="13" t="s">
        <v>1910</v>
      </c>
      <c r="E3" s="14" t="s">
        <v>18</v>
      </c>
      <c r="F3" s="15">
        <v>6600.0</v>
      </c>
      <c r="G3" s="15">
        <v>6675.6</v>
      </c>
      <c r="H3" s="17">
        <v>3045.6</v>
      </c>
      <c r="I3" s="15">
        <f t="shared" si="1"/>
        <v>75.6</v>
      </c>
      <c r="J3" s="18">
        <f t="shared" si="2"/>
        <v>1.145454545</v>
      </c>
      <c r="K3" s="17">
        <v>3.77</v>
      </c>
      <c r="L3" s="19">
        <f t="shared" si="3"/>
        <v>46.14545455</v>
      </c>
      <c r="M3" s="20">
        <f t="shared" si="4"/>
        <v>223.4239822</v>
      </c>
      <c r="N3" s="21">
        <f t="shared" si="5"/>
        <v>2.367178182</v>
      </c>
      <c r="O3" s="21">
        <f t="shared" si="6"/>
        <v>15623.376</v>
      </c>
      <c r="P3" s="22">
        <f t="shared" si="7"/>
        <v>1474598.283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45902.0</v>
      </c>
      <c r="C4" s="12">
        <f>VLOOKUP(B:B,'Курс валют'!A:D,4,0)</f>
        <v>94.3841</v>
      </c>
      <c r="D4" s="13" t="s">
        <v>1911</v>
      </c>
      <c r="E4" s="14" t="s">
        <v>857</v>
      </c>
      <c r="F4" s="15">
        <v>180.0</v>
      </c>
      <c r="G4" s="15">
        <v>180.0</v>
      </c>
      <c r="H4" s="17">
        <v>0.0</v>
      </c>
      <c r="I4" s="15">
        <f t="shared" si="1"/>
        <v>0</v>
      </c>
      <c r="J4" s="18">
        <f t="shared" si="2"/>
        <v>0</v>
      </c>
      <c r="K4" s="17">
        <v>2.43</v>
      </c>
      <c r="L4" s="19">
        <f t="shared" si="3"/>
        <v>0</v>
      </c>
      <c r="M4" s="20">
        <f t="shared" si="4"/>
        <v>229.353363</v>
      </c>
      <c r="N4" s="21">
        <f t="shared" si="5"/>
        <v>2.43</v>
      </c>
      <c r="O4" s="21">
        <f t="shared" si="6"/>
        <v>437.4</v>
      </c>
      <c r="P4" s="22">
        <f t="shared" si="7"/>
        <v>41283.60534</v>
      </c>
      <c r="R4" s="23" t="s">
        <v>1101</v>
      </c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45902.0</v>
      </c>
      <c r="C5" s="12">
        <f>VLOOKUP(B:B,'Курс валют'!A:D,4,0)</f>
        <v>94.3841</v>
      </c>
      <c r="D5" s="13" t="s">
        <v>1912</v>
      </c>
      <c r="E5" s="35" t="s">
        <v>129</v>
      </c>
      <c r="F5" s="15">
        <v>23.18</v>
      </c>
      <c r="G5" s="15">
        <v>23.18</v>
      </c>
      <c r="H5" s="17">
        <v>0.0</v>
      </c>
      <c r="I5" s="15">
        <f t="shared" si="1"/>
        <v>0</v>
      </c>
      <c r="J5" s="18">
        <f t="shared" si="2"/>
        <v>0</v>
      </c>
      <c r="K5" s="17">
        <v>1.48</v>
      </c>
      <c r="L5" s="19">
        <f t="shared" si="3"/>
        <v>0</v>
      </c>
      <c r="M5" s="20">
        <f t="shared" si="4"/>
        <v>139.688468</v>
      </c>
      <c r="N5" s="21">
        <f t="shared" si="5"/>
        <v>1.48</v>
      </c>
      <c r="O5" s="21">
        <f t="shared" si="6"/>
        <v>34.3064</v>
      </c>
      <c r="P5" s="22">
        <f t="shared" si="7"/>
        <v>3237.978688</v>
      </c>
      <c r="R5" s="23" t="s">
        <v>1101</v>
      </c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45903.0</v>
      </c>
      <c r="C6" s="12">
        <f>VLOOKUP(B:B,'Курс валют'!A:D,4,0)</f>
        <v>93.8373</v>
      </c>
      <c r="D6" s="13" t="s">
        <v>1913</v>
      </c>
      <c r="E6" s="35" t="s">
        <v>108</v>
      </c>
      <c r="F6" s="15">
        <v>69.54</v>
      </c>
      <c r="G6" s="15">
        <v>72.13</v>
      </c>
      <c r="H6" s="17">
        <v>0.0</v>
      </c>
      <c r="I6" s="15">
        <f t="shared" si="1"/>
        <v>2.59</v>
      </c>
      <c r="J6" s="18">
        <f t="shared" si="2"/>
        <v>3.724475122</v>
      </c>
      <c r="K6" s="17">
        <v>1.63</v>
      </c>
      <c r="L6" s="19">
        <f t="shared" si="3"/>
        <v>0</v>
      </c>
      <c r="M6" s="20">
        <f t="shared" si="4"/>
        <v>152.954799</v>
      </c>
      <c r="N6" s="21">
        <f t="shared" si="5"/>
        <v>1.63</v>
      </c>
      <c r="O6" s="21">
        <f t="shared" si="6"/>
        <v>113.3502</v>
      </c>
      <c r="P6" s="22">
        <f t="shared" si="7"/>
        <v>10636.47672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45903.0</v>
      </c>
      <c r="C7" s="12">
        <f>VLOOKUP(B:B,'Курс валют'!A:D,4,0)</f>
        <v>93.8373</v>
      </c>
      <c r="D7" s="13" t="s">
        <v>1914</v>
      </c>
      <c r="E7" s="35" t="s">
        <v>118</v>
      </c>
      <c r="F7" s="15">
        <v>296.0</v>
      </c>
      <c r="G7" s="15">
        <v>309.408</v>
      </c>
      <c r="H7" s="17">
        <v>0.0</v>
      </c>
      <c r="I7" s="15">
        <f t="shared" si="1"/>
        <v>13.408</v>
      </c>
      <c r="J7" s="18">
        <f t="shared" si="2"/>
        <v>4.52972973</v>
      </c>
      <c r="K7" s="17">
        <v>1.54</v>
      </c>
      <c r="L7" s="19">
        <f t="shared" si="3"/>
        <v>0</v>
      </c>
      <c r="M7" s="20">
        <f t="shared" si="4"/>
        <v>144.509442</v>
      </c>
      <c r="N7" s="21">
        <f t="shared" si="5"/>
        <v>1.54</v>
      </c>
      <c r="O7" s="21">
        <f t="shared" si="6"/>
        <v>455.84</v>
      </c>
      <c r="P7" s="22">
        <f t="shared" si="7"/>
        <v>42774.79483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45903.0</v>
      </c>
      <c r="C8" s="12">
        <f>VLOOKUP(B:B,'Курс валют'!A:D,4,0)</f>
        <v>93.8373</v>
      </c>
      <c r="D8" s="13" t="s">
        <v>1915</v>
      </c>
      <c r="E8" s="26" t="s">
        <v>1916</v>
      </c>
      <c r="F8" s="15">
        <v>7.4</v>
      </c>
      <c r="G8" s="15">
        <v>7.442</v>
      </c>
      <c r="H8" s="17">
        <v>0.0</v>
      </c>
      <c r="I8" s="15">
        <f t="shared" si="1"/>
        <v>0.042</v>
      </c>
      <c r="J8" s="18">
        <f t="shared" si="2"/>
        <v>0.5675675676</v>
      </c>
      <c r="K8" s="17">
        <v>1.48</v>
      </c>
      <c r="L8" s="19">
        <f t="shared" si="3"/>
        <v>0</v>
      </c>
      <c r="M8" s="20">
        <f t="shared" si="4"/>
        <v>138.879204</v>
      </c>
      <c r="N8" s="21">
        <f t="shared" si="5"/>
        <v>1.48</v>
      </c>
      <c r="O8" s="21">
        <f t="shared" si="6"/>
        <v>10.952</v>
      </c>
      <c r="P8" s="22">
        <f t="shared" si="7"/>
        <v>1027.70611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11"/>
      <c r="B9" s="11">
        <v>45904.0</v>
      </c>
      <c r="C9" s="12">
        <f>VLOOKUP(B:B,'Курс валют'!A:D,4,0)</f>
        <v>94.2539</v>
      </c>
      <c r="D9" s="13" t="s">
        <v>1917</v>
      </c>
      <c r="E9" s="26" t="s">
        <v>59</v>
      </c>
      <c r="F9" s="15">
        <v>2000.0</v>
      </c>
      <c r="G9" s="15">
        <v>2034.5</v>
      </c>
      <c r="H9" s="17">
        <v>0.0</v>
      </c>
      <c r="I9" s="15">
        <f t="shared" si="1"/>
        <v>34.5</v>
      </c>
      <c r="J9" s="18">
        <f t="shared" si="2"/>
        <v>1.725</v>
      </c>
      <c r="K9" s="17">
        <v>2.73</v>
      </c>
      <c r="L9" s="19">
        <f t="shared" si="3"/>
        <v>0</v>
      </c>
      <c r="M9" s="20">
        <f t="shared" si="4"/>
        <v>257.313147</v>
      </c>
      <c r="N9" s="21">
        <f t="shared" si="5"/>
        <v>2.73</v>
      </c>
      <c r="O9" s="21">
        <f t="shared" si="6"/>
        <v>5460</v>
      </c>
      <c r="P9" s="22">
        <f t="shared" si="7"/>
        <v>514626.294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11"/>
      <c r="B10" s="11">
        <v>45904.0</v>
      </c>
      <c r="C10" s="12">
        <f>VLOOKUP(B:B,'Курс валют'!A:D,4,0)</f>
        <v>94.2539</v>
      </c>
      <c r="D10" s="13" t="s">
        <v>1918</v>
      </c>
      <c r="E10" s="26" t="s">
        <v>18</v>
      </c>
      <c r="F10" s="15">
        <v>11000.0</v>
      </c>
      <c r="G10" s="15">
        <v>11124.1</v>
      </c>
      <c r="H10" s="17">
        <v>5073.6</v>
      </c>
      <c r="I10" s="15">
        <f t="shared" si="1"/>
        <v>124.1</v>
      </c>
      <c r="J10" s="18">
        <f t="shared" si="2"/>
        <v>1.128181818</v>
      </c>
      <c r="K10" s="17">
        <v>3.55</v>
      </c>
      <c r="L10" s="19">
        <f t="shared" si="3"/>
        <v>46.12363636</v>
      </c>
      <c r="M10" s="20">
        <f t="shared" si="4"/>
        <v>202.4424337</v>
      </c>
      <c r="N10" s="21">
        <f t="shared" si="5"/>
        <v>2.147841455</v>
      </c>
      <c r="O10" s="21">
        <f t="shared" si="6"/>
        <v>23626.256</v>
      </c>
      <c r="P10" s="22">
        <f t="shared" si="7"/>
        <v>2226866.77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/>
      <c r="B11" s="11">
        <v>45905.0</v>
      </c>
      <c r="C11" s="12">
        <f>VLOOKUP(B:B,'Курс валют'!A:D,4,0)</f>
        <v>94.7754</v>
      </c>
      <c r="D11" s="13" t="s">
        <v>1919</v>
      </c>
      <c r="E11" s="84" t="s">
        <v>1920</v>
      </c>
      <c r="F11" s="15">
        <v>2000.0</v>
      </c>
      <c r="G11" s="15">
        <v>2031.4</v>
      </c>
      <c r="H11" s="17">
        <v>0.0</v>
      </c>
      <c r="I11" s="15">
        <f t="shared" si="1"/>
        <v>31.4</v>
      </c>
      <c r="J11" s="18">
        <f t="shared" si="2"/>
        <v>1.57</v>
      </c>
      <c r="K11" s="17">
        <v>2.52</v>
      </c>
      <c r="L11" s="19">
        <f t="shared" si="3"/>
        <v>0</v>
      </c>
      <c r="M11" s="20">
        <f t="shared" si="4"/>
        <v>238.834008</v>
      </c>
      <c r="N11" s="21">
        <f t="shared" si="5"/>
        <v>2.52</v>
      </c>
      <c r="O11" s="21">
        <f t="shared" si="6"/>
        <v>5040</v>
      </c>
      <c r="P11" s="22">
        <f t="shared" si="7"/>
        <v>477668.016</v>
      </c>
      <c r="R11" s="79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/>
      <c r="B12" s="11">
        <v>45905.0</v>
      </c>
      <c r="C12" s="12">
        <f>VLOOKUP(B:B,'Курс валют'!A:D,4,0)</f>
        <v>94.7754</v>
      </c>
      <c r="D12" s="13" t="s">
        <v>1921</v>
      </c>
      <c r="E12" s="26" t="s">
        <v>18</v>
      </c>
      <c r="F12" s="15">
        <v>11000.0</v>
      </c>
      <c r="G12" s="15">
        <v>11123.0</v>
      </c>
      <c r="H12" s="17">
        <v>5073.0</v>
      </c>
      <c r="I12" s="15">
        <f t="shared" si="1"/>
        <v>123</v>
      </c>
      <c r="J12" s="18">
        <f t="shared" si="2"/>
        <v>1.118181818</v>
      </c>
      <c r="K12" s="17">
        <v>3.62</v>
      </c>
      <c r="L12" s="19">
        <f t="shared" si="3"/>
        <v>46.11818182</v>
      </c>
      <c r="M12" s="20">
        <f t="shared" si="4"/>
        <v>210.2125265</v>
      </c>
      <c r="N12" s="21">
        <f t="shared" si="5"/>
        <v>2.218007273</v>
      </c>
      <c r="O12" s="21">
        <f t="shared" si="6"/>
        <v>24398.08</v>
      </c>
      <c r="P12" s="22">
        <f t="shared" si="7"/>
        <v>2312337.791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/>
      <c r="B13" s="11">
        <v>45906.0</v>
      </c>
      <c r="C13" s="12">
        <f>VLOOKUP(B:B,'Курс валют'!A:D,4,0)</f>
        <v>95.4792</v>
      </c>
      <c r="D13" s="13" t="s">
        <v>1922</v>
      </c>
      <c r="E13" s="26" t="s">
        <v>18</v>
      </c>
      <c r="F13" s="15">
        <v>11000.0</v>
      </c>
      <c r="G13" s="15">
        <v>11126.0</v>
      </c>
      <c r="H13" s="17">
        <v>5076.0</v>
      </c>
      <c r="I13" s="15">
        <f t="shared" si="1"/>
        <v>126</v>
      </c>
      <c r="J13" s="18">
        <f t="shared" si="2"/>
        <v>1.145454545</v>
      </c>
      <c r="K13" s="17">
        <v>3.63</v>
      </c>
      <c r="L13" s="19">
        <f t="shared" si="3"/>
        <v>46.14545455</v>
      </c>
      <c r="M13" s="20">
        <f t="shared" si="4"/>
        <v>212.6491911</v>
      </c>
      <c r="N13" s="21">
        <f t="shared" si="5"/>
        <v>2.227178182</v>
      </c>
      <c r="O13" s="21">
        <f t="shared" si="6"/>
        <v>24498.96</v>
      </c>
      <c r="P13" s="22">
        <f t="shared" si="7"/>
        <v>2339141.102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/>
      <c r="B14" s="11">
        <v>45907.0</v>
      </c>
      <c r="C14" s="12">
        <f>VLOOKUP(B:B,'Курс валют'!A:D,4,0)</f>
        <v>95.4792</v>
      </c>
      <c r="D14" s="13" t="s">
        <v>1923</v>
      </c>
      <c r="E14" s="26" t="s">
        <v>18</v>
      </c>
      <c r="F14" s="15">
        <v>4400.0</v>
      </c>
      <c r="G14" s="15">
        <v>4450.4</v>
      </c>
      <c r="H14" s="17">
        <v>2030.4</v>
      </c>
      <c r="I14" s="15">
        <f t="shared" si="1"/>
        <v>50.4</v>
      </c>
      <c r="J14" s="18">
        <f t="shared" si="2"/>
        <v>1.145454545</v>
      </c>
      <c r="K14" s="17">
        <v>3.63</v>
      </c>
      <c r="L14" s="19">
        <f t="shared" si="3"/>
        <v>46.14545455</v>
      </c>
      <c r="M14" s="20">
        <f t="shared" si="4"/>
        <v>212.6491911</v>
      </c>
      <c r="N14" s="21">
        <f t="shared" si="5"/>
        <v>2.227178182</v>
      </c>
      <c r="O14" s="21">
        <f t="shared" si="6"/>
        <v>9799.584</v>
      </c>
      <c r="P14" s="22">
        <f t="shared" si="7"/>
        <v>935656.4407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/>
      <c r="B15" s="11">
        <v>45907.0</v>
      </c>
      <c r="C15" s="12">
        <f>VLOOKUP(B:B,'Курс валют'!A:D,4,0)</f>
        <v>95.4792</v>
      </c>
      <c r="D15" s="13" t="s">
        <v>1924</v>
      </c>
      <c r="E15" s="26" t="s">
        <v>92</v>
      </c>
      <c r="F15" s="15">
        <v>200.0</v>
      </c>
      <c r="G15" s="15">
        <v>200.0</v>
      </c>
      <c r="H15" s="17">
        <v>0.0</v>
      </c>
      <c r="I15" s="15">
        <f t="shared" si="1"/>
        <v>0</v>
      </c>
      <c r="J15" s="18">
        <f t="shared" si="2"/>
        <v>0</v>
      </c>
      <c r="K15" s="17">
        <v>3.1</v>
      </c>
      <c r="L15" s="19">
        <f t="shared" si="3"/>
        <v>0</v>
      </c>
      <c r="M15" s="20">
        <f t="shared" si="4"/>
        <v>295.98552</v>
      </c>
      <c r="N15" s="21">
        <f t="shared" si="5"/>
        <v>3.1</v>
      </c>
      <c r="O15" s="21">
        <f t="shared" si="6"/>
        <v>620</v>
      </c>
      <c r="P15" s="22">
        <f t="shared" si="7"/>
        <v>59197.104</v>
      </c>
      <c r="R15" s="23" t="s">
        <v>1101</v>
      </c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11"/>
      <c r="B16" s="11">
        <v>45908.0</v>
      </c>
      <c r="C16" s="12">
        <f>VLOOKUP(B:B,'Курс валют'!A:D,4,0)</f>
        <v>95.4792</v>
      </c>
      <c r="D16" s="13" t="s">
        <v>1925</v>
      </c>
      <c r="E16" s="26" t="s">
        <v>18</v>
      </c>
      <c r="F16" s="15">
        <v>6600.0</v>
      </c>
      <c r="G16" s="15">
        <v>6675.6</v>
      </c>
      <c r="H16" s="17">
        <v>3045.6</v>
      </c>
      <c r="I16" s="15">
        <f t="shared" si="1"/>
        <v>75.6</v>
      </c>
      <c r="J16" s="18">
        <f t="shared" si="2"/>
        <v>1.145454545</v>
      </c>
      <c r="K16" s="17">
        <v>3.63</v>
      </c>
      <c r="L16" s="19">
        <f t="shared" si="3"/>
        <v>46.14545455</v>
      </c>
      <c r="M16" s="20">
        <f t="shared" si="4"/>
        <v>212.6491911</v>
      </c>
      <c r="N16" s="21">
        <f t="shared" si="5"/>
        <v>2.227178182</v>
      </c>
      <c r="O16" s="21">
        <f t="shared" si="6"/>
        <v>14699.376</v>
      </c>
      <c r="P16" s="22">
        <f t="shared" si="7"/>
        <v>1403484.661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>
      <c r="A17" s="11"/>
      <c r="B17" s="11">
        <v>45908.0</v>
      </c>
      <c r="C17" s="12">
        <f>VLOOKUP(B:B,'Курс валют'!A:D,4,0)</f>
        <v>95.4792</v>
      </c>
      <c r="D17" s="13" t="s">
        <v>1926</v>
      </c>
      <c r="E17" s="26" t="s">
        <v>400</v>
      </c>
      <c r="F17" s="15">
        <v>23.18</v>
      </c>
      <c r="G17" s="15">
        <v>24.57</v>
      </c>
      <c r="H17" s="17">
        <v>0.0</v>
      </c>
      <c r="I17" s="15">
        <f t="shared" si="1"/>
        <v>1.39</v>
      </c>
      <c r="J17" s="18">
        <f t="shared" si="2"/>
        <v>5.996548749</v>
      </c>
      <c r="K17" s="17">
        <v>1.58</v>
      </c>
      <c r="L17" s="19">
        <f t="shared" si="3"/>
        <v>0</v>
      </c>
      <c r="M17" s="20">
        <f t="shared" si="4"/>
        <v>150.857136</v>
      </c>
      <c r="N17" s="21">
        <f t="shared" si="5"/>
        <v>1.58</v>
      </c>
      <c r="O17" s="21">
        <f t="shared" si="6"/>
        <v>36.6244</v>
      </c>
      <c r="P17" s="22">
        <f t="shared" si="7"/>
        <v>3496.868412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/>
      <c r="B18" s="11">
        <v>45908.0</v>
      </c>
      <c r="C18" s="12">
        <f>VLOOKUP(B:B,'Курс валют'!A:D,4,0)</f>
        <v>95.4792</v>
      </c>
      <c r="D18" s="13" t="s">
        <v>1927</v>
      </c>
      <c r="E18" s="26" t="s">
        <v>92</v>
      </c>
      <c r="F18" s="15">
        <v>200.0</v>
      </c>
      <c r="G18" s="15">
        <v>200.0</v>
      </c>
      <c r="H18" s="17">
        <v>0.0</v>
      </c>
      <c r="I18" s="15">
        <f t="shared" si="1"/>
        <v>0</v>
      </c>
      <c r="J18" s="18">
        <f t="shared" si="2"/>
        <v>0</v>
      </c>
      <c r="K18" s="17">
        <v>3.1</v>
      </c>
      <c r="L18" s="19">
        <f t="shared" si="3"/>
        <v>0</v>
      </c>
      <c r="M18" s="20">
        <f t="shared" si="4"/>
        <v>295.98552</v>
      </c>
      <c r="N18" s="21">
        <f t="shared" si="5"/>
        <v>3.1</v>
      </c>
      <c r="O18" s="21">
        <f t="shared" si="6"/>
        <v>620</v>
      </c>
      <c r="P18" s="22">
        <f t="shared" si="7"/>
        <v>59197.104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45908.0</v>
      </c>
      <c r="C19" s="12">
        <f>VLOOKUP(B:B,'Курс валют'!A:D,4,0)</f>
        <v>95.4792</v>
      </c>
      <c r="D19" s="13" t="s">
        <v>1928</v>
      </c>
      <c r="E19" s="35" t="s">
        <v>59</v>
      </c>
      <c r="F19" s="15">
        <v>2000.0</v>
      </c>
      <c r="G19" s="15">
        <v>2035.5</v>
      </c>
      <c r="H19" s="17">
        <v>0.0</v>
      </c>
      <c r="I19" s="15">
        <f t="shared" si="1"/>
        <v>35.5</v>
      </c>
      <c r="J19" s="18">
        <f t="shared" si="2"/>
        <v>1.775</v>
      </c>
      <c r="K19" s="17">
        <v>2.44</v>
      </c>
      <c r="L19" s="19">
        <f t="shared" si="3"/>
        <v>0</v>
      </c>
      <c r="M19" s="20">
        <f t="shared" si="4"/>
        <v>232.969248</v>
      </c>
      <c r="N19" s="21">
        <f t="shared" si="5"/>
        <v>2.44</v>
      </c>
      <c r="O19" s="21">
        <f t="shared" si="6"/>
        <v>4880</v>
      </c>
      <c r="P19" s="22">
        <f t="shared" si="7"/>
        <v>465938.496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>
      <c r="A20" s="30"/>
      <c r="B20" s="11">
        <v>45909.0</v>
      </c>
      <c r="C20" s="12">
        <f>VLOOKUP(B:B,'Курс валют'!A:D,4,0)</f>
        <v>96.5691</v>
      </c>
      <c r="D20" s="13" t="s">
        <v>1929</v>
      </c>
      <c r="E20" s="35" t="s">
        <v>59</v>
      </c>
      <c r="F20" s="15">
        <v>800.0</v>
      </c>
      <c r="G20" s="15">
        <v>805.68</v>
      </c>
      <c r="H20" s="17">
        <v>0.0</v>
      </c>
      <c r="I20" s="15">
        <f t="shared" si="1"/>
        <v>5.68</v>
      </c>
      <c r="J20" s="18">
        <f t="shared" si="2"/>
        <v>0.71</v>
      </c>
      <c r="K20" s="17">
        <v>2.48</v>
      </c>
      <c r="L20" s="19">
        <f t="shared" si="3"/>
        <v>0</v>
      </c>
      <c r="M20" s="20">
        <f t="shared" si="4"/>
        <v>239.491368</v>
      </c>
      <c r="N20" s="21">
        <f t="shared" si="5"/>
        <v>2.48</v>
      </c>
      <c r="O20" s="21">
        <f t="shared" si="6"/>
        <v>1984</v>
      </c>
      <c r="P20" s="22">
        <f t="shared" si="7"/>
        <v>191593.0944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>
      <c r="A21" s="30"/>
      <c r="B21" s="11">
        <v>45909.0</v>
      </c>
      <c r="C21" s="12">
        <f>VLOOKUP(B:B,'Курс валют'!A:D,4,0)</f>
        <v>96.5691</v>
      </c>
      <c r="D21" s="13" t="s">
        <v>1929</v>
      </c>
      <c r="E21" s="35" t="s">
        <v>73</v>
      </c>
      <c r="F21" s="15">
        <v>1200.0</v>
      </c>
      <c r="G21" s="15">
        <v>1208.52</v>
      </c>
      <c r="H21" s="17">
        <v>0.0</v>
      </c>
      <c r="I21" s="15">
        <f t="shared" si="1"/>
        <v>8.52</v>
      </c>
      <c r="J21" s="18">
        <f t="shared" ref="J21:J24" si="8">I21/F22*100</f>
        <v>0.5325</v>
      </c>
      <c r="K21" s="17">
        <v>2.48</v>
      </c>
      <c r="L21" s="19">
        <f t="shared" si="3"/>
        <v>0</v>
      </c>
      <c r="M21" s="20">
        <f t="shared" si="4"/>
        <v>239.491368</v>
      </c>
      <c r="N21" s="21">
        <f t="shared" si="5"/>
        <v>2.48</v>
      </c>
      <c r="O21" s="21">
        <f t="shared" si="6"/>
        <v>2976</v>
      </c>
      <c r="P21" s="22">
        <f t="shared" si="7"/>
        <v>287389.6416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/>
      <c r="B22" s="11">
        <v>45909.0</v>
      </c>
      <c r="C22" s="12">
        <f>VLOOKUP(B:B,'Курс валют'!A:D,4,0)</f>
        <v>96.5691</v>
      </c>
      <c r="D22" s="13" t="s">
        <v>1930</v>
      </c>
      <c r="E22" s="35" t="s">
        <v>1931</v>
      </c>
      <c r="F22" s="15">
        <v>1600.0</v>
      </c>
      <c r="G22" s="15">
        <v>1627.0</v>
      </c>
      <c r="H22" s="17">
        <v>0.0</v>
      </c>
      <c r="I22" s="15">
        <f t="shared" si="1"/>
        <v>27</v>
      </c>
      <c r="J22" s="18">
        <f t="shared" si="8"/>
        <v>6.75</v>
      </c>
      <c r="K22" s="17">
        <v>2.67</v>
      </c>
      <c r="L22" s="19">
        <f t="shared" si="3"/>
        <v>0</v>
      </c>
      <c r="M22" s="20">
        <f t="shared" si="4"/>
        <v>257.839497</v>
      </c>
      <c r="N22" s="21">
        <f t="shared" si="5"/>
        <v>2.67</v>
      </c>
      <c r="O22" s="21">
        <f t="shared" si="6"/>
        <v>4272</v>
      </c>
      <c r="P22" s="22">
        <f t="shared" si="7"/>
        <v>412543.1952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>
      <c r="A23" s="30"/>
      <c r="B23" s="11">
        <v>45909.0</v>
      </c>
      <c r="C23" s="12">
        <f>VLOOKUP(B:B,'Курс валют'!A:D,4,0)</f>
        <v>96.5691</v>
      </c>
      <c r="D23" s="13" t="s">
        <v>1932</v>
      </c>
      <c r="E23" s="35" t="s">
        <v>1861</v>
      </c>
      <c r="F23" s="15">
        <v>400.0</v>
      </c>
      <c r="G23" s="15">
        <v>406.2</v>
      </c>
      <c r="H23" s="17">
        <v>0.0</v>
      </c>
      <c r="I23" s="15">
        <f t="shared" si="1"/>
        <v>6.2</v>
      </c>
      <c r="J23" s="18">
        <f t="shared" si="8"/>
        <v>0.31</v>
      </c>
      <c r="K23" s="17">
        <v>2.74</v>
      </c>
      <c r="L23" s="19">
        <f t="shared" si="3"/>
        <v>0</v>
      </c>
      <c r="M23" s="20">
        <f t="shared" si="4"/>
        <v>264.599334</v>
      </c>
      <c r="N23" s="21">
        <f t="shared" si="5"/>
        <v>2.74</v>
      </c>
      <c r="O23" s="21">
        <f t="shared" si="6"/>
        <v>1096</v>
      </c>
      <c r="P23" s="22">
        <f t="shared" si="7"/>
        <v>105839.7336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>
      <c r="A24" s="30"/>
      <c r="B24" s="11">
        <v>45910.0</v>
      </c>
      <c r="C24" s="12">
        <f>VLOOKUP(B:B,'Курс валют'!A:D,4,0)</f>
        <v>98.0336</v>
      </c>
      <c r="D24" s="13" t="s">
        <v>1933</v>
      </c>
      <c r="E24" s="59" t="s">
        <v>59</v>
      </c>
      <c r="F24" s="15">
        <v>2000.0</v>
      </c>
      <c r="G24" s="15">
        <v>2035.15</v>
      </c>
      <c r="H24" s="17">
        <v>0.0</v>
      </c>
      <c r="I24" s="15">
        <f t="shared" si="1"/>
        <v>35.15</v>
      </c>
      <c r="J24" s="18">
        <f t="shared" si="8"/>
        <v>0.4881944444</v>
      </c>
      <c r="K24" s="17">
        <v>2.27</v>
      </c>
      <c r="L24" s="19">
        <f t="shared" si="3"/>
        <v>0</v>
      </c>
      <c r="M24" s="20">
        <f t="shared" si="4"/>
        <v>222.536272</v>
      </c>
      <c r="N24" s="21">
        <f t="shared" si="5"/>
        <v>2.27</v>
      </c>
      <c r="O24" s="21">
        <f t="shared" si="6"/>
        <v>4540</v>
      </c>
      <c r="P24" s="22">
        <f t="shared" si="7"/>
        <v>445072.544</v>
      </c>
      <c r="R24" s="31"/>
      <c r="S24" s="24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45910.0</v>
      </c>
      <c r="C25" s="12">
        <f>VLOOKUP(B:B,'Курс валют'!A:D,4,0)</f>
        <v>98.0336</v>
      </c>
      <c r="D25" s="13" t="s">
        <v>1934</v>
      </c>
      <c r="E25" s="77" t="s">
        <v>54</v>
      </c>
      <c r="F25" s="15">
        <v>7200.0</v>
      </c>
      <c r="G25" s="15">
        <v>7275.59</v>
      </c>
      <c r="H25" s="17">
        <v>0.0</v>
      </c>
      <c r="I25" s="15">
        <f t="shared" si="1"/>
        <v>75.59</v>
      </c>
      <c r="J25" s="18">
        <f t="shared" ref="J25:J102" si="9">I25/F25*100</f>
        <v>1.049861111</v>
      </c>
      <c r="K25" s="17">
        <v>1.94</v>
      </c>
      <c r="L25" s="19">
        <f t="shared" si="3"/>
        <v>0</v>
      </c>
      <c r="M25" s="20">
        <f t="shared" si="4"/>
        <v>190.185184</v>
      </c>
      <c r="N25" s="21">
        <f t="shared" si="5"/>
        <v>1.94</v>
      </c>
      <c r="O25" s="21">
        <f t="shared" si="6"/>
        <v>13968</v>
      </c>
      <c r="P25" s="22">
        <f t="shared" si="7"/>
        <v>1369333.325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45911.0</v>
      </c>
      <c r="C26" s="12">
        <f>VLOOKUP(B:B,'Курс валют'!A:D,4,0)</f>
        <v>99.8246</v>
      </c>
      <c r="D26" s="13" t="s">
        <v>1935</v>
      </c>
      <c r="E26" s="59" t="s">
        <v>18</v>
      </c>
      <c r="F26" s="15">
        <v>5500.0</v>
      </c>
      <c r="G26" s="15">
        <v>5560.5</v>
      </c>
      <c r="H26" s="17">
        <v>2535.5</v>
      </c>
      <c r="I26" s="15">
        <f t="shared" si="1"/>
        <v>60.5</v>
      </c>
      <c r="J26" s="18">
        <f t="shared" si="9"/>
        <v>1.1</v>
      </c>
      <c r="K26" s="17">
        <v>3.63</v>
      </c>
      <c r="L26" s="19">
        <f t="shared" si="3"/>
        <v>46.1</v>
      </c>
      <c r="M26" s="20">
        <f t="shared" si="4"/>
        <v>222.4651106</v>
      </c>
      <c r="N26" s="21">
        <f t="shared" si="5"/>
        <v>2.22856</v>
      </c>
      <c r="O26" s="21">
        <f t="shared" si="6"/>
        <v>12257.08</v>
      </c>
      <c r="P26" s="22">
        <f t="shared" si="7"/>
        <v>1223558.108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 ht="15.0" customHeight="1">
      <c r="A27" s="30"/>
      <c r="B27" s="11">
        <v>45912.0</v>
      </c>
      <c r="C27" s="12">
        <f>VLOOKUP(B:B,'Курс валют'!A:D,4,0)</f>
        <v>99.7367</v>
      </c>
      <c r="D27" s="13" t="s">
        <v>1936</v>
      </c>
      <c r="E27" s="59" t="s">
        <v>64</v>
      </c>
      <c r="F27" s="15">
        <v>2200.0</v>
      </c>
      <c r="G27" s="15">
        <v>2235.52</v>
      </c>
      <c r="H27" s="17">
        <v>0.0</v>
      </c>
      <c r="I27" s="15">
        <f t="shared" si="1"/>
        <v>35.52</v>
      </c>
      <c r="J27" s="18">
        <f t="shared" si="9"/>
        <v>1.614545455</v>
      </c>
      <c r="K27" s="17">
        <v>2.51</v>
      </c>
      <c r="L27" s="19">
        <f t="shared" si="3"/>
        <v>0</v>
      </c>
      <c r="M27" s="20">
        <f t="shared" si="4"/>
        <v>250.339117</v>
      </c>
      <c r="N27" s="21">
        <f t="shared" si="5"/>
        <v>2.51</v>
      </c>
      <c r="O27" s="21">
        <f t="shared" si="6"/>
        <v>5522</v>
      </c>
      <c r="P27" s="22">
        <f t="shared" si="7"/>
        <v>550746.0574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30"/>
      <c r="B28" s="11">
        <v>45912.0</v>
      </c>
      <c r="C28" s="12">
        <f>VLOOKUP(B:B,'Курс валют'!A:D,4,0)</f>
        <v>99.7367</v>
      </c>
      <c r="D28" s="13" t="s">
        <v>1937</v>
      </c>
      <c r="E28" s="59" t="s">
        <v>61</v>
      </c>
      <c r="F28" s="15">
        <v>5500.0</v>
      </c>
      <c r="G28" s="15">
        <v>5560.0</v>
      </c>
      <c r="H28" s="17">
        <v>99.4</v>
      </c>
      <c r="I28" s="15">
        <f t="shared" si="1"/>
        <v>60</v>
      </c>
      <c r="J28" s="18">
        <f t="shared" si="9"/>
        <v>1.090909091</v>
      </c>
      <c r="K28" s="17">
        <v>2.47</v>
      </c>
      <c r="L28" s="19">
        <f t="shared" si="3"/>
        <v>1.807272727</v>
      </c>
      <c r="M28" s="20">
        <f t="shared" si="4"/>
        <v>240.8700059</v>
      </c>
      <c r="N28" s="21">
        <f t="shared" si="5"/>
        <v>2.415058909</v>
      </c>
      <c r="O28" s="21">
        <f t="shared" si="6"/>
        <v>13282.824</v>
      </c>
      <c r="P28" s="22">
        <f t="shared" si="7"/>
        <v>1324785.032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45912.0</v>
      </c>
      <c r="C29" s="12">
        <f>VLOOKUP(B:B,'Курс валют'!A:D,4,0)</f>
        <v>99.7367</v>
      </c>
      <c r="D29" s="13" t="s">
        <v>1938</v>
      </c>
      <c r="E29" s="59" t="s">
        <v>1939</v>
      </c>
      <c r="F29" s="15">
        <f>44.4+7.4</f>
        <v>51.8</v>
      </c>
      <c r="G29" s="15">
        <v>55.8</v>
      </c>
      <c r="H29" s="17">
        <v>0.0</v>
      </c>
      <c r="I29" s="15">
        <f t="shared" si="1"/>
        <v>4</v>
      </c>
      <c r="J29" s="18">
        <f t="shared" si="9"/>
        <v>7.722007722</v>
      </c>
      <c r="K29" s="17">
        <v>1.82</v>
      </c>
      <c r="L29" s="19">
        <f t="shared" si="3"/>
        <v>0</v>
      </c>
      <c r="M29" s="20">
        <f t="shared" si="4"/>
        <v>181.520794</v>
      </c>
      <c r="N29" s="21">
        <f t="shared" si="5"/>
        <v>1.82</v>
      </c>
      <c r="O29" s="21">
        <f t="shared" si="6"/>
        <v>94.276</v>
      </c>
      <c r="P29" s="22">
        <f t="shared" si="7"/>
        <v>9402.777129</v>
      </c>
      <c r="R29" s="23"/>
      <c r="S29" s="57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45913.0</v>
      </c>
      <c r="C30" s="12">
        <f>VLOOKUP(B:B,'Курс валют'!A:D,4,0)</f>
        <v>99.3304</v>
      </c>
      <c r="D30" s="13" t="s">
        <v>1940</v>
      </c>
      <c r="E30" s="77" t="s">
        <v>61</v>
      </c>
      <c r="F30" s="76">
        <v>8800.0</v>
      </c>
      <c r="G30" s="76">
        <v>8903.2</v>
      </c>
      <c r="H30" s="58">
        <v>2466.0</v>
      </c>
      <c r="I30" s="15">
        <f t="shared" si="1"/>
        <v>103.2</v>
      </c>
      <c r="J30" s="18">
        <f t="shared" si="9"/>
        <v>1.172727273</v>
      </c>
      <c r="K30" s="58">
        <v>3.18</v>
      </c>
      <c r="L30" s="19">
        <f t="shared" si="3"/>
        <v>28.02272727</v>
      </c>
      <c r="M30" s="20">
        <f t="shared" si="4"/>
        <v>231.2520072</v>
      </c>
      <c r="N30" s="21">
        <f t="shared" si="5"/>
        <v>2.328109091</v>
      </c>
      <c r="O30" s="21">
        <f t="shared" si="6"/>
        <v>20487.36</v>
      </c>
      <c r="P30" s="22">
        <f t="shared" si="7"/>
        <v>2035017.664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45913.0</v>
      </c>
      <c r="C31" s="12">
        <f>VLOOKUP(B:B,'Курс валют'!A:D,4,0)</f>
        <v>99.3304</v>
      </c>
      <c r="D31" s="13" t="s">
        <v>1941</v>
      </c>
      <c r="E31" s="77" t="s">
        <v>64</v>
      </c>
      <c r="F31" s="15">
        <v>2200.0</v>
      </c>
      <c r="G31" s="15">
        <v>2212.01</v>
      </c>
      <c r="H31" s="17">
        <v>0.0</v>
      </c>
      <c r="I31" s="15">
        <f t="shared" si="1"/>
        <v>12.01</v>
      </c>
      <c r="J31" s="18">
        <f t="shared" si="9"/>
        <v>0.5459090909</v>
      </c>
      <c r="K31" s="17">
        <v>2.42</v>
      </c>
      <c r="L31" s="19">
        <f t="shared" si="3"/>
        <v>0</v>
      </c>
      <c r="M31" s="20">
        <f t="shared" si="4"/>
        <v>240.379568</v>
      </c>
      <c r="N31" s="21">
        <f t="shared" si="5"/>
        <v>2.42</v>
      </c>
      <c r="O31" s="21">
        <f t="shared" si="6"/>
        <v>5324</v>
      </c>
      <c r="P31" s="22">
        <f t="shared" si="7"/>
        <v>528835.0496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45914.0</v>
      </c>
      <c r="C32" s="12">
        <f>VLOOKUP(B:B,'Курс валют'!A:D,4,0)</f>
        <v>99.3304</v>
      </c>
      <c r="D32" s="13" t="s">
        <v>1942</v>
      </c>
      <c r="E32" s="77" t="s">
        <v>54</v>
      </c>
      <c r="F32" s="15">
        <v>8000.0</v>
      </c>
      <c r="G32" s="15">
        <v>8095.25</v>
      </c>
      <c r="H32" s="17">
        <v>0.0</v>
      </c>
      <c r="I32" s="15">
        <f t="shared" si="1"/>
        <v>95.25</v>
      </c>
      <c r="J32" s="18">
        <f t="shared" si="9"/>
        <v>1.190625</v>
      </c>
      <c r="K32" s="17">
        <v>1.91</v>
      </c>
      <c r="L32" s="19">
        <f t="shared" si="3"/>
        <v>0</v>
      </c>
      <c r="M32" s="20">
        <f t="shared" si="4"/>
        <v>189.721064</v>
      </c>
      <c r="N32" s="21">
        <f t="shared" si="5"/>
        <v>1.91</v>
      </c>
      <c r="O32" s="21">
        <f t="shared" si="6"/>
        <v>15280</v>
      </c>
      <c r="P32" s="22">
        <f t="shared" si="7"/>
        <v>1517768.512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45914.0</v>
      </c>
      <c r="C33" s="12">
        <f>VLOOKUP(B:B,'Курс валют'!A:D,4,0)</f>
        <v>99.3304</v>
      </c>
      <c r="D33" s="13" t="s">
        <v>1943</v>
      </c>
      <c r="E33" s="77" t="s">
        <v>63</v>
      </c>
      <c r="F33" s="15">
        <v>2250.0</v>
      </c>
      <c r="G33" s="13">
        <v>2276.8</v>
      </c>
      <c r="H33" s="17">
        <v>907.0</v>
      </c>
      <c r="I33" s="15">
        <f t="shared" si="1"/>
        <v>26.8</v>
      </c>
      <c r="J33" s="18">
        <f t="shared" si="9"/>
        <v>1.191111111</v>
      </c>
      <c r="K33" s="17">
        <v>3.18</v>
      </c>
      <c r="L33" s="19">
        <f t="shared" si="3"/>
        <v>40.31111111</v>
      </c>
      <c r="M33" s="20">
        <f t="shared" si="4"/>
        <v>194.1454608</v>
      </c>
      <c r="N33" s="21">
        <f t="shared" si="5"/>
        <v>1.954542222</v>
      </c>
      <c r="O33" s="21">
        <f t="shared" si="6"/>
        <v>4397.72</v>
      </c>
      <c r="P33" s="22">
        <f t="shared" si="7"/>
        <v>436827.2867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45915.0</v>
      </c>
      <c r="C34" s="12">
        <f>VLOOKUP(B:B,'Курс валют'!A:D,4,0)</f>
        <v>99.3304</v>
      </c>
      <c r="D34" s="13" t="s">
        <v>1944</v>
      </c>
      <c r="E34" s="59" t="s">
        <v>53</v>
      </c>
      <c r="F34" s="15">
        <v>8000.0</v>
      </c>
      <c r="G34" s="13">
        <v>8100.55</v>
      </c>
      <c r="H34" s="17">
        <v>0.0</v>
      </c>
      <c r="I34" s="15">
        <f t="shared" si="1"/>
        <v>100.55</v>
      </c>
      <c r="J34" s="18">
        <f t="shared" si="9"/>
        <v>1.256875</v>
      </c>
      <c r="K34" s="17">
        <v>1.94</v>
      </c>
      <c r="L34" s="19">
        <f t="shared" si="3"/>
        <v>0</v>
      </c>
      <c r="M34" s="20">
        <f t="shared" si="4"/>
        <v>192.700976</v>
      </c>
      <c r="N34" s="21">
        <f t="shared" si="5"/>
        <v>1.94</v>
      </c>
      <c r="O34" s="21">
        <f t="shared" si="6"/>
        <v>15520</v>
      </c>
      <c r="P34" s="22">
        <f t="shared" si="7"/>
        <v>1541607.808</v>
      </c>
      <c r="R34" s="23"/>
      <c r="S34" s="57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45915.0</v>
      </c>
      <c r="C35" s="12">
        <f>VLOOKUP(B:B,'Курс валют'!A:D,4,0)</f>
        <v>99.3304</v>
      </c>
      <c r="D35" s="13" t="s">
        <v>1945</v>
      </c>
      <c r="E35" s="59" t="s">
        <v>54</v>
      </c>
      <c r="F35" s="15">
        <v>800.0</v>
      </c>
      <c r="G35" s="13">
        <v>809.8</v>
      </c>
      <c r="H35" s="17">
        <v>0.0</v>
      </c>
      <c r="I35" s="15">
        <f t="shared" si="1"/>
        <v>9.8</v>
      </c>
      <c r="J35" s="18">
        <f t="shared" si="9"/>
        <v>1.225</v>
      </c>
      <c r="K35" s="17">
        <v>1.92</v>
      </c>
      <c r="L35" s="19">
        <f t="shared" si="3"/>
        <v>0</v>
      </c>
      <c r="M35" s="20">
        <f t="shared" si="4"/>
        <v>190.714368</v>
      </c>
      <c r="N35" s="21">
        <f t="shared" si="5"/>
        <v>1.92</v>
      </c>
      <c r="O35" s="21">
        <f t="shared" si="6"/>
        <v>1536</v>
      </c>
      <c r="P35" s="22">
        <f t="shared" si="7"/>
        <v>152571.4944</v>
      </c>
      <c r="R35" s="23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45916.0</v>
      </c>
      <c r="C36" s="12">
        <f>VLOOKUP(B:B,'Курс валют'!A:D,4,0)</f>
        <v>97.4502</v>
      </c>
      <c r="D36" s="13" t="s">
        <v>1946</v>
      </c>
      <c r="E36" s="59" t="s">
        <v>73</v>
      </c>
      <c r="F36" s="15">
        <v>1600.0</v>
      </c>
      <c r="G36" s="13">
        <v>1600.0</v>
      </c>
      <c r="H36" s="17">
        <v>0.0</v>
      </c>
      <c r="I36" s="15">
        <f t="shared" si="1"/>
        <v>0</v>
      </c>
      <c r="J36" s="18">
        <f t="shared" si="9"/>
        <v>0</v>
      </c>
      <c r="K36" s="17">
        <v>2.73</v>
      </c>
      <c r="L36" s="19">
        <f t="shared" si="3"/>
        <v>0</v>
      </c>
      <c r="M36" s="20">
        <f t="shared" si="4"/>
        <v>266.039046</v>
      </c>
      <c r="N36" s="21">
        <f t="shared" si="5"/>
        <v>2.73</v>
      </c>
      <c r="O36" s="21">
        <f t="shared" si="6"/>
        <v>4368</v>
      </c>
      <c r="P36" s="22">
        <f t="shared" si="7"/>
        <v>425662.4736</v>
      </c>
      <c r="R36" s="31" t="s">
        <v>1101</v>
      </c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45916.0</v>
      </c>
      <c r="C37" s="12">
        <f>VLOOKUP(B:B,'Курс валют'!A:D,4,0)</f>
        <v>97.4502</v>
      </c>
      <c r="D37" s="13" t="s">
        <v>1947</v>
      </c>
      <c r="E37" s="59" t="s">
        <v>1948</v>
      </c>
      <c r="F37" s="15">
        <v>1800.0</v>
      </c>
      <c r="G37" s="13">
        <v>1830.0</v>
      </c>
      <c r="H37" s="17">
        <v>0.0</v>
      </c>
      <c r="I37" s="15">
        <f t="shared" si="1"/>
        <v>30</v>
      </c>
      <c r="J37" s="18">
        <f t="shared" si="9"/>
        <v>1.666666667</v>
      </c>
      <c r="K37" s="17">
        <v>2.26</v>
      </c>
      <c r="L37" s="19">
        <f t="shared" si="3"/>
        <v>0</v>
      </c>
      <c r="M37" s="20">
        <f t="shared" si="4"/>
        <v>220.237452</v>
      </c>
      <c r="N37" s="21">
        <f t="shared" si="5"/>
        <v>2.26</v>
      </c>
      <c r="O37" s="21">
        <f t="shared" si="6"/>
        <v>4068</v>
      </c>
      <c r="P37" s="22">
        <f t="shared" si="7"/>
        <v>396427.4136</v>
      </c>
      <c r="R37" s="78"/>
      <c r="S37" s="24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45917.0</v>
      </c>
      <c r="C38" s="12">
        <f>VLOOKUP(B:B,'Курс валют'!A:D,4,0)</f>
        <v>97.8903</v>
      </c>
      <c r="D38" s="13" t="s">
        <v>1949</v>
      </c>
      <c r="E38" s="59" t="s">
        <v>64</v>
      </c>
      <c r="F38" s="15">
        <v>2200.0</v>
      </c>
      <c r="G38" s="13">
        <v>2227.7</v>
      </c>
      <c r="H38" s="17">
        <v>0.0</v>
      </c>
      <c r="I38" s="15">
        <f t="shared" si="1"/>
        <v>27.7</v>
      </c>
      <c r="J38" s="18">
        <f t="shared" si="9"/>
        <v>1.259090909</v>
      </c>
      <c r="K38" s="17">
        <v>2.4</v>
      </c>
      <c r="L38" s="19">
        <f t="shared" si="3"/>
        <v>0</v>
      </c>
      <c r="M38" s="20">
        <f t="shared" si="4"/>
        <v>234.93672</v>
      </c>
      <c r="N38" s="21">
        <f t="shared" si="5"/>
        <v>2.4</v>
      </c>
      <c r="O38" s="21">
        <f t="shared" si="6"/>
        <v>5280</v>
      </c>
      <c r="P38" s="22">
        <f t="shared" si="7"/>
        <v>516860.784</v>
      </c>
      <c r="R38" s="79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45917.0</v>
      </c>
      <c r="C39" s="12">
        <f>VLOOKUP(B:B,'Курс валют'!A:D,4,0)</f>
        <v>97.8903</v>
      </c>
      <c r="D39" s="13" t="s">
        <v>1950</v>
      </c>
      <c r="E39" s="59" t="s">
        <v>1951</v>
      </c>
      <c r="F39" s="15">
        <v>4500.0</v>
      </c>
      <c r="G39" s="13">
        <v>4522.0</v>
      </c>
      <c r="H39" s="17">
        <v>0.0</v>
      </c>
      <c r="I39" s="15">
        <f t="shared" si="1"/>
        <v>22</v>
      </c>
      <c r="J39" s="18">
        <f t="shared" si="9"/>
        <v>0.4888888889</v>
      </c>
      <c r="K39" s="17">
        <v>2.06</v>
      </c>
      <c r="L39" s="19">
        <f t="shared" si="3"/>
        <v>0</v>
      </c>
      <c r="M39" s="20">
        <f t="shared" si="4"/>
        <v>201.654018</v>
      </c>
      <c r="N39" s="21">
        <f t="shared" si="5"/>
        <v>2.06</v>
      </c>
      <c r="O39" s="21">
        <f t="shared" si="6"/>
        <v>9270</v>
      </c>
      <c r="P39" s="22">
        <f t="shared" si="7"/>
        <v>907443.081</v>
      </c>
      <c r="R39" s="23" t="s">
        <v>1952</v>
      </c>
      <c r="S39" s="24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11">
        <v>45918.0</v>
      </c>
      <c r="C40" s="12">
        <f>VLOOKUP(B:B,'Курс валют'!A:D,4,0)</f>
        <v>98.2994</v>
      </c>
      <c r="D40" s="13" t="s">
        <v>1953</v>
      </c>
      <c r="E40" s="59" t="s">
        <v>118</v>
      </c>
      <c r="F40" s="15">
        <v>148.0</v>
      </c>
      <c r="G40" s="13">
        <v>150.63</v>
      </c>
      <c r="H40" s="17">
        <v>0.0</v>
      </c>
      <c r="I40" s="15">
        <f t="shared" si="1"/>
        <v>2.63</v>
      </c>
      <c r="J40" s="18">
        <f t="shared" si="9"/>
        <v>1.777027027</v>
      </c>
      <c r="K40" s="17">
        <v>1.52</v>
      </c>
      <c r="L40" s="19">
        <f t="shared" si="3"/>
        <v>0</v>
      </c>
      <c r="M40" s="20">
        <f t="shared" si="4"/>
        <v>149.415088</v>
      </c>
      <c r="N40" s="21">
        <f t="shared" si="5"/>
        <v>1.52</v>
      </c>
      <c r="O40" s="21">
        <f t="shared" si="6"/>
        <v>224.96</v>
      </c>
      <c r="P40" s="22">
        <f t="shared" si="7"/>
        <v>22113.43302</v>
      </c>
      <c r="R40" s="23" t="s">
        <v>1954</v>
      </c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11">
        <v>45918.0</v>
      </c>
      <c r="C41" s="12">
        <f>VLOOKUP(B:B,'Курс валют'!A:D,4,0)</f>
        <v>98.2994</v>
      </c>
      <c r="D41" s="13" t="s">
        <v>1955</v>
      </c>
      <c r="E41" s="59" t="s">
        <v>118</v>
      </c>
      <c r="F41" s="15">
        <v>148.0</v>
      </c>
      <c r="G41" s="61">
        <v>150.83</v>
      </c>
      <c r="H41" s="17">
        <v>0.0</v>
      </c>
      <c r="I41" s="16">
        <f t="shared" si="1"/>
        <v>2.83</v>
      </c>
      <c r="J41" s="18">
        <f t="shared" si="9"/>
        <v>1.912162162</v>
      </c>
      <c r="K41" s="17">
        <v>1.52</v>
      </c>
      <c r="L41" s="19">
        <f t="shared" si="3"/>
        <v>0</v>
      </c>
      <c r="M41" s="20">
        <f t="shared" si="4"/>
        <v>149.415088</v>
      </c>
      <c r="N41" s="21">
        <f t="shared" si="5"/>
        <v>1.52</v>
      </c>
      <c r="O41" s="21">
        <f t="shared" si="6"/>
        <v>224.96</v>
      </c>
      <c r="P41" s="22">
        <f t="shared" si="7"/>
        <v>22113.43302</v>
      </c>
      <c r="R41" s="31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45918.0</v>
      </c>
      <c r="C42" s="12">
        <f>VLOOKUP(B:B,'Курс валют'!A:D,4,0)</f>
        <v>98.2994</v>
      </c>
      <c r="D42" s="13" t="s">
        <v>1956</v>
      </c>
      <c r="E42" s="59" t="s">
        <v>400</v>
      </c>
      <c r="F42" s="15">
        <v>1043.1</v>
      </c>
      <c r="G42" s="13">
        <v>1048.28</v>
      </c>
      <c r="H42" s="17">
        <v>0.0</v>
      </c>
      <c r="I42" s="15">
        <f t="shared" si="1"/>
        <v>5.18</v>
      </c>
      <c r="J42" s="18">
        <f t="shared" si="9"/>
        <v>0.496596683</v>
      </c>
      <c r="K42" s="17">
        <v>1.69</v>
      </c>
      <c r="L42" s="19">
        <f t="shared" si="3"/>
        <v>0</v>
      </c>
      <c r="M42" s="20">
        <f t="shared" si="4"/>
        <v>166.125986</v>
      </c>
      <c r="N42" s="21">
        <f t="shared" si="5"/>
        <v>1.69</v>
      </c>
      <c r="O42" s="21">
        <f t="shared" si="6"/>
        <v>1762.839</v>
      </c>
      <c r="P42" s="22">
        <f t="shared" si="7"/>
        <v>173286.016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30">
        <v>45918.0</v>
      </c>
      <c r="C43" s="12">
        <f>VLOOKUP(B:B,'Курс валют'!A:D,4,0)</f>
        <v>98.2994</v>
      </c>
      <c r="D43" s="13" t="s">
        <v>1957</v>
      </c>
      <c r="E43" s="59" t="s">
        <v>64</v>
      </c>
      <c r="F43" s="15">
        <v>2200.0</v>
      </c>
      <c r="G43" s="13">
        <v>2227.74</v>
      </c>
      <c r="H43" s="17">
        <v>0.0</v>
      </c>
      <c r="I43" s="15">
        <f t="shared" si="1"/>
        <v>27.74</v>
      </c>
      <c r="J43" s="18">
        <f t="shared" si="9"/>
        <v>1.260909091</v>
      </c>
      <c r="K43" s="17">
        <v>2.4</v>
      </c>
      <c r="L43" s="19">
        <f t="shared" si="3"/>
        <v>0</v>
      </c>
      <c r="M43" s="20">
        <f t="shared" si="4"/>
        <v>235.91856</v>
      </c>
      <c r="N43" s="21">
        <f t="shared" si="5"/>
        <v>2.4</v>
      </c>
      <c r="O43" s="21">
        <f t="shared" si="6"/>
        <v>5280</v>
      </c>
      <c r="P43" s="22">
        <f t="shared" si="7"/>
        <v>519020.832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45919.0</v>
      </c>
      <c r="C44" s="12">
        <f>VLOOKUP(B:B,'Курс валют'!A:D,4,0)</f>
        <v>98.9773</v>
      </c>
      <c r="D44" s="13" t="s">
        <v>1958</v>
      </c>
      <c r="E44" s="59" t="s">
        <v>54</v>
      </c>
      <c r="F44" s="15">
        <v>8000.0</v>
      </c>
      <c r="G44" s="13">
        <v>8126.21</v>
      </c>
      <c r="H44" s="17">
        <v>0.0</v>
      </c>
      <c r="I44" s="15">
        <f t="shared" si="1"/>
        <v>126.21</v>
      </c>
      <c r="J44" s="18">
        <f t="shared" si="9"/>
        <v>1.577625</v>
      </c>
      <c r="K44" s="17">
        <v>1.93</v>
      </c>
      <c r="L44" s="19">
        <f t="shared" si="3"/>
        <v>0</v>
      </c>
      <c r="M44" s="20">
        <f t="shared" si="4"/>
        <v>191.026189</v>
      </c>
      <c r="N44" s="21">
        <f t="shared" si="5"/>
        <v>1.93</v>
      </c>
      <c r="O44" s="21">
        <f t="shared" si="6"/>
        <v>15440</v>
      </c>
      <c r="P44" s="22">
        <f t="shared" si="7"/>
        <v>1528209.512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45919.0</v>
      </c>
      <c r="C45" s="12">
        <f>VLOOKUP(B:B,'Курс валют'!A:D,4,0)</f>
        <v>98.9773</v>
      </c>
      <c r="D45" s="13" t="s">
        <v>1959</v>
      </c>
      <c r="E45" s="59" t="s">
        <v>64</v>
      </c>
      <c r="F45" s="15">
        <v>2200.0</v>
      </c>
      <c r="G45" s="61">
        <v>2249.44</v>
      </c>
      <c r="H45" s="17">
        <v>0.0</v>
      </c>
      <c r="I45" s="16">
        <f t="shared" si="1"/>
        <v>49.44</v>
      </c>
      <c r="J45" s="18">
        <f t="shared" si="9"/>
        <v>2.247272727</v>
      </c>
      <c r="K45" s="17">
        <v>2.42</v>
      </c>
      <c r="L45" s="19">
        <f t="shared" si="3"/>
        <v>0</v>
      </c>
      <c r="M45" s="20">
        <f t="shared" si="4"/>
        <v>239.525066</v>
      </c>
      <c r="N45" s="21">
        <f t="shared" si="5"/>
        <v>2.42</v>
      </c>
      <c r="O45" s="21">
        <f t="shared" si="6"/>
        <v>5324</v>
      </c>
      <c r="P45" s="22">
        <f t="shared" si="7"/>
        <v>526955.1452</v>
      </c>
      <c r="R45" s="23"/>
      <c r="S45" s="24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45920.0</v>
      </c>
      <c r="C46" s="12">
        <f>VLOOKUP(B:B,'Курс валют'!A:D,4,0)</f>
        <v>98.8845</v>
      </c>
      <c r="D46" s="13" t="s">
        <v>1960</v>
      </c>
      <c r="E46" s="59" t="s">
        <v>64</v>
      </c>
      <c r="F46" s="15">
        <v>2200.0</v>
      </c>
      <c r="G46" s="13">
        <v>2244.14</v>
      </c>
      <c r="H46" s="17">
        <v>0.0</v>
      </c>
      <c r="I46" s="15">
        <f t="shared" si="1"/>
        <v>44.14</v>
      </c>
      <c r="J46" s="18">
        <f t="shared" si="9"/>
        <v>2.006363636</v>
      </c>
      <c r="K46" s="17">
        <v>2.42</v>
      </c>
      <c r="L46" s="19">
        <f t="shared" si="3"/>
        <v>0</v>
      </c>
      <c r="M46" s="20">
        <f t="shared" si="4"/>
        <v>239.30049</v>
      </c>
      <c r="N46" s="21">
        <f t="shared" si="5"/>
        <v>2.42</v>
      </c>
      <c r="O46" s="21">
        <f t="shared" si="6"/>
        <v>5324</v>
      </c>
      <c r="P46" s="22">
        <f t="shared" si="7"/>
        <v>526461.078</v>
      </c>
      <c r="R46" s="23"/>
      <c r="S46" s="24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45920.0</v>
      </c>
      <c r="C47" s="12">
        <f>VLOOKUP(B:B,'Курс валют'!A:D,4,0)</f>
        <v>98.8845</v>
      </c>
      <c r="D47" s="13" t="s">
        <v>1961</v>
      </c>
      <c r="E47" s="59" t="s">
        <v>1962</v>
      </c>
      <c r="F47" s="15">
        <v>200.0</v>
      </c>
      <c r="G47" s="61">
        <v>200.0</v>
      </c>
      <c r="H47" s="17">
        <v>0.0</v>
      </c>
      <c r="I47" s="16">
        <f t="shared" si="1"/>
        <v>0</v>
      </c>
      <c r="J47" s="18">
        <f t="shared" si="9"/>
        <v>0</v>
      </c>
      <c r="K47" s="17">
        <v>2.99</v>
      </c>
      <c r="L47" s="19">
        <f t="shared" si="3"/>
        <v>0</v>
      </c>
      <c r="M47" s="20">
        <f t="shared" si="4"/>
        <v>295.664655</v>
      </c>
      <c r="N47" s="21">
        <f t="shared" si="5"/>
        <v>2.99</v>
      </c>
      <c r="O47" s="21">
        <f t="shared" si="6"/>
        <v>598</v>
      </c>
      <c r="P47" s="22">
        <f t="shared" si="7"/>
        <v>59132.931</v>
      </c>
      <c r="R47" s="23" t="s">
        <v>208</v>
      </c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45920.0</v>
      </c>
      <c r="C48" s="12">
        <f>VLOOKUP(B:B,'Курс валют'!A:D,4,0)</f>
        <v>98.8845</v>
      </c>
      <c r="D48" s="13" t="s">
        <v>1963</v>
      </c>
      <c r="E48" s="59" t="s">
        <v>55</v>
      </c>
      <c r="F48" s="15">
        <v>1600.0</v>
      </c>
      <c r="G48" s="13">
        <v>1630.7</v>
      </c>
      <c r="H48" s="17">
        <v>0.0</v>
      </c>
      <c r="I48" s="15">
        <f t="shared" si="1"/>
        <v>30.7</v>
      </c>
      <c r="J48" s="18">
        <f t="shared" si="9"/>
        <v>1.91875</v>
      </c>
      <c r="K48" s="17">
        <v>2.69</v>
      </c>
      <c r="L48" s="19">
        <f t="shared" si="3"/>
        <v>0</v>
      </c>
      <c r="M48" s="20">
        <f t="shared" si="4"/>
        <v>265.999305</v>
      </c>
      <c r="N48" s="21">
        <f t="shared" si="5"/>
        <v>2.69</v>
      </c>
      <c r="O48" s="21">
        <f t="shared" si="6"/>
        <v>4304</v>
      </c>
      <c r="P48" s="22">
        <f t="shared" si="7"/>
        <v>425598.888</v>
      </c>
      <c r="R48" s="23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45920.0</v>
      </c>
      <c r="C49" s="12">
        <f>VLOOKUP(B:B,'Курс валют'!A:D,4,0)</f>
        <v>98.8845</v>
      </c>
      <c r="D49" s="13" t="s">
        <v>1964</v>
      </c>
      <c r="E49" s="59" t="s">
        <v>92</v>
      </c>
      <c r="F49" s="15">
        <v>400.0</v>
      </c>
      <c r="G49" s="13">
        <v>409.12</v>
      </c>
      <c r="H49" s="17">
        <v>0.0</v>
      </c>
      <c r="I49" s="15">
        <f t="shared" si="1"/>
        <v>9.12</v>
      </c>
      <c r="J49" s="18">
        <f t="shared" si="9"/>
        <v>2.28</v>
      </c>
      <c r="K49" s="17">
        <v>2.71</v>
      </c>
      <c r="L49" s="19">
        <f t="shared" si="3"/>
        <v>0</v>
      </c>
      <c r="M49" s="20">
        <f t="shared" si="4"/>
        <v>267.976995</v>
      </c>
      <c r="N49" s="21">
        <f>(F49*K49-H49*2.45)/F49</f>
        <v>2.71</v>
      </c>
      <c r="O49" s="21">
        <f t="shared" si="6"/>
        <v>1084</v>
      </c>
      <c r="P49" s="22">
        <f t="shared" si="7"/>
        <v>107190.798</v>
      </c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45921.0</v>
      </c>
      <c r="C50" s="12">
        <f>VLOOKUP(B:B,'Курс валют'!A:D,4,0)</f>
        <v>98.8845</v>
      </c>
      <c r="D50" s="13" t="s">
        <v>1965</v>
      </c>
      <c r="E50" s="59" t="s">
        <v>64</v>
      </c>
      <c r="F50" s="15">
        <v>2200.0</v>
      </c>
      <c r="G50" s="13">
        <v>2250.14</v>
      </c>
      <c r="H50" s="58">
        <v>0.0</v>
      </c>
      <c r="I50" s="15">
        <f t="shared" si="1"/>
        <v>50.14</v>
      </c>
      <c r="J50" s="18">
        <f t="shared" si="9"/>
        <v>2.279090909</v>
      </c>
      <c r="K50" s="17">
        <v>2.42</v>
      </c>
      <c r="L50" s="19">
        <f t="shared" si="3"/>
        <v>0</v>
      </c>
      <c r="M50" s="20">
        <f t="shared" si="4"/>
        <v>239.30049</v>
      </c>
      <c r="N50" s="21">
        <f t="shared" ref="N50:N102" si="10">(F50*K50-H50*3.04)/F50</f>
        <v>2.42</v>
      </c>
      <c r="O50" s="21">
        <f t="shared" si="6"/>
        <v>5324</v>
      </c>
      <c r="P50" s="22">
        <f t="shared" si="7"/>
        <v>526461.078</v>
      </c>
      <c r="R50" s="23"/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45921.0</v>
      </c>
      <c r="C51" s="12">
        <f>VLOOKUP(B:B,'Курс валют'!A:D,4,0)</f>
        <v>98.8845</v>
      </c>
      <c r="D51" s="13" t="s">
        <v>1966</v>
      </c>
      <c r="E51" s="59" t="s">
        <v>1967</v>
      </c>
      <c r="F51" s="15">
        <v>1598.0</v>
      </c>
      <c r="G51" s="13">
        <v>1598.0</v>
      </c>
      <c r="H51" s="58">
        <v>0.0</v>
      </c>
      <c r="I51" s="15">
        <f t="shared" si="1"/>
        <v>0</v>
      </c>
      <c r="J51" s="18">
        <f t="shared" si="9"/>
        <v>0</v>
      </c>
      <c r="K51" s="17">
        <v>1.96</v>
      </c>
      <c r="L51" s="19">
        <f t="shared" si="3"/>
        <v>0</v>
      </c>
      <c r="M51" s="20">
        <f t="shared" si="4"/>
        <v>193.81362</v>
      </c>
      <c r="N51" s="21">
        <f t="shared" si="10"/>
        <v>1.96</v>
      </c>
      <c r="O51" s="21">
        <f t="shared" si="6"/>
        <v>3132.08</v>
      </c>
      <c r="P51" s="22">
        <f t="shared" si="7"/>
        <v>309714.1648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45922.0</v>
      </c>
      <c r="C52" s="12">
        <f>VLOOKUP(B:B,'Курс валют'!A:D,4,0)</f>
        <v>98.8845</v>
      </c>
      <c r="D52" s="13" t="s">
        <v>1968</v>
      </c>
      <c r="E52" s="59" t="s">
        <v>64</v>
      </c>
      <c r="F52" s="15">
        <v>2200.0</v>
      </c>
      <c r="G52" s="13">
        <v>2224.0</v>
      </c>
      <c r="H52" s="58">
        <v>0.0</v>
      </c>
      <c r="I52" s="15">
        <f t="shared" si="1"/>
        <v>24</v>
      </c>
      <c r="J52" s="18">
        <f t="shared" si="9"/>
        <v>1.090909091</v>
      </c>
      <c r="K52" s="17">
        <v>2.3</v>
      </c>
      <c r="L52" s="19">
        <f t="shared" si="3"/>
        <v>0</v>
      </c>
      <c r="M52" s="20">
        <f t="shared" si="4"/>
        <v>227.43435</v>
      </c>
      <c r="N52" s="21">
        <f t="shared" si="10"/>
        <v>2.3</v>
      </c>
      <c r="O52" s="21">
        <f t="shared" si="6"/>
        <v>5060</v>
      </c>
      <c r="P52" s="22">
        <f t="shared" si="7"/>
        <v>500355.57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45922.0</v>
      </c>
      <c r="C53" s="12">
        <f>VLOOKUP(B:B,'Курс валют'!A:D,4,0)</f>
        <v>98.8845</v>
      </c>
      <c r="D53" s="13" t="s">
        <v>1969</v>
      </c>
      <c r="E53" s="59" t="s">
        <v>54</v>
      </c>
      <c r="F53" s="15">
        <v>8000.0</v>
      </c>
      <c r="G53" s="13">
        <v>8107.13</v>
      </c>
      <c r="H53" s="58">
        <v>0.0</v>
      </c>
      <c r="I53" s="15">
        <f t="shared" si="1"/>
        <v>107.13</v>
      </c>
      <c r="J53" s="18">
        <f t="shared" si="9"/>
        <v>1.339125</v>
      </c>
      <c r="K53" s="17">
        <v>1.93</v>
      </c>
      <c r="L53" s="19">
        <f t="shared" si="3"/>
        <v>0</v>
      </c>
      <c r="M53" s="20">
        <f t="shared" si="4"/>
        <v>190.847085</v>
      </c>
      <c r="N53" s="21">
        <f t="shared" si="10"/>
        <v>1.93</v>
      </c>
      <c r="O53" s="21">
        <f t="shared" si="6"/>
        <v>15440</v>
      </c>
      <c r="P53" s="22">
        <f t="shared" si="7"/>
        <v>1526776.68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45922.0</v>
      </c>
      <c r="C54" s="12">
        <f>VLOOKUP(B:B,'Курс валют'!A:D,4,0)</f>
        <v>98.8845</v>
      </c>
      <c r="D54" s="13" t="s">
        <v>1970</v>
      </c>
      <c r="E54" s="59" t="s">
        <v>63</v>
      </c>
      <c r="F54" s="15">
        <v>2250.0</v>
      </c>
      <c r="G54" s="13">
        <v>2269.85</v>
      </c>
      <c r="H54" s="58">
        <v>907.0</v>
      </c>
      <c r="I54" s="15">
        <f t="shared" si="1"/>
        <v>19.85</v>
      </c>
      <c r="J54" s="18">
        <f t="shared" si="9"/>
        <v>0.8822222222</v>
      </c>
      <c r="K54" s="17">
        <v>3.17</v>
      </c>
      <c r="L54" s="19">
        <f t="shared" si="3"/>
        <v>40.31111111</v>
      </c>
      <c r="M54" s="20">
        <f t="shared" si="4"/>
        <v>192.2850854</v>
      </c>
      <c r="N54" s="21">
        <f t="shared" si="10"/>
        <v>1.944542222</v>
      </c>
      <c r="O54" s="21">
        <f t="shared" si="6"/>
        <v>4375.22</v>
      </c>
      <c r="P54" s="22">
        <f t="shared" si="7"/>
        <v>432641.4421</v>
      </c>
      <c r="R54" s="31"/>
      <c r="S54" s="24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45923.0</v>
      </c>
      <c r="C55" s="12">
        <f>VLOOKUP(B:B,'Курс валют'!A:D,4,0)</f>
        <v>98.9638</v>
      </c>
      <c r="D55" s="13" t="s">
        <v>1971</v>
      </c>
      <c r="E55" s="59" t="s">
        <v>54</v>
      </c>
      <c r="F55" s="15">
        <v>8000.0</v>
      </c>
      <c r="G55" s="13">
        <v>8093.4</v>
      </c>
      <c r="H55" s="17">
        <v>0.0</v>
      </c>
      <c r="I55" s="15">
        <f t="shared" si="1"/>
        <v>93.4</v>
      </c>
      <c r="J55" s="18">
        <f t="shared" si="9"/>
        <v>1.1675</v>
      </c>
      <c r="K55" s="62">
        <v>1.93</v>
      </c>
      <c r="L55" s="19">
        <f t="shared" si="3"/>
        <v>0</v>
      </c>
      <c r="M55" s="20">
        <f t="shared" si="4"/>
        <v>191.000134</v>
      </c>
      <c r="N55" s="21">
        <f t="shared" si="10"/>
        <v>1.93</v>
      </c>
      <c r="O55" s="21">
        <f t="shared" si="6"/>
        <v>15440</v>
      </c>
      <c r="P55" s="22">
        <f t="shared" si="7"/>
        <v>1528001.072</v>
      </c>
      <c r="R55" s="31"/>
      <c r="S55" s="24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45924.0</v>
      </c>
      <c r="C56" s="12">
        <f>VLOOKUP(B:B,'Курс валют'!A:D,4,0)</f>
        <v>99.0363</v>
      </c>
      <c r="D56" s="13" t="s">
        <v>1972</v>
      </c>
      <c r="E56" s="59" t="s">
        <v>53</v>
      </c>
      <c r="F56" s="15">
        <v>6400.0</v>
      </c>
      <c r="G56" s="13">
        <v>6476.0</v>
      </c>
      <c r="H56" s="17">
        <v>0.0</v>
      </c>
      <c r="I56" s="15">
        <f t="shared" si="1"/>
        <v>76</v>
      </c>
      <c r="J56" s="18">
        <f t="shared" si="9"/>
        <v>1.1875</v>
      </c>
      <c r="K56" s="62">
        <v>2.04</v>
      </c>
      <c r="L56" s="19">
        <f t="shared" si="3"/>
        <v>0</v>
      </c>
      <c r="M56" s="20">
        <f t="shared" si="4"/>
        <v>202.034052</v>
      </c>
      <c r="N56" s="21">
        <f t="shared" si="10"/>
        <v>2.04</v>
      </c>
      <c r="O56" s="21">
        <f t="shared" si="6"/>
        <v>13056</v>
      </c>
      <c r="P56" s="22">
        <f t="shared" si="7"/>
        <v>1293017.933</v>
      </c>
      <c r="R56" s="31"/>
      <c r="S56" s="24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>
        <v>45925.0</v>
      </c>
      <c r="C57" s="12">
        <f>VLOOKUP(B:B,'Курс валют'!A:D,4,0)</f>
        <v>98.6015</v>
      </c>
      <c r="D57" s="13" t="s">
        <v>1973</v>
      </c>
      <c r="E57" s="59" t="s">
        <v>53</v>
      </c>
      <c r="F57" s="15">
        <v>6400.0</v>
      </c>
      <c r="G57" s="13">
        <v>6478.2</v>
      </c>
      <c r="H57" s="17">
        <v>0.0</v>
      </c>
      <c r="I57" s="15">
        <f t="shared" si="1"/>
        <v>78.2</v>
      </c>
      <c r="J57" s="18">
        <f t="shared" si="9"/>
        <v>1.221875</v>
      </c>
      <c r="K57" s="17">
        <v>2.05</v>
      </c>
      <c r="L57" s="19">
        <f t="shared" si="3"/>
        <v>0</v>
      </c>
      <c r="M57" s="20">
        <f t="shared" si="4"/>
        <v>202.133075</v>
      </c>
      <c r="N57" s="21">
        <f t="shared" si="10"/>
        <v>2.05</v>
      </c>
      <c r="O57" s="21">
        <f t="shared" si="6"/>
        <v>13120</v>
      </c>
      <c r="P57" s="22">
        <f t="shared" si="7"/>
        <v>1293651.68</v>
      </c>
      <c r="R57" s="23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>
        <v>45925.0</v>
      </c>
      <c r="C58" s="12">
        <f>VLOOKUP(B:B,'Курс валют'!A:D,4,0)</f>
        <v>98.6015</v>
      </c>
      <c r="D58" s="13" t="s">
        <v>1974</v>
      </c>
      <c r="E58" s="64" t="s">
        <v>107</v>
      </c>
      <c r="F58" s="15">
        <v>2400.0</v>
      </c>
      <c r="G58" s="13">
        <v>2434.65</v>
      </c>
      <c r="H58" s="17">
        <v>0.0</v>
      </c>
      <c r="I58" s="15">
        <f t="shared" si="1"/>
        <v>34.65</v>
      </c>
      <c r="J58" s="18">
        <f t="shared" si="9"/>
        <v>1.44375</v>
      </c>
      <c r="K58" s="17">
        <v>2.66</v>
      </c>
      <c r="L58" s="19">
        <f t="shared" si="3"/>
        <v>0</v>
      </c>
      <c r="M58" s="20">
        <f t="shared" si="4"/>
        <v>262.27999</v>
      </c>
      <c r="N58" s="21">
        <f t="shared" si="10"/>
        <v>2.66</v>
      </c>
      <c r="O58" s="21">
        <f t="shared" si="6"/>
        <v>6384</v>
      </c>
      <c r="P58" s="22">
        <f t="shared" si="7"/>
        <v>629471.976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>
        <v>45926.0</v>
      </c>
      <c r="C59" s="12">
        <f>VLOOKUP(B:B,'Курс валют'!A:D,4,0)</f>
        <v>98.1542</v>
      </c>
      <c r="D59" s="13" t="s">
        <v>1975</v>
      </c>
      <c r="E59" s="64" t="s">
        <v>107</v>
      </c>
      <c r="F59" s="15">
        <v>2400.0</v>
      </c>
      <c r="G59" s="15">
        <v>2409.7</v>
      </c>
      <c r="H59" s="17">
        <v>0.0</v>
      </c>
      <c r="I59" s="15">
        <f t="shared" si="1"/>
        <v>9.7</v>
      </c>
      <c r="J59" s="18">
        <f t="shared" si="9"/>
        <v>0.4041666667</v>
      </c>
      <c r="K59" s="17">
        <v>2.63</v>
      </c>
      <c r="L59" s="19">
        <f t="shared" si="3"/>
        <v>0</v>
      </c>
      <c r="M59" s="20">
        <f t="shared" si="4"/>
        <v>258.145546</v>
      </c>
      <c r="N59" s="21">
        <f t="shared" si="10"/>
        <v>2.63</v>
      </c>
      <c r="O59" s="21">
        <f t="shared" si="6"/>
        <v>6312</v>
      </c>
      <c r="P59" s="22">
        <f t="shared" si="7"/>
        <v>619549.3104</v>
      </c>
      <c r="R59" s="31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>
        <v>45926.0</v>
      </c>
      <c r="C60" s="12">
        <f>VLOOKUP(B:B,'Курс валют'!A:D,4,0)</f>
        <v>98.1542</v>
      </c>
      <c r="D60" s="13" t="s">
        <v>1976</v>
      </c>
      <c r="E60" s="59" t="s">
        <v>53</v>
      </c>
      <c r="F60" s="15">
        <v>1600.0</v>
      </c>
      <c r="G60" s="15">
        <v>1619.1</v>
      </c>
      <c r="H60" s="17">
        <v>0.0</v>
      </c>
      <c r="I60" s="15">
        <f t="shared" si="1"/>
        <v>19.1</v>
      </c>
      <c r="J60" s="18">
        <f t="shared" si="9"/>
        <v>1.19375</v>
      </c>
      <c r="K60" s="17">
        <v>2.05</v>
      </c>
      <c r="L60" s="19">
        <f t="shared" si="3"/>
        <v>0</v>
      </c>
      <c r="M60" s="20">
        <f t="shared" si="4"/>
        <v>201.21611</v>
      </c>
      <c r="N60" s="21">
        <f t="shared" si="10"/>
        <v>2.05</v>
      </c>
      <c r="O60" s="21">
        <f t="shared" si="6"/>
        <v>3280</v>
      </c>
      <c r="P60" s="22">
        <f t="shared" si="7"/>
        <v>321945.776</v>
      </c>
      <c r="R60" s="31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45926.0</v>
      </c>
      <c r="C61" s="12">
        <f>VLOOKUP(B:B,'Курс валют'!A:D,4,0)</f>
        <v>98.1542</v>
      </c>
      <c r="D61" s="13" t="s">
        <v>1977</v>
      </c>
      <c r="E61" s="64" t="s">
        <v>61</v>
      </c>
      <c r="F61" s="15">
        <v>8800.0</v>
      </c>
      <c r="G61" s="15">
        <v>8902.0</v>
      </c>
      <c r="H61" s="17">
        <v>3688.0</v>
      </c>
      <c r="I61" s="15">
        <f t="shared" si="1"/>
        <v>102</v>
      </c>
      <c r="J61" s="18">
        <f t="shared" si="9"/>
        <v>1.159090909</v>
      </c>
      <c r="K61" s="17">
        <v>3.61</v>
      </c>
      <c r="L61" s="19">
        <f t="shared" si="3"/>
        <v>41.90909091</v>
      </c>
      <c r="M61" s="20">
        <f t="shared" si="4"/>
        <v>229.284642</v>
      </c>
      <c r="N61" s="21">
        <f t="shared" si="10"/>
        <v>2.335963636</v>
      </c>
      <c r="O61" s="21">
        <f t="shared" si="6"/>
        <v>20556.48</v>
      </c>
      <c r="P61" s="22">
        <f t="shared" si="7"/>
        <v>2017704.849</v>
      </c>
      <c r="R61" s="23"/>
      <c r="S61" s="24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>
        <v>45927.0</v>
      </c>
      <c r="C62" s="12">
        <f>VLOOKUP(B:B,'Курс валют'!A:D,4,0)</f>
        <v>97.6823</v>
      </c>
      <c r="D62" s="13" t="s">
        <v>1978</v>
      </c>
      <c r="E62" s="64" t="s">
        <v>107</v>
      </c>
      <c r="F62" s="15">
        <v>720.0</v>
      </c>
      <c r="G62" s="15">
        <v>748.2</v>
      </c>
      <c r="H62" s="17">
        <v>0.0</v>
      </c>
      <c r="I62" s="15">
        <f t="shared" si="1"/>
        <v>28.2</v>
      </c>
      <c r="J62" s="18">
        <f t="shared" si="9"/>
        <v>3.916666667</v>
      </c>
      <c r="K62" s="17">
        <v>2.64</v>
      </c>
      <c r="L62" s="19">
        <f t="shared" si="3"/>
        <v>0</v>
      </c>
      <c r="M62" s="20">
        <f t="shared" si="4"/>
        <v>257.881272</v>
      </c>
      <c r="N62" s="21">
        <f t="shared" si="10"/>
        <v>2.64</v>
      </c>
      <c r="O62" s="21">
        <f t="shared" si="6"/>
        <v>1900.8</v>
      </c>
      <c r="P62" s="22">
        <f t="shared" si="7"/>
        <v>185674.5158</v>
      </c>
      <c r="R62" s="23" t="s">
        <v>1979</v>
      </c>
      <c r="S62" s="24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>
        <v>45927.0</v>
      </c>
      <c r="C63" s="12">
        <f>VLOOKUP(B:B,'Курс валют'!A:D,4,0)</f>
        <v>97.6823</v>
      </c>
      <c r="D63" s="13" t="s">
        <v>1980</v>
      </c>
      <c r="E63" s="64" t="s">
        <v>18</v>
      </c>
      <c r="F63" s="15">
        <v>11000.0</v>
      </c>
      <c r="G63" s="15">
        <v>11128.0</v>
      </c>
      <c r="H63" s="17">
        <v>5073.0</v>
      </c>
      <c r="I63" s="15">
        <f t="shared" si="1"/>
        <v>128</v>
      </c>
      <c r="J63" s="18">
        <f t="shared" si="9"/>
        <v>1.163636364</v>
      </c>
      <c r="K63" s="17">
        <v>3.66</v>
      </c>
      <c r="L63" s="19">
        <f t="shared" si="3"/>
        <v>46.11818182</v>
      </c>
      <c r="M63" s="20">
        <f t="shared" si="4"/>
        <v>220.5673438</v>
      </c>
      <c r="N63" s="21">
        <f t="shared" si="10"/>
        <v>2.258007273</v>
      </c>
      <c r="O63" s="21">
        <f t="shared" si="6"/>
        <v>24838.08</v>
      </c>
      <c r="P63" s="22">
        <f t="shared" si="7"/>
        <v>2426240.782</v>
      </c>
      <c r="R63" s="23"/>
      <c r="S63" s="24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>
        <v>45927.0</v>
      </c>
      <c r="C64" s="12">
        <f>VLOOKUP(B:B,'Курс валют'!A:D,4,0)</f>
        <v>97.6823</v>
      </c>
      <c r="D64" s="13" t="s">
        <v>1981</v>
      </c>
      <c r="E64" s="64" t="s">
        <v>18</v>
      </c>
      <c r="F64" s="15">
        <v>660.0</v>
      </c>
      <c r="G64" s="15">
        <v>668.6</v>
      </c>
      <c r="H64" s="17">
        <v>305.0</v>
      </c>
      <c r="I64" s="15">
        <f t="shared" si="1"/>
        <v>8.6</v>
      </c>
      <c r="J64" s="18">
        <f t="shared" si="9"/>
        <v>1.303030303</v>
      </c>
      <c r="K64" s="17">
        <v>3.66</v>
      </c>
      <c r="L64" s="19">
        <f t="shared" si="3"/>
        <v>46.21212121</v>
      </c>
      <c r="M64" s="20">
        <f t="shared" si="4"/>
        <v>220.2883868</v>
      </c>
      <c r="N64" s="21">
        <f t="shared" si="10"/>
        <v>2.255151515</v>
      </c>
      <c r="O64" s="21">
        <f t="shared" si="6"/>
        <v>1488.4</v>
      </c>
      <c r="P64" s="22">
        <f t="shared" si="7"/>
        <v>145390.3353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>
        <v>45928.0</v>
      </c>
      <c r="C65" s="12">
        <f>VLOOKUP(B:B,'Курс валют'!A:D,4,0)</f>
        <v>97.6823</v>
      </c>
      <c r="D65" s="13" t="s">
        <v>1982</v>
      </c>
      <c r="E65" s="64" t="s">
        <v>63</v>
      </c>
      <c r="F65" s="15">
        <v>2250.0</v>
      </c>
      <c r="G65" s="15">
        <v>2275.53</v>
      </c>
      <c r="H65" s="17">
        <v>908.0</v>
      </c>
      <c r="I65" s="15">
        <f t="shared" si="1"/>
        <v>25.53</v>
      </c>
      <c r="J65" s="18">
        <f t="shared" si="9"/>
        <v>1.134666667</v>
      </c>
      <c r="K65" s="17">
        <v>3.21</v>
      </c>
      <c r="L65" s="19">
        <f t="shared" si="3"/>
        <v>40.35555556</v>
      </c>
      <c r="M65" s="20">
        <f t="shared" si="4"/>
        <v>193.7226691</v>
      </c>
      <c r="N65" s="21">
        <f t="shared" si="10"/>
        <v>1.983191111</v>
      </c>
      <c r="O65" s="21">
        <f t="shared" si="6"/>
        <v>4462.18</v>
      </c>
      <c r="P65" s="22">
        <f t="shared" si="7"/>
        <v>435876.0054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>
        <v>45928.0</v>
      </c>
      <c r="C66" s="12">
        <f>VLOOKUP(B:B,'Курс валют'!A:D,4,0)</f>
        <v>97.6823</v>
      </c>
      <c r="D66" s="13" t="s">
        <v>1983</v>
      </c>
      <c r="E66" s="64" t="s">
        <v>18</v>
      </c>
      <c r="F66" s="15">
        <v>6600.0</v>
      </c>
      <c r="G66" s="15">
        <v>6676.8</v>
      </c>
      <c r="H66" s="17">
        <v>2739.42</v>
      </c>
      <c r="I66" s="15">
        <f t="shared" si="1"/>
        <v>76.8</v>
      </c>
      <c r="J66" s="18">
        <f t="shared" si="9"/>
        <v>1.163636364</v>
      </c>
      <c r="K66" s="17">
        <v>3.56</v>
      </c>
      <c r="L66" s="19">
        <f t="shared" si="3"/>
        <v>41.50636364</v>
      </c>
      <c r="M66" s="20">
        <f t="shared" si="4"/>
        <v>224.4941012</v>
      </c>
      <c r="N66" s="21">
        <f t="shared" si="10"/>
        <v>2.298206545</v>
      </c>
      <c r="O66" s="21">
        <f t="shared" si="6"/>
        <v>15168.1632</v>
      </c>
      <c r="P66" s="22">
        <f t="shared" si="7"/>
        <v>1481661.068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>
        <v>45929.0</v>
      </c>
      <c r="C67" s="12">
        <f>VLOOKUP(B:B,'Курс валют'!A:D,4,0)</f>
        <v>97.6823</v>
      </c>
      <c r="D67" s="13" t="s">
        <v>1984</v>
      </c>
      <c r="E67" s="64" t="s">
        <v>18</v>
      </c>
      <c r="F67" s="15">
        <v>8800.0</v>
      </c>
      <c r="G67" s="15">
        <v>8902.4</v>
      </c>
      <c r="H67" s="17">
        <v>4058.4</v>
      </c>
      <c r="I67" s="15">
        <f t="shared" si="1"/>
        <v>102.4</v>
      </c>
      <c r="J67" s="18">
        <f t="shared" si="9"/>
        <v>1.163636364</v>
      </c>
      <c r="K67" s="17">
        <v>3.56</v>
      </c>
      <c r="L67" s="19">
        <f t="shared" si="3"/>
        <v>46.11818182</v>
      </c>
      <c r="M67" s="20">
        <f t="shared" si="4"/>
        <v>210.7991138</v>
      </c>
      <c r="N67" s="21">
        <f t="shared" si="10"/>
        <v>2.158007273</v>
      </c>
      <c r="O67" s="21">
        <f t="shared" si="6"/>
        <v>18990.464</v>
      </c>
      <c r="P67" s="22">
        <f t="shared" si="7"/>
        <v>1855032.202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>
        <v>45930.0</v>
      </c>
      <c r="C68" s="12">
        <f>VLOOKUP(B:B,'Курс валют'!A:D,4,0)</f>
        <v>97.141</v>
      </c>
      <c r="D68" s="13" t="s">
        <v>1985</v>
      </c>
      <c r="E68" s="64" t="s">
        <v>18</v>
      </c>
      <c r="F68" s="15">
        <v>3300.0</v>
      </c>
      <c r="G68" s="15">
        <v>3338.4</v>
      </c>
      <c r="H68" s="17">
        <v>1521.9</v>
      </c>
      <c r="I68" s="15">
        <f t="shared" si="1"/>
        <v>38.4</v>
      </c>
      <c r="J68" s="18">
        <f t="shared" si="9"/>
        <v>1.163636364</v>
      </c>
      <c r="K68" s="17">
        <v>3.54</v>
      </c>
      <c r="L68" s="19">
        <f t="shared" si="3"/>
        <v>46.11818182</v>
      </c>
      <c r="M68" s="20">
        <f t="shared" si="4"/>
        <v>207.6881645</v>
      </c>
      <c r="N68" s="21">
        <f t="shared" si="10"/>
        <v>2.138007273</v>
      </c>
      <c r="O68" s="21">
        <f t="shared" si="6"/>
        <v>7055.424</v>
      </c>
      <c r="P68" s="22">
        <f t="shared" si="7"/>
        <v>685370.9428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30"/>
      <c r="B69" s="11">
        <v>45930.0</v>
      </c>
      <c r="C69" s="12">
        <f>VLOOKUP(B:B,'Курс валют'!A:D,4,0)</f>
        <v>97.141</v>
      </c>
      <c r="D69" s="13" t="s">
        <v>1986</v>
      </c>
      <c r="E69" s="64" t="s">
        <v>1951</v>
      </c>
      <c r="F69" s="15">
        <v>720.0</v>
      </c>
      <c r="G69" s="15">
        <v>727.2</v>
      </c>
      <c r="H69" s="17">
        <v>0.0</v>
      </c>
      <c r="I69" s="15">
        <f t="shared" si="1"/>
        <v>7.2</v>
      </c>
      <c r="J69" s="18">
        <f t="shared" si="9"/>
        <v>1</v>
      </c>
      <c r="K69" s="17">
        <v>1.93</v>
      </c>
      <c r="L69" s="19">
        <f t="shared" si="3"/>
        <v>0</v>
      </c>
      <c r="M69" s="20">
        <f t="shared" si="4"/>
        <v>187.48213</v>
      </c>
      <c r="N69" s="21">
        <f t="shared" si="10"/>
        <v>1.93</v>
      </c>
      <c r="O69" s="21">
        <f t="shared" si="6"/>
        <v>1389.6</v>
      </c>
      <c r="P69" s="22">
        <f t="shared" si="7"/>
        <v>134987.1336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/>
      <c r="B70" s="11">
        <v>45930.0</v>
      </c>
      <c r="C70" s="12">
        <f>VLOOKUP(B:B,'Курс валют'!A:D,4,0)</f>
        <v>97.141</v>
      </c>
      <c r="D70" s="13" t="s">
        <v>1987</v>
      </c>
      <c r="E70" s="77" t="s">
        <v>18</v>
      </c>
      <c r="F70" s="15">
        <v>220.0</v>
      </c>
      <c r="G70" s="15">
        <v>223.6</v>
      </c>
      <c r="H70" s="17">
        <v>84.3</v>
      </c>
      <c r="I70" s="15">
        <f t="shared" si="1"/>
        <v>3.6</v>
      </c>
      <c r="J70" s="18">
        <f t="shared" si="9"/>
        <v>1.636363636</v>
      </c>
      <c r="K70" s="17">
        <v>3.54</v>
      </c>
      <c r="L70" s="19">
        <f t="shared" si="3"/>
        <v>38.31818182</v>
      </c>
      <c r="M70" s="20">
        <f t="shared" si="4"/>
        <v>230.7222384</v>
      </c>
      <c r="N70" s="21">
        <f t="shared" si="10"/>
        <v>2.375127273</v>
      </c>
      <c r="O70" s="21">
        <f t="shared" si="6"/>
        <v>522.528</v>
      </c>
      <c r="P70" s="22">
        <f t="shared" si="7"/>
        <v>50758.89245</v>
      </c>
      <c r="R70" s="23" t="s">
        <v>1988</v>
      </c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63"/>
      <c r="B71" s="11">
        <v>45930.0</v>
      </c>
      <c r="C71" s="12">
        <f>VLOOKUP(B:B,'Курс валют'!A:D,4,0)</f>
        <v>97.141</v>
      </c>
      <c r="D71" s="13" t="s">
        <v>1989</v>
      </c>
      <c r="E71" s="64" t="s">
        <v>1990</v>
      </c>
      <c r="F71" s="15">
        <v>5500.0</v>
      </c>
      <c r="G71" s="15">
        <v>5563.65</v>
      </c>
      <c r="H71" s="17">
        <v>2305.0</v>
      </c>
      <c r="I71" s="15">
        <f t="shared" si="1"/>
        <v>63.65</v>
      </c>
      <c r="J71" s="18">
        <f t="shared" si="9"/>
        <v>1.157272727</v>
      </c>
      <c r="K71" s="17">
        <v>3.55</v>
      </c>
      <c r="L71" s="19">
        <f t="shared" si="3"/>
        <v>41.90909091</v>
      </c>
      <c r="M71" s="20">
        <f t="shared" si="4"/>
        <v>221.0893836</v>
      </c>
      <c r="N71" s="21">
        <f t="shared" si="10"/>
        <v>2.275963636</v>
      </c>
      <c r="O71" s="21">
        <f t="shared" si="6"/>
        <v>12517.8</v>
      </c>
      <c r="P71" s="22">
        <f t="shared" si="7"/>
        <v>1215991.61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30"/>
      <c r="B72" s="11"/>
      <c r="C72" s="12" t="str">
        <f>VLOOKUP(B:B,'Курс валют'!A:D,4,0)</f>
        <v>#N/A</v>
      </c>
      <c r="D72" s="13"/>
      <c r="E72" s="64"/>
      <c r="F72" s="15"/>
      <c r="G72" s="15"/>
      <c r="H72" s="17"/>
      <c r="I72" s="15">
        <f t="shared" si="1"/>
        <v>0</v>
      </c>
      <c r="J72" s="18" t="str">
        <f t="shared" si="9"/>
        <v>#DIV/0!</v>
      </c>
      <c r="K72" s="17"/>
      <c r="L72" s="19" t="str">
        <f t="shared" si="3"/>
        <v>#DIV/0!</v>
      </c>
      <c r="M72" s="20" t="str">
        <f t="shared" si="4"/>
        <v>#DIV/0!</v>
      </c>
      <c r="N72" s="21" t="str">
        <f t="shared" si="10"/>
        <v>#DIV/0!</v>
      </c>
      <c r="O72" s="21" t="str">
        <f t="shared" si="6"/>
        <v>#DIV/0!</v>
      </c>
      <c r="P72" s="22" t="str">
        <f t="shared" si="7"/>
        <v>#DIV/0!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63"/>
      <c r="B73" s="11"/>
      <c r="C73" s="12" t="str">
        <f>VLOOKUP(B:B,'Курс валют'!A:D,4,0)</f>
        <v>#N/A</v>
      </c>
      <c r="D73" s="13"/>
      <c r="E73" s="64"/>
      <c r="F73" s="15"/>
      <c r="G73" s="15"/>
      <c r="H73" s="17"/>
      <c r="I73" s="15">
        <f t="shared" si="1"/>
        <v>0</v>
      </c>
      <c r="J73" s="18" t="str">
        <f t="shared" si="9"/>
        <v>#DIV/0!</v>
      </c>
      <c r="K73" s="17"/>
      <c r="L73" s="19" t="str">
        <f t="shared" si="3"/>
        <v>#DIV/0!</v>
      </c>
      <c r="M73" s="20" t="str">
        <f t="shared" si="4"/>
        <v>#DIV/0!</v>
      </c>
      <c r="N73" s="21" t="str">
        <f t="shared" si="10"/>
        <v>#DIV/0!</v>
      </c>
      <c r="O73" s="21" t="str">
        <f t="shared" si="6"/>
        <v>#DIV/0!</v>
      </c>
      <c r="P73" s="22" t="str">
        <f t="shared" si="7"/>
        <v>#DIV/0!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/>
      <c r="B74" s="11"/>
      <c r="C74" s="12" t="str">
        <f>VLOOKUP(B:B,'Курс валют'!A:D,4,0)</f>
        <v>#N/A</v>
      </c>
      <c r="D74" s="13"/>
      <c r="E74" s="64"/>
      <c r="F74" s="15"/>
      <c r="G74" s="15"/>
      <c r="H74" s="17"/>
      <c r="I74" s="15">
        <f t="shared" si="1"/>
        <v>0</v>
      </c>
      <c r="J74" s="18" t="str">
        <f t="shared" si="9"/>
        <v>#DIV/0!</v>
      </c>
      <c r="K74" s="17"/>
      <c r="L74" s="19" t="str">
        <f t="shared" si="3"/>
        <v>#DIV/0!</v>
      </c>
      <c r="M74" s="20" t="str">
        <f t="shared" si="4"/>
        <v>#DIV/0!</v>
      </c>
      <c r="N74" s="21" t="str">
        <f t="shared" si="10"/>
        <v>#DIV/0!</v>
      </c>
      <c r="O74" s="21" t="str">
        <f t="shared" si="6"/>
        <v>#DIV/0!</v>
      </c>
      <c r="P74" s="22" t="str">
        <f t="shared" si="7"/>
        <v>#DIV/0!</v>
      </c>
      <c r="R74" s="79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/>
      <c r="B75" s="11"/>
      <c r="C75" s="12" t="str">
        <f>VLOOKUP(B:B,'Курс валют'!A:D,4,0)</f>
        <v>#N/A</v>
      </c>
      <c r="D75" s="13"/>
      <c r="E75" s="64"/>
      <c r="F75" s="15"/>
      <c r="G75" s="15"/>
      <c r="H75" s="17"/>
      <c r="I75" s="15">
        <f t="shared" si="1"/>
        <v>0</v>
      </c>
      <c r="J75" s="18" t="str">
        <f t="shared" si="9"/>
        <v>#DIV/0!</v>
      </c>
      <c r="K75" s="17"/>
      <c r="L75" s="19" t="str">
        <f t="shared" si="3"/>
        <v>#DIV/0!</v>
      </c>
      <c r="M75" s="20" t="str">
        <f t="shared" si="4"/>
        <v>#DIV/0!</v>
      </c>
      <c r="N75" s="21" t="str">
        <f t="shared" si="10"/>
        <v>#DIV/0!</v>
      </c>
      <c r="O75" s="21" t="str">
        <f t="shared" si="6"/>
        <v>#DIV/0!</v>
      </c>
      <c r="P75" s="22" t="str">
        <f t="shared" si="7"/>
        <v>#DIV/0!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63"/>
      <c r="B76" s="11"/>
      <c r="C76" s="12" t="str">
        <f>VLOOKUP(B:B,'Курс валют'!A:D,4,0)</f>
        <v>#N/A</v>
      </c>
      <c r="D76" s="13"/>
      <c r="E76" s="64"/>
      <c r="F76" s="15"/>
      <c r="G76" s="15"/>
      <c r="H76" s="17"/>
      <c r="I76" s="15">
        <f t="shared" si="1"/>
        <v>0</v>
      </c>
      <c r="J76" s="18" t="str">
        <f t="shared" si="9"/>
        <v>#DIV/0!</v>
      </c>
      <c r="K76" s="17"/>
      <c r="L76" s="19" t="str">
        <f t="shared" si="3"/>
        <v>#DIV/0!</v>
      </c>
      <c r="M76" s="20" t="str">
        <f t="shared" si="4"/>
        <v>#DIV/0!</v>
      </c>
      <c r="N76" s="21" t="str">
        <f t="shared" si="10"/>
        <v>#DIV/0!</v>
      </c>
      <c r="O76" s="21" t="str">
        <f t="shared" si="6"/>
        <v>#DIV/0!</v>
      </c>
      <c r="P76" s="22" t="str">
        <f t="shared" si="7"/>
        <v>#DIV/0!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/>
      <c r="C77" s="12" t="str">
        <f>VLOOKUP(B:B,'Курс валют'!A:D,4,0)</f>
        <v>#N/A</v>
      </c>
      <c r="D77" s="13"/>
      <c r="E77" s="64"/>
      <c r="F77" s="15"/>
      <c r="G77" s="15"/>
      <c r="H77" s="17"/>
      <c r="I77" s="15">
        <f t="shared" si="1"/>
        <v>0</v>
      </c>
      <c r="J77" s="18" t="str">
        <f t="shared" si="9"/>
        <v>#DIV/0!</v>
      </c>
      <c r="K77" s="17"/>
      <c r="L77" s="19" t="str">
        <f t="shared" si="3"/>
        <v>#DIV/0!</v>
      </c>
      <c r="M77" s="20" t="str">
        <f t="shared" si="4"/>
        <v>#DIV/0!</v>
      </c>
      <c r="N77" s="21" t="str">
        <f t="shared" si="10"/>
        <v>#DIV/0!</v>
      </c>
      <c r="O77" s="21" t="str">
        <f t="shared" si="6"/>
        <v>#DIV/0!</v>
      </c>
      <c r="P77" s="22" t="str">
        <f t="shared" si="7"/>
        <v>#DIV/0!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63"/>
      <c r="B78" s="11"/>
      <c r="C78" s="12" t="str">
        <f>VLOOKUP(B:B,'Курс валют'!A:D,4,0)</f>
        <v>#N/A</v>
      </c>
      <c r="D78" s="13"/>
      <c r="E78" s="64"/>
      <c r="F78" s="15"/>
      <c r="G78" s="15"/>
      <c r="H78" s="17"/>
      <c r="I78" s="15">
        <f t="shared" si="1"/>
        <v>0</v>
      </c>
      <c r="J78" s="18" t="str">
        <f t="shared" si="9"/>
        <v>#DIV/0!</v>
      </c>
      <c r="K78" s="17"/>
      <c r="L78" s="19" t="str">
        <f t="shared" si="3"/>
        <v>#DIV/0!</v>
      </c>
      <c r="M78" s="20" t="str">
        <f t="shared" si="4"/>
        <v>#DIV/0!</v>
      </c>
      <c r="N78" s="21" t="str">
        <f t="shared" si="10"/>
        <v>#DIV/0!</v>
      </c>
      <c r="O78" s="21" t="str">
        <f t="shared" si="6"/>
        <v>#DIV/0!</v>
      </c>
      <c r="P78" s="22" t="str">
        <f t="shared" si="7"/>
        <v>#DIV/0!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/>
      <c r="C79" s="12" t="str">
        <f>VLOOKUP(B:B,'Курс валют'!A:D,4,0)</f>
        <v>#N/A</v>
      </c>
      <c r="D79" s="13"/>
      <c r="E79" s="64"/>
      <c r="F79" s="15"/>
      <c r="G79" s="15"/>
      <c r="H79" s="17"/>
      <c r="I79" s="15">
        <f t="shared" si="1"/>
        <v>0</v>
      </c>
      <c r="J79" s="18" t="str">
        <f t="shared" si="9"/>
        <v>#DIV/0!</v>
      </c>
      <c r="K79" s="17"/>
      <c r="L79" s="19" t="str">
        <f t="shared" si="3"/>
        <v>#DIV/0!</v>
      </c>
      <c r="M79" s="20" t="str">
        <f t="shared" si="4"/>
        <v>#DIV/0!</v>
      </c>
      <c r="N79" s="21" t="str">
        <f t="shared" si="10"/>
        <v>#DIV/0!</v>
      </c>
      <c r="O79" s="21" t="str">
        <f t="shared" si="6"/>
        <v>#DIV/0!</v>
      </c>
      <c r="P79" s="22" t="str">
        <f t="shared" si="7"/>
        <v>#DIV/0!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/>
      <c r="C80" s="12" t="str">
        <f>VLOOKUP(B:B,'Курс валют'!A:D,4,0)</f>
        <v>#N/A</v>
      </c>
      <c r="D80" s="13"/>
      <c r="E80" s="64"/>
      <c r="F80" s="15"/>
      <c r="G80" s="15"/>
      <c r="H80" s="17"/>
      <c r="I80" s="15">
        <f t="shared" si="1"/>
        <v>0</v>
      </c>
      <c r="J80" s="18" t="str">
        <f t="shared" si="9"/>
        <v>#DIV/0!</v>
      </c>
      <c r="K80" s="17"/>
      <c r="L80" s="19" t="str">
        <f t="shared" si="3"/>
        <v>#DIV/0!</v>
      </c>
      <c r="M80" s="20" t="str">
        <f t="shared" si="4"/>
        <v>#DIV/0!</v>
      </c>
      <c r="N80" s="21" t="str">
        <f t="shared" si="10"/>
        <v>#DIV/0!</v>
      </c>
      <c r="O80" s="21" t="str">
        <f t="shared" si="6"/>
        <v>#DIV/0!</v>
      </c>
      <c r="P80" s="22" t="str">
        <f t="shared" si="7"/>
        <v>#DIV/0!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/>
      <c r="C81" s="12" t="str">
        <f>VLOOKUP(B:B,'Курс валют'!A:D,4,0)</f>
        <v>#N/A</v>
      </c>
      <c r="D81" s="13"/>
      <c r="E81" s="59"/>
      <c r="F81" s="15"/>
      <c r="G81" s="15"/>
      <c r="H81" s="17"/>
      <c r="I81" s="15">
        <f t="shared" si="1"/>
        <v>0</v>
      </c>
      <c r="J81" s="18" t="str">
        <f t="shared" si="9"/>
        <v>#DIV/0!</v>
      </c>
      <c r="K81" s="17"/>
      <c r="L81" s="19" t="str">
        <f t="shared" si="3"/>
        <v>#DIV/0!</v>
      </c>
      <c r="M81" s="20" t="str">
        <f t="shared" si="4"/>
        <v>#DIV/0!</v>
      </c>
      <c r="N81" s="21" t="str">
        <f t="shared" si="10"/>
        <v>#DIV/0!</v>
      </c>
      <c r="O81" s="21" t="str">
        <f t="shared" si="6"/>
        <v>#DIV/0!</v>
      </c>
      <c r="P81" s="22" t="str">
        <f t="shared" si="7"/>
        <v>#DIV/0!</v>
      </c>
      <c r="R81" s="79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/>
      <c r="C82" s="12" t="str">
        <f>VLOOKUP(B:B,'Курс валют'!A:D,4,0)</f>
        <v>#N/A</v>
      </c>
      <c r="D82" s="13"/>
      <c r="E82" s="59"/>
      <c r="F82" s="15"/>
      <c r="G82" s="15"/>
      <c r="H82" s="17"/>
      <c r="I82" s="15">
        <f t="shared" si="1"/>
        <v>0</v>
      </c>
      <c r="J82" s="18" t="str">
        <f t="shared" si="9"/>
        <v>#DIV/0!</v>
      </c>
      <c r="K82" s="17"/>
      <c r="L82" s="19" t="str">
        <f t="shared" si="3"/>
        <v>#DIV/0!</v>
      </c>
      <c r="M82" s="20" t="str">
        <f t="shared" si="4"/>
        <v>#DIV/0!</v>
      </c>
      <c r="N82" s="21" t="str">
        <f t="shared" si="10"/>
        <v>#DIV/0!</v>
      </c>
      <c r="O82" s="21" t="str">
        <f t="shared" si="6"/>
        <v>#DIV/0!</v>
      </c>
      <c r="P82" s="22" t="str">
        <f t="shared" si="7"/>
        <v>#DIV/0!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/>
      <c r="C83" s="12" t="str">
        <f>VLOOKUP(B:B,'Курс валют'!A:D,4,0)</f>
        <v>#N/A</v>
      </c>
      <c r="D83" s="13"/>
      <c r="E83" s="59"/>
      <c r="F83" s="15"/>
      <c r="G83" s="15"/>
      <c r="H83" s="17"/>
      <c r="I83" s="15">
        <f t="shared" si="1"/>
        <v>0</v>
      </c>
      <c r="J83" s="18" t="str">
        <f t="shared" si="9"/>
        <v>#DIV/0!</v>
      </c>
      <c r="K83" s="17"/>
      <c r="L83" s="19" t="str">
        <f t="shared" si="3"/>
        <v>#DIV/0!</v>
      </c>
      <c r="M83" s="20" t="str">
        <f t="shared" si="4"/>
        <v>#DIV/0!</v>
      </c>
      <c r="N83" s="21" t="str">
        <f t="shared" si="10"/>
        <v>#DIV/0!</v>
      </c>
      <c r="O83" s="21" t="str">
        <f t="shared" si="6"/>
        <v>#DIV/0!</v>
      </c>
      <c r="P83" s="22" t="str">
        <f t="shared" si="7"/>
        <v>#DIV/0!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/>
      <c r="C84" s="12" t="str">
        <f>VLOOKUP(B:B,'Курс валют'!A:D,4,0)</f>
        <v>#N/A</v>
      </c>
      <c r="D84" s="13"/>
      <c r="E84" s="59"/>
      <c r="F84" s="15"/>
      <c r="G84" s="15"/>
      <c r="H84" s="17"/>
      <c r="I84" s="15">
        <f t="shared" si="1"/>
        <v>0</v>
      </c>
      <c r="J84" s="18" t="str">
        <f t="shared" si="9"/>
        <v>#DIV/0!</v>
      </c>
      <c r="K84" s="17"/>
      <c r="L84" s="19" t="str">
        <f t="shared" si="3"/>
        <v>#DIV/0!</v>
      </c>
      <c r="M84" s="20" t="str">
        <f t="shared" si="4"/>
        <v>#DIV/0!</v>
      </c>
      <c r="N84" s="21" t="str">
        <f t="shared" si="10"/>
        <v>#DIV/0!</v>
      </c>
      <c r="O84" s="21" t="str">
        <f t="shared" si="6"/>
        <v>#DIV/0!</v>
      </c>
      <c r="P84" s="22" t="str">
        <f t="shared" si="7"/>
        <v>#DIV/0!</v>
      </c>
      <c r="R84" s="23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/>
      <c r="C85" s="12" t="str">
        <f>VLOOKUP(B:B,'Курс валют'!A:D,4,0)</f>
        <v>#N/A</v>
      </c>
      <c r="D85" s="13"/>
      <c r="E85" s="59"/>
      <c r="F85" s="15"/>
      <c r="G85" s="15"/>
      <c r="H85" s="17"/>
      <c r="I85" s="15">
        <f t="shared" si="1"/>
        <v>0</v>
      </c>
      <c r="J85" s="18" t="str">
        <f t="shared" si="9"/>
        <v>#DIV/0!</v>
      </c>
      <c r="K85" s="17"/>
      <c r="L85" s="19" t="str">
        <f t="shared" si="3"/>
        <v>#DIV/0!</v>
      </c>
      <c r="M85" s="20" t="str">
        <f t="shared" si="4"/>
        <v>#DIV/0!</v>
      </c>
      <c r="N85" s="21" t="str">
        <f t="shared" si="10"/>
        <v>#DIV/0!</v>
      </c>
      <c r="O85" s="21" t="str">
        <f t="shared" si="6"/>
        <v>#DIV/0!</v>
      </c>
      <c r="P85" s="22" t="str">
        <f t="shared" si="7"/>
        <v>#DIV/0!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/>
      <c r="C86" s="12" t="str">
        <f>VLOOKUP(B:B,'Курс валют'!A:D,4,0)</f>
        <v>#N/A</v>
      </c>
      <c r="D86" s="13"/>
      <c r="E86" s="59"/>
      <c r="F86" s="15"/>
      <c r="G86" s="15"/>
      <c r="H86" s="17"/>
      <c r="I86" s="15">
        <f t="shared" si="1"/>
        <v>0</v>
      </c>
      <c r="J86" s="18" t="str">
        <f t="shared" si="9"/>
        <v>#DIV/0!</v>
      </c>
      <c r="K86" s="17"/>
      <c r="L86" s="19" t="str">
        <f t="shared" si="3"/>
        <v>#DIV/0!</v>
      </c>
      <c r="M86" s="20" t="str">
        <f t="shared" si="4"/>
        <v>#DIV/0!</v>
      </c>
      <c r="N86" s="21" t="str">
        <f t="shared" si="10"/>
        <v>#DIV/0!</v>
      </c>
      <c r="O86" s="21" t="str">
        <f t="shared" si="6"/>
        <v>#DIV/0!</v>
      </c>
      <c r="P86" s="22" t="str">
        <f t="shared" si="7"/>
        <v>#DIV/0!</v>
      </c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/>
      <c r="C87" s="12" t="str">
        <f>VLOOKUP(B:B,'Курс валют'!A:D,4,0)</f>
        <v>#N/A</v>
      </c>
      <c r="D87" s="13"/>
      <c r="E87" s="59"/>
      <c r="F87" s="15"/>
      <c r="G87" s="15"/>
      <c r="H87" s="17"/>
      <c r="I87" s="15">
        <f t="shared" si="1"/>
        <v>0</v>
      </c>
      <c r="J87" s="18" t="str">
        <f t="shared" si="9"/>
        <v>#DIV/0!</v>
      </c>
      <c r="K87" s="17"/>
      <c r="L87" s="19" t="str">
        <f t="shared" si="3"/>
        <v>#DIV/0!</v>
      </c>
      <c r="M87" s="20" t="str">
        <f t="shared" si="4"/>
        <v>#DIV/0!</v>
      </c>
      <c r="N87" s="21" t="str">
        <f t="shared" si="10"/>
        <v>#DIV/0!</v>
      </c>
      <c r="O87" s="21" t="str">
        <f t="shared" si="6"/>
        <v>#DIV/0!</v>
      </c>
      <c r="P87" s="22" t="str">
        <f t="shared" si="7"/>
        <v>#DIV/0!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/>
      <c r="C88" s="12" t="str">
        <f>VLOOKUP(B:B,'Курс валют'!A:D,4,0)</f>
        <v>#N/A</v>
      </c>
      <c r="D88" s="13"/>
      <c r="E88" s="59"/>
      <c r="F88" s="15"/>
      <c r="G88" s="15"/>
      <c r="H88" s="17"/>
      <c r="I88" s="15">
        <f t="shared" si="1"/>
        <v>0</v>
      </c>
      <c r="J88" s="18" t="str">
        <f t="shared" si="9"/>
        <v>#DIV/0!</v>
      </c>
      <c r="K88" s="17"/>
      <c r="L88" s="19" t="str">
        <f t="shared" si="3"/>
        <v>#DIV/0!</v>
      </c>
      <c r="M88" s="20" t="str">
        <f t="shared" si="4"/>
        <v>#DIV/0!</v>
      </c>
      <c r="N88" s="21" t="str">
        <f t="shared" si="10"/>
        <v>#DIV/0!</v>
      </c>
      <c r="O88" s="21" t="str">
        <f t="shared" si="6"/>
        <v>#DIV/0!</v>
      </c>
      <c r="P88" s="22" t="str">
        <f t="shared" si="7"/>
        <v>#DIV/0!</v>
      </c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/>
      <c r="C89" s="12" t="str">
        <f>VLOOKUP(B:B,'Курс валют'!A:D,4,0)</f>
        <v>#N/A</v>
      </c>
      <c r="D89" s="13"/>
      <c r="E89" s="59"/>
      <c r="F89" s="15"/>
      <c r="G89" s="15"/>
      <c r="H89" s="17"/>
      <c r="I89" s="15">
        <f t="shared" si="1"/>
        <v>0</v>
      </c>
      <c r="J89" s="18" t="str">
        <f t="shared" si="9"/>
        <v>#DIV/0!</v>
      </c>
      <c r="K89" s="17"/>
      <c r="L89" s="19" t="str">
        <f t="shared" si="3"/>
        <v>#DIV/0!</v>
      </c>
      <c r="M89" s="20" t="str">
        <f t="shared" si="4"/>
        <v>#DIV/0!</v>
      </c>
      <c r="N89" s="21" t="str">
        <f t="shared" si="10"/>
        <v>#DIV/0!</v>
      </c>
      <c r="O89" s="21" t="str">
        <f t="shared" si="6"/>
        <v>#DIV/0!</v>
      </c>
      <c r="P89" s="22" t="str">
        <f t="shared" si="7"/>
        <v>#DIV/0!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/>
      <c r="C90" s="12" t="str">
        <f>VLOOKUP(B:B,'Курс валют'!A:D,4,0)</f>
        <v>#N/A</v>
      </c>
      <c r="D90" s="13"/>
      <c r="E90" s="59"/>
      <c r="F90" s="15"/>
      <c r="G90" s="15"/>
      <c r="H90" s="17"/>
      <c r="I90" s="15">
        <f t="shared" si="1"/>
        <v>0</v>
      </c>
      <c r="J90" s="18" t="str">
        <f t="shared" si="9"/>
        <v>#DIV/0!</v>
      </c>
      <c r="K90" s="17"/>
      <c r="L90" s="19" t="str">
        <f t="shared" si="3"/>
        <v>#DIV/0!</v>
      </c>
      <c r="M90" s="20" t="str">
        <f t="shared" si="4"/>
        <v>#DIV/0!</v>
      </c>
      <c r="N90" s="21" t="str">
        <f t="shared" si="10"/>
        <v>#DIV/0!</v>
      </c>
      <c r="O90" s="21" t="str">
        <f t="shared" si="6"/>
        <v>#DIV/0!</v>
      </c>
      <c r="P90" s="22" t="str">
        <f t="shared" si="7"/>
        <v>#DIV/0!</v>
      </c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/>
      <c r="C91" s="12" t="str">
        <f>VLOOKUP(B:B,'Курс валют'!A:D,4,0)</f>
        <v>#N/A</v>
      </c>
      <c r="D91" s="13"/>
      <c r="E91" s="59"/>
      <c r="F91" s="15"/>
      <c r="G91" s="15"/>
      <c r="H91" s="17"/>
      <c r="I91" s="15">
        <f t="shared" si="1"/>
        <v>0</v>
      </c>
      <c r="J91" s="18" t="str">
        <f t="shared" si="9"/>
        <v>#DIV/0!</v>
      </c>
      <c r="K91" s="17"/>
      <c r="L91" s="19" t="str">
        <f t="shared" si="3"/>
        <v>#DIV/0!</v>
      </c>
      <c r="M91" s="20" t="str">
        <f t="shared" si="4"/>
        <v>#DIV/0!</v>
      </c>
      <c r="N91" s="21" t="str">
        <f t="shared" si="10"/>
        <v>#DIV/0!</v>
      </c>
      <c r="O91" s="21" t="str">
        <f t="shared" si="6"/>
        <v>#DIV/0!</v>
      </c>
      <c r="P91" s="22" t="str">
        <f t="shared" si="7"/>
        <v>#DIV/0!</v>
      </c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/>
      <c r="C92" s="12" t="str">
        <f>VLOOKUP(B:B,'Курс валют'!A:D,4,0)</f>
        <v>#N/A</v>
      </c>
      <c r="D92" s="13"/>
      <c r="E92" s="59"/>
      <c r="F92" s="15"/>
      <c r="G92" s="15"/>
      <c r="H92" s="17"/>
      <c r="I92" s="15">
        <f t="shared" si="1"/>
        <v>0</v>
      </c>
      <c r="J92" s="18" t="str">
        <f t="shared" si="9"/>
        <v>#DIV/0!</v>
      </c>
      <c r="K92" s="17"/>
      <c r="L92" s="19" t="str">
        <f t="shared" si="3"/>
        <v>#DIV/0!</v>
      </c>
      <c r="M92" s="20" t="str">
        <f t="shared" si="4"/>
        <v>#DIV/0!</v>
      </c>
      <c r="N92" s="21" t="str">
        <f t="shared" si="10"/>
        <v>#DIV/0!</v>
      </c>
      <c r="O92" s="21" t="str">
        <f t="shared" si="6"/>
        <v>#DIV/0!</v>
      </c>
      <c r="P92" s="22" t="str">
        <f t="shared" si="7"/>
        <v>#DIV/0!</v>
      </c>
      <c r="R92" s="23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63"/>
      <c r="B93" s="11"/>
      <c r="C93" s="12" t="str">
        <f>VLOOKUP(B:B,'Курс валют'!A:D,4,0)</f>
        <v>#N/A</v>
      </c>
      <c r="D93" s="13"/>
      <c r="E93" s="59"/>
      <c r="F93" s="15"/>
      <c r="G93" s="15"/>
      <c r="H93" s="17"/>
      <c r="I93" s="15">
        <f t="shared" si="1"/>
        <v>0</v>
      </c>
      <c r="J93" s="18" t="str">
        <f t="shared" si="9"/>
        <v>#DIV/0!</v>
      </c>
      <c r="K93" s="17"/>
      <c r="L93" s="19" t="str">
        <f t="shared" si="3"/>
        <v>#DIV/0!</v>
      </c>
      <c r="M93" s="20" t="str">
        <f t="shared" si="4"/>
        <v>#DIV/0!</v>
      </c>
      <c r="N93" s="21" t="str">
        <f t="shared" si="10"/>
        <v>#DIV/0!</v>
      </c>
      <c r="O93" s="21" t="str">
        <f t="shared" si="6"/>
        <v>#DIV/0!</v>
      </c>
      <c r="P93" s="22" t="str">
        <f t="shared" si="7"/>
        <v>#DIV/0!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63"/>
      <c r="B94" s="11"/>
      <c r="C94" s="12" t="str">
        <f>VLOOKUP(B:B,'Курс валют'!A:D,4,0)</f>
        <v>#N/A</v>
      </c>
      <c r="D94" s="13"/>
      <c r="E94" s="59"/>
      <c r="F94" s="15"/>
      <c r="G94" s="15"/>
      <c r="H94" s="17"/>
      <c r="I94" s="15">
        <f t="shared" si="1"/>
        <v>0</v>
      </c>
      <c r="J94" s="18" t="str">
        <f t="shared" si="9"/>
        <v>#DIV/0!</v>
      </c>
      <c r="K94" s="17"/>
      <c r="L94" s="19" t="str">
        <f t="shared" si="3"/>
        <v>#DIV/0!</v>
      </c>
      <c r="M94" s="20" t="str">
        <f t="shared" si="4"/>
        <v>#DIV/0!</v>
      </c>
      <c r="N94" s="21" t="str">
        <f t="shared" si="10"/>
        <v>#DIV/0!</v>
      </c>
      <c r="O94" s="21" t="str">
        <f t="shared" si="6"/>
        <v>#DIV/0!</v>
      </c>
      <c r="P94" s="22" t="str">
        <f t="shared" si="7"/>
        <v>#DIV/0!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63"/>
      <c r="B95" s="11"/>
      <c r="C95" s="12" t="str">
        <f>VLOOKUP(B:B,'Курс валют'!A:D,4,0)</f>
        <v>#N/A</v>
      </c>
      <c r="D95" s="66"/>
      <c r="E95" s="67"/>
      <c r="F95" s="67"/>
      <c r="G95" s="67"/>
      <c r="H95" s="65"/>
      <c r="I95" s="15">
        <f t="shared" si="1"/>
        <v>0</v>
      </c>
      <c r="J95" s="18" t="str">
        <f t="shared" si="9"/>
        <v>#DIV/0!</v>
      </c>
      <c r="K95" s="65"/>
      <c r="L95" s="19" t="str">
        <f t="shared" si="3"/>
        <v>#DIV/0!</v>
      </c>
      <c r="M95" s="20" t="str">
        <f t="shared" si="4"/>
        <v>#DIV/0!</v>
      </c>
      <c r="N95" s="21" t="str">
        <f t="shared" si="10"/>
        <v>#DIV/0!</v>
      </c>
      <c r="O95" s="21" t="str">
        <f t="shared" si="6"/>
        <v>#DIV/0!</v>
      </c>
      <c r="P95" s="22" t="str">
        <f t="shared" si="7"/>
        <v>#DIV/0!</v>
      </c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12" t="str">
        <f>VLOOKUP(B:B,'Курс валют'!A:D,4,0)</f>
        <v>#N/A</v>
      </c>
      <c r="D96" s="66"/>
      <c r="E96" s="67"/>
      <c r="F96" s="67"/>
      <c r="G96" s="67"/>
      <c r="H96" s="65"/>
      <c r="I96" s="15">
        <f t="shared" si="1"/>
        <v>0</v>
      </c>
      <c r="J96" s="18" t="str">
        <f t="shared" si="9"/>
        <v>#DIV/0!</v>
      </c>
      <c r="K96" s="65"/>
      <c r="L96" s="19" t="str">
        <f t="shared" si="3"/>
        <v>#DIV/0!</v>
      </c>
      <c r="M96" s="20" t="str">
        <f t="shared" si="4"/>
        <v>#DIV/0!</v>
      </c>
      <c r="N96" s="21" t="str">
        <f t="shared" si="10"/>
        <v>#DIV/0!</v>
      </c>
      <c r="O96" s="21" t="str">
        <f t="shared" si="6"/>
        <v>#DIV/0!</v>
      </c>
      <c r="P96" s="22" t="str">
        <f t="shared" si="7"/>
        <v>#DIV/0!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12" t="str">
        <f>VLOOKUP(B:B,'Курс валют'!A:D,4,0)</f>
        <v>#N/A</v>
      </c>
      <c r="D97" s="66"/>
      <c r="E97" s="67"/>
      <c r="F97" s="67"/>
      <c r="G97" s="67"/>
      <c r="H97" s="65"/>
      <c r="I97" s="15">
        <f t="shared" si="1"/>
        <v>0</v>
      </c>
      <c r="J97" s="18" t="str">
        <f t="shared" si="9"/>
        <v>#DIV/0!</v>
      </c>
      <c r="K97" s="65"/>
      <c r="L97" s="19" t="str">
        <f t="shared" si="3"/>
        <v>#DIV/0!</v>
      </c>
      <c r="M97" s="20" t="str">
        <f t="shared" si="4"/>
        <v>#DIV/0!</v>
      </c>
      <c r="N97" s="21" t="str">
        <f t="shared" si="10"/>
        <v>#DIV/0!</v>
      </c>
      <c r="O97" s="21" t="str">
        <f t="shared" si="6"/>
        <v>#DIV/0!</v>
      </c>
      <c r="P97" s="22" t="str">
        <f t="shared" si="7"/>
        <v>#DIV/0!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12" t="str">
        <f>VLOOKUP(B:B,'Курс валют'!A:D,4,0)</f>
        <v>#N/A</v>
      </c>
      <c r="D98" s="66"/>
      <c r="E98" s="67"/>
      <c r="F98" s="67"/>
      <c r="G98" s="67"/>
      <c r="H98" s="65"/>
      <c r="I98" s="15">
        <f t="shared" si="1"/>
        <v>0</v>
      </c>
      <c r="J98" s="18" t="str">
        <f t="shared" si="9"/>
        <v>#DIV/0!</v>
      </c>
      <c r="K98" s="65"/>
      <c r="L98" s="19" t="str">
        <f t="shared" si="3"/>
        <v>#DIV/0!</v>
      </c>
      <c r="M98" s="20" t="str">
        <f t="shared" si="4"/>
        <v>#DIV/0!</v>
      </c>
      <c r="N98" s="21" t="str">
        <f t="shared" si="10"/>
        <v>#DIV/0!</v>
      </c>
      <c r="O98" s="21" t="str">
        <f t="shared" si="6"/>
        <v>#DIV/0!</v>
      </c>
      <c r="P98" s="22" t="str">
        <f t="shared" si="7"/>
        <v>#DIV/0!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12" t="str">
        <f>VLOOKUP(B:B,'Курс валют'!A:D,4,0)</f>
        <v>#N/A</v>
      </c>
      <c r="D99" s="66"/>
      <c r="E99" s="67"/>
      <c r="F99" s="67"/>
      <c r="G99" s="67"/>
      <c r="H99" s="65"/>
      <c r="I99" s="15">
        <f t="shared" si="1"/>
        <v>0</v>
      </c>
      <c r="J99" s="18" t="str">
        <f t="shared" si="9"/>
        <v>#DIV/0!</v>
      </c>
      <c r="K99" s="65"/>
      <c r="L99" s="19" t="str">
        <f t="shared" si="3"/>
        <v>#DIV/0!</v>
      </c>
      <c r="M99" s="20" t="str">
        <f t="shared" si="4"/>
        <v>#DIV/0!</v>
      </c>
      <c r="N99" s="21" t="str">
        <f t="shared" si="10"/>
        <v>#DIV/0!</v>
      </c>
      <c r="O99" s="21" t="str">
        <f t="shared" si="6"/>
        <v>#DIV/0!</v>
      </c>
      <c r="P99" s="22" t="str">
        <f t="shared" si="7"/>
        <v>#DIV/0!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12" t="str">
        <f>VLOOKUP(B:B,'Курс валют'!A:D,4,0)</f>
        <v>#N/A</v>
      </c>
      <c r="D100" s="66"/>
      <c r="E100" s="67"/>
      <c r="F100" s="67"/>
      <c r="G100" s="67"/>
      <c r="H100" s="65"/>
      <c r="I100" s="15">
        <f t="shared" si="1"/>
        <v>0</v>
      </c>
      <c r="J100" s="18" t="str">
        <f t="shared" si="9"/>
        <v>#DIV/0!</v>
      </c>
      <c r="K100" s="65"/>
      <c r="L100" s="19" t="str">
        <f t="shared" si="3"/>
        <v>#DIV/0!</v>
      </c>
      <c r="M100" s="20" t="str">
        <f t="shared" si="4"/>
        <v>#DIV/0!</v>
      </c>
      <c r="N100" s="21" t="str">
        <f t="shared" si="10"/>
        <v>#DIV/0!</v>
      </c>
      <c r="O100" s="21" t="str">
        <f t="shared" si="6"/>
        <v>#DIV/0!</v>
      </c>
      <c r="P100" s="22" t="str">
        <f t="shared" si="7"/>
        <v>#DIV/0!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12" t="str">
        <f>VLOOKUP(B:B,'Курс валют'!A:D,4,0)</f>
        <v>#N/A</v>
      </c>
      <c r="D101" s="66"/>
      <c r="E101" s="67"/>
      <c r="F101" s="67"/>
      <c r="G101" s="67"/>
      <c r="H101" s="65"/>
      <c r="I101" s="15">
        <f t="shared" si="1"/>
        <v>0</v>
      </c>
      <c r="J101" s="18" t="str">
        <f t="shared" si="9"/>
        <v>#DIV/0!</v>
      </c>
      <c r="K101" s="65"/>
      <c r="L101" s="19" t="str">
        <f t="shared" si="3"/>
        <v>#DIV/0!</v>
      </c>
      <c r="M101" s="20" t="str">
        <f t="shared" si="4"/>
        <v>#DIV/0!</v>
      </c>
      <c r="N101" s="21" t="str">
        <f t="shared" si="10"/>
        <v>#DIV/0!</v>
      </c>
      <c r="O101" s="21" t="str">
        <f t="shared" si="6"/>
        <v>#DIV/0!</v>
      </c>
      <c r="P101" s="22" t="str">
        <f t="shared" si="7"/>
        <v>#DIV/0!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12" t="str">
        <f>VLOOKUP(B:B,'Курс валют'!A:D,4,0)</f>
        <v>#N/A</v>
      </c>
      <c r="D102" s="66"/>
      <c r="E102" s="67"/>
      <c r="F102" s="67"/>
      <c r="G102" s="67"/>
      <c r="H102" s="65"/>
      <c r="I102" s="15">
        <f t="shared" si="1"/>
        <v>0</v>
      </c>
      <c r="J102" s="18" t="str">
        <f t="shared" si="9"/>
        <v>#DIV/0!</v>
      </c>
      <c r="K102" s="65"/>
      <c r="L102" s="19" t="str">
        <f t="shared" si="3"/>
        <v>#DIV/0!</v>
      </c>
      <c r="M102" s="20" t="str">
        <f t="shared" si="4"/>
        <v>#DIV/0!</v>
      </c>
      <c r="N102" s="21" t="str">
        <f t="shared" si="10"/>
        <v>#DIV/0!</v>
      </c>
      <c r="O102" s="21" t="str">
        <f t="shared" si="6"/>
        <v>#DIV/0!</v>
      </c>
      <c r="P102" s="22" t="str">
        <f t="shared" si="7"/>
        <v>#DIV/0!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12" t="str">
        <f>VLOOKUP(B:B,'Курс валют'!A:D,4,0)</f>
        <v>#N/A</v>
      </c>
      <c r="D103" s="69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12" t="str">
        <f>VLOOKUP(B:B,'Курс валют'!A:D,4,0)</f>
        <v>#N/A</v>
      </c>
      <c r="D104" s="69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12" t="str">
        <f>VLOOKUP(B:B,'Курс валют'!A:D,4,0)</f>
        <v>#N/A</v>
      </c>
      <c r="D105" s="69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12" t="str">
        <f>VLOOKUP(B:B,'Курс валют'!A:D,4,0)</f>
        <v>#N/A</v>
      </c>
      <c r="D106" s="69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12" t="str">
        <f>VLOOKUP(B:B,'Курс валют'!A:D,4,0)</f>
        <v>#N/A</v>
      </c>
      <c r="D107" s="69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12" t="str">
        <f>VLOOKUP(B:B,'Курс валют'!A:D,4,0)</f>
        <v>#N/A</v>
      </c>
      <c r="D108" s="69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12" t="str">
        <f>VLOOKUP(B:B,'Курс валют'!A:D,4,0)</f>
        <v>#N/A</v>
      </c>
      <c r="D109" s="69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12" t="str">
        <f>VLOOKUP(B:B,'Курс валют'!A:D,4,0)</f>
        <v>#N/A</v>
      </c>
      <c r="D110" s="69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12" t="str">
        <f>VLOOKUP(B:B,'Курс валют'!A:D,4,0)</f>
        <v>#N/A</v>
      </c>
      <c r="D111" s="69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12" t="str">
        <f>VLOOKUP(B:B,'Курс валют'!A:D,4,0)</f>
        <v>#N/A</v>
      </c>
      <c r="D112" s="69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12" t="str">
        <f>VLOOKUP(B:B,'Курс валют'!A:D,4,0)</f>
        <v>#N/A</v>
      </c>
      <c r="D113" s="69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12" t="str">
        <f>VLOOKUP(B:B,'Курс валют'!A:D,4,0)</f>
        <v>#N/A</v>
      </c>
      <c r="D114" s="69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12" t="str">
        <f>VLOOKUP(B:B,'Курс валют'!A:D,4,0)</f>
        <v>#N/A</v>
      </c>
      <c r="D115" s="69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12" t="str">
        <f>VLOOKUP(B:B,'Курс валют'!A:D,4,0)</f>
        <v>#N/A</v>
      </c>
      <c r="D116" s="69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12" t="str">
        <f>VLOOKUP(B:B,'Курс валют'!A:D,4,0)</f>
        <v>#N/A</v>
      </c>
      <c r="D117" s="69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12" t="str">
        <f>VLOOKUP(B:B,'Курс валют'!A:D,4,0)</f>
        <v>#N/A</v>
      </c>
      <c r="D118" s="69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12" t="str">
        <f>VLOOKUP(B:B,'Курс валют'!A:D,4,0)</f>
        <v>#N/A</v>
      </c>
      <c r="D119" s="69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12" t="str">
        <f>VLOOKUP(B:B,'Курс валют'!A:D,4,0)</f>
        <v>#N/A</v>
      </c>
      <c r="D120" s="69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12" t="str">
        <f>VLOOKUP(B:B,'Курс валют'!A:D,4,0)</f>
        <v>#N/A</v>
      </c>
      <c r="D121" s="69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12" t="str">
        <f>VLOOKUP(B:B,'Курс валют'!A:D,4,0)</f>
        <v>#N/A</v>
      </c>
      <c r="D122" s="69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/>
      <c r="C123" s="25"/>
      <c r="D123" s="69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/>
      <c r="C124" s="25"/>
      <c r="D124" s="69"/>
      <c r="E124" s="25"/>
      <c r="F124" s="25"/>
      <c r="G124" s="25"/>
      <c r="H124" s="80"/>
      <c r="I124" s="25"/>
      <c r="J124" s="25"/>
      <c r="K124" s="80"/>
      <c r="L124" s="81"/>
      <c r="M124" s="82"/>
      <c r="N124" s="25"/>
      <c r="O124" s="25"/>
      <c r="P124" s="82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11"/>
      <c r="C125" s="25"/>
      <c r="D125" s="69"/>
      <c r="E125" s="25"/>
      <c r="F125" s="25"/>
      <c r="G125" s="25"/>
      <c r="H125" s="80"/>
      <c r="I125" s="25"/>
      <c r="J125" s="25"/>
      <c r="K125" s="80"/>
      <c r="L125" s="81"/>
      <c r="M125" s="82"/>
      <c r="N125" s="25"/>
      <c r="O125" s="25"/>
      <c r="P125" s="82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11"/>
      <c r="C126" s="25"/>
      <c r="D126" s="69"/>
      <c r="E126" s="25"/>
      <c r="F126" s="25"/>
      <c r="G126" s="25"/>
      <c r="H126" s="80"/>
      <c r="I126" s="25"/>
      <c r="J126" s="25"/>
      <c r="K126" s="80"/>
      <c r="L126" s="81"/>
      <c r="M126" s="82"/>
      <c r="N126" s="25"/>
      <c r="O126" s="25"/>
      <c r="P126" s="82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B127" s="68"/>
      <c r="D127" s="69"/>
      <c r="H127" s="70"/>
      <c r="K127" s="70"/>
      <c r="L127" s="71"/>
      <c r="M127" s="72"/>
      <c r="P127" s="72"/>
    </row>
    <row r="128">
      <c r="B128" s="68"/>
      <c r="D128" s="69"/>
      <c r="H128" s="70"/>
      <c r="K128" s="70"/>
      <c r="L128" s="71"/>
      <c r="M128" s="72"/>
      <c r="P128" s="72"/>
    </row>
    <row r="129">
      <c r="B129" s="68"/>
      <c r="D129" s="69"/>
      <c r="H129" s="70"/>
      <c r="K129" s="70"/>
      <c r="L129" s="71"/>
      <c r="M129" s="72"/>
      <c r="P129" s="72"/>
    </row>
    <row r="130">
      <c r="B130" s="68"/>
      <c r="D130" s="69"/>
      <c r="H130" s="70"/>
      <c r="K130" s="70"/>
      <c r="L130" s="71"/>
      <c r="M130" s="72"/>
      <c r="P130" s="72"/>
    </row>
    <row r="131">
      <c r="B131" s="68"/>
      <c r="D131" s="69"/>
      <c r="H131" s="70"/>
      <c r="K131" s="70"/>
      <c r="L131" s="71"/>
      <c r="M131" s="72"/>
      <c r="P131" s="72"/>
    </row>
    <row r="132">
      <c r="B132" s="68"/>
      <c r="D132" s="69"/>
      <c r="H132" s="70"/>
      <c r="K132" s="70"/>
      <c r="L132" s="71"/>
      <c r="M132" s="72"/>
      <c r="P132" s="72"/>
    </row>
    <row r="133">
      <c r="B133" s="68"/>
      <c r="D133" s="69"/>
      <c r="H133" s="70"/>
      <c r="K133" s="70"/>
      <c r="L133" s="71"/>
      <c r="M133" s="72"/>
      <c r="P133" s="72"/>
    </row>
    <row r="134">
      <c r="B134" s="68"/>
      <c r="D134" s="69"/>
      <c r="H134" s="70"/>
      <c r="K134" s="70"/>
      <c r="L134" s="71"/>
      <c r="M134" s="72"/>
      <c r="P134" s="72"/>
    </row>
    <row r="135">
      <c r="B135" s="68"/>
      <c r="D135" s="69"/>
      <c r="H135" s="70"/>
      <c r="K135" s="70"/>
      <c r="L135" s="71"/>
      <c r="M135" s="72"/>
      <c r="P135" s="72"/>
    </row>
    <row r="136">
      <c r="B136" s="68"/>
      <c r="D136" s="69"/>
      <c r="H136" s="70"/>
      <c r="K136" s="70"/>
      <c r="L136" s="71"/>
      <c r="M136" s="72"/>
      <c r="P136" s="72"/>
    </row>
    <row r="137">
      <c r="B137" s="68"/>
      <c r="D137" s="69"/>
      <c r="H137" s="70"/>
      <c r="K137" s="70"/>
      <c r="L137" s="71"/>
      <c r="M137" s="72"/>
      <c r="P137" s="72"/>
    </row>
    <row r="138">
      <c r="B138" s="68"/>
      <c r="D138" s="69"/>
      <c r="H138" s="70"/>
      <c r="K138" s="70"/>
      <c r="L138" s="71"/>
      <c r="M138" s="72"/>
      <c r="P138" s="72"/>
    </row>
    <row r="139">
      <c r="B139" s="68"/>
      <c r="D139" s="69"/>
      <c r="H139" s="70"/>
      <c r="K139" s="70"/>
      <c r="L139" s="71"/>
      <c r="M139" s="72"/>
      <c r="P139" s="72"/>
    </row>
    <row r="140">
      <c r="B140" s="68"/>
      <c r="D140" s="69"/>
      <c r="H140" s="70"/>
      <c r="K140" s="70"/>
      <c r="L140" s="71"/>
      <c r="M140" s="72"/>
      <c r="P140" s="72"/>
    </row>
    <row r="141">
      <c r="B141" s="68"/>
      <c r="D141" s="69"/>
      <c r="H141" s="70"/>
      <c r="K141" s="70"/>
      <c r="L141" s="71"/>
      <c r="M141" s="72"/>
      <c r="P141" s="72"/>
    </row>
    <row r="142">
      <c r="B142" s="68"/>
      <c r="D142" s="69"/>
      <c r="H142" s="70"/>
      <c r="K142" s="70"/>
      <c r="L142" s="71"/>
      <c r="M142" s="72"/>
      <c r="P142" s="72"/>
    </row>
    <row r="143">
      <c r="B143" s="68"/>
      <c r="D143" s="69"/>
      <c r="H143" s="70"/>
      <c r="K143" s="70"/>
      <c r="L143" s="71"/>
      <c r="M143" s="72"/>
      <c r="P143" s="72"/>
    </row>
    <row r="144">
      <c r="B144" s="68"/>
      <c r="D144" s="69"/>
      <c r="H144" s="70"/>
      <c r="K144" s="70"/>
      <c r="L144" s="71"/>
      <c r="M144" s="72"/>
      <c r="P144" s="72"/>
    </row>
    <row r="145">
      <c r="B145" s="68"/>
      <c r="D145" s="69"/>
      <c r="H145" s="70"/>
      <c r="K145" s="70"/>
      <c r="L145" s="71"/>
      <c r="M145" s="72"/>
      <c r="P145" s="72"/>
    </row>
    <row r="146">
      <c r="B146" s="68"/>
      <c r="D146" s="69"/>
      <c r="H146" s="70"/>
      <c r="K146" s="70"/>
      <c r="L146" s="71"/>
      <c r="M146" s="72"/>
      <c r="P146" s="72"/>
    </row>
    <row r="147">
      <c r="B147" s="68"/>
      <c r="D147" s="69"/>
      <c r="H147" s="70"/>
      <c r="K147" s="70"/>
      <c r="L147" s="71"/>
      <c r="M147" s="72"/>
      <c r="P147" s="72"/>
    </row>
    <row r="148">
      <c r="B148" s="68"/>
      <c r="D148" s="69"/>
      <c r="H148" s="70"/>
      <c r="K148" s="70"/>
      <c r="L148" s="71"/>
      <c r="M148" s="72"/>
      <c r="P148" s="72"/>
    </row>
    <row r="149">
      <c r="B149" s="68"/>
      <c r="D149" s="69"/>
      <c r="H149" s="70"/>
      <c r="K149" s="70"/>
      <c r="L149" s="71"/>
      <c r="M149" s="72"/>
      <c r="P149" s="72"/>
    </row>
    <row r="150">
      <c r="B150" s="68"/>
      <c r="D150" s="69"/>
      <c r="H150" s="70"/>
      <c r="K150" s="70"/>
      <c r="L150" s="71"/>
      <c r="M150" s="72"/>
      <c r="P150" s="72"/>
    </row>
    <row r="151">
      <c r="B151" s="68"/>
      <c r="D151" s="69"/>
      <c r="H151" s="70"/>
      <c r="K151" s="70"/>
      <c r="L151" s="71"/>
      <c r="M151" s="72"/>
      <c r="P151" s="72"/>
    </row>
    <row r="152">
      <c r="B152" s="68"/>
      <c r="D152" s="69"/>
      <c r="H152" s="70"/>
      <c r="K152" s="70"/>
      <c r="L152" s="71"/>
      <c r="M152" s="72"/>
      <c r="P152" s="72"/>
    </row>
    <row r="153">
      <c r="B153" s="68"/>
      <c r="D153" s="69"/>
      <c r="H153" s="70"/>
      <c r="K153" s="70"/>
      <c r="L153" s="71"/>
      <c r="M153" s="72"/>
      <c r="P153" s="72"/>
    </row>
    <row r="154">
      <c r="B154" s="68"/>
      <c r="D154" s="69"/>
      <c r="H154" s="70"/>
      <c r="K154" s="70"/>
      <c r="L154" s="71"/>
      <c r="M154" s="72"/>
      <c r="P154" s="72"/>
    </row>
    <row r="155">
      <c r="B155" s="68"/>
      <c r="D155" s="69"/>
      <c r="H155" s="70"/>
      <c r="K155" s="70"/>
      <c r="L155" s="71"/>
      <c r="M155" s="72"/>
      <c r="P155" s="72"/>
    </row>
    <row r="156">
      <c r="B156" s="68"/>
      <c r="D156" s="69"/>
      <c r="H156" s="70"/>
      <c r="K156" s="70"/>
      <c r="L156" s="71"/>
      <c r="M156" s="72"/>
      <c r="P156" s="72"/>
    </row>
    <row r="157">
      <c r="B157" s="68"/>
      <c r="D157" s="69"/>
      <c r="H157" s="70"/>
      <c r="K157" s="70"/>
      <c r="L157" s="71"/>
      <c r="M157" s="72"/>
      <c r="P157" s="72"/>
    </row>
    <row r="158">
      <c r="B158" s="68"/>
      <c r="D158" s="69"/>
      <c r="H158" s="70"/>
      <c r="K158" s="70"/>
      <c r="L158" s="71"/>
      <c r="M158" s="72"/>
      <c r="P158" s="72"/>
    </row>
    <row r="159">
      <c r="B159" s="68"/>
      <c r="D159" s="69"/>
      <c r="H159" s="70"/>
      <c r="K159" s="70"/>
      <c r="L159" s="71"/>
      <c r="M159" s="72"/>
      <c r="P159" s="72"/>
    </row>
    <row r="160">
      <c r="B160" s="68"/>
      <c r="D160" s="69"/>
      <c r="H160" s="70"/>
      <c r="K160" s="70"/>
      <c r="L160" s="71"/>
      <c r="M160" s="72"/>
      <c r="P160" s="72"/>
    </row>
    <row r="161">
      <c r="B161" s="68"/>
      <c r="D161" s="69"/>
      <c r="H161" s="70"/>
      <c r="K161" s="70"/>
      <c r="L161" s="71"/>
      <c r="M161" s="72"/>
      <c r="P161" s="72"/>
    </row>
    <row r="162">
      <c r="B162" s="68"/>
      <c r="D162" s="69"/>
      <c r="H162" s="70"/>
      <c r="K162" s="70"/>
      <c r="L162" s="71"/>
      <c r="M162" s="72"/>
      <c r="P162" s="72"/>
    </row>
    <row r="163">
      <c r="B163" s="68"/>
      <c r="D163" s="69"/>
      <c r="H163" s="70"/>
      <c r="K163" s="70"/>
      <c r="L163" s="71"/>
      <c r="M163" s="72"/>
      <c r="P163" s="72"/>
    </row>
    <row r="164">
      <c r="B164" s="68"/>
      <c r="D164" s="69"/>
      <c r="H164" s="70"/>
      <c r="K164" s="70"/>
      <c r="L164" s="71"/>
      <c r="M164" s="72"/>
      <c r="P164" s="72"/>
    </row>
    <row r="165">
      <c r="B165" s="68"/>
      <c r="D165" s="69"/>
      <c r="H165" s="70"/>
      <c r="K165" s="70"/>
      <c r="L165" s="71"/>
      <c r="M165" s="72"/>
      <c r="P165" s="72"/>
    </row>
    <row r="166">
      <c r="B166" s="68"/>
      <c r="D166" s="69"/>
      <c r="H166" s="70"/>
      <c r="K166" s="70"/>
      <c r="L166" s="71"/>
      <c r="M166" s="72"/>
      <c r="P166" s="72"/>
    </row>
    <row r="167">
      <c r="B167" s="68"/>
      <c r="D167" s="69"/>
      <c r="H167" s="70"/>
      <c r="K167" s="70"/>
      <c r="L167" s="71"/>
      <c r="M167" s="72"/>
      <c r="P167" s="72"/>
    </row>
    <row r="168">
      <c r="B168" s="68"/>
      <c r="D168" s="69"/>
      <c r="H168" s="70"/>
      <c r="K168" s="70"/>
      <c r="L168" s="71"/>
      <c r="M168" s="72"/>
      <c r="P168" s="72"/>
    </row>
    <row r="169">
      <c r="B169" s="68"/>
      <c r="D169" s="69"/>
      <c r="H169" s="70"/>
      <c r="K169" s="70"/>
      <c r="L169" s="71"/>
      <c r="M169" s="72"/>
      <c r="P169" s="72"/>
    </row>
    <row r="170">
      <c r="B170" s="68"/>
      <c r="D170" s="69"/>
      <c r="H170" s="70"/>
      <c r="K170" s="70"/>
      <c r="L170" s="71"/>
      <c r="M170" s="72"/>
      <c r="P170" s="72"/>
    </row>
    <row r="171">
      <c r="B171" s="68"/>
      <c r="D171" s="69"/>
      <c r="H171" s="70"/>
      <c r="K171" s="70"/>
      <c r="L171" s="71"/>
      <c r="M171" s="72"/>
      <c r="P171" s="72"/>
    </row>
    <row r="172">
      <c r="B172" s="68"/>
      <c r="D172" s="69"/>
      <c r="H172" s="70"/>
      <c r="K172" s="70"/>
      <c r="L172" s="71"/>
      <c r="M172" s="72"/>
      <c r="P172" s="72"/>
    </row>
    <row r="173">
      <c r="B173" s="68"/>
      <c r="D173" s="69"/>
      <c r="H173" s="70"/>
      <c r="K173" s="70"/>
      <c r="L173" s="71"/>
      <c r="M173" s="72"/>
      <c r="P173" s="72"/>
    </row>
    <row r="174">
      <c r="B174" s="68"/>
      <c r="D174" s="69"/>
      <c r="H174" s="70"/>
      <c r="K174" s="70"/>
      <c r="L174" s="71"/>
      <c r="M174" s="72"/>
      <c r="P174" s="72"/>
    </row>
    <row r="175">
      <c r="B175" s="68"/>
      <c r="D175" s="69"/>
      <c r="H175" s="70"/>
      <c r="K175" s="70"/>
      <c r="L175" s="71"/>
      <c r="M175" s="72"/>
      <c r="P175" s="72"/>
    </row>
    <row r="176">
      <c r="B176" s="68"/>
      <c r="D176" s="69"/>
      <c r="H176" s="70"/>
      <c r="K176" s="70"/>
      <c r="L176" s="71"/>
      <c r="M176" s="72"/>
      <c r="P176" s="72"/>
    </row>
    <row r="177">
      <c r="B177" s="68"/>
      <c r="D177" s="69"/>
      <c r="H177" s="70"/>
      <c r="K177" s="70"/>
      <c r="L177" s="71"/>
      <c r="M177" s="72"/>
      <c r="P177" s="72"/>
    </row>
    <row r="178">
      <c r="B178" s="68"/>
      <c r="D178" s="69"/>
      <c r="H178" s="70"/>
      <c r="K178" s="70"/>
      <c r="L178" s="71"/>
      <c r="M178" s="72"/>
      <c r="P178" s="72"/>
    </row>
    <row r="179">
      <c r="B179" s="68"/>
      <c r="D179" s="69"/>
      <c r="H179" s="70"/>
      <c r="K179" s="70"/>
      <c r="L179" s="71"/>
      <c r="M179" s="72"/>
      <c r="P179" s="72"/>
    </row>
    <row r="180">
      <c r="B180" s="68"/>
      <c r="D180" s="69"/>
      <c r="H180" s="70"/>
      <c r="K180" s="70"/>
      <c r="L180" s="71"/>
      <c r="M180" s="72"/>
      <c r="P180" s="72"/>
    </row>
    <row r="181">
      <c r="B181" s="68"/>
      <c r="D181" s="69"/>
      <c r="H181" s="70"/>
      <c r="K181" s="70"/>
      <c r="L181" s="71"/>
      <c r="M181" s="72"/>
      <c r="P181" s="72"/>
    </row>
    <row r="182">
      <c r="B182" s="68"/>
      <c r="D182" s="69"/>
      <c r="H182" s="70"/>
      <c r="K182" s="70"/>
      <c r="L182" s="71"/>
      <c r="M182" s="72"/>
      <c r="P182" s="72"/>
    </row>
    <row r="183">
      <c r="B183" s="68"/>
      <c r="D183" s="69"/>
      <c r="H183" s="70"/>
      <c r="K183" s="70"/>
      <c r="L183" s="71"/>
      <c r="M183" s="72"/>
      <c r="P183" s="72"/>
    </row>
    <row r="184">
      <c r="B184" s="68"/>
      <c r="D184" s="69"/>
      <c r="H184" s="70"/>
      <c r="K184" s="70"/>
      <c r="L184" s="71"/>
      <c r="M184" s="72"/>
      <c r="P184" s="72"/>
    </row>
    <row r="185">
      <c r="B185" s="68"/>
      <c r="D185" s="69"/>
      <c r="H185" s="70"/>
      <c r="K185" s="70"/>
      <c r="L185" s="71"/>
      <c r="M185" s="72"/>
      <c r="P185" s="72"/>
    </row>
    <row r="186">
      <c r="B186" s="68"/>
      <c r="D186" s="69"/>
      <c r="H186" s="70"/>
      <c r="K186" s="70"/>
      <c r="L186" s="71"/>
      <c r="M186" s="72"/>
      <c r="P186" s="72"/>
    </row>
    <row r="187">
      <c r="B187" s="68"/>
      <c r="D187" s="69"/>
      <c r="H187" s="70"/>
      <c r="K187" s="70"/>
      <c r="L187" s="71"/>
      <c r="M187" s="72"/>
      <c r="P187" s="72"/>
    </row>
    <row r="188">
      <c r="B188" s="68"/>
      <c r="D188" s="69"/>
      <c r="H188" s="70"/>
      <c r="K188" s="70"/>
      <c r="L188" s="71"/>
      <c r="M188" s="72"/>
      <c r="P188" s="72"/>
    </row>
    <row r="189">
      <c r="B189" s="68"/>
      <c r="D189" s="69"/>
      <c r="H189" s="70"/>
      <c r="K189" s="70"/>
      <c r="L189" s="71"/>
      <c r="M189" s="72"/>
      <c r="P189" s="72"/>
    </row>
    <row r="190">
      <c r="B190" s="68"/>
      <c r="D190" s="69"/>
      <c r="H190" s="70"/>
      <c r="K190" s="70"/>
      <c r="L190" s="71"/>
      <c r="M190" s="72"/>
      <c r="P190" s="72"/>
    </row>
    <row r="191">
      <c r="B191" s="68"/>
      <c r="D191" s="69"/>
      <c r="H191" s="70"/>
      <c r="K191" s="70"/>
      <c r="L191" s="71"/>
      <c r="M191" s="72"/>
      <c r="P191" s="72"/>
    </row>
    <row r="192">
      <c r="B192" s="68"/>
      <c r="D192" s="69"/>
      <c r="H192" s="70"/>
      <c r="K192" s="70"/>
      <c r="L192" s="71"/>
      <c r="M192" s="72"/>
      <c r="P192" s="72"/>
    </row>
    <row r="193">
      <c r="B193" s="68"/>
      <c r="D193" s="69"/>
      <c r="H193" s="70"/>
      <c r="K193" s="70"/>
      <c r="L193" s="71"/>
      <c r="M193" s="72"/>
      <c r="P193" s="72"/>
    </row>
    <row r="194">
      <c r="B194" s="68"/>
      <c r="D194" s="69"/>
      <c r="H194" s="70"/>
      <c r="K194" s="70"/>
      <c r="L194" s="71"/>
      <c r="M194" s="72"/>
      <c r="P194" s="72"/>
    </row>
    <row r="195">
      <c r="B195" s="68"/>
      <c r="D195" s="69"/>
      <c r="H195" s="70"/>
      <c r="K195" s="70"/>
      <c r="L195" s="71"/>
      <c r="M195" s="72"/>
      <c r="P195" s="72"/>
    </row>
    <row r="196">
      <c r="B196" s="68"/>
      <c r="D196" s="69"/>
      <c r="H196" s="70"/>
      <c r="K196" s="70"/>
      <c r="L196" s="71"/>
      <c r="M196" s="72"/>
      <c r="P196" s="72"/>
    </row>
    <row r="197">
      <c r="B197" s="68"/>
      <c r="D197" s="69"/>
      <c r="H197" s="70"/>
      <c r="K197" s="70"/>
      <c r="L197" s="71"/>
      <c r="M197" s="72"/>
      <c r="P197" s="72"/>
    </row>
    <row r="198">
      <c r="B198" s="68"/>
      <c r="D198" s="69"/>
      <c r="H198" s="70"/>
      <c r="K198" s="70"/>
      <c r="L198" s="71"/>
      <c r="M198" s="72"/>
      <c r="P198" s="72"/>
    </row>
    <row r="199">
      <c r="B199" s="68"/>
      <c r="D199" s="69"/>
      <c r="H199" s="70"/>
      <c r="K199" s="70"/>
      <c r="L199" s="71"/>
      <c r="M199" s="72"/>
      <c r="P199" s="72"/>
    </row>
    <row r="200">
      <c r="B200" s="68"/>
      <c r="D200" s="69"/>
      <c r="H200" s="70"/>
      <c r="K200" s="70"/>
      <c r="L200" s="71"/>
      <c r="M200" s="72"/>
      <c r="P200" s="72"/>
    </row>
    <row r="201">
      <c r="B201" s="68"/>
      <c r="D201" s="69"/>
      <c r="H201" s="70"/>
      <c r="K201" s="70"/>
      <c r="L201" s="71"/>
      <c r="M201" s="72"/>
      <c r="P201" s="72"/>
    </row>
    <row r="202">
      <c r="B202" s="68"/>
      <c r="D202" s="69"/>
      <c r="H202" s="70"/>
      <c r="K202" s="70"/>
      <c r="L202" s="71"/>
      <c r="M202" s="72"/>
      <c r="P202" s="72"/>
    </row>
    <row r="203">
      <c r="B203" s="68"/>
      <c r="D203" s="69"/>
      <c r="H203" s="70"/>
      <c r="K203" s="70"/>
      <c r="L203" s="71"/>
      <c r="M203" s="72"/>
      <c r="P203" s="72"/>
    </row>
    <row r="204">
      <c r="B204" s="68"/>
      <c r="D204" s="69"/>
      <c r="H204" s="70"/>
      <c r="K204" s="70"/>
      <c r="L204" s="71"/>
      <c r="M204" s="72"/>
      <c r="P204" s="72"/>
    </row>
    <row r="205">
      <c r="B205" s="68"/>
      <c r="D205" s="69"/>
      <c r="H205" s="70"/>
      <c r="K205" s="70"/>
      <c r="L205" s="71"/>
      <c r="M205" s="72"/>
      <c r="P205" s="72"/>
    </row>
    <row r="206">
      <c r="B206" s="68"/>
      <c r="D206" s="69"/>
      <c r="H206" s="70"/>
      <c r="K206" s="70"/>
      <c r="L206" s="71"/>
      <c r="M206" s="72"/>
      <c r="P206" s="72"/>
    </row>
    <row r="207">
      <c r="B207" s="68"/>
      <c r="D207" s="69"/>
      <c r="H207" s="70"/>
      <c r="K207" s="70"/>
      <c r="L207" s="71"/>
      <c r="M207" s="72"/>
      <c r="P207" s="72"/>
    </row>
    <row r="208">
      <c r="B208" s="68"/>
      <c r="D208" s="69"/>
      <c r="H208" s="70"/>
      <c r="K208" s="70"/>
      <c r="L208" s="71"/>
      <c r="M208" s="72"/>
      <c r="P208" s="72"/>
    </row>
    <row r="209">
      <c r="B209" s="68"/>
      <c r="D209" s="69"/>
      <c r="H209" s="70"/>
      <c r="K209" s="70"/>
      <c r="L209" s="71"/>
      <c r="M209" s="72"/>
      <c r="P209" s="72"/>
    </row>
    <row r="210">
      <c r="B210" s="68"/>
      <c r="D210" s="69"/>
      <c r="H210" s="70"/>
      <c r="K210" s="70"/>
      <c r="L210" s="71"/>
      <c r="M210" s="72"/>
      <c r="P210" s="72"/>
    </row>
    <row r="211">
      <c r="B211" s="68"/>
      <c r="D211" s="69"/>
      <c r="H211" s="70"/>
      <c r="K211" s="70"/>
      <c r="L211" s="71"/>
      <c r="M211" s="72"/>
      <c r="P211" s="72"/>
    </row>
    <row r="212">
      <c r="B212" s="68"/>
      <c r="D212" s="69"/>
      <c r="H212" s="70"/>
      <c r="K212" s="70"/>
      <c r="L212" s="71"/>
      <c r="M212" s="72"/>
      <c r="P212" s="72"/>
    </row>
    <row r="213">
      <c r="B213" s="68"/>
      <c r="D213" s="69"/>
      <c r="H213" s="70"/>
      <c r="K213" s="70"/>
      <c r="L213" s="71"/>
      <c r="M213" s="72"/>
      <c r="P213" s="72"/>
    </row>
    <row r="214">
      <c r="B214" s="68"/>
      <c r="D214" s="69"/>
      <c r="H214" s="70"/>
      <c r="K214" s="70"/>
      <c r="L214" s="71"/>
      <c r="M214" s="72"/>
      <c r="P214" s="72"/>
    </row>
    <row r="215">
      <c r="B215" s="68"/>
      <c r="D215" s="69"/>
      <c r="H215" s="70"/>
      <c r="K215" s="70"/>
      <c r="L215" s="71"/>
      <c r="M215" s="72"/>
      <c r="P215" s="72"/>
    </row>
    <row r="216">
      <c r="B216" s="68"/>
      <c r="D216" s="69"/>
      <c r="H216" s="70"/>
      <c r="K216" s="70"/>
      <c r="L216" s="71"/>
      <c r="M216" s="72"/>
      <c r="P216" s="72"/>
    </row>
    <row r="217">
      <c r="B217" s="68"/>
      <c r="D217" s="69"/>
      <c r="H217" s="70"/>
      <c r="K217" s="70"/>
      <c r="L217" s="71"/>
      <c r="M217" s="72"/>
      <c r="P217" s="72"/>
    </row>
    <row r="218">
      <c r="B218" s="68"/>
      <c r="D218" s="69"/>
      <c r="H218" s="70"/>
      <c r="K218" s="70"/>
      <c r="L218" s="71"/>
      <c r="M218" s="72"/>
      <c r="P218" s="72"/>
    </row>
    <row r="219">
      <c r="B219" s="68"/>
      <c r="D219" s="69"/>
      <c r="H219" s="70"/>
      <c r="K219" s="70"/>
      <c r="L219" s="71"/>
      <c r="M219" s="72"/>
      <c r="P219" s="72"/>
    </row>
    <row r="220">
      <c r="B220" s="68"/>
      <c r="D220" s="69"/>
      <c r="H220" s="70"/>
      <c r="K220" s="70"/>
      <c r="L220" s="71"/>
      <c r="M220" s="72"/>
      <c r="P220" s="72"/>
    </row>
    <row r="221">
      <c r="B221" s="68"/>
      <c r="D221" s="69"/>
      <c r="H221" s="70"/>
      <c r="K221" s="70"/>
      <c r="L221" s="71"/>
      <c r="M221" s="72"/>
      <c r="P221" s="72"/>
    </row>
    <row r="222">
      <c r="B222" s="68"/>
      <c r="D222" s="69"/>
      <c r="H222" s="70"/>
      <c r="K222" s="70"/>
      <c r="L222" s="71"/>
      <c r="M222" s="72"/>
      <c r="P222" s="72"/>
    </row>
    <row r="223">
      <c r="B223" s="68"/>
      <c r="D223" s="69"/>
      <c r="H223" s="70"/>
      <c r="K223" s="70"/>
      <c r="L223" s="71"/>
      <c r="M223" s="72"/>
      <c r="P223" s="72"/>
    </row>
    <row r="224">
      <c r="B224" s="68"/>
      <c r="D224" s="69"/>
      <c r="H224" s="70"/>
      <c r="K224" s="70"/>
      <c r="L224" s="71"/>
      <c r="M224" s="72"/>
      <c r="P224" s="72"/>
    </row>
    <row r="225">
      <c r="B225" s="68"/>
      <c r="D225" s="69"/>
      <c r="H225" s="70"/>
      <c r="K225" s="70"/>
      <c r="L225" s="71"/>
      <c r="M225" s="72"/>
      <c r="P225" s="72"/>
    </row>
    <row r="226">
      <c r="B226" s="68"/>
      <c r="D226" s="69"/>
      <c r="H226" s="70"/>
      <c r="K226" s="70"/>
      <c r="L226" s="71"/>
      <c r="M226" s="72"/>
      <c r="P226" s="72"/>
    </row>
    <row r="227">
      <c r="B227" s="68"/>
      <c r="D227" s="69"/>
      <c r="H227" s="70"/>
      <c r="K227" s="70"/>
      <c r="L227" s="71"/>
      <c r="M227" s="72"/>
      <c r="P227" s="72"/>
    </row>
    <row r="228">
      <c r="B228" s="68"/>
      <c r="D228" s="69"/>
      <c r="H228" s="70"/>
      <c r="K228" s="70"/>
      <c r="L228" s="71"/>
      <c r="M228" s="72"/>
      <c r="P228" s="72"/>
    </row>
    <row r="229">
      <c r="B229" s="68"/>
      <c r="D229" s="69"/>
      <c r="H229" s="70"/>
      <c r="K229" s="70"/>
      <c r="L229" s="71"/>
      <c r="M229" s="72"/>
      <c r="P229" s="72"/>
    </row>
    <row r="230">
      <c r="B230" s="68"/>
      <c r="D230" s="69"/>
      <c r="H230" s="70"/>
      <c r="K230" s="70"/>
      <c r="L230" s="71"/>
      <c r="M230" s="72"/>
      <c r="P230" s="72"/>
    </row>
    <row r="231">
      <c r="B231" s="68"/>
      <c r="D231" s="69"/>
      <c r="H231" s="70"/>
      <c r="K231" s="70"/>
      <c r="L231" s="71"/>
      <c r="M231" s="72"/>
      <c r="P231" s="72"/>
    </row>
    <row r="232">
      <c r="B232" s="68"/>
      <c r="D232" s="69"/>
      <c r="H232" s="70"/>
      <c r="K232" s="70"/>
      <c r="L232" s="71"/>
      <c r="M232" s="72"/>
      <c r="P232" s="72"/>
    </row>
    <row r="233">
      <c r="B233" s="68"/>
      <c r="D233" s="69"/>
      <c r="H233" s="70"/>
      <c r="K233" s="70"/>
      <c r="L233" s="71"/>
      <c r="M233" s="72"/>
      <c r="P233" s="72"/>
    </row>
    <row r="234">
      <c r="B234" s="68"/>
      <c r="D234" s="69"/>
      <c r="H234" s="70"/>
      <c r="K234" s="70"/>
      <c r="L234" s="71"/>
      <c r="M234" s="72"/>
      <c r="P234" s="72"/>
    </row>
    <row r="235">
      <c r="B235" s="68"/>
      <c r="D235" s="69"/>
      <c r="H235" s="70"/>
      <c r="K235" s="70"/>
      <c r="L235" s="71"/>
      <c r="M235" s="72"/>
      <c r="P235" s="72"/>
    </row>
    <row r="236">
      <c r="B236" s="68"/>
      <c r="D236" s="69"/>
      <c r="H236" s="70"/>
      <c r="K236" s="70"/>
      <c r="L236" s="71"/>
      <c r="M236" s="72"/>
      <c r="P236" s="72"/>
    </row>
    <row r="237">
      <c r="B237" s="68"/>
      <c r="D237" s="69"/>
      <c r="H237" s="70"/>
      <c r="K237" s="70"/>
      <c r="L237" s="71"/>
      <c r="M237" s="72"/>
      <c r="P237" s="72"/>
    </row>
    <row r="238">
      <c r="B238" s="68"/>
      <c r="D238" s="69"/>
      <c r="H238" s="70"/>
      <c r="K238" s="70"/>
      <c r="L238" s="71"/>
      <c r="M238" s="72"/>
      <c r="P238" s="72"/>
    </row>
    <row r="239">
      <c r="B239" s="68"/>
      <c r="D239" s="69"/>
      <c r="H239" s="70"/>
      <c r="K239" s="70"/>
      <c r="L239" s="71"/>
      <c r="M239" s="72"/>
      <c r="P239" s="72"/>
    </row>
    <row r="240">
      <c r="B240" s="68"/>
      <c r="D240" s="69"/>
      <c r="H240" s="70"/>
      <c r="K240" s="70"/>
      <c r="L240" s="71"/>
      <c r="M240" s="72"/>
      <c r="P240" s="72"/>
    </row>
    <row r="241">
      <c r="B241" s="68"/>
      <c r="D241" s="69"/>
      <c r="H241" s="70"/>
      <c r="K241" s="70"/>
      <c r="L241" s="71"/>
      <c r="M241" s="72"/>
      <c r="P241" s="72"/>
    </row>
    <row r="242">
      <c r="B242" s="68"/>
      <c r="D242" s="69"/>
      <c r="H242" s="70"/>
      <c r="K242" s="70"/>
      <c r="L242" s="71"/>
      <c r="M242" s="72"/>
      <c r="P242" s="72"/>
    </row>
    <row r="243">
      <c r="B243" s="68"/>
      <c r="D243" s="69"/>
      <c r="H243" s="70"/>
      <c r="K243" s="70"/>
      <c r="L243" s="71"/>
      <c r="M243" s="72"/>
      <c r="P243" s="72"/>
    </row>
    <row r="244">
      <c r="B244" s="68"/>
      <c r="D244" s="69"/>
      <c r="H244" s="70"/>
      <c r="K244" s="70"/>
      <c r="L244" s="71"/>
      <c r="M244" s="72"/>
      <c r="P244" s="72"/>
    </row>
    <row r="245">
      <c r="B245" s="68"/>
      <c r="D245" s="69"/>
      <c r="H245" s="70"/>
      <c r="K245" s="70"/>
      <c r="L245" s="71"/>
      <c r="M245" s="72"/>
      <c r="P245" s="72"/>
    </row>
    <row r="246">
      <c r="B246" s="68"/>
      <c r="D246" s="69"/>
      <c r="H246" s="70"/>
      <c r="K246" s="70"/>
      <c r="L246" s="71"/>
      <c r="M246" s="72"/>
      <c r="P246" s="72"/>
    </row>
    <row r="247">
      <c r="B247" s="68"/>
      <c r="D247" s="69"/>
      <c r="H247" s="70"/>
      <c r="K247" s="70"/>
      <c r="L247" s="71"/>
      <c r="M247" s="72"/>
      <c r="P247" s="72"/>
    </row>
    <row r="248">
      <c r="B248" s="68"/>
      <c r="D248" s="69"/>
      <c r="H248" s="70"/>
      <c r="K248" s="70"/>
      <c r="L248" s="71"/>
      <c r="M248" s="72"/>
      <c r="P248" s="72"/>
    </row>
    <row r="249">
      <c r="B249" s="68"/>
      <c r="D249" s="69"/>
      <c r="H249" s="70"/>
      <c r="K249" s="70"/>
      <c r="L249" s="71"/>
      <c r="M249" s="72"/>
      <c r="P249" s="72"/>
    </row>
    <row r="250">
      <c r="B250" s="68"/>
      <c r="D250" s="69"/>
      <c r="H250" s="70"/>
      <c r="K250" s="70"/>
      <c r="L250" s="71"/>
      <c r="M250" s="72"/>
      <c r="P250" s="72"/>
    </row>
    <row r="251">
      <c r="B251" s="68"/>
      <c r="D251" s="69"/>
      <c r="H251" s="70"/>
      <c r="K251" s="70"/>
      <c r="L251" s="71"/>
      <c r="M251" s="72"/>
      <c r="P251" s="72"/>
    </row>
    <row r="252">
      <c r="B252" s="68"/>
      <c r="D252" s="69"/>
      <c r="H252" s="70"/>
      <c r="K252" s="70"/>
      <c r="L252" s="71"/>
      <c r="M252" s="72"/>
      <c r="P252" s="72"/>
    </row>
    <row r="253">
      <c r="B253" s="68"/>
      <c r="D253" s="69"/>
      <c r="H253" s="70"/>
      <c r="K253" s="70"/>
      <c r="L253" s="71"/>
      <c r="M253" s="72"/>
      <c r="P253" s="72"/>
    </row>
    <row r="254">
      <c r="B254" s="68"/>
      <c r="D254" s="69"/>
      <c r="H254" s="70"/>
      <c r="K254" s="70"/>
      <c r="L254" s="71"/>
      <c r="M254" s="72"/>
      <c r="P254" s="72"/>
    </row>
    <row r="255">
      <c r="B255" s="68"/>
      <c r="D255" s="69"/>
      <c r="H255" s="70"/>
      <c r="K255" s="70"/>
      <c r="L255" s="71"/>
      <c r="M255" s="72"/>
      <c r="P255" s="72"/>
    </row>
    <row r="256">
      <c r="B256" s="68"/>
      <c r="D256" s="69"/>
      <c r="H256" s="70"/>
      <c r="K256" s="70"/>
      <c r="L256" s="71"/>
      <c r="M256" s="72"/>
      <c r="P256" s="72"/>
    </row>
    <row r="257">
      <c r="B257" s="68"/>
      <c r="D257" s="69"/>
      <c r="H257" s="70"/>
      <c r="K257" s="70"/>
      <c r="L257" s="71"/>
      <c r="M257" s="72"/>
      <c r="P257" s="72"/>
    </row>
    <row r="258">
      <c r="B258" s="68"/>
      <c r="D258" s="69"/>
      <c r="H258" s="70"/>
      <c r="K258" s="70"/>
      <c r="L258" s="71"/>
      <c r="M258" s="72"/>
      <c r="P258" s="72"/>
    </row>
    <row r="259">
      <c r="B259" s="68"/>
      <c r="D259" s="69"/>
      <c r="H259" s="70"/>
      <c r="K259" s="70"/>
      <c r="L259" s="71"/>
      <c r="M259" s="72"/>
      <c r="P259" s="72"/>
    </row>
    <row r="260">
      <c r="B260" s="68"/>
      <c r="D260" s="69"/>
      <c r="H260" s="70"/>
      <c r="K260" s="70"/>
      <c r="L260" s="71"/>
      <c r="M260" s="72"/>
      <c r="P260" s="72"/>
    </row>
    <row r="261">
      <c r="B261" s="68"/>
      <c r="D261" s="69"/>
      <c r="H261" s="70"/>
      <c r="K261" s="70"/>
      <c r="L261" s="71"/>
      <c r="M261" s="72"/>
      <c r="P261" s="72"/>
    </row>
    <row r="262">
      <c r="B262" s="68"/>
      <c r="D262" s="69"/>
      <c r="H262" s="70"/>
      <c r="K262" s="70"/>
      <c r="L262" s="71"/>
      <c r="M262" s="72"/>
      <c r="P262" s="72"/>
    </row>
    <row r="263">
      <c r="B263" s="68"/>
      <c r="D263" s="69"/>
      <c r="H263" s="70"/>
      <c r="K263" s="70"/>
      <c r="L263" s="71"/>
      <c r="M263" s="72"/>
      <c r="P263" s="72"/>
    </row>
    <row r="264">
      <c r="B264" s="68"/>
      <c r="D264" s="69"/>
      <c r="H264" s="70"/>
      <c r="K264" s="70"/>
      <c r="L264" s="71"/>
      <c r="M264" s="72"/>
      <c r="P264" s="72"/>
    </row>
    <row r="265">
      <c r="B265" s="68"/>
      <c r="D265" s="69"/>
      <c r="H265" s="70"/>
      <c r="K265" s="70"/>
      <c r="L265" s="71"/>
      <c r="M265" s="72"/>
      <c r="P265" s="72"/>
    </row>
    <row r="266">
      <c r="B266" s="68"/>
      <c r="D266" s="69"/>
      <c r="H266" s="70"/>
      <c r="K266" s="70"/>
      <c r="L266" s="71"/>
      <c r="M266" s="72"/>
      <c r="P266" s="72"/>
    </row>
    <row r="267">
      <c r="B267" s="68"/>
      <c r="D267" s="69"/>
      <c r="H267" s="70"/>
      <c r="K267" s="70"/>
      <c r="L267" s="71"/>
      <c r="M267" s="72"/>
      <c r="P267" s="72"/>
    </row>
    <row r="268">
      <c r="B268" s="68"/>
      <c r="D268" s="69"/>
      <c r="H268" s="70"/>
      <c r="K268" s="70"/>
      <c r="L268" s="71"/>
      <c r="M268" s="72"/>
      <c r="P268" s="72"/>
    </row>
    <row r="269">
      <c r="B269" s="68"/>
      <c r="D269" s="69"/>
      <c r="H269" s="70"/>
      <c r="K269" s="70"/>
      <c r="L269" s="71"/>
      <c r="M269" s="72"/>
      <c r="P269" s="72"/>
    </row>
    <row r="270">
      <c r="B270" s="68"/>
      <c r="D270" s="69"/>
      <c r="H270" s="70"/>
      <c r="K270" s="70"/>
      <c r="L270" s="71"/>
      <c r="M270" s="72"/>
      <c r="P270" s="72"/>
    </row>
    <row r="271">
      <c r="B271" s="68"/>
      <c r="D271" s="69"/>
      <c r="H271" s="70"/>
      <c r="K271" s="70"/>
      <c r="L271" s="71"/>
      <c r="M271" s="72"/>
      <c r="P271" s="72"/>
    </row>
    <row r="272">
      <c r="B272" s="68"/>
      <c r="D272" s="69"/>
      <c r="H272" s="70"/>
      <c r="K272" s="70"/>
      <c r="L272" s="71"/>
      <c r="M272" s="72"/>
      <c r="P272" s="72"/>
    </row>
    <row r="273">
      <c r="B273" s="68"/>
      <c r="D273" s="69"/>
      <c r="H273" s="70"/>
      <c r="K273" s="70"/>
      <c r="L273" s="71"/>
      <c r="M273" s="72"/>
      <c r="P273" s="72"/>
    </row>
    <row r="274">
      <c r="B274" s="68"/>
      <c r="D274" s="69"/>
      <c r="H274" s="70"/>
      <c r="K274" s="70"/>
      <c r="L274" s="71"/>
      <c r="M274" s="72"/>
      <c r="P274" s="72"/>
    </row>
    <row r="275">
      <c r="B275" s="68"/>
      <c r="D275" s="69"/>
      <c r="H275" s="70"/>
      <c r="K275" s="70"/>
      <c r="L275" s="71"/>
      <c r="M275" s="72"/>
      <c r="P275" s="72"/>
    </row>
    <row r="276">
      <c r="B276" s="68"/>
      <c r="D276" s="69"/>
      <c r="H276" s="70"/>
      <c r="K276" s="70"/>
      <c r="L276" s="71"/>
      <c r="M276" s="72"/>
      <c r="P276" s="72"/>
    </row>
    <row r="277">
      <c r="B277" s="68"/>
      <c r="D277" s="69"/>
      <c r="H277" s="70"/>
      <c r="K277" s="70"/>
      <c r="L277" s="71"/>
      <c r="M277" s="72"/>
      <c r="P277" s="72"/>
    </row>
    <row r="278">
      <c r="B278" s="68"/>
      <c r="D278" s="69"/>
      <c r="H278" s="70"/>
      <c r="K278" s="70"/>
      <c r="L278" s="71"/>
      <c r="M278" s="72"/>
      <c r="P278" s="72"/>
    </row>
    <row r="279">
      <c r="B279" s="68"/>
      <c r="D279" s="69"/>
      <c r="H279" s="70"/>
      <c r="K279" s="70"/>
      <c r="L279" s="71"/>
      <c r="M279" s="72"/>
      <c r="P279" s="72"/>
    </row>
    <row r="280">
      <c r="B280" s="68"/>
      <c r="D280" s="69"/>
      <c r="H280" s="70"/>
      <c r="K280" s="70"/>
      <c r="L280" s="71"/>
      <c r="M280" s="72"/>
      <c r="P280" s="72"/>
    </row>
    <row r="281">
      <c r="B281" s="68"/>
      <c r="D281" s="69"/>
      <c r="H281" s="70"/>
      <c r="K281" s="70"/>
      <c r="L281" s="71"/>
      <c r="M281" s="72"/>
      <c r="P281" s="72"/>
    </row>
    <row r="282">
      <c r="B282" s="68"/>
      <c r="D282" s="69"/>
      <c r="H282" s="70"/>
      <c r="K282" s="70"/>
      <c r="L282" s="71"/>
      <c r="M282" s="72"/>
      <c r="P282" s="72"/>
    </row>
    <row r="283">
      <c r="B283" s="68"/>
      <c r="D283" s="69"/>
      <c r="H283" s="70"/>
      <c r="K283" s="70"/>
      <c r="L283" s="71"/>
      <c r="M283" s="72"/>
      <c r="P283" s="72"/>
    </row>
    <row r="284">
      <c r="B284" s="68"/>
      <c r="D284" s="69"/>
      <c r="H284" s="70"/>
      <c r="K284" s="70"/>
      <c r="L284" s="71"/>
      <c r="M284" s="72"/>
      <c r="P284" s="72"/>
    </row>
    <row r="285">
      <c r="B285" s="68"/>
      <c r="D285" s="69"/>
      <c r="H285" s="70"/>
      <c r="K285" s="70"/>
      <c r="L285" s="71"/>
      <c r="M285" s="72"/>
      <c r="P285" s="72"/>
    </row>
    <row r="286">
      <c r="B286" s="68"/>
      <c r="D286" s="69"/>
      <c r="H286" s="70"/>
      <c r="K286" s="70"/>
      <c r="L286" s="71"/>
      <c r="M286" s="72"/>
      <c r="P286" s="72"/>
    </row>
    <row r="287">
      <c r="B287" s="68"/>
      <c r="D287" s="69"/>
      <c r="H287" s="70"/>
      <c r="K287" s="70"/>
      <c r="L287" s="71"/>
      <c r="M287" s="72"/>
      <c r="P287" s="72"/>
    </row>
    <row r="288">
      <c r="B288" s="68"/>
      <c r="D288" s="69"/>
      <c r="H288" s="70"/>
      <c r="K288" s="70"/>
      <c r="L288" s="71"/>
      <c r="M288" s="72"/>
      <c r="P288" s="72"/>
    </row>
    <row r="289">
      <c r="B289" s="68"/>
      <c r="D289" s="69"/>
      <c r="H289" s="70"/>
      <c r="K289" s="70"/>
      <c r="L289" s="71"/>
      <c r="M289" s="72"/>
      <c r="P289" s="72"/>
    </row>
    <row r="290">
      <c r="B290" s="68"/>
      <c r="D290" s="69"/>
      <c r="H290" s="70"/>
      <c r="K290" s="70"/>
      <c r="L290" s="71"/>
      <c r="M290" s="72"/>
      <c r="P290" s="72"/>
    </row>
    <row r="291">
      <c r="B291" s="68"/>
      <c r="D291" s="69"/>
      <c r="H291" s="70"/>
      <c r="K291" s="70"/>
      <c r="L291" s="71"/>
      <c r="M291" s="72"/>
      <c r="P291" s="72"/>
    </row>
    <row r="292">
      <c r="B292" s="68"/>
      <c r="D292" s="69"/>
      <c r="H292" s="70"/>
      <c r="K292" s="70"/>
      <c r="L292" s="71"/>
      <c r="M292" s="72"/>
      <c r="P292" s="72"/>
    </row>
    <row r="293">
      <c r="B293" s="68"/>
      <c r="D293" s="69"/>
      <c r="H293" s="70"/>
      <c r="K293" s="70"/>
      <c r="L293" s="71"/>
      <c r="M293" s="72"/>
      <c r="P293" s="72"/>
    </row>
    <row r="294">
      <c r="B294" s="68"/>
      <c r="D294" s="69"/>
      <c r="H294" s="70"/>
      <c r="K294" s="70"/>
      <c r="L294" s="71"/>
      <c r="M294" s="72"/>
      <c r="P294" s="72"/>
    </row>
    <row r="295">
      <c r="B295" s="68"/>
      <c r="D295" s="69"/>
      <c r="H295" s="70"/>
      <c r="K295" s="70"/>
      <c r="L295" s="71"/>
      <c r="M295" s="72"/>
      <c r="P295" s="72"/>
    </row>
    <row r="296">
      <c r="B296" s="68"/>
      <c r="D296" s="69"/>
      <c r="H296" s="70"/>
      <c r="K296" s="70"/>
      <c r="L296" s="71"/>
      <c r="M296" s="72"/>
      <c r="P296" s="72"/>
    </row>
    <row r="297">
      <c r="B297" s="68"/>
      <c r="D297" s="69"/>
      <c r="H297" s="70"/>
      <c r="K297" s="70"/>
      <c r="L297" s="71"/>
      <c r="M297" s="72"/>
      <c r="P297" s="72"/>
    </row>
    <row r="298">
      <c r="B298" s="68"/>
      <c r="D298" s="69"/>
      <c r="H298" s="70"/>
      <c r="K298" s="70"/>
      <c r="L298" s="71"/>
      <c r="M298" s="72"/>
      <c r="P298" s="72"/>
    </row>
    <row r="299">
      <c r="B299" s="68"/>
      <c r="D299" s="69"/>
      <c r="H299" s="70"/>
      <c r="K299" s="70"/>
      <c r="L299" s="71"/>
      <c r="M299" s="72"/>
      <c r="P299" s="72"/>
    </row>
    <row r="300">
      <c r="B300" s="68"/>
      <c r="D300" s="69"/>
      <c r="H300" s="70"/>
      <c r="K300" s="70"/>
      <c r="L300" s="71"/>
      <c r="M300" s="72"/>
      <c r="P300" s="72"/>
    </row>
    <row r="301">
      <c r="B301" s="68"/>
      <c r="D301" s="69"/>
      <c r="H301" s="70"/>
      <c r="K301" s="70"/>
      <c r="L301" s="71"/>
      <c r="M301" s="72"/>
      <c r="P301" s="72"/>
    </row>
    <row r="302">
      <c r="B302" s="68"/>
      <c r="D302" s="69"/>
      <c r="H302" s="70"/>
      <c r="K302" s="70"/>
      <c r="L302" s="71"/>
      <c r="M302" s="72"/>
      <c r="P302" s="72"/>
    </row>
    <row r="303">
      <c r="B303" s="68"/>
      <c r="D303" s="69"/>
      <c r="H303" s="70"/>
      <c r="K303" s="70"/>
      <c r="L303" s="71"/>
      <c r="M303" s="72"/>
      <c r="P303" s="72"/>
    </row>
    <row r="304">
      <c r="B304" s="68"/>
      <c r="D304" s="69"/>
      <c r="H304" s="70"/>
      <c r="K304" s="70"/>
      <c r="L304" s="71"/>
      <c r="M304" s="72"/>
      <c r="P304" s="72"/>
    </row>
    <row r="305">
      <c r="B305" s="68"/>
      <c r="D305" s="69"/>
      <c r="H305" s="70"/>
      <c r="K305" s="70"/>
      <c r="L305" s="71"/>
      <c r="M305" s="72"/>
      <c r="P305" s="72"/>
    </row>
    <row r="306">
      <c r="B306" s="68"/>
      <c r="D306" s="69"/>
      <c r="H306" s="70"/>
      <c r="K306" s="70"/>
      <c r="L306" s="71"/>
      <c r="M306" s="72"/>
      <c r="P306" s="72"/>
    </row>
    <row r="307">
      <c r="B307" s="68"/>
      <c r="D307" s="69"/>
      <c r="H307" s="70"/>
      <c r="K307" s="70"/>
      <c r="L307" s="71"/>
      <c r="M307" s="72"/>
      <c r="P307" s="72"/>
    </row>
    <row r="308">
      <c r="B308" s="68"/>
      <c r="D308" s="69"/>
      <c r="H308" s="70"/>
      <c r="K308" s="70"/>
      <c r="L308" s="71"/>
      <c r="M308" s="72"/>
      <c r="P308" s="72"/>
    </row>
    <row r="309">
      <c r="B309" s="68"/>
      <c r="D309" s="69"/>
      <c r="H309" s="70"/>
      <c r="K309" s="70"/>
      <c r="L309" s="71"/>
      <c r="M309" s="72"/>
      <c r="P309" s="72"/>
    </row>
    <row r="310">
      <c r="B310" s="68"/>
      <c r="D310" s="69"/>
      <c r="H310" s="70"/>
      <c r="K310" s="70"/>
      <c r="L310" s="71"/>
      <c r="M310" s="72"/>
      <c r="P310" s="72"/>
    </row>
    <row r="311">
      <c r="B311" s="68"/>
      <c r="D311" s="69"/>
      <c r="H311" s="70"/>
      <c r="K311" s="70"/>
      <c r="L311" s="71"/>
      <c r="M311" s="72"/>
      <c r="P311" s="72"/>
    </row>
    <row r="312">
      <c r="B312" s="68"/>
      <c r="D312" s="69"/>
      <c r="H312" s="70"/>
      <c r="K312" s="70"/>
      <c r="L312" s="71"/>
      <c r="M312" s="72"/>
      <c r="P312" s="72"/>
    </row>
    <row r="313">
      <c r="B313" s="68"/>
      <c r="D313" s="69"/>
      <c r="H313" s="70"/>
      <c r="K313" s="70"/>
      <c r="L313" s="71"/>
      <c r="M313" s="72"/>
      <c r="P313" s="72"/>
    </row>
    <row r="314">
      <c r="B314" s="68"/>
      <c r="D314" s="69"/>
      <c r="H314" s="70"/>
      <c r="K314" s="70"/>
      <c r="L314" s="71"/>
      <c r="M314" s="72"/>
      <c r="P314" s="72"/>
    </row>
    <row r="315">
      <c r="B315" s="68"/>
      <c r="D315" s="69"/>
      <c r="H315" s="70"/>
      <c r="K315" s="70"/>
      <c r="L315" s="71"/>
      <c r="M315" s="72"/>
      <c r="P315" s="72"/>
    </row>
    <row r="316">
      <c r="B316" s="68"/>
      <c r="D316" s="69"/>
      <c r="H316" s="70"/>
      <c r="K316" s="70"/>
      <c r="L316" s="71"/>
      <c r="M316" s="72"/>
      <c r="P316" s="72"/>
    </row>
    <row r="317">
      <c r="B317" s="68"/>
      <c r="D317" s="69"/>
      <c r="H317" s="70"/>
      <c r="K317" s="70"/>
      <c r="L317" s="71"/>
      <c r="M317" s="72"/>
      <c r="P317" s="72"/>
    </row>
    <row r="318">
      <c r="B318" s="68"/>
      <c r="D318" s="69"/>
      <c r="H318" s="70"/>
      <c r="K318" s="70"/>
      <c r="L318" s="71"/>
      <c r="M318" s="72"/>
      <c r="P318" s="72"/>
    </row>
    <row r="319">
      <c r="B319" s="68"/>
      <c r="D319" s="69"/>
      <c r="H319" s="70"/>
      <c r="K319" s="70"/>
      <c r="L319" s="71"/>
      <c r="M319" s="72"/>
      <c r="P319" s="72"/>
    </row>
    <row r="320">
      <c r="B320" s="68"/>
      <c r="D320" s="69"/>
      <c r="H320" s="70"/>
      <c r="K320" s="70"/>
      <c r="L320" s="71"/>
      <c r="M320" s="72"/>
      <c r="P320" s="72"/>
    </row>
    <row r="321">
      <c r="B321" s="68"/>
      <c r="D321" s="69"/>
      <c r="H321" s="70"/>
      <c r="K321" s="70"/>
      <c r="L321" s="71"/>
      <c r="M321" s="72"/>
      <c r="P321" s="72"/>
    </row>
    <row r="322">
      <c r="B322" s="68"/>
      <c r="D322" s="69"/>
      <c r="H322" s="70"/>
      <c r="K322" s="70"/>
      <c r="L322" s="71"/>
      <c r="M322" s="72"/>
      <c r="P322" s="72"/>
    </row>
    <row r="323">
      <c r="B323" s="68"/>
      <c r="D323" s="69"/>
      <c r="H323" s="70"/>
      <c r="K323" s="70"/>
      <c r="L323" s="71"/>
      <c r="M323" s="72"/>
      <c r="P323" s="72"/>
    </row>
    <row r="324">
      <c r="B324" s="68"/>
      <c r="D324" s="69"/>
      <c r="H324" s="70"/>
      <c r="K324" s="70"/>
      <c r="L324" s="71"/>
      <c r="M324" s="72"/>
      <c r="P324" s="72"/>
    </row>
    <row r="325">
      <c r="B325" s="68"/>
      <c r="D325" s="69"/>
      <c r="H325" s="70"/>
      <c r="K325" s="70"/>
      <c r="L325" s="71"/>
      <c r="M325" s="72"/>
      <c r="P325" s="72"/>
    </row>
    <row r="326">
      <c r="B326" s="68"/>
      <c r="D326" s="69"/>
      <c r="H326" s="70"/>
      <c r="K326" s="70"/>
      <c r="L326" s="71"/>
      <c r="M326" s="72"/>
      <c r="P326" s="72"/>
    </row>
    <row r="327">
      <c r="B327" s="68"/>
      <c r="D327" s="69"/>
      <c r="H327" s="70"/>
      <c r="K327" s="70"/>
      <c r="L327" s="71"/>
      <c r="M327" s="72"/>
      <c r="P327" s="72"/>
    </row>
    <row r="328">
      <c r="B328" s="68"/>
      <c r="D328" s="69"/>
      <c r="H328" s="70"/>
      <c r="K328" s="70"/>
      <c r="L328" s="71"/>
      <c r="M328" s="72"/>
      <c r="P328" s="72"/>
    </row>
    <row r="329">
      <c r="B329" s="68"/>
      <c r="D329" s="69"/>
      <c r="H329" s="70"/>
      <c r="K329" s="70"/>
      <c r="L329" s="71"/>
      <c r="M329" s="72"/>
      <c r="P329" s="72"/>
    </row>
    <row r="330">
      <c r="B330" s="68"/>
      <c r="D330" s="69"/>
      <c r="H330" s="70"/>
      <c r="K330" s="70"/>
      <c r="L330" s="71"/>
      <c r="M330" s="72"/>
      <c r="P330" s="72"/>
    </row>
    <row r="331">
      <c r="B331" s="68"/>
      <c r="D331" s="69"/>
      <c r="H331" s="70"/>
      <c r="K331" s="70"/>
      <c r="L331" s="71"/>
      <c r="M331" s="72"/>
      <c r="P331" s="72"/>
    </row>
    <row r="332">
      <c r="B332" s="68"/>
      <c r="D332" s="69"/>
      <c r="H332" s="70"/>
      <c r="K332" s="70"/>
      <c r="L332" s="71"/>
      <c r="M332" s="72"/>
      <c r="P332" s="72"/>
    </row>
    <row r="333">
      <c r="B333" s="68"/>
      <c r="D333" s="69"/>
      <c r="H333" s="70"/>
      <c r="K333" s="70"/>
      <c r="L333" s="71"/>
      <c r="M333" s="72"/>
      <c r="P333" s="72"/>
    </row>
    <row r="334">
      <c r="B334" s="68"/>
      <c r="D334" s="69"/>
      <c r="H334" s="70"/>
      <c r="K334" s="70"/>
      <c r="L334" s="71"/>
      <c r="M334" s="72"/>
      <c r="P334" s="72"/>
    </row>
    <row r="335">
      <c r="B335" s="68"/>
      <c r="D335" s="69"/>
      <c r="H335" s="70"/>
      <c r="K335" s="70"/>
      <c r="L335" s="71"/>
      <c r="M335" s="72"/>
      <c r="P335" s="72"/>
    </row>
    <row r="336">
      <c r="B336" s="68"/>
      <c r="D336" s="69"/>
      <c r="H336" s="70"/>
      <c r="K336" s="70"/>
      <c r="L336" s="71"/>
      <c r="M336" s="72"/>
      <c r="P336" s="72"/>
    </row>
    <row r="337">
      <c r="B337" s="68"/>
      <c r="D337" s="69"/>
      <c r="H337" s="70"/>
      <c r="K337" s="70"/>
      <c r="L337" s="71"/>
      <c r="M337" s="72"/>
      <c r="P337" s="72"/>
    </row>
    <row r="338">
      <c r="B338" s="68"/>
      <c r="D338" s="69"/>
      <c r="H338" s="70"/>
      <c r="K338" s="70"/>
      <c r="L338" s="71"/>
      <c r="M338" s="72"/>
      <c r="P338" s="72"/>
    </row>
    <row r="339">
      <c r="B339" s="68"/>
      <c r="D339" s="69"/>
      <c r="H339" s="70"/>
      <c r="K339" s="70"/>
      <c r="L339" s="71"/>
      <c r="M339" s="72"/>
      <c r="P339" s="72"/>
    </row>
    <row r="340">
      <c r="B340" s="68"/>
      <c r="D340" s="69"/>
      <c r="H340" s="70"/>
      <c r="K340" s="70"/>
      <c r="L340" s="71"/>
      <c r="M340" s="72"/>
      <c r="P340" s="72"/>
    </row>
    <row r="341">
      <c r="B341" s="68"/>
      <c r="D341" s="69"/>
      <c r="H341" s="70"/>
      <c r="K341" s="70"/>
      <c r="L341" s="71"/>
      <c r="M341" s="72"/>
      <c r="P341" s="72"/>
    </row>
    <row r="342">
      <c r="B342" s="68"/>
      <c r="D342" s="69"/>
      <c r="H342" s="70"/>
      <c r="K342" s="70"/>
      <c r="L342" s="71"/>
      <c r="M342" s="72"/>
      <c r="P342" s="72"/>
    </row>
    <row r="343">
      <c r="B343" s="68"/>
      <c r="D343" s="69"/>
      <c r="H343" s="70"/>
      <c r="K343" s="70"/>
      <c r="L343" s="71"/>
      <c r="M343" s="72"/>
      <c r="P343" s="72"/>
    </row>
    <row r="344">
      <c r="B344" s="68"/>
      <c r="D344" s="69"/>
      <c r="H344" s="70"/>
      <c r="K344" s="70"/>
      <c r="L344" s="71"/>
      <c r="M344" s="72"/>
      <c r="P344" s="72"/>
    </row>
    <row r="345">
      <c r="B345" s="68"/>
      <c r="D345" s="69"/>
      <c r="H345" s="70"/>
      <c r="K345" s="70"/>
      <c r="L345" s="71"/>
      <c r="M345" s="72"/>
      <c r="P345" s="72"/>
    </row>
    <row r="346">
      <c r="B346" s="68"/>
      <c r="D346" s="69"/>
      <c r="H346" s="70"/>
      <c r="K346" s="70"/>
      <c r="L346" s="71"/>
      <c r="M346" s="72"/>
      <c r="P346" s="72"/>
    </row>
    <row r="347">
      <c r="B347" s="68"/>
      <c r="D347" s="69"/>
      <c r="H347" s="70"/>
      <c r="K347" s="70"/>
      <c r="L347" s="71"/>
      <c r="M347" s="72"/>
      <c r="P347" s="72"/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  <row r="966">
      <c r="B966" s="68"/>
      <c r="D966" s="69"/>
      <c r="H966" s="70"/>
      <c r="K966" s="70"/>
      <c r="L966" s="71"/>
      <c r="M966" s="72"/>
      <c r="P966" s="72"/>
    </row>
    <row r="967">
      <c r="B967" s="68"/>
      <c r="D967" s="69"/>
      <c r="H967" s="70"/>
      <c r="K967" s="70"/>
      <c r="L967" s="71"/>
      <c r="M967" s="72"/>
      <c r="P967" s="72"/>
    </row>
    <row r="968">
      <c r="B968" s="68"/>
      <c r="D968" s="69"/>
      <c r="H968" s="70"/>
      <c r="K968" s="70"/>
      <c r="L968" s="71"/>
      <c r="M968" s="72"/>
      <c r="P968" s="72"/>
    </row>
  </sheetData>
  <autoFilter ref="$A$1:$AA$968"/>
  <drawing r:id="rId4"/>
  <legacy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1">
        <v>45870.0</v>
      </c>
      <c r="C2" s="12">
        <f>VLOOKUP(B:B,'Курс валют'!A:D,4,0)</f>
        <v>91.8751</v>
      </c>
      <c r="D2" s="54" t="s">
        <v>1992</v>
      </c>
      <c r="E2" s="75" t="s">
        <v>18</v>
      </c>
      <c r="F2" s="12">
        <v>8800.0</v>
      </c>
      <c r="G2" s="12">
        <v>8956.0</v>
      </c>
      <c r="H2" s="17">
        <v>158.34</v>
      </c>
      <c r="I2" s="15">
        <f t="shared" ref="I2:I102" si="1">G2-F2</f>
        <v>156</v>
      </c>
      <c r="J2" s="18">
        <f t="shared" ref="J2:J11" si="2">I2/F2*100</f>
        <v>1.772727273</v>
      </c>
      <c r="K2" s="56">
        <v>2.46</v>
      </c>
      <c r="L2" s="19">
        <f t="shared" ref="L2:L102" si="3">H2/F2*100</f>
        <v>1.799318182</v>
      </c>
      <c r="M2" s="20">
        <f t="shared" ref="M2:M102" si="4">P2/F2</f>
        <v>220.9872448</v>
      </c>
      <c r="N2" s="21">
        <f t="shared" ref="N2:N48" si="5">(F2*K2-H2*3.04)/F2</f>
        <v>2.405300727</v>
      </c>
      <c r="O2" s="21">
        <f t="shared" ref="O2:O102" si="6">N2*F2</f>
        <v>21166.6464</v>
      </c>
      <c r="P2" s="22">
        <f t="shared" ref="P2:P102" si="7">O2*C2</f>
        <v>1944687.755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/>
      <c r="B3" s="11">
        <v>45870.0</v>
      </c>
      <c r="C3" s="12">
        <f>VLOOKUP(B:B,'Курс валют'!A:D,4,0)</f>
        <v>91.8751</v>
      </c>
      <c r="D3" s="13" t="s">
        <v>1993</v>
      </c>
      <c r="E3" s="75" t="s">
        <v>128</v>
      </c>
      <c r="F3" s="15">
        <v>2200.0</v>
      </c>
      <c r="G3" s="15">
        <v>2235.0</v>
      </c>
      <c r="H3" s="17">
        <v>0.0</v>
      </c>
      <c r="I3" s="15">
        <f t="shared" si="1"/>
        <v>35</v>
      </c>
      <c r="J3" s="18">
        <f t="shared" si="2"/>
        <v>1.590909091</v>
      </c>
      <c r="K3" s="17">
        <v>2.0</v>
      </c>
      <c r="L3" s="19">
        <f t="shared" si="3"/>
        <v>0</v>
      </c>
      <c r="M3" s="20">
        <f t="shared" si="4"/>
        <v>183.7502</v>
      </c>
      <c r="N3" s="21">
        <f t="shared" si="5"/>
        <v>2</v>
      </c>
      <c r="O3" s="21">
        <f t="shared" si="6"/>
        <v>4400</v>
      </c>
      <c r="P3" s="22">
        <f t="shared" si="7"/>
        <v>404250.44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45871.0</v>
      </c>
      <c r="C4" s="12">
        <f>VLOOKUP(B:B,'Курс валют'!A:D,4,0)</f>
        <v>91.7056</v>
      </c>
      <c r="D4" s="13" t="s">
        <v>1994</v>
      </c>
      <c r="E4" s="140" t="s">
        <v>61</v>
      </c>
      <c r="F4" s="15">
        <v>8800.0</v>
      </c>
      <c r="G4" s="15">
        <v>8957.6</v>
      </c>
      <c r="H4" s="17">
        <v>162.4</v>
      </c>
      <c r="I4" s="15">
        <f t="shared" si="1"/>
        <v>157.6</v>
      </c>
      <c r="J4" s="18">
        <f t="shared" si="2"/>
        <v>1.790909091</v>
      </c>
      <c r="K4" s="17">
        <v>2.6</v>
      </c>
      <c r="L4" s="19">
        <f t="shared" si="3"/>
        <v>1.845454545</v>
      </c>
      <c r="M4" s="20">
        <f t="shared" si="4"/>
        <v>233.2897091</v>
      </c>
      <c r="N4" s="21">
        <f t="shared" si="5"/>
        <v>2.543898182</v>
      </c>
      <c r="O4" s="21">
        <f t="shared" si="6"/>
        <v>22386.304</v>
      </c>
      <c r="P4" s="22">
        <f t="shared" si="7"/>
        <v>2052949.44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45871.0</v>
      </c>
      <c r="C5" s="12">
        <f>VLOOKUP(B:B,'Курс валют'!A:D,4,0)</f>
        <v>91.7056</v>
      </c>
      <c r="D5" s="13" t="s">
        <v>1995</v>
      </c>
      <c r="E5" s="59" t="s">
        <v>128</v>
      </c>
      <c r="F5" s="15">
        <v>2200.0</v>
      </c>
      <c r="G5" s="15">
        <v>2238.8</v>
      </c>
      <c r="H5" s="17">
        <v>0.0</v>
      </c>
      <c r="I5" s="15">
        <f t="shared" si="1"/>
        <v>38.8</v>
      </c>
      <c r="J5" s="18">
        <f t="shared" si="2"/>
        <v>1.763636364</v>
      </c>
      <c r="K5" s="17">
        <v>1.98</v>
      </c>
      <c r="L5" s="19">
        <f t="shared" si="3"/>
        <v>0</v>
      </c>
      <c r="M5" s="20">
        <f t="shared" si="4"/>
        <v>181.577088</v>
      </c>
      <c r="N5" s="21">
        <f t="shared" si="5"/>
        <v>1.98</v>
      </c>
      <c r="O5" s="21">
        <f t="shared" si="6"/>
        <v>4356</v>
      </c>
      <c r="P5" s="22">
        <f t="shared" si="7"/>
        <v>399469.5936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45872.0</v>
      </c>
      <c r="C6" s="12">
        <f>VLOOKUP(B:B,'Курс валют'!A:D,4,0)</f>
        <v>91.7056</v>
      </c>
      <c r="D6" s="13" t="s">
        <v>1996</v>
      </c>
      <c r="E6" s="141" t="s">
        <v>61</v>
      </c>
      <c r="F6" s="15">
        <v>8800.0</v>
      </c>
      <c r="G6" s="15">
        <v>8957.6</v>
      </c>
      <c r="H6" s="17">
        <v>162.4</v>
      </c>
      <c r="I6" s="15">
        <f t="shared" si="1"/>
        <v>157.6</v>
      </c>
      <c r="J6" s="18">
        <f t="shared" si="2"/>
        <v>1.790909091</v>
      </c>
      <c r="K6" s="17">
        <v>2.6</v>
      </c>
      <c r="L6" s="19">
        <f t="shared" si="3"/>
        <v>1.845454545</v>
      </c>
      <c r="M6" s="20">
        <f t="shared" si="4"/>
        <v>233.2897091</v>
      </c>
      <c r="N6" s="21">
        <f t="shared" si="5"/>
        <v>2.543898182</v>
      </c>
      <c r="O6" s="21">
        <f t="shared" si="6"/>
        <v>22386.304</v>
      </c>
      <c r="P6" s="22">
        <f t="shared" si="7"/>
        <v>2052949.44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45873.0</v>
      </c>
      <c r="C7" s="12">
        <f>VLOOKUP(B:B,'Курс валют'!A:D,4,0)</f>
        <v>91.7056</v>
      </c>
      <c r="D7" s="13" t="s">
        <v>1997</v>
      </c>
      <c r="E7" s="59" t="s">
        <v>61</v>
      </c>
      <c r="F7" s="15">
        <v>8800.0</v>
      </c>
      <c r="G7" s="15">
        <v>8957.6</v>
      </c>
      <c r="H7" s="17">
        <v>162.4</v>
      </c>
      <c r="I7" s="15">
        <f t="shared" si="1"/>
        <v>157.6</v>
      </c>
      <c r="J7" s="18">
        <f t="shared" si="2"/>
        <v>1.790909091</v>
      </c>
      <c r="K7" s="17">
        <v>2.57</v>
      </c>
      <c r="L7" s="19">
        <f t="shared" si="3"/>
        <v>1.845454545</v>
      </c>
      <c r="M7" s="20">
        <f t="shared" si="4"/>
        <v>230.5385411</v>
      </c>
      <c r="N7" s="21">
        <f t="shared" si="5"/>
        <v>2.513898182</v>
      </c>
      <c r="O7" s="21">
        <f t="shared" si="6"/>
        <v>22122.304</v>
      </c>
      <c r="P7" s="22">
        <f t="shared" si="7"/>
        <v>2028739.162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45874.0</v>
      </c>
      <c r="C8" s="12">
        <f>VLOOKUP(B:B,'Курс валют'!A:D,4,0)</f>
        <v>92.3252</v>
      </c>
      <c r="D8" s="13" t="s">
        <v>1998</v>
      </c>
      <c r="E8" s="77" t="s">
        <v>53</v>
      </c>
      <c r="F8" s="15">
        <v>8798.0</v>
      </c>
      <c r="G8" s="15">
        <v>8870.0</v>
      </c>
      <c r="H8" s="17">
        <v>0.0</v>
      </c>
      <c r="I8" s="15">
        <f t="shared" si="1"/>
        <v>72</v>
      </c>
      <c r="J8" s="18">
        <f t="shared" si="2"/>
        <v>0.8183678109</v>
      </c>
      <c r="K8" s="17">
        <v>1.81</v>
      </c>
      <c r="L8" s="19">
        <f t="shared" si="3"/>
        <v>0</v>
      </c>
      <c r="M8" s="20">
        <f t="shared" si="4"/>
        <v>167.108612</v>
      </c>
      <c r="N8" s="21">
        <f t="shared" si="5"/>
        <v>1.81</v>
      </c>
      <c r="O8" s="21">
        <f t="shared" si="6"/>
        <v>15924.38</v>
      </c>
      <c r="P8" s="22">
        <f t="shared" si="7"/>
        <v>1470221.568</v>
      </c>
      <c r="R8" s="23" t="s">
        <v>1999</v>
      </c>
      <c r="S8" s="24"/>
      <c r="T8" s="25"/>
      <c r="U8" s="25"/>
      <c r="V8" s="25"/>
      <c r="W8" s="25"/>
      <c r="X8" s="25"/>
      <c r="Y8" s="25"/>
      <c r="Z8" s="25"/>
      <c r="AA8" s="25"/>
    </row>
    <row r="9">
      <c r="A9" s="11"/>
      <c r="B9" s="11">
        <v>45875.0</v>
      </c>
      <c r="C9" s="12">
        <f>VLOOKUP(B:B,'Курс валют'!A:D,4,0)</f>
        <v>92.5094</v>
      </c>
      <c r="D9" s="13" t="s">
        <v>2000</v>
      </c>
      <c r="E9" s="77" t="s">
        <v>18</v>
      </c>
      <c r="F9" s="15">
        <v>11000.0</v>
      </c>
      <c r="G9" s="15">
        <v>11041.0</v>
      </c>
      <c r="H9" s="17">
        <v>0.0</v>
      </c>
      <c r="I9" s="15">
        <f t="shared" si="1"/>
        <v>41</v>
      </c>
      <c r="J9" s="18">
        <f t="shared" si="2"/>
        <v>0.3727272727</v>
      </c>
      <c r="K9" s="17">
        <v>2.49</v>
      </c>
      <c r="L9" s="19">
        <f t="shared" si="3"/>
        <v>0</v>
      </c>
      <c r="M9" s="20">
        <f t="shared" si="4"/>
        <v>230.348406</v>
      </c>
      <c r="N9" s="21">
        <f t="shared" si="5"/>
        <v>2.49</v>
      </c>
      <c r="O9" s="21">
        <f t="shared" si="6"/>
        <v>27390</v>
      </c>
      <c r="P9" s="22">
        <f t="shared" si="7"/>
        <v>2533832.466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11"/>
      <c r="B10" s="11">
        <v>45876.0</v>
      </c>
      <c r="C10" s="12">
        <f>VLOOKUP(B:B,'Курс валют'!A:D,4,0)</f>
        <v>93.0072</v>
      </c>
      <c r="D10" s="13" t="s">
        <v>2001</v>
      </c>
      <c r="E10" s="77" t="s">
        <v>64</v>
      </c>
      <c r="F10" s="15">
        <v>2000.0</v>
      </c>
      <c r="G10" s="15">
        <v>2039.4</v>
      </c>
      <c r="H10" s="17">
        <v>0.0</v>
      </c>
      <c r="I10" s="15">
        <f t="shared" si="1"/>
        <v>39.4</v>
      </c>
      <c r="J10" s="18">
        <f t="shared" si="2"/>
        <v>1.97</v>
      </c>
      <c r="K10" s="17">
        <v>2.55</v>
      </c>
      <c r="L10" s="19">
        <f t="shared" si="3"/>
        <v>0</v>
      </c>
      <c r="M10" s="20">
        <f t="shared" si="4"/>
        <v>237.16836</v>
      </c>
      <c r="N10" s="21">
        <f t="shared" si="5"/>
        <v>2.55</v>
      </c>
      <c r="O10" s="21">
        <f t="shared" si="6"/>
        <v>5100</v>
      </c>
      <c r="P10" s="22">
        <f t="shared" si="7"/>
        <v>474336.72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/>
      <c r="B11" s="11">
        <v>45876.0</v>
      </c>
      <c r="C11" s="12">
        <f>VLOOKUP(B:B,'Курс валют'!A:D,4,0)</f>
        <v>93.0072</v>
      </c>
      <c r="D11" s="13" t="s">
        <v>2002</v>
      </c>
      <c r="E11" s="77" t="s">
        <v>18</v>
      </c>
      <c r="F11" s="15">
        <v>11000.0</v>
      </c>
      <c r="G11" s="15">
        <v>11101.0</v>
      </c>
      <c r="H11" s="17">
        <v>0.0</v>
      </c>
      <c r="I11" s="15">
        <f t="shared" si="1"/>
        <v>101</v>
      </c>
      <c r="J11" s="18">
        <f t="shared" si="2"/>
        <v>0.9181818182</v>
      </c>
      <c r="K11" s="17">
        <v>2.49</v>
      </c>
      <c r="L11" s="19">
        <f t="shared" si="3"/>
        <v>0</v>
      </c>
      <c r="M11" s="20">
        <f t="shared" si="4"/>
        <v>231.587928</v>
      </c>
      <c r="N11" s="21">
        <f t="shared" si="5"/>
        <v>2.49</v>
      </c>
      <c r="O11" s="21">
        <f t="shared" si="6"/>
        <v>27390</v>
      </c>
      <c r="P11" s="22">
        <f t="shared" si="7"/>
        <v>2547467.208</v>
      </c>
      <c r="R11" s="79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/>
      <c r="B12" s="11">
        <v>45877.0</v>
      </c>
      <c r="C12" s="12">
        <f>VLOOKUP(B:B,'Курс валют'!A:D,4,0)</f>
        <v>92.6636</v>
      </c>
      <c r="D12" s="13" t="s">
        <v>2003</v>
      </c>
      <c r="E12" s="77" t="s">
        <v>18</v>
      </c>
      <c r="F12" s="15">
        <v>4400.0</v>
      </c>
      <c r="G12" s="15">
        <v>4440.4</v>
      </c>
      <c r="H12" s="17">
        <v>81.2</v>
      </c>
      <c r="I12" s="15">
        <f t="shared" si="1"/>
        <v>40.4</v>
      </c>
      <c r="J12" s="18"/>
      <c r="K12" s="17">
        <v>2.57</v>
      </c>
      <c r="L12" s="19">
        <f t="shared" si="3"/>
        <v>1.845454545</v>
      </c>
      <c r="M12" s="20">
        <f t="shared" si="4"/>
        <v>232.9468556</v>
      </c>
      <c r="N12" s="21">
        <f t="shared" si="5"/>
        <v>2.513898182</v>
      </c>
      <c r="O12" s="21">
        <f t="shared" si="6"/>
        <v>11061.152</v>
      </c>
      <c r="P12" s="22">
        <f t="shared" si="7"/>
        <v>1024966.164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/>
      <c r="B13" s="11">
        <v>45877.0</v>
      </c>
      <c r="C13" s="12">
        <f>VLOOKUP(B:B,'Курс валют'!A:D,4,0)</f>
        <v>92.6636</v>
      </c>
      <c r="D13" s="13" t="s">
        <v>2004</v>
      </c>
      <c r="E13" s="77" t="s">
        <v>64</v>
      </c>
      <c r="F13" s="15">
        <v>2000.0</v>
      </c>
      <c r="G13" s="15">
        <v>2036.5</v>
      </c>
      <c r="H13" s="17">
        <v>0.0</v>
      </c>
      <c r="I13" s="15">
        <f t="shared" si="1"/>
        <v>36.5</v>
      </c>
      <c r="J13" s="18">
        <f t="shared" ref="J13:J102" si="8">I13/F13*100</f>
        <v>1.825</v>
      </c>
      <c r="K13" s="17">
        <v>2.55</v>
      </c>
      <c r="L13" s="19">
        <f t="shared" si="3"/>
        <v>0</v>
      </c>
      <c r="M13" s="20">
        <f t="shared" si="4"/>
        <v>236.29218</v>
      </c>
      <c r="N13" s="21">
        <f t="shared" si="5"/>
        <v>2.55</v>
      </c>
      <c r="O13" s="21">
        <f t="shared" si="6"/>
        <v>5100</v>
      </c>
      <c r="P13" s="22">
        <f t="shared" si="7"/>
        <v>472584.36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/>
      <c r="B14" s="11">
        <v>45878.0</v>
      </c>
      <c r="C14" s="12">
        <f>VLOOKUP(B:B,'Курс валют'!A:D,4,0)</f>
        <v>92.88</v>
      </c>
      <c r="D14" s="13" t="s">
        <v>2005</v>
      </c>
      <c r="E14" s="142" t="s">
        <v>18</v>
      </c>
      <c r="F14" s="15">
        <v>11000.0</v>
      </c>
      <c r="G14" s="15">
        <v>11101.0</v>
      </c>
      <c r="H14" s="17">
        <v>203.0</v>
      </c>
      <c r="I14" s="15">
        <f t="shared" si="1"/>
        <v>101</v>
      </c>
      <c r="J14" s="18">
        <f t="shared" si="8"/>
        <v>0.9181818182</v>
      </c>
      <c r="K14" s="17">
        <v>2.5</v>
      </c>
      <c r="L14" s="19">
        <f t="shared" si="3"/>
        <v>1.845454545</v>
      </c>
      <c r="M14" s="20">
        <f t="shared" si="4"/>
        <v>226.9892631</v>
      </c>
      <c r="N14" s="21">
        <f t="shared" si="5"/>
        <v>2.443898182</v>
      </c>
      <c r="O14" s="21">
        <f t="shared" si="6"/>
        <v>26882.88</v>
      </c>
      <c r="P14" s="22">
        <f t="shared" si="7"/>
        <v>2496881.894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/>
      <c r="B15" s="11">
        <v>45878.0</v>
      </c>
      <c r="C15" s="12">
        <f>VLOOKUP(B:B,'Курс валют'!A:D,4,0)</f>
        <v>92.88</v>
      </c>
      <c r="D15" s="13" t="s">
        <v>2006</v>
      </c>
      <c r="E15" s="77" t="s">
        <v>395</v>
      </c>
      <c r="F15" s="15">
        <v>2200.0</v>
      </c>
      <c r="G15" s="15">
        <v>2230.6</v>
      </c>
      <c r="H15" s="17">
        <v>0.0</v>
      </c>
      <c r="I15" s="15">
        <f t="shared" si="1"/>
        <v>30.6</v>
      </c>
      <c r="J15" s="18">
        <f t="shared" si="8"/>
        <v>1.390909091</v>
      </c>
      <c r="K15" s="17">
        <v>2.18</v>
      </c>
      <c r="L15" s="19">
        <f t="shared" si="3"/>
        <v>0</v>
      </c>
      <c r="M15" s="20">
        <f t="shared" si="4"/>
        <v>202.4784</v>
      </c>
      <c r="N15" s="21">
        <f t="shared" si="5"/>
        <v>2.18</v>
      </c>
      <c r="O15" s="21">
        <f t="shared" si="6"/>
        <v>4796</v>
      </c>
      <c r="P15" s="22">
        <f t="shared" si="7"/>
        <v>445452.48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11"/>
      <c r="B16" s="11">
        <v>45879.0</v>
      </c>
      <c r="C16" s="12">
        <f>VLOOKUP(B:B,'Курс валют'!A:D,4,0)</f>
        <v>92.88</v>
      </c>
      <c r="D16" s="13" t="s">
        <v>2007</v>
      </c>
      <c r="E16" s="142" t="s">
        <v>18</v>
      </c>
      <c r="F16" s="15">
        <v>8800.0</v>
      </c>
      <c r="G16" s="15">
        <v>8880.8</v>
      </c>
      <c r="H16" s="17">
        <v>162.4</v>
      </c>
      <c r="I16" s="15">
        <f t="shared" si="1"/>
        <v>80.8</v>
      </c>
      <c r="J16" s="18">
        <f t="shared" si="8"/>
        <v>0.9181818182</v>
      </c>
      <c r="K16" s="17">
        <v>2.5</v>
      </c>
      <c r="L16" s="19">
        <f t="shared" si="3"/>
        <v>1.845454545</v>
      </c>
      <c r="M16" s="20">
        <f t="shared" si="4"/>
        <v>226.9892631</v>
      </c>
      <c r="N16" s="21">
        <f t="shared" si="5"/>
        <v>2.443898182</v>
      </c>
      <c r="O16" s="21">
        <f t="shared" si="6"/>
        <v>21506.304</v>
      </c>
      <c r="P16" s="22">
        <f t="shared" si="7"/>
        <v>1997505.516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>
      <c r="A17" s="11"/>
      <c r="B17" s="11">
        <v>45880.0</v>
      </c>
      <c r="C17" s="12">
        <f>VLOOKUP(B:B,'Курс валют'!A:D,4,0)</f>
        <v>92.88</v>
      </c>
      <c r="D17" s="13" t="s">
        <v>2008</v>
      </c>
      <c r="E17" s="77" t="s">
        <v>1948</v>
      </c>
      <c r="F17" s="15">
        <v>1200.0</v>
      </c>
      <c r="G17" s="15">
        <v>1224.4</v>
      </c>
      <c r="H17" s="17">
        <v>0.0</v>
      </c>
      <c r="I17" s="15">
        <f t="shared" si="1"/>
        <v>24.4</v>
      </c>
      <c r="J17" s="18">
        <f t="shared" si="8"/>
        <v>2.033333333</v>
      </c>
      <c r="K17" s="17">
        <v>2.45</v>
      </c>
      <c r="L17" s="19">
        <f t="shared" si="3"/>
        <v>0</v>
      </c>
      <c r="M17" s="20">
        <f t="shared" si="4"/>
        <v>227.556</v>
      </c>
      <c r="N17" s="21">
        <f t="shared" si="5"/>
        <v>2.45</v>
      </c>
      <c r="O17" s="21">
        <f t="shared" si="6"/>
        <v>2940</v>
      </c>
      <c r="P17" s="22">
        <f t="shared" si="7"/>
        <v>273067.2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/>
      <c r="B18" s="11">
        <v>45880.0</v>
      </c>
      <c r="C18" s="12">
        <f>VLOOKUP(B:B,'Курс валют'!A:D,4,0)</f>
        <v>92.88</v>
      </c>
      <c r="D18" s="13" t="s">
        <v>2009</v>
      </c>
      <c r="E18" s="77" t="s">
        <v>18</v>
      </c>
      <c r="F18" s="15">
        <v>11000.0</v>
      </c>
      <c r="G18" s="15">
        <v>11101.0</v>
      </c>
      <c r="H18" s="17">
        <v>203.0</v>
      </c>
      <c r="I18" s="15">
        <f t="shared" si="1"/>
        <v>101</v>
      </c>
      <c r="J18" s="18">
        <f t="shared" si="8"/>
        <v>0.9181818182</v>
      </c>
      <c r="K18" s="17">
        <v>2.62</v>
      </c>
      <c r="L18" s="19">
        <f t="shared" si="3"/>
        <v>1.845454545</v>
      </c>
      <c r="M18" s="20">
        <f t="shared" si="4"/>
        <v>238.1348631</v>
      </c>
      <c r="N18" s="21">
        <f t="shared" si="5"/>
        <v>2.563898182</v>
      </c>
      <c r="O18" s="21">
        <f t="shared" si="6"/>
        <v>28202.88</v>
      </c>
      <c r="P18" s="22">
        <f t="shared" si="7"/>
        <v>2619483.494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45881.0</v>
      </c>
      <c r="C19" s="12">
        <f>VLOOKUP(B:B,'Курс валют'!A:D,4,0)</f>
        <v>92.9485</v>
      </c>
      <c r="D19" s="13" t="s">
        <v>2010</v>
      </c>
      <c r="E19" s="59" t="s">
        <v>63</v>
      </c>
      <c r="F19" s="15">
        <v>2250.0</v>
      </c>
      <c r="G19" s="15">
        <v>2278.9</v>
      </c>
      <c r="H19" s="17">
        <v>0.0</v>
      </c>
      <c r="I19" s="15">
        <f t="shared" si="1"/>
        <v>28.9</v>
      </c>
      <c r="J19" s="18">
        <f t="shared" si="8"/>
        <v>1.284444444</v>
      </c>
      <c r="K19" s="17">
        <v>2.22</v>
      </c>
      <c r="L19" s="19">
        <f t="shared" si="3"/>
        <v>0</v>
      </c>
      <c r="M19" s="20">
        <f t="shared" si="4"/>
        <v>206.34567</v>
      </c>
      <c r="N19" s="21">
        <f t="shared" si="5"/>
        <v>2.22</v>
      </c>
      <c r="O19" s="21">
        <f t="shared" si="6"/>
        <v>4995</v>
      </c>
      <c r="P19" s="22">
        <f t="shared" si="7"/>
        <v>464277.7575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>
      <c r="A20" s="30"/>
      <c r="B20" s="11">
        <v>45881.0</v>
      </c>
      <c r="C20" s="12">
        <f>VLOOKUP(B:B,'Курс валют'!A:D,4,0)</f>
        <v>92.9485</v>
      </c>
      <c r="D20" s="13" t="s">
        <v>2011</v>
      </c>
      <c r="E20" s="59" t="s">
        <v>18</v>
      </c>
      <c r="F20" s="15">
        <v>11000.0</v>
      </c>
      <c r="G20" s="15">
        <v>11101.0</v>
      </c>
      <c r="H20" s="17">
        <v>203.0</v>
      </c>
      <c r="I20" s="15">
        <f t="shared" si="1"/>
        <v>101</v>
      </c>
      <c r="J20" s="18">
        <f t="shared" si="8"/>
        <v>0.9181818182</v>
      </c>
      <c r="K20" s="17">
        <v>2.55</v>
      </c>
      <c r="L20" s="19">
        <f t="shared" si="3"/>
        <v>1.845454545</v>
      </c>
      <c r="M20" s="20">
        <f t="shared" si="4"/>
        <v>231.8040952</v>
      </c>
      <c r="N20" s="21">
        <f t="shared" si="5"/>
        <v>2.493898182</v>
      </c>
      <c r="O20" s="21">
        <f t="shared" si="6"/>
        <v>27432.88</v>
      </c>
      <c r="P20" s="22">
        <f t="shared" si="7"/>
        <v>2549845.047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>
      <c r="A21" s="30"/>
      <c r="B21" s="11">
        <v>45882.0</v>
      </c>
      <c r="C21" s="12">
        <f>VLOOKUP(B:B,'Курс валют'!A:D,4,0)</f>
        <v>92.8583</v>
      </c>
      <c r="D21" s="13" t="s">
        <v>2012</v>
      </c>
      <c r="E21" s="141" t="s">
        <v>54</v>
      </c>
      <c r="F21" s="15">
        <v>7998.0</v>
      </c>
      <c r="G21" s="15">
        <v>8097.0</v>
      </c>
      <c r="H21" s="17">
        <v>0.0</v>
      </c>
      <c r="I21" s="15">
        <f t="shared" si="1"/>
        <v>99</v>
      </c>
      <c r="J21" s="18">
        <f t="shared" si="8"/>
        <v>1.237809452</v>
      </c>
      <c r="K21" s="17">
        <v>1.99</v>
      </c>
      <c r="L21" s="19">
        <f t="shared" si="3"/>
        <v>0</v>
      </c>
      <c r="M21" s="20">
        <f t="shared" si="4"/>
        <v>184.788017</v>
      </c>
      <c r="N21" s="21">
        <f t="shared" si="5"/>
        <v>1.99</v>
      </c>
      <c r="O21" s="21">
        <f t="shared" si="6"/>
        <v>15916.02</v>
      </c>
      <c r="P21" s="22">
        <f t="shared" si="7"/>
        <v>1477934.56</v>
      </c>
      <c r="R21" s="23" t="s">
        <v>2013</v>
      </c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/>
      <c r="B22" s="11">
        <v>45883.0</v>
      </c>
      <c r="C22" s="12">
        <f>VLOOKUP(B:B,'Курс валют'!A:D,4,0)</f>
        <v>93.3875</v>
      </c>
      <c r="D22" s="13" t="s">
        <v>2014</v>
      </c>
      <c r="E22" s="141" t="s">
        <v>54</v>
      </c>
      <c r="F22" s="15">
        <v>8000.0</v>
      </c>
      <c r="G22" s="15">
        <v>8097.0</v>
      </c>
      <c r="H22" s="17">
        <v>0.0</v>
      </c>
      <c r="I22" s="15">
        <f t="shared" si="1"/>
        <v>97</v>
      </c>
      <c r="J22" s="18">
        <f t="shared" si="8"/>
        <v>1.2125</v>
      </c>
      <c r="K22" s="17">
        <v>1.99</v>
      </c>
      <c r="L22" s="19">
        <f t="shared" si="3"/>
        <v>0</v>
      </c>
      <c r="M22" s="20">
        <f t="shared" si="4"/>
        <v>185.841125</v>
      </c>
      <c r="N22" s="21">
        <f t="shared" si="5"/>
        <v>1.99</v>
      </c>
      <c r="O22" s="21">
        <f t="shared" si="6"/>
        <v>15920</v>
      </c>
      <c r="P22" s="22">
        <f t="shared" si="7"/>
        <v>1486729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>
      <c r="A23" s="30"/>
      <c r="B23" s="11">
        <v>45884.0</v>
      </c>
      <c r="C23" s="12">
        <f>VLOOKUP(B:B,'Курс валют'!A:D,4,0)</f>
        <v>93.0588</v>
      </c>
      <c r="D23" s="13" t="s">
        <v>2015</v>
      </c>
      <c r="E23" s="59" t="s">
        <v>59</v>
      </c>
      <c r="F23" s="15">
        <v>2000.0</v>
      </c>
      <c r="G23" s="15">
        <v>2025.8</v>
      </c>
      <c r="H23" s="17">
        <v>0.0</v>
      </c>
      <c r="I23" s="15">
        <f t="shared" si="1"/>
        <v>25.8</v>
      </c>
      <c r="J23" s="18">
        <f t="shared" si="8"/>
        <v>1.29</v>
      </c>
      <c r="K23" s="17">
        <v>2.39</v>
      </c>
      <c r="L23" s="19">
        <f t="shared" si="3"/>
        <v>0</v>
      </c>
      <c r="M23" s="20">
        <f t="shared" si="4"/>
        <v>222.410532</v>
      </c>
      <c r="N23" s="21">
        <f t="shared" si="5"/>
        <v>2.39</v>
      </c>
      <c r="O23" s="21">
        <f t="shared" si="6"/>
        <v>4780</v>
      </c>
      <c r="P23" s="22">
        <f t="shared" si="7"/>
        <v>444821.064</v>
      </c>
      <c r="R23" s="23"/>
      <c r="S23" s="24"/>
      <c r="T23" s="32"/>
      <c r="U23" s="32"/>
      <c r="V23" s="32"/>
      <c r="W23" s="32"/>
      <c r="X23" s="32"/>
      <c r="Y23" s="32"/>
      <c r="Z23" s="32"/>
      <c r="AA23" s="32"/>
    </row>
    <row r="24">
      <c r="A24" s="30"/>
      <c r="B24" s="11">
        <v>45884.0</v>
      </c>
      <c r="C24" s="12">
        <f>VLOOKUP(B:B,'Курс валют'!A:D,4,0)</f>
        <v>93.0588</v>
      </c>
      <c r="D24" s="13" t="s">
        <v>2016</v>
      </c>
      <c r="E24" s="59" t="s">
        <v>400</v>
      </c>
      <c r="F24" s="15">
        <v>1043.1</v>
      </c>
      <c r="G24" s="15">
        <v>1056.2</v>
      </c>
      <c r="H24" s="17">
        <v>0.0</v>
      </c>
      <c r="I24" s="15">
        <f t="shared" si="1"/>
        <v>13.1</v>
      </c>
      <c r="J24" s="18">
        <f t="shared" si="8"/>
        <v>1.25587192</v>
      </c>
      <c r="K24" s="17">
        <v>1.45</v>
      </c>
      <c r="L24" s="19">
        <f t="shared" si="3"/>
        <v>0</v>
      </c>
      <c r="M24" s="20">
        <f t="shared" si="4"/>
        <v>134.93526</v>
      </c>
      <c r="N24" s="21">
        <f t="shared" si="5"/>
        <v>1.45</v>
      </c>
      <c r="O24" s="21">
        <f t="shared" si="6"/>
        <v>1512.495</v>
      </c>
      <c r="P24" s="22">
        <f t="shared" si="7"/>
        <v>140750.9697</v>
      </c>
      <c r="R24" s="31"/>
      <c r="S24" s="24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45885.0</v>
      </c>
      <c r="C25" s="12">
        <f>VLOOKUP(B:B,'Курс валют'!A:D,4,0)</f>
        <v>93.7094</v>
      </c>
      <c r="D25" s="13" t="s">
        <v>2017</v>
      </c>
      <c r="E25" s="77" t="s">
        <v>59</v>
      </c>
      <c r="F25" s="15">
        <v>2000.0</v>
      </c>
      <c r="G25" s="15">
        <v>2025.8</v>
      </c>
      <c r="H25" s="17">
        <v>0.0</v>
      </c>
      <c r="I25" s="15">
        <f t="shared" si="1"/>
        <v>25.8</v>
      </c>
      <c r="J25" s="18">
        <f t="shared" si="8"/>
        <v>1.29</v>
      </c>
      <c r="K25" s="17">
        <v>2.36</v>
      </c>
      <c r="L25" s="19">
        <f t="shared" si="3"/>
        <v>0</v>
      </c>
      <c r="M25" s="20">
        <f t="shared" si="4"/>
        <v>221.154184</v>
      </c>
      <c r="N25" s="21">
        <f t="shared" si="5"/>
        <v>2.36</v>
      </c>
      <c r="O25" s="21">
        <f t="shared" si="6"/>
        <v>4720</v>
      </c>
      <c r="P25" s="22">
        <f t="shared" si="7"/>
        <v>442308.368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45885.0</v>
      </c>
      <c r="C26" s="12">
        <f>VLOOKUP(B:B,'Курс валют'!A:D,4,0)</f>
        <v>93.7094</v>
      </c>
      <c r="D26" s="13" t="s">
        <v>2018</v>
      </c>
      <c r="E26" s="59" t="s">
        <v>118</v>
      </c>
      <c r="F26" s="15">
        <v>296.0</v>
      </c>
      <c r="G26" s="15">
        <v>300.5</v>
      </c>
      <c r="H26" s="17">
        <v>0.0</v>
      </c>
      <c r="I26" s="15">
        <f t="shared" si="1"/>
        <v>4.5</v>
      </c>
      <c r="J26" s="18">
        <f t="shared" si="8"/>
        <v>1.52027027</v>
      </c>
      <c r="K26" s="17">
        <v>1.44</v>
      </c>
      <c r="L26" s="19">
        <f t="shared" si="3"/>
        <v>0</v>
      </c>
      <c r="M26" s="20">
        <f t="shared" si="4"/>
        <v>134.941536</v>
      </c>
      <c r="N26" s="21">
        <f t="shared" si="5"/>
        <v>1.44</v>
      </c>
      <c r="O26" s="21">
        <f t="shared" si="6"/>
        <v>426.24</v>
      </c>
      <c r="P26" s="22">
        <f t="shared" si="7"/>
        <v>39942.69466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 ht="15.0" customHeight="1">
      <c r="A27" s="30"/>
      <c r="B27" s="11">
        <v>45885.0</v>
      </c>
      <c r="C27" s="12">
        <f>VLOOKUP(B:B,'Курс валют'!A:D,4,0)</f>
        <v>93.7094</v>
      </c>
      <c r="D27" s="13" t="s">
        <v>2019</v>
      </c>
      <c r="E27" s="59" t="s">
        <v>1951</v>
      </c>
      <c r="F27" s="15">
        <v>2160.0</v>
      </c>
      <c r="G27" s="15">
        <v>2181.6</v>
      </c>
      <c r="H27" s="17">
        <v>0.0</v>
      </c>
      <c r="I27" s="15">
        <f t="shared" si="1"/>
        <v>21.6</v>
      </c>
      <c r="J27" s="18">
        <f t="shared" si="8"/>
        <v>1</v>
      </c>
      <c r="K27" s="17">
        <v>2.05</v>
      </c>
      <c r="L27" s="19">
        <f t="shared" si="3"/>
        <v>0</v>
      </c>
      <c r="M27" s="20">
        <f t="shared" si="4"/>
        <v>192.10427</v>
      </c>
      <c r="N27" s="21">
        <f t="shared" si="5"/>
        <v>2.05</v>
      </c>
      <c r="O27" s="21">
        <f t="shared" si="6"/>
        <v>4428</v>
      </c>
      <c r="P27" s="22">
        <f t="shared" si="7"/>
        <v>414945.2232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30"/>
      <c r="B28" s="11">
        <v>45886.0</v>
      </c>
      <c r="C28" s="12">
        <f>VLOOKUP(B:B,'Курс валют'!A:D,4,0)</f>
        <v>93.7094</v>
      </c>
      <c r="D28" s="13" t="s">
        <v>2020</v>
      </c>
      <c r="E28" s="59" t="s">
        <v>59</v>
      </c>
      <c r="F28" s="15">
        <v>2000.0</v>
      </c>
      <c r="G28" s="15">
        <v>2025.8</v>
      </c>
      <c r="H28" s="17">
        <v>0.0</v>
      </c>
      <c r="I28" s="15">
        <f t="shared" si="1"/>
        <v>25.8</v>
      </c>
      <c r="J28" s="18">
        <f t="shared" si="8"/>
        <v>1.29</v>
      </c>
      <c r="K28" s="17">
        <v>2.3</v>
      </c>
      <c r="L28" s="19">
        <f t="shared" si="3"/>
        <v>0</v>
      </c>
      <c r="M28" s="20">
        <f t="shared" si="4"/>
        <v>215.53162</v>
      </c>
      <c r="N28" s="21">
        <f t="shared" si="5"/>
        <v>2.3</v>
      </c>
      <c r="O28" s="21">
        <f t="shared" si="6"/>
        <v>4600</v>
      </c>
      <c r="P28" s="22">
        <f t="shared" si="7"/>
        <v>431063.24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45886.0</v>
      </c>
      <c r="C29" s="12">
        <f>VLOOKUP(B:B,'Курс валют'!A:D,4,0)</f>
        <v>93.7094</v>
      </c>
      <c r="D29" s="13" t="s">
        <v>2021</v>
      </c>
      <c r="E29" s="59" t="s">
        <v>2022</v>
      </c>
      <c r="F29" s="15">
        <v>8000.0</v>
      </c>
      <c r="G29" s="15">
        <v>8097.0</v>
      </c>
      <c r="H29" s="17">
        <v>768.0</v>
      </c>
      <c r="I29" s="15">
        <f t="shared" si="1"/>
        <v>97</v>
      </c>
      <c r="J29" s="18">
        <f t="shared" si="8"/>
        <v>1.2125</v>
      </c>
      <c r="K29" s="17">
        <v>1.83</v>
      </c>
      <c r="L29" s="19">
        <f t="shared" si="3"/>
        <v>9.6</v>
      </c>
      <c r="M29" s="20">
        <f t="shared" si="4"/>
        <v>144.1400507</v>
      </c>
      <c r="N29" s="21">
        <f t="shared" si="5"/>
        <v>1.53816</v>
      </c>
      <c r="O29" s="21">
        <f t="shared" si="6"/>
        <v>12305.28</v>
      </c>
      <c r="P29" s="22">
        <f t="shared" si="7"/>
        <v>1153120.406</v>
      </c>
      <c r="R29" s="23"/>
      <c r="S29" s="57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45887.0</v>
      </c>
      <c r="C30" s="12">
        <f>VLOOKUP(B:B,'Курс валют'!A:D,4,0)</f>
        <v>93.7094</v>
      </c>
      <c r="D30" s="13" t="s">
        <v>2023</v>
      </c>
      <c r="E30" s="77" t="s">
        <v>104</v>
      </c>
      <c r="F30" s="76">
        <v>3200.0</v>
      </c>
      <c r="G30" s="76">
        <v>3240.7</v>
      </c>
      <c r="H30" s="58">
        <v>0.0</v>
      </c>
      <c r="I30" s="15">
        <f t="shared" si="1"/>
        <v>40.7</v>
      </c>
      <c r="J30" s="18">
        <f t="shared" si="8"/>
        <v>1.271875</v>
      </c>
      <c r="K30" s="58">
        <v>2.8</v>
      </c>
      <c r="L30" s="19">
        <f t="shared" si="3"/>
        <v>0</v>
      </c>
      <c r="M30" s="20">
        <f t="shared" si="4"/>
        <v>262.38632</v>
      </c>
      <c r="N30" s="21">
        <f t="shared" si="5"/>
        <v>2.8</v>
      </c>
      <c r="O30" s="21">
        <f t="shared" si="6"/>
        <v>8960</v>
      </c>
      <c r="P30" s="22">
        <f t="shared" si="7"/>
        <v>839636.224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45887.0</v>
      </c>
      <c r="C31" s="12">
        <f>VLOOKUP(B:B,'Курс валют'!A:D,4,0)</f>
        <v>93.7094</v>
      </c>
      <c r="D31" s="13" t="s">
        <v>2024</v>
      </c>
      <c r="E31" s="77" t="s">
        <v>59</v>
      </c>
      <c r="F31" s="15">
        <v>2000.0</v>
      </c>
      <c r="G31" s="15">
        <v>2025.8</v>
      </c>
      <c r="H31" s="17">
        <v>0.0</v>
      </c>
      <c r="I31" s="15">
        <f t="shared" si="1"/>
        <v>25.8</v>
      </c>
      <c r="J31" s="18">
        <f t="shared" si="8"/>
        <v>1.29</v>
      </c>
      <c r="K31" s="17">
        <v>2.3</v>
      </c>
      <c r="L31" s="19">
        <f t="shared" si="3"/>
        <v>0</v>
      </c>
      <c r="M31" s="20">
        <f t="shared" si="4"/>
        <v>215.53162</v>
      </c>
      <c r="N31" s="21">
        <f t="shared" si="5"/>
        <v>2.3</v>
      </c>
      <c r="O31" s="21">
        <f t="shared" si="6"/>
        <v>4600</v>
      </c>
      <c r="P31" s="22">
        <f t="shared" si="7"/>
        <v>431063.24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45888.0</v>
      </c>
      <c r="C32" s="12">
        <f>VLOOKUP(B:B,'Курс валют'!A:D,4,0)</f>
        <v>94.0884</v>
      </c>
      <c r="D32" s="13" t="s">
        <v>2025</v>
      </c>
      <c r="E32" s="77" t="s">
        <v>104</v>
      </c>
      <c r="F32" s="15">
        <v>3200.0</v>
      </c>
      <c r="G32" s="15">
        <v>3240.7</v>
      </c>
      <c r="H32" s="17">
        <v>0.0</v>
      </c>
      <c r="I32" s="15">
        <f t="shared" si="1"/>
        <v>40.7</v>
      </c>
      <c r="J32" s="18">
        <f t="shared" si="8"/>
        <v>1.271875</v>
      </c>
      <c r="K32" s="17">
        <v>2.81</v>
      </c>
      <c r="L32" s="19">
        <f t="shared" si="3"/>
        <v>0</v>
      </c>
      <c r="M32" s="20">
        <f t="shared" si="4"/>
        <v>264.388404</v>
      </c>
      <c r="N32" s="21">
        <f t="shared" si="5"/>
        <v>2.81</v>
      </c>
      <c r="O32" s="21">
        <f t="shared" si="6"/>
        <v>8992</v>
      </c>
      <c r="P32" s="22">
        <f t="shared" si="7"/>
        <v>846042.8928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45889.0</v>
      </c>
      <c r="C33" s="12">
        <f>VLOOKUP(B:B,'Курс валют'!A:D,4,0)</f>
        <v>93.5604</v>
      </c>
      <c r="D33" s="13" t="s">
        <v>2026</v>
      </c>
      <c r="E33" s="77" t="s">
        <v>207</v>
      </c>
      <c r="F33" s="15">
        <v>660.0</v>
      </c>
      <c r="G33" s="13">
        <v>660.0</v>
      </c>
      <c r="H33" s="17">
        <v>0.0</v>
      </c>
      <c r="I33" s="15">
        <f t="shared" si="1"/>
        <v>0</v>
      </c>
      <c r="J33" s="18">
        <f t="shared" si="8"/>
        <v>0</v>
      </c>
      <c r="K33" s="17">
        <v>2.8</v>
      </c>
      <c r="L33" s="19">
        <f t="shared" si="3"/>
        <v>0</v>
      </c>
      <c r="M33" s="20">
        <f t="shared" si="4"/>
        <v>261.96912</v>
      </c>
      <c r="N33" s="21">
        <f t="shared" si="5"/>
        <v>2.8</v>
      </c>
      <c r="O33" s="21">
        <f t="shared" si="6"/>
        <v>1848</v>
      </c>
      <c r="P33" s="22">
        <f t="shared" si="7"/>
        <v>172899.6192</v>
      </c>
      <c r="R33" s="23" t="s">
        <v>1101</v>
      </c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45889.0</v>
      </c>
      <c r="C34" s="12">
        <f>VLOOKUP(B:B,'Курс валют'!A:D,4,0)</f>
        <v>93.5604</v>
      </c>
      <c r="D34" s="13" t="s">
        <v>2024</v>
      </c>
      <c r="E34" s="59" t="s">
        <v>73</v>
      </c>
      <c r="F34" s="15">
        <v>800.0</v>
      </c>
      <c r="G34" s="13">
        <v>800.0</v>
      </c>
      <c r="H34" s="17">
        <v>0.0</v>
      </c>
      <c r="I34" s="15">
        <f t="shared" si="1"/>
        <v>0</v>
      </c>
      <c r="J34" s="18">
        <f t="shared" si="8"/>
        <v>0</v>
      </c>
      <c r="K34" s="17">
        <v>3.43</v>
      </c>
      <c r="L34" s="19">
        <f t="shared" si="3"/>
        <v>0</v>
      </c>
      <c r="M34" s="20">
        <f t="shared" si="4"/>
        <v>320.912172</v>
      </c>
      <c r="N34" s="21">
        <f t="shared" si="5"/>
        <v>3.43</v>
      </c>
      <c r="O34" s="21">
        <f t="shared" si="6"/>
        <v>2744</v>
      </c>
      <c r="P34" s="22">
        <f t="shared" si="7"/>
        <v>256729.7376</v>
      </c>
      <c r="R34" s="23" t="s">
        <v>1101</v>
      </c>
      <c r="S34" s="57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45889.0</v>
      </c>
      <c r="C35" s="12">
        <f>VLOOKUP(B:B,'Курс валют'!A:D,4,0)</f>
        <v>93.5604</v>
      </c>
      <c r="D35" s="13" t="s">
        <v>2027</v>
      </c>
      <c r="E35" s="59" t="s">
        <v>53</v>
      </c>
      <c r="F35" s="15">
        <v>796.0</v>
      </c>
      <c r="G35" s="13">
        <v>814.4</v>
      </c>
      <c r="H35" s="17">
        <v>0.0</v>
      </c>
      <c r="I35" s="15">
        <f t="shared" si="1"/>
        <v>18.4</v>
      </c>
      <c r="J35" s="18">
        <f t="shared" si="8"/>
        <v>2.311557789</v>
      </c>
      <c r="K35" s="17">
        <v>1.95</v>
      </c>
      <c r="L35" s="19">
        <f t="shared" si="3"/>
        <v>0</v>
      </c>
      <c r="M35" s="20">
        <f t="shared" si="4"/>
        <v>182.44278</v>
      </c>
      <c r="N35" s="21">
        <f t="shared" si="5"/>
        <v>1.95</v>
      </c>
      <c r="O35" s="21">
        <f t="shared" si="6"/>
        <v>1552.2</v>
      </c>
      <c r="P35" s="22">
        <f t="shared" si="7"/>
        <v>145224.4529</v>
      </c>
      <c r="R35" s="23" t="s">
        <v>2028</v>
      </c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45889.0</v>
      </c>
      <c r="C36" s="12">
        <f>VLOOKUP(B:B,'Курс валют'!A:D,4,0)</f>
        <v>93.5604</v>
      </c>
      <c r="D36" s="13" t="s">
        <v>2029</v>
      </c>
      <c r="E36" s="59" t="s">
        <v>63</v>
      </c>
      <c r="F36" s="15">
        <v>1800.0</v>
      </c>
      <c r="G36" s="13">
        <v>1823.0</v>
      </c>
      <c r="H36" s="17">
        <v>0.0</v>
      </c>
      <c r="I36" s="15">
        <f t="shared" si="1"/>
        <v>23</v>
      </c>
      <c r="J36" s="18">
        <f t="shared" si="8"/>
        <v>1.277777778</v>
      </c>
      <c r="K36" s="17">
        <v>2.21</v>
      </c>
      <c r="L36" s="19">
        <f t="shared" si="3"/>
        <v>0</v>
      </c>
      <c r="M36" s="20">
        <f t="shared" si="4"/>
        <v>206.768484</v>
      </c>
      <c r="N36" s="21">
        <f t="shared" si="5"/>
        <v>2.21</v>
      </c>
      <c r="O36" s="21">
        <f t="shared" si="6"/>
        <v>3978</v>
      </c>
      <c r="P36" s="22">
        <f t="shared" si="7"/>
        <v>372183.2712</v>
      </c>
      <c r="R36" s="31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45890.0</v>
      </c>
      <c r="C37" s="12">
        <f>VLOOKUP(B:B,'Курс валют'!A:D,4,0)</f>
        <v>93.4791</v>
      </c>
      <c r="D37" s="13" t="s">
        <v>2030</v>
      </c>
      <c r="E37" s="59" t="s">
        <v>2031</v>
      </c>
      <c r="F37" s="15">
        <v>1000.0</v>
      </c>
      <c r="G37" s="13">
        <v>1013.8</v>
      </c>
      <c r="H37" s="17">
        <v>0.0</v>
      </c>
      <c r="I37" s="15">
        <f t="shared" si="1"/>
        <v>13.8</v>
      </c>
      <c r="J37" s="18">
        <f t="shared" si="8"/>
        <v>1.38</v>
      </c>
      <c r="K37" s="17">
        <v>2.73</v>
      </c>
      <c r="L37" s="19">
        <f t="shared" si="3"/>
        <v>0</v>
      </c>
      <c r="M37" s="20">
        <f t="shared" si="4"/>
        <v>255.197943</v>
      </c>
      <c r="N37" s="21">
        <f t="shared" si="5"/>
        <v>2.73</v>
      </c>
      <c r="O37" s="21">
        <f t="shared" si="6"/>
        <v>2730</v>
      </c>
      <c r="P37" s="22">
        <f t="shared" si="7"/>
        <v>255197.943</v>
      </c>
      <c r="R37" s="78"/>
      <c r="S37" s="24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45890.0</v>
      </c>
      <c r="C38" s="12">
        <f>VLOOKUP(B:B,'Курс валют'!A:D,4,0)</f>
        <v>93.4791</v>
      </c>
      <c r="D38" s="13" t="s">
        <v>2032</v>
      </c>
      <c r="E38" s="59" t="s">
        <v>18</v>
      </c>
      <c r="F38" s="15">
        <v>4400.0</v>
      </c>
      <c r="G38" s="13">
        <v>4440.4</v>
      </c>
      <c r="H38" s="17">
        <v>81.2</v>
      </c>
      <c r="I38" s="15">
        <f t="shared" si="1"/>
        <v>40.4</v>
      </c>
      <c r="J38" s="18">
        <f t="shared" si="8"/>
        <v>0.9181818182</v>
      </c>
      <c r="K38" s="17">
        <v>2.56</v>
      </c>
      <c r="L38" s="19">
        <f t="shared" si="3"/>
        <v>1.845454545</v>
      </c>
      <c r="M38" s="20">
        <f t="shared" si="4"/>
        <v>234.0621485</v>
      </c>
      <c r="N38" s="21">
        <f t="shared" si="5"/>
        <v>2.503898182</v>
      </c>
      <c r="O38" s="21">
        <f t="shared" si="6"/>
        <v>11017.152</v>
      </c>
      <c r="P38" s="22">
        <f t="shared" si="7"/>
        <v>1029873.454</v>
      </c>
      <c r="R38" s="79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45890.0</v>
      </c>
      <c r="C39" s="12">
        <f>VLOOKUP(B:B,'Курс валют'!A:D,4,0)</f>
        <v>93.4791</v>
      </c>
      <c r="D39" s="13" t="s">
        <v>2033</v>
      </c>
      <c r="E39" s="59" t="s">
        <v>107</v>
      </c>
      <c r="F39" s="15">
        <v>2160.0</v>
      </c>
      <c r="G39" s="13">
        <v>2176.3</v>
      </c>
      <c r="H39" s="17">
        <v>0.0</v>
      </c>
      <c r="I39" s="15">
        <f t="shared" si="1"/>
        <v>16.3</v>
      </c>
      <c r="J39" s="18">
        <f t="shared" si="8"/>
        <v>0.7546296296</v>
      </c>
      <c r="K39" s="17">
        <v>2.65</v>
      </c>
      <c r="L39" s="19">
        <f t="shared" si="3"/>
        <v>0</v>
      </c>
      <c r="M39" s="20">
        <f t="shared" si="4"/>
        <v>247.719615</v>
      </c>
      <c r="N39" s="21">
        <f t="shared" si="5"/>
        <v>2.65</v>
      </c>
      <c r="O39" s="21">
        <f t="shared" si="6"/>
        <v>5724</v>
      </c>
      <c r="P39" s="22">
        <f t="shared" si="7"/>
        <v>535074.3684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11">
        <v>45891.0</v>
      </c>
      <c r="C40" s="12">
        <f>VLOOKUP(B:B,'Курс валют'!A:D,4,0)</f>
        <v>93.5049</v>
      </c>
      <c r="D40" s="13" t="s">
        <v>2034</v>
      </c>
      <c r="E40" s="59" t="s">
        <v>61</v>
      </c>
      <c r="F40" s="15">
        <v>8800.0</v>
      </c>
      <c r="G40" s="13">
        <v>8907.4</v>
      </c>
      <c r="H40" s="17">
        <v>159.2</v>
      </c>
      <c r="I40" s="15">
        <f t="shared" si="1"/>
        <v>107.4</v>
      </c>
      <c r="J40" s="18">
        <f t="shared" si="8"/>
        <v>1.220454545</v>
      </c>
      <c r="K40" s="17">
        <v>2.63</v>
      </c>
      <c r="L40" s="19">
        <f t="shared" si="3"/>
        <v>1.809090909</v>
      </c>
      <c r="M40" s="20">
        <f t="shared" si="4"/>
        <v>240.7754575</v>
      </c>
      <c r="N40" s="21">
        <f t="shared" si="5"/>
        <v>2.575003636</v>
      </c>
      <c r="O40" s="21">
        <f t="shared" si="6"/>
        <v>22660.032</v>
      </c>
      <c r="P40" s="22">
        <f t="shared" si="7"/>
        <v>2118824.026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11">
        <v>45891.0</v>
      </c>
      <c r="C41" s="12">
        <f>VLOOKUP(B:B,'Курс валют'!A:D,4,0)</f>
        <v>93.5049</v>
      </c>
      <c r="D41" s="13" t="s">
        <v>2035</v>
      </c>
      <c r="E41" s="59" t="s">
        <v>63</v>
      </c>
      <c r="F41" s="15">
        <v>2250.0</v>
      </c>
      <c r="G41" s="61">
        <v>2274.6</v>
      </c>
      <c r="H41" s="17">
        <v>0.0</v>
      </c>
      <c r="I41" s="16">
        <f t="shared" si="1"/>
        <v>24.6</v>
      </c>
      <c r="J41" s="18">
        <f t="shared" si="8"/>
        <v>1.093333333</v>
      </c>
      <c r="K41" s="17">
        <v>2.21</v>
      </c>
      <c r="L41" s="19">
        <f t="shared" si="3"/>
        <v>0</v>
      </c>
      <c r="M41" s="20">
        <f t="shared" si="4"/>
        <v>206.645829</v>
      </c>
      <c r="N41" s="21">
        <f t="shared" si="5"/>
        <v>2.21</v>
      </c>
      <c r="O41" s="21">
        <f t="shared" si="6"/>
        <v>4972.5</v>
      </c>
      <c r="P41" s="22">
        <f t="shared" si="7"/>
        <v>464953.1153</v>
      </c>
      <c r="R41" s="31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45892.0</v>
      </c>
      <c r="C42" s="12">
        <f>VLOOKUP(B:B,'Курс валют'!A:D,4,0)</f>
        <v>93.6274</v>
      </c>
      <c r="D42" s="13" t="s">
        <v>2036</v>
      </c>
      <c r="E42" s="59" t="s">
        <v>61</v>
      </c>
      <c r="F42" s="15">
        <v>8800.0</v>
      </c>
      <c r="G42" s="13">
        <v>8907.4</v>
      </c>
      <c r="H42" s="17">
        <v>159.2</v>
      </c>
      <c r="I42" s="15">
        <f t="shared" si="1"/>
        <v>107.4</v>
      </c>
      <c r="J42" s="18">
        <f t="shared" si="8"/>
        <v>1.220454545</v>
      </c>
      <c r="K42" s="17">
        <v>2.63</v>
      </c>
      <c r="L42" s="19">
        <f t="shared" si="3"/>
        <v>1.809090909</v>
      </c>
      <c r="M42" s="20">
        <f t="shared" si="4"/>
        <v>241.0908955</v>
      </c>
      <c r="N42" s="21">
        <f t="shared" si="5"/>
        <v>2.575003636</v>
      </c>
      <c r="O42" s="21">
        <f t="shared" si="6"/>
        <v>22660.032</v>
      </c>
      <c r="P42" s="22">
        <f t="shared" si="7"/>
        <v>2121599.88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30">
        <v>45893.0</v>
      </c>
      <c r="C43" s="12">
        <f>VLOOKUP(B:B,'Курс валют'!A:D,4,0)</f>
        <v>93.6274</v>
      </c>
      <c r="D43" s="13" t="s">
        <v>2037</v>
      </c>
      <c r="E43" s="59" t="s">
        <v>61</v>
      </c>
      <c r="F43" s="15">
        <v>8800.0</v>
      </c>
      <c r="G43" s="13">
        <v>8907.4</v>
      </c>
      <c r="H43" s="17">
        <v>159.2</v>
      </c>
      <c r="I43" s="15">
        <f t="shared" si="1"/>
        <v>107.4</v>
      </c>
      <c r="J43" s="18">
        <f t="shared" si="8"/>
        <v>1.220454545</v>
      </c>
      <c r="K43" s="17">
        <v>2.62</v>
      </c>
      <c r="L43" s="19">
        <f t="shared" si="3"/>
        <v>1.809090909</v>
      </c>
      <c r="M43" s="20">
        <f t="shared" si="4"/>
        <v>240.1546215</v>
      </c>
      <c r="N43" s="21">
        <f t="shared" si="5"/>
        <v>2.565003636</v>
      </c>
      <c r="O43" s="21">
        <f t="shared" si="6"/>
        <v>22572.032</v>
      </c>
      <c r="P43" s="22">
        <f t="shared" si="7"/>
        <v>2113360.669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45894.0</v>
      </c>
      <c r="C44" s="12">
        <f>VLOOKUP(B:B,'Курс валют'!A:D,4,0)</f>
        <v>93.6274</v>
      </c>
      <c r="D44" s="13" t="s">
        <v>2038</v>
      </c>
      <c r="E44" s="59" t="s">
        <v>61</v>
      </c>
      <c r="F44" s="15">
        <v>8800.0</v>
      </c>
      <c r="G44" s="13">
        <v>8907.4</v>
      </c>
      <c r="H44" s="17">
        <v>159.2</v>
      </c>
      <c r="I44" s="15">
        <f t="shared" si="1"/>
        <v>107.4</v>
      </c>
      <c r="J44" s="18">
        <f t="shared" si="8"/>
        <v>1.220454545</v>
      </c>
      <c r="K44" s="17">
        <v>2.64</v>
      </c>
      <c r="L44" s="19">
        <f t="shared" si="3"/>
        <v>1.809090909</v>
      </c>
      <c r="M44" s="20">
        <f t="shared" si="4"/>
        <v>242.0271695</v>
      </c>
      <c r="N44" s="21">
        <f t="shared" si="5"/>
        <v>2.585003636</v>
      </c>
      <c r="O44" s="21">
        <f t="shared" si="6"/>
        <v>22748.032</v>
      </c>
      <c r="P44" s="22">
        <f t="shared" si="7"/>
        <v>2129839.091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45895.0</v>
      </c>
      <c r="C45" s="12">
        <f>VLOOKUP(B:B,'Курс валют'!A:D,4,0)</f>
        <v>94.4622</v>
      </c>
      <c r="D45" s="13" t="s">
        <v>2039</v>
      </c>
      <c r="E45" s="59" t="s">
        <v>18</v>
      </c>
      <c r="F45" s="15">
        <v>8800.0</v>
      </c>
      <c r="G45" s="61">
        <v>8858.4</v>
      </c>
      <c r="H45" s="17">
        <v>160.0</v>
      </c>
      <c r="I45" s="16">
        <f t="shared" si="1"/>
        <v>58.4</v>
      </c>
      <c r="J45" s="18">
        <f t="shared" si="8"/>
        <v>0.6636363636</v>
      </c>
      <c r="K45" s="17">
        <v>2.57</v>
      </c>
      <c r="L45" s="19">
        <f t="shared" si="3"/>
        <v>1.818181818</v>
      </c>
      <c r="M45" s="20">
        <f t="shared" si="4"/>
        <v>237.5466706</v>
      </c>
      <c r="N45" s="21">
        <f t="shared" si="5"/>
        <v>2.514727273</v>
      </c>
      <c r="O45" s="21">
        <f t="shared" si="6"/>
        <v>22129.6</v>
      </c>
      <c r="P45" s="22">
        <f t="shared" si="7"/>
        <v>2090410.701</v>
      </c>
      <c r="R45" s="23"/>
      <c r="S45" s="24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45896.0</v>
      </c>
      <c r="C46" s="12">
        <f>VLOOKUP(B:B,'Курс валют'!A:D,4,0)</f>
        <v>93.3684</v>
      </c>
      <c r="D46" s="13" t="s">
        <v>2040</v>
      </c>
      <c r="E46" s="59" t="s">
        <v>18</v>
      </c>
      <c r="F46" s="15">
        <v>8800.0</v>
      </c>
      <c r="G46" s="13">
        <v>8858.4</v>
      </c>
      <c r="H46" s="17">
        <v>160.0</v>
      </c>
      <c r="I46" s="15">
        <f t="shared" si="1"/>
        <v>58.4</v>
      </c>
      <c r="J46" s="18">
        <f t="shared" si="8"/>
        <v>0.6636363636</v>
      </c>
      <c r="K46" s="17">
        <v>2.77</v>
      </c>
      <c r="L46" s="19">
        <f t="shared" si="3"/>
        <v>1.818181818</v>
      </c>
      <c r="M46" s="20">
        <f t="shared" si="4"/>
        <v>253.4697419</v>
      </c>
      <c r="N46" s="21">
        <f t="shared" si="5"/>
        <v>2.714727273</v>
      </c>
      <c r="O46" s="21">
        <f t="shared" si="6"/>
        <v>23889.6</v>
      </c>
      <c r="P46" s="22">
        <f t="shared" si="7"/>
        <v>2230533.729</v>
      </c>
      <c r="R46" s="23"/>
      <c r="S46" s="24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45897.0</v>
      </c>
      <c r="C47" s="12">
        <f>VLOOKUP(B:B,'Курс валют'!A:D,4,0)</f>
        <v>93.3428</v>
      </c>
      <c r="D47" s="13" t="s">
        <v>2041</v>
      </c>
      <c r="E47" s="59" t="s">
        <v>53</v>
      </c>
      <c r="F47" s="15">
        <v>800.0</v>
      </c>
      <c r="G47" s="61">
        <v>810.05</v>
      </c>
      <c r="H47" s="17">
        <v>0.0</v>
      </c>
      <c r="I47" s="16">
        <f t="shared" si="1"/>
        <v>10.05</v>
      </c>
      <c r="J47" s="18">
        <f t="shared" si="8"/>
        <v>1.25625</v>
      </c>
      <c r="K47" s="17">
        <v>1.87</v>
      </c>
      <c r="L47" s="19">
        <f t="shared" si="3"/>
        <v>0</v>
      </c>
      <c r="M47" s="20">
        <f t="shared" si="4"/>
        <v>174.551036</v>
      </c>
      <c r="N47" s="21">
        <f t="shared" si="5"/>
        <v>1.87</v>
      </c>
      <c r="O47" s="21">
        <f t="shared" si="6"/>
        <v>1496</v>
      </c>
      <c r="P47" s="22">
        <f t="shared" si="7"/>
        <v>139640.8288</v>
      </c>
      <c r="R47" s="23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45897.0</v>
      </c>
      <c r="C48" s="12">
        <f>VLOOKUP(B:B,'Курс валют'!A:D,4,0)</f>
        <v>93.3428</v>
      </c>
      <c r="D48" s="13" t="s">
        <v>2042</v>
      </c>
      <c r="E48" s="59" t="s">
        <v>107</v>
      </c>
      <c r="F48" s="15">
        <v>1920.0</v>
      </c>
      <c r="G48" s="13">
        <v>1943.0</v>
      </c>
      <c r="H48" s="17">
        <v>0.0</v>
      </c>
      <c r="I48" s="15">
        <f t="shared" si="1"/>
        <v>23</v>
      </c>
      <c r="J48" s="18">
        <f t="shared" si="8"/>
        <v>1.197916667</v>
      </c>
      <c r="K48" s="17">
        <v>2.66</v>
      </c>
      <c r="L48" s="19">
        <f t="shared" si="3"/>
        <v>0</v>
      </c>
      <c r="M48" s="20">
        <f t="shared" si="4"/>
        <v>248.291848</v>
      </c>
      <c r="N48" s="21">
        <f t="shared" si="5"/>
        <v>2.66</v>
      </c>
      <c r="O48" s="21">
        <f t="shared" si="6"/>
        <v>5107.2</v>
      </c>
      <c r="P48" s="22">
        <f t="shared" si="7"/>
        <v>476720.3482</v>
      </c>
      <c r="R48" s="23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45897.0</v>
      </c>
      <c r="C49" s="12">
        <f>VLOOKUP(B:B,'Курс валют'!A:D,4,0)</f>
        <v>93.3428</v>
      </c>
      <c r="D49" s="13" t="s">
        <v>2043</v>
      </c>
      <c r="E49" s="59" t="s">
        <v>2044</v>
      </c>
      <c r="F49" s="15">
        <v>6400.0</v>
      </c>
      <c r="G49" s="13">
        <v>6480.3</v>
      </c>
      <c r="H49" s="17">
        <v>613.28</v>
      </c>
      <c r="I49" s="15">
        <f t="shared" si="1"/>
        <v>80.3</v>
      </c>
      <c r="J49" s="18">
        <f t="shared" si="8"/>
        <v>1.2546875</v>
      </c>
      <c r="K49" s="17">
        <v>1.78</v>
      </c>
      <c r="L49" s="19">
        <f t="shared" si="3"/>
        <v>9.5825</v>
      </c>
      <c r="M49" s="20">
        <f t="shared" si="4"/>
        <v>144.2359782</v>
      </c>
      <c r="N49" s="21">
        <f>(F49*K49-H49*2.45)/F49</f>
        <v>1.54522875</v>
      </c>
      <c r="O49" s="21">
        <f t="shared" si="6"/>
        <v>9889.464</v>
      </c>
      <c r="P49" s="22">
        <f t="shared" si="7"/>
        <v>923110.2603</v>
      </c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45898.0</v>
      </c>
      <c r="C50" s="12">
        <f>VLOOKUP(B:B,'Курс валют'!A:D,4,0)</f>
        <v>93.4891</v>
      </c>
      <c r="D50" s="13" t="s">
        <v>2045</v>
      </c>
      <c r="E50" s="59" t="s">
        <v>2044</v>
      </c>
      <c r="F50" s="15">
        <v>8000.0</v>
      </c>
      <c r="G50" s="13">
        <v>8100.4</v>
      </c>
      <c r="H50" s="58">
        <v>766.6</v>
      </c>
      <c r="I50" s="15">
        <f t="shared" si="1"/>
        <v>100.4</v>
      </c>
      <c r="J50" s="18">
        <f t="shared" si="8"/>
        <v>1.255</v>
      </c>
      <c r="K50" s="17">
        <v>1.78</v>
      </c>
      <c r="L50" s="19">
        <f t="shared" si="3"/>
        <v>9.5825</v>
      </c>
      <c r="M50" s="20">
        <f t="shared" si="4"/>
        <v>139.1764753</v>
      </c>
      <c r="N50" s="21">
        <f t="shared" ref="N50:N102" si="9">(F50*K50-H50*3.04)/F50</f>
        <v>1.488692</v>
      </c>
      <c r="O50" s="21">
        <f t="shared" si="6"/>
        <v>11909.536</v>
      </c>
      <c r="P50" s="22">
        <f t="shared" si="7"/>
        <v>1113411.802</v>
      </c>
      <c r="R50" s="23"/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45898.0</v>
      </c>
      <c r="C51" s="12">
        <f>VLOOKUP(B:B,'Курс валют'!A:D,4,0)</f>
        <v>93.4891</v>
      </c>
      <c r="D51" s="13" t="s">
        <v>2046</v>
      </c>
      <c r="E51" s="59" t="s">
        <v>107</v>
      </c>
      <c r="F51" s="15">
        <v>1440.0</v>
      </c>
      <c r="G51" s="13">
        <v>1458.0</v>
      </c>
      <c r="H51" s="58">
        <v>0.0</v>
      </c>
      <c r="I51" s="15">
        <f t="shared" si="1"/>
        <v>18</v>
      </c>
      <c r="J51" s="18">
        <f t="shared" si="8"/>
        <v>1.25</v>
      </c>
      <c r="K51" s="17">
        <v>2.66</v>
      </c>
      <c r="L51" s="19">
        <f t="shared" si="3"/>
        <v>0</v>
      </c>
      <c r="M51" s="20">
        <f t="shared" si="4"/>
        <v>248.681006</v>
      </c>
      <c r="N51" s="21">
        <f t="shared" si="9"/>
        <v>2.66</v>
      </c>
      <c r="O51" s="21">
        <f t="shared" si="6"/>
        <v>3830.4</v>
      </c>
      <c r="P51" s="22">
        <f t="shared" si="7"/>
        <v>358100.6486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45899.0</v>
      </c>
      <c r="C52" s="12">
        <f>VLOOKUP(B:B,'Курс валют'!A:D,4,0)</f>
        <v>94.0479</v>
      </c>
      <c r="D52" s="13" t="s">
        <v>2047</v>
      </c>
      <c r="E52" s="59" t="s">
        <v>2044</v>
      </c>
      <c r="F52" s="15">
        <v>1600.0</v>
      </c>
      <c r="G52" s="13">
        <v>1637.53</v>
      </c>
      <c r="H52" s="58">
        <v>155.6</v>
      </c>
      <c r="I52" s="15">
        <f t="shared" si="1"/>
        <v>37.53</v>
      </c>
      <c r="J52" s="18">
        <f t="shared" si="8"/>
        <v>2.345625</v>
      </c>
      <c r="K52" s="17">
        <v>1.8</v>
      </c>
      <c r="L52" s="19">
        <f t="shared" si="3"/>
        <v>9.725</v>
      </c>
      <c r="M52" s="20">
        <f t="shared" si="4"/>
        <v>141.4818988</v>
      </c>
      <c r="N52" s="21">
        <f t="shared" si="9"/>
        <v>1.50436</v>
      </c>
      <c r="O52" s="21">
        <f t="shared" si="6"/>
        <v>2406.976</v>
      </c>
      <c r="P52" s="22">
        <f t="shared" si="7"/>
        <v>226371.0382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45899.0</v>
      </c>
      <c r="C53" s="12">
        <f>VLOOKUP(B:B,'Курс валют'!A:D,4,0)</f>
        <v>94.0479</v>
      </c>
      <c r="D53" s="13" t="s">
        <v>2048</v>
      </c>
      <c r="E53" s="59" t="s">
        <v>1951</v>
      </c>
      <c r="F53" s="15">
        <v>4500.0</v>
      </c>
      <c r="G53" s="13">
        <v>4545.0</v>
      </c>
      <c r="H53" s="58">
        <v>0.0</v>
      </c>
      <c r="I53" s="15">
        <f t="shared" si="1"/>
        <v>45</v>
      </c>
      <c r="J53" s="18">
        <f t="shared" si="8"/>
        <v>1</v>
      </c>
      <c r="K53" s="17">
        <v>2.05</v>
      </c>
      <c r="L53" s="19">
        <f t="shared" si="3"/>
        <v>0</v>
      </c>
      <c r="M53" s="20">
        <f t="shared" si="4"/>
        <v>192.798195</v>
      </c>
      <c r="N53" s="21">
        <f t="shared" si="9"/>
        <v>2.05</v>
      </c>
      <c r="O53" s="21">
        <f t="shared" si="6"/>
        <v>9225</v>
      </c>
      <c r="P53" s="22">
        <f t="shared" si="7"/>
        <v>867591.8775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45899.0</v>
      </c>
      <c r="C54" s="12">
        <f>VLOOKUP(B:B,'Курс валют'!A:D,4,0)</f>
        <v>94.0479</v>
      </c>
      <c r="D54" s="13" t="s">
        <v>2049</v>
      </c>
      <c r="E54" s="59" t="s">
        <v>107</v>
      </c>
      <c r="F54" s="15">
        <v>1440.0</v>
      </c>
      <c r="G54" s="13">
        <v>1440.0</v>
      </c>
      <c r="H54" s="58">
        <v>0.0</v>
      </c>
      <c r="I54" s="15">
        <f t="shared" si="1"/>
        <v>0</v>
      </c>
      <c r="J54" s="18">
        <f t="shared" si="8"/>
        <v>0</v>
      </c>
      <c r="K54" s="17">
        <v>2.63</v>
      </c>
      <c r="L54" s="19">
        <f t="shared" si="3"/>
        <v>0</v>
      </c>
      <c r="M54" s="20">
        <f t="shared" si="4"/>
        <v>247.345977</v>
      </c>
      <c r="N54" s="21">
        <f t="shared" si="9"/>
        <v>2.63</v>
      </c>
      <c r="O54" s="21">
        <f t="shared" si="6"/>
        <v>3787.2</v>
      </c>
      <c r="P54" s="22">
        <f t="shared" si="7"/>
        <v>356178.2069</v>
      </c>
      <c r="R54" s="31"/>
      <c r="S54" s="24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45900.0</v>
      </c>
      <c r="C55" s="12">
        <f>VLOOKUP(B:B,'Курс валют'!A:D,4,0)</f>
        <v>94.0479</v>
      </c>
      <c r="D55" s="13" t="s">
        <v>2050</v>
      </c>
      <c r="E55" s="59" t="s">
        <v>63</v>
      </c>
      <c r="F55" s="15">
        <v>1800.0</v>
      </c>
      <c r="G55" s="13">
        <v>1825.84</v>
      </c>
      <c r="H55" s="17">
        <v>727.2</v>
      </c>
      <c r="I55" s="15">
        <f t="shared" si="1"/>
        <v>25.84</v>
      </c>
      <c r="J55" s="18">
        <f t="shared" si="8"/>
        <v>1.435555556</v>
      </c>
      <c r="K55" s="62">
        <v>3.23</v>
      </c>
      <c r="L55" s="19">
        <f t="shared" si="3"/>
        <v>40.4</v>
      </c>
      <c r="M55" s="20">
        <f t="shared" si="4"/>
        <v>188.2688481</v>
      </c>
      <c r="N55" s="21">
        <f t="shared" si="9"/>
        <v>2.00184</v>
      </c>
      <c r="O55" s="21">
        <f t="shared" si="6"/>
        <v>3603.312</v>
      </c>
      <c r="P55" s="22">
        <f t="shared" si="7"/>
        <v>338883.9266</v>
      </c>
      <c r="R55" s="31"/>
      <c r="S55" s="24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45900.0</v>
      </c>
      <c r="C56" s="12">
        <f>VLOOKUP(B:B,'Курс валют'!A:D,4,0)</f>
        <v>94.0479</v>
      </c>
      <c r="D56" s="13" t="s">
        <v>2051</v>
      </c>
      <c r="E56" s="59" t="s">
        <v>18</v>
      </c>
      <c r="F56" s="15">
        <v>8800.0</v>
      </c>
      <c r="G56" s="13">
        <v>8900.8</v>
      </c>
      <c r="H56" s="17">
        <v>4060.8</v>
      </c>
      <c r="I56" s="15">
        <f t="shared" si="1"/>
        <v>100.8</v>
      </c>
      <c r="J56" s="18">
        <f t="shared" si="8"/>
        <v>1.145454545</v>
      </c>
      <c r="K56" s="62">
        <v>3.69</v>
      </c>
      <c r="L56" s="19">
        <f t="shared" si="3"/>
        <v>46.14545455</v>
      </c>
      <c r="M56" s="20">
        <f t="shared" si="4"/>
        <v>215.1043049</v>
      </c>
      <c r="N56" s="21">
        <f t="shared" si="9"/>
        <v>2.287178182</v>
      </c>
      <c r="O56" s="21">
        <f t="shared" si="6"/>
        <v>20127.168</v>
      </c>
      <c r="P56" s="22">
        <f t="shared" si="7"/>
        <v>1892917.883</v>
      </c>
      <c r="R56" s="31"/>
      <c r="S56" s="24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/>
      <c r="C57" s="12" t="str">
        <f>VLOOKUP(B:B,'Курс валют'!A:D,4,0)</f>
        <v>#N/A</v>
      </c>
      <c r="D57" s="13"/>
      <c r="E57" s="59"/>
      <c r="F57" s="15"/>
      <c r="G57" s="13"/>
      <c r="H57" s="17"/>
      <c r="I57" s="15">
        <f t="shared" si="1"/>
        <v>0</v>
      </c>
      <c r="J57" s="18" t="str">
        <f t="shared" si="8"/>
        <v>#DIV/0!</v>
      </c>
      <c r="K57" s="17"/>
      <c r="L57" s="19" t="str">
        <f t="shared" si="3"/>
        <v>#DIV/0!</v>
      </c>
      <c r="M57" s="20" t="str">
        <f t="shared" si="4"/>
        <v>#DIV/0!</v>
      </c>
      <c r="N57" s="21" t="str">
        <f t="shared" si="9"/>
        <v>#DIV/0!</v>
      </c>
      <c r="O57" s="21" t="str">
        <f t="shared" si="6"/>
        <v>#DIV/0!</v>
      </c>
      <c r="P57" s="22" t="str">
        <f t="shared" si="7"/>
        <v>#DIV/0!</v>
      </c>
      <c r="R57" s="23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/>
      <c r="C58" s="12" t="str">
        <f>VLOOKUP(B:B,'Курс валют'!A:D,4,0)</f>
        <v>#N/A</v>
      </c>
      <c r="D58" s="13"/>
      <c r="E58" s="64"/>
      <c r="F58" s="15"/>
      <c r="G58" s="13"/>
      <c r="H58" s="17"/>
      <c r="I58" s="15">
        <f t="shared" si="1"/>
        <v>0</v>
      </c>
      <c r="J58" s="18" t="str">
        <f t="shared" si="8"/>
        <v>#DIV/0!</v>
      </c>
      <c r="K58" s="17"/>
      <c r="L58" s="19" t="str">
        <f t="shared" si="3"/>
        <v>#DIV/0!</v>
      </c>
      <c r="M58" s="20" t="str">
        <f t="shared" si="4"/>
        <v>#DIV/0!</v>
      </c>
      <c r="N58" s="21" t="str">
        <f t="shared" si="9"/>
        <v>#DIV/0!</v>
      </c>
      <c r="O58" s="21" t="str">
        <f t="shared" si="6"/>
        <v>#DIV/0!</v>
      </c>
      <c r="P58" s="22" t="str">
        <f t="shared" si="7"/>
        <v>#DIV/0!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/>
      <c r="C59" s="12" t="str">
        <f>VLOOKUP(B:B,'Курс валют'!A:D,4,0)</f>
        <v>#N/A</v>
      </c>
      <c r="D59" s="13"/>
      <c r="E59" s="64"/>
      <c r="F59" s="15"/>
      <c r="G59" s="15"/>
      <c r="H59" s="17"/>
      <c r="I59" s="15">
        <f t="shared" si="1"/>
        <v>0</v>
      </c>
      <c r="J59" s="18" t="str">
        <f t="shared" si="8"/>
        <v>#DIV/0!</v>
      </c>
      <c r="K59" s="17"/>
      <c r="L59" s="19" t="str">
        <f t="shared" si="3"/>
        <v>#DIV/0!</v>
      </c>
      <c r="M59" s="20" t="str">
        <f t="shared" si="4"/>
        <v>#DIV/0!</v>
      </c>
      <c r="N59" s="21" t="str">
        <f t="shared" si="9"/>
        <v>#DIV/0!</v>
      </c>
      <c r="O59" s="21" t="str">
        <f t="shared" si="6"/>
        <v>#DIV/0!</v>
      </c>
      <c r="P59" s="22" t="str">
        <f t="shared" si="7"/>
        <v>#DIV/0!</v>
      </c>
      <c r="R59" s="31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/>
      <c r="C60" s="12" t="str">
        <f>VLOOKUP(B:B,'Курс валют'!A:D,4,0)</f>
        <v>#N/A</v>
      </c>
      <c r="D60" s="13"/>
      <c r="E60" s="59"/>
      <c r="F60" s="15"/>
      <c r="G60" s="15"/>
      <c r="H60" s="17"/>
      <c r="I60" s="15">
        <f t="shared" si="1"/>
        <v>0</v>
      </c>
      <c r="J60" s="18" t="str">
        <f t="shared" si="8"/>
        <v>#DIV/0!</v>
      </c>
      <c r="K60" s="17"/>
      <c r="L60" s="19" t="str">
        <f t="shared" si="3"/>
        <v>#DIV/0!</v>
      </c>
      <c r="M60" s="20" t="str">
        <f t="shared" si="4"/>
        <v>#DIV/0!</v>
      </c>
      <c r="N60" s="21" t="str">
        <f t="shared" si="9"/>
        <v>#DIV/0!</v>
      </c>
      <c r="O60" s="21" t="str">
        <f t="shared" si="6"/>
        <v>#DIV/0!</v>
      </c>
      <c r="P60" s="22" t="str">
        <f t="shared" si="7"/>
        <v>#DIV/0!</v>
      </c>
      <c r="R60" s="31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/>
      <c r="C61" s="12" t="str">
        <f>VLOOKUP(B:B,'Курс валют'!A:D,4,0)</f>
        <v>#N/A</v>
      </c>
      <c r="D61" s="13"/>
      <c r="E61" s="64"/>
      <c r="F61" s="15"/>
      <c r="G61" s="15"/>
      <c r="H61" s="17"/>
      <c r="I61" s="15">
        <f t="shared" si="1"/>
        <v>0</v>
      </c>
      <c r="J61" s="18" t="str">
        <f t="shared" si="8"/>
        <v>#DIV/0!</v>
      </c>
      <c r="K61" s="17"/>
      <c r="L61" s="19" t="str">
        <f t="shared" si="3"/>
        <v>#DIV/0!</v>
      </c>
      <c r="M61" s="20" t="str">
        <f t="shared" si="4"/>
        <v>#DIV/0!</v>
      </c>
      <c r="N61" s="21" t="str">
        <f t="shared" si="9"/>
        <v>#DIV/0!</v>
      </c>
      <c r="O61" s="21" t="str">
        <f t="shared" si="6"/>
        <v>#DIV/0!</v>
      </c>
      <c r="P61" s="22" t="str">
        <f t="shared" si="7"/>
        <v>#DIV/0!</v>
      </c>
      <c r="R61" s="23"/>
      <c r="S61" s="24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/>
      <c r="C62" s="12" t="str">
        <f>VLOOKUP(B:B,'Курс валют'!A:D,4,0)</f>
        <v>#N/A</v>
      </c>
      <c r="D62" s="13"/>
      <c r="E62" s="64"/>
      <c r="F62" s="15"/>
      <c r="G62" s="15"/>
      <c r="H62" s="17"/>
      <c r="I62" s="15">
        <f t="shared" si="1"/>
        <v>0</v>
      </c>
      <c r="J62" s="18" t="str">
        <f t="shared" si="8"/>
        <v>#DIV/0!</v>
      </c>
      <c r="K62" s="17"/>
      <c r="L62" s="19" t="str">
        <f t="shared" si="3"/>
        <v>#DIV/0!</v>
      </c>
      <c r="M62" s="20" t="str">
        <f t="shared" si="4"/>
        <v>#DIV/0!</v>
      </c>
      <c r="N62" s="21" t="str">
        <f t="shared" si="9"/>
        <v>#DIV/0!</v>
      </c>
      <c r="O62" s="21" t="str">
        <f t="shared" si="6"/>
        <v>#DIV/0!</v>
      </c>
      <c r="P62" s="22" t="str">
        <f t="shared" si="7"/>
        <v>#DIV/0!</v>
      </c>
      <c r="R62" s="23"/>
      <c r="S62" s="24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/>
      <c r="C63" s="12" t="str">
        <f>VLOOKUP(B:B,'Курс валют'!A:D,4,0)</f>
        <v>#N/A</v>
      </c>
      <c r="D63" s="13"/>
      <c r="E63" s="64"/>
      <c r="F63" s="15"/>
      <c r="G63" s="15"/>
      <c r="H63" s="17"/>
      <c r="I63" s="15">
        <f t="shared" si="1"/>
        <v>0</v>
      </c>
      <c r="J63" s="18" t="str">
        <f t="shared" si="8"/>
        <v>#DIV/0!</v>
      </c>
      <c r="K63" s="17"/>
      <c r="L63" s="19" t="str">
        <f t="shared" si="3"/>
        <v>#DIV/0!</v>
      </c>
      <c r="M63" s="20" t="str">
        <f t="shared" si="4"/>
        <v>#DIV/0!</v>
      </c>
      <c r="N63" s="21" t="str">
        <f t="shared" si="9"/>
        <v>#DIV/0!</v>
      </c>
      <c r="O63" s="21" t="str">
        <f t="shared" si="6"/>
        <v>#DIV/0!</v>
      </c>
      <c r="P63" s="22" t="str">
        <f t="shared" si="7"/>
        <v>#DIV/0!</v>
      </c>
      <c r="R63" s="23"/>
      <c r="S63" s="24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/>
      <c r="C64" s="12" t="str">
        <f>VLOOKUP(B:B,'Курс валют'!A:D,4,0)</f>
        <v>#N/A</v>
      </c>
      <c r="D64" s="13"/>
      <c r="E64" s="64"/>
      <c r="F64" s="15"/>
      <c r="G64" s="15"/>
      <c r="H64" s="17"/>
      <c r="I64" s="15">
        <f t="shared" si="1"/>
        <v>0</v>
      </c>
      <c r="J64" s="18" t="str">
        <f t="shared" si="8"/>
        <v>#DIV/0!</v>
      </c>
      <c r="K64" s="17"/>
      <c r="L64" s="19" t="str">
        <f t="shared" si="3"/>
        <v>#DIV/0!</v>
      </c>
      <c r="M64" s="20" t="str">
        <f t="shared" si="4"/>
        <v>#DIV/0!</v>
      </c>
      <c r="N64" s="21" t="str">
        <f t="shared" si="9"/>
        <v>#DIV/0!</v>
      </c>
      <c r="O64" s="21" t="str">
        <f t="shared" si="6"/>
        <v>#DIV/0!</v>
      </c>
      <c r="P64" s="22" t="str">
        <f t="shared" si="7"/>
        <v>#DIV/0!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/>
      <c r="C65" s="12" t="str">
        <f>VLOOKUP(B:B,'Курс валют'!A:D,4,0)</f>
        <v>#N/A</v>
      </c>
      <c r="D65" s="13"/>
      <c r="E65" s="64"/>
      <c r="F65" s="15"/>
      <c r="G65" s="15"/>
      <c r="H65" s="17"/>
      <c r="I65" s="15">
        <f t="shared" si="1"/>
        <v>0</v>
      </c>
      <c r="J65" s="18" t="str">
        <f t="shared" si="8"/>
        <v>#DIV/0!</v>
      </c>
      <c r="K65" s="17"/>
      <c r="L65" s="19" t="str">
        <f t="shared" si="3"/>
        <v>#DIV/0!</v>
      </c>
      <c r="M65" s="20" t="str">
        <f t="shared" si="4"/>
        <v>#DIV/0!</v>
      </c>
      <c r="N65" s="21" t="str">
        <f t="shared" si="9"/>
        <v>#DIV/0!</v>
      </c>
      <c r="O65" s="21" t="str">
        <f t="shared" si="6"/>
        <v>#DIV/0!</v>
      </c>
      <c r="P65" s="22" t="str">
        <f t="shared" si="7"/>
        <v>#DIV/0!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/>
      <c r="C66" s="12" t="str">
        <f>VLOOKUP(B:B,'Курс валют'!A:D,4,0)</f>
        <v>#N/A</v>
      </c>
      <c r="D66" s="13"/>
      <c r="E66" s="64"/>
      <c r="F66" s="15"/>
      <c r="G66" s="15"/>
      <c r="H66" s="17"/>
      <c r="I66" s="15">
        <f t="shared" si="1"/>
        <v>0</v>
      </c>
      <c r="J66" s="18" t="str">
        <f t="shared" si="8"/>
        <v>#DIV/0!</v>
      </c>
      <c r="K66" s="17"/>
      <c r="L66" s="19" t="str">
        <f t="shared" si="3"/>
        <v>#DIV/0!</v>
      </c>
      <c r="M66" s="20" t="str">
        <f t="shared" si="4"/>
        <v>#DIV/0!</v>
      </c>
      <c r="N66" s="21" t="str">
        <f t="shared" si="9"/>
        <v>#DIV/0!</v>
      </c>
      <c r="O66" s="21" t="str">
        <f t="shared" si="6"/>
        <v>#DIV/0!</v>
      </c>
      <c r="P66" s="22" t="str">
        <f t="shared" si="7"/>
        <v>#DIV/0!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/>
      <c r="C67" s="12" t="str">
        <f>VLOOKUP(B:B,'Курс валют'!A:D,4,0)</f>
        <v>#N/A</v>
      </c>
      <c r="D67" s="13"/>
      <c r="E67" s="64"/>
      <c r="F67" s="15"/>
      <c r="G67" s="15"/>
      <c r="H67" s="17"/>
      <c r="I67" s="15">
        <f t="shared" si="1"/>
        <v>0</v>
      </c>
      <c r="J67" s="18" t="str">
        <f t="shared" si="8"/>
        <v>#DIV/0!</v>
      </c>
      <c r="K67" s="17"/>
      <c r="L67" s="19" t="str">
        <f t="shared" si="3"/>
        <v>#DIV/0!</v>
      </c>
      <c r="M67" s="20" t="str">
        <f t="shared" si="4"/>
        <v>#DIV/0!</v>
      </c>
      <c r="N67" s="21" t="str">
        <f t="shared" si="9"/>
        <v>#DIV/0!</v>
      </c>
      <c r="O67" s="21" t="str">
        <f t="shared" si="6"/>
        <v>#DIV/0!</v>
      </c>
      <c r="P67" s="22" t="str">
        <f t="shared" si="7"/>
        <v>#DIV/0!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/>
      <c r="C68" s="12" t="str">
        <f>VLOOKUP(B:B,'Курс валют'!A:D,4,0)</f>
        <v>#N/A</v>
      </c>
      <c r="D68" s="13"/>
      <c r="E68" s="64"/>
      <c r="F68" s="15"/>
      <c r="G68" s="15"/>
      <c r="H68" s="17"/>
      <c r="I68" s="15">
        <f t="shared" si="1"/>
        <v>0</v>
      </c>
      <c r="J68" s="18" t="str">
        <f t="shared" si="8"/>
        <v>#DIV/0!</v>
      </c>
      <c r="K68" s="17"/>
      <c r="L68" s="19" t="str">
        <f t="shared" si="3"/>
        <v>#DIV/0!</v>
      </c>
      <c r="M68" s="20" t="str">
        <f t="shared" si="4"/>
        <v>#DIV/0!</v>
      </c>
      <c r="N68" s="21" t="str">
        <f t="shared" si="9"/>
        <v>#DIV/0!</v>
      </c>
      <c r="O68" s="21" t="str">
        <f t="shared" si="6"/>
        <v>#DIV/0!</v>
      </c>
      <c r="P68" s="22" t="str">
        <f t="shared" si="7"/>
        <v>#DIV/0!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30"/>
      <c r="B69" s="11"/>
      <c r="C69" s="12" t="str">
        <f>VLOOKUP(B:B,'Курс валют'!A:D,4,0)</f>
        <v>#N/A</v>
      </c>
      <c r="D69" s="13"/>
      <c r="E69" s="64"/>
      <c r="F69" s="15"/>
      <c r="G69" s="15"/>
      <c r="H69" s="17"/>
      <c r="I69" s="15">
        <f t="shared" si="1"/>
        <v>0</v>
      </c>
      <c r="J69" s="18" t="str">
        <f t="shared" si="8"/>
        <v>#DIV/0!</v>
      </c>
      <c r="K69" s="17"/>
      <c r="L69" s="19" t="str">
        <f t="shared" si="3"/>
        <v>#DIV/0!</v>
      </c>
      <c r="M69" s="20" t="str">
        <f t="shared" si="4"/>
        <v>#DIV/0!</v>
      </c>
      <c r="N69" s="21" t="str">
        <f t="shared" si="9"/>
        <v>#DIV/0!</v>
      </c>
      <c r="O69" s="21" t="str">
        <f t="shared" si="6"/>
        <v>#DIV/0!</v>
      </c>
      <c r="P69" s="22" t="str">
        <f t="shared" si="7"/>
        <v>#DIV/0!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/>
      <c r="B70" s="11"/>
      <c r="C70" s="12" t="str">
        <f>VLOOKUP(B:B,'Курс валют'!A:D,4,0)</f>
        <v>#N/A</v>
      </c>
      <c r="D70" s="13"/>
      <c r="E70" s="77"/>
      <c r="F70" s="15"/>
      <c r="G70" s="15"/>
      <c r="H70" s="17"/>
      <c r="I70" s="15">
        <f t="shared" si="1"/>
        <v>0</v>
      </c>
      <c r="J70" s="18" t="str">
        <f t="shared" si="8"/>
        <v>#DIV/0!</v>
      </c>
      <c r="K70" s="17"/>
      <c r="L70" s="19" t="str">
        <f t="shared" si="3"/>
        <v>#DIV/0!</v>
      </c>
      <c r="M70" s="20" t="str">
        <f t="shared" si="4"/>
        <v>#DIV/0!</v>
      </c>
      <c r="N70" s="21" t="str">
        <f t="shared" si="9"/>
        <v>#DIV/0!</v>
      </c>
      <c r="O70" s="21" t="str">
        <f t="shared" si="6"/>
        <v>#DIV/0!</v>
      </c>
      <c r="P70" s="22" t="str">
        <f t="shared" si="7"/>
        <v>#DIV/0!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63"/>
      <c r="B71" s="11"/>
      <c r="C71" s="12" t="str">
        <f>VLOOKUP(B:B,'Курс валют'!A:D,4,0)</f>
        <v>#N/A</v>
      </c>
      <c r="D71" s="13"/>
      <c r="E71" s="64"/>
      <c r="F71" s="15"/>
      <c r="G71" s="15"/>
      <c r="H71" s="17"/>
      <c r="I71" s="15">
        <f t="shared" si="1"/>
        <v>0</v>
      </c>
      <c r="J71" s="18" t="str">
        <f t="shared" si="8"/>
        <v>#DIV/0!</v>
      </c>
      <c r="K71" s="17"/>
      <c r="L71" s="19" t="str">
        <f t="shared" si="3"/>
        <v>#DIV/0!</v>
      </c>
      <c r="M71" s="20" t="str">
        <f t="shared" si="4"/>
        <v>#DIV/0!</v>
      </c>
      <c r="N71" s="21" t="str">
        <f t="shared" si="9"/>
        <v>#DIV/0!</v>
      </c>
      <c r="O71" s="21" t="str">
        <f t="shared" si="6"/>
        <v>#DIV/0!</v>
      </c>
      <c r="P71" s="22" t="str">
        <f t="shared" si="7"/>
        <v>#DIV/0!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30"/>
      <c r="B72" s="11"/>
      <c r="C72" s="12" t="str">
        <f>VLOOKUP(B:B,'Курс валют'!A:D,4,0)</f>
        <v>#N/A</v>
      </c>
      <c r="D72" s="13"/>
      <c r="E72" s="64"/>
      <c r="F72" s="15"/>
      <c r="G72" s="15"/>
      <c r="H72" s="17"/>
      <c r="I72" s="15">
        <f t="shared" si="1"/>
        <v>0</v>
      </c>
      <c r="J72" s="18" t="str">
        <f t="shared" si="8"/>
        <v>#DIV/0!</v>
      </c>
      <c r="K72" s="17"/>
      <c r="L72" s="19" t="str">
        <f t="shared" si="3"/>
        <v>#DIV/0!</v>
      </c>
      <c r="M72" s="20" t="str">
        <f t="shared" si="4"/>
        <v>#DIV/0!</v>
      </c>
      <c r="N72" s="21" t="str">
        <f t="shared" si="9"/>
        <v>#DIV/0!</v>
      </c>
      <c r="O72" s="21" t="str">
        <f t="shared" si="6"/>
        <v>#DIV/0!</v>
      </c>
      <c r="P72" s="22" t="str">
        <f t="shared" si="7"/>
        <v>#DIV/0!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63"/>
      <c r="B73" s="11"/>
      <c r="C73" s="12" t="str">
        <f>VLOOKUP(B:B,'Курс валют'!A:D,4,0)</f>
        <v>#N/A</v>
      </c>
      <c r="D73" s="13"/>
      <c r="E73" s="64"/>
      <c r="F73" s="15"/>
      <c r="G73" s="15"/>
      <c r="H73" s="17"/>
      <c r="I73" s="15">
        <f t="shared" si="1"/>
        <v>0</v>
      </c>
      <c r="J73" s="18" t="str">
        <f t="shared" si="8"/>
        <v>#DIV/0!</v>
      </c>
      <c r="K73" s="17"/>
      <c r="L73" s="19" t="str">
        <f t="shared" si="3"/>
        <v>#DIV/0!</v>
      </c>
      <c r="M73" s="20" t="str">
        <f t="shared" si="4"/>
        <v>#DIV/0!</v>
      </c>
      <c r="N73" s="21" t="str">
        <f t="shared" si="9"/>
        <v>#DIV/0!</v>
      </c>
      <c r="O73" s="21" t="str">
        <f t="shared" si="6"/>
        <v>#DIV/0!</v>
      </c>
      <c r="P73" s="22" t="str">
        <f t="shared" si="7"/>
        <v>#DIV/0!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/>
      <c r="B74" s="11"/>
      <c r="C74" s="12" t="str">
        <f>VLOOKUP(B:B,'Курс валют'!A:D,4,0)</f>
        <v>#N/A</v>
      </c>
      <c r="D74" s="13"/>
      <c r="E74" s="64"/>
      <c r="F74" s="15"/>
      <c r="G74" s="15"/>
      <c r="H74" s="17"/>
      <c r="I74" s="15">
        <f t="shared" si="1"/>
        <v>0</v>
      </c>
      <c r="J74" s="18" t="str">
        <f t="shared" si="8"/>
        <v>#DIV/0!</v>
      </c>
      <c r="K74" s="17"/>
      <c r="L74" s="19" t="str">
        <f t="shared" si="3"/>
        <v>#DIV/0!</v>
      </c>
      <c r="M74" s="20" t="str">
        <f t="shared" si="4"/>
        <v>#DIV/0!</v>
      </c>
      <c r="N74" s="21" t="str">
        <f t="shared" si="9"/>
        <v>#DIV/0!</v>
      </c>
      <c r="O74" s="21" t="str">
        <f t="shared" si="6"/>
        <v>#DIV/0!</v>
      </c>
      <c r="P74" s="22" t="str">
        <f t="shared" si="7"/>
        <v>#DIV/0!</v>
      </c>
      <c r="R74" s="79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/>
      <c r="B75" s="11"/>
      <c r="C75" s="12" t="str">
        <f>VLOOKUP(B:B,'Курс валют'!A:D,4,0)</f>
        <v>#N/A</v>
      </c>
      <c r="D75" s="13"/>
      <c r="E75" s="64"/>
      <c r="F75" s="15"/>
      <c r="G75" s="15"/>
      <c r="H75" s="17"/>
      <c r="I75" s="15">
        <f t="shared" si="1"/>
        <v>0</v>
      </c>
      <c r="J75" s="18" t="str">
        <f t="shared" si="8"/>
        <v>#DIV/0!</v>
      </c>
      <c r="K75" s="17"/>
      <c r="L75" s="19" t="str">
        <f t="shared" si="3"/>
        <v>#DIV/0!</v>
      </c>
      <c r="M75" s="20" t="str">
        <f t="shared" si="4"/>
        <v>#DIV/0!</v>
      </c>
      <c r="N75" s="21" t="str">
        <f t="shared" si="9"/>
        <v>#DIV/0!</v>
      </c>
      <c r="O75" s="21" t="str">
        <f t="shared" si="6"/>
        <v>#DIV/0!</v>
      </c>
      <c r="P75" s="22" t="str">
        <f t="shared" si="7"/>
        <v>#DIV/0!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63"/>
      <c r="B76" s="11"/>
      <c r="C76" s="12" t="str">
        <f>VLOOKUP(B:B,'Курс валют'!A:D,4,0)</f>
        <v>#N/A</v>
      </c>
      <c r="D76" s="13"/>
      <c r="E76" s="64"/>
      <c r="F76" s="15"/>
      <c r="G76" s="15"/>
      <c r="H76" s="17"/>
      <c r="I76" s="15">
        <f t="shared" si="1"/>
        <v>0</v>
      </c>
      <c r="J76" s="18" t="str">
        <f t="shared" si="8"/>
        <v>#DIV/0!</v>
      </c>
      <c r="K76" s="17"/>
      <c r="L76" s="19" t="str">
        <f t="shared" si="3"/>
        <v>#DIV/0!</v>
      </c>
      <c r="M76" s="20" t="str">
        <f t="shared" si="4"/>
        <v>#DIV/0!</v>
      </c>
      <c r="N76" s="21" t="str">
        <f t="shared" si="9"/>
        <v>#DIV/0!</v>
      </c>
      <c r="O76" s="21" t="str">
        <f t="shared" si="6"/>
        <v>#DIV/0!</v>
      </c>
      <c r="P76" s="22" t="str">
        <f t="shared" si="7"/>
        <v>#DIV/0!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/>
      <c r="C77" s="12" t="str">
        <f>VLOOKUP(B:B,'Курс валют'!A:D,4,0)</f>
        <v>#N/A</v>
      </c>
      <c r="D77" s="13"/>
      <c r="E77" s="64"/>
      <c r="F77" s="15"/>
      <c r="G77" s="15"/>
      <c r="H77" s="17"/>
      <c r="I77" s="15">
        <f t="shared" si="1"/>
        <v>0</v>
      </c>
      <c r="J77" s="18" t="str">
        <f t="shared" si="8"/>
        <v>#DIV/0!</v>
      </c>
      <c r="K77" s="17"/>
      <c r="L77" s="19" t="str">
        <f t="shared" si="3"/>
        <v>#DIV/0!</v>
      </c>
      <c r="M77" s="20" t="str">
        <f t="shared" si="4"/>
        <v>#DIV/0!</v>
      </c>
      <c r="N77" s="21" t="str">
        <f t="shared" si="9"/>
        <v>#DIV/0!</v>
      </c>
      <c r="O77" s="21" t="str">
        <f t="shared" si="6"/>
        <v>#DIV/0!</v>
      </c>
      <c r="P77" s="22" t="str">
        <f t="shared" si="7"/>
        <v>#DIV/0!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63"/>
      <c r="B78" s="11"/>
      <c r="C78" s="12" t="str">
        <f>VLOOKUP(B:B,'Курс валют'!A:D,4,0)</f>
        <v>#N/A</v>
      </c>
      <c r="D78" s="13"/>
      <c r="E78" s="64"/>
      <c r="F78" s="15"/>
      <c r="G78" s="15"/>
      <c r="H78" s="17"/>
      <c r="I78" s="15">
        <f t="shared" si="1"/>
        <v>0</v>
      </c>
      <c r="J78" s="18" t="str">
        <f t="shared" si="8"/>
        <v>#DIV/0!</v>
      </c>
      <c r="K78" s="17"/>
      <c r="L78" s="19" t="str">
        <f t="shared" si="3"/>
        <v>#DIV/0!</v>
      </c>
      <c r="M78" s="20" t="str">
        <f t="shared" si="4"/>
        <v>#DIV/0!</v>
      </c>
      <c r="N78" s="21" t="str">
        <f t="shared" si="9"/>
        <v>#DIV/0!</v>
      </c>
      <c r="O78" s="21" t="str">
        <f t="shared" si="6"/>
        <v>#DIV/0!</v>
      </c>
      <c r="P78" s="22" t="str">
        <f t="shared" si="7"/>
        <v>#DIV/0!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/>
      <c r="C79" s="12" t="str">
        <f>VLOOKUP(B:B,'Курс валют'!A:D,4,0)</f>
        <v>#N/A</v>
      </c>
      <c r="D79" s="13"/>
      <c r="E79" s="64"/>
      <c r="F79" s="15"/>
      <c r="G79" s="15"/>
      <c r="H79" s="17"/>
      <c r="I79" s="15">
        <f t="shared" si="1"/>
        <v>0</v>
      </c>
      <c r="J79" s="18" t="str">
        <f t="shared" si="8"/>
        <v>#DIV/0!</v>
      </c>
      <c r="K79" s="17"/>
      <c r="L79" s="19" t="str">
        <f t="shared" si="3"/>
        <v>#DIV/0!</v>
      </c>
      <c r="M79" s="20" t="str">
        <f t="shared" si="4"/>
        <v>#DIV/0!</v>
      </c>
      <c r="N79" s="21" t="str">
        <f t="shared" si="9"/>
        <v>#DIV/0!</v>
      </c>
      <c r="O79" s="21" t="str">
        <f t="shared" si="6"/>
        <v>#DIV/0!</v>
      </c>
      <c r="P79" s="22" t="str">
        <f t="shared" si="7"/>
        <v>#DIV/0!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/>
      <c r="C80" s="12" t="str">
        <f>VLOOKUP(B:B,'Курс валют'!A:D,4,0)</f>
        <v>#N/A</v>
      </c>
      <c r="D80" s="13"/>
      <c r="E80" s="64"/>
      <c r="F80" s="15"/>
      <c r="G80" s="15"/>
      <c r="H80" s="17"/>
      <c r="I80" s="15">
        <f t="shared" si="1"/>
        <v>0</v>
      </c>
      <c r="J80" s="18" t="str">
        <f t="shared" si="8"/>
        <v>#DIV/0!</v>
      </c>
      <c r="K80" s="17"/>
      <c r="L80" s="19" t="str">
        <f t="shared" si="3"/>
        <v>#DIV/0!</v>
      </c>
      <c r="M80" s="20" t="str">
        <f t="shared" si="4"/>
        <v>#DIV/0!</v>
      </c>
      <c r="N80" s="21" t="str">
        <f t="shared" si="9"/>
        <v>#DIV/0!</v>
      </c>
      <c r="O80" s="21" t="str">
        <f t="shared" si="6"/>
        <v>#DIV/0!</v>
      </c>
      <c r="P80" s="22" t="str">
        <f t="shared" si="7"/>
        <v>#DIV/0!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/>
      <c r="C81" s="12" t="str">
        <f>VLOOKUP(B:B,'Курс валют'!A:D,4,0)</f>
        <v>#N/A</v>
      </c>
      <c r="D81" s="13"/>
      <c r="E81" s="59"/>
      <c r="F81" s="15"/>
      <c r="G81" s="15"/>
      <c r="H81" s="17"/>
      <c r="I81" s="15">
        <f t="shared" si="1"/>
        <v>0</v>
      </c>
      <c r="J81" s="18" t="str">
        <f t="shared" si="8"/>
        <v>#DIV/0!</v>
      </c>
      <c r="K81" s="17"/>
      <c r="L81" s="19" t="str">
        <f t="shared" si="3"/>
        <v>#DIV/0!</v>
      </c>
      <c r="M81" s="20" t="str">
        <f t="shared" si="4"/>
        <v>#DIV/0!</v>
      </c>
      <c r="N81" s="21" t="str">
        <f t="shared" si="9"/>
        <v>#DIV/0!</v>
      </c>
      <c r="O81" s="21" t="str">
        <f t="shared" si="6"/>
        <v>#DIV/0!</v>
      </c>
      <c r="P81" s="22" t="str">
        <f t="shared" si="7"/>
        <v>#DIV/0!</v>
      </c>
      <c r="R81" s="79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/>
      <c r="C82" s="12" t="str">
        <f>VLOOKUP(B:B,'Курс валют'!A:D,4,0)</f>
        <v>#N/A</v>
      </c>
      <c r="D82" s="13"/>
      <c r="E82" s="59"/>
      <c r="F82" s="15"/>
      <c r="G82" s="15"/>
      <c r="H82" s="17"/>
      <c r="I82" s="15">
        <f t="shared" si="1"/>
        <v>0</v>
      </c>
      <c r="J82" s="18" t="str">
        <f t="shared" si="8"/>
        <v>#DIV/0!</v>
      </c>
      <c r="K82" s="17"/>
      <c r="L82" s="19" t="str">
        <f t="shared" si="3"/>
        <v>#DIV/0!</v>
      </c>
      <c r="M82" s="20" t="str">
        <f t="shared" si="4"/>
        <v>#DIV/0!</v>
      </c>
      <c r="N82" s="21" t="str">
        <f t="shared" si="9"/>
        <v>#DIV/0!</v>
      </c>
      <c r="O82" s="21" t="str">
        <f t="shared" si="6"/>
        <v>#DIV/0!</v>
      </c>
      <c r="P82" s="22" t="str">
        <f t="shared" si="7"/>
        <v>#DIV/0!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/>
      <c r="C83" s="12" t="str">
        <f>VLOOKUP(B:B,'Курс валют'!A:D,4,0)</f>
        <v>#N/A</v>
      </c>
      <c r="D83" s="13"/>
      <c r="E83" s="59"/>
      <c r="F83" s="15"/>
      <c r="G83" s="15"/>
      <c r="H83" s="17"/>
      <c r="I83" s="15">
        <f t="shared" si="1"/>
        <v>0</v>
      </c>
      <c r="J83" s="18" t="str">
        <f t="shared" si="8"/>
        <v>#DIV/0!</v>
      </c>
      <c r="K83" s="17"/>
      <c r="L83" s="19" t="str">
        <f t="shared" si="3"/>
        <v>#DIV/0!</v>
      </c>
      <c r="M83" s="20" t="str">
        <f t="shared" si="4"/>
        <v>#DIV/0!</v>
      </c>
      <c r="N83" s="21" t="str">
        <f t="shared" si="9"/>
        <v>#DIV/0!</v>
      </c>
      <c r="O83" s="21" t="str">
        <f t="shared" si="6"/>
        <v>#DIV/0!</v>
      </c>
      <c r="P83" s="22" t="str">
        <f t="shared" si="7"/>
        <v>#DIV/0!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/>
      <c r="C84" s="12" t="str">
        <f>VLOOKUP(B:B,'Курс валют'!A:D,4,0)</f>
        <v>#N/A</v>
      </c>
      <c r="D84" s="13"/>
      <c r="E84" s="59"/>
      <c r="F84" s="15"/>
      <c r="G84" s="15"/>
      <c r="H84" s="17"/>
      <c r="I84" s="15">
        <f t="shared" si="1"/>
        <v>0</v>
      </c>
      <c r="J84" s="18" t="str">
        <f t="shared" si="8"/>
        <v>#DIV/0!</v>
      </c>
      <c r="K84" s="17"/>
      <c r="L84" s="19" t="str">
        <f t="shared" si="3"/>
        <v>#DIV/0!</v>
      </c>
      <c r="M84" s="20" t="str">
        <f t="shared" si="4"/>
        <v>#DIV/0!</v>
      </c>
      <c r="N84" s="21" t="str">
        <f t="shared" si="9"/>
        <v>#DIV/0!</v>
      </c>
      <c r="O84" s="21" t="str">
        <f t="shared" si="6"/>
        <v>#DIV/0!</v>
      </c>
      <c r="P84" s="22" t="str">
        <f t="shared" si="7"/>
        <v>#DIV/0!</v>
      </c>
      <c r="R84" s="23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/>
      <c r="C85" s="12" t="str">
        <f>VLOOKUP(B:B,'Курс валют'!A:D,4,0)</f>
        <v>#N/A</v>
      </c>
      <c r="D85" s="13"/>
      <c r="E85" s="59"/>
      <c r="F85" s="15"/>
      <c r="G85" s="15"/>
      <c r="H85" s="17"/>
      <c r="I85" s="15">
        <f t="shared" si="1"/>
        <v>0</v>
      </c>
      <c r="J85" s="18" t="str">
        <f t="shared" si="8"/>
        <v>#DIV/0!</v>
      </c>
      <c r="K85" s="17"/>
      <c r="L85" s="19" t="str">
        <f t="shared" si="3"/>
        <v>#DIV/0!</v>
      </c>
      <c r="M85" s="20" t="str">
        <f t="shared" si="4"/>
        <v>#DIV/0!</v>
      </c>
      <c r="N85" s="21" t="str">
        <f t="shared" si="9"/>
        <v>#DIV/0!</v>
      </c>
      <c r="O85" s="21" t="str">
        <f t="shared" si="6"/>
        <v>#DIV/0!</v>
      </c>
      <c r="P85" s="22" t="str">
        <f t="shared" si="7"/>
        <v>#DIV/0!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/>
      <c r="C86" s="12" t="str">
        <f>VLOOKUP(B:B,'Курс валют'!A:D,4,0)</f>
        <v>#N/A</v>
      </c>
      <c r="D86" s="13"/>
      <c r="E86" s="59"/>
      <c r="F86" s="15"/>
      <c r="G86" s="15"/>
      <c r="H86" s="17"/>
      <c r="I86" s="15">
        <f t="shared" si="1"/>
        <v>0</v>
      </c>
      <c r="J86" s="18" t="str">
        <f t="shared" si="8"/>
        <v>#DIV/0!</v>
      </c>
      <c r="K86" s="17"/>
      <c r="L86" s="19" t="str">
        <f t="shared" si="3"/>
        <v>#DIV/0!</v>
      </c>
      <c r="M86" s="20" t="str">
        <f t="shared" si="4"/>
        <v>#DIV/0!</v>
      </c>
      <c r="N86" s="21" t="str">
        <f t="shared" si="9"/>
        <v>#DIV/0!</v>
      </c>
      <c r="O86" s="21" t="str">
        <f t="shared" si="6"/>
        <v>#DIV/0!</v>
      </c>
      <c r="P86" s="22" t="str">
        <f t="shared" si="7"/>
        <v>#DIV/0!</v>
      </c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/>
      <c r="C87" s="12" t="str">
        <f>VLOOKUP(B:B,'Курс валют'!A:D,4,0)</f>
        <v>#N/A</v>
      </c>
      <c r="D87" s="13"/>
      <c r="E87" s="59"/>
      <c r="F87" s="15"/>
      <c r="G87" s="15"/>
      <c r="H87" s="17"/>
      <c r="I87" s="15">
        <f t="shared" si="1"/>
        <v>0</v>
      </c>
      <c r="J87" s="18" t="str">
        <f t="shared" si="8"/>
        <v>#DIV/0!</v>
      </c>
      <c r="K87" s="17"/>
      <c r="L87" s="19" t="str">
        <f t="shared" si="3"/>
        <v>#DIV/0!</v>
      </c>
      <c r="M87" s="20" t="str">
        <f t="shared" si="4"/>
        <v>#DIV/0!</v>
      </c>
      <c r="N87" s="21" t="str">
        <f t="shared" si="9"/>
        <v>#DIV/0!</v>
      </c>
      <c r="O87" s="21" t="str">
        <f t="shared" si="6"/>
        <v>#DIV/0!</v>
      </c>
      <c r="P87" s="22" t="str">
        <f t="shared" si="7"/>
        <v>#DIV/0!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/>
      <c r="C88" s="12" t="str">
        <f>VLOOKUP(B:B,'Курс валют'!A:D,4,0)</f>
        <v>#N/A</v>
      </c>
      <c r="D88" s="13"/>
      <c r="E88" s="59"/>
      <c r="F88" s="15"/>
      <c r="G88" s="15"/>
      <c r="H88" s="17"/>
      <c r="I88" s="15">
        <f t="shared" si="1"/>
        <v>0</v>
      </c>
      <c r="J88" s="18" t="str">
        <f t="shared" si="8"/>
        <v>#DIV/0!</v>
      </c>
      <c r="K88" s="17"/>
      <c r="L88" s="19" t="str">
        <f t="shared" si="3"/>
        <v>#DIV/0!</v>
      </c>
      <c r="M88" s="20" t="str">
        <f t="shared" si="4"/>
        <v>#DIV/0!</v>
      </c>
      <c r="N88" s="21" t="str">
        <f t="shared" si="9"/>
        <v>#DIV/0!</v>
      </c>
      <c r="O88" s="21" t="str">
        <f t="shared" si="6"/>
        <v>#DIV/0!</v>
      </c>
      <c r="P88" s="22" t="str">
        <f t="shared" si="7"/>
        <v>#DIV/0!</v>
      </c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/>
      <c r="C89" s="12" t="str">
        <f>VLOOKUP(B:B,'Курс валют'!A:D,4,0)</f>
        <v>#N/A</v>
      </c>
      <c r="D89" s="13"/>
      <c r="E89" s="59"/>
      <c r="F89" s="15"/>
      <c r="G89" s="15"/>
      <c r="H89" s="17"/>
      <c r="I89" s="15">
        <f t="shared" si="1"/>
        <v>0</v>
      </c>
      <c r="J89" s="18" t="str">
        <f t="shared" si="8"/>
        <v>#DIV/0!</v>
      </c>
      <c r="K89" s="17"/>
      <c r="L89" s="19" t="str">
        <f t="shared" si="3"/>
        <v>#DIV/0!</v>
      </c>
      <c r="M89" s="20" t="str">
        <f t="shared" si="4"/>
        <v>#DIV/0!</v>
      </c>
      <c r="N89" s="21" t="str">
        <f t="shared" si="9"/>
        <v>#DIV/0!</v>
      </c>
      <c r="O89" s="21" t="str">
        <f t="shared" si="6"/>
        <v>#DIV/0!</v>
      </c>
      <c r="P89" s="22" t="str">
        <f t="shared" si="7"/>
        <v>#DIV/0!</v>
      </c>
      <c r="R89" s="23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/>
      <c r="C90" s="12" t="str">
        <f>VLOOKUP(B:B,'Курс валют'!A:D,4,0)</f>
        <v>#N/A</v>
      </c>
      <c r="D90" s="13"/>
      <c r="E90" s="59"/>
      <c r="F90" s="15"/>
      <c r="G90" s="15"/>
      <c r="H90" s="17"/>
      <c r="I90" s="15">
        <f t="shared" si="1"/>
        <v>0</v>
      </c>
      <c r="J90" s="18" t="str">
        <f t="shared" si="8"/>
        <v>#DIV/0!</v>
      </c>
      <c r="K90" s="17"/>
      <c r="L90" s="19" t="str">
        <f t="shared" si="3"/>
        <v>#DIV/0!</v>
      </c>
      <c r="M90" s="20" t="str">
        <f t="shared" si="4"/>
        <v>#DIV/0!</v>
      </c>
      <c r="N90" s="21" t="str">
        <f t="shared" si="9"/>
        <v>#DIV/0!</v>
      </c>
      <c r="O90" s="21" t="str">
        <f t="shared" si="6"/>
        <v>#DIV/0!</v>
      </c>
      <c r="P90" s="22" t="str">
        <f t="shared" si="7"/>
        <v>#DIV/0!</v>
      </c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/>
      <c r="C91" s="12" t="str">
        <f>VLOOKUP(B:B,'Курс валют'!A:D,4,0)</f>
        <v>#N/A</v>
      </c>
      <c r="D91" s="13"/>
      <c r="E91" s="59"/>
      <c r="F91" s="15"/>
      <c r="G91" s="15"/>
      <c r="H91" s="17"/>
      <c r="I91" s="15">
        <f t="shared" si="1"/>
        <v>0</v>
      </c>
      <c r="J91" s="18" t="str">
        <f t="shared" si="8"/>
        <v>#DIV/0!</v>
      </c>
      <c r="K91" s="17"/>
      <c r="L91" s="19" t="str">
        <f t="shared" si="3"/>
        <v>#DIV/0!</v>
      </c>
      <c r="M91" s="20" t="str">
        <f t="shared" si="4"/>
        <v>#DIV/0!</v>
      </c>
      <c r="N91" s="21" t="str">
        <f t="shared" si="9"/>
        <v>#DIV/0!</v>
      </c>
      <c r="O91" s="21" t="str">
        <f t="shared" si="6"/>
        <v>#DIV/0!</v>
      </c>
      <c r="P91" s="22" t="str">
        <f t="shared" si="7"/>
        <v>#DIV/0!</v>
      </c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/>
      <c r="C92" s="12" t="str">
        <f>VLOOKUP(B:B,'Курс валют'!A:D,4,0)</f>
        <v>#N/A</v>
      </c>
      <c r="D92" s="13"/>
      <c r="E92" s="59"/>
      <c r="F92" s="15"/>
      <c r="G92" s="15"/>
      <c r="H92" s="17"/>
      <c r="I92" s="15">
        <f t="shared" si="1"/>
        <v>0</v>
      </c>
      <c r="J92" s="18" t="str">
        <f t="shared" si="8"/>
        <v>#DIV/0!</v>
      </c>
      <c r="K92" s="17"/>
      <c r="L92" s="19" t="str">
        <f t="shared" si="3"/>
        <v>#DIV/0!</v>
      </c>
      <c r="M92" s="20" t="str">
        <f t="shared" si="4"/>
        <v>#DIV/0!</v>
      </c>
      <c r="N92" s="21" t="str">
        <f t="shared" si="9"/>
        <v>#DIV/0!</v>
      </c>
      <c r="O92" s="21" t="str">
        <f t="shared" si="6"/>
        <v>#DIV/0!</v>
      </c>
      <c r="P92" s="22" t="str">
        <f t="shared" si="7"/>
        <v>#DIV/0!</v>
      </c>
      <c r="R92" s="23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63"/>
      <c r="B93" s="11"/>
      <c r="C93" s="12" t="str">
        <f>VLOOKUP(B:B,'Курс валют'!A:D,4,0)</f>
        <v>#N/A</v>
      </c>
      <c r="D93" s="13"/>
      <c r="E93" s="59"/>
      <c r="F93" s="15"/>
      <c r="G93" s="15"/>
      <c r="H93" s="17"/>
      <c r="I93" s="15">
        <f t="shared" si="1"/>
        <v>0</v>
      </c>
      <c r="J93" s="18" t="str">
        <f t="shared" si="8"/>
        <v>#DIV/0!</v>
      </c>
      <c r="K93" s="17"/>
      <c r="L93" s="19" t="str">
        <f t="shared" si="3"/>
        <v>#DIV/0!</v>
      </c>
      <c r="M93" s="20" t="str">
        <f t="shared" si="4"/>
        <v>#DIV/0!</v>
      </c>
      <c r="N93" s="21" t="str">
        <f t="shared" si="9"/>
        <v>#DIV/0!</v>
      </c>
      <c r="O93" s="21" t="str">
        <f t="shared" si="6"/>
        <v>#DIV/0!</v>
      </c>
      <c r="P93" s="22" t="str">
        <f t="shared" si="7"/>
        <v>#DIV/0!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63"/>
      <c r="B94" s="11"/>
      <c r="C94" s="12" t="str">
        <f>VLOOKUP(B:B,'Курс валют'!A:D,4,0)</f>
        <v>#N/A</v>
      </c>
      <c r="D94" s="13"/>
      <c r="E94" s="59"/>
      <c r="F94" s="15"/>
      <c r="G94" s="15"/>
      <c r="H94" s="17"/>
      <c r="I94" s="15">
        <f t="shared" si="1"/>
        <v>0</v>
      </c>
      <c r="J94" s="18" t="str">
        <f t="shared" si="8"/>
        <v>#DIV/0!</v>
      </c>
      <c r="K94" s="17"/>
      <c r="L94" s="19" t="str">
        <f t="shared" si="3"/>
        <v>#DIV/0!</v>
      </c>
      <c r="M94" s="20" t="str">
        <f t="shared" si="4"/>
        <v>#DIV/0!</v>
      </c>
      <c r="N94" s="21" t="str">
        <f t="shared" si="9"/>
        <v>#DIV/0!</v>
      </c>
      <c r="O94" s="21" t="str">
        <f t="shared" si="6"/>
        <v>#DIV/0!</v>
      </c>
      <c r="P94" s="22" t="str">
        <f t="shared" si="7"/>
        <v>#DIV/0!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63"/>
      <c r="B95" s="11"/>
      <c r="C95" s="12" t="str">
        <f>VLOOKUP(B:B,'Курс валют'!A:D,4,0)</f>
        <v>#N/A</v>
      </c>
      <c r="D95" s="66"/>
      <c r="E95" s="67"/>
      <c r="F95" s="67"/>
      <c r="G95" s="67"/>
      <c r="H95" s="65"/>
      <c r="I95" s="15">
        <f t="shared" si="1"/>
        <v>0</v>
      </c>
      <c r="J95" s="18" t="str">
        <f t="shared" si="8"/>
        <v>#DIV/0!</v>
      </c>
      <c r="K95" s="65"/>
      <c r="L95" s="19" t="str">
        <f t="shared" si="3"/>
        <v>#DIV/0!</v>
      </c>
      <c r="M95" s="20" t="str">
        <f t="shared" si="4"/>
        <v>#DIV/0!</v>
      </c>
      <c r="N95" s="21" t="str">
        <f t="shared" si="9"/>
        <v>#DIV/0!</v>
      </c>
      <c r="O95" s="21" t="str">
        <f t="shared" si="6"/>
        <v>#DIV/0!</v>
      </c>
      <c r="P95" s="22" t="str">
        <f t="shared" si="7"/>
        <v>#DIV/0!</v>
      </c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12" t="str">
        <f>VLOOKUP(B:B,'Курс валют'!A:D,4,0)</f>
        <v>#N/A</v>
      </c>
      <c r="D96" s="66"/>
      <c r="E96" s="67"/>
      <c r="F96" s="67"/>
      <c r="G96" s="67"/>
      <c r="H96" s="65"/>
      <c r="I96" s="15">
        <f t="shared" si="1"/>
        <v>0</v>
      </c>
      <c r="J96" s="18" t="str">
        <f t="shared" si="8"/>
        <v>#DIV/0!</v>
      </c>
      <c r="K96" s="65"/>
      <c r="L96" s="19" t="str">
        <f t="shared" si="3"/>
        <v>#DIV/0!</v>
      </c>
      <c r="M96" s="20" t="str">
        <f t="shared" si="4"/>
        <v>#DIV/0!</v>
      </c>
      <c r="N96" s="21" t="str">
        <f t="shared" si="9"/>
        <v>#DIV/0!</v>
      </c>
      <c r="O96" s="21" t="str">
        <f t="shared" si="6"/>
        <v>#DIV/0!</v>
      </c>
      <c r="P96" s="22" t="str">
        <f t="shared" si="7"/>
        <v>#DIV/0!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12" t="str">
        <f>VLOOKUP(B:B,'Курс валют'!A:D,4,0)</f>
        <v>#N/A</v>
      </c>
      <c r="D97" s="66"/>
      <c r="E97" s="67"/>
      <c r="F97" s="67"/>
      <c r="G97" s="67"/>
      <c r="H97" s="65"/>
      <c r="I97" s="15">
        <f t="shared" si="1"/>
        <v>0</v>
      </c>
      <c r="J97" s="18" t="str">
        <f t="shared" si="8"/>
        <v>#DIV/0!</v>
      </c>
      <c r="K97" s="65"/>
      <c r="L97" s="19" t="str">
        <f t="shared" si="3"/>
        <v>#DIV/0!</v>
      </c>
      <c r="M97" s="20" t="str">
        <f t="shared" si="4"/>
        <v>#DIV/0!</v>
      </c>
      <c r="N97" s="21" t="str">
        <f t="shared" si="9"/>
        <v>#DIV/0!</v>
      </c>
      <c r="O97" s="21" t="str">
        <f t="shared" si="6"/>
        <v>#DIV/0!</v>
      </c>
      <c r="P97" s="22" t="str">
        <f t="shared" si="7"/>
        <v>#DIV/0!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12" t="str">
        <f>VLOOKUP(B:B,'Курс валют'!A:D,4,0)</f>
        <v>#N/A</v>
      </c>
      <c r="D98" s="66"/>
      <c r="E98" s="67"/>
      <c r="F98" s="67"/>
      <c r="G98" s="67"/>
      <c r="H98" s="65"/>
      <c r="I98" s="15">
        <f t="shared" si="1"/>
        <v>0</v>
      </c>
      <c r="J98" s="18" t="str">
        <f t="shared" si="8"/>
        <v>#DIV/0!</v>
      </c>
      <c r="K98" s="65"/>
      <c r="L98" s="19" t="str">
        <f t="shared" si="3"/>
        <v>#DIV/0!</v>
      </c>
      <c r="M98" s="20" t="str">
        <f t="shared" si="4"/>
        <v>#DIV/0!</v>
      </c>
      <c r="N98" s="21" t="str">
        <f t="shared" si="9"/>
        <v>#DIV/0!</v>
      </c>
      <c r="O98" s="21" t="str">
        <f t="shared" si="6"/>
        <v>#DIV/0!</v>
      </c>
      <c r="P98" s="22" t="str">
        <f t="shared" si="7"/>
        <v>#DIV/0!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12" t="str">
        <f>VLOOKUP(B:B,'Курс валют'!A:D,4,0)</f>
        <v>#N/A</v>
      </c>
      <c r="D99" s="66"/>
      <c r="E99" s="67"/>
      <c r="F99" s="67"/>
      <c r="G99" s="67"/>
      <c r="H99" s="65"/>
      <c r="I99" s="15">
        <f t="shared" si="1"/>
        <v>0</v>
      </c>
      <c r="J99" s="18" t="str">
        <f t="shared" si="8"/>
        <v>#DIV/0!</v>
      </c>
      <c r="K99" s="65"/>
      <c r="L99" s="19" t="str">
        <f t="shared" si="3"/>
        <v>#DIV/0!</v>
      </c>
      <c r="M99" s="20" t="str">
        <f t="shared" si="4"/>
        <v>#DIV/0!</v>
      </c>
      <c r="N99" s="21" t="str">
        <f t="shared" si="9"/>
        <v>#DIV/0!</v>
      </c>
      <c r="O99" s="21" t="str">
        <f t="shared" si="6"/>
        <v>#DIV/0!</v>
      </c>
      <c r="P99" s="22" t="str">
        <f t="shared" si="7"/>
        <v>#DIV/0!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12" t="str">
        <f>VLOOKUP(B:B,'Курс валют'!A:D,4,0)</f>
        <v>#N/A</v>
      </c>
      <c r="D100" s="66"/>
      <c r="E100" s="67"/>
      <c r="F100" s="67"/>
      <c r="G100" s="67"/>
      <c r="H100" s="65"/>
      <c r="I100" s="15">
        <f t="shared" si="1"/>
        <v>0</v>
      </c>
      <c r="J100" s="18" t="str">
        <f t="shared" si="8"/>
        <v>#DIV/0!</v>
      </c>
      <c r="K100" s="65"/>
      <c r="L100" s="19" t="str">
        <f t="shared" si="3"/>
        <v>#DIV/0!</v>
      </c>
      <c r="M100" s="20" t="str">
        <f t="shared" si="4"/>
        <v>#DIV/0!</v>
      </c>
      <c r="N100" s="21" t="str">
        <f t="shared" si="9"/>
        <v>#DIV/0!</v>
      </c>
      <c r="O100" s="21" t="str">
        <f t="shared" si="6"/>
        <v>#DIV/0!</v>
      </c>
      <c r="P100" s="22" t="str">
        <f t="shared" si="7"/>
        <v>#DIV/0!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12" t="str">
        <f>VLOOKUP(B:B,'Курс валют'!A:D,4,0)</f>
        <v>#N/A</v>
      </c>
      <c r="D101" s="66"/>
      <c r="E101" s="67"/>
      <c r="F101" s="67"/>
      <c r="G101" s="67"/>
      <c r="H101" s="65"/>
      <c r="I101" s="15">
        <f t="shared" si="1"/>
        <v>0</v>
      </c>
      <c r="J101" s="18" t="str">
        <f t="shared" si="8"/>
        <v>#DIV/0!</v>
      </c>
      <c r="K101" s="65"/>
      <c r="L101" s="19" t="str">
        <f t="shared" si="3"/>
        <v>#DIV/0!</v>
      </c>
      <c r="M101" s="20" t="str">
        <f t="shared" si="4"/>
        <v>#DIV/0!</v>
      </c>
      <c r="N101" s="21" t="str">
        <f t="shared" si="9"/>
        <v>#DIV/0!</v>
      </c>
      <c r="O101" s="21" t="str">
        <f t="shared" si="6"/>
        <v>#DIV/0!</v>
      </c>
      <c r="P101" s="22" t="str">
        <f t="shared" si="7"/>
        <v>#DIV/0!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12" t="str">
        <f>VLOOKUP(B:B,'Курс валют'!A:D,4,0)</f>
        <v>#N/A</v>
      </c>
      <c r="D102" s="66"/>
      <c r="E102" s="67"/>
      <c r="F102" s="67"/>
      <c r="G102" s="67"/>
      <c r="H102" s="65"/>
      <c r="I102" s="15">
        <f t="shared" si="1"/>
        <v>0</v>
      </c>
      <c r="J102" s="18" t="str">
        <f t="shared" si="8"/>
        <v>#DIV/0!</v>
      </c>
      <c r="K102" s="65"/>
      <c r="L102" s="19" t="str">
        <f t="shared" si="3"/>
        <v>#DIV/0!</v>
      </c>
      <c r="M102" s="20" t="str">
        <f t="shared" si="4"/>
        <v>#DIV/0!</v>
      </c>
      <c r="N102" s="21" t="str">
        <f t="shared" si="9"/>
        <v>#DIV/0!</v>
      </c>
      <c r="O102" s="21" t="str">
        <f t="shared" si="6"/>
        <v>#DIV/0!</v>
      </c>
      <c r="P102" s="22" t="str">
        <f t="shared" si="7"/>
        <v>#DIV/0!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12" t="str">
        <f>VLOOKUP(B:B,'Курс валют'!A:D,4,0)</f>
        <v>#N/A</v>
      </c>
      <c r="D103" s="69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12" t="str">
        <f>VLOOKUP(B:B,'Курс валют'!A:D,4,0)</f>
        <v>#N/A</v>
      </c>
      <c r="D104" s="69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12" t="str">
        <f>VLOOKUP(B:B,'Курс валют'!A:D,4,0)</f>
        <v>#N/A</v>
      </c>
      <c r="D105" s="69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12" t="str">
        <f>VLOOKUP(B:B,'Курс валют'!A:D,4,0)</f>
        <v>#N/A</v>
      </c>
      <c r="D106" s="69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12" t="str">
        <f>VLOOKUP(B:B,'Курс валют'!A:D,4,0)</f>
        <v>#N/A</v>
      </c>
      <c r="D107" s="69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12" t="str">
        <f>VLOOKUP(B:B,'Курс валют'!A:D,4,0)</f>
        <v>#N/A</v>
      </c>
      <c r="D108" s="69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12" t="str">
        <f>VLOOKUP(B:B,'Курс валют'!A:D,4,0)</f>
        <v>#N/A</v>
      </c>
      <c r="D109" s="69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12" t="str">
        <f>VLOOKUP(B:B,'Курс валют'!A:D,4,0)</f>
        <v>#N/A</v>
      </c>
      <c r="D110" s="69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12" t="str">
        <f>VLOOKUP(B:B,'Курс валют'!A:D,4,0)</f>
        <v>#N/A</v>
      </c>
      <c r="D111" s="69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12" t="str">
        <f>VLOOKUP(B:B,'Курс валют'!A:D,4,0)</f>
        <v>#N/A</v>
      </c>
      <c r="D112" s="69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12" t="str">
        <f>VLOOKUP(B:B,'Курс валют'!A:D,4,0)</f>
        <v>#N/A</v>
      </c>
      <c r="D113" s="69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12" t="str">
        <f>VLOOKUP(B:B,'Курс валют'!A:D,4,0)</f>
        <v>#N/A</v>
      </c>
      <c r="D114" s="69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12" t="str">
        <f>VLOOKUP(B:B,'Курс валют'!A:D,4,0)</f>
        <v>#N/A</v>
      </c>
      <c r="D115" s="69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12" t="str">
        <f>VLOOKUP(B:B,'Курс валют'!A:D,4,0)</f>
        <v>#N/A</v>
      </c>
      <c r="D116" s="69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12" t="str">
        <f>VLOOKUP(B:B,'Курс валют'!A:D,4,0)</f>
        <v>#N/A</v>
      </c>
      <c r="D117" s="69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12" t="str">
        <f>VLOOKUP(B:B,'Курс валют'!A:D,4,0)</f>
        <v>#N/A</v>
      </c>
      <c r="D118" s="69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12" t="str">
        <f>VLOOKUP(B:B,'Курс валют'!A:D,4,0)</f>
        <v>#N/A</v>
      </c>
      <c r="D119" s="69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12" t="str">
        <f>VLOOKUP(B:B,'Курс валют'!A:D,4,0)</f>
        <v>#N/A</v>
      </c>
      <c r="D120" s="69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12" t="str">
        <f>VLOOKUP(B:B,'Курс валют'!A:D,4,0)</f>
        <v>#N/A</v>
      </c>
      <c r="D121" s="69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12" t="str">
        <f>VLOOKUP(B:B,'Курс валют'!A:D,4,0)</f>
        <v>#N/A</v>
      </c>
      <c r="D122" s="69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/>
      <c r="C123" s="25"/>
      <c r="D123" s="69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/>
      <c r="C124" s="25"/>
      <c r="D124" s="69"/>
      <c r="E124" s="25"/>
      <c r="F124" s="25"/>
      <c r="G124" s="25"/>
      <c r="H124" s="80"/>
      <c r="I124" s="25"/>
      <c r="J124" s="25"/>
      <c r="K124" s="80"/>
      <c r="L124" s="81"/>
      <c r="M124" s="82"/>
      <c r="N124" s="25"/>
      <c r="O124" s="25"/>
      <c r="P124" s="82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11"/>
      <c r="C125" s="25"/>
      <c r="D125" s="69"/>
      <c r="E125" s="25"/>
      <c r="F125" s="25"/>
      <c r="G125" s="25"/>
      <c r="H125" s="80"/>
      <c r="I125" s="25"/>
      <c r="J125" s="25"/>
      <c r="K125" s="80"/>
      <c r="L125" s="81"/>
      <c r="M125" s="82"/>
      <c r="N125" s="25"/>
      <c r="O125" s="25"/>
      <c r="P125" s="82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11"/>
      <c r="C126" s="25"/>
      <c r="D126" s="69"/>
      <c r="E126" s="25"/>
      <c r="F126" s="25"/>
      <c r="G126" s="25"/>
      <c r="H126" s="80"/>
      <c r="I126" s="25"/>
      <c r="J126" s="25"/>
      <c r="K126" s="80"/>
      <c r="L126" s="81"/>
      <c r="M126" s="82"/>
      <c r="N126" s="25"/>
      <c r="O126" s="25"/>
      <c r="P126" s="82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B127" s="68"/>
      <c r="D127" s="69"/>
      <c r="H127" s="70"/>
      <c r="K127" s="70"/>
      <c r="L127" s="71"/>
      <c r="M127" s="72"/>
      <c r="P127" s="72"/>
    </row>
    <row r="128">
      <c r="B128" s="68"/>
      <c r="D128" s="69"/>
      <c r="H128" s="70"/>
      <c r="K128" s="70"/>
      <c r="L128" s="71"/>
      <c r="M128" s="72"/>
      <c r="P128" s="72"/>
    </row>
    <row r="129">
      <c r="B129" s="68"/>
      <c r="D129" s="69"/>
      <c r="H129" s="70"/>
      <c r="K129" s="70"/>
      <c r="L129" s="71"/>
      <c r="M129" s="72"/>
      <c r="P129" s="72"/>
    </row>
    <row r="130">
      <c r="B130" s="68"/>
      <c r="D130" s="69"/>
      <c r="H130" s="70"/>
      <c r="K130" s="70"/>
      <c r="L130" s="71"/>
      <c r="M130" s="72"/>
      <c r="P130" s="72"/>
    </row>
    <row r="131">
      <c r="B131" s="68"/>
      <c r="D131" s="69"/>
      <c r="H131" s="70"/>
      <c r="K131" s="70"/>
      <c r="L131" s="71"/>
      <c r="M131" s="72"/>
      <c r="P131" s="72"/>
    </row>
    <row r="132">
      <c r="B132" s="68"/>
      <c r="D132" s="69"/>
      <c r="H132" s="70"/>
      <c r="K132" s="70"/>
      <c r="L132" s="71"/>
      <c r="M132" s="72"/>
      <c r="P132" s="72"/>
    </row>
    <row r="133">
      <c r="B133" s="68"/>
      <c r="D133" s="69"/>
      <c r="H133" s="70"/>
      <c r="K133" s="70"/>
      <c r="L133" s="71"/>
      <c r="M133" s="72"/>
      <c r="P133" s="72"/>
    </row>
    <row r="134">
      <c r="B134" s="68"/>
      <c r="D134" s="69"/>
      <c r="H134" s="70"/>
      <c r="K134" s="70"/>
      <c r="L134" s="71"/>
      <c r="M134" s="72"/>
      <c r="P134" s="72"/>
    </row>
    <row r="135">
      <c r="B135" s="68"/>
      <c r="D135" s="69"/>
      <c r="H135" s="70"/>
      <c r="K135" s="70"/>
      <c r="L135" s="71"/>
      <c r="M135" s="72"/>
      <c r="P135" s="72"/>
    </row>
    <row r="136">
      <c r="B136" s="68"/>
      <c r="D136" s="69"/>
      <c r="H136" s="70"/>
      <c r="K136" s="70"/>
      <c r="L136" s="71"/>
      <c r="M136" s="72"/>
      <c r="P136" s="72"/>
    </row>
    <row r="137">
      <c r="B137" s="68"/>
      <c r="D137" s="69"/>
      <c r="H137" s="70"/>
      <c r="K137" s="70"/>
      <c r="L137" s="71"/>
      <c r="M137" s="72"/>
      <c r="P137" s="72"/>
    </row>
    <row r="138">
      <c r="B138" s="68"/>
      <c r="D138" s="69"/>
      <c r="H138" s="70"/>
      <c r="K138" s="70"/>
      <c r="L138" s="71"/>
      <c r="M138" s="72"/>
      <c r="P138" s="72"/>
    </row>
    <row r="139">
      <c r="B139" s="68"/>
      <c r="D139" s="69"/>
      <c r="H139" s="70"/>
      <c r="K139" s="70"/>
      <c r="L139" s="71"/>
      <c r="M139" s="72"/>
      <c r="P139" s="72"/>
    </row>
    <row r="140">
      <c r="B140" s="68"/>
      <c r="D140" s="69"/>
      <c r="H140" s="70"/>
      <c r="K140" s="70"/>
      <c r="L140" s="71"/>
      <c r="M140" s="72"/>
      <c r="P140" s="72"/>
    </row>
    <row r="141">
      <c r="B141" s="68"/>
      <c r="D141" s="69"/>
      <c r="H141" s="70"/>
      <c r="K141" s="70"/>
      <c r="L141" s="71"/>
      <c r="M141" s="72"/>
      <c r="P141" s="72"/>
    </row>
    <row r="142">
      <c r="B142" s="68"/>
      <c r="D142" s="69"/>
      <c r="H142" s="70"/>
      <c r="K142" s="70"/>
      <c r="L142" s="71"/>
      <c r="M142" s="72"/>
      <c r="P142" s="72"/>
    </row>
    <row r="143">
      <c r="B143" s="68"/>
      <c r="D143" s="69"/>
      <c r="H143" s="70"/>
      <c r="K143" s="70"/>
      <c r="L143" s="71"/>
      <c r="M143" s="72"/>
      <c r="P143" s="72"/>
    </row>
    <row r="144">
      <c r="B144" s="68"/>
      <c r="D144" s="69"/>
      <c r="H144" s="70"/>
      <c r="K144" s="70"/>
      <c r="L144" s="71"/>
      <c r="M144" s="72"/>
      <c r="P144" s="72"/>
    </row>
    <row r="145">
      <c r="B145" s="68"/>
      <c r="D145" s="69"/>
      <c r="H145" s="70"/>
      <c r="K145" s="70"/>
      <c r="L145" s="71"/>
      <c r="M145" s="72"/>
      <c r="P145" s="72"/>
    </row>
    <row r="146">
      <c r="B146" s="68"/>
      <c r="D146" s="69"/>
      <c r="H146" s="70"/>
      <c r="K146" s="70"/>
      <c r="L146" s="71"/>
      <c r="M146" s="72"/>
      <c r="P146" s="72"/>
    </row>
    <row r="147">
      <c r="B147" s="68"/>
      <c r="D147" s="69"/>
      <c r="H147" s="70"/>
      <c r="K147" s="70"/>
      <c r="L147" s="71"/>
      <c r="M147" s="72"/>
      <c r="P147" s="72"/>
    </row>
    <row r="148">
      <c r="B148" s="68"/>
      <c r="D148" s="69"/>
      <c r="H148" s="70"/>
      <c r="K148" s="70"/>
      <c r="L148" s="71"/>
      <c r="M148" s="72"/>
      <c r="P148" s="72"/>
    </row>
    <row r="149">
      <c r="B149" s="68"/>
      <c r="D149" s="69"/>
      <c r="H149" s="70"/>
      <c r="K149" s="70"/>
      <c r="L149" s="71"/>
      <c r="M149" s="72"/>
      <c r="P149" s="72"/>
    </row>
    <row r="150">
      <c r="B150" s="68"/>
      <c r="D150" s="69"/>
      <c r="H150" s="70"/>
      <c r="K150" s="70"/>
      <c r="L150" s="71"/>
      <c r="M150" s="72"/>
      <c r="P150" s="72"/>
    </row>
    <row r="151">
      <c r="B151" s="68"/>
      <c r="D151" s="69"/>
      <c r="H151" s="70"/>
      <c r="K151" s="70"/>
      <c r="L151" s="71"/>
      <c r="M151" s="72"/>
      <c r="P151" s="72"/>
    </row>
    <row r="152">
      <c r="B152" s="68"/>
      <c r="D152" s="69"/>
      <c r="H152" s="70"/>
      <c r="K152" s="70"/>
      <c r="L152" s="71"/>
      <c r="M152" s="72"/>
      <c r="P152" s="72"/>
    </row>
    <row r="153">
      <c r="B153" s="68"/>
      <c r="D153" s="69"/>
      <c r="H153" s="70"/>
      <c r="K153" s="70"/>
      <c r="L153" s="71"/>
      <c r="M153" s="72"/>
      <c r="P153" s="72"/>
    </row>
    <row r="154">
      <c r="B154" s="68"/>
      <c r="D154" s="69"/>
      <c r="H154" s="70"/>
      <c r="K154" s="70"/>
      <c r="L154" s="71"/>
      <c r="M154" s="72"/>
      <c r="P154" s="72"/>
    </row>
    <row r="155">
      <c r="B155" s="68"/>
      <c r="D155" s="69"/>
      <c r="H155" s="70"/>
      <c r="K155" s="70"/>
      <c r="L155" s="71"/>
      <c r="M155" s="72"/>
      <c r="P155" s="72"/>
    </row>
    <row r="156">
      <c r="B156" s="68"/>
      <c r="D156" s="69"/>
      <c r="H156" s="70"/>
      <c r="K156" s="70"/>
      <c r="L156" s="71"/>
      <c r="M156" s="72"/>
      <c r="P156" s="72"/>
    </row>
    <row r="157">
      <c r="B157" s="68"/>
      <c r="D157" s="69"/>
      <c r="H157" s="70"/>
      <c r="K157" s="70"/>
      <c r="L157" s="71"/>
      <c r="M157" s="72"/>
      <c r="P157" s="72"/>
    </row>
    <row r="158">
      <c r="B158" s="68"/>
      <c r="D158" s="69"/>
      <c r="H158" s="70"/>
      <c r="K158" s="70"/>
      <c r="L158" s="71"/>
      <c r="M158" s="72"/>
      <c r="P158" s="72"/>
    </row>
    <row r="159">
      <c r="B159" s="68"/>
      <c r="D159" s="69"/>
      <c r="H159" s="70"/>
      <c r="K159" s="70"/>
      <c r="L159" s="71"/>
      <c r="M159" s="72"/>
      <c r="P159" s="72"/>
    </row>
    <row r="160">
      <c r="B160" s="68"/>
      <c r="D160" s="69"/>
      <c r="H160" s="70"/>
      <c r="K160" s="70"/>
      <c r="L160" s="71"/>
      <c r="M160" s="72"/>
      <c r="P160" s="72"/>
    </row>
    <row r="161">
      <c r="B161" s="68"/>
      <c r="D161" s="69"/>
      <c r="H161" s="70"/>
      <c r="K161" s="70"/>
      <c r="L161" s="71"/>
      <c r="M161" s="72"/>
      <c r="P161" s="72"/>
    </row>
    <row r="162">
      <c r="B162" s="68"/>
      <c r="D162" s="69"/>
      <c r="H162" s="70"/>
      <c r="K162" s="70"/>
      <c r="L162" s="71"/>
      <c r="M162" s="72"/>
      <c r="P162" s="72"/>
    </row>
    <row r="163">
      <c r="B163" s="68"/>
      <c r="D163" s="69"/>
      <c r="H163" s="70"/>
      <c r="K163" s="70"/>
      <c r="L163" s="71"/>
      <c r="M163" s="72"/>
      <c r="P163" s="72"/>
    </row>
    <row r="164">
      <c r="B164" s="68"/>
      <c r="D164" s="69"/>
      <c r="H164" s="70"/>
      <c r="K164" s="70"/>
      <c r="L164" s="71"/>
      <c r="M164" s="72"/>
      <c r="P164" s="72"/>
    </row>
    <row r="165">
      <c r="B165" s="68"/>
      <c r="D165" s="69"/>
      <c r="H165" s="70"/>
      <c r="K165" s="70"/>
      <c r="L165" s="71"/>
      <c r="M165" s="72"/>
      <c r="P165" s="72"/>
    </row>
    <row r="166">
      <c r="B166" s="68"/>
      <c r="D166" s="69"/>
      <c r="H166" s="70"/>
      <c r="K166" s="70"/>
      <c r="L166" s="71"/>
      <c r="M166" s="72"/>
      <c r="P166" s="72"/>
    </row>
    <row r="167">
      <c r="B167" s="68"/>
      <c r="D167" s="69"/>
      <c r="H167" s="70"/>
      <c r="K167" s="70"/>
      <c r="L167" s="71"/>
      <c r="M167" s="72"/>
      <c r="P167" s="72"/>
    </row>
    <row r="168">
      <c r="B168" s="68"/>
      <c r="D168" s="69"/>
      <c r="H168" s="70"/>
      <c r="K168" s="70"/>
      <c r="L168" s="71"/>
      <c r="M168" s="72"/>
      <c r="P168" s="72"/>
    </row>
    <row r="169">
      <c r="B169" s="68"/>
      <c r="D169" s="69"/>
      <c r="H169" s="70"/>
      <c r="K169" s="70"/>
      <c r="L169" s="71"/>
      <c r="M169" s="72"/>
      <c r="P169" s="72"/>
    </row>
    <row r="170">
      <c r="B170" s="68"/>
      <c r="D170" s="69"/>
      <c r="H170" s="70"/>
      <c r="K170" s="70"/>
      <c r="L170" s="71"/>
      <c r="M170" s="72"/>
      <c r="P170" s="72"/>
    </row>
    <row r="171">
      <c r="B171" s="68"/>
      <c r="D171" s="69"/>
      <c r="H171" s="70"/>
      <c r="K171" s="70"/>
      <c r="L171" s="71"/>
      <c r="M171" s="72"/>
      <c r="P171" s="72"/>
    </row>
    <row r="172">
      <c r="B172" s="68"/>
      <c r="D172" s="69"/>
      <c r="H172" s="70"/>
      <c r="K172" s="70"/>
      <c r="L172" s="71"/>
      <c r="M172" s="72"/>
      <c r="P172" s="72"/>
    </row>
    <row r="173">
      <c r="B173" s="68"/>
      <c r="D173" s="69"/>
      <c r="H173" s="70"/>
      <c r="K173" s="70"/>
      <c r="L173" s="71"/>
      <c r="M173" s="72"/>
      <c r="P173" s="72"/>
    </row>
    <row r="174">
      <c r="B174" s="68"/>
      <c r="D174" s="69"/>
      <c r="H174" s="70"/>
      <c r="K174" s="70"/>
      <c r="L174" s="71"/>
      <c r="M174" s="72"/>
      <c r="P174" s="72"/>
    </row>
    <row r="175">
      <c r="B175" s="68"/>
      <c r="D175" s="69"/>
      <c r="H175" s="70"/>
      <c r="K175" s="70"/>
      <c r="L175" s="71"/>
      <c r="M175" s="72"/>
      <c r="P175" s="72"/>
    </row>
    <row r="176">
      <c r="B176" s="68"/>
      <c r="D176" s="69"/>
      <c r="H176" s="70"/>
      <c r="K176" s="70"/>
      <c r="L176" s="71"/>
      <c r="M176" s="72"/>
      <c r="P176" s="72"/>
    </row>
    <row r="177">
      <c r="B177" s="68"/>
      <c r="D177" s="69"/>
      <c r="H177" s="70"/>
      <c r="K177" s="70"/>
      <c r="L177" s="71"/>
      <c r="M177" s="72"/>
      <c r="P177" s="72"/>
    </row>
    <row r="178">
      <c r="B178" s="68"/>
      <c r="D178" s="69"/>
      <c r="H178" s="70"/>
      <c r="K178" s="70"/>
      <c r="L178" s="71"/>
      <c r="M178" s="72"/>
      <c r="P178" s="72"/>
    </row>
    <row r="179">
      <c r="B179" s="68"/>
      <c r="D179" s="69"/>
      <c r="H179" s="70"/>
      <c r="K179" s="70"/>
      <c r="L179" s="71"/>
      <c r="M179" s="72"/>
      <c r="P179" s="72"/>
    </row>
    <row r="180">
      <c r="B180" s="68"/>
      <c r="D180" s="69"/>
      <c r="H180" s="70"/>
      <c r="K180" s="70"/>
      <c r="L180" s="71"/>
      <c r="M180" s="72"/>
      <c r="P180" s="72"/>
    </row>
    <row r="181">
      <c r="B181" s="68"/>
      <c r="D181" s="69"/>
      <c r="H181" s="70"/>
      <c r="K181" s="70"/>
      <c r="L181" s="71"/>
      <c r="M181" s="72"/>
      <c r="P181" s="72"/>
    </row>
    <row r="182">
      <c r="B182" s="68"/>
      <c r="D182" s="69"/>
      <c r="H182" s="70"/>
      <c r="K182" s="70"/>
      <c r="L182" s="71"/>
      <c r="M182" s="72"/>
      <c r="P182" s="72"/>
    </row>
    <row r="183">
      <c r="B183" s="68"/>
      <c r="D183" s="69"/>
      <c r="H183" s="70"/>
      <c r="K183" s="70"/>
      <c r="L183" s="71"/>
      <c r="M183" s="72"/>
      <c r="P183" s="72"/>
    </row>
    <row r="184">
      <c r="B184" s="68"/>
      <c r="D184" s="69"/>
      <c r="H184" s="70"/>
      <c r="K184" s="70"/>
      <c r="L184" s="71"/>
      <c r="M184" s="72"/>
      <c r="P184" s="72"/>
    </row>
    <row r="185">
      <c r="B185" s="68"/>
      <c r="D185" s="69"/>
      <c r="H185" s="70"/>
      <c r="K185" s="70"/>
      <c r="L185" s="71"/>
      <c r="M185" s="72"/>
      <c r="P185" s="72"/>
    </row>
    <row r="186">
      <c r="B186" s="68"/>
      <c r="D186" s="69"/>
      <c r="H186" s="70"/>
      <c r="K186" s="70"/>
      <c r="L186" s="71"/>
      <c r="M186" s="72"/>
      <c r="P186" s="72"/>
    </row>
    <row r="187">
      <c r="B187" s="68"/>
      <c r="D187" s="69"/>
      <c r="H187" s="70"/>
      <c r="K187" s="70"/>
      <c r="L187" s="71"/>
      <c r="M187" s="72"/>
      <c r="P187" s="72"/>
    </row>
    <row r="188">
      <c r="B188" s="68"/>
      <c r="D188" s="69"/>
      <c r="H188" s="70"/>
      <c r="K188" s="70"/>
      <c r="L188" s="71"/>
      <c r="M188" s="72"/>
      <c r="P188" s="72"/>
    </row>
    <row r="189">
      <c r="B189" s="68"/>
      <c r="D189" s="69"/>
      <c r="H189" s="70"/>
      <c r="K189" s="70"/>
      <c r="L189" s="71"/>
      <c r="M189" s="72"/>
      <c r="P189" s="72"/>
    </row>
    <row r="190">
      <c r="B190" s="68"/>
      <c r="D190" s="69"/>
      <c r="H190" s="70"/>
      <c r="K190" s="70"/>
      <c r="L190" s="71"/>
      <c r="M190" s="72"/>
      <c r="P190" s="72"/>
    </row>
    <row r="191">
      <c r="B191" s="68"/>
      <c r="D191" s="69"/>
      <c r="H191" s="70"/>
      <c r="K191" s="70"/>
      <c r="L191" s="71"/>
      <c r="M191" s="72"/>
      <c r="P191" s="72"/>
    </row>
    <row r="192">
      <c r="B192" s="68"/>
      <c r="D192" s="69"/>
      <c r="H192" s="70"/>
      <c r="K192" s="70"/>
      <c r="L192" s="71"/>
      <c r="M192" s="72"/>
      <c r="P192" s="72"/>
    </row>
    <row r="193">
      <c r="B193" s="68"/>
      <c r="D193" s="69"/>
      <c r="H193" s="70"/>
      <c r="K193" s="70"/>
      <c r="L193" s="71"/>
      <c r="M193" s="72"/>
      <c r="P193" s="72"/>
    </row>
    <row r="194">
      <c r="B194" s="68"/>
      <c r="D194" s="69"/>
      <c r="H194" s="70"/>
      <c r="K194" s="70"/>
      <c r="L194" s="71"/>
      <c r="M194" s="72"/>
      <c r="P194" s="72"/>
    </row>
    <row r="195">
      <c r="B195" s="68"/>
      <c r="D195" s="69"/>
      <c r="H195" s="70"/>
      <c r="K195" s="70"/>
      <c r="L195" s="71"/>
      <c r="M195" s="72"/>
      <c r="P195" s="72"/>
    </row>
    <row r="196">
      <c r="B196" s="68"/>
      <c r="D196" s="69"/>
      <c r="H196" s="70"/>
      <c r="K196" s="70"/>
      <c r="L196" s="71"/>
      <c r="M196" s="72"/>
      <c r="P196" s="72"/>
    </row>
    <row r="197">
      <c r="B197" s="68"/>
      <c r="D197" s="69"/>
      <c r="H197" s="70"/>
      <c r="K197" s="70"/>
      <c r="L197" s="71"/>
      <c r="M197" s="72"/>
      <c r="P197" s="72"/>
    </row>
    <row r="198">
      <c r="B198" s="68"/>
      <c r="D198" s="69"/>
      <c r="H198" s="70"/>
      <c r="K198" s="70"/>
      <c r="L198" s="71"/>
      <c r="M198" s="72"/>
      <c r="P198" s="72"/>
    </row>
    <row r="199">
      <c r="B199" s="68"/>
      <c r="D199" s="69"/>
      <c r="H199" s="70"/>
      <c r="K199" s="70"/>
      <c r="L199" s="71"/>
      <c r="M199" s="72"/>
      <c r="P199" s="72"/>
    </row>
    <row r="200">
      <c r="B200" s="68"/>
      <c r="D200" s="69"/>
      <c r="H200" s="70"/>
      <c r="K200" s="70"/>
      <c r="L200" s="71"/>
      <c r="M200" s="72"/>
      <c r="P200" s="72"/>
    </row>
    <row r="201">
      <c r="B201" s="68"/>
      <c r="D201" s="69"/>
      <c r="H201" s="70"/>
      <c r="K201" s="70"/>
      <c r="L201" s="71"/>
      <c r="M201" s="72"/>
      <c r="P201" s="72"/>
    </row>
    <row r="202">
      <c r="B202" s="68"/>
      <c r="D202" s="69"/>
      <c r="H202" s="70"/>
      <c r="K202" s="70"/>
      <c r="L202" s="71"/>
      <c r="M202" s="72"/>
      <c r="P202" s="72"/>
    </row>
    <row r="203">
      <c r="B203" s="68"/>
      <c r="D203" s="69"/>
      <c r="H203" s="70"/>
      <c r="K203" s="70"/>
      <c r="L203" s="71"/>
      <c r="M203" s="72"/>
      <c r="P203" s="72"/>
    </row>
    <row r="204">
      <c r="B204" s="68"/>
      <c r="D204" s="69"/>
      <c r="H204" s="70"/>
      <c r="K204" s="70"/>
      <c r="L204" s="71"/>
      <c r="M204" s="72"/>
      <c r="P204" s="72"/>
    </row>
    <row r="205">
      <c r="B205" s="68"/>
      <c r="D205" s="69"/>
      <c r="H205" s="70"/>
      <c r="K205" s="70"/>
      <c r="L205" s="71"/>
      <c r="M205" s="72"/>
      <c r="P205" s="72"/>
    </row>
    <row r="206">
      <c r="B206" s="68"/>
      <c r="D206" s="69"/>
      <c r="H206" s="70"/>
      <c r="K206" s="70"/>
      <c r="L206" s="71"/>
      <c r="M206" s="72"/>
      <c r="P206" s="72"/>
    </row>
    <row r="207">
      <c r="B207" s="68"/>
      <c r="D207" s="69"/>
      <c r="H207" s="70"/>
      <c r="K207" s="70"/>
      <c r="L207" s="71"/>
      <c r="M207" s="72"/>
      <c r="P207" s="72"/>
    </row>
    <row r="208">
      <c r="B208" s="68"/>
      <c r="D208" s="69"/>
      <c r="H208" s="70"/>
      <c r="K208" s="70"/>
      <c r="L208" s="71"/>
      <c r="M208" s="72"/>
      <c r="P208" s="72"/>
    </row>
    <row r="209">
      <c r="B209" s="68"/>
      <c r="D209" s="69"/>
      <c r="H209" s="70"/>
      <c r="K209" s="70"/>
      <c r="L209" s="71"/>
      <c r="M209" s="72"/>
      <c r="P209" s="72"/>
    </row>
    <row r="210">
      <c r="B210" s="68"/>
      <c r="D210" s="69"/>
      <c r="H210" s="70"/>
      <c r="K210" s="70"/>
      <c r="L210" s="71"/>
      <c r="M210" s="72"/>
      <c r="P210" s="72"/>
    </row>
    <row r="211">
      <c r="B211" s="68"/>
      <c r="D211" s="69"/>
      <c r="H211" s="70"/>
      <c r="K211" s="70"/>
      <c r="L211" s="71"/>
      <c r="M211" s="72"/>
      <c r="P211" s="72"/>
    </row>
    <row r="212">
      <c r="B212" s="68"/>
      <c r="D212" s="69"/>
      <c r="H212" s="70"/>
      <c r="K212" s="70"/>
      <c r="L212" s="71"/>
      <c r="M212" s="72"/>
      <c r="P212" s="72"/>
    </row>
    <row r="213">
      <c r="B213" s="68"/>
      <c r="D213" s="69"/>
      <c r="H213" s="70"/>
      <c r="K213" s="70"/>
      <c r="L213" s="71"/>
      <c r="M213" s="72"/>
      <c r="P213" s="72"/>
    </row>
    <row r="214">
      <c r="B214" s="68"/>
      <c r="D214" s="69"/>
      <c r="H214" s="70"/>
      <c r="K214" s="70"/>
      <c r="L214" s="71"/>
      <c r="M214" s="72"/>
      <c r="P214" s="72"/>
    </row>
    <row r="215">
      <c r="B215" s="68"/>
      <c r="D215" s="69"/>
      <c r="H215" s="70"/>
      <c r="K215" s="70"/>
      <c r="L215" s="71"/>
      <c r="M215" s="72"/>
      <c r="P215" s="72"/>
    </row>
    <row r="216">
      <c r="B216" s="68"/>
      <c r="D216" s="69"/>
      <c r="H216" s="70"/>
      <c r="K216" s="70"/>
      <c r="L216" s="71"/>
      <c r="M216" s="72"/>
      <c r="P216" s="72"/>
    </row>
    <row r="217">
      <c r="B217" s="68"/>
      <c r="D217" s="69"/>
      <c r="H217" s="70"/>
      <c r="K217" s="70"/>
      <c r="L217" s="71"/>
      <c r="M217" s="72"/>
      <c r="P217" s="72"/>
    </row>
    <row r="218">
      <c r="B218" s="68"/>
      <c r="D218" s="69"/>
      <c r="H218" s="70"/>
      <c r="K218" s="70"/>
      <c r="L218" s="71"/>
      <c r="M218" s="72"/>
      <c r="P218" s="72"/>
    </row>
    <row r="219">
      <c r="B219" s="68"/>
      <c r="D219" s="69"/>
      <c r="H219" s="70"/>
      <c r="K219" s="70"/>
      <c r="L219" s="71"/>
      <c r="M219" s="72"/>
      <c r="P219" s="72"/>
    </row>
    <row r="220">
      <c r="B220" s="68"/>
      <c r="D220" s="69"/>
      <c r="H220" s="70"/>
      <c r="K220" s="70"/>
      <c r="L220" s="71"/>
      <c r="M220" s="72"/>
      <c r="P220" s="72"/>
    </row>
    <row r="221">
      <c r="B221" s="68"/>
      <c r="D221" s="69"/>
      <c r="H221" s="70"/>
      <c r="K221" s="70"/>
      <c r="L221" s="71"/>
      <c r="M221" s="72"/>
      <c r="P221" s="72"/>
    </row>
    <row r="222">
      <c r="B222" s="68"/>
      <c r="D222" s="69"/>
      <c r="H222" s="70"/>
      <c r="K222" s="70"/>
      <c r="L222" s="71"/>
      <c r="M222" s="72"/>
      <c r="P222" s="72"/>
    </row>
    <row r="223">
      <c r="B223" s="68"/>
      <c r="D223" s="69"/>
      <c r="H223" s="70"/>
      <c r="K223" s="70"/>
      <c r="L223" s="71"/>
      <c r="M223" s="72"/>
      <c r="P223" s="72"/>
    </row>
    <row r="224">
      <c r="B224" s="68"/>
      <c r="D224" s="69"/>
      <c r="H224" s="70"/>
      <c r="K224" s="70"/>
      <c r="L224" s="71"/>
      <c r="M224" s="72"/>
      <c r="P224" s="72"/>
    </row>
    <row r="225">
      <c r="B225" s="68"/>
      <c r="D225" s="69"/>
      <c r="H225" s="70"/>
      <c r="K225" s="70"/>
      <c r="L225" s="71"/>
      <c r="M225" s="72"/>
      <c r="P225" s="72"/>
    </row>
    <row r="226">
      <c r="B226" s="68"/>
      <c r="D226" s="69"/>
      <c r="H226" s="70"/>
      <c r="K226" s="70"/>
      <c r="L226" s="71"/>
      <c r="M226" s="72"/>
      <c r="P226" s="72"/>
    </row>
    <row r="227">
      <c r="B227" s="68"/>
      <c r="D227" s="69"/>
      <c r="H227" s="70"/>
      <c r="K227" s="70"/>
      <c r="L227" s="71"/>
      <c r="M227" s="72"/>
      <c r="P227" s="72"/>
    </row>
    <row r="228">
      <c r="B228" s="68"/>
      <c r="D228" s="69"/>
      <c r="H228" s="70"/>
      <c r="K228" s="70"/>
      <c r="L228" s="71"/>
      <c r="M228" s="72"/>
      <c r="P228" s="72"/>
    </row>
    <row r="229">
      <c r="B229" s="68"/>
      <c r="D229" s="69"/>
      <c r="H229" s="70"/>
      <c r="K229" s="70"/>
      <c r="L229" s="71"/>
      <c r="M229" s="72"/>
      <c r="P229" s="72"/>
    </row>
    <row r="230">
      <c r="B230" s="68"/>
      <c r="D230" s="69"/>
      <c r="H230" s="70"/>
      <c r="K230" s="70"/>
      <c r="L230" s="71"/>
      <c r="M230" s="72"/>
      <c r="P230" s="72"/>
    </row>
    <row r="231">
      <c r="B231" s="68"/>
      <c r="D231" s="69"/>
      <c r="H231" s="70"/>
      <c r="K231" s="70"/>
      <c r="L231" s="71"/>
      <c r="M231" s="72"/>
      <c r="P231" s="72"/>
    </row>
    <row r="232">
      <c r="B232" s="68"/>
      <c r="D232" s="69"/>
      <c r="H232" s="70"/>
      <c r="K232" s="70"/>
      <c r="L232" s="71"/>
      <c r="M232" s="72"/>
      <c r="P232" s="72"/>
    </row>
    <row r="233">
      <c r="B233" s="68"/>
      <c r="D233" s="69"/>
      <c r="H233" s="70"/>
      <c r="K233" s="70"/>
      <c r="L233" s="71"/>
      <c r="M233" s="72"/>
      <c r="P233" s="72"/>
    </row>
    <row r="234">
      <c r="B234" s="68"/>
      <c r="D234" s="69"/>
      <c r="H234" s="70"/>
      <c r="K234" s="70"/>
      <c r="L234" s="71"/>
      <c r="M234" s="72"/>
      <c r="P234" s="72"/>
    </row>
    <row r="235">
      <c r="B235" s="68"/>
      <c r="D235" s="69"/>
      <c r="H235" s="70"/>
      <c r="K235" s="70"/>
      <c r="L235" s="71"/>
      <c r="M235" s="72"/>
      <c r="P235" s="72"/>
    </row>
    <row r="236">
      <c r="B236" s="68"/>
      <c r="D236" s="69"/>
      <c r="H236" s="70"/>
      <c r="K236" s="70"/>
      <c r="L236" s="71"/>
      <c r="M236" s="72"/>
      <c r="P236" s="72"/>
    </row>
    <row r="237">
      <c r="B237" s="68"/>
      <c r="D237" s="69"/>
      <c r="H237" s="70"/>
      <c r="K237" s="70"/>
      <c r="L237" s="71"/>
      <c r="M237" s="72"/>
      <c r="P237" s="72"/>
    </row>
    <row r="238">
      <c r="B238" s="68"/>
      <c r="D238" s="69"/>
      <c r="H238" s="70"/>
      <c r="K238" s="70"/>
      <c r="L238" s="71"/>
      <c r="M238" s="72"/>
      <c r="P238" s="72"/>
    </row>
    <row r="239">
      <c r="B239" s="68"/>
      <c r="D239" s="69"/>
      <c r="H239" s="70"/>
      <c r="K239" s="70"/>
      <c r="L239" s="71"/>
      <c r="M239" s="72"/>
      <c r="P239" s="72"/>
    </row>
    <row r="240">
      <c r="B240" s="68"/>
      <c r="D240" s="69"/>
      <c r="H240" s="70"/>
      <c r="K240" s="70"/>
      <c r="L240" s="71"/>
      <c r="M240" s="72"/>
      <c r="P240" s="72"/>
    </row>
    <row r="241">
      <c r="B241" s="68"/>
      <c r="D241" s="69"/>
      <c r="H241" s="70"/>
      <c r="K241" s="70"/>
      <c r="L241" s="71"/>
      <c r="M241" s="72"/>
      <c r="P241" s="72"/>
    </row>
    <row r="242">
      <c r="B242" s="68"/>
      <c r="D242" s="69"/>
      <c r="H242" s="70"/>
      <c r="K242" s="70"/>
      <c r="L242" s="71"/>
      <c r="M242" s="72"/>
      <c r="P242" s="72"/>
    </row>
    <row r="243">
      <c r="B243" s="68"/>
      <c r="D243" s="69"/>
      <c r="H243" s="70"/>
      <c r="K243" s="70"/>
      <c r="L243" s="71"/>
      <c r="M243" s="72"/>
      <c r="P243" s="72"/>
    </row>
    <row r="244">
      <c r="B244" s="68"/>
      <c r="D244" s="69"/>
      <c r="H244" s="70"/>
      <c r="K244" s="70"/>
      <c r="L244" s="71"/>
      <c r="M244" s="72"/>
      <c r="P244" s="72"/>
    </row>
    <row r="245">
      <c r="B245" s="68"/>
      <c r="D245" s="69"/>
      <c r="H245" s="70"/>
      <c r="K245" s="70"/>
      <c r="L245" s="71"/>
      <c r="M245" s="72"/>
      <c r="P245" s="72"/>
    </row>
    <row r="246">
      <c r="B246" s="68"/>
      <c r="D246" s="69"/>
      <c r="H246" s="70"/>
      <c r="K246" s="70"/>
      <c r="L246" s="71"/>
      <c r="M246" s="72"/>
      <c r="P246" s="72"/>
    </row>
    <row r="247">
      <c r="B247" s="68"/>
      <c r="D247" s="69"/>
      <c r="H247" s="70"/>
      <c r="K247" s="70"/>
      <c r="L247" s="71"/>
      <c r="M247" s="72"/>
      <c r="P247" s="72"/>
    </row>
    <row r="248">
      <c r="B248" s="68"/>
      <c r="D248" s="69"/>
      <c r="H248" s="70"/>
      <c r="K248" s="70"/>
      <c r="L248" s="71"/>
      <c r="M248" s="72"/>
      <c r="P248" s="72"/>
    </row>
    <row r="249">
      <c r="B249" s="68"/>
      <c r="D249" s="69"/>
      <c r="H249" s="70"/>
      <c r="K249" s="70"/>
      <c r="L249" s="71"/>
      <c r="M249" s="72"/>
      <c r="P249" s="72"/>
    </row>
    <row r="250">
      <c r="B250" s="68"/>
      <c r="D250" s="69"/>
      <c r="H250" s="70"/>
      <c r="K250" s="70"/>
      <c r="L250" s="71"/>
      <c r="M250" s="72"/>
      <c r="P250" s="72"/>
    </row>
    <row r="251">
      <c r="B251" s="68"/>
      <c r="D251" s="69"/>
      <c r="H251" s="70"/>
      <c r="K251" s="70"/>
      <c r="L251" s="71"/>
      <c r="M251" s="72"/>
      <c r="P251" s="72"/>
    </row>
    <row r="252">
      <c r="B252" s="68"/>
      <c r="D252" s="69"/>
      <c r="H252" s="70"/>
      <c r="K252" s="70"/>
      <c r="L252" s="71"/>
      <c r="M252" s="72"/>
      <c r="P252" s="72"/>
    </row>
    <row r="253">
      <c r="B253" s="68"/>
      <c r="D253" s="69"/>
      <c r="H253" s="70"/>
      <c r="K253" s="70"/>
      <c r="L253" s="71"/>
      <c r="M253" s="72"/>
      <c r="P253" s="72"/>
    </row>
    <row r="254">
      <c r="B254" s="68"/>
      <c r="D254" s="69"/>
      <c r="H254" s="70"/>
      <c r="K254" s="70"/>
      <c r="L254" s="71"/>
      <c r="M254" s="72"/>
      <c r="P254" s="72"/>
    </row>
    <row r="255">
      <c r="B255" s="68"/>
      <c r="D255" s="69"/>
      <c r="H255" s="70"/>
      <c r="K255" s="70"/>
      <c r="L255" s="71"/>
      <c r="M255" s="72"/>
      <c r="P255" s="72"/>
    </row>
    <row r="256">
      <c r="B256" s="68"/>
      <c r="D256" s="69"/>
      <c r="H256" s="70"/>
      <c r="K256" s="70"/>
      <c r="L256" s="71"/>
      <c r="M256" s="72"/>
      <c r="P256" s="72"/>
    </row>
    <row r="257">
      <c r="B257" s="68"/>
      <c r="D257" s="69"/>
      <c r="H257" s="70"/>
      <c r="K257" s="70"/>
      <c r="L257" s="71"/>
      <c r="M257" s="72"/>
      <c r="P257" s="72"/>
    </row>
    <row r="258">
      <c r="B258" s="68"/>
      <c r="D258" s="69"/>
      <c r="H258" s="70"/>
      <c r="K258" s="70"/>
      <c r="L258" s="71"/>
      <c r="M258" s="72"/>
      <c r="P258" s="72"/>
    </row>
    <row r="259">
      <c r="B259" s="68"/>
      <c r="D259" s="69"/>
      <c r="H259" s="70"/>
      <c r="K259" s="70"/>
      <c r="L259" s="71"/>
      <c r="M259" s="72"/>
      <c r="P259" s="72"/>
    </row>
    <row r="260">
      <c r="B260" s="68"/>
      <c r="D260" s="69"/>
      <c r="H260" s="70"/>
      <c r="K260" s="70"/>
      <c r="L260" s="71"/>
      <c r="M260" s="72"/>
      <c r="P260" s="72"/>
    </row>
    <row r="261">
      <c r="B261" s="68"/>
      <c r="D261" s="69"/>
      <c r="H261" s="70"/>
      <c r="K261" s="70"/>
      <c r="L261" s="71"/>
      <c r="M261" s="72"/>
      <c r="P261" s="72"/>
    </row>
    <row r="262">
      <c r="B262" s="68"/>
      <c r="D262" s="69"/>
      <c r="H262" s="70"/>
      <c r="K262" s="70"/>
      <c r="L262" s="71"/>
      <c r="M262" s="72"/>
      <c r="P262" s="72"/>
    </row>
    <row r="263">
      <c r="B263" s="68"/>
      <c r="D263" s="69"/>
      <c r="H263" s="70"/>
      <c r="K263" s="70"/>
      <c r="L263" s="71"/>
      <c r="M263" s="72"/>
      <c r="P263" s="72"/>
    </row>
    <row r="264">
      <c r="B264" s="68"/>
      <c r="D264" s="69"/>
      <c r="H264" s="70"/>
      <c r="K264" s="70"/>
      <c r="L264" s="71"/>
      <c r="M264" s="72"/>
      <c r="P264" s="72"/>
    </row>
    <row r="265">
      <c r="B265" s="68"/>
      <c r="D265" s="69"/>
      <c r="H265" s="70"/>
      <c r="K265" s="70"/>
      <c r="L265" s="71"/>
      <c r="M265" s="72"/>
      <c r="P265" s="72"/>
    </row>
    <row r="266">
      <c r="B266" s="68"/>
      <c r="D266" s="69"/>
      <c r="H266" s="70"/>
      <c r="K266" s="70"/>
      <c r="L266" s="71"/>
      <c r="M266" s="72"/>
      <c r="P266" s="72"/>
    </row>
    <row r="267">
      <c r="B267" s="68"/>
      <c r="D267" s="69"/>
      <c r="H267" s="70"/>
      <c r="K267" s="70"/>
      <c r="L267" s="71"/>
      <c r="M267" s="72"/>
      <c r="P267" s="72"/>
    </row>
    <row r="268">
      <c r="B268" s="68"/>
      <c r="D268" s="69"/>
      <c r="H268" s="70"/>
      <c r="K268" s="70"/>
      <c r="L268" s="71"/>
      <c r="M268" s="72"/>
      <c r="P268" s="72"/>
    </row>
    <row r="269">
      <c r="B269" s="68"/>
      <c r="D269" s="69"/>
      <c r="H269" s="70"/>
      <c r="K269" s="70"/>
      <c r="L269" s="71"/>
      <c r="M269" s="72"/>
      <c r="P269" s="72"/>
    </row>
    <row r="270">
      <c r="B270" s="68"/>
      <c r="D270" s="69"/>
      <c r="H270" s="70"/>
      <c r="K270" s="70"/>
      <c r="L270" s="71"/>
      <c r="M270" s="72"/>
      <c r="P270" s="72"/>
    </row>
    <row r="271">
      <c r="B271" s="68"/>
      <c r="D271" s="69"/>
      <c r="H271" s="70"/>
      <c r="K271" s="70"/>
      <c r="L271" s="71"/>
      <c r="M271" s="72"/>
      <c r="P271" s="72"/>
    </row>
    <row r="272">
      <c r="B272" s="68"/>
      <c r="D272" s="69"/>
      <c r="H272" s="70"/>
      <c r="K272" s="70"/>
      <c r="L272" s="71"/>
      <c r="M272" s="72"/>
      <c r="P272" s="72"/>
    </row>
    <row r="273">
      <c r="B273" s="68"/>
      <c r="D273" s="69"/>
      <c r="H273" s="70"/>
      <c r="K273" s="70"/>
      <c r="L273" s="71"/>
      <c r="M273" s="72"/>
      <c r="P273" s="72"/>
    </row>
    <row r="274">
      <c r="B274" s="68"/>
      <c r="D274" s="69"/>
      <c r="H274" s="70"/>
      <c r="K274" s="70"/>
      <c r="L274" s="71"/>
      <c r="M274" s="72"/>
      <c r="P274" s="72"/>
    </row>
    <row r="275">
      <c r="B275" s="68"/>
      <c r="D275" s="69"/>
      <c r="H275" s="70"/>
      <c r="K275" s="70"/>
      <c r="L275" s="71"/>
      <c r="M275" s="72"/>
      <c r="P275" s="72"/>
    </row>
    <row r="276">
      <c r="B276" s="68"/>
      <c r="D276" s="69"/>
      <c r="H276" s="70"/>
      <c r="K276" s="70"/>
      <c r="L276" s="71"/>
      <c r="M276" s="72"/>
      <c r="P276" s="72"/>
    </row>
    <row r="277">
      <c r="B277" s="68"/>
      <c r="D277" s="69"/>
      <c r="H277" s="70"/>
      <c r="K277" s="70"/>
      <c r="L277" s="71"/>
      <c r="M277" s="72"/>
      <c r="P277" s="72"/>
    </row>
    <row r="278">
      <c r="B278" s="68"/>
      <c r="D278" s="69"/>
      <c r="H278" s="70"/>
      <c r="K278" s="70"/>
      <c r="L278" s="71"/>
      <c r="M278" s="72"/>
      <c r="P278" s="72"/>
    </row>
    <row r="279">
      <c r="B279" s="68"/>
      <c r="D279" s="69"/>
      <c r="H279" s="70"/>
      <c r="K279" s="70"/>
      <c r="L279" s="71"/>
      <c r="M279" s="72"/>
      <c r="P279" s="72"/>
    </row>
    <row r="280">
      <c r="B280" s="68"/>
      <c r="D280" s="69"/>
      <c r="H280" s="70"/>
      <c r="K280" s="70"/>
      <c r="L280" s="71"/>
      <c r="M280" s="72"/>
      <c r="P280" s="72"/>
    </row>
    <row r="281">
      <c r="B281" s="68"/>
      <c r="D281" s="69"/>
      <c r="H281" s="70"/>
      <c r="K281" s="70"/>
      <c r="L281" s="71"/>
      <c r="M281" s="72"/>
      <c r="P281" s="72"/>
    </row>
    <row r="282">
      <c r="B282" s="68"/>
      <c r="D282" s="69"/>
      <c r="H282" s="70"/>
      <c r="K282" s="70"/>
      <c r="L282" s="71"/>
      <c r="M282" s="72"/>
      <c r="P282" s="72"/>
    </row>
    <row r="283">
      <c r="B283" s="68"/>
      <c r="D283" s="69"/>
      <c r="H283" s="70"/>
      <c r="K283" s="70"/>
      <c r="L283" s="71"/>
      <c r="M283" s="72"/>
      <c r="P283" s="72"/>
    </row>
    <row r="284">
      <c r="B284" s="68"/>
      <c r="D284" s="69"/>
      <c r="H284" s="70"/>
      <c r="K284" s="70"/>
      <c r="L284" s="71"/>
      <c r="M284" s="72"/>
      <c r="P284" s="72"/>
    </row>
    <row r="285">
      <c r="B285" s="68"/>
      <c r="D285" s="69"/>
      <c r="H285" s="70"/>
      <c r="K285" s="70"/>
      <c r="L285" s="71"/>
      <c r="M285" s="72"/>
      <c r="P285" s="72"/>
    </row>
    <row r="286">
      <c r="B286" s="68"/>
      <c r="D286" s="69"/>
      <c r="H286" s="70"/>
      <c r="K286" s="70"/>
      <c r="L286" s="71"/>
      <c r="M286" s="72"/>
      <c r="P286" s="72"/>
    </row>
    <row r="287">
      <c r="B287" s="68"/>
      <c r="D287" s="69"/>
      <c r="H287" s="70"/>
      <c r="K287" s="70"/>
      <c r="L287" s="71"/>
      <c r="M287" s="72"/>
      <c r="P287" s="72"/>
    </row>
    <row r="288">
      <c r="B288" s="68"/>
      <c r="D288" s="69"/>
      <c r="H288" s="70"/>
      <c r="K288" s="70"/>
      <c r="L288" s="71"/>
      <c r="M288" s="72"/>
      <c r="P288" s="72"/>
    </row>
    <row r="289">
      <c r="B289" s="68"/>
      <c r="D289" s="69"/>
      <c r="H289" s="70"/>
      <c r="K289" s="70"/>
      <c r="L289" s="71"/>
      <c r="M289" s="72"/>
      <c r="P289" s="72"/>
    </row>
    <row r="290">
      <c r="B290" s="68"/>
      <c r="D290" s="69"/>
      <c r="H290" s="70"/>
      <c r="K290" s="70"/>
      <c r="L290" s="71"/>
      <c r="M290" s="72"/>
      <c r="P290" s="72"/>
    </row>
    <row r="291">
      <c r="B291" s="68"/>
      <c r="D291" s="69"/>
      <c r="H291" s="70"/>
      <c r="K291" s="70"/>
      <c r="L291" s="71"/>
      <c r="M291" s="72"/>
      <c r="P291" s="72"/>
    </row>
    <row r="292">
      <c r="B292" s="68"/>
      <c r="D292" s="69"/>
      <c r="H292" s="70"/>
      <c r="K292" s="70"/>
      <c r="L292" s="71"/>
      <c r="M292" s="72"/>
      <c r="P292" s="72"/>
    </row>
    <row r="293">
      <c r="B293" s="68"/>
      <c r="D293" s="69"/>
      <c r="H293" s="70"/>
      <c r="K293" s="70"/>
      <c r="L293" s="71"/>
      <c r="M293" s="72"/>
      <c r="P293" s="72"/>
    </row>
    <row r="294">
      <c r="B294" s="68"/>
      <c r="D294" s="69"/>
      <c r="H294" s="70"/>
      <c r="K294" s="70"/>
      <c r="L294" s="71"/>
      <c r="M294" s="72"/>
      <c r="P294" s="72"/>
    </row>
    <row r="295">
      <c r="B295" s="68"/>
      <c r="D295" s="69"/>
      <c r="H295" s="70"/>
      <c r="K295" s="70"/>
      <c r="L295" s="71"/>
      <c r="M295" s="72"/>
      <c r="P295" s="72"/>
    </row>
    <row r="296">
      <c r="B296" s="68"/>
      <c r="D296" s="69"/>
      <c r="H296" s="70"/>
      <c r="K296" s="70"/>
      <c r="L296" s="71"/>
      <c r="M296" s="72"/>
      <c r="P296" s="72"/>
    </row>
    <row r="297">
      <c r="B297" s="68"/>
      <c r="D297" s="69"/>
      <c r="H297" s="70"/>
      <c r="K297" s="70"/>
      <c r="L297" s="71"/>
      <c r="M297" s="72"/>
      <c r="P297" s="72"/>
    </row>
    <row r="298">
      <c r="B298" s="68"/>
      <c r="D298" s="69"/>
      <c r="H298" s="70"/>
      <c r="K298" s="70"/>
      <c r="L298" s="71"/>
      <c r="M298" s="72"/>
      <c r="P298" s="72"/>
    </row>
    <row r="299">
      <c r="B299" s="68"/>
      <c r="D299" s="69"/>
      <c r="H299" s="70"/>
      <c r="K299" s="70"/>
      <c r="L299" s="71"/>
      <c r="M299" s="72"/>
      <c r="P299" s="72"/>
    </row>
    <row r="300">
      <c r="B300" s="68"/>
      <c r="D300" s="69"/>
      <c r="H300" s="70"/>
      <c r="K300" s="70"/>
      <c r="L300" s="71"/>
      <c r="M300" s="72"/>
      <c r="P300" s="72"/>
    </row>
    <row r="301">
      <c r="B301" s="68"/>
      <c r="D301" s="69"/>
      <c r="H301" s="70"/>
      <c r="K301" s="70"/>
      <c r="L301" s="71"/>
      <c r="M301" s="72"/>
      <c r="P301" s="72"/>
    </row>
    <row r="302">
      <c r="B302" s="68"/>
      <c r="D302" s="69"/>
      <c r="H302" s="70"/>
      <c r="K302" s="70"/>
      <c r="L302" s="71"/>
      <c r="M302" s="72"/>
      <c r="P302" s="72"/>
    </row>
    <row r="303">
      <c r="B303" s="68"/>
      <c r="D303" s="69"/>
      <c r="H303" s="70"/>
      <c r="K303" s="70"/>
      <c r="L303" s="71"/>
      <c r="M303" s="72"/>
      <c r="P303" s="72"/>
    </row>
    <row r="304">
      <c r="B304" s="68"/>
      <c r="D304" s="69"/>
      <c r="H304" s="70"/>
      <c r="K304" s="70"/>
      <c r="L304" s="71"/>
      <c r="M304" s="72"/>
      <c r="P304" s="72"/>
    </row>
    <row r="305">
      <c r="B305" s="68"/>
      <c r="D305" s="69"/>
      <c r="H305" s="70"/>
      <c r="K305" s="70"/>
      <c r="L305" s="71"/>
      <c r="M305" s="72"/>
      <c r="P305" s="72"/>
    </row>
    <row r="306">
      <c r="B306" s="68"/>
      <c r="D306" s="69"/>
      <c r="H306" s="70"/>
      <c r="K306" s="70"/>
      <c r="L306" s="71"/>
      <c r="M306" s="72"/>
      <c r="P306" s="72"/>
    </row>
    <row r="307">
      <c r="B307" s="68"/>
      <c r="D307" s="69"/>
      <c r="H307" s="70"/>
      <c r="K307" s="70"/>
      <c r="L307" s="71"/>
      <c r="M307" s="72"/>
      <c r="P307" s="72"/>
    </row>
    <row r="308">
      <c r="B308" s="68"/>
      <c r="D308" s="69"/>
      <c r="H308" s="70"/>
      <c r="K308" s="70"/>
      <c r="L308" s="71"/>
      <c r="M308" s="72"/>
      <c r="P308" s="72"/>
    </row>
    <row r="309">
      <c r="B309" s="68"/>
      <c r="D309" s="69"/>
      <c r="H309" s="70"/>
      <c r="K309" s="70"/>
      <c r="L309" s="71"/>
      <c r="M309" s="72"/>
      <c r="P309" s="72"/>
    </row>
    <row r="310">
      <c r="B310" s="68"/>
      <c r="D310" s="69"/>
      <c r="H310" s="70"/>
      <c r="K310" s="70"/>
      <c r="L310" s="71"/>
      <c r="M310" s="72"/>
      <c r="P310" s="72"/>
    </row>
    <row r="311">
      <c r="B311" s="68"/>
      <c r="D311" s="69"/>
      <c r="H311" s="70"/>
      <c r="K311" s="70"/>
      <c r="L311" s="71"/>
      <c r="M311" s="72"/>
      <c r="P311" s="72"/>
    </row>
    <row r="312">
      <c r="B312" s="68"/>
      <c r="D312" s="69"/>
      <c r="H312" s="70"/>
      <c r="K312" s="70"/>
      <c r="L312" s="71"/>
      <c r="M312" s="72"/>
      <c r="P312" s="72"/>
    </row>
    <row r="313">
      <c r="B313" s="68"/>
      <c r="D313" s="69"/>
      <c r="H313" s="70"/>
      <c r="K313" s="70"/>
      <c r="L313" s="71"/>
      <c r="M313" s="72"/>
      <c r="P313" s="72"/>
    </row>
    <row r="314">
      <c r="B314" s="68"/>
      <c r="D314" s="69"/>
      <c r="H314" s="70"/>
      <c r="K314" s="70"/>
      <c r="L314" s="71"/>
      <c r="M314" s="72"/>
      <c r="P314" s="72"/>
    </row>
    <row r="315">
      <c r="B315" s="68"/>
      <c r="D315" s="69"/>
      <c r="H315" s="70"/>
      <c r="K315" s="70"/>
      <c r="L315" s="71"/>
      <c r="M315" s="72"/>
      <c r="P315" s="72"/>
    </row>
    <row r="316">
      <c r="B316" s="68"/>
      <c r="D316" s="69"/>
      <c r="H316" s="70"/>
      <c r="K316" s="70"/>
      <c r="L316" s="71"/>
      <c r="M316" s="72"/>
      <c r="P316" s="72"/>
    </row>
    <row r="317">
      <c r="B317" s="68"/>
      <c r="D317" s="69"/>
      <c r="H317" s="70"/>
      <c r="K317" s="70"/>
      <c r="L317" s="71"/>
      <c r="M317" s="72"/>
      <c r="P317" s="72"/>
    </row>
    <row r="318">
      <c r="B318" s="68"/>
      <c r="D318" s="69"/>
      <c r="H318" s="70"/>
      <c r="K318" s="70"/>
      <c r="L318" s="71"/>
      <c r="M318" s="72"/>
      <c r="P318" s="72"/>
    </row>
    <row r="319">
      <c r="B319" s="68"/>
      <c r="D319" s="69"/>
      <c r="H319" s="70"/>
      <c r="K319" s="70"/>
      <c r="L319" s="71"/>
      <c r="M319" s="72"/>
      <c r="P319" s="72"/>
    </row>
    <row r="320">
      <c r="B320" s="68"/>
      <c r="D320" s="69"/>
      <c r="H320" s="70"/>
      <c r="K320" s="70"/>
      <c r="L320" s="71"/>
      <c r="M320" s="72"/>
      <c r="P320" s="72"/>
    </row>
    <row r="321">
      <c r="B321" s="68"/>
      <c r="D321" s="69"/>
      <c r="H321" s="70"/>
      <c r="K321" s="70"/>
      <c r="L321" s="71"/>
      <c r="M321" s="72"/>
      <c r="P321" s="72"/>
    </row>
    <row r="322">
      <c r="B322" s="68"/>
      <c r="D322" s="69"/>
      <c r="H322" s="70"/>
      <c r="K322" s="70"/>
      <c r="L322" s="71"/>
      <c r="M322" s="72"/>
      <c r="P322" s="72"/>
    </row>
    <row r="323">
      <c r="B323" s="68"/>
      <c r="D323" s="69"/>
      <c r="H323" s="70"/>
      <c r="K323" s="70"/>
      <c r="L323" s="71"/>
      <c r="M323" s="72"/>
      <c r="P323" s="72"/>
    </row>
    <row r="324">
      <c r="B324" s="68"/>
      <c r="D324" s="69"/>
      <c r="H324" s="70"/>
      <c r="K324" s="70"/>
      <c r="L324" s="71"/>
      <c r="M324" s="72"/>
      <c r="P324" s="72"/>
    </row>
    <row r="325">
      <c r="B325" s="68"/>
      <c r="D325" s="69"/>
      <c r="H325" s="70"/>
      <c r="K325" s="70"/>
      <c r="L325" s="71"/>
      <c r="M325" s="72"/>
      <c r="P325" s="72"/>
    </row>
    <row r="326">
      <c r="B326" s="68"/>
      <c r="D326" s="69"/>
      <c r="H326" s="70"/>
      <c r="K326" s="70"/>
      <c r="L326" s="71"/>
      <c r="M326" s="72"/>
      <c r="P326" s="72"/>
    </row>
    <row r="327">
      <c r="B327" s="68"/>
      <c r="D327" s="69"/>
      <c r="H327" s="70"/>
      <c r="K327" s="70"/>
      <c r="L327" s="71"/>
      <c r="M327" s="72"/>
      <c r="P327" s="72"/>
    </row>
    <row r="328">
      <c r="B328" s="68"/>
      <c r="D328" s="69"/>
      <c r="H328" s="70"/>
      <c r="K328" s="70"/>
      <c r="L328" s="71"/>
      <c r="M328" s="72"/>
      <c r="P328" s="72"/>
    </row>
    <row r="329">
      <c r="B329" s="68"/>
      <c r="D329" s="69"/>
      <c r="H329" s="70"/>
      <c r="K329" s="70"/>
      <c r="L329" s="71"/>
      <c r="M329" s="72"/>
      <c r="P329" s="72"/>
    </row>
    <row r="330">
      <c r="B330" s="68"/>
      <c r="D330" s="69"/>
      <c r="H330" s="70"/>
      <c r="K330" s="70"/>
      <c r="L330" s="71"/>
      <c r="M330" s="72"/>
      <c r="P330" s="72"/>
    </row>
    <row r="331">
      <c r="B331" s="68"/>
      <c r="D331" s="69"/>
      <c r="H331" s="70"/>
      <c r="K331" s="70"/>
      <c r="L331" s="71"/>
      <c r="M331" s="72"/>
      <c r="P331" s="72"/>
    </row>
    <row r="332">
      <c r="B332" s="68"/>
      <c r="D332" s="69"/>
      <c r="H332" s="70"/>
      <c r="K332" s="70"/>
      <c r="L332" s="71"/>
      <c r="M332" s="72"/>
      <c r="P332" s="72"/>
    </row>
    <row r="333">
      <c r="B333" s="68"/>
      <c r="D333" s="69"/>
      <c r="H333" s="70"/>
      <c r="K333" s="70"/>
      <c r="L333" s="71"/>
      <c r="M333" s="72"/>
      <c r="P333" s="72"/>
    </row>
    <row r="334">
      <c r="B334" s="68"/>
      <c r="D334" s="69"/>
      <c r="H334" s="70"/>
      <c r="K334" s="70"/>
      <c r="L334" s="71"/>
      <c r="M334" s="72"/>
      <c r="P334" s="72"/>
    </row>
    <row r="335">
      <c r="B335" s="68"/>
      <c r="D335" s="69"/>
      <c r="H335" s="70"/>
      <c r="K335" s="70"/>
      <c r="L335" s="71"/>
      <c r="M335" s="72"/>
      <c r="P335" s="72"/>
    </row>
    <row r="336">
      <c r="B336" s="68"/>
      <c r="D336" s="69"/>
      <c r="H336" s="70"/>
      <c r="K336" s="70"/>
      <c r="L336" s="71"/>
      <c r="M336" s="72"/>
      <c r="P336" s="72"/>
    </row>
    <row r="337">
      <c r="B337" s="68"/>
      <c r="D337" s="69"/>
      <c r="H337" s="70"/>
      <c r="K337" s="70"/>
      <c r="L337" s="71"/>
      <c r="M337" s="72"/>
      <c r="P337" s="72"/>
    </row>
    <row r="338">
      <c r="B338" s="68"/>
      <c r="D338" s="69"/>
      <c r="H338" s="70"/>
      <c r="K338" s="70"/>
      <c r="L338" s="71"/>
      <c r="M338" s="72"/>
      <c r="P338" s="72"/>
    </row>
    <row r="339">
      <c r="B339" s="68"/>
      <c r="D339" s="69"/>
      <c r="H339" s="70"/>
      <c r="K339" s="70"/>
      <c r="L339" s="71"/>
      <c r="M339" s="72"/>
      <c r="P339" s="72"/>
    </row>
    <row r="340">
      <c r="B340" s="68"/>
      <c r="D340" s="69"/>
      <c r="H340" s="70"/>
      <c r="K340" s="70"/>
      <c r="L340" s="71"/>
      <c r="M340" s="72"/>
      <c r="P340" s="72"/>
    </row>
    <row r="341">
      <c r="B341" s="68"/>
      <c r="D341" s="69"/>
      <c r="H341" s="70"/>
      <c r="K341" s="70"/>
      <c r="L341" s="71"/>
      <c r="M341" s="72"/>
      <c r="P341" s="72"/>
    </row>
    <row r="342">
      <c r="B342" s="68"/>
      <c r="D342" s="69"/>
      <c r="H342" s="70"/>
      <c r="K342" s="70"/>
      <c r="L342" s="71"/>
      <c r="M342" s="72"/>
      <c r="P342" s="72"/>
    </row>
    <row r="343">
      <c r="B343" s="68"/>
      <c r="D343" s="69"/>
      <c r="H343" s="70"/>
      <c r="K343" s="70"/>
      <c r="L343" s="71"/>
      <c r="M343" s="72"/>
      <c r="P343" s="72"/>
    </row>
    <row r="344">
      <c r="B344" s="68"/>
      <c r="D344" s="69"/>
      <c r="H344" s="70"/>
      <c r="K344" s="70"/>
      <c r="L344" s="71"/>
      <c r="M344" s="72"/>
      <c r="P344" s="72"/>
    </row>
    <row r="345">
      <c r="B345" s="68"/>
      <c r="D345" s="69"/>
      <c r="H345" s="70"/>
      <c r="K345" s="70"/>
      <c r="L345" s="71"/>
      <c r="M345" s="72"/>
      <c r="P345" s="72"/>
    </row>
    <row r="346">
      <c r="B346" s="68"/>
      <c r="D346" s="69"/>
      <c r="H346" s="70"/>
      <c r="K346" s="70"/>
      <c r="L346" s="71"/>
      <c r="M346" s="72"/>
      <c r="P346" s="72"/>
    </row>
    <row r="347">
      <c r="B347" s="68"/>
      <c r="D347" s="69"/>
      <c r="H347" s="70"/>
      <c r="K347" s="70"/>
      <c r="L347" s="71"/>
      <c r="M347" s="72"/>
      <c r="P347" s="72"/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  <row r="966">
      <c r="B966" s="68"/>
      <c r="D966" s="69"/>
      <c r="H966" s="70"/>
      <c r="K966" s="70"/>
      <c r="L966" s="71"/>
      <c r="M966" s="72"/>
      <c r="P966" s="72"/>
    </row>
    <row r="967">
      <c r="B967" s="68"/>
      <c r="D967" s="69"/>
      <c r="H967" s="70"/>
      <c r="K967" s="70"/>
      <c r="L967" s="71"/>
      <c r="M967" s="72"/>
      <c r="P967" s="72"/>
    </row>
    <row r="968">
      <c r="B968" s="68"/>
      <c r="D968" s="69"/>
      <c r="H968" s="70"/>
      <c r="K968" s="70"/>
      <c r="L968" s="71"/>
      <c r="M968" s="72"/>
      <c r="P968" s="72"/>
    </row>
  </sheetData>
  <autoFilter ref="$A$1:$AA$968"/>
  <drawing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.7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/>
      <c r="B2" s="11">
        <v>45839.0</v>
      </c>
      <c r="C2" s="12">
        <f>VLOOKUP(B:B,'Курс валют'!A:D,4,0)</f>
        <v>92.2672</v>
      </c>
      <c r="D2" s="54" t="s">
        <v>2053</v>
      </c>
      <c r="E2" s="75" t="s">
        <v>2022</v>
      </c>
      <c r="F2" s="12">
        <v>6400.0</v>
      </c>
      <c r="G2" s="12">
        <v>6542.688</v>
      </c>
      <c r="H2" s="17">
        <v>620.16</v>
      </c>
      <c r="I2" s="15">
        <f t="shared" ref="I2:I102" si="1">G2-F2</f>
        <v>142.688</v>
      </c>
      <c r="J2" s="18">
        <f t="shared" ref="J2:J102" si="2">I2/F2*100</f>
        <v>2.2295</v>
      </c>
      <c r="K2" s="56">
        <v>2.28</v>
      </c>
      <c r="L2" s="19">
        <f t="shared" ref="L2:L102" si="3">H2/F2*100</f>
        <v>9.69</v>
      </c>
      <c r="M2" s="20">
        <f t="shared" ref="M2:M102" si="4">P2/F2</f>
        <v>183.1895133</v>
      </c>
      <c r="N2" s="21">
        <f t="shared" ref="N2:N48" si="5">(F2*K2-H2*3.04)/F2</f>
        <v>1.985424</v>
      </c>
      <c r="O2" s="21">
        <f t="shared" ref="O2:O102" si="6">N2*F2</f>
        <v>12706.7136</v>
      </c>
      <c r="P2" s="22">
        <f t="shared" ref="P2:P102" si="7">O2*C2</f>
        <v>1172412.885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/>
      <c r="B3" s="11">
        <v>45839.0</v>
      </c>
      <c r="C3" s="12">
        <f>VLOOKUP(B:B,'Курс валют'!A:D,4,0)</f>
        <v>92.2672</v>
      </c>
      <c r="D3" s="13" t="s">
        <v>2054</v>
      </c>
      <c r="E3" s="75" t="s">
        <v>1951</v>
      </c>
      <c r="F3" s="15">
        <v>180.0</v>
      </c>
      <c r="G3" s="15">
        <v>185.64</v>
      </c>
      <c r="H3" s="17">
        <v>0.0</v>
      </c>
      <c r="I3" s="15">
        <f t="shared" si="1"/>
        <v>5.64</v>
      </c>
      <c r="J3" s="18">
        <f t="shared" si="2"/>
        <v>3.133333333</v>
      </c>
      <c r="K3" s="17">
        <v>2.26</v>
      </c>
      <c r="L3" s="19">
        <f t="shared" si="3"/>
        <v>0</v>
      </c>
      <c r="M3" s="20">
        <f t="shared" si="4"/>
        <v>208.523872</v>
      </c>
      <c r="N3" s="21">
        <f t="shared" si="5"/>
        <v>2.26</v>
      </c>
      <c r="O3" s="21">
        <f t="shared" si="6"/>
        <v>406.8</v>
      </c>
      <c r="P3" s="22">
        <f t="shared" si="7"/>
        <v>37534.29696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/>
      <c r="B4" s="11">
        <v>45839.0</v>
      </c>
      <c r="C4" s="12">
        <f>VLOOKUP(B:B,'Курс валют'!A:D,4,0)</f>
        <v>92.2672</v>
      </c>
      <c r="D4" s="13" t="s">
        <v>2055</v>
      </c>
      <c r="E4" s="75" t="s">
        <v>60</v>
      </c>
      <c r="F4" s="15">
        <v>2000.0</v>
      </c>
      <c r="G4" s="15">
        <v>2050.813</v>
      </c>
      <c r="H4" s="17">
        <v>86.7</v>
      </c>
      <c r="I4" s="15">
        <f t="shared" si="1"/>
        <v>50.813</v>
      </c>
      <c r="J4" s="18">
        <f t="shared" si="2"/>
        <v>2.54065</v>
      </c>
      <c r="K4" s="17">
        <v>2.73</v>
      </c>
      <c r="L4" s="19">
        <f t="shared" si="3"/>
        <v>4.335</v>
      </c>
      <c r="M4" s="20">
        <f t="shared" si="4"/>
        <v>239.7301153</v>
      </c>
      <c r="N4" s="21">
        <f t="shared" si="5"/>
        <v>2.598216</v>
      </c>
      <c r="O4" s="21">
        <f t="shared" si="6"/>
        <v>5196.432</v>
      </c>
      <c r="P4" s="22">
        <f t="shared" si="7"/>
        <v>479460.2306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/>
      <c r="B5" s="11">
        <v>45839.0</v>
      </c>
      <c r="C5" s="12">
        <f>VLOOKUP(B:B,'Курс валют'!A:D,4,0)</f>
        <v>92.2672</v>
      </c>
      <c r="D5" s="13" t="s">
        <v>2056</v>
      </c>
      <c r="E5" s="59" t="s">
        <v>2057</v>
      </c>
      <c r="F5" s="15">
        <v>2200.0</v>
      </c>
      <c r="G5" s="15">
        <v>2289.696</v>
      </c>
      <c r="H5" s="17">
        <v>914.94</v>
      </c>
      <c r="I5" s="15">
        <f t="shared" si="1"/>
        <v>89.696</v>
      </c>
      <c r="J5" s="143">
        <f t="shared" si="2"/>
        <v>4.077090909</v>
      </c>
      <c r="K5" s="17">
        <v>3.73</v>
      </c>
      <c r="L5" s="19">
        <f t="shared" si="3"/>
        <v>41.58818182</v>
      </c>
      <c r="M5" s="20">
        <f t="shared" si="4"/>
        <v>227.5050133</v>
      </c>
      <c r="N5" s="21">
        <f t="shared" si="5"/>
        <v>2.465719273</v>
      </c>
      <c r="O5" s="21">
        <f t="shared" si="6"/>
        <v>5424.5824</v>
      </c>
      <c r="P5" s="22">
        <f t="shared" si="7"/>
        <v>500511.0292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/>
      <c r="B6" s="11">
        <v>45840.0</v>
      </c>
      <c r="C6" s="12">
        <f>VLOOKUP(B:B,'Курс валют'!A:D,4,0)</f>
        <v>92.744</v>
      </c>
      <c r="D6" s="13" t="s">
        <v>2058</v>
      </c>
      <c r="E6" s="59" t="s">
        <v>63</v>
      </c>
      <c r="F6" s="15">
        <v>2250.0</v>
      </c>
      <c r="G6" s="15">
        <v>2315.982</v>
      </c>
      <c r="H6" s="17">
        <v>912.0</v>
      </c>
      <c r="I6" s="15">
        <f t="shared" si="1"/>
        <v>65.982</v>
      </c>
      <c r="J6" s="18">
        <f t="shared" si="2"/>
        <v>2.932533333</v>
      </c>
      <c r="K6" s="17">
        <v>3.58</v>
      </c>
      <c r="L6" s="19">
        <f t="shared" si="3"/>
        <v>40.53333333</v>
      </c>
      <c r="M6" s="20">
        <f t="shared" si="4"/>
        <v>217.7431266</v>
      </c>
      <c r="N6" s="21">
        <f t="shared" si="5"/>
        <v>2.347786667</v>
      </c>
      <c r="O6" s="21">
        <f t="shared" si="6"/>
        <v>5282.52</v>
      </c>
      <c r="P6" s="22">
        <f t="shared" si="7"/>
        <v>489922.0349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/>
      <c r="B7" s="11">
        <v>45840.0</v>
      </c>
      <c r="C7" s="12">
        <f>VLOOKUP(B:B,'Курс валют'!A:D,4,0)</f>
        <v>92.744</v>
      </c>
      <c r="D7" s="13" t="s">
        <v>2059</v>
      </c>
      <c r="E7" s="59" t="s">
        <v>54</v>
      </c>
      <c r="F7" s="15">
        <v>8000.0</v>
      </c>
      <c r="G7" s="15">
        <v>8197.02</v>
      </c>
      <c r="H7" s="17">
        <v>0.0</v>
      </c>
      <c r="I7" s="15">
        <f t="shared" si="1"/>
        <v>197.02</v>
      </c>
      <c r="J7" s="18">
        <f t="shared" si="2"/>
        <v>2.46275</v>
      </c>
      <c r="K7" s="17">
        <v>1.99</v>
      </c>
      <c r="L7" s="19">
        <f t="shared" si="3"/>
        <v>0</v>
      </c>
      <c r="M7" s="20">
        <f t="shared" si="4"/>
        <v>184.56056</v>
      </c>
      <c r="N7" s="21">
        <f t="shared" si="5"/>
        <v>1.99</v>
      </c>
      <c r="O7" s="21">
        <f t="shared" si="6"/>
        <v>15920</v>
      </c>
      <c r="P7" s="22">
        <f t="shared" si="7"/>
        <v>1476484.48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/>
      <c r="B8" s="11">
        <v>45841.0</v>
      </c>
      <c r="C8" s="12">
        <f>VLOOKUP(B:B,'Курс валют'!A:D,4,0)</f>
        <v>92.6774</v>
      </c>
      <c r="D8" s="13" t="s">
        <v>2060</v>
      </c>
      <c r="E8" s="77" t="s">
        <v>118</v>
      </c>
      <c r="F8" s="15">
        <v>266.4</v>
      </c>
      <c r="G8" s="15">
        <v>290.77</v>
      </c>
      <c r="H8" s="17">
        <v>0.0</v>
      </c>
      <c r="I8" s="15">
        <f t="shared" si="1"/>
        <v>24.37</v>
      </c>
      <c r="J8" s="18">
        <f t="shared" si="2"/>
        <v>9.147897898</v>
      </c>
      <c r="K8" s="17">
        <v>1.84</v>
      </c>
      <c r="L8" s="19">
        <f t="shared" si="3"/>
        <v>0</v>
      </c>
      <c r="M8" s="20">
        <f t="shared" si="4"/>
        <v>170.526416</v>
      </c>
      <c r="N8" s="21">
        <f t="shared" si="5"/>
        <v>1.84</v>
      </c>
      <c r="O8" s="21">
        <f t="shared" si="6"/>
        <v>490.176</v>
      </c>
      <c r="P8" s="22">
        <f t="shared" si="7"/>
        <v>45428.23722</v>
      </c>
      <c r="R8" s="23" t="s">
        <v>2061</v>
      </c>
      <c r="S8" s="24"/>
      <c r="T8" s="25"/>
      <c r="U8" s="25"/>
      <c r="V8" s="25"/>
      <c r="W8" s="25"/>
      <c r="X8" s="25"/>
      <c r="Y8" s="25"/>
      <c r="Z8" s="25"/>
      <c r="AA8" s="25"/>
    </row>
    <row r="9">
      <c r="A9" s="11"/>
      <c r="B9" s="11">
        <v>45841.0</v>
      </c>
      <c r="C9" s="12">
        <f>VLOOKUP(B:B,'Курс валют'!A:D,4,0)</f>
        <v>92.6774</v>
      </c>
      <c r="D9" s="13" t="s">
        <v>2062</v>
      </c>
      <c r="E9" s="77" t="s">
        <v>118</v>
      </c>
      <c r="F9" s="15">
        <v>236.8</v>
      </c>
      <c r="G9" s="15">
        <v>244.422</v>
      </c>
      <c r="H9" s="17">
        <v>0.0</v>
      </c>
      <c r="I9" s="15">
        <f t="shared" si="1"/>
        <v>7.622</v>
      </c>
      <c r="J9" s="18">
        <f t="shared" si="2"/>
        <v>3.21875</v>
      </c>
      <c r="K9" s="17">
        <v>1.84</v>
      </c>
      <c r="L9" s="19">
        <f t="shared" si="3"/>
        <v>0</v>
      </c>
      <c r="M9" s="20">
        <f t="shared" si="4"/>
        <v>170.526416</v>
      </c>
      <c r="N9" s="21">
        <f t="shared" si="5"/>
        <v>1.84</v>
      </c>
      <c r="O9" s="21">
        <f t="shared" si="6"/>
        <v>435.712</v>
      </c>
      <c r="P9" s="22">
        <f t="shared" si="7"/>
        <v>40380.65531</v>
      </c>
      <c r="R9" s="23" t="s">
        <v>2061</v>
      </c>
      <c r="S9" s="24"/>
      <c r="T9" s="25"/>
      <c r="U9" s="25"/>
      <c r="V9" s="25"/>
      <c r="W9" s="25"/>
      <c r="X9" s="25"/>
      <c r="Y9" s="25"/>
      <c r="Z9" s="25"/>
      <c r="AA9" s="25"/>
    </row>
    <row r="10">
      <c r="A10" s="11"/>
      <c r="B10" s="11">
        <v>45841.0</v>
      </c>
      <c r="C10" s="12">
        <f>VLOOKUP(B:B,'Курс валют'!A:D,4,0)</f>
        <v>92.6774</v>
      </c>
      <c r="D10" s="13" t="s">
        <v>2063</v>
      </c>
      <c r="E10" s="77" t="s">
        <v>1948</v>
      </c>
      <c r="F10" s="15">
        <v>1400.0</v>
      </c>
      <c r="G10" s="15">
        <v>1447.788</v>
      </c>
      <c r="H10" s="17">
        <v>0.0</v>
      </c>
      <c r="I10" s="15">
        <f t="shared" si="1"/>
        <v>47.788</v>
      </c>
      <c r="J10" s="18">
        <f t="shared" si="2"/>
        <v>3.413428571</v>
      </c>
      <c r="K10" s="17">
        <v>2.46</v>
      </c>
      <c r="L10" s="19">
        <f t="shared" si="3"/>
        <v>0</v>
      </c>
      <c r="M10" s="20">
        <f t="shared" si="4"/>
        <v>227.986404</v>
      </c>
      <c r="N10" s="21">
        <f t="shared" si="5"/>
        <v>2.46</v>
      </c>
      <c r="O10" s="21">
        <f t="shared" si="6"/>
        <v>3444</v>
      </c>
      <c r="P10" s="22">
        <f t="shared" si="7"/>
        <v>319180.9656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/>
      <c r="B11" s="11">
        <v>45842.0</v>
      </c>
      <c r="C11" s="12">
        <f>VLOOKUP(B:B,'Курс валют'!A:D,4,0)</f>
        <v>93.1277</v>
      </c>
      <c r="D11" s="13" t="s">
        <v>2064</v>
      </c>
      <c r="E11" s="77" t="s">
        <v>400</v>
      </c>
      <c r="F11" s="15">
        <v>927.2</v>
      </c>
      <c r="G11" s="15">
        <v>953.525</v>
      </c>
      <c r="H11" s="17">
        <v>0.0</v>
      </c>
      <c r="I11" s="15">
        <f t="shared" si="1"/>
        <v>26.325</v>
      </c>
      <c r="J11" s="18">
        <f t="shared" si="2"/>
        <v>2.83919327</v>
      </c>
      <c r="K11" s="17">
        <v>1.46</v>
      </c>
      <c r="L11" s="19">
        <f t="shared" si="3"/>
        <v>0</v>
      </c>
      <c r="M11" s="20">
        <f t="shared" si="4"/>
        <v>135.966442</v>
      </c>
      <c r="N11" s="21">
        <f t="shared" si="5"/>
        <v>1.46</v>
      </c>
      <c r="O11" s="21">
        <f t="shared" si="6"/>
        <v>1353.712</v>
      </c>
      <c r="P11" s="22">
        <f t="shared" si="7"/>
        <v>126068.085</v>
      </c>
      <c r="R11" s="79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/>
      <c r="B12" s="11">
        <v>45842.0</v>
      </c>
      <c r="C12" s="12">
        <f>VLOOKUP(B:B,'Курс валют'!A:D,4,0)</f>
        <v>93.1277</v>
      </c>
      <c r="D12" s="13" t="s">
        <v>2065</v>
      </c>
      <c r="E12" s="77" t="s">
        <v>53</v>
      </c>
      <c r="F12" s="15">
        <v>800.0</v>
      </c>
      <c r="G12" s="15">
        <v>815.53</v>
      </c>
      <c r="H12" s="17">
        <v>0.0</v>
      </c>
      <c r="I12" s="15">
        <f t="shared" si="1"/>
        <v>15.53</v>
      </c>
      <c r="J12" s="18">
        <f t="shared" si="2"/>
        <v>1.94125</v>
      </c>
      <c r="K12" s="17">
        <v>1.95</v>
      </c>
      <c r="L12" s="19">
        <f t="shared" si="3"/>
        <v>0</v>
      </c>
      <c r="M12" s="20">
        <f t="shared" si="4"/>
        <v>181.599015</v>
      </c>
      <c r="N12" s="21">
        <f t="shared" si="5"/>
        <v>1.95</v>
      </c>
      <c r="O12" s="21">
        <f t="shared" si="6"/>
        <v>1560</v>
      </c>
      <c r="P12" s="22">
        <f t="shared" si="7"/>
        <v>145279.212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/>
      <c r="B13" s="11">
        <v>45842.0</v>
      </c>
      <c r="C13" s="12">
        <f>VLOOKUP(B:B,'Курс валют'!A:D,4,0)</f>
        <v>93.1277</v>
      </c>
      <c r="D13" s="13" t="s">
        <v>2066</v>
      </c>
      <c r="E13" s="77" t="s">
        <v>63</v>
      </c>
      <c r="F13" s="15">
        <v>2250.0</v>
      </c>
      <c r="G13" s="15">
        <v>2322.0</v>
      </c>
      <c r="H13" s="17">
        <v>917.85</v>
      </c>
      <c r="I13" s="15">
        <f t="shared" si="1"/>
        <v>72</v>
      </c>
      <c r="J13" s="18">
        <f t="shared" si="2"/>
        <v>3.2</v>
      </c>
      <c r="K13" s="17">
        <v>3.4</v>
      </c>
      <c r="L13" s="19">
        <f t="shared" si="3"/>
        <v>40.79333333</v>
      </c>
      <c r="M13" s="20">
        <f t="shared" si="4"/>
        <v>201.144905</v>
      </c>
      <c r="N13" s="21">
        <f t="shared" si="5"/>
        <v>2.159882667</v>
      </c>
      <c r="O13" s="21">
        <f t="shared" si="6"/>
        <v>4859.736</v>
      </c>
      <c r="P13" s="22">
        <f t="shared" si="7"/>
        <v>452576.0363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/>
      <c r="B14" s="11">
        <v>45842.0</v>
      </c>
      <c r="C14" s="12">
        <f>VLOOKUP(B:B,'Курс валют'!A:D,4,0)</f>
        <v>93.1277</v>
      </c>
      <c r="D14" s="13" t="s">
        <v>2067</v>
      </c>
      <c r="E14" s="77" t="s">
        <v>63</v>
      </c>
      <c r="F14" s="15">
        <v>2250.0</v>
      </c>
      <c r="G14" s="15">
        <v>2322.66</v>
      </c>
      <c r="H14" s="17">
        <v>917.85</v>
      </c>
      <c r="I14" s="15">
        <f t="shared" si="1"/>
        <v>72.66</v>
      </c>
      <c r="J14" s="18">
        <f t="shared" si="2"/>
        <v>3.229333333</v>
      </c>
      <c r="K14" s="17">
        <v>3.4</v>
      </c>
      <c r="L14" s="19">
        <f t="shared" si="3"/>
        <v>40.79333333</v>
      </c>
      <c r="M14" s="20">
        <f t="shared" si="4"/>
        <v>201.144905</v>
      </c>
      <c r="N14" s="21">
        <f t="shared" si="5"/>
        <v>2.159882667</v>
      </c>
      <c r="O14" s="21">
        <f t="shared" si="6"/>
        <v>4859.736</v>
      </c>
      <c r="P14" s="22">
        <f t="shared" si="7"/>
        <v>452576.0363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/>
      <c r="B15" s="11">
        <v>45843.0</v>
      </c>
      <c r="C15" s="12">
        <f>VLOOKUP(B:B,'Курс валют'!A:D,4,0)</f>
        <v>93.0103</v>
      </c>
      <c r="D15" s="13" t="s">
        <v>2068</v>
      </c>
      <c r="E15" s="77" t="s">
        <v>61</v>
      </c>
      <c r="F15" s="15">
        <v>11000.0</v>
      </c>
      <c r="G15" s="15">
        <v>11322.0</v>
      </c>
      <c r="H15" s="17">
        <v>214.2</v>
      </c>
      <c r="I15" s="15">
        <f t="shared" si="1"/>
        <v>322</v>
      </c>
      <c r="J15" s="18">
        <f t="shared" si="2"/>
        <v>2.927272727</v>
      </c>
      <c r="K15" s="17">
        <v>2.67</v>
      </c>
      <c r="L15" s="19">
        <f t="shared" si="3"/>
        <v>1.947272727</v>
      </c>
      <c r="M15" s="20">
        <f t="shared" si="4"/>
        <v>242.8315618</v>
      </c>
      <c r="N15" s="21">
        <f t="shared" si="5"/>
        <v>2.610802909</v>
      </c>
      <c r="O15" s="21">
        <f t="shared" si="6"/>
        <v>28718.832</v>
      </c>
      <c r="P15" s="22">
        <f t="shared" si="7"/>
        <v>2671147.18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11"/>
      <c r="B16" s="11">
        <v>45843.0</v>
      </c>
      <c r="C16" s="12">
        <f>VLOOKUP(B:B,'Курс валют'!A:D,4,0)</f>
        <v>93.0103</v>
      </c>
      <c r="D16" s="13" t="s">
        <v>2069</v>
      </c>
      <c r="E16" s="77" t="s">
        <v>63</v>
      </c>
      <c r="F16" s="15">
        <v>2250.0</v>
      </c>
      <c r="G16" s="15">
        <v>2349.29</v>
      </c>
      <c r="H16" s="17">
        <v>400.24</v>
      </c>
      <c r="I16" s="15">
        <f t="shared" si="1"/>
        <v>99.29</v>
      </c>
      <c r="J16" s="18">
        <f t="shared" si="2"/>
        <v>4.412888889</v>
      </c>
      <c r="K16" s="17">
        <v>2.64</v>
      </c>
      <c r="L16" s="19">
        <f t="shared" si="3"/>
        <v>17.78844444</v>
      </c>
      <c r="M16" s="20">
        <f t="shared" si="4"/>
        <v>195.2501319</v>
      </c>
      <c r="N16" s="21">
        <f t="shared" si="5"/>
        <v>2.099231289</v>
      </c>
      <c r="O16" s="21">
        <f t="shared" si="6"/>
        <v>4723.2704</v>
      </c>
      <c r="P16" s="22">
        <f t="shared" si="7"/>
        <v>439312.7969</v>
      </c>
      <c r="R16" s="23"/>
      <c r="S16" s="24"/>
      <c r="T16" s="25"/>
      <c r="U16" s="25"/>
      <c r="V16" s="25"/>
      <c r="W16" s="25"/>
      <c r="X16" s="25"/>
      <c r="Y16" s="25"/>
      <c r="Z16" s="25"/>
      <c r="AA16" s="25"/>
    </row>
    <row r="17">
      <c r="A17" s="11"/>
      <c r="B17" s="11">
        <v>45844.0</v>
      </c>
      <c r="C17" s="12">
        <f>VLOOKUP(B:B,'Курс валют'!A:D,4,0)</f>
        <v>93.0103</v>
      </c>
      <c r="D17" s="13" t="s">
        <v>2070</v>
      </c>
      <c r="E17" s="77" t="s">
        <v>61</v>
      </c>
      <c r="F17" s="15">
        <v>11000.0</v>
      </c>
      <c r="G17" s="15">
        <v>11322.0</v>
      </c>
      <c r="H17" s="17">
        <v>214.2</v>
      </c>
      <c r="I17" s="15">
        <f t="shared" si="1"/>
        <v>322</v>
      </c>
      <c r="J17" s="18">
        <f t="shared" si="2"/>
        <v>2.927272727</v>
      </c>
      <c r="K17" s="17">
        <v>2.64</v>
      </c>
      <c r="L17" s="19">
        <f t="shared" si="3"/>
        <v>1.947272727</v>
      </c>
      <c r="M17" s="20">
        <f t="shared" si="4"/>
        <v>240.0412528</v>
      </c>
      <c r="N17" s="21">
        <f t="shared" si="5"/>
        <v>2.580802909</v>
      </c>
      <c r="O17" s="21">
        <f t="shared" si="6"/>
        <v>28388.832</v>
      </c>
      <c r="P17" s="22">
        <f t="shared" si="7"/>
        <v>2640453.781</v>
      </c>
      <c r="R17" s="23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/>
      <c r="B18" s="11">
        <v>45844.0</v>
      </c>
      <c r="C18" s="12">
        <f>VLOOKUP(B:B,'Курс валют'!A:D,4,0)</f>
        <v>93.0103</v>
      </c>
      <c r="D18" s="13" t="s">
        <v>2071</v>
      </c>
      <c r="E18" s="77" t="s">
        <v>64</v>
      </c>
      <c r="F18" s="15">
        <v>1400.0</v>
      </c>
      <c r="G18" s="15">
        <v>1440.71</v>
      </c>
      <c r="H18" s="17">
        <v>0.0</v>
      </c>
      <c r="I18" s="15">
        <f t="shared" si="1"/>
        <v>40.71</v>
      </c>
      <c r="J18" s="18">
        <f t="shared" si="2"/>
        <v>2.907857143</v>
      </c>
      <c r="K18" s="17">
        <v>2.74</v>
      </c>
      <c r="L18" s="19">
        <f t="shared" si="3"/>
        <v>0</v>
      </c>
      <c r="M18" s="20">
        <f t="shared" si="4"/>
        <v>254.848222</v>
      </c>
      <c r="N18" s="21">
        <f t="shared" si="5"/>
        <v>2.74</v>
      </c>
      <c r="O18" s="21">
        <f t="shared" si="6"/>
        <v>3836</v>
      </c>
      <c r="P18" s="22">
        <f t="shared" si="7"/>
        <v>356787.5108</v>
      </c>
      <c r="R18" s="31"/>
      <c r="S18" s="24"/>
      <c r="T18" s="32"/>
      <c r="U18" s="32"/>
      <c r="V18" s="32"/>
      <c r="W18" s="32"/>
      <c r="X18" s="32"/>
      <c r="Y18" s="32"/>
      <c r="Z18" s="32"/>
      <c r="AA18" s="32"/>
    </row>
    <row r="19">
      <c r="A19" s="30"/>
      <c r="B19" s="11">
        <v>45845.0</v>
      </c>
      <c r="C19" s="12">
        <f>VLOOKUP(B:B,'Курс валют'!A:D,4,0)</f>
        <v>93.0103</v>
      </c>
      <c r="D19" s="13" t="s">
        <v>2072</v>
      </c>
      <c r="E19" s="59" t="s">
        <v>61</v>
      </c>
      <c r="F19" s="15">
        <v>1100.0</v>
      </c>
      <c r="G19" s="15">
        <v>1132.2</v>
      </c>
      <c r="H19" s="17">
        <v>21.42</v>
      </c>
      <c r="I19" s="15">
        <f t="shared" si="1"/>
        <v>32.2</v>
      </c>
      <c r="J19" s="18">
        <f t="shared" si="2"/>
        <v>2.927272727</v>
      </c>
      <c r="K19" s="17">
        <v>2.64</v>
      </c>
      <c r="L19" s="19">
        <f t="shared" si="3"/>
        <v>1.947272727</v>
      </c>
      <c r="M19" s="20">
        <f t="shared" si="4"/>
        <v>240.0412528</v>
      </c>
      <c r="N19" s="21">
        <f t="shared" si="5"/>
        <v>2.580802909</v>
      </c>
      <c r="O19" s="21">
        <f t="shared" si="6"/>
        <v>2838.8832</v>
      </c>
      <c r="P19" s="22">
        <f t="shared" si="7"/>
        <v>264045.3781</v>
      </c>
      <c r="R19" s="31"/>
      <c r="S19" s="24"/>
      <c r="T19" s="25"/>
      <c r="U19" s="25"/>
      <c r="V19" s="25"/>
      <c r="W19" s="25"/>
      <c r="X19" s="25"/>
      <c r="Y19" s="25"/>
      <c r="Z19" s="25"/>
      <c r="AA19" s="25"/>
    </row>
    <row r="20">
      <c r="A20" s="30"/>
      <c r="B20" s="11">
        <v>45845.0</v>
      </c>
      <c r="C20" s="12">
        <f>VLOOKUP(B:B,'Курс валют'!A:D,4,0)</f>
        <v>93.0103</v>
      </c>
      <c r="D20" s="13" t="s">
        <v>2073</v>
      </c>
      <c r="E20" s="59" t="s">
        <v>64</v>
      </c>
      <c r="F20" s="15">
        <v>1600.0</v>
      </c>
      <c r="G20" s="15">
        <v>1628.51</v>
      </c>
      <c r="H20" s="17">
        <v>0.0</v>
      </c>
      <c r="I20" s="15">
        <f t="shared" si="1"/>
        <v>28.51</v>
      </c>
      <c r="J20" s="18">
        <f t="shared" si="2"/>
        <v>1.781875</v>
      </c>
      <c r="K20" s="17">
        <v>2.55</v>
      </c>
      <c r="L20" s="19">
        <f t="shared" si="3"/>
        <v>0</v>
      </c>
      <c r="M20" s="20">
        <f t="shared" si="4"/>
        <v>237.176265</v>
      </c>
      <c r="N20" s="21">
        <f t="shared" si="5"/>
        <v>2.55</v>
      </c>
      <c r="O20" s="21">
        <f t="shared" si="6"/>
        <v>4080</v>
      </c>
      <c r="P20" s="22">
        <f t="shared" si="7"/>
        <v>379482.024</v>
      </c>
      <c r="R20" s="31"/>
      <c r="S20" s="24"/>
      <c r="T20" s="25"/>
      <c r="U20" s="25"/>
      <c r="V20" s="25"/>
      <c r="W20" s="25"/>
      <c r="X20" s="25"/>
      <c r="Y20" s="25"/>
      <c r="Z20" s="25"/>
      <c r="AA20" s="25"/>
    </row>
    <row r="21">
      <c r="A21" s="30"/>
      <c r="B21" s="11">
        <v>45846.0</v>
      </c>
      <c r="C21" s="12">
        <f>VLOOKUP(B:B,'Курс валют'!A:D,4,0)</f>
        <v>92.4138</v>
      </c>
      <c r="D21" s="13" t="s">
        <v>2074</v>
      </c>
      <c r="E21" s="59" t="s">
        <v>1951</v>
      </c>
      <c r="F21" s="15">
        <v>6300.0</v>
      </c>
      <c r="G21" s="15">
        <v>6426.0</v>
      </c>
      <c r="H21" s="17">
        <v>0.0</v>
      </c>
      <c r="I21" s="15">
        <f t="shared" si="1"/>
        <v>126</v>
      </c>
      <c r="J21" s="18">
        <f t="shared" si="2"/>
        <v>2</v>
      </c>
      <c r="K21" s="17">
        <v>2.31</v>
      </c>
      <c r="L21" s="19">
        <f t="shared" si="3"/>
        <v>0</v>
      </c>
      <c r="M21" s="20">
        <f t="shared" si="4"/>
        <v>213.475878</v>
      </c>
      <c r="N21" s="21">
        <f t="shared" si="5"/>
        <v>2.31</v>
      </c>
      <c r="O21" s="21">
        <f t="shared" si="6"/>
        <v>14553</v>
      </c>
      <c r="P21" s="22">
        <f t="shared" si="7"/>
        <v>1344898.031</v>
      </c>
      <c r="R21" s="31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/>
      <c r="B22" s="11">
        <v>45847.0</v>
      </c>
      <c r="C22" s="12">
        <f>VLOOKUP(B:B,'Курс валют'!A:D,4,0)</f>
        <v>91.9667</v>
      </c>
      <c r="D22" s="13" t="s">
        <v>2075</v>
      </c>
      <c r="E22" s="59" t="s">
        <v>107</v>
      </c>
      <c r="F22" s="15">
        <v>1920.0</v>
      </c>
      <c r="G22" s="15">
        <v>1963.7</v>
      </c>
      <c r="H22" s="17">
        <v>0.0</v>
      </c>
      <c r="I22" s="15">
        <f t="shared" si="1"/>
        <v>43.7</v>
      </c>
      <c r="J22" s="18">
        <f t="shared" si="2"/>
        <v>2.276041667</v>
      </c>
      <c r="K22" s="17">
        <v>2.79</v>
      </c>
      <c r="L22" s="19">
        <f t="shared" si="3"/>
        <v>0</v>
      </c>
      <c r="M22" s="20">
        <f t="shared" si="4"/>
        <v>256.587093</v>
      </c>
      <c r="N22" s="21">
        <f t="shared" si="5"/>
        <v>2.79</v>
      </c>
      <c r="O22" s="21">
        <f t="shared" si="6"/>
        <v>5356.8</v>
      </c>
      <c r="P22" s="22">
        <f t="shared" si="7"/>
        <v>492647.2186</v>
      </c>
      <c r="R22" s="31"/>
      <c r="S22" s="24"/>
      <c r="T22" s="32"/>
      <c r="U22" s="32"/>
      <c r="V22" s="32"/>
      <c r="W22" s="32"/>
      <c r="X22" s="32"/>
      <c r="Y22" s="32"/>
      <c r="Z22" s="32"/>
      <c r="AA22" s="32"/>
    </row>
    <row r="23">
      <c r="A23" s="30"/>
      <c r="B23" s="11">
        <v>45847.0</v>
      </c>
      <c r="C23" s="12">
        <f>VLOOKUP(B:B,'Курс валют'!A:D,4,0)</f>
        <v>91.9667</v>
      </c>
      <c r="D23" s="13" t="s">
        <v>2076</v>
      </c>
      <c r="E23" s="59" t="s">
        <v>2077</v>
      </c>
      <c r="F23" s="15">
        <v>200.0</v>
      </c>
      <c r="G23" s="15">
        <v>209.17</v>
      </c>
      <c r="H23" s="17">
        <v>9.18</v>
      </c>
      <c r="I23" s="15">
        <f t="shared" si="1"/>
        <v>9.17</v>
      </c>
      <c r="J23" s="18">
        <f t="shared" si="2"/>
        <v>4.585</v>
      </c>
      <c r="K23" s="17">
        <v>2.64</v>
      </c>
      <c r="L23" s="19">
        <f t="shared" si="3"/>
        <v>4.59</v>
      </c>
      <c r="M23" s="20">
        <f t="shared" si="4"/>
        <v>229.9594225</v>
      </c>
      <c r="N23" s="21">
        <f t="shared" si="5"/>
        <v>2.500464</v>
      </c>
      <c r="O23" s="21">
        <f t="shared" si="6"/>
        <v>500.0928</v>
      </c>
      <c r="P23" s="22">
        <f t="shared" si="7"/>
        <v>45991.88451</v>
      </c>
      <c r="R23" s="23" t="s">
        <v>1901</v>
      </c>
      <c r="S23" s="24"/>
      <c r="T23" s="32"/>
      <c r="U23" s="32"/>
      <c r="V23" s="32"/>
      <c r="W23" s="32"/>
      <c r="X23" s="32"/>
      <c r="Y23" s="32"/>
      <c r="Z23" s="32"/>
      <c r="AA23" s="32"/>
    </row>
    <row r="24">
      <c r="A24" s="30"/>
      <c r="B24" s="11">
        <v>45847.0</v>
      </c>
      <c r="C24" s="12">
        <f>VLOOKUP(B:B,'Курс валют'!A:D,4,0)</f>
        <v>91.9667</v>
      </c>
      <c r="D24" s="13" t="s">
        <v>2078</v>
      </c>
      <c r="E24" s="59" t="s">
        <v>61</v>
      </c>
      <c r="F24" s="15">
        <v>220.0</v>
      </c>
      <c r="G24" s="15">
        <v>224.61</v>
      </c>
      <c r="H24" s="17">
        <v>3.67</v>
      </c>
      <c r="I24" s="15">
        <f t="shared" si="1"/>
        <v>4.61</v>
      </c>
      <c r="J24" s="18">
        <f t="shared" si="2"/>
        <v>2.095454545</v>
      </c>
      <c r="K24" s="17">
        <v>2.65</v>
      </c>
      <c r="L24" s="19">
        <f t="shared" si="3"/>
        <v>1.668181818</v>
      </c>
      <c r="M24" s="20">
        <f t="shared" si="4"/>
        <v>239.0478728</v>
      </c>
      <c r="N24" s="21">
        <f t="shared" si="5"/>
        <v>2.599287273</v>
      </c>
      <c r="O24" s="21">
        <f t="shared" si="6"/>
        <v>571.8432</v>
      </c>
      <c r="P24" s="22">
        <f t="shared" si="7"/>
        <v>52590.53202</v>
      </c>
      <c r="R24" s="31" t="s">
        <v>2079</v>
      </c>
      <c r="S24" s="24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45847.0</v>
      </c>
      <c r="C25" s="12">
        <f>VLOOKUP(B:B,'Курс валют'!A:D,4,0)</f>
        <v>91.9667</v>
      </c>
      <c r="D25" s="13" t="s">
        <v>2080</v>
      </c>
      <c r="E25" s="77" t="s">
        <v>2081</v>
      </c>
      <c r="F25" s="15">
        <v>200.0</v>
      </c>
      <c r="G25" s="15">
        <v>205.12</v>
      </c>
      <c r="H25" s="17">
        <v>3.67</v>
      </c>
      <c r="I25" s="15">
        <f t="shared" si="1"/>
        <v>5.12</v>
      </c>
      <c r="J25" s="18">
        <f t="shared" si="2"/>
        <v>2.56</v>
      </c>
      <c r="K25" s="17">
        <v>2.71</v>
      </c>
      <c r="L25" s="19">
        <f t="shared" si="3"/>
        <v>1.835</v>
      </c>
      <c r="M25" s="20">
        <f t="shared" si="4"/>
        <v>244.0994866</v>
      </c>
      <c r="N25" s="21">
        <f t="shared" si="5"/>
        <v>2.654216</v>
      </c>
      <c r="O25" s="21">
        <f t="shared" si="6"/>
        <v>530.8432</v>
      </c>
      <c r="P25" s="22">
        <f t="shared" si="7"/>
        <v>48819.89732</v>
      </c>
      <c r="R25" s="23"/>
      <c r="S25" s="24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45847.0</v>
      </c>
      <c r="C26" s="12">
        <f>VLOOKUP(B:B,'Курс валют'!A:D,4,0)</f>
        <v>91.9667</v>
      </c>
      <c r="D26" s="13" t="s">
        <v>2082</v>
      </c>
      <c r="E26" s="59" t="s">
        <v>57</v>
      </c>
      <c r="F26" s="15">
        <v>1600.0</v>
      </c>
      <c r="G26" s="15">
        <v>1634.24</v>
      </c>
      <c r="H26" s="17">
        <v>0.0</v>
      </c>
      <c r="I26" s="15">
        <f t="shared" si="1"/>
        <v>34.24</v>
      </c>
      <c r="J26" s="18">
        <f t="shared" si="2"/>
        <v>2.14</v>
      </c>
      <c r="K26" s="17">
        <v>2.59</v>
      </c>
      <c r="L26" s="19">
        <f t="shared" si="3"/>
        <v>0</v>
      </c>
      <c r="M26" s="20">
        <f t="shared" si="4"/>
        <v>238.193753</v>
      </c>
      <c r="N26" s="21">
        <f t="shared" si="5"/>
        <v>2.59</v>
      </c>
      <c r="O26" s="21">
        <f t="shared" si="6"/>
        <v>4144</v>
      </c>
      <c r="P26" s="22">
        <f t="shared" si="7"/>
        <v>381110.0048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 ht="15.0" customHeight="1">
      <c r="A27" s="30"/>
      <c r="B27" s="11">
        <v>45848.0</v>
      </c>
      <c r="C27" s="12">
        <f>VLOOKUP(B:B,'Курс валют'!A:D,4,0)</f>
        <v>91.4175</v>
      </c>
      <c r="D27" s="13" t="s">
        <v>2083</v>
      </c>
      <c r="E27" s="59" t="s">
        <v>107</v>
      </c>
      <c r="F27" s="15">
        <v>1920.0</v>
      </c>
      <c r="G27" s="15">
        <v>1963.7</v>
      </c>
      <c r="H27" s="17">
        <v>0.0</v>
      </c>
      <c r="I27" s="15">
        <f t="shared" si="1"/>
        <v>43.7</v>
      </c>
      <c r="J27" s="18">
        <f t="shared" si="2"/>
        <v>2.276041667</v>
      </c>
      <c r="K27" s="17">
        <v>2.79</v>
      </c>
      <c r="L27" s="19">
        <f t="shared" si="3"/>
        <v>0</v>
      </c>
      <c r="M27" s="20">
        <f t="shared" si="4"/>
        <v>255.054825</v>
      </c>
      <c r="N27" s="21">
        <f t="shared" si="5"/>
        <v>2.79</v>
      </c>
      <c r="O27" s="21">
        <f t="shared" si="6"/>
        <v>5356.8</v>
      </c>
      <c r="P27" s="22">
        <f t="shared" si="7"/>
        <v>489705.264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30"/>
      <c r="B28" s="11">
        <v>45848.0</v>
      </c>
      <c r="C28" s="12">
        <f>VLOOKUP(B:B,'Курс валют'!A:D,4,0)</f>
        <v>91.4175</v>
      </c>
      <c r="D28" s="13" t="s">
        <v>2084</v>
      </c>
      <c r="E28" s="59" t="s">
        <v>57</v>
      </c>
      <c r="F28" s="15">
        <v>4000.0</v>
      </c>
      <c r="G28" s="15">
        <v>4085.8</v>
      </c>
      <c r="H28" s="17">
        <v>0.0</v>
      </c>
      <c r="I28" s="15">
        <f t="shared" si="1"/>
        <v>85.8</v>
      </c>
      <c r="J28" s="18">
        <f t="shared" si="2"/>
        <v>2.145</v>
      </c>
      <c r="K28" s="17">
        <v>2.6</v>
      </c>
      <c r="L28" s="19">
        <f t="shared" si="3"/>
        <v>0</v>
      </c>
      <c r="M28" s="20">
        <f t="shared" si="4"/>
        <v>237.6855</v>
      </c>
      <c r="N28" s="21">
        <f t="shared" si="5"/>
        <v>2.6</v>
      </c>
      <c r="O28" s="21">
        <f t="shared" si="6"/>
        <v>10400</v>
      </c>
      <c r="P28" s="22">
        <f t="shared" si="7"/>
        <v>950742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45849.0</v>
      </c>
      <c r="C29" s="12">
        <f>VLOOKUP(B:B,'Курс валют'!A:D,4,0)</f>
        <v>91.4992</v>
      </c>
      <c r="D29" s="13" t="s">
        <v>2085</v>
      </c>
      <c r="E29" s="59" t="s">
        <v>57</v>
      </c>
      <c r="F29" s="15">
        <v>4000.0</v>
      </c>
      <c r="G29" s="15">
        <v>4085.8</v>
      </c>
      <c r="H29" s="17">
        <v>0.0</v>
      </c>
      <c r="I29" s="15">
        <f t="shared" si="1"/>
        <v>85.8</v>
      </c>
      <c r="J29" s="18">
        <f t="shared" si="2"/>
        <v>2.145</v>
      </c>
      <c r="K29" s="17">
        <v>2.59</v>
      </c>
      <c r="L29" s="19">
        <f t="shared" si="3"/>
        <v>0</v>
      </c>
      <c r="M29" s="20">
        <f t="shared" si="4"/>
        <v>236.982928</v>
      </c>
      <c r="N29" s="21">
        <f t="shared" si="5"/>
        <v>2.59</v>
      </c>
      <c r="O29" s="21">
        <f t="shared" si="6"/>
        <v>10360</v>
      </c>
      <c r="P29" s="22">
        <f t="shared" si="7"/>
        <v>947931.712</v>
      </c>
      <c r="R29" s="23"/>
      <c r="S29" s="57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45849.0</v>
      </c>
      <c r="C30" s="12">
        <f>VLOOKUP(B:B,'Курс валют'!A:D,4,0)</f>
        <v>91.4992</v>
      </c>
      <c r="D30" s="13" t="s">
        <v>2086</v>
      </c>
      <c r="E30" s="77" t="s">
        <v>128</v>
      </c>
      <c r="F30" s="76">
        <v>2200.0</v>
      </c>
      <c r="G30" s="76">
        <v>2251.56</v>
      </c>
      <c r="H30" s="58">
        <v>0.0</v>
      </c>
      <c r="I30" s="15">
        <f t="shared" si="1"/>
        <v>51.56</v>
      </c>
      <c r="J30" s="18">
        <f t="shared" si="2"/>
        <v>2.343636364</v>
      </c>
      <c r="K30" s="58">
        <v>1.97</v>
      </c>
      <c r="L30" s="19">
        <f t="shared" si="3"/>
        <v>0</v>
      </c>
      <c r="M30" s="20">
        <f t="shared" si="4"/>
        <v>180.253424</v>
      </c>
      <c r="N30" s="21">
        <f t="shared" si="5"/>
        <v>1.97</v>
      </c>
      <c r="O30" s="21">
        <f t="shared" si="6"/>
        <v>4334</v>
      </c>
      <c r="P30" s="22">
        <f t="shared" si="7"/>
        <v>396557.5328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45849.0</v>
      </c>
      <c r="C31" s="12">
        <f>VLOOKUP(B:B,'Курс валют'!A:D,4,0)</f>
        <v>91.4992</v>
      </c>
      <c r="D31" s="13" t="s">
        <v>2087</v>
      </c>
      <c r="E31" s="77" t="s">
        <v>107</v>
      </c>
      <c r="F31" s="15">
        <v>1920.0</v>
      </c>
      <c r="G31" s="15">
        <v>1963.7</v>
      </c>
      <c r="H31" s="17">
        <v>0.0</v>
      </c>
      <c r="I31" s="15">
        <f t="shared" si="1"/>
        <v>43.7</v>
      </c>
      <c r="J31" s="18">
        <f t="shared" si="2"/>
        <v>2.276041667</v>
      </c>
      <c r="K31" s="17">
        <v>2.76</v>
      </c>
      <c r="L31" s="19">
        <f t="shared" si="3"/>
        <v>0</v>
      </c>
      <c r="M31" s="20">
        <f t="shared" si="4"/>
        <v>252.537792</v>
      </c>
      <c r="N31" s="21">
        <f t="shared" si="5"/>
        <v>2.76</v>
      </c>
      <c r="O31" s="21">
        <f t="shared" si="6"/>
        <v>5299.2</v>
      </c>
      <c r="P31" s="22">
        <f t="shared" si="7"/>
        <v>484872.5606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45850.0</v>
      </c>
      <c r="C32" s="12">
        <f>VLOOKUP(B:B,'Курс валют'!A:D,4,0)</f>
        <v>91.1201</v>
      </c>
      <c r="D32" s="13" t="s">
        <v>2088</v>
      </c>
      <c r="E32" s="77" t="s">
        <v>60</v>
      </c>
      <c r="F32" s="15">
        <v>2200.0</v>
      </c>
      <c r="G32" s="15">
        <v>2278.0</v>
      </c>
      <c r="H32" s="17">
        <v>0.0</v>
      </c>
      <c r="I32" s="15">
        <f t="shared" si="1"/>
        <v>78</v>
      </c>
      <c r="J32" s="18">
        <f t="shared" si="2"/>
        <v>3.545454545</v>
      </c>
      <c r="K32" s="17">
        <v>2.51</v>
      </c>
      <c r="L32" s="19">
        <f t="shared" si="3"/>
        <v>0</v>
      </c>
      <c r="M32" s="20">
        <f t="shared" si="4"/>
        <v>228.711451</v>
      </c>
      <c r="N32" s="21">
        <f t="shared" si="5"/>
        <v>2.51</v>
      </c>
      <c r="O32" s="21">
        <f t="shared" si="6"/>
        <v>5522</v>
      </c>
      <c r="P32" s="22">
        <f t="shared" si="7"/>
        <v>503165.1922</v>
      </c>
      <c r="R32" s="23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45850.0</v>
      </c>
      <c r="C33" s="12">
        <f>VLOOKUP(B:B,'Курс валют'!A:D,4,0)</f>
        <v>91.1201</v>
      </c>
      <c r="D33" s="13" t="s">
        <v>2089</v>
      </c>
      <c r="E33" s="77" t="s">
        <v>128</v>
      </c>
      <c r="F33" s="15">
        <v>2200.0</v>
      </c>
      <c r="G33" s="13">
        <v>2251.36</v>
      </c>
      <c r="H33" s="17">
        <v>0.0</v>
      </c>
      <c r="I33" s="15">
        <f t="shared" si="1"/>
        <v>51.36</v>
      </c>
      <c r="J33" s="18">
        <f t="shared" si="2"/>
        <v>2.334545455</v>
      </c>
      <c r="K33" s="17">
        <v>2.0</v>
      </c>
      <c r="L33" s="19">
        <f t="shared" si="3"/>
        <v>0</v>
      </c>
      <c r="M33" s="20">
        <f t="shared" si="4"/>
        <v>182.2402</v>
      </c>
      <c r="N33" s="21">
        <f t="shared" si="5"/>
        <v>2</v>
      </c>
      <c r="O33" s="21">
        <f t="shared" si="6"/>
        <v>4400</v>
      </c>
      <c r="P33" s="22">
        <f t="shared" si="7"/>
        <v>400928.44</v>
      </c>
      <c r="R33" s="23"/>
      <c r="S33" s="57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45850.0</v>
      </c>
      <c r="C34" s="12">
        <f>VLOOKUP(B:B,'Курс валют'!A:D,4,0)</f>
        <v>91.1201</v>
      </c>
      <c r="D34" s="13" t="s">
        <v>2090</v>
      </c>
      <c r="E34" s="59" t="s">
        <v>2044</v>
      </c>
      <c r="F34" s="15">
        <v>8000.0</v>
      </c>
      <c r="G34" s="13">
        <v>8160.0</v>
      </c>
      <c r="H34" s="17">
        <v>775.2</v>
      </c>
      <c r="I34" s="15">
        <f t="shared" si="1"/>
        <v>160</v>
      </c>
      <c r="J34" s="18">
        <f t="shared" si="2"/>
        <v>2</v>
      </c>
      <c r="K34" s="17">
        <v>2.21</v>
      </c>
      <c r="L34" s="19">
        <f t="shared" si="3"/>
        <v>9.69</v>
      </c>
      <c r="M34" s="20">
        <f t="shared" si="4"/>
        <v>174.5336264</v>
      </c>
      <c r="N34" s="21">
        <f t="shared" si="5"/>
        <v>1.915424</v>
      </c>
      <c r="O34" s="21">
        <f t="shared" si="6"/>
        <v>15323.392</v>
      </c>
      <c r="P34" s="22">
        <f t="shared" si="7"/>
        <v>1396269.011</v>
      </c>
      <c r="R34" s="31"/>
      <c r="S34" s="57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45851.0</v>
      </c>
      <c r="C35" s="12">
        <f>VLOOKUP(B:B,'Курс валют'!A:D,4,0)</f>
        <v>91.1201</v>
      </c>
      <c r="D35" s="13" t="s">
        <v>2091</v>
      </c>
      <c r="E35" s="59" t="s">
        <v>60</v>
      </c>
      <c r="F35" s="15">
        <v>2200.0</v>
      </c>
      <c r="G35" s="13">
        <v>2250.6</v>
      </c>
      <c r="H35" s="17">
        <v>973.88</v>
      </c>
      <c r="I35" s="15">
        <f t="shared" si="1"/>
        <v>50.6</v>
      </c>
      <c r="J35" s="18">
        <f t="shared" si="2"/>
        <v>2.3</v>
      </c>
      <c r="K35" s="17">
        <v>4.09</v>
      </c>
      <c r="L35" s="19">
        <f t="shared" si="3"/>
        <v>44.26727273</v>
      </c>
      <c r="M35" s="20">
        <f t="shared" si="4"/>
        <v>250.0586041</v>
      </c>
      <c r="N35" s="21">
        <f t="shared" si="5"/>
        <v>2.744274909</v>
      </c>
      <c r="O35" s="21">
        <f t="shared" si="6"/>
        <v>6037.4048</v>
      </c>
      <c r="P35" s="22">
        <f t="shared" si="7"/>
        <v>550128.9291</v>
      </c>
      <c r="R35" s="31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45851.0</v>
      </c>
      <c r="C36" s="12">
        <f>VLOOKUP(B:B,'Курс валют'!A:D,4,0)</f>
        <v>91.1201</v>
      </c>
      <c r="D36" s="13" t="s">
        <v>2092</v>
      </c>
      <c r="E36" s="59" t="s">
        <v>53</v>
      </c>
      <c r="F36" s="15">
        <v>8000.0</v>
      </c>
      <c r="G36" s="13">
        <v>8150.28</v>
      </c>
      <c r="H36" s="17">
        <v>0.0</v>
      </c>
      <c r="I36" s="15">
        <f t="shared" si="1"/>
        <v>150.28</v>
      </c>
      <c r="J36" s="18">
        <f t="shared" si="2"/>
        <v>1.8785</v>
      </c>
      <c r="K36" s="17">
        <v>1.88</v>
      </c>
      <c r="L36" s="19">
        <f t="shared" si="3"/>
        <v>0</v>
      </c>
      <c r="M36" s="20">
        <f t="shared" si="4"/>
        <v>171.305788</v>
      </c>
      <c r="N36" s="21">
        <f t="shared" si="5"/>
        <v>1.88</v>
      </c>
      <c r="O36" s="21">
        <f t="shared" si="6"/>
        <v>15040</v>
      </c>
      <c r="P36" s="22">
        <f t="shared" si="7"/>
        <v>1370446.304</v>
      </c>
      <c r="R36" s="31"/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45852.0</v>
      </c>
      <c r="C37" s="12">
        <f>VLOOKUP(B:B,'Курс валют'!A:D,4,0)</f>
        <v>91.1201</v>
      </c>
      <c r="D37" s="13" t="s">
        <v>2093</v>
      </c>
      <c r="E37" s="59" t="s">
        <v>53</v>
      </c>
      <c r="F37" s="15">
        <v>8000.0</v>
      </c>
      <c r="G37" s="13">
        <v>8120.3</v>
      </c>
      <c r="H37" s="17">
        <v>0.0</v>
      </c>
      <c r="I37" s="15">
        <f t="shared" si="1"/>
        <v>120.3</v>
      </c>
      <c r="J37" s="18">
        <f t="shared" si="2"/>
        <v>1.50375</v>
      </c>
      <c r="K37" s="17">
        <v>1.84</v>
      </c>
      <c r="L37" s="19">
        <f t="shared" si="3"/>
        <v>0</v>
      </c>
      <c r="M37" s="20">
        <f t="shared" si="4"/>
        <v>167.660984</v>
      </c>
      <c r="N37" s="21">
        <f t="shared" si="5"/>
        <v>1.84</v>
      </c>
      <c r="O37" s="21">
        <f t="shared" si="6"/>
        <v>14720</v>
      </c>
      <c r="P37" s="22">
        <f t="shared" si="7"/>
        <v>1341287.872</v>
      </c>
      <c r="R37" s="78"/>
      <c r="S37" s="24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45852.0</v>
      </c>
      <c r="C38" s="12">
        <f>VLOOKUP(B:B,'Курс валют'!A:D,4,0)</f>
        <v>91.1201</v>
      </c>
      <c r="D38" s="13" t="s">
        <v>2094</v>
      </c>
      <c r="E38" s="59" t="s">
        <v>60</v>
      </c>
      <c r="F38" s="15">
        <v>2000.0</v>
      </c>
      <c r="G38" s="13">
        <v>2037.73</v>
      </c>
      <c r="H38" s="17">
        <v>954.1</v>
      </c>
      <c r="I38" s="15">
        <f t="shared" si="1"/>
        <v>37.73</v>
      </c>
      <c r="J38" s="18">
        <f t="shared" si="2"/>
        <v>1.8865</v>
      </c>
      <c r="K38" s="17">
        <v>4.21</v>
      </c>
      <c r="L38" s="19">
        <f t="shared" si="3"/>
        <v>47.705</v>
      </c>
      <c r="M38" s="20">
        <f t="shared" si="4"/>
        <v>251.4703361</v>
      </c>
      <c r="N38" s="21">
        <f t="shared" si="5"/>
        <v>2.759768</v>
      </c>
      <c r="O38" s="21">
        <f t="shared" si="6"/>
        <v>5519.536</v>
      </c>
      <c r="P38" s="22">
        <f t="shared" si="7"/>
        <v>502940.6723</v>
      </c>
      <c r="R38" s="79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45852.0</v>
      </c>
      <c r="C39" s="12">
        <f>VLOOKUP(B:B,'Курс валют'!A:D,4,0)</f>
        <v>91.1201</v>
      </c>
      <c r="D39" s="13" t="s">
        <v>2095</v>
      </c>
      <c r="E39" s="59" t="s">
        <v>128</v>
      </c>
      <c r="F39" s="15">
        <v>2200.0</v>
      </c>
      <c r="G39" s="13">
        <v>2228.64</v>
      </c>
      <c r="H39" s="17">
        <v>0.0</v>
      </c>
      <c r="I39" s="15">
        <f t="shared" si="1"/>
        <v>28.64</v>
      </c>
      <c r="J39" s="18">
        <f t="shared" si="2"/>
        <v>1.301818182</v>
      </c>
      <c r="K39" s="17">
        <v>1.95</v>
      </c>
      <c r="L39" s="19">
        <f t="shared" si="3"/>
        <v>0</v>
      </c>
      <c r="M39" s="20">
        <f t="shared" si="4"/>
        <v>177.684195</v>
      </c>
      <c r="N39" s="21">
        <f t="shared" si="5"/>
        <v>1.95</v>
      </c>
      <c r="O39" s="21">
        <f t="shared" si="6"/>
        <v>4290</v>
      </c>
      <c r="P39" s="22">
        <f t="shared" si="7"/>
        <v>390905.229</v>
      </c>
      <c r="R39" s="23"/>
      <c r="S39" s="24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11">
        <v>45853.0</v>
      </c>
      <c r="C40" s="12">
        <f>VLOOKUP(B:B,'Курс валют'!A:D,4,0)</f>
        <v>91.7738</v>
      </c>
      <c r="D40" s="13" t="s">
        <v>2096</v>
      </c>
      <c r="E40" s="59" t="s">
        <v>2044</v>
      </c>
      <c r="F40" s="15">
        <v>8000.0</v>
      </c>
      <c r="G40" s="13">
        <v>8158.2</v>
      </c>
      <c r="H40" s="17">
        <v>775.0</v>
      </c>
      <c r="I40" s="15">
        <f t="shared" si="1"/>
        <v>158.2</v>
      </c>
      <c r="J40" s="18">
        <f t="shared" si="2"/>
        <v>1.9775</v>
      </c>
      <c r="K40" s="17">
        <v>1.93</v>
      </c>
      <c r="L40" s="19">
        <f t="shared" si="3"/>
        <v>9.6875</v>
      </c>
      <c r="M40" s="20">
        <f t="shared" si="4"/>
        <v>150.0960499</v>
      </c>
      <c r="N40" s="21">
        <f t="shared" si="5"/>
        <v>1.6355</v>
      </c>
      <c r="O40" s="21">
        <f t="shared" si="6"/>
        <v>13084</v>
      </c>
      <c r="P40" s="22">
        <f t="shared" si="7"/>
        <v>1200768.399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11">
        <v>45853.0</v>
      </c>
      <c r="C41" s="12">
        <f>VLOOKUP(B:B,'Курс валют'!A:D,4,0)</f>
        <v>91.7738</v>
      </c>
      <c r="D41" s="13" t="s">
        <v>2097</v>
      </c>
      <c r="E41" s="59" t="s">
        <v>2098</v>
      </c>
      <c r="F41" s="15">
        <v>60.0</v>
      </c>
      <c r="G41" s="61">
        <v>64.7</v>
      </c>
      <c r="H41" s="17">
        <v>0.0</v>
      </c>
      <c r="I41" s="16">
        <f t="shared" si="1"/>
        <v>4.7</v>
      </c>
      <c r="J41" s="18">
        <f t="shared" si="2"/>
        <v>7.833333333</v>
      </c>
      <c r="K41" s="17">
        <v>2.99</v>
      </c>
      <c r="L41" s="19">
        <f t="shared" si="3"/>
        <v>0</v>
      </c>
      <c r="M41" s="20">
        <f t="shared" si="4"/>
        <v>274.403662</v>
      </c>
      <c r="N41" s="21">
        <f t="shared" si="5"/>
        <v>2.99</v>
      </c>
      <c r="O41" s="21">
        <f t="shared" si="6"/>
        <v>179.4</v>
      </c>
      <c r="P41" s="22">
        <f t="shared" si="7"/>
        <v>16464.21972</v>
      </c>
      <c r="R41" s="31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45853.0</v>
      </c>
      <c r="C42" s="12">
        <f>VLOOKUP(B:B,'Курс валют'!A:D,4,0)</f>
        <v>91.7738</v>
      </c>
      <c r="D42" s="13" t="s">
        <v>2099</v>
      </c>
      <c r="E42" s="59" t="s">
        <v>60</v>
      </c>
      <c r="F42" s="15">
        <v>2000.0</v>
      </c>
      <c r="G42" s="13">
        <v>2037.73</v>
      </c>
      <c r="H42" s="17">
        <v>954.1</v>
      </c>
      <c r="I42" s="15">
        <f t="shared" si="1"/>
        <v>37.73</v>
      </c>
      <c r="J42" s="18">
        <f t="shared" si="2"/>
        <v>1.8865</v>
      </c>
      <c r="K42" s="17">
        <v>4.27</v>
      </c>
      <c r="L42" s="19">
        <f t="shared" si="3"/>
        <v>47.705</v>
      </c>
      <c r="M42" s="20">
        <f t="shared" si="4"/>
        <v>258.7808245</v>
      </c>
      <c r="N42" s="21">
        <f t="shared" si="5"/>
        <v>2.819768</v>
      </c>
      <c r="O42" s="21">
        <f t="shared" si="6"/>
        <v>5639.536</v>
      </c>
      <c r="P42" s="22">
        <f t="shared" si="7"/>
        <v>517561.649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30">
        <v>45854.0</v>
      </c>
      <c r="C43" s="12">
        <f>VLOOKUP(B:B,'Курс валют'!A:D,4,0)</f>
        <v>91.1531</v>
      </c>
      <c r="D43" s="13" t="s">
        <v>2100</v>
      </c>
      <c r="E43" s="59" t="s">
        <v>1861</v>
      </c>
      <c r="F43" s="15">
        <v>800.0</v>
      </c>
      <c r="G43" s="13">
        <v>816.2</v>
      </c>
      <c r="H43" s="17">
        <v>0.0</v>
      </c>
      <c r="I43" s="15">
        <f t="shared" si="1"/>
        <v>16.2</v>
      </c>
      <c r="J43" s="18">
        <f t="shared" si="2"/>
        <v>2.025</v>
      </c>
      <c r="K43" s="17">
        <v>2.83</v>
      </c>
      <c r="L43" s="19">
        <f t="shared" si="3"/>
        <v>0</v>
      </c>
      <c r="M43" s="20">
        <f t="shared" si="4"/>
        <v>257.963273</v>
      </c>
      <c r="N43" s="21">
        <f t="shared" si="5"/>
        <v>2.83</v>
      </c>
      <c r="O43" s="21">
        <f t="shared" si="6"/>
        <v>2264</v>
      </c>
      <c r="P43" s="22">
        <f t="shared" si="7"/>
        <v>206370.6184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45854.0</v>
      </c>
      <c r="C44" s="12">
        <f>VLOOKUP(B:B,'Курс валют'!A:D,4,0)</f>
        <v>91.1531</v>
      </c>
      <c r="D44" s="13" t="s">
        <v>2101</v>
      </c>
      <c r="E44" s="59" t="s">
        <v>128</v>
      </c>
      <c r="F44" s="15">
        <v>2200.0</v>
      </c>
      <c r="G44" s="13">
        <v>2243.2</v>
      </c>
      <c r="H44" s="17">
        <v>0.0</v>
      </c>
      <c r="I44" s="15">
        <f t="shared" si="1"/>
        <v>43.2</v>
      </c>
      <c r="J44" s="18">
        <f t="shared" si="2"/>
        <v>1.963636364</v>
      </c>
      <c r="K44" s="17">
        <v>1.93</v>
      </c>
      <c r="L44" s="19">
        <f t="shared" si="3"/>
        <v>0</v>
      </c>
      <c r="M44" s="20">
        <f t="shared" si="4"/>
        <v>175.925483</v>
      </c>
      <c r="N44" s="21">
        <f t="shared" si="5"/>
        <v>1.93</v>
      </c>
      <c r="O44" s="21">
        <f t="shared" si="6"/>
        <v>4246</v>
      </c>
      <c r="P44" s="22">
        <f t="shared" si="7"/>
        <v>387036.0626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45854.0</v>
      </c>
      <c r="C45" s="12">
        <f>VLOOKUP(B:B,'Курс валют'!A:D,4,0)</f>
        <v>91.1531</v>
      </c>
      <c r="D45" s="13" t="s">
        <v>2102</v>
      </c>
      <c r="E45" s="59" t="s">
        <v>128</v>
      </c>
      <c r="F45" s="15">
        <v>2200.0</v>
      </c>
      <c r="G45" s="61">
        <v>2243.2</v>
      </c>
      <c r="H45" s="17">
        <v>0.0</v>
      </c>
      <c r="I45" s="16">
        <f t="shared" si="1"/>
        <v>43.2</v>
      </c>
      <c r="J45" s="18">
        <f t="shared" si="2"/>
        <v>1.963636364</v>
      </c>
      <c r="K45" s="17">
        <v>1.93</v>
      </c>
      <c r="L45" s="19">
        <f t="shared" si="3"/>
        <v>0</v>
      </c>
      <c r="M45" s="20">
        <f t="shared" si="4"/>
        <v>175.925483</v>
      </c>
      <c r="N45" s="21">
        <f t="shared" si="5"/>
        <v>1.93</v>
      </c>
      <c r="O45" s="21">
        <f t="shared" si="6"/>
        <v>4246</v>
      </c>
      <c r="P45" s="22">
        <f t="shared" si="7"/>
        <v>387036.0626</v>
      </c>
      <c r="R45" s="23"/>
      <c r="S45" s="24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45855.0</v>
      </c>
      <c r="C46" s="12">
        <f>VLOOKUP(B:B,'Курс валют'!A:D,4,0)</f>
        <v>90.5635</v>
      </c>
      <c r="D46" s="13" t="s">
        <v>2103</v>
      </c>
      <c r="E46" s="59" t="s">
        <v>128</v>
      </c>
      <c r="F46" s="15">
        <v>2200.0</v>
      </c>
      <c r="G46" s="13">
        <v>2243.2</v>
      </c>
      <c r="H46" s="17">
        <v>0.0</v>
      </c>
      <c r="I46" s="15">
        <f t="shared" si="1"/>
        <v>43.2</v>
      </c>
      <c r="J46" s="18">
        <f t="shared" si="2"/>
        <v>1.963636364</v>
      </c>
      <c r="K46" s="17">
        <v>1.98</v>
      </c>
      <c r="L46" s="19">
        <f t="shared" si="3"/>
        <v>0</v>
      </c>
      <c r="M46" s="20">
        <f t="shared" si="4"/>
        <v>179.31573</v>
      </c>
      <c r="N46" s="21">
        <f t="shared" si="5"/>
        <v>1.98</v>
      </c>
      <c r="O46" s="21">
        <f t="shared" si="6"/>
        <v>4356</v>
      </c>
      <c r="P46" s="22">
        <f t="shared" si="7"/>
        <v>394494.606</v>
      </c>
      <c r="R46" s="23"/>
      <c r="S46" s="24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45855.0</v>
      </c>
      <c r="C47" s="12">
        <f>VLOOKUP(B:B,'Курс валют'!A:D,4,0)</f>
        <v>90.5635</v>
      </c>
      <c r="D47" s="13" t="s">
        <v>2104</v>
      </c>
      <c r="E47" s="59" t="s">
        <v>2031</v>
      </c>
      <c r="F47" s="15">
        <v>800.0</v>
      </c>
      <c r="G47" s="61">
        <v>816.2</v>
      </c>
      <c r="H47" s="17">
        <v>0.0</v>
      </c>
      <c r="I47" s="16">
        <f t="shared" si="1"/>
        <v>16.2</v>
      </c>
      <c r="J47" s="18">
        <f t="shared" si="2"/>
        <v>2.025</v>
      </c>
      <c r="K47" s="17">
        <v>2.73</v>
      </c>
      <c r="L47" s="19">
        <f t="shared" si="3"/>
        <v>0</v>
      </c>
      <c r="M47" s="20">
        <f t="shared" si="4"/>
        <v>247.238355</v>
      </c>
      <c r="N47" s="21">
        <f t="shared" si="5"/>
        <v>2.73</v>
      </c>
      <c r="O47" s="21">
        <f t="shared" si="6"/>
        <v>2184</v>
      </c>
      <c r="P47" s="22">
        <f t="shared" si="7"/>
        <v>197790.684</v>
      </c>
      <c r="R47" s="23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45856.0</v>
      </c>
      <c r="C48" s="12">
        <f>VLOOKUP(B:B,'Курс валют'!A:D,4,0)</f>
        <v>90.9716</v>
      </c>
      <c r="D48" s="13" t="s">
        <v>2105</v>
      </c>
      <c r="E48" s="59" t="s">
        <v>128</v>
      </c>
      <c r="F48" s="15">
        <v>2200.0</v>
      </c>
      <c r="G48" s="13">
        <v>2243.2</v>
      </c>
      <c r="H48" s="17">
        <v>0.0</v>
      </c>
      <c r="I48" s="15">
        <f t="shared" si="1"/>
        <v>43.2</v>
      </c>
      <c r="J48" s="18">
        <f t="shared" si="2"/>
        <v>1.963636364</v>
      </c>
      <c r="K48" s="17">
        <v>1.96</v>
      </c>
      <c r="L48" s="19">
        <f t="shared" si="3"/>
        <v>0</v>
      </c>
      <c r="M48" s="20">
        <f t="shared" si="4"/>
        <v>178.304336</v>
      </c>
      <c r="N48" s="21">
        <f t="shared" si="5"/>
        <v>1.96</v>
      </c>
      <c r="O48" s="21">
        <f t="shared" si="6"/>
        <v>4312</v>
      </c>
      <c r="P48" s="22">
        <f t="shared" si="7"/>
        <v>392269.5392</v>
      </c>
      <c r="R48" s="23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45856.0</v>
      </c>
      <c r="C49" s="12">
        <f>VLOOKUP(B:B,'Курс валют'!A:D,4,0)</f>
        <v>90.9716</v>
      </c>
      <c r="D49" s="13" t="s">
        <v>2106</v>
      </c>
      <c r="E49" s="59" t="s">
        <v>60</v>
      </c>
      <c r="F49" s="15">
        <v>2000.0</v>
      </c>
      <c r="G49" s="13">
        <v>2036.58</v>
      </c>
      <c r="H49" s="17">
        <v>0.0</v>
      </c>
      <c r="I49" s="15">
        <f t="shared" si="1"/>
        <v>36.58</v>
      </c>
      <c r="J49" s="18">
        <f t="shared" si="2"/>
        <v>1.829</v>
      </c>
      <c r="K49" s="17">
        <v>2.48</v>
      </c>
      <c r="L49" s="19">
        <f t="shared" si="3"/>
        <v>0</v>
      </c>
      <c r="M49" s="20">
        <f t="shared" si="4"/>
        <v>225.609568</v>
      </c>
      <c r="N49" s="21">
        <f>(F49*K49-H49*2.45)/F49</f>
        <v>2.48</v>
      </c>
      <c r="O49" s="21">
        <f t="shared" si="6"/>
        <v>4960</v>
      </c>
      <c r="P49" s="22">
        <f t="shared" si="7"/>
        <v>451219.136</v>
      </c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45856.0</v>
      </c>
      <c r="C50" s="12">
        <f>VLOOKUP(B:B,'Курс валют'!A:D,4,0)</f>
        <v>90.9716</v>
      </c>
      <c r="D50" s="13" t="s">
        <v>2107</v>
      </c>
      <c r="E50" s="59" t="s">
        <v>18</v>
      </c>
      <c r="F50" s="15">
        <v>3300.0</v>
      </c>
      <c r="G50" s="13">
        <v>3358.0</v>
      </c>
      <c r="H50" s="58">
        <v>60.9</v>
      </c>
      <c r="I50" s="15">
        <f t="shared" si="1"/>
        <v>58</v>
      </c>
      <c r="J50" s="18">
        <f t="shared" si="2"/>
        <v>1.757575758</v>
      </c>
      <c r="K50" s="17">
        <v>2.5</v>
      </c>
      <c r="L50" s="19">
        <f t="shared" si="3"/>
        <v>1.845454545</v>
      </c>
      <c r="M50" s="20">
        <f t="shared" si="4"/>
        <v>222.3253278</v>
      </c>
      <c r="N50" s="21">
        <f t="shared" ref="N50:N102" si="8">(F50*K50-H50*3.04)/F50</f>
        <v>2.443898182</v>
      </c>
      <c r="O50" s="21">
        <f t="shared" si="6"/>
        <v>8064.864</v>
      </c>
      <c r="P50" s="22">
        <f t="shared" si="7"/>
        <v>733673.5819</v>
      </c>
      <c r="R50" s="23"/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45857.0</v>
      </c>
      <c r="C51" s="12">
        <f>VLOOKUP(B:B,'Курс валют'!A:D,4,0)</f>
        <v>91.0821</v>
      </c>
      <c r="D51" s="13" t="s">
        <v>2108</v>
      </c>
      <c r="E51" s="59" t="s">
        <v>60</v>
      </c>
      <c r="F51" s="15">
        <v>2000.0</v>
      </c>
      <c r="G51" s="13">
        <v>2036.58</v>
      </c>
      <c r="H51" s="58">
        <v>0.0</v>
      </c>
      <c r="I51" s="15">
        <f t="shared" si="1"/>
        <v>36.58</v>
      </c>
      <c r="J51" s="18">
        <f t="shared" si="2"/>
        <v>1.829</v>
      </c>
      <c r="K51" s="17">
        <v>2.48</v>
      </c>
      <c r="L51" s="19">
        <f t="shared" si="3"/>
        <v>0</v>
      </c>
      <c r="M51" s="20">
        <f t="shared" si="4"/>
        <v>225.883608</v>
      </c>
      <c r="N51" s="21">
        <f t="shared" si="8"/>
        <v>2.48</v>
      </c>
      <c r="O51" s="21">
        <f t="shared" si="6"/>
        <v>4960</v>
      </c>
      <c r="P51" s="22">
        <f t="shared" si="7"/>
        <v>451767.216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45857.0</v>
      </c>
      <c r="C52" s="12">
        <f>VLOOKUP(B:B,'Курс валют'!A:D,4,0)</f>
        <v>91.0821</v>
      </c>
      <c r="D52" s="13" t="s">
        <v>2109</v>
      </c>
      <c r="E52" s="59" t="s">
        <v>63</v>
      </c>
      <c r="F52" s="15">
        <v>2250.0</v>
      </c>
      <c r="G52" s="13">
        <v>2292.3</v>
      </c>
      <c r="H52" s="58">
        <v>480.8</v>
      </c>
      <c r="I52" s="15">
        <f t="shared" si="1"/>
        <v>42.3</v>
      </c>
      <c r="J52" s="18">
        <f t="shared" si="2"/>
        <v>1.88</v>
      </c>
      <c r="K52" s="17">
        <v>2.83</v>
      </c>
      <c r="L52" s="19">
        <f t="shared" si="3"/>
        <v>21.36888889</v>
      </c>
      <c r="M52" s="20">
        <f t="shared" si="4"/>
        <v>198.5941155</v>
      </c>
      <c r="N52" s="21">
        <f t="shared" si="8"/>
        <v>2.180385778</v>
      </c>
      <c r="O52" s="21">
        <f t="shared" si="6"/>
        <v>4905.868</v>
      </c>
      <c r="P52" s="22">
        <f t="shared" si="7"/>
        <v>446836.7598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45857.0</v>
      </c>
      <c r="C53" s="12">
        <f>VLOOKUP(B:B,'Курс валют'!A:D,4,0)</f>
        <v>91.0821</v>
      </c>
      <c r="D53" s="13" t="s">
        <v>2110</v>
      </c>
      <c r="E53" s="59" t="s">
        <v>18</v>
      </c>
      <c r="F53" s="15">
        <v>8800.0</v>
      </c>
      <c r="G53" s="13">
        <v>8930.4</v>
      </c>
      <c r="H53" s="58">
        <v>170.4</v>
      </c>
      <c r="I53" s="15">
        <f t="shared" si="1"/>
        <v>130.4</v>
      </c>
      <c r="J53" s="18">
        <f t="shared" si="2"/>
        <v>1.481818182</v>
      </c>
      <c r="K53" s="17">
        <v>2.48</v>
      </c>
      <c r="L53" s="19">
        <f t="shared" si="3"/>
        <v>1.936363636</v>
      </c>
      <c r="M53" s="20">
        <f t="shared" si="4"/>
        <v>220.5220188</v>
      </c>
      <c r="N53" s="21">
        <f t="shared" si="8"/>
        <v>2.421134545</v>
      </c>
      <c r="O53" s="21">
        <f t="shared" si="6"/>
        <v>21305.984</v>
      </c>
      <c r="P53" s="22">
        <f t="shared" si="7"/>
        <v>1940593.765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45858.0</v>
      </c>
      <c r="C54" s="12">
        <f>VLOOKUP(B:B,'Курс валют'!A:D,4,0)</f>
        <v>91.0821</v>
      </c>
      <c r="D54" s="13" t="s">
        <v>2111</v>
      </c>
      <c r="E54" s="59" t="s">
        <v>60</v>
      </c>
      <c r="F54" s="15">
        <v>2000.0</v>
      </c>
      <c r="G54" s="13">
        <v>2036.58</v>
      </c>
      <c r="H54" s="58">
        <v>0.0</v>
      </c>
      <c r="I54" s="15">
        <f t="shared" si="1"/>
        <v>36.58</v>
      </c>
      <c r="J54" s="18">
        <f t="shared" si="2"/>
        <v>1.829</v>
      </c>
      <c r="K54" s="17">
        <v>2.48</v>
      </c>
      <c r="L54" s="19">
        <f t="shared" si="3"/>
        <v>0</v>
      </c>
      <c r="M54" s="20">
        <f t="shared" si="4"/>
        <v>225.883608</v>
      </c>
      <c r="N54" s="21">
        <f t="shared" si="8"/>
        <v>2.48</v>
      </c>
      <c r="O54" s="21">
        <f t="shared" si="6"/>
        <v>4960</v>
      </c>
      <c r="P54" s="22">
        <f t="shared" si="7"/>
        <v>451767.216</v>
      </c>
      <c r="R54" s="31"/>
      <c r="S54" s="24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45858.0</v>
      </c>
      <c r="C55" s="12">
        <f>VLOOKUP(B:B,'Курс валют'!A:D,4,0)</f>
        <v>91.0821</v>
      </c>
      <c r="D55" s="13" t="s">
        <v>2112</v>
      </c>
      <c r="E55" s="59" t="s">
        <v>63</v>
      </c>
      <c r="F55" s="15">
        <v>2250.0</v>
      </c>
      <c r="G55" s="13">
        <v>2293.0</v>
      </c>
      <c r="H55" s="17">
        <v>0.0</v>
      </c>
      <c r="I55" s="15">
        <f t="shared" si="1"/>
        <v>43</v>
      </c>
      <c r="J55" s="18">
        <f t="shared" si="2"/>
        <v>1.911111111</v>
      </c>
      <c r="K55" s="62">
        <v>2.06</v>
      </c>
      <c r="L55" s="19">
        <f t="shared" si="3"/>
        <v>0</v>
      </c>
      <c r="M55" s="20">
        <f t="shared" si="4"/>
        <v>187.629126</v>
      </c>
      <c r="N55" s="21">
        <f t="shared" si="8"/>
        <v>2.06</v>
      </c>
      <c r="O55" s="21">
        <f t="shared" si="6"/>
        <v>4635</v>
      </c>
      <c r="P55" s="22">
        <f t="shared" si="7"/>
        <v>422165.5335</v>
      </c>
      <c r="R55" s="31"/>
      <c r="S55" s="24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45858.0</v>
      </c>
      <c r="C56" s="12">
        <f>VLOOKUP(B:B,'Курс валют'!A:D,4,0)</f>
        <v>91.0821</v>
      </c>
      <c r="D56" s="13" t="s">
        <v>2113</v>
      </c>
      <c r="E56" s="59" t="s">
        <v>18</v>
      </c>
      <c r="F56" s="15">
        <v>8800.0</v>
      </c>
      <c r="G56" s="13">
        <v>8930.4</v>
      </c>
      <c r="H56" s="17">
        <v>170.4</v>
      </c>
      <c r="I56" s="15">
        <f t="shared" si="1"/>
        <v>130.4</v>
      </c>
      <c r="J56" s="18">
        <f t="shared" si="2"/>
        <v>1.481818182</v>
      </c>
      <c r="K56" s="62">
        <v>2.47</v>
      </c>
      <c r="L56" s="19">
        <f t="shared" si="3"/>
        <v>1.936363636</v>
      </c>
      <c r="M56" s="20">
        <f t="shared" si="4"/>
        <v>219.6111978</v>
      </c>
      <c r="N56" s="21">
        <f t="shared" si="8"/>
        <v>2.411134545</v>
      </c>
      <c r="O56" s="21">
        <f t="shared" si="6"/>
        <v>21217.984</v>
      </c>
      <c r="P56" s="22">
        <f t="shared" si="7"/>
        <v>1932578.54</v>
      </c>
      <c r="R56" s="31"/>
      <c r="S56" s="24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>
        <v>45859.0</v>
      </c>
      <c r="C57" s="12">
        <f>VLOOKUP(B:B,'Курс валют'!A:D,4,0)</f>
        <v>91.0821</v>
      </c>
      <c r="D57" s="13" t="s">
        <v>2114</v>
      </c>
      <c r="E57" s="59" t="s">
        <v>61</v>
      </c>
      <c r="F57" s="15">
        <v>1100.0</v>
      </c>
      <c r="G57" s="13">
        <v>1122.8</v>
      </c>
      <c r="H57" s="17">
        <v>21.5</v>
      </c>
      <c r="I57" s="15">
        <f t="shared" si="1"/>
        <v>22.8</v>
      </c>
      <c r="J57" s="18">
        <f t="shared" si="2"/>
        <v>2.072727273</v>
      </c>
      <c r="K57" s="17">
        <v>2.6</v>
      </c>
      <c r="L57" s="19">
        <f t="shared" si="3"/>
        <v>1.954545455</v>
      </c>
      <c r="M57" s="20">
        <f t="shared" si="4"/>
        <v>231.4015272</v>
      </c>
      <c r="N57" s="21">
        <f t="shared" si="8"/>
        <v>2.540581818</v>
      </c>
      <c r="O57" s="21">
        <f t="shared" si="6"/>
        <v>2794.64</v>
      </c>
      <c r="P57" s="22">
        <f t="shared" si="7"/>
        <v>254541.6799</v>
      </c>
      <c r="R57" s="23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>
        <v>45859.0</v>
      </c>
      <c r="C58" s="12">
        <f>VLOOKUP(B:B,'Курс валют'!A:D,4,0)</f>
        <v>91.0821</v>
      </c>
      <c r="D58" s="13" t="s">
        <v>2115</v>
      </c>
      <c r="E58" s="64" t="s">
        <v>18</v>
      </c>
      <c r="F58" s="15">
        <v>7700.0</v>
      </c>
      <c r="G58" s="13">
        <v>7814.1</v>
      </c>
      <c r="H58" s="17">
        <v>144.84</v>
      </c>
      <c r="I58" s="15">
        <f t="shared" si="1"/>
        <v>114.1</v>
      </c>
      <c r="J58" s="18">
        <f t="shared" si="2"/>
        <v>1.481818182</v>
      </c>
      <c r="K58" s="17">
        <v>2.48</v>
      </c>
      <c r="L58" s="19">
        <f t="shared" si="3"/>
        <v>1.881038961</v>
      </c>
      <c r="M58" s="20">
        <f t="shared" si="4"/>
        <v>220.675207</v>
      </c>
      <c r="N58" s="21">
        <f t="shared" si="8"/>
        <v>2.422816416</v>
      </c>
      <c r="O58" s="21">
        <f t="shared" si="6"/>
        <v>18655.6864</v>
      </c>
      <c r="P58" s="22">
        <f t="shared" si="7"/>
        <v>1699199.094</v>
      </c>
      <c r="R58" s="23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>
        <v>45859.0</v>
      </c>
      <c r="C59" s="12">
        <f>VLOOKUP(B:B,'Курс валют'!A:D,4,0)</f>
        <v>91.0821</v>
      </c>
      <c r="D59" s="13" t="s">
        <v>2116</v>
      </c>
      <c r="E59" s="64" t="s">
        <v>60</v>
      </c>
      <c r="F59" s="15">
        <v>2000.0</v>
      </c>
      <c r="G59" s="15">
        <v>2036.6</v>
      </c>
      <c r="H59" s="17">
        <v>0.0</v>
      </c>
      <c r="I59" s="15">
        <f t="shared" si="1"/>
        <v>36.6</v>
      </c>
      <c r="J59" s="18">
        <f t="shared" si="2"/>
        <v>1.83</v>
      </c>
      <c r="K59" s="17">
        <v>2.52</v>
      </c>
      <c r="L59" s="19">
        <f t="shared" si="3"/>
        <v>0</v>
      </c>
      <c r="M59" s="20">
        <f t="shared" si="4"/>
        <v>229.526892</v>
      </c>
      <c r="N59" s="21">
        <f t="shared" si="8"/>
        <v>2.52</v>
      </c>
      <c r="O59" s="21">
        <f t="shared" si="6"/>
        <v>5040</v>
      </c>
      <c r="P59" s="22">
        <f t="shared" si="7"/>
        <v>459053.784</v>
      </c>
      <c r="R59" s="31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>
        <v>45859.0</v>
      </c>
      <c r="C60" s="12">
        <f>VLOOKUP(B:B,'Курс валют'!A:D,4,0)</f>
        <v>91.0821</v>
      </c>
      <c r="D60" s="13" t="s">
        <v>2117</v>
      </c>
      <c r="E60" s="59" t="s">
        <v>63</v>
      </c>
      <c r="F60" s="15">
        <v>2250.0</v>
      </c>
      <c r="G60" s="15">
        <v>2292.2</v>
      </c>
      <c r="H60" s="17">
        <v>0.0</v>
      </c>
      <c r="I60" s="15">
        <f t="shared" si="1"/>
        <v>42.2</v>
      </c>
      <c r="J60" s="18">
        <f t="shared" si="2"/>
        <v>1.875555556</v>
      </c>
      <c r="K60" s="17">
        <v>2.06</v>
      </c>
      <c r="L60" s="19">
        <f t="shared" si="3"/>
        <v>0</v>
      </c>
      <c r="M60" s="20">
        <f t="shared" si="4"/>
        <v>187.629126</v>
      </c>
      <c r="N60" s="21">
        <f t="shared" si="8"/>
        <v>2.06</v>
      </c>
      <c r="O60" s="21">
        <f t="shared" si="6"/>
        <v>4635</v>
      </c>
      <c r="P60" s="22">
        <f t="shared" si="7"/>
        <v>422165.5335</v>
      </c>
      <c r="R60" s="31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45860.0</v>
      </c>
      <c r="C61" s="12">
        <f>VLOOKUP(B:B,'Курс валют'!A:D,4,0)</f>
        <v>91.5138</v>
      </c>
      <c r="D61" s="13" t="s">
        <v>2118</v>
      </c>
      <c r="E61" s="64" t="s">
        <v>105</v>
      </c>
      <c r="F61" s="15">
        <v>30.91</v>
      </c>
      <c r="G61" s="15">
        <v>32.37</v>
      </c>
      <c r="H61" s="17">
        <v>0.0</v>
      </c>
      <c r="I61" s="15">
        <f t="shared" si="1"/>
        <v>1.46</v>
      </c>
      <c r="J61" s="18">
        <f t="shared" si="2"/>
        <v>4.723390489</v>
      </c>
      <c r="K61" s="17">
        <v>2.04</v>
      </c>
      <c r="L61" s="19">
        <f t="shared" si="3"/>
        <v>0</v>
      </c>
      <c r="M61" s="20">
        <f t="shared" si="4"/>
        <v>186.688152</v>
      </c>
      <c r="N61" s="21">
        <f t="shared" si="8"/>
        <v>2.04</v>
      </c>
      <c r="O61" s="21">
        <f t="shared" si="6"/>
        <v>63.0564</v>
      </c>
      <c r="P61" s="22">
        <f t="shared" si="7"/>
        <v>5770.530778</v>
      </c>
      <c r="R61" s="23" t="s">
        <v>2119</v>
      </c>
      <c r="S61" s="24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>
        <v>45860.0</v>
      </c>
      <c r="C62" s="12">
        <f>VLOOKUP(B:B,'Курс валют'!A:D,4,0)</f>
        <v>91.5138</v>
      </c>
      <c r="D62" s="13" t="s">
        <v>2120</v>
      </c>
      <c r="E62" s="64" t="s">
        <v>63</v>
      </c>
      <c r="F62" s="15">
        <v>2250.0</v>
      </c>
      <c r="G62" s="15">
        <v>2293.0</v>
      </c>
      <c r="H62" s="17">
        <v>0.0</v>
      </c>
      <c r="I62" s="15">
        <f t="shared" si="1"/>
        <v>43</v>
      </c>
      <c r="J62" s="18">
        <f t="shared" si="2"/>
        <v>1.911111111</v>
      </c>
      <c r="K62" s="17">
        <v>2.25</v>
      </c>
      <c r="L62" s="19">
        <f t="shared" si="3"/>
        <v>0</v>
      </c>
      <c r="M62" s="20">
        <f t="shared" si="4"/>
        <v>205.90605</v>
      </c>
      <c r="N62" s="21">
        <f t="shared" si="8"/>
        <v>2.25</v>
      </c>
      <c r="O62" s="21">
        <f t="shared" si="6"/>
        <v>5062.5</v>
      </c>
      <c r="P62" s="22">
        <f t="shared" si="7"/>
        <v>463288.6125</v>
      </c>
      <c r="R62" s="23"/>
      <c r="S62" s="24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>
        <v>45860.0</v>
      </c>
      <c r="C63" s="12">
        <f>VLOOKUP(B:B,'Курс валют'!A:D,4,0)</f>
        <v>91.5138</v>
      </c>
      <c r="D63" s="13" t="s">
        <v>2065</v>
      </c>
      <c r="E63" s="64" t="s">
        <v>90</v>
      </c>
      <c r="F63" s="15">
        <v>198.0</v>
      </c>
      <c r="G63" s="15">
        <v>200.0</v>
      </c>
      <c r="H63" s="17">
        <v>0.0</v>
      </c>
      <c r="I63" s="15">
        <f t="shared" si="1"/>
        <v>2</v>
      </c>
      <c r="J63" s="18">
        <f t="shared" si="2"/>
        <v>1.01010101</v>
      </c>
      <c r="K63" s="17">
        <v>2.21</v>
      </c>
      <c r="L63" s="19">
        <f t="shared" si="3"/>
        <v>0</v>
      </c>
      <c r="M63" s="20">
        <f t="shared" si="4"/>
        <v>202.245498</v>
      </c>
      <c r="N63" s="21">
        <f t="shared" si="8"/>
        <v>2.21</v>
      </c>
      <c r="O63" s="21">
        <f t="shared" si="6"/>
        <v>437.58</v>
      </c>
      <c r="P63" s="22">
        <f t="shared" si="7"/>
        <v>40044.6086</v>
      </c>
      <c r="R63" s="23" t="s">
        <v>1101</v>
      </c>
      <c r="S63" s="24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>
        <v>45860.0</v>
      </c>
      <c r="C64" s="12">
        <f>VLOOKUP(B:B,'Курс валют'!A:D,4,0)</f>
        <v>91.5138</v>
      </c>
      <c r="D64" s="13" t="s">
        <v>2121</v>
      </c>
      <c r="E64" s="64" t="s">
        <v>61</v>
      </c>
      <c r="F64" s="15">
        <v>4400.0</v>
      </c>
      <c r="G64" s="15">
        <v>4486.8</v>
      </c>
      <c r="H64" s="17">
        <v>81.2</v>
      </c>
      <c r="I64" s="15">
        <f t="shared" si="1"/>
        <v>86.8</v>
      </c>
      <c r="J64" s="18">
        <f t="shared" si="2"/>
        <v>1.972727273</v>
      </c>
      <c r="K64" s="17">
        <v>2.59</v>
      </c>
      <c r="L64" s="19">
        <f t="shared" si="3"/>
        <v>1.845454545</v>
      </c>
      <c r="M64" s="20">
        <f t="shared" si="4"/>
        <v>231.8866514</v>
      </c>
      <c r="N64" s="21">
        <f t="shared" si="8"/>
        <v>2.533898182</v>
      </c>
      <c r="O64" s="21">
        <f t="shared" si="6"/>
        <v>11149.152</v>
      </c>
      <c r="P64" s="22">
        <f t="shared" si="7"/>
        <v>1020301.266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>
        <v>45860.0</v>
      </c>
      <c r="C65" s="12">
        <f>VLOOKUP(B:B,'Курс валют'!A:D,4,0)</f>
        <v>91.5138</v>
      </c>
      <c r="D65" s="13" t="s">
        <v>2122</v>
      </c>
      <c r="E65" s="64" t="s">
        <v>63</v>
      </c>
      <c r="F65" s="15">
        <v>2250.0</v>
      </c>
      <c r="G65" s="15">
        <v>2293.0</v>
      </c>
      <c r="H65" s="17">
        <v>0.0</v>
      </c>
      <c r="I65" s="15">
        <f t="shared" si="1"/>
        <v>43</v>
      </c>
      <c r="J65" s="18">
        <f t="shared" si="2"/>
        <v>1.911111111</v>
      </c>
      <c r="K65" s="17">
        <v>2.25</v>
      </c>
      <c r="L65" s="19">
        <f t="shared" si="3"/>
        <v>0</v>
      </c>
      <c r="M65" s="20">
        <f t="shared" si="4"/>
        <v>205.90605</v>
      </c>
      <c r="N65" s="21">
        <f t="shared" si="8"/>
        <v>2.25</v>
      </c>
      <c r="O65" s="21">
        <f t="shared" si="6"/>
        <v>5062.5</v>
      </c>
      <c r="P65" s="22">
        <f t="shared" si="7"/>
        <v>463288.6125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>
        <v>45861.0</v>
      </c>
      <c r="C66" s="12">
        <f>VLOOKUP(B:B,'Курс валют'!A:D,4,0)</f>
        <v>91.7782</v>
      </c>
      <c r="D66" s="13" t="s">
        <v>2123</v>
      </c>
      <c r="E66" s="64" t="s">
        <v>400</v>
      </c>
      <c r="F66" s="15">
        <v>934.93</v>
      </c>
      <c r="G66" s="15">
        <v>953.5</v>
      </c>
      <c r="H66" s="17">
        <v>0.0</v>
      </c>
      <c r="I66" s="15">
        <f t="shared" si="1"/>
        <v>18.57</v>
      </c>
      <c r="J66" s="18">
        <f t="shared" si="2"/>
        <v>1.98624496</v>
      </c>
      <c r="K66" s="17">
        <v>1.48</v>
      </c>
      <c r="L66" s="19">
        <f t="shared" si="3"/>
        <v>0</v>
      </c>
      <c r="M66" s="20">
        <f t="shared" si="4"/>
        <v>135.831736</v>
      </c>
      <c r="N66" s="21">
        <f t="shared" si="8"/>
        <v>1.48</v>
      </c>
      <c r="O66" s="21">
        <f t="shared" si="6"/>
        <v>1383.6964</v>
      </c>
      <c r="P66" s="22">
        <f t="shared" si="7"/>
        <v>126993.1649</v>
      </c>
      <c r="R66" s="23" t="s">
        <v>2124</v>
      </c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>
        <v>45861.0</v>
      </c>
      <c r="C67" s="12">
        <f>VLOOKUP(B:B,'Курс валют'!A:D,4,0)</f>
        <v>91.7782</v>
      </c>
      <c r="D67" s="13" t="s">
        <v>2125</v>
      </c>
      <c r="E67" s="64" t="s">
        <v>107</v>
      </c>
      <c r="F67" s="15">
        <v>2160.0</v>
      </c>
      <c r="G67" s="15">
        <v>2197.2</v>
      </c>
      <c r="H67" s="17">
        <v>0.0</v>
      </c>
      <c r="I67" s="15">
        <f t="shared" si="1"/>
        <v>37.2</v>
      </c>
      <c r="J67" s="18">
        <f t="shared" si="2"/>
        <v>1.722222222</v>
      </c>
      <c r="K67" s="17">
        <v>2.8</v>
      </c>
      <c r="L67" s="19">
        <f t="shared" si="3"/>
        <v>0</v>
      </c>
      <c r="M67" s="20">
        <f t="shared" si="4"/>
        <v>256.97896</v>
      </c>
      <c r="N67" s="21">
        <f t="shared" si="8"/>
        <v>2.8</v>
      </c>
      <c r="O67" s="21">
        <f t="shared" si="6"/>
        <v>6048</v>
      </c>
      <c r="P67" s="22">
        <f t="shared" si="7"/>
        <v>555074.5536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>
        <v>45861.0</v>
      </c>
      <c r="C68" s="12">
        <f>VLOOKUP(B:B,'Курс валют'!A:D,4,0)</f>
        <v>91.7782</v>
      </c>
      <c r="D68" s="13" t="s">
        <v>2126</v>
      </c>
      <c r="E68" s="64" t="s">
        <v>118</v>
      </c>
      <c r="F68" s="15">
        <v>296.0</v>
      </c>
      <c r="G68" s="15">
        <v>303.5</v>
      </c>
      <c r="H68" s="17">
        <v>0.0</v>
      </c>
      <c r="I68" s="15">
        <f t="shared" si="1"/>
        <v>7.5</v>
      </c>
      <c r="J68" s="18">
        <f t="shared" si="2"/>
        <v>2.533783784</v>
      </c>
      <c r="K68" s="17">
        <v>1.51</v>
      </c>
      <c r="L68" s="19">
        <f t="shared" si="3"/>
        <v>0</v>
      </c>
      <c r="M68" s="20">
        <f t="shared" si="4"/>
        <v>138.585082</v>
      </c>
      <c r="N68" s="21">
        <f t="shared" si="8"/>
        <v>1.51</v>
      </c>
      <c r="O68" s="21">
        <f t="shared" si="6"/>
        <v>446.96</v>
      </c>
      <c r="P68" s="22">
        <f t="shared" si="7"/>
        <v>41021.18427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30"/>
      <c r="B69" s="11">
        <v>45861.0</v>
      </c>
      <c r="C69" s="12">
        <f>VLOOKUP(B:B,'Курс валют'!A:D,4,0)</f>
        <v>91.7782</v>
      </c>
      <c r="D69" s="13" t="s">
        <v>2127</v>
      </c>
      <c r="E69" s="64" t="s">
        <v>63</v>
      </c>
      <c r="F69" s="15">
        <v>2250.0</v>
      </c>
      <c r="G69" s="15">
        <v>2293.1</v>
      </c>
      <c r="H69" s="17">
        <v>0.0</v>
      </c>
      <c r="I69" s="15">
        <f t="shared" si="1"/>
        <v>43.1</v>
      </c>
      <c r="J69" s="18">
        <f t="shared" si="2"/>
        <v>1.915555556</v>
      </c>
      <c r="K69" s="17">
        <v>2.25</v>
      </c>
      <c r="L69" s="19">
        <f t="shared" si="3"/>
        <v>0</v>
      </c>
      <c r="M69" s="20">
        <f t="shared" si="4"/>
        <v>206.50095</v>
      </c>
      <c r="N69" s="21">
        <f t="shared" si="8"/>
        <v>2.25</v>
      </c>
      <c r="O69" s="21">
        <f t="shared" si="6"/>
        <v>5062.5</v>
      </c>
      <c r="P69" s="22">
        <f t="shared" si="7"/>
        <v>464627.1375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/>
      <c r="B70" s="11">
        <v>45862.0</v>
      </c>
      <c r="C70" s="12">
        <f>VLOOKUP(B:B,'Курс валют'!A:D,4,0)</f>
        <v>91.7897</v>
      </c>
      <c r="D70" s="13" t="s">
        <v>2128</v>
      </c>
      <c r="E70" s="77" t="s">
        <v>2057</v>
      </c>
      <c r="F70" s="15">
        <v>2200.0</v>
      </c>
      <c r="G70" s="15">
        <v>2234.6</v>
      </c>
      <c r="H70" s="17">
        <v>0.0</v>
      </c>
      <c r="I70" s="15">
        <f t="shared" si="1"/>
        <v>34.6</v>
      </c>
      <c r="J70" s="18">
        <f t="shared" si="2"/>
        <v>1.572727273</v>
      </c>
      <c r="K70" s="17">
        <v>2.34</v>
      </c>
      <c r="L70" s="19">
        <f t="shared" si="3"/>
        <v>0</v>
      </c>
      <c r="M70" s="20">
        <f t="shared" si="4"/>
        <v>214.787898</v>
      </c>
      <c r="N70" s="21">
        <f t="shared" si="8"/>
        <v>2.34</v>
      </c>
      <c r="O70" s="21">
        <f t="shared" si="6"/>
        <v>5148</v>
      </c>
      <c r="P70" s="22">
        <f t="shared" si="7"/>
        <v>472533.3756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63"/>
      <c r="B71" s="11">
        <v>45862.0</v>
      </c>
      <c r="C71" s="12">
        <f>VLOOKUP(B:B,'Курс валют'!A:D,4,0)</f>
        <v>91.7897</v>
      </c>
      <c r="D71" s="13" t="s">
        <v>2129</v>
      </c>
      <c r="E71" s="64" t="s">
        <v>2057</v>
      </c>
      <c r="F71" s="15">
        <v>2200.0</v>
      </c>
      <c r="G71" s="15">
        <v>2234.6</v>
      </c>
      <c r="H71" s="17">
        <v>0.0</v>
      </c>
      <c r="I71" s="15">
        <f t="shared" si="1"/>
        <v>34.6</v>
      </c>
      <c r="J71" s="18">
        <f t="shared" si="2"/>
        <v>1.572727273</v>
      </c>
      <c r="K71" s="17">
        <v>2.34</v>
      </c>
      <c r="L71" s="19">
        <f t="shared" si="3"/>
        <v>0</v>
      </c>
      <c r="M71" s="20">
        <f t="shared" si="4"/>
        <v>214.787898</v>
      </c>
      <c r="N71" s="21">
        <f t="shared" si="8"/>
        <v>2.34</v>
      </c>
      <c r="O71" s="21">
        <f t="shared" si="6"/>
        <v>5148</v>
      </c>
      <c r="P71" s="22">
        <f t="shared" si="7"/>
        <v>472533.3756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30"/>
      <c r="B72" s="11">
        <v>45862.0</v>
      </c>
      <c r="C72" s="12">
        <f>VLOOKUP(B:B,'Курс валют'!A:D,4,0)</f>
        <v>91.7897</v>
      </c>
      <c r="D72" s="13" t="s">
        <v>2130</v>
      </c>
      <c r="E72" s="64" t="s">
        <v>104</v>
      </c>
      <c r="F72" s="15">
        <v>2000.0</v>
      </c>
      <c r="G72" s="15">
        <v>2031.6</v>
      </c>
      <c r="H72" s="17">
        <v>0.0</v>
      </c>
      <c r="I72" s="15">
        <f t="shared" si="1"/>
        <v>31.6</v>
      </c>
      <c r="J72" s="18">
        <f t="shared" si="2"/>
        <v>1.58</v>
      </c>
      <c r="K72" s="17">
        <v>2.81</v>
      </c>
      <c r="L72" s="19">
        <f t="shared" si="3"/>
        <v>0</v>
      </c>
      <c r="M72" s="20">
        <f t="shared" si="4"/>
        <v>257.929057</v>
      </c>
      <c r="N72" s="21">
        <f t="shared" si="8"/>
        <v>2.81</v>
      </c>
      <c r="O72" s="21">
        <f t="shared" si="6"/>
        <v>5620</v>
      </c>
      <c r="P72" s="22">
        <f t="shared" si="7"/>
        <v>515858.114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63"/>
      <c r="B73" s="11">
        <v>45862.0</v>
      </c>
      <c r="C73" s="12">
        <f>VLOOKUP(B:B,'Курс валют'!A:D,4,0)</f>
        <v>91.7897</v>
      </c>
      <c r="D73" s="13" t="s">
        <v>2131</v>
      </c>
      <c r="E73" s="64" t="s">
        <v>61</v>
      </c>
      <c r="F73" s="15">
        <v>2200.0</v>
      </c>
      <c r="G73" s="15">
        <v>2241.2</v>
      </c>
      <c r="H73" s="17">
        <v>40.6</v>
      </c>
      <c r="I73" s="15">
        <f t="shared" si="1"/>
        <v>41.2</v>
      </c>
      <c r="J73" s="18">
        <f t="shared" si="2"/>
        <v>1.872727273</v>
      </c>
      <c r="K73" s="17">
        <v>2.55</v>
      </c>
      <c r="L73" s="19">
        <f t="shared" si="3"/>
        <v>1.845454545</v>
      </c>
      <c r="M73" s="20">
        <f t="shared" si="4"/>
        <v>228.9141659</v>
      </c>
      <c r="N73" s="21">
        <f t="shared" si="8"/>
        <v>2.493898182</v>
      </c>
      <c r="O73" s="21">
        <f t="shared" si="6"/>
        <v>5486.576</v>
      </c>
      <c r="P73" s="22">
        <f t="shared" si="7"/>
        <v>503611.1651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/>
      <c r="B74" s="11">
        <v>45863.0</v>
      </c>
      <c r="C74" s="12">
        <f>VLOOKUP(B:B,'Курс валют'!A:D,4,0)</f>
        <v>93.3362</v>
      </c>
      <c r="D74" s="13" t="s">
        <v>2132</v>
      </c>
      <c r="E74" s="64" t="s">
        <v>63</v>
      </c>
      <c r="F74" s="15">
        <v>2250.0</v>
      </c>
      <c r="G74" s="15">
        <v>2286.9</v>
      </c>
      <c r="H74" s="17">
        <v>0.0</v>
      </c>
      <c r="I74" s="15">
        <f t="shared" si="1"/>
        <v>36.9</v>
      </c>
      <c r="J74" s="18">
        <f t="shared" si="2"/>
        <v>1.64</v>
      </c>
      <c r="K74" s="17">
        <v>2.34</v>
      </c>
      <c r="L74" s="19">
        <f t="shared" si="3"/>
        <v>0</v>
      </c>
      <c r="M74" s="20">
        <f t="shared" si="4"/>
        <v>218.406708</v>
      </c>
      <c r="N74" s="21">
        <f t="shared" si="8"/>
        <v>2.34</v>
      </c>
      <c r="O74" s="21">
        <f t="shared" si="6"/>
        <v>5265</v>
      </c>
      <c r="P74" s="22">
        <f t="shared" si="7"/>
        <v>491415.093</v>
      </c>
      <c r="R74" s="79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/>
      <c r="B75" s="11">
        <v>45863.0</v>
      </c>
      <c r="C75" s="12">
        <f>VLOOKUP(B:B,'Курс валют'!A:D,4,0)</f>
        <v>93.3362</v>
      </c>
      <c r="D75" s="13" t="s">
        <v>2133</v>
      </c>
      <c r="E75" s="64" t="s">
        <v>107</v>
      </c>
      <c r="F75" s="15">
        <v>2220.0</v>
      </c>
      <c r="G75" s="15">
        <v>2247.9</v>
      </c>
      <c r="H75" s="17">
        <v>0.0</v>
      </c>
      <c r="I75" s="15">
        <f t="shared" si="1"/>
        <v>27.9</v>
      </c>
      <c r="J75" s="18">
        <f t="shared" si="2"/>
        <v>1.256756757</v>
      </c>
      <c r="K75" s="17">
        <v>2.7</v>
      </c>
      <c r="L75" s="19">
        <f t="shared" si="3"/>
        <v>0</v>
      </c>
      <c r="M75" s="20">
        <f t="shared" si="4"/>
        <v>252.00774</v>
      </c>
      <c r="N75" s="21">
        <f t="shared" si="8"/>
        <v>2.7</v>
      </c>
      <c r="O75" s="21">
        <f t="shared" si="6"/>
        <v>5994</v>
      </c>
      <c r="P75" s="22">
        <f t="shared" si="7"/>
        <v>559457.1828</v>
      </c>
      <c r="R75" s="23" t="s">
        <v>2134</v>
      </c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63"/>
      <c r="B76" s="11">
        <v>45863.0</v>
      </c>
      <c r="C76" s="12">
        <f>VLOOKUP(B:B,'Курс валют'!A:D,4,0)</f>
        <v>93.3362</v>
      </c>
      <c r="D76" s="13" t="s">
        <v>2135</v>
      </c>
      <c r="E76" s="64" t="s">
        <v>1951</v>
      </c>
      <c r="F76" s="15">
        <v>6240.0</v>
      </c>
      <c r="G76" s="15">
        <v>6302.4</v>
      </c>
      <c r="H76" s="17">
        <v>0.0</v>
      </c>
      <c r="I76" s="15">
        <f t="shared" si="1"/>
        <v>62.4</v>
      </c>
      <c r="J76" s="18">
        <f t="shared" si="2"/>
        <v>1</v>
      </c>
      <c r="K76" s="17">
        <v>2.2</v>
      </c>
      <c r="L76" s="19">
        <f t="shared" si="3"/>
        <v>0</v>
      </c>
      <c r="M76" s="20">
        <f t="shared" si="4"/>
        <v>205.33964</v>
      </c>
      <c r="N76" s="21">
        <f t="shared" si="8"/>
        <v>2.2</v>
      </c>
      <c r="O76" s="21">
        <f t="shared" si="6"/>
        <v>13728</v>
      </c>
      <c r="P76" s="22">
        <f t="shared" si="7"/>
        <v>1281319.354</v>
      </c>
      <c r="R76" s="23" t="s">
        <v>2136</v>
      </c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>
        <v>45864.0</v>
      </c>
      <c r="C77" s="12">
        <f>VLOOKUP(B:B,'Курс валют'!A:D,4,0)</f>
        <v>93.3508</v>
      </c>
      <c r="D77" s="13" t="s">
        <v>2137</v>
      </c>
      <c r="E77" s="64" t="s">
        <v>18</v>
      </c>
      <c r="F77" s="15">
        <v>8800.0</v>
      </c>
      <c r="G77" s="15">
        <v>8956.0</v>
      </c>
      <c r="H77" s="17">
        <v>162.4</v>
      </c>
      <c r="I77" s="15">
        <f t="shared" si="1"/>
        <v>156</v>
      </c>
      <c r="J77" s="18">
        <f t="shared" si="2"/>
        <v>1.772727273</v>
      </c>
      <c r="K77" s="17">
        <v>2.52</v>
      </c>
      <c r="L77" s="19">
        <f t="shared" si="3"/>
        <v>1.845454545</v>
      </c>
      <c r="M77" s="20">
        <f t="shared" si="4"/>
        <v>230.0068664</v>
      </c>
      <c r="N77" s="21">
        <f t="shared" si="8"/>
        <v>2.463898182</v>
      </c>
      <c r="O77" s="21">
        <f t="shared" si="6"/>
        <v>21682.304</v>
      </c>
      <c r="P77" s="22">
        <f t="shared" si="7"/>
        <v>2024060.424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63"/>
      <c r="B78" s="11">
        <v>45864.0</v>
      </c>
      <c r="C78" s="12">
        <f>VLOOKUP(B:B,'Курс валют'!A:D,4,0)</f>
        <v>93.3508</v>
      </c>
      <c r="D78" s="13" t="s">
        <v>2138</v>
      </c>
      <c r="E78" s="64" t="s">
        <v>63</v>
      </c>
      <c r="F78" s="15">
        <v>2250.0</v>
      </c>
      <c r="G78" s="15">
        <v>2293.1</v>
      </c>
      <c r="H78" s="17">
        <v>0.0</v>
      </c>
      <c r="I78" s="15">
        <f t="shared" si="1"/>
        <v>43.1</v>
      </c>
      <c r="J78" s="18">
        <f t="shared" si="2"/>
        <v>1.915555556</v>
      </c>
      <c r="K78" s="17">
        <v>2.35</v>
      </c>
      <c r="L78" s="19">
        <f t="shared" si="3"/>
        <v>0</v>
      </c>
      <c r="M78" s="20">
        <f t="shared" si="4"/>
        <v>219.37438</v>
      </c>
      <c r="N78" s="21">
        <f t="shared" si="8"/>
        <v>2.35</v>
      </c>
      <c r="O78" s="21">
        <f t="shared" si="6"/>
        <v>5287.5</v>
      </c>
      <c r="P78" s="22">
        <f t="shared" si="7"/>
        <v>493592.355</v>
      </c>
      <c r="R78" s="23" t="s">
        <v>2139</v>
      </c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>
        <v>45864.0</v>
      </c>
      <c r="C79" s="12">
        <f>VLOOKUP(B:B,'Курс валют'!A:D,4,0)</f>
        <v>93.3508</v>
      </c>
      <c r="D79" s="13" t="s">
        <v>2140</v>
      </c>
      <c r="E79" s="64" t="s">
        <v>107</v>
      </c>
      <c r="F79" s="15">
        <v>2220.0</v>
      </c>
      <c r="G79" s="15">
        <v>2242.78</v>
      </c>
      <c r="H79" s="17">
        <v>0.0</v>
      </c>
      <c r="I79" s="15">
        <f t="shared" si="1"/>
        <v>22.78</v>
      </c>
      <c r="J79" s="18">
        <f t="shared" si="2"/>
        <v>1.026126126</v>
      </c>
      <c r="K79" s="17">
        <v>2.75</v>
      </c>
      <c r="L79" s="19">
        <f t="shared" si="3"/>
        <v>0</v>
      </c>
      <c r="M79" s="20">
        <f t="shared" si="4"/>
        <v>256.7147</v>
      </c>
      <c r="N79" s="21">
        <f t="shared" si="8"/>
        <v>2.75</v>
      </c>
      <c r="O79" s="21">
        <f t="shared" si="6"/>
        <v>6105</v>
      </c>
      <c r="P79" s="22">
        <f t="shared" si="7"/>
        <v>569906.634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>
        <v>45865.0</v>
      </c>
      <c r="C80" s="12">
        <f>VLOOKUP(B:B,'Курс валют'!A:D,4,0)</f>
        <v>93.3508</v>
      </c>
      <c r="D80" s="13" t="s">
        <v>2141</v>
      </c>
      <c r="E80" s="64" t="s">
        <v>18</v>
      </c>
      <c r="F80" s="15">
        <v>8800.0</v>
      </c>
      <c r="G80" s="15">
        <v>8956.0</v>
      </c>
      <c r="H80" s="17">
        <v>162.4</v>
      </c>
      <c r="I80" s="15">
        <f t="shared" si="1"/>
        <v>156</v>
      </c>
      <c r="J80" s="18">
        <f t="shared" si="2"/>
        <v>1.772727273</v>
      </c>
      <c r="K80" s="17">
        <v>2.48</v>
      </c>
      <c r="L80" s="19">
        <f t="shared" si="3"/>
        <v>1.845454545</v>
      </c>
      <c r="M80" s="20">
        <f t="shared" si="4"/>
        <v>226.2728344</v>
      </c>
      <c r="N80" s="21">
        <f t="shared" si="8"/>
        <v>2.423898182</v>
      </c>
      <c r="O80" s="21">
        <f t="shared" si="6"/>
        <v>21330.304</v>
      </c>
      <c r="P80" s="22">
        <f t="shared" si="7"/>
        <v>1991200.943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>
        <v>45865.0</v>
      </c>
      <c r="C81" s="12">
        <f>VLOOKUP(B:B,'Курс валют'!A:D,4,0)</f>
        <v>93.3508</v>
      </c>
      <c r="D81" s="13" t="s">
        <v>2142</v>
      </c>
      <c r="E81" s="59" t="s">
        <v>63</v>
      </c>
      <c r="F81" s="15">
        <v>2250.0</v>
      </c>
      <c r="G81" s="15">
        <v>2293.1</v>
      </c>
      <c r="H81" s="17">
        <v>0.0</v>
      </c>
      <c r="I81" s="15">
        <f t="shared" si="1"/>
        <v>43.1</v>
      </c>
      <c r="J81" s="18">
        <f t="shared" si="2"/>
        <v>1.915555556</v>
      </c>
      <c r="K81" s="17">
        <v>2.32</v>
      </c>
      <c r="L81" s="19">
        <f t="shared" si="3"/>
        <v>0</v>
      </c>
      <c r="M81" s="20">
        <f t="shared" si="4"/>
        <v>216.573856</v>
      </c>
      <c r="N81" s="21">
        <f t="shared" si="8"/>
        <v>2.32</v>
      </c>
      <c r="O81" s="21">
        <f t="shared" si="6"/>
        <v>5220</v>
      </c>
      <c r="P81" s="22">
        <f t="shared" si="7"/>
        <v>487291.176</v>
      </c>
      <c r="R81" s="79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>
        <v>45865.0</v>
      </c>
      <c r="C82" s="12">
        <f>VLOOKUP(B:B,'Курс валют'!A:D,4,0)</f>
        <v>93.3508</v>
      </c>
      <c r="D82" s="13" t="s">
        <v>2143</v>
      </c>
      <c r="E82" s="59" t="s">
        <v>107</v>
      </c>
      <c r="F82" s="15">
        <v>2160.0</v>
      </c>
      <c r="G82" s="15">
        <v>2187.83</v>
      </c>
      <c r="H82" s="17">
        <v>0.0</v>
      </c>
      <c r="I82" s="15">
        <f t="shared" si="1"/>
        <v>27.83</v>
      </c>
      <c r="J82" s="18">
        <f t="shared" si="2"/>
        <v>1.288425926</v>
      </c>
      <c r="K82" s="17">
        <v>2.71</v>
      </c>
      <c r="L82" s="19">
        <f t="shared" si="3"/>
        <v>0</v>
      </c>
      <c r="M82" s="20">
        <f t="shared" si="4"/>
        <v>252.980668</v>
      </c>
      <c r="N82" s="21">
        <f t="shared" si="8"/>
        <v>2.71</v>
      </c>
      <c r="O82" s="21">
        <f t="shared" si="6"/>
        <v>5853.6</v>
      </c>
      <c r="P82" s="22">
        <f t="shared" si="7"/>
        <v>546438.2429</v>
      </c>
      <c r="R82" s="23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>
        <v>45866.0</v>
      </c>
      <c r="C83" s="12">
        <f>VLOOKUP(B:B,'Курс валют'!A:D,4,0)</f>
        <v>93.3508</v>
      </c>
      <c r="D83" s="13" t="s">
        <v>2144</v>
      </c>
      <c r="E83" s="59" t="s">
        <v>1951</v>
      </c>
      <c r="F83" s="15">
        <v>2700.0</v>
      </c>
      <c r="G83" s="15">
        <v>2727.0</v>
      </c>
      <c r="H83" s="17">
        <v>0.0</v>
      </c>
      <c r="I83" s="15">
        <f t="shared" si="1"/>
        <v>27</v>
      </c>
      <c r="J83" s="18">
        <f t="shared" si="2"/>
        <v>1</v>
      </c>
      <c r="K83" s="17">
        <v>2.09</v>
      </c>
      <c r="L83" s="19">
        <f t="shared" si="3"/>
        <v>0</v>
      </c>
      <c r="M83" s="20">
        <f t="shared" si="4"/>
        <v>195.103172</v>
      </c>
      <c r="N83" s="21">
        <f t="shared" si="8"/>
        <v>2.09</v>
      </c>
      <c r="O83" s="21">
        <f t="shared" si="6"/>
        <v>5643</v>
      </c>
      <c r="P83" s="22">
        <f t="shared" si="7"/>
        <v>526778.5644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>
        <v>45866.0</v>
      </c>
      <c r="C84" s="12">
        <f>VLOOKUP(B:B,'Курс валют'!A:D,4,0)</f>
        <v>93.3508</v>
      </c>
      <c r="D84" s="13" t="s">
        <v>2145</v>
      </c>
      <c r="E84" s="59" t="s">
        <v>1951</v>
      </c>
      <c r="F84" s="15">
        <v>810.0</v>
      </c>
      <c r="G84" s="15">
        <v>818.1</v>
      </c>
      <c r="H84" s="17">
        <v>0.0</v>
      </c>
      <c r="I84" s="15">
        <f t="shared" si="1"/>
        <v>8.1</v>
      </c>
      <c r="J84" s="18">
        <f t="shared" si="2"/>
        <v>1</v>
      </c>
      <c r="K84" s="17">
        <v>2.09</v>
      </c>
      <c r="L84" s="19">
        <f t="shared" si="3"/>
        <v>0</v>
      </c>
      <c r="M84" s="20">
        <f t="shared" si="4"/>
        <v>195.103172</v>
      </c>
      <c r="N84" s="21">
        <f t="shared" si="8"/>
        <v>2.09</v>
      </c>
      <c r="O84" s="21">
        <f t="shared" si="6"/>
        <v>1692.9</v>
      </c>
      <c r="P84" s="22">
        <f t="shared" si="7"/>
        <v>158033.5693</v>
      </c>
      <c r="R84" s="23" t="s">
        <v>2146</v>
      </c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>
        <v>45866.0</v>
      </c>
      <c r="C85" s="12">
        <f>VLOOKUP(B:B,'Курс валют'!A:D,4,0)</f>
        <v>93.3508</v>
      </c>
      <c r="D85" s="13" t="s">
        <v>2147</v>
      </c>
      <c r="E85" s="59" t="s">
        <v>63</v>
      </c>
      <c r="F85" s="15">
        <v>2250.0</v>
      </c>
      <c r="G85" s="15">
        <v>2293.1</v>
      </c>
      <c r="H85" s="17">
        <v>0.0</v>
      </c>
      <c r="I85" s="15">
        <f t="shared" si="1"/>
        <v>43.1</v>
      </c>
      <c r="J85" s="18">
        <f t="shared" si="2"/>
        <v>1.915555556</v>
      </c>
      <c r="K85" s="17">
        <v>2.23</v>
      </c>
      <c r="L85" s="19">
        <f t="shared" si="3"/>
        <v>0</v>
      </c>
      <c r="M85" s="20">
        <f t="shared" si="4"/>
        <v>208.172284</v>
      </c>
      <c r="N85" s="21">
        <f t="shared" si="8"/>
        <v>2.23</v>
      </c>
      <c r="O85" s="21">
        <f t="shared" si="6"/>
        <v>5017.5</v>
      </c>
      <c r="P85" s="22">
        <f t="shared" si="7"/>
        <v>468387.639</v>
      </c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>
        <v>45866.0</v>
      </c>
      <c r="C86" s="12">
        <f>VLOOKUP(B:B,'Курс валют'!A:D,4,0)</f>
        <v>93.3508</v>
      </c>
      <c r="D86" s="13" t="s">
        <v>2148</v>
      </c>
      <c r="E86" s="59" t="s">
        <v>107</v>
      </c>
      <c r="F86" s="15">
        <v>960.0</v>
      </c>
      <c r="G86" s="15">
        <v>971.1</v>
      </c>
      <c r="H86" s="17">
        <v>0.0</v>
      </c>
      <c r="I86" s="15">
        <f t="shared" si="1"/>
        <v>11.1</v>
      </c>
      <c r="J86" s="18">
        <f t="shared" si="2"/>
        <v>1.15625</v>
      </c>
      <c r="K86" s="17">
        <v>2.69</v>
      </c>
      <c r="L86" s="19">
        <f t="shared" si="3"/>
        <v>0</v>
      </c>
      <c r="M86" s="20">
        <f t="shared" si="4"/>
        <v>251.113652</v>
      </c>
      <c r="N86" s="21">
        <f t="shared" si="8"/>
        <v>2.69</v>
      </c>
      <c r="O86" s="21">
        <f t="shared" si="6"/>
        <v>2582.4</v>
      </c>
      <c r="P86" s="22">
        <f t="shared" si="7"/>
        <v>241069.1059</v>
      </c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>
        <v>45867.0</v>
      </c>
      <c r="C87" s="12">
        <f>VLOOKUP(B:B,'Курс валют'!A:D,4,0)</f>
        <v>93.206</v>
      </c>
      <c r="D87" s="13" t="s">
        <v>2149</v>
      </c>
      <c r="E87" s="59" t="s">
        <v>2044</v>
      </c>
      <c r="F87" s="15">
        <v>8000.0</v>
      </c>
      <c r="G87" s="15">
        <v>8119.7</v>
      </c>
      <c r="H87" s="17">
        <v>771.4</v>
      </c>
      <c r="I87" s="15">
        <f t="shared" si="1"/>
        <v>119.7</v>
      </c>
      <c r="J87" s="18">
        <f t="shared" si="2"/>
        <v>1.49625</v>
      </c>
      <c r="K87" s="17">
        <v>1.95</v>
      </c>
      <c r="L87" s="19">
        <f t="shared" si="3"/>
        <v>9.6425</v>
      </c>
      <c r="M87" s="20">
        <f t="shared" si="4"/>
        <v>154.4300388</v>
      </c>
      <c r="N87" s="21">
        <f t="shared" si="8"/>
        <v>1.656868</v>
      </c>
      <c r="O87" s="21">
        <f t="shared" si="6"/>
        <v>13254.944</v>
      </c>
      <c r="P87" s="22">
        <f t="shared" si="7"/>
        <v>1235440.31</v>
      </c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>
        <v>45867.0</v>
      </c>
      <c r="C88" s="12">
        <f>VLOOKUP(B:B,'Курс валют'!A:D,4,0)</f>
        <v>93.206</v>
      </c>
      <c r="D88" s="13" t="s">
        <v>2150</v>
      </c>
      <c r="E88" s="59" t="s">
        <v>63</v>
      </c>
      <c r="F88" s="15">
        <v>2250.0</v>
      </c>
      <c r="G88" s="15">
        <v>2289.08</v>
      </c>
      <c r="H88" s="17">
        <v>0.0</v>
      </c>
      <c r="I88" s="15">
        <f t="shared" si="1"/>
        <v>39.08</v>
      </c>
      <c r="J88" s="18">
        <f t="shared" si="2"/>
        <v>1.736888889</v>
      </c>
      <c r="K88" s="17">
        <v>2.22</v>
      </c>
      <c r="L88" s="19">
        <f t="shared" si="3"/>
        <v>0</v>
      </c>
      <c r="M88" s="20">
        <f t="shared" si="4"/>
        <v>206.91732</v>
      </c>
      <c r="N88" s="21">
        <f t="shared" si="8"/>
        <v>2.22</v>
      </c>
      <c r="O88" s="21">
        <f t="shared" si="6"/>
        <v>4995</v>
      </c>
      <c r="P88" s="22">
        <f t="shared" si="7"/>
        <v>465563.97</v>
      </c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>
        <v>45867.0</v>
      </c>
      <c r="C89" s="12">
        <f>VLOOKUP(B:B,'Курс валют'!A:D,4,0)</f>
        <v>93.206</v>
      </c>
      <c r="D89" s="13" t="s">
        <v>2151</v>
      </c>
      <c r="E89" s="59" t="s">
        <v>207</v>
      </c>
      <c r="F89" s="15">
        <v>220.0</v>
      </c>
      <c r="G89" s="15">
        <v>220.0</v>
      </c>
      <c r="H89" s="17">
        <v>0.0</v>
      </c>
      <c r="I89" s="15">
        <f t="shared" si="1"/>
        <v>0</v>
      </c>
      <c r="J89" s="18">
        <f t="shared" si="2"/>
        <v>0</v>
      </c>
      <c r="K89" s="17">
        <v>2.76</v>
      </c>
      <c r="L89" s="19">
        <f t="shared" si="3"/>
        <v>0</v>
      </c>
      <c r="M89" s="20">
        <f t="shared" si="4"/>
        <v>257.24856</v>
      </c>
      <c r="N89" s="21">
        <f t="shared" si="8"/>
        <v>2.76</v>
      </c>
      <c r="O89" s="21">
        <f t="shared" si="6"/>
        <v>607.2</v>
      </c>
      <c r="P89" s="22">
        <f t="shared" si="7"/>
        <v>56594.6832</v>
      </c>
      <c r="R89" s="23" t="s">
        <v>1101</v>
      </c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>
        <v>45868.0</v>
      </c>
      <c r="C90" s="12">
        <f>VLOOKUP(B:B,'Курс валют'!A:D,4,0)</f>
        <v>94.9976</v>
      </c>
      <c r="D90" s="13" t="s">
        <v>2152</v>
      </c>
      <c r="E90" s="59" t="s">
        <v>53</v>
      </c>
      <c r="F90" s="15">
        <v>8000.0</v>
      </c>
      <c r="G90" s="15">
        <v>8140.6</v>
      </c>
      <c r="H90" s="17">
        <v>0.0</v>
      </c>
      <c r="I90" s="15">
        <f t="shared" si="1"/>
        <v>140.6</v>
      </c>
      <c r="J90" s="18">
        <f t="shared" si="2"/>
        <v>1.7575</v>
      </c>
      <c r="K90" s="17">
        <v>3.2</v>
      </c>
      <c r="L90" s="19">
        <f t="shared" si="3"/>
        <v>0</v>
      </c>
      <c r="M90" s="20">
        <f t="shared" si="4"/>
        <v>303.99232</v>
      </c>
      <c r="N90" s="21">
        <f t="shared" si="8"/>
        <v>3.2</v>
      </c>
      <c r="O90" s="21">
        <f t="shared" si="6"/>
        <v>25600</v>
      </c>
      <c r="P90" s="22">
        <f t="shared" si="7"/>
        <v>2431938.56</v>
      </c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>
        <v>45868.0</v>
      </c>
      <c r="C91" s="12">
        <f>VLOOKUP(B:B,'Курс валют'!A:D,4,0)</f>
        <v>94.9976</v>
      </c>
      <c r="D91" s="13" t="s">
        <v>2153</v>
      </c>
      <c r="E91" s="59" t="s">
        <v>63</v>
      </c>
      <c r="F91" s="15">
        <v>2250.0</v>
      </c>
      <c r="G91" s="15">
        <v>2288.42</v>
      </c>
      <c r="H91" s="17">
        <v>0.0</v>
      </c>
      <c r="I91" s="15">
        <f t="shared" si="1"/>
        <v>38.42</v>
      </c>
      <c r="J91" s="18">
        <f t="shared" si="2"/>
        <v>1.707555556</v>
      </c>
      <c r="K91" s="17">
        <v>2.23</v>
      </c>
      <c r="L91" s="19">
        <f t="shared" si="3"/>
        <v>0</v>
      </c>
      <c r="M91" s="20">
        <f t="shared" si="4"/>
        <v>211.844648</v>
      </c>
      <c r="N91" s="21">
        <f t="shared" si="8"/>
        <v>2.23</v>
      </c>
      <c r="O91" s="21">
        <f t="shared" si="6"/>
        <v>5017.5</v>
      </c>
      <c r="P91" s="22">
        <f t="shared" si="7"/>
        <v>476650.458</v>
      </c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>
        <v>45869.0</v>
      </c>
      <c r="C92" s="12">
        <f>VLOOKUP(B:B,'Курс валют'!A:D,4,0)</f>
        <v>94.9514</v>
      </c>
      <c r="D92" s="13" t="s">
        <v>2154</v>
      </c>
      <c r="E92" s="59" t="s">
        <v>105</v>
      </c>
      <c r="F92" s="15">
        <v>19.32</v>
      </c>
      <c r="G92" s="15">
        <v>22.15</v>
      </c>
      <c r="H92" s="17">
        <v>0.0</v>
      </c>
      <c r="I92" s="15">
        <f t="shared" si="1"/>
        <v>2.83</v>
      </c>
      <c r="J92" s="18">
        <f t="shared" si="2"/>
        <v>14.64803313</v>
      </c>
      <c r="K92" s="17">
        <v>2.21</v>
      </c>
      <c r="L92" s="19">
        <f t="shared" si="3"/>
        <v>0</v>
      </c>
      <c r="M92" s="20">
        <f t="shared" si="4"/>
        <v>209.842594</v>
      </c>
      <c r="N92" s="21">
        <f t="shared" si="8"/>
        <v>2.21</v>
      </c>
      <c r="O92" s="21">
        <f t="shared" si="6"/>
        <v>42.6972</v>
      </c>
      <c r="P92" s="22">
        <f t="shared" si="7"/>
        <v>4054.158916</v>
      </c>
      <c r="R92" s="23" t="s">
        <v>2155</v>
      </c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63"/>
      <c r="B93" s="11">
        <v>45869.0</v>
      </c>
      <c r="C93" s="12">
        <f>VLOOKUP(B:B,'Курс валют'!A:D,4,0)</f>
        <v>94.9514</v>
      </c>
      <c r="D93" s="13" t="s">
        <v>2156</v>
      </c>
      <c r="E93" s="59" t="s">
        <v>63</v>
      </c>
      <c r="F93" s="15">
        <v>2250.0</v>
      </c>
      <c r="G93" s="15">
        <v>2288.38</v>
      </c>
      <c r="H93" s="17">
        <v>0.0</v>
      </c>
      <c r="I93" s="15">
        <f t="shared" si="1"/>
        <v>38.38</v>
      </c>
      <c r="J93" s="18">
        <f t="shared" si="2"/>
        <v>1.705777778</v>
      </c>
      <c r="K93" s="17">
        <v>2.23</v>
      </c>
      <c r="L93" s="19">
        <f t="shared" si="3"/>
        <v>0</v>
      </c>
      <c r="M93" s="20">
        <f t="shared" si="4"/>
        <v>211.741622</v>
      </c>
      <c r="N93" s="21">
        <f t="shared" si="8"/>
        <v>2.23</v>
      </c>
      <c r="O93" s="21">
        <f t="shared" si="6"/>
        <v>5017.5</v>
      </c>
      <c r="P93" s="22">
        <f t="shared" si="7"/>
        <v>476418.6495</v>
      </c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63"/>
      <c r="B94" s="11">
        <v>45869.0</v>
      </c>
      <c r="C94" s="12">
        <f>VLOOKUP(B:B,'Курс валют'!A:D,4,0)</f>
        <v>94.9514</v>
      </c>
      <c r="D94" s="13" t="s">
        <v>2157</v>
      </c>
      <c r="E94" s="59" t="s">
        <v>18</v>
      </c>
      <c r="F94" s="15">
        <v>8800.0</v>
      </c>
      <c r="G94" s="15">
        <v>8956.0</v>
      </c>
      <c r="H94" s="17">
        <v>162.4</v>
      </c>
      <c r="I94" s="15">
        <f t="shared" si="1"/>
        <v>156</v>
      </c>
      <c r="J94" s="18">
        <f t="shared" si="2"/>
        <v>1.772727273</v>
      </c>
      <c r="K94" s="17">
        <v>2.48</v>
      </c>
      <c r="L94" s="19">
        <f t="shared" si="3"/>
        <v>1.845454545</v>
      </c>
      <c r="M94" s="20">
        <f t="shared" si="4"/>
        <v>230.1525258</v>
      </c>
      <c r="N94" s="21">
        <f t="shared" si="8"/>
        <v>2.423898182</v>
      </c>
      <c r="O94" s="21">
        <f t="shared" si="6"/>
        <v>21330.304</v>
      </c>
      <c r="P94" s="22">
        <f t="shared" si="7"/>
        <v>2025342.227</v>
      </c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63"/>
      <c r="B95" s="11"/>
      <c r="C95" s="12" t="str">
        <f>VLOOKUP(B:B,'Курс валют'!A:D,4,0)</f>
        <v>#N/A</v>
      </c>
      <c r="D95" s="66"/>
      <c r="E95" s="67"/>
      <c r="F95" s="67"/>
      <c r="G95" s="67"/>
      <c r="H95" s="65"/>
      <c r="I95" s="15">
        <f t="shared" si="1"/>
        <v>0</v>
      </c>
      <c r="J95" s="18" t="str">
        <f t="shared" si="2"/>
        <v>#DIV/0!</v>
      </c>
      <c r="K95" s="65"/>
      <c r="L95" s="19" t="str">
        <f t="shared" si="3"/>
        <v>#DIV/0!</v>
      </c>
      <c r="M95" s="20" t="str">
        <f t="shared" si="4"/>
        <v>#DIV/0!</v>
      </c>
      <c r="N95" s="21" t="str">
        <f t="shared" si="8"/>
        <v>#DIV/0!</v>
      </c>
      <c r="O95" s="21" t="str">
        <f t="shared" si="6"/>
        <v>#DIV/0!</v>
      </c>
      <c r="P95" s="22" t="str">
        <f t="shared" si="7"/>
        <v>#DIV/0!</v>
      </c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12" t="str">
        <f>VLOOKUP(B:B,'Курс валют'!A:D,4,0)</f>
        <v>#N/A</v>
      </c>
      <c r="D96" s="66"/>
      <c r="E96" s="67"/>
      <c r="F96" s="67"/>
      <c r="G96" s="67"/>
      <c r="H96" s="65"/>
      <c r="I96" s="15">
        <f t="shared" si="1"/>
        <v>0</v>
      </c>
      <c r="J96" s="18" t="str">
        <f t="shared" si="2"/>
        <v>#DIV/0!</v>
      </c>
      <c r="K96" s="65"/>
      <c r="L96" s="19" t="str">
        <f t="shared" si="3"/>
        <v>#DIV/0!</v>
      </c>
      <c r="M96" s="20" t="str">
        <f t="shared" si="4"/>
        <v>#DIV/0!</v>
      </c>
      <c r="N96" s="21" t="str">
        <f t="shared" si="8"/>
        <v>#DIV/0!</v>
      </c>
      <c r="O96" s="21" t="str">
        <f t="shared" si="6"/>
        <v>#DIV/0!</v>
      </c>
      <c r="P96" s="22" t="str">
        <f t="shared" si="7"/>
        <v>#DIV/0!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12" t="str">
        <f>VLOOKUP(B:B,'Курс валют'!A:D,4,0)</f>
        <v>#N/A</v>
      </c>
      <c r="D97" s="66"/>
      <c r="E97" s="67"/>
      <c r="F97" s="67"/>
      <c r="G97" s="67"/>
      <c r="H97" s="65"/>
      <c r="I97" s="15">
        <f t="shared" si="1"/>
        <v>0</v>
      </c>
      <c r="J97" s="18" t="str">
        <f t="shared" si="2"/>
        <v>#DIV/0!</v>
      </c>
      <c r="K97" s="65"/>
      <c r="L97" s="19" t="str">
        <f t="shared" si="3"/>
        <v>#DIV/0!</v>
      </c>
      <c r="M97" s="20" t="str">
        <f t="shared" si="4"/>
        <v>#DIV/0!</v>
      </c>
      <c r="N97" s="21" t="str">
        <f t="shared" si="8"/>
        <v>#DIV/0!</v>
      </c>
      <c r="O97" s="21" t="str">
        <f t="shared" si="6"/>
        <v>#DIV/0!</v>
      </c>
      <c r="P97" s="22" t="str">
        <f t="shared" si="7"/>
        <v>#DIV/0!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12" t="str">
        <f>VLOOKUP(B:B,'Курс валют'!A:D,4,0)</f>
        <v>#N/A</v>
      </c>
      <c r="D98" s="66"/>
      <c r="E98" s="67"/>
      <c r="F98" s="67"/>
      <c r="G98" s="67"/>
      <c r="H98" s="65"/>
      <c r="I98" s="15">
        <f t="shared" si="1"/>
        <v>0</v>
      </c>
      <c r="J98" s="18" t="str">
        <f t="shared" si="2"/>
        <v>#DIV/0!</v>
      </c>
      <c r="K98" s="65"/>
      <c r="L98" s="19" t="str">
        <f t="shared" si="3"/>
        <v>#DIV/0!</v>
      </c>
      <c r="M98" s="20" t="str">
        <f t="shared" si="4"/>
        <v>#DIV/0!</v>
      </c>
      <c r="N98" s="21" t="str">
        <f t="shared" si="8"/>
        <v>#DIV/0!</v>
      </c>
      <c r="O98" s="21" t="str">
        <f t="shared" si="6"/>
        <v>#DIV/0!</v>
      </c>
      <c r="P98" s="22" t="str">
        <f t="shared" si="7"/>
        <v>#DIV/0!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12" t="str">
        <f>VLOOKUP(B:B,'Курс валют'!A:D,4,0)</f>
        <v>#N/A</v>
      </c>
      <c r="D99" s="66"/>
      <c r="E99" s="67"/>
      <c r="F99" s="67"/>
      <c r="G99" s="67"/>
      <c r="H99" s="65"/>
      <c r="I99" s="15">
        <f t="shared" si="1"/>
        <v>0</v>
      </c>
      <c r="J99" s="18" t="str">
        <f t="shared" si="2"/>
        <v>#DIV/0!</v>
      </c>
      <c r="K99" s="65"/>
      <c r="L99" s="19" t="str">
        <f t="shared" si="3"/>
        <v>#DIV/0!</v>
      </c>
      <c r="M99" s="20" t="str">
        <f t="shared" si="4"/>
        <v>#DIV/0!</v>
      </c>
      <c r="N99" s="21" t="str">
        <f t="shared" si="8"/>
        <v>#DIV/0!</v>
      </c>
      <c r="O99" s="21" t="str">
        <f t="shared" si="6"/>
        <v>#DIV/0!</v>
      </c>
      <c r="P99" s="22" t="str">
        <f t="shared" si="7"/>
        <v>#DIV/0!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12" t="str">
        <f>VLOOKUP(B:B,'Курс валют'!A:D,4,0)</f>
        <v>#N/A</v>
      </c>
      <c r="D100" s="66"/>
      <c r="E100" s="67"/>
      <c r="F100" s="67"/>
      <c r="G100" s="67"/>
      <c r="H100" s="65"/>
      <c r="I100" s="15">
        <f t="shared" si="1"/>
        <v>0</v>
      </c>
      <c r="J100" s="18" t="str">
        <f t="shared" si="2"/>
        <v>#DIV/0!</v>
      </c>
      <c r="K100" s="65"/>
      <c r="L100" s="19" t="str">
        <f t="shared" si="3"/>
        <v>#DIV/0!</v>
      </c>
      <c r="M100" s="20" t="str">
        <f t="shared" si="4"/>
        <v>#DIV/0!</v>
      </c>
      <c r="N100" s="21" t="str">
        <f t="shared" si="8"/>
        <v>#DIV/0!</v>
      </c>
      <c r="O100" s="21" t="str">
        <f t="shared" si="6"/>
        <v>#DIV/0!</v>
      </c>
      <c r="P100" s="22" t="str">
        <f t="shared" si="7"/>
        <v>#DIV/0!</v>
      </c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12" t="str">
        <f>VLOOKUP(B:B,'Курс валют'!A:D,4,0)</f>
        <v>#N/A</v>
      </c>
      <c r="D101" s="66"/>
      <c r="E101" s="67"/>
      <c r="F101" s="67"/>
      <c r="G101" s="67"/>
      <c r="H101" s="65"/>
      <c r="I101" s="15">
        <f t="shared" si="1"/>
        <v>0</v>
      </c>
      <c r="J101" s="18" t="str">
        <f t="shared" si="2"/>
        <v>#DIV/0!</v>
      </c>
      <c r="K101" s="65"/>
      <c r="L101" s="19" t="str">
        <f t="shared" si="3"/>
        <v>#DIV/0!</v>
      </c>
      <c r="M101" s="20" t="str">
        <f t="shared" si="4"/>
        <v>#DIV/0!</v>
      </c>
      <c r="N101" s="21" t="str">
        <f t="shared" si="8"/>
        <v>#DIV/0!</v>
      </c>
      <c r="O101" s="21" t="str">
        <f t="shared" si="6"/>
        <v>#DIV/0!</v>
      </c>
      <c r="P101" s="22" t="str">
        <f t="shared" si="7"/>
        <v>#DIV/0!</v>
      </c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12" t="str">
        <f>VLOOKUP(B:B,'Курс валют'!A:D,4,0)</f>
        <v>#N/A</v>
      </c>
      <c r="D102" s="66"/>
      <c r="E102" s="67"/>
      <c r="F102" s="67"/>
      <c r="G102" s="67"/>
      <c r="H102" s="65"/>
      <c r="I102" s="15">
        <f t="shared" si="1"/>
        <v>0</v>
      </c>
      <c r="J102" s="18" t="str">
        <f t="shared" si="2"/>
        <v>#DIV/0!</v>
      </c>
      <c r="K102" s="65"/>
      <c r="L102" s="19" t="str">
        <f t="shared" si="3"/>
        <v>#DIV/0!</v>
      </c>
      <c r="M102" s="20" t="str">
        <f t="shared" si="4"/>
        <v>#DIV/0!</v>
      </c>
      <c r="N102" s="21" t="str">
        <f t="shared" si="8"/>
        <v>#DIV/0!</v>
      </c>
      <c r="O102" s="21" t="str">
        <f t="shared" si="6"/>
        <v>#DIV/0!</v>
      </c>
      <c r="P102" s="22" t="str">
        <f t="shared" si="7"/>
        <v>#DIV/0!</v>
      </c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12" t="str">
        <f>VLOOKUP(B:B,'Курс валют'!A:D,4,0)</f>
        <v>#N/A</v>
      </c>
      <c r="D103" s="69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12" t="str">
        <f>VLOOKUP(B:B,'Курс валют'!A:D,4,0)</f>
        <v>#N/A</v>
      </c>
      <c r="D104" s="69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12" t="str">
        <f>VLOOKUP(B:B,'Курс валют'!A:D,4,0)</f>
        <v>#N/A</v>
      </c>
      <c r="D105" s="69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12" t="str">
        <f>VLOOKUP(B:B,'Курс валют'!A:D,4,0)</f>
        <v>#N/A</v>
      </c>
      <c r="D106" s="69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12" t="str">
        <f>VLOOKUP(B:B,'Курс валют'!A:D,4,0)</f>
        <v>#N/A</v>
      </c>
      <c r="D107" s="69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12" t="str">
        <f>VLOOKUP(B:B,'Курс валют'!A:D,4,0)</f>
        <v>#N/A</v>
      </c>
      <c r="D108" s="69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12" t="str">
        <f>VLOOKUP(B:B,'Курс валют'!A:D,4,0)</f>
        <v>#N/A</v>
      </c>
      <c r="D109" s="69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12" t="str">
        <f>VLOOKUP(B:B,'Курс валют'!A:D,4,0)</f>
        <v>#N/A</v>
      </c>
      <c r="D110" s="69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12" t="str">
        <f>VLOOKUP(B:B,'Курс валют'!A:D,4,0)</f>
        <v>#N/A</v>
      </c>
      <c r="D111" s="69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12" t="str">
        <f>VLOOKUP(B:B,'Курс валют'!A:D,4,0)</f>
        <v>#N/A</v>
      </c>
      <c r="D112" s="69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12" t="str">
        <f>VLOOKUP(B:B,'Курс валют'!A:D,4,0)</f>
        <v>#N/A</v>
      </c>
      <c r="D113" s="69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12" t="str">
        <f>VLOOKUP(B:B,'Курс валют'!A:D,4,0)</f>
        <v>#N/A</v>
      </c>
      <c r="D114" s="69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12" t="str">
        <f>VLOOKUP(B:B,'Курс валют'!A:D,4,0)</f>
        <v>#N/A</v>
      </c>
      <c r="D115" s="69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12" t="str">
        <f>VLOOKUP(B:B,'Курс валют'!A:D,4,0)</f>
        <v>#N/A</v>
      </c>
      <c r="D116" s="69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12" t="str">
        <f>VLOOKUP(B:B,'Курс валют'!A:D,4,0)</f>
        <v>#N/A</v>
      </c>
      <c r="D117" s="69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12" t="str">
        <f>VLOOKUP(B:B,'Курс валют'!A:D,4,0)</f>
        <v>#N/A</v>
      </c>
      <c r="D118" s="69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12" t="str">
        <f>VLOOKUP(B:B,'Курс валют'!A:D,4,0)</f>
        <v>#N/A</v>
      </c>
      <c r="D119" s="69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12" t="str">
        <f>VLOOKUP(B:B,'Курс валют'!A:D,4,0)</f>
        <v>#N/A</v>
      </c>
      <c r="D120" s="69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12" t="str">
        <f>VLOOKUP(B:B,'Курс валют'!A:D,4,0)</f>
        <v>#N/A</v>
      </c>
      <c r="D121" s="69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12" t="str">
        <f>VLOOKUP(B:B,'Курс валют'!A:D,4,0)</f>
        <v>#N/A</v>
      </c>
      <c r="D122" s="69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/>
      <c r="C123" s="25"/>
      <c r="D123" s="69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/>
      <c r="C124" s="25"/>
      <c r="D124" s="69"/>
      <c r="E124" s="25"/>
      <c r="F124" s="25"/>
      <c r="G124" s="25"/>
      <c r="H124" s="80"/>
      <c r="I124" s="25"/>
      <c r="J124" s="25"/>
      <c r="K124" s="80"/>
      <c r="L124" s="81"/>
      <c r="M124" s="82"/>
      <c r="N124" s="25"/>
      <c r="O124" s="25"/>
      <c r="P124" s="82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A125" s="25"/>
      <c r="B125" s="11"/>
      <c r="C125" s="25"/>
      <c r="D125" s="69"/>
      <c r="E125" s="25"/>
      <c r="F125" s="25"/>
      <c r="G125" s="25"/>
      <c r="H125" s="80"/>
      <c r="I125" s="25"/>
      <c r="J125" s="25"/>
      <c r="K125" s="80"/>
      <c r="L125" s="81"/>
      <c r="M125" s="82"/>
      <c r="N125" s="25"/>
      <c r="O125" s="25"/>
      <c r="P125" s="82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>
      <c r="A126" s="25"/>
      <c r="B126" s="11"/>
      <c r="C126" s="25"/>
      <c r="D126" s="69"/>
      <c r="E126" s="25"/>
      <c r="F126" s="25"/>
      <c r="G126" s="25"/>
      <c r="H126" s="80"/>
      <c r="I126" s="25"/>
      <c r="J126" s="25"/>
      <c r="K126" s="80"/>
      <c r="L126" s="81"/>
      <c r="M126" s="82"/>
      <c r="N126" s="25"/>
      <c r="O126" s="25"/>
      <c r="P126" s="82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>
      <c r="B127" s="68"/>
      <c r="D127" s="69"/>
      <c r="H127" s="70"/>
      <c r="K127" s="70"/>
      <c r="L127" s="71"/>
      <c r="M127" s="72"/>
      <c r="P127" s="72"/>
    </row>
    <row r="128">
      <c r="B128" s="68"/>
      <c r="D128" s="69"/>
      <c r="H128" s="70"/>
      <c r="K128" s="70"/>
      <c r="L128" s="71"/>
      <c r="M128" s="72"/>
      <c r="P128" s="72"/>
    </row>
    <row r="129">
      <c r="B129" s="68"/>
      <c r="D129" s="69"/>
      <c r="H129" s="70"/>
      <c r="K129" s="70"/>
      <c r="L129" s="71"/>
      <c r="M129" s="72"/>
      <c r="P129" s="72"/>
    </row>
    <row r="130">
      <c r="B130" s="68"/>
      <c r="D130" s="69"/>
      <c r="H130" s="70"/>
      <c r="K130" s="70"/>
      <c r="L130" s="71"/>
      <c r="M130" s="72"/>
      <c r="P130" s="72"/>
    </row>
    <row r="131">
      <c r="B131" s="68"/>
      <c r="D131" s="69"/>
      <c r="H131" s="70"/>
      <c r="K131" s="70"/>
      <c r="L131" s="71"/>
      <c r="M131" s="72"/>
      <c r="P131" s="72"/>
    </row>
    <row r="132">
      <c r="B132" s="68"/>
      <c r="D132" s="69"/>
      <c r="H132" s="70"/>
      <c r="K132" s="70"/>
      <c r="L132" s="71"/>
      <c r="M132" s="72"/>
      <c r="P132" s="72"/>
    </row>
    <row r="133">
      <c r="B133" s="68"/>
      <c r="D133" s="69"/>
      <c r="H133" s="70"/>
      <c r="K133" s="70"/>
      <c r="L133" s="71"/>
      <c r="M133" s="72"/>
      <c r="P133" s="72"/>
    </row>
    <row r="134">
      <c r="B134" s="68"/>
      <c r="D134" s="69"/>
      <c r="H134" s="70"/>
      <c r="K134" s="70"/>
      <c r="L134" s="71"/>
      <c r="M134" s="72"/>
      <c r="P134" s="72"/>
    </row>
    <row r="135">
      <c r="B135" s="68"/>
      <c r="D135" s="69"/>
      <c r="H135" s="70"/>
      <c r="K135" s="70"/>
      <c r="L135" s="71"/>
      <c r="M135" s="72"/>
      <c r="P135" s="72"/>
    </row>
    <row r="136">
      <c r="B136" s="68"/>
      <c r="D136" s="69"/>
      <c r="H136" s="70"/>
      <c r="K136" s="70"/>
      <c r="L136" s="71"/>
      <c r="M136" s="72"/>
      <c r="P136" s="72"/>
    </row>
    <row r="137">
      <c r="B137" s="68"/>
      <c r="D137" s="69"/>
      <c r="H137" s="70"/>
      <c r="K137" s="70"/>
      <c r="L137" s="71"/>
      <c r="M137" s="72"/>
      <c r="P137" s="72"/>
    </row>
    <row r="138">
      <c r="B138" s="68"/>
      <c r="D138" s="69"/>
      <c r="H138" s="70"/>
      <c r="K138" s="70"/>
      <c r="L138" s="71"/>
      <c r="M138" s="72"/>
      <c r="P138" s="72"/>
    </row>
    <row r="139">
      <c r="B139" s="68"/>
      <c r="D139" s="69"/>
      <c r="H139" s="70"/>
      <c r="K139" s="70"/>
      <c r="L139" s="71"/>
      <c r="M139" s="72"/>
      <c r="P139" s="72"/>
    </row>
    <row r="140">
      <c r="B140" s="68"/>
      <c r="D140" s="69"/>
      <c r="H140" s="70"/>
      <c r="K140" s="70"/>
      <c r="L140" s="71"/>
      <c r="M140" s="72"/>
      <c r="P140" s="72"/>
    </row>
    <row r="141">
      <c r="B141" s="68"/>
      <c r="D141" s="69"/>
      <c r="H141" s="70"/>
      <c r="K141" s="70"/>
      <c r="L141" s="71"/>
      <c r="M141" s="72"/>
      <c r="P141" s="72"/>
    </row>
    <row r="142">
      <c r="B142" s="68"/>
      <c r="D142" s="69"/>
      <c r="H142" s="70"/>
      <c r="K142" s="70"/>
      <c r="L142" s="71"/>
      <c r="M142" s="72"/>
      <c r="P142" s="72"/>
    </row>
    <row r="143">
      <c r="B143" s="68"/>
      <c r="D143" s="69"/>
      <c r="H143" s="70"/>
      <c r="K143" s="70"/>
      <c r="L143" s="71"/>
      <c r="M143" s="72"/>
      <c r="P143" s="72"/>
    </row>
    <row r="144">
      <c r="B144" s="68"/>
      <c r="D144" s="69"/>
      <c r="H144" s="70"/>
      <c r="K144" s="70"/>
      <c r="L144" s="71"/>
      <c r="M144" s="72"/>
      <c r="P144" s="72"/>
    </row>
    <row r="145">
      <c r="B145" s="68"/>
      <c r="D145" s="69"/>
      <c r="H145" s="70"/>
      <c r="K145" s="70"/>
      <c r="L145" s="71"/>
      <c r="M145" s="72"/>
      <c r="P145" s="72"/>
    </row>
    <row r="146">
      <c r="B146" s="68"/>
      <c r="D146" s="69"/>
      <c r="H146" s="70"/>
      <c r="K146" s="70"/>
      <c r="L146" s="71"/>
      <c r="M146" s="72"/>
      <c r="P146" s="72"/>
    </row>
    <row r="147">
      <c r="B147" s="68"/>
      <c r="D147" s="69"/>
      <c r="H147" s="70"/>
      <c r="K147" s="70"/>
      <c r="L147" s="71"/>
      <c r="M147" s="72"/>
      <c r="P147" s="72"/>
    </row>
    <row r="148">
      <c r="B148" s="68"/>
      <c r="D148" s="69"/>
      <c r="H148" s="70"/>
      <c r="K148" s="70"/>
      <c r="L148" s="71"/>
      <c r="M148" s="72"/>
      <c r="P148" s="72"/>
    </row>
    <row r="149">
      <c r="B149" s="68"/>
      <c r="D149" s="69"/>
      <c r="H149" s="70"/>
      <c r="K149" s="70"/>
      <c r="L149" s="71"/>
      <c r="M149" s="72"/>
      <c r="P149" s="72"/>
    </row>
    <row r="150">
      <c r="B150" s="68"/>
      <c r="D150" s="69"/>
      <c r="H150" s="70"/>
      <c r="K150" s="70"/>
      <c r="L150" s="71"/>
      <c r="M150" s="72"/>
      <c r="P150" s="72"/>
    </row>
    <row r="151">
      <c r="B151" s="68"/>
      <c r="D151" s="69"/>
      <c r="H151" s="70"/>
      <c r="K151" s="70"/>
      <c r="L151" s="71"/>
      <c r="M151" s="72"/>
      <c r="P151" s="72"/>
    </row>
    <row r="152">
      <c r="B152" s="68"/>
      <c r="D152" s="69"/>
      <c r="H152" s="70"/>
      <c r="K152" s="70"/>
      <c r="L152" s="71"/>
      <c r="M152" s="72"/>
      <c r="P152" s="72"/>
    </row>
    <row r="153">
      <c r="B153" s="68"/>
      <c r="D153" s="69"/>
      <c r="H153" s="70"/>
      <c r="K153" s="70"/>
      <c r="L153" s="71"/>
      <c r="M153" s="72"/>
      <c r="P153" s="72"/>
    </row>
    <row r="154">
      <c r="B154" s="68"/>
      <c r="D154" s="69"/>
      <c r="H154" s="70"/>
      <c r="K154" s="70"/>
      <c r="L154" s="71"/>
      <c r="M154" s="72"/>
      <c r="P154" s="72"/>
    </row>
    <row r="155">
      <c r="B155" s="68"/>
      <c r="D155" s="69"/>
      <c r="H155" s="70"/>
      <c r="K155" s="70"/>
      <c r="L155" s="71"/>
      <c r="M155" s="72"/>
      <c r="P155" s="72"/>
    </row>
    <row r="156">
      <c r="B156" s="68"/>
      <c r="D156" s="69"/>
      <c r="H156" s="70"/>
      <c r="K156" s="70"/>
      <c r="L156" s="71"/>
      <c r="M156" s="72"/>
      <c r="P156" s="72"/>
    </row>
    <row r="157">
      <c r="B157" s="68"/>
      <c r="D157" s="69"/>
      <c r="H157" s="70"/>
      <c r="K157" s="70"/>
      <c r="L157" s="71"/>
      <c r="M157" s="72"/>
      <c r="P157" s="72"/>
    </row>
    <row r="158">
      <c r="B158" s="68"/>
      <c r="D158" s="69"/>
      <c r="H158" s="70"/>
      <c r="K158" s="70"/>
      <c r="L158" s="71"/>
      <c r="M158" s="72"/>
      <c r="P158" s="72"/>
    </row>
    <row r="159">
      <c r="B159" s="68"/>
      <c r="D159" s="69"/>
      <c r="H159" s="70"/>
      <c r="K159" s="70"/>
      <c r="L159" s="71"/>
      <c r="M159" s="72"/>
      <c r="P159" s="72"/>
    </row>
    <row r="160">
      <c r="B160" s="68"/>
      <c r="D160" s="69"/>
      <c r="H160" s="70"/>
      <c r="K160" s="70"/>
      <c r="L160" s="71"/>
      <c r="M160" s="72"/>
      <c r="P160" s="72"/>
    </row>
    <row r="161">
      <c r="B161" s="68"/>
      <c r="D161" s="69"/>
      <c r="H161" s="70"/>
      <c r="K161" s="70"/>
      <c r="L161" s="71"/>
      <c r="M161" s="72"/>
      <c r="P161" s="72"/>
    </row>
    <row r="162">
      <c r="B162" s="68"/>
      <c r="D162" s="69"/>
      <c r="H162" s="70"/>
      <c r="K162" s="70"/>
      <c r="L162" s="71"/>
      <c r="M162" s="72"/>
      <c r="P162" s="72"/>
    </row>
    <row r="163">
      <c r="B163" s="68"/>
      <c r="D163" s="69"/>
      <c r="H163" s="70"/>
      <c r="K163" s="70"/>
      <c r="L163" s="71"/>
      <c r="M163" s="72"/>
      <c r="P163" s="72"/>
    </row>
    <row r="164">
      <c r="B164" s="68"/>
      <c r="D164" s="69"/>
      <c r="H164" s="70"/>
      <c r="K164" s="70"/>
      <c r="L164" s="71"/>
      <c r="M164" s="72"/>
      <c r="P164" s="72"/>
    </row>
    <row r="165">
      <c r="B165" s="68"/>
      <c r="D165" s="69"/>
      <c r="H165" s="70"/>
      <c r="K165" s="70"/>
      <c r="L165" s="71"/>
      <c r="M165" s="72"/>
      <c r="P165" s="72"/>
    </row>
    <row r="166">
      <c r="B166" s="68"/>
      <c r="D166" s="69"/>
      <c r="H166" s="70"/>
      <c r="K166" s="70"/>
      <c r="L166" s="71"/>
      <c r="M166" s="72"/>
      <c r="P166" s="72"/>
    </row>
    <row r="167">
      <c r="B167" s="68"/>
      <c r="D167" s="69"/>
      <c r="H167" s="70"/>
      <c r="K167" s="70"/>
      <c r="L167" s="71"/>
      <c r="M167" s="72"/>
      <c r="P167" s="72"/>
    </row>
    <row r="168">
      <c r="B168" s="68"/>
      <c r="D168" s="69"/>
      <c r="H168" s="70"/>
      <c r="K168" s="70"/>
      <c r="L168" s="71"/>
      <c r="M168" s="72"/>
      <c r="P168" s="72"/>
    </row>
    <row r="169">
      <c r="B169" s="68"/>
      <c r="D169" s="69"/>
      <c r="H169" s="70"/>
      <c r="K169" s="70"/>
      <c r="L169" s="71"/>
      <c r="M169" s="72"/>
      <c r="P169" s="72"/>
    </row>
    <row r="170">
      <c r="B170" s="68"/>
      <c r="D170" s="69"/>
      <c r="H170" s="70"/>
      <c r="K170" s="70"/>
      <c r="L170" s="71"/>
      <c r="M170" s="72"/>
      <c r="P170" s="72"/>
    </row>
    <row r="171">
      <c r="B171" s="68"/>
      <c r="D171" s="69"/>
      <c r="H171" s="70"/>
      <c r="K171" s="70"/>
      <c r="L171" s="71"/>
      <c r="M171" s="72"/>
      <c r="P171" s="72"/>
    </row>
    <row r="172">
      <c r="B172" s="68"/>
      <c r="D172" s="69"/>
      <c r="H172" s="70"/>
      <c r="K172" s="70"/>
      <c r="L172" s="71"/>
      <c r="M172" s="72"/>
      <c r="P172" s="72"/>
    </row>
    <row r="173">
      <c r="B173" s="68"/>
      <c r="D173" s="69"/>
      <c r="H173" s="70"/>
      <c r="K173" s="70"/>
      <c r="L173" s="71"/>
      <c r="M173" s="72"/>
      <c r="P173" s="72"/>
    </row>
    <row r="174">
      <c r="B174" s="68"/>
      <c r="D174" s="69"/>
      <c r="H174" s="70"/>
      <c r="K174" s="70"/>
      <c r="L174" s="71"/>
      <c r="M174" s="72"/>
      <c r="P174" s="72"/>
    </row>
    <row r="175">
      <c r="B175" s="68"/>
      <c r="D175" s="69"/>
      <c r="H175" s="70"/>
      <c r="K175" s="70"/>
      <c r="L175" s="71"/>
      <c r="M175" s="72"/>
      <c r="P175" s="72"/>
    </row>
    <row r="176">
      <c r="B176" s="68"/>
      <c r="D176" s="69"/>
      <c r="H176" s="70"/>
      <c r="K176" s="70"/>
      <c r="L176" s="71"/>
      <c r="M176" s="72"/>
      <c r="P176" s="72"/>
    </row>
    <row r="177">
      <c r="B177" s="68"/>
      <c r="D177" s="69"/>
      <c r="H177" s="70"/>
      <c r="K177" s="70"/>
      <c r="L177" s="71"/>
      <c r="M177" s="72"/>
      <c r="P177" s="72"/>
    </row>
    <row r="178">
      <c r="B178" s="68"/>
      <c r="D178" s="69"/>
      <c r="H178" s="70"/>
      <c r="K178" s="70"/>
      <c r="L178" s="71"/>
      <c r="M178" s="72"/>
      <c r="P178" s="72"/>
    </row>
    <row r="179">
      <c r="B179" s="68"/>
      <c r="D179" s="69"/>
      <c r="H179" s="70"/>
      <c r="K179" s="70"/>
      <c r="L179" s="71"/>
      <c r="M179" s="72"/>
      <c r="P179" s="72"/>
    </row>
    <row r="180">
      <c r="B180" s="68"/>
      <c r="D180" s="69"/>
      <c r="H180" s="70"/>
      <c r="K180" s="70"/>
      <c r="L180" s="71"/>
      <c r="M180" s="72"/>
      <c r="P180" s="72"/>
    </row>
    <row r="181">
      <c r="B181" s="68"/>
      <c r="D181" s="69"/>
      <c r="H181" s="70"/>
      <c r="K181" s="70"/>
      <c r="L181" s="71"/>
      <c r="M181" s="72"/>
      <c r="P181" s="72"/>
    </row>
    <row r="182">
      <c r="B182" s="68"/>
      <c r="D182" s="69"/>
      <c r="H182" s="70"/>
      <c r="K182" s="70"/>
      <c r="L182" s="71"/>
      <c r="M182" s="72"/>
      <c r="P182" s="72"/>
    </row>
    <row r="183">
      <c r="B183" s="68"/>
      <c r="D183" s="69"/>
      <c r="H183" s="70"/>
      <c r="K183" s="70"/>
      <c r="L183" s="71"/>
      <c r="M183" s="72"/>
      <c r="P183" s="72"/>
    </row>
    <row r="184">
      <c r="B184" s="68"/>
      <c r="D184" s="69"/>
      <c r="H184" s="70"/>
      <c r="K184" s="70"/>
      <c r="L184" s="71"/>
      <c r="M184" s="72"/>
      <c r="P184" s="72"/>
    </row>
    <row r="185">
      <c r="B185" s="68"/>
      <c r="D185" s="69"/>
      <c r="H185" s="70"/>
      <c r="K185" s="70"/>
      <c r="L185" s="71"/>
      <c r="M185" s="72"/>
      <c r="P185" s="72"/>
    </row>
    <row r="186">
      <c r="B186" s="68"/>
      <c r="D186" s="69"/>
      <c r="H186" s="70"/>
      <c r="K186" s="70"/>
      <c r="L186" s="71"/>
      <c r="M186" s="72"/>
      <c r="P186" s="72"/>
    </row>
    <row r="187">
      <c r="B187" s="68"/>
      <c r="D187" s="69"/>
      <c r="H187" s="70"/>
      <c r="K187" s="70"/>
      <c r="L187" s="71"/>
      <c r="M187" s="72"/>
      <c r="P187" s="72"/>
    </row>
    <row r="188">
      <c r="B188" s="68"/>
      <c r="D188" s="69"/>
      <c r="H188" s="70"/>
      <c r="K188" s="70"/>
      <c r="L188" s="71"/>
      <c r="M188" s="72"/>
      <c r="P188" s="72"/>
    </row>
    <row r="189">
      <c r="B189" s="68"/>
      <c r="D189" s="69"/>
      <c r="H189" s="70"/>
      <c r="K189" s="70"/>
      <c r="L189" s="71"/>
      <c r="M189" s="72"/>
      <c r="P189" s="72"/>
    </row>
    <row r="190">
      <c r="B190" s="68"/>
      <c r="D190" s="69"/>
      <c r="H190" s="70"/>
      <c r="K190" s="70"/>
      <c r="L190" s="71"/>
      <c r="M190" s="72"/>
      <c r="P190" s="72"/>
    </row>
    <row r="191">
      <c r="B191" s="68"/>
      <c r="D191" s="69"/>
      <c r="H191" s="70"/>
      <c r="K191" s="70"/>
      <c r="L191" s="71"/>
      <c r="M191" s="72"/>
      <c r="P191" s="72"/>
    </row>
    <row r="192">
      <c r="B192" s="68"/>
      <c r="D192" s="69"/>
      <c r="H192" s="70"/>
      <c r="K192" s="70"/>
      <c r="L192" s="71"/>
      <c r="M192" s="72"/>
      <c r="P192" s="72"/>
    </row>
    <row r="193">
      <c r="B193" s="68"/>
      <c r="D193" s="69"/>
      <c r="H193" s="70"/>
      <c r="K193" s="70"/>
      <c r="L193" s="71"/>
      <c r="M193" s="72"/>
      <c r="P193" s="72"/>
    </row>
    <row r="194">
      <c r="B194" s="68"/>
      <c r="D194" s="69"/>
      <c r="H194" s="70"/>
      <c r="K194" s="70"/>
      <c r="L194" s="71"/>
      <c r="M194" s="72"/>
      <c r="P194" s="72"/>
    </row>
    <row r="195">
      <c r="B195" s="68"/>
      <c r="D195" s="69"/>
      <c r="H195" s="70"/>
      <c r="K195" s="70"/>
      <c r="L195" s="71"/>
      <c r="M195" s="72"/>
      <c r="P195" s="72"/>
    </row>
    <row r="196">
      <c r="B196" s="68"/>
      <c r="D196" s="69"/>
      <c r="H196" s="70"/>
      <c r="K196" s="70"/>
      <c r="L196" s="71"/>
      <c r="M196" s="72"/>
      <c r="P196" s="72"/>
    </row>
    <row r="197">
      <c r="B197" s="68"/>
      <c r="D197" s="69"/>
      <c r="H197" s="70"/>
      <c r="K197" s="70"/>
      <c r="L197" s="71"/>
      <c r="M197" s="72"/>
      <c r="P197" s="72"/>
    </row>
    <row r="198">
      <c r="B198" s="68"/>
      <c r="D198" s="69"/>
      <c r="H198" s="70"/>
      <c r="K198" s="70"/>
      <c r="L198" s="71"/>
      <c r="M198" s="72"/>
      <c r="P198" s="72"/>
    </row>
    <row r="199">
      <c r="B199" s="68"/>
      <c r="D199" s="69"/>
      <c r="H199" s="70"/>
      <c r="K199" s="70"/>
      <c r="L199" s="71"/>
      <c r="M199" s="72"/>
      <c r="P199" s="72"/>
    </row>
    <row r="200">
      <c r="B200" s="68"/>
      <c r="D200" s="69"/>
      <c r="H200" s="70"/>
      <c r="K200" s="70"/>
      <c r="L200" s="71"/>
      <c r="M200" s="72"/>
      <c r="P200" s="72"/>
    </row>
    <row r="201">
      <c r="B201" s="68"/>
      <c r="D201" s="69"/>
      <c r="H201" s="70"/>
      <c r="K201" s="70"/>
      <c r="L201" s="71"/>
      <c r="M201" s="72"/>
      <c r="P201" s="72"/>
    </row>
    <row r="202">
      <c r="B202" s="68"/>
      <c r="D202" s="69"/>
      <c r="H202" s="70"/>
      <c r="K202" s="70"/>
      <c r="L202" s="71"/>
      <c r="M202" s="72"/>
      <c r="P202" s="72"/>
    </row>
    <row r="203">
      <c r="B203" s="68"/>
      <c r="D203" s="69"/>
      <c r="H203" s="70"/>
      <c r="K203" s="70"/>
      <c r="L203" s="71"/>
      <c r="M203" s="72"/>
      <c r="P203" s="72"/>
    </row>
    <row r="204">
      <c r="B204" s="68"/>
      <c r="D204" s="69"/>
      <c r="H204" s="70"/>
      <c r="K204" s="70"/>
      <c r="L204" s="71"/>
      <c r="M204" s="72"/>
      <c r="P204" s="72"/>
    </row>
    <row r="205">
      <c r="B205" s="68"/>
      <c r="D205" s="69"/>
      <c r="H205" s="70"/>
      <c r="K205" s="70"/>
      <c r="L205" s="71"/>
      <c r="M205" s="72"/>
      <c r="P205" s="72"/>
    </row>
    <row r="206">
      <c r="B206" s="68"/>
      <c r="D206" s="69"/>
      <c r="H206" s="70"/>
      <c r="K206" s="70"/>
      <c r="L206" s="71"/>
      <c r="M206" s="72"/>
      <c r="P206" s="72"/>
    </row>
    <row r="207">
      <c r="B207" s="68"/>
      <c r="D207" s="69"/>
      <c r="H207" s="70"/>
      <c r="K207" s="70"/>
      <c r="L207" s="71"/>
      <c r="M207" s="72"/>
      <c r="P207" s="72"/>
    </row>
    <row r="208">
      <c r="B208" s="68"/>
      <c r="D208" s="69"/>
      <c r="H208" s="70"/>
      <c r="K208" s="70"/>
      <c r="L208" s="71"/>
      <c r="M208" s="72"/>
      <c r="P208" s="72"/>
    </row>
    <row r="209">
      <c r="B209" s="68"/>
      <c r="D209" s="69"/>
      <c r="H209" s="70"/>
      <c r="K209" s="70"/>
      <c r="L209" s="71"/>
      <c r="M209" s="72"/>
      <c r="P209" s="72"/>
    </row>
    <row r="210">
      <c r="B210" s="68"/>
      <c r="D210" s="69"/>
      <c r="H210" s="70"/>
      <c r="K210" s="70"/>
      <c r="L210" s="71"/>
      <c r="M210" s="72"/>
      <c r="P210" s="72"/>
    </row>
    <row r="211">
      <c r="B211" s="68"/>
      <c r="D211" s="69"/>
      <c r="H211" s="70"/>
      <c r="K211" s="70"/>
      <c r="L211" s="71"/>
      <c r="M211" s="72"/>
      <c r="P211" s="72"/>
    </row>
    <row r="212">
      <c r="B212" s="68"/>
      <c r="D212" s="69"/>
      <c r="H212" s="70"/>
      <c r="K212" s="70"/>
      <c r="L212" s="71"/>
      <c r="M212" s="72"/>
      <c r="P212" s="72"/>
    </row>
    <row r="213">
      <c r="B213" s="68"/>
      <c r="D213" s="69"/>
      <c r="H213" s="70"/>
      <c r="K213" s="70"/>
      <c r="L213" s="71"/>
      <c r="M213" s="72"/>
      <c r="P213" s="72"/>
    </row>
    <row r="214">
      <c r="B214" s="68"/>
      <c r="D214" s="69"/>
      <c r="H214" s="70"/>
      <c r="K214" s="70"/>
      <c r="L214" s="71"/>
      <c r="M214" s="72"/>
      <c r="P214" s="72"/>
    </row>
    <row r="215">
      <c r="B215" s="68"/>
      <c r="D215" s="69"/>
      <c r="H215" s="70"/>
      <c r="K215" s="70"/>
      <c r="L215" s="71"/>
      <c r="M215" s="72"/>
      <c r="P215" s="72"/>
    </row>
    <row r="216">
      <c r="B216" s="68"/>
      <c r="D216" s="69"/>
      <c r="H216" s="70"/>
      <c r="K216" s="70"/>
      <c r="L216" s="71"/>
      <c r="M216" s="72"/>
      <c r="P216" s="72"/>
    </row>
    <row r="217">
      <c r="B217" s="68"/>
      <c r="D217" s="69"/>
      <c r="H217" s="70"/>
      <c r="K217" s="70"/>
      <c r="L217" s="71"/>
      <c r="M217" s="72"/>
      <c r="P217" s="72"/>
    </row>
    <row r="218">
      <c r="B218" s="68"/>
      <c r="D218" s="69"/>
      <c r="H218" s="70"/>
      <c r="K218" s="70"/>
      <c r="L218" s="71"/>
      <c r="M218" s="72"/>
      <c r="P218" s="72"/>
    </row>
    <row r="219">
      <c r="B219" s="68"/>
      <c r="D219" s="69"/>
      <c r="H219" s="70"/>
      <c r="K219" s="70"/>
      <c r="L219" s="71"/>
      <c r="M219" s="72"/>
      <c r="P219" s="72"/>
    </row>
    <row r="220">
      <c r="B220" s="68"/>
      <c r="D220" s="69"/>
      <c r="H220" s="70"/>
      <c r="K220" s="70"/>
      <c r="L220" s="71"/>
      <c r="M220" s="72"/>
      <c r="P220" s="72"/>
    </row>
    <row r="221">
      <c r="B221" s="68"/>
      <c r="D221" s="69"/>
      <c r="H221" s="70"/>
      <c r="K221" s="70"/>
      <c r="L221" s="71"/>
      <c r="M221" s="72"/>
      <c r="P221" s="72"/>
    </row>
    <row r="222">
      <c r="B222" s="68"/>
      <c r="D222" s="69"/>
      <c r="H222" s="70"/>
      <c r="K222" s="70"/>
      <c r="L222" s="71"/>
      <c r="M222" s="72"/>
      <c r="P222" s="72"/>
    </row>
    <row r="223">
      <c r="B223" s="68"/>
      <c r="D223" s="69"/>
      <c r="H223" s="70"/>
      <c r="K223" s="70"/>
      <c r="L223" s="71"/>
      <c r="M223" s="72"/>
      <c r="P223" s="72"/>
    </row>
    <row r="224">
      <c r="B224" s="68"/>
      <c r="D224" s="69"/>
      <c r="H224" s="70"/>
      <c r="K224" s="70"/>
      <c r="L224" s="71"/>
      <c r="M224" s="72"/>
      <c r="P224" s="72"/>
    </row>
    <row r="225">
      <c r="B225" s="68"/>
      <c r="D225" s="69"/>
      <c r="H225" s="70"/>
      <c r="K225" s="70"/>
      <c r="L225" s="71"/>
      <c r="M225" s="72"/>
      <c r="P225" s="72"/>
    </row>
    <row r="226">
      <c r="B226" s="68"/>
      <c r="D226" s="69"/>
      <c r="H226" s="70"/>
      <c r="K226" s="70"/>
      <c r="L226" s="71"/>
      <c r="M226" s="72"/>
      <c r="P226" s="72"/>
    </row>
    <row r="227">
      <c r="B227" s="68"/>
      <c r="D227" s="69"/>
      <c r="H227" s="70"/>
      <c r="K227" s="70"/>
      <c r="L227" s="71"/>
      <c r="M227" s="72"/>
      <c r="P227" s="72"/>
    </row>
    <row r="228">
      <c r="B228" s="68"/>
      <c r="D228" s="69"/>
      <c r="H228" s="70"/>
      <c r="K228" s="70"/>
      <c r="L228" s="71"/>
      <c r="M228" s="72"/>
      <c r="P228" s="72"/>
    </row>
    <row r="229">
      <c r="B229" s="68"/>
      <c r="D229" s="69"/>
      <c r="H229" s="70"/>
      <c r="K229" s="70"/>
      <c r="L229" s="71"/>
      <c r="M229" s="72"/>
      <c r="P229" s="72"/>
    </row>
    <row r="230">
      <c r="B230" s="68"/>
      <c r="D230" s="69"/>
      <c r="H230" s="70"/>
      <c r="K230" s="70"/>
      <c r="L230" s="71"/>
      <c r="M230" s="72"/>
      <c r="P230" s="72"/>
    </row>
    <row r="231">
      <c r="B231" s="68"/>
      <c r="D231" s="69"/>
      <c r="H231" s="70"/>
      <c r="K231" s="70"/>
      <c r="L231" s="71"/>
      <c r="M231" s="72"/>
      <c r="P231" s="72"/>
    </row>
    <row r="232">
      <c r="B232" s="68"/>
      <c r="D232" s="69"/>
      <c r="H232" s="70"/>
      <c r="K232" s="70"/>
      <c r="L232" s="71"/>
      <c r="M232" s="72"/>
      <c r="P232" s="72"/>
    </row>
    <row r="233">
      <c r="B233" s="68"/>
      <c r="D233" s="69"/>
      <c r="H233" s="70"/>
      <c r="K233" s="70"/>
      <c r="L233" s="71"/>
      <c r="M233" s="72"/>
      <c r="P233" s="72"/>
    </row>
    <row r="234">
      <c r="B234" s="68"/>
      <c r="D234" s="69"/>
      <c r="H234" s="70"/>
      <c r="K234" s="70"/>
      <c r="L234" s="71"/>
      <c r="M234" s="72"/>
      <c r="P234" s="72"/>
    </row>
    <row r="235">
      <c r="B235" s="68"/>
      <c r="D235" s="69"/>
      <c r="H235" s="70"/>
      <c r="K235" s="70"/>
      <c r="L235" s="71"/>
      <c r="M235" s="72"/>
      <c r="P235" s="72"/>
    </row>
    <row r="236">
      <c r="B236" s="68"/>
      <c r="D236" s="69"/>
      <c r="H236" s="70"/>
      <c r="K236" s="70"/>
      <c r="L236" s="71"/>
      <c r="M236" s="72"/>
      <c r="P236" s="72"/>
    </row>
    <row r="237">
      <c r="B237" s="68"/>
      <c r="D237" s="69"/>
      <c r="H237" s="70"/>
      <c r="K237" s="70"/>
      <c r="L237" s="71"/>
      <c r="M237" s="72"/>
      <c r="P237" s="72"/>
    </row>
    <row r="238">
      <c r="B238" s="68"/>
      <c r="D238" s="69"/>
      <c r="H238" s="70"/>
      <c r="K238" s="70"/>
      <c r="L238" s="71"/>
      <c r="M238" s="72"/>
      <c r="P238" s="72"/>
    </row>
    <row r="239">
      <c r="B239" s="68"/>
      <c r="D239" s="69"/>
      <c r="H239" s="70"/>
      <c r="K239" s="70"/>
      <c r="L239" s="71"/>
      <c r="M239" s="72"/>
      <c r="P239" s="72"/>
    </row>
    <row r="240">
      <c r="B240" s="68"/>
      <c r="D240" s="69"/>
      <c r="H240" s="70"/>
      <c r="K240" s="70"/>
      <c r="L240" s="71"/>
      <c r="M240" s="72"/>
      <c r="P240" s="72"/>
    </row>
    <row r="241">
      <c r="B241" s="68"/>
      <c r="D241" s="69"/>
      <c r="H241" s="70"/>
      <c r="K241" s="70"/>
      <c r="L241" s="71"/>
      <c r="M241" s="72"/>
      <c r="P241" s="72"/>
    </row>
    <row r="242">
      <c r="B242" s="68"/>
      <c r="D242" s="69"/>
      <c r="H242" s="70"/>
      <c r="K242" s="70"/>
      <c r="L242" s="71"/>
      <c r="M242" s="72"/>
      <c r="P242" s="72"/>
    </row>
    <row r="243">
      <c r="B243" s="68"/>
      <c r="D243" s="69"/>
      <c r="H243" s="70"/>
      <c r="K243" s="70"/>
      <c r="L243" s="71"/>
      <c r="M243" s="72"/>
      <c r="P243" s="72"/>
    </row>
    <row r="244">
      <c r="B244" s="68"/>
      <c r="D244" s="69"/>
      <c r="H244" s="70"/>
      <c r="K244" s="70"/>
      <c r="L244" s="71"/>
      <c r="M244" s="72"/>
      <c r="P244" s="72"/>
    </row>
    <row r="245">
      <c r="B245" s="68"/>
      <c r="D245" s="69"/>
      <c r="H245" s="70"/>
      <c r="K245" s="70"/>
      <c r="L245" s="71"/>
      <c r="M245" s="72"/>
      <c r="P245" s="72"/>
    </row>
    <row r="246">
      <c r="B246" s="68"/>
      <c r="D246" s="69"/>
      <c r="H246" s="70"/>
      <c r="K246" s="70"/>
      <c r="L246" s="71"/>
      <c r="M246" s="72"/>
      <c r="P246" s="72"/>
    </row>
    <row r="247">
      <c r="B247" s="68"/>
      <c r="D247" s="69"/>
      <c r="H247" s="70"/>
      <c r="K247" s="70"/>
      <c r="L247" s="71"/>
      <c r="M247" s="72"/>
      <c r="P247" s="72"/>
    </row>
    <row r="248">
      <c r="B248" s="68"/>
      <c r="D248" s="69"/>
      <c r="H248" s="70"/>
      <c r="K248" s="70"/>
      <c r="L248" s="71"/>
      <c r="M248" s="72"/>
      <c r="P248" s="72"/>
    </row>
    <row r="249">
      <c r="B249" s="68"/>
      <c r="D249" s="69"/>
      <c r="H249" s="70"/>
      <c r="K249" s="70"/>
      <c r="L249" s="71"/>
      <c r="M249" s="72"/>
      <c r="P249" s="72"/>
    </row>
    <row r="250">
      <c r="B250" s="68"/>
      <c r="D250" s="69"/>
      <c r="H250" s="70"/>
      <c r="K250" s="70"/>
      <c r="L250" s="71"/>
      <c r="M250" s="72"/>
      <c r="P250" s="72"/>
    </row>
    <row r="251">
      <c r="B251" s="68"/>
      <c r="D251" s="69"/>
      <c r="H251" s="70"/>
      <c r="K251" s="70"/>
      <c r="L251" s="71"/>
      <c r="M251" s="72"/>
      <c r="P251" s="72"/>
    </row>
    <row r="252">
      <c r="B252" s="68"/>
      <c r="D252" s="69"/>
      <c r="H252" s="70"/>
      <c r="K252" s="70"/>
      <c r="L252" s="71"/>
      <c r="M252" s="72"/>
      <c r="P252" s="72"/>
    </row>
    <row r="253">
      <c r="B253" s="68"/>
      <c r="D253" s="69"/>
      <c r="H253" s="70"/>
      <c r="K253" s="70"/>
      <c r="L253" s="71"/>
      <c r="M253" s="72"/>
      <c r="P253" s="72"/>
    </row>
    <row r="254">
      <c r="B254" s="68"/>
      <c r="D254" s="69"/>
      <c r="H254" s="70"/>
      <c r="K254" s="70"/>
      <c r="L254" s="71"/>
      <c r="M254" s="72"/>
      <c r="P254" s="72"/>
    </row>
    <row r="255">
      <c r="B255" s="68"/>
      <c r="D255" s="69"/>
      <c r="H255" s="70"/>
      <c r="K255" s="70"/>
      <c r="L255" s="71"/>
      <c r="M255" s="72"/>
      <c r="P255" s="72"/>
    </row>
    <row r="256">
      <c r="B256" s="68"/>
      <c r="D256" s="69"/>
      <c r="H256" s="70"/>
      <c r="K256" s="70"/>
      <c r="L256" s="71"/>
      <c r="M256" s="72"/>
      <c r="P256" s="72"/>
    </row>
    <row r="257">
      <c r="B257" s="68"/>
      <c r="D257" s="69"/>
      <c r="H257" s="70"/>
      <c r="K257" s="70"/>
      <c r="L257" s="71"/>
      <c r="M257" s="72"/>
      <c r="P257" s="72"/>
    </row>
    <row r="258">
      <c r="B258" s="68"/>
      <c r="D258" s="69"/>
      <c r="H258" s="70"/>
      <c r="K258" s="70"/>
      <c r="L258" s="71"/>
      <c r="M258" s="72"/>
      <c r="P258" s="72"/>
    </row>
    <row r="259">
      <c r="B259" s="68"/>
      <c r="D259" s="69"/>
      <c r="H259" s="70"/>
      <c r="K259" s="70"/>
      <c r="L259" s="71"/>
      <c r="M259" s="72"/>
      <c r="P259" s="72"/>
    </row>
    <row r="260">
      <c r="B260" s="68"/>
      <c r="D260" s="69"/>
      <c r="H260" s="70"/>
      <c r="K260" s="70"/>
      <c r="L260" s="71"/>
      <c r="M260" s="72"/>
      <c r="P260" s="72"/>
    </row>
    <row r="261">
      <c r="B261" s="68"/>
      <c r="D261" s="69"/>
      <c r="H261" s="70"/>
      <c r="K261" s="70"/>
      <c r="L261" s="71"/>
      <c r="M261" s="72"/>
      <c r="P261" s="72"/>
    </row>
    <row r="262">
      <c r="B262" s="68"/>
      <c r="D262" s="69"/>
      <c r="H262" s="70"/>
      <c r="K262" s="70"/>
      <c r="L262" s="71"/>
      <c r="M262" s="72"/>
      <c r="P262" s="72"/>
    </row>
    <row r="263">
      <c r="B263" s="68"/>
      <c r="D263" s="69"/>
      <c r="H263" s="70"/>
      <c r="K263" s="70"/>
      <c r="L263" s="71"/>
      <c r="M263" s="72"/>
      <c r="P263" s="72"/>
    </row>
    <row r="264">
      <c r="B264" s="68"/>
      <c r="D264" s="69"/>
      <c r="H264" s="70"/>
      <c r="K264" s="70"/>
      <c r="L264" s="71"/>
      <c r="M264" s="72"/>
      <c r="P264" s="72"/>
    </row>
    <row r="265">
      <c r="B265" s="68"/>
      <c r="D265" s="69"/>
      <c r="H265" s="70"/>
      <c r="K265" s="70"/>
      <c r="L265" s="71"/>
      <c r="M265" s="72"/>
      <c r="P265" s="72"/>
    </row>
    <row r="266">
      <c r="B266" s="68"/>
      <c r="D266" s="69"/>
      <c r="H266" s="70"/>
      <c r="K266" s="70"/>
      <c r="L266" s="71"/>
      <c r="M266" s="72"/>
      <c r="P266" s="72"/>
    </row>
    <row r="267">
      <c r="B267" s="68"/>
      <c r="D267" s="69"/>
      <c r="H267" s="70"/>
      <c r="K267" s="70"/>
      <c r="L267" s="71"/>
      <c r="M267" s="72"/>
      <c r="P267" s="72"/>
    </row>
    <row r="268">
      <c r="B268" s="68"/>
      <c r="D268" s="69"/>
      <c r="H268" s="70"/>
      <c r="K268" s="70"/>
      <c r="L268" s="71"/>
      <c r="M268" s="72"/>
      <c r="P268" s="72"/>
    </row>
    <row r="269">
      <c r="B269" s="68"/>
      <c r="D269" s="69"/>
      <c r="H269" s="70"/>
      <c r="K269" s="70"/>
      <c r="L269" s="71"/>
      <c r="M269" s="72"/>
      <c r="P269" s="72"/>
    </row>
    <row r="270">
      <c r="B270" s="68"/>
      <c r="D270" s="69"/>
      <c r="H270" s="70"/>
      <c r="K270" s="70"/>
      <c r="L270" s="71"/>
      <c r="M270" s="72"/>
      <c r="P270" s="72"/>
    </row>
    <row r="271">
      <c r="B271" s="68"/>
      <c r="D271" s="69"/>
      <c r="H271" s="70"/>
      <c r="K271" s="70"/>
      <c r="L271" s="71"/>
      <c r="M271" s="72"/>
      <c r="P271" s="72"/>
    </row>
    <row r="272">
      <c r="B272" s="68"/>
      <c r="D272" s="69"/>
      <c r="H272" s="70"/>
      <c r="K272" s="70"/>
      <c r="L272" s="71"/>
      <c r="M272" s="72"/>
      <c r="P272" s="72"/>
    </row>
    <row r="273">
      <c r="B273" s="68"/>
      <c r="D273" s="69"/>
      <c r="H273" s="70"/>
      <c r="K273" s="70"/>
      <c r="L273" s="71"/>
      <c r="M273" s="72"/>
      <c r="P273" s="72"/>
    </row>
    <row r="274">
      <c r="B274" s="68"/>
      <c r="D274" s="69"/>
      <c r="H274" s="70"/>
      <c r="K274" s="70"/>
      <c r="L274" s="71"/>
      <c r="M274" s="72"/>
      <c r="P274" s="72"/>
    </row>
    <row r="275">
      <c r="B275" s="68"/>
      <c r="D275" s="69"/>
      <c r="H275" s="70"/>
      <c r="K275" s="70"/>
      <c r="L275" s="71"/>
      <c r="M275" s="72"/>
      <c r="P275" s="72"/>
    </row>
    <row r="276">
      <c r="B276" s="68"/>
      <c r="D276" s="69"/>
      <c r="H276" s="70"/>
      <c r="K276" s="70"/>
      <c r="L276" s="71"/>
      <c r="M276" s="72"/>
      <c r="P276" s="72"/>
    </row>
    <row r="277">
      <c r="B277" s="68"/>
      <c r="D277" s="69"/>
      <c r="H277" s="70"/>
      <c r="K277" s="70"/>
      <c r="L277" s="71"/>
      <c r="M277" s="72"/>
      <c r="P277" s="72"/>
    </row>
    <row r="278">
      <c r="B278" s="68"/>
      <c r="D278" s="69"/>
      <c r="H278" s="70"/>
      <c r="K278" s="70"/>
      <c r="L278" s="71"/>
      <c r="M278" s="72"/>
      <c r="P278" s="72"/>
    </row>
    <row r="279">
      <c r="B279" s="68"/>
      <c r="D279" s="69"/>
      <c r="H279" s="70"/>
      <c r="K279" s="70"/>
      <c r="L279" s="71"/>
      <c r="M279" s="72"/>
      <c r="P279" s="72"/>
    </row>
    <row r="280">
      <c r="B280" s="68"/>
      <c r="D280" s="69"/>
      <c r="H280" s="70"/>
      <c r="K280" s="70"/>
      <c r="L280" s="71"/>
      <c r="M280" s="72"/>
      <c r="P280" s="72"/>
    </row>
    <row r="281">
      <c r="B281" s="68"/>
      <c r="D281" s="69"/>
      <c r="H281" s="70"/>
      <c r="K281" s="70"/>
      <c r="L281" s="71"/>
      <c r="M281" s="72"/>
      <c r="P281" s="72"/>
    </row>
    <row r="282">
      <c r="B282" s="68"/>
      <c r="D282" s="69"/>
      <c r="H282" s="70"/>
      <c r="K282" s="70"/>
      <c r="L282" s="71"/>
      <c r="M282" s="72"/>
      <c r="P282" s="72"/>
    </row>
    <row r="283">
      <c r="B283" s="68"/>
      <c r="D283" s="69"/>
      <c r="H283" s="70"/>
      <c r="K283" s="70"/>
      <c r="L283" s="71"/>
      <c r="M283" s="72"/>
      <c r="P283" s="72"/>
    </row>
    <row r="284">
      <c r="B284" s="68"/>
      <c r="D284" s="69"/>
      <c r="H284" s="70"/>
      <c r="K284" s="70"/>
      <c r="L284" s="71"/>
      <c r="M284" s="72"/>
      <c r="P284" s="72"/>
    </row>
    <row r="285">
      <c r="B285" s="68"/>
      <c r="D285" s="69"/>
      <c r="H285" s="70"/>
      <c r="K285" s="70"/>
      <c r="L285" s="71"/>
      <c r="M285" s="72"/>
      <c r="P285" s="72"/>
    </row>
    <row r="286">
      <c r="B286" s="68"/>
      <c r="D286" s="69"/>
      <c r="H286" s="70"/>
      <c r="K286" s="70"/>
      <c r="L286" s="71"/>
      <c r="M286" s="72"/>
      <c r="P286" s="72"/>
    </row>
    <row r="287">
      <c r="B287" s="68"/>
      <c r="D287" s="69"/>
      <c r="H287" s="70"/>
      <c r="K287" s="70"/>
      <c r="L287" s="71"/>
      <c r="M287" s="72"/>
      <c r="P287" s="72"/>
    </row>
    <row r="288">
      <c r="B288" s="68"/>
      <c r="D288" s="69"/>
      <c r="H288" s="70"/>
      <c r="K288" s="70"/>
      <c r="L288" s="71"/>
      <c r="M288" s="72"/>
      <c r="P288" s="72"/>
    </row>
    <row r="289">
      <c r="B289" s="68"/>
      <c r="D289" s="69"/>
      <c r="H289" s="70"/>
      <c r="K289" s="70"/>
      <c r="L289" s="71"/>
      <c r="M289" s="72"/>
      <c r="P289" s="72"/>
    </row>
    <row r="290">
      <c r="B290" s="68"/>
      <c r="D290" s="69"/>
      <c r="H290" s="70"/>
      <c r="K290" s="70"/>
      <c r="L290" s="71"/>
      <c r="M290" s="72"/>
      <c r="P290" s="72"/>
    </row>
    <row r="291">
      <c r="B291" s="68"/>
      <c r="D291" s="69"/>
      <c r="H291" s="70"/>
      <c r="K291" s="70"/>
      <c r="L291" s="71"/>
      <c r="M291" s="72"/>
      <c r="P291" s="72"/>
    </row>
    <row r="292">
      <c r="B292" s="68"/>
      <c r="D292" s="69"/>
      <c r="H292" s="70"/>
      <c r="K292" s="70"/>
      <c r="L292" s="71"/>
      <c r="M292" s="72"/>
      <c r="P292" s="72"/>
    </row>
    <row r="293">
      <c r="B293" s="68"/>
      <c r="D293" s="69"/>
      <c r="H293" s="70"/>
      <c r="K293" s="70"/>
      <c r="L293" s="71"/>
      <c r="M293" s="72"/>
      <c r="P293" s="72"/>
    </row>
    <row r="294">
      <c r="B294" s="68"/>
      <c r="D294" s="69"/>
      <c r="H294" s="70"/>
      <c r="K294" s="70"/>
      <c r="L294" s="71"/>
      <c r="M294" s="72"/>
      <c r="P294" s="72"/>
    </row>
    <row r="295">
      <c r="B295" s="68"/>
      <c r="D295" s="69"/>
      <c r="H295" s="70"/>
      <c r="K295" s="70"/>
      <c r="L295" s="71"/>
      <c r="M295" s="72"/>
      <c r="P295" s="72"/>
    </row>
    <row r="296">
      <c r="B296" s="68"/>
      <c r="D296" s="69"/>
      <c r="H296" s="70"/>
      <c r="K296" s="70"/>
      <c r="L296" s="71"/>
      <c r="M296" s="72"/>
      <c r="P296" s="72"/>
    </row>
    <row r="297">
      <c r="B297" s="68"/>
      <c r="D297" s="69"/>
      <c r="H297" s="70"/>
      <c r="K297" s="70"/>
      <c r="L297" s="71"/>
      <c r="M297" s="72"/>
      <c r="P297" s="72"/>
    </row>
    <row r="298">
      <c r="B298" s="68"/>
      <c r="D298" s="69"/>
      <c r="H298" s="70"/>
      <c r="K298" s="70"/>
      <c r="L298" s="71"/>
      <c r="M298" s="72"/>
      <c r="P298" s="72"/>
    </row>
    <row r="299">
      <c r="B299" s="68"/>
      <c r="D299" s="69"/>
      <c r="H299" s="70"/>
      <c r="K299" s="70"/>
      <c r="L299" s="71"/>
      <c r="M299" s="72"/>
      <c r="P299" s="72"/>
    </row>
    <row r="300">
      <c r="B300" s="68"/>
      <c r="D300" s="69"/>
      <c r="H300" s="70"/>
      <c r="K300" s="70"/>
      <c r="L300" s="71"/>
      <c r="M300" s="72"/>
      <c r="P300" s="72"/>
    </row>
    <row r="301">
      <c r="B301" s="68"/>
      <c r="D301" s="69"/>
      <c r="H301" s="70"/>
      <c r="K301" s="70"/>
      <c r="L301" s="71"/>
      <c r="M301" s="72"/>
      <c r="P301" s="72"/>
    </row>
    <row r="302">
      <c r="B302" s="68"/>
      <c r="D302" s="69"/>
      <c r="H302" s="70"/>
      <c r="K302" s="70"/>
      <c r="L302" s="71"/>
      <c r="M302" s="72"/>
      <c r="P302" s="72"/>
    </row>
    <row r="303">
      <c r="B303" s="68"/>
      <c r="D303" s="69"/>
      <c r="H303" s="70"/>
      <c r="K303" s="70"/>
      <c r="L303" s="71"/>
      <c r="M303" s="72"/>
      <c r="P303" s="72"/>
    </row>
    <row r="304">
      <c r="B304" s="68"/>
      <c r="D304" s="69"/>
      <c r="H304" s="70"/>
      <c r="K304" s="70"/>
      <c r="L304" s="71"/>
      <c r="M304" s="72"/>
      <c r="P304" s="72"/>
    </row>
    <row r="305">
      <c r="B305" s="68"/>
      <c r="D305" s="69"/>
      <c r="H305" s="70"/>
      <c r="K305" s="70"/>
      <c r="L305" s="71"/>
      <c r="M305" s="72"/>
      <c r="P305" s="72"/>
    </row>
    <row r="306">
      <c r="B306" s="68"/>
      <c r="D306" s="69"/>
      <c r="H306" s="70"/>
      <c r="K306" s="70"/>
      <c r="L306" s="71"/>
      <c r="M306" s="72"/>
      <c r="P306" s="72"/>
    </row>
    <row r="307">
      <c r="B307" s="68"/>
      <c r="D307" s="69"/>
      <c r="H307" s="70"/>
      <c r="K307" s="70"/>
      <c r="L307" s="71"/>
      <c r="M307" s="72"/>
      <c r="P307" s="72"/>
    </row>
    <row r="308">
      <c r="B308" s="68"/>
      <c r="D308" s="69"/>
      <c r="H308" s="70"/>
      <c r="K308" s="70"/>
      <c r="L308" s="71"/>
      <c r="M308" s="72"/>
      <c r="P308" s="72"/>
    </row>
    <row r="309">
      <c r="B309" s="68"/>
      <c r="D309" s="69"/>
      <c r="H309" s="70"/>
      <c r="K309" s="70"/>
      <c r="L309" s="71"/>
      <c r="M309" s="72"/>
      <c r="P309" s="72"/>
    </row>
    <row r="310">
      <c r="B310" s="68"/>
      <c r="D310" s="69"/>
      <c r="H310" s="70"/>
      <c r="K310" s="70"/>
      <c r="L310" s="71"/>
      <c r="M310" s="72"/>
      <c r="P310" s="72"/>
    </row>
    <row r="311">
      <c r="B311" s="68"/>
      <c r="D311" s="69"/>
      <c r="H311" s="70"/>
      <c r="K311" s="70"/>
      <c r="L311" s="71"/>
      <c r="M311" s="72"/>
      <c r="P311" s="72"/>
    </row>
    <row r="312">
      <c r="B312" s="68"/>
      <c r="D312" s="69"/>
      <c r="H312" s="70"/>
      <c r="K312" s="70"/>
      <c r="L312" s="71"/>
      <c r="M312" s="72"/>
      <c r="P312" s="72"/>
    </row>
    <row r="313">
      <c r="B313" s="68"/>
      <c r="D313" s="69"/>
      <c r="H313" s="70"/>
      <c r="K313" s="70"/>
      <c r="L313" s="71"/>
      <c r="M313" s="72"/>
      <c r="P313" s="72"/>
    </row>
    <row r="314">
      <c r="B314" s="68"/>
      <c r="D314" s="69"/>
      <c r="H314" s="70"/>
      <c r="K314" s="70"/>
      <c r="L314" s="71"/>
      <c r="M314" s="72"/>
      <c r="P314" s="72"/>
    </row>
    <row r="315">
      <c r="B315" s="68"/>
      <c r="D315" s="69"/>
      <c r="H315" s="70"/>
      <c r="K315" s="70"/>
      <c r="L315" s="71"/>
      <c r="M315" s="72"/>
      <c r="P315" s="72"/>
    </row>
    <row r="316">
      <c r="B316" s="68"/>
      <c r="D316" s="69"/>
      <c r="H316" s="70"/>
      <c r="K316" s="70"/>
      <c r="L316" s="71"/>
      <c r="M316" s="72"/>
      <c r="P316" s="72"/>
    </row>
    <row r="317">
      <c r="B317" s="68"/>
      <c r="D317" s="69"/>
      <c r="H317" s="70"/>
      <c r="K317" s="70"/>
      <c r="L317" s="71"/>
      <c r="M317" s="72"/>
      <c r="P317" s="72"/>
    </row>
    <row r="318">
      <c r="B318" s="68"/>
      <c r="D318" s="69"/>
      <c r="H318" s="70"/>
      <c r="K318" s="70"/>
      <c r="L318" s="71"/>
      <c r="M318" s="72"/>
      <c r="P318" s="72"/>
    </row>
    <row r="319">
      <c r="B319" s="68"/>
      <c r="D319" s="69"/>
      <c r="H319" s="70"/>
      <c r="K319" s="70"/>
      <c r="L319" s="71"/>
      <c r="M319" s="72"/>
      <c r="P319" s="72"/>
    </row>
    <row r="320">
      <c r="B320" s="68"/>
      <c r="D320" s="69"/>
      <c r="H320" s="70"/>
      <c r="K320" s="70"/>
      <c r="L320" s="71"/>
      <c r="M320" s="72"/>
      <c r="P320" s="72"/>
    </row>
    <row r="321">
      <c r="B321" s="68"/>
      <c r="D321" s="69"/>
      <c r="H321" s="70"/>
      <c r="K321" s="70"/>
      <c r="L321" s="71"/>
      <c r="M321" s="72"/>
      <c r="P321" s="72"/>
    </row>
    <row r="322">
      <c r="B322" s="68"/>
      <c r="D322" s="69"/>
      <c r="H322" s="70"/>
      <c r="K322" s="70"/>
      <c r="L322" s="71"/>
      <c r="M322" s="72"/>
      <c r="P322" s="72"/>
    </row>
    <row r="323">
      <c r="B323" s="68"/>
      <c r="D323" s="69"/>
      <c r="H323" s="70"/>
      <c r="K323" s="70"/>
      <c r="L323" s="71"/>
      <c r="M323" s="72"/>
      <c r="P323" s="72"/>
    </row>
    <row r="324">
      <c r="B324" s="68"/>
      <c r="D324" s="69"/>
      <c r="H324" s="70"/>
      <c r="K324" s="70"/>
      <c r="L324" s="71"/>
      <c r="M324" s="72"/>
      <c r="P324" s="72"/>
    </row>
    <row r="325">
      <c r="B325" s="68"/>
      <c r="D325" s="69"/>
      <c r="H325" s="70"/>
      <c r="K325" s="70"/>
      <c r="L325" s="71"/>
      <c r="M325" s="72"/>
      <c r="P325" s="72"/>
    </row>
    <row r="326">
      <c r="B326" s="68"/>
      <c r="D326" s="69"/>
      <c r="H326" s="70"/>
      <c r="K326" s="70"/>
      <c r="L326" s="71"/>
      <c r="M326" s="72"/>
      <c r="P326" s="72"/>
    </row>
    <row r="327">
      <c r="B327" s="68"/>
      <c r="D327" s="69"/>
      <c r="H327" s="70"/>
      <c r="K327" s="70"/>
      <c r="L327" s="71"/>
      <c r="M327" s="72"/>
      <c r="P327" s="72"/>
    </row>
    <row r="328">
      <c r="B328" s="68"/>
      <c r="D328" s="69"/>
      <c r="H328" s="70"/>
      <c r="K328" s="70"/>
      <c r="L328" s="71"/>
      <c r="M328" s="72"/>
      <c r="P328" s="72"/>
    </row>
    <row r="329">
      <c r="B329" s="68"/>
      <c r="D329" s="69"/>
      <c r="H329" s="70"/>
      <c r="K329" s="70"/>
      <c r="L329" s="71"/>
      <c r="M329" s="72"/>
      <c r="P329" s="72"/>
    </row>
    <row r="330">
      <c r="B330" s="68"/>
      <c r="D330" s="69"/>
      <c r="H330" s="70"/>
      <c r="K330" s="70"/>
      <c r="L330" s="71"/>
      <c r="M330" s="72"/>
      <c r="P330" s="72"/>
    </row>
    <row r="331">
      <c r="B331" s="68"/>
      <c r="D331" s="69"/>
      <c r="H331" s="70"/>
      <c r="K331" s="70"/>
      <c r="L331" s="71"/>
      <c r="M331" s="72"/>
      <c r="P331" s="72"/>
    </row>
    <row r="332">
      <c r="B332" s="68"/>
      <c r="D332" s="69"/>
      <c r="H332" s="70"/>
      <c r="K332" s="70"/>
      <c r="L332" s="71"/>
      <c r="M332" s="72"/>
      <c r="P332" s="72"/>
    </row>
    <row r="333">
      <c r="B333" s="68"/>
      <c r="D333" s="69"/>
      <c r="H333" s="70"/>
      <c r="K333" s="70"/>
      <c r="L333" s="71"/>
      <c r="M333" s="72"/>
      <c r="P333" s="72"/>
    </row>
    <row r="334">
      <c r="B334" s="68"/>
      <c r="D334" s="69"/>
      <c r="H334" s="70"/>
      <c r="K334" s="70"/>
      <c r="L334" s="71"/>
      <c r="M334" s="72"/>
      <c r="P334" s="72"/>
    </row>
    <row r="335">
      <c r="B335" s="68"/>
      <c r="D335" s="69"/>
      <c r="H335" s="70"/>
      <c r="K335" s="70"/>
      <c r="L335" s="71"/>
      <c r="M335" s="72"/>
      <c r="P335" s="72"/>
    </row>
    <row r="336">
      <c r="B336" s="68"/>
      <c r="D336" s="69"/>
      <c r="H336" s="70"/>
      <c r="K336" s="70"/>
      <c r="L336" s="71"/>
      <c r="M336" s="72"/>
      <c r="P336" s="72"/>
    </row>
    <row r="337">
      <c r="B337" s="68"/>
      <c r="D337" s="69"/>
      <c r="H337" s="70"/>
      <c r="K337" s="70"/>
      <c r="L337" s="71"/>
      <c r="M337" s="72"/>
      <c r="P337" s="72"/>
    </row>
    <row r="338">
      <c r="B338" s="68"/>
      <c r="D338" s="69"/>
      <c r="H338" s="70"/>
      <c r="K338" s="70"/>
      <c r="L338" s="71"/>
      <c r="M338" s="72"/>
      <c r="P338" s="72"/>
    </row>
    <row r="339">
      <c r="B339" s="68"/>
      <c r="D339" s="69"/>
      <c r="H339" s="70"/>
      <c r="K339" s="70"/>
      <c r="L339" s="71"/>
      <c r="M339" s="72"/>
      <c r="P339" s="72"/>
    </row>
    <row r="340">
      <c r="B340" s="68"/>
      <c r="D340" s="69"/>
      <c r="H340" s="70"/>
      <c r="K340" s="70"/>
      <c r="L340" s="71"/>
      <c r="M340" s="72"/>
      <c r="P340" s="72"/>
    </row>
    <row r="341">
      <c r="B341" s="68"/>
      <c r="D341" s="69"/>
      <c r="H341" s="70"/>
      <c r="K341" s="70"/>
      <c r="L341" s="71"/>
      <c r="M341" s="72"/>
      <c r="P341" s="72"/>
    </row>
    <row r="342">
      <c r="B342" s="68"/>
      <c r="D342" s="69"/>
      <c r="H342" s="70"/>
      <c r="K342" s="70"/>
      <c r="L342" s="71"/>
      <c r="M342" s="72"/>
      <c r="P342" s="72"/>
    </row>
    <row r="343">
      <c r="B343" s="68"/>
      <c r="D343" s="69"/>
      <c r="H343" s="70"/>
      <c r="K343" s="70"/>
      <c r="L343" s="71"/>
      <c r="M343" s="72"/>
      <c r="P343" s="72"/>
    </row>
    <row r="344">
      <c r="B344" s="68"/>
      <c r="D344" s="69"/>
      <c r="H344" s="70"/>
      <c r="K344" s="70"/>
      <c r="L344" s="71"/>
      <c r="M344" s="72"/>
      <c r="P344" s="72"/>
    </row>
    <row r="345">
      <c r="B345" s="68"/>
      <c r="D345" s="69"/>
      <c r="H345" s="70"/>
      <c r="K345" s="70"/>
      <c r="L345" s="71"/>
      <c r="M345" s="72"/>
      <c r="P345" s="72"/>
    </row>
    <row r="346">
      <c r="B346" s="68"/>
      <c r="D346" s="69"/>
      <c r="H346" s="70"/>
      <c r="K346" s="70"/>
      <c r="L346" s="71"/>
      <c r="M346" s="72"/>
      <c r="P346" s="72"/>
    </row>
    <row r="347">
      <c r="B347" s="68"/>
      <c r="D347" s="69"/>
      <c r="H347" s="70"/>
      <c r="K347" s="70"/>
      <c r="L347" s="71"/>
      <c r="M347" s="72"/>
      <c r="P347" s="72"/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  <row r="966">
      <c r="B966" s="68"/>
      <c r="D966" s="69"/>
      <c r="H966" s="70"/>
      <c r="K966" s="70"/>
      <c r="L966" s="71"/>
      <c r="M966" s="72"/>
      <c r="P966" s="72"/>
    </row>
    <row r="967">
      <c r="B967" s="68"/>
      <c r="D967" s="69"/>
      <c r="H967" s="70"/>
      <c r="K967" s="70"/>
      <c r="L967" s="71"/>
      <c r="M967" s="72"/>
      <c r="P967" s="72"/>
    </row>
    <row r="968">
      <c r="B968" s="68"/>
      <c r="D968" s="69"/>
      <c r="H968" s="70"/>
      <c r="K968" s="70"/>
      <c r="L968" s="71"/>
      <c r="M968" s="72"/>
      <c r="P968" s="72"/>
    </row>
  </sheetData>
  <autoFilter ref="$A$1:$AA$968"/>
  <drawing r:id="rId4"/>
  <legacy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>
        <v>45807.0</v>
      </c>
      <c r="B2" s="11">
        <v>45810.0</v>
      </c>
      <c r="C2" s="12">
        <f>VLOOKUP(B:B,'Курс валют'!A:D,4,0)</f>
        <v>89.2512</v>
      </c>
      <c r="D2" s="54" t="s">
        <v>2158</v>
      </c>
      <c r="E2" s="75" t="s">
        <v>118</v>
      </c>
      <c r="F2" s="12">
        <v>148.0</v>
      </c>
      <c r="G2" s="12">
        <v>150.11</v>
      </c>
      <c r="H2" s="17">
        <v>0.0</v>
      </c>
      <c r="I2" s="15">
        <f t="shared" ref="I2:I83" si="1">G2-F2</f>
        <v>2.11</v>
      </c>
      <c r="J2" s="18">
        <f t="shared" ref="J2:J83" si="2">I2/F2*100</f>
        <v>1.425675676</v>
      </c>
      <c r="K2" s="56">
        <v>2.59</v>
      </c>
      <c r="L2" s="19">
        <f t="shared" ref="L2:L84" si="3">H2/F2*100</f>
        <v>0</v>
      </c>
      <c r="M2" s="20">
        <f t="shared" ref="M2:M84" si="4">P2/F2</f>
        <v>231.160608</v>
      </c>
      <c r="N2" s="21">
        <f t="shared" ref="N2:N46" si="5">(F2*K2-H2*3.04)/F2</f>
        <v>2.59</v>
      </c>
      <c r="O2" s="21">
        <f t="shared" ref="O2:O84" si="6">N2*F2</f>
        <v>383.32</v>
      </c>
      <c r="P2" s="22">
        <f t="shared" ref="P2:P84" si="7">O2*C2</f>
        <v>34211.76998</v>
      </c>
      <c r="R2" s="23"/>
      <c r="S2" s="24"/>
      <c r="T2" s="25"/>
      <c r="U2" s="25"/>
      <c r="V2" s="25"/>
      <c r="W2" s="25"/>
      <c r="X2" s="25"/>
      <c r="Y2" s="25"/>
      <c r="Z2" s="25"/>
      <c r="AA2" s="25"/>
    </row>
    <row r="3">
      <c r="A3" s="11">
        <v>45808.0</v>
      </c>
      <c r="B3" s="11">
        <v>45809.0</v>
      </c>
      <c r="C3" s="12">
        <f>VLOOKUP(B:B,'Курс валют'!A:D,4,0)</f>
        <v>89.2512</v>
      </c>
      <c r="D3" s="13" t="s">
        <v>2159</v>
      </c>
      <c r="E3" s="75" t="s">
        <v>18</v>
      </c>
      <c r="F3" s="15">
        <v>11000.0</v>
      </c>
      <c r="G3" s="15">
        <v>11021.0</v>
      </c>
      <c r="H3" s="17">
        <v>5023.0</v>
      </c>
      <c r="I3" s="15">
        <f t="shared" si="1"/>
        <v>21</v>
      </c>
      <c r="J3" s="18">
        <f t="shared" si="2"/>
        <v>0.1909090909</v>
      </c>
      <c r="K3" s="17">
        <v>3.84</v>
      </c>
      <c r="L3" s="19">
        <f t="shared" si="3"/>
        <v>45.66363636</v>
      </c>
      <c r="M3" s="20">
        <f t="shared" si="4"/>
        <v>218.828364</v>
      </c>
      <c r="N3" s="21">
        <f t="shared" si="5"/>
        <v>2.451825455</v>
      </c>
      <c r="O3" s="21">
        <f t="shared" si="6"/>
        <v>26970.08</v>
      </c>
      <c r="P3" s="22">
        <f t="shared" si="7"/>
        <v>2407112.004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11">
        <v>45809.0</v>
      </c>
      <c r="B4" s="11">
        <v>45810.0</v>
      </c>
      <c r="C4" s="12">
        <f>VLOOKUP(B:B,'Курс валют'!A:D,4,0)</f>
        <v>89.2512</v>
      </c>
      <c r="D4" s="13" t="s">
        <v>2160</v>
      </c>
      <c r="E4" s="75" t="s">
        <v>18</v>
      </c>
      <c r="F4" s="15">
        <v>11000.0</v>
      </c>
      <c r="G4" s="15">
        <v>11022.0</v>
      </c>
      <c r="H4" s="17">
        <v>5022.0</v>
      </c>
      <c r="I4" s="15">
        <f t="shared" si="1"/>
        <v>22</v>
      </c>
      <c r="J4" s="18">
        <f t="shared" si="2"/>
        <v>0.2</v>
      </c>
      <c r="K4" s="17">
        <v>3.84</v>
      </c>
      <c r="L4" s="19">
        <f t="shared" si="3"/>
        <v>45.65454545</v>
      </c>
      <c r="M4" s="20">
        <f t="shared" si="4"/>
        <v>218.8530298</v>
      </c>
      <c r="N4" s="21">
        <f t="shared" si="5"/>
        <v>2.452101818</v>
      </c>
      <c r="O4" s="21">
        <f t="shared" si="6"/>
        <v>26973.12</v>
      </c>
      <c r="P4" s="22">
        <f t="shared" si="7"/>
        <v>2407383.328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11">
        <v>45809.0</v>
      </c>
      <c r="B5" s="11">
        <v>45810.0</v>
      </c>
      <c r="C5" s="12">
        <f>VLOOKUP(B:B,'Курс валют'!A:D,4,0)</f>
        <v>89.2512</v>
      </c>
      <c r="D5" s="13" t="s">
        <v>2161</v>
      </c>
      <c r="E5" s="59" t="s">
        <v>60</v>
      </c>
      <c r="F5" s="15">
        <v>1000.0</v>
      </c>
      <c r="G5" s="15">
        <v>1016.0</v>
      </c>
      <c r="H5" s="17">
        <v>0.0</v>
      </c>
      <c r="I5" s="15">
        <f t="shared" si="1"/>
        <v>16</v>
      </c>
      <c r="J5" s="18">
        <f t="shared" si="2"/>
        <v>1.6</v>
      </c>
      <c r="K5" s="17">
        <v>2.69</v>
      </c>
      <c r="L5" s="19">
        <f t="shared" si="3"/>
        <v>0</v>
      </c>
      <c r="M5" s="20">
        <f t="shared" si="4"/>
        <v>240.085728</v>
      </c>
      <c r="N5" s="21">
        <f t="shared" si="5"/>
        <v>2.69</v>
      </c>
      <c r="O5" s="21">
        <f t="shared" si="6"/>
        <v>2690</v>
      </c>
      <c r="P5" s="22">
        <f t="shared" si="7"/>
        <v>240085.728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11">
        <v>45810.0</v>
      </c>
      <c r="B6" s="11">
        <v>45811.0</v>
      </c>
      <c r="C6" s="12">
        <f>VLOOKUP(B:B,'Курс валют'!A:D,4,0)</f>
        <v>90.377</v>
      </c>
      <c r="D6" s="13" t="s">
        <v>2162</v>
      </c>
      <c r="E6" s="59" t="s">
        <v>60</v>
      </c>
      <c r="F6" s="15">
        <v>2000.0</v>
      </c>
      <c r="G6" s="15">
        <v>2032.6</v>
      </c>
      <c r="H6" s="17">
        <v>945.0</v>
      </c>
      <c r="I6" s="15">
        <f t="shared" si="1"/>
        <v>32.6</v>
      </c>
      <c r="J6" s="18">
        <f t="shared" si="2"/>
        <v>1.63</v>
      </c>
      <c r="K6" s="17">
        <v>3.89</v>
      </c>
      <c r="L6" s="19">
        <f t="shared" si="3"/>
        <v>47.25</v>
      </c>
      <c r="M6" s="20">
        <f t="shared" si="4"/>
        <v>221.7490072</v>
      </c>
      <c r="N6" s="21">
        <f t="shared" si="5"/>
        <v>2.4536</v>
      </c>
      <c r="O6" s="21">
        <f t="shared" si="6"/>
        <v>4907.2</v>
      </c>
      <c r="P6" s="22">
        <f t="shared" si="7"/>
        <v>443498.0144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11">
        <v>45810.0</v>
      </c>
      <c r="B7" s="11">
        <v>45811.0</v>
      </c>
      <c r="C7" s="12">
        <f>VLOOKUP(B:B,'Курс валют'!A:D,4,0)</f>
        <v>90.377</v>
      </c>
      <c r="D7" s="13" t="s">
        <v>2163</v>
      </c>
      <c r="E7" s="59" t="s">
        <v>18</v>
      </c>
      <c r="F7" s="15">
        <v>11000.0</v>
      </c>
      <c r="G7" s="15">
        <v>11062.5</v>
      </c>
      <c r="H7" s="17">
        <v>5044.0</v>
      </c>
      <c r="I7" s="15">
        <f t="shared" si="1"/>
        <v>62.5</v>
      </c>
      <c r="J7" s="18">
        <f t="shared" si="2"/>
        <v>0.5681818182</v>
      </c>
      <c r="K7" s="17">
        <v>3.61</v>
      </c>
      <c r="L7" s="19">
        <f t="shared" si="3"/>
        <v>45.85454545</v>
      </c>
      <c r="M7" s="20">
        <f t="shared" si="4"/>
        <v>200.2774039</v>
      </c>
      <c r="N7" s="21">
        <f t="shared" si="5"/>
        <v>2.216021818</v>
      </c>
      <c r="O7" s="21">
        <f t="shared" si="6"/>
        <v>24376.24</v>
      </c>
      <c r="P7" s="22">
        <f t="shared" si="7"/>
        <v>2203051.442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11">
        <v>45811.0</v>
      </c>
      <c r="B8" s="11">
        <v>45812.0</v>
      </c>
      <c r="C8" s="12">
        <f>VLOOKUP(B:B,'Курс валют'!A:D,4,0)</f>
        <v>89.9267</v>
      </c>
      <c r="D8" s="13" t="s">
        <v>2164</v>
      </c>
      <c r="E8" s="77" t="s">
        <v>2165</v>
      </c>
      <c r="F8" s="15">
        <v>471.33</v>
      </c>
      <c r="G8" s="15">
        <v>481.5</v>
      </c>
      <c r="H8" s="17">
        <v>0.0</v>
      </c>
      <c r="I8" s="15">
        <f t="shared" si="1"/>
        <v>10.17</v>
      </c>
      <c r="J8" s="18">
        <f t="shared" si="2"/>
        <v>2.157723888</v>
      </c>
      <c r="K8" s="17">
        <v>2.41</v>
      </c>
      <c r="L8" s="19">
        <f t="shared" si="3"/>
        <v>0</v>
      </c>
      <c r="M8" s="20">
        <f t="shared" si="4"/>
        <v>216.723347</v>
      </c>
      <c r="N8" s="21">
        <f t="shared" si="5"/>
        <v>2.41</v>
      </c>
      <c r="O8" s="21">
        <f t="shared" si="6"/>
        <v>1135.9053</v>
      </c>
      <c r="P8" s="22">
        <f t="shared" si="7"/>
        <v>102148.2151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11">
        <v>45811.0</v>
      </c>
      <c r="B9" s="11">
        <v>45812.0</v>
      </c>
      <c r="C9" s="12">
        <f>VLOOKUP(B:B,'Курс валют'!A:D,4,0)</f>
        <v>89.9267</v>
      </c>
      <c r="D9" s="13" t="s">
        <v>2166</v>
      </c>
      <c r="E9" s="77" t="s">
        <v>2167</v>
      </c>
      <c r="F9" s="15">
        <v>1980.0</v>
      </c>
      <c r="G9" s="15">
        <v>2012.0</v>
      </c>
      <c r="H9" s="17">
        <v>0.0</v>
      </c>
      <c r="I9" s="15">
        <f t="shared" si="1"/>
        <v>32</v>
      </c>
      <c r="J9" s="18">
        <f t="shared" si="2"/>
        <v>1.616161616</v>
      </c>
      <c r="K9" s="17">
        <v>2.78</v>
      </c>
      <c r="L9" s="19">
        <f t="shared" si="3"/>
        <v>0</v>
      </c>
      <c r="M9" s="20">
        <f t="shared" si="4"/>
        <v>249.996226</v>
      </c>
      <c r="N9" s="21">
        <f t="shared" si="5"/>
        <v>2.78</v>
      </c>
      <c r="O9" s="21">
        <f t="shared" si="6"/>
        <v>5504.4</v>
      </c>
      <c r="P9" s="22">
        <f t="shared" si="7"/>
        <v>494992.5275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11">
        <v>45812.0</v>
      </c>
      <c r="B10" s="11">
        <v>45813.0</v>
      </c>
      <c r="C10" s="12">
        <f>VLOOKUP(B:B,'Курс валют'!A:D,4,0)</f>
        <v>89.3108</v>
      </c>
      <c r="D10" s="13" t="s">
        <v>2168</v>
      </c>
      <c r="E10" s="77" t="s">
        <v>61</v>
      </c>
      <c r="F10" s="15">
        <v>11000.0</v>
      </c>
      <c r="G10" s="15">
        <v>11083.0</v>
      </c>
      <c r="H10" s="17">
        <v>4605.0</v>
      </c>
      <c r="I10" s="15">
        <f t="shared" si="1"/>
        <v>83</v>
      </c>
      <c r="J10" s="18">
        <f t="shared" si="2"/>
        <v>0.7545454545</v>
      </c>
      <c r="K10" s="17">
        <v>3.6</v>
      </c>
      <c r="L10" s="19">
        <f t="shared" si="3"/>
        <v>41.86363636</v>
      </c>
      <c r="M10" s="20">
        <f t="shared" si="4"/>
        <v>207.8570844</v>
      </c>
      <c r="N10" s="21">
        <f t="shared" si="5"/>
        <v>2.327345455</v>
      </c>
      <c r="O10" s="21">
        <f t="shared" si="6"/>
        <v>25600.8</v>
      </c>
      <c r="P10" s="22">
        <f t="shared" si="7"/>
        <v>2286427.929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11">
        <v>45812.0</v>
      </c>
      <c r="B11" s="11">
        <v>45813.0</v>
      </c>
      <c r="C11" s="12">
        <f>VLOOKUP(B:B,'Курс валют'!A:D,4,0)</f>
        <v>89.3108</v>
      </c>
      <c r="D11" s="13" t="s">
        <v>2169</v>
      </c>
      <c r="E11" s="77" t="s">
        <v>2057</v>
      </c>
      <c r="F11" s="15">
        <v>2200.0</v>
      </c>
      <c r="G11" s="15">
        <v>2241.1</v>
      </c>
      <c r="H11" s="17">
        <v>880.0</v>
      </c>
      <c r="I11" s="15">
        <f t="shared" si="1"/>
        <v>41.1</v>
      </c>
      <c r="J11" s="18">
        <f t="shared" si="2"/>
        <v>1.868181818</v>
      </c>
      <c r="K11" s="17">
        <v>3.15</v>
      </c>
      <c r="L11" s="19">
        <f t="shared" si="3"/>
        <v>40</v>
      </c>
      <c r="M11" s="20">
        <f t="shared" si="4"/>
        <v>172.7270872</v>
      </c>
      <c r="N11" s="21">
        <f t="shared" si="5"/>
        <v>1.934</v>
      </c>
      <c r="O11" s="21">
        <f t="shared" si="6"/>
        <v>4254.8</v>
      </c>
      <c r="P11" s="22">
        <f t="shared" si="7"/>
        <v>379999.5918</v>
      </c>
      <c r="R11" s="79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11">
        <v>45812.0</v>
      </c>
      <c r="B12" s="11">
        <v>45813.0</v>
      </c>
      <c r="C12" s="12">
        <f>VLOOKUP(B:B,'Курс валют'!A:D,4,0)</f>
        <v>89.3108</v>
      </c>
      <c r="D12" s="13" t="s">
        <v>2170</v>
      </c>
      <c r="E12" s="77" t="s">
        <v>2057</v>
      </c>
      <c r="F12" s="15">
        <v>2200.0</v>
      </c>
      <c r="G12" s="15">
        <v>2241.1</v>
      </c>
      <c r="H12" s="17">
        <v>880.0</v>
      </c>
      <c r="I12" s="15">
        <f t="shared" si="1"/>
        <v>41.1</v>
      </c>
      <c r="J12" s="18">
        <f t="shared" si="2"/>
        <v>1.868181818</v>
      </c>
      <c r="K12" s="17">
        <v>3.15</v>
      </c>
      <c r="L12" s="19">
        <f t="shared" si="3"/>
        <v>40</v>
      </c>
      <c r="M12" s="20">
        <f t="shared" si="4"/>
        <v>172.7270872</v>
      </c>
      <c r="N12" s="21">
        <f t="shared" si="5"/>
        <v>1.934</v>
      </c>
      <c r="O12" s="21">
        <f t="shared" si="6"/>
        <v>4254.8</v>
      </c>
      <c r="P12" s="22">
        <f t="shared" si="7"/>
        <v>379999.5918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11">
        <v>45813.0</v>
      </c>
      <c r="B13" s="11">
        <v>45814.0</v>
      </c>
      <c r="C13" s="12">
        <f>VLOOKUP(B:B,'Курс валют'!A:D,4,0)</f>
        <v>90.6635</v>
      </c>
      <c r="D13" s="13" t="s">
        <v>2171</v>
      </c>
      <c r="E13" s="77" t="s">
        <v>61</v>
      </c>
      <c r="F13" s="15">
        <v>7700.0</v>
      </c>
      <c r="G13" s="15">
        <v>7770.0</v>
      </c>
      <c r="H13" s="17">
        <v>3227.0</v>
      </c>
      <c r="I13" s="15">
        <f t="shared" si="1"/>
        <v>70</v>
      </c>
      <c r="J13" s="18">
        <f t="shared" si="2"/>
        <v>0.9090909091</v>
      </c>
      <c r="K13" s="17">
        <v>3.84</v>
      </c>
      <c r="L13" s="19">
        <f t="shared" si="3"/>
        <v>41.90909091</v>
      </c>
      <c r="M13" s="20">
        <f t="shared" si="4"/>
        <v>232.6392441</v>
      </c>
      <c r="N13" s="21">
        <f t="shared" si="5"/>
        <v>2.565963636</v>
      </c>
      <c r="O13" s="21">
        <f t="shared" si="6"/>
        <v>19757.92</v>
      </c>
      <c r="P13" s="22">
        <f t="shared" si="7"/>
        <v>1791322.18</v>
      </c>
      <c r="R13" s="23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11">
        <v>45813.0</v>
      </c>
      <c r="B14" s="11">
        <v>45814.0</v>
      </c>
      <c r="C14" s="12">
        <f>VLOOKUP(B:B,'Курс валют'!A:D,4,0)</f>
        <v>90.6635</v>
      </c>
      <c r="D14" s="13" t="s">
        <v>2172</v>
      </c>
      <c r="E14" s="77" t="s">
        <v>60</v>
      </c>
      <c r="F14" s="15">
        <v>2000.0</v>
      </c>
      <c r="G14" s="15">
        <v>2032.7</v>
      </c>
      <c r="H14" s="17">
        <v>945.0</v>
      </c>
      <c r="I14" s="15">
        <f t="shared" si="1"/>
        <v>32.7</v>
      </c>
      <c r="J14" s="18">
        <f t="shared" si="2"/>
        <v>1.635</v>
      </c>
      <c r="K14" s="17">
        <v>3.77</v>
      </c>
      <c r="L14" s="19">
        <f t="shared" si="3"/>
        <v>47.25</v>
      </c>
      <c r="M14" s="20">
        <f t="shared" si="4"/>
        <v>211.5723436</v>
      </c>
      <c r="N14" s="21">
        <f t="shared" si="5"/>
        <v>2.3336</v>
      </c>
      <c r="O14" s="21">
        <f t="shared" si="6"/>
        <v>4667.2</v>
      </c>
      <c r="P14" s="22">
        <f t="shared" si="7"/>
        <v>423144.6872</v>
      </c>
      <c r="R14" s="23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11">
        <v>45814.0</v>
      </c>
      <c r="B15" s="11">
        <v>45815.0</v>
      </c>
      <c r="C15" s="12">
        <f>VLOOKUP(B:B,'Курс валют'!A:D,4,0)</f>
        <v>90.3954</v>
      </c>
      <c r="D15" s="13" t="s">
        <v>2173</v>
      </c>
      <c r="E15" s="77" t="s">
        <v>61</v>
      </c>
      <c r="F15" s="15">
        <v>11000.0</v>
      </c>
      <c r="G15" s="15">
        <v>11100.0</v>
      </c>
      <c r="H15" s="17">
        <v>4610.0</v>
      </c>
      <c r="I15" s="15">
        <f t="shared" si="1"/>
        <v>100</v>
      </c>
      <c r="J15" s="18">
        <f t="shared" si="2"/>
        <v>0.9090909091</v>
      </c>
      <c r="K15" s="17">
        <v>3.59</v>
      </c>
      <c r="L15" s="19">
        <f t="shared" si="3"/>
        <v>41.90909091</v>
      </c>
      <c r="M15" s="20">
        <f t="shared" si="4"/>
        <v>209.3524593</v>
      </c>
      <c r="N15" s="21">
        <f t="shared" si="5"/>
        <v>2.315963636</v>
      </c>
      <c r="O15" s="21">
        <f t="shared" si="6"/>
        <v>25475.6</v>
      </c>
      <c r="P15" s="22">
        <f t="shared" si="7"/>
        <v>2302877.052</v>
      </c>
      <c r="R15" s="23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30">
        <v>45814.0</v>
      </c>
      <c r="B16" s="11">
        <v>45815.0</v>
      </c>
      <c r="C16" s="12">
        <f>VLOOKUP(B:B,'Курс валют'!A:D,4,0)</f>
        <v>90.3954</v>
      </c>
      <c r="D16" s="13" t="s">
        <v>2174</v>
      </c>
      <c r="E16" s="77" t="s">
        <v>2057</v>
      </c>
      <c r="F16" s="15">
        <v>2200.0</v>
      </c>
      <c r="G16" s="15">
        <v>2241.1</v>
      </c>
      <c r="H16" s="17">
        <v>880.0</v>
      </c>
      <c r="I16" s="15">
        <f t="shared" si="1"/>
        <v>41.1</v>
      </c>
      <c r="J16" s="18">
        <f t="shared" si="2"/>
        <v>1.868181818</v>
      </c>
      <c r="K16" s="17">
        <v>3.12</v>
      </c>
      <c r="L16" s="19">
        <f t="shared" si="3"/>
        <v>40</v>
      </c>
      <c r="M16" s="20">
        <f t="shared" si="4"/>
        <v>172.1128416</v>
      </c>
      <c r="N16" s="21">
        <f t="shared" si="5"/>
        <v>1.904</v>
      </c>
      <c r="O16" s="21">
        <f t="shared" si="6"/>
        <v>4188.8</v>
      </c>
      <c r="P16" s="22">
        <f t="shared" si="7"/>
        <v>378648.2515</v>
      </c>
      <c r="R16" s="31"/>
      <c r="S16" s="24"/>
      <c r="T16" s="32"/>
      <c r="U16" s="32"/>
      <c r="V16" s="32"/>
      <c r="W16" s="32"/>
      <c r="X16" s="32"/>
      <c r="Y16" s="32"/>
      <c r="Z16" s="32"/>
      <c r="AA16" s="32"/>
    </row>
    <row r="17">
      <c r="A17" s="30">
        <v>45814.0</v>
      </c>
      <c r="B17" s="11">
        <v>45815.0</v>
      </c>
      <c r="C17" s="12">
        <f>VLOOKUP(B:B,'Курс валют'!A:D,4,0)</f>
        <v>90.3954</v>
      </c>
      <c r="D17" s="13" t="s">
        <v>2175</v>
      </c>
      <c r="E17" s="59" t="s">
        <v>2057</v>
      </c>
      <c r="F17" s="15">
        <v>2200.0</v>
      </c>
      <c r="G17" s="15">
        <v>2241.1</v>
      </c>
      <c r="H17" s="17">
        <v>880.0</v>
      </c>
      <c r="I17" s="15">
        <f t="shared" si="1"/>
        <v>41.1</v>
      </c>
      <c r="J17" s="18">
        <f t="shared" si="2"/>
        <v>1.868181818</v>
      </c>
      <c r="K17" s="17">
        <v>3.12</v>
      </c>
      <c r="L17" s="19">
        <f t="shared" si="3"/>
        <v>40</v>
      </c>
      <c r="M17" s="20">
        <f t="shared" si="4"/>
        <v>172.1128416</v>
      </c>
      <c r="N17" s="21">
        <f t="shared" si="5"/>
        <v>1.904</v>
      </c>
      <c r="O17" s="21">
        <f t="shared" si="6"/>
        <v>4188.8</v>
      </c>
      <c r="P17" s="22">
        <f t="shared" si="7"/>
        <v>378648.2515</v>
      </c>
      <c r="R17" s="31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>
        <v>45815.0</v>
      </c>
      <c r="B18" s="11">
        <v>45816.0</v>
      </c>
      <c r="C18" s="12">
        <f>VLOOKUP(B:B,'Курс валют'!A:D,4,0)</f>
        <v>90.3954</v>
      </c>
      <c r="D18" s="13" t="s">
        <v>2176</v>
      </c>
      <c r="E18" s="59" t="s">
        <v>61</v>
      </c>
      <c r="F18" s="15">
        <v>11000.0</v>
      </c>
      <c r="G18" s="15">
        <v>11100.0</v>
      </c>
      <c r="H18" s="17">
        <v>4149.0</v>
      </c>
      <c r="I18" s="15">
        <f t="shared" si="1"/>
        <v>100</v>
      </c>
      <c r="J18" s="18">
        <f t="shared" si="2"/>
        <v>0.9090909091</v>
      </c>
      <c r="K18" s="17">
        <v>3.71</v>
      </c>
      <c r="L18" s="19">
        <f t="shared" si="3"/>
        <v>37.71818182</v>
      </c>
      <c r="M18" s="20">
        <f t="shared" si="4"/>
        <v>231.71661</v>
      </c>
      <c r="N18" s="21">
        <f t="shared" si="5"/>
        <v>2.563367273</v>
      </c>
      <c r="O18" s="21">
        <f t="shared" si="6"/>
        <v>28197.04</v>
      </c>
      <c r="P18" s="22">
        <f t="shared" si="7"/>
        <v>2548882.71</v>
      </c>
      <c r="R18" s="31"/>
      <c r="S18" s="24"/>
      <c r="T18" s="25"/>
      <c r="U18" s="25"/>
      <c r="V18" s="25"/>
      <c r="W18" s="25"/>
      <c r="X18" s="25"/>
      <c r="Y18" s="25"/>
      <c r="Z18" s="25"/>
      <c r="AA18" s="25"/>
    </row>
    <row r="19">
      <c r="A19" s="30">
        <v>45815.0</v>
      </c>
      <c r="B19" s="11">
        <v>45816.0</v>
      </c>
      <c r="C19" s="12">
        <f>VLOOKUP(B:B,'Курс валют'!A:D,4,0)</f>
        <v>90.3954</v>
      </c>
      <c r="D19" s="13" t="s">
        <v>2177</v>
      </c>
      <c r="E19" s="59" t="s">
        <v>2057</v>
      </c>
      <c r="F19" s="15">
        <v>2200.0</v>
      </c>
      <c r="G19" s="15">
        <v>2253.1</v>
      </c>
      <c r="H19" s="17">
        <v>892.0</v>
      </c>
      <c r="I19" s="15">
        <f t="shared" si="1"/>
        <v>53.1</v>
      </c>
      <c r="J19" s="18">
        <f t="shared" si="2"/>
        <v>2.413636364</v>
      </c>
      <c r="K19" s="17">
        <v>3.26</v>
      </c>
      <c r="L19" s="19">
        <f t="shared" si="3"/>
        <v>40.54545455</v>
      </c>
      <c r="M19" s="20">
        <f t="shared" si="4"/>
        <v>183.2692775</v>
      </c>
      <c r="N19" s="21">
        <f t="shared" si="5"/>
        <v>2.027418182</v>
      </c>
      <c r="O19" s="21">
        <f t="shared" si="6"/>
        <v>4460.32</v>
      </c>
      <c r="P19" s="22">
        <f t="shared" si="7"/>
        <v>403192.4105</v>
      </c>
      <c r="R19" s="31"/>
      <c r="S19" s="24"/>
      <c r="T19" s="32"/>
      <c r="U19" s="32"/>
      <c r="V19" s="32"/>
      <c r="W19" s="32"/>
      <c r="X19" s="32"/>
      <c r="Y19" s="32"/>
      <c r="Z19" s="32"/>
      <c r="AA19" s="32"/>
    </row>
    <row r="20">
      <c r="A20" s="30">
        <v>45815.0</v>
      </c>
      <c r="B20" s="11">
        <v>45816.0</v>
      </c>
      <c r="C20" s="12">
        <f>VLOOKUP(B:B,'Курс валют'!A:D,4,0)</f>
        <v>90.3954</v>
      </c>
      <c r="D20" s="13" t="s">
        <v>2178</v>
      </c>
      <c r="E20" s="59" t="s">
        <v>2057</v>
      </c>
      <c r="F20" s="15">
        <v>2200.0</v>
      </c>
      <c r="G20" s="15">
        <v>2253.1</v>
      </c>
      <c r="H20" s="17">
        <v>892.0</v>
      </c>
      <c r="I20" s="15">
        <f t="shared" si="1"/>
        <v>53.1</v>
      </c>
      <c r="J20" s="18">
        <f t="shared" si="2"/>
        <v>2.413636364</v>
      </c>
      <c r="K20" s="17">
        <v>3.26</v>
      </c>
      <c r="L20" s="19">
        <f t="shared" si="3"/>
        <v>40.54545455</v>
      </c>
      <c r="M20" s="20">
        <f t="shared" si="4"/>
        <v>183.2692775</v>
      </c>
      <c r="N20" s="21">
        <f t="shared" si="5"/>
        <v>2.027418182</v>
      </c>
      <c r="O20" s="21">
        <f t="shared" si="6"/>
        <v>4460.32</v>
      </c>
      <c r="P20" s="22">
        <f t="shared" si="7"/>
        <v>403192.4105</v>
      </c>
      <c r="R20" s="31"/>
      <c r="S20" s="24"/>
      <c r="T20" s="32"/>
      <c r="U20" s="32"/>
      <c r="V20" s="32"/>
      <c r="W20" s="32"/>
      <c r="X20" s="32"/>
      <c r="Y20" s="32"/>
      <c r="Z20" s="32"/>
      <c r="AA20" s="32"/>
    </row>
    <row r="21">
      <c r="A21" s="30">
        <v>45816.0</v>
      </c>
      <c r="B21" s="11">
        <v>45817.0</v>
      </c>
      <c r="C21" s="12">
        <f>VLOOKUP(B:B,'Курс валют'!A:D,4,0)</f>
        <v>90.3954</v>
      </c>
      <c r="D21" s="13" t="s">
        <v>2179</v>
      </c>
      <c r="E21" s="59" t="s">
        <v>61</v>
      </c>
      <c r="F21" s="15">
        <v>9900.0</v>
      </c>
      <c r="G21" s="15">
        <v>9990.0</v>
      </c>
      <c r="H21" s="17">
        <v>4149.0</v>
      </c>
      <c r="I21" s="15">
        <f t="shared" si="1"/>
        <v>90</v>
      </c>
      <c r="J21" s="18">
        <f t="shared" si="2"/>
        <v>0.9090909091</v>
      </c>
      <c r="K21" s="17">
        <v>3.72</v>
      </c>
      <c r="L21" s="19">
        <f t="shared" si="3"/>
        <v>41.90909091</v>
      </c>
      <c r="M21" s="20">
        <f t="shared" si="4"/>
        <v>221.1038613</v>
      </c>
      <c r="N21" s="21">
        <f t="shared" si="5"/>
        <v>2.445963636</v>
      </c>
      <c r="O21" s="21">
        <f t="shared" si="6"/>
        <v>24215.04</v>
      </c>
      <c r="P21" s="22">
        <f t="shared" si="7"/>
        <v>2188928.227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>
        <v>45816.0</v>
      </c>
      <c r="B22" s="11">
        <v>45817.0</v>
      </c>
      <c r="C22" s="12">
        <f>VLOOKUP(B:B,'Курс валют'!A:D,4,0)</f>
        <v>90.3954</v>
      </c>
      <c r="D22" s="13" t="s">
        <v>2180</v>
      </c>
      <c r="E22" s="59" t="s">
        <v>60</v>
      </c>
      <c r="F22" s="15">
        <v>2000.0</v>
      </c>
      <c r="G22" s="15">
        <v>2032.7</v>
      </c>
      <c r="H22" s="17">
        <v>945.0</v>
      </c>
      <c r="I22" s="15">
        <f t="shared" si="1"/>
        <v>32.7</v>
      </c>
      <c r="J22" s="18">
        <f t="shared" si="2"/>
        <v>1.635</v>
      </c>
      <c r="K22" s="17">
        <v>3.75</v>
      </c>
      <c r="L22" s="19">
        <f t="shared" si="3"/>
        <v>47.25</v>
      </c>
      <c r="M22" s="20">
        <f t="shared" si="4"/>
        <v>209.1387974</v>
      </c>
      <c r="N22" s="21">
        <f t="shared" si="5"/>
        <v>2.3136</v>
      </c>
      <c r="O22" s="21">
        <f t="shared" si="6"/>
        <v>4627.2</v>
      </c>
      <c r="P22" s="22">
        <f t="shared" si="7"/>
        <v>418277.5949</v>
      </c>
      <c r="R22" s="31"/>
      <c r="S22" s="24"/>
      <c r="T22" s="25"/>
      <c r="U22" s="25"/>
      <c r="V22" s="25"/>
      <c r="W22" s="25"/>
      <c r="X22" s="25"/>
      <c r="Y22" s="25"/>
      <c r="Z22" s="25"/>
      <c r="AA22" s="25"/>
    </row>
    <row r="23">
      <c r="A23" s="30">
        <v>45817.0</v>
      </c>
      <c r="B23" s="11">
        <v>45818.0</v>
      </c>
      <c r="C23" s="12">
        <f>VLOOKUP(B:B,'Курс валют'!A:D,4,0)</f>
        <v>90.3666</v>
      </c>
      <c r="D23" s="13" t="s">
        <v>2181</v>
      </c>
      <c r="E23" s="77" t="s">
        <v>128</v>
      </c>
      <c r="F23" s="15">
        <v>2200.0</v>
      </c>
      <c r="G23" s="15">
        <v>2237.38</v>
      </c>
      <c r="H23" s="17">
        <v>250.0</v>
      </c>
      <c r="I23" s="15">
        <f t="shared" si="1"/>
        <v>37.38</v>
      </c>
      <c r="J23" s="18">
        <f t="shared" si="2"/>
        <v>1.699090909</v>
      </c>
      <c r="K23" s="17">
        <v>2.4</v>
      </c>
      <c r="L23" s="19">
        <f t="shared" si="3"/>
        <v>11.36363636</v>
      </c>
      <c r="M23" s="20">
        <f t="shared" si="4"/>
        <v>185.6622873</v>
      </c>
      <c r="N23" s="21">
        <f t="shared" si="5"/>
        <v>2.054545455</v>
      </c>
      <c r="O23" s="21">
        <f t="shared" si="6"/>
        <v>4520</v>
      </c>
      <c r="P23" s="22">
        <f t="shared" si="7"/>
        <v>408457.032</v>
      </c>
      <c r="R23" s="23"/>
      <c r="S23" s="24"/>
      <c r="T23" s="25"/>
      <c r="U23" s="25"/>
      <c r="V23" s="25"/>
      <c r="W23" s="25"/>
      <c r="X23" s="25"/>
      <c r="Y23" s="25"/>
      <c r="Z23" s="25"/>
      <c r="AA23" s="25"/>
    </row>
    <row r="24">
      <c r="A24" s="30">
        <v>45817.0</v>
      </c>
      <c r="B24" s="11">
        <v>45818.0</v>
      </c>
      <c r="C24" s="12">
        <f>VLOOKUP(B:B,'Курс валют'!A:D,4,0)</f>
        <v>90.3666</v>
      </c>
      <c r="D24" s="13" t="s">
        <v>2182</v>
      </c>
      <c r="E24" s="59" t="s">
        <v>61</v>
      </c>
      <c r="F24" s="15">
        <v>8800.0</v>
      </c>
      <c r="G24" s="15">
        <v>8880.0</v>
      </c>
      <c r="H24" s="17">
        <v>3688.0</v>
      </c>
      <c r="I24" s="15">
        <f t="shared" si="1"/>
        <v>80</v>
      </c>
      <c r="J24" s="18">
        <f t="shared" si="2"/>
        <v>0.9090909091</v>
      </c>
      <c r="K24" s="17">
        <v>4.08</v>
      </c>
      <c r="L24" s="19">
        <f t="shared" si="3"/>
        <v>41.90909091</v>
      </c>
      <c r="M24" s="20">
        <f t="shared" si="4"/>
        <v>253.5653935</v>
      </c>
      <c r="N24" s="21">
        <f t="shared" si="5"/>
        <v>2.805963636</v>
      </c>
      <c r="O24" s="21">
        <f t="shared" si="6"/>
        <v>24692.48</v>
      </c>
      <c r="P24" s="22">
        <f t="shared" si="7"/>
        <v>2231375.463</v>
      </c>
      <c r="R24" s="23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30"/>
      <c r="B25" s="11">
        <v>45819.0</v>
      </c>
      <c r="C25" s="12">
        <f>VLOOKUP(B:B,'Курс валют'!A:D,4,0)</f>
        <v>89.7918</v>
      </c>
      <c r="D25" s="13" t="s">
        <v>2183</v>
      </c>
      <c r="E25" s="59" t="s">
        <v>128</v>
      </c>
      <c r="F25" s="15">
        <v>2200.0</v>
      </c>
      <c r="G25" s="15">
        <v>2233.0</v>
      </c>
      <c r="H25" s="17">
        <v>250.0</v>
      </c>
      <c r="I25" s="15">
        <f t="shared" si="1"/>
        <v>33</v>
      </c>
      <c r="J25" s="18">
        <f t="shared" si="2"/>
        <v>1.5</v>
      </c>
      <c r="K25" s="17">
        <v>2.4</v>
      </c>
      <c r="L25" s="19">
        <f t="shared" si="3"/>
        <v>11.36363636</v>
      </c>
      <c r="M25" s="20">
        <f t="shared" si="4"/>
        <v>184.4813345</v>
      </c>
      <c r="N25" s="21">
        <f t="shared" si="5"/>
        <v>2.054545455</v>
      </c>
      <c r="O25" s="21">
        <f t="shared" si="6"/>
        <v>4520</v>
      </c>
      <c r="P25" s="22">
        <f t="shared" si="7"/>
        <v>405858.936</v>
      </c>
      <c r="R25" s="23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30"/>
      <c r="B26" s="11">
        <v>45819.0</v>
      </c>
      <c r="C26" s="12">
        <f>VLOOKUP(B:B,'Курс валют'!A:D,4,0)</f>
        <v>89.7918</v>
      </c>
      <c r="D26" s="13" t="s">
        <v>2184</v>
      </c>
      <c r="E26" s="59" t="s">
        <v>54</v>
      </c>
      <c r="F26" s="15">
        <v>8000.0</v>
      </c>
      <c r="G26" s="15">
        <v>8120.0</v>
      </c>
      <c r="H26" s="17">
        <v>0.0</v>
      </c>
      <c r="I26" s="15">
        <f t="shared" si="1"/>
        <v>120</v>
      </c>
      <c r="J26" s="18">
        <f t="shared" si="2"/>
        <v>1.5</v>
      </c>
      <c r="K26" s="17">
        <v>1.89</v>
      </c>
      <c r="L26" s="19">
        <f t="shared" si="3"/>
        <v>0</v>
      </c>
      <c r="M26" s="20">
        <f t="shared" si="4"/>
        <v>169.706502</v>
      </c>
      <c r="N26" s="21">
        <f t="shared" si="5"/>
        <v>1.89</v>
      </c>
      <c r="O26" s="21">
        <f t="shared" si="6"/>
        <v>15120</v>
      </c>
      <c r="P26" s="22">
        <f t="shared" si="7"/>
        <v>1357652.016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30"/>
      <c r="B27" s="11">
        <v>45820.0</v>
      </c>
      <c r="C27" s="12">
        <f>VLOOKUP(B:B,'Курс валют'!A:D,4,0)</f>
        <v>90.0068</v>
      </c>
      <c r="D27" s="13" t="s">
        <v>2185</v>
      </c>
      <c r="E27" s="59" t="s">
        <v>2022</v>
      </c>
      <c r="F27" s="15">
        <v>8000.0</v>
      </c>
      <c r="G27" s="15">
        <v>8121.0</v>
      </c>
      <c r="H27" s="17">
        <v>757.0</v>
      </c>
      <c r="I27" s="15">
        <f t="shared" si="1"/>
        <v>121</v>
      </c>
      <c r="J27" s="18">
        <f t="shared" si="2"/>
        <v>1.5125</v>
      </c>
      <c r="K27" s="17">
        <v>2.21</v>
      </c>
      <c r="L27" s="19">
        <f t="shared" si="3"/>
        <v>9.4625</v>
      </c>
      <c r="M27" s="20">
        <f t="shared" si="4"/>
        <v>173.0236719</v>
      </c>
      <c r="N27" s="21">
        <f t="shared" si="5"/>
        <v>1.92234</v>
      </c>
      <c r="O27" s="21">
        <f t="shared" si="6"/>
        <v>15378.72</v>
      </c>
      <c r="P27" s="22">
        <f t="shared" si="7"/>
        <v>1384189.375</v>
      </c>
      <c r="R27" s="23"/>
      <c r="S27" s="57"/>
      <c r="T27" s="25"/>
      <c r="U27" s="25"/>
      <c r="V27" s="25"/>
      <c r="W27" s="25"/>
      <c r="X27" s="25"/>
      <c r="Y27" s="25"/>
      <c r="Z27" s="25"/>
      <c r="AA27" s="25"/>
    </row>
    <row r="28">
      <c r="A28" s="30"/>
      <c r="B28" s="11">
        <v>45820.0</v>
      </c>
      <c r="C28" s="12">
        <f>VLOOKUP(B:B,'Курс валют'!A:D,4,0)</f>
        <v>90.0068</v>
      </c>
      <c r="D28" s="13" t="s">
        <v>2186</v>
      </c>
      <c r="E28" s="77" t="s">
        <v>128</v>
      </c>
      <c r="F28" s="76">
        <v>2200.0</v>
      </c>
      <c r="G28" s="76">
        <v>2232.5</v>
      </c>
      <c r="H28" s="58">
        <v>250.0</v>
      </c>
      <c r="I28" s="15">
        <f t="shared" si="1"/>
        <v>32.5</v>
      </c>
      <c r="J28" s="18">
        <f t="shared" si="2"/>
        <v>1.477272727</v>
      </c>
      <c r="K28" s="58">
        <v>2.46</v>
      </c>
      <c r="L28" s="19">
        <f t="shared" si="3"/>
        <v>11.36363636</v>
      </c>
      <c r="M28" s="20">
        <f t="shared" si="4"/>
        <v>190.3234698</v>
      </c>
      <c r="N28" s="21">
        <f t="shared" si="5"/>
        <v>2.114545455</v>
      </c>
      <c r="O28" s="21">
        <f t="shared" si="6"/>
        <v>4652</v>
      </c>
      <c r="P28" s="22">
        <f t="shared" si="7"/>
        <v>418711.6336</v>
      </c>
      <c r="R28" s="23"/>
      <c r="S28" s="57"/>
      <c r="T28" s="25"/>
      <c r="U28" s="25"/>
      <c r="V28" s="25"/>
      <c r="W28" s="25"/>
      <c r="X28" s="25"/>
      <c r="Y28" s="25"/>
      <c r="Z28" s="25"/>
      <c r="AA28" s="25"/>
    </row>
    <row r="29">
      <c r="A29" s="30"/>
      <c r="B29" s="11">
        <v>45821.0</v>
      </c>
      <c r="C29" s="12">
        <f>VLOOKUP(B:B,'Курс валют'!A:D,4,0)</f>
        <v>90.0068</v>
      </c>
      <c r="D29" s="13" t="s">
        <v>2187</v>
      </c>
      <c r="E29" s="77" t="s">
        <v>57</v>
      </c>
      <c r="F29" s="15">
        <v>3200.0</v>
      </c>
      <c r="G29" s="15">
        <v>3248.0</v>
      </c>
      <c r="H29" s="17">
        <v>0.0</v>
      </c>
      <c r="I29" s="15">
        <f t="shared" si="1"/>
        <v>48</v>
      </c>
      <c r="J29" s="18">
        <f t="shared" si="2"/>
        <v>1.5</v>
      </c>
      <c r="K29" s="17">
        <v>3.19</v>
      </c>
      <c r="L29" s="19">
        <f t="shared" si="3"/>
        <v>0</v>
      </c>
      <c r="M29" s="20">
        <f t="shared" si="4"/>
        <v>287.121692</v>
      </c>
      <c r="N29" s="21">
        <f t="shared" si="5"/>
        <v>3.19</v>
      </c>
      <c r="O29" s="21">
        <f t="shared" si="6"/>
        <v>10208</v>
      </c>
      <c r="P29" s="22">
        <f t="shared" si="7"/>
        <v>918789.4144</v>
      </c>
      <c r="R29" s="23"/>
      <c r="S29" s="57"/>
      <c r="T29" s="25"/>
      <c r="U29" s="25"/>
      <c r="V29" s="25"/>
      <c r="W29" s="25"/>
      <c r="X29" s="25"/>
      <c r="Y29" s="25"/>
      <c r="Z29" s="25"/>
      <c r="AA29" s="25"/>
    </row>
    <row r="30">
      <c r="A30" s="30"/>
      <c r="B30" s="11">
        <v>45821.0</v>
      </c>
      <c r="C30" s="12">
        <f>VLOOKUP(B:B,'Курс валют'!A:D,4,0)</f>
        <v>90.0068</v>
      </c>
      <c r="D30" s="13" t="s">
        <v>2188</v>
      </c>
      <c r="E30" s="77" t="s">
        <v>128</v>
      </c>
      <c r="F30" s="15">
        <v>2200.0</v>
      </c>
      <c r="G30" s="15">
        <v>2233.0</v>
      </c>
      <c r="H30" s="17">
        <v>230.0</v>
      </c>
      <c r="I30" s="15">
        <f t="shared" si="1"/>
        <v>33</v>
      </c>
      <c r="J30" s="18">
        <f t="shared" si="2"/>
        <v>1.5</v>
      </c>
      <c r="K30" s="17">
        <v>2.28</v>
      </c>
      <c r="L30" s="19">
        <f t="shared" si="3"/>
        <v>10.45454545</v>
      </c>
      <c r="M30" s="20">
        <f t="shared" si="4"/>
        <v>176.6097065</v>
      </c>
      <c r="N30" s="21">
        <f t="shared" si="5"/>
        <v>1.962181818</v>
      </c>
      <c r="O30" s="21">
        <f t="shared" si="6"/>
        <v>4316.8</v>
      </c>
      <c r="P30" s="22">
        <f t="shared" si="7"/>
        <v>388541.3542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/>
      <c r="B31" s="11">
        <v>45822.0</v>
      </c>
      <c r="C31" s="12">
        <f>VLOOKUP(B:B,'Курс валют'!A:D,4,0)</f>
        <v>90.0068</v>
      </c>
      <c r="D31" s="13" t="s">
        <v>2189</v>
      </c>
      <c r="E31" s="77" t="s">
        <v>53</v>
      </c>
      <c r="F31" s="15">
        <v>8000.0</v>
      </c>
      <c r="G31" s="13">
        <v>8119.5</v>
      </c>
      <c r="H31" s="17">
        <v>0.0</v>
      </c>
      <c r="I31" s="15">
        <f t="shared" si="1"/>
        <v>119.5</v>
      </c>
      <c r="J31" s="18">
        <f t="shared" si="2"/>
        <v>1.49375</v>
      </c>
      <c r="K31" s="17">
        <v>1.91</v>
      </c>
      <c r="L31" s="19">
        <f t="shared" si="3"/>
        <v>0</v>
      </c>
      <c r="M31" s="20">
        <f t="shared" si="4"/>
        <v>171.912988</v>
      </c>
      <c r="N31" s="21">
        <f t="shared" si="5"/>
        <v>1.91</v>
      </c>
      <c r="O31" s="21">
        <f t="shared" si="6"/>
        <v>15280</v>
      </c>
      <c r="P31" s="22">
        <f t="shared" si="7"/>
        <v>1375303.904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/>
      <c r="B32" s="11">
        <v>45822.0</v>
      </c>
      <c r="C32" s="12">
        <f>VLOOKUP(B:B,'Курс валют'!A:D,4,0)</f>
        <v>90.0068</v>
      </c>
      <c r="D32" s="13" t="s">
        <v>2190</v>
      </c>
      <c r="E32" s="59" t="s">
        <v>2191</v>
      </c>
      <c r="F32" s="15">
        <v>2160.0</v>
      </c>
      <c r="G32" s="13">
        <v>2192.4</v>
      </c>
      <c r="H32" s="17">
        <v>0.0</v>
      </c>
      <c r="I32" s="15">
        <f t="shared" si="1"/>
        <v>32.4</v>
      </c>
      <c r="J32" s="18">
        <f t="shared" si="2"/>
        <v>1.5</v>
      </c>
      <c r="K32" s="17">
        <v>2.83</v>
      </c>
      <c r="L32" s="19">
        <f t="shared" si="3"/>
        <v>0</v>
      </c>
      <c r="M32" s="20">
        <f t="shared" si="4"/>
        <v>254.719244</v>
      </c>
      <c r="N32" s="21">
        <f t="shared" si="5"/>
        <v>2.83</v>
      </c>
      <c r="O32" s="21">
        <f t="shared" si="6"/>
        <v>6112.8</v>
      </c>
      <c r="P32" s="22">
        <f t="shared" si="7"/>
        <v>550193.567</v>
      </c>
      <c r="R32" s="31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/>
      <c r="B33" s="11">
        <v>45823.0</v>
      </c>
      <c r="C33" s="12">
        <f>VLOOKUP(B:B,'Курс валют'!A:D,4,0)</f>
        <v>90.0068</v>
      </c>
      <c r="D33" s="13" t="s">
        <v>2192</v>
      </c>
      <c r="E33" s="59" t="s">
        <v>2193</v>
      </c>
      <c r="F33" s="15">
        <v>1640.0</v>
      </c>
      <c r="G33" s="13">
        <v>1664.6</v>
      </c>
      <c r="H33" s="17">
        <v>0.0</v>
      </c>
      <c r="I33" s="15">
        <f t="shared" si="1"/>
        <v>24.6</v>
      </c>
      <c r="J33" s="18">
        <f t="shared" si="2"/>
        <v>1.5</v>
      </c>
      <c r="K33" s="17">
        <v>2.72</v>
      </c>
      <c r="L33" s="19">
        <f t="shared" si="3"/>
        <v>0</v>
      </c>
      <c r="M33" s="20">
        <f t="shared" si="4"/>
        <v>244.818496</v>
      </c>
      <c r="N33" s="21">
        <f t="shared" si="5"/>
        <v>2.72</v>
      </c>
      <c r="O33" s="21">
        <f t="shared" si="6"/>
        <v>4460.8</v>
      </c>
      <c r="P33" s="22">
        <f t="shared" si="7"/>
        <v>401502.3334</v>
      </c>
      <c r="R33" s="31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30"/>
      <c r="B34" s="11">
        <v>45823.0</v>
      </c>
      <c r="C34" s="12">
        <f>VLOOKUP(B:B,'Курс валют'!A:D,4,0)</f>
        <v>90.0068</v>
      </c>
      <c r="D34" s="13" t="s">
        <v>2194</v>
      </c>
      <c r="E34" s="59" t="s">
        <v>53</v>
      </c>
      <c r="F34" s="15">
        <v>8000.0</v>
      </c>
      <c r="G34" s="13">
        <v>8120.0</v>
      </c>
      <c r="H34" s="17">
        <v>0.0</v>
      </c>
      <c r="I34" s="15">
        <f t="shared" si="1"/>
        <v>120</v>
      </c>
      <c r="J34" s="18">
        <f t="shared" si="2"/>
        <v>1.5</v>
      </c>
      <c r="K34" s="17">
        <v>1.77</v>
      </c>
      <c r="L34" s="19">
        <f t="shared" si="3"/>
        <v>0</v>
      </c>
      <c r="M34" s="20">
        <f t="shared" si="4"/>
        <v>159.312036</v>
      </c>
      <c r="N34" s="21">
        <f t="shared" si="5"/>
        <v>1.77</v>
      </c>
      <c r="O34" s="21">
        <f t="shared" si="6"/>
        <v>14160</v>
      </c>
      <c r="P34" s="22">
        <f t="shared" si="7"/>
        <v>1274496.288</v>
      </c>
      <c r="R34" s="31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30"/>
      <c r="B35" s="11">
        <v>45824.0</v>
      </c>
      <c r="C35" s="12">
        <f>VLOOKUP(B:B,'Курс валют'!A:D,4,0)</f>
        <v>90.0068</v>
      </c>
      <c r="D35" s="13" t="s">
        <v>2195</v>
      </c>
      <c r="E35" s="59" t="s">
        <v>53</v>
      </c>
      <c r="F35" s="15">
        <v>8000.0</v>
      </c>
      <c r="G35" s="13">
        <v>8122.0</v>
      </c>
      <c r="H35" s="17">
        <v>0.0</v>
      </c>
      <c r="I35" s="15">
        <f t="shared" si="1"/>
        <v>122</v>
      </c>
      <c r="J35" s="18">
        <f t="shared" si="2"/>
        <v>1.525</v>
      </c>
      <c r="K35" s="17">
        <v>1.91</v>
      </c>
      <c r="L35" s="19">
        <f t="shared" si="3"/>
        <v>0</v>
      </c>
      <c r="M35" s="20">
        <f t="shared" si="4"/>
        <v>171.912988</v>
      </c>
      <c r="N35" s="21">
        <f t="shared" si="5"/>
        <v>1.91</v>
      </c>
      <c r="O35" s="21">
        <f t="shared" si="6"/>
        <v>15280</v>
      </c>
      <c r="P35" s="22">
        <f t="shared" si="7"/>
        <v>1375303.904</v>
      </c>
      <c r="R35" s="78"/>
      <c r="S35" s="24"/>
      <c r="T35" s="25"/>
      <c r="U35" s="25"/>
      <c r="V35" s="25"/>
      <c r="W35" s="25"/>
      <c r="X35" s="25"/>
      <c r="Y35" s="25"/>
      <c r="Z35" s="25"/>
      <c r="AA35" s="25"/>
    </row>
    <row r="36">
      <c r="A36" s="30"/>
      <c r="B36" s="11">
        <v>45824.0</v>
      </c>
      <c r="C36" s="12">
        <f>VLOOKUP(B:B,'Курс валют'!A:D,4,0)</f>
        <v>90.0068</v>
      </c>
      <c r="D36" s="13" t="s">
        <v>2196</v>
      </c>
      <c r="E36" s="59" t="s">
        <v>2191</v>
      </c>
      <c r="F36" s="15">
        <v>1920.0</v>
      </c>
      <c r="G36" s="13">
        <v>1948.8</v>
      </c>
      <c r="H36" s="17">
        <v>0.0</v>
      </c>
      <c r="I36" s="15">
        <f t="shared" si="1"/>
        <v>28.8</v>
      </c>
      <c r="J36" s="18">
        <f t="shared" si="2"/>
        <v>1.5</v>
      </c>
      <c r="K36" s="17">
        <v>2.78</v>
      </c>
      <c r="L36" s="19">
        <f t="shared" si="3"/>
        <v>0</v>
      </c>
      <c r="M36" s="20">
        <f t="shared" si="4"/>
        <v>250.218904</v>
      </c>
      <c r="N36" s="21">
        <f t="shared" si="5"/>
        <v>2.78</v>
      </c>
      <c r="O36" s="21">
        <f t="shared" si="6"/>
        <v>5337.6</v>
      </c>
      <c r="P36" s="22">
        <f t="shared" si="7"/>
        <v>480420.2957</v>
      </c>
      <c r="R36" s="79"/>
      <c r="S36" s="24"/>
      <c r="T36" s="25"/>
      <c r="U36" s="25"/>
      <c r="V36" s="25"/>
      <c r="W36" s="25"/>
      <c r="X36" s="25"/>
      <c r="Y36" s="25"/>
      <c r="Z36" s="25"/>
      <c r="AA36" s="25"/>
    </row>
    <row r="37">
      <c r="A37" s="30"/>
      <c r="B37" s="11">
        <v>45825.0</v>
      </c>
      <c r="C37" s="12">
        <f>VLOOKUP(B:B,'Курс валют'!A:D,4,0)</f>
        <v>90.9438</v>
      </c>
      <c r="D37" s="13" t="s">
        <v>2197</v>
      </c>
      <c r="E37" s="59" t="s">
        <v>1951</v>
      </c>
      <c r="F37" s="15">
        <v>3600.0</v>
      </c>
      <c r="G37" s="13">
        <v>3654.9</v>
      </c>
      <c r="H37" s="17">
        <v>0.0</v>
      </c>
      <c r="I37" s="15">
        <f t="shared" si="1"/>
        <v>54.9</v>
      </c>
      <c r="J37" s="18">
        <f t="shared" si="2"/>
        <v>1.525</v>
      </c>
      <c r="K37" s="17">
        <v>2.33</v>
      </c>
      <c r="L37" s="19">
        <f t="shared" si="3"/>
        <v>0</v>
      </c>
      <c r="M37" s="20">
        <f t="shared" si="4"/>
        <v>211.899054</v>
      </c>
      <c r="N37" s="21">
        <f t="shared" si="5"/>
        <v>2.33</v>
      </c>
      <c r="O37" s="21">
        <f t="shared" si="6"/>
        <v>8388</v>
      </c>
      <c r="P37" s="22">
        <f t="shared" si="7"/>
        <v>762836.5944</v>
      </c>
      <c r="R37" s="23"/>
      <c r="S37" s="24"/>
      <c r="T37" s="25"/>
      <c r="U37" s="25"/>
      <c r="V37" s="25"/>
      <c r="W37" s="25"/>
      <c r="X37" s="25"/>
      <c r="Y37" s="25"/>
      <c r="Z37" s="25"/>
      <c r="AA37" s="25"/>
    </row>
    <row r="38">
      <c r="A38" s="30"/>
      <c r="B38" s="11">
        <v>45826.0</v>
      </c>
      <c r="C38" s="12">
        <f>VLOOKUP(B:B,'Курс валют'!A:D,4,0)</f>
        <v>90.7548</v>
      </c>
      <c r="D38" s="13" t="s">
        <v>2198</v>
      </c>
      <c r="E38" s="59" t="s">
        <v>73</v>
      </c>
      <c r="F38" s="15">
        <v>200.0</v>
      </c>
      <c r="G38" s="13">
        <v>203.0</v>
      </c>
      <c r="H38" s="17">
        <v>0.0</v>
      </c>
      <c r="I38" s="15">
        <f t="shared" si="1"/>
        <v>3</v>
      </c>
      <c r="J38" s="18">
        <f t="shared" si="2"/>
        <v>1.5</v>
      </c>
      <c r="K38" s="17">
        <v>0.34</v>
      </c>
      <c r="L38" s="19">
        <f t="shared" si="3"/>
        <v>0</v>
      </c>
      <c r="M38" s="20">
        <f t="shared" si="4"/>
        <v>30.856632</v>
      </c>
      <c r="N38" s="21">
        <f t="shared" si="5"/>
        <v>0.34</v>
      </c>
      <c r="O38" s="21">
        <f t="shared" si="6"/>
        <v>68</v>
      </c>
      <c r="P38" s="22">
        <f t="shared" si="7"/>
        <v>6171.3264</v>
      </c>
      <c r="R38" s="23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/>
      <c r="B39" s="11">
        <v>45826.0</v>
      </c>
      <c r="C39" s="12">
        <f>VLOOKUP(B:B,'Курс валют'!A:D,4,0)</f>
        <v>90.7548</v>
      </c>
      <c r="D39" s="13" t="s">
        <v>2199</v>
      </c>
      <c r="E39" s="59" t="s">
        <v>73</v>
      </c>
      <c r="F39" s="15">
        <v>200.0</v>
      </c>
      <c r="G39" s="61">
        <v>203.0</v>
      </c>
      <c r="H39" s="17">
        <v>0.0</v>
      </c>
      <c r="I39" s="16">
        <f t="shared" si="1"/>
        <v>3</v>
      </c>
      <c r="J39" s="18">
        <f t="shared" si="2"/>
        <v>1.5</v>
      </c>
      <c r="K39" s="17">
        <v>0.34</v>
      </c>
      <c r="L39" s="19">
        <f t="shared" si="3"/>
        <v>0</v>
      </c>
      <c r="M39" s="20">
        <f t="shared" si="4"/>
        <v>30.856632</v>
      </c>
      <c r="N39" s="21">
        <f t="shared" si="5"/>
        <v>0.34</v>
      </c>
      <c r="O39" s="21">
        <f t="shared" si="6"/>
        <v>68</v>
      </c>
      <c r="P39" s="22">
        <f t="shared" si="7"/>
        <v>6171.3264</v>
      </c>
      <c r="R39" s="31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30"/>
      <c r="B40" s="11">
        <v>45826.0</v>
      </c>
      <c r="C40" s="12">
        <f>VLOOKUP(B:B,'Курс валют'!A:D,4,0)</f>
        <v>90.7548</v>
      </c>
      <c r="D40" s="13" t="s">
        <v>2200</v>
      </c>
      <c r="E40" s="59" t="s">
        <v>70</v>
      </c>
      <c r="F40" s="15">
        <v>200.0</v>
      </c>
      <c r="G40" s="13">
        <v>203.5</v>
      </c>
      <c r="H40" s="17">
        <v>0.0</v>
      </c>
      <c r="I40" s="15">
        <f t="shared" si="1"/>
        <v>3.5</v>
      </c>
      <c r="J40" s="18">
        <f t="shared" si="2"/>
        <v>1.75</v>
      </c>
      <c r="K40" s="17">
        <v>0.3</v>
      </c>
      <c r="L40" s="19">
        <f t="shared" si="3"/>
        <v>0</v>
      </c>
      <c r="M40" s="20">
        <f t="shared" si="4"/>
        <v>27.22644</v>
      </c>
      <c r="N40" s="21">
        <f t="shared" si="5"/>
        <v>0.3</v>
      </c>
      <c r="O40" s="21">
        <f t="shared" si="6"/>
        <v>60</v>
      </c>
      <c r="P40" s="22">
        <f t="shared" si="7"/>
        <v>5445.288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/>
      <c r="B41" s="30">
        <v>45826.0</v>
      </c>
      <c r="C41" s="12">
        <f>VLOOKUP(B:B,'Курс валют'!A:D,4,0)</f>
        <v>90.7548</v>
      </c>
      <c r="D41" s="13" t="s">
        <v>2201</v>
      </c>
      <c r="E41" s="59" t="s">
        <v>2202</v>
      </c>
      <c r="F41" s="15">
        <v>2880.0</v>
      </c>
      <c r="G41" s="13">
        <v>2924.0</v>
      </c>
      <c r="H41" s="17">
        <v>0.0</v>
      </c>
      <c r="I41" s="15">
        <f t="shared" si="1"/>
        <v>44</v>
      </c>
      <c r="J41" s="18">
        <f t="shared" si="2"/>
        <v>1.527777778</v>
      </c>
      <c r="K41" s="17">
        <v>2.18</v>
      </c>
      <c r="L41" s="19">
        <f t="shared" si="3"/>
        <v>0</v>
      </c>
      <c r="M41" s="20">
        <f t="shared" si="4"/>
        <v>197.845464</v>
      </c>
      <c r="N41" s="21">
        <f t="shared" si="5"/>
        <v>2.18</v>
      </c>
      <c r="O41" s="21">
        <f t="shared" si="6"/>
        <v>6278.4</v>
      </c>
      <c r="P41" s="22">
        <f t="shared" si="7"/>
        <v>569794.9363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>
      <c r="A42" s="30"/>
      <c r="B42" s="11">
        <v>45827.0</v>
      </c>
      <c r="C42" s="12">
        <f>VLOOKUP(B:B,'Курс валют'!A:D,4,0)</f>
        <v>90.3093</v>
      </c>
      <c r="D42" s="13" t="s">
        <v>2203</v>
      </c>
      <c r="E42" s="59" t="s">
        <v>71</v>
      </c>
      <c r="F42" s="15">
        <v>4800.0</v>
      </c>
      <c r="G42" s="13">
        <v>4970.18</v>
      </c>
      <c r="H42" s="17">
        <v>531.7</v>
      </c>
      <c r="I42" s="15">
        <f t="shared" si="1"/>
        <v>170.18</v>
      </c>
      <c r="J42" s="18">
        <f t="shared" si="2"/>
        <v>3.545416667</v>
      </c>
      <c r="K42" s="17">
        <v>2.23</v>
      </c>
      <c r="L42" s="19">
        <f t="shared" si="3"/>
        <v>11.07708333</v>
      </c>
      <c r="M42" s="20">
        <f t="shared" si="4"/>
        <v>170.9786843</v>
      </c>
      <c r="N42" s="21">
        <f t="shared" si="5"/>
        <v>1.893256667</v>
      </c>
      <c r="O42" s="21">
        <f t="shared" si="6"/>
        <v>9087.632</v>
      </c>
      <c r="P42" s="22">
        <f t="shared" si="7"/>
        <v>820697.6846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11">
        <v>45828.0</v>
      </c>
      <c r="C43" s="12">
        <f>VLOOKUP(B:B,'Курс валют'!A:D,4,0)</f>
        <v>89.838</v>
      </c>
      <c r="D43" s="13" t="s">
        <v>2204</v>
      </c>
      <c r="E43" s="59" t="s">
        <v>71</v>
      </c>
      <c r="F43" s="15">
        <v>3200.0</v>
      </c>
      <c r="G43" s="61">
        <v>3264.82</v>
      </c>
      <c r="H43" s="17">
        <v>309.15</v>
      </c>
      <c r="I43" s="16">
        <f t="shared" si="1"/>
        <v>64.82</v>
      </c>
      <c r="J43" s="18">
        <f t="shared" si="2"/>
        <v>2.025625</v>
      </c>
      <c r="K43" s="17">
        <v>2.21</v>
      </c>
      <c r="L43" s="19">
        <f t="shared" si="3"/>
        <v>9.6609375</v>
      </c>
      <c r="M43" s="20">
        <f t="shared" si="4"/>
        <v>172.1572332</v>
      </c>
      <c r="N43" s="21">
        <f t="shared" si="5"/>
        <v>1.9163075</v>
      </c>
      <c r="O43" s="21">
        <f t="shared" si="6"/>
        <v>6132.184</v>
      </c>
      <c r="P43" s="22">
        <f t="shared" si="7"/>
        <v>550903.1462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>
        <v>45829.0</v>
      </c>
      <c r="C44" s="12">
        <f>VLOOKUP(B:B,'Курс валют'!A:D,4,0)</f>
        <v>90.1356</v>
      </c>
      <c r="D44" s="13" t="s">
        <v>2205</v>
      </c>
      <c r="E44" s="59" t="s">
        <v>2206</v>
      </c>
      <c r="F44" s="15">
        <v>11000.0</v>
      </c>
      <c r="G44" s="13">
        <v>11102.45</v>
      </c>
      <c r="H44" s="17">
        <v>5049.98</v>
      </c>
      <c r="I44" s="15">
        <f t="shared" si="1"/>
        <v>102.45</v>
      </c>
      <c r="J44" s="18">
        <f t="shared" si="2"/>
        <v>0.9313636364</v>
      </c>
      <c r="K44" s="17">
        <v>4.18</v>
      </c>
      <c r="L44" s="19">
        <f t="shared" si="3"/>
        <v>45.90890909</v>
      </c>
      <c r="M44" s="20">
        <f t="shared" si="4"/>
        <v>250.9707852</v>
      </c>
      <c r="N44" s="21">
        <f t="shared" si="5"/>
        <v>2.784369164</v>
      </c>
      <c r="O44" s="21">
        <f t="shared" si="6"/>
        <v>30628.0608</v>
      </c>
      <c r="P44" s="22">
        <f t="shared" si="7"/>
        <v>2760678.637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>
        <v>45830.0</v>
      </c>
      <c r="C45" s="12">
        <f>VLOOKUP(B:B,'Курс валют'!A:D,4,0)</f>
        <v>90.1356</v>
      </c>
      <c r="D45" s="13" t="s">
        <v>2207</v>
      </c>
      <c r="E45" s="59" t="s">
        <v>2206</v>
      </c>
      <c r="F45" s="15">
        <v>10660.0</v>
      </c>
      <c r="G45" s="61">
        <v>10753.3</v>
      </c>
      <c r="H45" s="17">
        <v>5197.8</v>
      </c>
      <c r="I45" s="16">
        <f t="shared" si="1"/>
        <v>93.3</v>
      </c>
      <c r="J45" s="18">
        <f t="shared" si="2"/>
        <v>0.8752345216</v>
      </c>
      <c r="K45" s="17">
        <v>4.23</v>
      </c>
      <c r="L45" s="19">
        <f t="shared" si="3"/>
        <v>48.75984991</v>
      </c>
      <c r="M45" s="20">
        <f t="shared" si="4"/>
        <v>247.6656389</v>
      </c>
      <c r="N45" s="21">
        <f t="shared" si="5"/>
        <v>2.747700563</v>
      </c>
      <c r="O45" s="21">
        <f t="shared" si="6"/>
        <v>29290.488</v>
      </c>
      <c r="P45" s="22">
        <f t="shared" si="7"/>
        <v>2640115.71</v>
      </c>
      <c r="R45" s="23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>
        <v>45830.0</v>
      </c>
      <c r="C46" s="12">
        <f>VLOOKUP(B:B,'Курс валют'!A:D,4,0)</f>
        <v>90.1356</v>
      </c>
      <c r="D46" s="13" t="s">
        <v>2208</v>
      </c>
      <c r="E46" s="59" t="s">
        <v>207</v>
      </c>
      <c r="F46" s="15">
        <v>440.0</v>
      </c>
      <c r="G46" s="13">
        <v>448.84</v>
      </c>
      <c r="H46" s="17">
        <v>204.64</v>
      </c>
      <c r="I46" s="15">
        <f t="shared" si="1"/>
        <v>8.84</v>
      </c>
      <c r="J46" s="18">
        <f t="shared" si="2"/>
        <v>2.009090909</v>
      </c>
      <c r="K46" s="17">
        <v>4.26</v>
      </c>
      <c r="L46" s="19">
        <f t="shared" si="3"/>
        <v>46.50909091</v>
      </c>
      <c r="M46" s="20">
        <f t="shared" si="4"/>
        <v>256.5370616</v>
      </c>
      <c r="N46" s="21">
        <f t="shared" si="5"/>
        <v>2.846123636</v>
      </c>
      <c r="O46" s="21">
        <f t="shared" si="6"/>
        <v>1252.2944</v>
      </c>
      <c r="P46" s="22">
        <f t="shared" si="7"/>
        <v>112876.3071</v>
      </c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>
        <v>45831.0</v>
      </c>
      <c r="C47" s="12">
        <f>VLOOKUP(B:B,'Курс валют'!A:D,4,0)</f>
        <v>90.1356</v>
      </c>
      <c r="D47" s="13" t="s">
        <v>2209</v>
      </c>
      <c r="E47" s="59" t="s">
        <v>2206</v>
      </c>
      <c r="F47" s="15">
        <v>11000.0</v>
      </c>
      <c r="G47" s="13">
        <v>11172.34</v>
      </c>
      <c r="H47" s="17">
        <v>5139.44</v>
      </c>
      <c r="I47" s="15">
        <f t="shared" si="1"/>
        <v>172.34</v>
      </c>
      <c r="J47" s="18">
        <f t="shared" si="2"/>
        <v>1.566727273</v>
      </c>
      <c r="K47" s="17">
        <v>4.15</v>
      </c>
      <c r="L47" s="19">
        <f t="shared" si="3"/>
        <v>46.72218182</v>
      </c>
      <c r="M47" s="20">
        <f t="shared" si="4"/>
        <v>270.8851087</v>
      </c>
      <c r="N47" s="21">
        <f>(F47*K47-H47*2.45)/F47</f>
        <v>3.005306545</v>
      </c>
      <c r="O47" s="21">
        <f t="shared" si="6"/>
        <v>33058.372</v>
      </c>
      <c r="P47" s="22">
        <f t="shared" si="7"/>
        <v>2979736.195</v>
      </c>
      <c r="S47" s="24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>
        <v>45831.0</v>
      </c>
      <c r="C48" s="12">
        <f>VLOOKUP(B:B,'Курс валют'!A:D,4,0)</f>
        <v>90.1356</v>
      </c>
      <c r="D48" s="13" t="s">
        <v>2210</v>
      </c>
      <c r="E48" s="59" t="s">
        <v>60</v>
      </c>
      <c r="F48" s="15">
        <v>2000.0</v>
      </c>
      <c r="G48" s="13">
        <v>2048.7</v>
      </c>
      <c r="H48" s="58">
        <v>1048.0</v>
      </c>
      <c r="I48" s="15">
        <f t="shared" si="1"/>
        <v>48.7</v>
      </c>
      <c r="J48" s="18">
        <f t="shared" si="2"/>
        <v>2.435</v>
      </c>
      <c r="K48" s="17">
        <v>4.19</v>
      </c>
      <c r="L48" s="19">
        <f t="shared" si="3"/>
        <v>52.4</v>
      </c>
      <c r="M48" s="20">
        <f t="shared" si="4"/>
        <v>234.0857586</v>
      </c>
      <c r="N48" s="21">
        <f t="shared" ref="N48:N84" si="8">(F48*K48-H48*3.04)/F48</f>
        <v>2.59704</v>
      </c>
      <c r="O48" s="21">
        <f t="shared" si="6"/>
        <v>5194.08</v>
      </c>
      <c r="P48" s="22">
        <f t="shared" si="7"/>
        <v>468171.5172</v>
      </c>
      <c r="R48" s="23"/>
      <c r="S48" s="24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>
        <v>45832.0</v>
      </c>
      <c r="C49" s="12">
        <f>VLOOKUP(B:B,'Курс валют'!A:D,4,0)</f>
        <v>89.8388</v>
      </c>
      <c r="D49" s="13" t="s">
        <v>2211</v>
      </c>
      <c r="E49" s="59" t="s">
        <v>60</v>
      </c>
      <c r="F49" s="15">
        <v>2000.0</v>
      </c>
      <c r="G49" s="13">
        <v>2047.6</v>
      </c>
      <c r="H49" s="58">
        <v>940.0</v>
      </c>
      <c r="I49" s="15">
        <f t="shared" si="1"/>
        <v>47.6</v>
      </c>
      <c r="J49" s="18">
        <f t="shared" si="2"/>
        <v>2.38</v>
      </c>
      <c r="K49" s="17">
        <v>4.07</v>
      </c>
      <c r="L49" s="19">
        <f t="shared" si="3"/>
        <v>47</v>
      </c>
      <c r="M49" s="20">
        <f t="shared" si="4"/>
        <v>237.2822386</v>
      </c>
      <c r="N49" s="21">
        <f t="shared" si="8"/>
        <v>2.6412</v>
      </c>
      <c r="O49" s="21">
        <f t="shared" si="6"/>
        <v>5282.4</v>
      </c>
      <c r="P49" s="22">
        <f t="shared" si="7"/>
        <v>474564.4771</v>
      </c>
      <c r="R49" s="31"/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>
        <v>45832.0</v>
      </c>
      <c r="C50" s="12">
        <f>VLOOKUP(B:B,'Курс валют'!A:D,4,0)</f>
        <v>89.8388</v>
      </c>
      <c r="D50" s="13" t="s">
        <v>2212</v>
      </c>
      <c r="E50" s="59" t="s">
        <v>104</v>
      </c>
      <c r="F50" s="15">
        <v>2200.0</v>
      </c>
      <c r="G50" s="13">
        <v>2339.5</v>
      </c>
      <c r="H50" s="58">
        <v>0.0</v>
      </c>
      <c r="I50" s="15">
        <f t="shared" si="1"/>
        <v>139.5</v>
      </c>
      <c r="J50" s="18">
        <f t="shared" si="2"/>
        <v>6.340909091</v>
      </c>
      <c r="K50" s="17">
        <v>2.73</v>
      </c>
      <c r="L50" s="19">
        <f t="shared" si="3"/>
        <v>0</v>
      </c>
      <c r="M50" s="20">
        <f t="shared" si="4"/>
        <v>245.259924</v>
      </c>
      <c r="N50" s="21">
        <f t="shared" si="8"/>
        <v>2.73</v>
      </c>
      <c r="O50" s="21">
        <f t="shared" si="6"/>
        <v>6006</v>
      </c>
      <c r="P50" s="22">
        <f t="shared" si="7"/>
        <v>539571.8328</v>
      </c>
      <c r="R50" s="31"/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>
        <v>45832.0</v>
      </c>
      <c r="C51" s="12">
        <f>VLOOKUP(B:B,'Курс валют'!A:D,4,0)</f>
        <v>89.8388</v>
      </c>
      <c r="D51" s="13" t="s">
        <v>2213</v>
      </c>
      <c r="E51" s="59" t="s">
        <v>210</v>
      </c>
      <c r="F51" s="15">
        <v>200.0</v>
      </c>
      <c r="G51" s="13">
        <v>200.0</v>
      </c>
      <c r="H51" s="58">
        <v>0.0</v>
      </c>
      <c r="I51" s="15">
        <f t="shared" si="1"/>
        <v>0</v>
      </c>
      <c r="J51" s="18">
        <f t="shared" si="2"/>
        <v>0</v>
      </c>
      <c r="K51" s="17">
        <v>2.93</v>
      </c>
      <c r="L51" s="19">
        <f t="shared" si="3"/>
        <v>0</v>
      </c>
      <c r="M51" s="20">
        <f t="shared" si="4"/>
        <v>263.227684</v>
      </c>
      <c r="N51" s="21">
        <f t="shared" si="8"/>
        <v>2.93</v>
      </c>
      <c r="O51" s="21">
        <f t="shared" si="6"/>
        <v>586</v>
      </c>
      <c r="P51" s="22">
        <f t="shared" si="7"/>
        <v>52645.5368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>
        <v>45832.0</v>
      </c>
      <c r="C52" s="12">
        <f>VLOOKUP(B:B,'Курс валют'!A:D,4,0)</f>
        <v>89.8388</v>
      </c>
      <c r="D52" s="13" t="s">
        <v>2214</v>
      </c>
      <c r="E52" s="59" t="s">
        <v>60</v>
      </c>
      <c r="F52" s="15">
        <v>2000.0</v>
      </c>
      <c r="G52" s="13">
        <v>2048.6</v>
      </c>
      <c r="H52" s="58">
        <v>958.8</v>
      </c>
      <c r="I52" s="15">
        <f t="shared" si="1"/>
        <v>48.6</v>
      </c>
      <c r="J52" s="18">
        <f t="shared" si="2"/>
        <v>2.43</v>
      </c>
      <c r="K52" s="17">
        <v>4.23</v>
      </c>
      <c r="L52" s="19">
        <f t="shared" si="3"/>
        <v>47.94</v>
      </c>
      <c r="M52" s="20">
        <f t="shared" si="4"/>
        <v>249.089213</v>
      </c>
      <c r="N52" s="21">
        <f t="shared" si="8"/>
        <v>2.772624</v>
      </c>
      <c r="O52" s="21">
        <f t="shared" si="6"/>
        <v>5545.248</v>
      </c>
      <c r="P52" s="22">
        <f t="shared" si="7"/>
        <v>498178.426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>
        <v>45833.0</v>
      </c>
      <c r="C53" s="12">
        <f>VLOOKUP(B:B,'Курс валют'!A:D,4,0)</f>
        <v>91.737</v>
      </c>
      <c r="D53" s="13" t="s">
        <v>2215</v>
      </c>
      <c r="E53" s="59" t="s">
        <v>57</v>
      </c>
      <c r="F53" s="15">
        <v>3200.0</v>
      </c>
      <c r="G53" s="13">
        <v>3284.2</v>
      </c>
      <c r="H53" s="17">
        <v>0.0</v>
      </c>
      <c r="I53" s="15">
        <f t="shared" si="1"/>
        <v>84.2</v>
      </c>
      <c r="J53" s="18">
        <f t="shared" si="2"/>
        <v>2.63125</v>
      </c>
      <c r="K53" s="62">
        <v>2.4</v>
      </c>
      <c r="L53" s="19">
        <f t="shared" si="3"/>
        <v>0</v>
      </c>
      <c r="M53" s="20">
        <f t="shared" si="4"/>
        <v>220.1688</v>
      </c>
      <c r="N53" s="21">
        <f t="shared" si="8"/>
        <v>2.4</v>
      </c>
      <c r="O53" s="21">
        <f t="shared" si="6"/>
        <v>7680</v>
      </c>
      <c r="P53" s="22">
        <f t="shared" si="7"/>
        <v>704540.16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>
        <v>45834.0</v>
      </c>
      <c r="C54" s="12">
        <f>VLOOKUP(B:B,'Курс валют'!A:D,4,0)</f>
        <v>91.0599</v>
      </c>
      <c r="D54" s="13" t="s">
        <v>2216</v>
      </c>
      <c r="E54" s="59" t="s">
        <v>57</v>
      </c>
      <c r="F54" s="15">
        <v>3200.0</v>
      </c>
      <c r="G54" s="13">
        <v>3267.7</v>
      </c>
      <c r="H54" s="17">
        <v>0.0</v>
      </c>
      <c r="I54" s="15">
        <f t="shared" si="1"/>
        <v>67.7</v>
      </c>
      <c r="J54" s="18">
        <f t="shared" si="2"/>
        <v>2.115625</v>
      </c>
      <c r="K54" s="62">
        <v>2.55</v>
      </c>
      <c r="L54" s="19">
        <f t="shared" si="3"/>
        <v>0</v>
      </c>
      <c r="M54" s="20">
        <f t="shared" si="4"/>
        <v>232.202745</v>
      </c>
      <c r="N54" s="21">
        <f t="shared" si="8"/>
        <v>2.55</v>
      </c>
      <c r="O54" s="21">
        <f t="shared" si="6"/>
        <v>8160</v>
      </c>
      <c r="P54" s="22">
        <f t="shared" si="7"/>
        <v>743048.784</v>
      </c>
      <c r="R54" s="31"/>
      <c r="S54" s="24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>
        <v>45834.0</v>
      </c>
      <c r="C55" s="12">
        <f>VLOOKUP(B:B,'Курс валют'!A:D,4,0)</f>
        <v>91.0599</v>
      </c>
      <c r="D55" s="13" t="s">
        <v>2217</v>
      </c>
      <c r="E55" s="59" t="s">
        <v>64</v>
      </c>
      <c r="F55" s="15">
        <v>2000.0</v>
      </c>
      <c r="G55" s="13">
        <v>2012.0</v>
      </c>
      <c r="H55" s="17">
        <v>0.0</v>
      </c>
      <c r="I55" s="15">
        <f t="shared" si="1"/>
        <v>12</v>
      </c>
      <c r="J55" s="18">
        <f t="shared" si="2"/>
        <v>0.6</v>
      </c>
      <c r="K55" s="17">
        <v>2.62</v>
      </c>
      <c r="L55" s="19">
        <f t="shared" si="3"/>
        <v>0</v>
      </c>
      <c r="M55" s="20">
        <f t="shared" si="4"/>
        <v>238.576938</v>
      </c>
      <c r="N55" s="21">
        <f t="shared" si="8"/>
        <v>2.62</v>
      </c>
      <c r="O55" s="21">
        <f t="shared" si="6"/>
        <v>5240</v>
      </c>
      <c r="P55" s="22">
        <f t="shared" si="7"/>
        <v>477153.876</v>
      </c>
      <c r="R55" s="23" t="s">
        <v>2218</v>
      </c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>
        <v>45835.0</v>
      </c>
      <c r="C56" s="12">
        <f>VLOOKUP(B:B,'Курс валют'!A:D,4,0)</f>
        <v>91.6601</v>
      </c>
      <c r="D56" s="13" t="s">
        <v>2219</v>
      </c>
      <c r="E56" s="64" t="s">
        <v>122</v>
      </c>
      <c r="F56" s="15">
        <v>23.18</v>
      </c>
      <c r="G56" s="13">
        <v>23.293</v>
      </c>
      <c r="H56" s="17">
        <v>0.0</v>
      </c>
      <c r="I56" s="15">
        <f t="shared" si="1"/>
        <v>0.113</v>
      </c>
      <c r="J56" s="18">
        <f t="shared" si="2"/>
        <v>0.4874892148</v>
      </c>
      <c r="K56" s="17">
        <v>2.52</v>
      </c>
      <c r="L56" s="19">
        <f t="shared" si="3"/>
        <v>0</v>
      </c>
      <c r="M56" s="20">
        <f t="shared" si="4"/>
        <v>230.983452</v>
      </c>
      <c r="N56" s="21">
        <f t="shared" si="8"/>
        <v>2.52</v>
      </c>
      <c r="O56" s="21">
        <f t="shared" si="6"/>
        <v>58.4136</v>
      </c>
      <c r="P56" s="22">
        <f t="shared" si="7"/>
        <v>5354.196417</v>
      </c>
      <c r="R56" s="23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>
        <v>45835.0</v>
      </c>
      <c r="C57" s="12">
        <f>VLOOKUP(B:B,'Курс валют'!A:D,4,0)</f>
        <v>91.6601</v>
      </c>
      <c r="D57" s="13" t="s">
        <v>2220</v>
      </c>
      <c r="E57" s="64" t="s">
        <v>108</v>
      </c>
      <c r="F57" s="15">
        <v>23.18</v>
      </c>
      <c r="G57" s="15">
        <v>23.36</v>
      </c>
      <c r="H57" s="17">
        <v>0.0</v>
      </c>
      <c r="I57" s="15">
        <f t="shared" si="1"/>
        <v>0.18</v>
      </c>
      <c r="J57" s="18">
        <f t="shared" si="2"/>
        <v>0.7765314927</v>
      </c>
      <c r="K57" s="17">
        <v>2.64</v>
      </c>
      <c r="L57" s="19">
        <f t="shared" si="3"/>
        <v>0</v>
      </c>
      <c r="M57" s="20">
        <f t="shared" si="4"/>
        <v>241.982664</v>
      </c>
      <c r="N57" s="21">
        <f t="shared" si="8"/>
        <v>2.64</v>
      </c>
      <c r="O57" s="21">
        <f t="shared" si="6"/>
        <v>61.1952</v>
      </c>
      <c r="P57" s="22">
        <f t="shared" si="7"/>
        <v>5609.158152</v>
      </c>
      <c r="R57" s="31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>
        <v>45836.0</v>
      </c>
      <c r="C58" s="12">
        <f>VLOOKUP(B:B,'Курс валют'!A:D,4,0)</f>
        <v>92.2785</v>
      </c>
      <c r="D58" s="13" t="s">
        <v>2221</v>
      </c>
      <c r="E58" s="59" t="s">
        <v>64</v>
      </c>
      <c r="F58" s="15">
        <v>1800.0</v>
      </c>
      <c r="G58" s="15">
        <v>2450.0</v>
      </c>
      <c r="H58" s="17">
        <v>0.0</v>
      </c>
      <c r="I58" s="15">
        <f t="shared" si="1"/>
        <v>650</v>
      </c>
      <c r="J58" s="18">
        <f t="shared" si="2"/>
        <v>36.11111111</v>
      </c>
      <c r="K58" s="17">
        <v>2.68</v>
      </c>
      <c r="L58" s="19">
        <f t="shared" si="3"/>
        <v>0</v>
      </c>
      <c r="M58" s="20">
        <f t="shared" si="4"/>
        <v>247.30638</v>
      </c>
      <c r="N58" s="21">
        <f t="shared" si="8"/>
        <v>2.68</v>
      </c>
      <c r="O58" s="21">
        <f t="shared" si="6"/>
        <v>4824</v>
      </c>
      <c r="P58" s="22">
        <f t="shared" si="7"/>
        <v>445151.484</v>
      </c>
      <c r="R58" s="31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>
        <v>45837.0</v>
      </c>
      <c r="C59" s="12">
        <f>VLOOKUP(B:B,'Курс валют'!A:D,4,0)</f>
        <v>92.2785</v>
      </c>
      <c r="D59" s="13" t="s">
        <v>2222</v>
      </c>
      <c r="E59" s="64" t="s">
        <v>2057</v>
      </c>
      <c r="F59" s="15">
        <v>2200.0</v>
      </c>
      <c r="G59" s="15">
        <v>2259.8</v>
      </c>
      <c r="H59" s="17">
        <v>897.0</v>
      </c>
      <c r="I59" s="15">
        <f t="shared" si="1"/>
        <v>59.8</v>
      </c>
      <c r="J59" s="18">
        <f t="shared" si="2"/>
        <v>2.718181818</v>
      </c>
      <c r="K59" s="17">
        <v>3.35</v>
      </c>
      <c r="L59" s="19">
        <f t="shared" si="3"/>
        <v>40.77272727</v>
      </c>
      <c r="M59" s="20">
        <f t="shared" si="4"/>
        <v>194.7546131</v>
      </c>
      <c r="N59" s="21">
        <f t="shared" si="8"/>
        <v>2.110509091</v>
      </c>
      <c r="O59" s="21">
        <f t="shared" si="6"/>
        <v>4643.12</v>
      </c>
      <c r="P59" s="22">
        <f t="shared" si="7"/>
        <v>428460.1489</v>
      </c>
      <c r="R59" s="23"/>
      <c r="S59" s="24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>
        <v>45837.0</v>
      </c>
      <c r="C60" s="12">
        <f>VLOOKUP(B:B,'Курс валют'!A:D,4,0)</f>
        <v>92.2785</v>
      </c>
      <c r="D60" s="13" t="s">
        <v>2223</v>
      </c>
      <c r="E60" s="64" t="s">
        <v>2057</v>
      </c>
      <c r="F60" s="15">
        <v>2200.0</v>
      </c>
      <c r="G60" s="15">
        <v>2251.0</v>
      </c>
      <c r="H60" s="17">
        <v>896.5</v>
      </c>
      <c r="I60" s="15">
        <f t="shared" si="1"/>
        <v>51</v>
      </c>
      <c r="J60" s="18">
        <f t="shared" si="2"/>
        <v>2.318181818</v>
      </c>
      <c r="K60" s="17">
        <v>3.35</v>
      </c>
      <c r="L60" s="19">
        <f t="shared" si="3"/>
        <v>40.75</v>
      </c>
      <c r="M60" s="20">
        <f t="shared" si="4"/>
        <v>194.8183692</v>
      </c>
      <c r="N60" s="21">
        <f t="shared" si="8"/>
        <v>2.1112</v>
      </c>
      <c r="O60" s="21">
        <f t="shared" si="6"/>
        <v>4644.64</v>
      </c>
      <c r="P60" s="22">
        <f t="shared" si="7"/>
        <v>428600.4122</v>
      </c>
      <c r="R60" s="23"/>
      <c r="S60" s="24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>
        <v>45838.0</v>
      </c>
      <c r="C61" s="12">
        <f>VLOOKUP(B:B,'Курс валют'!A:D,4,0)</f>
        <v>92.2785</v>
      </c>
      <c r="D61" s="13"/>
      <c r="E61" s="64"/>
      <c r="F61" s="15"/>
      <c r="G61" s="15"/>
      <c r="H61" s="17"/>
      <c r="I61" s="15">
        <f t="shared" si="1"/>
        <v>0</v>
      </c>
      <c r="J61" s="18" t="str">
        <f t="shared" si="2"/>
        <v>#DIV/0!</v>
      </c>
      <c r="K61" s="17"/>
      <c r="L61" s="19" t="str">
        <f t="shared" si="3"/>
        <v>#DIV/0!</v>
      </c>
      <c r="M61" s="20" t="str">
        <f t="shared" si="4"/>
        <v>#DIV/0!</v>
      </c>
      <c r="N61" s="21" t="str">
        <f t="shared" si="8"/>
        <v>#DIV/0!</v>
      </c>
      <c r="O61" s="21" t="str">
        <f t="shared" si="6"/>
        <v>#DIV/0!</v>
      </c>
      <c r="P61" s="22" t="str">
        <f t="shared" si="7"/>
        <v>#DIV/0!</v>
      </c>
      <c r="R61" s="23"/>
      <c r="S61" s="24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/>
      <c r="C62" s="12" t="str">
        <f>VLOOKUP(B:B,'Курс валют'!A:D,4,0)</f>
        <v>#N/A</v>
      </c>
      <c r="D62" s="13"/>
      <c r="E62" s="64"/>
      <c r="F62" s="15"/>
      <c r="G62" s="15"/>
      <c r="H62" s="17"/>
      <c r="I62" s="15">
        <f t="shared" si="1"/>
        <v>0</v>
      </c>
      <c r="J62" s="18" t="str">
        <f t="shared" si="2"/>
        <v>#DIV/0!</v>
      </c>
      <c r="K62" s="17"/>
      <c r="L62" s="19" t="str">
        <f t="shared" si="3"/>
        <v>#DIV/0!</v>
      </c>
      <c r="M62" s="20" t="str">
        <f t="shared" si="4"/>
        <v>#DIV/0!</v>
      </c>
      <c r="N62" s="21" t="str">
        <f t="shared" si="8"/>
        <v>#DIV/0!</v>
      </c>
      <c r="O62" s="21" t="str">
        <f t="shared" si="6"/>
        <v>#DIV/0!</v>
      </c>
      <c r="P62" s="22" t="str">
        <f t="shared" si="7"/>
        <v>#DIV/0!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/>
      <c r="C63" s="12" t="str">
        <f>VLOOKUP(B:B,'Курс валют'!A:D,4,0)</f>
        <v>#N/A</v>
      </c>
      <c r="D63" s="13"/>
      <c r="E63" s="64"/>
      <c r="F63" s="15"/>
      <c r="G63" s="15"/>
      <c r="H63" s="17"/>
      <c r="I63" s="15">
        <f t="shared" si="1"/>
        <v>0</v>
      </c>
      <c r="J63" s="18" t="str">
        <f t="shared" si="2"/>
        <v>#DIV/0!</v>
      </c>
      <c r="K63" s="17"/>
      <c r="L63" s="19" t="str">
        <f t="shared" si="3"/>
        <v>#DIV/0!</v>
      </c>
      <c r="M63" s="20" t="str">
        <f t="shared" si="4"/>
        <v>#DIV/0!</v>
      </c>
      <c r="N63" s="21" t="str">
        <f t="shared" si="8"/>
        <v>#DIV/0!</v>
      </c>
      <c r="O63" s="21" t="str">
        <f t="shared" si="6"/>
        <v>#DIV/0!</v>
      </c>
      <c r="P63" s="22" t="str">
        <f t="shared" si="7"/>
        <v>#DIV/0!</v>
      </c>
      <c r="R63" s="23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/>
      <c r="C64" s="12" t="str">
        <f>VLOOKUP(B:B,'Курс валют'!A:D,4,0)</f>
        <v>#N/A</v>
      </c>
      <c r="D64" s="13"/>
      <c r="E64" s="64"/>
      <c r="F64" s="15"/>
      <c r="G64" s="15"/>
      <c r="H64" s="17"/>
      <c r="I64" s="15">
        <f t="shared" si="1"/>
        <v>0</v>
      </c>
      <c r="J64" s="18" t="str">
        <f t="shared" si="2"/>
        <v>#DIV/0!</v>
      </c>
      <c r="K64" s="17"/>
      <c r="L64" s="19" t="str">
        <f t="shared" si="3"/>
        <v>#DIV/0!</v>
      </c>
      <c r="M64" s="20" t="str">
        <f t="shared" si="4"/>
        <v>#DIV/0!</v>
      </c>
      <c r="N64" s="21" t="str">
        <f t="shared" si="8"/>
        <v>#DIV/0!</v>
      </c>
      <c r="O64" s="21" t="str">
        <f t="shared" si="6"/>
        <v>#DIV/0!</v>
      </c>
      <c r="P64" s="22" t="str">
        <f t="shared" si="7"/>
        <v>#DIV/0!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/>
      <c r="C65" s="12" t="str">
        <f>VLOOKUP(B:B,'Курс валют'!A:D,4,0)</f>
        <v>#N/A</v>
      </c>
      <c r="D65" s="13"/>
      <c r="E65" s="64"/>
      <c r="F65" s="15"/>
      <c r="G65" s="15"/>
      <c r="H65" s="17"/>
      <c r="I65" s="15">
        <f t="shared" si="1"/>
        <v>0</v>
      </c>
      <c r="J65" s="18" t="str">
        <f t="shared" si="2"/>
        <v>#DIV/0!</v>
      </c>
      <c r="K65" s="17"/>
      <c r="L65" s="19" t="str">
        <f t="shared" si="3"/>
        <v>#DIV/0!</v>
      </c>
      <c r="M65" s="20" t="str">
        <f t="shared" si="4"/>
        <v>#DIV/0!</v>
      </c>
      <c r="N65" s="21" t="str">
        <f t="shared" si="8"/>
        <v>#DIV/0!</v>
      </c>
      <c r="O65" s="21" t="str">
        <f t="shared" si="6"/>
        <v>#DIV/0!</v>
      </c>
      <c r="P65" s="22" t="str">
        <f t="shared" si="7"/>
        <v>#DIV/0!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/>
      <c r="C66" s="12" t="str">
        <f>VLOOKUP(B:B,'Курс валют'!A:D,4,0)</f>
        <v>#N/A</v>
      </c>
      <c r="D66" s="13"/>
      <c r="E66" s="64"/>
      <c r="F66" s="15"/>
      <c r="G66" s="15"/>
      <c r="H66" s="17"/>
      <c r="I66" s="15">
        <f t="shared" si="1"/>
        <v>0</v>
      </c>
      <c r="J66" s="18" t="str">
        <f t="shared" si="2"/>
        <v>#DIV/0!</v>
      </c>
      <c r="K66" s="17"/>
      <c r="L66" s="19" t="str">
        <f t="shared" si="3"/>
        <v>#DIV/0!</v>
      </c>
      <c r="M66" s="20" t="str">
        <f t="shared" si="4"/>
        <v>#DIV/0!</v>
      </c>
      <c r="N66" s="21" t="str">
        <f t="shared" si="8"/>
        <v>#DIV/0!</v>
      </c>
      <c r="O66" s="21" t="str">
        <f t="shared" si="6"/>
        <v>#DIV/0!</v>
      </c>
      <c r="P66" s="22" t="str">
        <f t="shared" si="7"/>
        <v>#DIV/0!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/>
      <c r="B67" s="11"/>
      <c r="C67" s="12" t="str">
        <f>VLOOKUP(B:B,'Курс валют'!A:D,4,0)</f>
        <v>#N/A</v>
      </c>
      <c r="D67" s="13"/>
      <c r="E67" s="64"/>
      <c r="F67" s="15"/>
      <c r="G67" s="15"/>
      <c r="H67" s="17"/>
      <c r="I67" s="15">
        <f t="shared" si="1"/>
        <v>0</v>
      </c>
      <c r="J67" s="18" t="str">
        <f t="shared" si="2"/>
        <v>#DIV/0!</v>
      </c>
      <c r="K67" s="17"/>
      <c r="L67" s="19" t="str">
        <f t="shared" si="3"/>
        <v>#DIV/0!</v>
      </c>
      <c r="M67" s="20" t="str">
        <f t="shared" si="4"/>
        <v>#DIV/0!</v>
      </c>
      <c r="N67" s="21" t="str">
        <f t="shared" si="8"/>
        <v>#DIV/0!</v>
      </c>
      <c r="O67" s="21" t="str">
        <f t="shared" si="6"/>
        <v>#DIV/0!</v>
      </c>
      <c r="P67" s="22" t="str">
        <f t="shared" si="7"/>
        <v>#DIV/0!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/>
      <c r="C68" s="12" t="str">
        <f>VLOOKUP(B:B,'Курс валют'!A:D,4,0)</f>
        <v>#N/A</v>
      </c>
      <c r="D68" s="13"/>
      <c r="E68" s="77"/>
      <c r="F68" s="15"/>
      <c r="G68" s="15"/>
      <c r="H68" s="17"/>
      <c r="I68" s="15">
        <f t="shared" si="1"/>
        <v>0</v>
      </c>
      <c r="J68" s="18" t="str">
        <f t="shared" si="2"/>
        <v>#DIV/0!</v>
      </c>
      <c r="K68" s="17"/>
      <c r="L68" s="19" t="str">
        <f t="shared" si="3"/>
        <v>#DIV/0!</v>
      </c>
      <c r="M68" s="20" t="str">
        <f t="shared" si="4"/>
        <v>#DIV/0!</v>
      </c>
      <c r="N68" s="21" t="str">
        <f t="shared" si="8"/>
        <v>#DIV/0!</v>
      </c>
      <c r="O68" s="21" t="str">
        <f t="shared" si="6"/>
        <v>#DIV/0!</v>
      </c>
      <c r="P68" s="22" t="str">
        <f t="shared" si="7"/>
        <v>#DIV/0!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63"/>
      <c r="B69" s="11"/>
      <c r="C69" s="12" t="str">
        <f>VLOOKUP(B:B,'Курс валют'!A:D,4,0)</f>
        <v>#N/A</v>
      </c>
      <c r="D69" s="13"/>
      <c r="E69" s="64"/>
      <c r="F69" s="15"/>
      <c r="G69" s="15"/>
      <c r="H69" s="17"/>
      <c r="I69" s="15">
        <f t="shared" si="1"/>
        <v>0</v>
      </c>
      <c r="J69" s="18" t="str">
        <f t="shared" si="2"/>
        <v>#DIV/0!</v>
      </c>
      <c r="K69" s="17"/>
      <c r="L69" s="19" t="str">
        <f t="shared" si="3"/>
        <v>#DIV/0!</v>
      </c>
      <c r="M69" s="20" t="str">
        <f t="shared" si="4"/>
        <v>#DIV/0!</v>
      </c>
      <c r="N69" s="21" t="str">
        <f t="shared" si="8"/>
        <v>#DIV/0!</v>
      </c>
      <c r="O69" s="21" t="str">
        <f t="shared" si="6"/>
        <v>#DIV/0!</v>
      </c>
      <c r="P69" s="22" t="str">
        <f t="shared" si="7"/>
        <v>#DIV/0!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/>
      <c r="B70" s="11"/>
      <c r="C70" s="12" t="str">
        <f>VLOOKUP(B:B,'Курс валют'!A:D,4,0)</f>
        <v>#N/A</v>
      </c>
      <c r="D70" s="13"/>
      <c r="E70" s="64"/>
      <c r="F70" s="15"/>
      <c r="G70" s="15"/>
      <c r="H70" s="17"/>
      <c r="I70" s="15">
        <f t="shared" si="1"/>
        <v>0</v>
      </c>
      <c r="J70" s="18" t="str">
        <f t="shared" si="2"/>
        <v>#DIV/0!</v>
      </c>
      <c r="K70" s="17"/>
      <c r="L70" s="19" t="str">
        <f t="shared" si="3"/>
        <v>#DIV/0!</v>
      </c>
      <c r="M70" s="20" t="str">
        <f t="shared" si="4"/>
        <v>#DIV/0!</v>
      </c>
      <c r="N70" s="21" t="str">
        <f t="shared" si="8"/>
        <v>#DIV/0!</v>
      </c>
      <c r="O70" s="21" t="str">
        <f t="shared" si="6"/>
        <v>#DIV/0!</v>
      </c>
      <c r="P70" s="22" t="str">
        <f t="shared" si="7"/>
        <v>#DIV/0!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63"/>
      <c r="B71" s="11"/>
      <c r="C71" s="12" t="str">
        <f>VLOOKUP(B:B,'Курс валют'!A:D,4,0)</f>
        <v>#N/A</v>
      </c>
      <c r="D71" s="13"/>
      <c r="E71" s="64"/>
      <c r="F71" s="15"/>
      <c r="G71" s="15"/>
      <c r="H71" s="17"/>
      <c r="I71" s="15">
        <f t="shared" si="1"/>
        <v>0</v>
      </c>
      <c r="J71" s="18" t="str">
        <f t="shared" si="2"/>
        <v>#DIV/0!</v>
      </c>
      <c r="K71" s="17"/>
      <c r="L71" s="19" t="str">
        <f t="shared" si="3"/>
        <v>#DIV/0!</v>
      </c>
      <c r="M71" s="20" t="str">
        <f t="shared" si="4"/>
        <v>#DIV/0!</v>
      </c>
      <c r="N71" s="21" t="str">
        <f t="shared" si="8"/>
        <v>#DIV/0!</v>
      </c>
      <c r="O71" s="21" t="str">
        <f t="shared" si="6"/>
        <v>#DIV/0!</v>
      </c>
      <c r="P71" s="22" t="str">
        <f t="shared" si="7"/>
        <v>#DIV/0!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63"/>
      <c r="B72" s="11"/>
      <c r="C72" s="12" t="str">
        <f>VLOOKUP(B:B,'Курс валют'!A:D,4,0)</f>
        <v>#N/A</v>
      </c>
      <c r="D72" s="13"/>
      <c r="E72" s="64"/>
      <c r="F72" s="15"/>
      <c r="G72" s="15"/>
      <c r="H72" s="17"/>
      <c r="I72" s="15">
        <f t="shared" si="1"/>
        <v>0</v>
      </c>
      <c r="J72" s="18" t="str">
        <f t="shared" si="2"/>
        <v>#DIV/0!</v>
      </c>
      <c r="K72" s="17"/>
      <c r="L72" s="19" t="str">
        <f t="shared" si="3"/>
        <v>#DIV/0!</v>
      </c>
      <c r="M72" s="20" t="str">
        <f t="shared" si="4"/>
        <v>#DIV/0!</v>
      </c>
      <c r="N72" s="21" t="str">
        <f t="shared" si="8"/>
        <v>#DIV/0!</v>
      </c>
      <c r="O72" s="21" t="str">
        <f t="shared" si="6"/>
        <v>#DIV/0!</v>
      </c>
      <c r="P72" s="22" t="str">
        <f t="shared" si="7"/>
        <v>#DIV/0!</v>
      </c>
      <c r="R72" s="79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63"/>
      <c r="B73" s="11"/>
      <c r="C73" s="12" t="str">
        <f>VLOOKUP(B:B,'Курс валют'!A:D,4,0)</f>
        <v>#N/A</v>
      </c>
      <c r="D73" s="13"/>
      <c r="E73" s="64"/>
      <c r="F73" s="15"/>
      <c r="G73" s="15"/>
      <c r="H73" s="17"/>
      <c r="I73" s="15">
        <f t="shared" si="1"/>
        <v>0</v>
      </c>
      <c r="J73" s="18" t="str">
        <f t="shared" si="2"/>
        <v>#DIV/0!</v>
      </c>
      <c r="K73" s="17"/>
      <c r="L73" s="19" t="str">
        <f t="shared" si="3"/>
        <v>#DIV/0!</v>
      </c>
      <c r="M73" s="20" t="str">
        <f t="shared" si="4"/>
        <v>#DIV/0!</v>
      </c>
      <c r="N73" s="21" t="str">
        <f t="shared" si="8"/>
        <v>#DIV/0!</v>
      </c>
      <c r="O73" s="21" t="str">
        <f t="shared" si="6"/>
        <v>#DIV/0!</v>
      </c>
      <c r="P73" s="22" t="str">
        <f t="shared" si="7"/>
        <v>#DIV/0!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/>
      <c r="B74" s="11"/>
      <c r="C74" s="12" t="str">
        <f>VLOOKUP(B:B,'Курс валют'!A:D,4,0)</f>
        <v>#N/A</v>
      </c>
      <c r="D74" s="13"/>
      <c r="E74" s="64"/>
      <c r="F74" s="15"/>
      <c r="G74" s="15"/>
      <c r="H74" s="17"/>
      <c r="I74" s="15">
        <f t="shared" si="1"/>
        <v>0</v>
      </c>
      <c r="J74" s="18" t="str">
        <f t="shared" si="2"/>
        <v>#DIV/0!</v>
      </c>
      <c r="K74" s="17"/>
      <c r="L74" s="19" t="str">
        <f t="shared" si="3"/>
        <v>#DIV/0!</v>
      </c>
      <c r="M74" s="20" t="str">
        <f t="shared" si="4"/>
        <v>#DIV/0!</v>
      </c>
      <c r="N74" s="21" t="str">
        <f t="shared" si="8"/>
        <v>#DIV/0!</v>
      </c>
      <c r="O74" s="21" t="str">
        <f t="shared" si="6"/>
        <v>#DIV/0!</v>
      </c>
      <c r="P74" s="22" t="str">
        <f t="shared" si="7"/>
        <v>#DIV/0!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/>
      <c r="B75" s="11"/>
      <c r="C75" s="12" t="str">
        <f>VLOOKUP(B:B,'Курс валют'!A:D,4,0)</f>
        <v>#N/A</v>
      </c>
      <c r="D75" s="13"/>
      <c r="E75" s="64"/>
      <c r="F75" s="15"/>
      <c r="G75" s="15"/>
      <c r="H75" s="17"/>
      <c r="I75" s="15">
        <f t="shared" si="1"/>
        <v>0</v>
      </c>
      <c r="J75" s="18" t="str">
        <f t="shared" si="2"/>
        <v>#DIV/0!</v>
      </c>
      <c r="K75" s="17"/>
      <c r="L75" s="19" t="str">
        <f t="shared" si="3"/>
        <v>#DIV/0!</v>
      </c>
      <c r="M75" s="20" t="str">
        <f t="shared" si="4"/>
        <v>#DIV/0!</v>
      </c>
      <c r="N75" s="21" t="str">
        <f t="shared" si="8"/>
        <v>#DIV/0!</v>
      </c>
      <c r="O75" s="21" t="str">
        <f t="shared" si="6"/>
        <v>#DIV/0!</v>
      </c>
      <c r="P75" s="22" t="str">
        <f t="shared" si="7"/>
        <v>#DIV/0!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63"/>
      <c r="B76" s="11"/>
      <c r="C76" s="12" t="str">
        <f>VLOOKUP(B:B,'Курс валют'!A:D,4,0)</f>
        <v>#N/A</v>
      </c>
      <c r="D76" s="13"/>
      <c r="E76" s="64"/>
      <c r="F76" s="15"/>
      <c r="G76" s="15"/>
      <c r="H76" s="17"/>
      <c r="I76" s="15">
        <f t="shared" si="1"/>
        <v>0</v>
      </c>
      <c r="J76" s="18" t="str">
        <f t="shared" si="2"/>
        <v>#DIV/0!</v>
      </c>
      <c r="K76" s="17"/>
      <c r="L76" s="19" t="str">
        <f t="shared" si="3"/>
        <v>#DIV/0!</v>
      </c>
      <c r="M76" s="20" t="str">
        <f t="shared" si="4"/>
        <v>#DIV/0!</v>
      </c>
      <c r="N76" s="21" t="str">
        <f t="shared" si="8"/>
        <v>#DIV/0!</v>
      </c>
      <c r="O76" s="21" t="str">
        <f t="shared" si="6"/>
        <v>#DIV/0!</v>
      </c>
      <c r="P76" s="22" t="str">
        <f t="shared" si="7"/>
        <v>#DIV/0!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/>
      <c r="B77" s="11"/>
      <c r="C77" s="12" t="str">
        <f>VLOOKUP(B:B,'Курс валют'!A:D,4,0)</f>
        <v>#N/A</v>
      </c>
      <c r="D77" s="13"/>
      <c r="E77" s="64"/>
      <c r="F77" s="15"/>
      <c r="G77" s="15"/>
      <c r="H77" s="17"/>
      <c r="I77" s="15">
        <f t="shared" si="1"/>
        <v>0</v>
      </c>
      <c r="J77" s="18" t="str">
        <f t="shared" si="2"/>
        <v>#DIV/0!</v>
      </c>
      <c r="K77" s="17"/>
      <c r="L77" s="19" t="str">
        <f t="shared" si="3"/>
        <v>#DIV/0!</v>
      </c>
      <c r="M77" s="20" t="str">
        <f t="shared" si="4"/>
        <v>#DIV/0!</v>
      </c>
      <c r="N77" s="21" t="str">
        <f t="shared" si="8"/>
        <v>#DIV/0!</v>
      </c>
      <c r="O77" s="21" t="str">
        <f t="shared" si="6"/>
        <v>#DIV/0!</v>
      </c>
      <c r="P77" s="22" t="str">
        <f t="shared" si="7"/>
        <v>#DIV/0!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63"/>
      <c r="B78" s="11"/>
      <c r="C78" s="12" t="str">
        <f>VLOOKUP(B:B,'Курс валют'!A:D,4,0)</f>
        <v>#N/A</v>
      </c>
      <c r="D78" s="13"/>
      <c r="E78" s="64"/>
      <c r="F78" s="15"/>
      <c r="G78" s="15"/>
      <c r="H78" s="17"/>
      <c r="I78" s="15">
        <f t="shared" si="1"/>
        <v>0</v>
      </c>
      <c r="J78" s="18" t="str">
        <f t="shared" si="2"/>
        <v>#DIV/0!</v>
      </c>
      <c r="K78" s="17"/>
      <c r="L78" s="19" t="str">
        <f t="shared" si="3"/>
        <v>#DIV/0!</v>
      </c>
      <c r="M78" s="20" t="str">
        <f t="shared" si="4"/>
        <v>#DIV/0!</v>
      </c>
      <c r="N78" s="21" t="str">
        <f t="shared" si="8"/>
        <v>#DIV/0!</v>
      </c>
      <c r="O78" s="21" t="str">
        <f t="shared" si="6"/>
        <v>#DIV/0!</v>
      </c>
      <c r="P78" s="22" t="str">
        <f t="shared" si="7"/>
        <v>#DIV/0!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/>
      <c r="B79" s="11"/>
      <c r="C79" s="12" t="str">
        <f>VLOOKUP(B:B,'Курс валют'!A:D,4,0)</f>
        <v>#N/A</v>
      </c>
      <c r="D79" s="13"/>
      <c r="E79" s="59"/>
      <c r="F79" s="15"/>
      <c r="G79" s="15"/>
      <c r="H79" s="17"/>
      <c r="I79" s="15">
        <f t="shared" si="1"/>
        <v>0</v>
      </c>
      <c r="J79" s="18" t="str">
        <f t="shared" si="2"/>
        <v>#DIV/0!</v>
      </c>
      <c r="K79" s="17"/>
      <c r="L79" s="19" t="str">
        <f t="shared" si="3"/>
        <v>#DIV/0!</v>
      </c>
      <c r="M79" s="20" t="str">
        <f t="shared" si="4"/>
        <v>#DIV/0!</v>
      </c>
      <c r="N79" s="21" t="str">
        <f t="shared" si="8"/>
        <v>#DIV/0!</v>
      </c>
      <c r="O79" s="21" t="str">
        <f t="shared" si="6"/>
        <v>#DIV/0!</v>
      </c>
      <c r="P79" s="22" t="str">
        <f t="shared" si="7"/>
        <v>#DIV/0!</v>
      </c>
      <c r="R79" s="79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/>
      <c r="B80" s="11"/>
      <c r="C80" s="12" t="str">
        <f>VLOOKUP(B:B,'Курс валют'!A:D,4,0)</f>
        <v>#N/A</v>
      </c>
      <c r="D80" s="13"/>
      <c r="E80" s="59"/>
      <c r="F80" s="15"/>
      <c r="G80" s="15"/>
      <c r="H80" s="17"/>
      <c r="I80" s="15">
        <f t="shared" si="1"/>
        <v>0</v>
      </c>
      <c r="J80" s="18" t="str">
        <f t="shared" si="2"/>
        <v>#DIV/0!</v>
      </c>
      <c r="K80" s="17"/>
      <c r="L80" s="19" t="str">
        <f t="shared" si="3"/>
        <v>#DIV/0!</v>
      </c>
      <c r="M80" s="20" t="str">
        <f t="shared" si="4"/>
        <v>#DIV/0!</v>
      </c>
      <c r="N80" s="21" t="str">
        <f t="shared" si="8"/>
        <v>#DIV/0!</v>
      </c>
      <c r="O80" s="21" t="str">
        <f t="shared" si="6"/>
        <v>#DIV/0!</v>
      </c>
      <c r="P80" s="22" t="str">
        <f t="shared" si="7"/>
        <v>#DIV/0!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/>
      <c r="B81" s="11"/>
      <c r="C81" s="12" t="str">
        <f>VLOOKUP(B:B,'Курс валют'!A:D,4,0)</f>
        <v>#N/A</v>
      </c>
      <c r="D81" s="13"/>
      <c r="E81" s="59"/>
      <c r="F81" s="15"/>
      <c r="G81" s="15"/>
      <c r="H81" s="17"/>
      <c r="I81" s="15">
        <f t="shared" si="1"/>
        <v>0</v>
      </c>
      <c r="J81" s="18" t="str">
        <f t="shared" si="2"/>
        <v>#DIV/0!</v>
      </c>
      <c r="K81" s="17"/>
      <c r="L81" s="19" t="str">
        <f t="shared" si="3"/>
        <v>#DIV/0!</v>
      </c>
      <c r="M81" s="20" t="str">
        <f t="shared" si="4"/>
        <v>#DIV/0!</v>
      </c>
      <c r="N81" s="21" t="str">
        <f t="shared" si="8"/>
        <v>#DIV/0!</v>
      </c>
      <c r="O81" s="21" t="str">
        <f t="shared" si="6"/>
        <v>#DIV/0!</v>
      </c>
      <c r="P81" s="22" t="str">
        <f t="shared" si="7"/>
        <v>#DIV/0!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/>
      <c r="B82" s="11"/>
      <c r="C82" s="12" t="str">
        <f>VLOOKUP(B:B,'Курс валют'!A:D,4,0)</f>
        <v>#N/A</v>
      </c>
      <c r="D82" s="13"/>
      <c r="E82" s="59"/>
      <c r="F82" s="15"/>
      <c r="G82" s="15"/>
      <c r="H82" s="17"/>
      <c r="I82" s="15">
        <f t="shared" si="1"/>
        <v>0</v>
      </c>
      <c r="J82" s="18" t="str">
        <f t="shared" si="2"/>
        <v>#DIV/0!</v>
      </c>
      <c r="K82" s="17"/>
      <c r="L82" s="19" t="str">
        <f t="shared" si="3"/>
        <v>#DIV/0!</v>
      </c>
      <c r="M82" s="20" t="str">
        <f t="shared" si="4"/>
        <v>#DIV/0!</v>
      </c>
      <c r="N82" s="21" t="str">
        <f t="shared" si="8"/>
        <v>#DIV/0!</v>
      </c>
      <c r="O82" s="21" t="str">
        <f t="shared" si="6"/>
        <v>#DIV/0!</v>
      </c>
      <c r="P82" s="22" t="str">
        <f t="shared" si="7"/>
        <v>#DIV/0!</v>
      </c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/>
      <c r="B83" s="11"/>
      <c r="C83" s="12" t="str">
        <f>VLOOKUP(B:B,'Курс валют'!A:D,4,0)</f>
        <v>#N/A</v>
      </c>
      <c r="D83" s="66"/>
      <c r="E83" s="67"/>
      <c r="F83" s="67"/>
      <c r="G83" s="67"/>
      <c r="H83" s="65"/>
      <c r="I83" s="15">
        <f t="shared" si="1"/>
        <v>0</v>
      </c>
      <c r="J83" s="18" t="str">
        <f t="shared" si="2"/>
        <v>#DIV/0!</v>
      </c>
      <c r="K83" s="65"/>
      <c r="L83" s="19" t="str">
        <f t="shared" si="3"/>
        <v>#DIV/0!</v>
      </c>
      <c r="M83" s="20" t="str">
        <f t="shared" si="4"/>
        <v>#DIV/0!</v>
      </c>
      <c r="N83" s="21" t="str">
        <f t="shared" si="8"/>
        <v>#DIV/0!</v>
      </c>
      <c r="O83" s="21" t="str">
        <f t="shared" si="6"/>
        <v>#DIV/0!</v>
      </c>
      <c r="P83" s="22" t="str">
        <f t="shared" si="7"/>
        <v>#DIV/0!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/>
      <c r="B84" s="11"/>
      <c r="C84" s="12" t="str">
        <f>VLOOKUP(B:B,'Курс валют'!A:D,4,0)</f>
        <v>#N/A</v>
      </c>
      <c r="D84" s="66"/>
      <c r="E84" s="67"/>
      <c r="F84" s="67"/>
      <c r="G84" s="67"/>
      <c r="H84" s="65"/>
      <c r="I84" s="15"/>
      <c r="J84" s="18"/>
      <c r="K84" s="65"/>
      <c r="L84" s="19" t="str">
        <f t="shared" si="3"/>
        <v>#DIV/0!</v>
      </c>
      <c r="M84" s="20" t="str">
        <f t="shared" si="4"/>
        <v>#DIV/0!</v>
      </c>
      <c r="N84" s="21" t="str">
        <f t="shared" si="8"/>
        <v>#DIV/0!</v>
      </c>
      <c r="O84" s="21" t="str">
        <f t="shared" si="6"/>
        <v>#DIV/0!</v>
      </c>
      <c r="P84" s="22" t="str">
        <f t="shared" si="7"/>
        <v>#DIV/0!</v>
      </c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/>
      <c r="C85" s="12" t="str">
        <f>VLOOKUP(B:B,'Курс валют'!A:D,4,0)</f>
        <v>#N/A</v>
      </c>
      <c r="D85" s="66"/>
      <c r="E85" s="67"/>
      <c r="F85" s="67"/>
      <c r="G85" s="67"/>
      <c r="H85" s="65"/>
      <c r="I85" s="15"/>
      <c r="J85" s="18"/>
      <c r="K85" s="65"/>
      <c r="L85" s="19"/>
      <c r="M85" s="20"/>
      <c r="N85" s="21"/>
      <c r="O85" s="21"/>
      <c r="P85" s="22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/>
      <c r="C86" s="12" t="str">
        <f>VLOOKUP(B:B,'Курс валют'!A:D,4,0)</f>
        <v>#N/A</v>
      </c>
      <c r="D86" s="66"/>
      <c r="E86" s="67"/>
      <c r="F86" s="67"/>
      <c r="G86" s="67"/>
      <c r="H86" s="65"/>
      <c r="I86" s="15"/>
      <c r="J86" s="18"/>
      <c r="K86" s="65"/>
      <c r="L86" s="19"/>
      <c r="M86" s="20"/>
      <c r="N86" s="21"/>
      <c r="O86" s="21"/>
      <c r="P86" s="22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/>
      <c r="C87" s="12" t="str">
        <f>VLOOKUP(B:B,'Курс валют'!A:D,4,0)</f>
        <v>#N/A</v>
      </c>
      <c r="D87" s="66"/>
      <c r="E87" s="67"/>
      <c r="F87" s="67"/>
      <c r="G87" s="67"/>
      <c r="H87" s="65"/>
      <c r="I87" s="15"/>
      <c r="J87" s="18"/>
      <c r="K87" s="65"/>
      <c r="L87" s="19"/>
      <c r="M87" s="20"/>
      <c r="N87" s="21"/>
      <c r="O87" s="21"/>
      <c r="P87" s="22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/>
      <c r="C88" s="12" t="str">
        <f>VLOOKUP(B:B,'Курс валют'!A:D,4,0)</f>
        <v>#N/A</v>
      </c>
      <c r="D88" s="66"/>
      <c r="E88" s="67"/>
      <c r="F88" s="67"/>
      <c r="G88" s="67"/>
      <c r="H88" s="65"/>
      <c r="I88" s="15"/>
      <c r="J88" s="18"/>
      <c r="K88" s="65"/>
      <c r="L88" s="19"/>
      <c r="M88" s="20"/>
      <c r="N88" s="21"/>
      <c r="O88" s="21"/>
      <c r="P88" s="22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/>
      <c r="C89" s="12" t="str">
        <f>VLOOKUP(B:B,'Курс валют'!A:D,4,0)</f>
        <v>#N/A</v>
      </c>
      <c r="D89" s="66"/>
      <c r="E89" s="67"/>
      <c r="F89" s="67"/>
      <c r="G89" s="67"/>
      <c r="H89" s="65"/>
      <c r="I89" s="15"/>
      <c r="J89" s="18"/>
      <c r="K89" s="65"/>
      <c r="L89" s="19"/>
      <c r="M89" s="20"/>
      <c r="N89" s="21"/>
      <c r="O89" s="21"/>
      <c r="P89" s="22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/>
      <c r="C90" s="12" t="str">
        <f>VLOOKUP(B:B,'Курс валют'!A:D,4,0)</f>
        <v>#N/A</v>
      </c>
      <c r="D90" s="69"/>
      <c r="E90" s="25"/>
      <c r="F90" s="25"/>
      <c r="G90" s="25"/>
      <c r="H90" s="80"/>
      <c r="I90" s="25"/>
      <c r="J90" s="25"/>
      <c r="K90" s="80"/>
      <c r="L90" s="81"/>
      <c r="M90" s="82"/>
      <c r="N90" s="25"/>
      <c r="O90" s="25"/>
      <c r="P90" s="82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/>
      <c r="C91" s="12" t="str">
        <f>VLOOKUP(B:B,'Курс валют'!A:D,4,0)</f>
        <v>#N/A</v>
      </c>
      <c r="D91" s="69"/>
      <c r="E91" s="25"/>
      <c r="F91" s="25"/>
      <c r="G91" s="25"/>
      <c r="H91" s="80"/>
      <c r="I91" s="25"/>
      <c r="J91" s="25"/>
      <c r="K91" s="80"/>
      <c r="L91" s="81"/>
      <c r="M91" s="82"/>
      <c r="N91" s="25"/>
      <c r="O91" s="25"/>
      <c r="P91" s="82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/>
      <c r="C92" s="12" t="str">
        <f>VLOOKUP(B:B,'Курс валют'!A:D,4,0)</f>
        <v>#N/A</v>
      </c>
      <c r="D92" s="69"/>
      <c r="E92" s="25"/>
      <c r="F92" s="25"/>
      <c r="G92" s="25"/>
      <c r="H92" s="80"/>
      <c r="I92" s="25"/>
      <c r="J92" s="25"/>
      <c r="K92" s="80"/>
      <c r="L92" s="81"/>
      <c r="M92" s="82"/>
      <c r="N92" s="25"/>
      <c r="O92" s="25"/>
      <c r="P92" s="82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63"/>
      <c r="B93" s="11"/>
      <c r="C93" s="12" t="str">
        <f>VLOOKUP(B:B,'Курс валют'!A:D,4,0)</f>
        <v>#N/A</v>
      </c>
      <c r="D93" s="69"/>
      <c r="E93" s="25"/>
      <c r="F93" s="25"/>
      <c r="G93" s="25"/>
      <c r="H93" s="80"/>
      <c r="I93" s="25"/>
      <c r="J93" s="25"/>
      <c r="K93" s="80"/>
      <c r="L93" s="81"/>
      <c r="M93" s="82"/>
      <c r="N93" s="25"/>
      <c r="O93" s="25"/>
      <c r="P93" s="82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/>
      <c r="C94" s="12" t="str">
        <f>VLOOKUP(B:B,'Курс валют'!A:D,4,0)</f>
        <v>#N/A</v>
      </c>
      <c r="D94" s="69"/>
      <c r="E94" s="25"/>
      <c r="F94" s="25"/>
      <c r="G94" s="25"/>
      <c r="H94" s="80"/>
      <c r="I94" s="25"/>
      <c r="J94" s="25"/>
      <c r="K94" s="80"/>
      <c r="L94" s="81"/>
      <c r="M94" s="82"/>
      <c r="N94" s="25"/>
      <c r="O94" s="25"/>
      <c r="P94" s="82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/>
      <c r="C95" s="12" t="str">
        <f>VLOOKUP(B:B,'Курс валют'!A:D,4,0)</f>
        <v>#N/A</v>
      </c>
      <c r="D95" s="69"/>
      <c r="E95" s="25"/>
      <c r="F95" s="25"/>
      <c r="G95" s="25"/>
      <c r="H95" s="80"/>
      <c r="I95" s="25"/>
      <c r="J95" s="25"/>
      <c r="K95" s="80"/>
      <c r="L95" s="81"/>
      <c r="M95" s="82"/>
      <c r="N95" s="25"/>
      <c r="O95" s="25"/>
      <c r="P95" s="82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12" t="str">
        <f>VLOOKUP(B:B,'Курс валют'!A:D,4,0)</f>
        <v>#N/A</v>
      </c>
      <c r="D96" s="69"/>
      <c r="E96" s="25"/>
      <c r="F96" s="25"/>
      <c r="G96" s="25"/>
      <c r="H96" s="80"/>
      <c r="I96" s="25"/>
      <c r="J96" s="25"/>
      <c r="K96" s="80"/>
      <c r="L96" s="81"/>
      <c r="M96" s="82"/>
      <c r="N96" s="25"/>
      <c r="O96" s="25"/>
      <c r="P96" s="82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12" t="str">
        <f>VLOOKUP(B:B,'Курс валют'!A:D,4,0)</f>
        <v>#N/A</v>
      </c>
      <c r="D97" s="69"/>
      <c r="E97" s="25"/>
      <c r="F97" s="25"/>
      <c r="G97" s="25"/>
      <c r="H97" s="80"/>
      <c r="I97" s="25"/>
      <c r="J97" s="25"/>
      <c r="K97" s="80"/>
      <c r="L97" s="81"/>
      <c r="M97" s="82"/>
      <c r="N97" s="25"/>
      <c r="O97" s="25"/>
      <c r="P97" s="82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12" t="str">
        <f>VLOOKUP(B:B,'Курс валют'!A:D,4,0)</f>
        <v>#N/A</v>
      </c>
      <c r="D98" s="69"/>
      <c r="E98" s="25"/>
      <c r="F98" s="25"/>
      <c r="G98" s="25"/>
      <c r="H98" s="80"/>
      <c r="I98" s="25"/>
      <c r="J98" s="25"/>
      <c r="K98" s="80"/>
      <c r="L98" s="81"/>
      <c r="M98" s="82"/>
      <c r="N98" s="25"/>
      <c r="O98" s="25"/>
      <c r="P98" s="82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12" t="str">
        <f>VLOOKUP(B:B,'Курс валют'!A:D,4,0)</f>
        <v>#N/A</v>
      </c>
      <c r="D99" s="69"/>
      <c r="E99" s="25"/>
      <c r="F99" s="25"/>
      <c r="G99" s="25"/>
      <c r="H99" s="80"/>
      <c r="I99" s="25"/>
      <c r="J99" s="25"/>
      <c r="K99" s="80"/>
      <c r="L99" s="81"/>
      <c r="M99" s="82"/>
      <c r="N99" s="25"/>
      <c r="O99" s="25"/>
      <c r="P99" s="82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12" t="str">
        <f>VLOOKUP(B:B,'Курс валют'!A:D,4,0)</f>
        <v>#N/A</v>
      </c>
      <c r="D100" s="69"/>
      <c r="E100" s="25"/>
      <c r="F100" s="25"/>
      <c r="G100" s="25"/>
      <c r="H100" s="80"/>
      <c r="I100" s="25"/>
      <c r="J100" s="25"/>
      <c r="K100" s="80"/>
      <c r="L100" s="81"/>
      <c r="M100" s="82"/>
      <c r="N100" s="25"/>
      <c r="O100" s="25"/>
      <c r="P100" s="82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12" t="str">
        <f>VLOOKUP(B:B,'Курс валют'!A:D,4,0)</f>
        <v>#N/A</v>
      </c>
      <c r="D101" s="69"/>
      <c r="E101" s="25"/>
      <c r="F101" s="25"/>
      <c r="G101" s="25"/>
      <c r="H101" s="80"/>
      <c r="I101" s="25"/>
      <c r="J101" s="25"/>
      <c r="K101" s="80"/>
      <c r="L101" s="81"/>
      <c r="M101" s="82"/>
      <c r="N101" s="25"/>
      <c r="O101" s="25"/>
      <c r="P101" s="82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12" t="str">
        <f>VLOOKUP(B:B,'Курс валют'!A:D,4,0)</f>
        <v>#N/A</v>
      </c>
      <c r="D102" s="69"/>
      <c r="E102" s="25"/>
      <c r="F102" s="25"/>
      <c r="G102" s="25"/>
      <c r="H102" s="80"/>
      <c r="I102" s="25"/>
      <c r="J102" s="25"/>
      <c r="K102" s="80"/>
      <c r="L102" s="81"/>
      <c r="M102" s="82"/>
      <c r="N102" s="25"/>
      <c r="O102" s="25"/>
      <c r="P102" s="82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12" t="str">
        <f>VLOOKUP(B:B,'Курс валют'!A:D,4,0)</f>
        <v>#N/A</v>
      </c>
      <c r="D103" s="69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12" t="str">
        <f>VLOOKUP(B:B,'Курс валют'!A:D,4,0)</f>
        <v>#N/A</v>
      </c>
      <c r="D104" s="69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12" t="str">
        <f>VLOOKUP(B:B,'Курс валют'!A:D,4,0)</f>
        <v>#N/A</v>
      </c>
      <c r="D105" s="69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12" t="str">
        <f>VLOOKUP(B:B,'Курс валют'!A:D,4,0)</f>
        <v>#N/A</v>
      </c>
      <c r="D106" s="69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12" t="str">
        <f>VLOOKUP(B:B,'Курс валют'!A:D,4,0)</f>
        <v>#N/A</v>
      </c>
      <c r="D107" s="69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12" t="str">
        <f>VLOOKUP(B:B,'Курс валют'!A:D,4,0)</f>
        <v>#N/A</v>
      </c>
      <c r="D108" s="69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12" t="str">
        <f>VLOOKUP(B:B,'Курс валют'!A:D,4,0)</f>
        <v>#N/A</v>
      </c>
      <c r="D109" s="69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12" t="str">
        <f>VLOOKUP(B:B,'Курс валют'!A:D,4,0)</f>
        <v>#N/A</v>
      </c>
      <c r="D110" s="69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12" t="str">
        <f>VLOOKUP(B:B,'Курс валют'!A:D,4,0)</f>
        <v>#N/A</v>
      </c>
      <c r="D111" s="69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12" t="str">
        <f>VLOOKUP(B:B,'Курс валют'!A:D,4,0)</f>
        <v>#N/A</v>
      </c>
      <c r="D112" s="69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12" t="str">
        <f>VLOOKUP(B:B,'Курс валют'!A:D,4,0)</f>
        <v>#N/A</v>
      </c>
      <c r="D113" s="69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12" t="str">
        <f>VLOOKUP(B:B,'Курс валют'!A:D,4,0)</f>
        <v>#N/A</v>
      </c>
      <c r="D114" s="69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12" t="str">
        <f>VLOOKUP(B:B,'Курс валют'!A:D,4,0)</f>
        <v>#N/A</v>
      </c>
      <c r="D115" s="69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12" t="str">
        <f>VLOOKUP(B:B,'Курс валют'!A:D,4,0)</f>
        <v>#N/A</v>
      </c>
      <c r="D116" s="69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12" t="str">
        <f>VLOOKUP(B:B,'Курс валют'!A:D,4,0)</f>
        <v>#N/A</v>
      </c>
      <c r="D117" s="69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12" t="str">
        <f>VLOOKUP(B:B,'Курс валют'!A:D,4,0)</f>
        <v>#N/A</v>
      </c>
      <c r="D118" s="69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12" t="str">
        <f>VLOOKUP(B:B,'Курс валют'!A:D,4,0)</f>
        <v>#N/A</v>
      </c>
      <c r="D119" s="69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12" t="str">
        <f>VLOOKUP(B:B,'Курс валют'!A:D,4,0)</f>
        <v>#N/A</v>
      </c>
      <c r="D120" s="69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25"/>
      <c r="D121" s="69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25"/>
      <c r="D122" s="69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/>
      <c r="C123" s="25"/>
      <c r="D123" s="69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/>
      <c r="C124" s="25"/>
      <c r="D124" s="69"/>
      <c r="E124" s="25"/>
      <c r="F124" s="25"/>
      <c r="G124" s="25"/>
      <c r="H124" s="80"/>
      <c r="I124" s="25"/>
      <c r="J124" s="25"/>
      <c r="K124" s="80"/>
      <c r="L124" s="81"/>
      <c r="M124" s="82"/>
      <c r="N124" s="25"/>
      <c r="O124" s="25"/>
      <c r="P124" s="82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B125" s="68"/>
      <c r="D125" s="69"/>
      <c r="H125" s="70"/>
      <c r="K125" s="70"/>
      <c r="L125" s="71"/>
      <c r="M125" s="72"/>
      <c r="P125" s="72"/>
    </row>
    <row r="126">
      <c r="B126" s="68"/>
      <c r="D126" s="69"/>
      <c r="H126" s="70"/>
      <c r="K126" s="70"/>
      <c r="L126" s="71"/>
      <c r="M126" s="72"/>
      <c r="P126" s="72"/>
    </row>
    <row r="127">
      <c r="B127" s="68"/>
      <c r="D127" s="69"/>
      <c r="H127" s="70"/>
      <c r="K127" s="70"/>
      <c r="L127" s="71"/>
      <c r="M127" s="72"/>
      <c r="P127" s="72"/>
    </row>
    <row r="128">
      <c r="B128" s="68"/>
      <c r="D128" s="69"/>
      <c r="H128" s="70"/>
      <c r="K128" s="70"/>
      <c r="L128" s="71"/>
      <c r="M128" s="72"/>
      <c r="P128" s="72"/>
    </row>
    <row r="129">
      <c r="B129" s="68"/>
      <c r="D129" s="69"/>
      <c r="H129" s="70"/>
      <c r="K129" s="70"/>
      <c r="L129" s="71"/>
      <c r="M129" s="72"/>
      <c r="P129" s="72"/>
    </row>
    <row r="130">
      <c r="B130" s="68"/>
      <c r="D130" s="69"/>
      <c r="H130" s="70"/>
      <c r="K130" s="70"/>
      <c r="L130" s="71"/>
      <c r="M130" s="72"/>
      <c r="P130" s="72"/>
    </row>
    <row r="131">
      <c r="B131" s="68"/>
      <c r="D131" s="69"/>
      <c r="H131" s="70"/>
      <c r="K131" s="70"/>
      <c r="L131" s="71"/>
      <c r="M131" s="72"/>
      <c r="P131" s="72"/>
    </row>
    <row r="132">
      <c r="B132" s="68"/>
      <c r="D132" s="69"/>
      <c r="H132" s="70"/>
      <c r="K132" s="70"/>
      <c r="L132" s="71"/>
      <c r="M132" s="72"/>
      <c r="P132" s="72"/>
    </row>
    <row r="133">
      <c r="B133" s="68"/>
      <c r="D133" s="69"/>
      <c r="H133" s="70"/>
      <c r="K133" s="70"/>
      <c r="L133" s="71"/>
      <c r="M133" s="72"/>
      <c r="P133" s="72"/>
    </row>
    <row r="134">
      <c r="B134" s="68"/>
      <c r="D134" s="69"/>
      <c r="H134" s="70"/>
      <c r="K134" s="70"/>
      <c r="L134" s="71"/>
      <c r="M134" s="72"/>
      <c r="P134" s="72"/>
    </row>
    <row r="135">
      <c r="B135" s="68"/>
      <c r="D135" s="69"/>
      <c r="H135" s="70"/>
      <c r="K135" s="70"/>
      <c r="L135" s="71"/>
      <c r="M135" s="72"/>
      <c r="P135" s="72"/>
    </row>
    <row r="136">
      <c r="B136" s="68"/>
      <c r="D136" s="69"/>
      <c r="H136" s="70"/>
      <c r="K136" s="70"/>
      <c r="L136" s="71"/>
      <c r="M136" s="72"/>
      <c r="P136" s="72"/>
    </row>
    <row r="137">
      <c r="B137" s="68"/>
      <c r="D137" s="69"/>
      <c r="H137" s="70"/>
      <c r="K137" s="70"/>
      <c r="L137" s="71"/>
      <c r="M137" s="72"/>
      <c r="P137" s="72"/>
    </row>
    <row r="138">
      <c r="B138" s="68"/>
      <c r="D138" s="69"/>
      <c r="H138" s="70"/>
      <c r="K138" s="70"/>
      <c r="L138" s="71"/>
      <c r="M138" s="72"/>
      <c r="P138" s="72"/>
    </row>
    <row r="139">
      <c r="B139" s="68"/>
      <c r="D139" s="69"/>
      <c r="H139" s="70"/>
      <c r="K139" s="70"/>
      <c r="L139" s="71"/>
      <c r="M139" s="72"/>
      <c r="P139" s="72"/>
    </row>
    <row r="140">
      <c r="B140" s="68"/>
      <c r="D140" s="69"/>
      <c r="H140" s="70"/>
      <c r="K140" s="70"/>
      <c r="L140" s="71"/>
      <c r="M140" s="72"/>
      <c r="P140" s="72"/>
    </row>
    <row r="141">
      <c r="B141" s="68"/>
      <c r="D141" s="69"/>
      <c r="H141" s="70"/>
      <c r="K141" s="70"/>
      <c r="L141" s="71"/>
      <c r="M141" s="72"/>
      <c r="P141" s="72"/>
    </row>
    <row r="142">
      <c r="B142" s="68"/>
      <c r="D142" s="69"/>
      <c r="H142" s="70"/>
      <c r="K142" s="70"/>
      <c r="L142" s="71"/>
      <c r="M142" s="72"/>
      <c r="P142" s="72"/>
    </row>
    <row r="143">
      <c r="B143" s="68"/>
      <c r="D143" s="69"/>
      <c r="H143" s="70"/>
      <c r="K143" s="70"/>
      <c r="L143" s="71"/>
      <c r="M143" s="72"/>
      <c r="P143" s="72"/>
    </row>
    <row r="144">
      <c r="B144" s="68"/>
      <c r="D144" s="69"/>
      <c r="H144" s="70"/>
      <c r="K144" s="70"/>
      <c r="L144" s="71"/>
      <c r="M144" s="72"/>
      <c r="P144" s="72"/>
    </row>
    <row r="145">
      <c r="B145" s="68"/>
      <c r="D145" s="69"/>
      <c r="H145" s="70"/>
      <c r="K145" s="70"/>
      <c r="L145" s="71"/>
      <c r="M145" s="72"/>
      <c r="P145" s="72"/>
    </row>
    <row r="146">
      <c r="B146" s="68"/>
      <c r="D146" s="69"/>
      <c r="H146" s="70"/>
      <c r="K146" s="70"/>
      <c r="L146" s="71"/>
      <c r="M146" s="72"/>
      <c r="P146" s="72"/>
    </row>
    <row r="147">
      <c r="B147" s="68"/>
      <c r="D147" s="69"/>
      <c r="H147" s="70"/>
      <c r="K147" s="70"/>
      <c r="L147" s="71"/>
      <c r="M147" s="72"/>
      <c r="P147" s="72"/>
    </row>
    <row r="148">
      <c r="B148" s="68"/>
      <c r="D148" s="69"/>
      <c r="H148" s="70"/>
      <c r="K148" s="70"/>
      <c r="L148" s="71"/>
      <c r="M148" s="72"/>
      <c r="P148" s="72"/>
    </row>
    <row r="149">
      <c r="B149" s="68"/>
      <c r="D149" s="69"/>
      <c r="H149" s="70"/>
      <c r="K149" s="70"/>
      <c r="L149" s="71"/>
      <c r="M149" s="72"/>
      <c r="P149" s="72"/>
    </row>
    <row r="150">
      <c r="B150" s="68"/>
      <c r="D150" s="69"/>
      <c r="H150" s="70"/>
      <c r="K150" s="70"/>
      <c r="L150" s="71"/>
      <c r="M150" s="72"/>
      <c r="P150" s="72"/>
    </row>
    <row r="151">
      <c r="B151" s="68"/>
      <c r="D151" s="69"/>
      <c r="H151" s="70"/>
      <c r="K151" s="70"/>
      <c r="L151" s="71"/>
      <c r="M151" s="72"/>
      <c r="P151" s="72"/>
    </row>
    <row r="152">
      <c r="B152" s="68"/>
      <c r="D152" s="69"/>
      <c r="H152" s="70"/>
      <c r="K152" s="70"/>
      <c r="L152" s="71"/>
      <c r="M152" s="72"/>
      <c r="P152" s="72"/>
    </row>
    <row r="153">
      <c r="B153" s="68"/>
      <c r="D153" s="69"/>
      <c r="H153" s="70"/>
      <c r="K153" s="70"/>
      <c r="L153" s="71"/>
      <c r="M153" s="72"/>
      <c r="P153" s="72"/>
    </row>
    <row r="154">
      <c r="B154" s="68"/>
      <c r="D154" s="69"/>
      <c r="H154" s="70"/>
      <c r="K154" s="70"/>
      <c r="L154" s="71"/>
      <c r="M154" s="72"/>
      <c r="P154" s="72"/>
    </row>
    <row r="155">
      <c r="B155" s="68"/>
      <c r="D155" s="69"/>
      <c r="H155" s="70"/>
      <c r="K155" s="70"/>
      <c r="L155" s="71"/>
      <c r="M155" s="72"/>
      <c r="P155" s="72"/>
    </row>
    <row r="156">
      <c r="B156" s="68"/>
      <c r="D156" s="69"/>
      <c r="H156" s="70"/>
      <c r="K156" s="70"/>
      <c r="L156" s="71"/>
      <c r="M156" s="72"/>
      <c r="P156" s="72"/>
    </row>
    <row r="157">
      <c r="B157" s="68"/>
      <c r="D157" s="69"/>
      <c r="H157" s="70"/>
      <c r="K157" s="70"/>
      <c r="L157" s="71"/>
      <c r="M157" s="72"/>
      <c r="P157" s="72"/>
    </row>
    <row r="158">
      <c r="B158" s="68"/>
      <c r="D158" s="69"/>
      <c r="H158" s="70"/>
      <c r="K158" s="70"/>
      <c r="L158" s="71"/>
      <c r="M158" s="72"/>
      <c r="P158" s="72"/>
    </row>
    <row r="159">
      <c r="B159" s="68"/>
      <c r="D159" s="69"/>
      <c r="H159" s="70"/>
      <c r="K159" s="70"/>
      <c r="L159" s="71"/>
      <c r="M159" s="72"/>
      <c r="P159" s="72"/>
    </row>
    <row r="160">
      <c r="B160" s="68"/>
      <c r="D160" s="69"/>
      <c r="H160" s="70"/>
      <c r="K160" s="70"/>
      <c r="L160" s="71"/>
      <c r="M160" s="72"/>
      <c r="P160" s="72"/>
    </row>
    <row r="161">
      <c r="B161" s="68"/>
      <c r="D161" s="69"/>
      <c r="H161" s="70"/>
      <c r="K161" s="70"/>
      <c r="L161" s="71"/>
      <c r="M161" s="72"/>
      <c r="P161" s="72"/>
    </row>
    <row r="162">
      <c r="B162" s="68"/>
      <c r="D162" s="69"/>
      <c r="H162" s="70"/>
      <c r="K162" s="70"/>
      <c r="L162" s="71"/>
      <c r="M162" s="72"/>
      <c r="P162" s="72"/>
    </row>
    <row r="163">
      <c r="B163" s="68"/>
      <c r="D163" s="69"/>
      <c r="H163" s="70"/>
      <c r="K163" s="70"/>
      <c r="L163" s="71"/>
      <c r="M163" s="72"/>
      <c r="P163" s="72"/>
    </row>
    <row r="164">
      <c r="B164" s="68"/>
      <c r="D164" s="69"/>
      <c r="H164" s="70"/>
      <c r="K164" s="70"/>
      <c r="L164" s="71"/>
      <c r="M164" s="72"/>
      <c r="P164" s="72"/>
    </row>
    <row r="165">
      <c r="B165" s="68"/>
      <c r="D165" s="69"/>
      <c r="H165" s="70"/>
      <c r="K165" s="70"/>
      <c r="L165" s="71"/>
      <c r="M165" s="72"/>
      <c r="P165" s="72"/>
    </row>
    <row r="166">
      <c r="B166" s="68"/>
      <c r="D166" s="69"/>
      <c r="H166" s="70"/>
      <c r="K166" s="70"/>
      <c r="L166" s="71"/>
      <c r="M166" s="72"/>
      <c r="P166" s="72"/>
    </row>
    <row r="167">
      <c r="B167" s="68"/>
      <c r="D167" s="69"/>
      <c r="H167" s="70"/>
      <c r="K167" s="70"/>
      <c r="L167" s="71"/>
      <c r="M167" s="72"/>
      <c r="P167" s="72"/>
    </row>
    <row r="168">
      <c r="B168" s="68"/>
      <c r="D168" s="69"/>
      <c r="H168" s="70"/>
      <c r="K168" s="70"/>
      <c r="L168" s="71"/>
      <c r="M168" s="72"/>
      <c r="P168" s="72"/>
    </row>
    <row r="169">
      <c r="B169" s="68"/>
      <c r="D169" s="69"/>
      <c r="H169" s="70"/>
      <c r="K169" s="70"/>
      <c r="L169" s="71"/>
      <c r="M169" s="72"/>
      <c r="P169" s="72"/>
    </row>
    <row r="170">
      <c r="B170" s="68"/>
      <c r="D170" s="69"/>
      <c r="H170" s="70"/>
      <c r="K170" s="70"/>
      <c r="L170" s="71"/>
      <c r="M170" s="72"/>
      <c r="P170" s="72"/>
    </row>
    <row r="171">
      <c r="B171" s="68"/>
      <c r="D171" s="69"/>
      <c r="H171" s="70"/>
      <c r="K171" s="70"/>
      <c r="L171" s="71"/>
      <c r="M171" s="72"/>
      <c r="P171" s="72"/>
    </row>
    <row r="172">
      <c r="B172" s="68"/>
      <c r="D172" s="69"/>
      <c r="H172" s="70"/>
      <c r="K172" s="70"/>
      <c r="L172" s="71"/>
      <c r="M172" s="72"/>
      <c r="P172" s="72"/>
    </row>
    <row r="173">
      <c r="B173" s="68"/>
      <c r="D173" s="69"/>
      <c r="H173" s="70"/>
      <c r="K173" s="70"/>
      <c r="L173" s="71"/>
      <c r="M173" s="72"/>
      <c r="P173" s="72"/>
    </row>
    <row r="174">
      <c r="B174" s="68"/>
      <c r="D174" s="69"/>
      <c r="H174" s="70"/>
      <c r="K174" s="70"/>
      <c r="L174" s="71"/>
      <c r="M174" s="72"/>
      <c r="P174" s="72"/>
    </row>
    <row r="175">
      <c r="B175" s="68"/>
      <c r="D175" s="69"/>
      <c r="H175" s="70"/>
      <c r="K175" s="70"/>
      <c r="L175" s="71"/>
      <c r="M175" s="72"/>
      <c r="P175" s="72"/>
    </row>
    <row r="176">
      <c r="B176" s="68"/>
      <c r="D176" s="69"/>
      <c r="H176" s="70"/>
      <c r="K176" s="70"/>
      <c r="L176" s="71"/>
      <c r="M176" s="72"/>
      <c r="P176" s="72"/>
    </row>
    <row r="177">
      <c r="B177" s="68"/>
      <c r="D177" s="69"/>
      <c r="H177" s="70"/>
      <c r="K177" s="70"/>
      <c r="L177" s="71"/>
      <c r="M177" s="72"/>
      <c r="P177" s="72"/>
    </row>
    <row r="178">
      <c r="B178" s="68"/>
      <c r="D178" s="69"/>
      <c r="H178" s="70"/>
      <c r="K178" s="70"/>
      <c r="L178" s="71"/>
      <c r="M178" s="72"/>
      <c r="P178" s="72"/>
    </row>
    <row r="179">
      <c r="B179" s="68"/>
      <c r="D179" s="69"/>
      <c r="H179" s="70"/>
      <c r="K179" s="70"/>
      <c r="L179" s="71"/>
      <c r="M179" s="72"/>
      <c r="P179" s="72"/>
    </row>
    <row r="180">
      <c r="B180" s="68"/>
      <c r="D180" s="69"/>
      <c r="H180" s="70"/>
      <c r="K180" s="70"/>
      <c r="L180" s="71"/>
      <c r="M180" s="72"/>
      <c r="P180" s="72"/>
    </row>
    <row r="181">
      <c r="B181" s="68"/>
      <c r="D181" s="69"/>
      <c r="H181" s="70"/>
      <c r="K181" s="70"/>
      <c r="L181" s="71"/>
      <c r="M181" s="72"/>
      <c r="P181" s="72"/>
    </row>
    <row r="182">
      <c r="B182" s="68"/>
      <c r="D182" s="69"/>
      <c r="H182" s="70"/>
      <c r="K182" s="70"/>
      <c r="L182" s="71"/>
      <c r="M182" s="72"/>
      <c r="P182" s="72"/>
    </row>
    <row r="183">
      <c r="B183" s="68"/>
      <c r="D183" s="69"/>
      <c r="H183" s="70"/>
      <c r="K183" s="70"/>
      <c r="L183" s="71"/>
      <c r="M183" s="72"/>
      <c r="P183" s="72"/>
    </row>
    <row r="184">
      <c r="B184" s="68"/>
      <c r="D184" s="69"/>
      <c r="H184" s="70"/>
      <c r="K184" s="70"/>
      <c r="L184" s="71"/>
      <c r="M184" s="72"/>
      <c r="P184" s="72"/>
    </row>
    <row r="185">
      <c r="B185" s="68"/>
      <c r="D185" s="69"/>
      <c r="H185" s="70"/>
      <c r="K185" s="70"/>
      <c r="L185" s="71"/>
      <c r="M185" s="72"/>
      <c r="P185" s="72"/>
    </row>
    <row r="186">
      <c r="B186" s="68"/>
      <c r="D186" s="69"/>
      <c r="H186" s="70"/>
      <c r="K186" s="70"/>
      <c r="L186" s="71"/>
      <c r="M186" s="72"/>
      <c r="P186" s="72"/>
    </row>
    <row r="187">
      <c r="B187" s="68"/>
      <c r="D187" s="69"/>
      <c r="H187" s="70"/>
      <c r="K187" s="70"/>
      <c r="L187" s="71"/>
      <c r="M187" s="72"/>
      <c r="P187" s="72"/>
    </row>
    <row r="188">
      <c r="B188" s="68"/>
      <c r="D188" s="69"/>
      <c r="H188" s="70"/>
      <c r="K188" s="70"/>
      <c r="L188" s="71"/>
      <c r="M188" s="72"/>
      <c r="P188" s="72"/>
    </row>
    <row r="189">
      <c r="B189" s="68"/>
      <c r="D189" s="69"/>
      <c r="H189" s="70"/>
      <c r="K189" s="70"/>
      <c r="L189" s="71"/>
      <c r="M189" s="72"/>
      <c r="P189" s="72"/>
    </row>
    <row r="190">
      <c r="B190" s="68"/>
      <c r="D190" s="69"/>
      <c r="H190" s="70"/>
      <c r="K190" s="70"/>
      <c r="L190" s="71"/>
      <c r="M190" s="72"/>
      <c r="P190" s="72"/>
    </row>
    <row r="191">
      <c r="B191" s="68"/>
      <c r="D191" s="69"/>
      <c r="H191" s="70"/>
      <c r="K191" s="70"/>
      <c r="L191" s="71"/>
      <c r="M191" s="72"/>
      <c r="P191" s="72"/>
    </row>
    <row r="192">
      <c r="B192" s="68"/>
      <c r="D192" s="69"/>
      <c r="H192" s="70"/>
      <c r="K192" s="70"/>
      <c r="L192" s="71"/>
      <c r="M192" s="72"/>
      <c r="P192" s="72"/>
    </row>
    <row r="193">
      <c r="B193" s="68"/>
      <c r="D193" s="69"/>
      <c r="H193" s="70"/>
      <c r="K193" s="70"/>
      <c r="L193" s="71"/>
      <c r="M193" s="72"/>
      <c r="P193" s="72"/>
    </row>
    <row r="194">
      <c r="B194" s="68"/>
      <c r="D194" s="69"/>
      <c r="H194" s="70"/>
      <c r="K194" s="70"/>
      <c r="L194" s="71"/>
      <c r="M194" s="72"/>
      <c r="P194" s="72"/>
    </row>
    <row r="195">
      <c r="B195" s="68"/>
      <c r="D195" s="69"/>
      <c r="H195" s="70"/>
      <c r="K195" s="70"/>
      <c r="L195" s="71"/>
      <c r="M195" s="72"/>
      <c r="P195" s="72"/>
    </row>
    <row r="196">
      <c r="B196" s="68"/>
      <c r="D196" s="69"/>
      <c r="H196" s="70"/>
      <c r="K196" s="70"/>
      <c r="L196" s="71"/>
      <c r="M196" s="72"/>
      <c r="P196" s="72"/>
    </row>
    <row r="197">
      <c r="B197" s="68"/>
      <c r="D197" s="69"/>
      <c r="H197" s="70"/>
      <c r="K197" s="70"/>
      <c r="L197" s="71"/>
      <c r="M197" s="72"/>
      <c r="P197" s="72"/>
    </row>
    <row r="198">
      <c r="B198" s="68"/>
      <c r="D198" s="69"/>
      <c r="H198" s="70"/>
      <c r="K198" s="70"/>
      <c r="L198" s="71"/>
      <c r="M198" s="72"/>
      <c r="P198" s="72"/>
    </row>
    <row r="199">
      <c r="B199" s="68"/>
      <c r="D199" s="69"/>
      <c r="H199" s="70"/>
      <c r="K199" s="70"/>
      <c r="L199" s="71"/>
      <c r="M199" s="72"/>
      <c r="P199" s="72"/>
    </row>
    <row r="200">
      <c r="B200" s="68"/>
      <c r="D200" s="69"/>
      <c r="H200" s="70"/>
      <c r="K200" s="70"/>
      <c r="L200" s="71"/>
      <c r="M200" s="72"/>
      <c r="P200" s="72"/>
    </row>
    <row r="201">
      <c r="B201" s="68"/>
      <c r="D201" s="69"/>
      <c r="H201" s="70"/>
      <c r="K201" s="70"/>
      <c r="L201" s="71"/>
      <c r="M201" s="72"/>
      <c r="P201" s="72"/>
    </row>
    <row r="202">
      <c r="B202" s="68"/>
      <c r="D202" s="69"/>
      <c r="H202" s="70"/>
      <c r="K202" s="70"/>
      <c r="L202" s="71"/>
      <c r="M202" s="72"/>
      <c r="P202" s="72"/>
    </row>
    <row r="203">
      <c r="B203" s="68"/>
      <c r="D203" s="69"/>
      <c r="H203" s="70"/>
      <c r="K203" s="70"/>
      <c r="L203" s="71"/>
      <c r="M203" s="72"/>
      <c r="P203" s="72"/>
    </row>
    <row r="204">
      <c r="B204" s="68"/>
      <c r="D204" s="69"/>
      <c r="H204" s="70"/>
      <c r="K204" s="70"/>
      <c r="L204" s="71"/>
      <c r="M204" s="72"/>
      <c r="P204" s="72"/>
    </row>
    <row r="205">
      <c r="B205" s="68"/>
      <c r="D205" s="69"/>
      <c r="H205" s="70"/>
      <c r="K205" s="70"/>
      <c r="L205" s="71"/>
      <c r="M205" s="72"/>
      <c r="P205" s="72"/>
    </row>
    <row r="206">
      <c r="B206" s="68"/>
      <c r="D206" s="69"/>
      <c r="H206" s="70"/>
      <c r="K206" s="70"/>
      <c r="L206" s="71"/>
      <c r="M206" s="72"/>
      <c r="P206" s="72"/>
    </row>
    <row r="207">
      <c r="B207" s="68"/>
      <c r="D207" s="69"/>
      <c r="H207" s="70"/>
      <c r="K207" s="70"/>
      <c r="L207" s="71"/>
      <c r="M207" s="72"/>
      <c r="P207" s="72"/>
    </row>
    <row r="208">
      <c r="B208" s="68"/>
      <c r="D208" s="69"/>
      <c r="H208" s="70"/>
      <c r="K208" s="70"/>
      <c r="L208" s="71"/>
      <c r="M208" s="72"/>
      <c r="P208" s="72"/>
    </row>
    <row r="209">
      <c r="B209" s="68"/>
      <c r="D209" s="69"/>
      <c r="H209" s="70"/>
      <c r="K209" s="70"/>
      <c r="L209" s="71"/>
      <c r="M209" s="72"/>
      <c r="P209" s="72"/>
    </row>
    <row r="210">
      <c r="B210" s="68"/>
      <c r="D210" s="69"/>
      <c r="H210" s="70"/>
      <c r="K210" s="70"/>
      <c r="L210" s="71"/>
      <c r="M210" s="72"/>
      <c r="P210" s="72"/>
    </row>
    <row r="211">
      <c r="B211" s="68"/>
      <c r="D211" s="69"/>
      <c r="H211" s="70"/>
      <c r="K211" s="70"/>
      <c r="L211" s="71"/>
      <c r="M211" s="72"/>
      <c r="P211" s="72"/>
    </row>
    <row r="212">
      <c r="B212" s="68"/>
      <c r="D212" s="69"/>
      <c r="H212" s="70"/>
      <c r="K212" s="70"/>
      <c r="L212" s="71"/>
      <c r="M212" s="72"/>
      <c r="P212" s="72"/>
    </row>
    <row r="213">
      <c r="B213" s="68"/>
      <c r="D213" s="69"/>
      <c r="H213" s="70"/>
      <c r="K213" s="70"/>
      <c r="L213" s="71"/>
      <c r="M213" s="72"/>
      <c r="P213" s="72"/>
    </row>
    <row r="214">
      <c r="B214" s="68"/>
      <c r="D214" s="69"/>
      <c r="H214" s="70"/>
      <c r="K214" s="70"/>
      <c r="L214" s="71"/>
      <c r="M214" s="72"/>
      <c r="P214" s="72"/>
    </row>
    <row r="215">
      <c r="B215" s="68"/>
      <c r="D215" s="69"/>
      <c r="H215" s="70"/>
      <c r="K215" s="70"/>
      <c r="L215" s="71"/>
      <c r="M215" s="72"/>
      <c r="P215" s="72"/>
    </row>
    <row r="216">
      <c r="B216" s="68"/>
      <c r="D216" s="69"/>
      <c r="H216" s="70"/>
      <c r="K216" s="70"/>
      <c r="L216" s="71"/>
      <c r="M216" s="72"/>
      <c r="P216" s="72"/>
    </row>
    <row r="217">
      <c r="B217" s="68"/>
      <c r="D217" s="69"/>
      <c r="H217" s="70"/>
      <c r="K217" s="70"/>
      <c r="L217" s="71"/>
      <c r="M217" s="72"/>
      <c r="P217" s="72"/>
    </row>
    <row r="218">
      <c r="B218" s="68"/>
      <c r="D218" s="69"/>
      <c r="H218" s="70"/>
      <c r="K218" s="70"/>
      <c r="L218" s="71"/>
      <c r="M218" s="72"/>
      <c r="P218" s="72"/>
    </row>
    <row r="219">
      <c r="B219" s="68"/>
      <c r="D219" s="69"/>
      <c r="H219" s="70"/>
      <c r="K219" s="70"/>
      <c r="L219" s="71"/>
      <c r="M219" s="72"/>
      <c r="P219" s="72"/>
    </row>
    <row r="220">
      <c r="B220" s="68"/>
      <c r="D220" s="69"/>
      <c r="H220" s="70"/>
      <c r="K220" s="70"/>
      <c r="L220" s="71"/>
      <c r="M220" s="72"/>
      <c r="P220" s="72"/>
    </row>
    <row r="221">
      <c r="B221" s="68"/>
      <c r="D221" s="69"/>
      <c r="H221" s="70"/>
      <c r="K221" s="70"/>
      <c r="L221" s="71"/>
      <c r="M221" s="72"/>
      <c r="P221" s="72"/>
    </row>
    <row r="222">
      <c r="B222" s="68"/>
      <c r="D222" s="69"/>
      <c r="H222" s="70"/>
      <c r="K222" s="70"/>
      <c r="L222" s="71"/>
      <c r="M222" s="72"/>
      <c r="P222" s="72"/>
    </row>
    <row r="223">
      <c r="B223" s="68"/>
      <c r="D223" s="69"/>
      <c r="H223" s="70"/>
      <c r="K223" s="70"/>
      <c r="L223" s="71"/>
      <c r="M223" s="72"/>
      <c r="P223" s="72"/>
    </row>
    <row r="224">
      <c r="B224" s="68"/>
      <c r="D224" s="69"/>
      <c r="H224" s="70"/>
      <c r="K224" s="70"/>
      <c r="L224" s="71"/>
      <c r="M224" s="72"/>
      <c r="P224" s="72"/>
    </row>
    <row r="225">
      <c r="B225" s="68"/>
      <c r="D225" s="69"/>
      <c r="H225" s="70"/>
      <c r="K225" s="70"/>
      <c r="L225" s="71"/>
      <c r="M225" s="72"/>
      <c r="P225" s="72"/>
    </row>
    <row r="226">
      <c r="B226" s="68"/>
      <c r="D226" s="69"/>
      <c r="H226" s="70"/>
      <c r="K226" s="70"/>
      <c r="L226" s="71"/>
      <c r="M226" s="72"/>
      <c r="P226" s="72"/>
    </row>
    <row r="227">
      <c r="B227" s="68"/>
      <c r="D227" s="69"/>
      <c r="H227" s="70"/>
      <c r="K227" s="70"/>
      <c r="L227" s="71"/>
      <c r="M227" s="72"/>
      <c r="P227" s="72"/>
    </row>
    <row r="228">
      <c r="B228" s="68"/>
      <c r="D228" s="69"/>
      <c r="H228" s="70"/>
      <c r="K228" s="70"/>
      <c r="L228" s="71"/>
      <c r="M228" s="72"/>
      <c r="P228" s="72"/>
    </row>
    <row r="229">
      <c r="B229" s="68"/>
      <c r="D229" s="69"/>
      <c r="H229" s="70"/>
      <c r="K229" s="70"/>
      <c r="L229" s="71"/>
      <c r="M229" s="72"/>
      <c r="P229" s="72"/>
    </row>
    <row r="230">
      <c r="B230" s="68"/>
      <c r="D230" s="69"/>
      <c r="H230" s="70"/>
      <c r="K230" s="70"/>
      <c r="L230" s="71"/>
      <c r="M230" s="72"/>
      <c r="P230" s="72"/>
    </row>
    <row r="231">
      <c r="B231" s="68"/>
      <c r="D231" s="69"/>
      <c r="H231" s="70"/>
      <c r="K231" s="70"/>
      <c r="L231" s="71"/>
      <c r="M231" s="72"/>
      <c r="P231" s="72"/>
    </row>
    <row r="232">
      <c r="B232" s="68"/>
      <c r="D232" s="69"/>
      <c r="H232" s="70"/>
      <c r="K232" s="70"/>
      <c r="L232" s="71"/>
      <c r="M232" s="72"/>
      <c r="P232" s="72"/>
    </row>
    <row r="233">
      <c r="B233" s="68"/>
      <c r="D233" s="69"/>
      <c r="H233" s="70"/>
      <c r="K233" s="70"/>
      <c r="L233" s="71"/>
      <c r="M233" s="72"/>
      <c r="P233" s="72"/>
    </row>
    <row r="234">
      <c r="B234" s="68"/>
      <c r="D234" s="69"/>
      <c r="H234" s="70"/>
      <c r="K234" s="70"/>
      <c r="L234" s="71"/>
      <c r="M234" s="72"/>
      <c r="P234" s="72"/>
    </row>
    <row r="235">
      <c r="B235" s="68"/>
      <c r="D235" s="69"/>
      <c r="H235" s="70"/>
      <c r="K235" s="70"/>
      <c r="L235" s="71"/>
      <c r="M235" s="72"/>
      <c r="P235" s="72"/>
    </row>
    <row r="236">
      <c r="B236" s="68"/>
      <c r="D236" s="69"/>
      <c r="H236" s="70"/>
      <c r="K236" s="70"/>
      <c r="L236" s="71"/>
      <c r="M236" s="72"/>
      <c r="P236" s="72"/>
    </row>
    <row r="237">
      <c r="B237" s="68"/>
      <c r="D237" s="69"/>
      <c r="H237" s="70"/>
      <c r="K237" s="70"/>
      <c r="L237" s="71"/>
      <c r="M237" s="72"/>
      <c r="P237" s="72"/>
    </row>
    <row r="238">
      <c r="B238" s="68"/>
      <c r="D238" s="69"/>
      <c r="H238" s="70"/>
      <c r="K238" s="70"/>
      <c r="L238" s="71"/>
      <c r="M238" s="72"/>
      <c r="P238" s="72"/>
    </row>
    <row r="239">
      <c r="B239" s="68"/>
      <c r="D239" s="69"/>
      <c r="H239" s="70"/>
      <c r="K239" s="70"/>
      <c r="L239" s="71"/>
      <c r="M239" s="72"/>
      <c r="P239" s="72"/>
    </row>
    <row r="240">
      <c r="B240" s="68"/>
      <c r="D240" s="69"/>
      <c r="H240" s="70"/>
      <c r="K240" s="70"/>
      <c r="L240" s="71"/>
      <c r="M240" s="72"/>
      <c r="P240" s="72"/>
    </row>
    <row r="241">
      <c r="B241" s="68"/>
      <c r="D241" s="69"/>
      <c r="H241" s="70"/>
      <c r="K241" s="70"/>
      <c r="L241" s="71"/>
      <c r="M241" s="72"/>
      <c r="P241" s="72"/>
    </row>
    <row r="242">
      <c r="B242" s="68"/>
      <c r="D242" s="69"/>
      <c r="H242" s="70"/>
      <c r="K242" s="70"/>
      <c r="L242" s="71"/>
      <c r="M242" s="72"/>
      <c r="P242" s="72"/>
    </row>
    <row r="243">
      <c r="B243" s="68"/>
      <c r="D243" s="69"/>
      <c r="H243" s="70"/>
      <c r="K243" s="70"/>
      <c r="L243" s="71"/>
      <c r="M243" s="72"/>
      <c r="P243" s="72"/>
    </row>
    <row r="244">
      <c r="B244" s="68"/>
      <c r="D244" s="69"/>
      <c r="H244" s="70"/>
      <c r="K244" s="70"/>
      <c r="L244" s="71"/>
      <c r="M244" s="72"/>
      <c r="P244" s="72"/>
    </row>
    <row r="245">
      <c r="B245" s="68"/>
      <c r="D245" s="69"/>
      <c r="H245" s="70"/>
      <c r="K245" s="70"/>
      <c r="L245" s="71"/>
      <c r="M245" s="72"/>
      <c r="P245" s="72"/>
    </row>
    <row r="246">
      <c r="B246" s="68"/>
      <c r="D246" s="69"/>
      <c r="H246" s="70"/>
      <c r="K246" s="70"/>
      <c r="L246" s="71"/>
      <c r="M246" s="72"/>
      <c r="P246" s="72"/>
    </row>
    <row r="247">
      <c r="B247" s="68"/>
      <c r="D247" s="69"/>
      <c r="H247" s="70"/>
      <c r="K247" s="70"/>
      <c r="L247" s="71"/>
      <c r="M247" s="72"/>
      <c r="P247" s="72"/>
    </row>
    <row r="248">
      <c r="B248" s="68"/>
      <c r="D248" s="69"/>
      <c r="H248" s="70"/>
      <c r="K248" s="70"/>
      <c r="L248" s="71"/>
      <c r="M248" s="72"/>
      <c r="P248" s="72"/>
    </row>
    <row r="249">
      <c r="B249" s="68"/>
      <c r="D249" s="69"/>
      <c r="H249" s="70"/>
      <c r="K249" s="70"/>
      <c r="L249" s="71"/>
      <c r="M249" s="72"/>
      <c r="P249" s="72"/>
    </row>
    <row r="250">
      <c r="B250" s="68"/>
      <c r="D250" s="69"/>
      <c r="H250" s="70"/>
      <c r="K250" s="70"/>
      <c r="L250" s="71"/>
      <c r="M250" s="72"/>
      <c r="P250" s="72"/>
    </row>
    <row r="251">
      <c r="B251" s="68"/>
      <c r="D251" s="69"/>
      <c r="H251" s="70"/>
      <c r="K251" s="70"/>
      <c r="L251" s="71"/>
      <c r="M251" s="72"/>
      <c r="P251" s="72"/>
    </row>
    <row r="252">
      <c r="B252" s="68"/>
      <c r="D252" s="69"/>
      <c r="H252" s="70"/>
      <c r="K252" s="70"/>
      <c r="L252" s="71"/>
      <c r="M252" s="72"/>
      <c r="P252" s="72"/>
    </row>
    <row r="253">
      <c r="B253" s="68"/>
      <c r="D253" s="69"/>
      <c r="H253" s="70"/>
      <c r="K253" s="70"/>
      <c r="L253" s="71"/>
      <c r="M253" s="72"/>
      <c r="P253" s="72"/>
    </row>
    <row r="254">
      <c r="B254" s="68"/>
      <c r="D254" s="69"/>
      <c r="H254" s="70"/>
      <c r="K254" s="70"/>
      <c r="L254" s="71"/>
      <c r="M254" s="72"/>
      <c r="P254" s="72"/>
    </row>
    <row r="255">
      <c r="B255" s="68"/>
      <c r="D255" s="69"/>
      <c r="H255" s="70"/>
      <c r="K255" s="70"/>
      <c r="L255" s="71"/>
      <c r="M255" s="72"/>
      <c r="P255" s="72"/>
    </row>
    <row r="256">
      <c r="B256" s="68"/>
      <c r="D256" s="69"/>
      <c r="H256" s="70"/>
      <c r="K256" s="70"/>
      <c r="L256" s="71"/>
      <c r="M256" s="72"/>
      <c r="P256" s="72"/>
    </row>
    <row r="257">
      <c r="B257" s="68"/>
      <c r="D257" s="69"/>
      <c r="H257" s="70"/>
      <c r="K257" s="70"/>
      <c r="L257" s="71"/>
      <c r="M257" s="72"/>
      <c r="P257" s="72"/>
    </row>
    <row r="258">
      <c r="B258" s="68"/>
      <c r="D258" s="69"/>
      <c r="H258" s="70"/>
      <c r="K258" s="70"/>
      <c r="L258" s="71"/>
      <c r="M258" s="72"/>
      <c r="P258" s="72"/>
    </row>
    <row r="259">
      <c r="B259" s="68"/>
      <c r="D259" s="69"/>
      <c r="H259" s="70"/>
      <c r="K259" s="70"/>
      <c r="L259" s="71"/>
      <c r="M259" s="72"/>
      <c r="P259" s="72"/>
    </row>
    <row r="260">
      <c r="B260" s="68"/>
      <c r="D260" s="69"/>
      <c r="H260" s="70"/>
      <c r="K260" s="70"/>
      <c r="L260" s="71"/>
      <c r="M260" s="72"/>
      <c r="P260" s="72"/>
    </row>
    <row r="261">
      <c r="B261" s="68"/>
      <c r="D261" s="69"/>
      <c r="H261" s="70"/>
      <c r="K261" s="70"/>
      <c r="L261" s="71"/>
      <c r="M261" s="72"/>
      <c r="P261" s="72"/>
    </row>
    <row r="262">
      <c r="B262" s="68"/>
      <c r="D262" s="69"/>
      <c r="H262" s="70"/>
      <c r="K262" s="70"/>
      <c r="L262" s="71"/>
      <c r="M262" s="72"/>
      <c r="P262" s="72"/>
    </row>
    <row r="263">
      <c r="B263" s="68"/>
      <c r="D263" s="69"/>
      <c r="H263" s="70"/>
      <c r="K263" s="70"/>
      <c r="L263" s="71"/>
      <c r="M263" s="72"/>
      <c r="P263" s="72"/>
    </row>
    <row r="264">
      <c r="B264" s="68"/>
      <c r="D264" s="69"/>
      <c r="H264" s="70"/>
      <c r="K264" s="70"/>
      <c r="L264" s="71"/>
      <c r="M264" s="72"/>
      <c r="P264" s="72"/>
    </row>
    <row r="265">
      <c r="B265" s="68"/>
      <c r="D265" s="69"/>
      <c r="H265" s="70"/>
      <c r="K265" s="70"/>
      <c r="L265" s="71"/>
      <c r="M265" s="72"/>
      <c r="P265" s="72"/>
    </row>
    <row r="266">
      <c r="B266" s="68"/>
      <c r="D266" s="69"/>
      <c r="H266" s="70"/>
      <c r="K266" s="70"/>
      <c r="L266" s="71"/>
      <c r="M266" s="72"/>
      <c r="P266" s="72"/>
    </row>
    <row r="267">
      <c r="B267" s="68"/>
      <c r="D267" s="69"/>
      <c r="H267" s="70"/>
      <c r="K267" s="70"/>
      <c r="L267" s="71"/>
      <c r="M267" s="72"/>
      <c r="P267" s="72"/>
    </row>
    <row r="268">
      <c r="B268" s="68"/>
      <c r="D268" s="69"/>
      <c r="H268" s="70"/>
      <c r="K268" s="70"/>
      <c r="L268" s="71"/>
      <c r="M268" s="72"/>
      <c r="P268" s="72"/>
    </row>
    <row r="269">
      <c r="B269" s="68"/>
      <c r="D269" s="69"/>
      <c r="H269" s="70"/>
      <c r="K269" s="70"/>
      <c r="L269" s="71"/>
      <c r="M269" s="72"/>
      <c r="P269" s="72"/>
    </row>
    <row r="270">
      <c r="B270" s="68"/>
      <c r="D270" s="69"/>
      <c r="H270" s="70"/>
      <c r="K270" s="70"/>
      <c r="L270" s="71"/>
      <c r="M270" s="72"/>
      <c r="P270" s="72"/>
    </row>
    <row r="271">
      <c r="B271" s="68"/>
      <c r="D271" s="69"/>
      <c r="H271" s="70"/>
      <c r="K271" s="70"/>
      <c r="L271" s="71"/>
      <c r="M271" s="72"/>
      <c r="P271" s="72"/>
    </row>
    <row r="272">
      <c r="B272" s="68"/>
      <c r="D272" s="69"/>
      <c r="H272" s="70"/>
      <c r="K272" s="70"/>
      <c r="L272" s="71"/>
      <c r="M272" s="72"/>
      <c r="P272" s="72"/>
    </row>
    <row r="273">
      <c r="B273" s="68"/>
      <c r="D273" s="69"/>
      <c r="H273" s="70"/>
      <c r="K273" s="70"/>
      <c r="L273" s="71"/>
      <c r="M273" s="72"/>
      <c r="P273" s="72"/>
    </row>
    <row r="274">
      <c r="B274" s="68"/>
      <c r="D274" s="69"/>
      <c r="H274" s="70"/>
      <c r="K274" s="70"/>
      <c r="L274" s="71"/>
      <c r="M274" s="72"/>
      <c r="P274" s="72"/>
    </row>
    <row r="275">
      <c r="B275" s="68"/>
      <c r="D275" s="69"/>
      <c r="H275" s="70"/>
      <c r="K275" s="70"/>
      <c r="L275" s="71"/>
      <c r="M275" s="72"/>
      <c r="P275" s="72"/>
    </row>
    <row r="276">
      <c r="B276" s="68"/>
      <c r="D276" s="69"/>
      <c r="H276" s="70"/>
      <c r="K276" s="70"/>
      <c r="L276" s="71"/>
      <c r="M276" s="72"/>
      <c r="P276" s="72"/>
    </row>
    <row r="277">
      <c r="B277" s="68"/>
      <c r="D277" s="69"/>
      <c r="H277" s="70"/>
      <c r="K277" s="70"/>
      <c r="L277" s="71"/>
      <c r="M277" s="72"/>
      <c r="P277" s="72"/>
    </row>
    <row r="278">
      <c r="B278" s="68"/>
      <c r="D278" s="69"/>
      <c r="H278" s="70"/>
      <c r="K278" s="70"/>
      <c r="L278" s="71"/>
      <c r="M278" s="72"/>
      <c r="P278" s="72"/>
    </row>
    <row r="279">
      <c r="B279" s="68"/>
      <c r="D279" s="69"/>
      <c r="H279" s="70"/>
      <c r="K279" s="70"/>
      <c r="L279" s="71"/>
      <c r="M279" s="72"/>
      <c r="P279" s="72"/>
    </row>
    <row r="280">
      <c r="B280" s="68"/>
      <c r="D280" s="69"/>
      <c r="H280" s="70"/>
      <c r="K280" s="70"/>
      <c r="L280" s="71"/>
      <c r="M280" s="72"/>
      <c r="P280" s="72"/>
    </row>
    <row r="281">
      <c r="B281" s="68"/>
      <c r="D281" s="69"/>
      <c r="H281" s="70"/>
      <c r="K281" s="70"/>
      <c r="L281" s="71"/>
      <c r="M281" s="72"/>
      <c r="P281" s="72"/>
    </row>
    <row r="282">
      <c r="B282" s="68"/>
      <c r="D282" s="69"/>
      <c r="H282" s="70"/>
      <c r="K282" s="70"/>
      <c r="L282" s="71"/>
      <c r="M282" s="72"/>
      <c r="P282" s="72"/>
    </row>
    <row r="283">
      <c r="B283" s="68"/>
      <c r="D283" s="69"/>
      <c r="H283" s="70"/>
      <c r="K283" s="70"/>
      <c r="L283" s="71"/>
      <c r="M283" s="72"/>
      <c r="P283" s="72"/>
    </row>
    <row r="284">
      <c r="B284" s="68"/>
      <c r="D284" s="69"/>
      <c r="H284" s="70"/>
      <c r="K284" s="70"/>
      <c r="L284" s="71"/>
      <c r="M284" s="72"/>
      <c r="P284" s="72"/>
    </row>
    <row r="285">
      <c r="B285" s="68"/>
      <c r="D285" s="69"/>
      <c r="H285" s="70"/>
      <c r="K285" s="70"/>
      <c r="L285" s="71"/>
      <c r="M285" s="72"/>
      <c r="P285" s="72"/>
    </row>
    <row r="286">
      <c r="B286" s="68"/>
      <c r="D286" s="69"/>
      <c r="H286" s="70"/>
      <c r="K286" s="70"/>
      <c r="L286" s="71"/>
      <c r="M286" s="72"/>
      <c r="P286" s="72"/>
    </row>
    <row r="287">
      <c r="B287" s="68"/>
      <c r="D287" s="69"/>
      <c r="H287" s="70"/>
      <c r="K287" s="70"/>
      <c r="L287" s="71"/>
      <c r="M287" s="72"/>
      <c r="P287" s="72"/>
    </row>
    <row r="288">
      <c r="B288" s="68"/>
      <c r="D288" s="69"/>
      <c r="H288" s="70"/>
      <c r="K288" s="70"/>
      <c r="L288" s="71"/>
      <c r="M288" s="72"/>
      <c r="P288" s="72"/>
    </row>
    <row r="289">
      <c r="B289" s="68"/>
      <c r="D289" s="69"/>
      <c r="H289" s="70"/>
      <c r="K289" s="70"/>
      <c r="L289" s="71"/>
      <c r="M289" s="72"/>
      <c r="P289" s="72"/>
    </row>
    <row r="290">
      <c r="B290" s="68"/>
      <c r="D290" s="69"/>
      <c r="H290" s="70"/>
      <c r="K290" s="70"/>
      <c r="L290" s="71"/>
      <c r="M290" s="72"/>
      <c r="P290" s="72"/>
    </row>
    <row r="291">
      <c r="B291" s="68"/>
      <c r="D291" s="69"/>
      <c r="H291" s="70"/>
      <c r="K291" s="70"/>
      <c r="L291" s="71"/>
      <c r="M291" s="72"/>
      <c r="P291" s="72"/>
    </row>
    <row r="292">
      <c r="B292" s="68"/>
      <c r="D292" s="69"/>
      <c r="H292" s="70"/>
      <c r="K292" s="70"/>
      <c r="L292" s="71"/>
      <c r="M292" s="72"/>
      <c r="P292" s="72"/>
    </row>
    <row r="293">
      <c r="B293" s="68"/>
      <c r="D293" s="69"/>
      <c r="H293" s="70"/>
      <c r="K293" s="70"/>
      <c r="L293" s="71"/>
      <c r="M293" s="72"/>
      <c r="P293" s="72"/>
    </row>
    <row r="294">
      <c r="B294" s="68"/>
      <c r="D294" s="69"/>
      <c r="H294" s="70"/>
      <c r="K294" s="70"/>
      <c r="L294" s="71"/>
      <c r="M294" s="72"/>
      <c r="P294" s="72"/>
    </row>
    <row r="295">
      <c r="B295" s="68"/>
      <c r="D295" s="69"/>
      <c r="H295" s="70"/>
      <c r="K295" s="70"/>
      <c r="L295" s="71"/>
      <c r="M295" s="72"/>
      <c r="P295" s="72"/>
    </row>
    <row r="296">
      <c r="B296" s="68"/>
      <c r="D296" s="69"/>
      <c r="H296" s="70"/>
      <c r="K296" s="70"/>
      <c r="L296" s="71"/>
      <c r="M296" s="72"/>
      <c r="P296" s="72"/>
    </row>
    <row r="297">
      <c r="B297" s="68"/>
      <c r="D297" s="69"/>
      <c r="H297" s="70"/>
      <c r="K297" s="70"/>
      <c r="L297" s="71"/>
      <c r="M297" s="72"/>
      <c r="P297" s="72"/>
    </row>
    <row r="298">
      <c r="B298" s="68"/>
      <c r="D298" s="69"/>
      <c r="H298" s="70"/>
      <c r="K298" s="70"/>
      <c r="L298" s="71"/>
      <c r="M298" s="72"/>
      <c r="P298" s="72"/>
    </row>
    <row r="299">
      <c r="B299" s="68"/>
      <c r="D299" s="69"/>
      <c r="H299" s="70"/>
      <c r="K299" s="70"/>
      <c r="L299" s="71"/>
      <c r="M299" s="72"/>
      <c r="P299" s="72"/>
    </row>
    <row r="300">
      <c r="B300" s="68"/>
      <c r="D300" s="69"/>
      <c r="H300" s="70"/>
      <c r="K300" s="70"/>
      <c r="L300" s="71"/>
      <c r="M300" s="72"/>
      <c r="P300" s="72"/>
    </row>
    <row r="301">
      <c r="B301" s="68"/>
      <c r="D301" s="69"/>
      <c r="H301" s="70"/>
      <c r="K301" s="70"/>
      <c r="L301" s="71"/>
      <c r="M301" s="72"/>
      <c r="P301" s="72"/>
    </row>
    <row r="302">
      <c r="B302" s="68"/>
      <c r="D302" s="69"/>
      <c r="H302" s="70"/>
      <c r="K302" s="70"/>
      <c r="L302" s="71"/>
      <c r="M302" s="72"/>
      <c r="P302" s="72"/>
    </row>
    <row r="303">
      <c r="B303" s="68"/>
      <c r="D303" s="69"/>
      <c r="H303" s="70"/>
      <c r="K303" s="70"/>
      <c r="L303" s="71"/>
      <c r="M303" s="72"/>
      <c r="P303" s="72"/>
    </row>
    <row r="304">
      <c r="B304" s="68"/>
      <c r="D304" s="69"/>
      <c r="H304" s="70"/>
      <c r="K304" s="70"/>
      <c r="L304" s="71"/>
      <c r="M304" s="72"/>
      <c r="P304" s="72"/>
    </row>
    <row r="305">
      <c r="B305" s="68"/>
      <c r="D305" s="69"/>
      <c r="H305" s="70"/>
      <c r="K305" s="70"/>
      <c r="L305" s="71"/>
      <c r="M305" s="72"/>
      <c r="P305" s="72"/>
    </row>
    <row r="306">
      <c r="B306" s="68"/>
      <c r="D306" s="69"/>
      <c r="H306" s="70"/>
      <c r="K306" s="70"/>
      <c r="L306" s="71"/>
      <c r="M306" s="72"/>
      <c r="P306" s="72"/>
    </row>
    <row r="307">
      <c r="B307" s="68"/>
      <c r="D307" s="69"/>
      <c r="H307" s="70"/>
      <c r="K307" s="70"/>
      <c r="L307" s="71"/>
      <c r="M307" s="72"/>
      <c r="P307" s="72"/>
    </row>
    <row r="308">
      <c r="B308" s="68"/>
      <c r="D308" s="69"/>
      <c r="H308" s="70"/>
      <c r="K308" s="70"/>
      <c r="L308" s="71"/>
      <c r="M308" s="72"/>
      <c r="P308" s="72"/>
    </row>
    <row r="309">
      <c r="B309" s="68"/>
      <c r="D309" s="69"/>
      <c r="H309" s="70"/>
      <c r="K309" s="70"/>
      <c r="L309" s="71"/>
      <c r="M309" s="72"/>
      <c r="P309" s="72"/>
    </row>
    <row r="310">
      <c r="B310" s="68"/>
      <c r="D310" s="69"/>
      <c r="H310" s="70"/>
      <c r="K310" s="70"/>
      <c r="L310" s="71"/>
      <c r="M310" s="72"/>
      <c r="P310" s="72"/>
    </row>
    <row r="311">
      <c r="B311" s="68"/>
      <c r="D311" s="69"/>
      <c r="H311" s="70"/>
      <c r="K311" s="70"/>
      <c r="L311" s="71"/>
      <c r="M311" s="72"/>
      <c r="P311" s="72"/>
    </row>
    <row r="312">
      <c r="B312" s="68"/>
      <c r="D312" s="69"/>
      <c r="H312" s="70"/>
      <c r="K312" s="70"/>
      <c r="L312" s="71"/>
      <c r="M312" s="72"/>
      <c r="P312" s="72"/>
    </row>
    <row r="313">
      <c r="B313" s="68"/>
      <c r="D313" s="69"/>
      <c r="H313" s="70"/>
      <c r="K313" s="70"/>
      <c r="L313" s="71"/>
      <c r="M313" s="72"/>
      <c r="P313" s="72"/>
    </row>
    <row r="314">
      <c r="B314" s="68"/>
      <c r="D314" s="69"/>
      <c r="H314" s="70"/>
      <c r="K314" s="70"/>
      <c r="L314" s="71"/>
      <c r="M314" s="72"/>
      <c r="P314" s="72"/>
    </row>
    <row r="315">
      <c r="B315" s="68"/>
      <c r="D315" s="69"/>
      <c r="H315" s="70"/>
      <c r="K315" s="70"/>
      <c r="L315" s="71"/>
      <c r="M315" s="72"/>
      <c r="P315" s="72"/>
    </row>
    <row r="316">
      <c r="B316" s="68"/>
      <c r="D316" s="69"/>
      <c r="H316" s="70"/>
      <c r="K316" s="70"/>
      <c r="L316" s="71"/>
      <c r="M316" s="72"/>
      <c r="P316" s="72"/>
    </row>
    <row r="317">
      <c r="B317" s="68"/>
      <c r="D317" s="69"/>
      <c r="H317" s="70"/>
      <c r="K317" s="70"/>
      <c r="L317" s="71"/>
      <c r="M317" s="72"/>
      <c r="P317" s="72"/>
    </row>
    <row r="318">
      <c r="B318" s="68"/>
      <c r="D318" s="69"/>
      <c r="H318" s="70"/>
      <c r="K318" s="70"/>
      <c r="L318" s="71"/>
      <c r="M318" s="72"/>
      <c r="P318" s="72"/>
    </row>
    <row r="319">
      <c r="B319" s="68"/>
      <c r="D319" s="69"/>
      <c r="H319" s="70"/>
      <c r="K319" s="70"/>
      <c r="L319" s="71"/>
      <c r="M319" s="72"/>
      <c r="P319" s="72"/>
    </row>
    <row r="320">
      <c r="B320" s="68"/>
      <c r="D320" s="69"/>
      <c r="H320" s="70"/>
      <c r="K320" s="70"/>
      <c r="L320" s="71"/>
      <c r="M320" s="72"/>
      <c r="P320" s="72"/>
    </row>
    <row r="321">
      <c r="B321" s="68"/>
      <c r="D321" s="69"/>
      <c r="H321" s="70"/>
      <c r="K321" s="70"/>
      <c r="L321" s="71"/>
      <c r="M321" s="72"/>
      <c r="P321" s="72"/>
    </row>
    <row r="322">
      <c r="B322" s="68"/>
      <c r="D322" s="69"/>
      <c r="H322" s="70"/>
      <c r="K322" s="70"/>
      <c r="L322" s="71"/>
      <c r="M322" s="72"/>
      <c r="P322" s="72"/>
    </row>
    <row r="323">
      <c r="B323" s="68"/>
      <c r="D323" s="69"/>
      <c r="H323" s="70"/>
      <c r="K323" s="70"/>
      <c r="L323" s="71"/>
      <c r="M323" s="72"/>
      <c r="P323" s="72"/>
    </row>
    <row r="324">
      <c r="B324" s="68"/>
      <c r="D324" s="69"/>
      <c r="H324" s="70"/>
      <c r="K324" s="70"/>
      <c r="L324" s="71"/>
      <c r="M324" s="72"/>
      <c r="P324" s="72"/>
    </row>
    <row r="325">
      <c r="B325" s="68"/>
      <c r="D325" s="69"/>
      <c r="H325" s="70"/>
      <c r="K325" s="70"/>
      <c r="L325" s="71"/>
      <c r="M325" s="72"/>
      <c r="P325" s="72"/>
    </row>
    <row r="326">
      <c r="B326" s="68"/>
      <c r="D326" s="69"/>
      <c r="H326" s="70"/>
      <c r="K326" s="70"/>
      <c r="L326" s="71"/>
      <c r="M326" s="72"/>
      <c r="P326" s="72"/>
    </row>
    <row r="327">
      <c r="B327" s="68"/>
      <c r="D327" s="69"/>
      <c r="H327" s="70"/>
      <c r="K327" s="70"/>
      <c r="L327" s="71"/>
      <c r="M327" s="72"/>
      <c r="P327" s="72"/>
    </row>
    <row r="328">
      <c r="B328" s="68"/>
      <c r="D328" s="69"/>
      <c r="H328" s="70"/>
      <c r="K328" s="70"/>
      <c r="L328" s="71"/>
      <c r="M328" s="72"/>
      <c r="P328" s="72"/>
    </row>
    <row r="329">
      <c r="B329" s="68"/>
      <c r="D329" s="69"/>
      <c r="H329" s="70"/>
      <c r="K329" s="70"/>
      <c r="L329" s="71"/>
      <c r="M329" s="72"/>
      <c r="P329" s="72"/>
    </row>
    <row r="330">
      <c r="B330" s="68"/>
      <c r="D330" s="69"/>
      <c r="H330" s="70"/>
      <c r="K330" s="70"/>
      <c r="L330" s="71"/>
      <c r="M330" s="72"/>
      <c r="P330" s="72"/>
    </row>
    <row r="331">
      <c r="B331" s="68"/>
      <c r="D331" s="69"/>
      <c r="H331" s="70"/>
      <c r="K331" s="70"/>
      <c r="L331" s="71"/>
      <c r="M331" s="72"/>
      <c r="P331" s="72"/>
    </row>
    <row r="332">
      <c r="B332" s="68"/>
      <c r="D332" s="69"/>
      <c r="H332" s="70"/>
      <c r="K332" s="70"/>
      <c r="L332" s="71"/>
      <c r="M332" s="72"/>
      <c r="P332" s="72"/>
    </row>
    <row r="333">
      <c r="B333" s="68"/>
      <c r="D333" s="69"/>
      <c r="H333" s="70"/>
      <c r="K333" s="70"/>
      <c r="L333" s="71"/>
      <c r="M333" s="72"/>
      <c r="P333" s="72"/>
    </row>
    <row r="334">
      <c r="B334" s="68"/>
      <c r="D334" s="69"/>
      <c r="H334" s="70"/>
      <c r="K334" s="70"/>
      <c r="L334" s="71"/>
      <c r="M334" s="72"/>
      <c r="P334" s="72"/>
    </row>
    <row r="335">
      <c r="B335" s="68"/>
      <c r="D335" s="69"/>
      <c r="H335" s="70"/>
      <c r="K335" s="70"/>
      <c r="L335" s="71"/>
      <c r="M335" s="72"/>
      <c r="P335" s="72"/>
    </row>
    <row r="336">
      <c r="B336" s="68"/>
      <c r="D336" s="69"/>
      <c r="H336" s="70"/>
      <c r="K336" s="70"/>
      <c r="L336" s="71"/>
      <c r="M336" s="72"/>
      <c r="P336" s="72"/>
    </row>
    <row r="337">
      <c r="B337" s="68"/>
      <c r="D337" s="69"/>
      <c r="H337" s="70"/>
      <c r="K337" s="70"/>
      <c r="L337" s="71"/>
      <c r="M337" s="72"/>
      <c r="P337" s="72"/>
    </row>
    <row r="338">
      <c r="B338" s="68"/>
      <c r="D338" s="69"/>
      <c r="H338" s="70"/>
      <c r="K338" s="70"/>
      <c r="L338" s="71"/>
      <c r="M338" s="72"/>
      <c r="P338" s="72"/>
    </row>
    <row r="339">
      <c r="B339" s="68"/>
      <c r="D339" s="69"/>
      <c r="H339" s="70"/>
      <c r="K339" s="70"/>
      <c r="L339" s="71"/>
      <c r="M339" s="72"/>
      <c r="P339" s="72"/>
    </row>
    <row r="340">
      <c r="B340" s="68"/>
      <c r="D340" s="69"/>
      <c r="H340" s="70"/>
      <c r="K340" s="70"/>
      <c r="L340" s="71"/>
      <c r="M340" s="72"/>
      <c r="P340" s="72"/>
    </row>
    <row r="341">
      <c r="B341" s="68"/>
      <c r="D341" s="69"/>
      <c r="H341" s="70"/>
      <c r="K341" s="70"/>
      <c r="L341" s="71"/>
      <c r="M341" s="72"/>
      <c r="P341" s="72"/>
    </row>
    <row r="342">
      <c r="B342" s="68"/>
      <c r="D342" s="69"/>
      <c r="H342" s="70"/>
      <c r="K342" s="70"/>
      <c r="L342" s="71"/>
      <c r="M342" s="72"/>
      <c r="P342" s="72"/>
    </row>
    <row r="343">
      <c r="B343" s="68"/>
      <c r="D343" s="69"/>
      <c r="H343" s="70"/>
      <c r="K343" s="70"/>
      <c r="L343" s="71"/>
      <c r="M343" s="72"/>
      <c r="P343" s="72"/>
    </row>
    <row r="344">
      <c r="B344" s="68"/>
      <c r="D344" s="69"/>
      <c r="H344" s="70"/>
      <c r="K344" s="70"/>
      <c r="L344" s="71"/>
      <c r="M344" s="72"/>
      <c r="P344" s="72"/>
    </row>
    <row r="345">
      <c r="B345" s="68"/>
      <c r="D345" s="69"/>
      <c r="H345" s="70"/>
      <c r="K345" s="70"/>
      <c r="L345" s="71"/>
      <c r="M345" s="72"/>
      <c r="P345" s="72"/>
    </row>
    <row r="346">
      <c r="B346" s="68"/>
      <c r="D346" s="69"/>
      <c r="H346" s="70"/>
      <c r="K346" s="70"/>
      <c r="L346" s="71"/>
      <c r="M346" s="72"/>
      <c r="P346" s="72"/>
    </row>
    <row r="347">
      <c r="B347" s="68"/>
      <c r="D347" s="69"/>
      <c r="H347" s="70"/>
      <c r="K347" s="70"/>
      <c r="L347" s="71"/>
      <c r="M347" s="72"/>
      <c r="P347" s="72"/>
    </row>
    <row r="348">
      <c r="B348" s="68"/>
      <c r="D348" s="69"/>
      <c r="H348" s="70"/>
      <c r="K348" s="70"/>
      <c r="L348" s="71"/>
      <c r="M348" s="72"/>
      <c r="P348" s="72"/>
    </row>
    <row r="349">
      <c r="B349" s="68"/>
      <c r="D349" s="69"/>
      <c r="H349" s="70"/>
      <c r="K349" s="70"/>
      <c r="L349" s="71"/>
      <c r="M349" s="72"/>
      <c r="P349" s="72"/>
    </row>
    <row r="350">
      <c r="B350" s="68"/>
      <c r="D350" s="69"/>
      <c r="H350" s="70"/>
      <c r="K350" s="70"/>
      <c r="L350" s="71"/>
      <c r="M350" s="72"/>
      <c r="P350" s="72"/>
    </row>
    <row r="351">
      <c r="B351" s="68"/>
      <c r="D351" s="69"/>
      <c r="H351" s="70"/>
      <c r="K351" s="70"/>
      <c r="L351" s="71"/>
      <c r="M351" s="72"/>
      <c r="P351" s="72"/>
    </row>
    <row r="352">
      <c r="B352" s="68"/>
      <c r="D352" s="69"/>
      <c r="H352" s="70"/>
      <c r="K352" s="70"/>
      <c r="L352" s="71"/>
      <c r="M352" s="72"/>
      <c r="P352" s="72"/>
    </row>
    <row r="353">
      <c r="B353" s="68"/>
      <c r="D353" s="69"/>
      <c r="H353" s="70"/>
      <c r="K353" s="70"/>
      <c r="L353" s="71"/>
      <c r="M353" s="72"/>
      <c r="P353" s="72"/>
    </row>
    <row r="354">
      <c r="B354" s="68"/>
      <c r="D354" s="69"/>
      <c r="H354" s="70"/>
      <c r="K354" s="70"/>
      <c r="L354" s="71"/>
      <c r="M354" s="72"/>
      <c r="P354" s="72"/>
    </row>
    <row r="355">
      <c r="B355" s="68"/>
      <c r="D355" s="69"/>
      <c r="H355" s="70"/>
      <c r="K355" s="70"/>
      <c r="L355" s="71"/>
      <c r="M355" s="72"/>
      <c r="P355" s="72"/>
    </row>
    <row r="356">
      <c r="B356" s="68"/>
      <c r="D356" s="69"/>
      <c r="H356" s="70"/>
      <c r="K356" s="70"/>
      <c r="L356" s="71"/>
      <c r="M356" s="72"/>
      <c r="P356" s="72"/>
    </row>
    <row r="357">
      <c r="B357" s="68"/>
      <c r="D357" s="69"/>
      <c r="H357" s="70"/>
      <c r="K357" s="70"/>
      <c r="L357" s="71"/>
      <c r="M357" s="72"/>
      <c r="P357" s="72"/>
    </row>
    <row r="358">
      <c r="B358" s="68"/>
      <c r="D358" s="69"/>
      <c r="H358" s="70"/>
      <c r="K358" s="70"/>
      <c r="L358" s="71"/>
      <c r="M358" s="72"/>
      <c r="P358" s="72"/>
    </row>
    <row r="359">
      <c r="B359" s="68"/>
      <c r="D359" s="69"/>
      <c r="H359" s="70"/>
      <c r="K359" s="70"/>
      <c r="L359" s="71"/>
      <c r="M359" s="72"/>
      <c r="P359" s="72"/>
    </row>
    <row r="360">
      <c r="B360" s="68"/>
      <c r="D360" s="69"/>
      <c r="H360" s="70"/>
      <c r="K360" s="70"/>
      <c r="L360" s="71"/>
      <c r="M360" s="72"/>
      <c r="P360" s="72"/>
    </row>
    <row r="361">
      <c r="B361" s="68"/>
      <c r="D361" s="69"/>
      <c r="H361" s="70"/>
      <c r="K361" s="70"/>
      <c r="L361" s="71"/>
      <c r="M361" s="72"/>
      <c r="P361" s="72"/>
    </row>
    <row r="362">
      <c r="B362" s="68"/>
      <c r="D362" s="69"/>
      <c r="H362" s="70"/>
      <c r="K362" s="70"/>
      <c r="L362" s="71"/>
      <c r="M362" s="72"/>
      <c r="P362" s="72"/>
    </row>
    <row r="363">
      <c r="B363" s="68"/>
      <c r="D363" s="69"/>
      <c r="H363" s="70"/>
      <c r="K363" s="70"/>
      <c r="L363" s="71"/>
      <c r="M363" s="72"/>
      <c r="P363" s="72"/>
    </row>
    <row r="364">
      <c r="B364" s="68"/>
      <c r="D364" s="69"/>
      <c r="H364" s="70"/>
      <c r="K364" s="70"/>
      <c r="L364" s="71"/>
      <c r="M364" s="72"/>
      <c r="P364" s="72"/>
    </row>
    <row r="365">
      <c r="B365" s="68"/>
      <c r="D365" s="69"/>
      <c r="H365" s="70"/>
      <c r="K365" s="70"/>
      <c r="L365" s="71"/>
      <c r="M365" s="72"/>
      <c r="P365" s="72"/>
    </row>
    <row r="366">
      <c r="B366" s="68"/>
      <c r="D366" s="69"/>
      <c r="H366" s="70"/>
      <c r="K366" s="70"/>
      <c r="L366" s="71"/>
      <c r="M366" s="72"/>
      <c r="P366" s="72"/>
    </row>
    <row r="367">
      <c r="B367" s="68"/>
      <c r="D367" s="69"/>
      <c r="H367" s="70"/>
      <c r="K367" s="70"/>
      <c r="L367" s="71"/>
      <c r="M367" s="72"/>
      <c r="P367" s="72"/>
    </row>
    <row r="368">
      <c r="B368" s="68"/>
      <c r="D368" s="69"/>
      <c r="H368" s="70"/>
      <c r="K368" s="70"/>
      <c r="L368" s="71"/>
      <c r="M368" s="72"/>
      <c r="P368" s="72"/>
    </row>
    <row r="369">
      <c r="B369" s="68"/>
      <c r="D369" s="69"/>
      <c r="H369" s="70"/>
      <c r="K369" s="70"/>
      <c r="L369" s="71"/>
      <c r="M369" s="72"/>
      <c r="P369" s="72"/>
    </row>
    <row r="370">
      <c r="B370" s="68"/>
      <c r="D370" s="69"/>
      <c r="H370" s="70"/>
      <c r="K370" s="70"/>
      <c r="L370" s="71"/>
      <c r="M370" s="72"/>
      <c r="P370" s="72"/>
    </row>
    <row r="371">
      <c r="B371" s="68"/>
      <c r="D371" s="69"/>
      <c r="H371" s="70"/>
      <c r="K371" s="70"/>
      <c r="L371" s="71"/>
      <c r="M371" s="72"/>
      <c r="P371" s="72"/>
    </row>
    <row r="372">
      <c r="B372" s="68"/>
      <c r="D372" s="69"/>
      <c r="H372" s="70"/>
      <c r="K372" s="70"/>
      <c r="L372" s="71"/>
      <c r="M372" s="72"/>
      <c r="P372" s="72"/>
    </row>
    <row r="373">
      <c r="B373" s="68"/>
      <c r="D373" s="69"/>
      <c r="H373" s="70"/>
      <c r="K373" s="70"/>
      <c r="L373" s="71"/>
      <c r="M373" s="72"/>
      <c r="P373" s="72"/>
    </row>
    <row r="374">
      <c r="B374" s="68"/>
      <c r="D374" s="69"/>
      <c r="H374" s="70"/>
      <c r="K374" s="70"/>
      <c r="L374" s="71"/>
      <c r="M374" s="72"/>
      <c r="P374" s="72"/>
    </row>
    <row r="375">
      <c r="B375" s="68"/>
      <c r="D375" s="69"/>
      <c r="H375" s="70"/>
      <c r="K375" s="70"/>
      <c r="L375" s="71"/>
      <c r="M375" s="72"/>
      <c r="P375" s="72"/>
    </row>
    <row r="376">
      <c r="B376" s="68"/>
      <c r="D376" s="69"/>
      <c r="H376" s="70"/>
      <c r="K376" s="70"/>
      <c r="L376" s="71"/>
      <c r="M376" s="72"/>
      <c r="P376" s="72"/>
    </row>
    <row r="377">
      <c r="B377" s="68"/>
      <c r="D377" s="69"/>
      <c r="H377" s="70"/>
      <c r="K377" s="70"/>
      <c r="L377" s="71"/>
      <c r="M377" s="72"/>
      <c r="P377" s="72"/>
    </row>
    <row r="378">
      <c r="B378" s="68"/>
      <c r="D378" s="69"/>
      <c r="H378" s="70"/>
      <c r="K378" s="70"/>
      <c r="L378" s="71"/>
      <c r="M378" s="72"/>
      <c r="P378" s="72"/>
    </row>
    <row r="379">
      <c r="B379" s="68"/>
      <c r="D379" s="69"/>
      <c r="H379" s="70"/>
      <c r="K379" s="70"/>
      <c r="L379" s="71"/>
      <c r="M379" s="72"/>
      <c r="P379" s="72"/>
    </row>
    <row r="380">
      <c r="B380" s="68"/>
      <c r="D380" s="69"/>
      <c r="H380" s="70"/>
      <c r="K380" s="70"/>
      <c r="L380" s="71"/>
      <c r="M380" s="72"/>
      <c r="P380" s="72"/>
    </row>
    <row r="381">
      <c r="B381" s="68"/>
      <c r="D381" s="69"/>
      <c r="H381" s="70"/>
      <c r="K381" s="70"/>
      <c r="L381" s="71"/>
      <c r="M381" s="72"/>
      <c r="P381" s="72"/>
    </row>
    <row r="382">
      <c r="B382" s="68"/>
      <c r="D382" s="69"/>
      <c r="H382" s="70"/>
      <c r="K382" s="70"/>
      <c r="L382" s="71"/>
      <c r="M382" s="72"/>
      <c r="P382" s="72"/>
    </row>
    <row r="383">
      <c r="B383" s="68"/>
      <c r="D383" s="69"/>
      <c r="H383" s="70"/>
      <c r="K383" s="70"/>
      <c r="L383" s="71"/>
      <c r="M383" s="72"/>
      <c r="P383" s="72"/>
    </row>
    <row r="384">
      <c r="B384" s="68"/>
      <c r="D384" s="69"/>
      <c r="H384" s="70"/>
      <c r="K384" s="70"/>
      <c r="L384" s="71"/>
      <c r="M384" s="72"/>
      <c r="P384" s="72"/>
    </row>
    <row r="385">
      <c r="B385" s="68"/>
      <c r="D385" s="69"/>
      <c r="H385" s="70"/>
      <c r="K385" s="70"/>
      <c r="L385" s="71"/>
      <c r="M385" s="72"/>
      <c r="P385" s="72"/>
    </row>
    <row r="386">
      <c r="B386" s="68"/>
      <c r="D386" s="69"/>
      <c r="H386" s="70"/>
      <c r="K386" s="70"/>
      <c r="L386" s="71"/>
      <c r="M386" s="72"/>
      <c r="P386" s="72"/>
    </row>
    <row r="387">
      <c r="B387" s="68"/>
      <c r="D387" s="69"/>
      <c r="H387" s="70"/>
      <c r="K387" s="70"/>
      <c r="L387" s="71"/>
      <c r="M387" s="72"/>
      <c r="P387" s="72"/>
    </row>
    <row r="388">
      <c r="B388" s="68"/>
      <c r="D388" s="69"/>
      <c r="H388" s="70"/>
      <c r="K388" s="70"/>
      <c r="L388" s="71"/>
      <c r="M388" s="72"/>
      <c r="P388" s="72"/>
    </row>
    <row r="389">
      <c r="B389" s="68"/>
      <c r="D389" s="69"/>
      <c r="H389" s="70"/>
      <c r="K389" s="70"/>
      <c r="L389" s="71"/>
      <c r="M389" s="72"/>
      <c r="P389" s="72"/>
    </row>
    <row r="390">
      <c r="B390" s="68"/>
      <c r="D390" s="69"/>
      <c r="H390" s="70"/>
      <c r="K390" s="70"/>
      <c r="L390" s="71"/>
      <c r="M390" s="72"/>
      <c r="P390" s="72"/>
    </row>
    <row r="391">
      <c r="B391" s="68"/>
      <c r="D391" s="69"/>
      <c r="H391" s="70"/>
      <c r="K391" s="70"/>
      <c r="L391" s="71"/>
      <c r="M391" s="72"/>
      <c r="P391" s="72"/>
    </row>
    <row r="392">
      <c r="B392" s="68"/>
      <c r="D392" s="69"/>
      <c r="H392" s="70"/>
      <c r="K392" s="70"/>
      <c r="L392" s="71"/>
      <c r="M392" s="72"/>
      <c r="P392" s="72"/>
    </row>
    <row r="393">
      <c r="B393" s="68"/>
      <c r="D393" s="69"/>
      <c r="H393" s="70"/>
      <c r="K393" s="70"/>
      <c r="L393" s="71"/>
      <c r="M393" s="72"/>
      <c r="P393" s="72"/>
    </row>
    <row r="394">
      <c r="B394" s="68"/>
      <c r="D394" s="69"/>
      <c r="H394" s="70"/>
      <c r="K394" s="70"/>
      <c r="L394" s="71"/>
      <c r="M394" s="72"/>
      <c r="P394" s="72"/>
    </row>
    <row r="395">
      <c r="B395" s="68"/>
      <c r="D395" s="69"/>
      <c r="H395" s="70"/>
      <c r="K395" s="70"/>
      <c r="L395" s="71"/>
      <c r="M395" s="72"/>
      <c r="P395" s="72"/>
    </row>
    <row r="396">
      <c r="B396" s="68"/>
      <c r="D396" s="69"/>
      <c r="H396" s="70"/>
      <c r="K396" s="70"/>
      <c r="L396" s="71"/>
      <c r="M396" s="72"/>
      <c r="P396" s="72"/>
    </row>
    <row r="397">
      <c r="B397" s="68"/>
      <c r="D397" s="69"/>
      <c r="H397" s="70"/>
      <c r="K397" s="70"/>
      <c r="L397" s="71"/>
      <c r="M397" s="72"/>
      <c r="P397" s="72"/>
    </row>
    <row r="398">
      <c r="B398" s="68"/>
      <c r="D398" s="69"/>
      <c r="H398" s="70"/>
      <c r="K398" s="70"/>
      <c r="L398" s="71"/>
      <c r="M398" s="72"/>
      <c r="P398" s="72"/>
    </row>
    <row r="399">
      <c r="B399" s="68"/>
      <c r="D399" s="69"/>
      <c r="H399" s="70"/>
      <c r="K399" s="70"/>
      <c r="L399" s="71"/>
      <c r="M399" s="72"/>
      <c r="P399" s="72"/>
    </row>
    <row r="400">
      <c r="B400" s="68"/>
      <c r="D400" s="69"/>
      <c r="H400" s="70"/>
      <c r="K400" s="70"/>
      <c r="L400" s="71"/>
      <c r="M400" s="72"/>
      <c r="P400" s="72"/>
    </row>
    <row r="401">
      <c r="B401" s="68"/>
      <c r="D401" s="69"/>
      <c r="H401" s="70"/>
      <c r="K401" s="70"/>
      <c r="L401" s="71"/>
      <c r="M401" s="72"/>
      <c r="P401" s="72"/>
    </row>
    <row r="402">
      <c r="B402" s="68"/>
      <c r="D402" s="69"/>
      <c r="H402" s="70"/>
      <c r="K402" s="70"/>
      <c r="L402" s="71"/>
      <c r="M402" s="72"/>
      <c r="P402" s="72"/>
    </row>
    <row r="403">
      <c r="B403" s="68"/>
      <c r="D403" s="69"/>
      <c r="H403" s="70"/>
      <c r="K403" s="70"/>
      <c r="L403" s="71"/>
      <c r="M403" s="72"/>
      <c r="P403" s="72"/>
    </row>
    <row r="404">
      <c r="B404" s="68"/>
      <c r="D404" s="69"/>
      <c r="H404" s="70"/>
      <c r="K404" s="70"/>
      <c r="L404" s="71"/>
      <c r="M404" s="72"/>
      <c r="P404" s="72"/>
    </row>
    <row r="405">
      <c r="B405" s="68"/>
      <c r="D405" s="69"/>
      <c r="H405" s="70"/>
      <c r="K405" s="70"/>
      <c r="L405" s="71"/>
      <c r="M405" s="72"/>
      <c r="P405" s="72"/>
    </row>
    <row r="406">
      <c r="B406" s="68"/>
      <c r="D406" s="69"/>
      <c r="H406" s="70"/>
      <c r="K406" s="70"/>
      <c r="L406" s="71"/>
      <c r="M406" s="72"/>
      <c r="P406" s="72"/>
    </row>
    <row r="407">
      <c r="B407" s="68"/>
      <c r="D407" s="69"/>
      <c r="H407" s="70"/>
      <c r="K407" s="70"/>
      <c r="L407" s="71"/>
      <c r="M407" s="72"/>
      <c r="P407" s="72"/>
    </row>
    <row r="408">
      <c r="B408" s="68"/>
      <c r="D408" s="69"/>
      <c r="H408" s="70"/>
      <c r="K408" s="70"/>
      <c r="L408" s="71"/>
      <c r="M408" s="72"/>
      <c r="P408" s="72"/>
    </row>
    <row r="409">
      <c r="B409" s="68"/>
      <c r="D409" s="69"/>
      <c r="H409" s="70"/>
      <c r="K409" s="70"/>
      <c r="L409" s="71"/>
      <c r="M409" s="72"/>
      <c r="P409" s="72"/>
    </row>
    <row r="410">
      <c r="B410" s="68"/>
      <c r="D410" s="69"/>
      <c r="H410" s="70"/>
      <c r="K410" s="70"/>
      <c r="L410" s="71"/>
      <c r="M410" s="72"/>
      <c r="P410" s="72"/>
    </row>
    <row r="411">
      <c r="B411" s="68"/>
      <c r="D411" s="69"/>
      <c r="H411" s="70"/>
      <c r="K411" s="70"/>
      <c r="L411" s="71"/>
      <c r="M411" s="72"/>
      <c r="P411" s="72"/>
    </row>
    <row r="412">
      <c r="B412" s="68"/>
      <c r="D412" s="69"/>
      <c r="H412" s="70"/>
      <c r="K412" s="70"/>
      <c r="L412" s="71"/>
      <c r="M412" s="72"/>
      <c r="P412" s="72"/>
    </row>
    <row r="413">
      <c r="B413" s="68"/>
      <c r="D413" s="69"/>
      <c r="H413" s="70"/>
      <c r="K413" s="70"/>
      <c r="L413" s="71"/>
      <c r="M413" s="72"/>
      <c r="P413" s="72"/>
    </row>
    <row r="414">
      <c r="B414" s="68"/>
      <c r="D414" s="69"/>
      <c r="H414" s="70"/>
      <c r="K414" s="70"/>
      <c r="L414" s="71"/>
      <c r="M414" s="72"/>
      <c r="P414" s="72"/>
    </row>
    <row r="415">
      <c r="B415" s="68"/>
      <c r="D415" s="69"/>
      <c r="H415" s="70"/>
      <c r="K415" s="70"/>
      <c r="L415" s="71"/>
      <c r="M415" s="72"/>
      <c r="P415" s="72"/>
    </row>
    <row r="416">
      <c r="B416" s="68"/>
      <c r="D416" s="69"/>
      <c r="H416" s="70"/>
      <c r="K416" s="70"/>
      <c r="L416" s="71"/>
      <c r="M416" s="72"/>
      <c r="P416" s="72"/>
    </row>
    <row r="417">
      <c r="B417" s="68"/>
      <c r="D417" s="69"/>
      <c r="H417" s="70"/>
      <c r="K417" s="70"/>
      <c r="L417" s="71"/>
      <c r="M417" s="72"/>
      <c r="P417" s="72"/>
    </row>
    <row r="418">
      <c r="B418" s="68"/>
      <c r="D418" s="69"/>
      <c r="H418" s="70"/>
      <c r="K418" s="70"/>
      <c r="L418" s="71"/>
      <c r="M418" s="72"/>
      <c r="P418" s="72"/>
    </row>
    <row r="419">
      <c r="B419" s="68"/>
      <c r="D419" s="69"/>
      <c r="H419" s="70"/>
      <c r="K419" s="70"/>
      <c r="L419" s="71"/>
      <c r="M419" s="72"/>
      <c r="P419" s="72"/>
    </row>
    <row r="420">
      <c r="B420" s="68"/>
      <c r="D420" s="69"/>
      <c r="H420" s="70"/>
      <c r="K420" s="70"/>
      <c r="L420" s="71"/>
      <c r="M420" s="72"/>
      <c r="P420" s="72"/>
    </row>
    <row r="421">
      <c r="B421" s="68"/>
      <c r="D421" s="69"/>
      <c r="H421" s="70"/>
      <c r="K421" s="70"/>
      <c r="L421" s="71"/>
      <c r="M421" s="72"/>
      <c r="P421" s="72"/>
    </row>
    <row r="422">
      <c r="B422" s="68"/>
      <c r="D422" s="69"/>
      <c r="H422" s="70"/>
      <c r="K422" s="70"/>
      <c r="L422" s="71"/>
      <c r="M422" s="72"/>
      <c r="P422" s="72"/>
    </row>
    <row r="423">
      <c r="B423" s="68"/>
      <c r="D423" s="69"/>
      <c r="H423" s="70"/>
      <c r="K423" s="70"/>
      <c r="L423" s="71"/>
      <c r="M423" s="72"/>
      <c r="P423" s="72"/>
    </row>
    <row r="424">
      <c r="B424" s="68"/>
      <c r="D424" s="69"/>
      <c r="H424" s="70"/>
      <c r="K424" s="70"/>
      <c r="L424" s="71"/>
      <c r="M424" s="72"/>
      <c r="P424" s="72"/>
    </row>
    <row r="425">
      <c r="B425" s="68"/>
      <c r="D425" s="69"/>
      <c r="H425" s="70"/>
      <c r="K425" s="70"/>
      <c r="L425" s="71"/>
      <c r="M425" s="72"/>
      <c r="P425" s="72"/>
    </row>
    <row r="426">
      <c r="B426" s="68"/>
      <c r="D426" s="69"/>
      <c r="H426" s="70"/>
      <c r="K426" s="70"/>
      <c r="L426" s="71"/>
      <c r="M426" s="72"/>
      <c r="P426" s="72"/>
    </row>
    <row r="427">
      <c r="B427" s="68"/>
      <c r="D427" s="69"/>
      <c r="H427" s="70"/>
      <c r="K427" s="70"/>
      <c r="L427" s="71"/>
      <c r="M427" s="72"/>
      <c r="P427" s="72"/>
    </row>
    <row r="428">
      <c r="B428" s="68"/>
      <c r="D428" s="69"/>
      <c r="H428" s="70"/>
      <c r="K428" s="70"/>
      <c r="L428" s="71"/>
      <c r="M428" s="72"/>
      <c r="P428" s="72"/>
    </row>
    <row r="429">
      <c r="B429" s="68"/>
      <c r="D429" s="69"/>
      <c r="H429" s="70"/>
      <c r="K429" s="70"/>
      <c r="L429" s="71"/>
      <c r="M429" s="72"/>
      <c r="P429" s="72"/>
    </row>
    <row r="430">
      <c r="B430" s="68"/>
      <c r="D430" s="69"/>
      <c r="H430" s="70"/>
      <c r="K430" s="70"/>
      <c r="L430" s="71"/>
      <c r="M430" s="72"/>
      <c r="P430" s="72"/>
    </row>
    <row r="431">
      <c r="B431" s="68"/>
      <c r="D431" s="69"/>
      <c r="H431" s="70"/>
      <c r="K431" s="70"/>
      <c r="L431" s="71"/>
      <c r="M431" s="72"/>
      <c r="P431" s="72"/>
    </row>
    <row r="432">
      <c r="B432" s="68"/>
      <c r="D432" s="69"/>
      <c r="H432" s="70"/>
      <c r="K432" s="70"/>
      <c r="L432" s="71"/>
      <c r="M432" s="72"/>
      <c r="P432" s="72"/>
    </row>
    <row r="433">
      <c r="B433" s="68"/>
      <c r="D433" s="69"/>
      <c r="H433" s="70"/>
      <c r="K433" s="70"/>
      <c r="L433" s="71"/>
      <c r="M433" s="72"/>
      <c r="P433" s="72"/>
    </row>
    <row r="434">
      <c r="B434" s="68"/>
      <c r="D434" s="69"/>
      <c r="H434" s="70"/>
      <c r="K434" s="70"/>
      <c r="L434" s="71"/>
      <c r="M434" s="72"/>
      <c r="P434" s="72"/>
    </row>
    <row r="435">
      <c r="B435" s="68"/>
      <c r="D435" s="69"/>
      <c r="H435" s="70"/>
      <c r="K435" s="70"/>
      <c r="L435" s="71"/>
      <c r="M435" s="72"/>
      <c r="P435" s="72"/>
    </row>
    <row r="436">
      <c r="B436" s="68"/>
      <c r="D436" s="69"/>
      <c r="H436" s="70"/>
      <c r="K436" s="70"/>
      <c r="L436" s="71"/>
      <c r="M436" s="72"/>
      <c r="P436" s="72"/>
    </row>
    <row r="437">
      <c r="B437" s="68"/>
      <c r="D437" s="69"/>
      <c r="H437" s="70"/>
      <c r="K437" s="70"/>
      <c r="L437" s="71"/>
      <c r="M437" s="72"/>
      <c r="P437" s="72"/>
    </row>
    <row r="438">
      <c r="B438" s="68"/>
      <c r="D438" s="69"/>
      <c r="H438" s="70"/>
      <c r="K438" s="70"/>
      <c r="L438" s="71"/>
      <c r="M438" s="72"/>
      <c r="P438" s="72"/>
    </row>
    <row r="439">
      <c r="B439" s="68"/>
      <c r="D439" s="69"/>
      <c r="H439" s="70"/>
      <c r="K439" s="70"/>
      <c r="L439" s="71"/>
      <c r="M439" s="72"/>
      <c r="P439" s="72"/>
    </row>
    <row r="440">
      <c r="B440" s="68"/>
      <c r="D440" s="69"/>
      <c r="H440" s="70"/>
      <c r="K440" s="70"/>
      <c r="L440" s="71"/>
      <c r="M440" s="72"/>
      <c r="P440" s="72"/>
    </row>
    <row r="441">
      <c r="B441" s="68"/>
      <c r="D441" s="69"/>
      <c r="H441" s="70"/>
      <c r="K441" s="70"/>
      <c r="L441" s="71"/>
      <c r="M441" s="72"/>
      <c r="P441" s="72"/>
    </row>
    <row r="442">
      <c r="B442" s="68"/>
      <c r="D442" s="69"/>
      <c r="H442" s="70"/>
      <c r="K442" s="70"/>
      <c r="L442" s="71"/>
      <c r="M442" s="72"/>
      <c r="P442" s="72"/>
    </row>
    <row r="443">
      <c r="B443" s="68"/>
      <c r="D443" s="69"/>
      <c r="H443" s="70"/>
      <c r="K443" s="70"/>
      <c r="L443" s="71"/>
      <c r="M443" s="72"/>
      <c r="P443" s="72"/>
    </row>
    <row r="444">
      <c r="B444" s="68"/>
      <c r="D444" s="69"/>
      <c r="H444" s="70"/>
      <c r="K444" s="70"/>
      <c r="L444" s="71"/>
      <c r="M444" s="72"/>
      <c r="P444" s="72"/>
    </row>
    <row r="445">
      <c r="B445" s="68"/>
      <c r="D445" s="69"/>
      <c r="H445" s="70"/>
      <c r="K445" s="70"/>
      <c r="L445" s="71"/>
      <c r="M445" s="72"/>
      <c r="P445" s="72"/>
    </row>
    <row r="446">
      <c r="B446" s="68"/>
      <c r="D446" s="69"/>
      <c r="H446" s="70"/>
      <c r="K446" s="70"/>
      <c r="L446" s="71"/>
      <c r="M446" s="72"/>
      <c r="P446" s="72"/>
    </row>
    <row r="447">
      <c r="B447" s="68"/>
      <c r="D447" s="69"/>
      <c r="H447" s="70"/>
      <c r="K447" s="70"/>
      <c r="L447" s="71"/>
      <c r="M447" s="72"/>
      <c r="P447" s="72"/>
    </row>
    <row r="448">
      <c r="B448" s="68"/>
      <c r="D448" s="69"/>
      <c r="H448" s="70"/>
      <c r="K448" s="70"/>
      <c r="L448" s="71"/>
      <c r="M448" s="72"/>
      <c r="P448" s="72"/>
    </row>
    <row r="449">
      <c r="B449" s="68"/>
      <c r="D449" s="69"/>
      <c r="H449" s="70"/>
      <c r="K449" s="70"/>
      <c r="L449" s="71"/>
      <c r="M449" s="72"/>
      <c r="P449" s="72"/>
    </row>
    <row r="450">
      <c r="B450" s="68"/>
      <c r="D450" s="69"/>
      <c r="H450" s="70"/>
      <c r="K450" s="70"/>
      <c r="L450" s="71"/>
      <c r="M450" s="72"/>
      <c r="P450" s="72"/>
    </row>
    <row r="451">
      <c r="B451" s="68"/>
      <c r="D451" s="69"/>
      <c r="H451" s="70"/>
      <c r="K451" s="70"/>
      <c r="L451" s="71"/>
      <c r="M451" s="72"/>
      <c r="P451" s="72"/>
    </row>
    <row r="452">
      <c r="B452" s="68"/>
      <c r="D452" s="69"/>
      <c r="H452" s="70"/>
      <c r="K452" s="70"/>
      <c r="L452" s="71"/>
      <c r="M452" s="72"/>
      <c r="P452" s="72"/>
    </row>
    <row r="453">
      <c r="B453" s="68"/>
      <c r="D453" s="69"/>
      <c r="H453" s="70"/>
      <c r="K453" s="70"/>
      <c r="L453" s="71"/>
      <c r="M453" s="72"/>
      <c r="P453" s="72"/>
    </row>
    <row r="454">
      <c r="B454" s="68"/>
      <c r="D454" s="69"/>
      <c r="H454" s="70"/>
      <c r="K454" s="70"/>
      <c r="L454" s="71"/>
      <c r="M454" s="72"/>
      <c r="P454" s="72"/>
    </row>
    <row r="455">
      <c r="B455" s="68"/>
      <c r="D455" s="69"/>
      <c r="H455" s="70"/>
      <c r="K455" s="70"/>
      <c r="L455" s="71"/>
      <c r="M455" s="72"/>
      <c r="P455" s="72"/>
    </row>
    <row r="456">
      <c r="B456" s="68"/>
      <c r="D456" s="69"/>
      <c r="H456" s="70"/>
      <c r="K456" s="70"/>
      <c r="L456" s="71"/>
      <c r="M456" s="72"/>
      <c r="P456" s="72"/>
    </row>
    <row r="457">
      <c r="B457" s="68"/>
      <c r="D457" s="69"/>
      <c r="H457" s="70"/>
      <c r="K457" s="70"/>
      <c r="L457" s="71"/>
      <c r="M457" s="72"/>
      <c r="P457" s="72"/>
    </row>
    <row r="458">
      <c r="B458" s="68"/>
      <c r="D458" s="69"/>
      <c r="H458" s="70"/>
      <c r="K458" s="70"/>
      <c r="L458" s="71"/>
      <c r="M458" s="72"/>
      <c r="P458" s="72"/>
    </row>
    <row r="459">
      <c r="B459" s="68"/>
      <c r="D459" s="69"/>
      <c r="H459" s="70"/>
      <c r="K459" s="70"/>
      <c r="L459" s="71"/>
      <c r="M459" s="72"/>
      <c r="P459" s="72"/>
    </row>
    <row r="460">
      <c r="B460" s="68"/>
      <c r="D460" s="69"/>
      <c r="H460" s="70"/>
      <c r="K460" s="70"/>
      <c r="L460" s="71"/>
      <c r="M460" s="72"/>
      <c r="P460" s="72"/>
    </row>
    <row r="461">
      <c r="B461" s="68"/>
      <c r="D461" s="69"/>
      <c r="H461" s="70"/>
      <c r="K461" s="70"/>
      <c r="L461" s="71"/>
      <c r="M461" s="72"/>
      <c r="P461" s="72"/>
    </row>
    <row r="462">
      <c r="B462" s="68"/>
      <c r="D462" s="69"/>
      <c r="H462" s="70"/>
      <c r="K462" s="70"/>
      <c r="L462" s="71"/>
      <c r="M462" s="72"/>
      <c r="P462" s="72"/>
    </row>
    <row r="463">
      <c r="B463" s="68"/>
      <c r="D463" s="69"/>
      <c r="H463" s="70"/>
      <c r="K463" s="70"/>
      <c r="L463" s="71"/>
      <c r="M463" s="72"/>
      <c r="P463" s="72"/>
    </row>
    <row r="464">
      <c r="B464" s="68"/>
      <c r="D464" s="69"/>
      <c r="H464" s="70"/>
      <c r="K464" s="70"/>
      <c r="L464" s="71"/>
      <c r="M464" s="72"/>
      <c r="P464" s="72"/>
    </row>
    <row r="465">
      <c r="B465" s="68"/>
      <c r="D465" s="69"/>
      <c r="H465" s="70"/>
      <c r="K465" s="70"/>
      <c r="L465" s="71"/>
      <c r="M465" s="72"/>
      <c r="P465" s="72"/>
    </row>
    <row r="466">
      <c r="B466" s="68"/>
      <c r="D466" s="69"/>
      <c r="H466" s="70"/>
      <c r="K466" s="70"/>
      <c r="L466" s="71"/>
      <c r="M466" s="72"/>
      <c r="P466" s="72"/>
    </row>
    <row r="467">
      <c r="B467" s="68"/>
      <c r="D467" s="69"/>
      <c r="H467" s="70"/>
      <c r="K467" s="70"/>
      <c r="L467" s="71"/>
      <c r="M467" s="72"/>
      <c r="P467" s="72"/>
    </row>
    <row r="468">
      <c r="B468" s="68"/>
      <c r="D468" s="69"/>
      <c r="H468" s="70"/>
      <c r="K468" s="70"/>
      <c r="L468" s="71"/>
      <c r="M468" s="72"/>
      <c r="P468" s="72"/>
    </row>
    <row r="469">
      <c r="B469" s="68"/>
      <c r="D469" s="69"/>
      <c r="H469" s="70"/>
      <c r="K469" s="70"/>
      <c r="L469" s="71"/>
      <c r="M469" s="72"/>
      <c r="P469" s="72"/>
    </row>
    <row r="470">
      <c r="B470" s="68"/>
      <c r="D470" s="69"/>
      <c r="H470" s="70"/>
      <c r="K470" s="70"/>
      <c r="L470" s="71"/>
      <c r="M470" s="72"/>
      <c r="P470" s="72"/>
    </row>
    <row r="471">
      <c r="B471" s="68"/>
      <c r="D471" s="69"/>
      <c r="H471" s="70"/>
      <c r="K471" s="70"/>
      <c r="L471" s="71"/>
      <c r="M471" s="72"/>
      <c r="P471" s="72"/>
    </row>
    <row r="472">
      <c r="B472" s="68"/>
      <c r="D472" s="69"/>
      <c r="H472" s="70"/>
      <c r="K472" s="70"/>
      <c r="L472" s="71"/>
      <c r="M472" s="72"/>
      <c r="P472" s="72"/>
    </row>
    <row r="473">
      <c r="B473" s="68"/>
      <c r="D473" s="69"/>
      <c r="H473" s="70"/>
      <c r="K473" s="70"/>
      <c r="L473" s="71"/>
      <c r="M473" s="72"/>
      <c r="P473" s="72"/>
    </row>
    <row r="474">
      <c r="B474" s="68"/>
      <c r="D474" s="69"/>
      <c r="H474" s="70"/>
      <c r="K474" s="70"/>
      <c r="L474" s="71"/>
      <c r="M474" s="72"/>
      <c r="P474" s="72"/>
    </row>
    <row r="475">
      <c r="B475" s="68"/>
      <c r="D475" s="69"/>
      <c r="H475" s="70"/>
      <c r="K475" s="70"/>
      <c r="L475" s="71"/>
      <c r="M475" s="72"/>
      <c r="P475" s="72"/>
    </row>
    <row r="476">
      <c r="B476" s="68"/>
      <c r="D476" s="69"/>
      <c r="H476" s="70"/>
      <c r="K476" s="70"/>
      <c r="L476" s="71"/>
      <c r="M476" s="72"/>
      <c r="P476" s="72"/>
    </row>
    <row r="477">
      <c r="B477" s="68"/>
      <c r="D477" s="69"/>
      <c r="H477" s="70"/>
      <c r="K477" s="70"/>
      <c r="L477" s="71"/>
      <c r="M477" s="72"/>
      <c r="P477" s="72"/>
    </row>
    <row r="478">
      <c r="B478" s="68"/>
      <c r="D478" s="69"/>
      <c r="H478" s="70"/>
      <c r="K478" s="70"/>
      <c r="L478" s="71"/>
      <c r="M478" s="72"/>
      <c r="P478" s="72"/>
    </row>
    <row r="479">
      <c r="B479" s="68"/>
      <c r="D479" s="69"/>
      <c r="H479" s="70"/>
      <c r="K479" s="70"/>
      <c r="L479" s="71"/>
      <c r="M479" s="72"/>
      <c r="P479" s="72"/>
    </row>
    <row r="480">
      <c r="B480" s="68"/>
      <c r="D480" s="69"/>
      <c r="H480" s="70"/>
      <c r="K480" s="70"/>
      <c r="L480" s="71"/>
      <c r="M480" s="72"/>
      <c r="P480" s="72"/>
    </row>
    <row r="481">
      <c r="B481" s="68"/>
      <c r="D481" s="69"/>
      <c r="H481" s="70"/>
      <c r="K481" s="70"/>
      <c r="L481" s="71"/>
      <c r="M481" s="72"/>
      <c r="P481" s="72"/>
    </row>
    <row r="482">
      <c r="B482" s="68"/>
      <c r="D482" s="69"/>
      <c r="H482" s="70"/>
      <c r="K482" s="70"/>
      <c r="L482" s="71"/>
      <c r="M482" s="72"/>
      <c r="P482" s="72"/>
    </row>
    <row r="483">
      <c r="B483" s="68"/>
      <c r="D483" s="69"/>
      <c r="H483" s="70"/>
      <c r="K483" s="70"/>
      <c r="L483" s="71"/>
      <c r="M483" s="72"/>
      <c r="P483" s="72"/>
    </row>
    <row r="484">
      <c r="B484" s="68"/>
      <c r="D484" s="69"/>
      <c r="H484" s="70"/>
      <c r="K484" s="70"/>
      <c r="L484" s="71"/>
      <c r="M484" s="72"/>
      <c r="P484" s="72"/>
    </row>
    <row r="485">
      <c r="B485" s="68"/>
      <c r="D485" s="69"/>
      <c r="H485" s="70"/>
      <c r="K485" s="70"/>
      <c r="L485" s="71"/>
      <c r="M485" s="72"/>
      <c r="P485" s="72"/>
    </row>
    <row r="486">
      <c r="B486" s="68"/>
      <c r="D486" s="69"/>
      <c r="H486" s="70"/>
      <c r="K486" s="70"/>
      <c r="L486" s="71"/>
      <c r="M486" s="72"/>
      <c r="P486" s="72"/>
    </row>
    <row r="487">
      <c r="B487" s="68"/>
      <c r="D487" s="69"/>
      <c r="H487" s="70"/>
      <c r="K487" s="70"/>
      <c r="L487" s="71"/>
      <c r="M487" s="72"/>
      <c r="P487" s="72"/>
    </row>
    <row r="488">
      <c r="B488" s="68"/>
      <c r="D488" s="69"/>
      <c r="H488" s="70"/>
      <c r="K488" s="70"/>
      <c r="L488" s="71"/>
      <c r="M488" s="72"/>
      <c r="P488" s="72"/>
    </row>
    <row r="489">
      <c r="B489" s="68"/>
      <c r="D489" s="69"/>
      <c r="H489" s="70"/>
      <c r="K489" s="70"/>
      <c r="L489" s="71"/>
      <c r="M489" s="72"/>
      <c r="P489" s="72"/>
    </row>
    <row r="490">
      <c r="B490" s="68"/>
      <c r="D490" s="69"/>
      <c r="H490" s="70"/>
      <c r="K490" s="70"/>
      <c r="L490" s="71"/>
      <c r="M490" s="72"/>
      <c r="P490" s="72"/>
    </row>
    <row r="491">
      <c r="B491" s="68"/>
      <c r="D491" s="69"/>
      <c r="H491" s="70"/>
      <c r="K491" s="70"/>
      <c r="L491" s="71"/>
      <c r="M491" s="72"/>
      <c r="P491" s="72"/>
    </row>
    <row r="492">
      <c r="B492" s="68"/>
      <c r="D492" s="69"/>
      <c r="H492" s="70"/>
      <c r="K492" s="70"/>
      <c r="L492" s="71"/>
      <c r="M492" s="72"/>
      <c r="P492" s="72"/>
    </row>
    <row r="493">
      <c r="B493" s="68"/>
      <c r="D493" s="69"/>
      <c r="H493" s="70"/>
      <c r="K493" s="70"/>
      <c r="L493" s="71"/>
      <c r="M493" s="72"/>
      <c r="P493" s="72"/>
    </row>
    <row r="494">
      <c r="B494" s="68"/>
      <c r="D494" s="69"/>
      <c r="H494" s="70"/>
      <c r="K494" s="70"/>
      <c r="L494" s="71"/>
      <c r="M494" s="72"/>
      <c r="P494" s="72"/>
    </row>
    <row r="495">
      <c r="B495" s="68"/>
      <c r="D495" s="69"/>
      <c r="H495" s="70"/>
      <c r="K495" s="70"/>
      <c r="L495" s="71"/>
      <c r="M495" s="72"/>
      <c r="P495" s="72"/>
    </row>
    <row r="496">
      <c r="B496" s="68"/>
      <c r="D496" s="69"/>
      <c r="H496" s="70"/>
      <c r="K496" s="70"/>
      <c r="L496" s="71"/>
      <c r="M496" s="72"/>
      <c r="P496" s="72"/>
    </row>
    <row r="497">
      <c r="B497" s="68"/>
      <c r="D497" s="69"/>
      <c r="H497" s="70"/>
      <c r="K497" s="70"/>
      <c r="L497" s="71"/>
      <c r="M497" s="72"/>
      <c r="P497" s="72"/>
    </row>
    <row r="498">
      <c r="B498" s="68"/>
      <c r="D498" s="69"/>
      <c r="H498" s="70"/>
      <c r="K498" s="70"/>
      <c r="L498" s="71"/>
      <c r="M498" s="72"/>
      <c r="P498" s="72"/>
    </row>
    <row r="499">
      <c r="B499" s="68"/>
      <c r="D499" s="69"/>
      <c r="H499" s="70"/>
      <c r="K499" s="70"/>
      <c r="L499" s="71"/>
      <c r="M499" s="72"/>
      <c r="P499" s="72"/>
    </row>
    <row r="500">
      <c r="B500" s="68"/>
      <c r="D500" s="69"/>
      <c r="H500" s="70"/>
      <c r="K500" s="70"/>
      <c r="L500" s="71"/>
      <c r="M500" s="72"/>
      <c r="P500" s="72"/>
    </row>
    <row r="501">
      <c r="B501" s="68"/>
      <c r="D501" s="69"/>
      <c r="H501" s="70"/>
      <c r="K501" s="70"/>
      <c r="L501" s="71"/>
      <c r="M501" s="72"/>
      <c r="P501" s="72"/>
    </row>
    <row r="502">
      <c r="B502" s="68"/>
      <c r="D502" s="69"/>
      <c r="H502" s="70"/>
      <c r="K502" s="70"/>
      <c r="L502" s="71"/>
      <c r="M502" s="72"/>
      <c r="P502" s="72"/>
    </row>
    <row r="503">
      <c r="B503" s="68"/>
      <c r="D503" s="69"/>
      <c r="H503" s="70"/>
      <c r="K503" s="70"/>
      <c r="L503" s="71"/>
      <c r="M503" s="72"/>
      <c r="P503" s="72"/>
    </row>
    <row r="504">
      <c r="B504" s="68"/>
      <c r="D504" s="69"/>
      <c r="H504" s="70"/>
      <c r="K504" s="70"/>
      <c r="L504" s="71"/>
      <c r="M504" s="72"/>
      <c r="P504" s="72"/>
    </row>
    <row r="505">
      <c r="B505" s="68"/>
      <c r="D505" s="69"/>
      <c r="H505" s="70"/>
      <c r="K505" s="70"/>
      <c r="L505" s="71"/>
      <c r="M505" s="72"/>
      <c r="P505" s="72"/>
    </row>
    <row r="506">
      <c r="B506" s="68"/>
      <c r="D506" s="69"/>
      <c r="H506" s="70"/>
      <c r="K506" s="70"/>
      <c r="L506" s="71"/>
      <c r="M506" s="72"/>
      <c r="P506" s="72"/>
    </row>
    <row r="507">
      <c r="B507" s="68"/>
      <c r="D507" s="69"/>
      <c r="H507" s="70"/>
      <c r="K507" s="70"/>
      <c r="L507" s="71"/>
      <c r="M507" s="72"/>
      <c r="P507" s="72"/>
    </row>
    <row r="508">
      <c r="B508" s="68"/>
      <c r="D508" s="69"/>
      <c r="H508" s="70"/>
      <c r="K508" s="70"/>
      <c r="L508" s="71"/>
      <c r="M508" s="72"/>
      <c r="P508" s="72"/>
    </row>
    <row r="509">
      <c r="B509" s="68"/>
      <c r="D509" s="69"/>
      <c r="H509" s="70"/>
      <c r="K509" s="70"/>
      <c r="L509" s="71"/>
      <c r="M509" s="72"/>
      <c r="P509" s="72"/>
    </row>
    <row r="510">
      <c r="B510" s="68"/>
      <c r="D510" s="69"/>
      <c r="H510" s="70"/>
      <c r="K510" s="70"/>
      <c r="L510" s="71"/>
      <c r="M510" s="72"/>
      <c r="P510" s="72"/>
    </row>
    <row r="511">
      <c r="B511" s="68"/>
      <c r="D511" s="69"/>
      <c r="H511" s="70"/>
      <c r="K511" s="70"/>
      <c r="L511" s="71"/>
      <c r="M511" s="72"/>
      <c r="P511" s="72"/>
    </row>
    <row r="512">
      <c r="B512" s="68"/>
      <c r="D512" s="69"/>
      <c r="H512" s="70"/>
      <c r="K512" s="70"/>
      <c r="L512" s="71"/>
      <c r="M512" s="72"/>
      <c r="P512" s="72"/>
    </row>
    <row r="513">
      <c r="B513" s="68"/>
      <c r="D513" s="69"/>
      <c r="H513" s="70"/>
      <c r="K513" s="70"/>
      <c r="L513" s="71"/>
      <c r="M513" s="72"/>
      <c r="P513" s="72"/>
    </row>
    <row r="514">
      <c r="B514" s="68"/>
      <c r="D514" s="69"/>
      <c r="H514" s="70"/>
      <c r="K514" s="70"/>
      <c r="L514" s="71"/>
      <c r="M514" s="72"/>
      <c r="P514" s="72"/>
    </row>
    <row r="515">
      <c r="B515" s="68"/>
      <c r="D515" s="69"/>
      <c r="H515" s="70"/>
      <c r="K515" s="70"/>
      <c r="L515" s="71"/>
      <c r="M515" s="72"/>
      <c r="P515" s="72"/>
    </row>
    <row r="516">
      <c r="B516" s="68"/>
      <c r="D516" s="69"/>
      <c r="H516" s="70"/>
      <c r="K516" s="70"/>
      <c r="L516" s="71"/>
      <c r="M516" s="72"/>
      <c r="P516" s="72"/>
    </row>
    <row r="517">
      <c r="B517" s="68"/>
      <c r="D517" s="69"/>
      <c r="H517" s="70"/>
      <c r="K517" s="70"/>
      <c r="L517" s="71"/>
      <c r="M517" s="72"/>
      <c r="P517" s="72"/>
    </row>
    <row r="518">
      <c r="B518" s="68"/>
      <c r="D518" s="69"/>
      <c r="H518" s="70"/>
      <c r="K518" s="70"/>
      <c r="L518" s="71"/>
      <c r="M518" s="72"/>
      <c r="P518" s="72"/>
    </row>
    <row r="519">
      <c r="B519" s="68"/>
      <c r="D519" s="69"/>
      <c r="H519" s="70"/>
      <c r="K519" s="70"/>
      <c r="L519" s="71"/>
      <c r="M519" s="72"/>
      <c r="P519" s="72"/>
    </row>
    <row r="520">
      <c r="B520" s="68"/>
      <c r="D520" s="69"/>
      <c r="H520" s="70"/>
      <c r="K520" s="70"/>
      <c r="L520" s="71"/>
      <c r="M520" s="72"/>
      <c r="P520" s="72"/>
    </row>
    <row r="521">
      <c r="B521" s="68"/>
      <c r="D521" s="69"/>
      <c r="H521" s="70"/>
      <c r="K521" s="70"/>
      <c r="L521" s="71"/>
      <c r="M521" s="72"/>
      <c r="P521" s="72"/>
    </row>
    <row r="522">
      <c r="B522" s="68"/>
      <c r="D522" s="69"/>
      <c r="H522" s="70"/>
      <c r="K522" s="70"/>
      <c r="L522" s="71"/>
      <c r="M522" s="72"/>
      <c r="P522" s="72"/>
    </row>
    <row r="523">
      <c r="B523" s="68"/>
      <c r="D523" s="69"/>
      <c r="H523" s="70"/>
      <c r="K523" s="70"/>
      <c r="L523" s="71"/>
      <c r="M523" s="72"/>
      <c r="P523" s="72"/>
    </row>
    <row r="524">
      <c r="B524" s="68"/>
      <c r="D524" s="69"/>
      <c r="H524" s="70"/>
      <c r="K524" s="70"/>
      <c r="L524" s="71"/>
      <c r="M524" s="72"/>
      <c r="P524" s="72"/>
    </row>
    <row r="525">
      <c r="B525" s="68"/>
      <c r="D525" s="69"/>
      <c r="H525" s="70"/>
      <c r="K525" s="70"/>
      <c r="L525" s="71"/>
      <c r="M525" s="72"/>
      <c r="P525" s="72"/>
    </row>
    <row r="526">
      <c r="B526" s="68"/>
      <c r="D526" s="69"/>
      <c r="H526" s="70"/>
      <c r="K526" s="70"/>
      <c r="L526" s="71"/>
      <c r="M526" s="72"/>
      <c r="P526" s="72"/>
    </row>
    <row r="527">
      <c r="B527" s="68"/>
      <c r="D527" s="69"/>
      <c r="H527" s="70"/>
      <c r="K527" s="70"/>
      <c r="L527" s="71"/>
      <c r="M527" s="72"/>
      <c r="P527" s="72"/>
    </row>
    <row r="528">
      <c r="B528" s="68"/>
      <c r="D528" s="69"/>
      <c r="H528" s="70"/>
      <c r="K528" s="70"/>
      <c r="L528" s="71"/>
      <c r="M528" s="72"/>
      <c r="P528" s="72"/>
    </row>
    <row r="529">
      <c r="B529" s="68"/>
      <c r="D529" s="69"/>
      <c r="H529" s="70"/>
      <c r="K529" s="70"/>
      <c r="L529" s="71"/>
      <c r="M529" s="72"/>
      <c r="P529" s="72"/>
    </row>
    <row r="530">
      <c r="B530" s="68"/>
      <c r="D530" s="69"/>
      <c r="H530" s="70"/>
      <c r="K530" s="70"/>
      <c r="L530" s="71"/>
      <c r="M530" s="72"/>
      <c r="P530" s="72"/>
    </row>
    <row r="531">
      <c r="B531" s="68"/>
      <c r="D531" s="69"/>
      <c r="H531" s="70"/>
      <c r="K531" s="70"/>
      <c r="L531" s="71"/>
      <c r="M531" s="72"/>
      <c r="P531" s="72"/>
    </row>
    <row r="532">
      <c r="B532" s="68"/>
      <c r="D532" s="69"/>
      <c r="H532" s="70"/>
      <c r="K532" s="70"/>
      <c r="L532" s="71"/>
      <c r="M532" s="72"/>
      <c r="P532" s="72"/>
    </row>
    <row r="533">
      <c r="B533" s="68"/>
      <c r="D533" s="69"/>
      <c r="H533" s="70"/>
      <c r="K533" s="70"/>
      <c r="L533" s="71"/>
      <c r="M533" s="72"/>
      <c r="P533" s="72"/>
    </row>
    <row r="534">
      <c r="B534" s="68"/>
      <c r="D534" s="69"/>
      <c r="H534" s="70"/>
      <c r="K534" s="70"/>
      <c r="L534" s="71"/>
      <c r="M534" s="72"/>
      <c r="P534" s="72"/>
    </row>
    <row r="535">
      <c r="B535" s="68"/>
      <c r="D535" s="69"/>
      <c r="H535" s="70"/>
      <c r="K535" s="70"/>
      <c r="L535" s="71"/>
      <c r="M535" s="72"/>
      <c r="P535" s="72"/>
    </row>
    <row r="536">
      <c r="B536" s="68"/>
      <c r="D536" s="69"/>
      <c r="H536" s="70"/>
      <c r="K536" s="70"/>
      <c r="L536" s="71"/>
      <c r="M536" s="72"/>
      <c r="P536" s="72"/>
    </row>
    <row r="537">
      <c r="B537" s="68"/>
      <c r="D537" s="69"/>
      <c r="H537" s="70"/>
      <c r="K537" s="70"/>
      <c r="L537" s="71"/>
      <c r="M537" s="72"/>
      <c r="P537" s="72"/>
    </row>
    <row r="538">
      <c r="B538" s="68"/>
      <c r="D538" s="69"/>
      <c r="H538" s="70"/>
      <c r="K538" s="70"/>
      <c r="L538" s="71"/>
      <c r="M538" s="72"/>
      <c r="P538" s="72"/>
    </row>
    <row r="539">
      <c r="B539" s="68"/>
      <c r="D539" s="69"/>
      <c r="H539" s="70"/>
      <c r="K539" s="70"/>
      <c r="L539" s="71"/>
      <c r="M539" s="72"/>
      <c r="P539" s="72"/>
    </row>
    <row r="540">
      <c r="B540" s="68"/>
      <c r="D540" s="69"/>
      <c r="H540" s="70"/>
      <c r="K540" s="70"/>
      <c r="L540" s="71"/>
      <c r="M540" s="72"/>
      <c r="P540" s="72"/>
    </row>
    <row r="541">
      <c r="B541" s="68"/>
      <c r="D541" s="69"/>
      <c r="H541" s="70"/>
      <c r="K541" s="70"/>
      <c r="L541" s="71"/>
      <c r="M541" s="72"/>
      <c r="P541" s="72"/>
    </row>
    <row r="542">
      <c r="B542" s="68"/>
      <c r="D542" s="69"/>
      <c r="H542" s="70"/>
      <c r="K542" s="70"/>
      <c r="L542" s="71"/>
      <c r="M542" s="72"/>
      <c r="P542" s="72"/>
    </row>
    <row r="543">
      <c r="B543" s="68"/>
      <c r="D543" s="69"/>
      <c r="H543" s="70"/>
      <c r="K543" s="70"/>
      <c r="L543" s="71"/>
      <c r="M543" s="72"/>
      <c r="P543" s="72"/>
    </row>
    <row r="544">
      <c r="B544" s="68"/>
      <c r="D544" s="69"/>
      <c r="H544" s="70"/>
      <c r="K544" s="70"/>
      <c r="L544" s="71"/>
      <c r="M544" s="72"/>
      <c r="P544" s="72"/>
    </row>
    <row r="545">
      <c r="B545" s="68"/>
      <c r="D545" s="69"/>
      <c r="H545" s="70"/>
      <c r="K545" s="70"/>
      <c r="L545" s="71"/>
      <c r="M545" s="72"/>
      <c r="P545" s="72"/>
    </row>
    <row r="546">
      <c r="B546" s="68"/>
      <c r="D546" s="69"/>
      <c r="H546" s="70"/>
      <c r="K546" s="70"/>
      <c r="L546" s="71"/>
      <c r="M546" s="72"/>
      <c r="P546" s="72"/>
    </row>
    <row r="547">
      <c r="B547" s="68"/>
      <c r="D547" s="69"/>
      <c r="H547" s="70"/>
      <c r="K547" s="70"/>
      <c r="L547" s="71"/>
      <c r="M547" s="72"/>
      <c r="P547" s="72"/>
    </row>
    <row r="548">
      <c r="B548" s="68"/>
      <c r="D548" s="69"/>
      <c r="H548" s="70"/>
      <c r="K548" s="70"/>
      <c r="L548" s="71"/>
      <c r="M548" s="72"/>
      <c r="P548" s="72"/>
    </row>
    <row r="549">
      <c r="B549" s="68"/>
      <c r="D549" s="69"/>
      <c r="H549" s="70"/>
      <c r="K549" s="70"/>
      <c r="L549" s="71"/>
      <c r="M549" s="72"/>
      <c r="P549" s="72"/>
    </row>
    <row r="550">
      <c r="B550" s="68"/>
      <c r="D550" s="69"/>
      <c r="H550" s="70"/>
      <c r="K550" s="70"/>
      <c r="L550" s="71"/>
      <c r="M550" s="72"/>
      <c r="P550" s="72"/>
    </row>
    <row r="551">
      <c r="B551" s="68"/>
      <c r="D551" s="69"/>
      <c r="H551" s="70"/>
      <c r="K551" s="70"/>
      <c r="L551" s="71"/>
      <c r="M551" s="72"/>
      <c r="P551" s="72"/>
    </row>
    <row r="552">
      <c r="B552" s="68"/>
      <c r="D552" s="69"/>
      <c r="H552" s="70"/>
      <c r="K552" s="70"/>
      <c r="L552" s="71"/>
      <c r="M552" s="72"/>
      <c r="P552" s="72"/>
    </row>
    <row r="553">
      <c r="B553" s="68"/>
      <c r="D553" s="69"/>
      <c r="H553" s="70"/>
      <c r="K553" s="70"/>
      <c r="L553" s="71"/>
      <c r="M553" s="72"/>
      <c r="P553" s="72"/>
    </row>
    <row r="554">
      <c r="B554" s="68"/>
      <c r="D554" s="69"/>
      <c r="H554" s="70"/>
      <c r="K554" s="70"/>
      <c r="L554" s="71"/>
      <c r="M554" s="72"/>
      <c r="P554" s="72"/>
    </row>
    <row r="555">
      <c r="B555" s="68"/>
      <c r="D555" s="69"/>
      <c r="H555" s="70"/>
      <c r="K555" s="70"/>
      <c r="L555" s="71"/>
      <c r="M555" s="72"/>
      <c r="P555" s="72"/>
    </row>
    <row r="556">
      <c r="B556" s="68"/>
      <c r="D556" s="69"/>
      <c r="H556" s="70"/>
      <c r="K556" s="70"/>
      <c r="L556" s="71"/>
      <c r="M556" s="72"/>
      <c r="P556" s="72"/>
    </row>
    <row r="557">
      <c r="B557" s="68"/>
      <c r="D557" s="69"/>
      <c r="H557" s="70"/>
      <c r="K557" s="70"/>
      <c r="L557" s="71"/>
      <c r="M557" s="72"/>
      <c r="P557" s="72"/>
    </row>
    <row r="558">
      <c r="B558" s="68"/>
      <c r="D558" s="69"/>
      <c r="H558" s="70"/>
      <c r="K558" s="70"/>
      <c r="L558" s="71"/>
      <c r="M558" s="72"/>
      <c r="P558" s="72"/>
    </row>
    <row r="559">
      <c r="B559" s="68"/>
      <c r="D559" s="69"/>
      <c r="H559" s="70"/>
      <c r="K559" s="70"/>
      <c r="L559" s="71"/>
      <c r="M559" s="72"/>
      <c r="P559" s="72"/>
    </row>
    <row r="560">
      <c r="B560" s="68"/>
      <c r="D560" s="69"/>
      <c r="H560" s="70"/>
      <c r="K560" s="70"/>
      <c r="L560" s="71"/>
      <c r="M560" s="72"/>
      <c r="P560" s="72"/>
    </row>
    <row r="561">
      <c r="B561" s="68"/>
      <c r="D561" s="69"/>
      <c r="H561" s="70"/>
      <c r="K561" s="70"/>
      <c r="L561" s="71"/>
      <c r="M561" s="72"/>
      <c r="P561" s="72"/>
    </row>
    <row r="562">
      <c r="B562" s="68"/>
      <c r="D562" s="69"/>
      <c r="H562" s="70"/>
      <c r="K562" s="70"/>
      <c r="L562" s="71"/>
      <c r="M562" s="72"/>
      <c r="P562" s="72"/>
    </row>
    <row r="563">
      <c r="B563" s="68"/>
      <c r="D563" s="69"/>
      <c r="H563" s="70"/>
      <c r="K563" s="70"/>
      <c r="L563" s="71"/>
      <c r="M563" s="72"/>
      <c r="P563" s="72"/>
    </row>
    <row r="564">
      <c r="B564" s="68"/>
      <c r="D564" s="69"/>
      <c r="H564" s="70"/>
      <c r="K564" s="70"/>
      <c r="L564" s="71"/>
      <c r="M564" s="72"/>
      <c r="P564" s="72"/>
    </row>
    <row r="565">
      <c r="B565" s="68"/>
      <c r="D565" s="69"/>
      <c r="H565" s="70"/>
      <c r="K565" s="70"/>
      <c r="L565" s="71"/>
      <c r="M565" s="72"/>
      <c r="P565" s="72"/>
    </row>
    <row r="566">
      <c r="B566" s="68"/>
      <c r="D566" s="69"/>
      <c r="H566" s="70"/>
      <c r="K566" s="70"/>
      <c r="L566" s="71"/>
      <c r="M566" s="72"/>
      <c r="P566" s="72"/>
    </row>
    <row r="567">
      <c r="B567" s="68"/>
      <c r="D567" s="69"/>
      <c r="H567" s="70"/>
      <c r="K567" s="70"/>
      <c r="L567" s="71"/>
      <c r="M567" s="72"/>
      <c r="P567" s="72"/>
    </row>
    <row r="568">
      <c r="B568" s="68"/>
      <c r="D568" s="69"/>
      <c r="H568" s="70"/>
      <c r="K568" s="70"/>
      <c r="L568" s="71"/>
      <c r="M568" s="72"/>
      <c r="P568" s="72"/>
    </row>
    <row r="569">
      <c r="B569" s="68"/>
      <c r="D569" s="69"/>
      <c r="H569" s="70"/>
      <c r="K569" s="70"/>
      <c r="L569" s="71"/>
      <c r="M569" s="72"/>
      <c r="P569" s="72"/>
    </row>
    <row r="570">
      <c r="B570" s="68"/>
      <c r="D570" s="69"/>
      <c r="H570" s="70"/>
      <c r="K570" s="70"/>
      <c r="L570" s="71"/>
      <c r="M570" s="72"/>
      <c r="P570" s="72"/>
    </row>
    <row r="571">
      <c r="B571" s="68"/>
      <c r="D571" s="69"/>
      <c r="H571" s="70"/>
      <c r="K571" s="70"/>
      <c r="L571" s="71"/>
      <c r="M571" s="72"/>
      <c r="P571" s="72"/>
    </row>
    <row r="572">
      <c r="B572" s="68"/>
      <c r="D572" s="69"/>
      <c r="H572" s="70"/>
      <c r="K572" s="70"/>
      <c r="L572" s="71"/>
      <c r="M572" s="72"/>
      <c r="P572" s="72"/>
    </row>
    <row r="573">
      <c r="B573" s="68"/>
      <c r="D573" s="69"/>
      <c r="H573" s="70"/>
      <c r="K573" s="70"/>
      <c r="L573" s="71"/>
      <c r="M573" s="72"/>
      <c r="P573" s="72"/>
    </row>
    <row r="574">
      <c r="B574" s="68"/>
      <c r="D574" s="69"/>
      <c r="H574" s="70"/>
      <c r="K574" s="70"/>
      <c r="L574" s="71"/>
      <c r="M574" s="72"/>
      <c r="P574" s="72"/>
    </row>
    <row r="575">
      <c r="B575" s="68"/>
      <c r="D575" s="69"/>
      <c r="H575" s="70"/>
      <c r="K575" s="70"/>
      <c r="L575" s="71"/>
      <c r="M575" s="72"/>
      <c r="P575" s="72"/>
    </row>
    <row r="576">
      <c r="B576" s="68"/>
      <c r="D576" s="69"/>
      <c r="H576" s="70"/>
      <c r="K576" s="70"/>
      <c r="L576" s="71"/>
      <c r="M576" s="72"/>
      <c r="P576" s="72"/>
    </row>
    <row r="577">
      <c r="B577" s="68"/>
      <c r="D577" s="69"/>
      <c r="H577" s="70"/>
      <c r="K577" s="70"/>
      <c r="L577" s="71"/>
      <c r="M577" s="72"/>
      <c r="P577" s="72"/>
    </row>
    <row r="578">
      <c r="B578" s="68"/>
      <c r="D578" s="69"/>
      <c r="H578" s="70"/>
      <c r="K578" s="70"/>
      <c r="L578" s="71"/>
      <c r="M578" s="72"/>
      <c r="P578" s="72"/>
    </row>
    <row r="579">
      <c r="B579" s="68"/>
      <c r="D579" s="69"/>
      <c r="H579" s="70"/>
      <c r="K579" s="70"/>
      <c r="L579" s="71"/>
      <c r="M579" s="72"/>
      <c r="P579" s="72"/>
    </row>
    <row r="580">
      <c r="B580" s="68"/>
      <c r="D580" s="69"/>
      <c r="H580" s="70"/>
      <c r="K580" s="70"/>
      <c r="L580" s="71"/>
      <c r="M580" s="72"/>
      <c r="P580" s="72"/>
    </row>
    <row r="581">
      <c r="B581" s="68"/>
      <c r="D581" s="69"/>
      <c r="H581" s="70"/>
      <c r="K581" s="70"/>
      <c r="L581" s="71"/>
      <c r="M581" s="72"/>
      <c r="P581" s="72"/>
    </row>
    <row r="582">
      <c r="B582" s="68"/>
      <c r="D582" s="69"/>
      <c r="H582" s="70"/>
      <c r="K582" s="70"/>
      <c r="L582" s="71"/>
      <c r="M582" s="72"/>
      <c r="P582" s="72"/>
    </row>
    <row r="583">
      <c r="B583" s="68"/>
      <c r="D583" s="69"/>
      <c r="H583" s="70"/>
      <c r="K583" s="70"/>
      <c r="L583" s="71"/>
      <c r="M583" s="72"/>
      <c r="P583" s="72"/>
    </row>
    <row r="584">
      <c r="B584" s="68"/>
      <c r="D584" s="69"/>
      <c r="H584" s="70"/>
      <c r="K584" s="70"/>
      <c r="L584" s="71"/>
      <c r="M584" s="72"/>
      <c r="P584" s="72"/>
    </row>
    <row r="585">
      <c r="B585" s="68"/>
      <c r="D585" s="69"/>
      <c r="H585" s="70"/>
      <c r="K585" s="70"/>
      <c r="L585" s="71"/>
      <c r="M585" s="72"/>
      <c r="P585" s="72"/>
    </row>
    <row r="586">
      <c r="B586" s="68"/>
      <c r="D586" s="69"/>
      <c r="H586" s="70"/>
      <c r="K586" s="70"/>
      <c r="L586" s="71"/>
      <c r="M586" s="72"/>
      <c r="P586" s="72"/>
    </row>
    <row r="587">
      <c r="B587" s="68"/>
      <c r="D587" s="69"/>
      <c r="H587" s="70"/>
      <c r="K587" s="70"/>
      <c r="L587" s="71"/>
      <c r="M587" s="72"/>
      <c r="P587" s="72"/>
    </row>
    <row r="588">
      <c r="B588" s="68"/>
      <c r="D588" s="69"/>
      <c r="H588" s="70"/>
      <c r="K588" s="70"/>
      <c r="L588" s="71"/>
      <c r="M588" s="72"/>
      <c r="P588" s="72"/>
    </row>
    <row r="589">
      <c r="B589" s="68"/>
      <c r="D589" s="69"/>
      <c r="H589" s="70"/>
      <c r="K589" s="70"/>
      <c r="L589" s="71"/>
      <c r="M589" s="72"/>
      <c r="P589" s="72"/>
    </row>
    <row r="590">
      <c r="B590" s="68"/>
      <c r="D590" s="69"/>
      <c r="H590" s="70"/>
      <c r="K590" s="70"/>
      <c r="L590" s="71"/>
      <c r="M590" s="72"/>
      <c r="P590" s="72"/>
    </row>
    <row r="591">
      <c r="B591" s="68"/>
      <c r="D591" s="69"/>
      <c r="H591" s="70"/>
      <c r="K591" s="70"/>
      <c r="L591" s="71"/>
      <c r="M591" s="72"/>
      <c r="P591" s="72"/>
    </row>
    <row r="592">
      <c r="B592" s="68"/>
      <c r="D592" s="69"/>
      <c r="H592" s="70"/>
      <c r="K592" s="70"/>
      <c r="L592" s="71"/>
      <c r="M592" s="72"/>
      <c r="P592" s="72"/>
    </row>
    <row r="593">
      <c r="B593" s="68"/>
      <c r="D593" s="69"/>
      <c r="H593" s="70"/>
      <c r="K593" s="70"/>
      <c r="L593" s="71"/>
      <c r="M593" s="72"/>
      <c r="P593" s="72"/>
    </row>
    <row r="594">
      <c r="B594" s="68"/>
      <c r="D594" s="69"/>
      <c r="H594" s="70"/>
      <c r="K594" s="70"/>
      <c r="L594" s="71"/>
      <c r="M594" s="72"/>
      <c r="P594" s="72"/>
    </row>
    <row r="595">
      <c r="B595" s="68"/>
      <c r="D595" s="69"/>
      <c r="H595" s="70"/>
      <c r="K595" s="70"/>
      <c r="L595" s="71"/>
      <c r="M595" s="72"/>
      <c r="P595" s="72"/>
    </row>
    <row r="596">
      <c r="B596" s="68"/>
      <c r="D596" s="69"/>
      <c r="H596" s="70"/>
      <c r="K596" s="70"/>
      <c r="L596" s="71"/>
      <c r="M596" s="72"/>
      <c r="P596" s="72"/>
    </row>
    <row r="597">
      <c r="B597" s="68"/>
      <c r="D597" s="69"/>
      <c r="H597" s="70"/>
      <c r="K597" s="70"/>
      <c r="L597" s="71"/>
      <c r="M597" s="72"/>
      <c r="P597" s="72"/>
    </row>
    <row r="598">
      <c r="B598" s="68"/>
      <c r="D598" s="69"/>
      <c r="H598" s="70"/>
      <c r="K598" s="70"/>
      <c r="L598" s="71"/>
      <c r="M598" s="72"/>
      <c r="P598" s="72"/>
    </row>
    <row r="599">
      <c r="B599" s="68"/>
      <c r="D599" s="69"/>
      <c r="H599" s="70"/>
      <c r="K599" s="70"/>
      <c r="L599" s="71"/>
      <c r="M599" s="72"/>
      <c r="P599" s="72"/>
    </row>
    <row r="600">
      <c r="B600" s="68"/>
      <c r="D600" s="69"/>
      <c r="H600" s="70"/>
      <c r="K600" s="70"/>
      <c r="L600" s="71"/>
      <c r="M600" s="72"/>
      <c r="P600" s="72"/>
    </row>
    <row r="601">
      <c r="B601" s="68"/>
      <c r="D601" s="69"/>
      <c r="H601" s="70"/>
      <c r="K601" s="70"/>
      <c r="L601" s="71"/>
      <c r="M601" s="72"/>
      <c r="P601" s="72"/>
    </row>
    <row r="602">
      <c r="B602" s="68"/>
      <c r="D602" s="69"/>
      <c r="H602" s="70"/>
      <c r="K602" s="70"/>
      <c r="L602" s="71"/>
      <c r="M602" s="72"/>
      <c r="P602" s="72"/>
    </row>
    <row r="603">
      <c r="B603" s="68"/>
      <c r="D603" s="69"/>
      <c r="H603" s="70"/>
      <c r="K603" s="70"/>
      <c r="L603" s="71"/>
      <c r="M603" s="72"/>
      <c r="P603" s="72"/>
    </row>
    <row r="604">
      <c r="B604" s="68"/>
      <c r="D604" s="69"/>
      <c r="H604" s="70"/>
      <c r="K604" s="70"/>
      <c r="L604" s="71"/>
      <c r="M604" s="72"/>
      <c r="P604" s="72"/>
    </row>
    <row r="605">
      <c r="B605" s="68"/>
      <c r="D605" s="69"/>
      <c r="H605" s="70"/>
      <c r="K605" s="70"/>
      <c r="L605" s="71"/>
      <c r="M605" s="72"/>
      <c r="P605" s="72"/>
    </row>
    <row r="606">
      <c r="B606" s="68"/>
      <c r="D606" s="69"/>
      <c r="H606" s="70"/>
      <c r="K606" s="70"/>
      <c r="L606" s="71"/>
      <c r="M606" s="72"/>
      <c r="P606" s="72"/>
    </row>
    <row r="607">
      <c r="B607" s="68"/>
      <c r="D607" s="69"/>
      <c r="H607" s="70"/>
      <c r="K607" s="70"/>
      <c r="L607" s="71"/>
      <c r="M607" s="72"/>
      <c r="P607" s="72"/>
    </row>
    <row r="608">
      <c r="B608" s="68"/>
      <c r="D608" s="69"/>
      <c r="H608" s="70"/>
      <c r="K608" s="70"/>
      <c r="L608" s="71"/>
      <c r="M608" s="72"/>
      <c r="P608" s="72"/>
    </row>
    <row r="609">
      <c r="B609" s="68"/>
      <c r="D609" s="69"/>
      <c r="H609" s="70"/>
      <c r="K609" s="70"/>
      <c r="L609" s="71"/>
      <c r="M609" s="72"/>
      <c r="P609" s="72"/>
    </row>
    <row r="610">
      <c r="B610" s="68"/>
      <c r="D610" s="69"/>
      <c r="H610" s="70"/>
      <c r="K610" s="70"/>
      <c r="L610" s="71"/>
      <c r="M610" s="72"/>
      <c r="P610" s="72"/>
    </row>
    <row r="611">
      <c r="B611" s="68"/>
      <c r="D611" s="69"/>
      <c r="H611" s="70"/>
      <c r="K611" s="70"/>
      <c r="L611" s="71"/>
      <c r="M611" s="72"/>
      <c r="P611" s="72"/>
    </row>
    <row r="612">
      <c r="B612" s="68"/>
      <c r="D612" s="69"/>
      <c r="H612" s="70"/>
      <c r="K612" s="70"/>
      <c r="L612" s="71"/>
      <c r="M612" s="72"/>
      <c r="P612" s="72"/>
    </row>
    <row r="613">
      <c r="B613" s="68"/>
      <c r="D613" s="69"/>
      <c r="H613" s="70"/>
      <c r="K613" s="70"/>
      <c r="L613" s="71"/>
      <c r="M613" s="72"/>
      <c r="P613" s="72"/>
    </row>
    <row r="614">
      <c r="B614" s="68"/>
      <c r="D614" s="69"/>
      <c r="H614" s="70"/>
      <c r="K614" s="70"/>
      <c r="L614" s="71"/>
      <c r="M614" s="72"/>
      <c r="P614" s="72"/>
    </row>
    <row r="615">
      <c r="B615" s="68"/>
      <c r="D615" s="69"/>
      <c r="H615" s="70"/>
      <c r="K615" s="70"/>
      <c r="L615" s="71"/>
      <c r="M615" s="72"/>
      <c r="P615" s="72"/>
    </row>
    <row r="616">
      <c r="B616" s="68"/>
      <c r="D616" s="69"/>
      <c r="H616" s="70"/>
      <c r="K616" s="70"/>
      <c r="L616" s="71"/>
      <c r="M616" s="72"/>
      <c r="P616" s="72"/>
    </row>
    <row r="617">
      <c r="B617" s="68"/>
      <c r="D617" s="69"/>
      <c r="H617" s="70"/>
      <c r="K617" s="70"/>
      <c r="L617" s="71"/>
      <c r="M617" s="72"/>
      <c r="P617" s="72"/>
    </row>
    <row r="618">
      <c r="B618" s="68"/>
      <c r="D618" s="69"/>
      <c r="H618" s="70"/>
      <c r="K618" s="70"/>
      <c r="L618" s="71"/>
      <c r="M618" s="72"/>
      <c r="P618" s="72"/>
    </row>
    <row r="619">
      <c r="B619" s="68"/>
      <c r="D619" s="69"/>
      <c r="H619" s="70"/>
      <c r="K619" s="70"/>
      <c r="L619" s="71"/>
      <c r="M619" s="72"/>
      <c r="P619" s="72"/>
    </row>
    <row r="620">
      <c r="B620" s="68"/>
      <c r="D620" s="69"/>
      <c r="H620" s="70"/>
      <c r="K620" s="70"/>
      <c r="L620" s="71"/>
      <c r="M620" s="72"/>
      <c r="P620" s="72"/>
    </row>
    <row r="621">
      <c r="B621" s="68"/>
      <c r="D621" s="69"/>
      <c r="H621" s="70"/>
      <c r="K621" s="70"/>
      <c r="L621" s="71"/>
      <c r="M621" s="72"/>
      <c r="P621" s="72"/>
    </row>
    <row r="622">
      <c r="B622" s="68"/>
      <c r="D622" s="69"/>
      <c r="H622" s="70"/>
      <c r="K622" s="70"/>
      <c r="L622" s="71"/>
      <c r="M622" s="72"/>
      <c r="P622" s="72"/>
    </row>
    <row r="623">
      <c r="B623" s="68"/>
      <c r="D623" s="69"/>
      <c r="H623" s="70"/>
      <c r="K623" s="70"/>
      <c r="L623" s="71"/>
      <c r="M623" s="72"/>
      <c r="P623" s="72"/>
    </row>
    <row r="624">
      <c r="B624" s="68"/>
      <c r="D624" s="69"/>
      <c r="H624" s="70"/>
      <c r="K624" s="70"/>
      <c r="L624" s="71"/>
      <c r="M624" s="72"/>
      <c r="P624" s="72"/>
    </row>
    <row r="625">
      <c r="B625" s="68"/>
      <c r="D625" s="69"/>
      <c r="H625" s="70"/>
      <c r="K625" s="70"/>
      <c r="L625" s="71"/>
      <c r="M625" s="72"/>
      <c r="P625" s="72"/>
    </row>
    <row r="626">
      <c r="B626" s="68"/>
      <c r="D626" s="69"/>
      <c r="H626" s="70"/>
      <c r="K626" s="70"/>
      <c r="L626" s="71"/>
      <c r="M626" s="72"/>
      <c r="P626" s="72"/>
    </row>
    <row r="627">
      <c r="B627" s="68"/>
      <c r="D627" s="69"/>
      <c r="H627" s="70"/>
      <c r="K627" s="70"/>
      <c r="L627" s="71"/>
      <c r="M627" s="72"/>
      <c r="P627" s="72"/>
    </row>
    <row r="628">
      <c r="B628" s="68"/>
      <c r="D628" s="69"/>
      <c r="H628" s="70"/>
      <c r="K628" s="70"/>
      <c r="L628" s="71"/>
      <c r="M628" s="72"/>
      <c r="P628" s="72"/>
    </row>
    <row r="629">
      <c r="B629" s="68"/>
      <c r="D629" s="69"/>
      <c r="H629" s="70"/>
      <c r="K629" s="70"/>
      <c r="L629" s="71"/>
      <c r="M629" s="72"/>
      <c r="P629" s="72"/>
    </row>
    <row r="630">
      <c r="B630" s="68"/>
      <c r="D630" s="69"/>
      <c r="H630" s="70"/>
      <c r="K630" s="70"/>
      <c r="L630" s="71"/>
      <c r="M630" s="72"/>
      <c r="P630" s="72"/>
    </row>
    <row r="631">
      <c r="B631" s="68"/>
      <c r="D631" s="69"/>
      <c r="H631" s="70"/>
      <c r="K631" s="70"/>
      <c r="L631" s="71"/>
      <c r="M631" s="72"/>
      <c r="P631" s="72"/>
    </row>
    <row r="632">
      <c r="B632" s="68"/>
      <c r="D632" s="69"/>
      <c r="H632" s="70"/>
      <c r="K632" s="70"/>
      <c r="L632" s="71"/>
      <c r="M632" s="72"/>
      <c r="P632" s="72"/>
    </row>
    <row r="633">
      <c r="B633" s="68"/>
      <c r="D633" s="69"/>
      <c r="H633" s="70"/>
      <c r="K633" s="70"/>
      <c r="L633" s="71"/>
      <c r="M633" s="72"/>
      <c r="P633" s="72"/>
    </row>
    <row r="634">
      <c r="B634" s="68"/>
      <c r="D634" s="69"/>
      <c r="H634" s="70"/>
      <c r="K634" s="70"/>
      <c r="L634" s="71"/>
      <c r="M634" s="72"/>
      <c r="P634" s="72"/>
    </row>
    <row r="635">
      <c r="B635" s="68"/>
      <c r="D635" s="69"/>
      <c r="H635" s="70"/>
      <c r="K635" s="70"/>
      <c r="L635" s="71"/>
      <c r="M635" s="72"/>
      <c r="P635" s="72"/>
    </row>
    <row r="636">
      <c r="B636" s="68"/>
      <c r="D636" s="69"/>
      <c r="H636" s="70"/>
      <c r="K636" s="70"/>
      <c r="L636" s="71"/>
      <c r="M636" s="72"/>
      <c r="P636" s="72"/>
    </row>
    <row r="637">
      <c r="B637" s="68"/>
      <c r="D637" s="69"/>
      <c r="H637" s="70"/>
      <c r="K637" s="70"/>
      <c r="L637" s="71"/>
      <c r="M637" s="72"/>
      <c r="P637" s="72"/>
    </row>
    <row r="638">
      <c r="B638" s="68"/>
      <c r="D638" s="69"/>
      <c r="H638" s="70"/>
      <c r="K638" s="70"/>
      <c r="L638" s="71"/>
      <c r="M638" s="72"/>
      <c r="P638" s="72"/>
    </row>
    <row r="639">
      <c r="B639" s="68"/>
      <c r="D639" s="69"/>
      <c r="H639" s="70"/>
      <c r="K639" s="70"/>
      <c r="L639" s="71"/>
      <c r="M639" s="72"/>
      <c r="P639" s="72"/>
    </row>
    <row r="640">
      <c r="B640" s="68"/>
      <c r="D640" s="69"/>
      <c r="H640" s="70"/>
      <c r="K640" s="70"/>
      <c r="L640" s="71"/>
      <c r="M640" s="72"/>
      <c r="P640" s="72"/>
    </row>
    <row r="641">
      <c r="B641" s="68"/>
      <c r="D641" s="69"/>
      <c r="H641" s="70"/>
      <c r="K641" s="70"/>
      <c r="L641" s="71"/>
      <c r="M641" s="72"/>
      <c r="P641" s="72"/>
    </row>
    <row r="642">
      <c r="B642" s="68"/>
      <c r="D642" s="69"/>
      <c r="H642" s="70"/>
      <c r="K642" s="70"/>
      <c r="L642" s="71"/>
      <c r="M642" s="72"/>
      <c r="P642" s="72"/>
    </row>
    <row r="643">
      <c r="B643" s="68"/>
      <c r="D643" s="69"/>
      <c r="H643" s="70"/>
      <c r="K643" s="70"/>
      <c r="L643" s="71"/>
      <c r="M643" s="72"/>
      <c r="P643" s="72"/>
    </row>
    <row r="644">
      <c r="B644" s="68"/>
      <c r="D644" s="69"/>
      <c r="H644" s="70"/>
      <c r="K644" s="70"/>
      <c r="L644" s="71"/>
      <c r="M644" s="72"/>
      <c r="P644" s="72"/>
    </row>
    <row r="645">
      <c r="B645" s="68"/>
      <c r="D645" s="69"/>
      <c r="H645" s="70"/>
      <c r="K645" s="70"/>
      <c r="L645" s="71"/>
      <c r="M645" s="72"/>
      <c r="P645" s="72"/>
    </row>
    <row r="646">
      <c r="B646" s="68"/>
      <c r="D646" s="69"/>
      <c r="H646" s="70"/>
      <c r="K646" s="70"/>
      <c r="L646" s="71"/>
      <c r="M646" s="72"/>
      <c r="P646" s="72"/>
    </row>
    <row r="647">
      <c r="B647" s="68"/>
      <c r="D647" s="69"/>
      <c r="H647" s="70"/>
      <c r="K647" s="70"/>
      <c r="L647" s="71"/>
      <c r="M647" s="72"/>
      <c r="P647" s="72"/>
    </row>
    <row r="648">
      <c r="B648" s="68"/>
      <c r="D648" s="69"/>
      <c r="H648" s="70"/>
      <c r="K648" s="70"/>
      <c r="L648" s="71"/>
      <c r="M648" s="72"/>
      <c r="P648" s="72"/>
    </row>
    <row r="649">
      <c r="B649" s="68"/>
      <c r="D649" s="69"/>
      <c r="H649" s="70"/>
      <c r="K649" s="70"/>
      <c r="L649" s="71"/>
      <c r="M649" s="72"/>
      <c r="P649" s="72"/>
    </row>
    <row r="650">
      <c r="B650" s="68"/>
      <c r="D650" s="69"/>
      <c r="H650" s="70"/>
      <c r="K650" s="70"/>
      <c r="L650" s="71"/>
      <c r="M650" s="72"/>
      <c r="P650" s="72"/>
    </row>
    <row r="651">
      <c r="B651" s="68"/>
      <c r="D651" s="69"/>
      <c r="H651" s="70"/>
      <c r="K651" s="70"/>
      <c r="L651" s="71"/>
      <c r="M651" s="72"/>
      <c r="P651" s="72"/>
    </row>
    <row r="652">
      <c r="B652" s="68"/>
      <c r="D652" s="69"/>
      <c r="H652" s="70"/>
      <c r="K652" s="70"/>
      <c r="L652" s="71"/>
      <c r="M652" s="72"/>
      <c r="P652" s="72"/>
    </row>
    <row r="653">
      <c r="B653" s="68"/>
      <c r="D653" s="69"/>
      <c r="H653" s="70"/>
      <c r="K653" s="70"/>
      <c r="L653" s="71"/>
      <c r="M653" s="72"/>
      <c r="P653" s="72"/>
    </row>
    <row r="654">
      <c r="B654" s="68"/>
      <c r="D654" s="69"/>
      <c r="H654" s="70"/>
      <c r="K654" s="70"/>
      <c r="L654" s="71"/>
      <c r="M654" s="72"/>
      <c r="P654" s="72"/>
    </row>
    <row r="655">
      <c r="B655" s="68"/>
      <c r="D655" s="69"/>
      <c r="H655" s="70"/>
      <c r="K655" s="70"/>
      <c r="L655" s="71"/>
      <c r="M655" s="72"/>
      <c r="P655" s="72"/>
    </row>
    <row r="656">
      <c r="B656" s="68"/>
      <c r="D656" s="69"/>
      <c r="H656" s="70"/>
      <c r="K656" s="70"/>
      <c r="L656" s="71"/>
      <c r="M656" s="72"/>
      <c r="P656" s="72"/>
    </row>
    <row r="657">
      <c r="B657" s="68"/>
      <c r="D657" s="69"/>
      <c r="H657" s="70"/>
      <c r="K657" s="70"/>
      <c r="L657" s="71"/>
      <c r="M657" s="72"/>
      <c r="P657" s="72"/>
    </row>
    <row r="658">
      <c r="B658" s="68"/>
      <c r="D658" s="69"/>
      <c r="H658" s="70"/>
      <c r="K658" s="70"/>
      <c r="L658" s="71"/>
      <c r="M658" s="72"/>
      <c r="P658" s="72"/>
    </row>
    <row r="659">
      <c r="B659" s="68"/>
      <c r="D659" s="69"/>
      <c r="H659" s="70"/>
      <c r="K659" s="70"/>
      <c r="L659" s="71"/>
      <c r="M659" s="72"/>
      <c r="P659" s="72"/>
    </row>
    <row r="660">
      <c r="B660" s="68"/>
      <c r="D660" s="69"/>
      <c r="H660" s="70"/>
      <c r="K660" s="70"/>
      <c r="L660" s="71"/>
      <c r="M660" s="72"/>
      <c r="P660" s="72"/>
    </row>
    <row r="661">
      <c r="B661" s="68"/>
      <c r="D661" s="69"/>
      <c r="H661" s="70"/>
      <c r="K661" s="70"/>
      <c r="L661" s="71"/>
      <c r="M661" s="72"/>
      <c r="P661" s="72"/>
    </row>
    <row r="662">
      <c r="B662" s="68"/>
      <c r="D662" s="69"/>
      <c r="H662" s="70"/>
      <c r="K662" s="70"/>
      <c r="L662" s="71"/>
      <c r="M662" s="72"/>
      <c r="P662" s="72"/>
    </row>
    <row r="663">
      <c r="B663" s="68"/>
      <c r="D663" s="69"/>
      <c r="H663" s="70"/>
      <c r="K663" s="70"/>
      <c r="L663" s="71"/>
      <c r="M663" s="72"/>
      <c r="P663" s="72"/>
    </row>
    <row r="664">
      <c r="B664" s="68"/>
      <c r="D664" s="69"/>
      <c r="H664" s="70"/>
      <c r="K664" s="70"/>
      <c r="L664" s="71"/>
      <c r="M664" s="72"/>
      <c r="P664" s="72"/>
    </row>
    <row r="665">
      <c r="B665" s="68"/>
      <c r="D665" s="69"/>
      <c r="H665" s="70"/>
      <c r="K665" s="70"/>
      <c r="L665" s="71"/>
      <c r="M665" s="72"/>
      <c r="P665" s="72"/>
    </row>
    <row r="666">
      <c r="B666" s="68"/>
      <c r="D666" s="69"/>
      <c r="H666" s="70"/>
      <c r="K666" s="70"/>
      <c r="L666" s="71"/>
      <c r="M666" s="72"/>
      <c r="P666" s="72"/>
    </row>
    <row r="667">
      <c r="B667" s="68"/>
      <c r="D667" s="69"/>
      <c r="H667" s="70"/>
      <c r="K667" s="70"/>
      <c r="L667" s="71"/>
      <c r="M667" s="72"/>
      <c r="P667" s="72"/>
    </row>
    <row r="668">
      <c r="B668" s="68"/>
      <c r="D668" s="69"/>
      <c r="H668" s="70"/>
      <c r="K668" s="70"/>
      <c r="L668" s="71"/>
      <c r="M668" s="72"/>
      <c r="P668" s="72"/>
    </row>
    <row r="669">
      <c r="B669" s="68"/>
      <c r="D669" s="69"/>
      <c r="H669" s="70"/>
      <c r="K669" s="70"/>
      <c r="L669" s="71"/>
      <c r="M669" s="72"/>
      <c r="P669" s="72"/>
    </row>
    <row r="670">
      <c r="B670" s="68"/>
      <c r="D670" s="69"/>
      <c r="H670" s="70"/>
      <c r="K670" s="70"/>
      <c r="L670" s="71"/>
      <c r="M670" s="72"/>
      <c r="P670" s="72"/>
    </row>
    <row r="671">
      <c r="B671" s="68"/>
      <c r="D671" s="69"/>
      <c r="H671" s="70"/>
      <c r="K671" s="70"/>
      <c r="L671" s="71"/>
      <c r="M671" s="72"/>
      <c r="P671" s="72"/>
    </row>
    <row r="672">
      <c r="B672" s="68"/>
      <c r="D672" s="69"/>
      <c r="H672" s="70"/>
      <c r="K672" s="70"/>
      <c r="L672" s="71"/>
      <c r="M672" s="72"/>
      <c r="P672" s="72"/>
    </row>
    <row r="673">
      <c r="B673" s="68"/>
      <c r="D673" s="69"/>
      <c r="H673" s="70"/>
      <c r="K673" s="70"/>
      <c r="L673" s="71"/>
      <c r="M673" s="72"/>
      <c r="P673" s="72"/>
    </row>
    <row r="674">
      <c r="B674" s="68"/>
      <c r="D674" s="69"/>
      <c r="H674" s="70"/>
      <c r="K674" s="70"/>
      <c r="L674" s="71"/>
      <c r="M674" s="72"/>
      <c r="P674" s="72"/>
    </row>
    <row r="675">
      <c r="B675" s="68"/>
      <c r="D675" s="69"/>
      <c r="H675" s="70"/>
      <c r="K675" s="70"/>
      <c r="L675" s="71"/>
      <c r="M675" s="72"/>
      <c r="P675" s="72"/>
    </row>
    <row r="676">
      <c r="B676" s="68"/>
      <c r="D676" s="69"/>
      <c r="H676" s="70"/>
      <c r="K676" s="70"/>
      <c r="L676" s="71"/>
      <c r="M676" s="72"/>
      <c r="P676" s="72"/>
    </row>
    <row r="677">
      <c r="B677" s="68"/>
      <c r="D677" s="69"/>
      <c r="H677" s="70"/>
      <c r="K677" s="70"/>
      <c r="L677" s="71"/>
      <c r="M677" s="72"/>
      <c r="P677" s="72"/>
    </row>
    <row r="678">
      <c r="B678" s="68"/>
      <c r="D678" s="69"/>
      <c r="H678" s="70"/>
      <c r="K678" s="70"/>
      <c r="L678" s="71"/>
      <c r="M678" s="72"/>
      <c r="P678" s="72"/>
    </row>
    <row r="679">
      <c r="B679" s="68"/>
      <c r="D679" s="69"/>
      <c r="H679" s="70"/>
      <c r="K679" s="70"/>
      <c r="L679" s="71"/>
      <c r="M679" s="72"/>
      <c r="P679" s="72"/>
    </row>
    <row r="680">
      <c r="B680" s="68"/>
      <c r="D680" s="69"/>
      <c r="H680" s="70"/>
      <c r="K680" s="70"/>
      <c r="L680" s="71"/>
      <c r="M680" s="72"/>
      <c r="P680" s="72"/>
    </row>
    <row r="681">
      <c r="B681" s="68"/>
      <c r="D681" s="69"/>
      <c r="H681" s="70"/>
      <c r="K681" s="70"/>
      <c r="L681" s="71"/>
      <c r="M681" s="72"/>
      <c r="P681" s="72"/>
    </row>
    <row r="682">
      <c r="B682" s="68"/>
      <c r="D682" s="69"/>
      <c r="H682" s="70"/>
      <c r="K682" s="70"/>
      <c r="L682" s="71"/>
      <c r="M682" s="72"/>
      <c r="P682" s="72"/>
    </row>
    <row r="683">
      <c r="B683" s="68"/>
      <c r="D683" s="69"/>
      <c r="H683" s="70"/>
      <c r="K683" s="70"/>
      <c r="L683" s="71"/>
      <c r="M683" s="72"/>
      <c r="P683" s="72"/>
    </row>
    <row r="684">
      <c r="B684" s="68"/>
      <c r="D684" s="69"/>
      <c r="H684" s="70"/>
      <c r="K684" s="70"/>
      <c r="L684" s="71"/>
      <c r="M684" s="72"/>
      <c r="P684" s="72"/>
    </row>
    <row r="685">
      <c r="B685" s="68"/>
      <c r="D685" s="69"/>
      <c r="H685" s="70"/>
      <c r="K685" s="70"/>
      <c r="L685" s="71"/>
      <c r="M685" s="72"/>
      <c r="P685" s="72"/>
    </row>
    <row r="686">
      <c r="B686" s="68"/>
      <c r="D686" s="69"/>
      <c r="H686" s="70"/>
      <c r="K686" s="70"/>
      <c r="L686" s="71"/>
      <c r="M686" s="72"/>
      <c r="P686" s="72"/>
    </row>
    <row r="687">
      <c r="B687" s="68"/>
      <c r="D687" s="69"/>
      <c r="H687" s="70"/>
      <c r="K687" s="70"/>
      <c r="L687" s="71"/>
      <c r="M687" s="72"/>
      <c r="P687" s="72"/>
    </row>
    <row r="688">
      <c r="B688" s="68"/>
      <c r="D688" s="69"/>
      <c r="H688" s="70"/>
      <c r="K688" s="70"/>
      <c r="L688" s="71"/>
      <c r="M688" s="72"/>
      <c r="P688" s="72"/>
    </row>
    <row r="689">
      <c r="B689" s="68"/>
      <c r="D689" s="69"/>
      <c r="H689" s="70"/>
      <c r="K689" s="70"/>
      <c r="L689" s="71"/>
      <c r="M689" s="72"/>
      <c r="P689" s="72"/>
    </row>
    <row r="690">
      <c r="B690" s="68"/>
      <c r="D690" s="69"/>
      <c r="H690" s="70"/>
      <c r="K690" s="70"/>
      <c r="L690" s="71"/>
      <c r="M690" s="72"/>
      <c r="P690" s="72"/>
    </row>
    <row r="691">
      <c r="B691" s="68"/>
      <c r="D691" s="69"/>
      <c r="H691" s="70"/>
      <c r="K691" s="70"/>
      <c r="L691" s="71"/>
      <c r="M691" s="72"/>
      <c r="P691" s="72"/>
    </row>
    <row r="692">
      <c r="B692" s="68"/>
      <c r="D692" s="69"/>
      <c r="H692" s="70"/>
      <c r="K692" s="70"/>
      <c r="L692" s="71"/>
      <c r="M692" s="72"/>
      <c r="P692" s="72"/>
    </row>
    <row r="693">
      <c r="B693" s="68"/>
      <c r="D693" s="69"/>
      <c r="H693" s="70"/>
      <c r="K693" s="70"/>
      <c r="L693" s="71"/>
      <c r="M693" s="72"/>
      <c r="P693" s="72"/>
    </row>
    <row r="694">
      <c r="B694" s="68"/>
      <c r="D694" s="69"/>
      <c r="H694" s="70"/>
      <c r="K694" s="70"/>
      <c r="L694" s="71"/>
      <c r="M694" s="72"/>
      <c r="P694" s="72"/>
    </row>
    <row r="695">
      <c r="B695" s="68"/>
      <c r="D695" s="69"/>
      <c r="H695" s="70"/>
      <c r="K695" s="70"/>
      <c r="L695" s="71"/>
      <c r="M695" s="72"/>
      <c r="P695" s="72"/>
    </row>
    <row r="696">
      <c r="B696" s="68"/>
      <c r="D696" s="69"/>
      <c r="H696" s="70"/>
      <c r="K696" s="70"/>
      <c r="L696" s="71"/>
      <c r="M696" s="72"/>
      <c r="P696" s="72"/>
    </row>
    <row r="697">
      <c r="B697" s="68"/>
      <c r="D697" s="69"/>
      <c r="H697" s="70"/>
      <c r="K697" s="70"/>
      <c r="L697" s="71"/>
      <c r="M697" s="72"/>
      <c r="P697" s="72"/>
    </row>
    <row r="698">
      <c r="B698" s="68"/>
      <c r="D698" s="69"/>
      <c r="H698" s="70"/>
      <c r="K698" s="70"/>
      <c r="L698" s="71"/>
      <c r="M698" s="72"/>
      <c r="P698" s="72"/>
    </row>
    <row r="699">
      <c r="B699" s="68"/>
      <c r="D699" s="69"/>
      <c r="H699" s="70"/>
      <c r="K699" s="70"/>
      <c r="L699" s="71"/>
      <c r="M699" s="72"/>
      <c r="P699" s="72"/>
    </row>
    <row r="700">
      <c r="B700" s="68"/>
      <c r="D700" s="69"/>
      <c r="H700" s="70"/>
      <c r="K700" s="70"/>
      <c r="L700" s="71"/>
      <c r="M700" s="72"/>
      <c r="P700" s="72"/>
    </row>
    <row r="701">
      <c r="B701" s="68"/>
      <c r="D701" s="69"/>
      <c r="H701" s="70"/>
      <c r="K701" s="70"/>
      <c r="L701" s="71"/>
      <c r="M701" s="72"/>
      <c r="P701" s="72"/>
    </row>
    <row r="702">
      <c r="B702" s="68"/>
      <c r="D702" s="69"/>
      <c r="H702" s="70"/>
      <c r="K702" s="70"/>
      <c r="L702" s="71"/>
      <c r="M702" s="72"/>
      <c r="P702" s="72"/>
    </row>
    <row r="703">
      <c r="B703" s="68"/>
      <c r="D703" s="69"/>
      <c r="H703" s="70"/>
      <c r="K703" s="70"/>
      <c r="L703" s="71"/>
      <c r="M703" s="72"/>
      <c r="P703" s="72"/>
    </row>
    <row r="704">
      <c r="B704" s="68"/>
      <c r="D704" s="69"/>
      <c r="H704" s="70"/>
      <c r="K704" s="70"/>
      <c r="L704" s="71"/>
      <c r="M704" s="72"/>
      <c r="P704" s="72"/>
    </row>
    <row r="705">
      <c r="B705" s="68"/>
      <c r="D705" s="69"/>
      <c r="H705" s="70"/>
      <c r="K705" s="70"/>
      <c r="L705" s="71"/>
      <c r="M705" s="72"/>
      <c r="P705" s="72"/>
    </row>
    <row r="706">
      <c r="B706" s="68"/>
      <c r="D706" s="69"/>
      <c r="H706" s="70"/>
      <c r="K706" s="70"/>
      <c r="L706" s="71"/>
      <c r="M706" s="72"/>
      <c r="P706" s="72"/>
    </row>
    <row r="707">
      <c r="B707" s="68"/>
      <c r="D707" s="69"/>
      <c r="H707" s="70"/>
      <c r="K707" s="70"/>
      <c r="L707" s="71"/>
      <c r="M707" s="72"/>
      <c r="P707" s="72"/>
    </row>
    <row r="708">
      <c r="B708" s="68"/>
      <c r="D708" s="69"/>
      <c r="H708" s="70"/>
      <c r="K708" s="70"/>
      <c r="L708" s="71"/>
      <c r="M708" s="72"/>
      <c r="P708" s="72"/>
    </row>
    <row r="709">
      <c r="B709" s="68"/>
      <c r="D709" s="69"/>
      <c r="H709" s="70"/>
      <c r="K709" s="70"/>
      <c r="L709" s="71"/>
      <c r="M709" s="72"/>
      <c r="P709" s="72"/>
    </row>
    <row r="710">
      <c r="B710" s="68"/>
      <c r="D710" s="69"/>
      <c r="H710" s="70"/>
      <c r="K710" s="70"/>
      <c r="L710" s="71"/>
      <c r="M710" s="72"/>
      <c r="P710" s="72"/>
    </row>
    <row r="711">
      <c r="B711" s="68"/>
      <c r="D711" s="69"/>
      <c r="H711" s="70"/>
      <c r="K711" s="70"/>
      <c r="L711" s="71"/>
      <c r="M711" s="72"/>
      <c r="P711" s="72"/>
    </row>
    <row r="712">
      <c r="B712" s="68"/>
      <c r="D712" s="69"/>
      <c r="H712" s="70"/>
      <c r="K712" s="70"/>
      <c r="L712" s="71"/>
      <c r="M712" s="72"/>
      <c r="P712" s="72"/>
    </row>
    <row r="713">
      <c r="B713" s="68"/>
      <c r="D713" s="69"/>
      <c r="H713" s="70"/>
      <c r="K713" s="70"/>
      <c r="L713" s="71"/>
      <c r="M713" s="72"/>
      <c r="P713" s="72"/>
    </row>
    <row r="714">
      <c r="B714" s="68"/>
      <c r="D714" s="69"/>
      <c r="H714" s="70"/>
      <c r="K714" s="70"/>
      <c r="L714" s="71"/>
      <c r="M714" s="72"/>
      <c r="P714" s="72"/>
    </row>
    <row r="715">
      <c r="B715" s="68"/>
      <c r="D715" s="69"/>
      <c r="H715" s="70"/>
      <c r="K715" s="70"/>
      <c r="L715" s="71"/>
      <c r="M715" s="72"/>
      <c r="P715" s="72"/>
    </row>
    <row r="716">
      <c r="B716" s="68"/>
      <c r="D716" s="69"/>
      <c r="H716" s="70"/>
      <c r="K716" s="70"/>
      <c r="L716" s="71"/>
      <c r="M716" s="72"/>
      <c r="P716" s="72"/>
    </row>
    <row r="717">
      <c r="B717" s="68"/>
      <c r="D717" s="69"/>
      <c r="H717" s="70"/>
      <c r="K717" s="70"/>
      <c r="L717" s="71"/>
      <c r="M717" s="72"/>
      <c r="P717" s="72"/>
    </row>
    <row r="718">
      <c r="B718" s="68"/>
      <c r="D718" s="69"/>
      <c r="H718" s="70"/>
      <c r="K718" s="70"/>
      <c r="L718" s="71"/>
      <c r="M718" s="72"/>
      <c r="P718" s="72"/>
    </row>
    <row r="719">
      <c r="B719" s="68"/>
      <c r="D719" s="69"/>
      <c r="H719" s="70"/>
      <c r="K719" s="70"/>
      <c r="L719" s="71"/>
      <c r="M719" s="72"/>
      <c r="P719" s="72"/>
    </row>
    <row r="720">
      <c r="B720" s="68"/>
      <c r="D720" s="69"/>
      <c r="H720" s="70"/>
      <c r="K720" s="70"/>
      <c r="L720" s="71"/>
      <c r="M720" s="72"/>
      <c r="P720" s="72"/>
    </row>
    <row r="721">
      <c r="B721" s="68"/>
      <c r="D721" s="69"/>
      <c r="H721" s="70"/>
      <c r="K721" s="70"/>
      <c r="L721" s="71"/>
      <c r="M721" s="72"/>
      <c r="P721" s="72"/>
    </row>
    <row r="722">
      <c r="B722" s="68"/>
      <c r="D722" s="69"/>
      <c r="H722" s="70"/>
      <c r="K722" s="70"/>
      <c r="L722" s="71"/>
      <c r="M722" s="72"/>
      <c r="P722" s="72"/>
    </row>
    <row r="723">
      <c r="B723" s="68"/>
      <c r="D723" s="69"/>
      <c r="H723" s="70"/>
      <c r="K723" s="70"/>
      <c r="L723" s="71"/>
      <c r="M723" s="72"/>
      <c r="P723" s="72"/>
    </row>
    <row r="724">
      <c r="B724" s="68"/>
      <c r="D724" s="69"/>
      <c r="H724" s="70"/>
      <c r="K724" s="70"/>
      <c r="L724" s="71"/>
      <c r="M724" s="72"/>
      <c r="P724" s="72"/>
    </row>
    <row r="725">
      <c r="B725" s="68"/>
      <c r="D725" s="69"/>
      <c r="H725" s="70"/>
      <c r="K725" s="70"/>
      <c r="L725" s="71"/>
      <c r="M725" s="72"/>
      <c r="P725" s="72"/>
    </row>
    <row r="726">
      <c r="B726" s="68"/>
      <c r="D726" s="69"/>
      <c r="H726" s="70"/>
      <c r="K726" s="70"/>
      <c r="L726" s="71"/>
      <c r="M726" s="72"/>
      <c r="P726" s="72"/>
    </row>
    <row r="727">
      <c r="B727" s="68"/>
      <c r="D727" s="69"/>
      <c r="H727" s="70"/>
      <c r="K727" s="70"/>
      <c r="L727" s="71"/>
      <c r="M727" s="72"/>
      <c r="P727" s="72"/>
    </row>
    <row r="728">
      <c r="B728" s="68"/>
      <c r="D728" s="69"/>
      <c r="H728" s="70"/>
      <c r="K728" s="70"/>
      <c r="L728" s="71"/>
      <c r="M728" s="72"/>
      <c r="P728" s="72"/>
    </row>
    <row r="729">
      <c r="B729" s="68"/>
      <c r="D729" s="69"/>
      <c r="H729" s="70"/>
      <c r="K729" s="70"/>
      <c r="L729" s="71"/>
      <c r="M729" s="72"/>
      <c r="P729" s="72"/>
    </row>
    <row r="730">
      <c r="B730" s="68"/>
      <c r="D730" s="69"/>
      <c r="H730" s="70"/>
      <c r="K730" s="70"/>
      <c r="L730" s="71"/>
      <c r="M730" s="72"/>
      <c r="P730" s="72"/>
    </row>
    <row r="731">
      <c r="B731" s="68"/>
      <c r="D731" s="69"/>
      <c r="H731" s="70"/>
      <c r="K731" s="70"/>
      <c r="L731" s="71"/>
      <c r="M731" s="72"/>
      <c r="P731" s="72"/>
    </row>
    <row r="732">
      <c r="B732" s="68"/>
      <c r="D732" s="69"/>
      <c r="H732" s="70"/>
      <c r="K732" s="70"/>
      <c r="L732" s="71"/>
      <c r="M732" s="72"/>
      <c r="P732" s="72"/>
    </row>
    <row r="733">
      <c r="B733" s="68"/>
      <c r="D733" s="69"/>
      <c r="H733" s="70"/>
      <c r="K733" s="70"/>
      <c r="L733" s="71"/>
      <c r="M733" s="72"/>
      <c r="P733" s="72"/>
    </row>
    <row r="734">
      <c r="B734" s="68"/>
      <c r="D734" s="69"/>
      <c r="H734" s="70"/>
      <c r="K734" s="70"/>
      <c r="L734" s="71"/>
      <c r="M734" s="72"/>
      <c r="P734" s="72"/>
    </row>
    <row r="735">
      <c r="B735" s="68"/>
      <c r="D735" s="69"/>
      <c r="H735" s="70"/>
      <c r="K735" s="70"/>
      <c r="L735" s="71"/>
      <c r="M735" s="72"/>
      <c r="P735" s="72"/>
    </row>
    <row r="736">
      <c r="B736" s="68"/>
      <c r="D736" s="69"/>
      <c r="H736" s="70"/>
      <c r="K736" s="70"/>
      <c r="L736" s="71"/>
      <c r="M736" s="72"/>
      <c r="P736" s="72"/>
    </row>
    <row r="737">
      <c r="B737" s="68"/>
      <c r="D737" s="69"/>
      <c r="H737" s="70"/>
      <c r="K737" s="70"/>
      <c r="L737" s="71"/>
      <c r="M737" s="72"/>
      <c r="P737" s="72"/>
    </row>
    <row r="738">
      <c r="B738" s="68"/>
      <c r="D738" s="69"/>
      <c r="H738" s="70"/>
      <c r="K738" s="70"/>
      <c r="L738" s="71"/>
      <c r="M738" s="72"/>
      <c r="P738" s="72"/>
    </row>
    <row r="739">
      <c r="B739" s="68"/>
      <c r="D739" s="69"/>
      <c r="H739" s="70"/>
      <c r="K739" s="70"/>
      <c r="L739" s="71"/>
      <c r="M739" s="72"/>
      <c r="P739" s="72"/>
    </row>
    <row r="740">
      <c r="B740" s="68"/>
      <c r="D740" s="69"/>
      <c r="H740" s="70"/>
      <c r="K740" s="70"/>
      <c r="L740" s="71"/>
      <c r="M740" s="72"/>
      <c r="P740" s="72"/>
    </row>
    <row r="741">
      <c r="B741" s="68"/>
      <c r="D741" s="69"/>
      <c r="H741" s="70"/>
      <c r="K741" s="70"/>
      <c r="L741" s="71"/>
      <c r="M741" s="72"/>
      <c r="P741" s="72"/>
    </row>
    <row r="742">
      <c r="B742" s="68"/>
      <c r="D742" s="69"/>
      <c r="H742" s="70"/>
      <c r="K742" s="70"/>
      <c r="L742" s="71"/>
      <c r="M742" s="72"/>
      <c r="P742" s="72"/>
    </row>
    <row r="743">
      <c r="B743" s="68"/>
      <c r="D743" s="69"/>
      <c r="H743" s="70"/>
      <c r="K743" s="70"/>
      <c r="L743" s="71"/>
      <c r="M743" s="72"/>
      <c r="P743" s="72"/>
    </row>
    <row r="744">
      <c r="B744" s="68"/>
      <c r="D744" s="69"/>
      <c r="H744" s="70"/>
      <c r="K744" s="70"/>
      <c r="L744" s="71"/>
      <c r="M744" s="72"/>
      <c r="P744" s="72"/>
    </row>
    <row r="745">
      <c r="B745" s="68"/>
      <c r="D745" s="69"/>
      <c r="H745" s="70"/>
      <c r="K745" s="70"/>
      <c r="L745" s="71"/>
      <c r="M745" s="72"/>
      <c r="P745" s="72"/>
    </row>
    <row r="746">
      <c r="B746" s="68"/>
      <c r="D746" s="69"/>
      <c r="H746" s="70"/>
      <c r="K746" s="70"/>
      <c r="L746" s="71"/>
      <c r="M746" s="72"/>
      <c r="P746" s="72"/>
    </row>
    <row r="747">
      <c r="B747" s="68"/>
      <c r="D747" s="69"/>
      <c r="H747" s="70"/>
      <c r="K747" s="70"/>
      <c r="L747" s="71"/>
      <c r="M747" s="72"/>
      <c r="P747" s="72"/>
    </row>
    <row r="748">
      <c r="B748" s="68"/>
      <c r="D748" s="69"/>
      <c r="H748" s="70"/>
      <c r="K748" s="70"/>
      <c r="L748" s="71"/>
      <c r="M748" s="72"/>
      <c r="P748" s="72"/>
    </row>
    <row r="749">
      <c r="B749" s="68"/>
      <c r="D749" s="69"/>
      <c r="H749" s="70"/>
      <c r="K749" s="70"/>
      <c r="L749" s="71"/>
      <c r="M749" s="72"/>
      <c r="P749" s="72"/>
    </row>
    <row r="750">
      <c r="B750" s="68"/>
      <c r="D750" s="69"/>
      <c r="H750" s="70"/>
      <c r="K750" s="70"/>
      <c r="L750" s="71"/>
      <c r="M750" s="72"/>
      <c r="P750" s="72"/>
    </row>
    <row r="751">
      <c r="B751" s="68"/>
      <c r="D751" s="69"/>
      <c r="H751" s="70"/>
      <c r="K751" s="70"/>
      <c r="L751" s="71"/>
      <c r="M751" s="72"/>
      <c r="P751" s="72"/>
    </row>
    <row r="752">
      <c r="B752" s="68"/>
      <c r="D752" s="69"/>
      <c r="H752" s="70"/>
      <c r="K752" s="70"/>
      <c r="L752" s="71"/>
      <c r="M752" s="72"/>
      <c r="P752" s="72"/>
    </row>
    <row r="753">
      <c r="B753" s="68"/>
      <c r="D753" s="69"/>
      <c r="H753" s="70"/>
      <c r="K753" s="70"/>
      <c r="L753" s="71"/>
      <c r="M753" s="72"/>
      <c r="P753" s="72"/>
    </row>
    <row r="754">
      <c r="B754" s="68"/>
      <c r="D754" s="69"/>
      <c r="H754" s="70"/>
      <c r="K754" s="70"/>
      <c r="L754" s="71"/>
      <c r="M754" s="72"/>
      <c r="P754" s="72"/>
    </row>
    <row r="755">
      <c r="B755" s="68"/>
      <c r="D755" s="69"/>
      <c r="H755" s="70"/>
      <c r="K755" s="70"/>
      <c r="L755" s="71"/>
      <c r="M755" s="72"/>
      <c r="P755" s="72"/>
    </row>
    <row r="756">
      <c r="B756" s="68"/>
      <c r="D756" s="69"/>
      <c r="H756" s="70"/>
      <c r="K756" s="70"/>
      <c r="L756" s="71"/>
      <c r="M756" s="72"/>
      <c r="P756" s="72"/>
    </row>
    <row r="757">
      <c r="B757" s="68"/>
      <c r="D757" s="69"/>
      <c r="H757" s="70"/>
      <c r="K757" s="70"/>
      <c r="L757" s="71"/>
      <c r="M757" s="72"/>
      <c r="P757" s="72"/>
    </row>
    <row r="758">
      <c r="B758" s="68"/>
      <c r="D758" s="69"/>
      <c r="H758" s="70"/>
      <c r="K758" s="70"/>
      <c r="L758" s="71"/>
      <c r="M758" s="72"/>
      <c r="P758" s="72"/>
    </row>
    <row r="759">
      <c r="B759" s="68"/>
      <c r="D759" s="69"/>
      <c r="H759" s="70"/>
      <c r="K759" s="70"/>
      <c r="L759" s="71"/>
      <c r="M759" s="72"/>
      <c r="P759" s="72"/>
    </row>
    <row r="760">
      <c r="B760" s="68"/>
      <c r="D760" s="69"/>
      <c r="H760" s="70"/>
      <c r="K760" s="70"/>
      <c r="L760" s="71"/>
      <c r="M760" s="72"/>
      <c r="P760" s="72"/>
    </row>
    <row r="761">
      <c r="B761" s="68"/>
      <c r="D761" s="69"/>
      <c r="H761" s="70"/>
      <c r="K761" s="70"/>
      <c r="L761" s="71"/>
      <c r="M761" s="72"/>
      <c r="P761" s="72"/>
    </row>
    <row r="762">
      <c r="B762" s="68"/>
      <c r="D762" s="69"/>
      <c r="H762" s="70"/>
      <c r="K762" s="70"/>
      <c r="L762" s="71"/>
      <c r="M762" s="72"/>
      <c r="P762" s="72"/>
    </row>
    <row r="763">
      <c r="B763" s="68"/>
      <c r="D763" s="69"/>
      <c r="H763" s="70"/>
      <c r="K763" s="70"/>
      <c r="L763" s="71"/>
      <c r="M763" s="72"/>
      <c r="P763" s="72"/>
    </row>
    <row r="764">
      <c r="B764" s="68"/>
      <c r="D764" s="69"/>
      <c r="H764" s="70"/>
      <c r="K764" s="70"/>
      <c r="L764" s="71"/>
      <c r="M764" s="72"/>
      <c r="P764" s="72"/>
    </row>
    <row r="765">
      <c r="B765" s="68"/>
      <c r="D765" s="69"/>
      <c r="H765" s="70"/>
      <c r="K765" s="70"/>
      <c r="L765" s="71"/>
      <c r="M765" s="72"/>
      <c r="P765" s="72"/>
    </row>
    <row r="766">
      <c r="B766" s="68"/>
      <c r="D766" s="69"/>
      <c r="H766" s="70"/>
      <c r="K766" s="70"/>
      <c r="L766" s="71"/>
      <c r="M766" s="72"/>
      <c r="P766" s="72"/>
    </row>
    <row r="767">
      <c r="B767" s="68"/>
      <c r="D767" s="69"/>
      <c r="H767" s="70"/>
      <c r="K767" s="70"/>
      <c r="L767" s="71"/>
      <c r="M767" s="72"/>
      <c r="P767" s="72"/>
    </row>
    <row r="768">
      <c r="B768" s="68"/>
      <c r="D768" s="69"/>
      <c r="H768" s="70"/>
      <c r="K768" s="70"/>
      <c r="L768" s="71"/>
      <c r="M768" s="72"/>
      <c r="P768" s="72"/>
    </row>
    <row r="769">
      <c r="B769" s="68"/>
      <c r="D769" s="69"/>
      <c r="H769" s="70"/>
      <c r="K769" s="70"/>
      <c r="L769" s="71"/>
      <c r="M769" s="72"/>
      <c r="P769" s="72"/>
    </row>
    <row r="770">
      <c r="B770" s="68"/>
      <c r="D770" s="69"/>
      <c r="H770" s="70"/>
      <c r="K770" s="70"/>
      <c r="L770" s="71"/>
      <c r="M770" s="72"/>
      <c r="P770" s="72"/>
    </row>
    <row r="771">
      <c r="B771" s="68"/>
      <c r="D771" s="69"/>
      <c r="H771" s="70"/>
      <c r="K771" s="70"/>
      <c r="L771" s="71"/>
      <c r="M771" s="72"/>
      <c r="P771" s="72"/>
    </row>
    <row r="772">
      <c r="B772" s="68"/>
      <c r="D772" s="69"/>
      <c r="H772" s="70"/>
      <c r="K772" s="70"/>
      <c r="L772" s="71"/>
      <c r="M772" s="72"/>
      <c r="P772" s="72"/>
    </row>
    <row r="773">
      <c r="B773" s="68"/>
      <c r="D773" s="69"/>
      <c r="H773" s="70"/>
      <c r="K773" s="70"/>
      <c r="L773" s="71"/>
      <c r="M773" s="72"/>
      <c r="P773" s="72"/>
    </row>
    <row r="774">
      <c r="B774" s="68"/>
      <c r="D774" s="69"/>
      <c r="H774" s="70"/>
      <c r="K774" s="70"/>
      <c r="L774" s="71"/>
      <c r="M774" s="72"/>
      <c r="P774" s="72"/>
    </row>
    <row r="775">
      <c r="B775" s="68"/>
      <c r="D775" s="69"/>
      <c r="H775" s="70"/>
      <c r="K775" s="70"/>
      <c r="L775" s="71"/>
      <c r="M775" s="72"/>
      <c r="P775" s="72"/>
    </row>
    <row r="776">
      <c r="B776" s="68"/>
      <c r="D776" s="69"/>
      <c r="H776" s="70"/>
      <c r="K776" s="70"/>
      <c r="L776" s="71"/>
      <c r="M776" s="72"/>
      <c r="P776" s="72"/>
    </row>
    <row r="777">
      <c r="B777" s="68"/>
      <c r="D777" s="69"/>
      <c r="H777" s="70"/>
      <c r="K777" s="70"/>
      <c r="L777" s="71"/>
      <c r="M777" s="72"/>
      <c r="P777" s="72"/>
    </row>
    <row r="778">
      <c r="B778" s="68"/>
      <c r="D778" s="69"/>
      <c r="H778" s="70"/>
      <c r="K778" s="70"/>
      <c r="L778" s="71"/>
      <c r="M778" s="72"/>
      <c r="P778" s="72"/>
    </row>
    <row r="779">
      <c r="B779" s="68"/>
      <c r="D779" s="69"/>
      <c r="H779" s="70"/>
      <c r="K779" s="70"/>
      <c r="L779" s="71"/>
      <c r="M779" s="72"/>
      <c r="P779" s="72"/>
    </row>
    <row r="780">
      <c r="B780" s="68"/>
      <c r="D780" s="69"/>
      <c r="H780" s="70"/>
      <c r="K780" s="70"/>
      <c r="L780" s="71"/>
      <c r="M780" s="72"/>
      <c r="P780" s="72"/>
    </row>
    <row r="781">
      <c r="B781" s="68"/>
      <c r="D781" s="69"/>
      <c r="H781" s="70"/>
      <c r="K781" s="70"/>
      <c r="L781" s="71"/>
      <c r="M781" s="72"/>
      <c r="P781" s="72"/>
    </row>
    <row r="782">
      <c r="B782" s="68"/>
      <c r="D782" s="69"/>
      <c r="H782" s="70"/>
      <c r="K782" s="70"/>
      <c r="L782" s="71"/>
      <c r="M782" s="72"/>
      <c r="P782" s="72"/>
    </row>
    <row r="783">
      <c r="B783" s="68"/>
      <c r="D783" s="69"/>
      <c r="H783" s="70"/>
      <c r="K783" s="70"/>
      <c r="L783" s="71"/>
      <c r="M783" s="72"/>
      <c r="P783" s="72"/>
    </row>
    <row r="784">
      <c r="B784" s="68"/>
      <c r="D784" s="69"/>
      <c r="H784" s="70"/>
      <c r="K784" s="70"/>
      <c r="L784" s="71"/>
      <c r="M784" s="72"/>
      <c r="P784" s="72"/>
    </row>
    <row r="785">
      <c r="B785" s="68"/>
      <c r="D785" s="69"/>
      <c r="H785" s="70"/>
      <c r="K785" s="70"/>
      <c r="L785" s="71"/>
      <c r="M785" s="72"/>
      <c r="P785" s="72"/>
    </row>
    <row r="786">
      <c r="B786" s="68"/>
      <c r="D786" s="69"/>
      <c r="H786" s="70"/>
      <c r="K786" s="70"/>
      <c r="L786" s="71"/>
      <c r="M786" s="72"/>
      <c r="P786" s="72"/>
    </row>
    <row r="787">
      <c r="B787" s="68"/>
      <c r="D787" s="69"/>
      <c r="H787" s="70"/>
      <c r="K787" s="70"/>
      <c r="L787" s="71"/>
      <c r="M787" s="72"/>
      <c r="P787" s="72"/>
    </row>
    <row r="788">
      <c r="B788" s="68"/>
      <c r="D788" s="69"/>
      <c r="H788" s="70"/>
      <c r="K788" s="70"/>
      <c r="L788" s="71"/>
      <c r="M788" s="72"/>
      <c r="P788" s="72"/>
    </row>
    <row r="789">
      <c r="B789" s="68"/>
      <c r="D789" s="69"/>
      <c r="H789" s="70"/>
      <c r="K789" s="70"/>
      <c r="L789" s="71"/>
      <c r="M789" s="72"/>
      <c r="P789" s="72"/>
    </row>
    <row r="790">
      <c r="B790" s="68"/>
      <c r="D790" s="69"/>
      <c r="H790" s="70"/>
      <c r="K790" s="70"/>
      <c r="L790" s="71"/>
      <c r="M790" s="72"/>
      <c r="P790" s="72"/>
    </row>
    <row r="791">
      <c r="B791" s="68"/>
      <c r="D791" s="69"/>
      <c r="H791" s="70"/>
      <c r="K791" s="70"/>
      <c r="L791" s="71"/>
      <c r="M791" s="72"/>
      <c r="P791" s="72"/>
    </row>
    <row r="792">
      <c r="B792" s="68"/>
      <c r="D792" s="69"/>
      <c r="H792" s="70"/>
      <c r="K792" s="70"/>
      <c r="L792" s="71"/>
      <c r="M792" s="72"/>
      <c r="P792" s="72"/>
    </row>
    <row r="793">
      <c r="B793" s="68"/>
      <c r="D793" s="69"/>
      <c r="H793" s="70"/>
      <c r="K793" s="70"/>
      <c r="L793" s="71"/>
      <c r="M793" s="72"/>
      <c r="P793" s="72"/>
    </row>
    <row r="794">
      <c r="B794" s="68"/>
      <c r="D794" s="69"/>
      <c r="H794" s="70"/>
      <c r="K794" s="70"/>
      <c r="L794" s="71"/>
      <c r="M794" s="72"/>
      <c r="P794" s="72"/>
    </row>
    <row r="795">
      <c r="B795" s="68"/>
      <c r="D795" s="69"/>
      <c r="H795" s="70"/>
      <c r="K795" s="70"/>
      <c r="L795" s="71"/>
      <c r="M795" s="72"/>
      <c r="P795" s="72"/>
    </row>
    <row r="796">
      <c r="B796" s="68"/>
      <c r="D796" s="69"/>
      <c r="H796" s="70"/>
      <c r="K796" s="70"/>
      <c r="L796" s="71"/>
      <c r="M796" s="72"/>
      <c r="P796" s="72"/>
    </row>
    <row r="797">
      <c r="B797" s="68"/>
      <c r="D797" s="69"/>
      <c r="H797" s="70"/>
      <c r="K797" s="70"/>
      <c r="L797" s="71"/>
      <c r="M797" s="72"/>
      <c r="P797" s="72"/>
    </row>
    <row r="798">
      <c r="B798" s="68"/>
      <c r="D798" s="69"/>
      <c r="H798" s="70"/>
      <c r="K798" s="70"/>
      <c r="L798" s="71"/>
      <c r="M798" s="72"/>
      <c r="P798" s="72"/>
    </row>
    <row r="799">
      <c r="B799" s="68"/>
      <c r="D799" s="69"/>
      <c r="H799" s="70"/>
      <c r="K799" s="70"/>
      <c r="L799" s="71"/>
      <c r="M799" s="72"/>
      <c r="P799" s="72"/>
    </row>
    <row r="800">
      <c r="B800" s="68"/>
      <c r="D800" s="69"/>
      <c r="H800" s="70"/>
      <c r="K800" s="70"/>
      <c r="L800" s="71"/>
      <c r="M800" s="72"/>
      <c r="P800" s="72"/>
    </row>
    <row r="801">
      <c r="B801" s="68"/>
      <c r="D801" s="69"/>
      <c r="H801" s="70"/>
      <c r="K801" s="70"/>
      <c r="L801" s="71"/>
      <c r="M801" s="72"/>
      <c r="P801" s="72"/>
    </row>
    <row r="802">
      <c r="B802" s="68"/>
      <c r="D802" s="69"/>
      <c r="H802" s="70"/>
      <c r="K802" s="70"/>
      <c r="L802" s="71"/>
      <c r="M802" s="72"/>
      <c r="P802" s="72"/>
    </row>
    <row r="803">
      <c r="B803" s="68"/>
      <c r="D803" s="69"/>
      <c r="H803" s="70"/>
      <c r="K803" s="70"/>
      <c r="L803" s="71"/>
      <c r="M803" s="72"/>
      <c r="P803" s="72"/>
    </row>
    <row r="804">
      <c r="B804" s="68"/>
      <c r="D804" s="69"/>
      <c r="H804" s="70"/>
      <c r="K804" s="70"/>
      <c r="L804" s="71"/>
      <c r="M804" s="72"/>
      <c r="P804" s="72"/>
    </row>
    <row r="805">
      <c r="B805" s="68"/>
      <c r="D805" s="69"/>
      <c r="H805" s="70"/>
      <c r="K805" s="70"/>
      <c r="L805" s="71"/>
      <c r="M805" s="72"/>
      <c r="P805" s="72"/>
    </row>
    <row r="806">
      <c r="B806" s="68"/>
      <c r="D806" s="69"/>
      <c r="H806" s="70"/>
      <c r="K806" s="70"/>
      <c r="L806" s="71"/>
      <c r="M806" s="72"/>
      <c r="P806" s="72"/>
    </row>
    <row r="807">
      <c r="B807" s="68"/>
      <c r="D807" s="69"/>
      <c r="H807" s="70"/>
      <c r="K807" s="70"/>
      <c r="L807" s="71"/>
      <c r="M807" s="72"/>
      <c r="P807" s="72"/>
    </row>
    <row r="808">
      <c r="B808" s="68"/>
      <c r="D808" s="69"/>
      <c r="H808" s="70"/>
      <c r="K808" s="70"/>
      <c r="L808" s="71"/>
      <c r="M808" s="72"/>
      <c r="P808" s="72"/>
    </row>
    <row r="809">
      <c r="B809" s="68"/>
      <c r="D809" s="69"/>
      <c r="H809" s="70"/>
      <c r="K809" s="70"/>
      <c r="L809" s="71"/>
      <c r="M809" s="72"/>
      <c r="P809" s="72"/>
    </row>
    <row r="810">
      <c r="B810" s="68"/>
      <c r="D810" s="69"/>
      <c r="H810" s="70"/>
      <c r="K810" s="70"/>
      <c r="L810" s="71"/>
      <c r="M810" s="72"/>
      <c r="P810" s="72"/>
    </row>
    <row r="811">
      <c r="B811" s="68"/>
      <c r="D811" s="69"/>
      <c r="H811" s="70"/>
      <c r="K811" s="70"/>
      <c r="L811" s="71"/>
      <c r="M811" s="72"/>
      <c r="P811" s="72"/>
    </row>
    <row r="812">
      <c r="B812" s="68"/>
      <c r="D812" s="69"/>
      <c r="H812" s="70"/>
      <c r="K812" s="70"/>
      <c r="L812" s="71"/>
      <c r="M812" s="72"/>
      <c r="P812" s="72"/>
    </row>
    <row r="813">
      <c r="B813" s="68"/>
      <c r="D813" s="69"/>
      <c r="H813" s="70"/>
      <c r="K813" s="70"/>
      <c r="L813" s="71"/>
      <c r="M813" s="72"/>
      <c r="P813" s="72"/>
    </row>
    <row r="814">
      <c r="B814" s="68"/>
      <c r="D814" s="69"/>
      <c r="H814" s="70"/>
      <c r="K814" s="70"/>
      <c r="L814" s="71"/>
      <c r="M814" s="72"/>
      <c r="P814" s="72"/>
    </row>
    <row r="815">
      <c r="B815" s="68"/>
      <c r="D815" s="69"/>
      <c r="H815" s="70"/>
      <c r="K815" s="70"/>
      <c r="L815" s="71"/>
      <c r="M815" s="72"/>
      <c r="P815" s="72"/>
    </row>
    <row r="816">
      <c r="B816" s="68"/>
      <c r="D816" s="69"/>
      <c r="H816" s="70"/>
      <c r="K816" s="70"/>
      <c r="L816" s="71"/>
      <c r="M816" s="72"/>
      <c r="P816" s="72"/>
    </row>
    <row r="817">
      <c r="B817" s="68"/>
      <c r="D817" s="69"/>
      <c r="H817" s="70"/>
      <c r="K817" s="70"/>
      <c r="L817" s="71"/>
      <c r="M817" s="72"/>
      <c r="P817" s="72"/>
    </row>
    <row r="818">
      <c r="B818" s="68"/>
      <c r="D818" s="69"/>
      <c r="H818" s="70"/>
      <c r="K818" s="70"/>
      <c r="L818" s="71"/>
      <c r="M818" s="72"/>
      <c r="P818" s="72"/>
    </row>
    <row r="819">
      <c r="B819" s="68"/>
      <c r="D819" s="69"/>
      <c r="H819" s="70"/>
      <c r="K819" s="70"/>
      <c r="L819" s="71"/>
      <c r="M819" s="72"/>
      <c r="P819" s="72"/>
    </row>
    <row r="820">
      <c r="B820" s="68"/>
      <c r="D820" s="69"/>
      <c r="H820" s="70"/>
      <c r="K820" s="70"/>
      <c r="L820" s="71"/>
      <c r="M820" s="72"/>
      <c r="P820" s="72"/>
    </row>
    <row r="821">
      <c r="B821" s="68"/>
      <c r="D821" s="69"/>
      <c r="H821" s="70"/>
      <c r="K821" s="70"/>
      <c r="L821" s="71"/>
      <c r="M821" s="72"/>
      <c r="P821" s="72"/>
    </row>
    <row r="822">
      <c r="B822" s="68"/>
      <c r="D822" s="69"/>
      <c r="H822" s="70"/>
      <c r="K822" s="70"/>
      <c r="L822" s="71"/>
      <c r="M822" s="72"/>
      <c r="P822" s="72"/>
    </row>
    <row r="823">
      <c r="B823" s="68"/>
      <c r="D823" s="69"/>
      <c r="H823" s="70"/>
      <c r="K823" s="70"/>
      <c r="L823" s="71"/>
      <c r="M823" s="72"/>
      <c r="P823" s="72"/>
    </row>
    <row r="824">
      <c r="B824" s="68"/>
      <c r="D824" s="69"/>
      <c r="H824" s="70"/>
      <c r="K824" s="70"/>
      <c r="L824" s="71"/>
      <c r="M824" s="72"/>
      <c r="P824" s="72"/>
    </row>
    <row r="825">
      <c r="B825" s="68"/>
      <c r="D825" s="69"/>
      <c r="H825" s="70"/>
      <c r="K825" s="70"/>
      <c r="L825" s="71"/>
      <c r="M825" s="72"/>
      <c r="P825" s="72"/>
    </row>
    <row r="826">
      <c r="B826" s="68"/>
      <c r="D826" s="69"/>
      <c r="H826" s="70"/>
      <c r="K826" s="70"/>
      <c r="L826" s="71"/>
      <c r="M826" s="72"/>
      <c r="P826" s="72"/>
    </row>
    <row r="827">
      <c r="B827" s="68"/>
      <c r="D827" s="69"/>
      <c r="H827" s="70"/>
      <c r="K827" s="70"/>
      <c r="L827" s="71"/>
      <c r="M827" s="72"/>
      <c r="P827" s="72"/>
    </row>
    <row r="828">
      <c r="B828" s="68"/>
      <c r="D828" s="69"/>
      <c r="H828" s="70"/>
      <c r="K828" s="70"/>
      <c r="L828" s="71"/>
      <c r="M828" s="72"/>
      <c r="P828" s="72"/>
    </row>
    <row r="829">
      <c r="B829" s="68"/>
      <c r="D829" s="69"/>
      <c r="H829" s="70"/>
      <c r="K829" s="70"/>
      <c r="L829" s="71"/>
      <c r="M829" s="72"/>
      <c r="P829" s="72"/>
    </row>
    <row r="830">
      <c r="B830" s="68"/>
      <c r="D830" s="69"/>
      <c r="H830" s="70"/>
      <c r="K830" s="70"/>
      <c r="L830" s="71"/>
      <c r="M830" s="72"/>
      <c r="P830" s="72"/>
    </row>
    <row r="831">
      <c r="B831" s="68"/>
      <c r="D831" s="69"/>
      <c r="H831" s="70"/>
      <c r="K831" s="70"/>
      <c r="L831" s="71"/>
      <c r="M831" s="72"/>
      <c r="P831" s="72"/>
    </row>
    <row r="832">
      <c r="B832" s="68"/>
      <c r="D832" s="69"/>
      <c r="H832" s="70"/>
      <c r="K832" s="70"/>
      <c r="L832" s="71"/>
      <c r="M832" s="72"/>
      <c r="P832" s="72"/>
    </row>
    <row r="833">
      <c r="B833" s="68"/>
      <c r="D833" s="69"/>
      <c r="H833" s="70"/>
      <c r="K833" s="70"/>
      <c r="L833" s="71"/>
      <c r="M833" s="72"/>
      <c r="P833" s="72"/>
    </row>
    <row r="834">
      <c r="B834" s="68"/>
      <c r="D834" s="69"/>
      <c r="H834" s="70"/>
      <c r="K834" s="70"/>
      <c r="L834" s="71"/>
      <c r="M834" s="72"/>
      <c r="P834" s="72"/>
    </row>
    <row r="835">
      <c r="B835" s="68"/>
      <c r="D835" s="69"/>
      <c r="H835" s="70"/>
      <c r="K835" s="70"/>
      <c r="L835" s="71"/>
      <c r="M835" s="72"/>
      <c r="P835" s="72"/>
    </row>
    <row r="836">
      <c r="B836" s="68"/>
      <c r="D836" s="69"/>
      <c r="H836" s="70"/>
      <c r="K836" s="70"/>
      <c r="L836" s="71"/>
      <c r="M836" s="72"/>
      <c r="P836" s="72"/>
    </row>
    <row r="837">
      <c r="B837" s="68"/>
      <c r="D837" s="69"/>
      <c r="H837" s="70"/>
      <c r="K837" s="70"/>
      <c r="L837" s="71"/>
      <c r="M837" s="72"/>
      <c r="P837" s="72"/>
    </row>
    <row r="838">
      <c r="B838" s="68"/>
      <c r="D838" s="69"/>
      <c r="H838" s="70"/>
      <c r="K838" s="70"/>
      <c r="L838" s="71"/>
      <c r="M838" s="72"/>
      <c r="P838" s="72"/>
    </row>
    <row r="839">
      <c r="B839" s="68"/>
      <c r="D839" s="69"/>
      <c r="H839" s="70"/>
      <c r="K839" s="70"/>
      <c r="L839" s="71"/>
      <c r="M839" s="72"/>
      <c r="P839" s="72"/>
    </row>
    <row r="840">
      <c r="B840" s="68"/>
      <c r="D840" s="69"/>
      <c r="H840" s="70"/>
      <c r="K840" s="70"/>
      <c r="L840" s="71"/>
      <c r="M840" s="72"/>
      <c r="P840" s="72"/>
    </row>
    <row r="841">
      <c r="B841" s="68"/>
      <c r="D841" s="69"/>
      <c r="H841" s="70"/>
      <c r="K841" s="70"/>
      <c r="L841" s="71"/>
      <c r="M841" s="72"/>
      <c r="P841" s="72"/>
    </row>
    <row r="842">
      <c r="B842" s="68"/>
      <c r="D842" s="69"/>
      <c r="H842" s="70"/>
      <c r="K842" s="70"/>
      <c r="L842" s="71"/>
      <c r="M842" s="72"/>
      <c r="P842" s="72"/>
    </row>
    <row r="843">
      <c r="B843" s="68"/>
      <c r="D843" s="69"/>
      <c r="H843" s="70"/>
      <c r="K843" s="70"/>
      <c r="L843" s="71"/>
      <c r="M843" s="72"/>
      <c r="P843" s="72"/>
    </row>
    <row r="844">
      <c r="B844" s="68"/>
      <c r="D844" s="69"/>
      <c r="H844" s="70"/>
      <c r="K844" s="70"/>
      <c r="L844" s="71"/>
      <c r="M844" s="72"/>
      <c r="P844" s="72"/>
    </row>
    <row r="845">
      <c r="B845" s="68"/>
      <c r="D845" s="69"/>
      <c r="H845" s="70"/>
      <c r="K845" s="70"/>
      <c r="L845" s="71"/>
      <c r="M845" s="72"/>
      <c r="P845" s="72"/>
    </row>
    <row r="846">
      <c r="B846" s="68"/>
      <c r="D846" s="69"/>
      <c r="H846" s="70"/>
      <c r="K846" s="70"/>
      <c r="L846" s="71"/>
      <c r="M846" s="72"/>
      <c r="P846" s="72"/>
    </row>
    <row r="847">
      <c r="B847" s="68"/>
      <c r="D847" s="69"/>
      <c r="H847" s="70"/>
      <c r="K847" s="70"/>
      <c r="L847" s="71"/>
      <c r="M847" s="72"/>
      <c r="P847" s="72"/>
    </row>
    <row r="848">
      <c r="B848" s="68"/>
      <c r="D848" s="69"/>
      <c r="H848" s="70"/>
      <c r="K848" s="70"/>
      <c r="L848" s="71"/>
      <c r="M848" s="72"/>
      <c r="P848" s="72"/>
    </row>
    <row r="849">
      <c r="B849" s="68"/>
      <c r="D849" s="69"/>
      <c r="H849" s="70"/>
      <c r="K849" s="70"/>
      <c r="L849" s="71"/>
      <c r="M849" s="72"/>
      <c r="P849" s="72"/>
    </row>
    <row r="850">
      <c r="B850" s="68"/>
      <c r="D850" s="69"/>
      <c r="H850" s="70"/>
      <c r="K850" s="70"/>
      <c r="L850" s="71"/>
      <c r="M850" s="72"/>
      <c r="P850" s="72"/>
    </row>
    <row r="851">
      <c r="B851" s="68"/>
      <c r="D851" s="69"/>
      <c r="H851" s="70"/>
      <c r="K851" s="70"/>
      <c r="L851" s="71"/>
      <c r="M851" s="72"/>
      <c r="P851" s="72"/>
    </row>
    <row r="852">
      <c r="B852" s="68"/>
      <c r="D852" s="69"/>
      <c r="H852" s="70"/>
      <c r="K852" s="70"/>
      <c r="L852" s="71"/>
      <c r="M852" s="72"/>
      <c r="P852" s="72"/>
    </row>
    <row r="853">
      <c r="B853" s="68"/>
      <c r="D853" s="69"/>
      <c r="H853" s="70"/>
      <c r="K853" s="70"/>
      <c r="L853" s="71"/>
      <c r="M853" s="72"/>
      <c r="P853" s="72"/>
    </row>
    <row r="854">
      <c r="B854" s="68"/>
      <c r="D854" s="69"/>
      <c r="H854" s="70"/>
      <c r="K854" s="70"/>
      <c r="L854" s="71"/>
      <c r="M854" s="72"/>
      <c r="P854" s="72"/>
    </row>
    <row r="855">
      <c r="B855" s="68"/>
      <c r="D855" s="69"/>
      <c r="H855" s="70"/>
      <c r="K855" s="70"/>
      <c r="L855" s="71"/>
      <c r="M855" s="72"/>
      <c r="P855" s="72"/>
    </row>
    <row r="856">
      <c r="B856" s="68"/>
      <c r="D856" s="69"/>
      <c r="H856" s="70"/>
      <c r="K856" s="70"/>
      <c r="L856" s="71"/>
      <c r="M856" s="72"/>
      <c r="P856" s="72"/>
    </row>
    <row r="857">
      <c r="B857" s="68"/>
      <c r="D857" s="69"/>
      <c r="H857" s="70"/>
      <c r="K857" s="70"/>
      <c r="L857" s="71"/>
      <c r="M857" s="72"/>
      <c r="P857" s="72"/>
    </row>
    <row r="858">
      <c r="B858" s="68"/>
      <c r="D858" s="69"/>
      <c r="H858" s="70"/>
      <c r="K858" s="70"/>
      <c r="L858" s="71"/>
      <c r="M858" s="72"/>
      <c r="P858" s="72"/>
    </row>
    <row r="859">
      <c r="B859" s="68"/>
      <c r="D859" s="69"/>
      <c r="H859" s="70"/>
      <c r="K859" s="70"/>
      <c r="L859" s="71"/>
      <c r="M859" s="72"/>
      <c r="P859" s="72"/>
    </row>
    <row r="860">
      <c r="B860" s="68"/>
      <c r="D860" s="69"/>
      <c r="H860" s="70"/>
      <c r="K860" s="70"/>
      <c r="L860" s="71"/>
      <c r="M860" s="72"/>
      <c r="P860" s="72"/>
    </row>
    <row r="861">
      <c r="B861" s="68"/>
      <c r="D861" s="69"/>
      <c r="H861" s="70"/>
      <c r="K861" s="70"/>
      <c r="L861" s="71"/>
      <c r="M861" s="72"/>
      <c r="P861" s="72"/>
    </row>
    <row r="862">
      <c r="B862" s="68"/>
      <c r="D862" s="69"/>
      <c r="H862" s="70"/>
      <c r="K862" s="70"/>
      <c r="L862" s="71"/>
      <c r="M862" s="72"/>
      <c r="P862" s="72"/>
    </row>
    <row r="863">
      <c r="B863" s="68"/>
      <c r="D863" s="69"/>
      <c r="H863" s="70"/>
      <c r="K863" s="70"/>
      <c r="L863" s="71"/>
      <c r="M863" s="72"/>
      <c r="P863" s="72"/>
    </row>
    <row r="864">
      <c r="B864" s="68"/>
      <c r="D864" s="69"/>
      <c r="H864" s="70"/>
      <c r="K864" s="70"/>
      <c r="L864" s="71"/>
      <c r="M864" s="72"/>
      <c r="P864" s="72"/>
    </row>
    <row r="865">
      <c r="B865" s="68"/>
      <c r="D865" s="69"/>
      <c r="H865" s="70"/>
      <c r="K865" s="70"/>
      <c r="L865" s="71"/>
      <c r="M865" s="72"/>
      <c r="P865" s="72"/>
    </row>
    <row r="866">
      <c r="B866" s="68"/>
      <c r="D866" s="69"/>
      <c r="H866" s="70"/>
      <c r="K866" s="70"/>
      <c r="L866" s="71"/>
      <c r="M866" s="72"/>
      <c r="P866" s="72"/>
    </row>
    <row r="867">
      <c r="B867" s="68"/>
      <c r="D867" s="69"/>
      <c r="H867" s="70"/>
      <c r="K867" s="70"/>
      <c r="L867" s="71"/>
      <c r="M867" s="72"/>
      <c r="P867" s="72"/>
    </row>
    <row r="868">
      <c r="B868" s="68"/>
      <c r="D868" s="69"/>
      <c r="H868" s="70"/>
      <c r="K868" s="70"/>
      <c r="L868" s="71"/>
      <c r="M868" s="72"/>
      <c r="P868" s="72"/>
    </row>
    <row r="869">
      <c r="B869" s="68"/>
      <c r="D869" s="69"/>
      <c r="H869" s="70"/>
      <c r="K869" s="70"/>
      <c r="L869" s="71"/>
      <c r="M869" s="72"/>
      <c r="P869" s="72"/>
    </row>
    <row r="870">
      <c r="B870" s="68"/>
      <c r="D870" s="69"/>
      <c r="H870" s="70"/>
      <c r="K870" s="70"/>
      <c r="L870" s="71"/>
      <c r="M870" s="72"/>
      <c r="P870" s="72"/>
    </row>
    <row r="871">
      <c r="B871" s="68"/>
      <c r="D871" s="69"/>
      <c r="H871" s="70"/>
      <c r="K871" s="70"/>
      <c r="L871" s="71"/>
      <c r="M871" s="72"/>
      <c r="P871" s="72"/>
    </row>
    <row r="872">
      <c r="B872" s="68"/>
      <c r="D872" s="69"/>
      <c r="H872" s="70"/>
      <c r="K872" s="70"/>
      <c r="L872" s="71"/>
      <c r="M872" s="72"/>
      <c r="P872" s="72"/>
    </row>
    <row r="873">
      <c r="B873" s="68"/>
      <c r="D873" s="69"/>
      <c r="H873" s="70"/>
      <c r="K873" s="70"/>
      <c r="L873" s="71"/>
      <c r="M873" s="72"/>
      <c r="P873" s="72"/>
    </row>
    <row r="874">
      <c r="B874" s="68"/>
      <c r="D874" s="69"/>
      <c r="H874" s="70"/>
      <c r="K874" s="70"/>
      <c r="L874" s="71"/>
      <c r="M874" s="72"/>
      <c r="P874" s="72"/>
    </row>
    <row r="875">
      <c r="B875" s="68"/>
      <c r="D875" s="69"/>
      <c r="H875" s="70"/>
      <c r="K875" s="70"/>
      <c r="L875" s="71"/>
      <c r="M875" s="72"/>
      <c r="P875" s="72"/>
    </row>
    <row r="876">
      <c r="B876" s="68"/>
      <c r="D876" s="69"/>
      <c r="H876" s="70"/>
      <c r="K876" s="70"/>
      <c r="L876" s="71"/>
      <c r="M876" s="72"/>
      <c r="P876" s="72"/>
    </row>
    <row r="877">
      <c r="B877" s="68"/>
      <c r="D877" s="69"/>
      <c r="H877" s="70"/>
      <c r="K877" s="70"/>
      <c r="L877" s="71"/>
      <c r="M877" s="72"/>
      <c r="P877" s="72"/>
    </row>
    <row r="878">
      <c r="B878" s="68"/>
      <c r="D878" s="69"/>
      <c r="H878" s="70"/>
      <c r="K878" s="70"/>
      <c r="L878" s="71"/>
      <c r="M878" s="72"/>
      <c r="P878" s="72"/>
    </row>
    <row r="879">
      <c r="B879" s="68"/>
      <c r="D879" s="69"/>
      <c r="H879" s="70"/>
      <c r="K879" s="70"/>
      <c r="L879" s="71"/>
      <c r="M879" s="72"/>
      <c r="P879" s="72"/>
    </row>
    <row r="880">
      <c r="B880" s="68"/>
      <c r="D880" s="69"/>
      <c r="H880" s="70"/>
      <c r="K880" s="70"/>
      <c r="L880" s="71"/>
      <c r="M880" s="72"/>
      <c r="P880" s="72"/>
    </row>
    <row r="881">
      <c r="B881" s="68"/>
      <c r="D881" s="69"/>
      <c r="H881" s="70"/>
      <c r="K881" s="70"/>
      <c r="L881" s="71"/>
      <c r="M881" s="72"/>
      <c r="P881" s="72"/>
    </row>
    <row r="882">
      <c r="B882" s="68"/>
      <c r="D882" s="69"/>
      <c r="H882" s="70"/>
      <c r="K882" s="70"/>
      <c r="L882" s="71"/>
      <c r="M882" s="72"/>
      <c r="P882" s="72"/>
    </row>
    <row r="883">
      <c r="B883" s="68"/>
      <c r="D883" s="69"/>
      <c r="H883" s="70"/>
      <c r="K883" s="70"/>
      <c r="L883" s="71"/>
      <c r="M883" s="72"/>
      <c r="P883" s="72"/>
    </row>
    <row r="884">
      <c r="B884" s="68"/>
      <c r="D884" s="69"/>
      <c r="H884" s="70"/>
      <c r="K884" s="70"/>
      <c r="L884" s="71"/>
      <c r="M884" s="72"/>
      <c r="P884" s="72"/>
    </row>
    <row r="885">
      <c r="B885" s="68"/>
      <c r="D885" s="69"/>
      <c r="H885" s="70"/>
      <c r="K885" s="70"/>
      <c r="L885" s="71"/>
      <c r="M885" s="72"/>
      <c r="P885" s="72"/>
    </row>
    <row r="886">
      <c r="B886" s="68"/>
      <c r="D886" s="69"/>
      <c r="H886" s="70"/>
      <c r="K886" s="70"/>
      <c r="L886" s="71"/>
      <c r="M886" s="72"/>
      <c r="P886" s="72"/>
    </row>
    <row r="887">
      <c r="B887" s="68"/>
      <c r="D887" s="69"/>
      <c r="H887" s="70"/>
      <c r="K887" s="70"/>
      <c r="L887" s="71"/>
      <c r="M887" s="72"/>
      <c r="P887" s="72"/>
    </row>
    <row r="888">
      <c r="B888" s="68"/>
      <c r="D888" s="69"/>
      <c r="H888" s="70"/>
      <c r="K888" s="70"/>
      <c r="L888" s="71"/>
      <c r="M888" s="72"/>
      <c r="P888" s="72"/>
    </row>
    <row r="889">
      <c r="B889" s="68"/>
      <c r="D889" s="69"/>
      <c r="H889" s="70"/>
      <c r="K889" s="70"/>
      <c r="L889" s="71"/>
      <c r="M889" s="72"/>
      <c r="P889" s="72"/>
    </row>
    <row r="890">
      <c r="B890" s="68"/>
      <c r="D890" s="69"/>
      <c r="H890" s="70"/>
      <c r="K890" s="70"/>
      <c r="L890" s="71"/>
      <c r="M890" s="72"/>
      <c r="P890" s="72"/>
    </row>
    <row r="891">
      <c r="B891" s="68"/>
      <c r="D891" s="69"/>
      <c r="H891" s="70"/>
      <c r="K891" s="70"/>
      <c r="L891" s="71"/>
      <c r="M891" s="72"/>
      <c r="P891" s="72"/>
    </row>
    <row r="892">
      <c r="B892" s="68"/>
      <c r="D892" s="69"/>
      <c r="H892" s="70"/>
      <c r="K892" s="70"/>
      <c r="L892" s="71"/>
      <c r="M892" s="72"/>
      <c r="P892" s="72"/>
    </row>
    <row r="893">
      <c r="B893" s="68"/>
      <c r="D893" s="69"/>
      <c r="H893" s="70"/>
      <c r="K893" s="70"/>
      <c r="L893" s="71"/>
      <c r="M893" s="72"/>
      <c r="P893" s="72"/>
    </row>
    <row r="894">
      <c r="B894" s="68"/>
      <c r="D894" s="69"/>
      <c r="H894" s="70"/>
      <c r="K894" s="70"/>
      <c r="L894" s="71"/>
      <c r="M894" s="72"/>
      <c r="P894" s="72"/>
    </row>
    <row r="895">
      <c r="B895" s="68"/>
      <c r="D895" s="69"/>
      <c r="H895" s="70"/>
      <c r="K895" s="70"/>
      <c r="L895" s="71"/>
      <c r="M895" s="72"/>
      <c r="P895" s="72"/>
    </row>
    <row r="896">
      <c r="B896" s="68"/>
      <c r="D896" s="69"/>
      <c r="H896" s="70"/>
      <c r="K896" s="70"/>
      <c r="L896" s="71"/>
      <c r="M896" s="72"/>
      <c r="P896" s="72"/>
    </row>
    <row r="897">
      <c r="B897" s="68"/>
      <c r="D897" s="69"/>
      <c r="H897" s="70"/>
      <c r="K897" s="70"/>
      <c r="L897" s="71"/>
      <c r="M897" s="72"/>
      <c r="P897" s="72"/>
    </row>
    <row r="898">
      <c r="B898" s="68"/>
      <c r="D898" s="69"/>
      <c r="H898" s="70"/>
      <c r="K898" s="70"/>
      <c r="L898" s="71"/>
      <c r="M898" s="72"/>
      <c r="P898" s="72"/>
    </row>
    <row r="899">
      <c r="B899" s="68"/>
      <c r="D899" s="69"/>
      <c r="H899" s="70"/>
      <c r="K899" s="70"/>
      <c r="L899" s="71"/>
      <c r="M899" s="72"/>
      <c r="P899" s="72"/>
    </row>
    <row r="900">
      <c r="B900" s="68"/>
      <c r="D900" s="69"/>
      <c r="H900" s="70"/>
      <c r="K900" s="70"/>
      <c r="L900" s="71"/>
      <c r="M900" s="72"/>
      <c r="P900" s="72"/>
    </row>
    <row r="901">
      <c r="B901" s="68"/>
      <c r="D901" s="69"/>
      <c r="H901" s="70"/>
      <c r="K901" s="70"/>
      <c r="L901" s="71"/>
      <c r="M901" s="72"/>
      <c r="P901" s="72"/>
    </row>
    <row r="902">
      <c r="B902" s="68"/>
      <c r="D902" s="69"/>
      <c r="H902" s="70"/>
      <c r="K902" s="70"/>
      <c r="L902" s="71"/>
      <c r="M902" s="72"/>
      <c r="P902" s="72"/>
    </row>
    <row r="903">
      <c r="B903" s="68"/>
      <c r="D903" s="69"/>
      <c r="H903" s="70"/>
      <c r="K903" s="70"/>
      <c r="L903" s="71"/>
      <c r="M903" s="72"/>
      <c r="P903" s="72"/>
    </row>
    <row r="904">
      <c r="B904" s="68"/>
      <c r="D904" s="69"/>
      <c r="H904" s="70"/>
      <c r="K904" s="70"/>
      <c r="L904" s="71"/>
      <c r="M904" s="72"/>
      <c r="P904" s="72"/>
    </row>
    <row r="905">
      <c r="B905" s="68"/>
      <c r="D905" s="69"/>
      <c r="H905" s="70"/>
      <c r="K905" s="70"/>
      <c r="L905" s="71"/>
      <c r="M905" s="72"/>
      <c r="P905" s="72"/>
    </row>
    <row r="906">
      <c r="B906" s="68"/>
      <c r="D906" s="69"/>
      <c r="H906" s="70"/>
      <c r="K906" s="70"/>
      <c r="L906" s="71"/>
      <c r="M906" s="72"/>
      <c r="P906" s="72"/>
    </row>
    <row r="907">
      <c r="B907" s="68"/>
      <c r="D907" s="69"/>
      <c r="H907" s="70"/>
      <c r="K907" s="70"/>
      <c r="L907" s="71"/>
      <c r="M907" s="72"/>
      <c r="P907" s="72"/>
    </row>
    <row r="908">
      <c r="B908" s="68"/>
      <c r="D908" s="69"/>
      <c r="H908" s="70"/>
      <c r="K908" s="70"/>
      <c r="L908" s="71"/>
      <c r="M908" s="72"/>
      <c r="P908" s="72"/>
    </row>
    <row r="909">
      <c r="B909" s="68"/>
      <c r="D909" s="69"/>
      <c r="H909" s="70"/>
      <c r="K909" s="70"/>
      <c r="L909" s="71"/>
      <c r="M909" s="72"/>
      <c r="P909" s="72"/>
    </row>
    <row r="910">
      <c r="B910" s="68"/>
      <c r="D910" s="69"/>
      <c r="H910" s="70"/>
      <c r="K910" s="70"/>
      <c r="L910" s="71"/>
      <c r="M910" s="72"/>
      <c r="P910" s="72"/>
    </row>
    <row r="911">
      <c r="B911" s="68"/>
      <c r="D911" s="69"/>
      <c r="H911" s="70"/>
      <c r="K911" s="70"/>
      <c r="L911" s="71"/>
      <c r="M911" s="72"/>
      <c r="P911" s="72"/>
    </row>
    <row r="912">
      <c r="B912" s="68"/>
      <c r="D912" s="69"/>
      <c r="H912" s="70"/>
      <c r="K912" s="70"/>
      <c r="L912" s="71"/>
      <c r="M912" s="72"/>
      <c r="P912" s="72"/>
    </row>
    <row r="913">
      <c r="B913" s="68"/>
      <c r="D913" s="69"/>
      <c r="H913" s="70"/>
      <c r="K913" s="70"/>
      <c r="L913" s="71"/>
      <c r="M913" s="72"/>
      <c r="P913" s="72"/>
    </row>
    <row r="914">
      <c r="B914" s="68"/>
      <c r="D914" s="69"/>
      <c r="H914" s="70"/>
      <c r="K914" s="70"/>
      <c r="L914" s="71"/>
      <c r="M914" s="72"/>
      <c r="P914" s="72"/>
    </row>
    <row r="915">
      <c r="B915" s="68"/>
      <c r="D915" s="69"/>
      <c r="H915" s="70"/>
      <c r="K915" s="70"/>
      <c r="L915" s="71"/>
      <c r="M915" s="72"/>
      <c r="P915" s="72"/>
    </row>
    <row r="916">
      <c r="B916" s="68"/>
      <c r="D916" s="69"/>
      <c r="H916" s="70"/>
      <c r="K916" s="70"/>
      <c r="L916" s="71"/>
      <c r="M916" s="72"/>
      <c r="P916" s="72"/>
    </row>
    <row r="917">
      <c r="B917" s="68"/>
      <c r="D917" s="69"/>
      <c r="H917" s="70"/>
      <c r="K917" s="70"/>
      <c r="L917" s="71"/>
      <c r="M917" s="72"/>
      <c r="P917" s="72"/>
    </row>
    <row r="918">
      <c r="B918" s="68"/>
      <c r="D918" s="69"/>
      <c r="H918" s="70"/>
      <c r="K918" s="70"/>
      <c r="L918" s="71"/>
      <c r="M918" s="72"/>
      <c r="P918" s="72"/>
    </row>
    <row r="919">
      <c r="B919" s="68"/>
      <c r="D919" s="69"/>
      <c r="H919" s="70"/>
      <c r="K919" s="70"/>
      <c r="L919" s="71"/>
      <c r="M919" s="72"/>
      <c r="P919" s="72"/>
    </row>
    <row r="920">
      <c r="B920" s="68"/>
      <c r="D920" s="69"/>
      <c r="H920" s="70"/>
      <c r="K920" s="70"/>
      <c r="L920" s="71"/>
      <c r="M920" s="72"/>
      <c r="P920" s="72"/>
    </row>
    <row r="921">
      <c r="B921" s="68"/>
      <c r="D921" s="69"/>
      <c r="H921" s="70"/>
      <c r="K921" s="70"/>
      <c r="L921" s="71"/>
      <c r="M921" s="72"/>
      <c r="P921" s="72"/>
    </row>
    <row r="922">
      <c r="B922" s="68"/>
      <c r="D922" s="69"/>
      <c r="H922" s="70"/>
      <c r="K922" s="70"/>
      <c r="L922" s="71"/>
      <c r="M922" s="72"/>
      <c r="P922" s="72"/>
    </row>
    <row r="923">
      <c r="B923" s="68"/>
      <c r="D923" s="69"/>
      <c r="H923" s="70"/>
      <c r="K923" s="70"/>
      <c r="L923" s="71"/>
      <c r="M923" s="72"/>
      <c r="P923" s="72"/>
    </row>
    <row r="924">
      <c r="B924" s="68"/>
      <c r="D924" s="69"/>
      <c r="H924" s="70"/>
      <c r="K924" s="70"/>
      <c r="L924" s="71"/>
      <c r="M924" s="72"/>
      <c r="P924" s="72"/>
    </row>
    <row r="925">
      <c r="B925" s="68"/>
      <c r="D925" s="69"/>
      <c r="H925" s="70"/>
      <c r="K925" s="70"/>
      <c r="L925" s="71"/>
      <c r="M925" s="72"/>
      <c r="P925" s="72"/>
    </row>
    <row r="926">
      <c r="B926" s="68"/>
      <c r="D926" s="69"/>
      <c r="H926" s="70"/>
      <c r="K926" s="70"/>
      <c r="L926" s="71"/>
      <c r="M926" s="72"/>
      <c r="P926" s="72"/>
    </row>
    <row r="927">
      <c r="B927" s="68"/>
      <c r="D927" s="69"/>
      <c r="H927" s="70"/>
      <c r="K927" s="70"/>
      <c r="L927" s="71"/>
      <c r="M927" s="72"/>
      <c r="P927" s="72"/>
    </row>
    <row r="928">
      <c r="B928" s="68"/>
      <c r="D928" s="69"/>
      <c r="H928" s="70"/>
      <c r="K928" s="70"/>
      <c r="L928" s="71"/>
      <c r="M928" s="72"/>
      <c r="P928" s="72"/>
    </row>
    <row r="929">
      <c r="B929" s="68"/>
      <c r="D929" s="69"/>
      <c r="H929" s="70"/>
      <c r="K929" s="70"/>
      <c r="L929" s="71"/>
      <c r="M929" s="72"/>
      <c r="P929" s="72"/>
    </row>
    <row r="930">
      <c r="B930" s="68"/>
      <c r="D930" s="69"/>
      <c r="H930" s="70"/>
      <c r="K930" s="70"/>
      <c r="L930" s="71"/>
      <c r="M930" s="72"/>
      <c r="P930" s="72"/>
    </row>
    <row r="931">
      <c r="B931" s="68"/>
      <c r="D931" s="69"/>
      <c r="H931" s="70"/>
      <c r="K931" s="70"/>
      <c r="L931" s="71"/>
      <c r="M931" s="72"/>
      <c r="P931" s="72"/>
    </row>
    <row r="932">
      <c r="B932" s="68"/>
      <c r="D932" s="69"/>
      <c r="H932" s="70"/>
      <c r="K932" s="70"/>
      <c r="L932" s="71"/>
      <c r="M932" s="72"/>
      <c r="P932" s="72"/>
    </row>
    <row r="933">
      <c r="B933" s="68"/>
      <c r="D933" s="69"/>
      <c r="H933" s="70"/>
      <c r="K933" s="70"/>
      <c r="L933" s="71"/>
      <c r="M933" s="72"/>
      <c r="P933" s="72"/>
    </row>
    <row r="934">
      <c r="B934" s="68"/>
      <c r="D934" s="69"/>
      <c r="H934" s="70"/>
      <c r="K934" s="70"/>
      <c r="L934" s="71"/>
      <c r="M934" s="72"/>
      <c r="P934" s="72"/>
    </row>
    <row r="935">
      <c r="B935" s="68"/>
      <c r="D935" s="69"/>
      <c r="H935" s="70"/>
      <c r="K935" s="70"/>
      <c r="L935" s="71"/>
      <c r="M935" s="72"/>
      <c r="P935" s="72"/>
    </row>
    <row r="936">
      <c r="B936" s="68"/>
      <c r="D936" s="69"/>
      <c r="H936" s="70"/>
      <c r="K936" s="70"/>
      <c r="L936" s="71"/>
      <c r="M936" s="72"/>
      <c r="P936" s="72"/>
    </row>
    <row r="937">
      <c r="B937" s="68"/>
      <c r="D937" s="69"/>
      <c r="H937" s="70"/>
      <c r="K937" s="70"/>
      <c r="L937" s="71"/>
      <c r="M937" s="72"/>
      <c r="P937" s="72"/>
    </row>
    <row r="938">
      <c r="B938" s="68"/>
      <c r="D938" s="69"/>
      <c r="H938" s="70"/>
      <c r="K938" s="70"/>
      <c r="L938" s="71"/>
      <c r="M938" s="72"/>
      <c r="P938" s="72"/>
    </row>
    <row r="939">
      <c r="B939" s="68"/>
      <c r="D939" s="69"/>
      <c r="H939" s="70"/>
      <c r="K939" s="70"/>
      <c r="L939" s="71"/>
      <c r="M939" s="72"/>
      <c r="P939" s="72"/>
    </row>
    <row r="940">
      <c r="B940" s="68"/>
      <c r="D940" s="69"/>
      <c r="H940" s="70"/>
      <c r="K940" s="70"/>
      <c r="L940" s="71"/>
      <c r="M940" s="72"/>
      <c r="P940" s="72"/>
    </row>
    <row r="941">
      <c r="B941" s="68"/>
      <c r="D941" s="69"/>
      <c r="H941" s="70"/>
      <c r="K941" s="70"/>
      <c r="L941" s="71"/>
      <c r="M941" s="72"/>
      <c r="P941" s="72"/>
    </row>
    <row r="942">
      <c r="B942" s="68"/>
      <c r="D942" s="69"/>
      <c r="H942" s="70"/>
      <c r="K942" s="70"/>
      <c r="L942" s="71"/>
      <c r="M942" s="72"/>
      <c r="P942" s="72"/>
    </row>
    <row r="943">
      <c r="B943" s="68"/>
      <c r="D943" s="69"/>
      <c r="H943" s="70"/>
      <c r="K943" s="70"/>
      <c r="L943" s="71"/>
      <c r="M943" s="72"/>
      <c r="P943" s="72"/>
    </row>
    <row r="944">
      <c r="B944" s="68"/>
      <c r="D944" s="69"/>
      <c r="H944" s="70"/>
      <c r="K944" s="70"/>
      <c r="L944" s="71"/>
      <c r="M944" s="72"/>
      <c r="P944" s="72"/>
    </row>
    <row r="945">
      <c r="B945" s="68"/>
      <c r="D945" s="69"/>
      <c r="H945" s="70"/>
      <c r="K945" s="70"/>
      <c r="L945" s="71"/>
      <c r="M945" s="72"/>
      <c r="P945" s="72"/>
    </row>
    <row r="946">
      <c r="B946" s="68"/>
      <c r="D946" s="69"/>
      <c r="H946" s="70"/>
      <c r="K946" s="70"/>
      <c r="L946" s="71"/>
      <c r="M946" s="72"/>
      <c r="P946" s="72"/>
    </row>
    <row r="947">
      <c r="B947" s="68"/>
      <c r="D947" s="69"/>
      <c r="H947" s="70"/>
      <c r="K947" s="70"/>
      <c r="L947" s="71"/>
      <c r="M947" s="72"/>
      <c r="P947" s="72"/>
    </row>
    <row r="948">
      <c r="B948" s="68"/>
      <c r="D948" s="69"/>
      <c r="H948" s="70"/>
      <c r="K948" s="70"/>
      <c r="L948" s="71"/>
      <c r="M948" s="72"/>
      <c r="P948" s="72"/>
    </row>
    <row r="949">
      <c r="B949" s="68"/>
      <c r="D949" s="69"/>
      <c r="H949" s="70"/>
      <c r="K949" s="70"/>
      <c r="L949" s="71"/>
      <c r="M949" s="72"/>
      <c r="P949" s="72"/>
    </row>
    <row r="950">
      <c r="B950" s="68"/>
      <c r="D950" s="69"/>
      <c r="H950" s="70"/>
      <c r="K950" s="70"/>
      <c r="L950" s="71"/>
      <c r="M950" s="72"/>
      <c r="P950" s="72"/>
    </row>
    <row r="951">
      <c r="B951" s="68"/>
      <c r="D951" s="69"/>
      <c r="H951" s="70"/>
      <c r="K951" s="70"/>
      <c r="L951" s="71"/>
      <c r="M951" s="72"/>
      <c r="P951" s="72"/>
    </row>
    <row r="952">
      <c r="B952" s="68"/>
      <c r="D952" s="69"/>
      <c r="H952" s="70"/>
      <c r="K952" s="70"/>
      <c r="L952" s="71"/>
      <c r="M952" s="72"/>
      <c r="P952" s="72"/>
    </row>
    <row r="953">
      <c r="B953" s="68"/>
      <c r="D953" s="69"/>
      <c r="H953" s="70"/>
      <c r="K953" s="70"/>
      <c r="L953" s="71"/>
      <c r="M953" s="72"/>
      <c r="P953" s="72"/>
    </row>
    <row r="954">
      <c r="B954" s="68"/>
      <c r="D954" s="69"/>
      <c r="H954" s="70"/>
      <c r="K954" s="70"/>
      <c r="L954" s="71"/>
      <c r="M954" s="72"/>
      <c r="P954" s="72"/>
    </row>
    <row r="955">
      <c r="B955" s="68"/>
      <c r="D955" s="69"/>
      <c r="H955" s="70"/>
      <c r="K955" s="70"/>
      <c r="L955" s="71"/>
      <c r="M955" s="72"/>
      <c r="P955" s="72"/>
    </row>
    <row r="956">
      <c r="B956" s="68"/>
      <c r="D956" s="69"/>
      <c r="H956" s="70"/>
      <c r="K956" s="70"/>
      <c r="L956" s="71"/>
      <c r="M956" s="72"/>
      <c r="P956" s="72"/>
    </row>
    <row r="957">
      <c r="B957" s="68"/>
      <c r="D957" s="69"/>
      <c r="H957" s="70"/>
      <c r="K957" s="70"/>
      <c r="L957" s="71"/>
      <c r="M957" s="72"/>
      <c r="P957" s="72"/>
    </row>
    <row r="958">
      <c r="B958" s="68"/>
      <c r="D958" s="69"/>
      <c r="H958" s="70"/>
      <c r="K958" s="70"/>
      <c r="L958" s="71"/>
      <c r="M958" s="72"/>
      <c r="P958" s="72"/>
    </row>
    <row r="959">
      <c r="B959" s="68"/>
      <c r="D959" s="69"/>
      <c r="H959" s="70"/>
      <c r="K959" s="70"/>
      <c r="L959" s="71"/>
      <c r="M959" s="72"/>
      <c r="P959" s="72"/>
    </row>
    <row r="960">
      <c r="B960" s="68"/>
      <c r="D960" s="69"/>
      <c r="H960" s="70"/>
      <c r="K960" s="70"/>
      <c r="L960" s="71"/>
      <c r="M960" s="72"/>
      <c r="P960" s="72"/>
    </row>
    <row r="961">
      <c r="B961" s="68"/>
      <c r="D961" s="69"/>
      <c r="H961" s="70"/>
      <c r="K961" s="70"/>
      <c r="L961" s="71"/>
      <c r="M961" s="72"/>
      <c r="P961" s="72"/>
    </row>
    <row r="962">
      <c r="B962" s="68"/>
      <c r="D962" s="69"/>
      <c r="H962" s="70"/>
      <c r="K962" s="70"/>
      <c r="L962" s="71"/>
      <c r="M962" s="72"/>
      <c r="P962" s="72"/>
    </row>
    <row r="963">
      <c r="B963" s="68"/>
      <c r="D963" s="69"/>
      <c r="H963" s="70"/>
      <c r="K963" s="70"/>
      <c r="L963" s="71"/>
      <c r="M963" s="72"/>
      <c r="P963" s="72"/>
    </row>
    <row r="964">
      <c r="B964" s="68"/>
      <c r="D964" s="69"/>
      <c r="H964" s="70"/>
      <c r="K964" s="70"/>
      <c r="L964" s="71"/>
      <c r="M964" s="72"/>
      <c r="P964" s="72"/>
    </row>
    <row r="965">
      <c r="B965" s="68"/>
      <c r="D965" s="69"/>
      <c r="H965" s="70"/>
      <c r="K965" s="70"/>
      <c r="L965" s="71"/>
      <c r="M965" s="72"/>
      <c r="P965" s="72"/>
    </row>
    <row r="966">
      <c r="B966" s="68"/>
      <c r="D966" s="69"/>
      <c r="H966" s="70"/>
      <c r="K966" s="70"/>
      <c r="L966" s="71"/>
      <c r="M966" s="72"/>
      <c r="P966" s="72"/>
    </row>
  </sheetData>
  <autoFilter ref="$A$1:$T$84"/>
  <drawing r:id="rId4"/>
  <legacyDrawing r:id="rId5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44">
        <v>45778.0</v>
      </c>
      <c r="B2" s="11">
        <v>45778.0</v>
      </c>
      <c r="C2" s="12">
        <f>VLOOKUP(B:B,'Курс валют'!A:D,4,0)</f>
        <v>92.837</v>
      </c>
      <c r="D2" s="12">
        <v>227.0</v>
      </c>
      <c r="E2" s="75" t="s">
        <v>87</v>
      </c>
      <c r="F2" s="12">
        <v>2025.0</v>
      </c>
      <c r="G2" s="12">
        <v>2036.35</v>
      </c>
      <c r="H2" s="17">
        <v>0.0</v>
      </c>
      <c r="I2" s="15">
        <f t="shared" ref="I2:I84" si="1">G2-F2</f>
        <v>11.35</v>
      </c>
      <c r="J2" s="18">
        <f t="shared" ref="J2:J84" si="2">I2/F2*100</f>
        <v>0.5604938272</v>
      </c>
      <c r="K2" s="56">
        <v>1.99</v>
      </c>
      <c r="L2" s="19">
        <f t="shared" ref="L2:L84" si="3">H2/F2*100</f>
        <v>0</v>
      </c>
      <c r="M2" s="20">
        <f t="shared" ref="M2:M12" si="4">P2/F2</f>
        <v>184.74563</v>
      </c>
      <c r="N2" s="21">
        <f t="shared" ref="N2:N46" si="5">(F2*K2-H2*3.04)/F2</f>
        <v>1.99</v>
      </c>
      <c r="O2" s="21">
        <f t="shared" ref="O2:O84" si="6">N2*F2</f>
        <v>4029.75</v>
      </c>
      <c r="P2" s="22">
        <f t="shared" ref="P2:P84" si="7">O2*C2</f>
        <v>374109.9008</v>
      </c>
      <c r="R2" s="23"/>
      <c r="S2" s="24" t="s">
        <v>2224</v>
      </c>
      <c r="T2" s="25"/>
      <c r="U2" s="25"/>
      <c r="V2" s="25"/>
      <c r="W2" s="25"/>
      <c r="X2" s="25"/>
      <c r="Y2" s="25"/>
      <c r="Z2" s="25"/>
      <c r="AA2" s="25"/>
    </row>
    <row r="3">
      <c r="A3" s="144">
        <v>45778.0</v>
      </c>
      <c r="B3" s="11">
        <v>45778.0</v>
      </c>
      <c r="C3" s="12">
        <f>VLOOKUP(B:B,'Курс валют'!A:D,4,0)</f>
        <v>92.837</v>
      </c>
      <c r="D3" s="15">
        <v>226.0</v>
      </c>
      <c r="E3" s="75" t="s">
        <v>18</v>
      </c>
      <c r="F3" s="15">
        <v>1100.0</v>
      </c>
      <c r="G3" s="15">
        <v>1111.0</v>
      </c>
      <c r="H3" s="17">
        <v>20.0</v>
      </c>
      <c r="I3" s="15">
        <f t="shared" si="1"/>
        <v>11</v>
      </c>
      <c r="J3" s="18">
        <f t="shared" si="2"/>
        <v>1</v>
      </c>
      <c r="K3" s="17">
        <v>2.6</v>
      </c>
      <c r="L3" s="19">
        <f t="shared" si="3"/>
        <v>1.818181818</v>
      </c>
      <c r="M3" s="20">
        <f t="shared" si="4"/>
        <v>236.2448458</v>
      </c>
      <c r="N3" s="21">
        <f t="shared" si="5"/>
        <v>2.544727273</v>
      </c>
      <c r="O3" s="21">
        <f t="shared" si="6"/>
        <v>2799.2</v>
      </c>
      <c r="P3" s="22">
        <f t="shared" si="7"/>
        <v>259869.3304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30">
        <v>45779.0</v>
      </c>
      <c r="B4" s="11">
        <v>45779.0</v>
      </c>
      <c r="C4" s="12">
        <f>VLOOKUP(B:B,'Курс валют'!A:D,4,0)</f>
        <v>92.837</v>
      </c>
      <c r="D4" s="15">
        <v>228.0</v>
      </c>
      <c r="E4" s="59" t="s">
        <v>18</v>
      </c>
      <c r="F4" s="15">
        <v>11000.0</v>
      </c>
      <c r="G4" s="15">
        <v>11040.0</v>
      </c>
      <c r="H4" s="17">
        <v>200.0</v>
      </c>
      <c r="I4" s="15">
        <f t="shared" si="1"/>
        <v>40</v>
      </c>
      <c r="J4" s="18">
        <f t="shared" si="2"/>
        <v>0.3636363636</v>
      </c>
      <c r="K4" s="17">
        <v>2.59</v>
      </c>
      <c r="L4" s="19">
        <f t="shared" si="3"/>
        <v>1.818181818</v>
      </c>
      <c r="M4" s="20">
        <f t="shared" si="4"/>
        <v>235.3164758</v>
      </c>
      <c r="N4" s="21">
        <f t="shared" si="5"/>
        <v>2.534727273</v>
      </c>
      <c r="O4" s="21">
        <f t="shared" si="6"/>
        <v>27882</v>
      </c>
      <c r="P4" s="22">
        <f t="shared" si="7"/>
        <v>2588481.234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30">
        <v>45779.0</v>
      </c>
      <c r="B5" s="11">
        <v>45779.0</v>
      </c>
      <c r="C5" s="12">
        <f>VLOOKUP(B:B,'Курс валют'!A:D,4,0)</f>
        <v>92.837</v>
      </c>
      <c r="D5" s="15">
        <v>229.0</v>
      </c>
      <c r="E5" s="59" t="s">
        <v>87</v>
      </c>
      <c r="F5" s="15">
        <v>2035.0</v>
      </c>
      <c r="G5" s="15">
        <v>2043.35</v>
      </c>
      <c r="H5" s="17">
        <v>0.0</v>
      </c>
      <c r="I5" s="15">
        <f t="shared" si="1"/>
        <v>8.35</v>
      </c>
      <c r="J5" s="18">
        <f t="shared" si="2"/>
        <v>0.4103194103</v>
      </c>
      <c r="K5" s="17">
        <v>1.99</v>
      </c>
      <c r="L5" s="19">
        <f t="shared" si="3"/>
        <v>0</v>
      </c>
      <c r="M5" s="20">
        <f t="shared" si="4"/>
        <v>184.74563</v>
      </c>
      <c r="N5" s="21">
        <f t="shared" si="5"/>
        <v>1.99</v>
      </c>
      <c r="O5" s="21">
        <f t="shared" si="6"/>
        <v>4049.65</v>
      </c>
      <c r="P5" s="22">
        <f t="shared" si="7"/>
        <v>375957.3571</v>
      </c>
      <c r="R5" s="23" t="s">
        <v>2225</v>
      </c>
      <c r="S5" s="24" t="s">
        <v>2224</v>
      </c>
      <c r="T5" s="25"/>
      <c r="U5" s="25"/>
      <c r="V5" s="25"/>
      <c r="W5" s="25"/>
      <c r="X5" s="25"/>
      <c r="Y5" s="25"/>
      <c r="Z5" s="25"/>
      <c r="AA5" s="25"/>
    </row>
    <row r="6">
      <c r="A6" s="30">
        <v>45780.0</v>
      </c>
      <c r="B6" s="11">
        <v>45780.0</v>
      </c>
      <c r="C6" s="12">
        <f>VLOOKUP(B:B,'Курс валют'!A:D,4,0)</f>
        <v>92.837</v>
      </c>
      <c r="D6" s="15">
        <v>230.0</v>
      </c>
      <c r="E6" s="59" t="s">
        <v>87</v>
      </c>
      <c r="F6" s="15">
        <v>2035.0</v>
      </c>
      <c r="G6" s="15">
        <v>2044.35</v>
      </c>
      <c r="H6" s="17">
        <v>0.0</v>
      </c>
      <c r="I6" s="15">
        <f t="shared" si="1"/>
        <v>9.35</v>
      </c>
      <c r="J6" s="18">
        <f t="shared" si="2"/>
        <v>0.4594594595</v>
      </c>
      <c r="K6" s="17">
        <v>1.99</v>
      </c>
      <c r="L6" s="19">
        <f t="shared" si="3"/>
        <v>0</v>
      </c>
      <c r="M6" s="20">
        <f t="shared" si="4"/>
        <v>184.74563</v>
      </c>
      <c r="N6" s="21">
        <f t="shared" si="5"/>
        <v>1.99</v>
      </c>
      <c r="O6" s="21">
        <f t="shared" si="6"/>
        <v>4049.65</v>
      </c>
      <c r="P6" s="22">
        <f t="shared" si="7"/>
        <v>375957.3571</v>
      </c>
      <c r="R6" s="23" t="s">
        <v>2225</v>
      </c>
      <c r="S6" s="24" t="s">
        <v>2224</v>
      </c>
      <c r="T6" s="25"/>
      <c r="U6" s="25"/>
      <c r="V6" s="25"/>
      <c r="W6" s="25"/>
      <c r="X6" s="25"/>
      <c r="Y6" s="25"/>
      <c r="Z6" s="25"/>
      <c r="AA6" s="25"/>
    </row>
    <row r="7">
      <c r="A7" s="30">
        <v>45780.0</v>
      </c>
      <c r="B7" s="11">
        <v>45780.0</v>
      </c>
      <c r="C7" s="12">
        <f>VLOOKUP(B:B,'Курс валют'!A:D,4,0)</f>
        <v>92.837</v>
      </c>
      <c r="D7" s="15">
        <v>231.0</v>
      </c>
      <c r="E7" s="59" t="s">
        <v>18</v>
      </c>
      <c r="F7" s="15">
        <v>12100.0</v>
      </c>
      <c r="G7" s="15">
        <v>12160.0</v>
      </c>
      <c r="H7" s="17">
        <v>220.0</v>
      </c>
      <c r="I7" s="15">
        <f t="shared" si="1"/>
        <v>60</v>
      </c>
      <c r="J7" s="18">
        <f t="shared" si="2"/>
        <v>0.4958677686</v>
      </c>
      <c r="K7" s="17">
        <v>2.56</v>
      </c>
      <c r="L7" s="19">
        <f t="shared" si="3"/>
        <v>1.818181818</v>
      </c>
      <c r="M7" s="20">
        <f t="shared" si="4"/>
        <v>232.5313658</v>
      </c>
      <c r="N7" s="21">
        <f t="shared" si="5"/>
        <v>2.504727273</v>
      </c>
      <c r="O7" s="21">
        <f t="shared" si="6"/>
        <v>30307.2</v>
      </c>
      <c r="P7" s="22">
        <f t="shared" si="7"/>
        <v>2813629.526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30">
        <v>45781.0</v>
      </c>
      <c r="B8" s="11">
        <v>45781.0</v>
      </c>
      <c r="C8" s="12">
        <f>VLOOKUP(B:B,'Курс валют'!A:D,4,0)</f>
        <v>92.837</v>
      </c>
      <c r="D8" s="15">
        <v>232.0</v>
      </c>
      <c r="E8" s="77" t="s">
        <v>1567</v>
      </c>
      <c r="F8" s="15">
        <v>11000.0</v>
      </c>
      <c r="G8" s="15">
        <v>11070.0</v>
      </c>
      <c r="H8" s="17">
        <v>200.0</v>
      </c>
      <c r="I8" s="15">
        <f t="shared" si="1"/>
        <v>70</v>
      </c>
      <c r="J8" s="18">
        <f t="shared" si="2"/>
        <v>0.6363636364</v>
      </c>
      <c r="K8" s="17">
        <v>2.74</v>
      </c>
      <c r="L8" s="19">
        <f t="shared" si="3"/>
        <v>1.818181818</v>
      </c>
      <c r="M8" s="20">
        <f t="shared" si="4"/>
        <v>249.2420258</v>
      </c>
      <c r="N8" s="21">
        <f t="shared" si="5"/>
        <v>2.684727273</v>
      </c>
      <c r="O8" s="21">
        <f t="shared" si="6"/>
        <v>29532</v>
      </c>
      <c r="P8" s="22">
        <f t="shared" si="7"/>
        <v>2741662.284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30">
        <v>45781.0</v>
      </c>
      <c r="B9" s="11">
        <v>45781.0</v>
      </c>
      <c r="C9" s="12">
        <f>VLOOKUP(B:B,'Курс валют'!A:D,4,0)</f>
        <v>92.837</v>
      </c>
      <c r="D9" s="15">
        <v>238.0</v>
      </c>
      <c r="E9" s="77" t="s">
        <v>87</v>
      </c>
      <c r="F9" s="15">
        <v>2045.0</v>
      </c>
      <c r="G9" s="15">
        <v>2052.33</v>
      </c>
      <c r="H9" s="17">
        <v>0.0</v>
      </c>
      <c r="I9" s="15">
        <f t="shared" si="1"/>
        <v>7.33</v>
      </c>
      <c r="J9" s="18">
        <f t="shared" si="2"/>
        <v>0.3584352078</v>
      </c>
      <c r="K9" s="17">
        <v>1.98</v>
      </c>
      <c r="L9" s="19">
        <f t="shared" si="3"/>
        <v>0</v>
      </c>
      <c r="M9" s="20">
        <f t="shared" si="4"/>
        <v>183.81726</v>
      </c>
      <c r="N9" s="21">
        <f t="shared" si="5"/>
        <v>1.98</v>
      </c>
      <c r="O9" s="21">
        <f t="shared" si="6"/>
        <v>4049.1</v>
      </c>
      <c r="P9" s="22">
        <f t="shared" si="7"/>
        <v>375906.2967</v>
      </c>
      <c r="R9" s="23" t="s">
        <v>2226</v>
      </c>
      <c r="S9" s="24" t="s">
        <v>2224</v>
      </c>
      <c r="T9" s="25"/>
      <c r="U9" s="25"/>
      <c r="V9" s="25"/>
      <c r="W9" s="25"/>
      <c r="X9" s="25"/>
      <c r="Y9" s="25"/>
      <c r="Z9" s="25"/>
      <c r="AA9" s="25"/>
    </row>
    <row r="10">
      <c r="A10" s="30">
        <v>45782.0</v>
      </c>
      <c r="B10" s="11">
        <v>45782.0</v>
      </c>
      <c r="C10" s="12">
        <f>VLOOKUP(B:B,'Курс валют'!A:D,4,0)</f>
        <v>92.837</v>
      </c>
      <c r="D10" s="15">
        <v>239.0</v>
      </c>
      <c r="E10" s="77" t="s">
        <v>87</v>
      </c>
      <c r="F10" s="15">
        <v>2025.0</v>
      </c>
      <c r="G10" s="15">
        <v>2036.35</v>
      </c>
      <c r="H10" s="17">
        <v>0.0</v>
      </c>
      <c r="I10" s="15">
        <f t="shared" si="1"/>
        <v>11.35</v>
      </c>
      <c r="J10" s="18">
        <f t="shared" si="2"/>
        <v>0.5604938272</v>
      </c>
      <c r="K10" s="17">
        <v>1.98</v>
      </c>
      <c r="L10" s="19">
        <f t="shared" si="3"/>
        <v>0</v>
      </c>
      <c r="M10" s="20">
        <f t="shared" si="4"/>
        <v>183.81726</v>
      </c>
      <c r="N10" s="21">
        <f t="shared" si="5"/>
        <v>1.98</v>
      </c>
      <c r="O10" s="21">
        <f t="shared" si="6"/>
        <v>4009.5</v>
      </c>
      <c r="P10" s="22">
        <f t="shared" si="7"/>
        <v>372229.9515</v>
      </c>
      <c r="R10" s="23"/>
      <c r="S10" s="24" t="s">
        <v>2224</v>
      </c>
      <c r="T10" s="25"/>
      <c r="U10" s="25"/>
      <c r="V10" s="25"/>
      <c r="W10" s="25"/>
      <c r="X10" s="25"/>
      <c r="Y10" s="25"/>
      <c r="Z10" s="25"/>
      <c r="AA10" s="25"/>
    </row>
    <row r="11">
      <c r="A11" s="30">
        <v>45782.0</v>
      </c>
      <c r="B11" s="11">
        <v>45782.0</v>
      </c>
      <c r="C11" s="12">
        <f>VLOOKUP(B:B,'Курс валют'!A:D,4,0)</f>
        <v>92.837</v>
      </c>
      <c r="D11" s="15">
        <v>240.0</v>
      </c>
      <c r="E11" s="77" t="s">
        <v>1567</v>
      </c>
      <c r="F11" s="15">
        <v>9900.0</v>
      </c>
      <c r="G11" s="15">
        <v>9940.0</v>
      </c>
      <c r="H11" s="17">
        <v>180.0</v>
      </c>
      <c r="I11" s="15">
        <f t="shared" si="1"/>
        <v>40</v>
      </c>
      <c r="J11" s="18">
        <f t="shared" si="2"/>
        <v>0.404040404</v>
      </c>
      <c r="K11" s="17">
        <v>2.73</v>
      </c>
      <c r="L11" s="19">
        <f t="shared" si="3"/>
        <v>1.818181818</v>
      </c>
      <c r="M11" s="20">
        <f t="shared" si="4"/>
        <v>248.3136558</v>
      </c>
      <c r="N11" s="21">
        <f t="shared" si="5"/>
        <v>2.674727273</v>
      </c>
      <c r="O11" s="21">
        <f t="shared" si="6"/>
        <v>26479.8</v>
      </c>
      <c r="P11" s="22">
        <f t="shared" si="7"/>
        <v>2458305.193</v>
      </c>
      <c r="R11" s="79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30">
        <v>45783.0</v>
      </c>
      <c r="B12" s="11">
        <v>45783.0</v>
      </c>
      <c r="C12" s="12">
        <f>VLOOKUP(B:B,'Курс валют'!A:D,4,0)</f>
        <v>92.9082</v>
      </c>
      <c r="D12" s="15">
        <v>241.0</v>
      </c>
      <c r="E12" s="77" t="s">
        <v>1567</v>
      </c>
      <c r="F12" s="15">
        <v>9900.0</v>
      </c>
      <c r="G12" s="15">
        <v>9995.0</v>
      </c>
      <c r="H12" s="17">
        <v>180.0</v>
      </c>
      <c r="I12" s="15">
        <f t="shared" si="1"/>
        <v>95</v>
      </c>
      <c r="J12" s="18">
        <f t="shared" si="2"/>
        <v>0.9595959596</v>
      </c>
      <c r="K12" s="17">
        <v>2.74</v>
      </c>
      <c r="L12" s="19">
        <f t="shared" si="3"/>
        <v>1.818181818</v>
      </c>
      <c r="M12" s="20">
        <f t="shared" si="4"/>
        <v>249.4331784</v>
      </c>
      <c r="N12" s="21">
        <f t="shared" si="5"/>
        <v>2.684727273</v>
      </c>
      <c r="O12" s="21">
        <f t="shared" si="6"/>
        <v>26578.8</v>
      </c>
      <c r="P12" s="22">
        <f t="shared" si="7"/>
        <v>2469388.466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30">
        <v>45784.0</v>
      </c>
      <c r="B13" s="11">
        <v>45784.0</v>
      </c>
      <c r="C13" s="12">
        <f>VLOOKUP(B:B,'Курс валют'!A:D,4,0)</f>
        <v>91.9169</v>
      </c>
      <c r="D13" s="15">
        <v>242.0</v>
      </c>
      <c r="E13" s="77" t="s">
        <v>18</v>
      </c>
      <c r="F13" s="15">
        <v>11000.0</v>
      </c>
      <c r="G13" s="15">
        <v>11050.0</v>
      </c>
      <c r="H13" s="17">
        <v>200.0</v>
      </c>
      <c r="I13" s="15">
        <f t="shared" si="1"/>
        <v>50</v>
      </c>
      <c r="J13" s="18">
        <f t="shared" si="2"/>
        <v>0.4545454545</v>
      </c>
      <c r="K13" s="17">
        <v>2.59</v>
      </c>
      <c r="L13" s="19">
        <f t="shared" si="3"/>
        <v>1.818181818</v>
      </c>
      <c r="M13" s="20"/>
      <c r="N13" s="21">
        <f t="shared" si="5"/>
        <v>2.534727273</v>
      </c>
      <c r="O13" s="21">
        <f t="shared" si="6"/>
        <v>27882</v>
      </c>
      <c r="P13" s="22">
        <f t="shared" si="7"/>
        <v>2562827.006</v>
      </c>
      <c r="R13" s="23" t="s">
        <v>2227</v>
      </c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30">
        <v>45784.0</v>
      </c>
      <c r="B14" s="11">
        <v>45784.0</v>
      </c>
      <c r="C14" s="12">
        <f>VLOOKUP(B:B,'Курс валют'!A:D,4,0)</f>
        <v>91.9169</v>
      </c>
      <c r="D14" s="15">
        <v>243.0</v>
      </c>
      <c r="E14" s="77" t="s">
        <v>60</v>
      </c>
      <c r="F14" s="15">
        <v>1900.0</v>
      </c>
      <c r="G14" s="15">
        <v>1926.6</v>
      </c>
      <c r="H14" s="17">
        <v>0.0</v>
      </c>
      <c r="I14" s="15">
        <f t="shared" si="1"/>
        <v>26.6</v>
      </c>
      <c r="J14" s="18">
        <f t="shared" si="2"/>
        <v>1.4</v>
      </c>
      <c r="K14" s="17">
        <v>2.81</v>
      </c>
      <c r="L14" s="19">
        <f t="shared" si="3"/>
        <v>0</v>
      </c>
      <c r="M14" s="20">
        <f t="shared" ref="M14:M84" si="8">P14/F14</f>
        <v>258.286489</v>
      </c>
      <c r="N14" s="21">
        <f t="shared" si="5"/>
        <v>2.81</v>
      </c>
      <c r="O14" s="21">
        <f t="shared" si="6"/>
        <v>5339</v>
      </c>
      <c r="P14" s="22">
        <f t="shared" si="7"/>
        <v>490744.3291</v>
      </c>
      <c r="R14" s="23" t="s">
        <v>2228</v>
      </c>
      <c r="S14" s="24" t="s">
        <v>2224</v>
      </c>
      <c r="T14" s="25"/>
      <c r="U14" s="25"/>
      <c r="V14" s="25"/>
      <c r="W14" s="25"/>
      <c r="X14" s="25"/>
      <c r="Y14" s="25"/>
      <c r="Z14" s="25"/>
      <c r="AA14" s="25"/>
    </row>
    <row r="15">
      <c r="A15" s="30">
        <v>45784.0</v>
      </c>
      <c r="B15" s="11">
        <v>45785.0</v>
      </c>
      <c r="C15" s="12">
        <f>VLOOKUP(B:B,'Курс валют'!A:D,4,0)</f>
        <v>92.1439</v>
      </c>
      <c r="D15" s="15">
        <v>244.0</v>
      </c>
      <c r="E15" s="77" t="s">
        <v>60</v>
      </c>
      <c r="F15" s="15">
        <v>1000.0</v>
      </c>
      <c r="G15" s="15">
        <v>1017.3</v>
      </c>
      <c r="H15" s="17">
        <v>0.0</v>
      </c>
      <c r="I15" s="15">
        <f t="shared" si="1"/>
        <v>17.3</v>
      </c>
      <c r="J15" s="18">
        <f t="shared" si="2"/>
        <v>1.73</v>
      </c>
      <c r="K15" s="17">
        <v>2.65</v>
      </c>
      <c r="L15" s="19">
        <f t="shared" si="3"/>
        <v>0</v>
      </c>
      <c r="M15" s="20">
        <f t="shared" si="8"/>
        <v>244.181335</v>
      </c>
      <c r="N15" s="21">
        <f t="shared" si="5"/>
        <v>2.65</v>
      </c>
      <c r="O15" s="21">
        <f t="shared" si="6"/>
        <v>2650</v>
      </c>
      <c r="P15" s="22">
        <f t="shared" si="7"/>
        <v>244181.335</v>
      </c>
      <c r="R15" s="23"/>
      <c r="S15" s="24" t="s">
        <v>2224</v>
      </c>
      <c r="T15" s="25"/>
      <c r="U15" s="25"/>
      <c r="V15" s="25"/>
      <c r="W15" s="25"/>
      <c r="X15" s="25"/>
      <c r="Y15" s="25"/>
      <c r="Z15" s="25"/>
      <c r="AA15" s="25"/>
    </row>
    <row r="16">
      <c r="A16" s="30">
        <v>45784.0</v>
      </c>
      <c r="B16" s="11">
        <v>45785.0</v>
      </c>
      <c r="C16" s="12">
        <f>VLOOKUP(B:B,'Курс валют'!A:D,4,0)</f>
        <v>92.1439</v>
      </c>
      <c r="D16" s="15">
        <v>245.0</v>
      </c>
      <c r="E16" s="77" t="s">
        <v>60</v>
      </c>
      <c r="F16" s="15">
        <v>2000.0</v>
      </c>
      <c r="G16" s="15">
        <v>2033.7</v>
      </c>
      <c r="H16" s="17">
        <v>0.0</v>
      </c>
      <c r="I16" s="15">
        <f t="shared" si="1"/>
        <v>33.7</v>
      </c>
      <c r="J16" s="18">
        <f t="shared" si="2"/>
        <v>1.685</v>
      </c>
      <c r="K16" s="17">
        <v>2.65</v>
      </c>
      <c r="L16" s="19">
        <f t="shared" si="3"/>
        <v>0</v>
      </c>
      <c r="M16" s="20">
        <f t="shared" si="8"/>
        <v>244.181335</v>
      </c>
      <c r="N16" s="21">
        <f t="shared" si="5"/>
        <v>2.65</v>
      </c>
      <c r="O16" s="21">
        <f t="shared" si="6"/>
        <v>5300</v>
      </c>
      <c r="P16" s="22">
        <f t="shared" si="7"/>
        <v>488362.67</v>
      </c>
      <c r="R16" s="31"/>
      <c r="S16" s="24" t="s">
        <v>2224</v>
      </c>
      <c r="T16" s="32"/>
      <c r="U16" s="32"/>
      <c r="V16" s="32"/>
      <c r="W16" s="32"/>
      <c r="X16" s="32"/>
      <c r="Y16" s="32"/>
      <c r="Z16" s="32"/>
      <c r="AA16" s="32"/>
    </row>
    <row r="17">
      <c r="A17" s="30">
        <v>45784.0</v>
      </c>
      <c r="B17" s="11">
        <v>45785.0</v>
      </c>
      <c r="C17" s="12">
        <f>VLOOKUP(B:B,'Курс валют'!A:D,4,0)</f>
        <v>92.1439</v>
      </c>
      <c r="D17" s="15">
        <v>246.0</v>
      </c>
      <c r="E17" s="59" t="s">
        <v>18</v>
      </c>
      <c r="F17" s="15">
        <v>11000.0</v>
      </c>
      <c r="G17" s="15">
        <v>11080.0</v>
      </c>
      <c r="H17" s="17">
        <v>200.0</v>
      </c>
      <c r="I17" s="15">
        <f t="shared" si="1"/>
        <v>80</v>
      </c>
      <c r="J17" s="18">
        <f t="shared" si="2"/>
        <v>0.7272727273</v>
      </c>
      <c r="K17" s="17">
        <v>2.49</v>
      </c>
      <c r="L17" s="19">
        <f t="shared" si="3"/>
        <v>1.818181818</v>
      </c>
      <c r="M17" s="20">
        <f t="shared" si="8"/>
        <v>224.3452663</v>
      </c>
      <c r="N17" s="21">
        <f t="shared" si="5"/>
        <v>2.434727273</v>
      </c>
      <c r="O17" s="21">
        <f t="shared" si="6"/>
        <v>26782</v>
      </c>
      <c r="P17" s="22">
        <f t="shared" si="7"/>
        <v>2467797.93</v>
      </c>
      <c r="R17" s="31"/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>
        <v>45783.0</v>
      </c>
      <c r="B18" s="11">
        <v>45783.0</v>
      </c>
      <c r="C18" s="12">
        <f>VLOOKUP(B:B,'Курс валют'!A:D,4,0)</f>
        <v>92.9082</v>
      </c>
      <c r="D18" s="15">
        <v>247.0</v>
      </c>
      <c r="E18" s="59" t="s">
        <v>59</v>
      </c>
      <c r="F18" s="15">
        <v>1000.0</v>
      </c>
      <c r="G18" s="15">
        <v>1036.5</v>
      </c>
      <c r="H18" s="17">
        <v>0.0</v>
      </c>
      <c r="I18" s="15">
        <f t="shared" si="1"/>
        <v>36.5</v>
      </c>
      <c r="J18" s="18">
        <f t="shared" si="2"/>
        <v>3.65</v>
      </c>
      <c r="K18" s="17">
        <v>3.11</v>
      </c>
      <c r="L18" s="19">
        <f t="shared" si="3"/>
        <v>0</v>
      </c>
      <c r="M18" s="20">
        <f t="shared" si="8"/>
        <v>288.944502</v>
      </c>
      <c r="N18" s="21">
        <f t="shared" si="5"/>
        <v>3.11</v>
      </c>
      <c r="O18" s="21">
        <f t="shared" si="6"/>
        <v>3110</v>
      </c>
      <c r="P18" s="22">
        <f t="shared" si="7"/>
        <v>288944.502</v>
      </c>
      <c r="R18" s="31"/>
      <c r="S18" s="24" t="s">
        <v>2229</v>
      </c>
      <c r="T18" s="25"/>
      <c r="U18" s="25"/>
      <c r="V18" s="25"/>
      <c r="W18" s="25"/>
      <c r="X18" s="25"/>
      <c r="Y18" s="25"/>
      <c r="Z18" s="25"/>
      <c r="AA18" s="25"/>
    </row>
    <row r="19">
      <c r="A19" s="30">
        <v>45784.0</v>
      </c>
      <c r="B19" s="11">
        <v>45784.0</v>
      </c>
      <c r="C19" s="12">
        <f>VLOOKUP(B:B,'Курс валют'!A:D,4,0)</f>
        <v>91.9169</v>
      </c>
      <c r="D19" s="15">
        <v>248.0</v>
      </c>
      <c r="E19" s="59" t="s">
        <v>59</v>
      </c>
      <c r="F19" s="15">
        <v>1000.0</v>
      </c>
      <c r="G19" s="15">
        <v>1039.5</v>
      </c>
      <c r="H19" s="17">
        <v>0.0</v>
      </c>
      <c r="I19" s="15">
        <f t="shared" si="1"/>
        <v>39.5</v>
      </c>
      <c r="J19" s="18">
        <f t="shared" si="2"/>
        <v>3.95</v>
      </c>
      <c r="K19" s="17">
        <v>3.12</v>
      </c>
      <c r="L19" s="19">
        <f t="shared" si="3"/>
        <v>0</v>
      </c>
      <c r="M19" s="20">
        <f t="shared" si="8"/>
        <v>286.780728</v>
      </c>
      <c r="N19" s="21">
        <f t="shared" si="5"/>
        <v>3.12</v>
      </c>
      <c r="O19" s="21">
        <f t="shared" si="6"/>
        <v>3120</v>
      </c>
      <c r="P19" s="22">
        <f t="shared" si="7"/>
        <v>286780.728</v>
      </c>
      <c r="R19" s="31"/>
      <c r="S19" s="24" t="s">
        <v>2229</v>
      </c>
      <c r="T19" s="32"/>
      <c r="U19" s="32"/>
      <c r="V19" s="32"/>
      <c r="W19" s="32"/>
      <c r="X19" s="32"/>
      <c r="Y19" s="32"/>
      <c r="Z19" s="32"/>
      <c r="AA19" s="32"/>
    </row>
    <row r="20">
      <c r="A20" s="30">
        <v>45784.0</v>
      </c>
      <c r="B20" s="11">
        <v>45784.0</v>
      </c>
      <c r="C20" s="12">
        <f>VLOOKUP(B:B,'Курс валют'!A:D,4,0)</f>
        <v>91.9169</v>
      </c>
      <c r="D20" s="15">
        <v>249.0</v>
      </c>
      <c r="E20" s="59" t="s">
        <v>59</v>
      </c>
      <c r="F20" s="15">
        <v>1000.0</v>
      </c>
      <c r="G20" s="15">
        <v>1037.5</v>
      </c>
      <c r="H20" s="17">
        <v>0.0</v>
      </c>
      <c r="I20" s="15">
        <f t="shared" si="1"/>
        <v>37.5</v>
      </c>
      <c r="J20" s="18">
        <f t="shared" si="2"/>
        <v>3.75</v>
      </c>
      <c r="K20" s="17">
        <v>3.12</v>
      </c>
      <c r="L20" s="19">
        <f t="shared" si="3"/>
        <v>0</v>
      </c>
      <c r="M20" s="20">
        <f t="shared" si="8"/>
        <v>286.780728</v>
      </c>
      <c r="N20" s="21">
        <f t="shared" si="5"/>
        <v>3.12</v>
      </c>
      <c r="O20" s="21">
        <f t="shared" si="6"/>
        <v>3120</v>
      </c>
      <c r="P20" s="22">
        <f t="shared" si="7"/>
        <v>286780.728</v>
      </c>
      <c r="R20" s="31"/>
      <c r="S20" s="24" t="s">
        <v>2229</v>
      </c>
      <c r="T20" s="32"/>
      <c r="U20" s="32"/>
      <c r="V20" s="32"/>
      <c r="W20" s="32"/>
      <c r="X20" s="32"/>
      <c r="Y20" s="32"/>
      <c r="Z20" s="32"/>
      <c r="AA20" s="32"/>
    </row>
    <row r="21">
      <c r="A21" s="30">
        <v>45785.0</v>
      </c>
      <c r="B21" s="11">
        <v>45785.0</v>
      </c>
      <c r="C21" s="12">
        <f>VLOOKUP(B:B,'Курс валют'!A:D,4,0)</f>
        <v>92.1439</v>
      </c>
      <c r="D21" s="15">
        <v>250.0</v>
      </c>
      <c r="E21" s="59" t="s">
        <v>59</v>
      </c>
      <c r="F21" s="15">
        <v>1000.0</v>
      </c>
      <c r="G21" s="15">
        <v>1035.5</v>
      </c>
      <c r="H21" s="17">
        <v>0.0</v>
      </c>
      <c r="I21" s="15">
        <f t="shared" si="1"/>
        <v>35.5</v>
      </c>
      <c r="J21" s="18">
        <f t="shared" si="2"/>
        <v>3.55</v>
      </c>
      <c r="K21" s="17">
        <v>3.11</v>
      </c>
      <c r="L21" s="19">
        <f t="shared" si="3"/>
        <v>0</v>
      </c>
      <c r="M21" s="20">
        <f t="shared" si="8"/>
        <v>286.567529</v>
      </c>
      <c r="N21" s="21">
        <f t="shared" si="5"/>
        <v>3.11</v>
      </c>
      <c r="O21" s="21">
        <f t="shared" si="6"/>
        <v>3110</v>
      </c>
      <c r="P21" s="22">
        <f t="shared" si="7"/>
        <v>286567.529</v>
      </c>
      <c r="R21" s="23"/>
      <c r="S21" s="24" t="s">
        <v>2229</v>
      </c>
      <c r="T21" s="32"/>
      <c r="U21" s="32"/>
      <c r="V21" s="32"/>
      <c r="W21" s="32"/>
      <c r="X21" s="32"/>
      <c r="Y21" s="32"/>
      <c r="Z21" s="32"/>
      <c r="AA21" s="32"/>
    </row>
    <row r="22">
      <c r="A22" s="30">
        <v>45786.0</v>
      </c>
      <c r="B22" s="11">
        <v>45786.0</v>
      </c>
      <c r="C22" s="12">
        <f>VLOOKUP(B:B,'Курс валют'!A:D,4,0)</f>
        <v>92.1439</v>
      </c>
      <c r="D22" s="15">
        <v>251.0</v>
      </c>
      <c r="E22" s="59" t="s">
        <v>59</v>
      </c>
      <c r="F22" s="15">
        <v>1000.0</v>
      </c>
      <c r="G22" s="15">
        <v>1038.5</v>
      </c>
      <c r="H22" s="17">
        <v>0.0</v>
      </c>
      <c r="I22" s="15">
        <f t="shared" si="1"/>
        <v>38.5</v>
      </c>
      <c r="J22" s="18">
        <f t="shared" si="2"/>
        <v>3.85</v>
      </c>
      <c r="K22" s="17">
        <v>3.12</v>
      </c>
      <c r="L22" s="19">
        <f t="shared" si="3"/>
        <v>0</v>
      </c>
      <c r="M22" s="20">
        <f t="shared" si="8"/>
        <v>287.488968</v>
      </c>
      <c r="N22" s="21">
        <f t="shared" si="5"/>
        <v>3.12</v>
      </c>
      <c r="O22" s="21">
        <f t="shared" si="6"/>
        <v>3120</v>
      </c>
      <c r="P22" s="22">
        <f t="shared" si="7"/>
        <v>287488.968</v>
      </c>
      <c r="R22" s="31"/>
      <c r="S22" s="24" t="s">
        <v>2229</v>
      </c>
      <c r="T22" s="25"/>
      <c r="U22" s="25"/>
      <c r="V22" s="25"/>
      <c r="W22" s="25"/>
      <c r="X22" s="25"/>
      <c r="Y22" s="25"/>
      <c r="Z22" s="25"/>
      <c r="AA22" s="25"/>
    </row>
    <row r="23">
      <c r="A23" s="30">
        <v>45786.0</v>
      </c>
      <c r="B23" s="11">
        <v>45786.0</v>
      </c>
      <c r="C23" s="12">
        <f>VLOOKUP(B:B,'Курс валют'!A:D,4,0)</f>
        <v>92.1439</v>
      </c>
      <c r="D23" s="15">
        <v>252.0</v>
      </c>
      <c r="E23" s="77" t="s">
        <v>60</v>
      </c>
      <c r="F23" s="15">
        <v>1000.0</v>
      </c>
      <c r="G23" s="15">
        <v>1020.3</v>
      </c>
      <c r="H23" s="17">
        <v>0.0</v>
      </c>
      <c r="I23" s="15">
        <f t="shared" si="1"/>
        <v>20.3</v>
      </c>
      <c r="J23" s="18">
        <f t="shared" si="2"/>
        <v>2.03</v>
      </c>
      <c r="K23" s="17">
        <v>2.67</v>
      </c>
      <c r="L23" s="19">
        <f t="shared" si="3"/>
        <v>0</v>
      </c>
      <c r="M23" s="20">
        <f t="shared" si="8"/>
        <v>246.024213</v>
      </c>
      <c r="N23" s="21">
        <f t="shared" si="5"/>
        <v>2.67</v>
      </c>
      <c r="O23" s="21">
        <f t="shared" si="6"/>
        <v>2670</v>
      </c>
      <c r="P23" s="22">
        <f t="shared" si="7"/>
        <v>246024.213</v>
      </c>
      <c r="R23" s="23"/>
      <c r="S23" s="24" t="s">
        <v>2224</v>
      </c>
      <c r="T23" s="25"/>
      <c r="U23" s="25"/>
      <c r="V23" s="25"/>
      <c r="W23" s="25"/>
      <c r="X23" s="25"/>
      <c r="Y23" s="25"/>
      <c r="Z23" s="25"/>
      <c r="AA23" s="25"/>
    </row>
    <row r="24">
      <c r="A24" s="30">
        <v>45786.0</v>
      </c>
      <c r="B24" s="11">
        <v>45786.0</v>
      </c>
      <c r="C24" s="12">
        <f>VLOOKUP(B:B,'Курс валют'!A:D,4,0)</f>
        <v>92.1439</v>
      </c>
      <c r="D24" s="15">
        <v>253.0</v>
      </c>
      <c r="E24" s="59" t="s">
        <v>18</v>
      </c>
      <c r="F24" s="15">
        <v>11000.0</v>
      </c>
      <c r="G24" s="15">
        <v>11068.0</v>
      </c>
      <c r="H24" s="17">
        <v>198.0</v>
      </c>
      <c r="I24" s="15">
        <f t="shared" si="1"/>
        <v>68</v>
      </c>
      <c r="J24" s="18">
        <f t="shared" si="2"/>
        <v>0.6181818182</v>
      </c>
      <c r="K24" s="17">
        <v>2.49</v>
      </c>
      <c r="L24" s="19">
        <f t="shared" si="3"/>
        <v>1.8</v>
      </c>
      <c r="M24" s="20">
        <f t="shared" si="8"/>
        <v>224.3961968</v>
      </c>
      <c r="N24" s="21">
        <f t="shared" si="5"/>
        <v>2.43528</v>
      </c>
      <c r="O24" s="21">
        <f t="shared" si="6"/>
        <v>26788.08</v>
      </c>
      <c r="P24" s="22">
        <f t="shared" si="7"/>
        <v>2468358.165</v>
      </c>
      <c r="R24" s="23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30">
        <v>45787.0</v>
      </c>
      <c r="B25" s="11">
        <v>45787.0</v>
      </c>
      <c r="C25" s="12">
        <f>VLOOKUP(B:B,'Курс валют'!A:D,4,0)</f>
        <v>92.1439</v>
      </c>
      <c r="D25" s="15">
        <v>254.0</v>
      </c>
      <c r="E25" s="59" t="s">
        <v>18</v>
      </c>
      <c r="F25" s="15">
        <v>1100.0</v>
      </c>
      <c r="G25" s="15">
        <v>1107.0</v>
      </c>
      <c r="H25" s="17">
        <v>22.0</v>
      </c>
      <c r="I25" s="15">
        <f t="shared" si="1"/>
        <v>7</v>
      </c>
      <c r="J25" s="18">
        <f t="shared" si="2"/>
        <v>0.6363636364</v>
      </c>
      <c r="K25" s="17">
        <v>2.49</v>
      </c>
      <c r="L25" s="19">
        <f t="shared" si="3"/>
        <v>2</v>
      </c>
      <c r="M25" s="20">
        <f t="shared" si="8"/>
        <v>223.8359619</v>
      </c>
      <c r="N25" s="21">
        <f t="shared" si="5"/>
        <v>2.4292</v>
      </c>
      <c r="O25" s="21">
        <f t="shared" si="6"/>
        <v>2672.12</v>
      </c>
      <c r="P25" s="22">
        <f t="shared" si="7"/>
        <v>246219.5581</v>
      </c>
      <c r="R25" s="23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30">
        <v>45787.0</v>
      </c>
      <c r="B26" s="11">
        <v>45787.0</v>
      </c>
      <c r="C26" s="12">
        <f>VLOOKUP(B:B,'Курс валют'!A:D,4,0)</f>
        <v>92.1439</v>
      </c>
      <c r="D26" s="15">
        <v>255.0</v>
      </c>
      <c r="E26" s="59" t="s">
        <v>53</v>
      </c>
      <c r="F26" s="15">
        <v>8000.0</v>
      </c>
      <c r="G26" s="15">
        <v>8032.2</v>
      </c>
      <c r="H26" s="17">
        <v>0.0</v>
      </c>
      <c r="I26" s="15">
        <f t="shared" si="1"/>
        <v>32.2</v>
      </c>
      <c r="J26" s="18">
        <f t="shared" si="2"/>
        <v>0.4025</v>
      </c>
      <c r="K26" s="17">
        <v>1.87</v>
      </c>
      <c r="L26" s="19">
        <f t="shared" si="3"/>
        <v>0</v>
      </c>
      <c r="M26" s="20">
        <f t="shared" si="8"/>
        <v>172.309093</v>
      </c>
      <c r="N26" s="21">
        <f t="shared" si="5"/>
        <v>1.87</v>
      </c>
      <c r="O26" s="21">
        <f t="shared" si="6"/>
        <v>14960</v>
      </c>
      <c r="P26" s="22">
        <f t="shared" si="7"/>
        <v>1378472.744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30">
        <v>45787.0</v>
      </c>
      <c r="B27" s="11">
        <v>45787.0</v>
      </c>
      <c r="C27" s="12">
        <f>VLOOKUP(B:B,'Курс валют'!A:D,4,0)</f>
        <v>92.1439</v>
      </c>
      <c r="D27" s="15">
        <v>256.0</v>
      </c>
      <c r="E27" s="59" t="s">
        <v>60</v>
      </c>
      <c r="F27" s="15">
        <v>2000.0</v>
      </c>
      <c r="G27" s="15">
        <v>2041.6</v>
      </c>
      <c r="H27" s="17">
        <v>0.0</v>
      </c>
      <c r="I27" s="15">
        <f t="shared" si="1"/>
        <v>41.6</v>
      </c>
      <c r="J27" s="18">
        <f t="shared" si="2"/>
        <v>2.08</v>
      </c>
      <c r="K27" s="17">
        <v>2.66</v>
      </c>
      <c r="L27" s="19">
        <f t="shared" si="3"/>
        <v>0</v>
      </c>
      <c r="M27" s="20">
        <f t="shared" si="8"/>
        <v>245.102774</v>
      </c>
      <c r="N27" s="21">
        <f t="shared" si="5"/>
        <v>2.66</v>
      </c>
      <c r="O27" s="21">
        <f t="shared" si="6"/>
        <v>5320</v>
      </c>
      <c r="P27" s="22">
        <f t="shared" si="7"/>
        <v>490205.548</v>
      </c>
      <c r="R27" s="23"/>
      <c r="S27" s="57" t="s">
        <v>2224</v>
      </c>
      <c r="T27" s="25"/>
      <c r="U27" s="25"/>
      <c r="V27" s="25"/>
      <c r="W27" s="25"/>
      <c r="X27" s="25"/>
      <c r="Y27" s="25"/>
      <c r="Z27" s="25"/>
      <c r="AA27" s="25"/>
    </row>
    <row r="28">
      <c r="A28" s="30">
        <v>45788.0</v>
      </c>
      <c r="B28" s="11">
        <v>45788.0</v>
      </c>
      <c r="C28" s="12">
        <f>VLOOKUP(B:B,'Курс валют'!A:D,4,0)</f>
        <v>92.1439</v>
      </c>
      <c r="D28" s="15">
        <v>257.0</v>
      </c>
      <c r="E28" s="77" t="s">
        <v>53</v>
      </c>
      <c r="F28" s="76">
        <v>8000.0</v>
      </c>
      <c r="G28" s="76">
        <v>8037.2</v>
      </c>
      <c r="H28" s="58">
        <v>0.0</v>
      </c>
      <c r="I28" s="15">
        <f t="shared" si="1"/>
        <v>37.2</v>
      </c>
      <c r="J28" s="18">
        <f t="shared" si="2"/>
        <v>0.465</v>
      </c>
      <c r="K28" s="58">
        <v>1.87</v>
      </c>
      <c r="L28" s="19">
        <f t="shared" si="3"/>
        <v>0</v>
      </c>
      <c r="M28" s="20">
        <f t="shared" si="8"/>
        <v>172.309093</v>
      </c>
      <c r="N28" s="21">
        <f t="shared" si="5"/>
        <v>1.87</v>
      </c>
      <c r="O28" s="21">
        <f t="shared" si="6"/>
        <v>14960</v>
      </c>
      <c r="P28" s="22">
        <f t="shared" si="7"/>
        <v>1378472.744</v>
      </c>
      <c r="R28" s="23"/>
      <c r="S28" s="57"/>
      <c r="T28" s="25"/>
      <c r="U28" s="25"/>
      <c r="V28" s="25"/>
      <c r="W28" s="25"/>
      <c r="X28" s="25"/>
      <c r="Y28" s="25"/>
      <c r="Z28" s="25"/>
      <c r="AA28" s="25"/>
    </row>
    <row r="29">
      <c r="A29" s="30">
        <v>45788.0</v>
      </c>
      <c r="B29" s="11">
        <v>45788.0</v>
      </c>
      <c r="C29" s="12">
        <f>VLOOKUP(B:B,'Курс валют'!A:D,4,0)</f>
        <v>92.1439</v>
      </c>
      <c r="D29" s="15">
        <v>258.0</v>
      </c>
      <c r="E29" s="77" t="s">
        <v>60</v>
      </c>
      <c r="F29" s="15">
        <v>2000.0</v>
      </c>
      <c r="G29" s="15">
        <v>2030.6</v>
      </c>
      <c r="H29" s="17">
        <v>0.0</v>
      </c>
      <c r="I29" s="15">
        <f t="shared" si="1"/>
        <v>30.6</v>
      </c>
      <c r="J29" s="18">
        <f t="shared" si="2"/>
        <v>1.53</v>
      </c>
      <c r="K29" s="17">
        <v>2.65</v>
      </c>
      <c r="L29" s="19">
        <f t="shared" si="3"/>
        <v>0</v>
      </c>
      <c r="M29" s="20">
        <f t="shared" si="8"/>
        <v>244.181335</v>
      </c>
      <c r="N29" s="21">
        <f t="shared" si="5"/>
        <v>2.65</v>
      </c>
      <c r="O29" s="21">
        <f t="shared" si="6"/>
        <v>5300</v>
      </c>
      <c r="P29" s="22">
        <f t="shared" si="7"/>
        <v>488362.67</v>
      </c>
      <c r="R29" s="23"/>
      <c r="S29" s="57" t="s">
        <v>2224</v>
      </c>
      <c r="T29" s="25"/>
      <c r="U29" s="25"/>
      <c r="V29" s="25"/>
      <c r="W29" s="25"/>
      <c r="X29" s="25"/>
      <c r="Y29" s="25"/>
      <c r="Z29" s="25"/>
      <c r="AA29" s="25"/>
    </row>
    <row r="30">
      <c r="A30" s="30">
        <v>45789.0</v>
      </c>
      <c r="B30" s="11">
        <v>45789.0</v>
      </c>
      <c r="C30" s="12">
        <f>VLOOKUP(B:B,'Курс валют'!A:D,4,0)</f>
        <v>92.1439</v>
      </c>
      <c r="D30" s="15">
        <v>259.0</v>
      </c>
      <c r="E30" s="77" t="s">
        <v>53</v>
      </c>
      <c r="F30" s="15">
        <v>8000.0</v>
      </c>
      <c r="G30" s="15">
        <v>8030.2</v>
      </c>
      <c r="H30" s="17">
        <v>0.0</v>
      </c>
      <c r="I30" s="15">
        <f t="shared" si="1"/>
        <v>30.2</v>
      </c>
      <c r="J30" s="18">
        <f t="shared" si="2"/>
        <v>0.3775</v>
      </c>
      <c r="K30" s="17">
        <v>1.87</v>
      </c>
      <c r="L30" s="19">
        <f t="shared" si="3"/>
        <v>0</v>
      </c>
      <c r="M30" s="20">
        <f t="shared" si="8"/>
        <v>172.309093</v>
      </c>
      <c r="N30" s="21">
        <f t="shared" si="5"/>
        <v>1.87</v>
      </c>
      <c r="O30" s="21">
        <f t="shared" si="6"/>
        <v>14960</v>
      </c>
      <c r="P30" s="22">
        <f t="shared" si="7"/>
        <v>1378472.744</v>
      </c>
      <c r="R30" s="23"/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>
        <v>45789.0</v>
      </c>
      <c r="B31" s="11">
        <v>45789.0</v>
      </c>
      <c r="C31" s="12">
        <f>VLOOKUP(B:B,'Курс валют'!A:D,4,0)</f>
        <v>92.1439</v>
      </c>
      <c r="D31" s="15">
        <v>260.0</v>
      </c>
      <c r="E31" s="77" t="s">
        <v>60</v>
      </c>
      <c r="F31" s="15">
        <v>2000.0</v>
      </c>
      <c r="G31" s="13">
        <v>2034.0</v>
      </c>
      <c r="H31" s="17">
        <v>0.0</v>
      </c>
      <c r="I31" s="15">
        <f t="shared" si="1"/>
        <v>34</v>
      </c>
      <c r="J31" s="18">
        <f t="shared" si="2"/>
        <v>1.7</v>
      </c>
      <c r="K31" s="17">
        <v>2.65</v>
      </c>
      <c r="L31" s="19">
        <f t="shared" si="3"/>
        <v>0</v>
      </c>
      <c r="M31" s="20">
        <f t="shared" si="8"/>
        <v>244.181335</v>
      </c>
      <c r="N31" s="21">
        <f t="shared" si="5"/>
        <v>2.65</v>
      </c>
      <c r="O31" s="21">
        <f t="shared" si="6"/>
        <v>5300</v>
      </c>
      <c r="P31" s="22">
        <f t="shared" si="7"/>
        <v>488362.67</v>
      </c>
      <c r="R31" s="23"/>
      <c r="S31" s="57" t="s">
        <v>2224</v>
      </c>
      <c r="T31" s="25"/>
      <c r="U31" s="25"/>
      <c r="V31" s="25"/>
      <c r="W31" s="25"/>
      <c r="X31" s="25"/>
      <c r="Y31" s="25"/>
      <c r="Z31" s="25"/>
      <c r="AA31" s="25"/>
    </row>
    <row r="32">
      <c r="A32" s="30">
        <v>45790.0</v>
      </c>
      <c r="B32" s="11">
        <v>45790.0</v>
      </c>
      <c r="C32" s="12">
        <f>VLOOKUP(B:B,'Курс валют'!A:D,4,0)</f>
        <v>90.1117</v>
      </c>
      <c r="D32" s="15">
        <v>261.0</v>
      </c>
      <c r="E32" s="59" t="s">
        <v>2230</v>
      </c>
      <c r="F32" s="15">
        <v>20.0</v>
      </c>
      <c r="G32" s="13">
        <v>21.3</v>
      </c>
      <c r="H32" s="17">
        <v>0.0</v>
      </c>
      <c r="I32" s="15">
        <f t="shared" si="1"/>
        <v>1.3</v>
      </c>
      <c r="J32" s="18">
        <f t="shared" si="2"/>
        <v>6.5</v>
      </c>
      <c r="K32" s="17">
        <v>4.01</v>
      </c>
      <c r="L32" s="19">
        <f t="shared" si="3"/>
        <v>0</v>
      </c>
      <c r="M32" s="20">
        <f t="shared" si="8"/>
        <v>361.347917</v>
      </c>
      <c r="N32" s="21">
        <f t="shared" si="5"/>
        <v>4.01</v>
      </c>
      <c r="O32" s="21">
        <f t="shared" si="6"/>
        <v>80.2</v>
      </c>
      <c r="P32" s="22">
        <f t="shared" si="7"/>
        <v>7226.95834</v>
      </c>
      <c r="R32" s="31" t="s">
        <v>2231</v>
      </c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>
        <v>45790.0</v>
      </c>
      <c r="B33" s="11">
        <v>45790.0</v>
      </c>
      <c r="C33" s="12">
        <f>VLOOKUP(B:B,'Курс валют'!A:D,4,0)</f>
        <v>90.1117</v>
      </c>
      <c r="D33" s="15">
        <v>262.0</v>
      </c>
      <c r="E33" s="59" t="s">
        <v>2232</v>
      </c>
      <c r="F33" s="15">
        <v>20.0</v>
      </c>
      <c r="G33" s="13">
        <v>22.3</v>
      </c>
      <c r="H33" s="17">
        <v>0.0</v>
      </c>
      <c r="I33" s="15">
        <f t="shared" si="1"/>
        <v>2.3</v>
      </c>
      <c r="J33" s="18">
        <f t="shared" si="2"/>
        <v>11.5</v>
      </c>
      <c r="K33" s="17">
        <v>3.94</v>
      </c>
      <c r="L33" s="19">
        <f t="shared" si="3"/>
        <v>0</v>
      </c>
      <c r="M33" s="20">
        <f t="shared" si="8"/>
        <v>355.040098</v>
      </c>
      <c r="N33" s="21">
        <f t="shared" si="5"/>
        <v>3.94</v>
      </c>
      <c r="O33" s="21">
        <f t="shared" si="6"/>
        <v>78.8</v>
      </c>
      <c r="P33" s="22">
        <f t="shared" si="7"/>
        <v>7100.80196</v>
      </c>
      <c r="R33" s="31" t="s">
        <v>2231</v>
      </c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30">
        <v>45790.0</v>
      </c>
      <c r="B34" s="11">
        <v>45790.0</v>
      </c>
      <c r="C34" s="12">
        <f>VLOOKUP(B:B,'Курс валют'!A:D,4,0)</f>
        <v>90.1117</v>
      </c>
      <c r="D34" s="15">
        <v>263.0</v>
      </c>
      <c r="E34" s="59" t="s">
        <v>53</v>
      </c>
      <c r="F34" s="15">
        <v>8000.0</v>
      </c>
      <c r="G34" s="13">
        <v>8030.5</v>
      </c>
      <c r="H34" s="17">
        <v>0.0</v>
      </c>
      <c r="I34" s="15">
        <f t="shared" si="1"/>
        <v>30.5</v>
      </c>
      <c r="J34" s="18">
        <f t="shared" si="2"/>
        <v>0.38125</v>
      </c>
      <c r="K34" s="17">
        <v>1.87</v>
      </c>
      <c r="L34" s="19">
        <f t="shared" si="3"/>
        <v>0</v>
      </c>
      <c r="M34" s="20">
        <f t="shared" si="8"/>
        <v>168.508879</v>
      </c>
      <c r="N34" s="21">
        <f t="shared" si="5"/>
        <v>1.87</v>
      </c>
      <c r="O34" s="21">
        <f t="shared" si="6"/>
        <v>14960</v>
      </c>
      <c r="P34" s="22">
        <f t="shared" si="7"/>
        <v>1348071.032</v>
      </c>
      <c r="R34" s="31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30">
        <v>45787.0</v>
      </c>
      <c r="B35" s="11">
        <v>45787.0</v>
      </c>
      <c r="C35" s="12">
        <f>VLOOKUP(B:B,'Курс валют'!A:D,4,0)</f>
        <v>92.1439</v>
      </c>
      <c r="D35" s="15">
        <v>264.0</v>
      </c>
      <c r="E35" s="59" t="s">
        <v>59</v>
      </c>
      <c r="F35" s="15">
        <v>1000.0</v>
      </c>
      <c r="G35" s="13">
        <v>1038.5</v>
      </c>
      <c r="H35" s="17">
        <v>0.0</v>
      </c>
      <c r="I35" s="15">
        <f t="shared" si="1"/>
        <v>38.5</v>
      </c>
      <c r="J35" s="18">
        <f t="shared" si="2"/>
        <v>3.85</v>
      </c>
      <c r="K35" s="17">
        <v>3.23</v>
      </c>
      <c r="L35" s="19">
        <f t="shared" si="3"/>
        <v>0</v>
      </c>
      <c r="M35" s="20">
        <f t="shared" si="8"/>
        <v>297.624797</v>
      </c>
      <c r="N35" s="21">
        <f t="shared" si="5"/>
        <v>3.23</v>
      </c>
      <c r="O35" s="21">
        <f t="shared" si="6"/>
        <v>3230</v>
      </c>
      <c r="P35" s="22">
        <f t="shared" si="7"/>
        <v>297624.797</v>
      </c>
      <c r="R35" s="78"/>
      <c r="S35" s="24" t="s">
        <v>2229</v>
      </c>
      <c r="T35" s="25"/>
      <c r="U35" s="25"/>
      <c r="V35" s="25"/>
      <c r="W35" s="25"/>
      <c r="X35" s="25"/>
      <c r="Y35" s="25"/>
      <c r="Z35" s="25"/>
      <c r="AA35" s="25"/>
    </row>
    <row r="36">
      <c r="A36" s="30">
        <v>45788.0</v>
      </c>
      <c r="B36" s="11">
        <v>45788.0</v>
      </c>
      <c r="C36" s="12">
        <f>VLOOKUP(B:B,'Курс валют'!A:D,4,0)</f>
        <v>92.1439</v>
      </c>
      <c r="D36" s="15">
        <v>265.0</v>
      </c>
      <c r="E36" s="59" t="s">
        <v>59</v>
      </c>
      <c r="F36" s="15">
        <v>1000.0</v>
      </c>
      <c r="G36" s="13">
        <v>1038.5</v>
      </c>
      <c r="H36" s="17">
        <v>0.0</v>
      </c>
      <c r="I36" s="15">
        <f t="shared" si="1"/>
        <v>38.5</v>
      </c>
      <c r="J36" s="18">
        <f t="shared" si="2"/>
        <v>3.85</v>
      </c>
      <c r="K36" s="17">
        <v>3.22</v>
      </c>
      <c r="L36" s="19">
        <f t="shared" si="3"/>
        <v>0</v>
      </c>
      <c r="M36" s="20">
        <f t="shared" si="8"/>
        <v>296.703358</v>
      </c>
      <c r="N36" s="21">
        <f t="shared" si="5"/>
        <v>3.22</v>
      </c>
      <c r="O36" s="21">
        <f t="shared" si="6"/>
        <v>3220</v>
      </c>
      <c r="P36" s="22">
        <f t="shared" si="7"/>
        <v>296703.358</v>
      </c>
      <c r="R36" s="79"/>
      <c r="S36" s="24" t="s">
        <v>2229</v>
      </c>
      <c r="T36" s="25"/>
      <c r="U36" s="25"/>
      <c r="V36" s="25"/>
      <c r="W36" s="25"/>
      <c r="X36" s="25"/>
      <c r="Y36" s="25"/>
      <c r="Z36" s="25"/>
      <c r="AA36" s="25"/>
    </row>
    <row r="37">
      <c r="A37" s="30">
        <v>45789.0</v>
      </c>
      <c r="B37" s="11">
        <v>45789.0</v>
      </c>
      <c r="C37" s="12">
        <f>VLOOKUP(B:B,'Курс валют'!A:D,4,0)</f>
        <v>92.1439</v>
      </c>
      <c r="D37" s="15">
        <v>266.0</v>
      </c>
      <c r="E37" s="59" t="s">
        <v>59</v>
      </c>
      <c r="F37" s="15">
        <v>1000.0</v>
      </c>
      <c r="G37" s="13">
        <v>1037.5</v>
      </c>
      <c r="H37" s="17">
        <v>0.0</v>
      </c>
      <c r="I37" s="15">
        <f t="shared" si="1"/>
        <v>37.5</v>
      </c>
      <c r="J37" s="18">
        <f t="shared" si="2"/>
        <v>3.75</v>
      </c>
      <c r="K37" s="17">
        <v>3.22</v>
      </c>
      <c r="L37" s="19">
        <f t="shared" si="3"/>
        <v>0</v>
      </c>
      <c r="M37" s="20">
        <f t="shared" si="8"/>
        <v>296.703358</v>
      </c>
      <c r="N37" s="21">
        <f t="shared" si="5"/>
        <v>3.22</v>
      </c>
      <c r="O37" s="21">
        <f t="shared" si="6"/>
        <v>3220</v>
      </c>
      <c r="P37" s="22">
        <f t="shared" si="7"/>
        <v>296703.358</v>
      </c>
      <c r="R37" s="23"/>
      <c r="S37" s="24" t="s">
        <v>2229</v>
      </c>
      <c r="T37" s="25"/>
      <c r="U37" s="25"/>
      <c r="V37" s="25"/>
      <c r="W37" s="25"/>
      <c r="X37" s="25"/>
      <c r="Y37" s="25"/>
      <c r="Z37" s="25"/>
      <c r="AA37" s="25"/>
    </row>
    <row r="38">
      <c r="A38" s="30">
        <v>45790.0</v>
      </c>
      <c r="B38" s="11">
        <v>45790.0</v>
      </c>
      <c r="C38" s="12">
        <f>VLOOKUP(B:B,'Курс валют'!A:D,4,0)</f>
        <v>90.1117</v>
      </c>
      <c r="D38" s="15">
        <v>267.0</v>
      </c>
      <c r="E38" s="59" t="s">
        <v>60</v>
      </c>
      <c r="F38" s="15">
        <v>2000.0</v>
      </c>
      <c r="G38" s="13">
        <v>2019.6</v>
      </c>
      <c r="H38" s="17">
        <v>0.0</v>
      </c>
      <c r="I38" s="15">
        <f t="shared" si="1"/>
        <v>19.6</v>
      </c>
      <c r="J38" s="18">
        <f t="shared" si="2"/>
        <v>0.98</v>
      </c>
      <c r="K38" s="17">
        <v>2.61</v>
      </c>
      <c r="L38" s="19">
        <f t="shared" si="3"/>
        <v>0</v>
      </c>
      <c r="M38" s="20">
        <f t="shared" si="8"/>
        <v>235.191537</v>
      </c>
      <c r="N38" s="21">
        <f t="shared" si="5"/>
        <v>2.61</v>
      </c>
      <c r="O38" s="21">
        <f t="shared" si="6"/>
        <v>5220</v>
      </c>
      <c r="P38" s="22">
        <f t="shared" si="7"/>
        <v>470383.074</v>
      </c>
      <c r="R38" s="23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>
        <v>45791.0</v>
      </c>
      <c r="B39" s="11">
        <v>45791.0</v>
      </c>
      <c r="C39" s="12">
        <f>VLOOKUP(B:B,'Курс валют'!A:D,4,0)</f>
        <v>89.6956</v>
      </c>
      <c r="D39" s="15">
        <v>268.0</v>
      </c>
      <c r="E39" s="59" t="s">
        <v>57</v>
      </c>
      <c r="F39" s="15">
        <v>3200.0</v>
      </c>
      <c r="G39" s="61">
        <v>3223.76</v>
      </c>
      <c r="H39" s="17">
        <v>0.0</v>
      </c>
      <c r="I39" s="16">
        <f t="shared" si="1"/>
        <v>23.76</v>
      </c>
      <c r="J39" s="18">
        <f t="shared" si="2"/>
        <v>0.7425</v>
      </c>
      <c r="K39" s="17">
        <v>3.06</v>
      </c>
      <c r="L39" s="19">
        <f t="shared" si="3"/>
        <v>0</v>
      </c>
      <c r="M39" s="20">
        <f t="shared" si="8"/>
        <v>274.468536</v>
      </c>
      <c r="N39" s="21">
        <f t="shared" si="5"/>
        <v>3.06</v>
      </c>
      <c r="O39" s="21">
        <f t="shared" si="6"/>
        <v>9792</v>
      </c>
      <c r="P39" s="22">
        <f t="shared" si="7"/>
        <v>878299.3152</v>
      </c>
      <c r="R39" s="31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30">
        <v>45791.0</v>
      </c>
      <c r="B40" s="11">
        <v>45791.0</v>
      </c>
      <c r="C40" s="12">
        <f>VLOOKUP(B:B,'Курс валют'!A:D,4,0)</f>
        <v>89.6956</v>
      </c>
      <c r="D40" s="15">
        <v>268.0</v>
      </c>
      <c r="E40" s="59" t="s">
        <v>63</v>
      </c>
      <c r="F40" s="15">
        <v>2250.0</v>
      </c>
      <c r="G40" s="13">
        <v>2285.93</v>
      </c>
      <c r="H40" s="17">
        <v>0.0</v>
      </c>
      <c r="I40" s="15">
        <f t="shared" si="1"/>
        <v>35.93</v>
      </c>
      <c r="J40" s="18">
        <f t="shared" si="2"/>
        <v>1.596888889</v>
      </c>
      <c r="K40" s="17">
        <v>1.97</v>
      </c>
      <c r="L40" s="19">
        <f t="shared" si="3"/>
        <v>0</v>
      </c>
      <c r="M40" s="20">
        <f t="shared" si="8"/>
        <v>176.700332</v>
      </c>
      <c r="N40" s="21">
        <f t="shared" si="5"/>
        <v>1.97</v>
      </c>
      <c r="O40" s="21">
        <f t="shared" si="6"/>
        <v>4432.5</v>
      </c>
      <c r="P40" s="22">
        <f t="shared" si="7"/>
        <v>397575.747</v>
      </c>
      <c r="R40" s="23"/>
      <c r="S40" s="24"/>
      <c r="T40" s="25"/>
      <c r="U40" s="25"/>
      <c r="V40" s="25"/>
      <c r="W40" s="25"/>
      <c r="X40" s="25"/>
      <c r="Y40" s="25"/>
      <c r="Z40" s="25"/>
      <c r="AA40" s="25"/>
    </row>
    <row r="41">
      <c r="A41" s="30">
        <v>45792.0</v>
      </c>
      <c r="B41" s="30">
        <v>45792.0</v>
      </c>
      <c r="C41" s="12">
        <f>VLOOKUP(B:B,'Курс валют'!A:D,4,0)</f>
        <v>90.3821</v>
      </c>
      <c r="D41" s="15">
        <v>269.0</v>
      </c>
      <c r="E41" s="59" t="s">
        <v>63</v>
      </c>
      <c r="F41" s="15">
        <v>2250.0</v>
      </c>
      <c r="G41" s="13">
        <v>2292.93</v>
      </c>
      <c r="H41" s="17">
        <v>0.0</v>
      </c>
      <c r="I41" s="15">
        <f t="shared" si="1"/>
        <v>42.93</v>
      </c>
      <c r="J41" s="18">
        <f t="shared" si="2"/>
        <v>1.908</v>
      </c>
      <c r="K41" s="17">
        <v>2.13</v>
      </c>
      <c r="L41" s="19">
        <f t="shared" si="3"/>
        <v>0</v>
      </c>
      <c r="M41" s="20">
        <f t="shared" si="8"/>
        <v>192.513873</v>
      </c>
      <c r="N41" s="21">
        <f t="shared" si="5"/>
        <v>2.13</v>
      </c>
      <c r="O41" s="21">
        <f t="shared" si="6"/>
        <v>4792.5</v>
      </c>
      <c r="P41" s="22">
        <f t="shared" si="7"/>
        <v>433156.2143</v>
      </c>
      <c r="R41" s="23"/>
      <c r="S41" s="24"/>
      <c r="T41" s="25"/>
      <c r="U41" s="25"/>
      <c r="V41" s="25"/>
      <c r="W41" s="25"/>
      <c r="X41" s="25"/>
      <c r="Y41" s="25"/>
      <c r="Z41" s="25"/>
      <c r="AA41" s="25"/>
    </row>
    <row r="42">
      <c r="A42" s="30">
        <v>45792.0</v>
      </c>
      <c r="B42" s="11">
        <v>45792.0</v>
      </c>
      <c r="C42" s="12">
        <f>VLOOKUP(B:B,'Курс валют'!A:D,4,0)</f>
        <v>90.3821</v>
      </c>
      <c r="D42" s="15">
        <v>271.0</v>
      </c>
      <c r="E42" s="59" t="s">
        <v>2233</v>
      </c>
      <c r="F42" s="15">
        <v>2400.0</v>
      </c>
      <c r="G42" s="13">
        <v>2431.8</v>
      </c>
      <c r="H42" s="17">
        <v>0.0</v>
      </c>
      <c r="I42" s="15">
        <f t="shared" si="1"/>
        <v>31.8</v>
      </c>
      <c r="J42" s="18">
        <f t="shared" si="2"/>
        <v>1.325</v>
      </c>
      <c r="K42" s="17">
        <v>3.29</v>
      </c>
      <c r="L42" s="19">
        <f t="shared" si="3"/>
        <v>0</v>
      </c>
      <c r="M42" s="20">
        <f t="shared" si="8"/>
        <v>297.357109</v>
      </c>
      <c r="N42" s="21">
        <f t="shared" si="5"/>
        <v>3.29</v>
      </c>
      <c r="O42" s="21">
        <f t="shared" si="6"/>
        <v>7896</v>
      </c>
      <c r="P42" s="22">
        <f t="shared" si="7"/>
        <v>713657.0616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>
        <v>45792.0</v>
      </c>
      <c r="B43" s="11">
        <v>45792.0</v>
      </c>
      <c r="C43" s="12">
        <f>VLOOKUP(B:B,'Курс валют'!A:D,4,0)</f>
        <v>90.3821</v>
      </c>
      <c r="D43" s="15">
        <v>270.0</v>
      </c>
      <c r="E43" s="59" t="s">
        <v>53</v>
      </c>
      <c r="F43" s="15">
        <v>2400.0</v>
      </c>
      <c r="G43" s="13">
        <v>2414.6</v>
      </c>
      <c r="H43" s="17">
        <v>0.0</v>
      </c>
      <c r="I43" s="15">
        <f t="shared" si="1"/>
        <v>14.6</v>
      </c>
      <c r="J43" s="18">
        <f t="shared" si="2"/>
        <v>0.6083333333</v>
      </c>
      <c r="K43" s="17">
        <v>1.9</v>
      </c>
      <c r="L43" s="19">
        <f t="shared" si="3"/>
        <v>0</v>
      </c>
      <c r="M43" s="20">
        <f t="shared" si="8"/>
        <v>171.72599</v>
      </c>
      <c r="N43" s="21">
        <f t="shared" si="5"/>
        <v>1.9</v>
      </c>
      <c r="O43" s="21">
        <f t="shared" si="6"/>
        <v>4560</v>
      </c>
      <c r="P43" s="22">
        <f t="shared" si="7"/>
        <v>412142.376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>
        <v>45793.0</v>
      </c>
      <c r="B44" s="11">
        <v>45793.0</v>
      </c>
      <c r="C44" s="12">
        <f>VLOOKUP(B:B,'Курс валют'!A:D,4,0)</f>
        <v>90.1011</v>
      </c>
      <c r="D44" s="15">
        <v>272.0</v>
      </c>
      <c r="E44" s="59" t="s">
        <v>2234</v>
      </c>
      <c r="F44" s="15">
        <v>20.0</v>
      </c>
      <c r="G44" s="13">
        <v>21.25</v>
      </c>
      <c r="H44" s="17">
        <v>0.0</v>
      </c>
      <c r="I44" s="15">
        <f t="shared" si="1"/>
        <v>1.25</v>
      </c>
      <c r="J44" s="18">
        <f t="shared" si="2"/>
        <v>6.25</v>
      </c>
      <c r="K44" s="17">
        <v>3.76</v>
      </c>
      <c r="L44" s="19">
        <f t="shared" si="3"/>
        <v>0</v>
      </c>
      <c r="M44" s="20">
        <f t="shared" si="8"/>
        <v>338.780136</v>
      </c>
      <c r="N44" s="21">
        <f t="shared" si="5"/>
        <v>3.76</v>
      </c>
      <c r="O44" s="21">
        <f t="shared" si="6"/>
        <v>75.2</v>
      </c>
      <c r="P44" s="22">
        <f t="shared" si="7"/>
        <v>6775.60272</v>
      </c>
      <c r="R44" s="23"/>
      <c r="S44" s="24"/>
      <c r="T44" s="25"/>
      <c r="U44" s="25"/>
      <c r="V44" s="25"/>
      <c r="W44" s="25"/>
      <c r="X44" s="25"/>
      <c r="Y44" s="25"/>
      <c r="Z44" s="25"/>
      <c r="AA44" s="25"/>
    </row>
    <row r="45">
      <c r="A45" s="30">
        <v>45793.0</v>
      </c>
      <c r="B45" s="11">
        <v>45793.0</v>
      </c>
      <c r="C45" s="12">
        <f>VLOOKUP(B:B,'Курс валют'!A:D,4,0)</f>
        <v>90.1011</v>
      </c>
      <c r="D45" s="15">
        <v>273.0</v>
      </c>
      <c r="E45" s="59" t="s">
        <v>63</v>
      </c>
      <c r="F45" s="15">
        <v>2250.0</v>
      </c>
      <c r="G45" s="13">
        <f>225+200+4.18+4.56+191+716+994+807+39+1.13+1.8-132-289-91-205-170</f>
        <v>2296.67</v>
      </c>
      <c r="H45" s="17">
        <v>0.0</v>
      </c>
      <c r="I45" s="15">
        <f t="shared" si="1"/>
        <v>46.67</v>
      </c>
      <c r="J45" s="18">
        <f t="shared" si="2"/>
        <v>2.074222222</v>
      </c>
      <c r="K45" s="17">
        <v>2.19</v>
      </c>
      <c r="L45" s="19">
        <f t="shared" si="3"/>
        <v>0</v>
      </c>
      <c r="M45" s="20">
        <f t="shared" si="8"/>
        <v>197.321409</v>
      </c>
      <c r="N45" s="21">
        <f t="shared" si="5"/>
        <v>2.19</v>
      </c>
      <c r="O45" s="21">
        <f t="shared" si="6"/>
        <v>4927.5</v>
      </c>
      <c r="P45" s="22">
        <f t="shared" si="7"/>
        <v>443973.1703</v>
      </c>
      <c r="R45" s="23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>
        <v>45793.0</v>
      </c>
      <c r="B46" s="11">
        <v>45793.0</v>
      </c>
      <c r="C46" s="12">
        <f>VLOOKUP(B:B,'Курс валют'!A:D,4,0)</f>
        <v>90.1011</v>
      </c>
      <c r="D46" s="15">
        <v>274.0</v>
      </c>
      <c r="E46" s="59" t="s">
        <v>63</v>
      </c>
      <c r="F46" s="15">
        <v>2250.0</v>
      </c>
      <c r="G46" s="13">
        <f>225+250+1000+1200+132+289+91+205+170+1.13+1.8-67-112-188-803-101</f>
        <v>2293.93</v>
      </c>
      <c r="H46" s="17">
        <v>0.0</v>
      </c>
      <c r="I46" s="15">
        <f t="shared" si="1"/>
        <v>43.93</v>
      </c>
      <c r="J46" s="18">
        <f t="shared" si="2"/>
        <v>1.952444444</v>
      </c>
      <c r="K46" s="17">
        <v>2.19</v>
      </c>
      <c r="L46" s="19">
        <f t="shared" si="3"/>
        <v>0</v>
      </c>
      <c r="M46" s="20">
        <f t="shared" si="8"/>
        <v>197.321409</v>
      </c>
      <c r="N46" s="21">
        <f t="shared" si="5"/>
        <v>2.19</v>
      </c>
      <c r="O46" s="21">
        <f t="shared" si="6"/>
        <v>4927.5</v>
      </c>
      <c r="P46" s="22">
        <f t="shared" si="7"/>
        <v>443973.1703</v>
      </c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>
        <v>45794.0</v>
      </c>
      <c r="B47" s="11">
        <v>45796.0</v>
      </c>
      <c r="C47" s="12">
        <f>VLOOKUP(B:B,'Курс валют'!A:D,4,0)</f>
        <v>90.7062</v>
      </c>
      <c r="D47" s="15">
        <v>275.0</v>
      </c>
      <c r="E47" s="59" t="s">
        <v>63</v>
      </c>
      <c r="F47" s="15">
        <v>2250.0</v>
      </c>
      <c r="G47" s="13">
        <f>225+250+100+1000+222+67+112+188+803+101+1.13+1.8-6-37-508-204-33</f>
        <v>2282.93</v>
      </c>
      <c r="H47" s="17">
        <v>211.5</v>
      </c>
      <c r="I47" s="15">
        <f t="shared" si="1"/>
        <v>32.93</v>
      </c>
      <c r="J47" s="18">
        <f t="shared" si="2"/>
        <v>1.463555556</v>
      </c>
      <c r="K47" s="17">
        <v>2.34</v>
      </c>
      <c r="L47" s="19">
        <f t="shared" si="3"/>
        <v>9.4</v>
      </c>
      <c r="M47" s="20">
        <f t="shared" si="8"/>
        <v>191.3628701</v>
      </c>
      <c r="N47" s="21">
        <f>(F47*K47-H47*2.45)/F47</f>
        <v>2.1097</v>
      </c>
      <c r="O47" s="21">
        <f t="shared" si="6"/>
        <v>4746.825</v>
      </c>
      <c r="P47" s="22">
        <f t="shared" si="7"/>
        <v>430566.4578</v>
      </c>
      <c r="S47" s="24"/>
      <c r="T47" s="25"/>
      <c r="U47" s="25"/>
      <c r="V47" s="25"/>
      <c r="W47" s="25"/>
      <c r="X47" s="25"/>
      <c r="Y47" s="25"/>
      <c r="Z47" s="25"/>
      <c r="AA47" s="25"/>
    </row>
    <row r="48">
      <c r="A48" s="30">
        <v>45793.0</v>
      </c>
      <c r="B48" s="11">
        <v>45793.0</v>
      </c>
      <c r="C48" s="12">
        <f>VLOOKUP(B:B,'Курс валют'!A:D,4,0)</f>
        <v>90.1011</v>
      </c>
      <c r="D48" s="15">
        <v>276.0</v>
      </c>
      <c r="E48" s="59" t="s">
        <v>18</v>
      </c>
      <c r="F48" s="15">
        <v>9900.0</v>
      </c>
      <c r="G48" s="13">
        <f>5500+1000+5000+103-42-925-652</f>
        <v>9984</v>
      </c>
      <c r="H48" s="58">
        <v>4526.0</v>
      </c>
      <c r="I48" s="15">
        <f t="shared" si="1"/>
        <v>84</v>
      </c>
      <c r="J48" s="18">
        <f t="shared" si="2"/>
        <v>0.8484848485</v>
      </c>
      <c r="K48" s="17">
        <v>3.87</v>
      </c>
      <c r="L48" s="19">
        <f t="shared" si="3"/>
        <v>45.71717172</v>
      </c>
      <c r="M48" s="20">
        <f t="shared" si="8"/>
        <v>223.4685662</v>
      </c>
      <c r="N48" s="21">
        <f t="shared" ref="N48:N50" si="9">(F48*K48-H48*3.04)/F48</f>
        <v>2.48019798</v>
      </c>
      <c r="O48" s="21">
        <f t="shared" si="6"/>
        <v>24553.96</v>
      </c>
      <c r="P48" s="22">
        <f t="shared" si="7"/>
        <v>2212338.805</v>
      </c>
      <c r="R48" s="23"/>
      <c r="S48" s="24"/>
      <c r="T48" s="25"/>
      <c r="U48" s="25"/>
      <c r="V48" s="25"/>
      <c r="W48" s="25"/>
      <c r="X48" s="25"/>
      <c r="Y48" s="25"/>
      <c r="Z48" s="25"/>
      <c r="AA48" s="25"/>
    </row>
    <row r="49">
      <c r="A49" s="30">
        <v>45794.0</v>
      </c>
      <c r="B49" s="11">
        <v>45796.0</v>
      </c>
      <c r="C49" s="12">
        <f>VLOOKUP(B:B,'Курс валют'!A:D,4,0)</f>
        <v>90.7062</v>
      </c>
      <c r="D49" s="15">
        <v>277.0</v>
      </c>
      <c r="E49" s="59" t="s">
        <v>18</v>
      </c>
      <c r="F49" s="15">
        <v>11000.0</v>
      </c>
      <c r="G49" s="13">
        <f>6000+5000+42+925+652-22-726-823</f>
        <v>11048</v>
      </c>
      <c r="H49" s="58">
        <v>5028.0</v>
      </c>
      <c r="I49" s="15">
        <f t="shared" si="1"/>
        <v>48</v>
      </c>
      <c r="J49" s="18">
        <f t="shared" si="2"/>
        <v>0.4363636364</v>
      </c>
      <c r="K49" s="17">
        <v>3.78</v>
      </c>
      <c r="L49" s="19">
        <f t="shared" si="3"/>
        <v>45.70909091</v>
      </c>
      <c r="M49" s="20">
        <f t="shared" si="8"/>
        <v>216.8280586</v>
      </c>
      <c r="N49" s="21">
        <f t="shared" si="9"/>
        <v>2.390443636</v>
      </c>
      <c r="O49" s="21">
        <f t="shared" si="6"/>
        <v>26294.88</v>
      </c>
      <c r="P49" s="22">
        <f t="shared" si="7"/>
        <v>2385108.644</v>
      </c>
      <c r="R49" s="31"/>
      <c r="S49" s="24"/>
      <c r="T49" s="25"/>
      <c r="U49" s="25"/>
      <c r="V49" s="25"/>
      <c r="W49" s="25"/>
      <c r="X49" s="25"/>
      <c r="Y49" s="25"/>
      <c r="Z49" s="25"/>
      <c r="AA49" s="25"/>
    </row>
    <row r="50">
      <c r="A50" s="30">
        <v>45795.0</v>
      </c>
      <c r="B50" s="11">
        <v>45796.0</v>
      </c>
      <c r="C50" s="12">
        <f>VLOOKUP(B:B,'Курс валют'!A:D,4,0)</f>
        <v>90.7062</v>
      </c>
      <c r="D50" s="15">
        <v>279.0</v>
      </c>
      <c r="E50" s="59" t="s">
        <v>18</v>
      </c>
      <c r="F50" s="15">
        <v>11000.0</v>
      </c>
      <c r="G50" s="13">
        <f>6000+5000+22+726+823-5-527-994</f>
        <v>11045</v>
      </c>
      <c r="H50" s="58">
        <v>5028.0</v>
      </c>
      <c r="I50" s="15">
        <f t="shared" si="1"/>
        <v>45</v>
      </c>
      <c r="J50" s="18">
        <f t="shared" si="2"/>
        <v>0.4090909091</v>
      </c>
      <c r="K50" s="17">
        <v>3.78</v>
      </c>
      <c r="L50" s="19">
        <f t="shared" si="3"/>
        <v>45.70909091</v>
      </c>
      <c r="M50" s="20">
        <f t="shared" si="8"/>
        <v>216.8280586</v>
      </c>
      <c r="N50" s="21">
        <f t="shared" si="9"/>
        <v>2.390443636</v>
      </c>
      <c r="O50" s="21">
        <f t="shared" si="6"/>
        <v>26294.88</v>
      </c>
      <c r="P50" s="22">
        <f t="shared" si="7"/>
        <v>2385108.644</v>
      </c>
      <c r="R50" s="31"/>
      <c r="S50" s="24"/>
      <c r="T50" s="25"/>
      <c r="U50" s="25"/>
      <c r="V50" s="25"/>
      <c r="W50" s="25"/>
      <c r="X50" s="25"/>
      <c r="Y50" s="25"/>
      <c r="Z50" s="25"/>
      <c r="AA50" s="25"/>
    </row>
    <row r="51">
      <c r="A51" s="30">
        <v>45795.0</v>
      </c>
      <c r="B51" s="11">
        <v>45796.0</v>
      </c>
      <c r="C51" s="12">
        <f>VLOOKUP(B:B,'Курс валют'!A:D,4,0)</f>
        <v>90.7062</v>
      </c>
      <c r="D51" s="15">
        <v>280.0</v>
      </c>
      <c r="E51" s="59" t="s">
        <v>63</v>
      </c>
      <c r="F51" s="15">
        <v>2250.0</v>
      </c>
      <c r="G51" s="13">
        <f>450+250+150+200+201+1200+200+6+37+508+204+33+1.13+1.8-167-12-10-803-165</f>
        <v>2284.93</v>
      </c>
      <c r="H51" s="58">
        <v>211.5</v>
      </c>
      <c r="I51" s="15">
        <f t="shared" si="1"/>
        <v>34.93</v>
      </c>
      <c r="J51" s="18">
        <f t="shared" si="2"/>
        <v>1.552444444</v>
      </c>
      <c r="K51" s="62">
        <v>2.34</v>
      </c>
      <c r="L51" s="19">
        <f t="shared" si="3"/>
        <v>9.4</v>
      </c>
      <c r="M51" s="20">
        <f t="shared" si="8"/>
        <v>191.3628701</v>
      </c>
      <c r="N51" s="21">
        <f>(F51*K51-H51*2.45)/F51</f>
        <v>2.1097</v>
      </c>
      <c r="O51" s="21">
        <f t="shared" si="6"/>
        <v>4746.825</v>
      </c>
      <c r="P51" s="22">
        <f t="shared" si="7"/>
        <v>430566.4578</v>
      </c>
      <c r="R51" s="31"/>
      <c r="S51" s="24"/>
      <c r="T51" s="25"/>
      <c r="U51" s="25"/>
      <c r="V51" s="25"/>
      <c r="W51" s="25"/>
      <c r="X51" s="25"/>
      <c r="Y51" s="25"/>
      <c r="Z51" s="25"/>
      <c r="AA51" s="25"/>
    </row>
    <row r="52">
      <c r="A52" s="30">
        <v>45795.0</v>
      </c>
      <c r="B52" s="11">
        <v>45796.0</v>
      </c>
      <c r="C52" s="12">
        <f>VLOOKUP(B:B,'Курс валют'!A:D,4,0)</f>
        <v>90.7062</v>
      </c>
      <c r="D52" s="145">
        <v>281.0</v>
      </c>
      <c r="E52" s="59" t="s">
        <v>63</v>
      </c>
      <c r="F52" s="15">
        <v>2250.0</v>
      </c>
      <c r="G52" s="13">
        <v>2279.93</v>
      </c>
      <c r="H52" s="17">
        <v>697.0</v>
      </c>
      <c r="I52" s="15">
        <f t="shared" si="1"/>
        <v>29.93</v>
      </c>
      <c r="J52" s="18">
        <f t="shared" si="2"/>
        <v>1.330222222</v>
      </c>
      <c r="K52" s="62">
        <v>2.72</v>
      </c>
      <c r="L52" s="19">
        <f t="shared" si="3"/>
        <v>30.97777778</v>
      </c>
      <c r="M52" s="20">
        <f t="shared" si="8"/>
        <v>161.3006182</v>
      </c>
      <c r="N52" s="21">
        <f t="shared" ref="N52:N84" si="10">(F52*K52-H52*3.04)/F52</f>
        <v>1.778275556</v>
      </c>
      <c r="O52" s="21">
        <f t="shared" si="6"/>
        <v>4001.12</v>
      </c>
      <c r="P52" s="22">
        <f t="shared" si="7"/>
        <v>362926.3909</v>
      </c>
      <c r="R52" s="31"/>
      <c r="S52" s="24"/>
      <c r="T52" s="25"/>
      <c r="U52" s="25"/>
      <c r="V52" s="25"/>
      <c r="W52" s="25"/>
      <c r="X52" s="25"/>
      <c r="Y52" s="25"/>
      <c r="Z52" s="25"/>
      <c r="AA52" s="25"/>
    </row>
    <row r="53">
      <c r="A53" s="30">
        <v>45796.0</v>
      </c>
      <c r="B53" s="11">
        <v>45796.0</v>
      </c>
      <c r="C53" s="12">
        <f>VLOOKUP(B:B,'Курс валют'!A:D,4,0)</f>
        <v>90.7062</v>
      </c>
      <c r="D53" s="145">
        <v>282.0</v>
      </c>
      <c r="E53" s="59" t="s">
        <v>63</v>
      </c>
      <c r="F53" s="15">
        <v>2250.0</v>
      </c>
      <c r="G53" s="13">
        <v>2276.93</v>
      </c>
      <c r="H53" s="17">
        <f>697</f>
        <v>697</v>
      </c>
      <c r="I53" s="15">
        <f t="shared" si="1"/>
        <v>26.93</v>
      </c>
      <c r="J53" s="18">
        <f t="shared" si="2"/>
        <v>1.196888889</v>
      </c>
      <c r="K53" s="62">
        <v>2.72</v>
      </c>
      <c r="L53" s="19">
        <f t="shared" si="3"/>
        <v>30.97777778</v>
      </c>
      <c r="M53" s="20">
        <f t="shared" si="8"/>
        <v>161.3006182</v>
      </c>
      <c r="N53" s="21">
        <f t="shared" si="10"/>
        <v>1.778275556</v>
      </c>
      <c r="O53" s="21">
        <f t="shared" si="6"/>
        <v>4001.12</v>
      </c>
      <c r="P53" s="22">
        <f t="shared" si="7"/>
        <v>362926.3909</v>
      </c>
      <c r="R53" s="31"/>
      <c r="S53" s="24"/>
      <c r="T53" s="25"/>
      <c r="U53" s="25"/>
      <c r="V53" s="25"/>
      <c r="W53" s="25"/>
      <c r="X53" s="25"/>
      <c r="Y53" s="25"/>
      <c r="Z53" s="25"/>
      <c r="AA53" s="25"/>
    </row>
    <row r="54">
      <c r="A54" s="30">
        <v>45796.0</v>
      </c>
      <c r="B54" s="11">
        <v>45796.0</v>
      </c>
      <c r="C54" s="12">
        <f>VLOOKUP(B:B,'Курс валют'!A:D,4,0)</f>
        <v>90.7062</v>
      </c>
      <c r="D54" s="15">
        <v>283.0</v>
      </c>
      <c r="E54" s="59" t="s">
        <v>18</v>
      </c>
      <c r="F54" s="15">
        <v>11000.0</v>
      </c>
      <c r="G54" s="13">
        <v>11028.0</v>
      </c>
      <c r="H54" s="17">
        <v>5026.0</v>
      </c>
      <c r="I54" s="15">
        <f t="shared" si="1"/>
        <v>28</v>
      </c>
      <c r="J54" s="18">
        <f t="shared" si="2"/>
        <v>0.2545454545</v>
      </c>
      <c r="K54" s="17">
        <v>3.78</v>
      </c>
      <c r="L54" s="19">
        <f t="shared" si="3"/>
        <v>45.69090909</v>
      </c>
      <c r="M54" s="20">
        <f t="shared" si="8"/>
        <v>216.8781944</v>
      </c>
      <c r="N54" s="21">
        <f t="shared" si="10"/>
        <v>2.390996364</v>
      </c>
      <c r="O54" s="21">
        <f t="shared" si="6"/>
        <v>26300.96</v>
      </c>
      <c r="P54" s="22">
        <f t="shared" si="7"/>
        <v>2385660.138</v>
      </c>
      <c r="R54" s="23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30">
        <v>45797.0</v>
      </c>
      <c r="B55" s="11">
        <v>45797.0</v>
      </c>
      <c r="C55" s="12">
        <f>VLOOKUP(B:B,'Курс валют'!A:D,4,0)</f>
        <v>90.5098</v>
      </c>
      <c r="D55" s="145">
        <v>284.0</v>
      </c>
      <c r="E55" s="64" t="s">
        <v>63</v>
      </c>
      <c r="F55" s="15">
        <v>2050.0</v>
      </c>
      <c r="G55" s="13">
        <v>2052.6</v>
      </c>
      <c r="H55" s="17">
        <v>747.0</v>
      </c>
      <c r="I55" s="15">
        <f t="shared" si="1"/>
        <v>2.6</v>
      </c>
      <c r="J55" s="18">
        <f t="shared" si="2"/>
        <v>0.1268292683</v>
      </c>
      <c r="K55" s="17">
        <v>3.1</v>
      </c>
      <c r="L55" s="19">
        <f t="shared" si="3"/>
        <v>36.43902439</v>
      </c>
      <c r="M55" s="20">
        <f t="shared" si="8"/>
        <v>180.3184802</v>
      </c>
      <c r="N55" s="21">
        <f t="shared" si="10"/>
        <v>1.992253659</v>
      </c>
      <c r="O55" s="21">
        <f t="shared" si="6"/>
        <v>4084.12</v>
      </c>
      <c r="P55" s="22">
        <f t="shared" si="7"/>
        <v>369652.8844</v>
      </c>
      <c r="R55" s="23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>
        <v>45797.0</v>
      </c>
      <c r="B56" s="11">
        <v>45797.0</v>
      </c>
      <c r="C56" s="12">
        <f>VLOOKUP(B:B,'Курс валют'!A:D,4,0)</f>
        <v>90.5098</v>
      </c>
      <c r="D56" s="15">
        <v>285.0</v>
      </c>
      <c r="E56" s="64" t="s">
        <v>53</v>
      </c>
      <c r="F56" s="15">
        <v>8000.0</v>
      </c>
      <c r="G56" s="15">
        <v>8022.1</v>
      </c>
      <c r="H56" s="17">
        <v>0.0</v>
      </c>
      <c r="I56" s="15">
        <f t="shared" si="1"/>
        <v>22.1</v>
      </c>
      <c r="J56" s="18">
        <f t="shared" si="2"/>
        <v>0.27625</v>
      </c>
      <c r="K56" s="17">
        <v>1.89</v>
      </c>
      <c r="L56" s="19">
        <f t="shared" si="3"/>
        <v>0</v>
      </c>
      <c r="M56" s="20">
        <f t="shared" si="8"/>
        <v>171.063522</v>
      </c>
      <c r="N56" s="21">
        <f t="shared" si="10"/>
        <v>1.89</v>
      </c>
      <c r="O56" s="21">
        <f t="shared" si="6"/>
        <v>15120</v>
      </c>
      <c r="P56" s="22">
        <f t="shared" si="7"/>
        <v>1368508.176</v>
      </c>
      <c r="R56" s="31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>
        <v>45798.0</v>
      </c>
      <c r="B57" s="11">
        <v>45798.0</v>
      </c>
      <c r="C57" s="12">
        <f>VLOOKUP(B:B,'Курс валют'!A:D,4,0)</f>
        <v>89.9679</v>
      </c>
      <c r="D57" s="15">
        <v>286.0</v>
      </c>
      <c r="E57" s="59" t="s">
        <v>18</v>
      </c>
      <c r="F57" s="15">
        <v>11000.0</v>
      </c>
      <c r="G57" s="15">
        <v>11027.0</v>
      </c>
      <c r="H57" s="17">
        <v>5027.0</v>
      </c>
      <c r="I57" s="15">
        <f t="shared" si="1"/>
        <v>27</v>
      </c>
      <c r="J57" s="18">
        <f t="shared" si="2"/>
        <v>0.2454545455</v>
      </c>
      <c r="K57" s="17">
        <v>3.47</v>
      </c>
      <c r="L57" s="19">
        <f t="shared" si="3"/>
        <v>45.7</v>
      </c>
      <c r="M57" s="20">
        <f t="shared" si="8"/>
        <v>187.1980089</v>
      </c>
      <c r="N57" s="21">
        <f t="shared" si="10"/>
        <v>2.08072</v>
      </c>
      <c r="O57" s="21">
        <f t="shared" si="6"/>
        <v>22887.92</v>
      </c>
      <c r="P57" s="22">
        <f t="shared" si="7"/>
        <v>2059178.098</v>
      </c>
      <c r="R57" s="31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>
        <v>45798.0</v>
      </c>
      <c r="B58" s="11">
        <v>45798.0</v>
      </c>
      <c r="C58" s="12">
        <f>VLOOKUP(B:B,'Курс валют'!A:D,4,0)</f>
        <v>89.9679</v>
      </c>
      <c r="D58" s="15">
        <v>287.0</v>
      </c>
      <c r="E58" s="64" t="s">
        <v>395</v>
      </c>
      <c r="F58" s="15">
        <v>1100.0</v>
      </c>
      <c r="G58" s="15">
        <v>1107.684</v>
      </c>
      <c r="H58" s="17">
        <v>360.0</v>
      </c>
      <c r="I58" s="15">
        <f t="shared" si="1"/>
        <v>7.684</v>
      </c>
      <c r="J58" s="18">
        <f t="shared" si="2"/>
        <v>0.6985454545</v>
      </c>
      <c r="K58" s="17">
        <v>3.6</v>
      </c>
      <c r="L58" s="19">
        <f t="shared" si="3"/>
        <v>32.72727273</v>
      </c>
      <c r="M58" s="20">
        <f t="shared" si="8"/>
        <v>234.3745584</v>
      </c>
      <c r="N58" s="21">
        <f t="shared" si="10"/>
        <v>2.605090909</v>
      </c>
      <c r="O58" s="21">
        <f t="shared" si="6"/>
        <v>2865.6</v>
      </c>
      <c r="P58" s="22">
        <f t="shared" si="7"/>
        <v>257812.0142</v>
      </c>
      <c r="R58" s="23"/>
      <c r="S58" s="24"/>
      <c r="T58" s="25"/>
      <c r="U58" s="25"/>
      <c r="V58" s="25"/>
      <c r="W58" s="25"/>
      <c r="X58" s="25"/>
      <c r="Y58" s="25"/>
      <c r="Z58" s="25"/>
      <c r="AA58" s="25"/>
    </row>
    <row r="59">
      <c r="A59" s="30">
        <v>45799.0</v>
      </c>
      <c r="B59" s="11">
        <v>45799.0</v>
      </c>
      <c r="C59" s="12">
        <f>VLOOKUP(B:B,'Курс валют'!A:D,4,0)</f>
        <v>91.299</v>
      </c>
      <c r="D59" s="15">
        <v>292.0</v>
      </c>
      <c r="E59" s="64" t="s">
        <v>104</v>
      </c>
      <c r="F59" s="15">
        <v>200.0</v>
      </c>
      <c r="G59" s="15">
        <v>200.0</v>
      </c>
      <c r="H59" s="17">
        <v>0.0</v>
      </c>
      <c r="I59" s="15">
        <f t="shared" si="1"/>
        <v>0</v>
      </c>
      <c r="J59" s="18">
        <f t="shared" si="2"/>
        <v>0</v>
      </c>
      <c r="K59" s="17">
        <v>3.45</v>
      </c>
      <c r="L59" s="19">
        <f t="shared" si="3"/>
        <v>0</v>
      </c>
      <c r="M59" s="20">
        <f t="shared" si="8"/>
        <v>314.98155</v>
      </c>
      <c r="N59" s="21">
        <f t="shared" si="10"/>
        <v>3.45</v>
      </c>
      <c r="O59" s="21">
        <f t="shared" si="6"/>
        <v>690</v>
      </c>
      <c r="P59" s="22">
        <f t="shared" si="7"/>
        <v>62996.31</v>
      </c>
      <c r="R59" s="23"/>
      <c r="S59" s="24"/>
      <c r="T59" s="25"/>
      <c r="U59" s="25"/>
      <c r="V59" s="25"/>
      <c r="W59" s="25"/>
      <c r="X59" s="25"/>
      <c r="Y59" s="25"/>
      <c r="Z59" s="25"/>
      <c r="AA59" s="25"/>
    </row>
    <row r="60">
      <c r="A60" s="30">
        <v>45799.0</v>
      </c>
      <c r="B60" s="11">
        <v>45799.0</v>
      </c>
      <c r="C60" s="12">
        <f>VLOOKUP(B:B,'Курс валют'!A:D,4,0)</f>
        <v>91.299</v>
      </c>
      <c r="D60" s="15">
        <v>290.0</v>
      </c>
      <c r="E60" s="64" t="s">
        <v>2235</v>
      </c>
      <c r="F60" s="15">
        <v>200.0</v>
      </c>
      <c r="G60" s="15">
        <v>202.0</v>
      </c>
      <c r="H60" s="17">
        <v>0.0</v>
      </c>
      <c r="I60" s="15">
        <f t="shared" si="1"/>
        <v>2</v>
      </c>
      <c r="J60" s="18">
        <f t="shared" si="2"/>
        <v>1</v>
      </c>
      <c r="K60" s="17">
        <v>3.41</v>
      </c>
      <c r="L60" s="19">
        <f t="shared" si="3"/>
        <v>0</v>
      </c>
      <c r="M60" s="20">
        <f t="shared" si="8"/>
        <v>311.32959</v>
      </c>
      <c r="N60" s="21">
        <f t="shared" si="10"/>
        <v>3.41</v>
      </c>
      <c r="O60" s="21">
        <f t="shared" si="6"/>
        <v>682</v>
      </c>
      <c r="P60" s="22">
        <f t="shared" si="7"/>
        <v>62265.918</v>
      </c>
      <c r="R60" s="23"/>
      <c r="S60" s="24"/>
      <c r="T60" s="25"/>
      <c r="U60" s="25"/>
      <c r="V60" s="25"/>
      <c r="W60" s="25"/>
      <c r="X60" s="25"/>
      <c r="Y60" s="25"/>
      <c r="Z60" s="25"/>
      <c r="AA60" s="25"/>
    </row>
    <row r="61">
      <c r="A61" s="30">
        <v>45799.0</v>
      </c>
      <c r="B61" s="11">
        <v>45799.0</v>
      </c>
      <c r="C61" s="12">
        <f>VLOOKUP(B:B,'Курс валют'!A:D,4,0)</f>
        <v>91.299</v>
      </c>
      <c r="D61" s="15">
        <v>289.0</v>
      </c>
      <c r="E61" s="64" t="s">
        <v>392</v>
      </c>
      <c r="F61" s="15">
        <v>1800.0</v>
      </c>
      <c r="G61" s="15">
        <v>1818.0</v>
      </c>
      <c r="H61" s="17">
        <v>968.0</v>
      </c>
      <c r="I61" s="15">
        <f t="shared" si="1"/>
        <v>18</v>
      </c>
      <c r="J61" s="18">
        <f t="shared" si="2"/>
        <v>1</v>
      </c>
      <c r="K61" s="17">
        <v>3.68</v>
      </c>
      <c r="L61" s="19">
        <f t="shared" si="3"/>
        <v>53.77777778</v>
      </c>
      <c r="M61" s="20">
        <f t="shared" si="8"/>
        <v>186.7206571</v>
      </c>
      <c r="N61" s="21">
        <f t="shared" si="10"/>
        <v>2.045155556</v>
      </c>
      <c r="O61" s="21">
        <f t="shared" si="6"/>
        <v>3681.28</v>
      </c>
      <c r="P61" s="22">
        <f t="shared" si="7"/>
        <v>336097.1827</v>
      </c>
      <c r="R61" s="23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30">
        <v>45799.0</v>
      </c>
      <c r="B62" s="11">
        <v>45799.0</v>
      </c>
      <c r="C62" s="12">
        <f>VLOOKUP(B:B,'Курс валют'!A:D,4,0)</f>
        <v>91.299</v>
      </c>
      <c r="D62" s="15">
        <v>288.0</v>
      </c>
      <c r="E62" s="64" t="s">
        <v>57</v>
      </c>
      <c r="F62" s="15">
        <v>1600.0</v>
      </c>
      <c r="G62" s="15">
        <v>1614.3</v>
      </c>
      <c r="H62" s="17">
        <v>0.0</v>
      </c>
      <c r="I62" s="15">
        <f t="shared" si="1"/>
        <v>14.3</v>
      </c>
      <c r="J62" s="18">
        <f t="shared" si="2"/>
        <v>0.89375</v>
      </c>
      <c r="K62" s="17">
        <v>3.39</v>
      </c>
      <c r="L62" s="19">
        <f t="shared" si="3"/>
        <v>0</v>
      </c>
      <c r="M62" s="20">
        <f t="shared" si="8"/>
        <v>309.50361</v>
      </c>
      <c r="N62" s="21">
        <f t="shared" si="10"/>
        <v>3.39</v>
      </c>
      <c r="O62" s="21">
        <f t="shared" si="6"/>
        <v>5424</v>
      </c>
      <c r="P62" s="22">
        <f t="shared" si="7"/>
        <v>495205.776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>
        <v>45799.0</v>
      </c>
      <c r="B63" s="11">
        <v>45799.0</v>
      </c>
      <c r="C63" s="12">
        <f>VLOOKUP(B:B,'Курс валют'!A:D,4,0)</f>
        <v>91.299</v>
      </c>
      <c r="D63" s="15">
        <v>291.0</v>
      </c>
      <c r="E63" s="64" t="s">
        <v>2236</v>
      </c>
      <c r="F63" s="15">
        <v>200.0</v>
      </c>
      <c r="G63" s="15">
        <v>200.0</v>
      </c>
      <c r="H63" s="17">
        <v>0.0</v>
      </c>
      <c r="I63" s="15">
        <f t="shared" si="1"/>
        <v>0</v>
      </c>
      <c r="J63" s="18">
        <f t="shared" si="2"/>
        <v>0</v>
      </c>
      <c r="K63" s="17">
        <v>3.55</v>
      </c>
      <c r="L63" s="19">
        <f t="shared" si="3"/>
        <v>0</v>
      </c>
      <c r="M63" s="20">
        <f t="shared" si="8"/>
        <v>324.11145</v>
      </c>
      <c r="N63" s="21">
        <f t="shared" si="10"/>
        <v>3.55</v>
      </c>
      <c r="O63" s="21">
        <f t="shared" si="6"/>
        <v>710</v>
      </c>
      <c r="P63" s="22">
        <f t="shared" si="7"/>
        <v>64822.29</v>
      </c>
      <c r="R63" s="23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>
        <v>45800.0</v>
      </c>
      <c r="B64" s="11">
        <v>45800.0</v>
      </c>
      <c r="C64" s="12">
        <f>VLOOKUP(B:B,'Курс валют'!A:D,4,0)</f>
        <v>90.2004</v>
      </c>
      <c r="D64" s="15">
        <v>293.0</v>
      </c>
      <c r="E64" s="64" t="s">
        <v>63</v>
      </c>
      <c r="F64" s="15">
        <v>1350.0</v>
      </c>
      <c r="G64" s="15">
        <v>1362.74</v>
      </c>
      <c r="H64" s="17">
        <v>730.5</v>
      </c>
      <c r="I64" s="15">
        <f t="shared" si="1"/>
        <v>12.74</v>
      </c>
      <c r="J64" s="18">
        <f t="shared" si="2"/>
        <v>0.9437037037</v>
      </c>
      <c r="K64" s="17">
        <v>3.58</v>
      </c>
      <c r="L64" s="19">
        <f t="shared" si="3"/>
        <v>54.11111111</v>
      </c>
      <c r="M64" s="20">
        <f t="shared" si="8"/>
        <v>174.5397785</v>
      </c>
      <c r="N64" s="21">
        <f t="shared" si="10"/>
        <v>1.935022222</v>
      </c>
      <c r="O64" s="21">
        <f t="shared" si="6"/>
        <v>2612.28</v>
      </c>
      <c r="P64" s="22">
        <f t="shared" si="7"/>
        <v>235628.7009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>
        <v>45802.0</v>
      </c>
      <c r="B65" s="11">
        <v>45802.0</v>
      </c>
      <c r="C65" s="12">
        <f>VLOOKUP(B:B,'Курс валют'!A:D,4,0)</f>
        <v>90.5207</v>
      </c>
      <c r="D65" s="15">
        <v>296.0</v>
      </c>
      <c r="E65" s="64" t="s">
        <v>53</v>
      </c>
      <c r="F65" s="15">
        <v>1598.0</v>
      </c>
      <c r="G65" s="15">
        <v>1604.04</v>
      </c>
      <c r="H65" s="17">
        <v>0.0</v>
      </c>
      <c r="I65" s="15">
        <f t="shared" si="1"/>
        <v>6.04</v>
      </c>
      <c r="J65" s="18">
        <f t="shared" si="2"/>
        <v>0.3779724656</v>
      </c>
      <c r="K65" s="17">
        <v>1.91</v>
      </c>
      <c r="L65" s="19">
        <f t="shared" si="3"/>
        <v>0</v>
      </c>
      <c r="M65" s="20">
        <f t="shared" si="8"/>
        <v>172.894537</v>
      </c>
      <c r="N65" s="21">
        <f t="shared" si="10"/>
        <v>1.91</v>
      </c>
      <c r="O65" s="21">
        <f t="shared" si="6"/>
        <v>3052.18</v>
      </c>
      <c r="P65" s="22">
        <f t="shared" si="7"/>
        <v>276285.4701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>
        <v>45800.0</v>
      </c>
      <c r="B66" s="11">
        <v>45803.0</v>
      </c>
      <c r="C66" s="12">
        <f>VLOOKUP(B:B,'Курс валют'!A:D,4,0)</f>
        <v>90.5207</v>
      </c>
      <c r="D66" s="15">
        <v>294.0</v>
      </c>
      <c r="E66" s="64" t="s">
        <v>2237</v>
      </c>
      <c r="F66" s="15">
        <v>7998.0</v>
      </c>
      <c r="G66" s="15">
        <v>8018.0</v>
      </c>
      <c r="H66" s="17">
        <v>0.0</v>
      </c>
      <c r="I66" s="15">
        <f t="shared" si="1"/>
        <v>20</v>
      </c>
      <c r="J66" s="18">
        <f t="shared" si="2"/>
        <v>0.2500625156</v>
      </c>
      <c r="K66" s="17">
        <v>2.03</v>
      </c>
      <c r="L66" s="19">
        <f t="shared" si="3"/>
        <v>0</v>
      </c>
      <c r="M66" s="20">
        <f t="shared" si="8"/>
        <v>183.757021</v>
      </c>
      <c r="N66" s="21">
        <f t="shared" si="10"/>
        <v>2.03</v>
      </c>
      <c r="O66" s="21">
        <f t="shared" si="6"/>
        <v>16235.94</v>
      </c>
      <c r="P66" s="22">
        <f t="shared" si="7"/>
        <v>1469688.654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>
        <v>45800.0</v>
      </c>
      <c r="B67" s="11">
        <v>45803.0</v>
      </c>
      <c r="C67" s="12">
        <f>VLOOKUP(B:B,'Курс валют'!A:D,4,0)</f>
        <v>90.5207</v>
      </c>
      <c r="D67" s="15">
        <v>295.0</v>
      </c>
      <c r="E67" s="77" t="s">
        <v>2238</v>
      </c>
      <c r="F67" s="15">
        <v>2100.0</v>
      </c>
      <c r="G67" s="15">
        <v>2100.0</v>
      </c>
      <c r="H67" s="17">
        <v>0.0</v>
      </c>
      <c r="I67" s="15">
        <f t="shared" si="1"/>
        <v>0</v>
      </c>
      <c r="J67" s="18">
        <f t="shared" si="2"/>
        <v>0</v>
      </c>
      <c r="K67" s="17">
        <v>1.22</v>
      </c>
      <c r="L67" s="19">
        <f t="shared" si="3"/>
        <v>0</v>
      </c>
      <c r="M67" s="20">
        <f t="shared" si="8"/>
        <v>110.435254</v>
      </c>
      <c r="N67" s="21">
        <f t="shared" si="10"/>
        <v>1.22</v>
      </c>
      <c r="O67" s="21">
        <f t="shared" si="6"/>
        <v>2562</v>
      </c>
      <c r="P67" s="22">
        <f t="shared" si="7"/>
        <v>231914.0334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63">
        <v>45803.0</v>
      </c>
      <c r="B68" s="11">
        <v>45803.0</v>
      </c>
      <c r="C68" s="12">
        <f>VLOOKUP(B:B,'Курс валют'!A:D,4,0)</f>
        <v>90.5207</v>
      </c>
      <c r="D68" s="15">
        <v>297.0</v>
      </c>
      <c r="E68" s="64" t="s">
        <v>18</v>
      </c>
      <c r="F68" s="15">
        <v>11000.0</v>
      </c>
      <c r="G68" s="15">
        <f>7000+5000-802-174</f>
        <v>11024</v>
      </c>
      <c r="H68" s="17">
        <v>5024.0</v>
      </c>
      <c r="I68" s="15">
        <f t="shared" si="1"/>
        <v>24</v>
      </c>
      <c r="J68" s="18">
        <f t="shared" si="2"/>
        <v>0.2181818182</v>
      </c>
      <c r="K68" s="17">
        <v>3.45</v>
      </c>
      <c r="L68" s="19">
        <f t="shared" si="3"/>
        <v>45.67272727</v>
      </c>
      <c r="M68" s="20">
        <f t="shared" si="8"/>
        <v>186.6128668</v>
      </c>
      <c r="N68" s="21">
        <f t="shared" si="10"/>
        <v>2.061549091</v>
      </c>
      <c r="O68" s="21">
        <f t="shared" si="6"/>
        <v>22677.04</v>
      </c>
      <c r="P68" s="22">
        <f t="shared" si="7"/>
        <v>2052741.535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30">
        <v>45804.0</v>
      </c>
      <c r="B69" s="11">
        <v>45804.0</v>
      </c>
      <c r="C69" s="12">
        <f>VLOOKUP(B:B,'Курс валют'!A:D,4,0)</f>
        <v>90.4644</v>
      </c>
      <c r="D69" s="15">
        <v>299.0</v>
      </c>
      <c r="E69" s="64" t="s">
        <v>18</v>
      </c>
      <c r="F69" s="15">
        <v>11000.0</v>
      </c>
      <c r="G69" s="15">
        <v>11024.0</v>
      </c>
      <c r="H69" s="17">
        <v>5023.0</v>
      </c>
      <c r="I69" s="15">
        <f t="shared" si="1"/>
        <v>24</v>
      </c>
      <c r="J69" s="18">
        <f t="shared" si="2"/>
        <v>0.2181818182</v>
      </c>
      <c r="K69" s="17">
        <v>3.45</v>
      </c>
      <c r="L69" s="19">
        <f t="shared" si="3"/>
        <v>45.66363636</v>
      </c>
      <c r="M69" s="20">
        <f t="shared" si="8"/>
        <v>186.5218027</v>
      </c>
      <c r="N69" s="21">
        <f t="shared" si="10"/>
        <v>2.061825455</v>
      </c>
      <c r="O69" s="21">
        <f t="shared" si="6"/>
        <v>22680.08</v>
      </c>
      <c r="P69" s="22">
        <f t="shared" si="7"/>
        <v>2051739.829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63">
        <v>45802.0</v>
      </c>
      <c r="B70" s="11">
        <v>45802.0</v>
      </c>
      <c r="C70" s="12">
        <f>VLOOKUP(B:B,'Курс валют'!A:D,4,0)</f>
        <v>90.5207</v>
      </c>
      <c r="D70" s="15" t="s">
        <v>2239</v>
      </c>
      <c r="E70" s="64" t="s">
        <v>2240</v>
      </c>
      <c r="F70" s="15">
        <v>198.0</v>
      </c>
      <c r="G70" s="15">
        <v>200.0</v>
      </c>
      <c r="H70" s="17">
        <v>0.0</v>
      </c>
      <c r="I70" s="15">
        <f t="shared" si="1"/>
        <v>2</v>
      </c>
      <c r="J70" s="18">
        <f t="shared" si="2"/>
        <v>1.01010101</v>
      </c>
      <c r="K70" s="17">
        <v>1.95</v>
      </c>
      <c r="L70" s="19">
        <f t="shared" si="3"/>
        <v>0</v>
      </c>
      <c r="M70" s="20">
        <f t="shared" si="8"/>
        <v>176.515365</v>
      </c>
      <c r="N70" s="21">
        <f t="shared" si="10"/>
        <v>1.95</v>
      </c>
      <c r="O70" s="21">
        <f t="shared" si="6"/>
        <v>386.1</v>
      </c>
      <c r="P70" s="22">
        <f t="shared" si="7"/>
        <v>34950.04227</v>
      </c>
      <c r="R70" s="23" t="s">
        <v>2241</v>
      </c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63">
        <v>45804.0</v>
      </c>
      <c r="B71" s="11">
        <v>45804.0</v>
      </c>
      <c r="C71" s="12">
        <f>VLOOKUP(B:B,'Курс валют'!A:D,4,0)</f>
        <v>90.4644</v>
      </c>
      <c r="D71" s="15">
        <v>298.0</v>
      </c>
      <c r="E71" s="64" t="s">
        <v>64</v>
      </c>
      <c r="F71" s="15">
        <v>2000.0</v>
      </c>
      <c r="G71" s="15">
        <v>2027.4</v>
      </c>
      <c r="H71" s="17">
        <v>0.0</v>
      </c>
      <c r="I71" s="15">
        <f t="shared" si="1"/>
        <v>27.4</v>
      </c>
      <c r="J71" s="18">
        <f t="shared" si="2"/>
        <v>1.37</v>
      </c>
      <c r="K71" s="17">
        <v>2.59</v>
      </c>
      <c r="L71" s="19">
        <f t="shared" si="3"/>
        <v>0</v>
      </c>
      <c r="M71" s="20">
        <f t="shared" si="8"/>
        <v>234.302796</v>
      </c>
      <c r="N71" s="21">
        <f t="shared" si="10"/>
        <v>2.59</v>
      </c>
      <c r="O71" s="21">
        <f t="shared" si="6"/>
        <v>5180</v>
      </c>
      <c r="P71" s="22">
        <f t="shared" si="7"/>
        <v>468605.592</v>
      </c>
      <c r="R71" s="79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63">
        <v>45805.0</v>
      </c>
      <c r="B72" s="11">
        <v>45805.0</v>
      </c>
      <c r="C72" s="12">
        <f>VLOOKUP(B:B,'Курс валют'!A:D,4,0)</f>
        <v>90.9007</v>
      </c>
      <c r="D72" s="15">
        <v>301.0</v>
      </c>
      <c r="E72" s="64" t="s">
        <v>2242</v>
      </c>
      <c r="F72" s="15">
        <v>9.86</v>
      </c>
      <c r="G72" s="15">
        <v>9.86</v>
      </c>
      <c r="H72" s="17">
        <v>0.0</v>
      </c>
      <c r="I72" s="15">
        <f t="shared" si="1"/>
        <v>0</v>
      </c>
      <c r="J72" s="18">
        <f t="shared" si="2"/>
        <v>0</v>
      </c>
      <c r="K72" s="17">
        <v>0.0</v>
      </c>
      <c r="L72" s="19">
        <f t="shared" si="3"/>
        <v>0</v>
      </c>
      <c r="M72" s="20">
        <f t="shared" si="8"/>
        <v>0</v>
      </c>
      <c r="N72" s="21">
        <f t="shared" si="10"/>
        <v>0</v>
      </c>
      <c r="O72" s="21">
        <f t="shared" si="6"/>
        <v>0</v>
      </c>
      <c r="P72" s="22">
        <f t="shared" si="7"/>
        <v>0</v>
      </c>
      <c r="R72" s="23" t="s">
        <v>2243</v>
      </c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63">
        <v>45805.0</v>
      </c>
      <c r="B73" s="11">
        <v>45805.0</v>
      </c>
      <c r="C73" s="12">
        <f>VLOOKUP(B:B,'Курс валют'!A:D,4,0)</f>
        <v>90.9007</v>
      </c>
      <c r="D73" s="15">
        <v>302.0</v>
      </c>
      <c r="E73" s="64" t="s">
        <v>2244</v>
      </c>
      <c r="F73" s="15">
        <v>2.6</v>
      </c>
      <c r="G73" s="15">
        <v>2.6</v>
      </c>
      <c r="H73" s="17">
        <v>0.0</v>
      </c>
      <c r="I73" s="15">
        <f t="shared" si="1"/>
        <v>0</v>
      </c>
      <c r="J73" s="18">
        <f t="shared" si="2"/>
        <v>0</v>
      </c>
      <c r="K73" s="17">
        <v>0.0</v>
      </c>
      <c r="L73" s="19">
        <f t="shared" si="3"/>
        <v>0</v>
      </c>
      <c r="M73" s="20">
        <f t="shared" si="8"/>
        <v>0</v>
      </c>
      <c r="N73" s="21">
        <f t="shared" si="10"/>
        <v>0</v>
      </c>
      <c r="O73" s="21">
        <f t="shared" si="6"/>
        <v>0</v>
      </c>
      <c r="P73" s="22">
        <f t="shared" si="7"/>
        <v>0</v>
      </c>
      <c r="R73" s="23" t="s">
        <v>2243</v>
      </c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63">
        <v>45805.0</v>
      </c>
      <c r="B74" s="11">
        <v>45805.0</v>
      </c>
      <c r="C74" s="12">
        <f>VLOOKUP(B:B,'Курс валют'!A:D,4,0)</f>
        <v>90.9007</v>
      </c>
      <c r="D74" s="15">
        <v>303.0</v>
      </c>
      <c r="E74" s="64" t="s">
        <v>2245</v>
      </c>
      <c r="F74" s="15">
        <v>2.6</v>
      </c>
      <c r="G74" s="15">
        <v>2.6</v>
      </c>
      <c r="H74" s="17">
        <v>0.0</v>
      </c>
      <c r="I74" s="15">
        <f t="shared" si="1"/>
        <v>0</v>
      </c>
      <c r="J74" s="18">
        <f t="shared" si="2"/>
        <v>0</v>
      </c>
      <c r="K74" s="17">
        <v>0.0</v>
      </c>
      <c r="L74" s="19">
        <f t="shared" si="3"/>
        <v>0</v>
      </c>
      <c r="M74" s="20">
        <f t="shared" si="8"/>
        <v>0</v>
      </c>
      <c r="N74" s="21">
        <f t="shared" si="10"/>
        <v>0</v>
      </c>
      <c r="O74" s="21">
        <f t="shared" si="6"/>
        <v>0</v>
      </c>
      <c r="P74" s="22">
        <f t="shared" si="7"/>
        <v>0</v>
      </c>
      <c r="R74" s="23" t="s">
        <v>2243</v>
      </c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63">
        <v>45805.0</v>
      </c>
      <c r="B75" s="11">
        <v>45805.0</v>
      </c>
      <c r="C75" s="12">
        <f>VLOOKUP(B:B,'Курс валют'!A:D,4,0)</f>
        <v>90.9007</v>
      </c>
      <c r="D75" s="15">
        <v>300.0</v>
      </c>
      <c r="E75" s="64" t="s">
        <v>18</v>
      </c>
      <c r="F75" s="15">
        <v>11000.0</v>
      </c>
      <c r="G75" s="15">
        <v>11022.0</v>
      </c>
      <c r="H75" s="17">
        <v>5022.0</v>
      </c>
      <c r="I75" s="15">
        <f t="shared" si="1"/>
        <v>22</v>
      </c>
      <c r="J75" s="18">
        <f t="shared" si="2"/>
        <v>0.2</v>
      </c>
      <c r="K75" s="17">
        <v>3.48</v>
      </c>
      <c r="L75" s="19">
        <f t="shared" si="3"/>
        <v>45.65454545</v>
      </c>
      <c r="M75" s="20">
        <f t="shared" si="8"/>
        <v>190.1735197</v>
      </c>
      <c r="N75" s="21">
        <f t="shared" si="10"/>
        <v>2.092101818</v>
      </c>
      <c r="O75" s="21">
        <f t="shared" si="6"/>
        <v>23013.12</v>
      </c>
      <c r="P75" s="22">
        <f t="shared" si="7"/>
        <v>2091908.717</v>
      </c>
      <c r="R75" s="23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63">
        <v>45805.0</v>
      </c>
      <c r="B76" s="11">
        <v>45805.0</v>
      </c>
      <c r="C76" s="12">
        <f>VLOOKUP(B:B,'Курс валют'!A:D,4,0)</f>
        <v>90.9007</v>
      </c>
      <c r="D76" s="15">
        <v>304.0</v>
      </c>
      <c r="E76" s="64" t="s">
        <v>2246</v>
      </c>
      <c r="F76" s="15">
        <v>200.0</v>
      </c>
      <c r="G76" s="15">
        <v>200.0</v>
      </c>
      <c r="H76" s="17">
        <v>0.0</v>
      </c>
      <c r="I76" s="15">
        <f t="shared" si="1"/>
        <v>0</v>
      </c>
      <c r="J76" s="18">
        <f t="shared" si="2"/>
        <v>0</v>
      </c>
      <c r="K76" s="17">
        <v>2.79</v>
      </c>
      <c r="L76" s="19">
        <f t="shared" si="3"/>
        <v>0</v>
      </c>
      <c r="M76" s="20">
        <f t="shared" si="8"/>
        <v>253.612953</v>
      </c>
      <c r="N76" s="21">
        <f t="shared" si="10"/>
        <v>2.79</v>
      </c>
      <c r="O76" s="21">
        <f t="shared" si="6"/>
        <v>558</v>
      </c>
      <c r="P76" s="22">
        <f t="shared" si="7"/>
        <v>50722.5906</v>
      </c>
      <c r="R76" s="23" t="s">
        <v>2243</v>
      </c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63">
        <v>45805.0</v>
      </c>
      <c r="B77" s="11">
        <v>45805.0</v>
      </c>
      <c r="C77" s="12">
        <f>VLOOKUP(B:B,'Курс валют'!A:D,4,0)</f>
        <v>90.9007</v>
      </c>
      <c r="D77" s="15">
        <v>305.0</v>
      </c>
      <c r="E77" s="64" t="s">
        <v>2247</v>
      </c>
      <c r="F77" s="15">
        <v>160.0</v>
      </c>
      <c r="G77" s="15">
        <v>160.0</v>
      </c>
      <c r="H77" s="17">
        <v>0.0</v>
      </c>
      <c r="I77" s="15">
        <f t="shared" si="1"/>
        <v>0</v>
      </c>
      <c r="J77" s="18">
        <f t="shared" si="2"/>
        <v>0</v>
      </c>
      <c r="K77" s="17">
        <v>3.52</v>
      </c>
      <c r="L77" s="19">
        <f t="shared" si="3"/>
        <v>0</v>
      </c>
      <c r="M77" s="20">
        <f t="shared" si="8"/>
        <v>319.970464</v>
      </c>
      <c r="N77" s="21">
        <f t="shared" si="10"/>
        <v>3.52</v>
      </c>
      <c r="O77" s="21">
        <f t="shared" si="6"/>
        <v>563.2</v>
      </c>
      <c r="P77" s="22">
        <f t="shared" si="7"/>
        <v>51195.27424</v>
      </c>
      <c r="R77" s="23" t="s">
        <v>2243</v>
      </c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63">
        <v>45805.0</v>
      </c>
      <c r="B78" s="11">
        <v>45805.0</v>
      </c>
      <c r="C78" s="12">
        <f>VLOOKUP(B:B,'Курс валют'!A:D,4,0)</f>
        <v>90.9007</v>
      </c>
      <c r="D78" s="15">
        <v>306.0</v>
      </c>
      <c r="E78" s="59" t="s">
        <v>63</v>
      </c>
      <c r="F78" s="15">
        <v>2025.0</v>
      </c>
      <c r="G78" s="15">
        <v>2040.61</v>
      </c>
      <c r="H78" s="17">
        <v>811.0</v>
      </c>
      <c r="I78" s="15">
        <f t="shared" si="1"/>
        <v>15.61</v>
      </c>
      <c r="J78" s="18">
        <f t="shared" si="2"/>
        <v>0.7708641975</v>
      </c>
      <c r="K78" s="17">
        <v>3.05</v>
      </c>
      <c r="L78" s="19">
        <f t="shared" si="3"/>
        <v>40.04938272</v>
      </c>
      <c r="M78" s="20">
        <f t="shared" si="8"/>
        <v>166.5754205</v>
      </c>
      <c r="N78" s="21">
        <f t="shared" si="10"/>
        <v>1.832498765</v>
      </c>
      <c r="O78" s="21">
        <f t="shared" si="6"/>
        <v>3710.81</v>
      </c>
      <c r="P78" s="22">
        <f t="shared" si="7"/>
        <v>337315.2266</v>
      </c>
      <c r="R78" s="79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63">
        <v>45805.0</v>
      </c>
      <c r="B79" s="11">
        <v>45805.0</v>
      </c>
      <c r="C79" s="12">
        <f>VLOOKUP(B:B,'Курс валют'!A:D,4,0)</f>
        <v>90.9007</v>
      </c>
      <c r="D79" s="15">
        <v>307.0</v>
      </c>
      <c r="E79" s="59" t="s">
        <v>63</v>
      </c>
      <c r="F79" s="15">
        <v>2025.0</v>
      </c>
      <c r="G79" s="15">
        <v>2040.61</v>
      </c>
      <c r="H79" s="17">
        <v>811.0</v>
      </c>
      <c r="I79" s="15">
        <f t="shared" si="1"/>
        <v>15.61</v>
      </c>
      <c r="J79" s="18">
        <f t="shared" si="2"/>
        <v>0.7708641975</v>
      </c>
      <c r="K79" s="17">
        <v>3.05</v>
      </c>
      <c r="L79" s="19">
        <f t="shared" si="3"/>
        <v>40.04938272</v>
      </c>
      <c r="M79" s="20">
        <f t="shared" si="8"/>
        <v>166.5754205</v>
      </c>
      <c r="N79" s="21">
        <f t="shared" si="10"/>
        <v>1.832498765</v>
      </c>
      <c r="O79" s="21">
        <f t="shared" si="6"/>
        <v>3710.81</v>
      </c>
      <c r="P79" s="22">
        <f t="shared" si="7"/>
        <v>337315.2266</v>
      </c>
      <c r="R79" s="23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63">
        <v>45805.0</v>
      </c>
      <c r="B80" s="11">
        <v>45805.0</v>
      </c>
      <c r="C80" s="12">
        <f>VLOOKUP(B:B,'Курс валют'!A:D,4,0)</f>
        <v>90.9007</v>
      </c>
      <c r="D80" s="15">
        <v>308.0</v>
      </c>
      <c r="E80" s="59" t="s">
        <v>63</v>
      </c>
      <c r="F80" s="15">
        <v>2025.0</v>
      </c>
      <c r="G80" s="15">
        <v>2041.11</v>
      </c>
      <c r="H80" s="17">
        <v>812.0</v>
      </c>
      <c r="I80" s="15">
        <f t="shared" si="1"/>
        <v>16.11</v>
      </c>
      <c r="J80" s="18">
        <f t="shared" si="2"/>
        <v>0.7955555556</v>
      </c>
      <c r="K80" s="17">
        <v>3.05</v>
      </c>
      <c r="L80" s="19">
        <f t="shared" si="3"/>
        <v>40.09876543</v>
      </c>
      <c r="M80" s="20">
        <f t="shared" si="8"/>
        <v>166.4389573</v>
      </c>
      <c r="N80" s="21">
        <f t="shared" si="10"/>
        <v>1.830997531</v>
      </c>
      <c r="O80" s="21">
        <f t="shared" si="6"/>
        <v>3707.77</v>
      </c>
      <c r="P80" s="22">
        <f t="shared" si="7"/>
        <v>337038.8884</v>
      </c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63">
        <v>45806.0</v>
      </c>
      <c r="B81" s="11">
        <v>45806.0</v>
      </c>
      <c r="C81" s="12">
        <f>VLOOKUP(B:B,'Курс валют'!A:D,4,0)</f>
        <v>90.3365</v>
      </c>
      <c r="D81" s="15">
        <v>309.0</v>
      </c>
      <c r="E81" s="59" t="s">
        <v>63</v>
      </c>
      <c r="F81" s="15">
        <v>2025.0</v>
      </c>
      <c r="G81" s="15">
        <v>2041.61</v>
      </c>
      <c r="H81" s="17">
        <v>812.0</v>
      </c>
      <c r="I81" s="15">
        <f t="shared" si="1"/>
        <v>16.61</v>
      </c>
      <c r="J81" s="18">
        <f t="shared" si="2"/>
        <v>0.8202469136</v>
      </c>
      <c r="K81" s="17">
        <v>3.04</v>
      </c>
      <c r="L81" s="19">
        <f t="shared" si="3"/>
        <v>40.09876543</v>
      </c>
      <c r="M81" s="20">
        <f t="shared" si="8"/>
        <v>164.5025434</v>
      </c>
      <c r="N81" s="21">
        <f t="shared" si="10"/>
        <v>1.820997531</v>
      </c>
      <c r="O81" s="21">
        <f t="shared" si="6"/>
        <v>3687.52</v>
      </c>
      <c r="P81" s="22">
        <f t="shared" si="7"/>
        <v>333117.6505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63">
        <v>45806.0</v>
      </c>
      <c r="B82" s="11">
        <v>45807.0</v>
      </c>
      <c r="C82" s="12">
        <f>VLOOKUP(B:B,'Курс валют'!A:D,4,0)</f>
        <v>88.9481</v>
      </c>
      <c r="D82" s="15" t="s">
        <v>2248</v>
      </c>
      <c r="E82" s="59" t="s">
        <v>63</v>
      </c>
      <c r="F82" s="15">
        <v>4275.0</v>
      </c>
      <c r="G82" s="15">
        <v>4281.74</v>
      </c>
      <c r="H82" s="17">
        <v>1705.0</v>
      </c>
      <c r="I82" s="15">
        <f t="shared" si="1"/>
        <v>6.74</v>
      </c>
      <c r="J82" s="18">
        <f t="shared" si="2"/>
        <v>0.1576608187</v>
      </c>
      <c r="K82" s="17">
        <v>2.98</v>
      </c>
      <c r="L82" s="19">
        <f t="shared" si="3"/>
        <v>39.88304094</v>
      </c>
      <c r="M82" s="20">
        <f t="shared" si="8"/>
        <v>157.2207083</v>
      </c>
      <c r="N82" s="21">
        <f t="shared" si="10"/>
        <v>1.767555556</v>
      </c>
      <c r="O82" s="21">
        <f t="shared" si="6"/>
        <v>7556.3</v>
      </c>
      <c r="P82" s="22">
        <f t="shared" si="7"/>
        <v>672118.528</v>
      </c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63">
        <v>45807.0</v>
      </c>
      <c r="B83" s="11">
        <v>45807.0</v>
      </c>
      <c r="C83" s="12">
        <f>VLOOKUP(B:B,'Курс валют'!A:D,4,0)</f>
        <v>88.9481</v>
      </c>
      <c r="D83" s="15" t="s">
        <v>2249</v>
      </c>
      <c r="E83" s="15" t="s">
        <v>2250</v>
      </c>
      <c r="F83" s="15">
        <v>10.0</v>
      </c>
      <c r="G83" s="15">
        <v>10.0</v>
      </c>
      <c r="H83" s="17">
        <v>0.0</v>
      </c>
      <c r="I83" s="15">
        <f t="shared" si="1"/>
        <v>0</v>
      </c>
      <c r="J83" s="18">
        <f t="shared" si="2"/>
        <v>0</v>
      </c>
      <c r="K83" s="17">
        <v>3.81</v>
      </c>
      <c r="L83" s="19">
        <f t="shared" si="3"/>
        <v>0</v>
      </c>
      <c r="M83" s="20">
        <f t="shared" si="8"/>
        <v>338.892261</v>
      </c>
      <c r="N83" s="21">
        <f t="shared" si="10"/>
        <v>3.81</v>
      </c>
      <c r="O83" s="21">
        <f t="shared" si="6"/>
        <v>38.1</v>
      </c>
      <c r="P83" s="22">
        <f t="shared" si="7"/>
        <v>3388.92261</v>
      </c>
      <c r="R83" s="24" t="s">
        <v>2251</v>
      </c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63">
        <v>45807.0</v>
      </c>
      <c r="B84" s="11">
        <v>45807.0</v>
      </c>
      <c r="C84" s="12">
        <f>VLOOKUP(B:B,'Курс валют'!A:D,4,0)</f>
        <v>88.9481</v>
      </c>
      <c r="D84" s="15" t="s">
        <v>2252</v>
      </c>
      <c r="E84" s="15" t="s">
        <v>2253</v>
      </c>
      <c r="F84" s="15">
        <v>10.0</v>
      </c>
      <c r="G84" s="15">
        <v>10.1</v>
      </c>
      <c r="H84" s="17">
        <v>0.0</v>
      </c>
      <c r="I84" s="15">
        <f t="shared" si="1"/>
        <v>0.1</v>
      </c>
      <c r="J84" s="18">
        <f t="shared" si="2"/>
        <v>1</v>
      </c>
      <c r="K84" s="17">
        <v>4.35</v>
      </c>
      <c r="L84" s="19">
        <f t="shared" si="3"/>
        <v>0</v>
      </c>
      <c r="M84" s="20">
        <f t="shared" si="8"/>
        <v>386.924235</v>
      </c>
      <c r="N84" s="21">
        <f t="shared" si="10"/>
        <v>4.35</v>
      </c>
      <c r="O84" s="21">
        <f t="shared" si="6"/>
        <v>43.5</v>
      </c>
      <c r="P84" s="22">
        <f t="shared" si="7"/>
        <v>3869.24235</v>
      </c>
      <c r="R84" s="24" t="s">
        <v>2251</v>
      </c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63"/>
      <c r="B85" s="11"/>
      <c r="C85" s="12" t="str">
        <f>VLOOKUP(B:B,'Курс валют'!A:D,4,0)</f>
        <v>#N/A</v>
      </c>
      <c r="D85" s="67"/>
      <c r="E85" s="67"/>
      <c r="F85" s="67"/>
      <c r="G85" s="67"/>
      <c r="H85" s="65"/>
      <c r="I85" s="15"/>
      <c r="J85" s="18"/>
      <c r="K85" s="65"/>
      <c r="L85" s="19"/>
      <c r="M85" s="20"/>
      <c r="N85" s="21"/>
      <c r="O85" s="21"/>
      <c r="P85" s="22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63"/>
      <c r="B86" s="11"/>
      <c r="C86" s="12" t="str">
        <f>VLOOKUP(B:B,'Курс валют'!A:D,4,0)</f>
        <v>#N/A</v>
      </c>
      <c r="D86" s="67"/>
      <c r="E86" s="67"/>
      <c r="F86" s="67"/>
      <c r="G86" s="67"/>
      <c r="H86" s="65"/>
      <c r="I86" s="15"/>
      <c r="J86" s="18"/>
      <c r="K86" s="65"/>
      <c r="L86" s="19"/>
      <c r="M86" s="20"/>
      <c r="N86" s="21"/>
      <c r="O86" s="21"/>
      <c r="P86" s="22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63"/>
      <c r="B87" s="11"/>
      <c r="C87" s="12" t="str">
        <f>VLOOKUP(B:B,'Курс валют'!A:D,4,0)</f>
        <v>#N/A</v>
      </c>
      <c r="D87" s="67"/>
      <c r="E87" s="67"/>
      <c r="F87" s="67"/>
      <c r="G87" s="67"/>
      <c r="H87" s="65"/>
      <c r="I87" s="15"/>
      <c r="J87" s="18"/>
      <c r="K87" s="65"/>
      <c r="L87" s="19"/>
      <c r="M87" s="20"/>
      <c r="N87" s="21"/>
      <c r="O87" s="21"/>
      <c r="P87" s="22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63"/>
      <c r="B88" s="11"/>
      <c r="C88" s="12" t="str">
        <f>VLOOKUP(B:B,'Курс валют'!A:D,4,0)</f>
        <v>#N/A</v>
      </c>
      <c r="D88" s="67"/>
      <c r="E88" s="67"/>
      <c r="F88" s="67"/>
      <c r="G88" s="67"/>
      <c r="H88" s="65"/>
      <c r="I88" s="15"/>
      <c r="J88" s="18"/>
      <c r="K88" s="65"/>
      <c r="L88" s="19"/>
      <c r="M88" s="20"/>
      <c r="N88" s="21"/>
      <c r="O88" s="21"/>
      <c r="P88" s="22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63"/>
      <c r="B89" s="11"/>
      <c r="C89" s="12" t="str">
        <f>VLOOKUP(B:B,'Курс валют'!A:D,4,0)</f>
        <v>#N/A</v>
      </c>
      <c r="D89" s="25"/>
      <c r="E89" s="25"/>
      <c r="F89" s="25"/>
      <c r="G89" s="25"/>
      <c r="H89" s="80"/>
      <c r="I89" s="25"/>
      <c r="J89" s="25"/>
      <c r="K89" s="80"/>
      <c r="L89" s="81"/>
      <c r="M89" s="82"/>
      <c r="N89" s="25"/>
      <c r="O89" s="25"/>
      <c r="P89" s="82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63"/>
      <c r="B90" s="11"/>
      <c r="C90" s="12" t="str">
        <f>VLOOKUP(B:B,'Курс валют'!A:D,4,0)</f>
        <v>#N/A</v>
      </c>
      <c r="D90" s="25"/>
      <c r="E90" s="25"/>
      <c r="F90" s="25"/>
      <c r="G90" s="25"/>
      <c r="H90" s="80"/>
      <c r="I90" s="25"/>
      <c r="J90" s="25"/>
      <c r="K90" s="80"/>
      <c r="L90" s="81"/>
      <c r="M90" s="82"/>
      <c r="N90" s="25"/>
      <c r="O90" s="25"/>
      <c r="P90" s="82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63"/>
      <c r="B91" s="11"/>
      <c r="C91" s="12" t="str">
        <f>VLOOKUP(B:B,'Курс валют'!A:D,4,0)</f>
        <v>#N/A</v>
      </c>
      <c r="D91" s="25"/>
      <c r="E91" s="25"/>
      <c r="F91" s="25"/>
      <c r="G91" s="25"/>
      <c r="H91" s="80"/>
      <c r="I91" s="25"/>
      <c r="J91" s="25"/>
      <c r="K91" s="80"/>
      <c r="L91" s="81"/>
      <c r="M91" s="82"/>
      <c r="N91" s="25"/>
      <c r="O91" s="25"/>
      <c r="P91" s="82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63"/>
      <c r="B92" s="11"/>
      <c r="C92" s="12" t="str">
        <f>VLOOKUP(B:B,'Курс валют'!A:D,4,0)</f>
        <v>#N/A</v>
      </c>
      <c r="D92" s="25"/>
      <c r="E92" s="25"/>
      <c r="F92" s="25"/>
      <c r="G92" s="25"/>
      <c r="H92" s="80"/>
      <c r="I92" s="25"/>
      <c r="J92" s="25"/>
      <c r="K92" s="80"/>
      <c r="L92" s="81"/>
      <c r="M92" s="82"/>
      <c r="N92" s="25"/>
      <c r="O92" s="25"/>
      <c r="P92" s="82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11"/>
      <c r="C93" s="12" t="str">
        <f>VLOOKUP(B:B,'Курс валют'!A:D,4,0)</f>
        <v>#N/A</v>
      </c>
      <c r="D93" s="25"/>
      <c r="E93" s="25"/>
      <c r="F93" s="25"/>
      <c r="G93" s="25"/>
      <c r="H93" s="80"/>
      <c r="I93" s="25"/>
      <c r="J93" s="25"/>
      <c r="K93" s="80"/>
      <c r="L93" s="81"/>
      <c r="M93" s="82"/>
      <c r="N93" s="25"/>
      <c r="O93" s="25"/>
      <c r="P93" s="82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/>
      <c r="C94" s="12" t="str">
        <f>VLOOKUP(B:B,'Курс валют'!A:D,4,0)</f>
        <v>#N/A</v>
      </c>
      <c r="D94" s="25"/>
      <c r="E94" s="25"/>
      <c r="F94" s="25"/>
      <c r="G94" s="25"/>
      <c r="H94" s="80"/>
      <c r="I94" s="25"/>
      <c r="J94" s="25"/>
      <c r="K94" s="80"/>
      <c r="L94" s="81"/>
      <c r="M94" s="82"/>
      <c r="N94" s="25"/>
      <c r="O94" s="25"/>
      <c r="P94" s="82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/>
      <c r="C95" s="12" t="str">
        <f>VLOOKUP(B:B,'Курс валют'!A:D,4,0)</f>
        <v>#N/A</v>
      </c>
      <c r="D95" s="25"/>
      <c r="E95" s="25"/>
      <c r="F95" s="25"/>
      <c r="G95" s="25"/>
      <c r="H95" s="80"/>
      <c r="I95" s="25"/>
      <c r="J95" s="25"/>
      <c r="K95" s="80"/>
      <c r="L95" s="81"/>
      <c r="M95" s="82"/>
      <c r="N95" s="25"/>
      <c r="O95" s="25"/>
      <c r="P95" s="82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12" t="str">
        <f>VLOOKUP(B:B,'Курс валют'!A:D,4,0)</f>
        <v>#N/A</v>
      </c>
      <c r="D96" s="25"/>
      <c r="E96" s="25"/>
      <c r="F96" s="25"/>
      <c r="G96" s="25"/>
      <c r="H96" s="80"/>
      <c r="I96" s="25"/>
      <c r="J96" s="25"/>
      <c r="K96" s="80"/>
      <c r="L96" s="81"/>
      <c r="M96" s="82"/>
      <c r="N96" s="25"/>
      <c r="O96" s="25"/>
      <c r="P96" s="82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12" t="str">
        <f>VLOOKUP(B:B,'Курс валют'!A:D,4,0)</f>
        <v>#N/A</v>
      </c>
      <c r="D97" s="25"/>
      <c r="E97" s="25"/>
      <c r="F97" s="25"/>
      <c r="G97" s="25"/>
      <c r="H97" s="80"/>
      <c r="I97" s="25"/>
      <c r="J97" s="25"/>
      <c r="K97" s="80"/>
      <c r="L97" s="81"/>
      <c r="M97" s="82"/>
      <c r="N97" s="25"/>
      <c r="O97" s="25"/>
      <c r="P97" s="82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12" t="str">
        <f>VLOOKUP(B:B,'Курс валют'!A:D,4,0)</f>
        <v>#N/A</v>
      </c>
      <c r="D98" s="25"/>
      <c r="E98" s="25"/>
      <c r="F98" s="25"/>
      <c r="G98" s="25"/>
      <c r="H98" s="80"/>
      <c r="I98" s="25"/>
      <c r="J98" s="25"/>
      <c r="K98" s="80"/>
      <c r="L98" s="81"/>
      <c r="M98" s="82"/>
      <c r="N98" s="25"/>
      <c r="O98" s="25"/>
      <c r="P98" s="82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12" t="str">
        <f>VLOOKUP(B:B,'Курс валют'!A:D,4,0)</f>
        <v>#N/A</v>
      </c>
      <c r="D99" s="25"/>
      <c r="E99" s="25"/>
      <c r="F99" s="25"/>
      <c r="G99" s="25"/>
      <c r="H99" s="80"/>
      <c r="I99" s="25"/>
      <c r="J99" s="25"/>
      <c r="K99" s="80"/>
      <c r="L99" s="81"/>
      <c r="M99" s="82"/>
      <c r="N99" s="25"/>
      <c r="O99" s="25"/>
      <c r="P99" s="82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12" t="str">
        <f>VLOOKUP(B:B,'Курс валют'!A:D,4,0)</f>
        <v>#N/A</v>
      </c>
      <c r="D100" s="25"/>
      <c r="E100" s="25"/>
      <c r="F100" s="25"/>
      <c r="G100" s="25"/>
      <c r="H100" s="80"/>
      <c r="I100" s="25"/>
      <c r="J100" s="25"/>
      <c r="K100" s="80"/>
      <c r="L100" s="81"/>
      <c r="M100" s="82"/>
      <c r="N100" s="25"/>
      <c r="O100" s="25"/>
      <c r="P100" s="82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12" t="str">
        <f>VLOOKUP(B:B,'Курс валют'!A:D,4,0)</f>
        <v>#N/A</v>
      </c>
      <c r="D101" s="25"/>
      <c r="E101" s="25"/>
      <c r="F101" s="25"/>
      <c r="G101" s="25"/>
      <c r="H101" s="80"/>
      <c r="I101" s="25"/>
      <c r="J101" s="25"/>
      <c r="K101" s="80"/>
      <c r="L101" s="81"/>
      <c r="M101" s="82"/>
      <c r="N101" s="25"/>
      <c r="O101" s="25"/>
      <c r="P101" s="82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12" t="str">
        <f>VLOOKUP(B:B,'Курс валют'!A:D,4,0)</f>
        <v>#N/A</v>
      </c>
      <c r="D102" s="25"/>
      <c r="E102" s="25"/>
      <c r="F102" s="25"/>
      <c r="G102" s="25"/>
      <c r="H102" s="80"/>
      <c r="I102" s="25"/>
      <c r="J102" s="25"/>
      <c r="K102" s="80"/>
      <c r="L102" s="81"/>
      <c r="M102" s="82"/>
      <c r="N102" s="25"/>
      <c r="O102" s="25"/>
      <c r="P102" s="82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12" t="str">
        <f>VLOOKUP(B:B,'Курс валют'!A:D,4,0)</f>
        <v>#N/A</v>
      </c>
      <c r="D103" s="25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12" t="str">
        <f>VLOOKUP(B:B,'Курс валют'!A:D,4,0)</f>
        <v>#N/A</v>
      </c>
      <c r="D104" s="25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12" t="str">
        <f>VLOOKUP(B:B,'Курс валют'!A:D,4,0)</f>
        <v>#N/A</v>
      </c>
      <c r="D105" s="25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12" t="str">
        <f>VLOOKUP(B:B,'Курс валют'!A:D,4,0)</f>
        <v>#N/A</v>
      </c>
      <c r="D106" s="25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12" t="str">
        <f>VLOOKUP(B:B,'Курс валют'!A:D,4,0)</f>
        <v>#N/A</v>
      </c>
      <c r="D107" s="25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12" t="str">
        <f>VLOOKUP(B:B,'Курс валют'!A:D,4,0)</f>
        <v>#N/A</v>
      </c>
      <c r="D108" s="25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12" t="str">
        <f>VLOOKUP(B:B,'Курс валют'!A:D,4,0)</f>
        <v>#N/A</v>
      </c>
      <c r="D109" s="25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12" t="str">
        <f>VLOOKUP(B:B,'Курс валют'!A:D,4,0)</f>
        <v>#N/A</v>
      </c>
      <c r="D110" s="25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12" t="str">
        <f>VLOOKUP(B:B,'Курс валют'!A:D,4,0)</f>
        <v>#N/A</v>
      </c>
      <c r="D111" s="25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12" t="str">
        <f>VLOOKUP(B:B,'Курс валют'!A:D,4,0)</f>
        <v>#N/A</v>
      </c>
      <c r="D112" s="25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12" t="str">
        <f>VLOOKUP(B:B,'Курс валют'!A:D,4,0)</f>
        <v>#N/A</v>
      </c>
      <c r="D113" s="25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12" t="str">
        <f>VLOOKUP(B:B,'Курс валют'!A:D,4,0)</f>
        <v>#N/A</v>
      </c>
      <c r="D114" s="25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12" t="str">
        <f>VLOOKUP(B:B,'Курс валют'!A:D,4,0)</f>
        <v>#N/A</v>
      </c>
      <c r="D115" s="25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12" t="str">
        <f>VLOOKUP(B:B,'Курс валют'!A:D,4,0)</f>
        <v>#N/A</v>
      </c>
      <c r="D116" s="25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12" t="str">
        <f>VLOOKUP(B:B,'Курс валют'!A:D,4,0)</f>
        <v>#N/A</v>
      </c>
      <c r="D117" s="25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12" t="str">
        <f>VLOOKUP(B:B,'Курс валют'!A:D,4,0)</f>
        <v>#N/A</v>
      </c>
      <c r="D118" s="25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12" t="str">
        <f>VLOOKUP(B:B,'Курс валют'!A:D,4,0)</f>
        <v>#N/A</v>
      </c>
      <c r="D119" s="25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25"/>
      <c r="D120" s="25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25"/>
      <c r="D121" s="25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25"/>
      <c r="D122" s="25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/>
      <c r="C123" s="25"/>
      <c r="D123" s="25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B124" s="68"/>
      <c r="H124" s="70"/>
      <c r="K124" s="70"/>
      <c r="L124" s="71"/>
      <c r="M124" s="72"/>
      <c r="P124" s="72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  <row r="958">
      <c r="B958" s="68"/>
      <c r="H958" s="70"/>
      <c r="K958" s="70"/>
      <c r="L958" s="71"/>
      <c r="M958" s="72"/>
      <c r="P958" s="72"/>
    </row>
    <row r="959">
      <c r="B959" s="68"/>
      <c r="H959" s="70"/>
      <c r="K959" s="70"/>
      <c r="L959" s="71"/>
      <c r="M959" s="72"/>
      <c r="P959" s="72"/>
    </row>
    <row r="960">
      <c r="B960" s="68"/>
      <c r="H960" s="70"/>
      <c r="K960" s="70"/>
      <c r="L960" s="71"/>
      <c r="M960" s="72"/>
      <c r="P960" s="72"/>
    </row>
    <row r="961">
      <c r="B961" s="68"/>
      <c r="H961" s="70"/>
      <c r="K961" s="70"/>
      <c r="L961" s="71"/>
      <c r="M961" s="72"/>
      <c r="P961" s="72"/>
    </row>
    <row r="962">
      <c r="B962" s="68"/>
      <c r="H962" s="70"/>
      <c r="K962" s="70"/>
      <c r="L962" s="71"/>
      <c r="M962" s="72"/>
      <c r="P962" s="72"/>
    </row>
    <row r="963">
      <c r="B963" s="68"/>
      <c r="H963" s="70"/>
      <c r="K963" s="70"/>
      <c r="L963" s="71"/>
      <c r="M963" s="72"/>
      <c r="P963" s="72"/>
    </row>
    <row r="964">
      <c r="B964" s="68"/>
      <c r="H964" s="70"/>
      <c r="K964" s="70"/>
      <c r="L964" s="71"/>
      <c r="M964" s="72"/>
      <c r="P964" s="72"/>
    </row>
    <row r="965">
      <c r="B965" s="68"/>
      <c r="H965" s="70"/>
      <c r="K965" s="70"/>
      <c r="L965" s="71"/>
      <c r="M965" s="72"/>
      <c r="P965" s="72"/>
    </row>
  </sheetData>
  <autoFilter ref="$A$1:$T$8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  <col customWidth="1" min="18" max="18" width="27.75"/>
    <col customWidth="1" min="19" max="19" width="19.63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>
        <v>45747.0</v>
      </c>
      <c r="B2" s="11">
        <v>45748.0</v>
      </c>
      <c r="C2" s="12">
        <f>VLOOKUP(B:B,'Курс валют'!A:D,4,0)</f>
        <v>92.4276</v>
      </c>
      <c r="D2" s="12">
        <v>156.0</v>
      </c>
      <c r="E2" s="75" t="s">
        <v>18</v>
      </c>
      <c r="F2" s="12">
        <v>220.0</v>
      </c>
      <c r="G2" s="12">
        <v>212.0</v>
      </c>
      <c r="H2" s="17">
        <v>0.0</v>
      </c>
      <c r="I2" s="15">
        <f t="shared" ref="I2:I45" si="1">G2-F2</f>
        <v>-8</v>
      </c>
      <c r="J2" s="18">
        <f t="shared" ref="J2:J45" si="2">I2/F2*100</f>
        <v>-3.636363636</v>
      </c>
      <c r="K2" s="56">
        <v>4.02</v>
      </c>
      <c r="L2" s="19">
        <f t="shared" ref="L2:L40" si="3">H2/F2*100</f>
        <v>0</v>
      </c>
      <c r="M2" s="20">
        <f t="shared" ref="M2:M40" si="4">P2/F2</f>
        <v>371.558952</v>
      </c>
      <c r="N2" s="21">
        <f t="shared" ref="N2:N40" si="5">(F2*K2-H2*3.04)/F2</f>
        <v>4.02</v>
      </c>
      <c r="O2" s="21">
        <f t="shared" ref="O2:O40" si="6">N2*F2</f>
        <v>884.4</v>
      </c>
      <c r="P2" s="22">
        <f t="shared" ref="P2:P40" si="7">O2*C2</f>
        <v>81742.96944</v>
      </c>
      <c r="R2" s="23" t="s">
        <v>2254</v>
      </c>
      <c r="S2" s="24"/>
      <c r="T2" s="25"/>
      <c r="U2" s="25"/>
      <c r="V2" s="25"/>
      <c r="W2" s="25"/>
      <c r="X2" s="25"/>
      <c r="Y2" s="25"/>
      <c r="Z2" s="25"/>
      <c r="AA2" s="25"/>
    </row>
    <row r="3">
      <c r="A3" s="11">
        <v>45748.0</v>
      </c>
      <c r="B3" s="11">
        <v>45749.0</v>
      </c>
      <c r="C3" s="12">
        <f>VLOOKUP(B:B,'Курс валют'!A:D,4,0)</f>
        <v>91.9643</v>
      </c>
      <c r="D3" s="15">
        <v>157.0</v>
      </c>
      <c r="E3" s="75" t="s">
        <v>18</v>
      </c>
      <c r="F3" s="15">
        <v>8800.0</v>
      </c>
      <c r="G3" s="15">
        <v>8829.0</v>
      </c>
      <c r="H3" s="17">
        <v>159.0</v>
      </c>
      <c r="I3" s="15">
        <f t="shared" si="1"/>
        <v>29</v>
      </c>
      <c r="J3" s="18">
        <f t="shared" si="2"/>
        <v>0.3295454545</v>
      </c>
      <c r="K3" s="17">
        <v>2.73</v>
      </c>
      <c r="L3" s="19">
        <f t="shared" si="3"/>
        <v>1.806818182</v>
      </c>
      <c r="M3" s="20">
        <f t="shared" si="4"/>
        <v>246.0111908</v>
      </c>
      <c r="N3" s="21">
        <f t="shared" si="5"/>
        <v>2.675072727</v>
      </c>
      <c r="O3" s="21">
        <f t="shared" si="6"/>
        <v>23540.64</v>
      </c>
      <c r="P3" s="22">
        <f t="shared" si="7"/>
        <v>2164898.479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30">
        <v>45749.0</v>
      </c>
      <c r="B4" s="11">
        <v>45749.0</v>
      </c>
      <c r="C4" s="12">
        <f>VLOOKUP(B:B,'Курс валют'!A:D,4,0)</f>
        <v>91.9643</v>
      </c>
      <c r="D4" s="15">
        <v>158.0</v>
      </c>
      <c r="E4" s="59" t="s">
        <v>1861</v>
      </c>
      <c r="F4" s="15">
        <v>592.0</v>
      </c>
      <c r="G4" s="15">
        <v>608.0</v>
      </c>
      <c r="H4" s="17">
        <v>0.0</v>
      </c>
      <c r="I4" s="15">
        <f t="shared" si="1"/>
        <v>16</v>
      </c>
      <c r="J4" s="18">
        <f t="shared" si="2"/>
        <v>2.702702703</v>
      </c>
      <c r="K4" s="17">
        <v>2.83</v>
      </c>
      <c r="L4" s="19">
        <f t="shared" si="3"/>
        <v>0</v>
      </c>
      <c r="M4" s="20">
        <f t="shared" si="4"/>
        <v>260.258969</v>
      </c>
      <c r="N4" s="21">
        <f t="shared" si="5"/>
        <v>2.83</v>
      </c>
      <c r="O4" s="21">
        <f t="shared" si="6"/>
        <v>1675.36</v>
      </c>
      <c r="P4" s="22">
        <f t="shared" si="7"/>
        <v>154073.3096</v>
      </c>
      <c r="R4" s="23" t="s">
        <v>2255</v>
      </c>
      <c r="S4" s="24"/>
      <c r="T4" s="25"/>
      <c r="U4" s="25"/>
      <c r="V4" s="25"/>
      <c r="W4" s="25"/>
      <c r="X4" s="25"/>
      <c r="Y4" s="25"/>
      <c r="Z4" s="25"/>
      <c r="AA4" s="25"/>
    </row>
    <row r="5">
      <c r="A5" s="30">
        <v>45749.0</v>
      </c>
      <c r="B5" s="11">
        <v>45750.0</v>
      </c>
      <c r="C5" s="12">
        <f>VLOOKUP(B:B,'Курс валют'!A:D,4,0)</f>
        <v>91.2044</v>
      </c>
      <c r="D5" s="15">
        <v>159.0</v>
      </c>
      <c r="E5" s="59" t="s">
        <v>73</v>
      </c>
      <c r="F5" s="15">
        <v>400.0</v>
      </c>
      <c r="G5" s="15">
        <v>400.0</v>
      </c>
      <c r="H5" s="17">
        <v>0.0</v>
      </c>
      <c r="I5" s="15">
        <f t="shared" si="1"/>
        <v>0</v>
      </c>
      <c r="J5" s="18">
        <f t="shared" si="2"/>
        <v>0</v>
      </c>
      <c r="K5" s="17">
        <v>3.29</v>
      </c>
      <c r="L5" s="19">
        <f t="shared" si="3"/>
        <v>0</v>
      </c>
      <c r="M5" s="20">
        <f t="shared" si="4"/>
        <v>300.062476</v>
      </c>
      <c r="N5" s="21">
        <f t="shared" si="5"/>
        <v>3.29</v>
      </c>
      <c r="O5" s="21">
        <f t="shared" si="6"/>
        <v>1316</v>
      </c>
      <c r="P5" s="22">
        <f t="shared" si="7"/>
        <v>120024.9904</v>
      </c>
      <c r="R5" s="23" t="s">
        <v>1101</v>
      </c>
      <c r="S5" s="24"/>
      <c r="T5" s="25"/>
      <c r="U5" s="25"/>
      <c r="V5" s="25"/>
      <c r="W5" s="25"/>
      <c r="X5" s="25"/>
      <c r="Y5" s="25"/>
      <c r="Z5" s="25"/>
      <c r="AA5" s="25"/>
    </row>
    <row r="6">
      <c r="A6" s="30">
        <v>45749.0</v>
      </c>
      <c r="B6" s="11">
        <v>45750.0</v>
      </c>
      <c r="C6" s="12">
        <f>VLOOKUP(B:B,'Курс валют'!A:D,4,0)</f>
        <v>91.2044</v>
      </c>
      <c r="D6" s="15">
        <v>160.0</v>
      </c>
      <c r="E6" s="59" t="s">
        <v>18</v>
      </c>
      <c r="F6" s="15">
        <v>4400.0</v>
      </c>
      <c r="G6" s="15">
        <v>4427.0</v>
      </c>
      <c r="H6" s="17">
        <v>85.0</v>
      </c>
      <c r="I6" s="15">
        <f t="shared" si="1"/>
        <v>27</v>
      </c>
      <c r="J6" s="18">
        <f t="shared" si="2"/>
        <v>0.6136363636</v>
      </c>
      <c r="K6" s="17">
        <v>2.74</v>
      </c>
      <c r="L6" s="19">
        <f t="shared" si="3"/>
        <v>1.931818182</v>
      </c>
      <c r="M6" s="20">
        <f t="shared" si="4"/>
        <v>244.5438703</v>
      </c>
      <c r="N6" s="21">
        <f t="shared" si="5"/>
        <v>2.681272727</v>
      </c>
      <c r="O6" s="21">
        <f t="shared" si="6"/>
        <v>11797.6</v>
      </c>
      <c r="P6" s="22">
        <f t="shared" si="7"/>
        <v>1075993.029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30">
        <v>45750.0</v>
      </c>
      <c r="B7" s="11">
        <v>45751.0</v>
      </c>
      <c r="C7" s="12">
        <f>VLOOKUP(B:B,'Курс валют'!A:D,4,0)</f>
        <v>93.1608</v>
      </c>
      <c r="D7" s="15">
        <v>161.0</v>
      </c>
      <c r="E7" s="59" t="s">
        <v>53</v>
      </c>
      <c r="F7" s="15">
        <v>8000.0</v>
      </c>
      <c r="G7" s="15">
        <v>8026.5</v>
      </c>
      <c r="H7" s="17">
        <v>0.0</v>
      </c>
      <c r="I7" s="15">
        <f t="shared" si="1"/>
        <v>26.5</v>
      </c>
      <c r="J7" s="18">
        <f t="shared" si="2"/>
        <v>0.33125</v>
      </c>
      <c r="K7" s="17">
        <v>1.96</v>
      </c>
      <c r="L7" s="19">
        <f t="shared" si="3"/>
        <v>0</v>
      </c>
      <c r="M7" s="20">
        <f t="shared" si="4"/>
        <v>182.595168</v>
      </c>
      <c r="N7" s="21">
        <f t="shared" si="5"/>
        <v>1.96</v>
      </c>
      <c r="O7" s="21">
        <f t="shared" si="6"/>
        <v>15680</v>
      </c>
      <c r="P7" s="22">
        <f t="shared" si="7"/>
        <v>1460761.344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30">
        <v>45751.0</v>
      </c>
      <c r="B8" s="11">
        <v>45754.0</v>
      </c>
      <c r="C8" s="12">
        <f>VLOOKUP(B:B,'Курс валют'!A:D,4,0)</f>
        <v>92.9855</v>
      </c>
      <c r="D8" s="15">
        <v>162.0</v>
      </c>
      <c r="E8" s="77" t="s">
        <v>89</v>
      </c>
      <c r="F8" s="15">
        <v>220.0</v>
      </c>
      <c r="G8" s="15">
        <v>220.0</v>
      </c>
      <c r="H8" s="17">
        <v>0.0</v>
      </c>
      <c r="I8" s="15">
        <f t="shared" si="1"/>
        <v>0</v>
      </c>
      <c r="J8" s="18">
        <f t="shared" si="2"/>
        <v>0</v>
      </c>
      <c r="K8" s="17">
        <v>2.91</v>
      </c>
      <c r="L8" s="19">
        <f t="shared" si="3"/>
        <v>0</v>
      </c>
      <c r="M8" s="20">
        <f t="shared" si="4"/>
        <v>270.587805</v>
      </c>
      <c r="N8" s="21">
        <f t="shared" si="5"/>
        <v>2.91</v>
      </c>
      <c r="O8" s="21">
        <f t="shared" si="6"/>
        <v>640.2</v>
      </c>
      <c r="P8" s="22">
        <f t="shared" si="7"/>
        <v>59529.3171</v>
      </c>
      <c r="R8" s="23" t="s">
        <v>1101</v>
      </c>
      <c r="S8" s="24"/>
      <c r="T8" s="25"/>
      <c r="U8" s="25"/>
      <c r="V8" s="25"/>
      <c r="W8" s="25"/>
      <c r="X8" s="25"/>
      <c r="Y8" s="25"/>
      <c r="Z8" s="25"/>
      <c r="AA8" s="25"/>
    </row>
    <row r="9">
      <c r="A9" s="30">
        <v>45751.0</v>
      </c>
      <c r="B9" s="11">
        <v>45754.0</v>
      </c>
      <c r="C9" s="12">
        <f>VLOOKUP(B:B,'Курс валют'!A:D,4,0)</f>
        <v>92.9855</v>
      </c>
      <c r="D9" s="15">
        <v>163.0</v>
      </c>
      <c r="E9" s="77" t="s">
        <v>18</v>
      </c>
      <c r="F9" s="15">
        <v>8800.0</v>
      </c>
      <c r="G9" s="15">
        <v>8825.0</v>
      </c>
      <c r="H9" s="17">
        <v>158.0</v>
      </c>
      <c r="I9" s="15">
        <f t="shared" si="1"/>
        <v>25</v>
      </c>
      <c r="J9" s="18">
        <f t="shared" si="2"/>
        <v>0.2840909091</v>
      </c>
      <c r="K9" s="17">
        <v>2.73</v>
      </c>
      <c r="L9" s="19">
        <f t="shared" si="3"/>
        <v>1.795454545</v>
      </c>
      <c r="M9" s="20">
        <f t="shared" si="4"/>
        <v>248.7750973</v>
      </c>
      <c r="N9" s="21">
        <f t="shared" si="5"/>
        <v>2.675418182</v>
      </c>
      <c r="O9" s="21">
        <f t="shared" si="6"/>
        <v>23543.68</v>
      </c>
      <c r="P9" s="22">
        <f t="shared" si="7"/>
        <v>2189220.857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30">
        <v>45751.0</v>
      </c>
      <c r="B10" s="11">
        <v>45754.0</v>
      </c>
      <c r="C10" s="12">
        <f>VLOOKUP(B:B,'Курс валют'!A:D,4,0)</f>
        <v>92.9855</v>
      </c>
      <c r="D10" s="15">
        <v>164.0</v>
      </c>
      <c r="E10" s="75" t="s">
        <v>53</v>
      </c>
      <c r="F10" s="15">
        <v>9600.0</v>
      </c>
      <c r="G10" s="15">
        <v>9634.72</v>
      </c>
      <c r="H10" s="17">
        <v>0.0</v>
      </c>
      <c r="I10" s="15">
        <f t="shared" si="1"/>
        <v>34.72</v>
      </c>
      <c r="J10" s="18">
        <f t="shared" si="2"/>
        <v>0.3616666667</v>
      </c>
      <c r="K10" s="17">
        <v>1.96</v>
      </c>
      <c r="L10" s="19">
        <f t="shared" si="3"/>
        <v>0</v>
      </c>
      <c r="M10" s="20">
        <f t="shared" si="4"/>
        <v>182.25158</v>
      </c>
      <c r="N10" s="21">
        <f t="shared" si="5"/>
        <v>1.96</v>
      </c>
      <c r="O10" s="21">
        <f t="shared" si="6"/>
        <v>18816</v>
      </c>
      <c r="P10" s="22">
        <f t="shared" si="7"/>
        <v>1749615.168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30">
        <v>45751.0</v>
      </c>
      <c r="B11" s="11">
        <v>45754.0</v>
      </c>
      <c r="C11" s="12">
        <f>VLOOKUP(B:B,'Курс валют'!A:D,4,0)</f>
        <v>92.9855</v>
      </c>
      <c r="D11" s="15">
        <v>165.0</v>
      </c>
      <c r="E11" s="77" t="s">
        <v>68</v>
      </c>
      <c r="F11" s="15">
        <v>8000.0</v>
      </c>
      <c r="G11" s="15">
        <v>8021.0</v>
      </c>
      <c r="H11" s="17">
        <v>761.0</v>
      </c>
      <c r="I11" s="15">
        <f t="shared" si="1"/>
        <v>21</v>
      </c>
      <c r="J11" s="18">
        <f t="shared" si="2"/>
        <v>0.2625</v>
      </c>
      <c r="K11" s="17">
        <v>2.27</v>
      </c>
      <c r="L11" s="19">
        <f t="shared" si="3"/>
        <v>9.5125</v>
      </c>
      <c r="M11" s="20">
        <f t="shared" si="4"/>
        <v>184.1875381</v>
      </c>
      <c r="N11" s="21">
        <f t="shared" si="5"/>
        <v>1.98082</v>
      </c>
      <c r="O11" s="21">
        <f t="shared" si="6"/>
        <v>15846.56</v>
      </c>
      <c r="P11" s="22">
        <f t="shared" si="7"/>
        <v>1473500.305</v>
      </c>
      <c r="R11" s="79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30">
        <v>45754.0</v>
      </c>
      <c r="B12" s="11">
        <v>45755.0</v>
      </c>
      <c r="C12" s="12">
        <f>VLOOKUP(B:B,'Курс валют'!A:D,4,0)</f>
        <v>94.7742</v>
      </c>
      <c r="D12" s="15">
        <v>166.0</v>
      </c>
      <c r="E12" s="77" t="s">
        <v>90</v>
      </c>
      <c r="F12" s="15">
        <v>198.0</v>
      </c>
      <c r="G12" s="15">
        <v>200.0</v>
      </c>
      <c r="H12" s="17">
        <v>0.0</v>
      </c>
      <c r="I12" s="15">
        <f t="shared" si="1"/>
        <v>2</v>
      </c>
      <c r="J12" s="18">
        <f t="shared" si="2"/>
        <v>1.01010101</v>
      </c>
      <c r="K12" s="17">
        <v>2.27</v>
      </c>
      <c r="L12" s="19">
        <f t="shared" si="3"/>
        <v>0</v>
      </c>
      <c r="M12" s="20">
        <f t="shared" si="4"/>
        <v>215.137434</v>
      </c>
      <c r="N12" s="21">
        <f t="shared" si="5"/>
        <v>2.27</v>
      </c>
      <c r="O12" s="21">
        <f t="shared" si="6"/>
        <v>449.46</v>
      </c>
      <c r="P12" s="22">
        <f t="shared" si="7"/>
        <v>42597.21193</v>
      </c>
      <c r="R12" s="23" t="s">
        <v>1101</v>
      </c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30">
        <v>45754.0</v>
      </c>
      <c r="B13" s="11">
        <v>45755.0</v>
      </c>
      <c r="C13" s="12">
        <f>VLOOKUP(B:B,'Курс валют'!A:D,4,0)</f>
        <v>94.7742</v>
      </c>
      <c r="D13" s="15">
        <v>167.0</v>
      </c>
      <c r="E13" s="77" t="s">
        <v>18</v>
      </c>
      <c r="F13" s="15">
        <v>8800.0</v>
      </c>
      <c r="G13" s="15">
        <v>8828.0</v>
      </c>
      <c r="H13" s="17">
        <v>158.0</v>
      </c>
      <c r="I13" s="15">
        <f t="shared" si="1"/>
        <v>28</v>
      </c>
      <c r="J13" s="18">
        <f t="shared" si="2"/>
        <v>0.3181818182</v>
      </c>
      <c r="K13" s="17">
        <v>2.73</v>
      </c>
      <c r="L13" s="19">
        <f t="shared" si="3"/>
        <v>1.795454545</v>
      </c>
      <c r="M13" s="20">
        <f t="shared" si="4"/>
        <v>253.5606178</v>
      </c>
      <c r="N13" s="21">
        <f t="shared" si="5"/>
        <v>2.675418182</v>
      </c>
      <c r="O13" s="21">
        <f t="shared" si="6"/>
        <v>23543.68</v>
      </c>
      <c r="P13" s="22">
        <f t="shared" si="7"/>
        <v>2231333.437</v>
      </c>
      <c r="R13" s="79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30">
        <v>45755.0</v>
      </c>
      <c r="B14" s="11">
        <v>45756.0</v>
      </c>
      <c r="C14" s="12">
        <f>VLOOKUP(B:B,'Курс валют'!A:D,4,0)</f>
        <v>93.7755</v>
      </c>
      <c r="D14" s="15">
        <v>168.0</v>
      </c>
      <c r="E14" s="77" t="s">
        <v>18</v>
      </c>
      <c r="F14" s="15">
        <v>8800.0</v>
      </c>
      <c r="G14" s="15">
        <v>8828.0</v>
      </c>
      <c r="H14" s="17">
        <v>158.0</v>
      </c>
      <c r="I14" s="15">
        <f t="shared" si="1"/>
        <v>28</v>
      </c>
      <c r="J14" s="18">
        <f t="shared" si="2"/>
        <v>0.3181818182</v>
      </c>
      <c r="K14" s="17">
        <v>2.73</v>
      </c>
      <c r="L14" s="19">
        <f t="shared" si="3"/>
        <v>1.795454545</v>
      </c>
      <c r="M14" s="20">
        <f t="shared" si="4"/>
        <v>250.8886777</v>
      </c>
      <c r="N14" s="21">
        <f t="shared" si="5"/>
        <v>2.675418182</v>
      </c>
      <c r="O14" s="21">
        <f t="shared" si="6"/>
        <v>23543.68</v>
      </c>
      <c r="P14" s="22">
        <f t="shared" si="7"/>
        <v>2207820.364</v>
      </c>
      <c r="R14" s="31"/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30">
        <v>45755.0</v>
      </c>
      <c r="B15" s="11">
        <v>45756.0</v>
      </c>
      <c r="C15" s="12">
        <f>VLOOKUP(B:B,'Курс валют'!A:D,4,0)</f>
        <v>93.7755</v>
      </c>
      <c r="D15" s="15">
        <v>169.0</v>
      </c>
      <c r="E15" s="75" t="s">
        <v>103</v>
      </c>
      <c r="F15" s="15">
        <v>20.0</v>
      </c>
      <c r="G15" s="15">
        <v>24.0</v>
      </c>
      <c r="H15" s="17">
        <v>0.0</v>
      </c>
      <c r="I15" s="15">
        <f t="shared" si="1"/>
        <v>4</v>
      </c>
      <c r="J15" s="18">
        <f t="shared" si="2"/>
        <v>20</v>
      </c>
      <c r="K15" s="17">
        <v>3.67</v>
      </c>
      <c r="L15" s="19">
        <f t="shared" si="3"/>
        <v>0</v>
      </c>
      <c r="M15" s="20">
        <f t="shared" si="4"/>
        <v>344.156085</v>
      </c>
      <c r="N15" s="21">
        <f t="shared" si="5"/>
        <v>3.67</v>
      </c>
      <c r="O15" s="21">
        <f t="shared" si="6"/>
        <v>73.4</v>
      </c>
      <c r="P15" s="22">
        <f t="shared" si="7"/>
        <v>6883.1217</v>
      </c>
      <c r="R15" s="23" t="s">
        <v>2251</v>
      </c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30">
        <v>45755.0</v>
      </c>
      <c r="B16" s="11">
        <v>45757.0</v>
      </c>
      <c r="C16" s="12">
        <f>VLOOKUP(B:B,'Курс валют'!A:D,4,0)</f>
        <v>95.091</v>
      </c>
      <c r="D16" s="15">
        <v>171.0</v>
      </c>
      <c r="E16" s="59" t="s">
        <v>71</v>
      </c>
      <c r="F16" s="15">
        <v>1200.0</v>
      </c>
      <c r="G16" s="15">
        <v>1200.0</v>
      </c>
      <c r="H16" s="17">
        <v>0.0</v>
      </c>
      <c r="I16" s="15">
        <f t="shared" si="1"/>
        <v>0</v>
      </c>
      <c r="J16" s="18">
        <f t="shared" si="2"/>
        <v>0</v>
      </c>
      <c r="K16" s="17">
        <v>2.47</v>
      </c>
      <c r="L16" s="19">
        <f t="shared" si="3"/>
        <v>0</v>
      </c>
      <c r="M16" s="20">
        <f t="shared" si="4"/>
        <v>234.87477</v>
      </c>
      <c r="N16" s="21">
        <f t="shared" si="5"/>
        <v>2.47</v>
      </c>
      <c r="O16" s="21">
        <f t="shared" si="6"/>
        <v>2964</v>
      </c>
      <c r="P16" s="22">
        <f t="shared" si="7"/>
        <v>281849.724</v>
      </c>
      <c r="R16" s="31" t="s">
        <v>2256</v>
      </c>
      <c r="S16" s="24"/>
      <c r="T16" s="32"/>
      <c r="U16" s="32"/>
      <c r="V16" s="32"/>
      <c r="W16" s="32"/>
      <c r="X16" s="32"/>
      <c r="Y16" s="32"/>
      <c r="Z16" s="32"/>
      <c r="AA16" s="32"/>
    </row>
    <row r="17">
      <c r="A17" s="30">
        <v>45756.0</v>
      </c>
      <c r="B17" s="11">
        <v>45757.0</v>
      </c>
      <c r="C17" s="12">
        <f>VLOOKUP(B:B,'Курс валют'!A:D,4,0)</f>
        <v>95.091</v>
      </c>
      <c r="D17" s="15">
        <v>172.0</v>
      </c>
      <c r="E17" s="59" t="s">
        <v>2257</v>
      </c>
      <c r="F17" s="15">
        <v>20.0</v>
      </c>
      <c r="G17" s="15">
        <v>26.0</v>
      </c>
      <c r="H17" s="17">
        <v>0.0</v>
      </c>
      <c r="I17" s="15">
        <f t="shared" si="1"/>
        <v>6</v>
      </c>
      <c r="J17" s="18">
        <f t="shared" si="2"/>
        <v>30</v>
      </c>
      <c r="K17" s="17">
        <v>4.67</v>
      </c>
      <c r="L17" s="19">
        <f t="shared" si="3"/>
        <v>0</v>
      </c>
      <c r="M17" s="20">
        <f t="shared" si="4"/>
        <v>444.07497</v>
      </c>
      <c r="N17" s="21">
        <f t="shared" si="5"/>
        <v>4.67</v>
      </c>
      <c r="O17" s="21">
        <f t="shared" si="6"/>
        <v>93.4</v>
      </c>
      <c r="P17" s="22">
        <f t="shared" si="7"/>
        <v>8881.4994</v>
      </c>
      <c r="R17" s="31" t="s">
        <v>2258</v>
      </c>
      <c r="S17" s="24"/>
      <c r="T17" s="25"/>
      <c r="U17" s="25"/>
      <c r="V17" s="25"/>
      <c r="W17" s="25"/>
      <c r="X17" s="25"/>
      <c r="Y17" s="25"/>
      <c r="Z17" s="25"/>
      <c r="AA17" s="25"/>
    </row>
    <row r="18">
      <c r="A18" s="30">
        <v>45756.0</v>
      </c>
      <c r="B18" s="11">
        <v>45757.0</v>
      </c>
      <c r="C18" s="12">
        <f>VLOOKUP(B:B,'Курс валют'!A:D,4,0)</f>
        <v>95.091</v>
      </c>
      <c r="D18" s="15">
        <v>173.0</v>
      </c>
      <c r="E18" s="59" t="s">
        <v>18</v>
      </c>
      <c r="F18" s="15">
        <v>220.0</v>
      </c>
      <c r="G18" s="15">
        <v>222.06</v>
      </c>
      <c r="H18" s="17">
        <v>4.0</v>
      </c>
      <c r="I18" s="15">
        <f t="shared" si="1"/>
        <v>2.06</v>
      </c>
      <c r="J18" s="18">
        <f t="shared" si="2"/>
        <v>0.9363636364</v>
      </c>
      <c r="K18" s="17">
        <v>2.74</v>
      </c>
      <c r="L18" s="19">
        <f t="shared" si="3"/>
        <v>1.818181818</v>
      </c>
      <c r="M18" s="20">
        <f t="shared" si="4"/>
        <v>255.2934011</v>
      </c>
      <c r="N18" s="21">
        <f t="shared" si="5"/>
        <v>2.684727273</v>
      </c>
      <c r="O18" s="21">
        <f t="shared" si="6"/>
        <v>590.64</v>
      </c>
      <c r="P18" s="22">
        <f t="shared" si="7"/>
        <v>56164.54824</v>
      </c>
      <c r="R18" s="31" t="s">
        <v>2259</v>
      </c>
      <c r="S18" s="24"/>
      <c r="T18" s="25"/>
      <c r="U18" s="25"/>
      <c r="V18" s="25"/>
      <c r="W18" s="25"/>
      <c r="X18" s="25"/>
      <c r="Y18" s="25"/>
      <c r="Z18" s="25"/>
      <c r="AA18" s="25"/>
    </row>
    <row r="19">
      <c r="A19" s="30">
        <v>45756.0</v>
      </c>
      <c r="B19" s="11">
        <v>45757.0</v>
      </c>
      <c r="C19" s="12">
        <f>VLOOKUP(B:B,'Курс валют'!A:D,4,0)</f>
        <v>95.091</v>
      </c>
      <c r="D19" s="15">
        <v>174.0</v>
      </c>
      <c r="E19" s="59" t="s">
        <v>18</v>
      </c>
      <c r="F19" s="15">
        <v>3300.0</v>
      </c>
      <c r="G19" s="15">
        <v>3313.0</v>
      </c>
      <c r="H19" s="17">
        <v>60.0</v>
      </c>
      <c r="I19" s="15">
        <f t="shared" si="1"/>
        <v>13</v>
      </c>
      <c r="J19" s="18">
        <f t="shared" si="2"/>
        <v>0.3939393939</v>
      </c>
      <c r="K19" s="17">
        <v>2.74</v>
      </c>
      <c r="L19" s="19">
        <f t="shared" si="3"/>
        <v>1.818181818</v>
      </c>
      <c r="M19" s="20">
        <f t="shared" si="4"/>
        <v>255.2934011</v>
      </c>
      <c r="N19" s="21">
        <f t="shared" si="5"/>
        <v>2.684727273</v>
      </c>
      <c r="O19" s="21">
        <f t="shared" si="6"/>
        <v>8859.6</v>
      </c>
      <c r="P19" s="22">
        <f t="shared" si="7"/>
        <v>842468.2236</v>
      </c>
      <c r="R19" s="31"/>
      <c r="S19" s="24"/>
      <c r="T19" s="32"/>
      <c r="U19" s="32"/>
      <c r="V19" s="32"/>
      <c r="W19" s="32"/>
      <c r="X19" s="32"/>
      <c r="Y19" s="32"/>
      <c r="Z19" s="32"/>
      <c r="AA19" s="32"/>
    </row>
    <row r="20">
      <c r="A20" s="30">
        <v>45757.0</v>
      </c>
      <c r="B20" s="11">
        <v>45757.0</v>
      </c>
      <c r="C20" s="12">
        <f>VLOOKUP(B:B,'Курс валют'!A:D,4,0)</f>
        <v>95.091</v>
      </c>
      <c r="D20" s="15">
        <v>176.0</v>
      </c>
      <c r="E20" s="59" t="s">
        <v>2260</v>
      </c>
      <c r="F20" s="15">
        <v>144.0</v>
      </c>
      <c r="G20" s="15">
        <v>144.0</v>
      </c>
      <c r="H20" s="17">
        <v>0.0</v>
      </c>
      <c r="I20" s="15">
        <f t="shared" si="1"/>
        <v>0</v>
      </c>
      <c r="J20" s="18">
        <f t="shared" si="2"/>
        <v>0</v>
      </c>
      <c r="K20" s="17">
        <v>3.86</v>
      </c>
      <c r="L20" s="19">
        <f t="shared" si="3"/>
        <v>0</v>
      </c>
      <c r="M20" s="20">
        <f t="shared" si="4"/>
        <v>367.05126</v>
      </c>
      <c r="N20" s="21">
        <f t="shared" si="5"/>
        <v>3.86</v>
      </c>
      <c r="O20" s="21">
        <f t="shared" si="6"/>
        <v>555.84</v>
      </c>
      <c r="P20" s="22">
        <f t="shared" si="7"/>
        <v>52855.38144</v>
      </c>
      <c r="R20" s="31"/>
      <c r="S20" s="24" t="s">
        <v>2261</v>
      </c>
      <c r="T20" s="32"/>
      <c r="U20" s="32"/>
      <c r="V20" s="32"/>
      <c r="W20" s="32"/>
      <c r="X20" s="32"/>
      <c r="Y20" s="32"/>
      <c r="Z20" s="32"/>
      <c r="AA20" s="32"/>
    </row>
    <row r="21">
      <c r="A21" s="30">
        <v>45757.0</v>
      </c>
      <c r="B21" s="11">
        <v>45758.0</v>
      </c>
      <c r="C21" s="12">
        <f>VLOOKUP(B:B,'Курс валют'!A:D,4,0)</f>
        <v>94.6036</v>
      </c>
      <c r="D21" s="15">
        <v>177.0</v>
      </c>
      <c r="E21" s="75" t="s">
        <v>53</v>
      </c>
      <c r="F21" s="15">
        <v>5600.0</v>
      </c>
      <c r="G21" s="15">
        <v>5619.35</v>
      </c>
      <c r="H21" s="17">
        <v>0.0</v>
      </c>
      <c r="I21" s="15">
        <f t="shared" si="1"/>
        <v>19.35</v>
      </c>
      <c r="J21" s="18">
        <f t="shared" si="2"/>
        <v>0.3455357143</v>
      </c>
      <c r="K21" s="17">
        <v>1.96</v>
      </c>
      <c r="L21" s="19">
        <f t="shared" si="3"/>
        <v>0</v>
      </c>
      <c r="M21" s="20">
        <f t="shared" si="4"/>
        <v>185.423056</v>
      </c>
      <c r="N21" s="21">
        <f t="shared" si="5"/>
        <v>1.96</v>
      </c>
      <c r="O21" s="21">
        <f t="shared" si="6"/>
        <v>10976</v>
      </c>
      <c r="P21" s="22">
        <f t="shared" si="7"/>
        <v>1038369.114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>
        <v>45754.0</v>
      </c>
      <c r="B22" s="11">
        <v>45758.0</v>
      </c>
      <c r="C22" s="12">
        <f>VLOOKUP(B:B,'Курс валют'!A:D,4,0)</f>
        <v>94.6036</v>
      </c>
      <c r="D22" s="15">
        <v>175.0</v>
      </c>
      <c r="E22" s="77" t="s">
        <v>2262</v>
      </c>
      <c r="F22" s="15">
        <v>900.0</v>
      </c>
      <c r="G22" s="15">
        <v>944.0</v>
      </c>
      <c r="H22" s="17">
        <v>0.0</v>
      </c>
      <c r="I22" s="15">
        <f t="shared" si="1"/>
        <v>44</v>
      </c>
      <c r="J22" s="18">
        <f t="shared" si="2"/>
        <v>4.888888889</v>
      </c>
      <c r="K22" s="17">
        <v>2.61</v>
      </c>
      <c r="L22" s="19">
        <f t="shared" si="3"/>
        <v>0</v>
      </c>
      <c r="M22" s="20">
        <f t="shared" si="4"/>
        <v>246.915396</v>
      </c>
      <c r="N22" s="21">
        <f t="shared" si="5"/>
        <v>2.61</v>
      </c>
      <c r="O22" s="21">
        <f t="shared" si="6"/>
        <v>2349</v>
      </c>
      <c r="P22" s="22">
        <f t="shared" si="7"/>
        <v>222223.8564</v>
      </c>
      <c r="R22" s="31" t="s">
        <v>2263</v>
      </c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30">
        <v>45758.0</v>
      </c>
      <c r="B23" s="11">
        <v>45758.0</v>
      </c>
      <c r="C23" s="12">
        <f>VLOOKUP(B:B,'Курс валют'!A:D,4,0)</f>
        <v>94.6036</v>
      </c>
      <c r="D23" s="15">
        <v>170.0</v>
      </c>
      <c r="E23" s="77" t="s">
        <v>2264</v>
      </c>
      <c r="F23" s="15">
        <v>1000.0</v>
      </c>
      <c r="G23" s="15">
        <v>1000.0</v>
      </c>
      <c r="H23" s="17">
        <v>0.0</v>
      </c>
      <c r="I23" s="15">
        <f t="shared" si="1"/>
        <v>0</v>
      </c>
      <c r="J23" s="18">
        <f t="shared" si="2"/>
        <v>0</v>
      </c>
      <c r="K23" s="17">
        <v>2.9</v>
      </c>
      <c r="L23" s="19">
        <f t="shared" si="3"/>
        <v>0</v>
      </c>
      <c r="M23" s="20">
        <f t="shared" si="4"/>
        <v>274.35044</v>
      </c>
      <c r="N23" s="21">
        <f t="shared" si="5"/>
        <v>2.9</v>
      </c>
      <c r="O23" s="21">
        <f t="shared" si="6"/>
        <v>2900</v>
      </c>
      <c r="P23" s="22">
        <f t="shared" si="7"/>
        <v>274350.44</v>
      </c>
      <c r="R23" s="23" t="s">
        <v>2265</v>
      </c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30">
        <v>45758.0</v>
      </c>
      <c r="B24" s="11">
        <v>45761.0</v>
      </c>
      <c r="C24" s="12">
        <f>VLOOKUP(B:B,'Курс валют'!A:D,4,0)</f>
        <v>96.2163</v>
      </c>
      <c r="D24" s="15">
        <v>178.0</v>
      </c>
      <c r="E24" s="59" t="s">
        <v>59</v>
      </c>
      <c r="F24" s="15">
        <v>600.0</v>
      </c>
      <c r="G24" s="15">
        <v>600.0</v>
      </c>
      <c r="H24" s="17">
        <v>0.0</v>
      </c>
      <c r="I24" s="15">
        <f t="shared" si="1"/>
        <v>0</v>
      </c>
      <c r="J24" s="18">
        <f t="shared" si="2"/>
        <v>0</v>
      </c>
      <c r="K24" s="17">
        <v>3.21</v>
      </c>
      <c r="L24" s="19">
        <f t="shared" si="3"/>
        <v>0</v>
      </c>
      <c r="M24" s="20">
        <f t="shared" si="4"/>
        <v>308.854323</v>
      </c>
      <c r="N24" s="21">
        <f t="shared" si="5"/>
        <v>3.21</v>
      </c>
      <c r="O24" s="21">
        <f t="shared" si="6"/>
        <v>1926</v>
      </c>
      <c r="P24" s="22">
        <f t="shared" si="7"/>
        <v>185312.5938</v>
      </c>
      <c r="R24" s="23" t="s">
        <v>2266</v>
      </c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30">
        <v>45758.0</v>
      </c>
      <c r="B25" s="11">
        <v>45761.0</v>
      </c>
      <c r="C25" s="12">
        <f>VLOOKUP(B:B,'Курс валют'!A:D,4,0)</f>
        <v>96.2163</v>
      </c>
      <c r="D25" s="15">
        <v>179.0</v>
      </c>
      <c r="E25" s="59" t="s">
        <v>18</v>
      </c>
      <c r="F25" s="15">
        <v>4400.0</v>
      </c>
      <c r="G25" s="15">
        <v>4419.0</v>
      </c>
      <c r="H25" s="17">
        <v>79.0</v>
      </c>
      <c r="I25" s="15">
        <f t="shared" si="1"/>
        <v>19</v>
      </c>
      <c r="J25" s="18">
        <f t="shared" si="2"/>
        <v>0.4318181818</v>
      </c>
      <c r="K25" s="17">
        <v>2.74</v>
      </c>
      <c r="L25" s="19">
        <f t="shared" si="3"/>
        <v>1.795454545</v>
      </c>
      <c r="M25" s="20">
        <f t="shared" si="4"/>
        <v>258.3810014</v>
      </c>
      <c r="N25" s="21">
        <f t="shared" si="5"/>
        <v>2.685418182</v>
      </c>
      <c r="O25" s="21">
        <f t="shared" si="6"/>
        <v>11815.84</v>
      </c>
      <c r="P25" s="22">
        <f t="shared" si="7"/>
        <v>1136876.406</v>
      </c>
      <c r="R25" s="23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30">
        <v>45758.0</v>
      </c>
      <c r="B26" s="11">
        <v>45761.0</v>
      </c>
      <c r="C26" s="12">
        <f>VLOOKUP(B:B,'Курс валют'!A:D,4,0)</f>
        <v>96.2163</v>
      </c>
      <c r="D26" s="15">
        <v>180.0</v>
      </c>
      <c r="E26" s="59" t="s">
        <v>2233</v>
      </c>
      <c r="F26" s="15">
        <v>1600.0</v>
      </c>
      <c r="G26" s="15">
        <v>1619.9</v>
      </c>
      <c r="H26" s="17">
        <v>0.0</v>
      </c>
      <c r="I26" s="15">
        <f t="shared" si="1"/>
        <v>19.9</v>
      </c>
      <c r="J26" s="18">
        <f t="shared" si="2"/>
        <v>1.24375</v>
      </c>
      <c r="K26" s="17">
        <v>2.88</v>
      </c>
      <c r="L26" s="19">
        <f t="shared" si="3"/>
        <v>0</v>
      </c>
      <c r="M26" s="20">
        <f t="shared" si="4"/>
        <v>277.102944</v>
      </c>
      <c r="N26" s="21">
        <f t="shared" si="5"/>
        <v>2.88</v>
      </c>
      <c r="O26" s="21">
        <f t="shared" si="6"/>
        <v>4608</v>
      </c>
      <c r="P26" s="22">
        <f t="shared" si="7"/>
        <v>443364.7104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30">
        <v>45758.0</v>
      </c>
      <c r="B27" s="11">
        <v>45761.0</v>
      </c>
      <c r="C27" s="12">
        <f>VLOOKUP(B:B,'Курс валют'!A:D,4,0)</f>
        <v>96.2163</v>
      </c>
      <c r="D27" s="15">
        <v>181.0</v>
      </c>
      <c r="E27" s="59" t="s">
        <v>2233</v>
      </c>
      <c r="F27" s="15">
        <v>4000.0</v>
      </c>
      <c r="G27" s="15">
        <v>4028.0</v>
      </c>
      <c r="H27" s="17">
        <v>0.0</v>
      </c>
      <c r="I27" s="15">
        <f t="shared" si="1"/>
        <v>28</v>
      </c>
      <c r="J27" s="18">
        <f t="shared" si="2"/>
        <v>0.7</v>
      </c>
      <c r="K27" s="17">
        <v>2.88</v>
      </c>
      <c r="L27" s="19">
        <f t="shared" si="3"/>
        <v>0</v>
      </c>
      <c r="M27" s="20">
        <f t="shared" si="4"/>
        <v>277.102944</v>
      </c>
      <c r="N27" s="21">
        <f t="shared" si="5"/>
        <v>2.88</v>
      </c>
      <c r="O27" s="21">
        <f t="shared" si="6"/>
        <v>11520</v>
      </c>
      <c r="P27" s="22">
        <f t="shared" si="7"/>
        <v>1108411.776</v>
      </c>
      <c r="R27" s="23"/>
      <c r="S27" s="57"/>
      <c r="T27" s="25"/>
      <c r="U27" s="25"/>
      <c r="V27" s="25"/>
      <c r="W27" s="25"/>
      <c r="X27" s="25"/>
      <c r="Y27" s="25"/>
      <c r="Z27" s="25"/>
      <c r="AA27" s="25"/>
    </row>
    <row r="28">
      <c r="A28" s="30">
        <v>45758.0</v>
      </c>
      <c r="B28" s="11">
        <v>45761.0</v>
      </c>
      <c r="C28" s="12">
        <f>VLOOKUP(B:B,'Курс валют'!A:D,4,0)</f>
        <v>96.2163</v>
      </c>
      <c r="D28" s="15">
        <v>182.0</v>
      </c>
      <c r="E28" s="77" t="s">
        <v>18</v>
      </c>
      <c r="F28" s="76">
        <v>6600.0</v>
      </c>
      <c r="G28" s="76">
        <v>6633.0</v>
      </c>
      <c r="H28" s="58">
        <v>120.0</v>
      </c>
      <c r="I28" s="15">
        <f t="shared" si="1"/>
        <v>33</v>
      </c>
      <c r="J28" s="18">
        <f t="shared" si="2"/>
        <v>0.5</v>
      </c>
      <c r="K28" s="58">
        <v>2.74</v>
      </c>
      <c r="L28" s="19">
        <f t="shared" si="3"/>
        <v>1.818181818</v>
      </c>
      <c r="M28" s="20">
        <f t="shared" si="4"/>
        <v>258.3145247</v>
      </c>
      <c r="N28" s="21">
        <f t="shared" si="5"/>
        <v>2.684727273</v>
      </c>
      <c r="O28" s="21">
        <f t="shared" si="6"/>
        <v>17719.2</v>
      </c>
      <c r="P28" s="22">
        <f t="shared" si="7"/>
        <v>1704875.863</v>
      </c>
      <c r="R28" s="23"/>
      <c r="S28" s="57"/>
      <c r="T28" s="25"/>
      <c r="U28" s="25"/>
      <c r="V28" s="25"/>
      <c r="W28" s="25"/>
      <c r="X28" s="25"/>
      <c r="Y28" s="25"/>
      <c r="Z28" s="25"/>
      <c r="AA28" s="25"/>
    </row>
    <row r="29">
      <c r="A29" s="30">
        <v>45761.0</v>
      </c>
      <c r="B29" s="11">
        <v>45762.0</v>
      </c>
      <c r="C29" s="12">
        <f>VLOOKUP(B:B,'Курс валют'!A:D,4,0)</f>
        <v>94.1635</v>
      </c>
      <c r="D29" s="15">
        <v>183.0</v>
      </c>
      <c r="E29" s="77" t="s">
        <v>18</v>
      </c>
      <c r="F29" s="15">
        <v>6600.0</v>
      </c>
      <c r="G29" s="15">
        <v>6623.0</v>
      </c>
      <c r="H29" s="17">
        <v>119.0</v>
      </c>
      <c r="I29" s="15">
        <f t="shared" si="1"/>
        <v>23</v>
      </c>
      <c r="J29" s="18">
        <f t="shared" si="2"/>
        <v>0.3484848485</v>
      </c>
      <c r="K29" s="17">
        <v>2.77</v>
      </c>
      <c r="L29" s="19">
        <f t="shared" si="3"/>
        <v>1.803030303</v>
      </c>
      <c r="M29" s="20">
        <f t="shared" si="4"/>
        <v>255.6715938</v>
      </c>
      <c r="N29" s="21">
        <f t="shared" si="5"/>
        <v>2.715187879</v>
      </c>
      <c r="O29" s="21">
        <f t="shared" si="6"/>
        <v>17920.24</v>
      </c>
      <c r="P29" s="22">
        <f t="shared" si="7"/>
        <v>1687432.519</v>
      </c>
      <c r="R29" s="23"/>
      <c r="S29" s="57"/>
      <c r="T29" s="25"/>
      <c r="U29" s="25"/>
      <c r="V29" s="25"/>
      <c r="W29" s="25"/>
      <c r="X29" s="25"/>
      <c r="Y29" s="25"/>
      <c r="Z29" s="25"/>
      <c r="AA29" s="25"/>
    </row>
    <row r="30">
      <c r="A30" s="30">
        <v>45762.0</v>
      </c>
      <c r="B30" s="11">
        <v>45763.0</v>
      </c>
      <c r="C30" s="12">
        <f>VLOOKUP(B:B,'Курс валют'!A:D,4,0)</f>
        <v>93.6844</v>
      </c>
      <c r="D30" s="15">
        <v>184.0</v>
      </c>
      <c r="E30" s="77" t="s">
        <v>2267</v>
      </c>
      <c r="F30" s="15">
        <v>600.0</v>
      </c>
      <c r="G30" s="15">
        <v>605.8</v>
      </c>
      <c r="H30" s="17">
        <v>0.0</v>
      </c>
      <c r="I30" s="15">
        <f t="shared" si="1"/>
        <v>5.8</v>
      </c>
      <c r="J30" s="18">
        <f t="shared" si="2"/>
        <v>0.9666666667</v>
      </c>
      <c r="K30" s="17">
        <v>2.78</v>
      </c>
      <c r="L30" s="19">
        <f t="shared" si="3"/>
        <v>0</v>
      </c>
      <c r="M30" s="20">
        <f t="shared" si="4"/>
        <v>260.442632</v>
      </c>
      <c r="N30" s="21">
        <f t="shared" si="5"/>
        <v>2.78</v>
      </c>
      <c r="O30" s="21">
        <f t="shared" si="6"/>
        <v>1668</v>
      </c>
      <c r="P30" s="22">
        <f t="shared" si="7"/>
        <v>156265.5792</v>
      </c>
      <c r="R30" s="23" t="s">
        <v>2268</v>
      </c>
      <c r="S30" s="57"/>
      <c r="T30" s="25"/>
      <c r="U30" s="25"/>
      <c r="V30" s="25"/>
      <c r="W30" s="25"/>
      <c r="X30" s="25"/>
      <c r="Y30" s="25"/>
      <c r="Z30" s="25"/>
      <c r="AA30" s="25"/>
    </row>
    <row r="31">
      <c r="A31" s="30">
        <v>45762.0</v>
      </c>
      <c r="B31" s="11">
        <v>45763.0</v>
      </c>
      <c r="C31" s="12">
        <f>VLOOKUP(B:B,'Курс валют'!A:D,4,0)</f>
        <v>93.6844</v>
      </c>
      <c r="D31" s="15">
        <v>185.0</v>
      </c>
      <c r="E31" s="77" t="s">
        <v>53</v>
      </c>
      <c r="F31" s="15">
        <v>800.0</v>
      </c>
      <c r="G31" s="13">
        <v>807.06</v>
      </c>
      <c r="H31" s="17">
        <v>0.0</v>
      </c>
      <c r="I31" s="15">
        <f t="shared" si="1"/>
        <v>7.06</v>
      </c>
      <c r="J31" s="18">
        <f t="shared" si="2"/>
        <v>0.8825</v>
      </c>
      <c r="K31" s="17">
        <v>1.95</v>
      </c>
      <c r="L31" s="19">
        <f t="shared" si="3"/>
        <v>0</v>
      </c>
      <c r="M31" s="20">
        <f t="shared" si="4"/>
        <v>182.68458</v>
      </c>
      <c r="N31" s="21">
        <f t="shared" si="5"/>
        <v>1.95</v>
      </c>
      <c r="O31" s="21">
        <f t="shared" si="6"/>
        <v>1560</v>
      </c>
      <c r="P31" s="22">
        <f t="shared" si="7"/>
        <v>146147.664</v>
      </c>
      <c r="R31" s="23"/>
      <c r="S31" s="57"/>
      <c r="T31" s="25"/>
      <c r="U31" s="25"/>
      <c r="V31" s="25"/>
      <c r="W31" s="25"/>
      <c r="X31" s="25"/>
      <c r="Y31" s="25"/>
      <c r="Z31" s="25"/>
      <c r="AA31" s="25"/>
    </row>
    <row r="32">
      <c r="A32" s="30">
        <v>45763.0</v>
      </c>
      <c r="B32" s="11">
        <v>45764.0</v>
      </c>
      <c r="C32" s="12">
        <f>VLOOKUP(B:B,'Курс валют'!A:D,4,0)</f>
        <v>93.3356</v>
      </c>
      <c r="D32" s="15">
        <v>186.0</v>
      </c>
      <c r="E32" s="59" t="s">
        <v>61</v>
      </c>
      <c r="F32" s="15">
        <v>8800.0</v>
      </c>
      <c r="G32" s="13">
        <v>8833.0</v>
      </c>
      <c r="H32" s="17">
        <v>159.0</v>
      </c>
      <c r="I32" s="15">
        <f t="shared" si="1"/>
        <v>33</v>
      </c>
      <c r="J32" s="18">
        <f t="shared" si="2"/>
        <v>0.375</v>
      </c>
      <c r="K32" s="17">
        <v>2.85</v>
      </c>
      <c r="L32" s="19">
        <f t="shared" si="3"/>
        <v>1.806818182</v>
      </c>
      <c r="M32" s="20">
        <f t="shared" si="4"/>
        <v>260.87979</v>
      </c>
      <c r="N32" s="21">
        <f t="shared" si="5"/>
        <v>2.795072727</v>
      </c>
      <c r="O32" s="21">
        <f t="shared" si="6"/>
        <v>24596.64</v>
      </c>
      <c r="P32" s="22">
        <f t="shared" si="7"/>
        <v>2295742.152</v>
      </c>
      <c r="R32" s="78"/>
      <c r="S32" s="57"/>
      <c r="T32" s="25"/>
      <c r="U32" s="25"/>
      <c r="V32" s="25"/>
      <c r="W32" s="25"/>
      <c r="X32" s="25"/>
      <c r="Y32" s="25"/>
      <c r="Z32" s="25"/>
      <c r="AA32" s="25"/>
    </row>
    <row r="33">
      <c r="A33" s="30">
        <v>45764.0</v>
      </c>
      <c r="B33" s="11">
        <v>45765.0</v>
      </c>
      <c r="C33" s="12">
        <f>VLOOKUP(B:B,'Курс валют'!A:D,4,0)</f>
        <v>93.2513</v>
      </c>
      <c r="D33" s="15">
        <v>187.0</v>
      </c>
      <c r="E33" s="59" t="s">
        <v>2044</v>
      </c>
      <c r="F33" s="15">
        <v>8000.0</v>
      </c>
      <c r="G33" s="13">
        <v>8018.0</v>
      </c>
      <c r="H33" s="17">
        <v>758.0</v>
      </c>
      <c r="I33" s="15">
        <f t="shared" si="1"/>
        <v>18</v>
      </c>
      <c r="J33" s="18">
        <f t="shared" si="2"/>
        <v>0.225</v>
      </c>
      <c r="K33" s="17">
        <v>2.21</v>
      </c>
      <c r="L33" s="19">
        <f t="shared" si="3"/>
        <v>9.475</v>
      </c>
      <c r="M33" s="20">
        <f t="shared" si="4"/>
        <v>179.2252685</v>
      </c>
      <c r="N33" s="21">
        <f t="shared" si="5"/>
        <v>1.92196</v>
      </c>
      <c r="O33" s="21">
        <f t="shared" si="6"/>
        <v>15375.68</v>
      </c>
      <c r="P33" s="22">
        <f t="shared" si="7"/>
        <v>1433802.148</v>
      </c>
      <c r="R33" s="31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30">
        <v>45765.0</v>
      </c>
      <c r="B34" s="11">
        <v>45768.0</v>
      </c>
      <c r="C34" s="12">
        <f>VLOOKUP(B:B,'Курс валют'!A:D,4,0)</f>
        <v>92.2232</v>
      </c>
      <c r="D34" s="15">
        <v>188.0</v>
      </c>
      <c r="E34" s="59" t="s">
        <v>2044</v>
      </c>
      <c r="F34" s="15">
        <v>8000.0</v>
      </c>
      <c r="G34" s="13">
        <v>8020.0</v>
      </c>
      <c r="H34" s="17">
        <v>758.0</v>
      </c>
      <c r="I34" s="15">
        <f t="shared" si="1"/>
        <v>20</v>
      </c>
      <c r="J34" s="18">
        <f t="shared" si="2"/>
        <v>0.25</v>
      </c>
      <c r="K34" s="17">
        <v>2.21</v>
      </c>
      <c r="L34" s="19">
        <f t="shared" si="3"/>
        <v>9.475</v>
      </c>
      <c r="M34" s="20">
        <f t="shared" si="4"/>
        <v>177.2493015</v>
      </c>
      <c r="N34" s="21">
        <f t="shared" si="5"/>
        <v>1.92196</v>
      </c>
      <c r="O34" s="21">
        <f t="shared" si="6"/>
        <v>15375.68</v>
      </c>
      <c r="P34" s="22">
        <f t="shared" si="7"/>
        <v>1417994.412</v>
      </c>
      <c r="R34" s="31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30">
        <v>45765.0</v>
      </c>
      <c r="B35" s="11">
        <v>45768.0</v>
      </c>
      <c r="C35" s="12">
        <f>VLOOKUP(B:B,'Курс валют'!A:D,4,0)</f>
        <v>92.2232</v>
      </c>
      <c r="D35" s="15">
        <v>189.0</v>
      </c>
      <c r="E35" s="59" t="s">
        <v>54</v>
      </c>
      <c r="F35" s="15">
        <v>8000.0</v>
      </c>
      <c r="G35" s="13">
        <v>8034.2</v>
      </c>
      <c r="H35" s="17">
        <v>0.0</v>
      </c>
      <c r="I35" s="15">
        <f t="shared" si="1"/>
        <v>34.2</v>
      </c>
      <c r="J35" s="18">
        <f t="shared" si="2"/>
        <v>0.4275</v>
      </c>
      <c r="K35" s="17">
        <v>2.03</v>
      </c>
      <c r="L35" s="19">
        <f t="shared" si="3"/>
        <v>0</v>
      </c>
      <c r="M35" s="20">
        <f t="shared" si="4"/>
        <v>187.213096</v>
      </c>
      <c r="N35" s="21">
        <f t="shared" si="5"/>
        <v>2.03</v>
      </c>
      <c r="O35" s="21">
        <f t="shared" si="6"/>
        <v>16240</v>
      </c>
      <c r="P35" s="22">
        <f t="shared" si="7"/>
        <v>1497704.768</v>
      </c>
      <c r="R35" s="78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0">
        <v>45765.0</v>
      </c>
      <c r="B36" s="11">
        <v>45768.0</v>
      </c>
      <c r="C36" s="12">
        <f>VLOOKUP(B:B,'Курс валют'!A:D,4,0)</f>
        <v>92.2232</v>
      </c>
      <c r="D36" s="15">
        <v>190.0</v>
      </c>
      <c r="E36" s="59" t="s">
        <v>18</v>
      </c>
      <c r="F36" s="15">
        <v>6600.0</v>
      </c>
      <c r="G36" s="13">
        <v>6624.0</v>
      </c>
      <c r="H36" s="17">
        <v>119.0</v>
      </c>
      <c r="I36" s="15">
        <f t="shared" si="1"/>
        <v>24</v>
      </c>
      <c r="J36" s="18">
        <f t="shared" si="2"/>
        <v>0.3636363636</v>
      </c>
      <c r="K36" s="17">
        <v>2.78</v>
      </c>
      <c r="L36" s="19">
        <f t="shared" si="3"/>
        <v>1.803030303</v>
      </c>
      <c r="M36" s="20">
        <f t="shared" si="4"/>
        <v>251.3255468</v>
      </c>
      <c r="N36" s="21">
        <f t="shared" si="5"/>
        <v>2.725187879</v>
      </c>
      <c r="O36" s="21">
        <f t="shared" si="6"/>
        <v>17986.24</v>
      </c>
      <c r="P36" s="22">
        <f t="shared" si="7"/>
        <v>1658748.609</v>
      </c>
      <c r="R36" s="79"/>
      <c r="S36" s="24"/>
      <c r="T36" s="25"/>
      <c r="U36" s="25"/>
      <c r="V36" s="25"/>
      <c r="W36" s="25"/>
      <c r="X36" s="25"/>
      <c r="Y36" s="25"/>
      <c r="Z36" s="25"/>
      <c r="AA36" s="25"/>
    </row>
    <row r="37">
      <c r="A37" s="30">
        <v>45764.0</v>
      </c>
      <c r="B37" s="11">
        <v>45768.0</v>
      </c>
      <c r="C37" s="12">
        <f>VLOOKUP(B:B,'Курс валют'!A:D,4,0)</f>
        <v>92.2232</v>
      </c>
      <c r="D37" s="15">
        <v>191.0</v>
      </c>
      <c r="E37" s="59" t="s">
        <v>60</v>
      </c>
      <c r="F37" s="15">
        <v>1000.0</v>
      </c>
      <c r="G37" s="13">
        <v>1036.0</v>
      </c>
      <c r="H37" s="17">
        <v>0.0</v>
      </c>
      <c r="I37" s="15">
        <f t="shared" si="1"/>
        <v>36</v>
      </c>
      <c r="J37" s="18">
        <f t="shared" si="2"/>
        <v>3.6</v>
      </c>
      <c r="K37" s="17">
        <v>2.78</v>
      </c>
      <c r="L37" s="19">
        <f t="shared" si="3"/>
        <v>0</v>
      </c>
      <c r="M37" s="20">
        <f t="shared" si="4"/>
        <v>256.380496</v>
      </c>
      <c r="N37" s="21">
        <f t="shared" si="5"/>
        <v>2.78</v>
      </c>
      <c r="O37" s="21">
        <f t="shared" si="6"/>
        <v>2780</v>
      </c>
      <c r="P37" s="22">
        <f t="shared" si="7"/>
        <v>256380.496</v>
      </c>
      <c r="R37" s="23"/>
      <c r="S37" s="24" t="s">
        <v>2261</v>
      </c>
      <c r="T37" s="25"/>
      <c r="U37" s="25"/>
      <c r="V37" s="25"/>
      <c r="W37" s="25"/>
      <c r="X37" s="25"/>
      <c r="Y37" s="25"/>
      <c r="Z37" s="25"/>
      <c r="AA37" s="25"/>
    </row>
    <row r="38">
      <c r="A38" s="30">
        <v>45768.0</v>
      </c>
      <c r="B38" s="11">
        <v>45769.0</v>
      </c>
      <c r="C38" s="12">
        <f>VLOOKUP(B:B,'Курс валют'!A:D,4,0)</f>
        <v>93.6714</v>
      </c>
      <c r="D38" s="15">
        <v>192.0</v>
      </c>
      <c r="E38" s="59" t="s">
        <v>2022</v>
      </c>
      <c r="F38" s="15">
        <v>8000.0</v>
      </c>
      <c r="G38" s="13">
        <v>8026.0</v>
      </c>
      <c r="H38" s="17">
        <v>762.0</v>
      </c>
      <c r="I38" s="15">
        <f t="shared" si="1"/>
        <v>26</v>
      </c>
      <c r="J38" s="18">
        <f t="shared" si="2"/>
        <v>0.325</v>
      </c>
      <c r="K38" s="17">
        <v>2.25</v>
      </c>
      <c r="L38" s="19">
        <f t="shared" si="3"/>
        <v>9.525</v>
      </c>
      <c r="M38" s="20">
        <f t="shared" si="4"/>
        <v>183.6371594</v>
      </c>
      <c r="N38" s="21">
        <f t="shared" si="5"/>
        <v>1.96044</v>
      </c>
      <c r="O38" s="21">
        <f t="shared" si="6"/>
        <v>15683.52</v>
      </c>
      <c r="P38" s="22">
        <f t="shared" si="7"/>
        <v>1469097.275</v>
      </c>
      <c r="R38" s="23"/>
      <c r="S38" s="24"/>
      <c r="T38" s="25"/>
      <c r="U38" s="25"/>
      <c r="V38" s="25"/>
      <c r="W38" s="25"/>
      <c r="X38" s="25"/>
      <c r="Y38" s="25"/>
      <c r="Z38" s="25"/>
      <c r="AA38" s="25"/>
    </row>
    <row r="39">
      <c r="A39" s="30">
        <v>45768.0</v>
      </c>
      <c r="B39" s="11">
        <v>45769.0</v>
      </c>
      <c r="C39" s="12">
        <f>VLOOKUP(B:B,'Курс валют'!A:D,4,0)</f>
        <v>93.6714</v>
      </c>
      <c r="D39" s="15">
        <v>193.0</v>
      </c>
      <c r="E39" s="59" t="s">
        <v>2269</v>
      </c>
      <c r="F39" s="15">
        <v>1782.0</v>
      </c>
      <c r="G39" s="13">
        <v>1795.0</v>
      </c>
      <c r="H39" s="17">
        <f>31.605+0.395</f>
        <v>32</v>
      </c>
      <c r="I39" s="15">
        <f t="shared" si="1"/>
        <v>13</v>
      </c>
      <c r="J39" s="18">
        <f t="shared" si="2"/>
        <v>0.7295173962</v>
      </c>
      <c r="K39" s="17">
        <v>2.79</v>
      </c>
      <c r="L39" s="19">
        <f t="shared" si="3"/>
        <v>1.795735129</v>
      </c>
      <c r="M39" s="20">
        <f t="shared" si="4"/>
        <v>256.2296517</v>
      </c>
      <c r="N39" s="21">
        <f t="shared" si="5"/>
        <v>2.735409652</v>
      </c>
      <c r="O39" s="21">
        <f t="shared" si="6"/>
        <v>4874.5</v>
      </c>
      <c r="P39" s="22">
        <f t="shared" si="7"/>
        <v>456601.2393</v>
      </c>
      <c r="R39" s="31" t="s">
        <v>2270</v>
      </c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30">
        <v>45769.0</v>
      </c>
      <c r="B40" s="11">
        <v>45770.0</v>
      </c>
      <c r="C40" s="12">
        <f>VLOOKUP(B:B,'Курс валют'!A:D,4,0)</f>
        <v>94.04</v>
      </c>
      <c r="D40" s="15">
        <v>194.0</v>
      </c>
      <c r="E40" s="59" t="s">
        <v>63</v>
      </c>
      <c r="F40" s="15">
        <v>1800.0</v>
      </c>
      <c r="G40" s="13">
        <v>1825.4</v>
      </c>
      <c r="H40" s="17">
        <v>0.0</v>
      </c>
      <c r="I40" s="15">
        <f t="shared" si="1"/>
        <v>25.4</v>
      </c>
      <c r="J40" s="18">
        <f t="shared" si="2"/>
        <v>1.411111111</v>
      </c>
      <c r="K40" s="17">
        <v>2.14</v>
      </c>
      <c r="L40" s="19">
        <f t="shared" si="3"/>
        <v>0</v>
      </c>
      <c r="M40" s="20">
        <f t="shared" si="4"/>
        <v>201.2456</v>
      </c>
      <c r="N40" s="21">
        <f t="shared" si="5"/>
        <v>2.14</v>
      </c>
      <c r="O40" s="21">
        <f t="shared" si="6"/>
        <v>3852</v>
      </c>
      <c r="P40" s="22">
        <f t="shared" si="7"/>
        <v>362242.08</v>
      </c>
      <c r="R40" s="23"/>
      <c r="S40" s="24" t="s">
        <v>2224</v>
      </c>
      <c r="T40" s="25"/>
      <c r="U40" s="25"/>
      <c r="V40" s="25"/>
      <c r="W40" s="25"/>
      <c r="X40" s="25"/>
      <c r="Y40" s="25"/>
      <c r="Z40" s="25"/>
      <c r="AA40" s="25"/>
    </row>
    <row r="41">
      <c r="A41" s="30">
        <v>45769.0</v>
      </c>
      <c r="B41" s="30">
        <v>45770.0</v>
      </c>
      <c r="C41" s="12">
        <f>VLOOKUP(B:B,'Курс валют'!A:D,4,0)</f>
        <v>94.04</v>
      </c>
      <c r="D41" s="15">
        <v>205.0</v>
      </c>
      <c r="E41" s="59" t="s">
        <v>2271</v>
      </c>
      <c r="F41" s="15">
        <v>10.0</v>
      </c>
      <c r="G41" s="13">
        <v>14.6</v>
      </c>
      <c r="H41" s="17"/>
      <c r="I41" s="15">
        <f t="shared" si="1"/>
        <v>4.6</v>
      </c>
      <c r="J41" s="18">
        <f t="shared" si="2"/>
        <v>46</v>
      </c>
      <c r="K41" s="17"/>
      <c r="L41" s="19"/>
      <c r="M41" s="20"/>
      <c r="N41" s="21"/>
      <c r="O41" s="21"/>
      <c r="P41" s="22"/>
      <c r="R41" s="23"/>
      <c r="S41" s="24" t="s">
        <v>2224</v>
      </c>
      <c r="T41" s="25"/>
      <c r="U41" s="25"/>
      <c r="V41" s="25"/>
      <c r="W41" s="25"/>
      <c r="X41" s="25"/>
      <c r="Y41" s="25"/>
      <c r="Z41" s="25"/>
      <c r="AA41" s="25"/>
    </row>
    <row r="42">
      <c r="A42" s="30">
        <v>45769.0</v>
      </c>
      <c r="B42" s="11">
        <v>45770.0</v>
      </c>
      <c r="C42" s="12">
        <f>VLOOKUP(B:B,'Курс валют'!A:D,4,0)</f>
        <v>94.04</v>
      </c>
      <c r="D42" s="15">
        <v>195.0</v>
      </c>
      <c r="E42" s="59" t="s">
        <v>2044</v>
      </c>
      <c r="F42" s="15">
        <v>8000.0</v>
      </c>
      <c r="G42" s="13">
        <v>8026.0</v>
      </c>
      <c r="H42" s="17">
        <v>758.0</v>
      </c>
      <c r="I42" s="15">
        <f t="shared" si="1"/>
        <v>26</v>
      </c>
      <c r="J42" s="18">
        <f t="shared" si="2"/>
        <v>0.325</v>
      </c>
      <c r="K42" s="17">
        <v>2.19</v>
      </c>
      <c r="L42" s="19">
        <f t="shared" ref="L42:L45" si="8">H42/F42*100</f>
        <v>9.475</v>
      </c>
      <c r="M42" s="20">
        <f t="shared" ref="M42:M45" si="9">P42/F42</f>
        <v>178.8603184</v>
      </c>
      <c r="N42" s="21">
        <f t="shared" ref="N42:N45" si="10">(F42*K42-H42*3.04)/F42</f>
        <v>1.90196</v>
      </c>
      <c r="O42" s="21">
        <f t="shared" ref="O42:O45" si="11">N42*F42</f>
        <v>15215.68</v>
      </c>
      <c r="P42" s="22">
        <f t="shared" ref="P42:P45" si="12">O42*C42</f>
        <v>1430882.547</v>
      </c>
      <c r="R42" s="23"/>
      <c r="S42" s="24"/>
      <c r="T42" s="25"/>
      <c r="U42" s="25"/>
      <c r="V42" s="25"/>
      <c r="W42" s="25"/>
      <c r="X42" s="25"/>
      <c r="Y42" s="25"/>
      <c r="Z42" s="25"/>
      <c r="AA42" s="25"/>
    </row>
    <row r="43">
      <c r="A43" s="30">
        <v>45770.0</v>
      </c>
      <c r="B43" s="11">
        <v>45771.0</v>
      </c>
      <c r="C43" s="12">
        <f>VLOOKUP(B:B,'Курс валют'!A:D,4,0)</f>
        <v>94.5723</v>
      </c>
      <c r="D43" s="15">
        <v>196.0</v>
      </c>
      <c r="E43" s="59" t="s">
        <v>53</v>
      </c>
      <c r="F43" s="15">
        <v>8000.0</v>
      </c>
      <c r="G43" s="13">
        <v>8030.5</v>
      </c>
      <c r="H43" s="17">
        <v>0.0</v>
      </c>
      <c r="I43" s="15">
        <f t="shared" si="1"/>
        <v>30.5</v>
      </c>
      <c r="J43" s="18">
        <f t="shared" si="2"/>
        <v>0.38125</v>
      </c>
      <c r="K43" s="17">
        <v>1.92</v>
      </c>
      <c r="L43" s="19">
        <f t="shared" si="8"/>
        <v>0</v>
      </c>
      <c r="M43" s="20">
        <f t="shared" si="9"/>
        <v>181.578816</v>
      </c>
      <c r="N43" s="21">
        <f t="shared" si="10"/>
        <v>1.92</v>
      </c>
      <c r="O43" s="21">
        <f t="shared" si="11"/>
        <v>15360</v>
      </c>
      <c r="P43" s="22">
        <f t="shared" si="12"/>
        <v>1452630.528</v>
      </c>
      <c r="R43" s="23"/>
      <c r="S43" s="24"/>
      <c r="T43" s="25"/>
      <c r="U43" s="25"/>
      <c r="V43" s="25"/>
      <c r="W43" s="25"/>
      <c r="X43" s="25"/>
      <c r="Y43" s="25"/>
      <c r="Z43" s="25"/>
      <c r="AA43" s="25"/>
    </row>
    <row r="44">
      <c r="A44" s="30">
        <v>45770.0</v>
      </c>
      <c r="B44" s="11">
        <v>45771.0</v>
      </c>
      <c r="C44" s="12">
        <f>VLOOKUP(B:B,'Курс валют'!A:D,4,0)</f>
        <v>94.5723</v>
      </c>
      <c r="D44" s="15">
        <v>197.0</v>
      </c>
      <c r="E44" s="59" t="s">
        <v>63</v>
      </c>
      <c r="F44" s="15">
        <v>2025.0</v>
      </c>
      <c r="G44" s="13">
        <v>2063.6</v>
      </c>
      <c r="H44" s="17">
        <v>0.0</v>
      </c>
      <c r="I44" s="15">
        <f t="shared" si="1"/>
        <v>38.6</v>
      </c>
      <c r="J44" s="18">
        <f t="shared" si="2"/>
        <v>1.90617284</v>
      </c>
      <c r="K44" s="17">
        <v>2.19</v>
      </c>
      <c r="L44" s="19">
        <f t="shared" si="8"/>
        <v>0</v>
      </c>
      <c r="M44" s="20">
        <f t="shared" si="9"/>
        <v>207.113337</v>
      </c>
      <c r="N44" s="21">
        <f t="shared" si="10"/>
        <v>2.19</v>
      </c>
      <c r="O44" s="21">
        <f t="shared" si="11"/>
        <v>4434.75</v>
      </c>
      <c r="P44" s="22">
        <f t="shared" si="12"/>
        <v>419404.5074</v>
      </c>
      <c r="R44" s="23"/>
      <c r="S44" s="24" t="s">
        <v>2224</v>
      </c>
      <c r="T44" s="25"/>
      <c r="U44" s="25"/>
      <c r="V44" s="25"/>
      <c r="W44" s="25"/>
      <c r="X44" s="25"/>
      <c r="Y44" s="25"/>
      <c r="Z44" s="25"/>
      <c r="AA44" s="25"/>
    </row>
    <row r="45">
      <c r="A45" s="30">
        <v>45771.0</v>
      </c>
      <c r="B45" s="11">
        <v>45771.0</v>
      </c>
      <c r="C45" s="12">
        <v>92.0152</v>
      </c>
      <c r="D45" s="15">
        <v>198.0</v>
      </c>
      <c r="E45" s="59" t="s">
        <v>2272</v>
      </c>
      <c r="F45" s="15">
        <v>39.92</v>
      </c>
      <c r="G45" s="13">
        <v>39.92</v>
      </c>
      <c r="H45" s="17">
        <v>0.0</v>
      </c>
      <c r="I45" s="15">
        <f t="shared" si="1"/>
        <v>0</v>
      </c>
      <c r="J45" s="18">
        <f t="shared" si="2"/>
        <v>0</v>
      </c>
      <c r="K45" s="17">
        <v>1.21</v>
      </c>
      <c r="L45" s="19">
        <f t="shared" si="8"/>
        <v>0</v>
      </c>
      <c r="M45" s="20">
        <f t="shared" si="9"/>
        <v>111.338392</v>
      </c>
      <c r="N45" s="21">
        <f t="shared" si="10"/>
        <v>1.21</v>
      </c>
      <c r="O45" s="21">
        <f t="shared" si="11"/>
        <v>48.3032</v>
      </c>
      <c r="P45" s="22">
        <f t="shared" si="12"/>
        <v>4444.628609</v>
      </c>
      <c r="R45" s="23" t="s">
        <v>2273</v>
      </c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146">
        <v>45771.0</v>
      </c>
      <c r="B46" s="11">
        <v>45771.0</v>
      </c>
      <c r="C46" s="12"/>
      <c r="D46" s="15">
        <v>223.0</v>
      </c>
      <c r="E46" s="59" t="s">
        <v>2274</v>
      </c>
      <c r="F46" s="15">
        <v>2.58</v>
      </c>
      <c r="G46" s="13">
        <v>2.58</v>
      </c>
      <c r="H46" s="17"/>
      <c r="I46" s="15"/>
      <c r="J46" s="18"/>
      <c r="K46" s="17"/>
      <c r="L46" s="19"/>
      <c r="M46" s="20"/>
      <c r="N46" s="21"/>
      <c r="O46" s="21"/>
      <c r="P46" s="22"/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>
        <v>45771.0</v>
      </c>
      <c r="B47" s="11">
        <v>45771.0</v>
      </c>
      <c r="C47" s="12">
        <f>VLOOKUP(B:B,'Курс валют'!A:D,4,0)</f>
        <v>94.5723</v>
      </c>
      <c r="D47" s="15">
        <v>199.0</v>
      </c>
      <c r="E47" s="59" t="s">
        <v>2275</v>
      </c>
      <c r="F47" s="15">
        <v>5.05</v>
      </c>
      <c r="G47" s="13">
        <v>5.05</v>
      </c>
      <c r="H47" s="17">
        <v>0.0</v>
      </c>
      <c r="I47" s="15">
        <f t="shared" ref="I47:I74" si="13">G47-F47</f>
        <v>0</v>
      </c>
      <c r="J47" s="18">
        <f t="shared" ref="J47:J74" si="14">I47/F47*100</f>
        <v>0</v>
      </c>
      <c r="K47" s="17">
        <v>1.21</v>
      </c>
      <c r="L47" s="19">
        <f t="shared" ref="L47:L84" si="15">H47/F47*100</f>
        <v>0</v>
      </c>
      <c r="M47" s="20">
        <f>P47/F47</f>
        <v>114.432483</v>
      </c>
      <c r="N47" s="21">
        <f t="shared" ref="N47:N84" si="16">(F47*K47-H47*3.04)/F47</f>
        <v>1.21</v>
      </c>
      <c r="O47" s="21">
        <f t="shared" ref="O47:O84" si="17">N47*F47</f>
        <v>6.1105</v>
      </c>
      <c r="P47" s="22">
        <f t="shared" ref="P47:P84" si="18">O47*C47</f>
        <v>577.8840392</v>
      </c>
      <c r="R47" s="23" t="s">
        <v>2275</v>
      </c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30">
        <v>45767.0</v>
      </c>
      <c r="B48" s="11">
        <v>45771.0</v>
      </c>
      <c r="C48" s="12">
        <f>VLOOKUP(B:B,'Курс валют'!A:D,4,0)</f>
        <v>94.5723</v>
      </c>
      <c r="D48" s="15">
        <v>201.0</v>
      </c>
      <c r="E48" s="59" t="s">
        <v>2276</v>
      </c>
      <c r="F48" s="15">
        <v>1000.0</v>
      </c>
      <c r="G48" s="13">
        <v>1031.0</v>
      </c>
      <c r="H48" s="17">
        <v>0.0</v>
      </c>
      <c r="I48" s="15">
        <f t="shared" si="13"/>
        <v>31</v>
      </c>
      <c r="J48" s="18">
        <f t="shared" si="14"/>
        <v>3.1</v>
      </c>
      <c r="K48" s="17">
        <v>2.77</v>
      </c>
      <c r="L48" s="19">
        <f t="shared" si="15"/>
        <v>0</v>
      </c>
      <c r="M48" s="78"/>
      <c r="N48" s="21">
        <f t="shared" si="16"/>
        <v>2.77</v>
      </c>
      <c r="O48" s="21">
        <f t="shared" si="17"/>
        <v>2770</v>
      </c>
      <c r="P48" s="22">
        <f t="shared" si="18"/>
        <v>261965.271</v>
      </c>
      <c r="S48" s="24" t="s">
        <v>2261</v>
      </c>
      <c r="T48" s="25"/>
      <c r="U48" s="25"/>
      <c r="V48" s="25"/>
      <c r="W48" s="25"/>
      <c r="X48" s="25"/>
      <c r="Y48" s="25"/>
      <c r="Z48" s="25"/>
      <c r="AA48" s="25"/>
    </row>
    <row r="49">
      <c r="A49" s="30">
        <v>45768.0</v>
      </c>
      <c r="B49" s="11">
        <v>45771.0</v>
      </c>
      <c r="C49" s="12">
        <f>VLOOKUP(B:B,'Курс валют'!A:D,4,0)</f>
        <v>94.5723</v>
      </c>
      <c r="D49" s="15">
        <v>202.0</v>
      </c>
      <c r="E49" s="59" t="s">
        <v>2276</v>
      </c>
      <c r="F49" s="15">
        <v>1000.0</v>
      </c>
      <c r="G49" s="13">
        <v>1031.0</v>
      </c>
      <c r="H49" s="58">
        <v>0.0</v>
      </c>
      <c r="I49" s="15">
        <f t="shared" si="13"/>
        <v>31</v>
      </c>
      <c r="J49" s="18">
        <f t="shared" si="14"/>
        <v>3.1</v>
      </c>
      <c r="K49" s="17">
        <v>2.77</v>
      </c>
      <c r="L49" s="19">
        <f t="shared" si="15"/>
        <v>0</v>
      </c>
      <c r="M49" s="20">
        <f t="shared" ref="M49:M84" si="19">P49/F49</f>
        <v>261.965271</v>
      </c>
      <c r="N49" s="21">
        <f t="shared" si="16"/>
        <v>2.77</v>
      </c>
      <c r="O49" s="21">
        <f t="shared" si="17"/>
        <v>2770</v>
      </c>
      <c r="P49" s="22">
        <f t="shared" si="18"/>
        <v>261965.271</v>
      </c>
      <c r="R49" s="23"/>
      <c r="S49" s="24" t="s">
        <v>2261</v>
      </c>
      <c r="T49" s="25"/>
      <c r="U49" s="25"/>
      <c r="V49" s="25"/>
      <c r="W49" s="25"/>
      <c r="X49" s="25"/>
      <c r="Y49" s="25"/>
      <c r="Z49" s="25"/>
      <c r="AA49" s="25"/>
    </row>
    <row r="50">
      <c r="A50" s="30">
        <v>45769.0</v>
      </c>
      <c r="B50" s="11">
        <v>45771.0</v>
      </c>
      <c r="C50" s="12">
        <f>VLOOKUP(B:B,'Курс валют'!A:D,4,0)</f>
        <v>94.5723</v>
      </c>
      <c r="D50" s="15">
        <v>203.0</v>
      </c>
      <c r="E50" s="59" t="s">
        <v>2276</v>
      </c>
      <c r="F50" s="15">
        <v>1000.0</v>
      </c>
      <c r="G50" s="13">
        <v>1034.0</v>
      </c>
      <c r="H50" s="58">
        <v>0.0</v>
      </c>
      <c r="I50" s="15">
        <f t="shared" si="13"/>
        <v>34</v>
      </c>
      <c r="J50" s="18">
        <f t="shared" si="14"/>
        <v>3.4</v>
      </c>
      <c r="K50" s="17">
        <v>2.77</v>
      </c>
      <c r="L50" s="19">
        <f t="shared" si="15"/>
        <v>0</v>
      </c>
      <c r="M50" s="20">
        <f t="shared" si="19"/>
        <v>261.965271</v>
      </c>
      <c r="N50" s="21">
        <f t="shared" si="16"/>
        <v>2.77</v>
      </c>
      <c r="O50" s="21">
        <f t="shared" si="17"/>
        <v>2770</v>
      </c>
      <c r="P50" s="22">
        <f t="shared" si="18"/>
        <v>261965.271</v>
      </c>
      <c r="R50" s="31"/>
      <c r="S50" s="24" t="s">
        <v>2261</v>
      </c>
      <c r="T50" s="25"/>
      <c r="U50" s="25"/>
      <c r="V50" s="25"/>
      <c r="W50" s="25"/>
      <c r="X50" s="25"/>
      <c r="Y50" s="25"/>
      <c r="Z50" s="25"/>
      <c r="AA50" s="25"/>
    </row>
    <row r="51">
      <c r="A51" s="30">
        <v>45770.0</v>
      </c>
      <c r="B51" s="11">
        <v>45771.0</v>
      </c>
      <c r="C51" s="12">
        <f>VLOOKUP(B:B,'Курс валют'!A:D,4,0)</f>
        <v>94.5723</v>
      </c>
      <c r="D51" s="15">
        <v>204.0</v>
      </c>
      <c r="E51" s="59" t="s">
        <v>2276</v>
      </c>
      <c r="F51" s="15">
        <v>1000.0</v>
      </c>
      <c r="G51" s="13">
        <v>1032.0</v>
      </c>
      <c r="H51" s="58">
        <v>0.0</v>
      </c>
      <c r="I51" s="15">
        <f t="shared" si="13"/>
        <v>32</v>
      </c>
      <c r="J51" s="18">
        <f t="shared" si="14"/>
        <v>3.2</v>
      </c>
      <c r="K51" s="17">
        <v>2.77</v>
      </c>
      <c r="L51" s="19">
        <f t="shared" si="15"/>
        <v>0</v>
      </c>
      <c r="M51" s="20">
        <f t="shared" si="19"/>
        <v>261.965271</v>
      </c>
      <c r="N51" s="21">
        <f t="shared" si="16"/>
        <v>2.77</v>
      </c>
      <c r="O51" s="21">
        <f t="shared" si="17"/>
        <v>2770</v>
      </c>
      <c r="P51" s="22">
        <f t="shared" si="18"/>
        <v>261965.271</v>
      </c>
      <c r="R51" s="31"/>
      <c r="S51" s="24" t="s">
        <v>2261</v>
      </c>
      <c r="T51" s="25"/>
      <c r="U51" s="25"/>
      <c r="V51" s="25"/>
      <c r="W51" s="25"/>
      <c r="X51" s="25"/>
      <c r="Y51" s="25"/>
      <c r="Z51" s="25"/>
      <c r="AA51" s="25"/>
    </row>
    <row r="52">
      <c r="A52" s="30">
        <v>45771.0</v>
      </c>
      <c r="B52" s="11">
        <v>45772.0</v>
      </c>
      <c r="C52" s="12">
        <f>VLOOKUP(B:B,'Курс валют'!A:D,4,0)</f>
        <v>94.7129</v>
      </c>
      <c r="D52" s="15">
        <v>206.0</v>
      </c>
      <c r="E52" s="59" t="s">
        <v>53</v>
      </c>
      <c r="F52" s="15">
        <v>8000.0</v>
      </c>
      <c r="G52" s="13">
        <v>8026.607</v>
      </c>
      <c r="H52" s="58">
        <v>0.0</v>
      </c>
      <c r="I52" s="15">
        <f t="shared" si="13"/>
        <v>26.607</v>
      </c>
      <c r="J52" s="18">
        <f t="shared" si="14"/>
        <v>0.3325875</v>
      </c>
      <c r="K52" s="62">
        <v>1.92</v>
      </c>
      <c r="L52" s="19">
        <f t="shared" si="15"/>
        <v>0</v>
      </c>
      <c r="M52" s="20">
        <f t="shared" si="19"/>
        <v>181.848768</v>
      </c>
      <c r="N52" s="21">
        <f t="shared" si="16"/>
        <v>1.92</v>
      </c>
      <c r="O52" s="21">
        <f t="shared" si="17"/>
        <v>15360</v>
      </c>
      <c r="P52" s="22">
        <f t="shared" si="18"/>
        <v>1454790.144</v>
      </c>
      <c r="R52" s="31"/>
      <c r="S52" s="24" t="s">
        <v>2224</v>
      </c>
      <c r="T52" s="25"/>
      <c r="U52" s="25"/>
      <c r="V52" s="25"/>
      <c r="W52" s="25"/>
      <c r="X52" s="25"/>
      <c r="Y52" s="25"/>
      <c r="Z52" s="25"/>
      <c r="AA52" s="25"/>
    </row>
    <row r="53">
      <c r="A53" s="30">
        <v>45771.0</v>
      </c>
      <c r="B53" s="11">
        <v>45773.0</v>
      </c>
      <c r="C53" s="12">
        <f>VLOOKUP(B:B,'Курс валют'!A:D,4,0)</f>
        <v>94.3593</v>
      </c>
      <c r="D53" s="15">
        <v>207.0</v>
      </c>
      <c r="E53" s="59" t="s">
        <v>63</v>
      </c>
      <c r="F53" s="15">
        <v>2025.0</v>
      </c>
      <c r="G53" s="13">
        <v>2062.6</v>
      </c>
      <c r="H53" s="17">
        <v>0.0</v>
      </c>
      <c r="I53" s="15">
        <f t="shared" si="13"/>
        <v>37.6</v>
      </c>
      <c r="J53" s="18">
        <f t="shared" si="14"/>
        <v>1.856790123</v>
      </c>
      <c r="K53" s="62">
        <v>2.18</v>
      </c>
      <c r="L53" s="19">
        <f t="shared" si="15"/>
        <v>0</v>
      </c>
      <c r="M53" s="20">
        <f t="shared" si="19"/>
        <v>205.703274</v>
      </c>
      <c r="N53" s="21">
        <f t="shared" si="16"/>
        <v>2.18</v>
      </c>
      <c r="O53" s="21">
        <f t="shared" si="17"/>
        <v>4414.5</v>
      </c>
      <c r="P53" s="22">
        <f t="shared" si="18"/>
        <v>416549.1299</v>
      </c>
      <c r="R53" s="31"/>
      <c r="S53" s="24" t="s">
        <v>2224</v>
      </c>
      <c r="T53" s="25"/>
      <c r="U53" s="25"/>
      <c r="V53" s="25"/>
      <c r="W53" s="25"/>
      <c r="X53" s="25"/>
      <c r="Y53" s="25"/>
      <c r="Z53" s="25"/>
      <c r="AA53" s="25"/>
    </row>
    <row r="54">
      <c r="A54" s="30">
        <v>45771.0</v>
      </c>
      <c r="B54" s="11">
        <v>45774.0</v>
      </c>
      <c r="C54" s="12">
        <f>VLOOKUP(B:B,'Курс валют'!A:D,4,0)</f>
        <v>94.3593</v>
      </c>
      <c r="D54" s="15">
        <v>208.0</v>
      </c>
      <c r="E54" s="59" t="s">
        <v>63</v>
      </c>
      <c r="F54" s="15">
        <v>2250.0</v>
      </c>
      <c r="G54" s="13">
        <v>2291.93</v>
      </c>
      <c r="H54" s="17">
        <v>0.0</v>
      </c>
      <c r="I54" s="15">
        <f t="shared" si="13"/>
        <v>41.93</v>
      </c>
      <c r="J54" s="18">
        <f t="shared" si="14"/>
        <v>1.863555556</v>
      </c>
      <c r="K54" s="62">
        <v>2.18</v>
      </c>
      <c r="L54" s="19">
        <f t="shared" si="15"/>
        <v>0</v>
      </c>
      <c r="M54" s="20">
        <f t="shared" si="19"/>
        <v>205.703274</v>
      </c>
      <c r="N54" s="21">
        <f t="shared" si="16"/>
        <v>2.18</v>
      </c>
      <c r="O54" s="21">
        <f t="shared" si="17"/>
        <v>4905</v>
      </c>
      <c r="P54" s="22">
        <f t="shared" si="18"/>
        <v>462832.3665</v>
      </c>
      <c r="R54" s="31"/>
      <c r="S54" s="24" t="s">
        <v>2224</v>
      </c>
      <c r="T54" s="25"/>
      <c r="U54" s="25"/>
      <c r="V54" s="25"/>
      <c r="W54" s="25"/>
      <c r="X54" s="25"/>
      <c r="Y54" s="25"/>
      <c r="Z54" s="25"/>
      <c r="AA54" s="25"/>
    </row>
    <row r="55">
      <c r="A55" s="30">
        <v>45772.0</v>
      </c>
      <c r="B55" s="11">
        <v>45772.0</v>
      </c>
      <c r="C55" s="12">
        <f>VLOOKUP(B:B,'Курс валют'!A:D,4,0)</f>
        <v>94.7129</v>
      </c>
      <c r="D55" s="15">
        <v>209.0</v>
      </c>
      <c r="E55" s="59" t="s">
        <v>2277</v>
      </c>
      <c r="F55" s="15">
        <v>30.0</v>
      </c>
      <c r="G55" s="13">
        <v>30.0</v>
      </c>
      <c r="H55" s="17">
        <v>0.0</v>
      </c>
      <c r="I55" s="15">
        <f t="shared" si="13"/>
        <v>0</v>
      </c>
      <c r="J55" s="18">
        <f t="shared" si="14"/>
        <v>0</v>
      </c>
      <c r="K55" s="17">
        <v>3.91</v>
      </c>
      <c r="L55" s="19">
        <f t="shared" si="15"/>
        <v>0</v>
      </c>
      <c r="M55" s="20">
        <f t="shared" si="19"/>
        <v>370.327439</v>
      </c>
      <c r="N55" s="21">
        <f t="shared" si="16"/>
        <v>3.91</v>
      </c>
      <c r="O55" s="21">
        <f t="shared" si="17"/>
        <v>117.3</v>
      </c>
      <c r="P55" s="22">
        <f t="shared" si="18"/>
        <v>11109.82317</v>
      </c>
      <c r="R55" s="23" t="s">
        <v>2278</v>
      </c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>
        <v>45772.0</v>
      </c>
      <c r="B56" s="11">
        <v>45775.0</v>
      </c>
      <c r="C56" s="12">
        <f>VLOOKUP(B:B,'Курс валют'!A:D,4,0)</f>
        <v>94.3593</v>
      </c>
      <c r="D56" s="15">
        <v>210.0</v>
      </c>
      <c r="E56" s="64" t="s">
        <v>53</v>
      </c>
      <c r="F56" s="15">
        <v>8000.0</v>
      </c>
      <c r="G56" s="13">
        <v>8016.5</v>
      </c>
      <c r="H56" s="17">
        <v>0.0</v>
      </c>
      <c r="I56" s="15">
        <f t="shared" si="13"/>
        <v>16.5</v>
      </c>
      <c r="J56" s="18">
        <f t="shared" si="14"/>
        <v>0.20625</v>
      </c>
      <c r="K56" s="17">
        <v>1.92</v>
      </c>
      <c r="L56" s="19">
        <f t="shared" si="15"/>
        <v>0</v>
      </c>
      <c r="M56" s="20">
        <f t="shared" si="19"/>
        <v>181.169856</v>
      </c>
      <c r="N56" s="21">
        <f t="shared" si="16"/>
        <v>1.92</v>
      </c>
      <c r="O56" s="21">
        <f t="shared" si="17"/>
        <v>15360</v>
      </c>
      <c r="P56" s="22">
        <f t="shared" si="18"/>
        <v>1449358.848</v>
      </c>
      <c r="R56" s="23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>
        <v>45772.0</v>
      </c>
      <c r="B57" s="11">
        <v>45775.0</v>
      </c>
      <c r="C57" s="12">
        <f>VLOOKUP(B:B,'Курс валют'!A:D,4,0)</f>
        <v>94.3593</v>
      </c>
      <c r="D57" s="15">
        <v>212.0</v>
      </c>
      <c r="E57" s="64" t="s">
        <v>53</v>
      </c>
      <c r="F57" s="15">
        <v>8000.0</v>
      </c>
      <c r="G57" s="15">
        <v>8023.5</v>
      </c>
      <c r="H57" s="17">
        <v>0.0</v>
      </c>
      <c r="I57" s="15">
        <f t="shared" si="13"/>
        <v>23.5</v>
      </c>
      <c r="J57" s="18">
        <f t="shared" si="14"/>
        <v>0.29375</v>
      </c>
      <c r="K57" s="17">
        <v>1.92</v>
      </c>
      <c r="L57" s="19">
        <f t="shared" si="15"/>
        <v>0</v>
      </c>
      <c r="M57" s="20">
        <f t="shared" si="19"/>
        <v>181.169856</v>
      </c>
      <c r="N57" s="21">
        <f t="shared" si="16"/>
        <v>1.92</v>
      </c>
      <c r="O57" s="21">
        <f t="shared" si="17"/>
        <v>15360</v>
      </c>
      <c r="P57" s="22">
        <f t="shared" si="18"/>
        <v>1449358.848</v>
      </c>
      <c r="R57" s="31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>
        <v>45772.0</v>
      </c>
      <c r="B58" s="11">
        <v>45775.0</v>
      </c>
      <c r="C58" s="12">
        <f>VLOOKUP(B:B,'Курс валют'!A:D,4,0)</f>
        <v>94.3593</v>
      </c>
      <c r="D58" s="15">
        <v>214.0</v>
      </c>
      <c r="E58" s="64" t="s">
        <v>53</v>
      </c>
      <c r="F58" s="15">
        <v>8000.0</v>
      </c>
      <c r="G58" s="15">
        <v>8024.5</v>
      </c>
      <c r="H58" s="17">
        <v>0.0</v>
      </c>
      <c r="I58" s="15">
        <f t="shared" si="13"/>
        <v>24.5</v>
      </c>
      <c r="J58" s="18">
        <f t="shared" si="14"/>
        <v>0.30625</v>
      </c>
      <c r="K58" s="17">
        <v>1.92</v>
      </c>
      <c r="L58" s="19">
        <f t="shared" si="15"/>
        <v>0</v>
      </c>
      <c r="M58" s="20">
        <f t="shared" si="19"/>
        <v>181.169856</v>
      </c>
      <c r="N58" s="21">
        <f t="shared" si="16"/>
        <v>1.92</v>
      </c>
      <c r="O58" s="21">
        <f t="shared" si="17"/>
        <v>15360</v>
      </c>
      <c r="P58" s="22">
        <f t="shared" si="18"/>
        <v>1449358.848</v>
      </c>
      <c r="R58" s="31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>
        <v>45773.0</v>
      </c>
      <c r="B59" s="11">
        <v>45775.0</v>
      </c>
      <c r="C59" s="12">
        <f>VLOOKUP(B:B,'Курс валют'!A:D,4,0)</f>
        <v>94.3593</v>
      </c>
      <c r="D59" s="15">
        <v>211.0</v>
      </c>
      <c r="E59" s="64" t="s">
        <v>63</v>
      </c>
      <c r="F59" s="15">
        <v>2260.0</v>
      </c>
      <c r="G59" s="15">
        <v>2291.2</v>
      </c>
      <c r="H59" s="17">
        <v>0.0</v>
      </c>
      <c r="I59" s="15">
        <f t="shared" si="13"/>
        <v>31.2</v>
      </c>
      <c r="J59" s="18">
        <f t="shared" si="14"/>
        <v>1.380530973</v>
      </c>
      <c r="K59" s="17">
        <v>2.17</v>
      </c>
      <c r="L59" s="19">
        <f t="shared" si="15"/>
        <v>0</v>
      </c>
      <c r="M59" s="20">
        <f t="shared" si="19"/>
        <v>204.759681</v>
      </c>
      <c r="N59" s="21">
        <f t="shared" si="16"/>
        <v>2.17</v>
      </c>
      <c r="O59" s="21">
        <f t="shared" si="17"/>
        <v>4904.2</v>
      </c>
      <c r="P59" s="22">
        <f t="shared" si="18"/>
        <v>462756.8791</v>
      </c>
      <c r="R59" s="23" t="s">
        <v>2279</v>
      </c>
      <c r="S59" s="24" t="s">
        <v>2224</v>
      </c>
      <c r="T59" s="25"/>
      <c r="U59" s="25"/>
      <c r="V59" s="25"/>
      <c r="W59" s="25"/>
      <c r="X59" s="25"/>
      <c r="Y59" s="25"/>
      <c r="Z59" s="25"/>
      <c r="AA59" s="25"/>
    </row>
    <row r="60">
      <c r="A60" s="30">
        <v>45773.0</v>
      </c>
      <c r="B60" s="11">
        <v>45775.0</v>
      </c>
      <c r="C60" s="12">
        <f>VLOOKUP(B:B,'Курс валют'!A:D,4,0)</f>
        <v>94.3593</v>
      </c>
      <c r="D60" s="15">
        <v>213.0</v>
      </c>
      <c r="E60" s="64" t="s">
        <v>63</v>
      </c>
      <c r="F60" s="15">
        <v>2265.0</v>
      </c>
      <c r="G60" s="15">
        <v>2293.0</v>
      </c>
      <c r="H60" s="17">
        <v>0.0</v>
      </c>
      <c r="I60" s="15">
        <f t="shared" si="13"/>
        <v>28</v>
      </c>
      <c r="J60" s="18">
        <f t="shared" si="14"/>
        <v>1.236203091</v>
      </c>
      <c r="K60" s="17">
        <v>2.17</v>
      </c>
      <c r="L60" s="19">
        <f t="shared" si="15"/>
        <v>0</v>
      </c>
      <c r="M60" s="20">
        <f t="shared" si="19"/>
        <v>204.759681</v>
      </c>
      <c r="N60" s="21">
        <f t="shared" si="16"/>
        <v>2.17</v>
      </c>
      <c r="O60" s="21">
        <f t="shared" si="17"/>
        <v>4915.05</v>
      </c>
      <c r="P60" s="22">
        <f t="shared" si="18"/>
        <v>463780.6775</v>
      </c>
      <c r="R60" s="23" t="s">
        <v>2280</v>
      </c>
      <c r="S60" s="24" t="s">
        <v>2224</v>
      </c>
      <c r="T60" s="25"/>
      <c r="U60" s="25"/>
      <c r="V60" s="25"/>
      <c r="W60" s="25"/>
      <c r="X60" s="25"/>
      <c r="Y60" s="25"/>
      <c r="Z60" s="25"/>
      <c r="AA60" s="25"/>
    </row>
    <row r="61">
      <c r="A61" s="30">
        <v>45773.0</v>
      </c>
      <c r="B61" s="11">
        <v>45775.0</v>
      </c>
      <c r="C61" s="12">
        <f>VLOOKUP(B:B,'Курс валют'!A:D,4,0)</f>
        <v>94.3593</v>
      </c>
      <c r="D61" s="15">
        <v>215.0</v>
      </c>
      <c r="E61" s="64" t="s">
        <v>63</v>
      </c>
      <c r="F61" s="15">
        <v>2260.0</v>
      </c>
      <c r="G61" s="15">
        <v>2293.0</v>
      </c>
      <c r="H61" s="17">
        <v>0.0</v>
      </c>
      <c r="I61" s="15">
        <f t="shared" si="13"/>
        <v>33</v>
      </c>
      <c r="J61" s="18">
        <f t="shared" si="14"/>
        <v>1.460176991</v>
      </c>
      <c r="K61" s="17">
        <v>2.17</v>
      </c>
      <c r="L61" s="19">
        <f t="shared" si="15"/>
        <v>0</v>
      </c>
      <c r="M61" s="20">
        <f t="shared" si="19"/>
        <v>204.759681</v>
      </c>
      <c r="N61" s="21">
        <f t="shared" si="16"/>
        <v>2.17</v>
      </c>
      <c r="O61" s="21">
        <f t="shared" si="17"/>
        <v>4904.2</v>
      </c>
      <c r="P61" s="22">
        <f t="shared" si="18"/>
        <v>462756.8791</v>
      </c>
      <c r="R61" s="23" t="s">
        <v>2281</v>
      </c>
      <c r="S61" s="24" t="s">
        <v>2224</v>
      </c>
      <c r="T61" s="25"/>
      <c r="U61" s="25"/>
      <c r="V61" s="25"/>
      <c r="W61" s="25"/>
      <c r="X61" s="25"/>
      <c r="Y61" s="25"/>
      <c r="Z61" s="25"/>
      <c r="AA61" s="25"/>
    </row>
    <row r="62">
      <c r="A62" s="30">
        <v>45775.0</v>
      </c>
      <c r="B62" s="11">
        <v>45775.0</v>
      </c>
      <c r="C62" s="12">
        <f>VLOOKUP(B:B,'Курс валют'!A:D,4,0)</f>
        <v>94.3593</v>
      </c>
      <c r="D62" s="15">
        <v>216.0</v>
      </c>
      <c r="E62" s="64" t="s">
        <v>18</v>
      </c>
      <c r="F62" s="15">
        <v>9900.0</v>
      </c>
      <c r="G62" s="15">
        <v>9928.0</v>
      </c>
      <c r="H62" s="17">
        <v>178.0</v>
      </c>
      <c r="I62" s="15">
        <f t="shared" si="13"/>
        <v>28</v>
      </c>
      <c r="J62" s="18">
        <f t="shared" si="14"/>
        <v>0.2828282828</v>
      </c>
      <c r="K62" s="17">
        <v>2.63</v>
      </c>
      <c r="L62" s="19">
        <f t="shared" si="15"/>
        <v>1.797979798</v>
      </c>
      <c r="M62" s="20">
        <f t="shared" si="19"/>
        <v>243.0074131</v>
      </c>
      <c r="N62" s="21">
        <f t="shared" si="16"/>
        <v>2.575341414</v>
      </c>
      <c r="O62" s="21">
        <f t="shared" si="17"/>
        <v>25495.88</v>
      </c>
      <c r="P62" s="22">
        <f t="shared" si="18"/>
        <v>2405773.39</v>
      </c>
      <c r="R62" s="23" t="s">
        <v>2282</v>
      </c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>
        <v>45775.0</v>
      </c>
      <c r="B63" s="11">
        <v>45775.0</v>
      </c>
      <c r="C63" s="12">
        <f>VLOOKUP(B:B,'Курс валют'!A:D,4,0)</f>
        <v>94.3593</v>
      </c>
      <c r="D63" s="15">
        <v>217.0</v>
      </c>
      <c r="E63" s="64" t="s">
        <v>18</v>
      </c>
      <c r="F63" s="15">
        <v>9900.0</v>
      </c>
      <c r="G63" s="15">
        <v>9928.0</v>
      </c>
      <c r="H63" s="17">
        <v>178.0</v>
      </c>
      <c r="I63" s="15">
        <f t="shared" si="13"/>
        <v>28</v>
      </c>
      <c r="J63" s="18">
        <f t="shared" si="14"/>
        <v>0.2828282828</v>
      </c>
      <c r="K63" s="17">
        <v>2.63</v>
      </c>
      <c r="L63" s="19">
        <f t="shared" si="15"/>
        <v>1.797979798</v>
      </c>
      <c r="M63" s="20">
        <f t="shared" si="19"/>
        <v>243.0074131</v>
      </c>
      <c r="N63" s="21">
        <f t="shared" si="16"/>
        <v>2.575341414</v>
      </c>
      <c r="O63" s="21">
        <f t="shared" si="17"/>
        <v>25495.88</v>
      </c>
      <c r="P63" s="22">
        <f t="shared" si="18"/>
        <v>2405773.39</v>
      </c>
      <c r="R63" s="23" t="s">
        <v>2283</v>
      </c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>
        <v>45772.0</v>
      </c>
      <c r="B64" s="11">
        <v>45775.0</v>
      </c>
      <c r="C64" s="12">
        <f>VLOOKUP(B:B,'Курс валют'!A:D,4,0)</f>
        <v>94.3593</v>
      </c>
      <c r="D64" s="15">
        <v>218.0</v>
      </c>
      <c r="E64" s="64" t="s">
        <v>2276</v>
      </c>
      <c r="F64" s="15">
        <v>1000.0</v>
      </c>
      <c r="G64" s="15">
        <v>1034.0</v>
      </c>
      <c r="H64" s="17">
        <v>0.0</v>
      </c>
      <c r="I64" s="15">
        <f t="shared" si="13"/>
        <v>34</v>
      </c>
      <c r="J64" s="18">
        <f t="shared" si="14"/>
        <v>3.4</v>
      </c>
      <c r="K64" s="17">
        <v>2.78</v>
      </c>
      <c r="L64" s="19">
        <f t="shared" si="15"/>
        <v>0</v>
      </c>
      <c r="M64" s="20">
        <f t="shared" si="19"/>
        <v>262.318854</v>
      </c>
      <c r="N64" s="21">
        <f t="shared" si="16"/>
        <v>2.78</v>
      </c>
      <c r="O64" s="21">
        <f t="shared" si="17"/>
        <v>2780</v>
      </c>
      <c r="P64" s="22">
        <f t="shared" si="18"/>
        <v>262318.854</v>
      </c>
      <c r="R64" s="23" t="s">
        <v>2284</v>
      </c>
      <c r="S64" s="24" t="s">
        <v>2261</v>
      </c>
      <c r="T64" s="25"/>
      <c r="U64" s="25"/>
      <c r="V64" s="25"/>
      <c r="W64" s="25"/>
      <c r="X64" s="25"/>
      <c r="Y64" s="25"/>
      <c r="Z64" s="25"/>
      <c r="AA64" s="25"/>
    </row>
    <row r="65">
      <c r="A65" s="30">
        <v>45775.0</v>
      </c>
      <c r="B65" s="11">
        <v>45775.0</v>
      </c>
      <c r="C65" s="12">
        <f>VLOOKUP(B:B,'Курс валют'!A:D,4,0)</f>
        <v>94.3593</v>
      </c>
      <c r="D65" s="15">
        <v>219.0</v>
      </c>
      <c r="E65" s="64" t="s">
        <v>105</v>
      </c>
      <c r="F65" s="15">
        <v>23.18</v>
      </c>
      <c r="G65" s="15">
        <v>23.18</v>
      </c>
      <c r="H65" s="17">
        <v>0.0</v>
      </c>
      <c r="I65" s="15">
        <f t="shared" si="13"/>
        <v>0</v>
      </c>
      <c r="J65" s="18">
        <f t="shared" si="14"/>
        <v>0</v>
      </c>
      <c r="K65" s="17">
        <v>1.2</v>
      </c>
      <c r="L65" s="19">
        <f t="shared" si="15"/>
        <v>0</v>
      </c>
      <c r="M65" s="20">
        <f t="shared" si="19"/>
        <v>113.23116</v>
      </c>
      <c r="N65" s="21">
        <f t="shared" si="16"/>
        <v>1.2</v>
      </c>
      <c r="O65" s="21">
        <f t="shared" si="17"/>
        <v>27.816</v>
      </c>
      <c r="P65" s="22">
        <f t="shared" si="18"/>
        <v>2624.698289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>
        <v>45775.0</v>
      </c>
      <c r="B66" s="11">
        <v>45776.0</v>
      </c>
      <c r="C66" s="12">
        <f>VLOOKUP(B:B,'Курс валют'!A:D,4,0)</f>
        <v>93.1801</v>
      </c>
      <c r="D66" s="15">
        <v>220.0</v>
      </c>
      <c r="E66" s="64" t="s">
        <v>2285</v>
      </c>
      <c r="F66" s="15">
        <v>1585.0</v>
      </c>
      <c r="G66" s="15">
        <v>1609.7</v>
      </c>
      <c r="H66" s="17">
        <v>0.0</v>
      </c>
      <c r="I66" s="15">
        <f t="shared" si="13"/>
        <v>24.7</v>
      </c>
      <c r="J66" s="18">
        <f t="shared" si="14"/>
        <v>1.558359621</v>
      </c>
      <c r="K66" s="17">
        <v>1.94</v>
      </c>
      <c r="L66" s="19">
        <f t="shared" si="15"/>
        <v>0</v>
      </c>
      <c r="M66" s="20">
        <f t="shared" si="19"/>
        <v>180.769394</v>
      </c>
      <c r="N66" s="21">
        <f t="shared" si="16"/>
        <v>1.94</v>
      </c>
      <c r="O66" s="21">
        <f t="shared" si="17"/>
        <v>3074.9</v>
      </c>
      <c r="P66" s="22">
        <f t="shared" si="18"/>
        <v>286519.4895</v>
      </c>
      <c r="R66" s="23" t="s">
        <v>2286</v>
      </c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>
        <v>45775.0</v>
      </c>
      <c r="B67" s="11">
        <v>45776.0</v>
      </c>
      <c r="C67" s="12">
        <f>VLOOKUP(B:B,'Курс валют'!A:D,4,0)</f>
        <v>93.1801</v>
      </c>
      <c r="D67" s="15">
        <v>221.0</v>
      </c>
      <c r="E67" s="64" t="s">
        <v>71</v>
      </c>
      <c r="F67" s="15">
        <v>8000.0</v>
      </c>
      <c r="G67" s="15">
        <v>8020.0</v>
      </c>
      <c r="H67" s="17">
        <v>761.0</v>
      </c>
      <c r="I67" s="15">
        <f t="shared" si="13"/>
        <v>20</v>
      </c>
      <c r="J67" s="18">
        <f t="shared" si="14"/>
        <v>0.25</v>
      </c>
      <c r="K67" s="17">
        <v>2.16</v>
      </c>
      <c r="L67" s="19">
        <f t="shared" si="15"/>
        <v>9.5125</v>
      </c>
      <c r="M67" s="20">
        <f t="shared" si="19"/>
        <v>174.3231947</v>
      </c>
      <c r="N67" s="21">
        <f t="shared" si="16"/>
        <v>1.87082</v>
      </c>
      <c r="O67" s="21">
        <f t="shared" si="17"/>
        <v>14966.56</v>
      </c>
      <c r="P67" s="22">
        <f t="shared" si="18"/>
        <v>1394585.557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63">
        <v>45776.0</v>
      </c>
      <c r="B68" s="11">
        <v>45776.0</v>
      </c>
      <c r="C68" s="12">
        <f>VLOOKUP(B:B,'Курс валют'!A:D,4,0)</f>
        <v>93.1801</v>
      </c>
      <c r="D68" s="15">
        <v>222.0</v>
      </c>
      <c r="E68" s="64" t="s">
        <v>18</v>
      </c>
      <c r="F68" s="15">
        <v>9900.0</v>
      </c>
      <c r="G68" s="15">
        <v>9928.0</v>
      </c>
      <c r="H68" s="17">
        <v>178.0</v>
      </c>
      <c r="I68" s="15">
        <f t="shared" si="13"/>
        <v>28</v>
      </c>
      <c r="J68" s="18">
        <f t="shared" si="14"/>
        <v>0.2828282828</v>
      </c>
      <c r="K68" s="17">
        <v>2.58</v>
      </c>
      <c r="L68" s="19">
        <f t="shared" si="15"/>
        <v>1.797979798</v>
      </c>
      <c r="M68" s="20">
        <f t="shared" si="19"/>
        <v>235.3115655</v>
      </c>
      <c r="N68" s="21">
        <f t="shared" si="16"/>
        <v>2.525341414</v>
      </c>
      <c r="O68" s="21">
        <f t="shared" si="17"/>
        <v>25000.88</v>
      </c>
      <c r="P68" s="22">
        <f t="shared" si="18"/>
        <v>2329584.498</v>
      </c>
      <c r="R68" s="23" t="s">
        <v>2287</v>
      </c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63">
        <v>45776.0</v>
      </c>
      <c r="B69" s="11">
        <v>45777.0</v>
      </c>
      <c r="C69" s="12">
        <f>VLOOKUP(B:B,'Курс валют'!A:D,4,0)</f>
        <v>93.173</v>
      </c>
      <c r="D69" s="15">
        <v>224.0</v>
      </c>
      <c r="E69" s="64" t="s">
        <v>2285</v>
      </c>
      <c r="F69" s="15">
        <v>2050.0</v>
      </c>
      <c r="G69" s="15">
        <v>2078.23</v>
      </c>
      <c r="H69" s="17">
        <v>0.0</v>
      </c>
      <c r="I69" s="15">
        <f t="shared" si="13"/>
        <v>28.23</v>
      </c>
      <c r="J69" s="18">
        <f t="shared" si="14"/>
        <v>1.377073171</v>
      </c>
      <c r="K69" s="17">
        <v>1.98</v>
      </c>
      <c r="L69" s="19">
        <f t="shared" si="15"/>
        <v>0</v>
      </c>
      <c r="M69" s="20">
        <f t="shared" si="19"/>
        <v>184.48254</v>
      </c>
      <c r="N69" s="21">
        <f t="shared" si="16"/>
        <v>1.98</v>
      </c>
      <c r="O69" s="21">
        <f t="shared" si="17"/>
        <v>4059</v>
      </c>
      <c r="P69" s="22">
        <f t="shared" si="18"/>
        <v>378189.207</v>
      </c>
      <c r="R69" s="23" t="s">
        <v>2288</v>
      </c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30">
        <v>45776.0</v>
      </c>
      <c r="B70" s="11">
        <v>45777.0</v>
      </c>
      <c r="C70" s="12">
        <f>VLOOKUP(B:B,'Курс валют'!A:D,4,0)</f>
        <v>93.173</v>
      </c>
      <c r="D70" s="15">
        <v>225.0</v>
      </c>
      <c r="E70" s="64" t="s">
        <v>18</v>
      </c>
      <c r="F70" s="15">
        <v>1100.0</v>
      </c>
      <c r="G70" s="15">
        <v>1103.0</v>
      </c>
      <c r="H70" s="17">
        <v>20.0</v>
      </c>
      <c r="I70" s="15">
        <f t="shared" si="13"/>
        <v>3</v>
      </c>
      <c r="J70" s="18">
        <f t="shared" si="14"/>
        <v>0.2727272727</v>
      </c>
      <c r="K70" s="17">
        <v>2.58</v>
      </c>
      <c r="L70" s="19">
        <f t="shared" si="15"/>
        <v>1.818181818</v>
      </c>
      <c r="M70" s="20">
        <f t="shared" si="19"/>
        <v>235.2364142</v>
      </c>
      <c r="N70" s="21">
        <f t="shared" si="16"/>
        <v>2.524727273</v>
      </c>
      <c r="O70" s="21">
        <f t="shared" si="17"/>
        <v>2777.2</v>
      </c>
      <c r="P70" s="22">
        <f t="shared" si="18"/>
        <v>258760.0556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47">
        <v>45774.0</v>
      </c>
      <c r="B71" s="11">
        <v>45775.0</v>
      </c>
      <c r="C71" s="12">
        <f>VLOOKUP(B:B,'Курс валют'!A:D,4,0)</f>
        <v>94.3593</v>
      </c>
      <c r="D71" s="15">
        <v>233.0</v>
      </c>
      <c r="E71" s="64" t="s">
        <v>59</v>
      </c>
      <c r="F71" s="15">
        <v>1000.0</v>
      </c>
      <c r="G71" s="15">
        <v>1033.5</v>
      </c>
      <c r="H71" s="17">
        <v>0.0</v>
      </c>
      <c r="I71" s="15">
        <f t="shared" si="13"/>
        <v>33.5</v>
      </c>
      <c r="J71" s="18">
        <f t="shared" si="14"/>
        <v>3.35</v>
      </c>
      <c r="K71" s="17">
        <v>3.19</v>
      </c>
      <c r="L71" s="19">
        <f t="shared" si="15"/>
        <v>0</v>
      </c>
      <c r="M71" s="20">
        <f t="shared" si="19"/>
        <v>301.006167</v>
      </c>
      <c r="N71" s="21">
        <f t="shared" si="16"/>
        <v>3.19</v>
      </c>
      <c r="O71" s="21">
        <f t="shared" si="17"/>
        <v>3190</v>
      </c>
      <c r="P71" s="22">
        <f t="shared" si="18"/>
        <v>301006.167</v>
      </c>
      <c r="R71" s="23"/>
      <c r="S71" s="24" t="s">
        <v>2261</v>
      </c>
      <c r="T71" s="25"/>
      <c r="U71" s="25"/>
      <c r="V71" s="25"/>
      <c r="W71" s="25"/>
      <c r="X71" s="25"/>
      <c r="Y71" s="25"/>
      <c r="Z71" s="25"/>
      <c r="AA71" s="25"/>
    </row>
    <row r="72">
      <c r="A72" s="147">
        <v>45774.0</v>
      </c>
      <c r="B72" s="11">
        <v>45776.0</v>
      </c>
      <c r="C72" s="12">
        <f>VLOOKUP(B:B,'Курс валют'!A:D,4,0)</f>
        <v>93.1801</v>
      </c>
      <c r="D72" s="15">
        <v>234.0</v>
      </c>
      <c r="E72" s="64" t="s">
        <v>59</v>
      </c>
      <c r="F72" s="15">
        <v>1000.0</v>
      </c>
      <c r="G72" s="15">
        <v>1036.5</v>
      </c>
      <c r="H72" s="17">
        <v>0.0</v>
      </c>
      <c r="I72" s="15">
        <f t="shared" si="13"/>
        <v>36.5</v>
      </c>
      <c r="J72" s="18">
        <f t="shared" si="14"/>
        <v>3.65</v>
      </c>
      <c r="K72" s="17">
        <v>3.19</v>
      </c>
      <c r="L72" s="19">
        <f t="shared" si="15"/>
        <v>0</v>
      </c>
      <c r="M72" s="20">
        <f t="shared" si="19"/>
        <v>297.244519</v>
      </c>
      <c r="N72" s="21">
        <f t="shared" si="16"/>
        <v>3.19</v>
      </c>
      <c r="O72" s="21">
        <f t="shared" si="17"/>
        <v>3190</v>
      </c>
      <c r="P72" s="22">
        <f t="shared" si="18"/>
        <v>297244.519</v>
      </c>
      <c r="R72" s="79"/>
      <c r="S72" s="24" t="s">
        <v>2261</v>
      </c>
      <c r="T72" s="25"/>
      <c r="U72" s="25"/>
      <c r="V72" s="25"/>
      <c r="W72" s="25"/>
      <c r="X72" s="25"/>
      <c r="Y72" s="25"/>
      <c r="Z72" s="25"/>
      <c r="AA72" s="25"/>
    </row>
    <row r="73">
      <c r="A73" s="147">
        <v>45774.0</v>
      </c>
      <c r="B73" s="11">
        <v>45776.0</v>
      </c>
      <c r="C73" s="12">
        <f>VLOOKUP(B:B,'Курс валют'!A:D,4,0)</f>
        <v>93.1801</v>
      </c>
      <c r="D73" s="15">
        <v>235.0</v>
      </c>
      <c r="E73" s="64" t="s">
        <v>59</v>
      </c>
      <c r="F73" s="15">
        <v>1000.0</v>
      </c>
      <c r="G73" s="15">
        <v>1034.5</v>
      </c>
      <c r="H73" s="17">
        <v>0.0</v>
      </c>
      <c r="I73" s="15">
        <f t="shared" si="13"/>
        <v>34.5</v>
      </c>
      <c r="J73" s="18">
        <f t="shared" si="14"/>
        <v>3.45</v>
      </c>
      <c r="K73" s="17">
        <v>3.19</v>
      </c>
      <c r="L73" s="19">
        <f t="shared" si="15"/>
        <v>0</v>
      </c>
      <c r="M73" s="20">
        <f t="shared" si="19"/>
        <v>297.244519</v>
      </c>
      <c r="N73" s="21">
        <f t="shared" si="16"/>
        <v>3.19</v>
      </c>
      <c r="O73" s="21">
        <f t="shared" si="17"/>
        <v>3190</v>
      </c>
      <c r="P73" s="22">
        <f t="shared" si="18"/>
        <v>297244.519</v>
      </c>
      <c r="R73" s="23"/>
      <c r="S73" s="24" t="s">
        <v>2261</v>
      </c>
      <c r="T73" s="25"/>
      <c r="U73" s="25"/>
      <c r="V73" s="25"/>
      <c r="W73" s="25"/>
      <c r="X73" s="25"/>
      <c r="Y73" s="25"/>
      <c r="Z73" s="25"/>
      <c r="AA73" s="25"/>
    </row>
    <row r="74">
      <c r="A74" s="147">
        <v>45774.0</v>
      </c>
      <c r="B74" s="11">
        <v>45777.0</v>
      </c>
      <c r="C74" s="12">
        <f>VLOOKUP(B:B,'Курс валют'!A:D,4,0)</f>
        <v>93.173</v>
      </c>
      <c r="D74" s="15">
        <v>236.0</v>
      </c>
      <c r="E74" s="64" t="s">
        <v>59</v>
      </c>
      <c r="F74" s="15">
        <v>1000.0</v>
      </c>
      <c r="G74" s="15">
        <v>1035.5</v>
      </c>
      <c r="H74" s="17">
        <v>0.0</v>
      </c>
      <c r="I74" s="15">
        <f t="shared" si="13"/>
        <v>35.5</v>
      </c>
      <c r="J74" s="18">
        <f t="shared" si="14"/>
        <v>3.55</v>
      </c>
      <c r="K74" s="17">
        <v>3.14</v>
      </c>
      <c r="L74" s="19">
        <f t="shared" si="15"/>
        <v>0</v>
      </c>
      <c r="M74" s="20">
        <f t="shared" si="19"/>
        <v>292.56322</v>
      </c>
      <c r="N74" s="21">
        <f t="shared" si="16"/>
        <v>3.14</v>
      </c>
      <c r="O74" s="21">
        <f t="shared" si="17"/>
        <v>3140</v>
      </c>
      <c r="P74" s="22">
        <f t="shared" si="18"/>
        <v>292563.22</v>
      </c>
      <c r="R74" s="23"/>
      <c r="S74" s="24" t="s">
        <v>2261</v>
      </c>
      <c r="T74" s="25"/>
      <c r="U74" s="25"/>
      <c r="V74" s="25"/>
      <c r="W74" s="25"/>
      <c r="X74" s="25"/>
      <c r="Y74" s="25"/>
      <c r="Z74" s="25"/>
      <c r="AA74" s="25"/>
    </row>
    <row r="75">
      <c r="A75" s="147">
        <v>45774.0</v>
      </c>
      <c r="B75" s="11">
        <v>45777.0</v>
      </c>
      <c r="C75" s="12">
        <f>VLOOKUP(B:B,'Курс валют'!A:D,4,0)</f>
        <v>93.173</v>
      </c>
      <c r="D75" s="15">
        <v>237.0</v>
      </c>
      <c r="E75" s="64" t="s">
        <v>59</v>
      </c>
      <c r="F75" s="15">
        <v>1000.0</v>
      </c>
      <c r="G75" s="15">
        <v>1036.5</v>
      </c>
      <c r="H75" s="17">
        <v>0.0</v>
      </c>
      <c r="I75" s="15"/>
      <c r="J75" s="18"/>
      <c r="K75" s="17">
        <v>3.14</v>
      </c>
      <c r="L75" s="19">
        <f t="shared" si="15"/>
        <v>0</v>
      </c>
      <c r="M75" s="20">
        <f t="shared" si="19"/>
        <v>292.56322</v>
      </c>
      <c r="N75" s="21">
        <f t="shared" si="16"/>
        <v>3.14</v>
      </c>
      <c r="O75" s="21">
        <f t="shared" si="17"/>
        <v>3140</v>
      </c>
      <c r="P75" s="22">
        <f t="shared" si="18"/>
        <v>292563.22</v>
      </c>
      <c r="R75" s="79"/>
      <c r="S75" s="24" t="s">
        <v>2261</v>
      </c>
      <c r="T75" s="25"/>
      <c r="U75" s="25"/>
      <c r="V75" s="25"/>
      <c r="W75" s="25"/>
      <c r="X75" s="25"/>
      <c r="Y75" s="25"/>
      <c r="Z75" s="25"/>
      <c r="AA75" s="25"/>
    </row>
    <row r="76">
      <c r="A76" s="147"/>
      <c r="B76" s="11"/>
      <c r="C76" s="12" t="str">
        <f>VLOOKUP(B:B,'Курс валют'!A:D,4,0)</f>
        <v>#N/A</v>
      </c>
      <c r="D76" s="15"/>
      <c r="E76" s="64"/>
      <c r="F76" s="15"/>
      <c r="G76" s="15"/>
      <c r="H76" s="17"/>
      <c r="I76" s="15"/>
      <c r="J76" s="18"/>
      <c r="K76" s="17"/>
      <c r="L76" s="19" t="str">
        <f t="shared" si="15"/>
        <v>#DIV/0!</v>
      </c>
      <c r="M76" s="20" t="str">
        <f t="shared" si="19"/>
        <v>#DIV/0!</v>
      </c>
      <c r="N76" s="21" t="str">
        <f t="shared" si="16"/>
        <v>#DIV/0!</v>
      </c>
      <c r="O76" s="21" t="str">
        <f t="shared" si="17"/>
        <v>#DIV/0!</v>
      </c>
      <c r="P76" s="22" t="str">
        <f t="shared" si="18"/>
        <v>#DIV/0!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47"/>
      <c r="B77" s="11"/>
      <c r="C77" s="12" t="str">
        <f>VLOOKUP(B:B,'Курс валют'!A:D,4,0)</f>
        <v>#N/A</v>
      </c>
      <c r="D77" s="15"/>
      <c r="E77" s="64"/>
      <c r="F77" s="15"/>
      <c r="G77" s="15"/>
      <c r="H77" s="17"/>
      <c r="I77" s="15"/>
      <c r="J77" s="18"/>
      <c r="K77" s="17"/>
      <c r="L77" s="19" t="str">
        <f t="shared" si="15"/>
        <v>#DIV/0!</v>
      </c>
      <c r="M77" s="20" t="str">
        <f t="shared" si="19"/>
        <v>#DIV/0!</v>
      </c>
      <c r="N77" s="21" t="str">
        <f t="shared" si="16"/>
        <v>#DIV/0!</v>
      </c>
      <c r="O77" s="21" t="str">
        <f t="shared" si="17"/>
        <v>#DIV/0!</v>
      </c>
      <c r="P77" s="22" t="str">
        <f t="shared" si="18"/>
        <v>#DIV/0!</v>
      </c>
      <c r="R77" s="79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48"/>
      <c r="B78" s="11"/>
      <c r="C78" s="12" t="str">
        <f>VLOOKUP(B:B,'Курс валют'!A:D,4,0)</f>
        <v>#N/A</v>
      </c>
      <c r="D78" s="15"/>
      <c r="E78" s="64"/>
      <c r="F78" s="15"/>
      <c r="G78" s="15"/>
      <c r="H78" s="17"/>
      <c r="I78" s="15"/>
      <c r="J78" s="18"/>
      <c r="K78" s="17"/>
      <c r="L78" s="19" t="str">
        <f t="shared" si="15"/>
        <v>#DIV/0!</v>
      </c>
      <c r="M78" s="20" t="str">
        <f t="shared" si="19"/>
        <v>#DIV/0!</v>
      </c>
      <c r="N78" s="21" t="str">
        <f t="shared" si="16"/>
        <v>#DIV/0!</v>
      </c>
      <c r="O78" s="21" t="str">
        <f t="shared" si="17"/>
        <v>#DIV/0!</v>
      </c>
      <c r="P78" s="22" t="str">
        <f t="shared" si="18"/>
        <v>#DIV/0!</v>
      </c>
      <c r="R78" s="79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48"/>
      <c r="B79" s="11"/>
      <c r="C79" s="12" t="str">
        <f>VLOOKUP(B:B,'Курс валют'!A:D,4,0)</f>
        <v>#N/A</v>
      </c>
      <c r="D79" s="15"/>
      <c r="E79" s="59"/>
      <c r="F79" s="15"/>
      <c r="G79" s="15"/>
      <c r="H79" s="17"/>
      <c r="I79" s="15"/>
      <c r="J79" s="18"/>
      <c r="K79" s="17"/>
      <c r="L79" s="19" t="str">
        <f t="shared" si="15"/>
        <v>#DIV/0!</v>
      </c>
      <c r="M79" s="20" t="str">
        <f t="shared" si="19"/>
        <v>#DIV/0!</v>
      </c>
      <c r="N79" s="21" t="str">
        <f t="shared" si="16"/>
        <v>#DIV/0!</v>
      </c>
      <c r="O79" s="21" t="str">
        <f t="shared" si="17"/>
        <v>#DIV/0!</v>
      </c>
      <c r="P79" s="22" t="str">
        <f t="shared" si="18"/>
        <v>#DIV/0!</v>
      </c>
      <c r="R79" s="79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48"/>
      <c r="B80" s="11"/>
      <c r="C80" s="12" t="str">
        <f>VLOOKUP(B:B,'Курс валют'!A:D,4,0)</f>
        <v>#N/A</v>
      </c>
      <c r="D80" s="15"/>
      <c r="E80" s="59"/>
      <c r="F80" s="15"/>
      <c r="G80" s="15"/>
      <c r="H80" s="17"/>
      <c r="I80" s="15"/>
      <c r="J80" s="18"/>
      <c r="K80" s="17"/>
      <c r="L80" s="19" t="str">
        <f t="shared" si="15"/>
        <v>#DIV/0!</v>
      </c>
      <c r="M80" s="20" t="str">
        <f t="shared" si="19"/>
        <v>#DIV/0!</v>
      </c>
      <c r="N80" s="21" t="str">
        <f t="shared" si="16"/>
        <v>#DIV/0!</v>
      </c>
      <c r="O80" s="21" t="str">
        <f t="shared" si="17"/>
        <v>#DIV/0!</v>
      </c>
      <c r="P80" s="22" t="str">
        <f t="shared" si="18"/>
        <v>#DIV/0!</v>
      </c>
      <c r="R80" s="23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48"/>
      <c r="B81" s="11"/>
      <c r="C81" s="12" t="str">
        <f>VLOOKUP(B:B,'Курс валют'!A:D,4,0)</f>
        <v>#N/A</v>
      </c>
      <c r="D81" s="15"/>
      <c r="E81" s="59"/>
      <c r="F81" s="15"/>
      <c r="G81" s="15"/>
      <c r="H81" s="65"/>
      <c r="I81" s="15"/>
      <c r="J81" s="18"/>
      <c r="K81" s="65"/>
      <c r="L81" s="19" t="str">
        <f t="shared" si="15"/>
        <v>#DIV/0!</v>
      </c>
      <c r="M81" s="20" t="str">
        <f t="shared" si="19"/>
        <v>#DIV/0!</v>
      </c>
      <c r="N81" s="21" t="str">
        <f t="shared" si="16"/>
        <v>#DIV/0!</v>
      </c>
      <c r="O81" s="21" t="str">
        <f t="shared" si="17"/>
        <v>#DIV/0!</v>
      </c>
      <c r="P81" s="22" t="str">
        <f t="shared" si="18"/>
        <v>#DIV/0!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48"/>
      <c r="B82" s="11"/>
      <c r="C82" s="12" t="str">
        <f>VLOOKUP(B:B,'Курс валют'!A:D,4,0)</f>
        <v>#N/A</v>
      </c>
      <c r="D82" s="15"/>
      <c r="E82" s="59"/>
      <c r="F82" s="15"/>
      <c r="G82" s="15"/>
      <c r="H82" s="65"/>
      <c r="I82" s="15"/>
      <c r="J82" s="18"/>
      <c r="K82" s="65"/>
      <c r="L82" s="19" t="str">
        <f t="shared" si="15"/>
        <v>#DIV/0!</v>
      </c>
      <c r="M82" s="20" t="str">
        <f t="shared" si="19"/>
        <v>#DIV/0!</v>
      </c>
      <c r="N82" s="21" t="str">
        <f t="shared" si="16"/>
        <v>#DIV/0!</v>
      </c>
      <c r="O82" s="21" t="str">
        <f t="shared" si="17"/>
        <v>#DIV/0!</v>
      </c>
      <c r="P82" s="22" t="str">
        <f t="shared" si="18"/>
        <v>#DIV/0!</v>
      </c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49"/>
      <c r="B83" s="11"/>
      <c r="C83" s="12" t="str">
        <f>VLOOKUP(B:B,'Курс валют'!A:D,4,0)</f>
        <v>#N/A</v>
      </c>
      <c r="D83" s="67"/>
      <c r="E83" s="67"/>
      <c r="F83" s="67"/>
      <c r="G83" s="67"/>
      <c r="H83" s="65"/>
      <c r="I83" s="15"/>
      <c r="J83" s="18"/>
      <c r="K83" s="65"/>
      <c r="L83" s="19" t="str">
        <f t="shared" si="15"/>
        <v>#DIV/0!</v>
      </c>
      <c r="M83" s="20" t="str">
        <f t="shared" si="19"/>
        <v>#DIV/0!</v>
      </c>
      <c r="N83" s="21" t="str">
        <f t="shared" si="16"/>
        <v>#DIV/0!</v>
      </c>
      <c r="O83" s="21" t="str">
        <f t="shared" si="17"/>
        <v>#DIV/0!</v>
      </c>
      <c r="P83" s="22" t="str">
        <f t="shared" si="18"/>
        <v>#DIV/0!</v>
      </c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49"/>
      <c r="B84" s="11"/>
      <c r="C84" s="12" t="str">
        <f>VLOOKUP(B:B,'Курс валют'!A:D,4,0)</f>
        <v>#N/A</v>
      </c>
      <c r="D84" s="67"/>
      <c r="E84" s="67"/>
      <c r="F84" s="67"/>
      <c r="G84" s="67"/>
      <c r="H84" s="65"/>
      <c r="I84" s="15"/>
      <c r="J84" s="18"/>
      <c r="K84" s="65"/>
      <c r="L84" s="19" t="str">
        <f t="shared" si="15"/>
        <v>#DIV/0!</v>
      </c>
      <c r="M84" s="20" t="str">
        <f t="shared" si="19"/>
        <v>#DIV/0!</v>
      </c>
      <c r="N84" s="21" t="str">
        <f t="shared" si="16"/>
        <v>#DIV/0!</v>
      </c>
      <c r="O84" s="21" t="str">
        <f t="shared" si="17"/>
        <v>#DIV/0!</v>
      </c>
      <c r="P84" s="22" t="str">
        <f t="shared" si="18"/>
        <v>#DIV/0!</v>
      </c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49"/>
      <c r="B85" s="11"/>
      <c r="C85" s="12" t="str">
        <f>VLOOKUP(B:B,'Курс валют'!A:D,4,0)</f>
        <v>#N/A</v>
      </c>
      <c r="D85" s="67"/>
      <c r="E85" s="67"/>
      <c r="F85" s="67"/>
      <c r="G85" s="67"/>
      <c r="H85" s="65"/>
      <c r="I85" s="15"/>
      <c r="J85" s="18"/>
      <c r="K85" s="65"/>
      <c r="L85" s="19"/>
      <c r="M85" s="20"/>
      <c r="N85" s="21"/>
      <c r="O85" s="21"/>
      <c r="P85" s="22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49"/>
      <c r="B86" s="11"/>
      <c r="C86" s="12" t="str">
        <f>VLOOKUP(B:B,'Курс валют'!A:D,4,0)</f>
        <v>#N/A</v>
      </c>
      <c r="D86" s="67"/>
      <c r="E86" s="67"/>
      <c r="F86" s="67"/>
      <c r="G86" s="67"/>
      <c r="H86" s="65"/>
      <c r="I86" s="15"/>
      <c r="J86" s="18"/>
      <c r="K86" s="65"/>
      <c r="L86" s="19"/>
      <c r="M86" s="20"/>
      <c r="N86" s="21"/>
      <c r="O86" s="21"/>
      <c r="P86" s="22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49"/>
      <c r="B87" s="11"/>
      <c r="C87" s="12" t="str">
        <f>VLOOKUP(B:B,'Курс валют'!A:D,4,0)</f>
        <v>#N/A</v>
      </c>
      <c r="D87" s="67"/>
      <c r="E87" s="67"/>
      <c r="F87" s="67"/>
      <c r="G87" s="67"/>
      <c r="H87" s="65"/>
      <c r="I87" s="15"/>
      <c r="J87" s="18"/>
      <c r="K87" s="65"/>
      <c r="L87" s="19"/>
      <c r="M87" s="20"/>
      <c r="N87" s="21"/>
      <c r="O87" s="21"/>
      <c r="P87" s="22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149"/>
      <c r="B88" s="11"/>
      <c r="C88" s="12" t="str">
        <f>VLOOKUP(B:B,'Курс валют'!A:D,4,0)</f>
        <v>#N/A</v>
      </c>
      <c r="D88" s="67"/>
      <c r="E88" s="67"/>
      <c r="F88" s="67"/>
      <c r="G88" s="67"/>
      <c r="H88" s="65"/>
      <c r="I88" s="15"/>
      <c r="J88" s="18"/>
      <c r="K88" s="65"/>
      <c r="L88" s="19"/>
      <c r="M88" s="20"/>
      <c r="N88" s="21"/>
      <c r="O88" s="21"/>
      <c r="P88" s="22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149"/>
      <c r="B89" s="11"/>
      <c r="C89" s="12" t="str">
        <f>VLOOKUP(B:B,'Курс валют'!A:D,4,0)</f>
        <v>#N/A</v>
      </c>
      <c r="D89" s="67"/>
      <c r="E89" s="67"/>
      <c r="F89" s="67"/>
      <c r="G89" s="67"/>
      <c r="H89" s="65"/>
      <c r="I89" s="15"/>
      <c r="J89" s="18"/>
      <c r="K89" s="65"/>
      <c r="L89" s="19"/>
      <c r="M89" s="20"/>
      <c r="N89" s="21"/>
      <c r="O89" s="21"/>
      <c r="P89" s="22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11"/>
      <c r="C90" s="12" t="str">
        <f>VLOOKUP(B:B,'Курс валют'!A:D,4,0)</f>
        <v>#N/A</v>
      </c>
      <c r="D90" s="25"/>
      <c r="E90" s="25"/>
      <c r="F90" s="25"/>
      <c r="G90" s="25"/>
      <c r="H90" s="80"/>
      <c r="I90" s="25"/>
      <c r="J90" s="25"/>
      <c r="K90" s="80"/>
      <c r="L90" s="81"/>
      <c r="M90" s="82"/>
      <c r="N90" s="25"/>
      <c r="O90" s="25"/>
      <c r="P90" s="82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11"/>
      <c r="C91" s="12" t="str">
        <f>VLOOKUP(B:B,'Курс валют'!A:D,4,0)</f>
        <v>#N/A</v>
      </c>
      <c r="D91" s="25"/>
      <c r="E91" s="25"/>
      <c r="F91" s="25"/>
      <c r="G91" s="25"/>
      <c r="H91" s="80"/>
      <c r="I91" s="25"/>
      <c r="J91" s="25"/>
      <c r="K91" s="80"/>
      <c r="L91" s="81"/>
      <c r="M91" s="82"/>
      <c r="N91" s="25"/>
      <c r="O91" s="25"/>
      <c r="P91" s="82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11"/>
      <c r="C92" s="12" t="str">
        <f>VLOOKUP(B:B,'Курс валют'!A:D,4,0)</f>
        <v>#N/A</v>
      </c>
      <c r="D92" s="25"/>
      <c r="E92" s="25"/>
      <c r="F92" s="25"/>
      <c r="G92" s="25"/>
      <c r="H92" s="80"/>
      <c r="I92" s="25"/>
      <c r="J92" s="25"/>
      <c r="K92" s="80"/>
      <c r="L92" s="81"/>
      <c r="M92" s="82"/>
      <c r="N92" s="25"/>
      <c r="O92" s="25"/>
      <c r="P92" s="82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11"/>
      <c r="C93" s="12" t="str">
        <f>VLOOKUP(B:B,'Курс валют'!A:D,4,0)</f>
        <v>#N/A</v>
      </c>
      <c r="D93" s="25"/>
      <c r="E93" s="25"/>
      <c r="F93" s="25"/>
      <c r="G93" s="25"/>
      <c r="H93" s="80"/>
      <c r="I93" s="25"/>
      <c r="J93" s="25"/>
      <c r="K93" s="80"/>
      <c r="L93" s="81"/>
      <c r="M93" s="82"/>
      <c r="N93" s="25"/>
      <c r="O93" s="25"/>
      <c r="P93" s="82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/>
      <c r="C94" s="12" t="str">
        <f>VLOOKUP(B:B,'Курс валют'!A:D,4,0)</f>
        <v>#N/A</v>
      </c>
      <c r="D94" s="25"/>
      <c r="E94" s="25"/>
      <c r="F94" s="25"/>
      <c r="G94" s="25"/>
      <c r="H94" s="80"/>
      <c r="I94" s="25"/>
      <c r="J94" s="25"/>
      <c r="K94" s="80"/>
      <c r="L94" s="81"/>
      <c r="M94" s="82"/>
      <c r="N94" s="25"/>
      <c r="O94" s="25"/>
      <c r="P94" s="82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/>
      <c r="C95" s="12" t="str">
        <f>VLOOKUP(B:B,'Курс валют'!A:D,4,0)</f>
        <v>#N/A</v>
      </c>
      <c r="D95" s="25"/>
      <c r="E95" s="25"/>
      <c r="F95" s="25"/>
      <c r="G95" s="25"/>
      <c r="H95" s="80"/>
      <c r="I95" s="25"/>
      <c r="J95" s="25"/>
      <c r="K95" s="80"/>
      <c r="L95" s="81"/>
      <c r="M95" s="82"/>
      <c r="N95" s="25"/>
      <c r="O95" s="25"/>
      <c r="P95" s="82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12" t="str">
        <f>VLOOKUP(B:B,'Курс валют'!A:D,4,0)</f>
        <v>#N/A</v>
      </c>
      <c r="D96" s="25"/>
      <c r="E96" s="25"/>
      <c r="F96" s="25"/>
      <c r="G96" s="25"/>
      <c r="H96" s="80"/>
      <c r="I96" s="25"/>
      <c r="J96" s="25"/>
      <c r="K96" s="80"/>
      <c r="L96" s="81"/>
      <c r="M96" s="82"/>
      <c r="N96" s="25"/>
      <c r="O96" s="25"/>
      <c r="P96" s="82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12" t="str">
        <f>VLOOKUP(B:B,'Курс валют'!A:D,4,0)</f>
        <v>#N/A</v>
      </c>
      <c r="D97" s="25"/>
      <c r="E97" s="25"/>
      <c r="F97" s="25"/>
      <c r="G97" s="25"/>
      <c r="H97" s="80"/>
      <c r="I97" s="25"/>
      <c r="J97" s="25"/>
      <c r="K97" s="80"/>
      <c r="L97" s="81"/>
      <c r="M97" s="82"/>
      <c r="N97" s="25"/>
      <c r="O97" s="25"/>
      <c r="P97" s="82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12" t="str">
        <f>VLOOKUP(B:B,'Курс валют'!A:D,4,0)</f>
        <v>#N/A</v>
      </c>
      <c r="D98" s="25"/>
      <c r="E98" s="25"/>
      <c r="F98" s="25"/>
      <c r="G98" s="25"/>
      <c r="H98" s="80"/>
      <c r="I98" s="25"/>
      <c r="J98" s="25"/>
      <c r="K98" s="80"/>
      <c r="L98" s="81"/>
      <c r="M98" s="82"/>
      <c r="N98" s="25"/>
      <c r="O98" s="25"/>
      <c r="P98" s="82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12" t="str">
        <f>VLOOKUP(B:B,'Курс валют'!A:D,4,0)</f>
        <v>#N/A</v>
      </c>
      <c r="D99" s="25"/>
      <c r="E99" s="25"/>
      <c r="F99" s="25"/>
      <c r="G99" s="25"/>
      <c r="H99" s="80"/>
      <c r="I99" s="25"/>
      <c r="J99" s="25"/>
      <c r="K99" s="80"/>
      <c r="L99" s="81"/>
      <c r="M99" s="82"/>
      <c r="N99" s="25"/>
      <c r="O99" s="25"/>
      <c r="P99" s="82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12" t="str">
        <f>VLOOKUP(B:B,'Курс валют'!A:D,4,0)</f>
        <v>#N/A</v>
      </c>
      <c r="D100" s="25"/>
      <c r="E100" s="25"/>
      <c r="F100" s="25"/>
      <c r="G100" s="25"/>
      <c r="H100" s="80"/>
      <c r="I100" s="25"/>
      <c r="J100" s="25"/>
      <c r="K100" s="80"/>
      <c r="L100" s="81"/>
      <c r="M100" s="82"/>
      <c r="N100" s="25"/>
      <c r="O100" s="25"/>
      <c r="P100" s="82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12" t="str">
        <f>VLOOKUP(B:B,'Курс валют'!A:D,4,0)</f>
        <v>#N/A</v>
      </c>
      <c r="D101" s="25"/>
      <c r="E101" s="25"/>
      <c r="F101" s="25"/>
      <c r="G101" s="25"/>
      <c r="H101" s="80"/>
      <c r="I101" s="25"/>
      <c r="J101" s="25"/>
      <c r="K101" s="80"/>
      <c r="L101" s="81"/>
      <c r="M101" s="82"/>
      <c r="N101" s="25"/>
      <c r="O101" s="25"/>
      <c r="P101" s="82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12" t="str">
        <f>VLOOKUP(B:B,'Курс валют'!A:D,4,0)</f>
        <v>#N/A</v>
      </c>
      <c r="D102" s="25"/>
      <c r="E102" s="25"/>
      <c r="F102" s="25"/>
      <c r="G102" s="25"/>
      <c r="H102" s="80"/>
      <c r="I102" s="25"/>
      <c r="J102" s="25"/>
      <c r="K102" s="80"/>
      <c r="L102" s="81"/>
      <c r="M102" s="82"/>
      <c r="N102" s="25"/>
      <c r="O102" s="25"/>
      <c r="P102" s="82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12" t="str">
        <f>VLOOKUP(B:B,'Курс валют'!A:D,4,0)</f>
        <v>#N/A</v>
      </c>
      <c r="D103" s="25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12" t="str">
        <f>VLOOKUP(B:B,'Курс валют'!A:D,4,0)</f>
        <v>#N/A</v>
      </c>
      <c r="D104" s="25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12" t="str">
        <f>VLOOKUP(B:B,'Курс валют'!A:D,4,0)</f>
        <v>#N/A</v>
      </c>
      <c r="D105" s="25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12" t="str">
        <f>VLOOKUP(B:B,'Курс валют'!A:D,4,0)</f>
        <v>#N/A</v>
      </c>
      <c r="D106" s="25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12" t="str">
        <f>VLOOKUP(B:B,'Курс валют'!A:D,4,0)</f>
        <v>#N/A</v>
      </c>
      <c r="D107" s="25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12" t="str">
        <f>VLOOKUP(B:B,'Курс валют'!A:D,4,0)</f>
        <v>#N/A</v>
      </c>
      <c r="D108" s="25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12" t="str">
        <f>VLOOKUP(B:B,'Курс валют'!A:D,4,0)</f>
        <v>#N/A</v>
      </c>
      <c r="D109" s="25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12" t="str">
        <f>VLOOKUP(B:B,'Курс валют'!A:D,4,0)</f>
        <v>#N/A</v>
      </c>
      <c r="D110" s="25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12" t="str">
        <f>VLOOKUP(B:B,'Курс валют'!A:D,4,0)</f>
        <v>#N/A</v>
      </c>
      <c r="D111" s="25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12" t="str">
        <f>VLOOKUP(B:B,'Курс валют'!A:D,4,0)</f>
        <v>#N/A</v>
      </c>
      <c r="D112" s="25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12" t="str">
        <f>VLOOKUP(B:B,'Курс валют'!A:D,4,0)</f>
        <v>#N/A</v>
      </c>
      <c r="D113" s="25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12" t="str">
        <f>VLOOKUP(B:B,'Курс валют'!A:D,4,0)</f>
        <v>#N/A</v>
      </c>
      <c r="D114" s="25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12" t="str">
        <f>VLOOKUP(B:B,'Курс валют'!A:D,4,0)</f>
        <v>#N/A</v>
      </c>
      <c r="D115" s="25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12" t="str">
        <f>VLOOKUP(B:B,'Курс валют'!A:D,4,0)</f>
        <v>#N/A</v>
      </c>
      <c r="D116" s="25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12" t="str">
        <f>VLOOKUP(B:B,'Курс валют'!A:D,4,0)</f>
        <v>#N/A</v>
      </c>
      <c r="D117" s="25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12" t="str">
        <f>VLOOKUP(B:B,'Курс валют'!A:D,4,0)</f>
        <v>#N/A</v>
      </c>
      <c r="D118" s="25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12" t="str">
        <f>VLOOKUP(B:B,'Курс валют'!A:D,4,0)</f>
        <v>#N/A</v>
      </c>
      <c r="D119" s="25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12" t="str">
        <f>VLOOKUP(B:B,'Курс валют'!A:D,4,0)</f>
        <v>#N/A</v>
      </c>
      <c r="D120" s="25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25"/>
      <c r="D121" s="25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25"/>
      <c r="D122" s="25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A123" s="25"/>
      <c r="B123" s="11"/>
      <c r="C123" s="25"/>
      <c r="D123" s="25"/>
      <c r="E123" s="25"/>
      <c r="F123" s="25"/>
      <c r="G123" s="25"/>
      <c r="H123" s="80"/>
      <c r="I123" s="25"/>
      <c r="J123" s="25"/>
      <c r="K123" s="80"/>
      <c r="L123" s="81"/>
      <c r="M123" s="82"/>
      <c r="N123" s="25"/>
      <c r="O123" s="25"/>
      <c r="P123" s="82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>
      <c r="A124" s="25"/>
      <c r="B124" s="11"/>
      <c r="C124" s="25"/>
      <c r="D124" s="25"/>
      <c r="E124" s="25"/>
      <c r="F124" s="25"/>
      <c r="G124" s="25"/>
      <c r="H124" s="80"/>
      <c r="I124" s="25"/>
      <c r="J124" s="25"/>
      <c r="K124" s="80"/>
      <c r="L124" s="81"/>
      <c r="M124" s="82"/>
      <c r="N124" s="25"/>
      <c r="O124" s="25"/>
      <c r="P124" s="82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  <row r="958">
      <c r="B958" s="68"/>
      <c r="H958" s="70"/>
      <c r="K958" s="70"/>
      <c r="L958" s="71"/>
      <c r="M958" s="72"/>
      <c r="P958" s="72"/>
    </row>
    <row r="959">
      <c r="B959" s="68"/>
      <c r="H959" s="70"/>
      <c r="K959" s="70"/>
      <c r="L959" s="71"/>
      <c r="M959" s="72"/>
      <c r="P959" s="72"/>
    </row>
    <row r="960">
      <c r="B960" s="68"/>
      <c r="H960" s="70"/>
      <c r="K960" s="70"/>
      <c r="L960" s="71"/>
      <c r="M960" s="72"/>
      <c r="P960" s="72"/>
    </row>
    <row r="961">
      <c r="B961" s="68"/>
      <c r="H961" s="70"/>
      <c r="K961" s="70"/>
      <c r="L961" s="71"/>
      <c r="M961" s="72"/>
      <c r="P961" s="72"/>
    </row>
    <row r="962">
      <c r="B962" s="68"/>
      <c r="H962" s="70"/>
      <c r="K962" s="70"/>
      <c r="L962" s="71"/>
      <c r="M962" s="72"/>
      <c r="P962" s="72"/>
    </row>
    <row r="963">
      <c r="B963" s="68"/>
      <c r="H963" s="70"/>
      <c r="K963" s="70"/>
      <c r="L963" s="71"/>
      <c r="M963" s="72"/>
      <c r="P963" s="72"/>
    </row>
    <row r="964">
      <c r="B964" s="68"/>
      <c r="H964" s="70"/>
      <c r="K964" s="70"/>
      <c r="L964" s="71"/>
      <c r="M964" s="72"/>
      <c r="P964" s="72"/>
    </row>
    <row r="965">
      <c r="B965" s="68"/>
      <c r="H965" s="70"/>
      <c r="K965" s="70"/>
      <c r="L965" s="71"/>
      <c r="M965" s="72"/>
      <c r="P965" s="72"/>
    </row>
    <row r="966">
      <c r="B966" s="68"/>
      <c r="H966" s="70"/>
      <c r="K966" s="70"/>
      <c r="L966" s="71"/>
      <c r="M966" s="72"/>
      <c r="P966" s="72"/>
    </row>
  </sheetData>
  <autoFilter ref="$A$1:$T$84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>
        <v>45716.0</v>
      </c>
      <c r="B2" s="11">
        <v>45719.0</v>
      </c>
      <c r="C2" s="12">
        <f>VLOOKUP(B:B,'Курс валют'!A:D,4,0)</f>
        <v>91.5655</v>
      </c>
      <c r="D2" s="12">
        <v>99.0</v>
      </c>
      <c r="E2" s="75" t="s">
        <v>53</v>
      </c>
      <c r="F2" s="12">
        <v>8000.0</v>
      </c>
      <c r="G2" s="12">
        <v>8027.5</v>
      </c>
      <c r="H2" s="17">
        <v>0.0</v>
      </c>
      <c r="I2" s="15">
        <f t="shared" ref="I2:I63" si="1">G2-F2</f>
        <v>27.5</v>
      </c>
      <c r="J2" s="18">
        <f t="shared" ref="J2:J63" si="2">I2/F2*100</f>
        <v>0.34375</v>
      </c>
      <c r="K2" s="56">
        <v>2.0</v>
      </c>
      <c r="L2" s="19">
        <f t="shared" ref="L2:L82" si="3">H2/F2*100</f>
        <v>0</v>
      </c>
      <c r="M2" s="20">
        <f t="shared" ref="M2:M45" si="4">P2/F2</f>
        <v>183.131</v>
      </c>
      <c r="N2" s="21">
        <f t="shared" ref="N2:N82" si="5">(F2*K2-H2*3.04)/F2</f>
        <v>2</v>
      </c>
      <c r="O2" s="21">
        <f t="shared" ref="O2:O82" si="6">N2*F2</f>
        <v>16000</v>
      </c>
      <c r="P2" s="22">
        <f t="shared" ref="P2:P82" si="7">O2*C2</f>
        <v>1465048</v>
      </c>
      <c r="R2" s="79"/>
      <c r="S2" s="24"/>
      <c r="T2" s="25"/>
      <c r="U2" s="25"/>
      <c r="V2" s="25"/>
      <c r="W2" s="25"/>
      <c r="X2" s="25"/>
      <c r="Y2" s="25"/>
      <c r="Z2" s="25"/>
      <c r="AA2" s="25"/>
    </row>
    <row r="3">
      <c r="A3" s="11">
        <v>45716.0</v>
      </c>
      <c r="B3" s="11">
        <v>45719.0</v>
      </c>
      <c r="C3" s="12">
        <f>VLOOKUP(B:B,'Курс валют'!A:D,4,0)</f>
        <v>91.5655</v>
      </c>
      <c r="D3" s="15">
        <v>100.0</v>
      </c>
      <c r="E3" s="75" t="s">
        <v>53</v>
      </c>
      <c r="F3" s="15">
        <v>8000.0</v>
      </c>
      <c r="G3" s="15">
        <v>8028.5</v>
      </c>
      <c r="H3" s="17">
        <v>0.0</v>
      </c>
      <c r="I3" s="15">
        <f t="shared" si="1"/>
        <v>28.5</v>
      </c>
      <c r="J3" s="18">
        <f t="shared" si="2"/>
        <v>0.35625</v>
      </c>
      <c r="K3" s="17">
        <v>2.0</v>
      </c>
      <c r="L3" s="19">
        <f t="shared" si="3"/>
        <v>0</v>
      </c>
      <c r="M3" s="20">
        <f t="shared" si="4"/>
        <v>183.131</v>
      </c>
      <c r="N3" s="21">
        <f t="shared" si="5"/>
        <v>2</v>
      </c>
      <c r="O3" s="21">
        <f t="shared" si="6"/>
        <v>16000</v>
      </c>
      <c r="P3" s="22">
        <f t="shared" si="7"/>
        <v>1465048</v>
      </c>
      <c r="R3" s="23"/>
      <c r="S3" s="24"/>
      <c r="T3" s="25"/>
      <c r="U3" s="25"/>
      <c r="V3" s="25"/>
      <c r="W3" s="25"/>
      <c r="X3" s="25"/>
      <c r="Y3" s="25"/>
      <c r="Z3" s="25"/>
      <c r="AA3" s="25"/>
    </row>
    <row r="4">
      <c r="A4" s="30">
        <v>45719.0</v>
      </c>
      <c r="B4" s="11">
        <v>45720.0</v>
      </c>
      <c r="C4" s="12">
        <f>VLOOKUP(B:B,'Курс валют'!A:D,4,0)</f>
        <v>92.853</v>
      </c>
      <c r="D4" s="15">
        <v>101.0</v>
      </c>
      <c r="E4" s="59" t="s">
        <v>18</v>
      </c>
      <c r="F4" s="15">
        <v>6600.0</v>
      </c>
      <c r="G4" s="15">
        <v>6630.0</v>
      </c>
      <c r="H4" s="17">
        <v>120.0</v>
      </c>
      <c r="I4" s="15">
        <f t="shared" si="1"/>
        <v>30</v>
      </c>
      <c r="J4" s="18">
        <f t="shared" si="2"/>
        <v>0.4545454545</v>
      </c>
      <c r="K4" s="17">
        <v>2.75</v>
      </c>
      <c r="L4" s="19">
        <f t="shared" si="3"/>
        <v>1.818181818</v>
      </c>
      <c r="M4" s="20">
        <f t="shared" si="4"/>
        <v>250.2135115</v>
      </c>
      <c r="N4" s="21">
        <f t="shared" si="5"/>
        <v>2.694727273</v>
      </c>
      <c r="O4" s="21">
        <f t="shared" si="6"/>
        <v>17785.2</v>
      </c>
      <c r="P4" s="22">
        <f t="shared" si="7"/>
        <v>1651409.176</v>
      </c>
      <c r="R4" s="23"/>
      <c r="S4" s="24"/>
      <c r="T4" s="25"/>
      <c r="U4" s="25"/>
      <c r="V4" s="25"/>
      <c r="W4" s="25"/>
      <c r="X4" s="25"/>
      <c r="Y4" s="25"/>
      <c r="Z4" s="25"/>
      <c r="AA4" s="25"/>
    </row>
    <row r="5">
      <c r="A5" s="30">
        <v>45720.0</v>
      </c>
      <c r="B5" s="11">
        <v>45721.0</v>
      </c>
      <c r="C5" s="12">
        <f>VLOOKUP(B:B,'Курс валют'!A:D,4,0)</f>
        <v>93.9034</v>
      </c>
      <c r="D5" s="15">
        <v>102.0</v>
      </c>
      <c r="E5" s="59" t="s">
        <v>18</v>
      </c>
      <c r="F5" s="15">
        <v>5500.0</v>
      </c>
      <c r="G5" s="15">
        <v>5539.0</v>
      </c>
      <c r="H5" s="17">
        <v>100.0</v>
      </c>
      <c r="I5" s="15">
        <f t="shared" si="1"/>
        <v>39</v>
      </c>
      <c r="J5" s="18">
        <f t="shared" si="2"/>
        <v>0.7090909091</v>
      </c>
      <c r="K5" s="17">
        <v>2.75</v>
      </c>
      <c r="L5" s="19">
        <f t="shared" si="3"/>
        <v>1.818181818</v>
      </c>
      <c r="M5" s="20">
        <f t="shared" si="4"/>
        <v>253.044053</v>
      </c>
      <c r="N5" s="21">
        <f t="shared" si="5"/>
        <v>2.694727273</v>
      </c>
      <c r="O5" s="21">
        <f t="shared" si="6"/>
        <v>14821</v>
      </c>
      <c r="P5" s="22">
        <f t="shared" si="7"/>
        <v>1391742.291</v>
      </c>
      <c r="R5" s="23"/>
      <c r="S5" s="24"/>
      <c r="T5" s="25"/>
      <c r="U5" s="25"/>
      <c r="V5" s="25"/>
      <c r="W5" s="25"/>
      <c r="X5" s="25"/>
      <c r="Y5" s="25"/>
      <c r="Z5" s="25"/>
      <c r="AA5" s="25"/>
    </row>
    <row r="6">
      <c r="A6" s="30">
        <v>45721.0</v>
      </c>
      <c r="B6" s="11">
        <v>45722.0</v>
      </c>
      <c r="C6" s="12">
        <f>VLOOKUP(B:B,'Курс валют'!A:D,4,0)</f>
        <v>95.7035</v>
      </c>
      <c r="D6" s="15">
        <v>103.0</v>
      </c>
      <c r="E6" s="59" t="s">
        <v>54</v>
      </c>
      <c r="F6" s="15">
        <v>1600.0</v>
      </c>
      <c r="G6" s="15">
        <v>1613.0</v>
      </c>
      <c r="H6" s="17">
        <v>0.0</v>
      </c>
      <c r="I6" s="15">
        <f t="shared" si="1"/>
        <v>13</v>
      </c>
      <c r="J6" s="18">
        <f t="shared" si="2"/>
        <v>0.8125</v>
      </c>
      <c r="K6" s="17">
        <v>2.19</v>
      </c>
      <c r="L6" s="19">
        <f t="shared" si="3"/>
        <v>0</v>
      </c>
      <c r="M6" s="20">
        <f t="shared" si="4"/>
        <v>209.590665</v>
      </c>
      <c r="N6" s="21">
        <f t="shared" si="5"/>
        <v>2.19</v>
      </c>
      <c r="O6" s="21">
        <f t="shared" si="6"/>
        <v>3504</v>
      </c>
      <c r="P6" s="22">
        <f t="shared" si="7"/>
        <v>335345.064</v>
      </c>
      <c r="R6" s="23"/>
      <c r="S6" s="24"/>
      <c r="T6" s="25"/>
      <c r="U6" s="25"/>
      <c r="V6" s="25"/>
      <c r="W6" s="25"/>
      <c r="X6" s="25"/>
      <c r="Y6" s="25"/>
      <c r="Z6" s="25"/>
      <c r="AA6" s="25"/>
    </row>
    <row r="7">
      <c r="A7" s="30">
        <v>45721.0</v>
      </c>
      <c r="B7" s="11">
        <v>45722.0</v>
      </c>
      <c r="C7" s="12">
        <f>VLOOKUP(B:B,'Курс валют'!A:D,4,0)</f>
        <v>95.7035</v>
      </c>
      <c r="D7" s="15">
        <v>104.0</v>
      </c>
      <c r="E7" s="67" t="s">
        <v>55</v>
      </c>
      <c r="F7" s="15">
        <v>800.0</v>
      </c>
      <c r="G7" s="15">
        <v>825.2</v>
      </c>
      <c r="H7" s="17">
        <v>0.0</v>
      </c>
      <c r="I7" s="15">
        <f t="shared" si="1"/>
        <v>25.2</v>
      </c>
      <c r="J7" s="18">
        <f t="shared" si="2"/>
        <v>3.15</v>
      </c>
      <c r="K7" s="17">
        <v>2.71</v>
      </c>
      <c r="L7" s="19">
        <f t="shared" si="3"/>
        <v>0</v>
      </c>
      <c r="M7" s="20">
        <f t="shared" si="4"/>
        <v>259.356485</v>
      </c>
      <c r="N7" s="21">
        <f t="shared" si="5"/>
        <v>2.71</v>
      </c>
      <c r="O7" s="21">
        <f t="shared" si="6"/>
        <v>2168</v>
      </c>
      <c r="P7" s="22">
        <f t="shared" si="7"/>
        <v>207485.188</v>
      </c>
      <c r="R7" s="23"/>
      <c r="S7" s="24"/>
      <c r="T7" s="25"/>
      <c r="U7" s="25"/>
      <c r="V7" s="25"/>
      <c r="W7" s="25"/>
      <c r="X7" s="25"/>
      <c r="Y7" s="25"/>
      <c r="Z7" s="25"/>
      <c r="AA7" s="25"/>
    </row>
    <row r="8">
      <c r="A8" s="30">
        <v>45722.0</v>
      </c>
      <c r="B8" s="11">
        <v>45723.0</v>
      </c>
      <c r="C8" s="12">
        <f>VLOOKUP(B:B,'Курс валют'!A:D,4,0)</f>
        <v>96.5975</v>
      </c>
      <c r="D8" s="15">
        <v>105.0</v>
      </c>
      <c r="E8" s="77" t="s">
        <v>56</v>
      </c>
      <c r="F8" s="15">
        <v>1600.0</v>
      </c>
      <c r="G8" s="15">
        <v>1616.2</v>
      </c>
      <c r="H8" s="17">
        <v>0.0</v>
      </c>
      <c r="I8" s="15">
        <f t="shared" si="1"/>
        <v>16.2</v>
      </c>
      <c r="J8" s="18">
        <f t="shared" si="2"/>
        <v>1.0125</v>
      </c>
      <c r="K8" s="17">
        <v>3.2</v>
      </c>
      <c r="L8" s="19">
        <f t="shared" si="3"/>
        <v>0</v>
      </c>
      <c r="M8" s="20">
        <f t="shared" si="4"/>
        <v>309.112</v>
      </c>
      <c r="N8" s="21">
        <f t="shared" si="5"/>
        <v>3.2</v>
      </c>
      <c r="O8" s="21">
        <f t="shared" si="6"/>
        <v>5120</v>
      </c>
      <c r="P8" s="22">
        <f t="shared" si="7"/>
        <v>494579.2</v>
      </c>
      <c r="R8" s="23"/>
      <c r="S8" s="24"/>
      <c r="T8" s="25"/>
      <c r="U8" s="25"/>
      <c r="V8" s="25"/>
      <c r="W8" s="25"/>
      <c r="X8" s="25"/>
      <c r="Y8" s="25"/>
      <c r="Z8" s="25"/>
      <c r="AA8" s="25"/>
    </row>
    <row r="9">
      <c r="A9" s="30">
        <v>45722.0</v>
      </c>
      <c r="B9" s="11">
        <v>45723.0</v>
      </c>
      <c r="C9" s="12">
        <f>VLOOKUP(B:B,'Курс валют'!A:D,4,0)</f>
        <v>96.5975</v>
      </c>
      <c r="D9" s="15">
        <v>106.0</v>
      </c>
      <c r="E9" s="77" t="s">
        <v>54</v>
      </c>
      <c r="F9" s="15">
        <v>2400.0</v>
      </c>
      <c r="G9" s="15">
        <v>2415.9</v>
      </c>
      <c r="H9" s="17">
        <v>0.0</v>
      </c>
      <c r="I9" s="15">
        <f t="shared" si="1"/>
        <v>15.9</v>
      </c>
      <c r="J9" s="18">
        <f t="shared" si="2"/>
        <v>0.6625</v>
      </c>
      <c r="K9" s="17">
        <v>2.17</v>
      </c>
      <c r="L9" s="19">
        <f t="shared" si="3"/>
        <v>0</v>
      </c>
      <c r="M9" s="20">
        <f t="shared" si="4"/>
        <v>209.616575</v>
      </c>
      <c r="N9" s="21">
        <f t="shared" si="5"/>
        <v>2.17</v>
      </c>
      <c r="O9" s="21">
        <f t="shared" si="6"/>
        <v>5208</v>
      </c>
      <c r="P9" s="22">
        <f t="shared" si="7"/>
        <v>503079.78</v>
      </c>
      <c r="R9" s="23"/>
      <c r="S9" s="24"/>
      <c r="T9" s="25"/>
      <c r="U9" s="25"/>
      <c r="V9" s="25"/>
      <c r="W9" s="25"/>
      <c r="X9" s="25"/>
      <c r="Y9" s="25"/>
      <c r="Z9" s="25"/>
      <c r="AA9" s="25"/>
    </row>
    <row r="10">
      <c r="A10" s="30">
        <v>45723.0</v>
      </c>
      <c r="B10" s="11">
        <v>45726.0</v>
      </c>
      <c r="C10" s="12">
        <f>VLOOKUP(B:B,'Курс валют'!A:D,4,0)</f>
        <v>96.8609</v>
      </c>
      <c r="D10" s="15">
        <v>107.0</v>
      </c>
      <c r="E10" s="75" t="s">
        <v>53</v>
      </c>
      <c r="F10" s="15">
        <v>2400.0</v>
      </c>
      <c r="G10" s="15">
        <v>2425.28</v>
      </c>
      <c r="H10" s="17">
        <v>0.0</v>
      </c>
      <c r="I10" s="15">
        <f t="shared" si="1"/>
        <v>25.28</v>
      </c>
      <c r="J10" s="18">
        <f t="shared" si="2"/>
        <v>1.053333333</v>
      </c>
      <c r="K10" s="17">
        <v>2.08</v>
      </c>
      <c r="L10" s="19">
        <f t="shared" si="3"/>
        <v>0</v>
      </c>
      <c r="M10" s="20">
        <f t="shared" si="4"/>
        <v>201.470672</v>
      </c>
      <c r="N10" s="21">
        <f t="shared" si="5"/>
        <v>2.08</v>
      </c>
      <c r="O10" s="21">
        <f t="shared" si="6"/>
        <v>4992</v>
      </c>
      <c r="P10" s="22">
        <f t="shared" si="7"/>
        <v>483529.6128</v>
      </c>
      <c r="R10" s="23"/>
      <c r="S10" s="24"/>
      <c r="T10" s="25"/>
      <c r="U10" s="25"/>
      <c r="V10" s="25"/>
      <c r="W10" s="25"/>
      <c r="X10" s="25"/>
      <c r="Y10" s="25"/>
      <c r="Z10" s="25"/>
      <c r="AA10" s="25"/>
    </row>
    <row r="11">
      <c r="A11" s="30">
        <v>45723.0</v>
      </c>
      <c r="B11" s="11">
        <v>45726.0</v>
      </c>
      <c r="C11" s="12">
        <f>VLOOKUP(B:B,'Курс валют'!A:D,4,0)</f>
        <v>96.8609</v>
      </c>
      <c r="D11" s="15">
        <v>108.0</v>
      </c>
      <c r="E11" s="77" t="s">
        <v>56</v>
      </c>
      <c r="F11" s="15">
        <v>1600.0</v>
      </c>
      <c r="G11" s="15">
        <v>1617.5</v>
      </c>
      <c r="H11" s="17">
        <v>0.0</v>
      </c>
      <c r="I11" s="15">
        <f t="shared" si="1"/>
        <v>17.5</v>
      </c>
      <c r="J11" s="18">
        <f t="shared" si="2"/>
        <v>1.09375</v>
      </c>
      <c r="K11" s="17">
        <v>3.17</v>
      </c>
      <c r="L11" s="19">
        <f t="shared" si="3"/>
        <v>0</v>
      </c>
      <c r="M11" s="20">
        <f t="shared" si="4"/>
        <v>307.049053</v>
      </c>
      <c r="N11" s="21">
        <f t="shared" si="5"/>
        <v>3.17</v>
      </c>
      <c r="O11" s="21">
        <f t="shared" si="6"/>
        <v>5072</v>
      </c>
      <c r="P11" s="22">
        <f t="shared" si="7"/>
        <v>491278.4848</v>
      </c>
      <c r="R11" s="79"/>
      <c r="S11" s="24"/>
      <c r="T11" s="25"/>
      <c r="U11" s="25"/>
      <c r="V11" s="25"/>
      <c r="W11" s="25"/>
      <c r="X11" s="25"/>
      <c r="Y11" s="25"/>
      <c r="Z11" s="25"/>
      <c r="AA11" s="25"/>
    </row>
    <row r="12">
      <c r="A12" s="30">
        <v>45723.0</v>
      </c>
      <c r="B12" s="11">
        <v>45726.0</v>
      </c>
      <c r="C12" s="12">
        <f>VLOOKUP(B:B,'Курс валют'!A:D,4,0)</f>
        <v>96.8609</v>
      </c>
      <c r="D12" s="15">
        <v>109.0</v>
      </c>
      <c r="E12" s="77" t="s">
        <v>57</v>
      </c>
      <c r="F12" s="15">
        <v>2400.0</v>
      </c>
      <c r="G12" s="15">
        <v>2420.3</v>
      </c>
      <c r="H12" s="17">
        <v>0.0</v>
      </c>
      <c r="I12" s="15">
        <f t="shared" si="1"/>
        <v>20.3</v>
      </c>
      <c r="J12" s="18">
        <f t="shared" si="2"/>
        <v>0.8458333333</v>
      </c>
      <c r="K12" s="17">
        <v>2.9</v>
      </c>
      <c r="L12" s="19">
        <f t="shared" si="3"/>
        <v>0</v>
      </c>
      <c r="M12" s="20">
        <f t="shared" si="4"/>
        <v>280.89661</v>
      </c>
      <c r="N12" s="21">
        <f t="shared" si="5"/>
        <v>2.9</v>
      </c>
      <c r="O12" s="21">
        <f t="shared" si="6"/>
        <v>6960</v>
      </c>
      <c r="P12" s="22">
        <f t="shared" si="7"/>
        <v>674151.864</v>
      </c>
      <c r="R12" s="23"/>
      <c r="S12" s="24"/>
      <c r="T12" s="25"/>
      <c r="U12" s="25"/>
      <c r="V12" s="25"/>
      <c r="W12" s="25"/>
      <c r="X12" s="25"/>
      <c r="Y12" s="25"/>
      <c r="Z12" s="25"/>
      <c r="AA12" s="25"/>
    </row>
    <row r="13">
      <c r="A13" s="30">
        <v>45723.0</v>
      </c>
      <c r="B13" s="11">
        <v>45726.0</v>
      </c>
      <c r="C13" s="12">
        <f>VLOOKUP(B:B,'Курс валют'!A:D,4,0)</f>
        <v>96.8609</v>
      </c>
      <c r="D13" s="15">
        <v>110.0</v>
      </c>
      <c r="E13" s="77" t="s">
        <v>57</v>
      </c>
      <c r="F13" s="15">
        <v>1600.0</v>
      </c>
      <c r="G13" s="15">
        <v>1617.2</v>
      </c>
      <c r="H13" s="17">
        <v>0.0</v>
      </c>
      <c r="I13" s="15">
        <f t="shared" si="1"/>
        <v>17.2</v>
      </c>
      <c r="J13" s="18">
        <f t="shared" si="2"/>
        <v>1.075</v>
      </c>
      <c r="K13" s="17">
        <v>2.9</v>
      </c>
      <c r="L13" s="19">
        <f t="shared" si="3"/>
        <v>0</v>
      </c>
      <c r="M13" s="20">
        <f t="shared" si="4"/>
        <v>280.89661</v>
      </c>
      <c r="N13" s="21">
        <f t="shared" si="5"/>
        <v>2.9</v>
      </c>
      <c r="O13" s="21">
        <f t="shared" si="6"/>
        <v>4640</v>
      </c>
      <c r="P13" s="22">
        <f t="shared" si="7"/>
        <v>449434.576</v>
      </c>
      <c r="R13" s="79"/>
      <c r="S13" s="24"/>
      <c r="T13" s="25"/>
      <c r="U13" s="25"/>
      <c r="V13" s="25"/>
      <c r="W13" s="25"/>
      <c r="X13" s="25"/>
      <c r="Y13" s="25"/>
      <c r="Z13" s="25"/>
      <c r="AA13" s="25"/>
    </row>
    <row r="14">
      <c r="A14" s="30">
        <v>45722.0</v>
      </c>
      <c r="B14" s="11">
        <v>45726.0</v>
      </c>
      <c r="C14" s="12">
        <f>VLOOKUP(B:B,'Курс валют'!A:D,4,0)</f>
        <v>96.8609</v>
      </c>
      <c r="D14" s="15">
        <v>111.0</v>
      </c>
      <c r="E14" s="77" t="s">
        <v>58</v>
      </c>
      <c r="F14" s="15">
        <v>66.0</v>
      </c>
      <c r="G14" s="15">
        <v>66.0</v>
      </c>
      <c r="H14" s="17">
        <v>0.0</v>
      </c>
      <c r="I14" s="15">
        <f t="shared" si="1"/>
        <v>0</v>
      </c>
      <c r="J14" s="18">
        <f t="shared" si="2"/>
        <v>0</v>
      </c>
      <c r="K14" s="17">
        <v>2.86</v>
      </c>
      <c r="L14" s="19">
        <f t="shared" si="3"/>
        <v>0</v>
      </c>
      <c r="M14" s="20">
        <f t="shared" si="4"/>
        <v>277.022174</v>
      </c>
      <c r="N14" s="21">
        <f t="shared" si="5"/>
        <v>2.86</v>
      </c>
      <c r="O14" s="21">
        <f t="shared" si="6"/>
        <v>188.76</v>
      </c>
      <c r="P14" s="22">
        <f t="shared" si="7"/>
        <v>18283.46348</v>
      </c>
      <c r="R14" s="31" t="s">
        <v>2289</v>
      </c>
      <c r="S14" s="24"/>
      <c r="T14" s="25"/>
      <c r="U14" s="25"/>
      <c r="V14" s="25"/>
      <c r="W14" s="25"/>
      <c r="X14" s="25"/>
      <c r="Y14" s="25"/>
      <c r="Z14" s="25"/>
      <c r="AA14" s="25"/>
    </row>
    <row r="15">
      <c r="A15" s="30">
        <v>45726.0</v>
      </c>
      <c r="B15" s="11">
        <v>45727.0</v>
      </c>
      <c r="C15" s="12">
        <f>VLOOKUP(B:B,'Курс валют'!A:D,4,0)</f>
        <v>95.4443</v>
      </c>
      <c r="D15" s="15">
        <v>112.0</v>
      </c>
      <c r="E15" s="75" t="s">
        <v>53</v>
      </c>
      <c r="F15" s="15">
        <v>6400.0</v>
      </c>
      <c r="G15" s="15">
        <v>6421.15</v>
      </c>
      <c r="H15" s="17">
        <v>0.0</v>
      </c>
      <c r="I15" s="15">
        <f t="shared" si="1"/>
        <v>21.15</v>
      </c>
      <c r="J15" s="18">
        <f t="shared" si="2"/>
        <v>0.33046875</v>
      </c>
      <c r="K15" s="17">
        <v>2.01</v>
      </c>
      <c r="L15" s="19">
        <f t="shared" si="3"/>
        <v>0</v>
      </c>
      <c r="M15" s="20">
        <f t="shared" si="4"/>
        <v>191.843043</v>
      </c>
      <c r="N15" s="21">
        <f t="shared" si="5"/>
        <v>2.01</v>
      </c>
      <c r="O15" s="21">
        <f t="shared" si="6"/>
        <v>12864</v>
      </c>
      <c r="P15" s="22">
        <f t="shared" si="7"/>
        <v>1227795.475</v>
      </c>
      <c r="R15" s="79"/>
      <c r="S15" s="24"/>
      <c r="T15" s="25"/>
      <c r="U15" s="25"/>
      <c r="V15" s="25"/>
      <c r="W15" s="25"/>
      <c r="X15" s="25"/>
      <c r="Y15" s="25"/>
      <c r="Z15" s="25"/>
      <c r="AA15" s="25"/>
    </row>
    <row r="16">
      <c r="A16" s="30">
        <v>45696.0</v>
      </c>
      <c r="B16" s="11">
        <v>45726.0</v>
      </c>
      <c r="C16" s="12">
        <f>VLOOKUP(B:B,'Курс валют'!A:D,4,0)</f>
        <v>96.8609</v>
      </c>
      <c r="D16" s="15">
        <v>92.0</v>
      </c>
      <c r="E16" s="59" t="s">
        <v>2290</v>
      </c>
      <c r="F16" s="15">
        <v>927.0</v>
      </c>
      <c r="G16" s="15">
        <v>970.0</v>
      </c>
      <c r="H16" s="17">
        <v>0.0</v>
      </c>
      <c r="I16" s="15">
        <f t="shared" si="1"/>
        <v>43</v>
      </c>
      <c r="J16" s="18">
        <f t="shared" si="2"/>
        <v>4.638619202</v>
      </c>
      <c r="K16" s="17">
        <v>3.08</v>
      </c>
      <c r="L16" s="19">
        <f t="shared" si="3"/>
        <v>0</v>
      </c>
      <c r="M16" s="20">
        <f t="shared" si="4"/>
        <v>298.331572</v>
      </c>
      <c r="N16" s="21">
        <f t="shared" si="5"/>
        <v>3.08</v>
      </c>
      <c r="O16" s="21">
        <f t="shared" si="6"/>
        <v>2855.16</v>
      </c>
      <c r="P16" s="22">
        <f t="shared" si="7"/>
        <v>276553.3672</v>
      </c>
      <c r="R16" s="31" t="s">
        <v>2291</v>
      </c>
      <c r="S16" s="24" t="s">
        <v>2292</v>
      </c>
      <c r="T16" s="32"/>
      <c r="U16" s="32"/>
      <c r="V16" s="32"/>
      <c r="W16" s="32"/>
      <c r="X16" s="32"/>
      <c r="Y16" s="32"/>
      <c r="Z16" s="32"/>
      <c r="AA16" s="32"/>
    </row>
    <row r="17">
      <c r="A17" s="30">
        <v>45726.0</v>
      </c>
      <c r="B17" s="11">
        <v>45726.0</v>
      </c>
      <c r="C17" s="12">
        <f>VLOOKUP(B:B,'Курс валют'!A:D,4,0)</f>
        <v>96.8609</v>
      </c>
      <c r="D17" s="15">
        <v>113.0</v>
      </c>
      <c r="E17" s="59" t="s">
        <v>2293</v>
      </c>
      <c r="F17" s="15">
        <v>1000.0</v>
      </c>
      <c r="G17" s="15">
        <v>1027.0</v>
      </c>
      <c r="H17" s="17">
        <v>480.0</v>
      </c>
      <c r="I17" s="15">
        <f t="shared" si="1"/>
        <v>27</v>
      </c>
      <c r="J17" s="18">
        <f t="shared" si="2"/>
        <v>2.7</v>
      </c>
      <c r="K17" s="17">
        <v>3.91</v>
      </c>
      <c r="L17" s="19">
        <f t="shared" si="3"/>
        <v>48</v>
      </c>
      <c r="M17" s="20">
        <f t="shared" si="4"/>
        <v>237.3866937</v>
      </c>
      <c r="N17" s="21">
        <f t="shared" si="5"/>
        <v>2.4508</v>
      </c>
      <c r="O17" s="21">
        <f t="shared" si="6"/>
        <v>2450.8</v>
      </c>
      <c r="P17" s="22">
        <f t="shared" si="7"/>
        <v>237386.6937</v>
      </c>
      <c r="R17" s="31"/>
      <c r="S17" s="24" t="s">
        <v>2292</v>
      </c>
      <c r="T17" s="25"/>
      <c r="U17" s="25"/>
      <c r="V17" s="25"/>
      <c r="W17" s="25"/>
      <c r="X17" s="25"/>
      <c r="Y17" s="25"/>
      <c r="Z17" s="25"/>
      <c r="AA17" s="25"/>
    </row>
    <row r="18">
      <c r="A18" s="30">
        <v>45726.0</v>
      </c>
      <c r="B18" s="11">
        <v>45726.0</v>
      </c>
      <c r="C18" s="12">
        <f>VLOOKUP(B:B,'Курс валют'!A:D,4,0)</f>
        <v>96.8609</v>
      </c>
      <c r="D18" s="15">
        <v>114.0</v>
      </c>
      <c r="E18" s="59" t="s">
        <v>2293</v>
      </c>
      <c r="F18" s="15">
        <v>1000.0</v>
      </c>
      <c r="G18" s="15">
        <v>1029.0</v>
      </c>
      <c r="H18" s="17">
        <v>480.0</v>
      </c>
      <c r="I18" s="15">
        <f t="shared" si="1"/>
        <v>29</v>
      </c>
      <c r="J18" s="18">
        <f t="shared" si="2"/>
        <v>2.9</v>
      </c>
      <c r="K18" s="17">
        <v>3.91</v>
      </c>
      <c r="L18" s="19">
        <f t="shared" si="3"/>
        <v>48</v>
      </c>
      <c r="M18" s="20">
        <f t="shared" si="4"/>
        <v>237.3866937</v>
      </c>
      <c r="N18" s="21">
        <f t="shared" si="5"/>
        <v>2.4508</v>
      </c>
      <c r="O18" s="21">
        <f t="shared" si="6"/>
        <v>2450.8</v>
      </c>
      <c r="P18" s="22">
        <f t="shared" si="7"/>
        <v>237386.6937</v>
      </c>
      <c r="S18" s="24" t="s">
        <v>2292</v>
      </c>
      <c r="T18" s="25"/>
      <c r="U18" s="25"/>
      <c r="V18" s="25"/>
      <c r="W18" s="25"/>
      <c r="X18" s="25"/>
      <c r="Y18" s="25"/>
      <c r="Z18" s="25"/>
      <c r="AA18" s="25"/>
    </row>
    <row r="19">
      <c r="A19" s="30">
        <v>45726.0</v>
      </c>
      <c r="B19" s="11">
        <v>45726.0</v>
      </c>
      <c r="C19" s="12">
        <f>VLOOKUP(B:B,'Курс валют'!A:D,4,0)</f>
        <v>96.8609</v>
      </c>
      <c r="D19" s="15">
        <v>115.0</v>
      </c>
      <c r="E19" s="59" t="s">
        <v>2293</v>
      </c>
      <c r="F19" s="15">
        <v>1000.0</v>
      </c>
      <c r="G19" s="15">
        <v>1026.0</v>
      </c>
      <c r="H19" s="17">
        <v>478.0</v>
      </c>
      <c r="I19" s="15">
        <f t="shared" si="1"/>
        <v>26</v>
      </c>
      <c r="J19" s="18">
        <f t="shared" si="2"/>
        <v>2.6</v>
      </c>
      <c r="K19" s="17">
        <v>3.91</v>
      </c>
      <c r="L19" s="19">
        <f t="shared" si="3"/>
        <v>47.8</v>
      </c>
      <c r="M19" s="20">
        <f t="shared" si="4"/>
        <v>237.975608</v>
      </c>
      <c r="N19" s="21">
        <f t="shared" si="5"/>
        <v>2.45688</v>
      </c>
      <c r="O19" s="21">
        <f t="shared" si="6"/>
        <v>2456.88</v>
      </c>
      <c r="P19" s="22">
        <f t="shared" si="7"/>
        <v>237975.608</v>
      </c>
      <c r="S19" s="24" t="s">
        <v>2292</v>
      </c>
      <c r="T19" s="32"/>
      <c r="U19" s="32"/>
      <c r="V19" s="32"/>
      <c r="W19" s="32"/>
      <c r="X19" s="32"/>
      <c r="Y19" s="32"/>
      <c r="Z19" s="32"/>
      <c r="AA19" s="32"/>
    </row>
    <row r="20">
      <c r="A20" s="30">
        <v>45726.0</v>
      </c>
      <c r="B20" s="11">
        <v>45726.0</v>
      </c>
      <c r="C20" s="12">
        <f>VLOOKUP(B:B,'Курс валют'!A:D,4,0)</f>
        <v>96.8609</v>
      </c>
      <c r="D20" s="15">
        <v>116.0</v>
      </c>
      <c r="E20" s="59" t="s">
        <v>2293</v>
      </c>
      <c r="F20" s="15">
        <v>1000.0</v>
      </c>
      <c r="G20" s="15">
        <v>1027.0</v>
      </c>
      <c r="H20" s="17">
        <v>480.0</v>
      </c>
      <c r="I20" s="15">
        <f t="shared" si="1"/>
        <v>27</v>
      </c>
      <c r="J20" s="18">
        <f t="shared" si="2"/>
        <v>2.7</v>
      </c>
      <c r="K20" s="17">
        <v>3.91</v>
      </c>
      <c r="L20" s="19">
        <f t="shared" si="3"/>
        <v>48</v>
      </c>
      <c r="M20" s="20">
        <f t="shared" si="4"/>
        <v>237.3866937</v>
      </c>
      <c r="N20" s="21">
        <f t="shared" si="5"/>
        <v>2.4508</v>
      </c>
      <c r="O20" s="21">
        <f t="shared" si="6"/>
        <v>2450.8</v>
      </c>
      <c r="P20" s="22">
        <f t="shared" si="7"/>
        <v>237386.6937</v>
      </c>
      <c r="S20" s="24" t="s">
        <v>2292</v>
      </c>
      <c r="T20" s="32"/>
      <c r="U20" s="32"/>
      <c r="V20" s="32"/>
      <c r="W20" s="32"/>
      <c r="X20" s="32"/>
      <c r="Y20" s="32"/>
      <c r="Z20" s="32"/>
      <c r="AA20" s="32"/>
    </row>
    <row r="21">
      <c r="A21" s="30">
        <v>45727.0</v>
      </c>
      <c r="B21" s="11">
        <v>45728.0</v>
      </c>
      <c r="C21" s="12">
        <f>VLOOKUP(B:B,'Курс валют'!A:D,4,0)</f>
        <v>93.6639</v>
      </c>
      <c r="D21" s="15">
        <v>117.0</v>
      </c>
      <c r="E21" s="75" t="s">
        <v>53</v>
      </c>
      <c r="F21" s="15">
        <v>6400.0</v>
      </c>
      <c r="G21" s="15">
        <v>6421.41</v>
      </c>
      <c r="H21" s="17">
        <v>0.0</v>
      </c>
      <c r="I21" s="15">
        <f t="shared" si="1"/>
        <v>21.41</v>
      </c>
      <c r="J21" s="18">
        <f t="shared" si="2"/>
        <v>0.33453125</v>
      </c>
      <c r="K21" s="17">
        <v>2.01</v>
      </c>
      <c r="L21" s="19">
        <f t="shared" si="3"/>
        <v>0</v>
      </c>
      <c r="M21" s="20">
        <f t="shared" si="4"/>
        <v>188.264439</v>
      </c>
      <c r="N21" s="21">
        <f t="shared" si="5"/>
        <v>2.01</v>
      </c>
      <c r="O21" s="21">
        <f t="shared" si="6"/>
        <v>12864</v>
      </c>
      <c r="P21" s="22">
        <f t="shared" si="7"/>
        <v>1204892.41</v>
      </c>
      <c r="R21" s="23"/>
      <c r="S21" s="24"/>
      <c r="T21" s="32"/>
      <c r="U21" s="32"/>
      <c r="V21" s="32"/>
      <c r="W21" s="32"/>
      <c r="X21" s="32"/>
      <c r="Y21" s="32"/>
      <c r="Z21" s="32"/>
      <c r="AA21" s="32"/>
    </row>
    <row r="22">
      <c r="A22" s="30">
        <v>45728.0</v>
      </c>
      <c r="B22" s="11">
        <v>45729.0</v>
      </c>
      <c r="C22" s="12">
        <f>VLOOKUP(B:B,'Курс валют'!A:D,4,0)</f>
        <v>93.971</v>
      </c>
      <c r="D22" s="15">
        <v>118.0</v>
      </c>
      <c r="E22" s="77" t="s">
        <v>1567</v>
      </c>
      <c r="F22" s="15">
        <v>6600.0</v>
      </c>
      <c r="G22" s="15">
        <v>6629.0</v>
      </c>
      <c r="H22" s="17">
        <v>119.0</v>
      </c>
      <c r="I22" s="15">
        <f t="shared" si="1"/>
        <v>29</v>
      </c>
      <c r="J22" s="18">
        <f t="shared" si="2"/>
        <v>0.4393939394</v>
      </c>
      <c r="K22" s="17">
        <v>2.84</v>
      </c>
      <c r="L22" s="19">
        <f t="shared" si="3"/>
        <v>1.803030303</v>
      </c>
      <c r="M22" s="20">
        <f t="shared" si="4"/>
        <v>261.7268902</v>
      </c>
      <c r="N22" s="21">
        <f t="shared" si="5"/>
        <v>2.785187879</v>
      </c>
      <c r="O22" s="21">
        <f t="shared" si="6"/>
        <v>18382.24</v>
      </c>
      <c r="P22" s="22">
        <f t="shared" si="7"/>
        <v>1727397.475</v>
      </c>
      <c r="R22" s="31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30">
        <v>45729.0</v>
      </c>
      <c r="B23" s="11">
        <v>45730.0</v>
      </c>
      <c r="C23" s="12">
        <f>VLOOKUP(B:B,'Курс валют'!A:D,4,0)</f>
        <v>94.2559</v>
      </c>
      <c r="D23" s="15">
        <v>119.0</v>
      </c>
      <c r="E23" s="77" t="s">
        <v>1567</v>
      </c>
      <c r="F23" s="15">
        <v>6600.0</v>
      </c>
      <c r="G23" s="15">
        <v>6628.0</v>
      </c>
      <c r="H23" s="17">
        <v>118.0</v>
      </c>
      <c r="I23" s="15">
        <f t="shared" si="1"/>
        <v>28</v>
      </c>
      <c r="J23" s="18">
        <f t="shared" si="2"/>
        <v>0.4242424242</v>
      </c>
      <c r="K23" s="17">
        <v>2.82</v>
      </c>
      <c r="L23" s="19">
        <f t="shared" si="3"/>
        <v>1.787878788</v>
      </c>
      <c r="M23" s="20">
        <f t="shared" si="4"/>
        <v>260.678687</v>
      </c>
      <c r="N23" s="21">
        <f t="shared" si="5"/>
        <v>2.765648485</v>
      </c>
      <c r="O23" s="21">
        <f t="shared" si="6"/>
        <v>18253.28</v>
      </c>
      <c r="P23" s="22">
        <f t="shared" si="7"/>
        <v>1720479.334</v>
      </c>
      <c r="R23" s="23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30">
        <v>45729.0</v>
      </c>
      <c r="B24" s="11">
        <v>45730.0</v>
      </c>
      <c r="C24" s="12">
        <f>VLOOKUP(B:B,'Курс валют'!A:D,4,0)</f>
        <v>94.2559</v>
      </c>
      <c r="D24" s="15">
        <v>120.0</v>
      </c>
      <c r="E24" s="59" t="s">
        <v>62</v>
      </c>
      <c r="F24" s="15">
        <v>20.0</v>
      </c>
      <c r="G24" s="15">
        <v>22.34</v>
      </c>
      <c r="H24" s="17">
        <v>0.0</v>
      </c>
      <c r="I24" s="15">
        <f t="shared" si="1"/>
        <v>2.34</v>
      </c>
      <c r="J24" s="18">
        <f t="shared" si="2"/>
        <v>11.7</v>
      </c>
      <c r="K24" s="17">
        <v>3.17</v>
      </c>
      <c r="L24" s="19">
        <f t="shared" si="3"/>
        <v>0</v>
      </c>
      <c r="M24" s="20">
        <f t="shared" si="4"/>
        <v>298.791203</v>
      </c>
      <c r="N24" s="21">
        <f t="shared" si="5"/>
        <v>3.17</v>
      </c>
      <c r="O24" s="21">
        <f t="shared" si="6"/>
        <v>63.4</v>
      </c>
      <c r="P24" s="22">
        <f t="shared" si="7"/>
        <v>5975.82406</v>
      </c>
      <c r="R24" s="23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30">
        <v>45730.0</v>
      </c>
      <c r="B25" s="11">
        <v>45730.0</v>
      </c>
      <c r="C25" s="12">
        <f>VLOOKUP(B:B,'Курс валют'!A:D,4,0)</f>
        <v>94.2559</v>
      </c>
      <c r="D25" s="15">
        <v>121.0</v>
      </c>
      <c r="E25" s="59" t="s">
        <v>1567</v>
      </c>
      <c r="F25" s="15">
        <v>7700.0</v>
      </c>
      <c r="G25" s="15">
        <v>7722.0</v>
      </c>
      <c r="H25" s="17">
        <v>139.0</v>
      </c>
      <c r="I25" s="15">
        <f t="shared" si="1"/>
        <v>22</v>
      </c>
      <c r="J25" s="18">
        <f t="shared" si="2"/>
        <v>0.2857142857</v>
      </c>
      <c r="K25" s="17">
        <v>2.82</v>
      </c>
      <c r="L25" s="19">
        <f t="shared" si="3"/>
        <v>1.805194805</v>
      </c>
      <c r="M25" s="20">
        <f t="shared" si="4"/>
        <v>260.6290701</v>
      </c>
      <c r="N25" s="21">
        <f t="shared" si="5"/>
        <v>2.765122078</v>
      </c>
      <c r="O25" s="21">
        <f t="shared" si="6"/>
        <v>21291.44</v>
      </c>
      <c r="P25" s="22">
        <f t="shared" si="7"/>
        <v>2006843.839</v>
      </c>
      <c r="R25" s="23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30">
        <v>45730.0</v>
      </c>
      <c r="B26" s="11">
        <v>45732.0</v>
      </c>
      <c r="C26" s="12">
        <f>VLOOKUP(B:B,'Курс валют'!A:D,4,0)</f>
        <v>93.6087</v>
      </c>
      <c r="D26" s="15">
        <v>122.0</v>
      </c>
      <c r="E26" s="59" t="s">
        <v>18</v>
      </c>
      <c r="F26" s="15">
        <v>6600.0</v>
      </c>
      <c r="G26" s="15">
        <v>6619.0</v>
      </c>
      <c r="H26" s="17">
        <v>119.0</v>
      </c>
      <c r="I26" s="15">
        <f t="shared" si="1"/>
        <v>19</v>
      </c>
      <c r="J26" s="18">
        <f t="shared" si="2"/>
        <v>0.2878787879</v>
      </c>
      <c r="K26" s="17">
        <v>2.76</v>
      </c>
      <c r="L26" s="19">
        <f t="shared" si="3"/>
        <v>1.803030303</v>
      </c>
      <c r="M26" s="20">
        <f t="shared" si="4"/>
        <v>253.2291206</v>
      </c>
      <c r="N26" s="21">
        <f t="shared" si="5"/>
        <v>2.705187879</v>
      </c>
      <c r="O26" s="21">
        <f t="shared" si="6"/>
        <v>17854.24</v>
      </c>
      <c r="P26" s="22">
        <f t="shared" si="7"/>
        <v>1671312.196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30">
        <v>45711.0</v>
      </c>
      <c r="B27" s="11">
        <v>45733.0</v>
      </c>
      <c r="C27" s="12">
        <f>VLOOKUP(B:B,'Курс валют'!A:D,4,0)</f>
        <v>93.6087</v>
      </c>
      <c r="D27" s="15">
        <v>93.0</v>
      </c>
      <c r="E27" s="59" t="s">
        <v>63</v>
      </c>
      <c r="F27" s="15">
        <v>900.0</v>
      </c>
      <c r="G27" s="15">
        <v>916.0</v>
      </c>
      <c r="H27" s="17">
        <v>363.0</v>
      </c>
      <c r="I27" s="15">
        <f t="shared" si="1"/>
        <v>16</v>
      </c>
      <c r="J27" s="18">
        <f t="shared" si="2"/>
        <v>1.777777778</v>
      </c>
      <c r="K27" s="17">
        <v>3.16</v>
      </c>
      <c r="L27" s="19">
        <f t="shared" si="3"/>
        <v>40.33333333</v>
      </c>
      <c r="M27" s="20">
        <f t="shared" si="4"/>
        <v>181.0267446</v>
      </c>
      <c r="N27" s="21">
        <f t="shared" si="5"/>
        <v>1.933866667</v>
      </c>
      <c r="O27" s="21">
        <f t="shared" si="6"/>
        <v>1740.48</v>
      </c>
      <c r="P27" s="22">
        <f t="shared" si="7"/>
        <v>162924.0702</v>
      </c>
      <c r="R27" s="23" t="s">
        <v>2294</v>
      </c>
      <c r="S27" s="57" t="s">
        <v>2292</v>
      </c>
      <c r="T27" s="25"/>
      <c r="U27" s="25"/>
      <c r="V27" s="25"/>
      <c r="W27" s="25"/>
      <c r="X27" s="25"/>
      <c r="Y27" s="25"/>
      <c r="Z27" s="25"/>
      <c r="AA27" s="25"/>
    </row>
    <row r="28">
      <c r="A28" s="30">
        <v>45727.0</v>
      </c>
      <c r="B28" s="11">
        <v>45733.0</v>
      </c>
      <c r="C28" s="12">
        <f>VLOOKUP(B:B,'Курс валют'!A:D,4,0)</f>
        <v>93.6087</v>
      </c>
      <c r="D28" s="15">
        <v>123.0</v>
      </c>
      <c r="E28" s="77" t="s">
        <v>64</v>
      </c>
      <c r="F28" s="76">
        <v>1000.0</v>
      </c>
      <c r="G28" s="76">
        <v>1038.0</v>
      </c>
      <c r="H28" s="58">
        <v>0.0</v>
      </c>
      <c r="I28" s="15">
        <f t="shared" si="1"/>
        <v>38</v>
      </c>
      <c r="J28" s="18">
        <f t="shared" si="2"/>
        <v>3.8</v>
      </c>
      <c r="K28" s="58">
        <v>2.49</v>
      </c>
      <c r="L28" s="19">
        <f t="shared" si="3"/>
        <v>0</v>
      </c>
      <c r="M28" s="20">
        <f t="shared" si="4"/>
        <v>233.085663</v>
      </c>
      <c r="N28" s="21">
        <f t="shared" si="5"/>
        <v>2.49</v>
      </c>
      <c r="O28" s="21">
        <f t="shared" si="6"/>
        <v>2490</v>
      </c>
      <c r="P28" s="22">
        <f t="shared" si="7"/>
        <v>233085.663</v>
      </c>
      <c r="R28" s="23"/>
      <c r="S28" s="57" t="s">
        <v>2292</v>
      </c>
      <c r="T28" s="25"/>
      <c r="U28" s="25"/>
      <c r="V28" s="25"/>
      <c r="W28" s="25"/>
      <c r="X28" s="25"/>
      <c r="Y28" s="25"/>
      <c r="Z28" s="25"/>
      <c r="AA28" s="25"/>
    </row>
    <row r="29">
      <c r="A29" s="30">
        <v>45728.0</v>
      </c>
      <c r="B29" s="11">
        <v>45733.0</v>
      </c>
      <c r="C29" s="12">
        <f>VLOOKUP(B:B,'Курс валют'!A:D,4,0)</f>
        <v>93.6087</v>
      </c>
      <c r="D29" s="15">
        <v>124.0</v>
      </c>
      <c r="E29" s="59" t="s">
        <v>2290</v>
      </c>
      <c r="F29" s="15">
        <v>1000.0</v>
      </c>
      <c r="G29" s="15">
        <v>1038.0</v>
      </c>
      <c r="H29" s="17">
        <v>0.0</v>
      </c>
      <c r="I29" s="15">
        <f t="shared" si="1"/>
        <v>38</v>
      </c>
      <c r="J29" s="18">
        <f t="shared" si="2"/>
        <v>3.8</v>
      </c>
      <c r="K29" s="17">
        <v>3.05</v>
      </c>
      <c r="L29" s="19">
        <f t="shared" si="3"/>
        <v>0</v>
      </c>
      <c r="M29" s="20">
        <f t="shared" si="4"/>
        <v>285.506535</v>
      </c>
      <c r="N29" s="21">
        <f t="shared" si="5"/>
        <v>3.05</v>
      </c>
      <c r="O29" s="21">
        <f t="shared" si="6"/>
        <v>3050</v>
      </c>
      <c r="P29" s="22">
        <f t="shared" si="7"/>
        <v>285506.535</v>
      </c>
      <c r="R29" s="23"/>
      <c r="S29" s="57" t="s">
        <v>2292</v>
      </c>
      <c r="T29" s="25"/>
      <c r="U29" s="25"/>
      <c r="V29" s="25"/>
      <c r="W29" s="25"/>
      <c r="X29" s="25"/>
      <c r="Y29" s="25"/>
      <c r="Z29" s="25"/>
      <c r="AA29" s="25"/>
    </row>
    <row r="30">
      <c r="A30" s="30">
        <v>45729.0</v>
      </c>
      <c r="B30" s="11">
        <v>45733.0</v>
      </c>
      <c r="C30" s="12">
        <f>VLOOKUP(B:B,'Курс валют'!A:D,4,0)</f>
        <v>93.6087</v>
      </c>
      <c r="D30" s="15">
        <v>125.0</v>
      </c>
      <c r="E30" s="77" t="s">
        <v>2293</v>
      </c>
      <c r="F30" s="15">
        <v>1000.0</v>
      </c>
      <c r="G30" s="15">
        <v>1029.0</v>
      </c>
      <c r="H30" s="17">
        <v>474.0</v>
      </c>
      <c r="I30" s="15">
        <f t="shared" si="1"/>
        <v>29</v>
      </c>
      <c r="J30" s="18">
        <f t="shared" si="2"/>
        <v>2.9</v>
      </c>
      <c r="K30" s="17">
        <v>3.91</v>
      </c>
      <c r="L30" s="19">
        <f t="shared" si="3"/>
        <v>47.4</v>
      </c>
      <c r="M30" s="20">
        <f t="shared" si="4"/>
        <v>231.1236246</v>
      </c>
      <c r="N30" s="21">
        <f t="shared" si="5"/>
        <v>2.46904</v>
      </c>
      <c r="O30" s="21">
        <f t="shared" si="6"/>
        <v>2469.04</v>
      </c>
      <c r="P30" s="22">
        <f t="shared" si="7"/>
        <v>231123.6246</v>
      </c>
      <c r="R30" s="23"/>
      <c r="S30" s="57" t="s">
        <v>2292</v>
      </c>
      <c r="T30" s="25"/>
      <c r="U30" s="25"/>
      <c r="V30" s="25"/>
      <c r="W30" s="25"/>
      <c r="X30" s="25"/>
      <c r="Y30" s="25"/>
      <c r="Z30" s="25"/>
      <c r="AA30" s="25"/>
    </row>
    <row r="31">
      <c r="A31" s="30">
        <v>45729.0</v>
      </c>
      <c r="B31" s="11">
        <v>45733.0</v>
      </c>
      <c r="C31" s="12">
        <f>VLOOKUP(B:B,'Курс валют'!A:D,4,0)</f>
        <v>93.6087</v>
      </c>
      <c r="D31" s="15">
        <v>126.0</v>
      </c>
      <c r="E31" s="77" t="s">
        <v>2290</v>
      </c>
      <c r="F31" s="15">
        <v>1000.0</v>
      </c>
      <c r="G31" s="13">
        <v>1039.5</v>
      </c>
      <c r="H31" s="17">
        <v>0.0</v>
      </c>
      <c r="I31" s="15">
        <f t="shared" si="1"/>
        <v>39.5</v>
      </c>
      <c r="J31" s="18">
        <f t="shared" si="2"/>
        <v>3.95</v>
      </c>
      <c r="K31" s="17">
        <v>3.05</v>
      </c>
      <c r="L31" s="19">
        <f t="shared" si="3"/>
        <v>0</v>
      </c>
      <c r="M31" s="20">
        <f t="shared" si="4"/>
        <v>285.506535</v>
      </c>
      <c r="N31" s="21">
        <f t="shared" si="5"/>
        <v>3.05</v>
      </c>
      <c r="O31" s="21">
        <f t="shared" si="6"/>
        <v>3050</v>
      </c>
      <c r="P31" s="22">
        <f t="shared" si="7"/>
        <v>285506.535</v>
      </c>
      <c r="R31" s="23"/>
      <c r="S31" s="57" t="s">
        <v>2292</v>
      </c>
      <c r="T31" s="25"/>
      <c r="U31" s="25"/>
      <c r="V31" s="25"/>
      <c r="W31" s="25"/>
      <c r="X31" s="25"/>
      <c r="Y31" s="25"/>
      <c r="Z31" s="25"/>
      <c r="AA31" s="25"/>
    </row>
    <row r="32">
      <c r="A32" s="30">
        <v>45730.0</v>
      </c>
      <c r="B32" s="11">
        <v>45733.0</v>
      </c>
      <c r="C32" s="12">
        <f>VLOOKUP(B:B,'Курс валют'!A:D,4,0)</f>
        <v>93.6087</v>
      </c>
      <c r="D32" s="15">
        <v>127.0</v>
      </c>
      <c r="E32" s="59" t="s">
        <v>2293</v>
      </c>
      <c r="F32" s="15">
        <v>1000.0</v>
      </c>
      <c r="G32" s="13">
        <v>1028.0</v>
      </c>
      <c r="H32" s="17">
        <v>474.0</v>
      </c>
      <c r="I32" s="15">
        <f t="shared" si="1"/>
        <v>28</v>
      </c>
      <c r="J32" s="18">
        <f t="shared" si="2"/>
        <v>2.8</v>
      </c>
      <c r="K32" s="17">
        <v>3.91</v>
      </c>
      <c r="L32" s="19">
        <f t="shared" si="3"/>
        <v>47.4</v>
      </c>
      <c r="M32" s="20">
        <f t="shared" si="4"/>
        <v>231.1236246</v>
      </c>
      <c r="N32" s="21">
        <f t="shared" si="5"/>
        <v>2.46904</v>
      </c>
      <c r="O32" s="21">
        <f t="shared" si="6"/>
        <v>2469.04</v>
      </c>
      <c r="P32" s="22">
        <f t="shared" si="7"/>
        <v>231123.6246</v>
      </c>
      <c r="R32" s="78"/>
      <c r="S32" s="57" t="s">
        <v>2292</v>
      </c>
      <c r="T32" s="25"/>
      <c r="U32" s="25"/>
      <c r="V32" s="25"/>
      <c r="W32" s="25"/>
      <c r="X32" s="25"/>
      <c r="Y32" s="25"/>
      <c r="Z32" s="25"/>
      <c r="AA32" s="25"/>
    </row>
    <row r="33">
      <c r="A33" s="30">
        <v>45732.0</v>
      </c>
      <c r="B33" s="11">
        <v>45733.0</v>
      </c>
      <c r="C33" s="12">
        <f>VLOOKUP(B:B,'Курс валют'!A:D,4,0)</f>
        <v>93.6087</v>
      </c>
      <c r="D33" s="15">
        <v>128.0</v>
      </c>
      <c r="E33" s="59" t="s">
        <v>65</v>
      </c>
      <c r="F33" s="15">
        <v>920.0</v>
      </c>
      <c r="G33" s="13">
        <v>927.0</v>
      </c>
      <c r="H33" s="17">
        <v>0.0</v>
      </c>
      <c r="I33" s="15">
        <f t="shared" si="1"/>
        <v>7</v>
      </c>
      <c r="J33" s="18">
        <f t="shared" si="2"/>
        <v>0.7608695652</v>
      </c>
      <c r="K33" s="17">
        <v>3.34</v>
      </c>
      <c r="L33" s="19">
        <f t="shared" si="3"/>
        <v>0</v>
      </c>
      <c r="M33" s="20">
        <f t="shared" si="4"/>
        <v>312.653058</v>
      </c>
      <c r="N33" s="21">
        <f t="shared" si="5"/>
        <v>3.34</v>
      </c>
      <c r="O33" s="21">
        <f t="shared" si="6"/>
        <v>3072.8</v>
      </c>
      <c r="P33" s="22">
        <f t="shared" si="7"/>
        <v>287640.8134</v>
      </c>
      <c r="R33" s="31" t="s">
        <v>2295</v>
      </c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30">
        <v>45734.0</v>
      </c>
      <c r="B34" s="11">
        <v>45734.0</v>
      </c>
      <c r="C34" s="12">
        <f>VLOOKUP(B:B,'Курс валют'!A:D,4,0)</f>
        <v>90.8443</v>
      </c>
      <c r="D34" s="15">
        <v>130.0</v>
      </c>
      <c r="E34" s="59" t="s">
        <v>1861</v>
      </c>
      <c r="F34" s="15">
        <v>20.0</v>
      </c>
      <c r="G34" s="13">
        <v>20.0</v>
      </c>
      <c r="H34" s="17">
        <v>0.0</v>
      </c>
      <c r="I34" s="15">
        <f t="shared" si="1"/>
        <v>0</v>
      </c>
      <c r="J34" s="18">
        <f t="shared" si="2"/>
        <v>0</v>
      </c>
      <c r="K34" s="17">
        <v>2.62</v>
      </c>
      <c r="L34" s="19">
        <f t="shared" si="3"/>
        <v>0</v>
      </c>
      <c r="M34" s="20">
        <f t="shared" si="4"/>
        <v>238.012066</v>
      </c>
      <c r="N34" s="21">
        <f t="shared" si="5"/>
        <v>2.62</v>
      </c>
      <c r="O34" s="21">
        <f t="shared" si="6"/>
        <v>52.4</v>
      </c>
      <c r="P34" s="22">
        <f t="shared" si="7"/>
        <v>4760.24132</v>
      </c>
      <c r="R34" s="31" t="s">
        <v>2296</v>
      </c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30">
        <v>45733.0</v>
      </c>
      <c r="B35" s="11">
        <v>45734.0</v>
      </c>
      <c r="C35" s="12">
        <f>VLOOKUP(B:B,'Курс валют'!A:D,4,0)</f>
        <v>90.8443</v>
      </c>
      <c r="D35" s="15">
        <v>129.0</v>
      </c>
      <c r="E35" s="59" t="s">
        <v>18</v>
      </c>
      <c r="F35" s="15">
        <v>8800.0</v>
      </c>
      <c r="G35" s="13">
        <v>8823.0</v>
      </c>
      <c r="H35" s="17">
        <v>158.0</v>
      </c>
      <c r="I35" s="15">
        <f t="shared" si="1"/>
        <v>23</v>
      </c>
      <c r="J35" s="18">
        <f t="shared" si="2"/>
        <v>0.2613636364</v>
      </c>
      <c r="K35" s="17">
        <v>2.76</v>
      </c>
      <c r="L35" s="19">
        <f t="shared" si="3"/>
        <v>1.795454545</v>
      </c>
      <c r="M35" s="20">
        <f t="shared" si="4"/>
        <v>245.7718209</v>
      </c>
      <c r="N35" s="21">
        <f t="shared" si="5"/>
        <v>2.705418182</v>
      </c>
      <c r="O35" s="21">
        <f t="shared" si="6"/>
        <v>23807.68</v>
      </c>
      <c r="P35" s="22">
        <f t="shared" si="7"/>
        <v>2162792.024</v>
      </c>
      <c r="R35" s="78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0">
        <v>45731.0</v>
      </c>
      <c r="B36" s="11">
        <v>45734.0</v>
      </c>
      <c r="C36" s="12">
        <f>VLOOKUP(B:B,'Курс валют'!A:D,4,0)</f>
        <v>90.8443</v>
      </c>
      <c r="D36" s="15">
        <v>131.0</v>
      </c>
      <c r="E36" s="59" t="s">
        <v>2290</v>
      </c>
      <c r="F36" s="15">
        <v>1000.0</v>
      </c>
      <c r="G36" s="13">
        <v>1043.5</v>
      </c>
      <c r="H36" s="17">
        <v>0.0</v>
      </c>
      <c r="I36" s="15">
        <f t="shared" si="1"/>
        <v>43.5</v>
      </c>
      <c r="J36" s="18">
        <f t="shared" si="2"/>
        <v>4.35</v>
      </c>
      <c r="K36" s="17">
        <v>3.06</v>
      </c>
      <c r="L36" s="19">
        <f t="shared" si="3"/>
        <v>0</v>
      </c>
      <c r="M36" s="20">
        <f t="shared" si="4"/>
        <v>277.983558</v>
      </c>
      <c r="N36" s="21">
        <f t="shared" si="5"/>
        <v>3.06</v>
      </c>
      <c r="O36" s="21">
        <f t="shared" si="6"/>
        <v>3060</v>
      </c>
      <c r="P36" s="22">
        <f t="shared" si="7"/>
        <v>277983.558</v>
      </c>
      <c r="R36" s="79"/>
      <c r="S36" s="24" t="s">
        <v>2292</v>
      </c>
      <c r="T36" s="25"/>
      <c r="U36" s="25"/>
      <c r="V36" s="25"/>
      <c r="W36" s="25"/>
      <c r="X36" s="25"/>
      <c r="Y36" s="25"/>
      <c r="Z36" s="25"/>
      <c r="AA36" s="25"/>
    </row>
    <row r="37">
      <c r="A37" s="30">
        <v>45734.0</v>
      </c>
      <c r="B37" s="11">
        <v>45735.0</v>
      </c>
      <c r="C37" s="12">
        <f>VLOOKUP(B:B,'Курс валют'!A:D,4,0)</f>
        <v>87.5697</v>
      </c>
      <c r="D37" s="15">
        <v>132.0</v>
      </c>
      <c r="E37" s="59" t="s">
        <v>18</v>
      </c>
      <c r="F37" s="15">
        <v>6600.0</v>
      </c>
      <c r="G37" s="13">
        <v>6623.0</v>
      </c>
      <c r="H37" s="17">
        <v>120.0</v>
      </c>
      <c r="I37" s="15">
        <f t="shared" si="1"/>
        <v>23</v>
      </c>
      <c r="J37" s="18">
        <f t="shared" si="2"/>
        <v>0.3484848485</v>
      </c>
      <c r="K37" s="17">
        <v>2.76</v>
      </c>
      <c r="L37" s="19">
        <f t="shared" si="3"/>
        <v>1.818181818</v>
      </c>
      <c r="M37" s="20">
        <f t="shared" si="4"/>
        <v>236.8521559</v>
      </c>
      <c r="N37" s="21">
        <f t="shared" si="5"/>
        <v>2.704727273</v>
      </c>
      <c r="O37" s="21">
        <f t="shared" si="6"/>
        <v>17851.2</v>
      </c>
      <c r="P37" s="22">
        <f t="shared" si="7"/>
        <v>1563224.229</v>
      </c>
      <c r="R37" s="23"/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30">
        <v>45733.0</v>
      </c>
      <c r="B38" s="11">
        <v>45735.0</v>
      </c>
      <c r="C38" s="12">
        <f>VLOOKUP(B:B,'Курс валют'!A:D,4,0)</f>
        <v>87.5697</v>
      </c>
      <c r="D38" s="15">
        <v>133.0</v>
      </c>
      <c r="E38" s="59" t="s">
        <v>63</v>
      </c>
      <c r="F38" s="15">
        <v>900.0</v>
      </c>
      <c r="G38" s="13">
        <v>934.0</v>
      </c>
      <c r="H38" s="17">
        <v>364.0</v>
      </c>
      <c r="I38" s="15">
        <f t="shared" si="1"/>
        <v>34</v>
      </c>
      <c r="J38" s="18">
        <f t="shared" si="2"/>
        <v>3.777777778</v>
      </c>
      <c r="K38" s="17">
        <v>3.21</v>
      </c>
      <c r="L38" s="19">
        <f t="shared" si="3"/>
        <v>40.44444444</v>
      </c>
      <c r="M38" s="20">
        <f t="shared" si="4"/>
        <v>173.4308179</v>
      </c>
      <c r="N38" s="21">
        <f t="shared" si="5"/>
        <v>1.980488889</v>
      </c>
      <c r="O38" s="21">
        <f t="shared" si="6"/>
        <v>1782.44</v>
      </c>
      <c r="P38" s="22">
        <f t="shared" si="7"/>
        <v>156087.7361</v>
      </c>
      <c r="R38" s="23" t="s">
        <v>2294</v>
      </c>
      <c r="S38" s="24" t="s">
        <v>2292</v>
      </c>
      <c r="T38" s="25"/>
      <c r="U38" s="25"/>
      <c r="V38" s="25"/>
      <c r="W38" s="25"/>
      <c r="X38" s="25"/>
      <c r="Y38" s="25"/>
      <c r="Z38" s="25"/>
      <c r="AA38" s="25"/>
    </row>
    <row r="39">
      <c r="A39" s="30">
        <v>45735.0</v>
      </c>
      <c r="B39" s="11">
        <v>45736.0</v>
      </c>
      <c r="C39" s="12">
        <f>VLOOKUP(B:B,'Курс валют'!A:D,4,0)</f>
        <v>90.8257</v>
      </c>
      <c r="D39" s="15">
        <v>134.0</v>
      </c>
      <c r="E39" s="59" t="s">
        <v>18</v>
      </c>
      <c r="F39" s="15">
        <v>4400.0</v>
      </c>
      <c r="G39" s="13">
        <v>4423.0</v>
      </c>
      <c r="H39" s="17">
        <v>79.0</v>
      </c>
      <c r="I39" s="15">
        <f t="shared" si="1"/>
        <v>23</v>
      </c>
      <c r="J39" s="18">
        <f t="shared" si="2"/>
        <v>0.5227272727</v>
      </c>
      <c r="K39" s="17">
        <v>2.77</v>
      </c>
      <c r="L39" s="19">
        <f t="shared" si="3"/>
        <v>1.795454545</v>
      </c>
      <c r="M39" s="20">
        <f t="shared" si="4"/>
        <v>246.6297572</v>
      </c>
      <c r="N39" s="21">
        <f t="shared" si="5"/>
        <v>2.715418182</v>
      </c>
      <c r="O39" s="21">
        <f t="shared" si="6"/>
        <v>11947.84</v>
      </c>
      <c r="P39" s="22">
        <f t="shared" si="7"/>
        <v>1085170.931</v>
      </c>
      <c r="R39" s="31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30">
        <v>45736.0</v>
      </c>
      <c r="B40" s="11">
        <v>45737.0</v>
      </c>
      <c r="C40" s="12">
        <f>VLOOKUP(B:B,'Курс валют'!A:D,4,0)</f>
        <v>92.4633</v>
      </c>
      <c r="D40" s="15">
        <v>135.0</v>
      </c>
      <c r="E40" s="59" t="s">
        <v>71</v>
      </c>
      <c r="F40" s="15">
        <v>4000.0</v>
      </c>
      <c r="G40" s="13">
        <v>4012.0</v>
      </c>
      <c r="H40" s="17">
        <v>375.0</v>
      </c>
      <c r="I40" s="15">
        <f t="shared" si="1"/>
        <v>12</v>
      </c>
      <c r="J40" s="18">
        <f t="shared" si="2"/>
        <v>0.3</v>
      </c>
      <c r="K40" s="17">
        <v>2.21</v>
      </c>
      <c r="L40" s="19">
        <f t="shared" si="3"/>
        <v>9.375</v>
      </c>
      <c r="M40" s="20">
        <f t="shared" si="4"/>
        <v>177.9918525</v>
      </c>
      <c r="N40" s="21">
        <f t="shared" si="5"/>
        <v>1.925</v>
      </c>
      <c r="O40" s="21">
        <f t="shared" si="6"/>
        <v>7700</v>
      </c>
      <c r="P40" s="22">
        <f t="shared" si="7"/>
        <v>711967.41</v>
      </c>
      <c r="R40" s="23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30">
        <v>45731.0</v>
      </c>
      <c r="B41" s="11">
        <v>45737.0</v>
      </c>
      <c r="C41" s="12">
        <f>VLOOKUP(B:B,'Курс валют'!A:D,4,0)</f>
        <v>92.4633</v>
      </c>
      <c r="D41" s="15">
        <v>136.0</v>
      </c>
      <c r="E41" s="59" t="s">
        <v>59</v>
      </c>
      <c r="F41" s="15">
        <v>1000.0</v>
      </c>
      <c r="G41" s="13">
        <v>1045.5</v>
      </c>
      <c r="H41" s="17">
        <v>0.0</v>
      </c>
      <c r="I41" s="15">
        <f t="shared" si="1"/>
        <v>45.5</v>
      </c>
      <c r="J41" s="18">
        <f t="shared" si="2"/>
        <v>4.55</v>
      </c>
      <c r="K41" s="17">
        <v>3.12</v>
      </c>
      <c r="L41" s="19">
        <f t="shared" si="3"/>
        <v>0</v>
      </c>
      <c r="M41" s="20">
        <f t="shared" si="4"/>
        <v>288.485496</v>
      </c>
      <c r="N41" s="21">
        <f t="shared" si="5"/>
        <v>3.12</v>
      </c>
      <c r="O41" s="21">
        <f t="shared" si="6"/>
        <v>3120</v>
      </c>
      <c r="P41" s="22">
        <f t="shared" si="7"/>
        <v>288485.496</v>
      </c>
      <c r="R41" s="23"/>
      <c r="S41" s="24" t="s">
        <v>2292</v>
      </c>
      <c r="T41" s="25"/>
      <c r="U41" s="25"/>
      <c r="V41" s="25"/>
      <c r="W41" s="25"/>
      <c r="X41" s="25"/>
      <c r="Y41" s="25"/>
      <c r="Z41" s="25"/>
      <c r="AA41" s="25"/>
    </row>
    <row r="42">
      <c r="A42" s="30">
        <v>45733.0</v>
      </c>
      <c r="B42" s="11">
        <v>45737.0</v>
      </c>
      <c r="C42" s="12">
        <f>VLOOKUP(B:B,'Курс валют'!A:D,4,0)</f>
        <v>92.4633</v>
      </c>
      <c r="D42" s="15">
        <v>137.0</v>
      </c>
      <c r="E42" s="59" t="s">
        <v>63</v>
      </c>
      <c r="F42" s="15">
        <v>900.0</v>
      </c>
      <c r="G42" s="13">
        <v>933.0</v>
      </c>
      <c r="H42" s="17">
        <v>234.5</v>
      </c>
      <c r="I42" s="15">
        <f t="shared" si="1"/>
        <v>33</v>
      </c>
      <c r="J42" s="18">
        <f t="shared" si="2"/>
        <v>3.666666667</v>
      </c>
      <c r="K42" s="17">
        <v>2.51</v>
      </c>
      <c r="L42" s="19">
        <f t="shared" si="3"/>
        <v>26.05555556</v>
      </c>
      <c r="M42" s="20">
        <f t="shared" si="4"/>
        <v>158.8437304</v>
      </c>
      <c r="N42" s="21">
        <f t="shared" si="5"/>
        <v>1.717911111</v>
      </c>
      <c r="O42" s="21">
        <f t="shared" si="6"/>
        <v>1546.12</v>
      </c>
      <c r="P42" s="22">
        <f t="shared" si="7"/>
        <v>142959.3574</v>
      </c>
      <c r="R42" s="23" t="s">
        <v>2294</v>
      </c>
      <c r="S42" s="24" t="s">
        <v>2292</v>
      </c>
      <c r="T42" s="25"/>
      <c r="U42" s="25"/>
      <c r="V42" s="25"/>
      <c r="W42" s="25"/>
      <c r="X42" s="25"/>
      <c r="Y42" s="25"/>
      <c r="Z42" s="25"/>
      <c r="AA42" s="25"/>
    </row>
    <row r="43">
      <c r="A43" s="30">
        <v>45734.0</v>
      </c>
      <c r="B43" s="11">
        <v>45737.0</v>
      </c>
      <c r="C43" s="12">
        <f>VLOOKUP(B:B,'Курс валют'!A:D,4,0)</f>
        <v>92.4633</v>
      </c>
      <c r="D43" s="15">
        <v>138.0</v>
      </c>
      <c r="E43" s="59" t="s">
        <v>63</v>
      </c>
      <c r="F43" s="15">
        <v>900.0</v>
      </c>
      <c r="G43" s="13">
        <v>932.0</v>
      </c>
      <c r="H43" s="17">
        <v>0.0</v>
      </c>
      <c r="I43" s="15">
        <f t="shared" si="1"/>
        <v>32</v>
      </c>
      <c r="J43" s="18">
        <f t="shared" si="2"/>
        <v>3.555555556</v>
      </c>
      <c r="K43" s="17">
        <v>2.51</v>
      </c>
      <c r="L43" s="19">
        <f t="shared" si="3"/>
        <v>0</v>
      </c>
      <c r="M43" s="20">
        <f t="shared" si="4"/>
        <v>232.082883</v>
      </c>
      <c r="N43" s="21">
        <f t="shared" si="5"/>
        <v>2.51</v>
      </c>
      <c r="O43" s="21">
        <f t="shared" si="6"/>
        <v>2259</v>
      </c>
      <c r="P43" s="22">
        <f t="shared" si="7"/>
        <v>208874.5947</v>
      </c>
      <c r="R43" s="23" t="s">
        <v>2294</v>
      </c>
      <c r="S43" s="24" t="s">
        <v>2292</v>
      </c>
      <c r="T43" s="25">
        <f>SUMIF(A:A,"клей Starkbond 521 A бочка 220кг",'Март 2025'!K:K)</f>
        <v>0</v>
      </c>
      <c r="U43" s="25"/>
      <c r="V43" s="25"/>
      <c r="W43" s="25"/>
      <c r="X43" s="25"/>
      <c r="Y43" s="25"/>
      <c r="Z43" s="25"/>
      <c r="AA43" s="25"/>
    </row>
    <row r="44">
      <c r="A44" s="30">
        <v>45737.0</v>
      </c>
      <c r="B44" s="11">
        <v>45738.0</v>
      </c>
      <c r="C44" s="12">
        <v>92.0152</v>
      </c>
      <c r="D44" s="15">
        <v>139.0</v>
      </c>
      <c r="E44" s="59" t="s">
        <v>18</v>
      </c>
      <c r="F44" s="15">
        <v>5500.0</v>
      </c>
      <c r="G44" s="13">
        <v>5527.0</v>
      </c>
      <c r="H44" s="17">
        <v>100.0</v>
      </c>
      <c r="I44" s="15">
        <f t="shared" si="1"/>
        <v>27</v>
      </c>
      <c r="J44" s="18">
        <f t="shared" si="2"/>
        <v>0.4909090909</v>
      </c>
      <c r="K44" s="17">
        <v>2.76</v>
      </c>
      <c r="L44" s="19">
        <f t="shared" si="3"/>
        <v>1.818181818</v>
      </c>
      <c r="M44" s="20">
        <f t="shared" si="4"/>
        <v>248.8760209</v>
      </c>
      <c r="N44" s="21">
        <f t="shared" si="5"/>
        <v>2.704727273</v>
      </c>
      <c r="O44" s="21">
        <f t="shared" si="6"/>
        <v>14876</v>
      </c>
      <c r="P44" s="22">
        <f t="shared" si="7"/>
        <v>1368818.115</v>
      </c>
      <c r="R44" s="23" t="s">
        <v>2297</v>
      </c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30">
        <v>45737.0</v>
      </c>
      <c r="B45" s="11">
        <v>45739.0</v>
      </c>
      <c r="C45" s="12">
        <f>VLOOKUP(B:B,'Курс валют'!A:D,4,0)</f>
        <v>91.4262</v>
      </c>
      <c r="D45" s="15">
        <v>140.0</v>
      </c>
      <c r="E45" s="59" t="s">
        <v>18</v>
      </c>
      <c r="F45" s="15">
        <v>1680.0</v>
      </c>
      <c r="G45" s="13">
        <v>1714.0</v>
      </c>
      <c r="H45" s="17">
        <v>0.0</v>
      </c>
      <c r="I45" s="15">
        <f t="shared" si="1"/>
        <v>34</v>
      </c>
      <c r="J45" s="18">
        <f t="shared" si="2"/>
        <v>2.023809524</v>
      </c>
      <c r="K45" s="17">
        <v>3.1</v>
      </c>
      <c r="L45" s="19">
        <f t="shared" si="3"/>
        <v>0</v>
      </c>
      <c r="M45" s="20">
        <f t="shared" si="4"/>
        <v>283.42122</v>
      </c>
      <c r="N45" s="21">
        <f t="shared" si="5"/>
        <v>3.1</v>
      </c>
      <c r="O45" s="21">
        <f t="shared" si="6"/>
        <v>5208</v>
      </c>
      <c r="P45" s="22">
        <f t="shared" si="7"/>
        <v>476147.6496</v>
      </c>
      <c r="R45" s="31" t="s">
        <v>2298</v>
      </c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>
        <v>45740.0</v>
      </c>
      <c r="B46" s="11">
        <v>45740.0</v>
      </c>
      <c r="C46" s="12">
        <f>VLOOKUP(B:B,'Курс валют'!A:D,4,0)</f>
        <v>91.4262</v>
      </c>
      <c r="D46" s="15">
        <v>141.0</v>
      </c>
      <c r="E46" s="59" t="s">
        <v>53</v>
      </c>
      <c r="F46" s="15">
        <v>1600.0</v>
      </c>
      <c r="G46" s="13">
        <v>1620.12</v>
      </c>
      <c r="H46" s="17">
        <v>0.0</v>
      </c>
      <c r="I46" s="15">
        <f t="shared" si="1"/>
        <v>20.12</v>
      </c>
      <c r="J46" s="18">
        <f t="shared" si="2"/>
        <v>1.2575</v>
      </c>
      <c r="K46" s="17">
        <v>1.97</v>
      </c>
      <c r="L46" s="19">
        <f t="shared" si="3"/>
        <v>0</v>
      </c>
      <c r="M46" s="78"/>
      <c r="N46" s="21">
        <f t="shared" si="5"/>
        <v>1.97</v>
      </c>
      <c r="O46" s="21">
        <f t="shared" si="6"/>
        <v>3152</v>
      </c>
      <c r="P46" s="22">
        <f t="shared" si="7"/>
        <v>288175.3824</v>
      </c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>
        <v>45740.0</v>
      </c>
      <c r="B47" s="11">
        <v>45740.0</v>
      </c>
      <c r="C47" s="12">
        <f>VLOOKUP(B:B,'Курс валют'!A:D,4,0)</f>
        <v>91.4262</v>
      </c>
      <c r="D47" s="15">
        <v>142.0</v>
      </c>
      <c r="E47" s="59" t="s">
        <v>55</v>
      </c>
      <c r="F47" s="15">
        <v>800.0</v>
      </c>
      <c r="G47" s="13">
        <v>827.2</v>
      </c>
      <c r="H47" s="58">
        <v>0.0</v>
      </c>
      <c r="I47" s="15">
        <f t="shared" si="1"/>
        <v>27.2</v>
      </c>
      <c r="J47" s="18">
        <f t="shared" si="2"/>
        <v>3.4</v>
      </c>
      <c r="K47" s="17">
        <v>2.72</v>
      </c>
      <c r="L47" s="19">
        <f t="shared" si="3"/>
        <v>0</v>
      </c>
      <c r="M47" s="20">
        <f t="shared" ref="M47:M82" si="8">P47/F47</f>
        <v>248.679264</v>
      </c>
      <c r="N47" s="21">
        <f t="shared" si="5"/>
        <v>2.72</v>
      </c>
      <c r="O47" s="21">
        <f t="shared" si="6"/>
        <v>2176</v>
      </c>
      <c r="P47" s="22">
        <f t="shared" si="7"/>
        <v>198943.4112</v>
      </c>
      <c r="R47" s="23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30">
        <v>45736.0</v>
      </c>
      <c r="B48" s="11">
        <v>45740.0</v>
      </c>
      <c r="C48" s="12">
        <f>VLOOKUP(B:B,'Курс валют'!A:D,4,0)</f>
        <v>91.4262</v>
      </c>
      <c r="D48" s="15">
        <v>143.0</v>
      </c>
      <c r="E48" s="59" t="s">
        <v>63</v>
      </c>
      <c r="F48" s="15">
        <v>900.0</v>
      </c>
      <c r="G48" s="13">
        <v>932.0</v>
      </c>
      <c r="H48" s="58">
        <v>0.0</v>
      </c>
      <c r="I48" s="15">
        <f t="shared" si="1"/>
        <v>32</v>
      </c>
      <c r="J48" s="18">
        <f t="shared" si="2"/>
        <v>3.555555556</v>
      </c>
      <c r="K48" s="17">
        <v>2.17</v>
      </c>
      <c r="L48" s="19">
        <f t="shared" si="3"/>
        <v>0</v>
      </c>
      <c r="M48" s="20">
        <f t="shared" si="8"/>
        <v>198.394854</v>
      </c>
      <c r="N48" s="21">
        <f t="shared" si="5"/>
        <v>2.17</v>
      </c>
      <c r="O48" s="21">
        <f t="shared" si="6"/>
        <v>1953</v>
      </c>
      <c r="P48" s="22">
        <f t="shared" si="7"/>
        <v>178555.3686</v>
      </c>
      <c r="R48" s="31" t="s">
        <v>2294</v>
      </c>
      <c r="S48" s="24" t="s">
        <v>2292</v>
      </c>
      <c r="T48" s="25"/>
      <c r="U48" s="25"/>
      <c r="V48" s="25"/>
      <c r="W48" s="25"/>
      <c r="X48" s="25"/>
      <c r="Y48" s="25"/>
      <c r="Z48" s="25"/>
      <c r="AA48" s="25"/>
    </row>
    <row r="49">
      <c r="A49" s="30">
        <v>45737.0</v>
      </c>
      <c r="B49" s="11">
        <v>45740.0</v>
      </c>
      <c r="C49" s="12">
        <f>VLOOKUP(B:B,'Курс валют'!A:D,4,0)</f>
        <v>91.4262</v>
      </c>
      <c r="D49" s="15">
        <v>144.0</v>
      </c>
      <c r="E49" s="59" t="s">
        <v>63</v>
      </c>
      <c r="F49" s="15">
        <v>900.0</v>
      </c>
      <c r="G49" s="13">
        <v>932.0</v>
      </c>
      <c r="H49" s="58">
        <v>0.0</v>
      </c>
      <c r="I49" s="15">
        <f t="shared" si="1"/>
        <v>32</v>
      </c>
      <c r="J49" s="18">
        <f t="shared" si="2"/>
        <v>3.555555556</v>
      </c>
      <c r="K49" s="17">
        <v>2.17</v>
      </c>
      <c r="L49" s="19">
        <f t="shared" si="3"/>
        <v>0</v>
      </c>
      <c r="M49" s="20">
        <f t="shared" si="8"/>
        <v>198.394854</v>
      </c>
      <c r="N49" s="21">
        <f t="shared" si="5"/>
        <v>2.17</v>
      </c>
      <c r="O49" s="21">
        <f t="shared" si="6"/>
        <v>1953</v>
      </c>
      <c r="P49" s="22">
        <f t="shared" si="7"/>
        <v>178555.3686</v>
      </c>
      <c r="R49" s="31" t="s">
        <v>2294</v>
      </c>
      <c r="S49" s="24" t="s">
        <v>2292</v>
      </c>
      <c r="T49" s="25"/>
      <c r="U49" s="25"/>
      <c r="V49" s="25"/>
      <c r="W49" s="25"/>
      <c r="X49" s="25"/>
      <c r="Y49" s="25"/>
      <c r="Z49" s="25"/>
      <c r="AA49" s="25"/>
    </row>
    <row r="50">
      <c r="A50" s="30">
        <v>45738.0</v>
      </c>
      <c r="B50" s="11">
        <v>45740.0</v>
      </c>
      <c r="C50" s="12">
        <f>VLOOKUP(B:B,'Курс валют'!A:D,4,0)</f>
        <v>91.4262</v>
      </c>
      <c r="D50" s="15">
        <v>145.0</v>
      </c>
      <c r="E50" s="59" t="s">
        <v>63</v>
      </c>
      <c r="F50" s="15">
        <v>900.0</v>
      </c>
      <c r="G50" s="13">
        <v>934.0</v>
      </c>
      <c r="H50" s="58">
        <v>0.0</v>
      </c>
      <c r="I50" s="15">
        <f t="shared" si="1"/>
        <v>34</v>
      </c>
      <c r="J50" s="18">
        <f t="shared" si="2"/>
        <v>3.777777778</v>
      </c>
      <c r="K50" s="62">
        <v>2.17</v>
      </c>
      <c r="L50" s="19">
        <f t="shared" si="3"/>
        <v>0</v>
      </c>
      <c r="M50" s="20">
        <f t="shared" si="8"/>
        <v>198.394854</v>
      </c>
      <c r="N50" s="21">
        <f t="shared" si="5"/>
        <v>2.17</v>
      </c>
      <c r="O50" s="21">
        <f t="shared" si="6"/>
        <v>1953</v>
      </c>
      <c r="P50" s="22">
        <f t="shared" si="7"/>
        <v>178555.3686</v>
      </c>
      <c r="R50" s="31" t="s">
        <v>2294</v>
      </c>
      <c r="S50" s="24" t="s">
        <v>2292</v>
      </c>
      <c r="T50" s="25"/>
      <c r="U50" s="25"/>
      <c r="V50" s="25"/>
      <c r="W50" s="25"/>
      <c r="X50" s="25"/>
      <c r="Y50" s="25"/>
      <c r="Z50" s="25"/>
      <c r="AA50" s="25"/>
    </row>
    <row r="51">
      <c r="A51" s="30">
        <v>45739.0</v>
      </c>
      <c r="B51" s="11">
        <v>45740.0</v>
      </c>
      <c r="C51" s="12">
        <f>VLOOKUP(B:B,'Курс валют'!A:D,4,0)</f>
        <v>91.4262</v>
      </c>
      <c r="D51" s="15">
        <v>146.0</v>
      </c>
      <c r="E51" s="59" t="s">
        <v>63</v>
      </c>
      <c r="F51" s="15">
        <v>900.0</v>
      </c>
      <c r="G51" s="13">
        <v>933.0</v>
      </c>
      <c r="H51" s="17">
        <v>0.0</v>
      </c>
      <c r="I51" s="15">
        <f t="shared" si="1"/>
        <v>33</v>
      </c>
      <c r="J51" s="18">
        <f t="shared" si="2"/>
        <v>3.666666667</v>
      </c>
      <c r="K51" s="62">
        <v>2.17</v>
      </c>
      <c r="L51" s="19">
        <f t="shared" si="3"/>
        <v>0</v>
      </c>
      <c r="M51" s="20">
        <f t="shared" si="8"/>
        <v>198.394854</v>
      </c>
      <c r="N51" s="21">
        <f t="shared" si="5"/>
        <v>2.17</v>
      </c>
      <c r="O51" s="21">
        <f t="shared" si="6"/>
        <v>1953</v>
      </c>
      <c r="P51" s="22">
        <f t="shared" si="7"/>
        <v>178555.3686</v>
      </c>
      <c r="R51" s="31" t="s">
        <v>2294</v>
      </c>
      <c r="S51" s="24" t="s">
        <v>2292</v>
      </c>
      <c r="T51" s="25"/>
      <c r="U51" s="25"/>
      <c r="V51" s="25"/>
      <c r="W51" s="25"/>
      <c r="X51" s="25"/>
      <c r="Y51" s="25"/>
      <c r="Z51" s="25"/>
      <c r="AA51" s="25"/>
    </row>
    <row r="52">
      <c r="A52" s="30">
        <v>45740.0</v>
      </c>
      <c r="B52" s="11">
        <v>45741.0</v>
      </c>
      <c r="C52" s="12">
        <f>VLOOKUP(B:B,'Курс валют'!A:D,4,0)</f>
        <v>91.5252</v>
      </c>
      <c r="D52" s="15">
        <v>147.0</v>
      </c>
      <c r="E52" s="59" t="s">
        <v>18</v>
      </c>
      <c r="F52" s="15">
        <v>1100.0</v>
      </c>
      <c r="G52" s="13">
        <v>1154.0</v>
      </c>
      <c r="H52" s="17">
        <v>20.0</v>
      </c>
      <c r="I52" s="15">
        <f t="shared" si="1"/>
        <v>54</v>
      </c>
      <c r="J52" s="18">
        <f t="shared" si="2"/>
        <v>4.909090909</v>
      </c>
      <c r="K52" s="62">
        <v>2.87</v>
      </c>
      <c r="L52" s="19">
        <f t="shared" si="3"/>
        <v>1.818181818</v>
      </c>
      <c r="M52" s="20">
        <f t="shared" si="8"/>
        <v>257.6184766</v>
      </c>
      <c r="N52" s="21">
        <f t="shared" si="5"/>
        <v>2.814727273</v>
      </c>
      <c r="O52" s="21">
        <f t="shared" si="6"/>
        <v>3096.2</v>
      </c>
      <c r="P52" s="22">
        <f t="shared" si="7"/>
        <v>283380.3242</v>
      </c>
      <c r="R52" s="31" t="s">
        <v>2299</v>
      </c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30">
        <v>45741.0</v>
      </c>
      <c r="B53" s="11">
        <v>45741.0</v>
      </c>
      <c r="C53" s="12">
        <f>VLOOKUP(B:B,'Курс валют'!A:D,4,0)</f>
        <v>91.5252</v>
      </c>
      <c r="D53" s="15">
        <v>148.0</v>
      </c>
      <c r="E53" s="59" t="s">
        <v>1861</v>
      </c>
      <c r="F53" s="15">
        <v>400.0</v>
      </c>
      <c r="G53" s="13">
        <v>400.0</v>
      </c>
      <c r="H53" s="17">
        <v>0.0</v>
      </c>
      <c r="I53" s="15">
        <f t="shared" si="1"/>
        <v>0</v>
      </c>
      <c r="J53" s="18">
        <f t="shared" si="2"/>
        <v>0</v>
      </c>
      <c r="K53" s="17">
        <v>2.68</v>
      </c>
      <c r="L53" s="19">
        <f t="shared" si="3"/>
        <v>0</v>
      </c>
      <c r="M53" s="20">
        <f t="shared" si="8"/>
        <v>245.287536</v>
      </c>
      <c r="N53" s="21">
        <f t="shared" si="5"/>
        <v>2.68</v>
      </c>
      <c r="O53" s="21">
        <f t="shared" si="6"/>
        <v>1072</v>
      </c>
      <c r="P53" s="22">
        <f t="shared" si="7"/>
        <v>98115.0144</v>
      </c>
      <c r="R53" s="23" t="s">
        <v>1101</v>
      </c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30">
        <v>45742.0</v>
      </c>
      <c r="B54" s="11">
        <v>45743.0</v>
      </c>
      <c r="C54" s="12">
        <f>VLOOKUP(B:B,'Курс валют'!A:D,4,0)</f>
        <v>92.0029</v>
      </c>
      <c r="D54" s="15">
        <v>151.0</v>
      </c>
      <c r="E54" s="64" t="s">
        <v>82</v>
      </c>
      <c r="F54" s="15">
        <v>1200.0</v>
      </c>
      <c r="G54" s="13">
        <v>1200.0</v>
      </c>
      <c r="H54" s="17">
        <v>0.0</v>
      </c>
      <c r="I54" s="15">
        <f t="shared" si="1"/>
        <v>0</v>
      </c>
      <c r="J54" s="18">
        <f t="shared" si="2"/>
        <v>0</v>
      </c>
      <c r="K54" s="17">
        <v>3.43</v>
      </c>
      <c r="L54" s="19">
        <f t="shared" si="3"/>
        <v>0</v>
      </c>
      <c r="M54" s="20">
        <f t="shared" si="8"/>
        <v>315.569947</v>
      </c>
      <c r="N54" s="21">
        <f t="shared" si="5"/>
        <v>3.43</v>
      </c>
      <c r="O54" s="21">
        <f t="shared" si="6"/>
        <v>4116</v>
      </c>
      <c r="P54" s="22">
        <f t="shared" si="7"/>
        <v>378683.9364</v>
      </c>
      <c r="R54" s="23" t="s">
        <v>1101</v>
      </c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30">
        <v>45743.0</v>
      </c>
      <c r="B55" s="11">
        <v>45743.0</v>
      </c>
      <c r="C55" s="12">
        <f>VLOOKUP(B:B,'Курс валют'!A:D,4,0)</f>
        <v>92.0029</v>
      </c>
      <c r="D55" s="15">
        <v>152.0</v>
      </c>
      <c r="E55" s="64" t="s">
        <v>18</v>
      </c>
      <c r="F55" s="15">
        <v>2200.0</v>
      </c>
      <c r="G55" s="15">
        <v>2216.0</v>
      </c>
      <c r="H55" s="17">
        <v>40.0</v>
      </c>
      <c r="I55" s="15">
        <f t="shared" si="1"/>
        <v>16</v>
      </c>
      <c r="J55" s="18">
        <f t="shared" si="2"/>
        <v>0.7272727273</v>
      </c>
      <c r="K55" s="17">
        <v>2.74</v>
      </c>
      <c r="L55" s="19">
        <f t="shared" si="3"/>
        <v>1.818181818</v>
      </c>
      <c r="M55" s="20">
        <f t="shared" si="8"/>
        <v>247.0026948</v>
      </c>
      <c r="N55" s="21">
        <f t="shared" si="5"/>
        <v>2.684727273</v>
      </c>
      <c r="O55" s="21">
        <f t="shared" si="6"/>
        <v>5906.4</v>
      </c>
      <c r="P55" s="22">
        <f t="shared" si="7"/>
        <v>543405.9286</v>
      </c>
      <c r="R55" s="31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>
        <v>45744.0</v>
      </c>
      <c r="B56" s="11">
        <v>45744.0</v>
      </c>
      <c r="C56" s="12">
        <f>VLOOKUP(B:B,'Курс валют'!A:D,4,0)</f>
        <v>90.5441</v>
      </c>
      <c r="D56" s="15">
        <v>153.0</v>
      </c>
      <c r="E56" s="64" t="s">
        <v>18</v>
      </c>
      <c r="F56" s="15">
        <v>4400.0</v>
      </c>
      <c r="G56" s="15">
        <v>4427.0</v>
      </c>
      <c r="H56" s="17">
        <v>79.0</v>
      </c>
      <c r="I56" s="15">
        <f t="shared" si="1"/>
        <v>27</v>
      </c>
      <c r="J56" s="18">
        <f t="shared" si="2"/>
        <v>0.6136363636</v>
      </c>
      <c r="K56" s="17">
        <v>2.73</v>
      </c>
      <c r="L56" s="19">
        <f t="shared" si="3"/>
        <v>1.795454545</v>
      </c>
      <c r="M56" s="20">
        <f t="shared" si="8"/>
        <v>242.2433314</v>
      </c>
      <c r="N56" s="21">
        <f t="shared" si="5"/>
        <v>2.675418182</v>
      </c>
      <c r="O56" s="21">
        <f t="shared" si="6"/>
        <v>11771.84</v>
      </c>
      <c r="P56" s="22">
        <f t="shared" si="7"/>
        <v>1065870.658</v>
      </c>
      <c r="R56" s="31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>
        <v>45744.0</v>
      </c>
      <c r="B57" s="11">
        <v>45747.0</v>
      </c>
      <c r="C57" s="12">
        <f>VLOOKUP(B:B,'Курс валют'!A:D,4,0)</f>
        <v>89.6553</v>
      </c>
      <c r="D57" s="15">
        <v>154.0</v>
      </c>
      <c r="E57" s="64" t="s">
        <v>18</v>
      </c>
      <c r="F57" s="15">
        <v>1100.0</v>
      </c>
      <c r="G57" s="15">
        <v>1109.0</v>
      </c>
      <c r="H57" s="17">
        <v>20.0</v>
      </c>
      <c r="I57" s="15">
        <f t="shared" si="1"/>
        <v>9</v>
      </c>
      <c r="J57" s="18">
        <f t="shared" si="2"/>
        <v>0.8181818182</v>
      </c>
      <c r="K57" s="17">
        <v>2.74</v>
      </c>
      <c r="L57" s="19">
        <f t="shared" si="3"/>
        <v>1.818181818</v>
      </c>
      <c r="M57" s="20">
        <f t="shared" si="8"/>
        <v>240.7000291</v>
      </c>
      <c r="N57" s="21">
        <f t="shared" si="5"/>
        <v>2.684727273</v>
      </c>
      <c r="O57" s="21">
        <f t="shared" si="6"/>
        <v>2953.2</v>
      </c>
      <c r="P57" s="22">
        <f t="shared" si="7"/>
        <v>264770.032</v>
      </c>
      <c r="R57" s="78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>
        <v>45744.0</v>
      </c>
      <c r="B58" s="11">
        <v>45747.0</v>
      </c>
      <c r="C58" s="12">
        <f>VLOOKUP(B:B,'Курс валют'!A:D,4,0)</f>
        <v>89.6553</v>
      </c>
      <c r="D58" s="15">
        <v>155.0</v>
      </c>
      <c r="E58" s="64" t="s">
        <v>18</v>
      </c>
      <c r="F58" s="15">
        <v>5500.0</v>
      </c>
      <c r="G58" s="15">
        <v>5527.0</v>
      </c>
      <c r="H58" s="17">
        <v>99.0</v>
      </c>
      <c r="I58" s="15">
        <f t="shared" si="1"/>
        <v>27</v>
      </c>
      <c r="J58" s="18">
        <f t="shared" si="2"/>
        <v>0.4909090909</v>
      </c>
      <c r="K58" s="17">
        <v>2.74</v>
      </c>
      <c r="L58" s="19">
        <f t="shared" si="3"/>
        <v>1.8</v>
      </c>
      <c r="M58" s="20">
        <f t="shared" si="8"/>
        <v>240.749584</v>
      </c>
      <c r="N58" s="21">
        <f t="shared" si="5"/>
        <v>2.68528</v>
      </c>
      <c r="O58" s="21">
        <f t="shared" si="6"/>
        <v>14769.04</v>
      </c>
      <c r="P58" s="22">
        <f t="shared" si="7"/>
        <v>1324122.712</v>
      </c>
      <c r="R58" s="79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/>
      <c r="C59" s="12" t="str">
        <f>VLOOKUP(B:B,'Курс валют'!A:D,4,0)</f>
        <v>#N/A</v>
      </c>
      <c r="D59" s="15"/>
      <c r="E59" s="64"/>
      <c r="F59" s="15"/>
      <c r="G59" s="15"/>
      <c r="H59" s="17"/>
      <c r="I59" s="15">
        <f t="shared" si="1"/>
        <v>0</v>
      </c>
      <c r="J59" s="18" t="str">
        <f t="shared" si="2"/>
        <v>#DIV/0!</v>
      </c>
      <c r="K59" s="17"/>
      <c r="L59" s="19" t="str">
        <f t="shared" si="3"/>
        <v>#DIV/0!</v>
      </c>
      <c r="M59" s="20" t="str">
        <f t="shared" si="8"/>
        <v>#DIV/0!</v>
      </c>
      <c r="N59" s="21" t="str">
        <f t="shared" si="5"/>
        <v>#DIV/0!</v>
      </c>
      <c r="O59" s="21" t="str">
        <f t="shared" si="6"/>
        <v>#DIV/0!</v>
      </c>
      <c r="P59" s="22" t="str">
        <f t="shared" si="7"/>
        <v>#DIV/0!</v>
      </c>
      <c r="R59" s="23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/>
      <c r="C60" s="12" t="str">
        <f>VLOOKUP(B:B,'Курс валют'!A:D,4,0)</f>
        <v>#N/A</v>
      </c>
      <c r="D60" s="15"/>
      <c r="E60" s="64"/>
      <c r="F60" s="15"/>
      <c r="G60" s="15"/>
      <c r="H60" s="17"/>
      <c r="I60" s="15">
        <f t="shared" si="1"/>
        <v>0</v>
      </c>
      <c r="J60" s="18" t="str">
        <f t="shared" si="2"/>
        <v>#DIV/0!</v>
      </c>
      <c r="K60" s="17"/>
      <c r="L60" s="19" t="str">
        <f t="shared" si="3"/>
        <v>#DIV/0!</v>
      </c>
      <c r="M60" s="20" t="str">
        <f t="shared" si="8"/>
        <v>#DIV/0!</v>
      </c>
      <c r="N60" s="21" t="str">
        <f t="shared" si="5"/>
        <v>#DIV/0!</v>
      </c>
      <c r="O60" s="21" t="str">
        <f t="shared" si="6"/>
        <v>#DIV/0!</v>
      </c>
      <c r="P60" s="22" t="str">
        <f t="shared" si="7"/>
        <v>#DIV/0!</v>
      </c>
      <c r="R60" s="79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/>
      <c r="C61" s="12" t="str">
        <f>VLOOKUP(B:B,'Курс валют'!A:D,4,0)</f>
        <v>#N/A</v>
      </c>
      <c r="D61" s="15"/>
      <c r="E61" s="64"/>
      <c r="F61" s="15"/>
      <c r="G61" s="15"/>
      <c r="H61" s="17"/>
      <c r="I61" s="15">
        <f t="shared" si="1"/>
        <v>0</v>
      </c>
      <c r="J61" s="18" t="str">
        <f t="shared" si="2"/>
        <v>#DIV/0!</v>
      </c>
      <c r="K61" s="17"/>
      <c r="L61" s="19" t="str">
        <f t="shared" si="3"/>
        <v>#DIV/0!</v>
      </c>
      <c r="M61" s="20" t="str">
        <f t="shared" si="8"/>
        <v>#DIV/0!</v>
      </c>
      <c r="N61" s="21" t="str">
        <f t="shared" si="5"/>
        <v>#DIV/0!</v>
      </c>
      <c r="O61" s="21" t="str">
        <f t="shared" si="6"/>
        <v>#DIV/0!</v>
      </c>
      <c r="P61" s="22" t="str">
        <f t="shared" si="7"/>
        <v>#DIV/0!</v>
      </c>
      <c r="R61" s="79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/>
      <c r="C62" s="12" t="str">
        <f>VLOOKUP(B:B,'Курс валют'!A:D,4,0)</f>
        <v>#N/A</v>
      </c>
      <c r="D62" s="15"/>
      <c r="E62" s="64"/>
      <c r="F62" s="15"/>
      <c r="G62" s="15"/>
      <c r="H62" s="17"/>
      <c r="I62" s="15">
        <f t="shared" si="1"/>
        <v>0</v>
      </c>
      <c r="J62" s="18" t="str">
        <f t="shared" si="2"/>
        <v>#DIV/0!</v>
      </c>
      <c r="K62" s="17"/>
      <c r="L62" s="19" t="str">
        <f t="shared" si="3"/>
        <v>#DIV/0!</v>
      </c>
      <c r="M62" s="20" t="str">
        <f t="shared" si="8"/>
        <v>#DIV/0!</v>
      </c>
      <c r="N62" s="21" t="str">
        <f t="shared" si="5"/>
        <v>#DIV/0!</v>
      </c>
      <c r="O62" s="21" t="str">
        <f t="shared" si="6"/>
        <v>#DIV/0!</v>
      </c>
      <c r="P62" s="22" t="str">
        <f t="shared" si="7"/>
        <v>#DIV/0!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/>
      <c r="C63" s="12" t="str">
        <f>VLOOKUP(B:B,'Курс валют'!A:D,4,0)</f>
        <v>#N/A</v>
      </c>
      <c r="D63" s="15"/>
      <c r="E63" s="64"/>
      <c r="F63" s="15"/>
      <c r="G63" s="15"/>
      <c r="H63" s="17"/>
      <c r="I63" s="15">
        <f t="shared" si="1"/>
        <v>0</v>
      </c>
      <c r="J63" s="18" t="str">
        <f t="shared" si="2"/>
        <v>#DIV/0!</v>
      </c>
      <c r="K63" s="17"/>
      <c r="L63" s="19" t="str">
        <f t="shared" si="3"/>
        <v>#DIV/0!</v>
      </c>
      <c r="M63" s="20" t="str">
        <f t="shared" si="8"/>
        <v>#DIV/0!</v>
      </c>
      <c r="N63" s="21" t="str">
        <f t="shared" si="5"/>
        <v>#DIV/0!</v>
      </c>
      <c r="O63" s="21" t="str">
        <f t="shared" si="6"/>
        <v>#DIV/0!</v>
      </c>
      <c r="P63" s="22" t="str">
        <f t="shared" si="7"/>
        <v>#DIV/0!</v>
      </c>
      <c r="R63" s="23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/>
      <c r="C64" s="12"/>
      <c r="D64" s="15"/>
      <c r="E64" s="64"/>
      <c r="F64" s="15"/>
      <c r="G64" s="15"/>
      <c r="H64" s="17"/>
      <c r="I64" s="15"/>
      <c r="J64" s="18"/>
      <c r="K64" s="17"/>
      <c r="L64" s="19" t="str">
        <f t="shared" si="3"/>
        <v>#DIV/0!</v>
      </c>
      <c r="M64" s="20" t="str">
        <f t="shared" si="8"/>
        <v>#DIV/0!</v>
      </c>
      <c r="N64" s="21" t="str">
        <f t="shared" si="5"/>
        <v>#DIV/0!</v>
      </c>
      <c r="O64" s="21" t="str">
        <f t="shared" si="6"/>
        <v>#DIV/0!</v>
      </c>
      <c r="P64" s="22" t="str">
        <f t="shared" si="7"/>
        <v>#DIV/0!</v>
      </c>
      <c r="R64" s="79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/>
      <c r="C65" s="12"/>
      <c r="D65" s="15"/>
      <c r="E65" s="64"/>
      <c r="F65" s="15"/>
      <c r="G65" s="15"/>
      <c r="H65" s="17"/>
      <c r="I65" s="15"/>
      <c r="J65" s="18"/>
      <c r="K65" s="17"/>
      <c r="L65" s="19" t="str">
        <f t="shared" si="3"/>
        <v>#DIV/0!</v>
      </c>
      <c r="M65" s="20" t="str">
        <f t="shared" si="8"/>
        <v>#DIV/0!</v>
      </c>
      <c r="N65" s="21" t="str">
        <f t="shared" si="5"/>
        <v>#DIV/0!</v>
      </c>
      <c r="O65" s="21" t="str">
        <f t="shared" si="6"/>
        <v>#DIV/0!</v>
      </c>
      <c r="P65" s="22" t="str">
        <f t="shared" si="7"/>
        <v>#DIV/0!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63"/>
      <c r="B66" s="11"/>
      <c r="C66" s="12"/>
      <c r="D66" s="15"/>
      <c r="E66" s="64"/>
      <c r="F66" s="15"/>
      <c r="G66" s="15"/>
      <c r="H66" s="17"/>
      <c r="I66" s="15"/>
      <c r="J66" s="18"/>
      <c r="K66" s="17"/>
      <c r="L66" s="19" t="str">
        <f t="shared" si="3"/>
        <v>#DIV/0!</v>
      </c>
      <c r="M66" s="20" t="str">
        <f t="shared" si="8"/>
        <v>#DIV/0!</v>
      </c>
      <c r="N66" s="21" t="str">
        <f t="shared" si="5"/>
        <v>#DIV/0!</v>
      </c>
      <c r="O66" s="21" t="str">
        <f t="shared" si="6"/>
        <v>#DIV/0!</v>
      </c>
      <c r="P66" s="22" t="str">
        <f t="shared" si="7"/>
        <v>#DIV/0!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63"/>
      <c r="B67" s="11"/>
      <c r="C67" s="12"/>
      <c r="D67" s="15"/>
      <c r="E67" s="64"/>
      <c r="F67" s="15"/>
      <c r="G67" s="15"/>
      <c r="H67" s="17"/>
      <c r="I67" s="15"/>
      <c r="J67" s="18"/>
      <c r="K67" s="17"/>
      <c r="L67" s="19" t="str">
        <f t="shared" si="3"/>
        <v>#DIV/0!</v>
      </c>
      <c r="M67" s="20" t="str">
        <f t="shared" si="8"/>
        <v>#DIV/0!</v>
      </c>
      <c r="N67" s="21" t="str">
        <f t="shared" si="5"/>
        <v>#DIV/0!</v>
      </c>
      <c r="O67" s="21" t="str">
        <f t="shared" si="6"/>
        <v>#DIV/0!</v>
      </c>
      <c r="P67" s="22" t="str">
        <f t="shared" si="7"/>
        <v>#DIV/0!</v>
      </c>
      <c r="R67" s="79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/>
      <c r="C68" s="12"/>
      <c r="D68" s="15"/>
      <c r="E68" s="64"/>
      <c r="F68" s="15"/>
      <c r="G68" s="15"/>
      <c r="H68" s="17"/>
      <c r="I68" s="15"/>
      <c r="J68" s="18"/>
      <c r="K68" s="17"/>
      <c r="L68" s="19" t="str">
        <f t="shared" si="3"/>
        <v>#DIV/0!</v>
      </c>
      <c r="M68" s="20" t="str">
        <f t="shared" si="8"/>
        <v>#DIV/0!</v>
      </c>
      <c r="N68" s="21" t="str">
        <f t="shared" si="5"/>
        <v>#DIV/0!</v>
      </c>
      <c r="O68" s="21" t="str">
        <f t="shared" si="6"/>
        <v>#DIV/0!</v>
      </c>
      <c r="P68" s="22" t="str">
        <f t="shared" si="7"/>
        <v>#DIV/0!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47"/>
      <c r="B69" s="11"/>
      <c r="C69" s="12"/>
      <c r="D69" s="15"/>
      <c r="E69" s="64"/>
      <c r="F69" s="15"/>
      <c r="G69" s="15"/>
      <c r="H69" s="17"/>
      <c r="I69" s="15"/>
      <c r="J69" s="18"/>
      <c r="K69" s="17"/>
      <c r="L69" s="19" t="str">
        <f t="shared" si="3"/>
        <v>#DIV/0!</v>
      </c>
      <c r="M69" s="20" t="str">
        <f t="shared" si="8"/>
        <v>#DIV/0!</v>
      </c>
      <c r="N69" s="21" t="str">
        <f t="shared" si="5"/>
        <v>#DIV/0!</v>
      </c>
      <c r="O69" s="21" t="str">
        <f t="shared" si="6"/>
        <v>#DIV/0!</v>
      </c>
      <c r="P69" s="22" t="str">
        <f t="shared" si="7"/>
        <v>#DIV/0!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47"/>
      <c r="B70" s="11"/>
      <c r="C70" s="12"/>
      <c r="D70" s="15"/>
      <c r="E70" s="64"/>
      <c r="F70" s="15"/>
      <c r="G70" s="15"/>
      <c r="H70" s="17"/>
      <c r="I70" s="15"/>
      <c r="J70" s="18"/>
      <c r="K70" s="17"/>
      <c r="L70" s="19" t="str">
        <f t="shared" si="3"/>
        <v>#DIV/0!</v>
      </c>
      <c r="M70" s="20" t="str">
        <f t="shared" si="8"/>
        <v>#DIV/0!</v>
      </c>
      <c r="N70" s="21" t="str">
        <f t="shared" si="5"/>
        <v>#DIV/0!</v>
      </c>
      <c r="O70" s="21" t="str">
        <f t="shared" si="6"/>
        <v>#DIV/0!</v>
      </c>
      <c r="P70" s="22" t="str">
        <f t="shared" si="7"/>
        <v>#DIV/0!</v>
      </c>
      <c r="R70" s="79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47"/>
      <c r="B71" s="11"/>
      <c r="C71" s="12"/>
      <c r="D71" s="15"/>
      <c r="E71" s="64"/>
      <c r="F71" s="15"/>
      <c r="G71" s="15"/>
      <c r="H71" s="17"/>
      <c r="I71" s="15"/>
      <c r="J71" s="18"/>
      <c r="K71" s="17"/>
      <c r="L71" s="19" t="str">
        <f t="shared" si="3"/>
        <v>#DIV/0!</v>
      </c>
      <c r="M71" s="20" t="str">
        <f t="shared" si="8"/>
        <v>#DIV/0!</v>
      </c>
      <c r="N71" s="21" t="str">
        <f t="shared" si="5"/>
        <v>#DIV/0!</v>
      </c>
      <c r="O71" s="21" t="str">
        <f t="shared" si="6"/>
        <v>#DIV/0!</v>
      </c>
      <c r="P71" s="22" t="str">
        <f t="shared" si="7"/>
        <v>#DIV/0!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47"/>
      <c r="B72" s="11"/>
      <c r="C72" s="12"/>
      <c r="D72" s="15"/>
      <c r="E72" s="64"/>
      <c r="F72" s="15"/>
      <c r="G72" s="15"/>
      <c r="H72" s="17"/>
      <c r="I72" s="15"/>
      <c r="J72" s="18"/>
      <c r="K72" s="17"/>
      <c r="L72" s="19" t="str">
        <f t="shared" si="3"/>
        <v>#DIV/0!</v>
      </c>
      <c r="M72" s="20" t="str">
        <f t="shared" si="8"/>
        <v>#DIV/0!</v>
      </c>
      <c r="N72" s="21" t="str">
        <f t="shared" si="5"/>
        <v>#DIV/0!</v>
      </c>
      <c r="O72" s="21" t="str">
        <f t="shared" si="6"/>
        <v>#DIV/0!</v>
      </c>
      <c r="P72" s="22" t="str">
        <f t="shared" si="7"/>
        <v>#DIV/0!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47"/>
      <c r="B73" s="11"/>
      <c r="C73" s="12"/>
      <c r="D73" s="15"/>
      <c r="E73" s="64"/>
      <c r="F73" s="15"/>
      <c r="G73" s="15"/>
      <c r="H73" s="17"/>
      <c r="I73" s="15"/>
      <c r="J73" s="18"/>
      <c r="K73" s="17"/>
      <c r="L73" s="19" t="str">
        <f t="shared" si="3"/>
        <v>#DIV/0!</v>
      </c>
      <c r="M73" s="20" t="str">
        <f t="shared" si="8"/>
        <v>#DIV/0!</v>
      </c>
      <c r="N73" s="21" t="str">
        <f t="shared" si="5"/>
        <v>#DIV/0!</v>
      </c>
      <c r="O73" s="21" t="str">
        <f t="shared" si="6"/>
        <v>#DIV/0!</v>
      </c>
      <c r="P73" s="22" t="str">
        <f t="shared" si="7"/>
        <v>#DIV/0!</v>
      </c>
      <c r="R73" s="79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47"/>
      <c r="B74" s="11"/>
      <c r="C74" s="12"/>
      <c r="D74" s="15"/>
      <c r="E74" s="64"/>
      <c r="F74" s="15"/>
      <c r="G74" s="15"/>
      <c r="H74" s="17"/>
      <c r="I74" s="15"/>
      <c r="J74" s="18"/>
      <c r="K74" s="17"/>
      <c r="L74" s="19" t="str">
        <f t="shared" si="3"/>
        <v>#DIV/0!</v>
      </c>
      <c r="M74" s="20" t="str">
        <f t="shared" si="8"/>
        <v>#DIV/0!</v>
      </c>
      <c r="N74" s="21" t="str">
        <f t="shared" si="5"/>
        <v>#DIV/0!</v>
      </c>
      <c r="O74" s="21" t="str">
        <f t="shared" si="6"/>
        <v>#DIV/0!</v>
      </c>
      <c r="P74" s="22" t="str">
        <f t="shared" si="7"/>
        <v>#DIV/0!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47"/>
      <c r="B75" s="11"/>
      <c r="C75" s="12"/>
      <c r="D75" s="15"/>
      <c r="E75" s="64"/>
      <c r="F75" s="15"/>
      <c r="G75" s="15"/>
      <c r="H75" s="17"/>
      <c r="I75" s="15"/>
      <c r="J75" s="18"/>
      <c r="K75" s="17"/>
      <c r="L75" s="19" t="str">
        <f t="shared" si="3"/>
        <v>#DIV/0!</v>
      </c>
      <c r="M75" s="20" t="str">
        <f t="shared" si="8"/>
        <v>#DIV/0!</v>
      </c>
      <c r="N75" s="21" t="str">
        <f t="shared" si="5"/>
        <v>#DIV/0!</v>
      </c>
      <c r="O75" s="21" t="str">
        <f t="shared" si="6"/>
        <v>#DIV/0!</v>
      </c>
      <c r="P75" s="22" t="str">
        <f t="shared" si="7"/>
        <v>#DIV/0!</v>
      </c>
      <c r="R75" s="79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48"/>
      <c r="B76" s="11"/>
      <c r="C76" s="12"/>
      <c r="D76" s="15"/>
      <c r="E76" s="64"/>
      <c r="F76" s="15"/>
      <c r="G76" s="15"/>
      <c r="H76" s="17"/>
      <c r="I76" s="15"/>
      <c r="J76" s="18"/>
      <c r="K76" s="17"/>
      <c r="L76" s="19" t="str">
        <f t="shared" si="3"/>
        <v>#DIV/0!</v>
      </c>
      <c r="M76" s="20" t="str">
        <f t="shared" si="8"/>
        <v>#DIV/0!</v>
      </c>
      <c r="N76" s="21" t="str">
        <f t="shared" si="5"/>
        <v>#DIV/0!</v>
      </c>
      <c r="O76" s="21" t="str">
        <f t="shared" si="6"/>
        <v>#DIV/0!</v>
      </c>
      <c r="P76" s="22" t="str">
        <f t="shared" si="7"/>
        <v>#DIV/0!</v>
      </c>
      <c r="R76" s="79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48"/>
      <c r="B77" s="11"/>
      <c r="C77" s="12"/>
      <c r="D77" s="15"/>
      <c r="E77" s="59"/>
      <c r="F77" s="15"/>
      <c r="G77" s="15"/>
      <c r="H77" s="17"/>
      <c r="I77" s="15"/>
      <c r="J77" s="18"/>
      <c r="K77" s="17"/>
      <c r="L77" s="19" t="str">
        <f t="shared" si="3"/>
        <v>#DIV/0!</v>
      </c>
      <c r="M77" s="20" t="str">
        <f t="shared" si="8"/>
        <v>#DIV/0!</v>
      </c>
      <c r="N77" s="21" t="str">
        <f t="shared" si="5"/>
        <v>#DIV/0!</v>
      </c>
      <c r="O77" s="21" t="str">
        <f t="shared" si="6"/>
        <v>#DIV/0!</v>
      </c>
      <c r="P77" s="22" t="str">
        <f t="shared" si="7"/>
        <v>#DIV/0!</v>
      </c>
      <c r="R77" s="79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48"/>
      <c r="B78" s="11"/>
      <c r="C78" s="12"/>
      <c r="D78" s="15"/>
      <c r="E78" s="59"/>
      <c r="F78" s="15"/>
      <c r="G78" s="15"/>
      <c r="H78" s="17"/>
      <c r="I78" s="15"/>
      <c r="J78" s="18"/>
      <c r="K78" s="17"/>
      <c r="L78" s="19" t="str">
        <f t="shared" si="3"/>
        <v>#DIV/0!</v>
      </c>
      <c r="M78" s="20" t="str">
        <f t="shared" si="8"/>
        <v>#DIV/0!</v>
      </c>
      <c r="N78" s="21" t="str">
        <f t="shared" si="5"/>
        <v>#DIV/0!</v>
      </c>
      <c r="O78" s="21" t="str">
        <f t="shared" si="6"/>
        <v>#DIV/0!</v>
      </c>
      <c r="P78" s="22" t="str">
        <f t="shared" si="7"/>
        <v>#DIV/0!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48"/>
      <c r="B79" s="11"/>
      <c r="C79" s="12"/>
      <c r="D79" s="15"/>
      <c r="E79" s="59"/>
      <c r="F79" s="15"/>
      <c r="G79" s="15"/>
      <c r="H79" s="65"/>
      <c r="I79" s="15"/>
      <c r="J79" s="18"/>
      <c r="K79" s="65"/>
      <c r="L79" s="19" t="str">
        <f t="shared" si="3"/>
        <v>#DIV/0!</v>
      </c>
      <c r="M79" s="20" t="str">
        <f t="shared" si="8"/>
        <v>#DIV/0!</v>
      </c>
      <c r="N79" s="21" t="str">
        <f t="shared" si="5"/>
        <v>#DIV/0!</v>
      </c>
      <c r="O79" s="21" t="str">
        <f t="shared" si="6"/>
        <v>#DIV/0!</v>
      </c>
      <c r="P79" s="22" t="str">
        <f t="shared" si="7"/>
        <v>#DIV/0!</v>
      </c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48"/>
      <c r="B80" s="11"/>
      <c r="C80" s="12"/>
      <c r="D80" s="15"/>
      <c r="E80" s="59"/>
      <c r="F80" s="15"/>
      <c r="G80" s="15"/>
      <c r="H80" s="65"/>
      <c r="I80" s="15"/>
      <c r="J80" s="18"/>
      <c r="K80" s="65"/>
      <c r="L80" s="19" t="str">
        <f t="shared" si="3"/>
        <v>#DIV/0!</v>
      </c>
      <c r="M80" s="20" t="str">
        <f t="shared" si="8"/>
        <v>#DIV/0!</v>
      </c>
      <c r="N80" s="21" t="str">
        <f t="shared" si="5"/>
        <v>#DIV/0!</v>
      </c>
      <c r="O80" s="21" t="str">
        <f t="shared" si="6"/>
        <v>#DIV/0!</v>
      </c>
      <c r="P80" s="22" t="str">
        <f t="shared" si="7"/>
        <v>#DIV/0!</v>
      </c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49"/>
      <c r="B81" s="11"/>
      <c r="C81" s="12"/>
      <c r="D81" s="67"/>
      <c r="E81" s="67"/>
      <c r="F81" s="67"/>
      <c r="G81" s="67"/>
      <c r="H81" s="65"/>
      <c r="I81" s="15"/>
      <c r="J81" s="18"/>
      <c r="K81" s="65"/>
      <c r="L81" s="19" t="str">
        <f t="shared" si="3"/>
        <v>#DIV/0!</v>
      </c>
      <c r="M81" s="20" t="str">
        <f t="shared" si="8"/>
        <v>#DIV/0!</v>
      </c>
      <c r="N81" s="21" t="str">
        <f t="shared" si="5"/>
        <v>#DIV/0!</v>
      </c>
      <c r="O81" s="21" t="str">
        <f t="shared" si="6"/>
        <v>#DIV/0!</v>
      </c>
      <c r="P81" s="22" t="str">
        <f t="shared" si="7"/>
        <v>#DIV/0!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49"/>
      <c r="B82" s="11"/>
      <c r="C82" s="12"/>
      <c r="D82" s="67"/>
      <c r="E82" s="67"/>
      <c r="F82" s="67"/>
      <c r="G82" s="67"/>
      <c r="H82" s="65"/>
      <c r="I82" s="15"/>
      <c r="J82" s="18"/>
      <c r="K82" s="65"/>
      <c r="L82" s="19" t="str">
        <f t="shared" si="3"/>
        <v>#DIV/0!</v>
      </c>
      <c r="M82" s="20" t="str">
        <f t="shared" si="8"/>
        <v>#DIV/0!</v>
      </c>
      <c r="N82" s="21" t="str">
        <f t="shared" si="5"/>
        <v>#DIV/0!</v>
      </c>
      <c r="O82" s="21" t="str">
        <f t="shared" si="6"/>
        <v>#DIV/0!</v>
      </c>
      <c r="P82" s="22" t="str">
        <f t="shared" si="7"/>
        <v>#DIV/0!</v>
      </c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49"/>
      <c r="B83" s="11"/>
      <c r="C83" s="12"/>
      <c r="D83" s="67"/>
      <c r="E83" s="67"/>
      <c r="F83" s="67"/>
      <c r="G83" s="67"/>
      <c r="H83" s="65"/>
      <c r="I83" s="15"/>
      <c r="J83" s="18"/>
      <c r="K83" s="65"/>
      <c r="L83" s="19"/>
      <c r="M83" s="20"/>
      <c r="N83" s="21"/>
      <c r="O83" s="21"/>
      <c r="P83" s="22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49"/>
      <c r="B84" s="11"/>
      <c r="C84" s="150"/>
      <c r="D84" s="67"/>
      <c r="E84" s="67"/>
      <c r="F84" s="67"/>
      <c r="G84" s="67"/>
      <c r="H84" s="65"/>
      <c r="I84" s="15"/>
      <c r="J84" s="18"/>
      <c r="K84" s="65"/>
      <c r="L84" s="19"/>
      <c r="M84" s="20"/>
      <c r="N84" s="21"/>
      <c r="O84" s="21"/>
      <c r="P84" s="22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49"/>
      <c r="B85" s="11"/>
      <c r="C85" s="150"/>
      <c r="D85" s="67"/>
      <c r="E85" s="67"/>
      <c r="F85" s="67"/>
      <c r="G85" s="67"/>
      <c r="H85" s="65"/>
      <c r="I85" s="15"/>
      <c r="J85" s="18"/>
      <c r="K85" s="65"/>
      <c r="L85" s="19"/>
      <c r="M85" s="20"/>
      <c r="N85" s="21"/>
      <c r="O85" s="21"/>
      <c r="P85" s="22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49"/>
      <c r="B86" s="11"/>
      <c r="C86" s="150"/>
      <c r="D86" s="67"/>
      <c r="E86" s="67"/>
      <c r="F86" s="67"/>
      <c r="G86" s="67"/>
      <c r="H86" s="65"/>
      <c r="I86" s="15"/>
      <c r="J86" s="18"/>
      <c r="K86" s="65"/>
      <c r="L86" s="19"/>
      <c r="M86" s="20"/>
      <c r="N86" s="21"/>
      <c r="O86" s="21"/>
      <c r="P86" s="22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49"/>
      <c r="B87" s="11"/>
      <c r="C87" s="150"/>
      <c r="D87" s="67"/>
      <c r="E87" s="67"/>
      <c r="F87" s="67"/>
      <c r="G87" s="67"/>
      <c r="H87" s="65"/>
      <c r="I87" s="15"/>
      <c r="J87" s="18"/>
      <c r="K87" s="65"/>
      <c r="L87" s="19"/>
      <c r="M87" s="20"/>
      <c r="N87" s="21"/>
      <c r="O87" s="21"/>
      <c r="P87" s="22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11"/>
      <c r="C88" s="25"/>
      <c r="D88" s="25"/>
      <c r="E88" s="25"/>
      <c r="F88" s="25"/>
      <c r="G88" s="25"/>
      <c r="H88" s="80"/>
      <c r="I88" s="25"/>
      <c r="J88" s="25"/>
      <c r="K88" s="80"/>
      <c r="L88" s="81"/>
      <c r="M88" s="82"/>
      <c r="N88" s="25"/>
      <c r="O88" s="25"/>
      <c r="P88" s="82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11"/>
      <c r="C89" s="25"/>
      <c r="D89" s="25"/>
      <c r="E89" s="25"/>
      <c r="F89" s="25"/>
      <c r="G89" s="25"/>
      <c r="H89" s="80"/>
      <c r="I89" s="25"/>
      <c r="J89" s="25"/>
      <c r="K89" s="80"/>
      <c r="L89" s="81"/>
      <c r="M89" s="82"/>
      <c r="N89" s="25"/>
      <c r="O89" s="25"/>
      <c r="P89" s="82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11"/>
      <c r="C90" s="25"/>
      <c r="D90" s="25"/>
      <c r="E90" s="25"/>
      <c r="F90" s="25"/>
      <c r="G90" s="25"/>
      <c r="H90" s="80"/>
      <c r="I90" s="25"/>
      <c r="J90" s="25"/>
      <c r="K90" s="80"/>
      <c r="L90" s="81"/>
      <c r="M90" s="82"/>
      <c r="N90" s="25"/>
      <c r="O90" s="25"/>
      <c r="P90" s="82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11"/>
      <c r="C91" s="25"/>
      <c r="D91" s="25"/>
      <c r="E91" s="25"/>
      <c r="F91" s="25"/>
      <c r="G91" s="25"/>
      <c r="H91" s="80"/>
      <c r="I91" s="25"/>
      <c r="J91" s="25"/>
      <c r="K91" s="80"/>
      <c r="L91" s="81"/>
      <c r="M91" s="82"/>
      <c r="N91" s="25"/>
      <c r="O91" s="25"/>
      <c r="P91" s="82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11"/>
      <c r="C92" s="25"/>
      <c r="D92" s="25"/>
      <c r="E92" s="25"/>
      <c r="F92" s="25"/>
      <c r="G92" s="25"/>
      <c r="H92" s="80"/>
      <c r="I92" s="25"/>
      <c r="J92" s="25"/>
      <c r="K92" s="80"/>
      <c r="L92" s="81"/>
      <c r="M92" s="82"/>
      <c r="N92" s="25"/>
      <c r="O92" s="25"/>
      <c r="P92" s="82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11"/>
      <c r="C93" s="25"/>
      <c r="D93" s="25"/>
      <c r="E93" s="25"/>
      <c r="F93" s="25"/>
      <c r="G93" s="25"/>
      <c r="H93" s="80"/>
      <c r="I93" s="25"/>
      <c r="J93" s="25"/>
      <c r="K93" s="80"/>
      <c r="L93" s="81"/>
      <c r="M93" s="82"/>
      <c r="N93" s="25"/>
      <c r="O93" s="25"/>
      <c r="P93" s="82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/>
      <c r="C94" s="25"/>
      <c r="D94" s="25"/>
      <c r="E94" s="25"/>
      <c r="F94" s="25"/>
      <c r="G94" s="25"/>
      <c r="H94" s="80"/>
      <c r="I94" s="25"/>
      <c r="J94" s="25"/>
      <c r="K94" s="80"/>
      <c r="L94" s="81"/>
      <c r="M94" s="82"/>
      <c r="N94" s="25"/>
      <c r="O94" s="25"/>
      <c r="P94" s="82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/>
      <c r="C95" s="25"/>
      <c r="D95" s="25"/>
      <c r="E95" s="25"/>
      <c r="F95" s="25"/>
      <c r="G95" s="25"/>
      <c r="H95" s="80"/>
      <c r="I95" s="25"/>
      <c r="J95" s="25"/>
      <c r="K95" s="80"/>
      <c r="L95" s="81"/>
      <c r="M95" s="82"/>
      <c r="N95" s="25"/>
      <c r="O95" s="25"/>
      <c r="P95" s="82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25"/>
      <c r="D96" s="25"/>
      <c r="E96" s="25"/>
      <c r="F96" s="25"/>
      <c r="G96" s="25"/>
      <c r="H96" s="80"/>
      <c r="I96" s="25"/>
      <c r="J96" s="25"/>
      <c r="K96" s="80"/>
      <c r="L96" s="81"/>
      <c r="M96" s="82"/>
      <c r="N96" s="25"/>
      <c r="O96" s="25"/>
      <c r="P96" s="82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25"/>
      <c r="D97" s="25"/>
      <c r="E97" s="25"/>
      <c r="F97" s="25"/>
      <c r="G97" s="25"/>
      <c r="H97" s="80"/>
      <c r="I97" s="25"/>
      <c r="J97" s="25"/>
      <c r="K97" s="80"/>
      <c r="L97" s="81"/>
      <c r="M97" s="82"/>
      <c r="N97" s="25"/>
      <c r="O97" s="25"/>
      <c r="P97" s="82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25"/>
      <c r="D98" s="25"/>
      <c r="E98" s="25"/>
      <c r="F98" s="25"/>
      <c r="G98" s="25"/>
      <c r="H98" s="80"/>
      <c r="I98" s="25"/>
      <c r="J98" s="25"/>
      <c r="K98" s="80"/>
      <c r="L98" s="81"/>
      <c r="M98" s="82"/>
      <c r="N98" s="25"/>
      <c r="O98" s="25"/>
      <c r="P98" s="82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25"/>
      <c r="D99" s="25"/>
      <c r="E99" s="25"/>
      <c r="F99" s="25"/>
      <c r="G99" s="25"/>
      <c r="H99" s="80"/>
      <c r="I99" s="25"/>
      <c r="J99" s="25"/>
      <c r="K99" s="80"/>
      <c r="L99" s="81"/>
      <c r="M99" s="82"/>
      <c r="N99" s="25"/>
      <c r="O99" s="25"/>
      <c r="P99" s="82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25"/>
      <c r="D100" s="25"/>
      <c r="E100" s="25"/>
      <c r="F100" s="25"/>
      <c r="G100" s="25"/>
      <c r="H100" s="80"/>
      <c r="I100" s="25"/>
      <c r="J100" s="25"/>
      <c r="K100" s="80"/>
      <c r="L100" s="81"/>
      <c r="M100" s="82"/>
      <c r="N100" s="25"/>
      <c r="O100" s="25"/>
      <c r="P100" s="82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25"/>
      <c r="D101" s="25"/>
      <c r="E101" s="25"/>
      <c r="F101" s="25"/>
      <c r="G101" s="25"/>
      <c r="H101" s="80"/>
      <c r="I101" s="25"/>
      <c r="J101" s="25"/>
      <c r="K101" s="80"/>
      <c r="L101" s="81"/>
      <c r="M101" s="82"/>
      <c r="N101" s="25"/>
      <c r="O101" s="25"/>
      <c r="P101" s="82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25"/>
      <c r="D102" s="25"/>
      <c r="E102" s="25"/>
      <c r="F102" s="25"/>
      <c r="G102" s="25"/>
      <c r="H102" s="80"/>
      <c r="I102" s="25"/>
      <c r="J102" s="25"/>
      <c r="K102" s="80"/>
      <c r="L102" s="81"/>
      <c r="M102" s="82"/>
      <c r="N102" s="25"/>
      <c r="O102" s="25"/>
      <c r="P102" s="82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25"/>
      <c r="D103" s="25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25"/>
      <c r="D104" s="25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25"/>
      <c r="D105" s="25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25"/>
      <c r="D106" s="25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25"/>
      <c r="D107" s="25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25"/>
      <c r="D108" s="25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25"/>
      <c r="D109" s="25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25"/>
      <c r="D110" s="25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25"/>
      <c r="D111" s="25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25"/>
      <c r="D112" s="25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25"/>
      <c r="D113" s="25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25"/>
      <c r="D114" s="25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25"/>
      <c r="D115" s="25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25"/>
      <c r="D116" s="25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25"/>
      <c r="D117" s="25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25"/>
      <c r="D118" s="25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25"/>
      <c r="D119" s="25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25"/>
      <c r="D120" s="25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25"/>
      <c r="D121" s="25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25"/>
      <c r="D122" s="25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B123" s="68"/>
      <c r="H123" s="70"/>
      <c r="K123" s="70"/>
      <c r="L123" s="71"/>
      <c r="M123" s="72"/>
      <c r="P123" s="72"/>
    </row>
    <row r="124">
      <c r="B124" s="68"/>
      <c r="H124" s="70"/>
      <c r="K124" s="70"/>
      <c r="L124" s="71"/>
      <c r="M124" s="72"/>
      <c r="P124" s="72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  <row r="958">
      <c r="B958" s="68"/>
      <c r="H958" s="70"/>
      <c r="K958" s="70"/>
      <c r="L958" s="71"/>
      <c r="M958" s="72"/>
      <c r="P958" s="72"/>
    </row>
    <row r="959">
      <c r="B959" s="68"/>
      <c r="H959" s="70"/>
      <c r="K959" s="70"/>
      <c r="L959" s="71"/>
      <c r="M959" s="72"/>
      <c r="P959" s="72"/>
    </row>
    <row r="960">
      <c r="B960" s="68"/>
      <c r="H960" s="70"/>
      <c r="K960" s="70"/>
      <c r="L960" s="71"/>
      <c r="M960" s="72"/>
      <c r="P960" s="72"/>
    </row>
    <row r="961">
      <c r="B961" s="68"/>
      <c r="H961" s="70"/>
      <c r="K961" s="70"/>
      <c r="L961" s="71"/>
      <c r="M961" s="72"/>
      <c r="P961" s="72"/>
    </row>
    <row r="962">
      <c r="B962" s="68"/>
      <c r="H962" s="70"/>
      <c r="K962" s="70"/>
      <c r="L962" s="71"/>
      <c r="M962" s="72"/>
      <c r="P962" s="72"/>
    </row>
    <row r="963">
      <c r="B963" s="68"/>
      <c r="H963" s="70"/>
      <c r="K963" s="70"/>
      <c r="L963" s="71"/>
      <c r="M963" s="72"/>
      <c r="P963" s="72"/>
    </row>
    <row r="964">
      <c r="B964" s="68"/>
      <c r="H964" s="70"/>
      <c r="K964" s="70"/>
      <c r="L964" s="71"/>
      <c r="M964" s="72"/>
      <c r="P964" s="72"/>
    </row>
  </sheetData>
  <autoFilter ref="$A$1:$T$964"/>
  <mergeCells count="1">
    <mergeCell ref="R17:R20"/>
  </mergeCells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77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>
        <v>45688.0</v>
      </c>
      <c r="B2" s="11">
        <v>45689.0</v>
      </c>
      <c r="C2" s="12">
        <f>VLOOKUP(B:B,'Курс валют'!A:D,4,0)</f>
        <v>102.1301</v>
      </c>
      <c r="D2" s="12">
        <v>42.0</v>
      </c>
      <c r="E2" s="75" t="s">
        <v>53</v>
      </c>
      <c r="F2" s="12">
        <v>3200.0</v>
      </c>
      <c r="G2" s="12">
        <v>3231.2</v>
      </c>
      <c r="H2" s="17">
        <v>0.0</v>
      </c>
      <c r="I2" s="15">
        <f t="shared" ref="I2:I61" si="1">G2-F2</f>
        <v>31.2</v>
      </c>
      <c r="J2" s="18">
        <f t="shared" ref="J2:J61" si="2">I2/F2*100</f>
        <v>0.975</v>
      </c>
      <c r="K2" s="56">
        <v>2.09</v>
      </c>
      <c r="L2" s="19">
        <f t="shared" ref="L2:L80" si="3">H2/F2*100</f>
        <v>0</v>
      </c>
      <c r="M2" s="20">
        <f t="shared" ref="M2:M80" si="4">P2/F2</f>
        <v>213.451909</v>
      </c>
      <c r="N2" s="21">
        <f t="shared" ref="N2:N80" si="5">(F2*K2-H2*3.04)/F2</f>
        <v>2.09</v>
      </c>
      <c r="O2" s="21">
        <f t="shared" ref="O2:O80" si="6">N2*F2</f>
        <v>6688</v>
      </c>
      <c r="P2" s="22">
        <f t="shared" ref="P2:P80" si="7">O2*C2</f>
        <v>683046.1088</v>
      </c>
      <c r="R2" s="79"/>
      <c r="S2" s="25"/>
      <c r="T2" s="25"/>
      <c r="U2" s="25"/>
      <c r="V2" s="25"/>
      <c r="W2" s="25"/>
      <c r="X2" s="25"/>
      <c r="Y2" s="25"/>
      <c r="Z2" s="25"/>
      <c r="AA2" s="25"/>
    </row>
    <row r="3">
      <c r="A3" s="11">
        <v>45688.0</v>
      </c>
      <c r="B3" s="11">
        <v>45689.0</v>
      </c>
      <c r="C3" s="12">
        <f>VLOOKUP(B:B,'Курс валют'!A:D,4,0)</f>
        <v>102.1301</v>
      </c>
      <c r="D3" s="15">
        <v>43.0</v>
      </c>
      <c r="E3" s="59" t="s">
        <v>18</v>
      </c>
      <c r="F3" s="15">
        <v>6600.0</v>
      </c>
      <c r="G3" s="15">
        <v>6631.0</v>
      </c>
      <c r="H3" s="17">
        <v>3026.0</v>
      </c>
      <c r="I3" s="15">
        <f t="shared" si="1"/>
        <v>31</v>
      </c>
      <c r="J3" s="18">
        <f t="shared" si="2"/>
        <v>0.4696969697</v>
      </c>
      <c r="K3" s="17">
        <v>3.87</v>
      </c>
      <c r="L3" s="19">
        <f t="shared" si="3"/>
        <v>45.84848485</v>
      </c>
      <c r="M3" s="20">
        <f t="shared" si="4"/>
        <v>252.8951726</v>
      </c>
      <c r="N3" s="21">
        <f t="shared" si="5"/>
        <v>2.476206061</v>
      </c>
      <c r="O3" s="21">
        <f t="shared" si="6"/>
        <v>16342.96</v>
      </c>
      <c r="P3" s="22">
        <f t="shared" si="7"/>
        <v>1669108.139</v>
      </c>
      <c r="R3" s="23"/>
      <c r="S3" s="151"/>
      <c r="T3" s="25"/>
      <c r="U3" s="25"/>
      <c r="V3" s="25"/>
      <c r="W3" s="25"/>
      <c r="X3" s="25"/>
      <c r="Y3" s="25"/>
      <c r="Z3" s="25"/>
      <c r="AA3" s="25"/>
    </row>
    <row r="4">
      <c r="A4" s="30">
        <v>45688.0</v>
      </c>
      <c r="B4" s="11">
        <v>45690.0</v>
      </c>
      <c r="C4" s="12">
        <f>VLOOKUP(B:B,'Курс валют'!A:D,4,0)</f>
        <v>102.1301</v>
      </c>
      <c r="D4" s="15">
        <v>44.0</v>
      </c>
      <c r="E4" s="59" t="s">
        <v>18</v>
      </c>
      <c r="F4" s="15">
        <v>9900.0</v>
      </c>
      <c r="G4" s="15">
        <v>9935.0</v>
      </c>
      <c r="H4" s="17">
        <v>4535.0</v>
      </c>
      <c r="I4" s="15">
        <f t="shared" si="1"/>
        <v>35</v>
      </c>
      <c r="J4" s="18">
        <f t="shared" si="2"/>
        <v>0.3535353535</v>
      </c>
      <c r="K4" s="17">
        <v>3.87</v>
      </c>
      <c r="L4" s="19">
        <f t="shared" si="3"/>
        <v>45.80808081</v>
      </c>
      <c r="M4" s="20">
        <f t="shared" si="4"/>
        <v>253.0206172</v>
      </c>
      <c r="N4" s="21">
        <f t="shared" si="5"/>
        <v>2.477434343</v>
      </c>
      <c r="O4" s="21">
        <f t="shared" si="6"/>
        <v>24526.6</v>
      </c>
      <c r="P4" s="22">
        <f t="shared" si="7"/>
        <v>2504904.111</v>
      </c>
      <c r="R4" s="23"/>
      <c r="S4" s="25"/>
      <c r="T4" s="25"/>
      <c r="U4" s="25"/>
      <c r="V4" s="25"/>
      <c r="W4" s="25"/>
      <c r="X4" s="25"/>
      <c r="Y4" s="25"/>
      <c r="Z4" s="25"/>
      <c r="AA4" s="25"/>
    </row>
    <row r="5">
      <c r="A5" s="30">
        <v>45690.0</v>
      </c>
      <c r="B5" s="11">
        <v>45691.0</v>
      </c>
      <c r="C5" s="12">
        <f>VLOOKUP(B:B,'Курс валют'!A:D,4,0)</f>
        <v>102.1301</v>
      </c>
      <c r="D5" s="15">
        <v>46.0</v>
      </c>
      <c r="E5" s="59" t="s">
        <v>18</v>
      </c>
      <c r="F5" s="15">
        <v>11000.0</v>
      </c>
      <c r="G5" s="15">
        <v>11049.0</v>
      </c>
      <c r="H5" s="17">
        <v>5029.0</v>
      </c>
      <c r="I5" s="15">
        <f t="shared" si="1"/>
        <v>49</v>
      </c>
      <c r="J5" s="18">
        <f t="shared" si="2"/>
        <v>0.4454545455</v>
      </c>
      <c r="K5" s="17">
        <v>3.87</v>
      </c>
      <c r="L5" s="19">
        <f t="shared" si="3"/>
        <v>45.71818182</v>
      </c>
      <c r="M5" s="20">
        <f t="shared" si="4"/>
        <v>253.2997316</v>
      </c>
      <c r="N5" s="21">
        <f t="shared" si="5"/>
        <v>2.480167273</v>
      </c>
      <c r="O5" s="21">
        <f t="shared" si="6"/>
        <v>27281.84</v>
      </c>
      <c r="P5" s="22">
        <f t="shared" si="7"/>
        <v>2786297.047</v>
      </c>
      <c r="R5" s="23"/>
      <c r="S5" s="25"/>
      <c r="T5" s="25"/>
      <c r="U5" s="25"/>
      <c r="V5" s="25"/>
      <c r="W5" s="25"/>
      <c r="X5" s="25"/>
      <c r="Y5" s="25"/>
      <c r="Z5" s="25"/>
      <c r="AA5" s="25"/>
    </row>
    <row r="6">
      <c r="A6" s="30">
        <v>45691.0</v>
      </c>
      <c r="B6" s="11">
        <v>45692.0</v>
      </c>
      <c r="C6" s="12">
        <f>VLOOKUP(B:B,'Курс валют'!A:D,4,0)</f>
        <v>102.491</v>
      </c>
      <c r="D6" s="15">
        <v>47.0</v>
      </c>
      <c r="E6" s="59" t="s">
        <v>18</v>
      </c>
      <c r="F6" s="15">
        <v>9900.0</v>
      </c>
      <c r="G6" s="15">
        <v>10005.0</v>
      </c>
      <c r="H6" s="17">
        <v>4529.0</v>
      </c>
      <c r="I6" s="15">
        <f t="shared" si="1"/>
        <v>105</v>
      </c>
      <c r="J6" s="18">
        <f t="shared" si="2"/>
        <v>1.060606061</v>
      </c>
      <c r="K6" s="17">
        <v>3.89</v>
      </c>
      <c r="L6" s="19">
        <f t="shared" si="3"/>
        <v>45.74747475</v>
      </c>
      <c r="M6" s="20">
        <f t="shared" si="4"/>
        <v>256.1533752</v>
      </c>
      <c r="N6" s="21">
        <f t="shared" si="5"/>
        <v>2.499276768</v>
      </c>
      <c r="O6" s="21">
        <f t="shared" si="6"/>
        <v>24742.84</v>
      </c>
      <c r="P6" s="22">
        <f t="shared" si="7"/>
        <v>2535918.414</v>
      </c>
      <c r="R6" s="23" t="s">
        <v>2300</v>
      </c>
      <c r="S6" s="25"/>
      <c r="T6" s="25"/>
      <c r="U6" s="25"/>
      <c r="V6" s="25"/>
      <c r="W6" s="25"/>
      <c r="X6" s="25"/>
      <c r="Y6" s="25"/>
      <c r="Z6" s="25"/>
      <c r="AA6" s="25"/>
    </row>
    <row r="7">
      <c r="A7" s="30">
        <v>45692.0</v>
      </c>
      <c r="B7" s="11">
        <v>45693.0</v>
      </c>
      <c r="C7" s="12">
        <f>VLOOKUP(B:B,'Курс валют'!A:D,4,0)</f>
        <v>102.6852</v>
      </c>
      <c r="D7" s="15">
        <v>48.0</v>
      </c>
      <c r="E7" s="77" t="s">
        <v>18</v>
      </c>
      <c r="F7" s="15">
        <v>13200.0</v>
      </c>
      <c r="G7" s="15">
        <v>13300.0</v>
      </c>
      <c r="H7" s="17">
        <v>6040.0</v>
      </c>
      <c r="I7" s="15">
        <f t="shared" si="1"/>
        <v>100</v>
      </c>
      <c r="J7" s="18">
        <f t="shared" si="2"/>
        <v>0.7575757576</v>
      </c>
      <c r="K7" s="17">
        <v>3.82</v>
      </c>
      <c r="L7" s="19">
        <f t="shared" si="3"/>
        <v>45.75757576</v>
      </c>
      <c r="M7" s="20">
        <f t="shared" si="4"/>
        <v>249.4192391</v>
      </c>
      <c r="N7" s="21">
        <f t="shared" si="5"/>
        <v>2.428969697</v>
      </c>
      <c r="O7" s="21">
        <f t="shared" si="6"/>
        <v>32062.4</v>
      </c>
      <c r="P7" s="22">
        <f t="shared" si="7"/>
        <v>3292333.956</v>
      </c>
      <c r="R7" s="23" t="s">
        <v>2300</v>
      </c>
      <c r="S7" s="25"/>
      <c r="T7" s="25"/>
      <c r="U7" s="25"/>
      <c r="V7" s="25"/>
      <c r="W7" s="25"/>
      <c r="X7" s="25"/>
      <c r="Y7" s="25"/>
      <c r="Z7" s="25"/>
      <c r="AA7" s="25"/>
    </row>
    <row r="8">
      <c r="A8" s="30">
        <v>45685.0</v>
      </c>
      <c r="B8" s="11">
        <v>45694.0</v>
      </c>
      <c r="C8" s="12">
        <f>VLOOKUP(B:B,'Курс валют'!A:D,4,0)</f>
        <v>102.9215</v>
      </c>
      <c r="D8" s="15">
        <v>50.0</v>
      </c>
      <c r="E8" s="77" t="s">
        <v>63</v>
      </c>
      <c r="F8" s="15">
        <v>900.0</v>
      </c>
      <c r="G8" s="15">
        <v>939.0</v>
      </c>
      <c r="H8" s="17">
        <v>365.0</v>
      </c>
      <c r="I8" s="15">
        <f t="shared" si="1"/>
        <v>39</v>
      </c>
      <c r="J8" s="18">
        <f t="shared" si="2"/>
        <v>4.333333333</v>
      </c>
      <c r="K8" s="17">
        <v>3.49</v>
      </c>
      <c r="L8" s="19">
        <f t="shared" si="3"/>
        <v>40.55555556</v>
      </c>
      <c r="M8" s="20">
        <f t="shared" si="4"/>
        <v>232.3052612</v>
      </c>
      <c r="N8" s="21">
        <f t="shared" si="5"/>
        <v>2.257111111</v>
      </c>
      <c r="O8" s="21">
        <f t="shared" si="6"/>
        <v>2031.4</v>
      </c>
      <c r="P8" s="22">
        <f t="shared" si="7"/>
        <v>209074.7351</v>
      </c>
      <c r="R8" s="23"/>
      <c r="S8" s="24" t="s">
        <v>2294</v>
      </c>
      <c r="T8" s="24" t="s">
        <v>2301</v>
      </c>
      <c r="U8" s="25"/>
      <c r="V8" s="25"/>
      <c r="W8" s="25"/>
      <c r="X8" s="25"/>
      <c r="Y8" s="25"/>
      <c r="Z8" s="25"/>
      <c r="AA8" s="25"/>
    </row>
    <row r="9">
      <c r="A9" s="30">
        <v>45685.0</v>
      </c>
      <c r="B9" s="11">
        <v>45694.0</v>
      </c>
      <c r="C9" s="12">
        <f>VLOOKUP(B:B,'Курс валют'!A:D,4,0)</f>
        <v>102.9215</v>
      </c>
      <c r="D9" s="15">
        <v>51.0</v>
      </c>
      <c r="E9" s="77" t="s">
        <v>63</v>
      </c>
      <c r="F9" s="15">
        <v>900.0</v>
      </c>
      <c r="G9" s="15">
        <v>938.0</v>
      </c>
      <c r="H9" s="17">
        <v>364.0</v>
      </c>
      <c r="I9" s="15">
        <f t="shared" si="1"/>
        <v>38</v>
      </c>
      <c r="J9" s="18">
        <f t="shared" si="2"/>
        <v>4.222222222</v>
      </c>
      <c r="K9" s="17">
        <v>3.49</v>
      </c>
      <c r="L9" s="19">
        <f t="shared" si="3"/>
        <v>40.44444444</v>
      </c>
      <c r="M9" s="20">
        <f t="shared" si="4"/>
        <v>232.6529072</v>
      </c>
      <c r="N9" s="21">
        <f t="shared" si="5"/>
        <v>2.260488889</v>
      </c>
      <c r="O9" s="21">
        <f t="shared" si="6"/>
        <v>2034.44</v>
      </c>
      <c r="P9" s="22">
        <f t="shared" si="7"/>
        <v>209387.6165</v>
      </c>
      <c r="R9" s="79"/>
      <c r="S9" s="24" t="s">
        <v>2294</v>
      </c>
      <c r="T9" s="24" t="s">
        <v>2301</v>
      </c>
      <c r="U9" s="25"/>
      <c r="V9" s="25"/>
      <c r="W9" s="25"/>
      <c r="X9" s="25"/>
      <c r="Y9" s="25"/>
      <c r="Z9" s="25"/>
      <c r="AA9" s="25"/>
    </row>
    <row r="10">
      <c r="A10" s="30">
        <v>45685.0</v>
      </c>
      <c r="B10" s="11">
        <v>45694.0</v>
      </c>
      <c r="C10" s="12">
        <f>VLOOKUP(B:B,'Курс валют'!A:D,4,0)</f>
        <v>102.9215</v>
      </c>
      <c r="D10" s="15">
        <v>52.0</v>
      </c>
      <c r="E10" s="77" t="s">
        <v>63</v>
      </c>
      <c r="F10" s="15">
        <v>900.0</v>
      </c>
      <c r="G10" s="15">
        <v>938.0</v>
      </c>
      <c r="H10" s="17">
        <v>366.0</v>
      </c>
      <c r="I10" s="15">
        <f t="shared" si="1"/>
        <v>38</v>
      </c>
      <c r="J10" s="18">
        <f t="shared" si="2"/>
        <v>4.222222222</v>
      </c>
      <c r="K10" s="17">
        <v>3.49</v>
      </c>
      <c r="L10" s="19">
        <f t="shared" si="3"/>
        <v>40.66666667</v>
      </c>
      <c r="M10" s="20">
        <f t="shared" si="4"/>
        <v>231.9576153</v>
      </c>
      <c r="N10" s="21">
        <f t="shared" si="5"/>
        <v>2.253733333</v>
      </c>
      <c r="O10" s="21">
        <f t="shared" si="6"/>
        <v>2028.36</v>
      </c>
      <c r="P10" s="22">
        <f t="shared" si="7"/>
        <v>208761.8537</v>
      </c>
      <c r="R10" s="23"/>
      <c r="S10" s="24" t="s">
        <v>2294</v>
      </c>
      <c r="T10" s="24" t="s">
        <v>2301</v>
      </c>
      <c r="U10" s="25"/>
      <c r="V10" s="25"/>
      <c r="W10" s="25"/>
      <c r="X10" s="25"/>
      <c r="Y10" s="25"/>
      <c r="Z10" s="25"/>
      <c r="AA10" s="25"/>
    </row>
    <row r="11">
      <c r="A11" s="30">
        <v>45685.0</v>
      </c>
      <c r="B11" s="11">
        <v>45694.0</v>
      </c>
      <c r="C11" s="12">
        <f>VLOOKUP(B:B,'Курс валют'!A:D,4,0)</f>
        <v>102.9215</v>
      </c>
      <c r="D11" s="15">
        <v>53.0</v>
      </c>
      <c r="E11" s="77" t="s">
        <v>63</v>
      </c>
      <c r="F11" s="15">
        <v>900.0</v>
      </c>
      <c r="G11" s="15">
        <v>937.0</v>
      </c>
      <c r="H11" s="17">
        <v>364.0</v>
      </c>
      <c r="I11" s="15">
        <f t="shared" si="1"/>
        <v>37</v>
      </c>
      <c r="J11" s="18">
        <f t="shared" si="2"/>
        <v>4.111111111</v>
      </c>
      <c r="K11" s="17">
        <v>3.49</v>
      </c>
      <c r="L11" s="19">
        <f t="shared" si="3"/>
        <v>40.44444444</v>
      </c>
      <c r="M11" s="20">
        <f t="shared" si="4"/>
        <v>232.6529072</v>
      </c>
      <c r="N11" s="21">
        <f t="shared" si="5"/>
        <v>2.260488889</v>
      </c>
      <c r="O11" s="21">
        <f t="shared" si="6"/>
        <v>2034.44</v>
      </c>
      <c r="P11" s="22">
        <f t="shared" si="7"/>
        <v>209387.6165</v>
      </c>
      <c r="R11" s="79"/>
      <c r="S11" s="24" t="s">
        <v>2294</v>
      </c>
      <c r="T11" s="24" t="s">
        <v>2301</v>
      </c>
      <c r="U11" s="25"/>
      <c r="V11" s="25"/>
      <c r="W11" s="25"/>
      <c r="X11" s="25"/>
      <c r="Y11" s="25"/>
      <c r="Z11" s="25"/>
      <c r="AA11" s="25"/>
    </row>
    <row r="12">
      <c r="A12" s="30">
        <v>45685.0</v>
      </c>
      <c r="B12" s="11">
        <v>45694.0</v>
      </c>
      <c r="C12" s="12">
        <f>VLOOKUP(B:B,'Курс валют'!A:D,4,0)</f>
        <v>102.9215</v>
      </c>
      <c r="D12" s="15">
        <v>54.0</v>
      </c>
      <c r="E12" s="77" t="s">
        <v>63</v>
      </c>
      <c r="F12" s="15">
        <v>900.0</v>
      </c>
      <c r="G12" s="15">
        <v>939.0</v>
      </c>
      <c r="H12" s="17">
        <v>365.0</v>
      </c>
      <c r="I12" s="15">
        <f t="shared" si="1"/>
        <v>39</v>
      </c>
      <c r="J12" s="18">
        <f t="shared" si="2"/>
        <v>4.333333333</v>
      </c>
      <c r="K12" s="17">
        <v>3.49</v>
      </c>
      <c r="L12" s="19">
        <f t="shared" si="3"/>
        <v>40.55555556</v>
      </c>
      <c r="M12" s="20">
        <f t="shared" si="4"/>
        <v>232.3052612</v>
      </c>
      <c r="N12" s="21">
        <f t="shared" si="5"/>
        <v>2.257111111</v>
      </c>
      <c r="O12" s="21">
        <f t="shared" si="6"/>
        <v>2031.4</v>
      </c>
      <c r="P12" s="22">
        <f t="shared" si="7"/>
        <v>209074.7351</v>
      </c>
      <c r="R12" s="31"/>
      <c r="S12" s="24" t="s">
        <v>2294</v>
      </c>
      <c r="T12" s="24" t="s">
        <v>2301</v>
      </c>
      <c r="U12" s="25"/>
      <c r="V12" s="25"/>
      <c r="W12" s="25"/>
      <c r="X12" s="25"/>
      <c r="Y12" s="25"/>
      <c r="Z12" s="25"/>
      <c r="AA12" s="25"/>
    </row>
    <row r="13">
      <c r="A13" s="30">
        <v>45693.0</v>
      </c>
      <c r="B13" s="11">
        <v>45694.0</v>
      </c>
      <c r="C13" s="12">
        <f>VLOOKUP(B:B,'Курс валют'!A:D,4,0)</f>
        <v>102.9215</v>
      </c>
      <c r="D13" s="15">
        <v>55.0</v>
      </c>
      <c r="E13" s="59" t="s">
        <v>18</v>
      </c>
      <c r="F13" s="15">
        <v>11000.0</v>
      </c>
      <c r="G13" s="15">
        <v>11055.0</v>
      </c>
      <c r="H13" s="17">
        <v>5031.0</v>
      </c>
      <c r="I13" s="15">
        <f t="shared" si="1"/>
        <v>55</v>
      </c>
      <c r="J13" s="18">
        <f t="shared" si="2"/>
        <v>0.5</v>
      </c>
      <c r="K13" s="17">
        <v>3.82</v>
      </c>
      <c r="L13" s="19">
        <f t="shared" si="3"/>
        <v>45.73636364</v>
      </c>
      <c r="M13" s="20">
        <f t="shared" si="4"/>
        <v>250.0595734</v>
      </c>
      <c r="N13" s="21">
        <f t="shared" si="5"/>
        <v>2.429614545</v>
      </c>
      <c r="O13" s="21">
        <f t="shared" si="6"/>
        <v>26725.76</v>
      </c>
      <c r="P13" s="22">
        <f t="shared" si="7"/>
        <v>2750655.308</v>
      </c>
      <c r="R13" s="79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30">
        <v>45694.0</v>
      </c>
      <c r="B14" s="11">
        <v>45694.0</v>
      </c>
      <c r="C14" s="12">
        <f>VLOOKUP(B:B,'Курс валют'!A:D,4,0)</f>
        <v>102.9215</v>
      </c>
      <c r="D14" s="15">
        <v>56.0</v>
      </c>
      <c r="E14" s="59" t="s">
        <v>18</v>
      </c>
      <c r="F14" s="15">
        <v>220.0</v>
      </c>
      <c r="G14" s="15">
        <v>222.0</v>
      </c>
      <c r="H14" s="17">
        <v>88.0</v>
      </c>
      <c r="I14" s="15">
        <f t="shared" si="1"/>
        <v>2</v>
      </c>
      <c r="J14" s="18">
        <f t="shared" si="2"/>
        <v>0.9090909091</v>
      </c>
      <c r="K14" s="17">
        <v>3.82</v>
      </c>
      <c r="L14" s="19">
        <f t="shared" si="3"/>
        <v>40</v>
      </c>
      <c r="M14" s="20">
        <f t="shared" si="4"/>
        <v>268.007586</v>
      </c>
      <c r="N14" s="21">
        <f t="shared" si="5"/>
        <v>2.604</v>
      </c>
      <c r="O14" s="21">
        <f t="shared" si="6"/>
        <v>572.88</v>
      </c>
      <c r="P14" s="22">
        <f t="shared" si="7"/>
        <v>58961.66892</v>
      </c>
      <c r="R14" s="31" t="s">
        <v>2302</v>
      </c>
      <c r="S14" s="32"/>
      <c r="T14" s="32"/>
      <c r="U14" s="32"/>
      <c r="V14" s="32"/>
      <c r="W14" s="32"/>
      <c r="X14" s="32"/>
      <c r="Y14" s="32"/>
      <c r="Z14" s="32"/>
      <c r="AA14" s="32"/>
    </row>
    <row r="15">
      <c r="A15" s="30">
        <v>45695.0</v>
      </c>
      <c r="B15" s="11">
        <v>45695.0</v>
      </c>
      <c r="C15" s="12">
        <f>VLOOKUP(B:B,'Курс валют'!A:D,4,0)</f>
        <v>100.6751</v>
      </c>
      <c r="D15" s="15">
        <v>57.0</v>
      </c>
      <c r="E15" s="59" t="s">
        <v>2303</v>
      </c>
      <c r="F15" s="15">
        <v>50.0</v>
      </c>
      <c r="G15" s="15">
        <v>50.0</v>
      </c>
      <c r="H15" s="17">
        <v>0.0</v>
      </c>
      <c r="I15" s="15">
        <f t="shared" si="1"/>
        <v>0</v>
      </c>
      <c r="J15" s="18">
        <f t="shared" si="2"/>
        <v>0</v>
      </c>
      <c r="K15" s="17">
        <v>4.32</v>
      </c>
      <c r="L15" s="19">
        <f t="shared" si="3"/>
        <v>0</v>
      </c>
      <c r="M15" s="20">
        <f t="shared" si="4"/>
        <v>434.916432</v>
      </c>
      <c r="N15" s="21">
        <f t="shared" si="5"/>
        <v>4.32</v>
      </c>
      <c r="O15" s="21">
        <f t="shared" si="6"/>
        <v>216</v>
      </c>
      <c r="P15" s="22">
        <f t="shared" si="7"/>
        <v>21745.8216</v>
      </c>
      <c r="R15" s="31" t="s">
        <v>2304</v>
      </c>
      <c r="S15" s="24"/>
      <c r="T15" s="24"/>
      <c r="U15" s="25"/>
      <c r="V15" s="25"/>
      <c r="W15" s="25"/>
      <c r="X15" s="25"/>
      <c r="Y15" s="25"/>
      <c r="Z15" s="25"/>
      <c r="AA15" s="25"/>
    </row>
    <row r="16">
      <c r="A16" s="30">
        <v>45695.0</v>
      </c>
      <c r="B16" s="11">
        <v>45695.0</v>
      </c>
      <c r="C16" s="12">
        <f>VLOOKUP(B:B,'Курс валют'!A:D,4,0)</f>
        <v>100.6751</v>
      </c>
      <c r="D16" s="15">
        <v>58.0</v>
      </c>
      <c r="E16" s="59" t="s">
        <v>101</v>
      </c>
      <c r="F16" s="15">
        <v>20.0</v>
      </c>
      <c r="G16" s="15">
        <v>26.35</v>
      </c>
      <c r="H16" s="17">
        <v>0.0</v>
      </c>
      <c r="I16" s="15">
        <f t="shared" si="1"/>
        <v>6.35</v>
      </c>
      <c r="J16" s="18">
        <f t="shared" si="2"/>
        <v>31.75</v>
      </c>
      <c r="K16" s="17">
        <v>3.86</v>
      </c>
      <c r="L16" s="19">
        <f t="shared" si="3"/>
        <v>0</v>
      </c>
      <c r="M16" s="20">
        <f t="shared" si="4"/>
        <v>388.605886</v>
      </c>
      <c r="N16" s="21">
        <f t="shared" si="5"/>
        <v>3.86</v>
      </c>
      <c r="O16" s="21">
        <f t="shared" si="6"/>
        <v>77.2</v>
      </c>
      <c r="P16" s="22">
        <f t="shared" si="7"/>
        <v>7772.11772</v>
      </c>
      <c r="R16" s="23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30">
        <v>45695.0</v>
      </c>
      <c r="B17" s="11">
        <v>45698.0</v>
      </c>
      <c r="C17" s="12">
        <f>VLOOKUP(B:B,'Курс валют'!A:D,4,0)</f>
        <v>101.2243</v>
      </c>
      <c r="D17" s="15">
        <v>59.0</v>
      </c>
      <c r="E17" s="59" t="s">
        <v>18</v>
      </c>
      <c r="F17" s="15">
        <v>8800.0</v>
      </c>
      <c r="G17" s="15">
        <v>8853.0</v>
      </c>
      <c r="H17" s="17">
        <v>4028.0</v>
      </c>
      <c r="I17" s="15">
        <f t="shared" si="1"/>
        <v>53</v>
      </c>
      <c r="J17" s="18">
        <f t="shared" si="2"/>
        <v>0.6022727273</v>
      </c>
      <c r="K17" s="17">
        <v>3.85</v>
      </c>
      <c r="L17" s="19">
        <f t="shared" si="3"/>
        <v>45.77272727</v>
      </c>
      <c r="M17" s="20">
        <f t="shared" si="4"/>
        <v>248.8608618</v>
      </c>
      <c r="N17" s="21">
        <f t="shared" si="5"/>
        <v>2.458509091</v>
      </c>
      <c r="O17" s="21">
        <f t="shared" si="6"/>
        <v>21634.88</v>
      </c>
      <c r="P17" s="22">
        <f t="shared" si="7"/>
        <v>2189975.584</v>
      </c>
      <c r="R17" s="31"/>
      <c r="S17" s="32"/>
      <c r="T17" s="32"/>
      <c r="U17" s="32"/>
      <c r="V17" s="32"/>
      <c r="W17" s="32"/>
      <c r="X17" s="32"/>
      <c r="Y17" s="32"/>
      <c r="Z17" s="32"/>
      <c r="AA17" s="32"/>
    </row>
    <row r="18">
      <c r="A18" s="30">
        <v>45695.0</v>
      </c>
      <c r="B18" s="11">
        <v>45698.0</v>
      </c>
      <c r="C18" s="12">
        <f>VLOOKUP(B:B,'Курс валют'!A:D,4,0)</f>
        <v>101.2243</v>
      </c>
      <c r="D18" s="15">
        <v>60.0</v>
      </c>
      <c r="E18" s="59" t="s">
        <v>18</v>
      </c>
      <c r="F18" s="15">
        <v>5500.0</v>
      </c>
      <c r="G18" s="15">
        <v>5552.0</v>
      </c>
      <c r="H18" s="17">
        <v>2520.0</v>
      </c>
      <c r="I18" s="15">
        <f t="shared" si="1"/>
        <v>52</v>
      </c>
      <c r="J18" s="18">
        <f t="shared" si="2"/>
        <v>0.9454545455</v>
      </c>
      <c r="K18" s="17">
        <v>3.85</v>
      </c>
      <c r="L18" s="19">
        <f t="shared" si="3"/>
        <v>45.81818182</v>
      </c>
      <c r="M18" s="20">
        <f t="shared" si="4"/>
        <v>248.7209882</v>
      </c>
      <c r="N18" s="21">
        <f t="shared" si="5"/>
        <v>2.457127273</v>
      </c>
      <c r="O18" s="21">
        <f t="shared" si="6"/>
        <v>13514.2</v>
      </c>
      <c r="P18" s="22">
        <f t="shared" si="7"/>
        <v>1367965.435</v>
      </c>
      <c r="R18" s="78"/>
      <c r="S18" s="32"/>
      <c r="T18" s="32"/>
      <c r="U18" s="32"/>
      <c r="V18" s="32"/>
      <c r="W18" s="32"/>
      <c r="X18" s="32"/>
      <c r="Y18" s="32"/>
      <c r="Z18" s="32"/>
      <c r="AA18" s="32"/>
    </row>
    <row r="19">
      <c r="A19" s="30">
        <v>45695.0</v>
      </c>
      <c r="B19" s="11">
        <v>45698.0</v>
      </c>
      <c r="C19" s="12">
        <f>VLOOKUP(B:B,'Курс валют'!A:D,4,0)</f>
        <v>101.2243</v>
      </c>
      <c r="D19" s="15">
        <v>61.0</v>
      </c>
      <c r="E19" s="59" t="s">
        <v>18</v>
      </c>
      <c r="F19" s="15">
        <v>9900.0</v>
      </c>
      <c r="G19" s="15">
        <v>9968.0</v>
      </c>
      <c r="H19" s="17">
        <v>4528.0</v>
      </c>
      <c r="I19" s="15">
        <f t="shared" si="1"/>
        <v>68</v>
      </c>
      <c r="J19" s="18">
        <f t="shared" si="2"/>
        <v>0.6868686869</v>
      </c>
      <c r="K19" s="17">
        <v>3.85</v>
      </c>
      <c r="L19" s="19">
        <f t="shared" si="3"/>
        <v>45.73737374</v>
      </c>
      <c r="M19" s="20">
        <f t="shared" si="4"/>
        <v>248.9696523</v>
      </c>
      <c r="N19" s="21">
        <f t="shared" si="5"/>
        <v>2.459583838</v>
      </c>
      <c r="O19" s="21">
        <f t="shared" si="6"/>
        <v>24349.88</v>
      </c>
      <c r="P19" s="22">
        <f t="shared" si="7"/>
        <v>2464799.558</v>
      </c>
      <c r="R19" s="23"/>
      <c r="S19" s="32"/>
      <c r="T19" s="32"/>
      <c r="U19" s="32"/>
      <c r="V19" s="32"/>
      <c r="W19" s="32"/>
      <c r="X19" s="32"/>
      <c r="Y19" s="32"/>
      <c r="Z19" s="32"/>
      <c r="AA19" s="32"/>
    </row>
    <row r="20">
      <c r="A20" s="30">
        <v>45698.0</v>
      </c>
      <c r="B20" s="11">
        <v>45699.0</v>
      </c>
      <c r="C20" s="12">
        <f>VLOOKUP(B:B,'Курс валют'!A:D,4,0)</f>
        <v>100.4991</v>
      </c>
      <c r="D20" s="15">
        <v>62.0</v>
      </c>
      <c r="E20" s="77" t="s">
        <v>88</v>
      </c>
      <c r="F20" s="15">
        <v>6008.46</v>
      </c>
      <c r="G20" s="15">
        <v>6008.46</v>
      </c>
      <c r="H20" s="17">
        <v>0.0</v>
      </c>
      <c r="I20" s="15">
        <f t="shared" si="1"/>
        <v>0</v>
      </c>
      <c r="J20" s="18">
        <f t="shared" si="2"/>
        <v>0</v>
      </c>
      <c r="K20" s="17">
        <v>2.54</v>
      </c>
      <c r="L20" s="19">
        <f t="shared" si="3"/>
        <v>0</v>
      </c>
      <c r="M20" s="20">
        <f t="shared" si="4"/>
        <v>255.267714</v>
      </c>
      <c r="N20" s="21">
        <f t="shared" si="5"/>
        <v>2.54</v>
      </c>
      <c r="O20" s="21">
        <f t="shared" si="6"/>
        <v>15261.4884</v>
      </c>
      <c r="P20" s="22">
        <f t="shared" si="7"/>
        <v>1533765.849</v>
      </c>
      <c r="R20" s="31" t="s">
        <v>2305</v>
      </c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30">
        <v>45698.0</v>
      </c>
      <c r="B21" s="11">
        <v>45699.0</v>
      </c>
      <c r="C21" s="12">
        <f>VLOOKUP(B:B,'Курс валют'!A:D,4,0)</f>
        <v>100.4991</v>
      </c>
      <c r="D21" s="15">
        <v>63.0</v>
      </c>
      <c r="E21" s="77" t="s">
        <v>18</v>
      </c>
      <c r="F21" s="15">
        <v>4400.0</v>
      </c>
      <c r="G21" s="15">
        <v>4434.0</v>
      </c>
      <c r="H21" s="17">
        <v>2015.0</v>
      </c>
      <c r="I21" s="15">
        <f t="shared" si="1"/>
        <v>34</v>
      </c>
      <c r="J21" s="18">
        <f t="shared" si="2"/>
        <v>0.7727272727</v>
      </c>
      <c r="K21" s="17">
        <v>3.95</v>
      </c>
      <c r="L21" s="19">
        <f t="shared" si="3"/>
        <v>45.79545455</v>
      </c>
      <c r="M21" s="20">
        <f t="shared" si="4"/>
        <v>257.0584252</v>
      </c>
      <c r="N21" s="21">
        <f t="shared" si="5"/>
        <v>2.557818182</v>
      </c>
      <c r="O21" s="21">
        <f t="shared" si="6"/>
        <v>11254.4</v>
      </c>
      <c r="P21" s="22">
        <f t="shared" si="7"/>
        <v>1131057.071</v>
      </c>
      <c r="R21" s="23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30">
        <v>45699.0</v>
      </c>
      <c r="B22" s="11">
        <v>45700.0</v>
      </c>
      <c r="C22" s="12">
        <f>VLOOKUP(B:B,'Курс валют'!A:D,4,0)</f>
        <v>99.1953</v>
      </c>
      <c r="D22" s="15">
        <v>64.0</v>
      </c>
      <c r="E22" s="59" t="s">
        <v>18</v>
      </c>
      <c r="F22" s="15">
        <v>8800.0</v>
      </c>
      <c r="G22" s="15">
        <v>8855.0</v>
      </c>
      <c r="H22" s="17">
        <v>4024.0</v>
      </c>
      <c r="I22" s="15">
        <f t="shared" si="1"/>
        <v>55</v>
      </c>
      <c r="J22" s="18">
        <f t="shared" si="2"/>
        <v>0.625</v>
      </c>
      <c r="K22" s="17">
        <v>3.97</v>
      </c>
      <c r="L22" s="19">
        <f t="shared" si="3"/>
        <v>45.72727273</v>
      </c>
      <c r="M22" s="20">
        <f t="shared" si="4"/>
        <v>255.9130527</v>
      </c>
      <c r="N22" s="21">
        <f t="shared" si="5"/>
        <v>2.579890909</v>
      </c>
      <c r="O22" s="21">
        <f t="shared" si="6"/>
        <v>22703.04</v>
      </c>
      <c r="P22" s="22">
        <f t="shared" si="7"/>
        <v>2252034.864</v>
      </c>
      <c r="R22" s="23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30">
        <v>45700.0</v>
      </c>
      <c r="B23" s="11">
        <v>45701.0</v>
      </c>
      <c r="C23" s="12">
        <f>VLOOKUP(B:B,'Курс валют'!A:D,4,0)</f>
        <v>98.0119</v>
      </c>
      <c r="D23" s="15">
        <v>65.0</v>
      </c>
      <c r="E23" s="59" t="s">
        <v>18</v>
      </c>
      <c r="F23" s="15">
        <v>12100.0</v>
      </c>
      <c r="G23" s="15">
        <v>12188.0</v>
      </c>
      <c r="H23" s="17">
        <v>5548.0</v>
      </c>
      <c r="I23" s="15">
        <f t="shared" si="1"/>
        <v>88</v>
      </c>
      <c r="J23" s="18">
        <f t="shared" si="2"/>
        <v>0.7272727273</v>
      </c>
      <c r="K23" s="17">
        <v>3.97</v>
      </c>
      <c r="L23" s="19">
        <f t="shared" si="3"/>
        <v>45.85123967</v>
      </c>
      <c r="M23" s="20">
        <f t="shared" si="4"/>
        <v>252.4906426</v>
      </c>
      <c r="N23" s="21">
        <f t="shared" si="5"/>
        <v>2.576122314</v>
      </c>
      <c r="O23" s="21">
        <f t="shared" si="6"/>
        <v>31171.08</v>
      </c>
      <c r="P23" s="22">
        <f t="shared" si="7"/>
        <v>3055136.776</v>
      </c>
      <c r="R23" s="23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30">
        <v>45701.0</v>
      </c>
      <c r="B24" s="11">
        <v>45701.0</v>
      </c>
      <c r="C24" s="12">
        <f>VLOOKUP(B:B,'Курс валют'!A:D,4,0)</f>
        <v>98.0119</v>
      </c>
      <c r="D24" s="15">
        <v>66.0</v>
      </c>
      <c r="E24" s="59" t="s">
        <v>88</v>
      </c>
      <c r="F24" s="15">
        <v>4060.62</v>
      </c>
      <c r="G24" s="15">
        <v>4060.62</v>
      </c>
      <c r="H24" s="17">
        <v>0.0</v>
      </c>
      <c r="I24" s="15">
        <f t="shared" si="1"/>
        <v>0</v>
      </c>
      <c r="J24" s="18">
        <f t="shared" si="2"/>
        <v>0</v>
      </c>
      <c r="K24" s="17">
        <v>2.54</v>
      </c>
      <c r="L24" s="19">
        <f t="shared" si="3"/>
        <v>0</v>
      </c>
      <c r="M24" s="20">
        <f t="shared" si="4"/>
        <v>248.950226</v>
      </c>
      <c r="N24" s="21">
        <f t="shared" si="5"/>
        <v>2.54</v>
      </c>
      <c r="O24" s="21">
        <f t="shared" si="6"/>
        <v>10313.9748</v>
      </c>
      <c r="P24" s="22">
        <f t="shared" si="7"/>
        <v>1010892.267</v>
      </c>
      <c r="R24" s="23" t="s">
        <v>2305</v>
      </c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30">
        <v>45701.0</v>
      </c>
      <c r="B25" s="11">
        <v>45702.0</v>
      </c>
      <c r="C25" s="12">
        <f>VLOOKUP(B:B,'Курс валют'!A:D,4,0)</f>
        <v>94.9221</v>
      </c>
      <c r="D25" s="15">
        <v>67.0</v>
      </c>
      <c r="E25" s="77" t="s">
        <v>56</v>
      </c>
      <c r="F25" s="15">
        <v>2400.0</v>
      </c>
      <c r="G25" s="15">
        <v>2421.9</v>
      </c>
      <c r="H25" s="17">
        <v>0.0</v>
      </c>
      <c r="I25" s="15">
        <f t="shared" si="1"/>
        <v>21.9</v>
      </c>
      <c r="J25" s="18">
        <f t="shared" si="2"/>
        <v>0.9125</v>
      </c>
      <c r="K25" s="17">
        <v>3.19</v>
      </c>
      <c r="L25" s="19">
        <f t="shared" si="3"/>
        <v>0</v>
      </c>
      <c r="M25" s="20">
        <f t="shared" si="4"/>
        <v>302.801499</v>
      </c>
      <c r="N25" s="21">
        <f t="shared" si="5"/>
        <v>3.19</v>
      </c>
      <c r="O25" s="21">
        <f t="shared" si="6"/>
        <v>7656</v>
      </c>
      <c r="P25" s="22">
        <f t="shared" si="7"/>
        <v>726723.5976</v>
      </c>
      <c r="R25" s="23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30">
        <v>45694.0</v>
      </c>
      <c r="B26" s="11">
        <v>45702.0</v>
      </c>
      <c r="C26" s="12">
        <f>VLOOKUP(B:B,'Курс валют'!A:D,4,0)</f>
        <v>94.9221</v>
      </c>
      <c r="D26" s="15">
        <v>69.0</v>
      </c>
      <c r="E26" s="77" t="s">
        <v>2306</v>
      </c>
      <c r="F26" s="76">
        <v>1000.0</v>
      </c>
      <c r="G26" s="76">
        <v>1059.5</v>
      </c>
      <c r="H26" s="58">
        <v>0.0</v>
      </c>
      <c r="I26" s="15">
        <f t="shared" si="1"/>
        <v>59.5</v>
      </c>
      <c r="J26" s="18">
        <f t="shared" si="2"/>
        <v>5.95</v>
      </c>
      <c r="K26" s="58">
        <v>3.17</v>
      </c>
      <c r="L26" s="19">
        <f t="shared" si="3"/>
        <v>0</v>
      </c>
      <c r="M26" s="20">
        <f t="shared" si="4"/>
        <v>300.903057</v>
      </c>
      <c r="N26" s="21">
        <f t="shared" si="5"/>
        <v>3.17</v>
      </c>
      <c r="O26" s="21">
        <f t="shared" si="6"/>
        <v>3170</v>
      </c>
      <c r="P26" s="22">
        <f t="shared" si="7"/>
        <v>300903.057</v>
      </c>
      <c r="R26" s="23"/>
      <c r="S26" s="25"/>
      <c r="T26" s="24" t="s">
        <v>2301</v>
      </c>
      <c r="U26" s="25"/>
      <c r="V26" s="25"/>
      <c r="W26" s="25"/>
      <c r="X26" s="25"/>
      <c r="Y26" s="25"/>
      <c r="Z26" s="25"/>
      <c r="AA26" s="25"/>
    </row>
    <row r="27">
      <c r="A27" s="30">
        <v>45694.0</v>
      </c>
      <c r="B27" s="11">
        <v>45702.0</v>
      </c>
      <c r="C27" s="12">
        <f>VLOOKUP(B:B,'Курс валют'!A:D,4,0)</f>
        <v>94.9221</v>
      </c>
      <c r="D27" s="15">
        <v>68.0</v>
      </c>
      <c r="E27" s="59" t="s">
        <v>2306</v>
      </c>
      <c r="F27" s="15">
        <v>970.0</v>
      </c>
      <c r="G27" s="15">
        <v>1033.5</v>
      </c>
      <c r="H27" s="17">
        <v>0.0</v>
      </c>
      <c r="I27" s="15">
        <f t="shared" si="1"/>
        <v>63.5</v>
      </c>
      <c r="J27" s="18">
        <f t="shared" si="2"/>
        <v>6.546391753</v>
      </c>
      <c r="K27" s="17">
        <v>3.17</v>
      </c>
      <c r="L27" s="19">
        <f t="shared" si="3"/>
        <v>0</v>
      </c>
      <c r="M27" s="20">
        <f t="shared" si="4"/>
        <v>300.903057</v>
      </c>
      <c r="N27" s="21">
        <f t="shared" si="5"/>
        <v>3.17</v>
      </c>
      <c r="O27" s="21">
        <f t="shared" si="6"/>
        <v>3074.9</v>
      </c>
      <c r="P27" s="22">
        <f t="shared" si="7"/>
        <v>291875.9653</v>
      </c>
      <c r="R27" s="23" t="s">
        <v>2307</v>
      </c>
      <c r="S27" s="25"/>
      <c r="T27" s="24" t="s">
        <v>2301</v>
      </c>
      <c r="U27" s="25"/>
      <c r="V27" s="25"/>
      <c r="W27" s="25"/>
      <c r="X27" s="25"/>
      <c r="Y27" s="25"/>
      <c r="Z27" s="25"/>
      <c r="AA27" s="25"/>
    </row>
    <row r="28">
      <c r="A28" s="30">
        <v>45702.0</v>
      </c>
      <c r="B28" s="11">
        <v>45702.0</v>
      </c>
      <c r="C28" s="12">
        <f>VLOOKUP(B:B,'Курс валют'!A:D,4,0)</f>
        <v>94.9221</v>
      </c>
      <c r="D28" s="15">
        <v>70.0</v>
      </c>
      <c r="E28" s="15" t="s">
        <v>68</v>
      </c>
      <c r="F28" s="15">
        <v>8000.0</v>
      </c>
      <c r="G28" s="15">
        <v>8040.0</v>
      </c>
      <c r="H28" s="17">
        <v>762.0</v>
      </c>
      <c r="I28" s="15">
        <f t="shared" si="1"/>
        <v>40</v>
      </c>
      <c r="J28" s="18">
        <f t="shared" si="2"/>
        <v>0.5</v>
      </c>
      <c r="K28" s="17">
        <v>2.38</v>
      </c>
      <c r="L28" s="19">
        <f t="shared" si="3"/>
        <v>9.525</v>
      </c>
      <c r="M28" s="20">
        <f t="shared" si="4"/>
        <v>198.4289547</v>
      </c>
      <c r="N28" s="21">
        <f t="shared" si="5"/>
        <v>2.09044</v>
      </c>
      <c r="O28" s="21">
        <f t="shared" si="6"/>
        <v>16723.52</v>
      </c>
      <c r="P28" s="22">
        <f t="shared" si="7"/>
        <v>1587431.638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>
        <v>45702.0</v>
      </c>
      <c r="B29" s="11">
        <v>45702.0</v>
      </c>
      <c r="C29" s="12">
        <f>VLOOKUP(B:B,'Курс валют'!A:D,4,0)</f>
        <v>94.9221</v>
      </c>
      <c r="D29" s="15">
        <v>71.0</v>
      </c>
      <c r="E29" s="77" t="s">
        <v>71</v>
      </c>
      <c r="F29" s="15">
        <v>8000.0</v>
      </c>
      <c r="G29" s="13">
        <v>8024.0</v>
      </c>
      <c r="H29" s="17">
        <v>744.0</v>
      </c>
      <c r="I29" s="15">
        <f t="shared" si="1"/>
        <v>24</v>
      </c>
      <c r="J29" s="18">
        <f t="shared" si="2"/>
        <v>0.3</v>
      </c>
      <c r="K29" s="17">
        <v>2.32</v>
      </c>
      <c r="L29" s="19">
        <f t="shared" si="3"/>
        <v>9.3</v>
      </c>
      <c r="M29" s="20">
        <f t="shared" si="4"/>
        <v>193.3828959</v>
      </c>
      <c r="N29" s="21">
        <f t="shared" si="5"/>
        <v>2.03728</v>
      </c>
      <c r="O29" s="21">
        <f t="shared" si="6"/>
        <v>16298.24</v>
      </c>
      <c r="P29" s="22">
        <f t="shared" si="7"/>
        <v>1547063.167</v>
      </c>
      <c r="R29" s="23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30">
        <v>45702.0</v>
      </c>
      <c r="B30" s="11">
        <v>45703.0</v>
      </c>
      <c r="C30" s="12">
        <f>VLOOKUP(B:B,'Курс валют'!A:D,4,0)</f>
        <v>94.8876</v>
      </c>
      <c r="D30" s="15">
        <v>72.0</v>
      </c>
      <c r="E30" s="59" t="s">
        <v>69</v>
      </c>
      <c r="F30" s="15">
        <v>17600.0</v>
      </c>
      <c r="G30" s="13">
        <v>17680.0</v>
      </c>
      <c r="H30" s="17">
        <v>1669.0</v>
      </c>
      <c r="I30" s="15">
        <f t="shared" si="1"/>
        <v>80</v>
      </c>
      <c r="J30" s="18">
        <f t="shared" si="2"/>
        <v>0.4545454545</v>
      </c>
      <c r="K30" s="17">
        <v>2.31</v>
      </c>
      <c r="L30" s="19">
        <f t="shared" si="3"/>
        <v>9.482954545</v>
      </c>
      <c r="M30" s="20">
        <f t="shared" si="4"/>
        <v>191.8359861</v>
      </c>
      <c r="N30" s="21">
        <f t="shared" si="5"/>
        <v>2.021718182</v>
      </c>
      <c r="O30" s="21">
        <f t="shared" si="6"/>
        <v>35582.24</v>
      </c>
      <c r="P30" s="22">
        <f t="shared" si="7"/>
        <v>3376313.356</v>
      </c>
      <c r="R30" s="78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30">
        <v>45702.0</v>
      </c>
      <c r="B31" s="11">
        <v>45704.0</v>
      </c>
      <c r="C31" s="12">
        <f>VLOOKUP(B:B,'Курс валют'!A:D,4,0)</f>
        <v>94.8876</v>
      </c>
      <c r="D31" s="15">
        <v>73.0</v>
      </c>
      <c r="E31" s="59" t="s">
        <v>61</v>
      </c>
      <c r="F31" s="15">
        <v>8800.0</v>
      </c>
      <c r="G31" s="13">
        <v>8845.0</v>
      </c>
      <c r="H31" s="17">
        <v>1951.34</v>
      </c>
      <c r="I31" s="15">
        <f t="shared" si="1"/>
        <v>45</v>
      </c>
      <c r="J31" s="18">
        <f t="shared" si="2"/>
        <v>0.5113636364</v>
      </c>
      <c r="K31" s="17">
        <v>3.39</v>
      </c>
      <c r="L31" s="19">
        <f t="shared" si="3"/>
        <v>22.17431818</v>
      </c>
      <c r="M31" s="20">
        <f t="shared" si="4"/>
        <v>257.7053018</v>
      </c>
      <c r="N31" s="21">
        <f t="shared" si="5"/>
        <v>2.715900727</v>
      </c>
      <c r="O31" s="21">
        <f t="shared" si="6"/>
        <v>23899.9264</v>
      </c>
      <c r="P31" s="22">
        <f t="shared" si="7"/>
        <v>2267806.656</v>
      </c>
      <c r="R31" s="78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30">
        <v>45698.0</v>
      </c>
      <c r="B32" s="11">
        <v>45705.0</v>
      </c>
      <c r="C32" s="12">
        <f>VLOOKUP(B:B,'Курс валют'!A:D,4,0)</f>
        <v>94.8876</v>
      </c>
      <c r="D32" s="15">
        <v>74.0</v>
      </c>
      <c r="E32" s="59" t="s">
        <v>59</v>
      </c>
      <c r="F32" s="15">
        <v>1000.0</v>
      </c>
      <c r="G32" s="13">
        <v>1054.5</v>
      </c>
      <c r="H32" s="17">
        <v>0.0</v>
      </c>
      <c r="I32" s="15">
        <f t="shared" si="1"/>
        <v>54.5</v>
      </c>
      <c r="J32" s="18">
        <f t="shared" si="2"/>
        <v>5.45</v>
      </c>
      <c r="K32" s="17">
        <v>3.07</v>
      </c>
      <c r="L32" s="19">
        <f t="shared" si="3"/>
        <v>0</v>
      </c>
      <c r="M32" s="20">
        <f t="shared" si="4"/>
        <v>291.304932</v>
      </c>
      <c r="N32" s="21">
        <f t="shared" si="5"/>
        <v>3.07</v>
      </c>
      <c r="O32" s="21">
        <f t="shared" si="6"/>
        <v>3070</v>
      </c>
      <c r="P32" s="22">
        <f t="shared" si="7"/>
        <v>291304.932</v>
      </c>
      <c r="R32" s="78"/>
      <c r="S32" s="25"/>
      <c r="T32" s="24" t="s">
        <v>2301</v>
      </c>
      <c r="U32" s="25"/>
      <c r="V32" s="25"/>
      <c r="W32" s="25"/>
      <c r="X32" s="25"/>
      <c r="Y32" s="25"/>
      <c r="Z32" s="25"/>
      <c r="AA32" s="25"/>
    </row>
    <row r="33">
      <c r="A33" s="30">
        <v>45698.0</v>
      </c>
      <c r="B33" s="11">
        <v>45705.0</v>
      </c>
      <c r="C33" s="12">
        <f>VLOOKUP(B:B,'Курс валют'!A:D,4,0)</f>
        <v>94.8876</v>
      </c>
      <c r="D33" s="15">
        <v>75.0</v>
      </c>
      <c r="E33" s="59" t="s">
        <v>59</v>
      </c>
      <c r="F33" s="15">
        <v>1000.0</v>
      </c>
      <c r="G33" s="13">
        <v>1054.5</v>
      </c>
      <c r="H33" s="17">
        <v>0.0</v>
      </c>
      <c r="I33" s="15">
        <f t="shared" si="1"/>
        <v>54.5</v>
      </c>
      <c r="J33" s="18">
        <f t="shared" si="2"/>
        <v>5.45</v>
      </c>
      <c r="K33" s="17">
        <v>3.07</v>
      </c>
      <c r="L33" s="19">
        <f t="shared" si="3"/>
        <v>0</v>
      </c>
      <c r="M33" s="20">
        <f t="shared" si="4"/>
        <v>291.304932</v>
      </c>
      <c r="N33" s="21">
        <f t="shared" si="5"/>
        <v>3.07</v>
      </c>
      <c r="O33" s="21">
        <f t="shared" si="6"/>
        <v>3070</v>
      </c>
      <c r="P33" s="22">
        <f t="shared" si="7"/>
        <v>291304.932</v>
      </c>
      <c r="R33" s="78"/>
      <c r="S33" s="25"/>
      <c r="T33" s="24" t="s">
        <v>2301</v>
      </c>
      <c r="U33" s="25"/>
      <c r="V33" s="25"/>
      <c r="W33" s="25"/>
      <c r="X33" s="25"/>
      <c r="Y33" s="25"/>
      <c r="Z33" s="25"/>
      <c r="AA33" s="25"/>
    </row>
    <row r="34">
      <c r="A34" s="30">
        <v>45705.0</v>
      </c>
      <c r="B34" s="11">
        <v>45706.0</v>
      </c>
      <c r="C34" s="12">
        <f>VLOOKUP(B:B,'Курс валют'!A:D,4,0)</f>
        <v>95.8048</v>
      </c>
      <c r="D34" s="15">
        <v>76.0</v>
      </c>
      <c r="E34" s="59" t="s">
        <v>61</v>
      </c>
      <c r="F34" s="15">
        <v>9900.0</v>
      </c>
      <c r="G34" s="13">
        <v>9972.34</v>
      </c>
      <c r="H34" s="17">
        <v>178.0</v>
      </c>
      <c r="I34" s="15">
        <f t="shared" si="1"/>
        <v>72.34</v>
      </c>
      <c r="J34" s="18">
        <f t="shared" si="2"/>
        <v>0.7307070707</v>
      </c>
      <c r="K34" s="17">
        <v>2.88</v>
      </c>
      <c r="L34" s="19">
        <f t="shared" si="3"/>
        <v>1.797979798</v>
      </c>
      <c r="M34" s="20">
        <f t="shared" si="4"/>
        <v>270.6812691</v>
      </c>
      <c r="N34" s="21">
        <f t="shared" si="5"/>
        <v>2.825341414</v>
      </c>
      <c r="O34" s="21">
        <f t="shared" si="6"/>
        <v>27970.88</v>
      </c>
      <c r="P34" s="22">
        <f t="shared" si="7"/>
        <v>2679744.564</v>
      </c>
      <c r="R34" s="79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30">
        <v>45707.0</v>
      </c>
      <c r="B35" s="11">
        <v>45709.0</v>
      </c>
      <c r="C35" s="12">
        <f>VLOOKUP(B:B,'Курс валют'!A:D,4,0)</f>
        <v>92.4831</v>
      </c>
      <c r="D35" s="15">
        <v>77.0</v>
      </c>
      <c r="E35" s="59" t="s">
        <v>61</v>
      </c>
      <c r="F35" s="15">
        <v>4400.0</v>
      </c>
      <c r="G35" s="13">
        <v>4481.0</v>
      </c>
      <c r="H35" s="17">
        <v>80.0</v>
      </c>
      <c r="I35" s="15">
        <f t="shared" si="1"/>
        <v>81</v>
      </c>
      <c r="J35" s="18">
        <f t="shared" si="2"/>
        <v>1.840909091</v>
      </c>
      <c r="K35" s="17">
        <v>2.92</v>
      </c>
      <c r="L35" s="19">
        <f t="shared" si="3"/>
        <v>1.818181818</v>
      </c>
      <c r="M35" s="20">
        <f t="shared" si="4"/>
        <v>264.9388588</v>
      </c>
      <c r="N35" s="21">
        <f t="shared" si="5"/>
        <v>2.864727273</v>
      </c>
      <c r="O35" s="21">
        <f t="shared" si="6"/>
        <v>12604.8</v>
      </c>
      <c r="P35" s="22">
        <f t="shared" si="7"/>
        <v>1165730.979</v>
      </c>
      <c r="R35" s="23" t="s">
        <v>2308</v>
      </c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0">
        <v>45706.0</v>
      </c>
      <c r="B36" s="11">
        <v>45709.0</v>
      </c>
      <c r="C36" s="12">
        <f>VLOOKUP(B:B,'Курс валют'!A:D,4,0)</f>
        <v>92.4831</v>
      </c>
      <c r="D36" s="15">
        <v>78.0</v>
      </c>
      <c r="E36" s="59" t="s">
        <v>63</v>
      </c>
      <c r="F36" s="15">
        <v>1000.0</v>
      </c>
      <c r="G36" s="13">
        <v>1043.15</v>
      </c>
      <c r="H36" s="17">
        <v>364.5</v>
      </c>
      <c r="I36" s="15">
        <f t="shared" si="1"/>
        <v>43.15</v>
      </c>
      <c r="J36" s="18">
        <f t="shared" si="2"/>
        <v>4.315</v>
      </c>
      <c r="K36" s="17">
        <v>3.23</v>
      </c>
      <c r="L36" s="19">
        <f t="shared" si="3"/>
        <v>36.45</v>
      </c>
      <c r="M36" s="20">
        <f t="shared" si="4"/>
        <v>196.2417396</v>
      </c>
      <c r="N36" s="21">
        <f t="shared" si="5"/>
        <v>2.12192</v>
      </c>
      <c r="O36" s="21">
        <f t="shared" si="6"/>
        <v>2121.92</v>
      </c>
      <c r="P36" s="22">
        <f t="shared" si="7"/>
        <v>196241.7396</v>
      </c>
      <c r="R36" s="23" t="s">
        <v>2309</v>
      </c>
      <c r="S36" s="24" t="s">
        <v>2294</v>
      </c>
      <c r="T36" s="24" t="s">
        <v>2301</v>
      </c>
      <c r="U36" s="25"/>
      <c r="V36" s="25"/>
      <c r="W36" s="25"/>
      <c r="X36" s="25"/>
      <c r="Y36" s="25"/>
      <c r="Z36" s="25"/>
      <c r="AA36" s="25"/>
    </row>
    <row r="37">
      <c r="A37" s="30">
        <v>45707.0</v>
      </c>
      <c r="B37" s="11">
        <v>45709.0</v>
      </c>
      <c r="C37" s="12">
        <f>VLOOKUP(B:B,'Курс валют'!A:D,4,0)</f>
        <v>92.4831</v>
      </c>
      <c r="D37" s="15">
        <v>79.0</v>
      </c>
      <c r="E37" s="59" t="s">
        <v>63</v>
      </c>
      <c r="F37" s="15">
        <v>900.0</v>
      </c>
      <c r="G37" s="13">
        <v>934.0</v>
      </c>
      <c r="H37" s="17">
        <v>365.0</v>
      </c>
      <c r="I37" s="15">
        <f t="shared" si="1"/>
        <v>34</v>
      </c>
      <c r="J37" s="18">
        <f t="shared" si="2"/>
        <v>3.777777778</v>
      </c>
      <c r="K37" s="17">
        <v>3.23</v>
      </c>
      <c r="L37" s="19">
        <f t="shared" si="3"/>
        <v>40.55555556</v>
      </c>
      <c r="M37" s="20">
        <f t="shared" si="4"/>
        <v>184.6990266</v>
      </c>
      <c r="N37" s="21">
        <f t="shared" si="5"/>
        <v>1.997111111</v>
      </c>
      <c r="O37" s="21">
        <f t="shared" si="6"/>
        <v>1797.4</v>
      </c>
      <c r="P37" s="22">
        <f t="shared" si="7"/>
        <v>166229.1239</v>
      </c>
      <c r="R37" s="31"/>
      <c r="S37" s="24" t="s">
        <v>2294</v>
      </c>
      <c r="T37" s="24" t="s">
        <v>2301</v>
      </c>
      <c r="U37" s="25"/>
      <c r="V37" s="25"/>
      <c r="W37" s="25"/>
      <c r="X37" s="25"/>
      <c r="Y37" s="25"/>
      <c r="Z37" s="25"/>
      <c r="AA37" s="25"/>
    </row>
    <row r="38">
      <c r="A38" s="30">
        <v>45707.0</v>
      </c>
      <c r="B38" s="11">
        <v>45709.0</v>
      </c>
      <c r="C38" s="12">
        <f>VLOOKUP(B:B,'Курс валют'!A:D,4,0)</f>
        <v>92.4831</v>
      </c>
      <c r="D38" s="15">
        <v>80.0</v>
      </c>
      <c r="E38" s="59" t="s">
        <v>63</v>
      </c>
      <c r="F38" s="15">
        <v>900.0</v>
      </c>
      <c r="G38" s="13">
        <v>934.0</v>
      </c>
      <c r="H38" s="17">
        <v>366.0</v>
      </c>
      <c r="I38" s="15">
        <f t="shared" si="1"/>
        <v>34</v>
      </c>
      <c r="J38" s="18">
        <f t="shared" si="2"/>
        <v>3.777777778</v>
      </c>
      <c r="K38" s="17">
        <v>3.23</v>
      </c>
      <c r="L38" s="19">
        <f t="shared" si="3"/>
        <v>40.66666667</v>
      </c>
      <c r="M38" s="20">
        <f t="shared" si="4"/>
        <v>184.3866392</v>
      </c>
      <c r="N38" s="21">
        <f t="shared" si="5"/>
        <v>1.993733333</v>
      </c>
      <c r="O38" s="21">
        <f t="shared" si="6"/>
        <v>1794.36</v>
      </c>
      <c r="P38" s="22">
        <f t="shared" si="7"/>
        <v>165947.9753</v>
      </c>
      <c r="R38" s="23"/>
      <c r="S38" s="24" t="s">
        <v>2294</v>
      </c>
      <c r="T38" s="24" t="s">
        <v>2301</v>
      </c>
      <c r="U38" s="25"/>
      <c r="V38" s="25"/>
      <c r="W38" s="25"/>
      <c r="X38" s="25"/>
      <c r="Y38" s="25"/>
      <c r="Z38" s="25"/>
      <c r="AA38" s="25"/>
    </row>
    <row r="39">
      <c r="A39" s="30">
        <v>45709.0</v>
      </c>
      <c r="B39" s="11">
        <v>45709.0</v>
      </c>
      <c r="C39" s="12">
        <f>VLOOKUP(B:B,'Курс валют'!A:D,4,0)</f>
        <v>92.4831</v>
      </c>
      <c r="D39" s="15">
        <v>81.0</v>
      </c>
      <c r="E39" s="59" t="s">
        <v>69</v>
      </c>
      <c r="F39" s="15">
        <v>8000.0</v>
      </c>
      <c r="G39" s="13">
        <v>8025.0</v>
      </c>
      <c r="H39" s="17">
        <v>758.0</v>
      </c>
      <c r="I39" s="15">
        <f t="shared" si="1"/>
        <v>25</v>
      </c>
      <c r="J39" s="18">
        <f t="shared" si="2"/>
        <v>0.3125</v>
      </c>
      <c r="K39" s="17">
        <v>2.25</v>
      </c>
      <c r="L39" s="19">
        <f t="shared" si="3"/>
        <v>9.475</v>
      </c>
      <c r="M39" s="20">
        <f t="shared" si="4"/>
        <v>181.4481429</v>
      </c>
      <c r="N39" s="21">
        <f t="shared" si="5"/>
        <v>1.96196</v>
      </c>
      <c r="O39" s="21">
        <f t="shared" si="6"/>
        <v>15695.68</v>
      </c>
      <c r="P39" s="22">
        <f t="shared" si="7"/>
        <v>1451585.143</v>
      </c>
      <c r="R39" s="23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30">
        <v>45709.0</v>
      </c>
      <c r="B40" s="11">
        <v>45710.0</v>
      </c>
      <c r="C40" s="12">
        <f>VLOOKUP(B:B,'Курс валют'!A:D,4,0)</f>
        <v>92.0152</v>
      </c>
      <c r="D40" s="15">
        <v>82.0</v>
      </c>
      <c r="E40" s="59" t="s">
        <v>55</v>
      </c>
      <c r="F40" s="15">
        <v>800.0</v>
      </c>
      <c r="G40" s="13">
        <v>849.3</v>
      </c>
      <c r="H40" s="17">
        <v>0.0</v>
      </c>
      <c r="I40" s="15">
        <f t="shared" si="1"/>
        <v>49.3</v>
      </c>
      <c r="J40" s="18">
        <f t="shared" si="2"/>
        <v>6.1625</v>
      </c>
      <c r="K40" s="17">
        <v>2.61</v>
      </c>
      <c r="L40" s="19">
        <f t="shared" si="3"/>
        <v>0</v>
      </c>
      <c r="M40" s="20">
        <f t="shared" si="4"/>
        <v>240.159672</v>
      </c>
      <c r="N40" s="21">
        <f t="shared" si="5"/>
        <v>2.61</v>
      </c>
      <c r="O40" s="21">
        <f t="shared" si="6"/>
        <v>2088</v>
      </c>
      <c r="P40" s="22">
        <f t="shared" si="7"/>
        <v>192127.7376</v>
      </c>
      <c r="R40" s="23"/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30">
        <v>45709.0</v>
      </c>
      <c r="B41" s="11">
        <v>45710.0</v>
      </c>
      <c r="C41" s="12">
        <f>VLOOKUP(B:B,'Курс валют'!A:D,4,0)</f>
        <v>92.0152</v>
      </c>
      <c r="D41" s="15">
        <v>83.0</v>
      </c>
      <c r="E41" s="59" t="s">
        <v>18</v>
      </c>
      <c r="F41" s="15">
        <v>5500.0</v>
      </c>
      <c r="G41" s="13">
        <v>5513.0</v>
      </c>
      <c r="H41" s="17">
        <v>100.0</v>
      </c>
      <c r="I41" s="15">
        <f t="shared" si="1"/>
        <v>13</v>
      </c>
      <c r="J41" s="18">
        <f t="shared" si="2"/>
        <v>0.2363636364</v>
      </c>
      <c r="K41" s="17">
        <v>2.57</v>
      </c>
      <c r="L41" s="19">
        <f t="shared" si="3"/>
        <v>1.818181818</v>
      </c>
      <c r="M41" s="20">
        <f t="shared" si="4"/>
        <v>231.3931329</v>
      </c>
      <c r="N41" s="21">
        <f t="shared" si="5"/>
        <v>2.514727273</v>
      </c>
      <c r="O41" s="21">
        <f t="shared" si="6"/>
        <v>13831</v>
      </c>
      <c r="P41" s="22">
        <f t="shared" si="7"/>
        <v>1272662.231</v>
      </c>
      <c r="R41" s="23" t="s">
        <v>2310</v>
      </c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30">
        <v>45709.0</v>
      </c>
      <c r="B42" s="11">
        <v>45711.0</v>
      </c>
      <c r="C42" s="12">
        <v>92.0152</v>
      </c>
      <c r="D42" s="15">
        <v>84.0</v>
      </c>
      <c r="E42" s="59" t="s">
        <v>18</v>
      </c>
      <c r="F42" s="15">
        <v>8800.0</v>
      </c>
      <c r="G42" s="13">
        <v>8903.5</v>
      </c>
      <c r="H42" s="17">
        <v>158.0</v>
      </c>
      <c r="I42" s="15">
        <f t="shared" si="1"/>
        <v>103.5</v>
      </c>
      <c r="J42" s="18">
        <f t="shared" si="2"/>
        <v>1.176136364</v>
      </c>
      <c r="K42" s="17">
        <v>2.82</v>
      </c>
      <c r="L42" s="19">
        <f t="shared" si="3"/>
        <v>1.795454545</v>
      </c>
      <c r="M42" s="20">
        <f t="shared" si="4"/>
        <v>254.4605071</v>
      </c>
      <c r="N42" s="21">
        <f t="shared" si="5"/>
        <v>2.765418182</v>
      </c>
      <c r="O42" s="21">
        <f t="shared" si="6"/>
        <v>24335.68</v>
      </c>
      <c r="P42" s="22">
        <f t="shared" si="7"/>
        <v>2239252.462</v>
      </c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30">
        <v>45709.0</v>
      </c>
      <c r="B43" s="11">
        <v>45712.0</v>
      </c>
      <c r="C43" s="12">
        <f>VLOOKUP(B:B,'Курс валют'!A:D,4,0)</f>
        <v>92.0152</v>
      </c>
      <c r="D43" s="15">
        <v>85.0</v>
      </c>
      <c r="E43" s="59" t="s">
        <v>63</v>
      </c>
      <c r="F43" s="15">
        <v>900.0</v>
      </c>
      <c r="G43" s="13">
        <v>934.0</v>
      </c>
      <c r="H43" s="17">
        <v>366.0</v>
      </c>
      <c r="I43" s="15">
        <f t="shared" si="1"/>
        <v>34</v>
      </c>
      <c r="J43" s="18">
        <f t="shared" si="2"/>
        <v>3.777777778</v>
      </c>
      <c r="K43" s="17">
        <v>3.21</v>
      </c>
      <c r="L43" s="19">
        <f t="shared" si="3"/>
        <v>40.66666667</v>
      </c>
      <c r="M43" s="20">
        <f t="shared" si="4"/>
        <v>181.6134674</v>
      </c>
      <c r="N43" s="21">
        <f t="shared" si="5"/>
        <v>1.973733333</v>
      </c>
      <c r="O43" s="21">
        <f t="shared" si="6"/>
        <v>1776.36</v>
      </c>
      <c r="P43" s="22">
        <f t="shared" si="7"/>
        <v>163452.1207</v>
      </c>
      <c r="R43" s="31"/>
      <c r="S43" s="24" t="s">
        <v>2294</v>
      </c>
      <c r="T43" s="24" t="s">
        <v>2301</v>
      </c>
      <c r="U43" s="25"/>
      <c r="V43" s="25"/>
      <c r="W43" s="25"/>
      <c r="X43" s="25"/>
      <c r="Y43" s="25"/>
      <c r="Z43" s="25"/>
      <c r="AA43" s="25"/>
    </row>
    <row r="44">
      <c r="A44" s="30">
        <v>45709.0</v>
      </c>
      <c r="B44" s="11">
        <v>45712.0</v>
      </c>
      <c r="C44" s="12">
        <f>VLOOKUP(B:B,'Курс валют'!A:D,4,0)</f>
        <v>92.0152</v>
      </c>
      <c r="D44" s="15">
        <v>86.0</v>
      </c>
      <c r="E44" s="59" t="s">
        <v>63</v>
      </c>
      <c r="F44" s="15">
        <v>900.0</v>
      </c>
      <c r="G44" s="13">
        <v>934.0</v>
      </c>
      <c r="H44" s="17">
        <v>365.0</v>
      </c>
      <c r="I44" s="15">
        <f t="shared" si="1"/>
        <v>34</v>
      </c>
      <c r="J44" s="18">
        <f t="shared" si="2"/>
        <v>3.777777778</v>
      </c>
      <c r="K44" s="17">
        <v>3.21</v>
      </c>
      <c r="L44" s="19">
        <f t="shared" si="3"/>
        <v>40.55555556</v>
      </c>
      <c r="M44" s="20">
        <f t="shared" si="4"/>
        <v>181.9242743</v>
      </c>
      <c r="N44" s="21">
        <f t="shared" si="5"/>
        <v>1.977111111</v>
      </c>
      <c r="O44" s="21">
        <f t="shared" si="6"/>
        <v>1779.4</v>
      </c>
      <c r="P44" s="22">
        <f t="shared" si="7"/>
        <v>163731.8469</v>
      </c>
      <c r="R44" s="78"/>
      <c r="S44" s="24" t="s">
        <v>2294</v>
      </c>
      <c r="T44" s="24" t="s">
        <v>2301</v>
      </c>
      <c r="U44" s="25"/>
      <c r="V44" s="25"/>
      <c r="W44" s="25"/>
      <c r="X44" s="25"/>
      <c r="Y44" s="25"/>
      <c r="Z44" s="25"/>
      <c r="AA44" s="25"/>
    </row>
    <row r="45">
      <c r="A45" s="30">
        <v>45709.0</v>
      </c>
      <c r="B45" s="11">
        <v>45712.0</v>
      </c>
      <c r="C45" s="12">
        <f>VLOOKUP(B:B,'Курс валют'!A:D,4,0)</f>
        <v>92.0152</v>
      </c>
      <c r="D45" s="15">
        <v>87.0</v>
      </c>
      <c r="E45" s="59" t="s">
        <v>63</v>
      </c>
      <c r="F45" s="15">
        <v>900.0</v>
      </c>
      <c r="G45" s="13">
        <v>935.0</v>
      </c>
      <c r="H45" s="58">
        <v>364.0</v>
      </c>
      <c r="I45" s="15">
        <f t="shared" si="1"/>
        <v>35</v>
      </c>
      <c r="J45" s="18">
        <f t="shared" si="2"/>
        <v>3.888888889</v>
      </c>
      <c r="K45" s="17">
        <v>3.21</v>
      </c>
      <c r="L45" s="19">
        <f t="shared" si="3"/>
        <v>40.44444444</v>
      </c>
      <c r="M45" s="20">
        <f t="shared" si="4"/>
        <v>182.2350812</v>
      </c>
      <c r="N45" s="21">
        <f t="shared" si="5"/>
        <v>1.980488889</v>
      </c>
      <c r="O45" s="21">
        <f t="shared" si="6"/>
        <v>1782.44</v>
      </c>
      <c r="P45" s="22">
        <f t="shared" si="7"/>
        <v>164011.5731</v>
      </c>
      <c r="R45" s="23"/>
      <c r="S45" s="24" t="s">
        <v>2294</v>
      </c>
      <c r="T45" s="24" t="s">
        <v>2301</v>
      </c>
      <c r="U45" s="25"/>
      <c r="V45" s="25"/>
      <c r="W45" s="25"/>
      <c r="X45" s="25"/>
      <c r="Y45" s="25"/>
      <c r="Z45" s="25"/>
      <c r="AA45" s="25"/>
    </row>
    <row r="46">
      <c r="A46" s="30">
        <v>45709.0</v>
      </c>
      <c r="B46" s="11">
        <v>45712.0</v>
      </c>
      <c r="C46" s="12">
        <f>VLOOKUP(B:B,'Курс валют'!A:D,4,0)</f>
        <v>92.0152</v>
      </c>
      <c r="D46" s="15">
        <v>88.0</v>
      </c>
      <c r="E46" s="59" t="s">
        <v>63</v>
      </c>
      <c r="F46" s="15">
        <v>900.0</v>
      </c>
      <c r="G46" s="13">
        <v>935.0</v>
      </c>
      <c r="H46" s="58">
        <v>365.0</v>
      </c>
      <c r="I46" s="15">
        <f t="shared" si="1"/>
        <v>35</v>
      </c>
      <c r="J46" s="18">
        <f t="shared" si="2"/>
        <v>3.888888889</v>
      </c>
      <c r="K46" s="17">
        <v>3.21</v>
      </c>
      <c r="L46" s="19">
        <f t="shared" si="3"/>
        <v>40.55555556</v>
      </c>
      <c r="M46" s="20">
        <f t="shared" si="4"/>
        <v>181.9242743</v>
      </c>
      <c r="N46" s="21">
        <f t="shared" si="5"/>
        <v>1.977111111</v>
      </c>
      <c r="O46" s="21">
        <f t="shared" si="6"/>
        <v>1779.4</v>
      </c>
      <c r="P46" s="22">
        <f t="shared" si="7"/>
        <v>163731.8469</v>
      </c>
      <c r="R46" s="78"/>
      <c r="S46" s="24" t="s">
        <v>2294</v>
      </c>
      <c r="T46" s="24" t="s">
        <v>2301</v>
      </c>
      <c r="U46" s="25"/>
      <c r="V46" s="25"/>
      <c r="W46" s="25"/>
      <c r="X46" s="25"/>
      <c r="Y46" s="25"/>
      <c r="Z46" s="25"/>
      <c r="AA46" s="25"/>
    </row>
    <row r="47">
      <c r="A47" s="30">
        <v>45709.0</v>
      </c>
      <c r="B47" s="11">
        <v>45712.0</v>
      </c>
      <c r="C47" s="12">
        <f>VLOOKUP(B:B,'Курс валют'!A:D,4,0)</f>
        <v>92.0152</v>
      </c>
      <c r="D47" s="15">
        <v>89.0</v>
      </c>
      <c r="E47" s="59" t="s">
        <v>63</v>
      </c>
      <c r="F47" s="15">
        <v>900.0</v>
      </c>
      <c r="G47" s="13">
        <v>934.0</v>
      </c>
      <c r="H47" s="58">
        <v>366.0</v>
      </c>
      <c r="I47" s="15">
        <f t="shared" si="1"/>
        <v>34</v>
      </c>
      <c r="J47" s="18">
        <f t="shared" si="2"/>
        <v>3.777777778</v>
      </c>
      <c r="K47" s="17">
        <v>3.21</v>
      </c>
      <c r="L47" s="19">
        <f t="shared" si="3"/>
        <v>40.66666667</v>
      </c>
      <c r="M47" s="20">
        <f t="shared" si="4"/>
        <v>181.6134674</v>
      </c>
      <c r="N47" s="21">
        <f t="shared" si="5"/>
        <v>1.973733333</v>
      </c>
      <c r="O47" s="21">
        <f t="shared" si="6"/>
        <v>1776.36</v>
      </c>
      <c r="P47" s="22">
        <f t="shared" si="7"/>
        <v>163452.1207</v>
      </c>
      <c r="R47" s="152"/>
      <c r="S47" s="24" t="s">
        <v>2294</v>
      </c>
      <c r="T47" s="24" t="s">
        <v>2301</v>
      </c>
      <c r="U47" s="25"/>
      <c r="V47" s="25"/>
      <c r="W47" s="25"/>
      <c r="X47" s="25"/>
      <c r="Y47" s="25"/>
      <c r="Z47" s="25"/>
      <c r="AA47" s="25"/>
    </row>
    <row r="48">
      <c r="A48" s="30">
        <v>45712.0</v>
      </c>
      <c r="B48" s="11">
        <v>45713.0</v>
      </c>
      <c r="C48" s="12">
        <f>VLOOKUP(B:B,'Курс валют'!A:D,4,0)</f>
        <v>92.5162</v>
      </c>
      <c r="D48" s="15">
        <v>90.0</v>
      </c>
      <c r="E48" s="75" t="s">
        <v>53</v>
      </c>
      <c r="F48" s="15">
        <v>8000.0</v>
      </c>
      <c r="G48" s="13">
        <v>8028.5</v>
      </c>
      <c r="H48" s="58">
        <v>0.0</v>
      </c>
      <c r="I48" s="15">
        <f t="shared" si="1"/>
        <v>28.5</v>
      </c>
      <c r="J48" s="18">
        <f t="shared" si="2"/>
        <v>0.35625</v>
      </c>
      <c r="K48" s="62">
        <v>2.0</v>
      </c>
      <c r="L48" s="19">
        <f t="shared" si="3"/>
        <v>0</v>
      </c>
      <c r="M48" s="20">
        <f t="shared" si="4"/>
        <v>185.0324</v>
      </c>
      <c r="N48" s="21">
        <f t="shared" si="5"/>
        <v>2</v>
      </c>
      <c r="O48" s="21">
        <f t="shared" si="6"/>
        <v>16000</v>
      </c>
      <c r="P48" s="22">
        <f t="shared" si="7"/>
        <v>1480259.2</v>
      </c>
      <c r="R48" s="31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30">
        <v>45713.0</v>
      </c>
      <c r="B49" s="11">
        <v>45714.0</v>
      </c>
      <c r="C49" s="12">
        <f>VLOOKUP(B:B,'Курс валют'!A:D,4,0)</f>
        <v>90.9403</v>
      </c>
      <c r="D49" s="15">
        <v>91.0</v>
      </c>
      <c r="E49" s="75" t="s">
        <v>53</v>
      </c>
      <c r="F49" s="15">
        <v>8000.0</v>
      </c>
      <c r="G49" s="13">
        <v>8027.5</v>
      </c>
      <c r="H49" s="17">
        <v>0.0</v>
      </c>
      <c r="I49" s="15">
        <f t="shared" si="1"/>
        <v>27.5</v>
      </c>
      <c r="J49" s="18">
        <f t="shared" si="2"/>
        <v>0.34375</v>
      </c>
      <c r="K49" s="62">
        <v>2.0</v>
      </c>
      <c r="L49" s="19">
        <f t="shared" si="3"/>
        <v>0</v>
      </c>
      <c r="M49" s="20">
        <f t="shared" si="4"/>
        <v>181.8806</v>
      </c>
      <c r="N49" s="21">
        <f t="shared" si="5"/>
        <v>2</v>
      </c>
      <c r="O49" s="21">
        <f t="shared" si="6"/>
        <v>16000</v>
      </c>
      <c r="P49" s="22">
        <f t="shared" si="7"/>
        <v>1455044.8</v>
      </c>
      <c r="R49" s="31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30">
        <v>45714.0</v>
      </c>
      <c r="B50" s="11">
        <v>45715.0</v>
      </c>
      <c r="C50" s="12">
        <f>VLOOKUP(B:B,'Курс валют'!A:D,4,0)</f>
        <v>90.1826</v>
      </c>
      <c r="D50" s="15">
        <v>94.0</v>
      </c>
      <c r="E50" s="75" t="s">
        <v>53</v>
      </c>
      <c r="F50" s="15">
        <v>8000.0</v>
      </c>
      <c r="G50" s="13">
        <v>8027.5</v>
      </c>
      <c r="H50" s="17">
        <v>0.0</v>
      </c>
      <c r="I50" s="15">
        <f t="shared" si="1"/>
        <v>27.5</v>
      </c>
      <c r="J50" s="18">
        <f t="shared" si="2"/>
        <v>0.34375</v>
      </c>
      <c r="K50" s="62">
        <v>2.0</v>
      </c>
      <c r="L50" s="19">
        <f t="shared" si="3"/>
        <v>0</v>
      </c>
      <c r="M50" s="20">
        <f t="shared" si="4"/>
        <v>180.3652</v>
      </c>
      <c r="N50" s="21">
        <f t="shared" si="5"/>
        <v>2</v>
      </c>
      <c r="O50" s="21">
        <f t="shared" si="6"/>
        <v>16000</v>
      </c>
      <c r="P50" s="22">
        <f t="shared" si="7"/>
        <v>1442921.6</v>
      </c>
      <c r="R50" s="78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30">
        <v>45715.0</v>
      </c>
      <c r="B51" s="11">
        <v>45716.0</v>
      </c>
      <c r="C51" s="12">
        <f>VLOOKUP(B:B,'Курс валют'!A:D,4,0)</f>
        <v>92.0362</v>
      </c>
      <c r="D51" s="15">
        <v>95.0</v>
      </c>
      <c r="E51" s="75" t="s">
        <v>53</v>
      </c>
      <c r="F51" s="15">
        <v>5600.0</v>
      </c>
      <c r="G51" s="13">
        <v>5624.35</v>
      </c>
      <c r="H51" s="17">
        <v>0.0</v>
      </c>
      <c r="I51" s="15">
        <f t="shared" si="1"/>
        <v>24.35</v>
      </c>
      <c r="J51" s="18">
        <f t="shared" si="2"/>
        <v>0.4348214286</v>
      </c>
      <c r="K51" s="17">
        <v>2.01</v>
      </c>
      <c r="L51" s="19">
        <f t="shared" si="3"/>
        <v>0</v>
      </c>
      <c r="M51" s="20">
        <f t="shared" si="4"/>
        <v>184.992762</v>
      </c>
      <c r="N51" s="21">
        <f t="shared" si="5"/>
        <v>2.01</v>
      </c>
      <c r="O51" s="21">
        <f t="shared" si="6"/>
        <v>11256</v>
      </c>
      <c r="P51" s="22">
        <f t="shared" si="7"/>
        <v>1035959.467</v>
      </c>
      <c r="R51" s="79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30">
        <v>45715.0</v>
      </c>
      <c r="B52" s="11">
        <v>45716.0</v>
      </c>
      <c r="C52" s="12">
        <f>VLOOKUP(B:B,'Курс валют'!A:D,4,0)</f>
        <v>92.0362</v>
      </c>
      <c r="D52" s="15">
        <v>96.0</v>
      </c>
      <c r="E52" s="59" t="s">
        <v>55</v>
      </c>
      <c r="F52" s="15">
        <v>800.0</v>
      </c>
      <c r="G52" s="13">
        <v>824.3</v>
      </c>
      <c r="H52" s="17">
        <v>0.0</v>
      </c>
      <c r="I52" s="15">
        <f t="shared" si="1"/>
        <v>24.3</v>
      </c>
      <c r="J52" s="18">
        <f t="shared" si="2"/>
        <v>3.0375</v>
      </c>
      <c r="K52" s="17">
        <v>2.63</v>
      </c>
      <c r="L52" s="19">
        <f t="shared" si="3"/>
        <v>0</v>
      </c>
      <c r="M52" s="20">
        <f t="shared" si="4"/>
        <v>242.055206</v>
      </c>
      <c r="N52" s="21">
        <f t="shared" si="5"/>
        <v>2.63</v>
      </c>
      <c r="O52" s="21">
        <f t="shared" si="6"/>
        <v>2104</v>
      </c>
      <c r="P52" s="22">
        <f t="shared" si="7"/>
        <v>193644.1648</v>
      </c>
      <c r="R52" s="78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30">
        <v>45715.0</v>
      </c>
      <c r="B53" s="11">
        <v>45716.0</v>
      </c>
      <c r="C53" s="12">
        <f>VLOOKUP(B:B,'Курс валют'!A:D,4,0)</f>
        <v>92.0362</v>
      </c>
      <c r="D53" s="15">
        <v>97.0</v>
      </c>
      <c r="E53" s="64" t="s">
        <v>102</v>
      </c>
      <c r="F53" s="15">
        <v>200.0</v>
      </c>
      <c r="G53" s="15">
        <v>200.0</v>
      </c>
      <c r="H53" s="17">
        <v>0.0</v>
      </c>
      <c r="I53" s="15">
        <f t="shared" si="1"/>
        <v>0</v>
      </c>
      <c r="J53" s="18">
        <f t="shared" si="2"/>
        <v>0</v>
      </c>
      <c r="K53" s="17">
        <v>3.34</v>
      </c>
      <c r="L53" s="19">
        <f t="shared" si="3"/>
        <v>0</v>
      </c>
      <c r="M53" s="20">
        <f t="shared" si="4"/>
        <v>307.400908</v>
      </c>
      <c r="N53" s="21">
        <f t="shared" si="5"/>
        <v>3.34</v>
      </c>
      <c r="O53" s="21">
        <f t="shared" si="6"/>
        <v>668</v>
      </c>
      <c r="P53" s="22">
        <f t="shared" si="7"/>
        <v>61480.1816</v>
      </c>
      <c r="R53" s="31" t="s">
        <v>1101</v>
      </c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30">
        <v>45715.0</v>
      </c>
      <c r="B54" s="11">
        <v>45716.0</v>
      </c>
      <c r="C54" s="12">
        <f>VLOOKUP(B:B,'Курс валют'!A:D,4,0)</f>
        <v>92.0362</v>
      </c>
      <c r="D54" s="15">
        <v>98.0</v>
      </c>
      <c r="E54" s="64" t="s">
        <v>207</v>
      </c>
      <c r="F54" s="15">
        <v>220.0</v>
      </c>
      <c r="G54" s="15">
        <v>220.0</v>
      </c>
      <c r="H54" s="17">
        <v>0.0</v>
      </c>
      <c r="I54" s="15">
        <f t="shared" si="1"/>
        <v>0</v>
      </c>
      <c r="J54" s="18">
        <f t="shared" si="2"/>
        <v>0</v>
      </c>
      <c r="K54" s="17">
        <v>4.01</v>
      </c>
      <c r="L54" s="19">
        <f t="shared" si="3"/>
        <v>0</v>
      </c>
      <c r="M54" s="20">
        <f t="shared" si="4"/>
        <v>369.065162</v>
      </c>
      <c r="N54" s="21">
        <f t="shared" si="5"/>
        <v>4.01</v>
      </c>
      <c r="O54" s="21">
        <f t="shared" si="6"/>
        <v>882.2</v>
      </c>
      <c r="P54" s="22">
        <f t="shared" si="7"/>
        <v>81194.33564</v>
      </c>
      <c r="R54" s="31" t="s">
        <v>1101</v>
      </c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/>
      <c r="C55" s="12" t="str">
        <f>VLOOKUP(B:B,'Курс валют'!A:D,4,0)</f>
        <v>#N/A</v>
      </c>
      <c r="D55" s="15"/>
      <c r="E55" s="64"/>
      <c r="F55" s="15"/>
      <c r="G55" s="15"/>
      <c r="H55" s="17"/>
      <c r="I55" s="15">
        <f t="shared" si="1"/>
        <v>0</v>
      </c>
      <c r="J55" s="18" t="str">
        <f t="shared" si="2"/>
        <v>#DIV/0!</v>
      </c>
      <c r="K55" s="17"/>
      <c r="L55" s="19" t="str">
        <f t="shared" si="3"/>
        <v>#DIV/0!</v>
      </c>
      <c r="M55" s="20" t="str">
        <f t="shared" si="4"/>
        <v>#DIV/0!</v>
      </c>
      <c r="N55" s="21" t="str">
        <f t="shared" si="5"/>
        <v>#DIV/0!</v>
      </c>
      <c r="O55" s="21" t="str">
        <f t="shared" si="6"/>
        <v>#DIV/0!</v>
      </c>
      <c r="P55" s="22" t="str">
        <f t="shared" si="7"/>
        <v>#DIV/0!</v>
      </c>
      <c r="R55" s="78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/>
      <c r="C56" s="12" t="str">
        <f>VLOOKUP(B:B,'Курс валют'!A:D,4,0)</f>
        <v>#N/A</v>
      </c>
      <c r="D56" s="15"/>
      <c r="E56" s="64"/>
      <c r="F56" s="15"/>
      <c r="G56" s="15"/>
      <c r="H56" s="17"/>
      <c r="I56" s="15">
        <f t="shared" si="1"/>
        <v>0</v>
      </c>
      <c r="J56" s="18" t="str">
        <f t="shared" si="2"/>
        <v>#DIV/0!</v>
      </c>
      <c r="K56" s="17"/>
      <c r="L56" s="19" t="str">
        <f t="shared" si="3"/>
        <v>#DIV/0!</v>
      </c>
      <c r="M56" s="20" t="str">
        <f t="shared" si="4"/>
        <v>#DIV/0!</v>
      </c>
      <c r="N56" s="21" t="str">
        <f t="shared" si="5"/>
        <v>#DIV/0!</v>
      </c>
      <c r="O56" s="21" t="str">
        <f t="shared" si="6"/>
        <v>#DIV/0!</v>
      </c>
      <c r="P56" s="22" t="str">
        <f t="shared" si="7"/>
        <v>#DIV/0!</v>
      </c>
      <c r="R56" s="79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/>
      <c r="C57" s="12" t="str">
        <f>VLOOKUP(B:B,'Курс валют'!A:D,4,0)</f>
        <v>#N/A</v>
      </c>
      <c r="D57" s="15"/>
      <c r="E57" s="64"/>
      <c r="F57" s="15"/>
      <c r="G57" s="15"/>
      <c r="H57" s="17"/>
      <c r="I57" s="15">
        <f t="shared" si="1"/>
        <v>0</v>
      </c>
      <c r="J57" s="18" t="str">
        <f t="shared" si="2"/>
        <v>#DIV/0!</v>
      </c>
      <c r="K57" s="17"/>
      <c r="L57" s="19" t="str">
        <f t="shared" si="3"/>
        <v>#DIV/0!</v>
      </c>
      <c r="M57" s="20" t="str">
        <f t="shared" si="4"/>
        <v>#DIV/0!</v>
      </c>
      <c r="N57" s="21" t="str">
        <f t="shared" si="5"/>
        <v>#DIV/0!</v>
      </c>
      <c r="O57" s="21" t="str">
        <f t="shared" si="6"/>
        <v>#DIV/0!</v>
      </c>
      <c r="P57" s="22" t="str">
        <f t="shared" si="7"/>
        <v>#DIV/0!</v>
      </c>
      <c r="R57" s="79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/>
      <c r="C58" s="12" t="str">
        <f>VLOOKUP(B:B,'Курс валют'!A:D,4,0)</f>
        <v>#N/A</v>
      </c>
      <c r="D58" s="15"/>
      <c r="E58" s="64"/>
      <c r="F58" s="15"/>
      <c r="G58" s="15"/>
      <c r="H58" s="17"/>
      <c r="I58" s="15">
        <f t="shared" si="1"/>
        <v>0</v>
      </c>
      <c r="J58" s="18" t="str">
        <f t="shared" si="2"/>
        <v>#DIV/0!</v>
      </c>
      <c r="K58" s="17"/>
      <c r="L58" s="19" t="str">
        <f t="shared" si="3"/>
        <v>#DIV/0!</v>
      </c>
      <c r="M58" s="20" t="str">
        <f t="shared" si="4"/>
        <v>#DIV/0!</v>
      </c>
      <c r="N58" s="21" t="str">
        <f t="shared" si="5"/>
        <v>#DIV/0!</v>
      </c>
      <c r="O58" s="21" t="str">
        <f t="shared" si="6"/>
        <v>#DIV/0!</v>
      </c>
      <c r="P58" s="22" t="str">
        <f t="shared" si="7"/>
        <v>#DIV/0!</v>
      </c>
      <c r="R58" s="79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/>
      <c r="C59" s="12" t="str">
        <f>VLOOKUP(B:B,'Курс валют'!A:D,4,0)</f>
        <v>#N/A</v>
      </c>
      <c r="D59" s="15"/>
      <c r="E59" s="64"/>
      <c r="F59" s="15"/>
      <c r="G59" s="15"/>
      <c r="H59" s="17"/>
      <c r="I59" s="15">
        <f t="shared" si="1"/>
        <v>0</v>
      </c>
      <c r="J59" s="18" t="str">
        <f t="shared" si="2"/>
        <v>#DIV/0!</v>
      </c>
      <c r="K59" s="17"/>
      <c r="L59" s="19" t="str">
        <f t="shared" si="3"/>
        <v>#DIV/0!</v>
      </c>
      <c r="M59" s="20" t="str">
        <f t="shared" si="4"/>
        <v>#DIV/0!</v>
      </c>
      <c r="N59" s="21" t="str">
        <f t="shared" si="5"/>
        <v>#DIV/0!</v>
      </c>
      <c r="O59" s="21" t="str">
        <f t="shared" si="6"/>
        <v>#DIV/0!</v>
      </c>
      <c r="P59" s="22" t="str">
        <f t="shared" si="7"/>
        <v>#DIV/0!</v>
      </c>
      <c r="R59" s="79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/>
      <c r="C60" s="12" t="str">
        <f>VLOOKUP(B:B,'Курс валют'!A:D,4,0)</f>
        <v>#N/A</v>
      </c>
      <c r="D60" s="15"/>
      <c r="E60" s="64"/>
      <c r="F60" s="15"/>
      <c r="G60" s="15"/>
      <c r="H60" s="17"/>
      <c r="I60" s="15">
        <f t="shared" si="1"/>
        <v>0</v>
      </c>
      <c r="J60" s="18" t="str">
        <f t="shared" si="2"/>
        <v>#DIV/0!</v>
      </c>
      <c r="K60" s="17"/>
      <c r="L60" s="19" t="str">
        <f t="shared" si="3"/>
        <v>#DIV/0!</v>
      </c>
      <c r="M60" s="20" t="str">
        <f t="shared" si="4"/>
        <v>#DIV/0!</v>
      </c>
      <c r="N60" s="21" t="str">
        <f t="shared" si="5"/>
        <v>#DIV/0!</v>
      </c>
      <c r="O60" s="21" t="str">
        <f t="shared" si="6"/>
        <v>#DIV/0!</v>
      </c>
      <c r="P60" s="22" t="str">
        <f t="shared" si="7"/>
        <v>#DIV/0!</v>
      </c>
      <c r="R60" s="23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/>
      <c r="C61" s="12" t="str">
        <f>VLOOKUP(B:B,'Курс валют'!A:D,4,0)</f>
        <v>#N/A</v>
      </c>
      <c r="D61" s="15"/>
      <c r="E61" s="64"/>
      <c r="F61" s="15"/>
      <c r="G61" s="15"/>
      <c r="H61" s="17"/>
      <c r="I61" s="15">
        <f t="shared" si="1"/>
        <v>0</v>
      </c>
      <c r="J61" s="18" t="str">
        <f t="shared" si="2"/>
        <v>#DIV/0!</v>
      </c>
      <c r="K61" s="17"/>
      <c r="L61" s="19" t="str">
        <f t="shared" si="3"/>
        <v>#DIV/0!</v>
      </c>
      <c r="M61" s="20" t="str">
        <f t="shared" si="4"/>
        <v>#DIV/0!</v>
      </c>
      <c r="N61" s="21" t="str">
        <f t="shared" si="5"/>
        <v>#DIV/0!</v>
      </c>
      <c r="O61" s="21" t="str">
        <f t="shared" si="6"/>
        <v>#DIV/0!</v>
      </c>
      <c r="P61" s="22" t="str">
        <f t="shared" si="7"/>
        <v>#DIV/0!</v>
      </c>
      <c r="R61" s="23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/>
      <c r="C62" s="12"/>
      <c r="D62" s="15"/>
      <c r="E62" s="64"/>
      <c r="F62" s="15"/>
      <c r="G62" s="15"/>
      <c r="H62" s="17"/>
      <c r="I62" s="15"/>
      <c r="J62" s="18"/>
      <c r="K62" s="17"/>
      <c r="L62" s="19" t="str">
        <f t="shared" si="3"/>
        <v>#DIV/0!</v>
      </c>
      <c r="M62" s="20" t="str">
        <f t="shared" si="4"/>
        <v>#DIV/0!</v>
      </c>
      <c r="N62" s="21" t="str">
        <f t="shared" si="5"/>
        <v>#DIV/0!</v>
      </c>
      <c r="O62" s="21" t="str">
        <f t="shared" si="6"/>
        <v>#DIV/0!</v>
      </c>
      <c r="P62" s="22" t="str">
        <f t="shared" si="7"/>
        <v>#DIV/0!</v>
      </c>
      <c r="R62" s="79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/>
      <c r="C63" s="12"/>
      <c r="D63" s="15"/>
      <c r="E63" s="64"/>
      <c r="F63" s="15"/>
      <c r="G63" s="15"/>
      <c r="H63" s="17"/>
      <c r="I63" s="15"/>
      <c r="J63" s="18"/>
      <c r="K63" s="17"/>
      <c r="L63" s="19" t="str">
        <f t="shared" si="3"/>
        <v>#DIV/0!</v>
      </c>
      <c r="M63" s="20" t="str">
        <f t="shared" si="4"/>
        <v>#DIV/0!</v>
      </c>
      <c r="N63" s="21" t="str">
        <f t="shared" si="5"/>
        <v>#DIV/0!</v>
      </c>
      <c r="O63" s="21" t="str">
        <f t="shared" si="6"/>
        <v>#DIV/0!</v>
      </c>
      <c r="P63" s="22" t="str">
        <f t="shared" si="7"/>
        <v>#DIV/0!</v>
      </c>
      <c r="R63" s="23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63"/>
      <c r="B64" s="11"/>
      <c r="C64" s="12"/>
      <c r="D64" s="15"/>
      <c r="E64" s="64"/>
      <c r="F64" s="15"/>
      <c r="G64" s="15"/>
      <c r="H64" s="17"/>
      <c r="I64" s="15"/>
      <c r="J64" s="18"/>
      <c r="K64" s="17"/>
      <c r="L64" s="19" t="str">
        <f t="shared" si="3"/>
        <v>#DIV/0!</v>
      </c>
      <c r="M64" s="20" t="str">
        <f t="shared" si="4"/>
        <v>#DIV/0!</v>
      </c>
      <c r="N64" s="21" t="str">
        <f t="shared" si="5"/>
        <v>#DIV/0!</v>
      </c>
      <c r="O64" s="21" t="str">
        <f t="shared" si="6"/>
        <v>#DIV/0!</v>
      </c>
      <c r="P64" s="22" t="str">
        <f t="shared" si="7"/>
        <v>#DIV/0!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63"/>
      <c r="B65" s="11"/>
      <c r="C65" s="12"/>
      <c r="D65" s="15"/>
      <c r="E65" s="64"/>
      <c r="F65" s="15"/>
      <c r="G65" s="15"/>
      <c r="H65" s="17"/>
      <c r="I65" s="15"/>
      <c r="J65" s="18"/>
      <c r="K65" s="17"/>
      <c r="L65" s="19" t="str">
        <f t="shared" si="3"/>
        <v>#DIV/0!</v>
      </c>
      <c r="M65" s="20" t="str">
        <f t="shared" si="4"/>
        <v>#DIV/0!</v>
      </c>
      <c r="N65" s="21" t="str">
        <f t="shared" si="5"/>
        <v>#DIV/0!</v>
      </c>
      <c r="O65" s="21" t="str">
        <f t="shared" si="6"/>
        <v>#DIV/0!</v>
      </c>
      <c r="P65" s="22" t="str">
        <f t="shared" si="7"/>
        <v>#DIV/0!</v>
      </c>
      <c r="R65" s="79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30"/>
      <c r="B66" s="11"/>
      <c r="C66" s="12"/>
      <c r="D66" s="15"/>
      <c r="E66" s="64"/>
      <c r="F66" s="15"/>
      <c r="G66" s="15"/>
      <c r="H66" s="17"/>
      <c r="I66" s="15"/>
      <c r="J66" s="18"/>
      <c r="K66" s="17"/>
      <c r="L66" s="19" t="str">
        <f t="shared" si="3"/>
        <v>#DIV/0!</v>
      </c>
      <c r="M66" s="20" t="str">
        <f t="shared" si="4"/>
        <v>#DIV/0!</v>
      </c>
      <c r="N66" s="21" t="str">
        <f t="shared" si="5"/>
        <v>#DIV/0!</v>
      </c>
      <c r="O66" s="21" t="str">
        <f t="shared" si="6"/>
        <v>#DIV/0!</v>
      </c>
      <c r="P66" s="22" t="str">
        <f t="shared" si="7"/>
        <v>#DIV/0!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147"/>
      <c r="B67" s="11"/>
      <c r="C67" s="12"/>
      <c r="D67" s="15"/>
      <c r="E67" s="64"/>
      <c r="F67" s="15"/>
      <c r="G67" s="15"/>
      <c r="H67" s="17"/>
      <c r="I67" s="15"/>
      <c r="J67" s="18"/>
      <c r="K67" s="17"/>
      <c r="L67" s="19" t="str">
        <f t="shared" si="3"/>
        <v>#DIV/0!</v>
      </c>
      <c r="M67" s="20" t="str">
        <f t="shared" si="4"/>
        <v>#DIV/0!</v>
      </c>
      <c r="N67" s="21" t="str">
        <f t="shared" si="5"/>
        <v>#DIV/0!</v>
      </c>
      <c r="O67" s="21" t="str">
        <f t="shared" si="6"/>
        <v>#DIV/0!</v>
      </c>
      <c r="P67" s="22" t="str">
        <f t="shared" si="7"/>
        <v>#DIV/0!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47"/>
      <c r="B68" s="11"/>
      <c r="C68" s="12"/>
      <c r="D68" s="15"/>
      <c r="E68" s="64"/>
      <c r="F68" s="15"/>
      <c r="G68" s="15"/>
      <c r="H68" s="17"/>
      <c r="I68" s="15"/>
      <c r="J68" s="18"/>
      <c r="K68" s="17"/>
      <c r="L68" s="19" t="str">
        <f t="shared" si="3"/>
        <v>#DIV/0!</v>
      </c>
      <c r="M68" s="20" t="str">
        <f t="shared" si="4"/>
        <v>#DIV/0!</v>
      </c>
      <c r="N68" s="21" t="str">
        <f t="shared" si="5"/>
        <v>#DIV/0!</v>
      </c>
      <c r="O68" s="21" t="str">
        <f t="shared" si="6"/>
        <v>#DIV/0!</v>
      </c>
      <c r="P68" s="22" t="str">
        <f t="shared" si="7"/>
        <v>#DIV/0!</v>
      </c>
      <c r="R68" s="79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47"/>
      <c r="B69" s="11"/>
      <c r="C69" s="12"/>
      <c r="D69" s="15"/>
      <c r="E69" s="64"/>
      <c r="F69" s="15"/>
      <c r="G69" s="15"/>
      <c r="H69" s="17"/>
      <c r="I69" s="15"/>
      <c r="J69" s="18"/>
      <c r="K69" s="17"/>
      <c r="L69" s="19" t="str">
        <f t="shared" si="3"/>
        <v>#DIV/0!</v>
      </c>
      <c r="M69" s="20" t="str">
        <f t="shared" si="4"/>
        <v>#DIV/0!</v>
      </c>
      <c r="N69" s="21" t="str">
        <f t="shared" si="5"/>
        <v>#DIV/0!</v>
      </c>
      <c r="O69" s="21" t="str">
        <f t="shared" si="6"/>
        <v>#DIV/0!</v>
      </c>
      <c r="P69" s="22" t="str">
        <f t="shared" si="7"/>
        <v>#DIV/0!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47"/>
      <c r="B70" s="11"/>
      <c r="C70" s="12"/>
      <c r="D70" s="15"/>
      <c r="E70" s="64"/>
      <c r="F70" s="15"/>
      <c r="G70" s="15"/>
      <c r="H70" s="17"/>
      <c r="I70" s="15"/>
      <c r="J70" s="18"/>
      <c r="K70" s="17"/>
      <c r="L70" s="19" t="str">
        <f t="shared" si="3"/>
        <v>#DIV/0!</v>
      </c>
      <c r="M70" s="20" t="str">
        <f t="shared" si="4"/>
        <v>#DIV/0!</v>
      </c>
      <c r="N70" s="21" t="str">
        <f t="shared" si="5"/>
        <v>#DIV/0!</v>
      </c>
      <c r="O70" s="21" t="str">
        <f t="shared" si="6"/>
        <v>#DIV/0!</v>
      </c>
      <c r="P70" s="22" t="str">
        <f t="shared" si="7"/>
        <v>#DIV/0!</v>
      </c>
      <c r="R70" s="23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47"/>
      <c r="B71" s="11"/>
      <c r="C71" s="12"/>
      <c r="D71" s="15"/>
      <c r="E71" s="64"/>
      <c r="F71" s="15"/>
      <c r="G71" s="15"/>
      <c r="H71" s="17"/>
      <c r="I71" s="15"/>
      <c r="J71" s="18"/>
      <c r="K71" s="17"/>
      <c r="L71" s="19" t="str">
        <f t="shared" si="3"/>
        <v>#DIV/0!</v>
      </c>
      <c r="M71" s="20" t="str">
        <f t="shared" si="4"/>
        <v>#DIV/0!</v>
      </c>
      <c r="N71" s="21" t="str">
        <f t="shared" si="5"/>
        <v>#DIV/0!</v>
      </c>
      <c r="O71" s="21" t="str">
        <f t="shared" si="6"/>
        <v>#DIV/0!</v>
      </c>
      <c r="P71" s="22" t="str">
        <f t="shared" si="7"/>
        <v>#DIV/0!</v>
      </c>
      <c r="R71" s="79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47"/>
      <c r="B72" s="11"/>
      <c r="C72" s="12"/>
      <c r="D72" s="15"/>
      <c r="E72" s="64"/>
      <c r="F72" s="15"/>
      <c r="G72" s="15"/>
      <c r="H72" s="17"/>
      <c r="I72" s="15"/>
      <c r="J72" s="18"/>
      <c r="K72" s="17"/>
      <c r="L72" s="19" t="str">
        <f t="shared" si="3"/>
        <v>#DIV/0!</v>
      </c>
      <c r="M72" s="20" t="str">
        <f t="shared" si="4"/>
        <v>#DIV/0!</v>
      </c>
      <c r="N72" s="21" t="str">
        <f t="shared" si="5"/>
        <v>#DIV/0!</v>
      </c>
      <c r="O72" s="21" t="str">
        <f t="shared" si="6"/>
        <v>#DIV/0!</v>
      </c>
      <c r="P72" s="22" t="str">
        <f t="shared" si="7"/>
        <v>#DIV/0!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47"/>
      <c r="B73" s="11"/>
      <c r="C73" s="12"/>
      <c r="D73" s="15"/>
      <c r="E73" s="64"/>
      <c r="F73" s="15"/>
      <c r="G73" s="15"/>
      <c r="H73" s="17"/>
      <c r="I73" s="15"/>
      <c r="J73" s="18"/>
      <c r="K73" s="17"/>
      <c r="L73" s="19" t="str">
        <f t="shared" si="3"/>
        <v>#DIV/0!</v>
      </c>
      <c r="M73" s="20" t="str">
        <f t="shared" si="4"/>
        <v>#DIV/0!</v>
      </c>
      <c r="N73" s="21" t="str">
        <f t="shared" si="5"/>
        <v>#DIV/0!</v>
      </c>
      <c r="O73" s="21" t="str">
        <f t="shared" si="6"/>
        <v>#DIV/0!</v>
      </c>
      <c r="P73" s="22" t="str">
        <f t="shared" si="7"/>
        <v>#DIV/0!</v>
      </c>
      <c r="R73" s="79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48"/>
      <c r="B74" s="11"/>
      <c r="C74" s="12"/>
      <c r="D74" s="15"/>
      <c r="E74" s="64"/>
      <c r="F74" s="15"/>
      <c r="G74" s="15"/>
      <c r="H74" s="17"/>
      <c r="I74" s="15"/>
      <c r="J74" s="18"/>
      <c r="K74" s="17"/>
      <c r="L74" s="19" t="str">
        <f t="shared" si="3"/>
        <v>#DIV/0!</v>
      </c>
      <c r="M74" s="20" t="str">
        <f t="shared" si="4"/>
        <v>#DIV/0!</v>
      </c>
      <c r="N74" s="21" t="str">
        <f t="shared" si="5"/>
        <v>#DIV/0!</v>
      </c>
      <c r="O74" s="21" t="str">
        <f t="shared" si="6"/>
        <v>#DIV/0!</v>
      </c>
      <c r="P74" s="22" t="str">
        <f t="shared" si="7"/>
        <v>#DIV/0!</v>
      </c>
      <c r="R74" s="79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48"/>
      <c r="B75" s="11"/>
      <c r="C75" s="12"/>
      <c r="D75" s="15"/>
      <c r="E75" s="59"/>
      <c r="F75" s="15"/>
      <c r="G75" s="15"/>
      <c r="H75" s="17"/>
      <c r="I75" s="15"/>
      <c r="J75" s="18"/>
      <c r="K75" s="17"/>
      <c r="L75" s="19" t="str">
        <f t="shared" si="3"/>
        <v>#DIV/0!</v>
      </c>
      <c r="M75" s="20" t="str">
        <f t="shared" si="4"/>
        <v>#DIV/0!</v>
      </c>
      <c r="N75" s="21" t="str">
        <f t="shared" si="5"/>
        <v>#DIV/0!</v>
      </c>
      <c r="O75" s="21" t="str">
        <f t="shared" si="6"/>
        <v>#DIV/0!</v>
      </c>
      <c r="P75" s="22" t="str">
        <f t="shared" si="7"/>
        <v>#DIV/0!</v>
      </c>
      <c r="R75" s="79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48"/>
      <c r="B76" s="11"/>
      <c r="C76" s="12"/>
      <c r="D76" s="15"/>
      <c r="E76" s="59"/>
      <c r="F76" s="15"/>
      <c r="G76" s="15"/>
      <c r="H76" s="17"/>
      <c r="I76" s="15"/>
      <c r="J76" s="18"/>
      <c r="K76" s="17"/>
      <c r="L76" s="19" t="str">
        <f t="shared" si="3"/>
        <v>#DIV/0!</v>
      </c>
      <c r="M76" s="20" t="str">
        <f t="shared" si="4"/>
        <v>#DIV/0!</v>
      </c>
      <c r="N76" s="21" t="str">
        <f t="shared" si="5"/>
        <v>#DIV/0!</v>
      </c>
      <c r="O76" s="21" t="str">
        <f t="shared" si="6"/>
        <v>#DIV/0!</v>
      </c>
      <c r="P76" s="22" t="str">
        <f t="shared" si="7"/>
        <v>#DIV/0!</v>
      </c>
      <c r="R76" s="23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48"/>
      <c r="B77" s="11"/>
      <c r="C77" s="12"/>
      <c r="D77" s="15"/>
      <c r="E77" s="59"/>
      <c r="F77" s="15"/>
      <c r="G77" s="15"/>
      <c r="H77" s="65"/>
      <c r="I77" s="15"/>
      <c r="J77" s="18"/>
      <c r="K77" s="65"/>
      <c r="L77" s="19" t="str">
        <f t="shared" si="3"/>
        <v>#DIV/0!</v>
      </c>
      <c r="M77" s="20" t="str">
        <f t="shared" si="4"/>
        <v>#DIV/0!</v>
      </c>
      <c r="N77" s="21" t="str">
        <f t="shared" si="5"/>
        <v>#DIV/0!</v>
      </c>
      <c r="O77" s="21" t="str">
        <f t="shared" si="6"/>
        <v>#DIV/0!</v>
      </c>
      <c r="P77" s="22" t="str">
        <f t="shared" si="7"/>
        <v>#DIV/0!</v>
      </c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48"/>
      <c r="B78" s="11"/>
      <c r="C78" s="12"/>
      <c r="D78" s="15"/>
      <c r="E78" s="59"/>
      <c r="F78" s="15"/>
      <c r="G78" s="15"/>
      <c r="H78" s="65"/>
      <c r="I78" s="15"/>
      <c r="J78" s="18"/>
      <c r="K78" s="65"/>
      <c r="L78" s="19" t="str">
        <f t="shared" si="3"/>
        <v>#DIV/0!</v>
      </c>
      <c r="M78" s="20" t="str">
        <f t="shared" si="4"/>
        <v>#DIV/0!</v>
      </c>
      <c r="N78" s="21" t="str">
        <f t="shared" si="5"/>
        <v>#DIV/0!</v>
      </c>
      <c r="O78" s="21" t="str">
        <f t="shared" si="6"/>
        <v>#DIV/0!</v>
      </c>
      <c r="P78" s="22" t="str">
        <f t="shared" si="7"/>
        <v>#DIV/0!</v>
      </c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49"/>
      <c r="B79" s="11"/>
      <c r="C79" s="12"/>
      <c r="D79" s="67"/>
      <c r="E79" s="67"/>
      <c r="F79" s="67"/>
      <c r="G79" s="67"/>
      <c r="H79" s="65"/>
      <c r="I79" s="15"/>
      <c r="J79" s="18"/>
      <c r="K79" s="65"/>
      <c r="L79" s="19" t="str">
        <f t="shared" si="3"/>
        <v>#DIV/0!</v>
      </c>
      <c r="M79" s="20" t="str">
        <f t="shared" si="4"/>
        <v>#DIV/0!</v>
      </c>
      <c r="N79" s="21" t="str">
        <f t="shared" si="5"/>
        <v>#DIV/0!</v>
      </c>
      <c r="O79" s="21" t="str">
        <f t="shared" si="6"/>
        <v>#DIV/0!</v>
      </c>
      <c r="P79" s="22" t="str">
        <f t="shared" si="7"/>
        <v>#DIV/0!</v>
      </c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49"/>
      <c r="B80" s="11"/>
      <c r="C80" s="12"/>
      <c r="D80" s="67"/>
      <c r="E80" s="67"/>
      <c r="F80" s="67"/>
      <c r="G80" s="67"/>
      <c r="H80" s="65"/>
      <c r="I80" s="15"/>
      <c r="J80" s="18"/>
      <c r="K80" s="65"/>
      <c r="L80" s="19" t="str">
        <f t="shared" si="3"/>
        <v>#DIV/0!</v>
      </c>
      <c r="M80" s="20" t="str">
        <f t="shared" si="4"/>
        <v>#DIV/0!</v>
      </c>
      <c r="N80" s="21" t="str">
        <f t="shared" si="5"/>
        <v>#DIV/0!</v>
      </c>
      <c r="O80" s="21" t="str">
        <f t="shared" si="6"/>
        <v>#DIV/0!</v>
      </c>
      <c r="P80" s="22" t="str">
        <f t="shared" si="7"/>
        <v>#DIV/0!</v>
      </c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49"/>
      <c r="B81" s="11"/>
      <c r="C81" s="12"/>
      <c r="D81" s="67"/>
      <c r="E81" s="67"/>
      <c r="F81" s="67"/>
      <c r="G81" s="67"/>
      <c r="H81" s="65"/>
      <c r="I81" s="15"/>
      <c r="J81" s="18"/>
      <c r="K81" s="65"/>
      <c r="L81" s="19"/>
      <c r="M81" s="20"/>
      <c r="N81" s="21"/>
      <c r="O81" s="21"/>
      <c r="P81" s="22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49"/>
      <c r="B82" s="11"/>
      <c r="C82" s="150"/>
      <c r="D82" s="67"/>
      <c r="E82" s="67"/>
      <c r="F82" s="67"/>
      <c r="G82" s="67"/>
      <c r="H82" s="65"/>
      <c r="I82" s="15"/>
      <c r="J82" s="18"/>
      <c r="K82" s="65"/>
      <c r="L82" s="19"/>
      <c r="M82" s="20"/>
      <c r="N82" s="21"/>
      <c r="O82" s="21"/>
      <c r="P82" s="22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49"/>
      <c r="B83" s="11"/>
      <c r="C83" s="150"/>
      <c r="D83" s="67"/>
      <c r="E83" s="67"/>
      <c r="F83" s="67"/>
      <c r="G83" s="67"/>
      <c r="H83" s="65"/>
      <c r="I83" s="15"/>
      <c r="J83" s="18"/>
      <c r="K83" s="65"/>
      <c r="L83" s="19"/>
      <c r="M83" s="20"/>
      <c r="N83" s="21"/>
      <c r="O83" s="21"/>
      <c r="P83" s="22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49"/>
      <c r="B84" s="11"/>
      <c r="C84" s="150"/>
      <c r="D84" s="67"/>
      <c r="E84" s="67"/>
      <c r="F84" s="67"/>
      <c r="G84" s="67"/>
      <c r="H84" s="65"/>
      <c r="I84" s="15"/>
      <c r="J84" s="18"/>
      <c r="K84" s="65"/>
      <c r="L84" s="19"/>
      <c r="M84" s="20"/>
      <c r="N84" s="21"/>
      <c r="O84" s="21"/>
      <c r="P84" s="22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49"/>
      <c r="B85" s="11"/>
      <c r="C85" s="150"/>
      <c r="D85" s="67"/>
      <c r="E85" s="67"/>
      <c r="F85" s="67"/>
      <c r="G85" s="67"/>
      <c r="H85" s="65"/>
      <c r="I85" s="15"/>
      <c r="J85" s="18"/>
      <c r="K85" s="65"/>
      <c r="L85" s="19"/>
      <c r="M85" s="20"/>
      <c r="N85" s="21"/>
      <c r="O85" s="21"/>
      <c r="P85" s="22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25"/>
      <c r="B86" s="11"/>
      <c r="C86" s="25"/>
      <c r="D86" s="25"/>
      <c r="E86" s="25"/>
      <c r="F86" s="25"/>
      <c r="G86" s="25"/>
      <c r="H86" s="80"/>
      <c r="I86" s="25"/>
      <c r="J86" s="25"/>
      <c r="K86" s="80"/>
      <c r="L86" s="81"/>
      <c r="M86" s="82"/>
      <c r="N86" s="25"/>
      <c r="O86" s="25"/>
      <c r="P86" s="82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11"/>
      <c r="C87" s="25"/>
      <c r="D87" s="25"/>
      <c r="E87" s="25"/>
      <c r="F87" s="25"/>
      <c r="G87" s="25"/>
      <c r="H87" s="80"/>
      <c r="I87" s="25"/>
      <c r="J87" s="25"/>
      <c r="K87" s="80"/>
      <c r="L87" s="81"/>
      <c r="M87" s="82"/>
      <c r="N87" s="25"/>
      <c r="O87" s="25"/>
      <c r="P87" s="82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11"/>
      <c r="C88" s="25"/>
      <c r="D88" s="25"/>
      <c r="E88" s="25"/>
      <c r="F88" s="25"/>
      <c r="G88" s="25"/>
      <c r="H88" s="80"/>
      <c r="I88" s="25"/>
      <c r="J88" s="25"/>
      <c r="K88" s="80"/>
      <c r="L88" s="81"/>
      <c r="M88" s="82"/>
      <c r="N88" s="25"/>
      <c r="O88" s="25"/>
      <c r="P88" s="82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11"/>
      <c r="C89" s="25"/>
      <c r="D89" s="25"/>
      <c r="E89" s="25"/>
      <c r="F89" s="25"/>
      <c r="G89" s="25"/>
      <c r="H89" s="80"/>
      <c r="I89" s="25"/>
      <c r="J89" s="25"/>
      <c r="K89" s="80"/>
      <c r="L89" s="81"/>
      <c r="M89" s="82"/>
      <c r="N89" s="25"/>
      <c r="O89" s="25"/>
      <c r="P89" s="82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11"/>
      <c r="C90" s="25"/>
      <c r="D90" s="25"/>
      <c r="E90" s="25"/>
      <c r="F90" s="25"/>
      <c r="G90" s="25"/>
      <c r="H90" s="80"/>
      <c r="I90" s="25"/>
      <c r="J90" s="25"/>
      <c r="K90" s="80"/>
      <c r="L90" s="81"/>
      <c r="M90" s="82"/>
      <c r="N90" s="25"/>
      <c r="O90" s="25"/>
      <c r="P90" s="82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11"/>
      <c r="C91" s="25"/>
      <c r="D91" s="25"/>
      <c r="E91" s="25"/>
      <c r="F91" s="25"/>
      <c r="G91" s="25"/>
      <c r="H91" s="80"/>
      <c r="I91" s="25"/>
      <c r="J91" s="25"/>
      <c r="K91" s="80"/>
      <c r="L91" s="81"/>
      <c r="M91" s="82"/>
      <c r="N91" s="25"/>
      <c r="O91" s="25"/>
      <c r="P91" s="82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11"/>
      <c r="C92" s="25"/>
      <c r="D92" s="25"/>
      <c r="E92" s="25"/>
      <c r="F92" s="25"/>
      <c r="G92" s="25"/>
      <c r="H92" s="80"/>
      <c r="I92" s="25"/>
      <c r="J92" s="25"/>
      <c r="K92" s="80"/>
      <c r="L92" s="81"/>
      <c r="M92" s="82"/>
      <c r="N92" s="25"/>
      <c r="O92" s="25"/>
      <c r="P92" s="82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11"/>
      <c r="C93" s="25"/>
      <c r="D93" s="25"/>
      <c r="E93" s="25"/>
      <c r="F93" s="25"/>
      <c r="G93" s="25"/>
      <c r="H93" s="80"/>
      <c r="I93" s="25"/>
      <c r="J93" s="25"/>
      <c r="K93" s="80"/>
      <c r="L93" s="81"/>
      <c r="M93" s="82"/>
      <c r="N93" s="25"/>
      <c r="O93" s="25"/>
      <c r="P93" s="82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/>
      <c r="C94" s="25"/>
      <c r="D94" s="25"/>
      <c r="E94" s="25"/>
      <c r="F94" s="25"/>
      <c r="G94" s="25"/>
      <c r="H94" s="80"/>
      <c r="I94" s="25"/>
      <c r="J94" s="25"/>
      <c r="K94" s="80"/>
      <c r="L94" s="81"/>
      <c r="M94" s="82"/>
      <c r="N94" s="25"/>
      <c r="O94" s="25"/>
      <c r="P94" s="82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/>
      <c r="C95" s="25"/>
      <c r="D95" s="25"/>
      <c r="E95" s="25"/>
      <c r="F95" s="25"/>
      <c r="G95" s="25"/>
      <c r="H95" s="80"/>
      <c r="I95" s="25"/>
      <c r="J95" s="25"/>
      <c r="K95" s="80"/>
      <c r="L95" s="81"/>
      <c r="M95" s="82"/>
      <c r="N95" s="25"/>
      <c r="O95" s="25"/>
      <c r="P95" s="82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25"/>
      <c r="D96" s="25"/>
      <c r="E96" s="25"/>
      <c r="F96" s="25"/>
      <c r="G96" s="25"/>
      <c r="H96" s="80"/>
      <c r="I96" s="25"/>
      <c r="J96" s="25"/>
      <c r="K96" s="80"/>
      <c r="L96" s="81"/>
      <c r="M96" s="82"/>
      <c r="N96" s="25"/>
      <c r="O96" s="25"/>
      <c r="P96" s="82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25"/>
      <c r="D97" s="25"/>
      <c r="E97" s="25"/>
      <c r="F97" s="25"/>
      <c r="G97" s="25"/>
      <c r="H97" s="80"/>
      <c r="I97" s="25"/>
      <c r="J97" s="25"/>
      <c r="K97" s="80"/>
      <c r="L97" s="81"/>
      <c r="M97" s="82"/>
      <c r="N97" s="25"/>
      <c r="O97" s="25"/>
      <c r="P97" s="82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25"/>
      <c r="D98" s="25"/>
      <c r="E98" s="25"/>
      <c r="F98" s="25"/>
      <c r="G98" s="25"/>
      <c r="H98" s="80"/>
      <c r="I98" s="25"/>
      <c r="J98" s="25"/>
      <c r="K98" s="80"/>
      <c r="L98" s="81"/>
      <c r="M98" s="82"/>
      <c r="N98" s="25"/>
      <c r="O98" s="25"/>
      <c r="P98" s="82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25"/>
      <c r="D99" s="25"/>
      <c r="E99" s="25"/>
      <c r="F99" s="25"/>
      <c r="G99" s="25"/>
      <c r="H99" s="80"/>
      <c r="I99" s="25"/>
      <c r="J99" s="25"/>
      <c r="K99" s="80"/>
      <c r="L99" s="81"/>
      <c r="M99" s="82"/>
      <c r="N99" s="25"/>
      <c r="O99" s="25"/>
      <c r="P99" s="82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25"/>
      <c r="D100" s="25"/>
      <c r="E100" s="25"/>
      <c r="F100" s="25"/>
      <c r="G100" s="25"/>
      <c r="H100" s="80"/>
      <c r="I100" s="25"/>
      <c r="J100" s="25"/>
      <c r="K100" s="80"/>
      <c r="L100" s="81"/>
      <c r="M100" s="82"/>
      <c r="N100" s="25"/>
      <c r="O100" s="25"/>
      <c r="P100" s="82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25"/>
      <c r="D101" s="25"/>
      <c r="E101" s="25"/>
      <c r="F101" s="25"/>
      <c r="G101" s="25"/>
      <c r="H101" s="80"/>
      <c r="I101" s="25"/>
      <c r="J101" s="25"/>
      <c r="K101" s="80"/>
      <c r="L101" s="81"/>
      <c r="M101" s="82"/>
      <c r="N101" s="25"/>
      <c r="O101" s="25"/>
      <c r="P101" s="82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25"/>
      <c r="D102" s="25"/>
      <c r="E102" s="25"/>
      <c r="F102" s="25"/>
      <c r="G102" s="25"/>
      <c r="H102" s="80"/>
      <c r="I102" s="25"/>
      <c r="J102" s="25"/>
      <c r="K102" s="80"/>
      <c r="L102" s="81"/>
      <c r="M102" s="82"/>
      <c r="N102" s="25"/>
      <c r="O102" s="25"/>
      <c r="P102" s="82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25"/>
      <c r="D103" s="25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25"/>
      <c r="D104" s="25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25"/>
      <c r="D105" s="25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25"/>
      <c r="D106" s="25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25"/>
      <c r="D107" s="25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25"/>
      <c r="D108" s="25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25"/>
      <c r="D109" s="25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25"/>
      <c r="D110" s="25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25"/>
      <c r="D111" s="25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25"/>
      <c r="D112" s="25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25"/>
      <c r="D113" s="25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25"/>
      <c r="D114" s="25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25"/>
      <c r="D115" s="25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25"/>
      <c r="D116" s="25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25"/>
      <c r="D117" s="25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25"/>
      <c r="D118" s="25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25"/>
      <c r="D119" s="25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25"/>
      <c r="D120" s="25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B121" s="68"/>
      <c r="H121" s="70"/>
      <c r="K121" s="70"/>
      <c r="L121" s="71"/>
      <c r="M121" s="72"/>
      <c r="P121" s="72"/>
    </row>
    <row r="122">
      <c r="B122" s="68"/>
      <c r="H122" s="70"/>
      <c r="K122" s="70"/>
      <c r="L122" s="71"/>
      <c r="M122" s="72"/>
      <c r="P122" s="72"/>
    </row>
    <row r="123">
      <c r="B123" s="68"/>
      <c r="H123" s="70"/>
      <c r="K123" s="70"/>
      <c r="L123" s="71"/>
      <c r="M123" s="72"/>
      <c r="P123" s="72"/>
    </row>
    <row r="124">
      <c r="B124" s="68"/>
      <c r="H124" s="70"/>
      <c r="K124" s="70"/>
      <c r="L124" s="71"/>
      <c r="M124" s="72"/>
      <c r="P124" s="72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  <row r="958">
      <c r="B958" s="68"/>
      <c r="H958" s="70"/>
      <c r="K958" s="70"/>
      <c r="L958" s="71"/>
      <c r="M958" s="72"/>
      <c r="P958" s="72"/>
    </row>
    <row r="959">
      <c r="B959" s="68"/>
      <c r="H959" s="70"/>
      <c r="K959" s="70"/>
      <c r="L959" s="71"/>
      <c r="M959" s="72"/>
      <c r="P959" s="72"/>
    </row>
    <row r="960">
      <c r="B960" s="68"/>
      <c r="H960" s="70"/>
      <c r="K960" s="70"/>
      <c r="L960" s="71"/>
      <c r="M960" s="72"/>
      <c r="P960" s="72"/>
    </row>
    <row r="961">
      <c r="B961" s="68"/>
      <c r="H961" s="70"/>
      <c r="K961" s="70"/>
      <c r="L961" s="71"/>
      <c r="M961" s="72"/>
      <c r="P961" s="72"/>
    </row>
    <row r="962">
      <c r="B962" s="68"/>
      <c r="H962" s="70"/>
      <c r="K962" s="70"/>
      <c r="L962" s="71"/>
      <c r="M962" s="72"/>
      <c r="P962" s="72"/>
    </row>
  </sheetData>
  <autoFilter ref="$A$1:$P$962"/>
  <mergeCells count="1">
    <mergeCell ref="R41:R42"/>
  </mergeCells>
  <drawing r:id="rId4"/>
  <legacy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>
        <v>45667.0</v>
      </c>
      <c r="B2" s="11">
        <v>45667.0</v>
      </c>
      <c r="C2" s="12">
        <f>VLOOKUP(B:B,'Курс валют'!A:D,4,0)</f>
        <v>105.0893</v>
      </c>
      <c r="D2" s="12">
        <v>1.0</v>
      </c>
      <c r="E2" s="75" t="s">
        <v>53</v>
      </c>
      <c r="F2" s="12">
        <v>8000.0</v>
      </c>
      <c r="G2" s="12">
        <v>8035.5</v>
      </c>
      <c r="H2" s="17">
        <v>0.0</v>
      </c>
      <c r="I2" s="15">
        <f t="shared" ref="I2:I63" si="1">G2-F2</f>
        <v>35.5</v>
      </c>
      <c r="J2" s="18">
        <f t="shared" ref="J2:J63" si="2">I2/F2*100</f>
        <v>0.44375</v>
      </c>
      <c r="K2" s="56">
        <v>2.08</v>
      </c>
      <c r="L2" s="19">
        <f t="shared" ref="L2:L82" si="3">H2/F2*100</f>
        <v>0</v>
      </c>
      <c r="M2" s="20">
        <f t="shared" ref="M2:M82" si="4">P2/F2</f>
        <v>218.585744</v>
      </c>
      <c r="N2" s="21">
        <f t="shared" ref="N2:N82" si="5">(F2*K2-H2*3.04)/F2</f>
        <v>2.08</v>
      </c>
      <c r="O2" s="21">
        <f t="shared" ref="O2:O82" si="6">N2*F2</f>
        <v>16640</v>
      </c>
      <c r="P2" s="22">
        <f t="shared" ref="P2:P82" si="7">O2*C2</f>
        <v>1748685.952</v>
      </c>
      <c r="R2" s="79"/>
      <c r="S2" s="25"/>
      <c r="T2" s="25"/>
      <c r="U2" s="25"/>
      <c r="V2" s="25"/>
      <c r="W2" s="25"/>
      <c r="X2" s="25"/>
      <c r="Y2" s="25"/>
      <c r="Z2" s="25"/>
      <c r="AA2" s="25"/>
    </row>
    <row r="3">
      <c r="A3" s="11">
        <v>45667.0</v>
      </c>
      <c r="B3" s="11">
        <v>45670.0</v>
      </c>
      <c r="C3" s="12">
        <f>VLOOKUP(B:B,'Курс валют'!A:D,4,0)</f>
        <v>105.0464</v>
      </c>
      <c r="D3" s="15">
        <v>2.0</v>
      </c>
      <c r="E3" s="75" t="s">
        <v>53</v>
      </c>
      <c r="F3" s="15">
        <v>8000.0</v>
      </c>
      <c r="G3" s="15">
        <v>8035.5</v>
      </c>
      <c r="H3" s="17">
        <v>0.0</v>
      </c>
      <c r="I3" s="15">
        <f t="shared" si="1"/>
        <v>35.5</v>
      </c>
      <c r="J3" s="18">
        <f t="shared" si="2"/>
        <v>0.44375</v>
      </c>
      <c r="K3" s="17">
        <v>2.08</v>
      </c>
      <c r="L3" s="19">
        <f t="shared" si="3"/>
        <v>0</v>
      </c>
      <c r="M3" s="20">
        <f t="shared" si="4"/>
        <v>218.496512</v>
      </c>
      <c r="N3" s="21">
        <f t="shared" si="5"/>
        <v>2.08</v>
      </c>
      <c r="O3" s="21">
        <f t="shared" si="6"/>
        <v>16640</v>
      </c>
      <c r="P3" s="22">
        <f t="shared" si="7"/>
        <v>1747972.096</v>
      </c>
      <c r="R3" s="23"/>
      <c r="S3" s="151"/>
      <c r="T3" s="25"/>
      <c r="U3" s="25"/>
      <c r="V3" s="25"/>
      <c r="W3" s="25"/>
      <c r="X3" s="25"/>
      <c r="Y3" s="25"/>
      <c r="Z3" s="25"/>
      <c r="AA3" s="25"/>
    </row>
    <row r="4">
      <c r="A4" s="30">
        <v>45670.0</v>
      </c>
      <c r="B4" s="11">
        <v>45671.0</v>
      </c>
      <c r="C4" s="12">
        <f>VLOOKUP(B:B,'Курс валют'!A:D,4,0)</f>
        <v>104.8556</v>
      </c>
      <c r="D4" s="15">
        <v>3.0</v>
      </c>
      <c r="E4" s="75" t="s">
        <v>53</v>
      </c>
      <c r="F4" s="15">
        <v>5600.0</v>
      </c>
      <c r="G4" s="15">
        <v>5640.4</v>
      </c>
      <c r="H4" s="17">
        <v>0.0</v>
      </c>
      <c r="I4" s="15">
        <f t="shared" si="1"/>
        <v>40.4</v>
      </c>
      <c r="J4" s="18">
        <f t="shared" si="2"/>
        <v>0.7214285714</v>
      </c>
      <c r="K4" s="17">
        <v>2.09</v>
      </c>
      <c r="L4" s="19">
        <f t="shared" si="3"/>
        <v>0</v>
      </c>
      <c r="M4" s="20">
        <f t="shared" si="4"/>
        <v>219.148204</v>
      </c>
      <c r="N4" s="21">
        <f t="shared" si="5"/>
        <v>2.09</v>
      </c>
      <c r="O4" s="21">
        <f t="shared" si="6"/>
        <v>11704</v>
      </c>
      <c r="P4" s="22">
        <f t="shared" si="7"/>
        <v>1227229.942</v>
      </c>
      <c r="R4" s="23"/>
      <c r="S4" s="25"/>
      <c r="T4" s="25"/>
      <c r="U4" s="25"/>
      <c r="V4" s="25"/>
      <c r="W4" s="25"/>
      <c r="X4" s="25"/>
      <c r="Y4" s="25"/>
      <c r="Z4" s="25"/>
      <c r="AA4" s="25"/>
    </row>
    <row r="5">
      <c r="A5" s="30">
        <v>45671.0</v>
      </c>
      <c r="B5" s="11">
        <v>45671.0</v>
      </c>
      <c r="C5" s="12">
        <f>VLOOKUP(B:B,'Курс валют'!A:D,4,0)</f>
        <v>104.8556</v>
      </c>
      <c r="D5" s="15">
        <v>4.0</v>
      </c>
      <c r="E5" s="59" t="s">
        <v>88</v>
      </c>
      <c r="F5" s="15">
        <v>10032.86</v>
      </c>
      <c r="G5" s="15">
        <v>10032.86</v>
      </c>
      <c r="H5" s="17">
        <v>0.0</v>
      </c>
      <c r="I5" s="15">
        <f t="shared" si="1"/>
        <v>0</v>
      </c>
      <c r="J5" s="18">
        <f t="shared" si="2"/>
        <v>0</v>
      </c>
      <c r="K5" s="17">
        <v>2.51</v>
      </c>
      <c r="L5" s="19">
        <f t="shared" si="3"/>
        <v>0</v>
      </c>
      <c r="M5" s="20">
        <f t="shared" si="4"/>
        <v>263.187556</v>
      </c>
      <c r="N5" s="21">
        <f t="shared" si="5"/>
        <v>2.51</v>
      </c>
      <c r="O5" s="21">
        <f t="shared" si="6"/>
        <v>25182.4786</v>
      </c>
      <c r="P5" s="22">
        <f t="shared" si="7"/>
        <v>2640523.903</v>
      </c>
      <c r="R5" s="23" t="s">
        <v>2305</v>
      </c>
      <c r="S5" s="25"/>
      <c r="T5" s="25"/>
      <c r="U5" s="25"/>
      <c r="V5" s="25"/>
      <c r="W5" s="25"/>
      <c r="X5" s="25"/>
      <c r="Y5" s="25"/>
      <c r="Z5" s="25"/>
      <c r="AA5" s="25"/>
    </row>
    <row r="6">
      <c r="A6" s="30">
        <v>45671.0</v>
      </c>
      <c r="B6" s="11">
        <v>45672.0</v>
      </c>
      <c r="C6" s="12">
        <f>VLOOKUP(B:B,'Курс валют'!A:D,4,0)</f>
        <v>106.2493</v>
      </c>
      <c r="D6" s="15">
        <v>5.0</v>
      </c>
      <c r="E6" s="59" t="s">
        <v>54</v>
      </c>
      <c r="F6" s="15">
        <v>8000.0</v>
      </c>
      <c r="G6" s="15">
        <v>8028.0</v>
      </c>
      <c r="H6" s="17">
        <v>0.0</v>
      </c>
      <c r="I6" s="15">
        <f t="shared" si="1"/>
        <v>28</v>
      </c>
      <c r="J6" s="18">
        <f t="shared" si="2"/>
        <v>0.35</v>
      </c>
      <c r="K6" s="17">
        <v>2.18</v>
      </c>
      <c r="L6" s="19">
        <f t="shared" si="3"/>
        <v>0</v>
      </c>
      <c r="M6" s="20">
        <f t="shared" si="4"/>
        <v>231.623474</v>
      </c>
      <c r="N6" s="21">
        <f t="shared" si="5"/>
        <v>2.18</v>
      </c>
      <c r="O6" s="21">
        <f t="shared" si="6"/>
        <v>17440</v>
      </c>
      <c r="P6" s="22">
        <f t="shared" si="7"/>
        <v>1852987.792</v>
      </c>
      <c r="R6" s="23"/>
      <c r="S6" s="25"/>
      <c r="T6" s="25"/>
      <c r="U6" s="25"/>
      <c r="V6" s="25"/>
      <c r="W6" s="25"/>
      <c r="X6" s="25"/>
      <c r="Y6" s="25"/>
      <c r="Z6" s="25"/>
      <c r="AA6" s="25"/>
    </row>
    <row r="7">
      <c r="A7" s="30">
        <v>45671.0</v>
      </c>
      <c r="B7" s="11">
        <v>45672.0</v>
      </c>
      <c r="C7" s="12">
        <f>VLOOKUP(B:B,'Курс валют'!A:D,4,0)</f>
        <v>106.2493</v>
      </c>
      <c r="D7" s="15">
        <v>6.0</v>
      </c>
      <c r="E7" s="75" t="s">
        <v>53</v>
      </c>
      <c r="F7" s="15">
        <v>1600.0</v>
      </c>
      <c r="G7" s="15">
        <v>1622.0</v>
      </c>
      <c r="H7" s="17">
        <v>0.0</v>
      </c>
      <c r="I7" s="15">
        <f t="shared" si="1"/>
        <v>22</v>
      </c>
      <c r="J7" s="18">
        <f t="shared" si="2"/>
        <v>1.375</v>
      </c>
      <c r="K7" s="17">
        <v>2.11</v>
      </c>
      <c r="L7" s="19">
        <f t="shared" si="3"/>
        <v>0</v>
      </c>
      <c r="M7" s="20">
        <f t="shared" si="4"/>
        <v>224.186023</v>
      </c>
      <c r="N7" s="21">
        <f t="shared" si="5"/>
        <v>2.11</v>
      </c>
      <c r="O7" s="21">
        <f t="shared" si="6"/>
        <v>3376</v>
      </c>
      <c r="P7" s="22">
        <f t="shared" si="7"/>
        <v>358697.6368</v>
      </c>
      <c r="R7" s="23"/>
      <c r="S7" s="25"/>
      <c r="T7" s="25"/>
      <c r="U7" s="25"/>
      <c r="V7" s="25"/>
      <c r="W7" s="25"/>
      <c r="X7" s="25"/>
      <c r="Y7" s="25"/>
      <c r="Z7" s="25"/>
      <c r="AA7" s="25"/>
    </row>
    <row r="8">
      <c r="A8" s="30">
        <v>45672.0</v>
      </c>
      <c r="B8" s="11">
        <v>45673.0</v>
      </c>
      <c r="C8" s="12">
        <f>VLOOKUP(B:B,'Курс валют'!A:D,4,0)</f>
        <v>106.0971</v>
      </c>
      <c r="D8" s="15">
        <v>7.0</v>
      </c>
      <c r="E8" s="75" t="s">
        <v>53</v>
      </c>
      <c r="F8" s="15">
        <v>8800.0</v>
      </c>
      <c r="G8" s="15">
        <v>8837.6</v>
      </c>
      <c r="H8" s="17">
        <v>0.0</v>
      </c>
      <c r="I8" s="15">
        <f t="shared" si="1"/>
        <v>37.6</v>
      </c>
      <c r="J8" s="18">
        <f t="shared" si="2"/>
        <v>0.4272727273</v>
      </c>
      <c r="K8" s="17">
        <v>2.09</v>
      </c>
      <c r="L8" s="19">
        <f t="shared" si="3"/>
        <v>0</v>
      </c>
      <c r="M8" s="20">
        <f t="shared" si="4"/>
        <v>221.742939</v>
      </c>
      <c r="N8" s="21">
        <f t="shared" si="5"/>
        <v>2.09</v>
      </c>
      <c r="O8" s="21">
        <f t="shared" si="6"/>
        <v>18392</v>
      </c>
      <c r="P8" s="22">
        <f t="shared" si="7"/>
        <v>1951337.863</v>
      </c>
      <c r="R8" s="23"/>
      <c r="S8" s="25"/>
      <c r="T8" s="25"/>
      <c r="U8" s="25"/>
      <c r="V8" s="25"/>
      <c r="W8" s="25"/>
      <c r="X8" s="25"/>
      <c r="Y8" s="25"/>
      <c r="Z8" s="25"/>
      <c r="AA8" s="25"/>
    </row>
    <row r="9">
      <c r="A9" s="30">
        <v>45672.0</v>
      </c>
      <c r="B9" s="11">
        <v>45673.0</v>
      </c>
      <c r="C9" s="12">
        <f>VLOOKUP(B:B,'Курс валют'!A:D,4,0)</f>
        <v>106.0971</v>
      </c>
      <c r="D9" s="15">
        <v>8.0</v>
      </c>
      <c r="E9" s="77" t="s">
        <v>57</v>
      </c>
      <c r="F9" s="15">
        <v>600.0</v>
      </c>
      <c r="G9" s="15">
        <v>613.4</v>
      </c>
      <c r="H9" s="17">
        <v>0.0</v>
      </c>
      <c r="I9" s="15">
        <f t="shared" si="1"/>
        <v>13.4</v>
      </c>
      <c r="J9" s="18">
        <f t="shared" si="2"/>
        <v>2.233333333</v>
      </c>
      <c r="K9" s="17">
        <v>3.02</v>
      </c>
      <c r="L9" s="19">
        <f t="shared" si="3"/>
        <v>0</v>
      </c>
      <c r="M9" s="20">
        <f t="shared" si="4"/>
        <v>320.413242</v>
      </c>
      <c r="N9" s="21">
        <f t="shared" si="5"/>
        <v>3.02</v>
      </c>
      <c r="O9" s="21">
        <f t="shared" si="6"/>
        <v>1812</v>
      </c>
      <c r="P9" s="22">
        <f t="shared" si="7"/>
        <v>192247.9452</v>
      </c>
      <c r="R9" s="23"/>
      <c r="S9" s="25"/>
      <c r="T9" s="25"/>
      <c r="U9" s="25"/>
      <c r="V9" s="25"/>
      <c r="W9" s="25"/>
      <c r="X9" s="25"/>
      <c r="Y9" s="25"/>
      <c r="Z9" s="25"/>
      <c r="AA9" s="25"/>
    </row>
    <row r="10">
      <c r="A10" s="30">
        <v>45673.0</v>
      </c>
      <c r="B10" s="11">
        <v>45674.0</v>
      </c>
      <c r="C10" s="12">
        <f>VLOOKUP(B:B,'Курс валют'!A:D,4,0)</f>
        <v>105.8072</v>
      </c>
      <c r="D10" s="15">
        <v>9.0</v>
      </c>
      <c r="E10" s="75" t="s">
        <v>53</v>
      </c>
      <c r="F10" s="15">
        <v>8800.0</v>
      </c>
      <c r="G10" s="15">
        <v>8843.6</v>
      </c>
      <c r="H10" s="17">
        <v>0.0</v>
      </c>
      <c r="I10" s="15">
        <f t="shared" si="1"/>
        <v>43.6</v>
      </c>
      <c r="J10" s="18">
        <f t="shared" si="2"/>
        <v>0.4954545455</v>
      </c>
      <c r="K10" s="17">
        <v>2.1</v>
      </c>
      <c r="L10" s="19">
        <f t="shared" si="3"/>
        <v>0</v>
      </c>
      <c r="M10" s="20">
        <f t="shared" si="4"/>
        <v>222.19512</v>
      </c>
      <c r="N10" s="21">
        <f t="shared" si="5"/>
        <v>2.1</v>
      </c>
      <c r="O10" s="21">
        <f t="shared" si="6"/>
        <v>18480</v>
      </c>
      <c r="P10" s="22">
        <f t="shared" si="7"/>
        <v>1955317.056</v>
      </c>
      <c r="R10" s="79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30">
        <v>45673.0</v>
      </c>
      <c r="B11" s="11">
        <v>45674.0</v>
      </c>
      <c r="C11" s="12">
        <f>VLOOKUP(B:B,'Курс валют'!A:D,4,0)</f>
        <v>105.8072</v>
      </c>
      <c r="D11" s="15">
        <v>10.0</v>
      </c>
      <c r="E11" s="77" t="s">
        <v>57</v>
      </c>
      <c r="F11" s="15">
        <v>600.0</v>
      </c>
      <c r="G11" s="15">
        <v>623.4</v>
      </c>
      <c r="H11" s="17">
        <v>0.0</v>
      </c>
      <c r="I11" s="15">
        <f t="shared" si="1"/>
        <v>23.4</v>
      </c>
      <c r="J11" s="18">
        <f t="shared" si="2"/>
        <v>3.9</v>
      </c>
      <c r="K11" s="17">
        <v>3.05</v>
      </c>
      <c r="L11" s="19">
        <f t="shared" si="3"/>
        <v>0</v>
      </c>
      <c r="M11" s="20">
        <f t="shared" si="4"/>
        <v>322.71196</v>
      </c>
      <c r="N11" s="21">
        <f t="shared" si="5"/>
        <v>3.05</v>
      </c>
      <c r="O11" s="21">
        <f t="shared" si="6"/>
        <v>1830</v>
      </c>
      <c r="P11" s="22">
        <f t="shared" si="7"/>
        <v>193627.176</v>
      </c>
      <c r="R11" s="23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30">
        <v>45674.0</v>
      </c>
      <c r="B12" s="11">
        <v>45677.0</v>
      </c>
      <c r="C12" s="12">
        <f>VLOOKUP(B:B,'Курс валют'!A:D,4,0)</f>
        <v>104.8609</v>
      </c>
      <c r="D12" s="15">
        <v>11.0</v>
      </c>
      <c r="E12" s="77" t="s">
        <v>18</v>
      </c>
      <c r="F12" s="15">
        <v>8800.0</v>
      </c>
      <c r="G12" s="15">
        <v>8830.0</v>
      </c>
      <c r="H12" s="17">
        <v>4025.0</v>
      </c>
      <c r="I12" s="15">
        <f t="shared" si="1"/>
        <v>30</v>
      </c>
      <c r="J12" s="18">
        <f t="shared" si="2"/>
        <v>0.3409090909</v>
      </c>
      <c r="K12" s="17">
        <v>3.89</v>
      </c>
      <c r="L12" s="19">
        <f t="shared" si="3"/>
        <v>45.73863636</v>
      </c>
      <c r="M12" s="20">
        <f t="shared" si="4"/>
        <v>262.104586</v>
      </c>
      <c r="N12" s="21">
        <f t="shared" si="5"/>
        <v>2.499545455</v>
      </c>
      <c r="O12" s="21">
        <f t="shared" si="6"/>
        <v>21996</v>
      </c>
      <c r="P12" s="22">
        <f t="shared" si="7"/>
        <v>2306520.356</v>
      </c>
      <c r="R12" s="79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30">
        <v>45674.0</v>
      </c>
      <c r="B13" s="11">
        <v>45677.0</v>
      </c>
      <c r="C13" s="12">
        <f>VLOOKUP(B:B,'Курс валют'!A:D,4,0)</f>
        <v>104.8609</v>
      </c>
      <c r="D13" s="15">
        <v>12.0</v>
      </c>
      <c r="E13" s="75" t="s">
        <v>53</v>
      </c>
      <c r="F13" s="15">
        <v>800.0</v>
      </c>
      <c r="G13" s="15">
        <v>804.06</v>
      </c>
      <c r="H13" s="17">
        <v>0.0</v>
      </c>
      <c r="I13" s="15">
        <f t="shared" si="1"/>
        <v>4.06</v>
      </c>
      <c r="J13" s="18">
        <f t="shared" si="2"/>
        <v>0.5075</v>
      </c>
      <c r="K13" s="17">
        <v>2.09</v>
      </c>
      <c r="L13" s="19">
        <f t="shared" si="3"/>
        <v>0</v>
      </c>
      <c r="M13" s="20">
        <f t="shared" si="4"/>
        <v>219.159281</v>
      </c>
      <c r="N13" s="21">
        <f t="shared" si="5"/>
        <v>2.09</v>
      </c>
      <c r="O13" s="21">
        <f t="shared" si="6"/>
        <v>1672</v>
      </c>
      <c r="P13" s="22">
        <f t="shared" si="7"/>
        <v>175327.4248</v>
      </c>
      <c r="R13" s="31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30">
        <v>45674.0</v>
      </c>
      <c r="B14" s="11">
        <v>45677.0</v>
      </c>
      <c r="C14" s="12">
        <f>VLOOKUP(B:B,'Курс валют'!A:D,4,0)</f>
        <v>104.8609</v>
      </c>
      <c r="D14" s="15">
        <v>13.0</v>
      </c>
      <c r="E14" s="59" t="s">
        <v>18</v>
      </c>
      <c r="F14" s="15">
        <v>9900.0</v>
      </c>
      <c r="G14" s="15">
        <v>9937.0</v>
      </c>
      <c r="H14" s="17">
        <v>4529.0</v>
      </c>
      <c r="I14" s="15">
        <f t="shared" si="1"/>
        <v>37</v>
      </c>
      <c r="J14" s="18">
        <f t="shared" si="2"/>
        <v>0.3737373737</v>
      </c>
      <c r="K14" s="17">
        <v>3.89</v>
      </c>
      <c r="L14" s="19">
        <f t="shared" si="3"/>
        <v>45.74747475</v>
      </c>
      <c r="M14" s="20">
        <f t="shared" si="4"/>
        <v>262.0764112</v>
      </c>
      <c r="N14" s="21">
        <f t="shared" si="5"/>
        <v>2.499276768</v>
      </c>
      <c r="O14" s="21">
        <f t="shared" si="6"/>
        <v>24742.84</v>
      </c>
      <c r="P14" s="22">
        <f t="shared" si="7"/>
        <v>2594556.471</v>
      </c>
      <c r="R14" s="79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30">
        <v>45674.0</v>
      </c>
      <c r="B15" s="11">
        <v>45677.0</v>
      </c>
      <c r="C15" s="12">
        <f>VLOOKUP(B:B,'Курс валют'!A:D,4,0)</f>
        <v>104.8609</v>
      </c>
      <c r="D15" s="15">
        <v>14.0</v>
      </c>
      <c r="E15" s="59" t="s">
        <v>18</v>
      </c>
      <c r="F15" s="15">
        <v>12100.0</v>
      </c>
      <c r="G15" s="15">
        <v>12146.0</v>
      </c>
      <c r="H15" s="17">
        <v>5537.0</v>
      </c>
      <c r="I15" s="15">
        <f t="shared" si="1"/>
        <v>46</v>
      </c>
      <c r="J15" s="18">
        <f t="shared" si="2"/>
        <v>0.3801652893</v>
      </c>
      <c r="K15" s="17">
        <v>3.89</v>
      </c>
      <c r="L15" s="19">
        <f t="shared" si="3"/>
        <v>45.76033058</v>
      </c>
      <c r="M15" s="20">
        <f t="shared" si="4"/>
        <v>262.0354298</v>
      </c>
      <c r="N15" s="21">
        <f t="shared" si="5"/>
        <v>2.49888595</v>
      </c>
      <c r="O15" s="21">
        <f t="shared" si="6"/>
        <v>30236.52</v>
      </c>
      <c r="P15" s="22">
        <f t="shared" si="7"/>
        <v>3170628.7</v>
      </c>
      <c r="R15" s="31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30">
        <v>45674.0</v>
      </c>
      <c r="B16" s="11">
        <v>45677.0</v>
      </c>
      <c r="C16" s="12">
        <f>VLOOKUP(B:B,'Курс валют'!A:D,4,0)</f>
        <v>104.8609</v>
      </c>
      <c r="D16" s="15">
        <v>15.0</v>
      </c>
      <c r="E16" s="77" t="s">
        <v>96</v>
      </c>
      <c r="F16" s="15">
        <v>220.0</v>
      </c>
      <c r="G16" s="15">
        <v>220.0</v>
      </c>
      <c r="H16" s="17">
        <v>0.0</v>
      </c>
      <c r="I16" s="15">
        <f t="shared" si="1"/>
        <v>0</v>
      </c>
      <c r="J16" s="18">
        <f t="shared" si="2"/>
        <v>0</v>
      </c>
      <c r="K16" s="17">
        <v>3.4</v>
      </c>
      <c r="L16" s="19">
        <f t="shared" si="3"/>
        <v>0</v>
      </c>
      <c r="M16" s="20">
        <f t="shared" si="4"/>
        <v>356.52706</v>
      </c>
      <c r="N16" s="21">
        <f t="shared" si="5"/>
        <v>3.4</v>
      </c>
      <c r="O16" s="21">
        <f t="shared" si="6"/>
        <v>748</v>
      </c>
      <c r="P16" s="22">
        <f t="shared" si="7"/>
        <v>78435.9532</v>
      </c>
      <c r="R16" s="31" t="s">
        <v>1101</v>
      </c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30">
        <v>45674.0</v>
      </c>
      <c r="B17" s="11">
        <v>45677.0</v>
      </c>
      <c r="C17" s="12">
        <f>VLOOKUP(B:B,'Курс валют'!A:D,4,0)</f>
        <v>104.8609</v>
      </c>
      <c r="D17" s="15">
        <v>16.0</v>
      </c>
      <c r="E17" s="15" t="s">
        <v>97</v>
      </c>
      <c r="F17" s="15">
        <v>220.0</v>
      </c>
      <c r="G17" s="15">
        <v>225.0</v>
      </c>
      <c r="H17" s="17">
        <v>0.0</v>
      </c>
      <c r="I17" s="15">
        <f t="shared" si="1"/>
        <v>5</v>
      </c>
      <c r="J17" s="18">
        <f t="shared" si="2"/>
        <v>2.272727273</v>
      </c>
      <c r="K17" s="17">
        <v>3.41</v>
      </c>
      <c r="L17" s="19">
        <f t="shared" si="3"/>
        <v>0</v>
      </c>
      <c r="M17" s="20">
        <f t="shared" si="4"/>
        <v>357.575669</v>
      </c>
      <c r="N17" s="21">
        <f t="shared" si="5"/>
        <v>3.41</v>
      </c>
      <c r="O17" s="21">
        <f t="shared" si="6"/>
        <v>750.2</v>
      </c>
      <c r="P17" s="22">
        <f t="shared" si="7"/>
        <v>78666.64718</v>
      </c>
      <c r="R17" s="23" t="s">
        <v>1101</v>
      </c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30">
        <v>45674.0</v>
      </c>
      <c r="B18" s="11">
        <v>45677.0</v>
      </c>
      <c r="C18" s="12">
        <f>VLOOKUP(B:B,'Курс валют'!A:D,4,0)</f>
        <v>104.8609</v>
      </c>
      <c r="D18" s="15">
        <v>17.0</v>
      </c>
      <c r="E18" s="59" t="s">
        <v>75</v>
      </c>
      <c r="F18" s="15">
        <v>200.0</v>
      </c>
      <c r="G18" s="15">
        <v>200.0</v>
      </c>
      <c r="H18" s="58">
        <v>0.0</v>
      </c>
      <c r="I18" s="15">
        <f t="shared" si="1"/>
        <v>0</v>
      </c>
      <c r="J18" s="18">
        <f t="shared" si="2"/>
        <v>0</v>
      </c>
      <c r="K18" s="17">
        <v>3.24</v>
      </c>
      <c r="L18" s="19">
        <f t="shared" si="3"/>
        <v>0</v>
      </c>
      <c r="M18" s="20">
        <f t="shared" si="4"/>
        <v>339.749316</v>
      </c>
      <c r="N18" s="21">
        <f t="shared" si="5"/>
        <v>3.24</v>
      </c>
      <c r="O18" s="21">
        <f t="shared" si="6"/>
        <v>648</v>
      </c>
      <c r="P18" s="22">
        <f t="shared" si="7"/>
        <v>67949.8632</v>
      </c>
      <c r="R18" s="31" t="s">
        <v>1101</v>
      </c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30">
        <v>45677.0</v>
      </c>
      <c r="B19" s="11">
        <v>45678.0</v>
      </c>
      <c r="C19" s="12">
        <f>VLOOKUP(B:B,'Курс валют'!A:D,4,0)</f>
        <v>105.0457</v>
      </c>
      <c r="D19" s="15">
        <v>18.0</v>
      </c>
      <c r="E19" s="77" t="s">
        <v>18</v>
      </c>
      <c r="F19" s="15">
        <v>12100.0</v>
      </c>
      <c r="G19" s="15">
        <v>12140.0</v>
      </c>
      <c r="H19" s="17">
        <v>5540.0</v>
      </c>
      <c r="I19" s="15">
        <f t="shared" si="1"/>
        <v>40</v>
      </c>
      <c r="J19" s="18">
        <f t="shared" si="2"/>
        <v>0.3305785124</v>
      </c>
      <c r="K19" s="17">
        <v>4.2</v>
      </c>
      <c r="L19" s="19">
        <f t="shared" si="3"/>
        <v>45.78512397</v>
      </c>
      <c r="M19" s="20">
        <f t="shared" si="4"/>
        <v>294.9822159</v>
      </c>
      <c r="N19" s="21">
        <f t="shared" si="5"/>
        <v>2.808132231</v>
      </c>
      <c r="O19" s="21">
        <f t="shared" si="6"/>
        <v>33978.4</v>
      </c>
      <c r="P19" s="22">
        <f t="shared" si="7"/>
        <v>3569284.813</v>
      </c>
      <c r="R19" s="78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30">
        <v>45678.0</v>
      </c>
      <c r="B20" s="11">
        <v>45679.0</v>
      </c>
      <c r="C20" s="12">
        <f>VLOOKUP(B:B,'Курс валют'!A:D,4,0)</f>
        <v>103.2856</v>
      </c>
      <c r="D20" s="15">
        <v>19.0</v>
      </c>
      <c r="E20" s="75" t="s">
        <v>53</v>
      </c>
      <c r="F20" s="15">
        <v>9600.0</v>
      </c>
      <c r="G20" s="15">
        <v>9653.32</v>
      </c>
      <c r="H20" s="17">
        <v>0.0</v>
      </c>
      <c r="I20" s="15">
        <f t="shared" si="1"/>
        <v>53.32</v>
      </c>
      <c r="J20" s="18">
        <f t="shared" si="2"/>
        <v>0.5554166667</v>
      </c>
      <c r="K20" s="17">
        <v>2.1</v>
      </c>
      <c r="L20" s="19">
        <f t="shared" si="3"/>
        <v>0</v>
      </c>
      <c r="M20" s="20">
        <f t="shared" si="4"/>
        <v>216.89976</v>
      </c>
      <c r="N20" s="21">
        <f t="shared" si="5"/>
        <v>2.1</v>
      </c>
      <c r="O20" s="21">
        <f t="shared" si="6"/>
        <v>20160</v>
      </c>
      <c r="P20" s="22">
        <f t="shared" si="7"/>
        <v>2082237.696</v>
      </c>
      <c r="R20" s="23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30">
        <v>45679.0</v>
      </c>
      <c r="B21" s="11">
        <v>45679.0</v>
      </c>
      <c r="C21" s="12">
        <f>VLOOKUP(B:B,'Курс валют'!A:D,4,0)</f>
        <v>103.2856</v>
      </c>
      <c r="D21" s="15">
        <v>20.0</v>
      </c>
      <c r="E21" s="77" t="s">
        <v>1951</v>
      </c>
      <c r="F21" s="15">
        <v>1620.0</v>
      </c>
      <c r="G21" s="15">
        <v>1620.0</v>
      </c>
      <c r="H21" s="17">
        <v>0.0</v>
      </c>
      <c r="I21" s="15">
        <f t="shared" si="1"/>
        <v>0</v>
      </c>
      <c r="J21" s="18">
        <f t="shared" si="2"/>
        <v>0</v>
      </c>
      <c r="K21" s="17">
        <v>2.51</v>
      </c>
      <c r="L21" s="19">
        <f t="shared" si="3"/>
        <v>0</v>
      </c>
      <c r="M21" s="20">
        <f t="shared" si="4"/>
        <v>259.246856</v>
      </c>
      <c r="N21" s="21">
        <f t="shared" si="5"/>
        <v>2.51</v>
      </c>
      <c r="O21" s="21">
        <f t="shared" si="6"/>
        <v>4066.2</v>
      </c>
      <c r="P21" s="22">
        <f t="shared" si="7"/>
        <v>419979.9067</v>
      </c>
      <c r="R21" s="31" t="s">
        <v>2311</v>
      </c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30">
        <v>45679.0</v>
      </c>
      <c r="B22" s="11">
        <v>45680.0</v>
      </c>
      <c r="C22" s="12">
        <f>VLOOKUP(B:B,'Курс валют'!A:D,4,0)</f>
        <v>103.2419</v>
      </c>
      <c r="D22" s="15">
        <v>21.0</v>
      </c>
      <c r="E22" s="75" t="s">
        <v>53</v>
      </c>
      <c r="F22" s="15">
        <v>9600.0</v>
      </c>
      <c r="G22" s="15">
        <v>9654.72</v>
      </c>
      <c r="H22" s="17">
        <v>0.0</v>
      </c>
      <c r="I22" s="15">
        <f t="shared" si="1"/>
        <v>54.72</v>
      </c>
      <c r="J22" s="18">
        <f t="shared" si="2"/>
        <v>0.57</v>
      </c>
      <c r="K22" s="17">
        <v>2.07</v>
      </c>
      <c r="L22" s="19">
        <f t="shared" si="3"/>
        <v>0</v>
      </c>
      <c r="M22" s="20">
        <f t="shared" si="4"/>
        <v>213.710733</v>
      </c>
      <c r="N22" s="21">
        <f t="shared" si="5"/>
        <v>2.07</v>
      </c>
      <c r="O22" s="21">
        <f t="shared" si="6"/>
        <v>19872</v>
      </c>
      <c r="P22" s="22">
        <f t="shared" si="7"/>
        <v>2051623.037</v>
      </c>
      <c r="R22" s="23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30">
        <v>45680.0</v>
      </c>
      <c r="B23" s="11">
        <v>45681.0</v>
      </c>
      <c r="C23" s="12">
        <f>VLOOKUP(B:B,'Курс валют'!A:D,4,0)</f>
        <v>103.6612</v>
      </c>
      <c r="D23" s="15">
        <v>22.0</v>
      </c>
      <c r="E23" s="59" t="s">
        <v>18</v>
      </c>
      <c r="F23" s="15">
        <v>8800.0</v>
      </c>
      <c r="G23" s="15">
        <v>8844.0</v>
      </c>
      <c r="H23" s="17">
        <v>4025.0</v>
      </c>
      <c r="I23" s="15">
        <f t="shared" si="1"/>
        <v>44</v>
      </c>
      <c r="J23" s="18">
        <f t="shared" si="2"/>
        <v>0.5</v>
      </c>
      <c r="K23" s="17">
        <v>3.41</v>
      </c>
      <c r="L23" s="19">
        <f t="shared" si="3"/>
        <v>45.73863636</v>
      </c>
      <c r="M23" s="20">
        <f t="shared" si="4"/>
        <v>209.3485053</v>
      </c>
      <c r="N23" s="21">
        <f t="shared" si="5"/>
        <v>2.019545455</v>
      </c>
      <c r="O23" s="21">
        <f t="shared" si="6"/>
        <v>17772</v>
      </c>
      <c r="P23" s="22">
        <f t="shared" si="7"/>
        <v>1842266.846</v>
      </c>
      <c r="R23" s="23" t="s">
        <v>2312</v>
      </c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30">
        <v>45681.0</v>
      </c>
      <c r="B24" s="11">
        <v>45684.0</v>
      </c>
      <c r="C24" s="12">
        <f>VLOOKUP(B:B,'Курс валют'!A:D,4,0)</f>
        <v>103.187</v>
      </c>
      <c r="D24" s="15">
        <v>23.0</v>
      </c>
      <c r="E24" s="59" t="s">
        <v>18</v>
      </c>
      <c r="F24" s="15">
        <v>9900.0</v>
      </c>
      <c r="G24" s="15">
        <v>9940.0</v>
      </c>
      <c r="H24" s="17">
        <v>4531.0</v>
      </c>
      <c r="I24" s="15">
        <f t="shared" si="1"/>
        <v>40</v>
      </c>
      <c r="J24" s="18">
        <f t="shared" si="2"/>
        <v>0.404040404</v>
      </c>
      <c r="K24" s="17">
        <v>3.41</v>
      </c>
      <c r="L24" s="19">
        <f t="shared" si="3"/>
        <v>45.76767677</v>
      </c>
      <c r="M24" s="20">
        <f t="shared" si="4"/>
        <v>208.2997404</v>
      </c>
      <c r="N24" s="21">
        <f t="shared" si="5"/>
        <v>2.018662626</v>
      </c>
      <c r="O24" s="21">
        <f t="shared" si="6"/>
        <v>19984.76</v>
      </c>
      <c r="P24" s="22">
        <f t="shared" si="7"/>
        <v>2062167.43</v>
      </c>
      <c r="R24" s="23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30">
        <v>45681.0</v>
      </c>
      <c r="B25" s="11">
        <v>45684.0</v>
      </c>
      <c r="C25" s="12">
        <f>VLOOKUP(B:B,'Курс валют'!A:D,4,0)</f>
        <v>103.187</v>
      </c>
      <c r="D25" s="15">
        <v>24.0</v>
      </c>
      <c r="E25" s="59" t="s">
        <v>18</v>
      </c>
      <c r="F25" s="15">
        <v>11000.0</v>
      </c>
      <c r="G25" s="15">
        <v>11042.0</v>
      </c>
      <c r="H25" s="17">
        <v>5037.0</v>
      </c>
      <c r="I25" s="15">
        <f t="shared" si="1"/>
        <v>42</v>
      </c>
      <c r="J25" s="18">
        <f t="shared" si="2"/>
        <v>0.3818181818</v>
      </c>
      <c r="K25" s="17">
        <v>3.41</v>
      </c>
      <c r="L25" s="19">
        <f t="shared" si="3"/>
        <v>45.79090909</v>
      </c>
      <c r="M25" s="20">
        <f t="shared" si="4"/>
        <v>208.2268633</v>
      </c>
      <c r="N25" s="21">
        <f t="shared" si="5"/>
        <v>2.017956364</v>
      </c>
      <c r="O25" s="21">
        <f t="shared" si="6"/>
        <v>22197.52</v>
      </c>
      <c r="P25" s="22">
        <f t="shared" si="7"/>
        <v>2290495.496</v>
      </c>
      <c r="R25" s="23"/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30">
        <v>45681.0</v>
      </c>
      <c r="B26" s="11">
        <v>45684.0</v>
      </c>
      <c r="C26" s="12">
        <f>VLOOKUP(B:B,'Курс валют'!A:D,4,0)</f>
        <v>103.187</v>
      </c>
      <c r="D26" s="15">
        <v>25.0</v>
      </c>
      <c r="E26" s="59" t="s">
        <v>18</v>
      </c>
      <c r="F26" s="15">
        <v>6600.0</v>
      </c>
      <c r="G26" s="15">
        <v>6630.0</v>
      </c>
      <c r="H26" s="17">
        <v>3025.0</v>
      </c>
      <c r="I26" s="15">
        <f t="shared" si="1"/>
        <v>30</v>
      </c>
      <c r="J26" s="18">
        <f t="shared" si="2"/>
        <v>0.4545454545</v>
      </c>
      <c r="K26" s="17">
        <v>3.41</v>
      </c>
      <c r="L26" s="19">
        <f t="shared" si="3"/>
        <v>45.83333333</v>
      </c>
      <c r="M26" s="20">
        <f t="shared" si="4"/>
        <v>208.0937833</v>
      </c>
      <c r="N26" s="21">
        <f t="shared" si="5"/>
        <v>2.016666667</v>
      </c>
      <c r="O26" s="21">
        <f t="shared" si="6"/>
        <v>13310</v>
      </c>
      <c r="P26" s="22">
        <f t="shared" si="7"/>
        <v>1373418.97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30">
        <v>45681.0</v>
      </c>
      <c r="B27" s="11">
        <v>45684.0</v>
      </c>
      <c r="C27" s="12">
        <f>VLOOKUP(B:B,'Курс валют'!A:D,4,0)</f>
        <v>103.187</v>
      </c>
      <c r="D27" s="15">
        <v>26.0</v>
      </c>
      <c r="E27" s="75" t="s">
        <v>53</v>
      </c>
      <c r="F27" s="15">
        <v>2400.0</v>
      </c>
      <c r="G27" s="15">
        <v>2421.15</v>
      </c>
      <c r="H27" s="17">
        <v>0.0</v>
      </c>
      <c r="I27" s="15">
        <f t="shared" si="1"/>
        <v>21.15</v>
      </c>
      <c r="J27" s="18">
        <f t="shared" si="2"/>
        <v>0.88125</v>
      </c>
      <c r="K27" s="17">
        <v>2.08</v>
      </c>
      <c r="L27" s="19">
        <f t="shared" si="3"/>
        <v>0</v>
      </c>
      <c r="M27" s="20">
        <f t="shared" si="4"/>
        <v>214.62896</v>
      </c>
      <c r="N27" s="21">
        <f t="shared" si="5"/>
        <v>2.08</v>
      </c>
      <c r="O27" s="21">
        <f t="shared" si="6"/>
        <v>4992</v>
      </c>
      <c r="P27" s="22">
        <f t="shared" si="7"/>
        <v>515109.504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30">
        <v>45684.0</v>
      </c>
      <c r="B28" s="11">
        <v>45685.0</v>
      </c>
      <c r="C28" s="12">
        <f>VLOOKUP(B:B,'Курс валют'!A:D,4,0)</f>
        <v>102.746</v>
      </c>
      <c r="D28" s="15">
        <v>27.0</v>
      </c>
      <c r="E28" s="75" t="s">
        <v>53</v>
      </c>
      <c r="F28" s="76">
        <v>1600.0</v>
      </c>
      <c r="G28" s="76">
        <v>1622.12</v>
      </c>
      <c r="H28" s="58">
        <v>0.0</v>
      </c>
      <c r="I28" s="15">
        <f t="shared" si="1"/>
        <v>22.12</v>
      </c>
      <c r="J28" s="18">
        <f t="shared" si="2"/>
        <v>1.3825</v>
      </c>
      <c r="K28" s="58">
        <v>2.08</v>
      </c>
      <c r="L28" s="19">
        <f t="shared" si="3"/>
        <v>0</v>
      </c>
      <c r="M28" s="20">
        <f t="shared" si="4"/>
        <v>213.71168</v>
      </c>
      <c r="N28" s="21">
        <f t="shared" si="5"/>
        <v>2.08</v>
      </c>
      <c r="O28" s="21">
        <f t="shared" si="6"/>
        <v>3328</v>
      </c>
      <c r="P28" s="22">
        <f t="shared" si="7"/>
        <v>341938.688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>
        <v>45684.0</v>
      </c>
      <c r="B29" s="11">
        <v>45685.0</v>
      </c>
      <c r="C29" s="12">
        <f>VLOOKUP(B:B,'Курс валют'!A:D,4,0)</f>
        <v>102.746</v>
      </c>
      <c r="D29" s="15">
        <v>28.0</v>
      </c>
      <c r="E29" s="77" t="s">
        <v>18</v>
      </c>
      <c r="F29" s="15">
        <v>5500.0</v>
      </c>
      <c r="G29" s="15">
        <v>5552.0</v>
      </c>
      <c r="H29" s="17">
        <v>2522.0</v>
      </c>
      <c r="I29" s="15">
        <f t="shared" si="1"/>
        <v>52</v>
      </c>
      <c r="J29" s="18">
        <f t="shared" si="2"/>
        <v>0.9454545455</v>
      </c>
      <c r="K29" s="17">
        <v>3.82</v>
      </c>
      <c r="L29" s="19">
        <f t="shared" si="3"/>
        <v>45.85454545</v>
      </c>
      <c r="M29" s="20">
        <f t="shared" si="4"/>
        <v>249.2640377</v>
      </c>
      <c r="N29" s="21">
        <f t="shared" si="5"/>
        <v>2.426021818</v>
      </c>
      <c r="O29" s="21">
        <f t="shared" si="6"/>
        <v>13343.12</v>
      </c>
      <c r="P29" s="22">
        <f t="shared" si="7"/>
        <v>1370952.208</v>
      </c>
      <c r="R29" s="23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30">
        <v>45684.0</v>
      </c>
      <c r="B30" s="11">
        <v>45684.0</v>
      </c>
      <c r="C30" s="12">
        <f>VLOOKUP(B:B,'Курс валют'!A:D,4,0)</f>
        <v>103.187</v>
      </c>
      <c r="D30" s="15">
        <v>29.0</v>
      </c>
      <c r="E30" s="77" t="s">
        <v>2260</v>
      </c>
      <c r="F30" s="15">
        <v>60.0</v>
      </c>
      <c r="G30" s="13">
        <v>60.0</v>
      </c>
      <c r="H30" s="17">
        <v>0.0</v>
      </c>
      <c r="I30" s="15">
        <f t="shared" si="1"/>
        <v>0</v>
      </c>
      <c r="J30" s="18">
        <f t="shared" si="2"/>
        <v>0</v>
      </c>
      <c r="K30" s="17">
        <v>2.48</v>
      </c>
      <c r="L30" s="19">
        <f t="shared" si="3"/>
        <v>0</v>
      </c>
      <c r="M30" s="20">
        <f t="shared" si="4"/>
        <v>255.90376</v>
      </c>
      <c r="N30" s="21">
        <f t="shared" si="5"/>
        <v>2.48</v>
      </c>
      <c r="O30" s="21">
        <f t="shared" si="6"/>
        <v>148.8</v>
      </c>
      <c r="P30" s="22">
        <f t="shared" si="7"/>
        <v>15354.2256</v>
      </c>
      <c r="R30" s="23" t="s">
        <v>175</v>
      </c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30">
        <v>45685.0</v>
      </c>
      <c r="B31" s="11">
        <v>45686.0</v>
      </c>
      <c r="C31" s="12">
        <f>VLOOKUP(B:B,'Курс валют'!A:D,4,0)</f>
        <v>101.5957</v>
      </c>
      <c r="D31" s="15">
        <v>30.0</v>
      </c>
      <c r="E31" s="59" t="s">
        <v>18</v>
      </c>
      <c r="F31" s="15">
        <v>4400.0</v>
      </c>
      <c r="G31" s="13">
        <v>4421.0</v>
      </c>
      <c r="H31" s="17">
        <v>2015.0</v>
      </c>
      <c r="I31" s="15">
        <f t="shared" si="1"/>
        <v>21</v>
      </c>
      <c r="J31" s="18">
        <f t="shared" si="2"/>
        <v>0.4772727273</v>
      </c>
      <c r="K31" s="17">
        <v>3.81</v>
      </c>
      <c r="L31" s="19">
        <f t="shared" si="3"/>
        <v>45.79545455</v>
      </c>
      <c r="M31" s="20">
        <f t="shared" si="4"/>
        <v>245.6399307</v>
      </c>
      <c r="N31" s="21">
        <f t="shared" si="5"/>
        <v>2.417818182</v>
      </c>
      <c r="O31" s="21">
        <f t="shared" si="6"/>
        <v>10638.4</v>
      </c>
      <c r="P31" s="22">
        <f t="shared" si="7"/>
        <v>1080815.695</v>
      </c>
      <c r="R31" s="78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30">
        <v>45685.0</v>
      </c>
      <c r="B32" s="11">
        <v>45686.0</v>
      </c>
      <c r="C32" s="12">
        <f>VLOOKUP(B:B,'Курс валют'!A:D,4,0)</f>
        <v>101.5957</v>
      </c>
      <c r="D32" s="15">
        <v>31.0</v>
      </c>
      <c r="E32" s="77" t="s">
        <v>57</v>
      </c>
      <c r="F32" s="15">
        <v>1200.0</v>
      </c>
      <c r="G32" s="13">
        <v>1216.5</v>
      </c>
      <c r="H32" s="17">
        <v>0.0</v>
      </c>
      <c r="I32" s="15">
        <f t="shared" si="1"/>
        <v>16.5</v>
      </c>
      <c r="J32" s="18">
        <f t="shared" si="2"/>
        <v>1.375</v>
      </c>
      <c r="K32" s="17">
        <v>2.96</v>
      </c>
      <c r="L32" s="19">
        <f t="shared" si="3"/>
        <v>0</v>
      </c>
      <c r="M32" s="20">
        <f t="shared" si="4"/>
        <v>300.723272</v>
      </c>
      <c r="N32" s="21">
        <f t="shared" si="5"/>
        <v>2.96</v>
      </c>
      <c r="O32" s="21">
        <f t="shared" si="6"/>
        <v>3552</v>
      </c>
      <c r="P32" s="22">
        <f t="shared" si="7"/>
        <v>360867.9264</v>
      </c>
      <c r="R32" s="78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30">
        <v>45686.0</v>
      </c>
      <c r="B33" s="11">
        <v>45687.0</v>
      </c>
      <c r="C33" s="12">
        <f>VLOOKUP(B:B,'Курс валют'!A:D,4,0)</f>
        <v>102.4041</v>
      </c>
      <c r="D33" s="15">
        <v>32.0</v>
      </c>
      <c r="E33" s="59" t="s">
        <v>60</v>
      </c>
      <c r="F33" s="15">
        <v>1000.0</v>
      </c>
      <c r="G33" s="13">
        <v>1027.0</v>
      </c>
      <c r="H33" s="17">
        <v>477.0</v>
      </c>
      <c r="I33" s="15">
        <f t="shared" si="1"/>
        <v>27</v>
      </c>
      <c r="J33" s="18">
        <f t="shared" si="2"/>
        <v>2.7</v>
      </c>
      <c r="K33" s="17">
        <v>3.91</v>
      </c>
      <c r="L33" s="19">
        <f t="shared" si="3"/>
        <v>47.7</v>
      </c>
      <c r="M33" s="20">
        <f t="shared" si="4"/>
        <v>251.9058937</v>
      </c>
      <c r="N33" s="21">
        <f t="shared" si="5"/>
        <v>2.45992</v>
      </c>
      <c r="O33" s="21">
        <f t="shared" si="6"/>
        <v>2459.92</v>
      </c>
      <c r="P33" s="22">
        <f t="shared" si="7"/>
        <v>251905.8937</v>
      </c>
      <c r="R33" s="31" t="s">
        <v>2292</v>
      </c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30">
        <v>45686.0</v>
      </c>
      <c r="B34" s="11">
        <v>45687.0</v>
      </c>
      <c r="C34" s="12">
        <f>VLOOKUP(B:B,'Курс валют'!A:D,4,0)</f>
        <v>102.4041</v>
      </c>
      <c r="D34" s="15">
        <v>33.0</v>
      </c>
      <c r="E34" s="59" t="s">
        <v>2313</v>
      </c>
      <c r="F34" s="15">
        <v>1000.0</v>
      </c>
      <c r="G34" s="13">
        <v>1032.0</v>
      </c>
      <c r="H34" s="17">
        <v>479.0</v>
      </c>
      <c r="I34" s="15">
        <f t="shared" si="1"/>
        <v>32</v>
      </c>
      <c r="J34" s="18">
        <f t="shared" si="2"/>
        <v>3.2</v>
      </c>
      <c r="K34" s="17">
        <v>3.91</v>
      </c>
      <c r="L34" s="19">
        <f t="shared" si="3"/>
        <v>47.9</v>
      </c>
      <c r="M34" s="20">
        <f t="shared" si="4"/>
        <v>251.2832767</v>
      </c>
      <c r="N34" s="21">
        <f t="shared" si="5"/>
        <v>2.45384</v>
      </c>
      <c r="O34" s="21">
        <f t="shared" si="6"/>
        <v>2453.84</v>
      </c>
      <c r="P34" s="22">
        <f t="shared" si="7"/>
        <v>251283.2767</v>
      </c>
      <c r="R34" s="31" t="s">
        <v>2292</v>
      </c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30">
        <v>45686.0</v>
      </c>
      <c r="B35" s="11">
        <v>45687.0</v>
      </c>
      <c r="C35" s="12">
        <f>VLOOKUP(B:B,'Курс валют'!A:D,4,0)</f>
        <v>102.4041</v>
      </c>
      <c r="D35" s="15">
        <v>34.0</v>
      </c>
      <c r="E35" s="59" t="s">
        <v>2313</v>
      </c>
      <c r="F35" s="15">
        <v>1000.0</v>
      </c>
      <c r="G35" s="13">
        <v>1031.5</v>
      </c>
      <c r="H35" s="17">
        <v>480.0</v>
      </c>
      <c r="I35" s="15">
        <f t="shared" si="1"/>
        <v>31.5</v>
      </c>
      <c r="J35" s="18">
        <f t="shared" si="2"/>
        <v>3.15</v>
      </c>
      <c r="K35" s="17">
        <v>3.91</v>
      </c>
      <c r="L35" s="19">
        <f t="shared" si="3"/>
        <v>48</v>
      </c>
      <c r="M35" s="20">
        <f t="shared" si="4"/>
        <v>250.9719683</v>
      </c>
      <c r="N35" s="21">
        <f t="shared" si="5"/>
        <v>2.4508</v>
      </c>
      <c r="O35" s="21">
        <f t="shared" si="6"/>
        <v>2450.8</v>
      </c>
      <c r="P35" s="22">
        <f t="shared" si="7"/>
        <v>250971.9683</v>
      </c>
      <c r="R35" s="31" t="s">
        <v>2292</v>
      </c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30">
        <v>45686.0</v>
      </c>
      <c r="B36" s="11">
        <v>45687.0</v>
      </c>
      <c r="C36" s="12">
        <f>VLOOKUP(B:B,'Курс валют'!A:D,4,0)</f>
        <v>102.4041</v>
      </c>
      <c r="D36" s="15">
        <v>35.0</v>
      </c>
      <c r="E36" s="59" t="s">
        <v>18</v>
      </c>
      <c r="F36" s="15">
        <v>8800.0</v>
      </c>
      <c r="G36" s="13">
        <v>8868.0</v>
      </c>
      <c r="H36" s="17">
        <v>4023.0</v>
      </c>
      <c r="I36" s="15">
        <f t="shared" si="1"/>
        <v>68</v>
      </c>
      <c r="J36" s="18">
        <f t="shared" si="2"/>
        <v>0.7727272727</v>
      </c>
      <c r="K36" s="17">
        <v>3.54</v>
      </c>
      <c r="L36" s="19">
        <f t="shared" si="3"/>
        <v>45.71590909</v>
      </c>
      <c r="M36" s="20">
        <f t="shared" si="4"/>
        <v>220.1930196</v>
      </c>
      <c r="N36" s="21">
        <f t="shared" si="5"/>
        <v>2.150236364</v>
      </c>
      <c r="O36" s="21">
        <f t="shared" si="6"/>
        <v>18922.08</v>
      </c>
      <c r="P36" s="22">
        <f t="shared" si="7"/>
        <v>1937698.573</v>
      </c>
      <c r="R36" s="23" t="s">
        <v>2314</v>
      </c>
      <c r="S36" s="25"/>
      <c r="T36" s="25"/>
      <c r="U36" s="25"/>
      <c r="V36" s="25"/>
      <c r="W36" s="25"/>
      <c r="X36" s="25"/>
      <c r="Y36" s="25"/>
      <c r="Z36" s="25"/>
      <c r="AA36" s="25"/>
    </row>
    <row r="37">
      <c r="A37" s="30">
        <v>45686.0</v>
      </c>
      <c r="B37" s="11">
        <v>45687.0</v>
      </c>
      <c r="C37" s="12">
        <f>VLOOKUP(B:B,'Курс валют'!A:D,4,0)</f>
        <v>102.4041</v>
      </c>
      <c r="D37" s="15">
        <v>36.0</v>
      </c>
      <c r="E37" s="59" t="s">
        <v>207</v>
      </c>
      <c r="F37" s="15">
        <v>220.0</v>
      </c>
      <c r="G37" s="13">
        <v>220.0</v>
      </c>
      <c r="H37" s="17">
        <v>0.0</v>
      </c>
      <c r="I37" s="15">
        <f t="shared" si="1"/>
        <v>0</v>
      </c>
      <c r="J37" s="18">
        <f t="shared" si="2"/>
        <v>0</v>
      </c>
      <c r="K37" s="17">
        <v>4.02</v>
      </c>
      <c r="L37" s="19">
        <f t="shared" si="3"/>
        <v>0</v>
      </c>
      <c r="M37" s="20">
        <f t="shared" si="4"/>
        <v>411.664482</v>
      </c>
      <c r="N37" s="21">
        <f t="shared" si="5"/>
        <v>4.02</v>
      </c>
      <c r="O37" s="21">
        <f t="shared" si="6"/>
        <v>884.4</v>
      </c>
      <c r="P37" s="22">
        <f t="shared" si="7"/>
        <v>90566.18604</v>
      </c>
      <c r="R37" s="23" t="s">
        <v>1101</v>
      </c>
      <c r="S37" s="25"/>
      <c r="T37" s="25"/>
      <c r="U37" s="25"/>
      <c r="V37" s="25"/>
      <c r="W37" s="25"/>
      <c r="X37" s="25"/>
      <c r="Y37" s="25"/>
      <c r="Z37" s="25"/>
      <c r="AA37" s="25"/>
    </row>
    <row r="38">
      <c r="A38" s="30">
        <v>45686.0</v>
      </c>
      <c r="B38" s="11">
        <v>45687.0</v>
      </c>
      <c r="C38" s="12">
        <f>VLOOKUP(B:B,'Курс валют'!A:D,4,0)</f>
        <v>102.4041</v>
      </c>
      <c r="D38" s="15">
        <v>37.0</v>
      </c>
      <c r="E38" s="59" t="s">
        <v>90</v>
      </c>
      <c r="F38" s="15">
        <v>198.0</v>
      </c>
      <c r="G38" s="13">
        <v>200.0</v>
      </c>
      <c r="H38" s="17">
        <v>0.0</v>
      </c>
      <c r="I38" s="15">
        <f t="shared" si="1"/>
        <v>2</v>
      </c>
      <c r="J38" s="18">
        <f t="shared" si="2"/>
        <v>1.01010101</v>
      </c>
      <c r="K38" s="17">
        <v>2.36</v>
      </c>
      <c r="L38" s="19">
        <f t="shared" si="3"/>
        <v>0</v>
      </c>
      <c r="M38" s="20">
        <f t="shared" si="4"/>
        <v>241.673676</v>
      </c>
      <c r="N38" s="21">
        <f t="shared" si="5"/>
        <v>2.36</v>
      </c>
      <c r="O38" s="21">
        <f t="shared" si="6"/>
        <v>467.28</v>
      </c>
      <c r="P38" s="22">
        <f t="shared" si="7"/>
        <v>47851.38785</v>
      </c>
      <c r="R38" s="31" t="s">
        <v>1101</v>
      </c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30">
        <v>45687.0</v>
      </c>
      <c r="B39" s="11">
        <v>45688.0</v>
      </c>
      <c r="C39" s="12">
        <f>VLOOKUP(B:B,'Курс валют'!A:D,4,0)</f>
        <v>102.7782</v>
      </c>
      <c r="D39" s="15">
        <v>39.0</v>
      </c>
      <c r="E39" s="75" t="s">
        <v>53</v>
      </c>
      <c r="F39" s="15">
        <v>9600.0</v>
      </c>
      <c r="G39" s="13">
        <v>9655.72</v>
      </c>
      <c r="H39" s="17">
        <v>0.0</v>
      </c>
      <c r="I39" s="15">
        <f t="shared" si="1"/>
        <v>55.72</v>
      </c>
      <c r="J39" s="18">
        <f t="shared" si="2"/>
        <v>0.5804166667</v>
      </c>
      <c r="K39" s="17">
        <v>2.07</v>
      </c>
      <c r="L39" s="19">
        <f t="shared" si="3"/>
        <v>0</v>
      </c>
      <c r="M39" s="20">
        <f t="shared" si="4"/>
        <v>212.750874</v>
      </c>
      <c r="N39" s="21">
        <f t="shared" si="5"/>
        <v>2.07</v>
      </c>
      <c r="O39" s="21">
        <f t="shared" si="6"/>
        <v>19872</v>
      </c>
      <c r="P39" s="22">
        <f t="shared" si="7"/>
        <v>2042408.39</v>
      </c>
      <c r="R39" s="23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30">
        <v>45687.0</v>
      </c>
      <c r="B40" s="11">
        <v>45687.0</v>
      </c>
      <c r="C40" s="12">
        <f>VLOOKUP(B:B,'Курс валют'!A:D,4,0)</f>
        <v>102.4041</v>
      </c>
      <c r="D40" s="15">
        <v>40.0</v>
      </c>
      <c r="E40" s="59" t="s">
        <v>2315</v>
      </c>
      <c r="F40" s="15">
        <v>200.0</v>
      </c>
      <c r="G40" s="13">
        <v>200.0</v>
      </c>
      <c r="H40" s="17">
        <v>0.0</v>
      </c>
      <c r="I40" s="15">
        <f t="shared" si="1"/>
        <v>0</v>
      </c>
      <c r="J40" s="18">
        <f t="shared" si="2"/>
        <v>0</v>
      </c>
      <c r="K40" s="17">
        <v>2.49</v>
      </c>
      <c r="L40" s="19">
        <f t="shared" si="3"/>
        <v>0</v>
      </c>
      <c r="M40" s="20">
        <f t="shared" si="4"/>
        <v>254.986209</v>
      </c>
      <c r="N40" s="21">
        <f t="shared" si="5"/>
        <v>2.49</v>
      </c>
      <c r="O40" s="21">
        <f t="shared" si="6"/>
        <v>498</v>
      </c>
      <c r="P40" s="22">
        <f t="shared" si="7"/>
        <v>50997.2418</v>
      </c>
      <c r="R40" s="23" t="s">
        <v>175</v>
      </c>
      <c r="S40" s="25"/>
      <c r="T40" s="25"/>
      <c r="U40" s="25"/>
      <c r="V40" s="25"/>
      <c r="W40" s="25"/>
      <c r="X40" s="25"/>
      <c r="Y40" s="25"/>
      <c r="Z40" s="25"/>
      <c r="AA40" s="25"/>
    </row>
    <row r="41">
      <c r="A41" s="30">
        <v>45688.0</v>
      </c>
      <c r="B41" s="11">
        <v>45688.0</v>
      </c>
      <c r="C41" s="12">
        <f>VLOOKUP(B:B,'Курс валют'!A:D,4,0)</f>
        <v>102.7782</v>
      </c>
      <c r="D41" s="15">
        <v>41.0</v>
      </c>
      <c r="E41" s="75" t="s">
        <v>53</v>
      </c>
      <c r="F41" s="15">
        <v>3200.0</v>
      </c>
      <c r="G41" s="13">
        <v>3234.2</v>
      </c>
      <c r="H41" s="17">
        <v>0.0</v>
      </c>
      <c r="I41" s="15">
        <f t="shared" si="1"/>
        <v>34.2</v>
      </c>
      <c r="J41" s="18">
        <f t="shared" si="2"/>
        <v>1.06875</v>
      </c>
      <c r="K41" s="17">
        <v>2.07</v>
      </c>
      <c r="L41" s="19">
        <f t="shared" si="3"/>
        <v>0</v>
      </c>
      <c r="M41" s="20">
        <f t="shared" si="4"/>
        <v>212.750874</v>
      </c>
      <c r="N41" s="21">
        <f t="shared" si="5"/>
        <v>2.07</v>
      </c>
      <c r="O41" s="21">
        <f t="shared" si="6"/>
        <v>6624</v>
      </c>
      <c r="P41" s="22">
        <f t="shared" si="7"/>
        <v>680802.7968</v>
      </c>
      <c r="R41" s="23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30">
        <v>45687.0</v>
      </c>
      <c r="B42" s="11">
        <v>45688.0</v>
      </c>
      <c r="C42" s="12">
        <v>102.7782</v>
      </c>
      <c r="D42" s="15">
        <v>45.0</v>
      </c>
      <c r="E42" s="59" t="s">
        <v>2313</v>
      </c>
      <c r="F42" s="15">
        <v>1000.0</v>
      </c>
      <c r="G42" s="13">
        <v>1031.0</v>
      </c>
      <c r="H42" s="17">
        <v>480.0</v>
      </c>
      <c r="I42" s="15">
        <f t="shared" si="1"/>
        <v>31</v>
      </c>
      <c r="J42" s="18">
        <f t="shared" si="2"/>
        <v>3.1</v>
      </c>
      <c r="K42" s="17">
        <v>3.91</v>
      </c>
      <c r="L42" s="19">
        <f t="shared" si="3"/>
        <v>48</v>
      </c>
      <c r="M42" s="20">
        <f t="shared" si="4"/>
        <v>251.8888126</v>
      </c>
      <c r="N42" s="21">
        <f t="shared" si="5"/>
        <v>2.4508</v>
      </c>
      <c r="O42" s="21">
        <f t="shared" si="6"/>
        <v>2450.8</v>
      </c>
      <c r="P42" s="22">
        <f t="shared" si="7"/>
        <v>251888.8126</v>
      </c>
      <c r="R42" s="31" t="s">
        <v>2292</v>
      </c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30"/>
      <c r="B43" s="11">
        <v>45688.0</v>
      </c>
      <c r="C43" s="12">
        <f>VLOOKUP(B:B,'Курс валют'!A:D,4,0)</f>
        <v>102.7782</v>
      </c>
      <c r="D43" s="15">
        <v>49.0</v>
      </c>
      <c r="E43" s="59" t="s">
        <v>63</v>
      </c>
      <c r="F43" s="15">
        <v>900.0</v>
      </c>
      <c r="G43" s="13">
        <v>939.0</v>
      </c>
      <c r="H43" s="17">
        <v>365.0</v>
      </c>
      <c r="I43" s="15">
        <f t="shared" si="1"/>
        <v>39</v>
      </c>
      <c r="J43" s="18">
        <f t="shared" si="2"/>
        <v>4.333333333</v>
      </c>
      <c r="K43" s="17">
        <v>3.18</v>
      </c>
      <c r="L43" s="19">
        <f t="shared" si="3"/>
        <v>40.55555556</v>
      </c>
      <c r="M43" s="20">
        <f t="shared" si="4"/>
        <v>200.1205752</v>
      </c>
      <c r="N43" s="21">
        <f t="shared" si="5"/>
        <v>1.947111111</v>
      </c>
      <c r="O43" s="21">
        <f t="shared" si="6"/>
        <v>1752.4</v>
      </c>
      <c r="P43" s="22">
        <f t="shared" si="7"/>
        <v>180108.5177</v>
      </c>
      <c r="R43" s="23" t="s">
        <v>2316</v>
      </c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30"/>
      <c r="B44" s="11"/>
      <c r="C44" s="12" t="str">
        <f>VLOOKUP(B:B,'Курс валют'!A:D,4,0)</f>
        <v>#N/A</v>
      </c>
      <c r="D44" s="15"/>
      <c r="E44" s="59"/>
      <c r="F44" s="15"/>
      <c r="G44" s="13"/>
      <c r="H44" s="17"/>
      <c r="I44" s="15">
        <f t="shared" si="1"/>
        <v>0</v>
      </c>
      <c r="J44" s="18" t="str">
        <f t="shared" si="2"/>
        <v>#DIV/0!</v>
      </c>
      <c r="K44" s="17"/>
      <c r="L44" s="19" t="str">
        <f t="shared" si="3"/>
        <v>#DIV/0!</v>
      </c>
      <c r="M44" s="20" t="str">
        <f t="shared" si="4"/>
        <v>#DIV/0!</v>
      </c>
      <c r="N44" s="21" t="str">
        <f t="shared" si="5"/>
        <v>#DIV/0!</v>
      </c>
      <c r="O44" s="21" t="str">
        <f t="shared" si="6"/>
        <v>#DIV/0!</v>
      </c>
      <c r="P44" s="22" t="str">
        <f t="shared" si="7"/>
        <v>#DIV/0!</v>
      </c>
      <c r="R44" s="31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30"/>
      <c r="B45" s="11"/>
      <c r="C45" s="12" t="str">
        <f>VLOOKUP(B:B,'Курс валют'!A:D,4,0)</f>
        <v>#N/A</v>
      </c>
      <c r="D45" s="15"/>
      <c r="E45" s="59"/>
      <c r="F45" s="15"/>
      <c r="G45" s="13"/>
      <c r="H45" s="17"/>
      <c r="I45" s="15">
        <f t="shared" si="1"/>
        <v>0</v>
      </c>
      <c r="J45" s="18" t="str">
        <f t="shared" si="2"/>
        <v>#DIV/0!</v>
      </c>
      <c r="K45" s="17"/>
      <c r="L45" s="19" t="str">
        <f t="shared" si="3"/>
        <v>#DIV/0!</v>
      </c>
      <c r="M45" s="20" t="str">
        <f t="shared" si="4"/>
        <v>#DIV/0!</v>
      </c>
      <c r="N45" s="21" t="str">
        <f t="shared" si="5"/>
        <v>#DIV/0!</v>
      </c>
      <c r="O45" s="21" t="str">
        <f t="shared" si="6"/>
        <v>#DIV/0!</v>
      </c>
      <c r="P45" s="22" t="str">
        <f t="shared" si="7"/>
        <v>#DIV/0!</v>
      </c>
      <c r="R45" s="31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/>
      <c r="B46" s="11"/>
      <c r="C46" s="12" t="str">
        <f>VLOOKUP(B:B,'Курс валют'!A:D,4,0)</f>
        <v>#N/A</v>
      </c>
      <c r="D46" s="15"/>
      <c r="E46" s="59"/>
      <c r="F46" s="15"/>
      <c r="G46" s="13"/>
      <c r="H46" s="17"/>
      <c r="I46" s="15">
        <f t="shared" si="1"/>
        <v>0</v>
      </c>
      <c r="J46" s="18" t="str">
        <f t="shared" si="2"/>
        <v>#DIV/0!</v>
      </c>
      <c r="K46" s="17"/>
      <c r="L46" s="19" t="str">
        <f t="shared" si="3"/>
        <v>#DIV/0!</v>
      </c>
      <c r="M46" s="20" t="str">
        <f t="shared" si="4"/>
        <v>#DIV/0!</v>
      </c>
      <c r="N46" s="21" t="str">
        <f t="shared" si="5"/>
        <v>#DIV/0!</v>
      </c>
      <c r="O46" s="21" t="str">
        <f t="shared" si="6"/>
        <v>#DIV/0!</v>
      </c>
      <c r="P46" s="22" t="str">
        <f t="shared" si="7"/>
        <v>#DIV/0!</v>
      </c>
      <c r="R46" s="78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/>
      <c r="B47" s="11"/>
      <c r="C47" s="12" t="str">
        <f>VLOOKUP(B:B,'Курс валют'!A:D,4,0)</f>
        <v>#N/A</v>
      </c>
      <c r="D47" s="15"/>
      <c r="E47" s="59"/>
      <c r="F47" s="15"/>
      <c r="G47" s="13"/>
      <c r="H47" s="58"/>
      <c r="I47" s="15">
        <f t="shared" si="1"/>
        <v>0</v>
      </c>
      <c r="J47" s="18" t="str">
        <f t="shared" si="2"/>
        <v>#DIV/0!</v>
      </c>
      <c r="K47" s="17"/>
      <c r="L47" s="19" t="str">
        <f t="shared" si="3"/>
        <v>#DIV/0!</v>
      </c>
      <c r="M47" s="20" t="str">
        <f t="shared" si="4"/>
        <v>#DIV/0!</v>
      </c>
      <c r="N47" s="21" t="str">
        <f t="shared" si="5"/>
        <v>#DIV/0!</v>
      </c>
      <c r="O47" s="21" t="str">
        <f t="shared" si="6"/>
        <v>#DIV/0!</v>
      </c>
      <c r="P47" s="22" t="str">
        <f t="shared" si="7"/>
        <v>#DIV/0!</v>
      </c>
      <c r="R47" s="23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30"/>
      <c r="B48" s="11"/>
      <c r="C48" s="12" t="str">
        <f>VLOOKUP(B:B,'Курс валют'!A:D,4,0)</f>
        <v>#N/A</v>
      </c>
      <c r="D48" s="15"/>
      <c r="E48" s="59"/>
      <c r="F48" s="15"/>
      <c r="G48" s="13"/>
      <c r="H48" s="58"/>
      <c r="I48" s="15">
        <f t="shared" si="1"/>
        <v>0</v>
      </c>
      <c r="J48" s="18" t="str">
        <f t="shared" si="2"/>
        <v>#DIV/0!</v>
      </c>
      <c r="K48" s="17"/>
      <c r="L48" s="19" t="str">
        <f t="shared" si="3"/>
        <v>#DIV/0!</v>
      </c>
      <c r="M48" s="20" t="str">
        <f t="shared" si="4"/>
        <v>#DIV/0!</v>
      </c>
      <c r="N48" s="21" t="str">
        <f t="shared" si="5"/>
        <v>#DIV/0!</v>
      </c>
      <c r="O48" s="21" t="str">
        <f t="shared" si="6"/>
        <v>#DIV/0!</v>
      </c>
      <c r="P48" s="22" t="str">
        <f t="shared" si="7"/>
        <v>#DIV/0!</v>
      </c>
      <c r="R48" s="78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30"/>
      <c r="B49" s="11"/>
      <c r="C49" s="12" t="str">
        <f>VLOOKUP(B:B,'Курс валют'!A:D,4,0)</f>
        <v>#N/A</v>
      </c>
      <c r="D49" s="15"/>
      <c r="E49" s="59"/>
      <c r="F49" s="15"/>
      <c r="G49" s="13"/>
      <c r="H49" s="58"/>
      <c r="I49" s="15">
        <f t="shared" si="1"/>
        <v>0</v>
      </c>
      <c r="J49" s="18" t="str">
        <f t="shared" si="2"/>
        <v>#DIV/0!</v>
      </c>
      <c r="K49" s="17"/>
      <c r="L49" s="19" t="str">
        <f t="shared" si="3"/>
        <v>#DIV/0!</v>
      </c>
      <c r="M49" s="20" t="str">
        <f t="shared" si="4"/>
        <v>#DIV/0!</v>
      </c>
      <c r="N49" s="21" t="str">
        <f t="shared" si="5"/>
        <v>#DIV/0!</v>
      </c>
      <c r="O49" s="21" t="str">
        <f t="shared" si="6"/>
        <v>#DIV/0!</v>
      </c>
      <c r="P49" s="22" t="str">
        <f t="shared" si="7"/>
        <v>#DIV/0!</v>
      </c>
      <c r="R49" s="152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30"/>
      <c r="B50" s="11"/>
      <c r="C50" s="12" t="str">
        <f>VLOOKUP(B:B,'Курс валют'!A:D,4,0)</f>
        <v>#N/A</v>
      </c>
      <c r="D50" s="15"/>
      <c r="E50" s="59"/>
      <c r="F50" s="15"/>
      <c r="G50" s="13"/>
      <c r="H50" s="58"/>
      <c r="I50" s="15">
        <f t="shared" si="1"/>
        <v>0</v>
      </c>
      <c r="J50" s="18" t="str">
        <f t="shared" si="2"/>
        <v>#DIV/0!</v>
      </c>
      <c r="K50" s="17"/>
      <c r="L50" s="19" t="str">
        <f t="shared" si="3"/>
        <v>#DIV/0!</v>
      </c>
      <c r="M50" s="20" t="str">
        <f t="shared" si="4"/>
        <v>#DIV/0!</v>
      </c>
      <c r="N50" s="21" t="str">
        <f t="shared" si="5"/>
        <v>#DIV/0!</v>
      </c>
      <c r="O50" s="21" t="str">
        <f t="shared" si="6"/>
        <v>#DIV/0!</v>
      </c>
      <c r="P50" s="22" t="str">
        <f t="shared" si="7"/>
        <v>#DIV/0!</v>
      </c>
      <c r="R50" s="31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30"/>
      <c r="B51" s="11"/>
      <c r="C51" s="12" t="str">
        <f>VLOOKUP(B:B,'Курс валют'!A:D,4,0)</f>
        <v>#N/A</v>
      </c>
      <c r="D51" s="15"/>
      <c r="E51" s="59"/>
      <c r="F51" s="15"/>
      <c r="G51" s="13"/>
      <c r="H51" s="17"/>
      <c r="I51" s="15">
        <f t="shared" si="1"/>
        <v>0</v>
      </c>
      <c r="J51" s="18" t="str">
        <f t="shared" si="2"/>
        <v>#DIV/0!</v>
      </c>
      <c r="K51" s="17"/>
      <c r="L51" s="19" t="str">
        <f t="shared" si="3"/>
        <v>#DIV/0!</v>
      </c>
      <c r="M51" s="20" t="str">
        <f t="shared" si="4"/>
        <v>#DIV/0!</v>
      </c>
      <c r="N51" s="21" t="str">
        <f t="shared" si="5"/>
        <v>#DIV/0!</v>
      </c>
      <c r="O51" s="21" t="str">
        <f t="shared" si="6"/>
        <v>#DIV/0!</v>
      </c>
      <c r="P51" s="22" t="str">
        <f t="shared" si="7"/>
        <v>#DIV/0!</v>
      </c>
      <c r="R51" s="31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30"/>
      <c r="B52" s="11"/>
      <c r="C52" s="12" t="str">
        <f>VLOOKUP(B:B,'Курс валют'!A:D,4,0)</f>
        <v>#N/A</v>
      </c>
      <c r="D52" s="15"/>
      <c r="E52" s="59"/>
      <c r="F52" s="15"/>
      <c r="G52" s="13"/>
      <c r="H52" s="17"/>
      <c r="I52" s="15">
        <f t="shared" si="1"/>
        <v>0</v>
      </c>
      <c r="J52" s="18" t="str">
        <f t="shared" si="2"/>
        <v>#DIV/0!</v>
      </c>
      <c r="K52" s="17"/>
      <c r="L52" s="19" t="str">
        <f t="shared" si="3"/>
        <v>#DIV/0!</v>
      </c>
      <c r="M52" s="20" t="str">
        <f t="shared" si="4"/>
        <v>#DIV/0!</v>
      </c>
      <c r="N52" s="21" t="str">
        <f t="shared" si="5"/>
        <v>#DIV/0!</v>
      </c>
      <c r="O52" s="21" t="str">
        <f t="shared" si="6"/>
        <v>#DIV/0!</v>
      </c>
      <c r="P52" s="22" t="str">
        <f t="shared" si="7"/>
        <v>#DIV/0!</v>
      </c>
      <c r="R52" s="78"/>
      <c r="S52" s="25"/>
      <c r="T52" s="25"/>
      <c r="U52" s="25"/>
      <c r="V52" s="25"/>
      <c r="W52" s="25"/>
      <c r="X52" s="25"/>
      <c r="Y52" s="25"/>
      <c r="Z52" s="25"/>
      <c r="AA52" s="25"/>
    </row>
    <row r="53">
      <c r="A53" s="30"/>
      <c r="B53" s="11"/>
      <c r="C53" s="12" t="str">
        <f>VLOOKUP(B:B,'Курс валют'!A:D,4,0)</f>
        <v>#N/A</v>
      </c>
      <c r="D53" s="15"/>
      <c r="E53" s="59"/>
      <c r="F53" s="15"/>
      <c r="G53" s="13"/>
      <c r="H53" s="17"/>
      <c r="I53" s="15">
        <f t="shared" si="1"/>
        <v>0</v>
      </c>
      <c r="J53" s="18" t="str">
        <f t="shared" si="2"/>
        <v>#DIV/0!</v>
      </c>
      <c r="K53" s="17"/>
      <c r="L53" s="19" t="str">
        <f t="shared" si="3"/>
        <v>#DIV/0!</v>
      </c>
      <c r="M53" s="20" t="str">
        <f t="shared" si="4"/>
        <v>#DIV/0!</v>
      </c>
      <c r="N53" s="21" t="str">
        <f t="shared" si="5"/>
        <v>#DIV/0!</v>
      </c>
      <c r="O53" s="21" t="str">
        <f t="shared" si="6"/>
        <v>#DIV/0!</v>
      </c>
      <c r="P53" s="22" t="str">
        <f t="shared" si="7"/>
        <v>#DIV/0!</v>
      </c>
      <c r="R53" s="79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30"/>
      <c r="B54" s="11"/>
      <c r="C54" s="12" t="str">
        <f>VLOOKUP(B:B,'Курс валют'!A:D,4,0)</f>
        <v>#N/A</v>
      </c>
      <c r="D54" s="15"/>
      <c r="E54" s="64"/>
      <c r="F54" s="15"/>
      <c r="G54" s="13"/>
      <c r="H54" s="17"/>
      <c r="I54" s="15">
        <f t="shared" si="1"/>
        <v>0</v>
      </c>
      <c r="J54" s="18" t="str">
        <f t="shared" si="2"/>
        <v>#DIV/0!</v>
      </c>
      <c r="K54" s="17"/>
      <c r="L54" s="19" t="str">
        <f t="shared" si="3"/>
        <v>#DIV/0!</v>
      </c>
      <c r="M54" s="20" t="str">
        <f t="shared" si="4"/>
        <v>#DIV/0!</v>
      </c>
      <c r="N54" s="21" t="str">
        <f t="shared" si="5"/>
        <v>#DIV/0!</v>
      </c>
      <c r="O54" s="21" t="str">
        <f t="shared" si="6"/>
        <v>#DIV/0!</v>
      </c>
      <c r="P54" s="22" t="str">
        <f t="shared" si="7"/>
        <v>#DIV/0!</v>
      </c>
      <c r="R54" s="78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30"/>
      <c r="B55" s="11"/>
      <c r="C55" s="12" t="str">
        <f>VLOOKUP(B:B,'Курс валют'!A:D,4,0)</f>
        <v>#N/A</v>
      </c>
      <c r="D55" s="15"/>
      <c r="E55" s="64"/>
      <c r="F55" s="15"/>
      <c r="G55" s="15"/>
      <c r="H55" s="17"/>
      <c r="I55" s="15">
        <f t="shared" si="1"/>
        <v>0</v>
      </c>
      <c r="J55" s="18" t="str">
        <f t="shared" si="2"/>
        <v>#DIV/0!</v>
      </c>
      <c r="K55" s="17"/>
      <c r="L55" s="19" t="str">
        <f t="shared" si="3"/>
        <v>#DIV/0!</v>
      </c>
      <c r="M55" s="20" t="str">
        <f t="shared" si="4"/>
        <v>#DIV/0!</v>
      </c>
      <c r="N55" s="21" t="str">
        <f t="shared" si="5"/>
        <v>#DIV/0!</v>
      </c>
      <c r="O55" s="21" t="str">
        <f t="shared" si="6"/>
        <v>#DIV/0!</v>
      </c>
      <c r="P55" s="22" t="str">
        <f t="shared" si="7"/>
        <v>#DIV/0!</v>
      </c>
      <c r="R55" s="31"/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/>
      <c r="B56" s="11"/>
      <c r="C56" s="12" t="str">
        <f>VLOOKUP(B:B,'Курс валют'!A:D,4,0)</f>
        <v>#N/A</v>
      </c>
      <c r="D56" s="15"/>
      <c r="E56" s="64"/>
      <c r="F56" s="15"/>
      <c r="G56" s="15"/>
      <c r="H56" s="17"/>
      <c r="I56" s="15">
        <f t="shared" si="1"/>
        <v>0</v>
      </c>
      <c r="J56" s="18" t="str">
        <f t="shared" si="2"/>
        <v>#DIV/0!</v>
      </c>
      <c r="K56" s="17"/>
      <c r="L56" s="19" t="str">
        <f t="shared" si="3"/>
        <v>#DIV/0!</v>
      </c>
      <c r="M56" s="20" t="str">
        <f t="shared" si="4"/>
        <v>#DIV/0!</v>
      </c>
      <c r="N56" s="21" t="str">
        <f t="shared" si="5"/>
        <v>#DIV/0!</v>
      </c>
      <c r="O56" s="21" t="str">
        <f t="shared" si="6"/>
        <v>#DIV/0!</v>
      </c>
      <c r="P56" s="22" t="str">
        <f t="shared" si="7"/>
        <v>#DIV/0!</v>
      </c>
      <c r="R56" s="31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/>
      <c r="B57" s="11"/>
      <c r="C57" s="12" t="str">
        <f>VLOOKUP(B:B,'Курс валют'!A:D,4,0)</f>
        <v>#N/A</v>
      </c>
      <c r="D57" s="15"/>
      <c r="E57" s="64"/>
      <c r="F57" s="15"/>
      <c r="G57" s="15"/>
      <c r="H57" s="17"/>
      <c r="I57" s="15">
        <f t="shared" si="1"/>
        <v>0</v>
      </c>
      <c r="J57" s="18" t="str">
        <f t="shared" si="2"/>
        <v>#DIV/0!</v>
      </c>
      <c r="K57" s="17"/>
      <c r="L57" s="19" t="str">
        <f t="shared" si="3"/>
        <v>#DIV/0!</v>
      </c>
      <c r="M57" s="20" t="str">
        <f t="shared" si="4"/>
        <v>#DIV/0!</v>
      </c>
      <c r="N57" s="21" t="str">
        <f t="shared" si="5"/>
        <v>#DIV/0!</v>
      </c>
      <c r="O57" s="21" t="str">
        <f t="shared" si="6"/>
        <v>#DIV/0!</v>
      </c>
      <c r="P57" s="22" t="str">
        <f t="shared" si="7"/>
        <v>#DIV/0!</v>
      </c>
      <c r="R57" s="78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/>
      <c r="B58" s="11"/>
      <c r="C58" s="12" t="str">
        <f>VLOOKUP(B:B,'Курс валют'!A:D,4,0)</f>
        <v>#N/A</v>
      </c>
      <c r="D58" s="15"/>
      <c r="E58" s="64"/>
      <c r="F58" s="15"/>
      <c r="G58" s="15"/>
      <c r="H58" s="17"/>
      <c r="I58" s="15">
        <f t="shared" si="1"/>
        <v>0</v>
      </c>
      <c r="J58" s="18" t="str">
        <f t="shared" si="2"/>
        <v>#DIV/0!</v>
      </c>
      <c r="K58" s="17"/>
      <c r="L58" s="19" t="str">
        <f t="shared" si="3"/>
        <v>#DIV/0!</v>
      </c>
      <c r="M58" s="20" t="str">
        <f t="shared" si="4"/>
        <v>#DIV/0!</v>
      </c>
      <c r="N58" s="21" t="str">
        <f t="shared" si="5"/>
        <v>#DIV/0!</v>
      </c>
      <c r="O58" s="21" t="str">
        <f t="shared" si="6"/>
        <v>#DIV/0!</v>
      </c>
      <c r="P58" s="22" t="str">
        <f t="shared" si="7"/>
        <v>#DIV/0!</v>
      </c>
      <c r="R58" s="79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/>
      <c r="B59" s="11"/>
      <c r="C59" s="12" t="str">
        <f>VLOOKUP(B:B,'Курс валют'!A:D,4,0)</f>
        <v>#N/A</v>
      </c>
      <c r="D59" s="15"/>
      <c r="E59" s="64"/>
      <c r="F59" s="15"/>
      <c r="G59" s="15"/>
      <c r="H59" s="17"/>
      <c r="I59" s="15">
        <f t="shared" si="1"/>
        <v>0</v>
      </c>
      <c r="J59" s="18" t="str">
        <f t="shared" si="2"/>
        <v>#DIV/0!</v>
      </c>
      <c r="K59" s="17"/>
      <c r="L59" s="19" t="str">
        <f t="shared" si="3"/>
        <v>#DIV/0!</v>
      </c>
      <c r="M59" s="20" t="str">
        <f t="shared" si="4"/>
        <v>#DIV/0!</v>
      </c>
      <c r="N59" s="21" t="str">
        <f t="shared" si="5"/>
        <v>#DIV/0!</v>
      </c>
      <c r="O59" s="21" t="str">
        <f t="shared" si="6"/>
        <v>#DIV/0!</v>
      </c>
      <c r="P59" s="22" t="str">
        <f t="shared" si="7"/>
        <v>#DIV/0!</v>
      </c>
      <c r="R59" s="79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30"/>
      <c r="B60" s="11"/>
      <c r="C60" s="12" t="str">
        <f>VLOOKUP(B:B,'Курс валют'!A:D,4,0)</f>
        <v>#N/A</v>
      </c>
      <c r="D60" s="15"/>
      <c r="E60" s="64"/>
      <c r="F60" s="15"/>
      <c r="G60" s="15"/>
      <c r="H60" s="17"/>
      <c r="I60" s="15">
        <f t="shared" si="1"/>
        <v>0</v>
      </c>
      <c r="J60" s="18" t="str">
        <f t="shared" si="2"/>
        <v>#DIV/0!</v>
      </c>
      <c r="K60" s="17"/>
      <c r="L60" s="19" t="str">
        <f t="shared" si="3"/>
        <v>#DIV/0!</v>
      </c>
      <c r="M60" s="20" t="str">
        <f t="shared" si="4"/>
        <v>#DIV/0!</v>
      </c>
      <c r="N60" s="21" t="str">
        <f t="shared" si="5"/>
        <v>#DIV/0!</v>
      </c>
      <c r="O60" s="21" t="str">
        <f t="shared" si="6"/>
        <v>#DIV/0!</v>
      </c>
      <c r="P60" s="22" t="str">
        <f t="shared" si="7"/>
        <v>#DIV/0!</v>
      </c>
      <c r="R60" s="79"/>
      <c r="S60" s="25"/>
      <c r="T60" s="25"/>
      <c r="U60" s="25"/>
      <c r="V60" s="25"/>
      <c r="W60" s="25"/>
      <c r="X60" s="25"/>
      <c r="Y60" s="25"/>
      <c r="Z60" s="25"/>
      <c r="AA60" s="25"/>
    </row>
    <row r="61">
      <c r="A61" s="30"/>
      <c r="B61" s="11"/>
      <c r="C61" s="12" t="str">
        <f>VLOOKUP(B:B,'Курс валют'!A:D,4,0)</f>
        <v>#N/A</v>
      </c>
      <c r="D61" s="15"/>
      <c r="E61" s="64"/>
      <c r="F61" s="15"/>
      <c r="G61" s="15"/>
      <c r="H61" s="17"/>
      <c r="I61" s="15">
        <f t="shared" si="1"/>
        <v>0</v>
      </c>
      <c r="J61" s="18" t="str">
        <f t="shared" si="2"/>
        <v>#DIV/0!</v>
      </c>
      <c r="K61" s="17"/>
      <c r="L61" s="19" t="str">
        <f t="shared" si="3"/>
        <v>#DIV/0!</v>
      </c>
      <c r="M61" s="20" t="str">
        <f t="shared" si="4"/>
        <v>#DIV/0!</v>
      </c>
      <c r="N61" s="21" t="str">
        <f t="shared" si="5"/>
        <v>#DIV/0!</v>
      </c>
      <c r="O61" s="21" t="str">
        <f t="shared" si="6"/>
        <v>#DIV/0!</v>
      </c>
      <c r="P61" s="22" t="str">
        <f t="shared" si="7"/>
        <v>#DIV/0!</v>
      </c>
      <c r="R61" s="79"/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30"/>
      <c r="B62" s="11"/>
      <c r="C62" s="12" t="str">
        <f>VLOOKUP(B:B,'Курс валют'!A:D,4,0)</f>
        <v>#N/A</v>
      </c>
      <c r="D62" s="15"/>
      <c r="E62" s="64"/>
      <c r="F62" s="15"/>
      <c r="G62" s="15"/>
      <c r="H62" s="17"/>
      <c r="I62" s="15">
        <f t="shared" si="1"/>
        <v>0</v>
      </c>
      <c r="J62" s="18" t="str">
        <f t="shared" si="2"/>
        <v>#DIV/0!</v>
      </c>
      <c r="K62" s="17"/>
      <c r="L62" s="19" t="str">
        <f t="shared" si="3"/>
        <v>#DIV/0!</v>
      </c>
      <c r="M62" s="20" t="str">
        <f t="shared" si="4"/>
        <v>#DIV/0!</v>
      </c>
      <c r="N62" s="21" t="str">
        <f t="shared" si="5"/>
        <v>#DIV/0!</v>
      </c>
      <c r="O62" s="21" t="str">
        <f t="shared" si="6"/>
        <v>#DIV/0!</v>
      </c>
      <c r="P62" s="22" t="str">
        <f t="shared" si="7"/>
        <v>#DIV/0!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/>
      <c r="B63" s="11"/>
      <c r="C63" s="12" t="str">
        <f>VLOOKUP(B:B,'Курс валют'!A:D,4,0)</f>
        <v>#N/A</v>
      </c>
      <c r="D63" s="15"/>
      <c r="E63" s="64"/>
      <c r="F63" s="15"/>
      <c r="G63" s="15"/>
      <c r="H63" s="17"/>
      <c r="I63" s="15">
        <f t="shared" si="1"/>
        <v>0</v>
      </c>
      <c r="J63" s="18" t="str">
        <f t="shared" si="2"/>
        <v>#DIV/0!</v>
      </c>
      <c r="K63" s="17"/>
      <c r="L63" s="19" t="str">
        <f t="shared" si="3"/>
        <v>#DIV/0!</v>
      </c>
      <c r="M63" s="20" t="str">
        <f t="shared" si="4"/>
        <v>#DIV/0!</v>
      </c>
      <c r="N63" s="21" t="str">
        <f t="shared" si="5"/>
        <v>#DIV/0!</v>
      </c>
      <c r="O63" s="21" t="str">
        <f t="shared" si="6"/>
        <v>#DIV/0!</v>
      </c>
      <c r="P63" s="22" t="str">
        <f t="shared" si="7"/>
        <v>#DIV/0!</v>
      </c>
      <c r="R63" s="23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/>
      <c r="B64" s="11"/>
      <c r="C64" s="12"/>
      <c r="D64" s="15"/>
      <c r="E64" s="64"/>
      <c r="F64" s="15"/>
      <c r="G64" s="15"/>
      <c r="H64" s="17"/>
      <c r="I64" s="15"/>
      <c r="J64" s="18"/>
      <c r="K64" s="17"/>
      <c r="L64" s="19" t="str">
        <f t="shared" si="3"/>
        <v>#DIV/0!</v>
      </c>
      <c r="M64" s="20" t="str">
        <f t="shared" si="4"/>
        <v>#DIV/0!</v>
      </c>
      <c r="N64" s="21" t="str">
        <f t="shared" si="5"/>
        <v>#DIV/0!</v>
      </c>
      <c r="O64" s="21" t="str">
        <f t="shared" si="6"/>
        <v>#DIV/0!</v>
      </c>
      <c r="P64" s="22" t="str">
        <f t="shared" si="7"/>
        <v>#DIV/0!</v>
      </c>
      <c r="R64" s="79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30"/>
      <c r="B65" s="11"/>
      <c r="C65" s="12"/>
      <c r="D65" s="15"/>
      <c r="E65" s="64"/>
      <c r="F65" s="15"/>
      <c r="G65" s="15"/>
      <c r="H65" s="17"/>
      <c r="I65" s="15"/>
      <c r="J65" s="18"/>
      <c r="K65" s="17"/>
      <c r="L65" s="19" t="str">
        <f t="shared" si="3"/>
        <v>#DIV/0!</v>
      </c>
      <c r="M65" s="20" t="str">
        <f t="shared" si="4"/>
        <v>#DIV/0!</v>
      </c>
      <c r="N65" s="21" t="str">
        <f t="shared" si="5"/>
        <v>#DIV/0!</v>
      </c>
      <c r="O65" s="21" t="str">
        <f t="shared" si="6"/>
        <v>#DIV/0!</v>
      </c>
      <c r="P65" s="22" t="str">
        <f t="shared" si="7"/>
        <v>#DIV/0!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63"/>
      <c r="B66" s="11"/>
      <c r="C66" s="12"/>
      <c r="D66" s="15"/>
      <c r="E66" s="64"/>
      <c r="F66" s="15"/>
      <c r="G66" s="15"/>
      <c r="H66" s="17"/>
      <c r="I66" s="15"/>
      <c r="J66" s="18"/>
      <c r="K66" s="17"/>
      <c r="L66" s="19" t="str">
        <f t="shared" si="3"/>
        <v>#DIV/0!</v>
      </c>
      <c r="M66" s="20" t="str">
        <f t="shared" si="4"/>
        <v>#DIV/0!</v>
      </c>
      <c r="N66" s="21" t="str">
        <f t="shared" si="5"/>
        <v>#DIV/0!</v>
      </c>
      <c r="O66" s="21" t="str">
        <f t="shared" si="6"/>
        <v>#DIV/0!</v>
      </c>
      <c r="P66" s="22" t="str">
        <f t="shared" si="7"/>
        <v>#DIV/0!</v>
      </c>
      <c r="R66" s="23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63"/>
      <c r="B67" s="11"/>
      <c r="C67" s="12"/>
      <c r="D67" s="15"/>
      <c r="E67" s="64"/>
      <c r="F67" s="15"/>
      <c r="G67" s="15"/>
      <c r="H67" s="17"/>
      <c r="I67" s="15"/>
      <c r="J67" s="18"/>
      <c r="K67" s="17"/>
      <c r="L67" s="19" t="str">
        <f t="shared" si="3"/>
        <v>#DIV/0!</v>
      </c>
      <c r="M67" s="20" t="str">
        <f t="shared" si="4"/>
        <v>#DIV/0!</v>
      </c>
      <c r="N67" s="21" t="str">
        <f t="shared" si="5"/>
        <v>#DIV/0!</v>
      </c>
      <c r="O67" s="21" t="str">
        <f t="shared" si="6"/>
        <v>#DIV/0!</v>
      </c>
      <c r="P67" s="22" t="str">
        <f t="shared" si="7"/>
        <v>#DIV/0!</v>
      </c>
      <c r="R67" s="79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30"/>
      <c r="B68" s="11"/>
      <c r="C68" s="12"/>
      <c r="D68" s="15"/>
      <c r="E68" s="64"/>
      <c r="F68" s="15"/>
      <c r="G68" s="15"/>
      <c r="H68" s="17"/>
      <c r="I68" s="15"/>
      <c r="J68" s="18"/>
      <c r="K68" s="17"/>
      <c r="L68" s="19" t="str">
        <f t="shared" si="3"/>
        <v>#DIV/0!</v>
      </c>
      <c r="M68" s="20" t="str">
        <f t="shared" si="4"/>
        <v>#DIV/0!</v>
      </c>
      <c r="N68" s="21" t="str">
        <f t="shared" si="5"/>
        <v>#DIV/0!</v>
      </c>
      <c r="O68" s="21" t="str">
        <f t="shared" si="6"/>
        <v>#DIV/0!</v>
      </c>
      <c r="P68" s="22" t="str">
        <f t="shared" si="7"/>
        <v>#DIV/0!</v>
      </c>
      <c r="R68" s="23"/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47"/>
      <c r="B69" s="11"/>
      <c r="C69" s="12"/>
      <c r="D69" s="15"/>
      <c r="E69" s="64"/>
      <c r="F69" s="15"/>
      <c r="G69" s="15"/>
      <c r="H69" s="17"/>
      <c r="I69" s="15"/>
      <c r="J69" s="18"/>
      <c r="K69" s="17"/>
      <c r="L69" s="19" t="str">
        <f t="shared" si="3"/>
        <v>#DIV/0!</v>
      </c>
      <c r="M69" s="20" t="str">
        <f t="shared" si="4"/>
        <v>#DIV/0!</v>
      </c>
      <c r="N69" s="21" t="str">
        <f t="shared" si="5"/>
        <v>#DIV/0!</v>
      </c>
      <c r="O69" s="21" t="str">
        <f t="shared" si="6"/>
        <v>#DIV/0!</v>
      </c>
      <c r="P69" s="22" t="str">
        <f t="shared" si="7"/>
        <v>#DIV/0!</v>
      </c>
      <c r="R69" s="23"/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47"/>
      <c r="B70" s="11"/>
      <c r="C70" s="12"/>
      <c r="D70" s="15"/>
      <c r="E70" s="64"/>
      <c r="F70" s="15"/>
      <c r="G70" s="15"/>
      <c r="H70" s="17"/>
      <c r="I70" s="15"/>
      <c r="J70" s="18"/>
      <c r="K70" s="17"/>
      <c r="L70" s="19" t="str">
        <f t="shared" si="3"/>
        <v>#DIV/0!</v>
      </c>
      <c r="M70" s="20" t="str">
        <f t="shared" si="4"/>
        <v>#DIV/0!</v>
      </c>
      <c r="N70" s="21" t="str">
        <f t="shared" si="5"/>
        <v>#DIV/0!</v>
      </c>
      <c r="O70" s="21" t="str">
        <f t="shared" si="6"/>
        <v>#DIV/0!</v>
      </c>
      <c r="P70" s="22" t="str">
        <f t="shared" si="7"/>
        <v>#DIV/0!</v>
      </c>
      <c r="R70" s="79"/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47"/>
      <c r="B71" s="11"/>
      <c r="C71" s="12"/>
      <c r="D71" s="15"/>
      <c r="E71" s="64"/>
      <c r="F71" s="15"/>
      <c r="G71" s="15"/>
      <c r="H71" s="17"/>
      <c r="I71" s="15"/>
      <c r="J71" s="18"/>
      <c r="K71" s="17"/>
      <c r="L71" s="19" t="str">
        <f t="shared" si="3"/>
        <v>#DIV/0!</v>
      </c>
      <c r="M71" s="20" t="str">
        <f t="shared" si="4"/>
        <v>#DIV/0!</v>
      </c>
      <c r="N71" s="21" t="str">
        <f t="shared" si="5"/>
        <v>#DIV/0!</v>
      </c>
      <c r="O71" s="21" t="str">
        <f t="shared" si="6"/>
        <v>#DIV/0!</v>
      </c>
      <c r="P71" s="22" t="str">
        <f t="shared" si="7"/>
        <v>#DIV/0!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47"/>
      <c r="B72" s="11"/>
      <c r="C72" s="12"/>
      <c r="D72" s="15"/>
      <c r="E72" s="64"/>
      <c r="F72" s="15"/>
      <c r="G72" s="15"/>
      <c r="H72" s="17"/>
      <c r="I72" s="15"/>
      <c r="J72" s="18"/>
      <c r="K72" s="17"/>
      <c r="L72" s="19" t="str">
        <f t="shared" si="3"/>
        <v>#DIV/0!</v>
      </c>
      <c r="M72" s="20" t="str">
        <f t="shared" si="4"/>
        <v>#DIV/0!</v>
      </c>
      <c r="N72" s="21" t="str">
        <f t="shared" si="5"/>
        <v>#DIV/0!</v>
      </c>
      <c r="O72" s="21" t="str">
        <f t="shared" si="6"/>
        <v>#DIV/0!</v>
      </c>
      <c r="P72" s="22" t="str">
        <f t="shared" si="7"/>
        <v>#DIV/0!</v>
      </c>
      <c r="R72" s="23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47"/>
      <c r="B73" s="11"/>
      <c r="C73" s="12"/>
      <c r="D73" s="15"/>
      <c r="E73" s="64"/>
      <c r="F73" s="15"/>
      <c r="G73" s="15"/>
      <c r="H73" s="17"/>
      <c r="I73" s="15"/>
      <c r="J73" s="18"/>
      <c r="K73" s="17"/>
      <c r="L73" s="19" t="str">
        <f t="shared" si="3"/>
        <v>#DIV/0!</v>
      </c>
      <c r="M73" s="20" t="str">
        <f t="shared" si="4"/>
        <v>#DIV/0!</v>
      </c>
      <c r="N73" s="21" t="str">
        <f t="shared" si="5"/>
        <v>#DIV/0!</v>
      </c>
      <c r="O73" s="21" t="str">
        <f t="shared" si="6"/>
        <v>#DIV/0!</v>
      </c>
      <c r="P73" s="22" t="str">
        <f t="shared" si="7"/>
        <v>#DIV/0!</v>
      </c>
      <c r="R73" s="79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47"/>
      <c r="B74" s="11"/>
      <c r="C74" s="12"/>
      <c r="D74" s="15"/>
      <c r="E74" s="64"/>
      <c r="F74" s="15"/>
      <c r="G74" s="15"/>
      <c r="H74" s="17"/>
      <c r="I74" s="15"/>
      <c r="J74" s="18"/>
      <c r="K74" s="17"/>
      <c r="L74" s="19" t="str">
        <f t="shared" si="3"/>
        <v>#DIV/0!</v>
      </c>
      <c r="M74" s="20" t="str">
        <f t="shared" si="4"/>
        <v>#DIV/0!</v>
      </c>
      <c r="N74" s="21" t="str">
        <f t="shared" si="5"/>
        <v>#DIV/0!</v>
      </c>
      <c r="O74" s="21" t="str">
        <f t="shared" si="6"/>
        <v>#DIV/0!</v>
      </c>
      <c r="P74" s="22" t="str">
        <f t="shared" si="7"/>
        <v>#DIV/0!</v>
      </c>
      <c r="R74" s="23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47"/>
      <c r="B75" s="11"/>
      <c r="C75" s="12"/>
      <c r="D75" s="15"/>
      <c r="E75" s="64"/>
      <c r="F75" s="15"/>
      <c r="G75" s="15"/>
      <c r="H75" s="17"/>
      <c r="I75" s="15"/>
      <c r="J75" s="18"/>
      <c r="K75" s="17"/>
      <c r="L75" s="19" t="str">
        <f t="shared" si="3"/>
        <v>#DIV/0!</v>
      </c>
      <c r="M75" s="20" t="str">
        <f t="shared" si="4"/>
        <v>#DIV/0!</v>
      </c>
      <c r="N75" s="21" t="str">
        <f t="shared" si="5"/>
        <v>#DIV/0!</v>
      </c>
      <c r="O75" s="21" t="str">
        <f t="shared" si="6"/>
        <v>#DIV/0!</v>
      </c>
      <c r="P75" s="22" t="str">
        <f t="shared" si="7"/>
        <v>#DIV/0!</v>
      </c>
      <c r="R75" s="79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48"/>
      <c r="B76" s="11"/>
      <c r="C76" s="12"/>
      <c r="D76" s="15"/>
      <c r="E76" s="64"/>
      <c r="F76" s="15"/>
      <c r="G76" s="15"/>
      <c r="H76" s="17"/>
      <c r="I76" s="15"/>
      <c r="J76" s="18"/>
      <c r="K76" s="17"/>
      <c r="L76" s="19" t="str">
        <f t="shared" si="3"/>
        <v>#DIV/0!</v>
      </c>
      <c r="M76" s="20" t="str">
        <f t="shared" si="4"/>
        <v>#DIV/0!</v>
      </c>
      <c r="N76" s="21" t="str">
        <f t="shared" si="5"/>
        <v>#DIV/0!</v>
      </c>
      <c r="O76" s="21" t="str">
        <f t="shared" si="6"/>
        <v>#DIV/0!</v>
      </c>
      <c r="P76" s="22" t="str">
        <f t="shared" si="7"/>
        <v>#DIV/0!</v>
      </c>
      <c r="R76" s="79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48"/>
      <c r="B77" s="11"/>
      <c r="C77" s="12"/>
      <c r="D77" s="15"/>
      <c r="E77" s="59"/>
      <c r="F77" s="15"/>
      <c r="G77" s="15"/>
      <c r="H77" s="17"/>
      <c r="I77" s="15"/>
      <c r="J77" s="18"/>
      <c r="K77" s="17"/>
      <c r="L77" s="19" t="str">
        <f t="shared" si="3"/>
        <v>#DIV/0!</v>
      </c>
      <c r="M77" s="20" t="str">
        <f t="shared" si="4"/>
        <v>#DIV/0!</v>
      </c>
      <c r="N77" s="21" t="str">
        <f t="shared" si="5"/>
        <v>#DIV/0!</v>
      </c>
      <c r="O77" s="21" t="str">
        <f t="shared" si="6"/>
        <v>#DIV/0!</v>
      </c>
      <c r="P77" s="22" t="str">
        <f t="shared" si="7"/>
        <v>#DIV/0!</v>
      </c>
      <c r="R77" s="79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48"/>
      <c r="B78" s="11"/>
      <c r="C78" s="12"/>
      <c r="D78" s="15"/>
      <c r="E78" s="59"/>
      <c r="F78" s="15"/>
      <c r="G78" s="15"/>
      <c r="H78" s="17"/>
      <c r="I78" s="15"/>
      <c r="J78" s="18"/>
      <c r="K78" s="17"/>
      <c r="L78" s="19" t="str">
        <f t="shared" si="3"/>
        <v>#DIV/0!</v>
      </c>
      <c r="M78" s="20" t="str">
        <f t="shared" si="4"/>
        <v>#DIV/0!</v>
      </c>
      <c r="N78" s="21" t="str">
        <f t="shared" si="5"/>
        <v>#DIV/0!</v>
      </c>
      <c r="O78" s="21" t="str">
        <f t="shared" si="6"/>
        <v>#DIV/0!</v>
      </c>
      <c r="P78" s="22" t="str">
        <f t="shared" si="7"/>
        <v>#DIV/0!</v>
      </c>
      <c r="R78" s="23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48"/>
      <c r="B79" s="11"/>
      <c r="C79" s="12"/>
      <c r="D79" s="15"/>
      <c r="E79" s="59"/>
      <c r="F79" s="15"/>
      <c r="G79" s="15"/>
      <c r="H79" s="65"/>
      <c r="I79" s="15"/>
      <c r="J79" s="18"/>
      <c r="K79" s="65"/>
      <c r="L79" s="19" t="str">
        <f t="shared" si="3"/>
        <v>#DIV/0!</v>
      </c>
      <c r="M79" s="20" t="str">
        <f t="shared" si="4"/>
        <v>#DIV/0!</v>
      </c>
      <c r="N79" s="21" t="str">
        <f t="shared" si="5"/>
        <v>#DIV/0!</v>
      </c>
      <c r="O79" s="21" t="str">
        <f t="shared" si="6"/>
        <v>#DIV/0!</v>
      </c>
      <c r="P79" s="22" t="str">
        <f t="shared" si="7"/>
        <v>#DIV/0!</v>
      </c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48"/>
      <c r="B80" s="11"/>
      <c r="C80" s="12"/>
      <c r="D80" s="15"/>
      <c r="E80" s="59"/>
      <c r="F80" s="15"/>
      <c r="G80" s="15"/>
      <c r="H80" s="65"/>
      <c r="I80" s="15"/>
      <c r="J80" s="18"/>
      <c r="K80" s="65"/>
      <c r="L80" s="19" t="str">
        <f t="shared" si="3"/>
        <v>#DIV/0!</v>
      </c>
      <c r="M80" s="20" t="str">
        <f t="shared" si="4"/>
        <v>#DIV/0!</v>
      </c>
      <c r="N80" s="21" t="str">
        <f t="shared" si="5"/>
        <v>#DIV/0!</v>
      </c>
      <c r="O80" s="21" t="str">
        <f t="shared" si="6"/>
        <v>#DIV/0!</v>
      </c>
      <c r="P80" s="22" t="str">
        <f t="shared" si="7"/>
        <v>#DIV/0!</v>
      </c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49"/>
      <c r="B81" s="11"/>
      <c r="C81" s="12"/>
      <c r="D81" s="67"/>
      <c r="E81" s="67"/>
      <c r="F81" s="67"/>
      <c r="G81" s="67"/>
      <c r="H81" s="65"/>
      <c r="I81" s="15"/>
      <c r="J81" s="18"/>
      <c r="K81" s="65"/>
      <c r="L81" s="19" t="str">
        <f t="shared" si="3"/>
        <v>#DIV/0!</v>
      </c>
      <c r="M81" s="20" t="str">
        <f t="shared" si="4"/>
        <v>#DIV/0!</v>
      </c>
      <c r="N81" s="21" t="str">
        <f t="shared" si="5"/>
        <v>#DIV/0!</v>
      </c>
      <c r="O81" s="21" t="str">
        <f t="shared" si="6"/>
        <v>#DIV/0!</v>
      </c>
      <c r="P81" s="22" t="str">
        <f t="shared" si="7"/>
        <v>#DIV/0!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49"/>
      <c r="B82" s="11"/>
      <c r="C82" s="12"/>
      <c r="D82" s="67"/>
      <c r="E82" s="67"/>
      <c r="F82" s="67"/>
      <c r="G82" s="67"/>
      <c r="H82" s="65"/>
      <c r="I82" s="15"/>
      <c r="J82" s="18"/>
      <c r="K82" s="65"/>
      <c r="L82" s="19" t="str">
        <f t="shared" si="3"/>
        <v>#DIV/0!</v>
      </c>
      <c r="M82" s="20" t="str">
        <f t="shared" si="4"/>
        <v>#DIV/0!</v>
      </c>
      <c r="N82" s="21" t="str">
        <f t="shared" si="5"/>
        <v>#DIV/0!</v>
      </c>
      <c r="O82" s="21" t="str">
        <f t="shared" si="6"/>
        <v>#DIV/0!</v>
      </c>
      <c r="P82" s="22" t="str">
        <f t="shared" si="7"/>
        <v>#DIV/0!</v>
      </c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49"/>
      <c r="B83" s="11"/>
      <c r="C83" s="12"/>
      <c r="D83" s="67"/>
      <c r="E83" s="67"/>
      <c r="F83" s="67"/>
      <c r="G83" s="67"/>
      <c r="H83" s="65"/>
      <c r="I83" s="15"/>
      <c r="J83" s="18"/>
      <c r="K83" s="65"/>
      <c r="L83" s="19"/>
      <c r="M83" s="20"/>
      <c r="N83" s="21"/>
      <c r="O83" s="21"/>
      <c r="P83" s="22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49"/>
      <c r="B84" s="11"/>
      <c r="C84" s="150"/>
      <c r="D84" s="67"/>
      <c r="E84" s="67"/>
      <c r="F84" s="67"/>
      <c r="G84" s="67"/>
      <c r="H84" s="65"/>
      <c r="I84" s="15"/>
      <c r="J84" s="18"/>
      <c r="K84" s="65"/>
      <c r="L84" s="19"/>
      <c r="M84" s="20"/>
      <c r="N84" s="21"/>
      <c r="O84" s="21"/>
      <c r="P84" s="22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49"/>
      <c r="B85" s="11"/>
      <c r="C85" s="150"/>
      <c r="D85" s="67"/>
      <c r="E85" s="67"/>
      <c r="F85" s="67"/>
      <c r="G85" s="67"/>
      <c r="H85" s="65"/>
      <c r="I85" s="15"/>
      <c r="J85" s="18"/>
      <c r="K85" s="65"/>
      <c r="L85" s="19"/>
      <c r="M85" s="20"/>
      <c r="N85" s="21"/>
      <c r="O85" s="21"/>
      <c r="P85" s="22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49"/>
      <c r="B86" s="11"/>
      <c r="C86" s="150"/>
      <c r="D86" s="67"/>
      <c r="E86" s="67"/>
      <c r="F86" s="67"/>
      <c r="G86" s="67"/>
      <c r="H86" s="65"/>
      <c r="I86" s="15"/>
      <c r="J86" s="18"/>
      <c r="K86" s="65"/>
      <c r="L86" s="19"/>
      <c r="M86" s="20"/>
      <c r="N86" s="21"/>
      <c r="O86" s="21"/>
      <c r="P86" s="22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149"/>
      <c r="B87" s="11"/>
      <c r="C87" s="150"/>
      <c r="D87" s="67"/>
      <c r="E87" s="67"/>
      <c r="F87" s="67"/>
      <c r="G87" s="67"/>
      <c r="H87" s="65"/>
      <c r="I87" s="15"/>
      <c r="J87" s="18"/>
      <c r="K87" s="65"/>
      <c r="L87" s="19"/>
      <c r="M87" s="20"/>
      <c r="N87" s="21"/>
      <c r="O87" s="21"/>
      <c r="P87" s="22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11"/>
      <c r="C88" s="25"/>
      <c r="D88" s="25"/>
      <c r="E88" s="25"/>
      <c r="F88" s="25"/>
      <c r="G88" s="25"/>
      <c r="H88" s="80"/>
      <c r="I88" s="25"/>
      <c r="J88" s="25"/>
      <c r="K88" s="80"/>
      <c r="L88" s="81"/>
      <c r="M88" s="82"/>
      <c r="N88" s="25"/>
      <c r="O88" s="25"/>
      <c r="P88" s="82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11"/>
      <c r="C89" s="25"/>
      <c r="D89" s="25"/>
      <c r="E89" s="25"/>
      <c r="F89" s="25"/>
      <c r="G89" s="25"/>
      <c r="H89" s="80"/>
      <c r="I89" s="25"/>
      <c r="J89" s="25"/>
      <c r="K89" s="80"/>
      <c r="L89" s="81"/>
      <c r="M89" s="82"/>
      <c r="N89" s="25"/>
      <c r="O89" s="25"/>
      <c r="P89" s="82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11"/>
      <c r="C90" s="25"/>
      <c r="D90" s="25"/>
      <c r="E90" s="25"/>
      <c r="F90" s="25"/>
      <c r="G90" s="25"/>
      <c r="H90" s="80"/>
      <c r="I90" s="25"/>
      <c r="J90" s="25"/>
      <c r="K90" s="80"/>
      <c r="L90" s="81"/>
      <c r="M90" s="82"/>
      <c r="N90" s="25"/>
      <c r="O90" s="25"/>
      <c r="P90" s="82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11"/>
      <c r="C91" s="25"/>
      <c r="D91" s="25"/>
      <c r="E91" s="25"/>
      <c r="F91" s="25"/>
      <c r="G91" s="25"/>
      <c r="H91" s="80"/>
      <c r="I91" s="25"/>
      <c r="J91" s="25"/>
      <c r="K91" s="80"/>
      <c r="L91" s="81"/>
      <c r="M91" s="82"/>
      <c r="N91" s="25"/>
      <c r="O91" s="25"/>
      <c r="P91" s="82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11"/>
      <c r="C92" s="25"/>
      <c r="D92" s="25"/>
      <c r="E92" s="25"/>
      <c r="F92" s="25"/>
      <c r="G92" s="25"/>
      <c r="H92" s="80"/>
      <c r="I92" s="25"/>
      <c r="J92" s="25"/>
      <c r="K92" s="80"/>
      <c r="L92" s="81"/>
      <c r="M92" s="82"/>
      <c r="N92" s="25"/>
      <c r="O92" s="25"/>
      <c r="P92" s="82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11"/>
      <c r="C93" s="25"/>
      <c r="D93" s="25"/>
      <c r="E93" s="25"/>
      <c r="F93" s="25"/>
      <c r="G93" s="25"/>
      <c r="H93" s="80"/>
      <c r="I93" s="25"/>
      <c r="J93" s="25"/>
      <c r="K93" s="80"/>
      <c r="L93" s="81"/>
      <c r="M93" s="82"/>
      <c r="N93" s="25"/>
      <c r="O93" s="25"/>
      <c r="P93" s="82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/>
      <c r="C94" s="25"/>
      <c r="D94" s="25"/>
      <c r="E94" s="25"/>
      <c r="F94" s="25"/>
      <c r="G94" s="25"/>
      <c r="H94" s="80"/>
      <c r="I94" s="25"/>
      <c r="J94" s="25"/>
      <c r="K94" s="80"/>
      <c r="L94" s="81"/>
      <c r="M94" s="82"/>
      <c r="N94" s="25"/>
      <c r="O94" s="25"/>
      <c r="P94" s="82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/>
      <c r="C95" s="25"/>
      <c r="D95" s="25"/>
      <c r="E95" s="25"/>
      <c r="F95" s="25"/>
      <c r="G95" s="25"/>
      <c r="H95" s="80"/>
      <c r="I95" s="25"/>
      <c r="J95" s="25"/>
      <c r="K95" s="80"/>
      <c r="L95" s="81"/>
      <c r="M95" s="82"/>
      <c r="N95" s="25"/>
      <c r="O95" s="25"/>
      <c r="P95" s="82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25"/>
      <c r="D96" s="25"/>
      <c r="E96" s="25"/>
      <c r="F96" s="25"/>
      <c r="G96" s="25"/>
      <c r="H96" s="80"/>
      <c r="I96" s="25"/>
      <c r="J96" s="25"/>
      <c r="K96" s="80"/>
      <c r="L96" s="81"/>
      <c r="M96" s="82"/>
      <c r="N96" s="25"/>
      <c r="O96" s="25"/>
      <c r="P96" s="82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25"/>
      <c r="D97" s="25"/>
      <c r="E97" s="25"/>
      <c r="F97" s="25"/>
      <c r="G97" s="25"/>
      <c r="H97" s="80"/>
      <c r="I97" s="25"/>
      <c r="J97" s="25"/>
      <c r="K97" s="80"/>
      <c r="L97" s="81"/>
      <c r="M97" s="82"/>
      <c r="N97" s="25"/>
      <c r="O97" s="25"/>
      <c r="P97" s="82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25"/>
      <c r="D98" s="25"/>
      <c r="E98" s="25"/>
      <c r="F98" s="25"/>
      <c r="G98" s="25"/>
      <c r="H98" s="80"/>
      <c r="I98" s="25"/>
      <c r="J98" s="25"/>
      <c r="K98" s="80"/>
      <c r="L98" s="81"/>
      <c r="M98" s="82"/>
      <c r="N98" s="25"/>
      <c r="O98" s="25"/>
      <c r="P98" s="82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25"/>
      <c r="D99" s="25"/>
      <c r="E99" s="25"/>
      <c r="F99" s="25"/>
      <c r="G99" s="25"/>
      <c r="H99" s="80"/>
      <c r="I99" s="25"/>
      <c r="J99" s="25"/>
      <c r="K99" s="80"/>
      <c r="L99" s="81"/>
      <c r="M99" s="82"/>
      <c r="N99" s="25"/>
      <c r="O99" s="25"/>
      <c r="P99" s="82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25"/>
      <c r="D100" s="25"/>
      <c r="E100" s="25"/>
      <c r="F100" s="25"/>
      <c r="G100" s="25"/>
      <c r="H100" s="80"/>
      <c r="I100" s="25"/>
      <c r="J100" s="25"/>
      <c r="K100" s="80"/>
      <c r="L100" s="81"/>
      <c r="M100" s="82"/>
      <c r="N100" s="25"/>
      <c r="O100" s="25"/>
      <c r="P100" s="82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25"/>
      <c r="D101" s="25"/>
      <c r="E101" s="25"/>
      <c r="F101" s="25"/>
      <c r="G101" s="25"/>
      <c r="H101" s="80"/>
      <c r="I101" s="25"/>
      <c r="J101" s="25"/>
      <c r="K101" s="80"/>
      <c r="L101" s="81"/>
      <c r="M101" s="82"/>
      <c r="N101" s="25"/>
      <c r="O101" s="25"/>
      <c r="P101" s="82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25"/>
      <c r="D102" s="25"/>
      <c r="E102" s="25"/>
      <c r="F102" s="25"/>
      <c r="G102" s="25"/>
      <c r="H102" s="80"/>
      <c r="I102" s="25"/>
      <c r="J102" s="25"/>
      <c r="K102" s="80"/>
      <c r="L102" s="81"/>
      <c r="M102" s="82"/>
      <c r="N102" s="25"/>
      <c r="O102" s="25"/>
      <c r="P102" s="82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25"/>
      <c r="D103" s="25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25"/>
      <c r="D104" s="25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25"/>
      <c r="D105" s="25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25"/>
      <c r="D106" s="25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25"/>
      <c r="D107" s="25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25"/>
      <c r="D108" s="25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25"/>
      <c r="D109" s="25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25"/>
      <c r="D110" s="25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25"/>
      <c r="D111" s="25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25"/>
      <c r="D112" s="25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25"/>
      <c r="D113" s="25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25"/>
      <c r="D114" s="25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25"/>
      <c r="D115" s="25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25"/>
      <c r="D116" s="25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25"/>
      <c r="D117" s="25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25"/>
      <c r="D118" s="25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25"/>
      <c r="D119" s="25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25"/>
      <c r="D120" s="25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25"/>
      <c r="D121" s="25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A122" s="25"/>
      <c r="B122" s="11"/>
      <c r="C122" s="25"/>
      <c r="D122" s="25"/>
      <c r="E122" s="25"/>
      <c r="F122" s="25"/>
      <c r="G122" s="25"/>
      <c r="H122" s="80"/>
      <c r="I122" s="25"/>
      <c r="J122" s="25"/>
      <c r="K122" s="80"/>
      <c r="L122" s="81"/>
      <c r="M122" s="82"/>
      <c r="N122" s="25"/>
      <c r="O122" s="25"/>
      <c r="P122" s="82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>
      <c r="B123" s="68"/>
      <c r="H123" s="70"/>
      <c r="K123" s="70"/>
      <c r="L123" s="71"/>
      <c r="M123" s="72"/>
      <c r="P123" s="72"/>
    </row>
    <row r="124">
      <c r="B124" s="68"/>
      <c r="H124" s="70"/>
      <c r="K124" s="70"/>
      <c r="L124" s="71"/>
      <c r="M124" s="72"/>
      <c r="P124" s="72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  <row r="958">
      <c r="B958" s="68"/>
      <c r="H958" s="70"/>
      <c r="K958" s="70"/>
      <c r="L958" s="71"/>
      <c r="M958" s="72"/>
      <c r="P958" s="72"/>
    </row>
    <row r="959">
      <c r="B959" s="68"/>
      <c r="H959" s="70"/>
      <c r="K959" s="70"/>
      <c r="L959" s="71"/>
      <c r="M959" s="72"/>
      <c r="P959" s="72"/>
    </row>
    <row r="960">
      <c r="B960" s="68"/>
      <c r="H960" s="70"/>
      <c r="K960" s="70"/>
      <c r="L960" s="71"/>
      <c r="M960" s="72"/>
      <c r="P960" s="72"/>
    </row>
    <row r="961">
      <c r="B961" s="68"/>
      <c r="H961" s="70"/>
      <c r="K961" s="70"/>
      <c r="L961" s="71"/>
      <c r="M961" s="72"/>
      <c r="P961" s="72"/>
    </row>
    <row r="962">
      <c r="B962" s="68"/>
      <c r="H962" s="70"/>
      <c r="K962" s="70"/>
      <c r="L962" s="71"/>
      <c r="M962" s="72"/>
      <c r="P962" s="72"/>
    </row>
    <row r="963">
      <c r="B963" s="68"/>
      <c r="H963" s="70"/>
      <c r="K963" s="70"/>
      <c r="L963" s="71"/>
      <c r="M963" s="72"/>
      <c r="P963" s="72"/>
    </row>
    <row r="964">
      <c r="B964" s="68"/>
      <c r="H964" s="70"/>
      <c r="K964" s="70"/>
      <c r="L964" s="71"/>
      <c r="M964" s="72"/>
      <c r="P964" s="72"/>
    </row>
  </sheetData>
  <autoFilter ref="$A$1:$P$964"/>
  <drawing r:id="rId4"/>
  <legacyDrawing r:id="rId5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>
        <v>45625.0</v>
      </c>
      <c r="B2" s="11">
        <v>45628.0</v>
      </c>
      <c r="C2" s="12">
        <f>VLOOKUP(B:B,'Курс валют'!A:D,4,0)</f>
        <v>114.3149</v>
      </c>
      <c r="D2" s="12">
        <v>842.0</v>
      </c>
      <c r="E2" s="153" t="s">
        <v>63</v>
      </c>
      <c r="F2" s="12">
        <v>900.0</v>
      </c>
      <c r="G2" s="12">
        <v>928.0</v>
      </c>
      <c r="H2" s="17">
        <v>365.0</v>
      </c>
      <c r="I2" s="15">
        <f t="shared" ref="I2:I71" si="1">G2-F2</f>
        <v>28</v>
      </c>
      <c r="J2" s="18">
        <f t="shared" ref="J2:J71" si="2">I2/F2*100</f>
        <v>3.111111111</v>
      </c>
      <c r="K2" s="56">
        <v>3.13</v>
      </c>
      <c r="L2" s="19">
        <f t="shared" ref="L2:L81" si="3">H2/F2*100</f>
        <v>40.55555556</v>
      </c>
      <c r="M2" s="20">
        <f t="shared" ref="M2:M81" si="4">P2/F2</f>
        <v>216.868067</v>
      </c>
      <c r="N2" s="21">
        <f t="shared" ref="N2:N81" si="5">(F2*K2-H2*3.04)/F2</f>
        <v>1.897111111</v>
      </c>
      <c r="O2" s="21">
        <f t="shared" ref="O2:O81" si="6">N2*F2</f>
        <v>1707.4</v>
      </c>
      <c r="P2" s="22">
        <f t="shared" ref="P2:P81" si="7">O2*C2</f>
        <v>195181.2603</v>
      </c>
      <c r="R2" s="79"/>
      <c r="S2" s="25"/>
      <c r="T2" s="25"/>
      <c r="U2" s="25"/>
      <c r="V2" s="25"/>
      <c r="W2" s="25"/>
      <c r="X2" s="25"/>
      <c r="Y2" s="25"/>
      <c r="Z2" s="25"/>
      <c r="AA2" s="25"/>
    </row>
    <row r="3">
      <c r="A3" s="11">
        <v>45625.0</v>
      </c>
      <c r="B3" s="11">
        <v>45628.0</v>
      </c>
      <c r="C3" s="12">
        <f>VLOOKUP(B:B,'Курс валют'!A:D,4,0)</f>
        <v>114.3149</v>
      </c>
      <c r="D3" s="15">
        <v>847.0</v>
      </c>
      <c r="E3" s="59" t="s">
        <v>63</v>
      </c>
      <c r="F3" s="15">
        <v>900.0</v>
      </c>
      <c r="G3" s="15">
        <v>931.0</v>
      </c>
      <c r="H3" s="17">
        <v>365.0</v>
      </c>
      <c r="I3" s="15">
        <f t="shared" si="1"/>
        <v>31</v>
      </c>
      <c r="J3" s="18">
        <f t="shared" si="2"/>
        <v>3.444444444</v>
      </c>
      <c r="K3" s="17">
        <v>3.13</v>
      </c>
      <c r="L3" s="19">
        <f t="shared" si="3"/>
        <v>40.55555556</v>
      </c>
      <c r="M3" s="20">
        <f t="shared" si="4"/>
        <v>216.868067</v>
      </c>
      <c r="N3" s="21">
        <f t="shared" si="5"/>
        <v>1.897111111</v>
      </c>
      <c r="O3" s="21">
        <f t="shared" si="6"/>
        <v>1707.4</v>
      </c>
      <c r="P3" s="22">
        <f t="shared" si="7"/>
        <v>195181.2603</v>
      </c>
      <c r="R3" s="23"/>
      <c r="S3" s="151"/>
      <c r="T3" s="25"/>
      <c r="U3" s="25"/>
      <c r="V3" s="25"/>
      <c r="W3" s="25"/>
      <c r="X3" s="25"/>
      <c r="Y3" s="25"/>
      <c r="Z3" s="25"/>
      <c r="AA3" s="25"/>
    </row>
    <row r="4">
      <c r="A4" s="30">
        <v>45625.0</v>
      </c>
      <c r="B4" s="11">
        <v>45628.0</v>
      </c>
      <c r="C4" s="12">
        <f>VLOOKUP(B:B,'Курс валют'!A:D,4,0)</f>
        <v>114.3149</v>
      </c>
      <c r="D4" s="15">
        <v>848.0</v>
      </c>
      <c r="E4" s="59" t="s">
        <v>61</v>
      </c>
      <c r="F4" s="15">
        <v>6600.0</v>
      </c>
      <c r="G4" s="15">
        <v>6624.0</v>
      </c>
      <c r="H4" s="17">
        <v>2744.0</v>
      </c>
      <c r="I4" s="15">
        <f t="shared" si="1"/>
        <v>24</v>
      </c>
      <c r="J4" s="18">
        <f t="shared" si="2"/>
        <v>0.3636363636</v>
      </c>
      <c r="K4" s="17">
        <v>3.78</v>
      </c>
      <c r="L4" s="19">
        <f t="shared" si="3"/>
        <v>41.57575758</v>
      </c>
      <c r="M4" s="20">
        <f t="shared" si="4"/>
        <v>287.6273735</v>
      </c>
      <c r="N4" s="21">
        <f t="shared" si="5"/>
        <v>2.51609697</v>
      </c>
      <c r="O4" s="21">
        <f t="shared" si="6"/>
        <v>16606.24</v>
      </c>
      <c r="P4" s="22">
        <f t="shared" si="7"/>
        <v>1898340.665</v>
      </c>
      <c r="R4" s="23"/>
      <c r="S4" s="25"/>
      <c r="T4" s="25"/>
      <c r="U4" s="25"/>
      <c r="V4" s="25"/>
      <c r="W4" s="25"/>
      <c r="X4" s="25"/>
      <c r="Y4" s="25"/>
      <c r="Z4" s="25"/>
      <c r="AA4" s="25"/>
    </row>
    <row r="5">
      <c r="A5" s="30">
        <v>45625.0</v>
      </c>
      <c r="B5" s="11">
        <v>45628.0</v>
      </c>
      <c r="C5" s="12">
        <f>VLOOKUP(B:B,'Курс валют'!A:D,4,0)</f>
        <v>114.3149</v>
      </c>
      <c r="D5" s="15">
        <v>850.0</v>
      </c>
      <c r="E5" s="59" t="s">
        <v>61</v>
      </c>
      <c r="F5" s="15">
        <v>8800.0</v>
      </c>
      <c r="G5" s="15">
        <v>8828.0</v>
      </c>
      <c r="H5" s="17">
        <v>3658.0</v>
      </c>
      <c r="I5" s="15">
        <f t="shared" si="1"/>
        <v>28</v>
      </c>
      <c r="J5" s="18">
        <f t="shared" si="2"/>
        <v>0.3181818182</v>
      </c>
      <c r="K5" s="17">
        <v>3.78</v>
      </c>
      <c r="L5" s="19">
        <f t="shared" si="3"/>
        <v>41.56818182</v>
      </c>
      <c r="M5" s="20">
        <f t="shared" si="4"/>
        <v>287.6537005</v>
      </c>
      <c r="N5" s="21">
        <f t="shared" si="5"/>
        <v>2.516327273</v>
      </c>
      <c r="O5" s="21">
        <f t="shared" si="6"/>
        <v>22143.68</v>
      </c>
      <c r="P5" s="22">
        <f t="shared" si="7"/>
        <v>2531352.565</v>
      </c>
      <c r="R5" s="23"/>
      <c r="S5" s="25"/>
      <c r="T5" s="25"/>
      <c r="U5" s="25"/>
      <c r="V5" s="25"/>
      <c r="W5" s="25"/>
      <c r="X5" s="25"/>
      <c r="Y5" s="25"/>
      <c r="Z5" s="25"/>
      <c r="AA5" s="25"/>
    </row>
    <row r="6">
      <c r="A6" s="30">
        <v>45625.0</v>
      </c>
      <c r="B6" s="11">
        <v>45628.0</v>
      </c>
      <c r="C6" s="12">
        <f>VLOOKUP(B:B,'Курс валют'!A:D,4,0)</f>
        <v>114.3149</v>
      </c>
      <c r="D6" s="15">
        <v>852.0</v>
      </c>
      <c r="E6" s="59" t="s">
        <v>18</v>
      </c>
      <c r="F6" s="15">
        <v>8800.0</v>
      </c>
      <c r="G6" s="15">
        <v>8821.0</v>
      </c>
      <c r="H6" s="17">
        <v>4021.0</v>
      </c>
      <c r="I6" s="15">
        <f t="shared" si="1"/>
        <v>21</v>
      </c>
      <c r="J6" s="18">
        <f t="shared" si="2"/>
        <v>0.2386363636</v>
      </c>
      <c r="K6" s="17">
        <v>3.88</v>
      </c>
      <c r="L6" s="19">
        <f t="shared" si="3"/>
        <v>45.69318182</v>
      </c>
      <c r="M6" s="20">
        <f t="shared" si="4"/>
        <v>284.7501021</v>
      </c>
      <c r="N6" s="21">
        <f t="shared" si="5"/>
        <v>2.490927273</v>
      </c>
      <c r="O6" s="21">
        <f t="shared" si="6"/>
        <v>21920.16</v>
      </c>
      <c r="P6" s="22">
        <f t="shared" si="7"/>
        <v>2505800.898</v>
      </c>
      <c r="R6" s="23"/>
      <c r="S6" s="25"/>
      <c r="T6" s="25"/>
      <c r="U6" s="25"/>
      <c r="V6" s="25"/>
      <c r="W6" s="25"/>
      <c r="X6" s="25"/>
      <c r="Y6" s="25"/>
      <c r="Z6" s="25"/>
      <c r="AA6" s="25"/>
    </row>
    <row r="7">
      <c r="A7" s="30">
        <v>45628.0</v>
      </c>
      <c r="B7" s="11">
        <v>45629.0</v>
      </c>
      <c r="C7" s="12">
        <f>VLOOKUP(B:B,'Курс валют'!A:D,4,0)</f>
        <v>112.8019</v>
      </c>
      <c r="D7" s="15">
        <v>853.0</v>
      </c>
      <c r="E7" s="77" t="s">
        <v>67</v>
      </c>
      <c r="F7" s="15">
        <v>900.0</v>
      </c>
      <c r="G7" s="15">
        <v>941.09</v>
      </c>
      <c r="H7" s="17">
        <v>0.0</v>
      </c>
      <c r="I7" s="15">
        <f t="shared" si="1"/>
        <v>41.09</v>
      </c>
      <c r="J7" s="18">
        <f t="shared" si="2"/>
        <v>4.565555556</v>
      </c>
      <c r="K7" s="17">
        <v>2.24</v>
      </c>
      <c r="L7" s="19">
        <f t="shared" si="3"/>
        <v>0</v>
      </c>
      <c r="M7" s="20">
        <f t="shared" si="4"/>
        <v>252.676256</v>
      </c>
      <c r="N7" s="21">
        <f t="shared" si="5"/>
        <v>2.24</v>
      </c>
      <c r="O7" s="21">
        <f t="shared" si="6"/>
        <v>2016</v>
      </c>
      <c r="P7" s="22">
        <f t="shared" si="7"/>
        <v>227408.6304</v>
      </c>
      <c r="R7" s="23"/>
      <c r="S7" s="25"/>
      <c r="T7" s="25"/>
      <c r="U7" s="25"/>
      <c r="V7" s="25"/>
      <c r="W7" s="25"/>
      <c r="X7" s="25"/>
      <c r="Y7" s="25"/>
      <c r="Z7" s="25"/>
      <c r="AA7" s="25"/>
    </row>
    <row r="8">
      <c r="A8" s="30">
        <v>45628.0</v>
      </c>
      <c r="B8" s="11">
        <v>45629.0</v>
      </c>
      <c r="C8" s="12">
        <f>VLOOKUP(B:B,'Курс валют'!A:D,4,0)</f>
        <v>112.8019</v>
      </c>
      <c r="D8" s="15">
        <v>854.0</v>
      </c>
      <c r="E8" s="77" t="s">
        <v>18</v>
      </c>
      <c r="F8" s="15">
        <v>8800.0</v>
      </c>
      <c r="G8" s="15">
        <v>8829.0</v>
      </c>
      <c r="H8" s="17">
        <v>4024.0</v>
      </c>
      <c r="I8" s="15">
        <f t="shared" si="1"/>
        <v>29</v>
      </c>
      <c r="J8" s="18">
        <f t="shared" si="2"/>
        <v>0.3295454545</v>
      </c>
      <c r="K8" s="17">
        <v>3.88</v>
      </c>
      <c r="L8" s="19">
        <f t="shared" si="3"/>
        <v>45.72727273</v>
      </c>
      <c r="M8" s="20">
        <f t="shared" si="4"/>
        <v>280.8644253</v>
      </c>
      <c r="N8" s="21">
        <f t="shared" si="5"/>
        <v>2.489890909</v>
      </c>
      <c r="O8" s="21">
        <f t="shared" si="6"/>
        <v>21911.04</v>
      </c>
      <c r="P8" s="22">
        <f t="shared" si="7"/>
        <v>2471606.943</v>
      </c>
      <c r="R8" s="23"/>
      <c r="S8" s="25"/>
      <c r="T8" s="25"/>
      <c r="U8" s="25"/>
      <c r="V8" s="25"/>
      <c r="W8" s="25"/>
      <c r="X8" s="25"/>
      <c r="Y8" s="25"/>
      <c r="Z8" s="25"/>
      <c r="AA8" s="25"/>
    </row>
    <row r="9">
      <c r="A9" s="154">
        <v>45623.0</v>
      </c>
      <c r="B9" s="89">
        <v>45624.0</v>
      </c>
      <c r="C9" s="12">
        <f>VLOOKUP(B:B,'Курс валют'!A:D,4,0)</f>
        <v>113.0947</v>
      </c>
      <c r="D9" s="15">
        <v>851.0</v>
      </c>
      <c r="E9" s="77" t="s">
        <v>82</v>
      </c>
      <c r="F9" s="15">
        <v>1036.0</v>
      </c>
      <c r="G9" s="15">
        <v>1069.5</v>
      </c>
      <c r="H9" s="17">
        <v>0.0</v>
      </c>
      <c r="I9" s="15">
        <f t="shared" si="1"/>
        <v>33.5</v>
      </c>
      <c r="J9" s="18">
        <f t="shared" si="2"/>
        <v>3.233590734</v>
      </c>
      <c r="K9" s="17">
        <v>2.48</v>
      </c>
      <c r="L9" s="19">
        <f t="shared" si="3"/>
        <v>0</v>
      </c>
      <c r="M9" s="20">
        <f t="shared" si="4"/>
        <v>280.474856</v>
      </c>
      <c r="N9" s="21">
        <f t="shared" si="5"/>
        <v>2.48</v>
      </c>
      <c r="O9" s="21">
        <f t="shared" si="6"/>
        <v>2569.28</v>
      </c>
      <c r="P9" s="22">
        <f t="shared" si="7"/>
        <v>290571.9508</v>
      </c>
      <c r="R9" s="23" t="s">
        <v>2317</v>
      </c>
      <c r="S9" s="25"/>
      <c r="T9" s="25"/>
      <c r="U9" s="25"/>
      <c r="V9" s="25"/>
      <c r="W9" s="25"/>
      <c r="X9" s="25"/>
      <c r="Y9" s="25"/>
      <c r="Z9" s="25"/>
      <c r="AA9" s="25"/>
    </row>
    <row r="10">
      <c r="A10" s="30">
        <v>45629.0</v>
      </c>
      <c r="B10" s="11">
        <v>45630.0</v>
      </c>
      <c r="C10" s="12">
        <f>VLOOKUP(B:B,'Курс валют'!A:D,4,0)</f>
        <v>112.02</v>
      </c>
      <c r="D10" s="15">
        <v>849.0</v>
      </c>
      <c r="E10" s="77" t="s">
        <v>2290</v>
      </c>
      <c r="F10" s="15">
        <v>1000.0</v>
      </c>
      <c r="G10" s="15">
        <v>1065.5</v>
      </c>
      <c r="H10" s="17">
        <v>0.0</v>
      </c>
      <c r="I10" s="15">
        <f t="shared" si="1"/>
        <v>65.5</v>
      </c>
      <c r="J10" s="18">
        <f t="shared" si="2"/>
        <v>6.55</v>
      </c>
      <c r="K10" s="17">
        <v>3.05</v>
      </c>
      <c r="L10" s="19">
        <f t="shared" si="3"/>
        <v>0</v>
      </c>
      <c r="M10" s="20">
        <f t="shared" si="4"/>
        <v>341.661</v>
      </c>
      <c r="N10" s="21">
        <f t="shared" si="5"/>
        <v>3.05</v>
      </c>
      <c r="O10" s="21">
        <f t="shared" si="6"/>
        <v>3050</v>
      </c>
      <c r="P10" s="22">
        <f t="shared" si="7"/>
        <v>341661</v>
      </c>
      <c r="R10" s="79"/>
      <c r="S10" s="25"/>
      <c r="T10" s="25"/>
      <c r="U10" s="25"/>
      <c r="V10" s="25"/>
      <c r="W10" s="25"/>
      <c r="X10" s="25"/>
      <c r="Y10" s="25"/>
      <c r="Z10" s="25"/>
      <c r="AA10" s="25"/>
    </row>
    <row r="11">
      <c r="A11" s="30">
        <v>45629.0</v>
      </c>
      <c r="B11" s="11">
        <v>45630.0</v>
      </c>
      <c r="C11" s="12">
        <f>VLOOKUP(B:B,'Курс валют'!A:D,4,0)</f>
        <v>112.02</v>
      </c>
      <c r="D11" s="15">
        <v>855.0</v>
      </c>
      <c r="E11" s="77" t="s">
        <v>67</v>
      </c>
      <c r="F11" s="15">
        <v>900.0</v>
      </c>
      <c r="G11" s="15">
        <v>938.09</v>
      </c>
      <c r="H11" s="17">
        <v>0.0</v>
      </c>
      <c r="I11" s="15">
        <f t="shared" si="1"/>
        <v>38.09</v>
      </c>
      <c r="J11" s="18">
        <f t="shared" si="2"/>
        <v>4.232222222</v>
      </c>
      <c r="K11" s="17">
        <v>2.22</v>
      </c>
      <c r="L11" s="19">
        <f t="shared" si="3"/>
        <v>0</v>
      </c>
      <c r="M11" s="20">
        <f t="shared" si="4"/>
        <v>248.6844</v>
      </c>
      <c r="N11" s="21">
        <f t="shared" si="5"/>
        <v>2.22</v>
      </c>
      <c r="O11" s="21">
        <f t="shared" si="6"/>
        <v>1998</v>
      </c>
      <c r="P11" s="22">
        <f t="shared" si="7"/>
        <v>223815.96</v>
      </c>
      <c r="R11" s="23"/>
      <c r="S11" s="25"/>
      <c r="T11" s="25"/>
      <c r="U11" s="25"/>
      <c r="V11" s="25"/>
      <c r="W11" s="25"/>
      <c r="X11" s="25"/>
      <c r="Y11" s="25"/>
      <c r="Z11" s="25"/>
      <c r="AA11" s="25"/>
    </row>
    <row r="12">
      <c r="A12" s="30">
        <v>45629.0</v>
      </c>
      <c r="B12" s="11">
        <v>45630.0</v>
      </c>
      <c r="C12" s="12">
        <f>VLOOKUP(B:B,'Курс валют'!A:D,4,0)</f>
        <v>112.02</v>
      </c>
      <c r="D12" s="15">
        <v>856.0</v>
      </c>
      <c r="E12" s="77" t="s">
        <v>18</v>
      </c>
      <c r="F12" s="15">
        <v>4400.0</v>
      </c>
      <c r="G12" s="15">
        <v>4425.0</v>
      </c>
      <c r="H12" s="17">
        <v>2015.0</v>
      </c>
      <c r="I12" s="15">
        <f t="shared" si="1"/>
        <v>25</v>
      </c>
      <c r="J12" s="18">
        <f t="shared" si="2"/>
        <v>0.5681818182</v>
      </c>
      <c r="K12" s="17">
        <v>3.89</v>
      </c>
      <c r="L12" s="19">
        <f t="shared" si="3"/>
        <v>45.79545455</v>
      </c>
      <c r="M12" s="20">
        <f t="shared" si="4"/>
        <v>279.8055927</v>
      </c>
      <c r="N12" s="21">
        <f t="shared" si="5"/>
        <v>2.497818182</v>
      </c>
      <c r="O12" s="21">
        <f t="shared" si="6"/>
        <v>10990.4</v>
      </c>
      <c r="P12" s="22">
        <f t="shared" si="7"/>
        <v>1231144.608</v>
      </c>
      <c r="R12" s="79"/>
      <c r="S12" s="25"/>
      <c r="T12" s="25"/>
      <c r="U12" s="25"/>
      <c r="V12" s="25"/>
      <c r="W12" s="25"/>
      <c r="X12" s="25"/>
      <c r="Y12" s="25"/>
      <c r="Z12" s="25"/>
      <c r="AA12" s="25"/>
    </row>
    <row r="13">
      <c r="A13" s="30">
        <v>45629.0</v>
      </c>
      <c r="B13" s="11">
        <v>45630.0</v>
      </c>
      <c r="C13" s="12">
        <f>VLOOKUP(B:B,'Курс валют'!A:D,4,0)</f>
        <v>112.02</v>
      </c>
      <c r="D13" s="15">
        <v>858.0</v>
      </c>
      <c r="E13" s="15" t="s">
        <v>86</v>
      </c>
      <c r="F13" s="15">
        <v>220.0</v>
      </c>
      <c r="G13" s="15">
        <v>225.0</v>
      </c>
      <c r="H13" s="17">
        <v>75.0</v>
      </c>
      <c r="I13" s="15">
        <f t="shared" si="1"/>
        <v>5</v>
      </c>
      <c r="J13" s="18">
        <f t="shared" si="2"/>
        <v>2.272727273</v>
      </c>
      <c r="K13" s="17">
        <v>3.81</v>
      </c>
      <c r="L13" s="19">
        <f t="shared" si="3"/>
        <v>34.09090909</v>
      </c>
      <c r="M13" s="20">
        <f t="shared" si="4"/>
        <v>310.7027455</v>
      </c>
      <c r="N13" s="21">
        <f t="shared" si="5"/>
        <v>2.773636364</v>
      </c>
      <c r="O13" s="21">
        <f t="shared" si="6"/>
        <v>610.2</v>
      </c>
      <c r="P13" s="22">
        <f t="shared" si="7"/>
        <v>68354.604</v>
      </c>
      <c r="R13" s="31"/>
      <c r="S13" s="25"/>
      <c r="T13" s="25"/>
      <c r="U13" s="25"/>
      <c r="V13" s="25"/>
      <c r="W13" s="25"/>
      <c r="X13" s="25"/>
      <c r="Y13" s="25"/>
      <c r="Z13" s="25"/>
      <c r="AA13" s="25"/>
    </row>
    <row r="14">
      <c r="A14" s="30">
        <v>45630.0</v>
      </c>
      <c r="B14" s="11">
        <v>45631.0</v>
      </c>
      <c r="C14" s="12">
        <f>VLOOKUP(B:B,'Курс валют'!A:D,4,0)</f>
        <v>110.2041</v>
      </c>
      <c r="D14" s="15">
        <v>857.0</v>
      </c>
      <c r="E14" s="59" t="s">
        <v>68</v>
      </c>
      <c r="F14" s="15">
        <v>16000.0</v>
      </c>
      <c r="G14" s="15">
        <v>16080.0</v>
      </c>
      <c r="H14" s="17">
        <v>1527.0</v>
      </c>
      <c r="I14" s="15">
        <f t="shared" si="1"/>
        <v>80</v>
      </c>
      <c r="J14" s="18">
        <f t="shared" si="2"/>
        <v>0.5</v>
      </c>
      <c r="K14" s="17">
        <v>2.3</v>
      </c>
      <c r="L14" s="19">
        <f t="shared" si="3"/>
        <v>9.54375</v>
      </c>
      <c r="M14" s="20">
        <f t="shared" si="4"/>
        <v>221.4959145</v>
      </c>
      <c r="N14" s="21">
        <f t="shared" si="5"/>
        <v>2.00987</v>
      </c>
      <c r="O14" s="21">
        <f t="shared" si="6"/>
        <v>32157.92</v>
      </c>
      <c r="P14" s="22">
        <f t="shared" si="7"/>
        <v>3543934.631</v>
      </c>
      <c r="R14" s="79"/>
      <c r="S14" s="25"/>
      <c r="T14" s="25"/>
      <c r="U14" s="25"/>
      <c r="V14" s="25"/>
      <c r="W14" s="25"/>
      <c r="X14" s="25"/>
      <c r="Y14" s="25"/>
      <c r="Z14" s="25"/>
      <c r="AA14" s="25"/>
    </row>
    <row r="15">
      <c r="A15" s="30">
        <v>45630.0</v>
      </c>
      <c r="B15" s="11">
        <v>45631.0</v>
      </c>
      <c r="C15" s="12">
        <f>VLOOKUP(B:B,'Курс валют'!A:D,4,0)</f>
        <v>110.2041</v>
      </c>
      <c r="D15" s="15">
        <v>859.0</v>
      </c>
      <c r="E15" s="59" t="s">
        <v>67</v>
      </c>
      <c r="F15" s="15">
        <v>900.0</v>
      </c>
      <c r="G15" s="15">
        <v>937.09</v>
      </c>
      <c r="H15" s="17">
        <v>0.0</v>
      </c>
      <c r="I15" s="15">
        <f t="shared" si="1"/>
        <v>37.09</v>
      </c>
      <c r="J15" s="18">
        <f t="shared" si="2"/>
        <v>4.121111111</v>
      </c>
      <c r="K15" s="17">
        <v>2.22</v>
      </c>
      <c r="L15" s="19">
        <f t="shared" si="3"/>
        <v>0</v>
      </c>
      <c r="M15" s="20">
        <f t="shared" si="4"/>
        <v>244.653102</v>
      </c>
      <c r="N15" s="21">
        <f t="shared" si="5"/>
        <v>2.22</v>
      </c>
      <c r="O15" s="21">
        <f t="shared" si="6"/>
        <v>1998</v>
      </c>
      <c r="P15" s="22">
        <f t="shared" si="7"/>
        <v>220187.7918</v>
      </c>
      <c r="R15" s="31"/>
      <c r="S15" s="25"/>
      <c r="T15" s="25"/>
      <c r="U15" s="25"/>
      <c r="V15" s="25"/>
      <c r="W15" s="25"/>
      <c r="X15" s="25"/>
      <c r="Y15" s="25"/>
      <c r="Z15" s="25"/>
      <c r="AA15" s="25"/>
    </row>
    <row r="16">
      <c r="A16" s="30">
        <v>45631.0</v>
      </c>
      <c r="B16" s="11">
        <v>45632.0</v>
      </c>
      <c r="C16" s="12">
        <f>VLOOKUP(B:B,'Курс валют'!A:D,4,0)</f>
        <v>109.7802</v>
      </c>
      <c r="D16" s="15">
        <v>861.0</v>
      </c>
      <c r="E16" s="59" t="s">
        <v>18</v>
      </c>
      <c r="F16" s="15">
        <v>8800.0</v>
      </c>
      <c r="G16" s="15">
        <v>8833.0</v>
      </c>
      <c r="H16" s="17">
        <v>4033.0</v>
      </c>
      <c r="I16" s="15">
        <f t="shared" si="1"/>
        <v>33</v>
      </c>
      <c r="J16" s="18">
        <f t="shared" si="2"/>
        <v>0.375</v>
      </c>
      <c r="K16" s="17">
        <v>3.9</v>
      </c>
      <c r="L16" s="19">
        <f t="shared" si="3"/>
        <v>45.82954545</v>
      </c>
      <c r="M16" s="20">
        <f t="shared" si="4"/>
        <v>275.1950094</v>
      </c>
      <c r="N16" s="21">
        <f t="shared" si="5"/>
        <v>2.506781818</v>
      </c>
      <c r="O16" s="21">
        <f t="shared" si="6"/>
        <v>22059.68</v>
      </c>
      <c r="P16" s="22">
        <f t="shared" si="7"/>
        <v>2421716.082</v>
      </c>
      <c r="R16" s="78"/>
      <c r="S16" s="25"/>
      <c r="T16" s="25"/>
      <c r="U16" s="25"/>
      <c r="V16" s="25"/>
      <c r="W16" s="25"/>
      <c r="X16" s="25"/>
      <c r="Y16" s="25"/>
      <c r="Z16" s="25"/>
      <c r="AA16" s="25"/>
    </row>
    <row r="17">
      <c r="A17" s="30">
        <v>45632.0</v>
      </c>
      <c r="B17" s="11">
        <v>45635.0</v>
      </c>
      <c r="C17" s="12">
        <f>VLOOKUP(B:B,'Курс валют'!A:D,4,0)</f>
        <v>106.304</v>
      </c>
      <c r="D17" s="15">
        <v>863.0</v>
      </c>
      <c r="E17" s="59" t="s">
        <v>18</v>
      </c>
      <c r="F17" s="15">
        <v>8800.0</v>
      </c>
      <c r="G17" s="15">
        <v>8823.0</v>
      </c>
      <c r="H17" s="17">
        <v>4023.0</v>
      </c>
      <c r="I17" s="15">
        <f t="shared" si="1"/>
        <v>23</v>
      </c>
      <c r="J17" s="18">
        <f t="shared" si="2"/>
        <v>0.2613636364</v>
      </c>
      <c r="K17" s="17">
        <v>3.92</v>
      </c>
      <c r="L17" s="19">
        <f t="shared" si="3"/>
        <v>45.71590909</v>
      </c>
      <c r="M17" s="20">
        <f t="shared" si="4"/>
        <v>268.9742464</v>
      </c>
      <c r="N17" s="21">
        <f t="shared" si="5"/>
        <v>2.530236364</v>
      </c>
      <c r="O17" s="21">
        <f t="shared" si="6"/>
        <v>22266.08</v>
      </c>
      <c r="P17" s="22">
        <f t="shared" si="7"/>
        <v>2366973.368</v>
      </c>
      <c r="R17" s="23"/>
      <c r="S17" s="25"/>
      <c r="T17" s="25"/>
      <c r="U17" s="25"/>
      <c r="V17" s="25"/>
      <c r="W17" s="25"/>
      <c r="X17" s="25"/>
      <c r="Y17" s="25"/>
      <c r="Z17" s="25"/>
      <c r="AA17" s="25"/>
    </row>
    <row r="18">
      <c r="A18" s="30">
        <v>45632.0</v>
      </c>
      <c r="B18" s="11">
        <v>45635.0</v>
      </c>
      <c r="C18" s="12">
        <f>VLOOKUP(B:B,'Курс валют'!A:D,4,0)</f>
        <v>106.304</v>
      </c>
      <c r="D18" s="15">
        <v>860.0</v>
      </c>
      <c r="E18" s="59" t="s">
        <v>87</v>
      </c>
      <c r="F18" s="15">
        <v>900.0</v>
      </c>
      <c r="G18" s="15">
        <v>933.203</v>
      </c>
      <c r="H18" s="58">
        <v>0.0</v>
      </c>
      <c r="I18" s="15">
        <f t="shared" si="1"/>
        <v>33.203</v>
      </c>
      <c r="J18" s="18">
        <f t="shared" si="2"/>
        <v>3.689222222</v>
      </c>
      <c r="K18" s="17">
        <v>2.18</v>
      </c>
      <c r="L18" s="19">
        <f t="shared" si="3"/>
        <v>0</v>
      </c>
      <c r="M18" s="20">
        <f t="shared" si="4"/>
        <v>231.74272</v>
      </c>
      <c r="N18" s="21">
        <f t="shared" si="5"/>
        <v>2.18</v>
      </c>
      <c r="O18" s="21">
        <f t="shared" si="6"/>
        <v>1962</v>
      </c>
      <c r="P18" s="22">
        <f t="shared" si="7"/>
        <v>208568.448</v>
      </c>
      <c r="R18" s="31"/>
      <c r="S18" s="25"/>
      <c r="T18" s="25"/>
      <c r="U18" s="25"/>
      <c r="V18" s="25"/>
      <c r="W18" s="25"/>
      <c r="X18" s="25"/>
      <c r="Y18" s="25"/>
      <c r="Z18" s="25"/>
      <c r="AA18" s="25"/>
    </row>
    <row r="19">
      <c r="A19" s="30">
        <v>45632.0</v>
      </c>
      <c r="B19" s="11">
        <v>45635.0</v>
      </c>
      <c r="C19" s="12">
        <f>VLOOKUP(B:B,'Курс валют'!A:D,4,0)</f>
        <v>106.304</v>
      </c>
      <c r="D19" s="15">
        <v>862.0</v>
      </c>
      <c r="E19" s="59" t="s">
        <v>69</v>
      </c>
      <c r="F19" s="15">
        <v>16000.0</v>
      </c>
      <c r="G19" s="15">
        <v>16029.0</v>
      </c>
      <c r="H19" s="17">
        <v>1517.0</v>
      </c>
      <c r="I19" s="15">
        <f t="shared" si="1"/>
        <v>29</v>
      </c>
      <c r="J19" s="18">
        <f t="shared" si="2"/>
        <v>0.18125</v>
      </c>
      <c r="K19" s="17">
        <v>2.27</v>
      </c>
      <c r="L19" s="19">
        <f t="shared" si="3"/>
        <v>9.48125</v>
      </c>
      <c r="M19" s="20">
        <f t="shared" si="4"/>
        <v>210.6700781</v>
      </c>
      <c r="N19" s="21">
        <f t="shared" si="5"/>
        <v>1.98177</v>
      </c>
      <c r="O19" s="21">
        <f t="shared" si="6"/>
        <v>31708.32</v>
      </c>
      <c r="P19" s="22">
        <f t="shared" si="7"/>
        <v>3370721.249</v>
      </c>
      <c r="R19" s="78"/>
      <c r="S19" s="25"/>
      <c r="T19" s="25"/>
      <c r="U19" s="25"/>
      <c r="V19" s="25"/>
      <c r="W19" s="25"/>
      <c r="X19" s="25"/>
      <c r="Y19" s="25"/>
      <c r="Z19" s="25"/>
      <c r="AA19" s="25"/>
    </row>
    <row r="20">
      <c r="A20" s="30">
        <v>45632.0</v>
      </c>
      <c r="B20" s="11">
        <v>45635.0</v>
      </c>
      <c r="C20" s="12">
        <f>VLOOKUP(B:B,'Курс валют'!A:D,4,0)</f>
        <v>106.304</v>
      </c>
      <c r="D20" s="15">
        <v>864.0</v>
      </c>
      <c r="E20" s="59" t="s">
        <v>69</v>
      </c>
      <c r="F20" s="15">
        <v>8000.0</v>
      </c>
      <c r="G20" s="15">
        <v>8017.0</v>
      </c>
      <c r="H20" s="17">
        <v>760.0</v>
      </c>
      <c r="I20" s="15">
        <f t="shared" si="1"/>
        <v>17</v>
      </c>
      <c r="J20" s="18">
        <f t="shared" si="2"/>
        <v>0.2125</v>
      </c>
      <c r="K20" s="17">
        <v>2.27</v>
      </c>
      <c r="L20" s="19">
        <f t="shared" si="3"/>
        <v>9.5</v>
      </c>
      <c r="M20" s="20">
        <f t="shared" si="4"/>
        <v>210.6094848</v>
      </c>
      <c r="N20" s="21">
        <f t="shared" si="5"/>
        <v>1.9812</v>
      </c>
      <c r="O20" s="21">
        <f t="shared" si="6"/>
        <v>15849.6</v>
      </c>
      <c r="P20" s="22">
        <f t="shared" si="7"/>
        <v>1684875.878</v>
      </c>
      <c r="R20" s="23"/>
      <c r="S20" s="25"/>
      <c r="T20" s="25"/>
      <c r="U20" s="25"/>
      <c r="V20" s="25"/>
      <c r="W20" s="25"/>
      <c r="X20" s="25"/>
      <c r="Y20" s="25"/>
      <c r="Z20" s="25"/>
      <c r="AA20" s="25"/>
    </row>
    <row r="21">
      <c r="A21" s="30">
        <v>45632.0</v>
      </c>
      <c r="B21" s="11">
        <v>45635.0</v>
      </c>
      <c r="C21" s="12">
        <f>VLOOKUP(B:B,'Курс валют'!A:D,4,0)</f>
        <v>106.304</v>
      </c>
      <c r="D21" s="15">
        <v>865.0</v>
      </c>
      <c r="E21" s="77" t="s">
        <v>71</v>
      </c>
      <c r="F21" s="15">
        <v>8000.0</v>
      </c>
      <c r="G21" s="15">
        <v>8024.0</v>
      </c>
      <c r="H21" s="17">
        <v>760.0</v>
      </c>
      <c r="I21" s="15">
        <f t="shared" si="1"/>
        <v>24</v>
      </c>
      <c r="J21" s="18">
        <f t="shared" si="2"/>
        <v>0.3</v>
      </c>
      <c r="K21" s="17">
        <v>2.31</v>
      </c>
      <c r="L21" s="19">
        <f t="shared" si="3"/>
        <v>9.5</v>
      </c>
      <c r="M21" s="20">
        <f t="shared" si="4"/>
        <v>214.8616448</v>
      </c>
      <c r="N21" s="21">
        <f t="shared" si="5"/>
        <v>2.0212</v>
      </c>
      <c r="O21" s="21">
        <f t="shared" si="6"/>
        <v>16169.6</v>
      </c>
      <c r="P21" s="22">
        <f t="shared" si="7"/>
        <v>1718893.158</v>
      </c>
      <c r="R21" s="78"/>
      <c r="S21" s="25"/>
      <c r="T21" s="25"/>
      <c r="U21" s="25"/>
      <c r="V21" s="25"/>
      <c r="W21" s="25"/>
      <c r="X21" s="25"/>
      <c r="Y21" s="25"/>
      <c r="Z21" s="25"/>
      <c r="AA21" s="25"/>
    </row>
    <row r="22">
      <c r="A22" s="30">
        <v>45635.0</v>
      </c>
      <c r="B22" s="11">
        <v>45636.0</v>
      </c>
      <c r="C22" s="12">
        <f>VLOOKUP(B:B,'Курс валют'!A:D,4,0)</f>
        <v>105.0996</v>
      </c>
      <c r="D22" s="15">
        <v>866.0</v>
      </c>
      <c r="E22" s="77" t="s">
        <v>18</v>
      </c>
      <c r="F22" s="15">
        <v>8800.0</v>
      </c>
      <c r="G22" s="15">
        <v>8823.0</v>
      </c>
      <c r="H22" s="17">
        <v>4023.0</v>
      </c>
      <c r="I22" s="15">
        <f t="shared" si="1"/>
        <v>23</v>
      </c>
      <c r="J22" s="18">
        <f t="shared" si="2"/>
        <v>0.2613636364</v>
      </c>
      <c r="K22" s="17">
        <v>3.89</v>
      </c>
      <c r="L22" s="19">
        <f t="shared" si="3"/>
        <v>45.71590909</v>
      </c>
      <c r="M22" s="20">
        <f t="shared" si="4"/>
        <v>262.7738417</v>
      </c>
      <c r="N22" s="21">
        <f t="shared" si="5"/>
        <v>2.500236364</v>
      </c>
      <c r="O22" s="21">
        <f t="shared" si="6"/>
        <v>22002.08</v>
      </c>
      <c r="P22" s="22">
        <f t="shared" si="7"/>
        <v>2312409.807</v>
      </c>
      <c r="R22" s="23"/>
      <c r="S22" s="25"/>
      <c r="T22" s="25"/>
      <c r="U22" s="25"/>
      <c r="V22" s="25"/>
      <c r="W22" s="25"/>
      <c r="X22" s="25"/>
      <c r="Y22" s="25"/>
      <c r="Z22" s="25"/>
      <c r="AA22" s="25"/>
    </row>
    <row r="23">
      <c r="A23" s="30">
        <v>45606.0</v>
      </c>
      <c r="B23" s="11">
        <v>45637.0</v>
      </c>
      <c r="C23" s="12">
        <f>VLOOKUP(B:B,'Курс валют'!A:D,4,0)</f>
        <v>106.2024</v>
      </c>
      <c r="D23" s="15">
        <v>867.0</v>
      </c>
      <c r="E23" s="59" t="s">
        <v>1948</v>
      </c>
      <c r="F23" s="15">
        <v>1000.0</v>
      </c>
      <c r="G23" s="15">
        <v>1045.3</v>
      </c>
      <c r="H23" s="17">
        <v>0.0</v>
      </c>
      <c r="I23" s="15">
        <f t="shared" si="1"/>
        <v>45.3</v>
      </c>
      <c r="J23" s="18">
        <f t="shared" si="2"/>
        <v>4.53</v>
      </c>
      <c r="K23" s="17">
        <v>2.36</v>
      </c>
      <c r="L23" s="19">
        <f t="shared" si="3"/>
        <v>0</v>
      </c>
      <c r="M23" s="20">
        <f t="shared" si="4"/>
        <v>250.637664</v>
      </c>
      <c r="N23" s="21">
        <f t="shared" si="5"/>
        <v>2.36</v>
      </c>
      <c r="O23" s="21">
        <f t="shared" si="6"/>
        <v>2360</v>
      </c>
      <c r="P23" s="22">
        <f t="shared" si="7"/>
        <v>250637.664</v>
      </c>
      <c r="R23" s="23"/>
      <c r="S23" s="25"/>
      <c r="T23" s="25"/>
      <c r="U23" s="25"/>
      <c r="V23" s="25"/>
      <c r="W23" s="25"/>
      <c r="X23" s="25"/>
      <c r="Y23" s="25"/>
      <c r="Z23" s="25"/>
      <c r="AA23" s="25"/>
    </row>
    <row r="24">
      <c r="A24" s="30">
        <v>45606.0</v>
      </c>
      <c r="B24" s="11">
        <v>45637.0</v>
      </c>
      <c r="C24" s="12">
        <f>VLOOKUP(B:B,'Курс валют'!A:D,4,0)</f>
        <v>106.2024</v>
      </c>
      <c r="D24" s="15">
        <v>868.0</v>
      </c>
      <c r="E24" s="59" t="s">
        <v>18</v>
      </c>
      <c r="F24" s="15">
        <v>8800.0</v>
      </c>
      <c r="G24" s="15">
        <v>8845.0</v>
      </c>
      <c r="H24" s="17">
        <v>4020.0</v>
      </c>
      <c r="I24" s="15">
        <f t="shared" si="1"/>
        <v>45</v>
      </c>
      <c r="J24" s="18">
        <f t="shared" si="2"/>
        <v>0.5113636364</v>
      </c>
      <c r="K24" s="17">
        <v>3.64</v>
      </c>
      <c r="L24" s="19">
        <f t="shared" si="3"/>
        <v>45.68181818</v>
      </c>
      <c r="M24" s="20">
        <f t="shared" si="4"/>
        <v>239.0905667</v>
      </c>
      <c r="N24" s="21">
        <f t="shared" si="5"/>
        <v>2.251272727</v>
      </c>
      <c r="O24" s="21">
        <f t="shared" si="6"/>
        <v>19811.2</v>
      </c>
      <c r="P24" s="22">
        <f t="shared" si="7"/>
        <v>2103996.987</v>
      </c>
      <c r="R24" s="23"/>
      <c r="S24" s="25"/>
      <c r="T24" s="25"/>
      <c r="U24" s="25"/>
      <c r="V24" s="25"/>
      <c r="W24" s="25"/>
      <c r="X24" s="25"/>
      <c r="Y24" s="25"/>
      <c r="Z24" s="25"/>
      <c r="AA24" s="25"/>
    </row>
    <row r="25">
      <c r="A25" s="30">
        <v>45637.0</v>
      </c>
      <c r="B25" s="11">
        <v>45638.0</v>
      </c>
      <c r="C25" s="12">
        <f>VLOOKUP(B:B,'Курс валют'!A:D,4,0)</f>
        <v>108.5588</v>
      </c>
      <c r="D25" s="15">
        <v>870.0</v>
      </c>
      <c r="E25" s="59" t="s">
        <v>88</v>
      </c>
      <c r="F25" s="15">
        <v>7568.4</v>
      </c>
      <c r="G25" s="15">
        <v>7568.4</v>
      </c>
      <c r="H25" s="17">
        <v>0.0</v>
      </c>
      <c r="I25" s="15">
        <f t="shared" si="1"/>
        <v>0</v>
      </c>
      <c r="J25" s="18">
        <f t="shared" si="2"/>
        <v>0</v>
      </c>
      <c r="K25" s="17">
        <v>2.49</v>
      </c>
      <c r="L25" s="19">
        <f t="shared" si="3"/>
        <v>0</v>
      </c>
      <c r="M25" s="20">
        <f t="shared" si="4"/>
        <v>270.311412</v>
      </c>
      <c r="N25" s="21">
        <f t="shared" si="5"/>
        <v>2.49</v>
      </c>
      <c r="O25" s="21">
        <f t="shared" si="6"/>
        <v>18845.316</v>
      </c>
      <c r="P25" s="22">
        <f t="shared" si="7"/>
        <v>2045824.891</v>
      </c>
      <c r="R25" s="23" t="s">
        <v>2305</v>
      </c>
      <c r="S25" s="25"/>
      <c r="T25" s="25"/>
      <c r="U25" s="25"/>
      <c r="V25" s="25"/>
      <c r="W25" s="25"/>
      <c r="X25" s="25"/>
      <c r="Y25" s="25"/>
      <c r="Z25" s="25"/>
      <c r="AA25" s="25"/>
    </row>
    <row r="26">
      <c r="A26" s="30">
        <v>45637.0</v>
      </c>
      <c r="B26" s="11">
        <v>45638.0</v>
      </c>
      <c r="C26" s="12">
        <f>VLOOKUP(B:B,'Курс валют'!A:D,4,0)</f>
        <v>108.5588</v>
      </c>
      <c r="D26" s="15">
        <v>869.0</v>
      </c>
      <c r="E26" s="59" t="s">
        <v>1948</v>
      </c>
      <c r="F26" s="15">
        <v>1000.0</v>
      </c>
      <c r="G26" s="15">
        <v>1047.3</v>
      </c>
      <c r="H26" s="17">
        <v>0.0</v>
      </c>
      <c r="I26" s="15">
        <f t="shared" si="1"/>
        <v>47.3</v>
      </c>
      <c r="J26" s="18">
        <f t="shared" si="2"/>
        <v>4.73</v>
      </c>
      <c r="K26" s="17">
        <v>2.32</v>
      </c>
      <c r="L26" s="19">
        <f t="shared" si="3"/>
        <v>0</v>
      </c>
      <c r="M26" s="20">
        <f t="shared" si="4"/>
        <v>251.856416</v>
      </c>
      <c r="N26" s="21">
        <f t="shared" si="5"/>
        <v>2.32</v>
      </c>
      <c r="O26" s="21">
        <f t="shared" si="6"/>
        <v>2320</v>
      </c>
      <c r="P26" s="22">
        <f t="shared" si="7"/>
        <v>251856.416</v>
      </c>
      <c r="R26" s="23"/>
      <c r="S26" s="25"/>
      <c r="T26" s="25"/>
      <c r="U26" s="25"/>
      <c r="V26" s="25"/>
      <c r="W26" s="25"/>
      <c r="X26" s="25"/>
      <c r="Y26" s="25"/>
      <c r="Z26" s="25"/>
      <c r="AA26" s="25"/>
    </row>
    <row r="27">
      <c r="A27" s="30">
        <v>45637.0</v>
      </c>
      <c r="B27" s="11">
        <v>45638.0</v>
      </c>
      <c r="C27" s="12">
        <f>VLOOKUP(B:B,'Курс валют'!A:D,4,0)</f>
        <v>108.5588</v>
      </c>
      <c r="D27" s="15">
        <v>871.0</v>
      </c>
      <c r="E27" s="59" t="s">
        <v>18</v>
      </c>
      <c r="F27" s="15">
        <v>8800.0</v>
      </c>
      <c r="G27" s="15">
        <v>8842.0</v>
      </c>
      <c r="H27" s="17">
        <v>4017.0</v>
      </c>
      <c r="I27" s="15">
        <f t="shared" si="1"/>
        <v>42</v>
      </c>
      <c r="J27" s="18">
        <f t="shared" si="2"/>
        <v>0.4772727273</v>
      </c>
      <c r="K27" s="17">
        <v>3.64</v>
      </c>
      <c r="L27" s="19">
        <f t="shared" si="3"/>
        <v>45.64772727</v>
      </c>
      <c r="M27" s="20">
        <f t="shared" si="4"/>
        <v>244.5079721</v>
      </c>
      <c r="N27" s="21">
        <f t="shared" si="5"/>
        <v>2.252309091</v>
      </c>
      <c r="O27" s="21">
        <f t="shared" si="6"/>
        <v>19820.32</v>
      </c>
      <c r="P27" s="22">
        <f t="shared" si="7"/>
        <v>2151670.155</v>
      </c>
      <c r="R27" s="23"/>
      <c r="S27" s="25"/>
      <c r="T27" s="25"/>
      <c r="U27" s="25"/>
      <c r="V27" s="25"/>
      <c r="W27" s="25"/>
      <c r="X27" s="25"/>
      <c r="Y27" s="25"/>
      <c r="Z27" s="25"/>
      <c r="AA27" s="25"/>
    </row>
    <row r="28">
      <c r="A28" s="30">
        <v>45637.0</v>
      </c>
      <c r="B28" s="11">
        <v>45638.0</v>
      </c>
      <c r="C28" s="12">
        <f>VLOOKUP(B:B,'Курс валют'!A:D,4,0)</f>
        <v>108.5588</v>
      </c>
      <c r="D28" s="15">
        <v>872.0</v>
      </c>
      <c r="E28" s="77" t="s">
        <v>1948</v>
      </c>
      <c r="F28" s="76">
        <v>1000.0</v>
      </c>
      <c r="G28" s="76">
        <v>1045.2</v>
      </c>
      <c r="H28" s="58">
        <v>0.0</v>
      </c>
      <c r="I28" s="15">
        <f t="shared" si="1"/>
        <v>45.2</v>
      </c>
      <c r="J28" s="18">
        <f t="shared" si="2"/>
        <v>4.52</v>
      </c>
      <c r="K28" s="58">
        <v>2.32</v>
      </c>
      <c r="L28" s="19">
        <f t="shared" si="3"/>
        <v>0</v>
      </c>
      <c r="M28" s="20">
        <f t="shared" si="4"/>
        <v>251.856416</v>
      </c>
      <c r="N28" s="21">
        <f t="shared" si="5"/>
        <v>2.32</v>
      </c>
      <c r="O28" s="21">
        <f t="shared" si="6"/>
        <v>2320</v>
      </c>
      <c r="P28" s="22">
        <f t="shared" si="7"/>
        <v>251856.416</v>
      </c>
      <c r="R28" s="23"/>
      <c r="S28" s="25"/>
      <c r="T28" s="25"/>
      <c r="U28" s="25"/>
      <c r="V28" s="25"/>
      <c r="W28" s="25"/>
      <c r="X28" s="25"/>
      <c r="Y28" s="25"/>
      <c r="Z28" s="25"/>
      <c r="AA28" s="25"/>
    </row>
    <row r="29">
      <c r="A29" s="30">
        <v>45638.0</v>
      </c>
      <c r="B29" s="11">
        <v>45639.0</v>
      </c>
      <c r="C29" s="12">
        <f>VLOOKUP(B:B,'Курс валют'!A:D,4,0)</f>
        <v>110.4804</v>
      </c>
      <c r="D29" s="15">
        <v>873.0</v>
      </c>
      <c r="E29" s="77" t="s">
        <v>18</v>
      </c>
      <c r="F29" s="15">
        <v>6600.0</v>
      </c>
      <c r="G29" s="15">
        <v>6645.0</v>
      </c>
      <c r="H29" s="17">
        <v>3029.0</v>
      </c>
      <c r="I29" s="15">
        <f t="shared" si="1"/>
        <v>45</v>
      </c>
      <c r="J29" s="18">
        <f t="shared" si="2"/>
        <v>0.6818181818</v>
      </c>
      <c r="K29" s="17">
        <v>3.65</v>
      </c>
      <c r="L29" s="19">
        <f t="shared" si="3"/>
        <v>45.89393939</v>
      </c>
      <c r="M29" s="20">
        <f t="shared" si="4"/>
        <v>249.1138842</v>
      </c>
      <c r="N29" s="21">
        <f t="shared" si="5"/>
        <v>2.254824242</v>
      </c>
      <c r="O29" s="21">
        <f t="shared" si="6"/>
        <v>14881.84</v>
      </c>
      <c r="P29" s="22">
        <f t="shared" si="7"/>
        <v>1644151.636</v>
      </c>
      <c r="R29" s="23"/>
      <c r="S29" s="25"/>
      <c r="T29" s="25"/>
      <c r="U29" s="25"/>
      <c r="V29" s="25"/>
      <c r="W29" s="25"/>
      <c r="X29" s="25"/>
      <c r="Y29" s="25"/>
      <c r="Z29" s="25"/>
      <c r="AA29" s="25"/>
    </row>
    <row r="30">
      <c r="A30" s="30">
        <v>45638.0</v>
      </c>
      <c r="B30" s="11">
        <v>45639.0</v>
      </c>
      <c r="C30" s="12">
        <f>VLOOKUP(B:B,'Курс валют'!A:D,4,0)</f>
        <v>110.4804</v>
      </c>
      <c r="D30" s="15">
        <v>875.0</v>
      </c>
      <c r="E30" s="77" t="s">
        <v>71</v>
      </c>
      <c r="F30" s="15">
        <v>800.0</v>
      </c>
      <c r="G30" s="13">
        <v>802.0</v>
      </c>
      <c r="H30" s="17">
        <v>75.0</v>
      </c>
      <c r="I30" s="15">
        <f t="shared" si="1"/>
        <v>2</v>
      </c>
      <c r="J30" s="18">
        <f t="shared" si="2"/>
        <v>0.25</v>
      </c>
      <c r="K30" s="17">
        <v>2.3</v>
      </c>
      <c r="L30" s="19">
        <f t="shared" si="3"/>
        <v>9.375</v>
      </c>
      <c r="M30" s="20">
        <f t="shared" si="4"/>
        <v>222.618006</v>
      </c>
      <c r="N30" s="21">
        <f t="shared" si="5"/>
        <v>2.015</v>
      </c>
      <c r="O30" s="21">
        <f t="shared" si="6"/>
        <v>1612</v>
      </c>
      <c r="P30" s="22">
        <f t="shared" si="7"/>
        <v>178094.4048</v>
      </c>
      <c r="R30" s="79"/>
      <c r="S30" s="25"/>
      <c r="T30" s="25"/>
      <c r="U30" s="25"/>
      <c r="V30" s="25"/>
      <c r="W30" s="25"/>
      <c r="X30" s="25"/>
      <c r="Y30" s="25"/>
      <c r="Z30" s="25"/>
      <c r="AA30" s="25"/>
    </row>
    <row r="31">
      <c r="A31" s="30">
        <v>45637.0</v>
      </c>
      <c r="B31" s="11">
        <v>45638.0</v>
      </c>
      <c r="C31" s="12">
        <f>VLOOKUP(B:B,'Курс валют'!A:D,4,0)</f>
        <v>108.5588</v>
      </c>
      <c r="D31" s="15">
        <v>874.0</v>
      </c>
      <c r="E31" s="59" t="s">
        <v>1948</v>
      </c>
      <c r="F31" s="15">
        <v>1000.0</v>
      </c>
      <c r="G31" s="13">
        <v>1042.3</v>
      </c>
      <c r="H31" s="17">
        <v>0.0</v>
      </c>
      <c r="I31" s="15">
        <f t="shared" si="1"/>
        <v>42.3</v>
      </c>
      <c r="J31" s="18">
        <f t="shared" si="2"/>
        <v>4.23</v>
      </c>
      <c r="K31" s="17">
        <v>2.36</v>
      </c>
      <c r="L31" s="19">
        <f t="shared" si="3"/>
        <v>0</v>
      </c>
      <c r="M31" s="20">
        <f t="shared" si="4"/>
        <v>256.198768</v>
      </c>
      <c r="N31" s="21">
        <f t="shared" si="5"/>
        <v>2.36</v>
      </c>
      <c r="O31" s="21">
        <f t="shared" si="6"/>
        <v>2360</v>
      </c>
      <c r="P31" s="22">
        <f t="shared" si="7"/>
        <v>256198.768</v>
      </c>
      <c r="R31" s="78"/>
      <c r="S31" s="25"/>
      <c r="T31" s="25"/>
      <c r="U31" s="25"/>
      <c r="V31" s="25"/>
      <c r="W31" s="25"/>
      <c r="X31" s="25"/>
      <c r="Y31" s="25"/>
      <c r="Z31" s="25"/>
      <c r="AA31" s="25"/>
    </row>
    <row r="32">
      <c r="A32" s="30">
        <v>45638.0</v>
      </c>
      <c r="B32" s="11">
        <v>45639.0</v>
      </c>
      <c r="C32" s="12">
        <f>VLOOKUP(B:B,'Курс валют'!A:D,4,0)</f>
        <v>110.4804</v>
      </c>
      <c r="D32" s="15">
        <v>876.0</v>
      </c>
      <c r="E32" s="59" t="s">
        <v>18</v>
      </c>
      <c r="F32" s="15">
        <v>8800.0</v>
      </c>
      <c r="G32" s="13">
        <v>8844.0</v>
      </c>
      <c r="H32" s="17">
        <v>4025.0</v>
      </c>
      <c r="I32" s="15">
        <f t="shared" si="1"/>
        <v>44</v>
      </c>
      <c r="J32" s="18">
        <f t="shared" si="2"/>
        <v>0.5</v>
      </c>
      <c r="K32" s="17">
        <v>3.64</v>
      </c>
      <c r="L32" s="19">
        <f t="shared" si="3"/>
        <v>45.73863636</v>
      </c>
      <c r="M32" s="20">
        <f t="shared" si="4"/>
        <v>248.5306816</v>
      </c>
      <c r="N32" s="21">
        <f t="shared" si="5"/>
        <v>2.249545455</v>
      </c>
      <c r="O32" s="21">
        <f t="shared" si="6"/>
        <v>19796</v>
      </c>
      <c r="P32" s="22">
        <f t="shared" si="7"/>
        <v>2187069.998</v>
      </c>
      <c r="R32" s="78"/>
      <c r="S32" s="25"/>
      <c r="T32" s="25"/>
      <c r="U32" s="25"/>
      <c r="V32" s="25"/>
      <c r="W32" s="25"/>
      <c r="X32" s="25"/>
      <c r="Y32" s="25"/>
      <c r="Z32" s="25"/>
      <c r="AA32" s="25"/>
    </row>
    <row r="33">
      <c r="A33" s="30">
        <v>45638.0</v>
      </c>
      <c r="B33" s="11">
        <v>45639.0</v>
      </c>
      <c r="C33" s="12">
        <f>VLOOKUP(B:B,'Курс валют'!A:D,4,0)</f>
        <v>110.4804</v>
      </c>
      <c r="D33" s="15">
        <v>877.0</v>
      </c>
      <c r="E33" s="59" t="s">
        <v>1948</v>
      </c>
      <c r="F33" s="15">
        <v>1000.0</v>
      </c>
      <c r="G33" s="13">
        <v>1044.3</v>
      </c>
      <c r="H33" s="17">
        <v>0.0</v>
      </c>
      <c r="I33" s="15">
        <f t="shared" si="1"/>
        <v>44.3</v>
      </c>
      <c r="J33" s="18">
        <f t="shared" si="2"/>
        <v>4.43</v>
      </c>
      <c r="K33" s="17">
        <v>2.4</v>
      </c>
      <c r="L33" s="19">
        <f t="shared" si="3"/>
        <v>0</v>
      </c>
      <c r="M33" s="20">
        <f t="shared" si="4"/>
        <v>265.15296</v>
      </c>
      <c r="N33" s="21">
        <f t="shared" si="5"/>
        <v>2.4</v>
      </c>
      <c r="O33" s="21">
        <f t="shared" si="6"/>
        <v>2400</v>
      </c>
      <c r="P33" s="22">
        <f t="shared" si="7"/>
        <v>265152.96</v>
      </c>
      <c r="R33" s="78"/>
      <c r="S33" s="25"/>
      <c r="T33" s="25"/>
      <c r="U33" s="25"/>
      <c r="V33" s="25"/>
      <c r="W33" s="25"/>
      <c r="X33" s="25"/>
      <c r="Y33" s="25"/>
      <c r="Z33" s="25"/>
      <c r="AA33" s="25"/>
    </row>
    <row r="34">
      <c r="A34" s="30">
        <v>45639.0</v>
      </c>
      <c r="B34" s="11">
        <v>45640.0</v>
      </c>
      <c r="C34" s="12">
        <f>VLOOKUP(B:B,'Курс валют'!A:D,4,0)</f>
        <v>109.0126</v>
      </c>
      <c r="D34" s="15">
        <v>879.0</v>
      </c>
      <c r="E34" s="59" t="s">
        <v>87</v>
      </c>
      <c r="F34" s="15">
        <v>900.0</v>
      </c>
      <c r="G34" s="13">
        <v>944.203</v>
      </c>
      <c r="H34" s="17">
        <v>0.0</v>
      </c>
      <c r="I34" s="15">
        <f t="shared" si="1"/>
        <v>44.203</v>
      </c>
      <c r="J34" s="18">
        <f t="shared" si="2"/>
        <v>4.911444444</v>
      </c>
      <c r="K34" s="17">
        <v>2.22</v>
      </c>
      <c r="L34" s="19">
        <f t="shared" si="3"/>
        <v>0</v>
      </c>
      <c r="M34" s="20">
        <f t="shared" si="4"/>
        <v>242.007972</v>
      </c>
      <c r="N34" s="21">
        <f t="shared" si="5"/>
        <v>2.22</v>
      </c>
      <c r="O34" s="21">
        <f t="shared" si="6"/>
        <v>1998</v>
      </c>
      <c r="P34" s="22">
        <f t="shared" si="7"/>
        <v>217807.1748</v>
      </c>
      <c r="R34" s="78"/>
      <c r="S34" s="25"/>
      <c r="T34" s="25"/>
      <c r="U34" s="25"/>
      <c r="V34" s="25"/>
      <c r="W34" s="25"/>
      <c r="X34" s="25"/>
      <c r="Y34" s="25"/>
      <c r="Z34" s="25"/>
      <c r="AA34" s="25"/>
    </row>
    <row r="35">
      <c r="A35" s="30">
        <v>45639.0</v>
      </c>
      <c r="B35" s="11">
        <v>45640.0</v>
      </c>
      <c r="C35" s="12">
        <f>VLOOKUP(B:B,'Курс валют'!A:D,4,0)</f>
        <v>109.0126</v>
      </c>
      <c r="D35" s="15">
        <v>880.0</v>
      </c>
      <c r="E35" s="59" t="s">
        <v>87</v>
      </c>
      <c r="F35" s="15">
        <v>900.0</v>
      </c>
      <c r="G35" s="13">
        <v>939.203</v>
      </c>
      <c r="H35" s="17">
        <v>0.0</v>
      </c>
      <c r="I35" s="15">
        <f t="shared" si="1"/>
        <v>39.203</v>
      </c>
      <c r="J35" s="18">
        <f t="shared" si="2"/>
        <v>4.355888889</v>
      </c>
      <c r="K35" s="17">
        <v>2.22</v>
      </c>
      <c r="L35" s="19">
        <f t="shared" si="3"/>
        <v>0</v>
      </c>
      <c r="M35" s="20">
        <f t="shared" si="4"/>
        <v>242.007972</v>
      </c>
      <c r="N35" s="21">
        <f t="shared" si="5"/>
        <v>2.22</v>
      </c>
      <c r="O35" s="21">
        <f t="shared" si="6"/>
        <v>1998</v>
      </c>
      <c r="P35" s="22">
        <f t="shared" si="7"/>
        <v>217807.1748</v>
      </c>
      <c r="R35" s="79"/>
      <c r="S35" s="25"/>
      <c r="T35" s="25"/>
      <c r="U35" s="25"/>
      <c r="V35" s="25"/>
      <c r="W35" s="25"/>
      <c r="X35" s="25"/>
      <c r="Y35" s="25"/>
      <c r="Z35" s="25"/>
      <c r="AA35" s="25"/>
    </row>
    <row r="36">
      <c r="A36" s="155">
        <v>45639.0</v>
      </c>
      <c r="B36" s="83">
        <v>45640.0</v>
      </c>
      <c r="C36" s="156">
        <f>VLOOKUP(B:B,'Курс валют'!A:D,4,0)</f>
        <v>109.0126</v>
      </c>
      <c r="D36" s="157">
        <v>878.0</v>
      </c>
      <c r="E36" s="158" t="s">
        <v>18</v>
      </c>
      <c r="F36" s="157">
        <v>3300.0</v>
      </c>
      <c r="G36" s="157">
        <v>3320.0</v>
      </c>
      <c r="H36" s="159">
        <f>1450+60</f>
        <v>1510</v>
      </c>
      <c r="I36" s="157">
        <f t="shared" si="1"/>
        <v>20</v>
      </c>
      <c r="J36" s="143">
        <f t="shared" si="2"/>
        <v>0.6060606061</v>
      </c>
      <c r="K36" s="159">
        <v>3.62</v>
      </c>
      <c r="L36" s="160">
        <f t="shared" si="3"/>
        <v>45.75757576</v>
      </c>
      <c r="M36" s="161">
        <f t="shared" si="4"/>
        <v>242.985782</v>
      </c>
      <c r="N36" s="162">
        <f t="shared" si="5"/>
        <v>2.228969697</v>
      </c>
      <c r="O36" s="162">
        <f t="shared" si="6"/>
        <v>7355.6</v>
      </c>
      <c r="P36" s="163">
        <f t="shared" si="7"/>
        <v>801853.0806</v>
      </c>
      <c r="R36" s="164"/>
      <c r="S36" s="165"/>
      <c r="T36" s="165"/>
      <c r="U36" s="165"/>
      <c r="V36" s="165"/>
      <c r="W36" s="165"/>
      <c r="X36" s="165"/>
      <c r="Y36" s="165"/>
      <c r="Z36" s="165"/>
      <c r="AA36" s="165"/>
    </row>
    <row r="37">
      <c r="A37" s="155">
        <v>45639.0</v>
      </c>
      <c r="B37" s="83">
        <v>45640.0</v>
      </c>
      <c r="C37" s="156">
        <f>VLOOKUP(B:B,'Курс валют'!A:D,4,0)</f>
        <v>109.0126</v>
      </c>
      <c r="D37" s="157">
        <v>878.0</v>
      </c>
      <c r="E37" s="158" t="s">
        <v>18</v>
      </c>
      <c r="F37" s="157">
        <v>5500.0</v>
      </c>
      <c r="G37" s="157">
        <v>5532.0</v>
      </c>
      <c r="H37" s="159">
        <f>2420+99</f>
        <v>2519</v>
      </c>
      <c r="I37" s="157">
        <f t="shared" si="1"/>
        <v>32</v>
      </c>
      <c r="J37" s="143">
        <f t="shared" si="2"/>
        <v>0.5818181818</v>
      </c>
      <c r="K37" s="159">
        <v>3.62</v>
      </c>
      <c r="L37" s="160">
        <f t="shared" si="3"/>
        <v>45.8</v>
      </c>
      <c r="M37" s="161">
        <f t="shared" si="4"/>
        <v>242.8451888</v>
      </c>
      <c r="N37" s="162">
        <f t="shared" si="5"/>
        <v>2.22768</v>
      </c>
      <c r="O37" s="162">
        <f t="shared" si="6"/>
        <v>12252.24</v>
      </c>
      <c r="P37" s="163">
        <f t="shared" si="7"/>
        <v>1335648.538</v>
      </c>
      <c r="R37" s="164"/>
      <c r="S37" s="165"/>
      <c r="T37" s="165"/>
      <c r="U37" s="165"/>
      <c r="V37" s="165"/>
      <c r="W37" s="165"/>
      <c r="X37" s="165"/>
      <c r="Y37" s="165"/>
      <c r="Z37" s="165"/>
      <c r="AA37" s="165"/>
    </row>
    <row r="38">
      <c r="A38" s="30">
        <v>45640.0</v>
      </c>
      <c r="B38" s="11">
        <v>45641.0</v>
      </c>
      <c r="C38" s="12">
        <f>VLOOKUP(B:B,'Курс валют'!A:D,4,0)</f>
        <v>109.0126</v>
      </c>
      <c r="D38" s="15">
        <v>882.0</v>
      </c>
      <c r="E38" s="59" t="s">
        <v>87</v>
      </c>
      <c r="F38" s="15">
        <v>900.0</v>
      </c>
      <c r="G38" s="13">
        <v>937.203</v>
      </c>
      <c r="H38" s="17">
        <v>0.0</v>
      </c>
      <c r="I38" s="15">
        <f t="shared" si="1"/>
        <v>37.203</v>
      </c>
      <c r="J38" s="18">
        <f t="shared" si="2"/>
        <v>4.133666667</v>
      </c>
      <c r="K38" s="17">
        <v>2.22</v>
      </c>
      <c r="L38" s="19">
        <f t="shared" si="3"/>
        <v>0</v>
      </c>
      <c r="M38" s="20">
        <f t="shared" si="4"/>
        <v>242.007972</v>
      </c>
      <c r="N38" s="21">
        <f t="shared" si="5"/>
        <v>2.22</v>
      </c>
      <c r="O38" s="21">
        <f t="shared" si="6"/>
        <v>1998</v>
      </c>
      <c r="P38" s="22">
        <f t="shared" si="7"/>
        <v>217807.1748</v>
      </c>
      <c r="R38" s="78"/>
      <c r="S38" s="25"/>
      <c r="T38" s="25"/>
      <c r="U38" s="25"/>
      <c r="V38" s="25"/>
      <c r="W38" s="25"/>
      <c r="X38" s="25"/>
      <c r="Y38" s="25"/>
      <c r="Z38" s="25"/>
      <c r="AA38" s="25"/>
    </row>
    <row r="39">
      <c r="A39" s="30">
        <v>45640.0</v>
      </c>
      <c r="B39" s="11">
        <v>45641.0</v>
      </c>
      <c r="C39" s="12">
        <f>VLOOKUP(B:B,'Курс валют'!A:D,4,0)</f>
        <v>109.0126</v>
      </c>
      <c r="D39" s="15">
        <v>883.0</v>
      </c>
      <c r="E39" s="59" t="s">
        <v>87</v>
      </c>
      <c r="F39" s="15">
        <v>900.0</v>
      </c>
      <c r="G39" s="13">
        <v>943.203</v>
      </c>
      <c r="H39" s="17">
        <v>0.0</v>
      </c>
      <c r="I39" s="15">
        <f t="shared" si="1"/>
        <v>43.203</v>
      </c>
      <c r="J39" s="18">
        <f t="shared" si="2"/>
        <v>4.800333333</v>
      </c>
      <c r="K39" s="17">
        <v>2.22</v>
      </c>
      <c r="L39" s="19">
        <f t="shared" si="3"/>
        <v>0</v>
      </c>
      <c r="M39" s="20">
        <f t="shared" si="4"/>
        <v>242.007972</v>
      </c>
      <c r="N39" s="21">
        <f t="shared" si="5"/>
        <v>2.22</v>
      </c>
      <c r="O39" s="21">
        <f t="shared" si="6"/>
        <v>1998</v>
      </c>
      <c r="P39" s="22">
        <f t="shared" si="7"/>
        <v>217807.1748</v>
      </c>
      <c r="R39" s="23"/>
      <c r="S39" s="25"/>
      <c r="T39" s="25"/>
      <c r="U39" s="25"/>
      <c r="V39" s="25"/>
      <c r="W39" s="25"/>
      <c r="X39" s="25"/>
      <c r="Y39" s="25"/>
      <c r="Z39" s="25"/>
      <c r="AA39" s="25"/>
    </row>
    <row r="40">
      <c r="A40" s="155">
        <v>45640.0</v>
      </c>
      <c r="B40" s="83">
        <v>45641.0</v>
      </c>
      <c r="C40" s="156">
        <f>VLOOKUP(B:B,'Курс валют'!A:D,4,0)</f>
        <v>109.0126</v>
      </c>
      <c r="D40" s="157">
        <v>881.0</v>
      </c>
      <c r="E40" s="158" t="s">
        <v>18</v>
      </c>
      <c r="F40" s="157">
        <v>8800.0</v>
      </c>
      <c r="G40" s="157">
        <v>8830.0</v>
      </c>
      <c r="H40" s="159">
        <v>4020.0</v>
      </c>
      <c r="I40" s="157">
        <f t="shared" si="1"/>
        <v>30</v>
      </c>
      <c r="J40" s="143">
        <f t="shared" si="2"/>
        <v>0.3409090909</v>
      </c>
      <c r="K40" s="159">
        <v>2.55</v>
      </c>
      <c r="L40" s="160">
        <f t="shared" si="3"/>
        <v>45.68181818</v>
      </c>
      <c r="M40" s="161">
        <f t="shared" si="4"/>
        <v>126.5933593</v>
      </c>
      <c r="N40" s="162">
        <f t="shared" si="5"/>
        <v>1.161272727</v>
      </c>
      <c r="O40" s="162">
        <f t="shared" si="6"/>
        <v>10219.2</v>
      </c>
      <c r="P40" s="163">
        <f t="shared" si="7"/>
        <v>1114021.562</v>
      </c>
      <c r="R40" s="166"/>
      <c r="S40" s="165"/>
      <c r="T40" s="165"/>
      <c r="U40" s="165"/>
      <c r="V40" s="165"/>
      <c r="W40" s="165"/>
      <c r="X40" s="165"/>
      <c r="Y40" s="165"/>
      <c r="Z40" s="165"/>
      <c r="AA40" s="165"/>
    </row>
    <row r="41">
      <c r="A41" s="30">
        <v>45641.0</v>
      </c>
      <c r="B41" s="11">
        <v>45642.0</v>
      </c>
      <c r="C41" s="12">
        <f>VLOOKUP(B:B,'Курс валют'!A:D,4,0)</f>
        <v>109.0126</v>
      </c>
      <c r="D41" s="15">
        <v>884.0</v>
      </c>
      <c r="E41" s="59" t="s">
        <v>1948</v>
      </c>
      <c r="F41" s="15">
        <v>2000.0</v>
      </c>
      <c r="G41" s="13">
        <v>2000.0</v>
      </c>
      <c r="H41" s="17">
        <v>0.0</v>
      </c>
      <c r="I41" s="15">
        <f t="shared" si="1"/>
        <v>0</v>
      </c>
      <c r="J41" s="18">
        <f t="shared" si="2"/>
        <v>0</v>
      </c>
      <c r="K41" s="17">
        <v>2.56</v>
      </c>
      <c r="L41" s="19">
        <f t="shared" si="3"/>
        <v>0</v>
      </c>
      <c r="M41" s="20">
        <f t="shared" si="4"/>
        <v>279.072256</v>
      </c>
      <c r="N41" s="21">
        <f t="shared" si="5"/>
        <v>2.56</v>
      </c>
      <c r="O41" s="21">
        <f t="shared" si="6"/>
        <v>5120</v>
      </c>
      <c r="P41" s="22">
        <f t="shared" si="7"/>
        <v>558144.512</v>
      </c>
      <c r="R41" s="23"/>
      <c r="S41" s="25"/>
      <c r="T41" s="25"/>
      <c r="U41" s="25"/>
      <c r="V41" s="25"/>
      <c r="W41" s="25"/>
      <c r="X41" s="25"/>
      <c r="Y41" s="25"/>
      <c r="Z41" s="25"/>
      <c r="AA41" s="25"/>
    </row>
    <row r="42">
      <c r="A42" s="30">
        <v>45641.0</v>
      </c>
      <c r="B42" s="11">
        <v>45642.0</v>
      </c>
      <c r="C42" s="12">
        <f>VLOOKUP(B:B,'Курс валют'!A:D,4,0)</f>
        <v>109.0126</v>
      </c>
      <c r="D42" s="15">
        <v>885.0</v>
      </c>
      <c r="E42" s="59" t="s">
        <v>207</v>
      </c>
      <c r="F42" s="15">
        <v>220.0</v>
      </c>
      <c r="G42" s="13">
        <v>220.0</v>
      </c>
      <c r="H42" s="17">
        <v>0.0</v>
      </c>
      <c r="I42" s="15">
        <f t="shared" si="1"/>
        <v>0</v>
      </c>
      <c r="J42" s="18">
        <f t="shared" si="2"/>
        <v>0</v>
      </c>
      <c r="K42" s="17">
        <v>4.1</v>
      </c>
      <c r="L42" s="19">
        <f t="shared" si="3"/>
        <v>0</v>
      </c>
      <c r="M42" s="20">
        <f t="shared" si="4"/>
        <v>446.95166</v>
      </c>
      <c r="N42" s="21">
        <f t="shared" si="5"/>
        <v>4.1</v>
      </c>
      <c r="O42" s="21">
        <f t="shared" si="6"/>
        <v>902</v>
      </c>
      <c r="P42" s="22">
        <f t="shared" si="7"/>
        <v>98329.3652</v>
      </c>
      <c r="R42" s="79"/>
      <c r="S42" s="25"/>
      <c r="T42" s="25"/>
      <c r="U42" s="25"/>
      <c r="V42" s="25"/>
      <c r="W42" s="25"/>
      <c r="X42" s="25"/>
      <c r="Y42" s="25"/>
      <c r="Z42" s="25"/>
      <c r="AA42" s="25"/>
    </row>
    <row r="43">
      <c r="A43" s="30">
        <v>45641.0</v>
      </c>
      <c r="B43" s="11">
        <v>45642.0</v>
      </c>
      <c r="C43" s="12">
        <f>VLOOKUP(B:B,'Курс валют'!A:D,4,0)</f>
        <v>109.0126</v>
      </c>
      <c r="D43" s="15">
        <v>886.0</v>
      </c>
      <c r="E43" s="59" t="s">
        <v>90</v>
      </c>
      <c r="F43" s="15">
        <v>198.0</v>
      </c>
      <c r="G43" s="13">
        <v>200.0</v>
      </c>
      <c r="H43" s="17">
        <v>0.0</v>
      </c>
      <c r="I43" s="15">
        <f t="shared" si="1"/>
        <v>2</v>
      </c>
      <c r="J43" s="18">
        <f t="shared" si="2"/>
        <v>1.01010101</v>
      </c>
      <c r="K43" s="17">
        <v>2.3</v>
      </c>
      <c r="L43" s="19">
        <f t="shared" si="3"/>
        <v>0</v>
      </c>
      <c r="M43" s="20">
        <f t="shared" si="4"/>
        <v>250.72898</v>
      </c>
      <c r="N43" s="21">
        <f t="shared" si="5"/>
        <v>2.3</v>
      </c>
      <c r="O43" s="21">
        <f t="shared" si="6"/>
        <v>455.4</v>
      </c>
      <c r="P43" s="22">
        <f t="shared" si="7"/>
        <v>49644.33804</v>
      </c>
      <c r="R43" s="31" t="s">
        <v>2318</v>
      </c>
      <c r="S43" s="25"/>
      <c r="T43" s="25"/>
      <c r="U43" s="25"/>
      <c r="V43" s="25"/>
      <c r="W43" s="25"/>
      <c r="X43" s="25"/>
      <c r="Y43" s="25"/>
      <c r="Z43" s="25"/>
      <c r="AA43" s="25"/>
    </row>
    <row r="44">
      <c r="A44" s="30">
        <v>45641.0</v>
      </c>
      <c r="B44" s="11">
        <v>45642.0</v>
      </c>
      <c r="C44" s="12">
        <f>VLOOKUP(B:B,'Курс валют'!A:D,4,0)</f>
        <v>109.0126</v>
      </c>
      <c r="D44" s="15">
        <v>887.0</v>
      </c>
      <c r="E44" s="59" t="s">
        <v>71</v>
      </c>
      <c r="F44" s="15">
        <v>4000.0</v>
      </c>
      <c r="G44" s="13">
        <v>4015.0</v>
      </c>
      <c r="H44" s="17">
        <v>376.0</v>
      </c>
      <c r="I44" s="15">
        <f t="shared" si="1"/>
        <v>15</v>
      </c>
      <c r="J44" s="18">
        <f t="shared" si="2"/>
        <v>0.375</v>
      </c>
      <c r="K44" s="17">
        <v>2.3</v>
      </c>
      <c r="L44" s="19">
        <f t="shared" si="3"/>
        <v>9.4</v>
      </c>
      <c r="M44" s="20">
        <f t="shared" si="4"/>
        <v>219.5775394</v>
      </c>
      <c r="N44" s="21">
        <f t="shared" si="5"/>
        <v>2.01424</v>
      </c>
      <c r="O44" s="21">
        <f t="shared" si="6"/>
        <v>8056.96</v>
      </c>
      <c r="P44" s="22">
        <f t="shared" si="7"/>
        <v>878310.1577</v>
      </c>
      <c r="R44" s="31"/>
      <c r="S44" s="25"/>
      <c r="T44" s="25"/>
      <c r="U44" s="25"/>
      <c r="V44" s="25"/>
      <c r="W44" s="25"/>
      <c r="X44" s="25"/>
      <c r="Y44" s="25"/>
      <c r="Z44" s="25"/>
      <c r="AA44" s="25"/>
    </row>
    <row r="45">
      <c r="A45" s="30">
        <v>45641.0</v>
      </c>
      <c r="B45" s="11">
        <v>45642.0</v>
      </c>
      <c r="C45" s="12">
        <f>VLOOKUP(B:B,'Курс валют'!A:D,4,0)</f>
        <v>109.0126</v>
      </c>
      <c r="D45" s="15">
        <v>888.0</v>
      </c>
      <c r="E45" s="59" t="s">
        <v>87</v>
      </c>
      <c r="F45" s="15">
        <v>900.0</v>
      </c>
      <c r="G45" s="13">
        <v>952.203</v>
      </c>
      <c r="H45" s="17">
        <v>0.0</v>
      </c>
      <c r="I45" s="15">
        <f t="shared" si="1"/>
        <v>52.203</v>
      </c>
      <c r="J45" s="18">
        <f t="shared" si="2"/>
        <v>5.800333333</v>
      </c>
      <c r="K45" s="17">
        <v>2.18</v>
      </c>
      <c r="L45" s="19">
        <f t="shared" si="3"/>
        <v>0</v>
      </c>
      <c r="M45" s="20">
        <f t="shared" si="4"/>
        <v>237.647468</v>
      </c>
      <c r="N45" s="21">
        <f t="shared" si="5"/>
        <v>2.18</v>
      </c>
      <c r="O45" s="21">
        <f t="shared" si="6"/>
        <v>1962</v>
      </c>
      <c r="P45" s="22">
        <f t="shared" si="7"/>
        <v>213882.7212</v>
      </c>
      <c r="R45" s="78"/>
      <c r="S45" s="25"/>
      <c r="T45" s="25"/>
      <c r="U45" s="25"/>
      <c r="V45" s="25"/>
      <c r="W45" s="25"/>
      <c r="X45" s="25"/>
      <c r="Y45" s="25"/>
      <c r="Z45" s="25"/>
      <c r="AA45" s="25"/>
    </row>
    <row r="46">
      <c r="A46" s="30">
        <v>45641.0</v>
      </c>
      <c r="B46" s="11">
        <v>45642.0</v>
      </c>
      <c r="C46" s="12">
        <f>VLOOKUP(B:B,'Курс валют'!A:D,4,0)</f>
        <v>109.0126</v>
      </c>
      <c r="D46" s="15">
        <v>889.0</v>
      </c>
      <c r="E46" s="59" t="s">
        <v>87</v>
      </c>
      <c r="F46" s="15">
        <v>900.0</v>
      </c>
      <c r="G46" s="13">
        <v>935.203</v>
      </c>
      <c r="H46" s="58">
        <v>0.0</v>
      </c>
      <c r="I46" s="15">
        <f t="shared" si="1"/>
        <v>35.203</v>
      </c>
      <c r="J46" s="18">
        <f t="shared" si="2"/>
        <v>3.911444444</v>
      </c>
      <c r="K46" s="17">
        <v>2.18</v>
      </c>
      <c r="L46" s="19">
        <f t="shared" si="3"/>
        <v>0</v>
      </c>
      <c r="M46" s="20">
        <f t="shared" si="4"/>
        <v>237.647468</v>
      </c>
      <c r="N46" s="21">
        <f t="shared" si="5"/>
        <v>2.18</v>
      </c>
      <c r="O46" s="21">
        <f t="shared" si="6"/>
        <v>1962</v>
      </c>
      <c r="P46" s="22">
        <f t="shared" si="7"/>
        <v>213882.7212</v>
      </c>
      <c r="R46" s="23"/>
      <c r="S46" s="25"/>
      <c r="T46" s="25"/>
      <c r="U46" s="25"/>
      <c r="V46" s="25"/>
      <c r="W46" s="25"/>
      <c r="X46" s="25"/>
      <c r="Y46" s="25"/>
      <c r="Z46" s="25"/>
      <c r="AA46" s="25"/>
    </row>
    <row r="47">
      <c r="A47" s="30">
        <v>45642.0</v>
      </c>
      <c r="B47" s="11">
        <v>45643.0</v>
      </c>
      <c r="C47" s="12">
        <f>VLOOKUP(B:B,'Курс валют'!A:D,4,0)</f>
        <v>108.7016</v>
      </c>
      <c r="D47" s="15">
        <v>890.0</v>
      </c>
      <c r="E47" s="59" t="s">
        <v>71</v>
      </c>
      <c r="F47" s="15">
        <v>8000.0</v>
      </c>
      <c r="G47" s="13">
        <v>8027.0</v>
      </c>
      <c r="H47" s="58">
        <v>764.0</v>
      </c>
      <c r="I47" s="15">
        <f t="shared" si="1"/>
        <v>27</v>
      </c>
      <c r="J47" s="18">
        <f t="shared" si="2"/>
        <v>0.3375</v>
      </c>
      <c r="K47" s="17">
        <v>2.3</v>
      </c>
      <c r="L47" s="19">
        <f t="shared" si="3"/>
        <v>9.55</v>
      </c>
      <c r="M47" s="20">
        <f t="shared" si="4"/>
        <v>218.4554315</v>
      </c>
      <c r="N47" s="21">
        <f t="shared" si="5"/>
        <v>2.00968</v>
      </c>
      <c r="O47" s="21">
        <f t="shared" si="6"/>
        <v>16077.44</v>
      </c>
      <c r="P47" s="22">
        <f t="shared" si="7"/>
        <v>1747643.452</v>
      </c>
      <c r="R47" s="78"/>
      <c r="S47" s="25"/>
      <c r="T47" s="25"/>
      <c r="U47" s="25"/>
      <c r="V47" s="25"/>
      <c r="W47" s="25"/>
      <c r="X47" s="25"/>
      <c r="Y47" s="25"/>
      <c r="Z47" s="25"/>
      <c r="AA47" s="25"/>
    </row>
    <row r="48">
      <c r="A48" s="30">
        <v>45644.0</v>
      </c>
      <c r="B48" s="11">
        <v>45645.0</v>
      </c>
      <c r="C48" s="12">
        <f>VLOOKUP(B:B,'Курс валют'!A:D,4,0)</f>
        <v>108.5083</v>
      </c>
      <c r="D48" s="15">
        <v>891.0</v>
      </c>
      <c r="E48" s="59" t="s">
        <v>87</v>
      </c>
      <c r="F48" s="15">
        <v>900.0</v>
      </c>
      <c r="G48" s="13">
        <v>940.203</v>
      </c>
      <c r="H48" s="58">
        <v>0.0</v>
      </c>
      <c r="I48" s="15">
        <f t="shared" si="1"/>
        <v>40.203</v>
      </c>
      <c r="J48" s="18">
        <f t="shared" si="2"/>
        <v>4.467</v>
      </c>
      <c r="K48" s="17">
        <v>2.12</v>
      </c>
      <c r="L48" s="19">
        <f t="shared" si="3"/>
        <v>0</v>
      </c>
      <c r="M48" s="20">
        <f t="shared" si="4"/>
        <v>230.037596</v>
      </c>
      <c r="N48" s="21">
        <f t="shared" si="5"/>
        <v>2.12</v>
      </c>
      <c r="O48" s="21">
        <f t="shared" si="6"/>
        <v>1908</v>
      </c>
      <c r="P48" s="22">
        <f t="shared" si="7"/>
        <v>207033.8364</v>
      </c>
      <c r="R48" s="152"/>
      <c r="S48" s="25"/>
      <c r="T48" s="25"/>
      <c r="U48" s="25"/>
      <c r="V48" s="25"/>
      <c r="W48" s="25"/>
      <c r="X48" s="25"/>
      <c r="Y48" s="25"/>
      <c r="Z48" s="25"/>
      <c r="AA48" s="25"/>
    </row>
    <row r="49">
      <c r="A49" s="30">
        <v>45644.0</v>
      </c>
      <c r="B49" s="11">
        <v>45645.0</v>
      </c>
      <c r="C49" s="12">
        <f>VLOOKUP(B:B,'Курс валют'!A:D,4,0)</f>
        <v>108.5083</v>
      </c>
      <c r="D49" s="15">
        <v>892.0</v>
      </c>
      <c r="E49" s="59" t="s">
        <v>69</v>
      </c>
      <c r="F49" s="15">
        <v>16000.0</v>
      </c>
      <c r="G49" s="13">
        <v>16025.0</v>
      </c>
      <c r="H49" s="58">
        <v>1523.0</v>
      </c>
      <c r="I49" s="15">
        <f t="shared" si="1"/>
        <v>25</v>
      </c>
      <c r="J49" s="18">
        <f t="shared" si="2"/>
        <v>0.15625</v>
      </c>
      <c r="K49" s="17">
        <v>2.3</v>
      </c>
      <c r="L49" s="19">
        <f t="shared" si="3"/>
        <v>9.51875</v>
      </c>
      <c r="M49" s="20">
        <f t="shared" si="4"/>
        <v>218.1700432</v>
      </c>
      <c r="N49" s="21">
        <f t="shared" si="5"/>
        <v>2.01063</v>
      </c>
      <c r="O49" s="21">
        <f t="shared" si="6"/>
        <v>32170.08</v>
      </c>
      <c r="P49" s="22">
        <f t="shared" si="7"/>
        <v>3490720.692</v>
      </c>
      <c r="R49" s="31"/>
      <c r="S49" s="25"/>
      <c r="T49" s="25"/>
      <c r="U49" s="25"/>
      <c r="V49" s="25"/>
      <c r="W49" s="25"/>
      <c r="X49" s="25"/>
      <c r="Y49" s="25"/>
      <c r="Z49" s="25"/>
      <c r="AA49" s="25"/>
    </row>
    <row r="50">
      <c r="A50" s="30">
        <v>45645.0</v>
      </c>
      <c r="B50" s="11">
        <v>45646.0</v>
      </c>
      <c r="C50" s="12">
        <f>VLOOKUP(B:B,'Курс валют'!A:D,4,0)</f>
        <v>107.9576</v>
      </c>
      <c r="D50" s="15">
        <v>893.0</v>
      </c>
      <c r="E50" s="59" t="s">
        <v>69</v>
      </c>
      <c r="F50" s="15">
        <v>8000.0</v>
      </c>
      <c r="G50" s="13">
        <v>8020.0</v>
      </c>
      <c r="H50" s="17">
        <v>759.0</v>
      </c>
      <c r="I50" s="15">
        <f t="shared" si="1"/>
        <v>20</v>
      </c>
      <c r="J50" s="18">
        <f t="shared" si="2"/>
        <v>0.25</v>
      </c>
      <c r="K50" s="17">
        <v>2.3</v>
      </c>
      <c r="L50" s="19">
        <f t="shared" si="3"/>
        <v>9.4875</v>
      </c>
      <c r="M50" s="20">
        <f t="shared" si="4"/>
        <v>217.165349</v>
      </c>
      <c r="N50" s="21">
        <f t="shared" si="5"/>
        <v>2.01158</v>
      </c>
      <c r="O50" s="21">
        <f t="shared" si="6"/>
        <v>16092.64</v>
      </c>
      <c r="P50" s="22">
        <f t="shared" si="7"/>
        <v>1737322.792</v>
      </c>
      <c r="R50" s="31"/>
      <c r="S50" s="25"/>
      <c r="T50" s="25"/>
      <c r="U50" s="25"/>
      <c r="V50" s="25"/>
      <c r="W50" s="25"/>
      <c r="X50" s="25"/>
      <c r="Y50" s="25"/>
      <c r="Z50" s="25"/>
      <c r="AA50" s="25"/>
    </row>
    <row r="51">
      <c r="A51" s="30">
        <v>45646.0</v>
      </c>
      <c r="B51" s="11">
        <v>45649.0</v>
      </c>
      <c r="C51" s="12">
        <f>VLOOKUP(B:B,'Курс валют'!A:D,4,0)</f>
        <v>106.5444</v>
      </c>
      <c r="D51" s="15">
        <v>894.0</v>
      </c>
      <c r="E51" s="59" t="s">
        <v>68</v>
      </c>
      <c r="F51" s="15">
        <v>8000.0</v>
      </c>
      <c r="G51" s="13">
        <v>8030.0</v>
      </c>
      <c r="H51" s="17">
        <v>763.0</v>
      </c>
      <c r="I51" s="15">
        <f t="shared" si="1"/>
        <v>30</v>
      </c>
      <c r="J51" s="18">
        <f t="shared" si="2"/>
        <v>0.375</v>
      </c>
      <c r="K51" s="17">
        <v>2.38</v>
      </c>
      <c r="L51" s="19">
        <f t="shared" si="3"/>
        <v>9.5375</v>
      </c>
      <c r="M51" s="20">
        <f t="shared" si="4"/>
        <v>222.6841887</v>
      </c>
      <c r="N51" s="21">
        <f t="shared" si="5"/>
        <v>2.09006</v>
      </c>
      <c r="O51" s="21">
        <f t="shared" si="6"/>
        <v>16720.48</v>
      </c>
      <c r="P51" s="22">
        <f t="shared" si="7"/>
        <v>1781473.509</v>
      </c>
      <c r="R51" s="78"/>
      <c r="S51" s="25"/>
      <c r="T51" s="25"/>
      <c r="U51" s="25"/>
      <c r="V51" s="25"/>
      <c r="W51" s="25"/>
      <c r="X51" s="25"/>
      <c r="Y51" s="25"/>
      <c r="Z51" s="25"/>
      <c r="AA51" s="25"/>
    </row>
    <row r="52">
      <c r="A52" s="155">
        <v>45646.0</v>
      </c>
      <c r="B52" s="83">
        <v>45649.0</v>
      </c>
      <c r="C52" s="156">
        <f>VLOOKUP(B:B,'Курс валют'!A:D,4,0)</f>
        <v>106.5444</v>
      </c>
      <c r="D52" s="157">
        <v>895.0</v>
      </c>
      <c r="E52" s="158" t="s">
        <v>18</v>
      </c>
      <c r="F52" s="157">
        <v>8800.0</v>
      </c>
      <c r="G52" s="157">
        <v>8828.0</v>
      </c>
      <c r="H52" s="159">
        <v>4028.0</v>
      </c>
      <c r="I52" s="157">
        <f t="shared" si="1"/>
        <v>28</v>
      </c>
      <c r="J52" s="143">
        <f t="shared" si="2"/>
        <v>0.3181818182</v>
      </c>
      <c r="K52" s="159">
        <v>3.15</v>
      </c>
      <c r="L52" s="160">
        <f t="shared" si="3"/>
        <v>45.77272727</v>
      </c>
      <c r="M52" s="161">
        <f t="shared" si="4"/>
        <v>187.359296</v>
      </c>
      <c r="N52" s="162">
        <f t="shared" si="5"/>
        <v>1.758509091</v>
      </c>
      <c r="O52" s="162">
        <f t="shared" si="6"/>
        <v>15474.88</v>
      </c>
      <c r="P52" s="163">
        <f t="shared" si="7"/>
        <v>1648761.805</v>
      </c>
      <c r="R52" s="164"/>
      <c r="S52" s="165"/>
      <c r="T52" s="165"/>
      <c r="U52" s="165"/>
      <c r="V52" s="165"/>
      <c r="W52" s="165"/>
      <c r="X52" s="165"/>
      <c r="Y52" s="165"/>
      <c r="Z52" s="165"/>
      <c r="AA52" s="165"/>
    </row>
    <row r="53">
      <c r="A53" s="30">
        <v>45646.0</v>
      </c>
      <c r="B53" s="11">
        <v>45649.0</v>
      </c>
      <c r="C53" s="12">
        <f>VLOOKUP(B:B,'Курс валют'!A:D,4,0)</f>
        <v>106.5444</v>
      </c>
      <c r="D53" s="15">
        <v>896.0</v>
      </c>
      <c r="E53" s="64" t="s">
        <v>61</v>
      </c>
      <c r="F53" s="15">
        <v>8800.0</v>
      </c>
      <c r="G53" s="13">
        <v>8827.0</v>
      </c>
      <c r="H53" s="17">
        <v>3662.0</v>
      </c>
      <c r="I53" s="15">
        <f t="shared" si="1"/>
        <v>27</v>
      </c>
      <c r="J53" s="18">
        <f t="shared" si="2"/>
        <v>0.3068181818</v>
      </c>
      <c r="K53" s="17">
        <v>3.23</v>
      </c>
      <c r="L53" s="19">
        <f t="shared" si="3"/>
        <v>41.61363636</v>
      </c>
      <c r="M53" s="20">
        <f t="shared" si="4"/>
        <v>209.3539345</v>
      </c>
      <c r="N53" s="21">
        <f t="shared" si="5"/>
        <v>1.964945455</v>
      </c>
      <c r="O53" s="21">
        <f t="shared" si="6"/>
        <v>17291.52</v>
      </c>
      <c r="P53" s="22">
        <f t="shared" si="7"/>
        <v>1842314.623</v>
      </c>
      <c r="R53" s="78"/>
      <c r="S53" s="25"/>
      <c r="T53" s="25"/>
      <c r="U53" s="25"/>
      <c r="V53" s="25"/>
      <c r="W53" s="25"/>
      <c r="X53" s="25"/>
      <c r="Y53" s="25"/>
      <c r="Z53" s="25"/>
      <c r="AA53" s="25"/>
    </row>
    <row r="54">
      <c r="A54" s="30">
        <v>45649.0</v>
      </c>
      <c r="B54" s="11">
        <v>45650.0</v>
      </c>
      <c r="C54" s="12">
        <f>VLOOKUP(B:B,'Курс валют'!A:D,4,0)</f>
        <v>105.2512</v>
      </c>
      <c r="D54" s="15">
        <v>899.0</v>
      </c>
      <c r="E54" s="64" t="s">
        <v>91</v>
      </c>
      <c r="F54" s="15">
        <v>220.0</v>
      </c>
      <c r="G54" s="15">
        <v>232.085</v>
      </c>
      <c r="H54" s="17">
        <v>60.0</v>
      </c>
      <c r="I54" s="15">
        <f t="shared" si="1"/>
        <v>12.085</v>
      </c>
      <c r="J54" s="18">
        <f t="shared" si="2"/>
        <v>5.493181818</v>
      </c>
      <c r="K54" s="17">
        <v>2.9</v>
      </c>
      <c r="L54" s="19">
        <f t="shared" si="3"/>
        <v>27.27272727</v>
      </c>
      <c r="M54" s="20">
        <f t="shared" si="4"/>
        <v>217.9656669</v>
      </c>
      <c r="N54" s="21">
        <f t="shared" si="5"/>
        <v>2.070909091</v>
      </c>
      <c r="O54" s="21">
        <f t="shared" si="6"/>
        <v>455.6</v>
      </c>
      <c r="P54" s="22">
        <f t="shared" si="7"/>
        <v>47952.44672</v>
      </c>
      <c r="R54" s="31"/>
      <c r="S54" s="25"/>
      <c r="T54" s="25"/>
      <c r="U54" s="25"/>
      <c r="V54" s="25"/>
      <c r="W54" s="25"/>
      <c r="X54" s="25"/>
      <c r="Y54" s="25"/>
      <c r="Z54" s="25"/>
      <c r="AA54" s="25"/>
    </row>
    <row r="55">
      <c r="A55" s="30">
        <v>45649.0</v>
      </c>
      <c r="B55" s="11">
        <v>45650.0</v>
      </c>
      <c r="C55" s="12">
        <f>VLOOKUP(B:B,'Курс валют'!A:D,4,0)</f>
        <v>105.2512</v>
      </c>
      <c r="D55" s="15">
        <v>900.0</v>
      </c>
      <c r="E55" s="64" t="s">
        <v>1861</v>
      </c>
      <c r="F55" s="15">
        <v>600.0</v>
      </c>
      <c r="G55" s="15">
        <v>600.0</v>
      </c>
      <c r="H55" s="17">
        <v>0.0</v>
      </c>
      <c r="I55" s="15">
        <f t="shared" si="1"/>
        <v>0</v>
      </c>
      <c r="J55" s="18">
        <f t="shared" si="2"/>
        <v>0</v>
      </c>
      <c r="K55" s="17">
        <v>2.5</v>
      </c>
      <c r="L55" s="19">
        <f t="shared" si="3"/>
        <v>0</v>
      </c>
      <c r="M55" s="20">
        <f t="shared" si="4"/>
        <v>263.128</v>
      </c>
      <c r="N55" s="21">
        <f t="shared" si="5"/>
        <v>2.5</v>
      </c>
      <c r="O55" s="21">
        <f t="shared" si="6"/>
        <v>1500</v>
      </c>
      <c r="P55" s="22">
        <f t="shared" si="7"/>
        <v>157876.8</v>
      </c>
      <c r="R55" s="31" t="s">
        <v>1101</v>
      </c>
      <c r="S55" s="25"/>
      <c r="T55" s="25"/>
      <c r="U55" s="25"/>
      <c r="V55" s="25"/>
      <c r="W55" s="25"/>
      <c r="X55" s="25"/>
      <c r="Y55" s="25"/>
      <c r="Z55" s="25"/>
      <c r="AA55" s="25"/>
    </row>
    <row r="56">
      <c r="A56" s="30">
        <v>45649.0</v>
      </c>
      <c r="B56" s="11">
        <v>45651.0</v>
      </c>
      <c r="C56" s="12">
        <f>VLOOKUP(B:B,'Курс валют'!A:D,4,0)</f>
        <v>104.231</v>
      </c>
      <c r="D56" s="15">
        <v>897.0</v>
      </c>
      <c r="E56" s="64" t="s">
        <v>2290</v>
      </c>
      <c r="F56" s="15">
        <v>1000.0</v>
      </c>
      <c r="G56" s="15">
        <v>1052.5</v>
      </c>
      <c r="H56" s="17">
        <v>0.0</v>
      </c>
      <c r="I56" s="15">
        <f t="shared" si="1"/>
        <v>52.5</v>
      </c>
      <c r="J56" s="18">
        <f t="shared" si="2"/>
        <v>5.25</v>
      </c>
      <c r="K56" s="17">
        <v>2.45</v>
      </c>
      <c r="L56" s="19">
        <f t="shared" si="3"/>
        <v>0</v>
      </c>
      <c r="M56" s="20">
        <f t="shared" si="4"/>
        <v>255.36595</v>
      </c>
      <c r="N56" s="21">
        <f t="shared" si="5"/>
        <v>2.45</v>
      </c>
      <c r="O56" s="21">
        <f t="shared" si="6"/>
        <v>2450</v>
      </c>
      <c r="P56" s="22">
        <f t="shared" si="7"/>
        <v>255365.95</v>
      </c>
      <c r="R56" s="78"/>
      <c r="S56" s="25"/>
      <c r="T56" s="25"/>
      <c r="U56" s="25"/>
      <c r="V56" s="25"/>
      <c r="W56" s="25"/>
      <c r="X56" s="25"/>
      <c r="Y56" s="25"/>
      <c r="Z56" s="25"/>
      <c r="AA56" s="25"/>
    </row>
    <row r="57">
      <c r="A57" s="30">
        <v>45649.0</v>
      </c>
      <c r="B57" s="11">
        <v>45651.0</v>
      </c>
      <c r="C57" s="12">
        <f>VLOOKUP(B:B,'Курс валют'!A:D,4,0)</f>
        <v>104.231</v>
      </c>
      <c r="D57" s="15">
        <v>831.0</v>
      </c>
      <c r="E57" s="64" t="s">
        <v>63</v>
      </c>
      <c r="F57" s="15">
        <v>900.0</v>
      </c>
      <c r="G57" s="15">
        <v>932.0</v>
      </c>
      <c r="H57" s="17">
        <v>0.0</v>
      </c>
      <c r="I57" s="15">
        <f t="shared" si="1"/>
        <v>32</v>
      </c>
      <c r="J57" s="18">
        <f t="shared" si="2"/>
        <v>3.555555556</v>
      </c>
      <c r="K57" s="17">
        <v>2.02</v>
      </c>
      <c r="L57" s="19">
        <f t="shared" si="3"/>
        <v>0</v>
      </c>
      <c r="M57" s="20">
        <f t="shared" si="4"/>
        <v>210.54662</v>
      </c>
      <c r="N57" s="167">
        <f t="shared" si="5"/>
        <v>2.02</v>
      </c>
      <c r="O57" s="21">
        <f t="shared" si="6"/>
        <v>1818</v>
      </c>
      <c r="P57" s="22">
        <f t="shared" si="7"/>
        <v>189491.958</v>
      </c>
      <c r="R57" s="79"/>
      <c r="S57" s="25"/>
      <c r="T57" s="25"/>
      <c r="U57" s="25"/>
      <c r="V57" s="25"/>
      <c r="W57" s="25"/>
      <c r="X57" s="25"/>
      <c r="Y57" s="25"/>
      <c r="Z57" s="25"/>
      <c r="AA57" s="25"/>
    </row>
    <row r="58">
      <c r="A58" s="30">
        <v>45651.0</v>
      </c>
      <c r="B58" s="11">
        <v>45652.0</v>
      </c>
      <c r="C58" s="12">
        <f>VLOOKUP(B:B,'Курс валют'!A:D,4,0)</f>
        <v>103.9416</v>
      </c>
      <c r="D58" s="15">
        <v>902.0</v>
      </c>
      <c r="E58" s="64" t="s">
        <v>93</v>
      </c>
      <c r="F58" s="15">
        <v>220.0</v>
      </c>
      <c r="G58" s="15">
        <v>230.0</v>
      </c>
      <c r="H58" s="17">
        <v>67.0</v>
      </c>
      <c r="I58" s="15">
        <f t="shared" si="1"/>
        <v>10</v>
      </c>
      <c r="J58" s="18">
        <f t="shared" si="2"/>
        <v>4.545454545</v>
      </c>
      <c r="K58" s="17">
        <v>3.65</v>
      </c>
      <c r="L58" s="19">
        <f t="shared" si="3"/>
        <v>30.45454545</v>
      </c>
      <c r="M58" s="20">
        <f t="shared" si="4"/>
        <v>283.1558169</v>
      </c>
      <c r="N58" s="21">
        <f t="shared" si="5"/>
        <v>2.724181818</v>
      </c>
      <c r="O58" s="21">
        <f t="shared" si="6"/>
        <v>599.32</v>
      </c>
      <c r="P58" s="22">
        <f t="shared" si="7"/>
        <v>62294.27971</v>
      </c>
      <c r="R58" s="79"/>
      <c r="S58" s="25"/>
      <c r="T58" s="25"/>
      <c r="U58" s="25"/>
      <c r="V58" s="25"/>
      <c r="W58" s="25"/>
      <c r="X58" s="25"/>
      <c r="Y58" s="25"/>
      <c r="Z58" s="25"/>
      <c r="AA58" s="25"/>
    </row>
    <row r="59">
      <c r="A59" s="30">
        <v>45652.0</v>
      </c>
      <c r="B59" s="11">
        <v>45652.0</v>
      </c>
      <c r="C59" s="12">
        <f>VLOOKUP(B:B,'Курс валют'!A:D,4,0)</f>
        <v>103.9416</v>
      </c>
      <c r="D59" s="15">
        <v>901.0</v>
      </c>
      <c r="E59" s="64" t="s">
        <v>899</v>
      </c>
      <c r="F59" s="15">
        <v>80.0</v>
      </c>
      <c r="G59" s="15">
        <v>85.27</v>
      </c>
      <c r="H59" s="17">
        <v>0.0</v>
      </c>
      <c r="I59" s="15">
        <f t="shared" si="1"/>
        <v>5.27</v>
      </c>
      <c r="J59" s="18">
        <f t="shared" si="2"/>
        <v>6.5875</v>
      </c>
      <c r="K59" s="17">
        <v>1.34</v>
      </c>
      <c r="L59" s="19">
        <f t="shared" si="3"/>
        <v>0</v>
      </c>
      <c r="M59" s="20">
        <f t="shared" si="4"/>
        <v>139.281744</v>
      </c>
      <c r="N59" s="21">
        <f t="shared" si="5"/>
        <v>1.34</v>
      </c>
      <c r="O59" s="21">
        <f t="shared" si="6"/>
        <v>107.2</v>
      </c>
      <c r="P59" s="22">
        <f t="shared" si="7"/>
        <v>11142.53952</v>
      </c>
      <c r="R59" s="79"/>
      <c r="S59" s="25"/>
      <c r="T59" s="25"/>
      <c r="U59" s="25"/>
      <c r="V59" s="25"/>
      <c r="W59" s="25"/>
      <c r="X59" s="25"/>
      <c r="Y59" s="25"/>
      <c r="Z59" s="25"/>
      <c r="AA59" s="25"/>
    </row>
    <row r="60">
      <c r="A60" s="155">
        <v>45652.0</v>
      </c>
      <c r="B60" s="83">
        <v>45653.0</v>
      </c>
      <c r="C60" s="156">
        <f>VLOOKUP(B:B,'Курс валют'!A:D,4,0)</f>
        <v>103.2997</v>
      </c>
      <c r="D60" s="157">
        <v>905.0</v>
      </c>
      <c r="E60" s="168" t="s">
        <v>18</v>
      </c>
      <c r="F60" s="157">
        <v>8800.0</v>
      </c>
      <c r="G60" s="157">
        <v>8825.0</v>
      </c>
      <c r="H60" s="159">
        <v>4025.0</v>
      </c>
      <c r="I60" s="157">
        <f t="shared" si="1"/>
        <v>25</v>
      </c>
      <c r="J60" s="143">
        <f t="shared" si="2"/>
        <v>0.2840909091</v>
      </c>
      <c r="K60" s="159">
        <v>2.65</v>
      </c>
      <c r="L60" s="160">
        <f t="shared" si="3"/>
        <v>45.73863636</v>
      </c>
      <c r="M60" s="161">
        <f t="shared" si="4"/>
        <v>130.1106676</v>
      </c>
      <c r="N60" s="162">
        <f t="shared" si="5"/>
        <v>1.259545455</v>
      </c>
      <c r="O60" s="162">
        <f t="shared" si="6"/>
        <v>11084</v>
      </c>
      <c r="P60" s="163">
        <f t="shared" si="7"/>
        <v>1144973.875</v>
      </c>
      <c r="R60" s="164"/>
      <c r="S60" s="165"/>
      <c r="T60" s="165"/>
      <c r="U60" s="165"/>
      <c r="V60" s="165"/>
      <c r="W60" s="165"/>
      <c r="X60" s="165"/>
      <c r="Y60" s="165"/>
      <c r="Z60" s="165"/>
      <c r="AA60" s="165"/>
    </row>
    <row r="61">
      <c r="A61" s="30">
        <v>45652.0</v>
      </c>
      <c r="B61" s="11">
        <v>45653.0</v>
      </c>
      <c r="C61" s="12">
        <f>VLOOKUP(B:B,'Курс валют'!A:D,4,0)</f>
        <v>103.2997</v>
      </c>
      <c r="D61" s="15">
        <v>906.0</v>
      </c>
      <c r="E61" s="64" t="s">
        <v>95</v>
      </c>
      <c r="F61" s="15">
        <v>200.0</v>
      </c>
      <c r="G61" s="15">
        <v>200.0</v>
      </c>
      <c r="H61" s="17">
        <v>0.0</v>
      </c>
      <c r="I61" s="15">
        <f t="shared" si="1"/>
        <v>0</v>
      </c>
      <c r="J61" s="18">
        <f t="shared" si="2"/>
        <v>0</v>
      </c>
      <c r="K61" s="17">
        <v>2.12</v>
      </c>
      <c r="L61" s="19">
        <f t="shared" si="3"/>
        <v>0</v>
      </c>
      <c r="M61" s="20">
        <f t="shared" si="4"/>
        <v>218.995364</v>
      </c>
      <c r="N61" s="21">
        <f t="shared" si="5"/>
        <v>2.12</v>
      </c>
      <c r="O61" s="21">
        <f t="shared" si="6"/>
        <v>424</v>
      </c>
      <c r="P61" s="22">
        <f t="shared" si="7"/>
        <v>43799.0728</v>
      </c>
      <c r="R61" s="23" t="s">
        <v>1101</v>
      </c>
      <c r="S61" s="25"/>
      <c r="T61" s="25"/>
      <c r="U61" s="25"/>
      <c r="V61" s="25"/>
      <c r="W61" s="25"/>
      <c r="X61" s="25"/>
      <c r="Y61" s="25"/>
      <c r="Z61" s="25"/>
      <c r="AA61" s="25"/>
    </row>
    <row r="62">
      <c r="A62" s="30">
        <v>45653.0</v>
      </c>
      <c r="B62" s="11">
        <v>45654.0</v>
      </c>
      <c r="C62" s="12">
        <f>VLOOKUP(B:B,'Курс валют'!A:D,4,0)</f>
        <v>105.9522</v>
      </c>
      <c r="D62" s="15">
        <v>908.0</v>
      </c>
      <c r="E62" s="64" t="s">
        <v>61</v>
      </c>
      <c r="F62" s="15">
        <v>8800.0</v>
      </c>
      <c r="G62" s="15">
        <v>8835.0</v>
      </c>
      <c r="H62" s="17">
        <v>3670.0</v>
      </c>
      <c r="I62" s="15">
        <f t="shared" si="1"/>
        <v>35</v>
      </c>
      <c r="J62" s="18">
        <f t="shared" si="2"/>
        <v>0.3977272727</v>
      </c>
      <c r="K62" s="17">
        <v>3.71</v>
      </c>
      <c r="L62" s="19">
        <f t="shared" si="3"/>
        <v>41.70454545</v>
      </c>
      <c r="M62" s="20">
        <f t="shared" si="4"/>
        <v>258.7545364</v>
      </c>
      <c r="N62" s="21">
        <f t="shared" si="5"/>
        <v>2.442181818</v>
      </c>
      <c r="O62" s="21">
        <f t="shared" si="6"/>
        <v>21491.2</v>
      </c>
      <c r="P62" s="22">
        <f t="shared" si="7"/>
        <v>2277039.921</v>
      </c>
      <c r="R62" s="23"/>
      <c r="S62" s="25"/>
      <c r="T62" s="25"/>
      <c r="U62" s="25"/>
      <c r="V62" s="25"/>
      <c r="W62" s="25"/>
      <c r="X62" s="25"/>
      <c r="Y62" s="25"/>
      <c r="Z62" s="25"/>
      <c r="AA62" s="25"/>
    </row>
    <row r="63">
      <c r="A63" s="30">
        <v>45654.0</v>
      </c>
      <c r="B63" s="11">
        <v>45656.0</v>
      </c>
      <c r="C63" s="12">
        <f>VLOOKUP(B:B,'Курс валют'!A:D,4,0)</f>
        <v>106.1028</v>
      </c>
      <c r="D63" s="15">
        <v>898.0</v>
      </c>
      <c r="E63" s="64" t="s">
        <v>2306</v>
      </c>
      <c r="F63" s="15">
        <v>1000.0</v>
      </c>
      <c r="G63" s="15">
        <v>1052.5</v>
      </c>
      <c r="H63" s="17">
        <v>0.0</v>
      </c>
      <c r="I63" s="15">
        <f t="shared" si="1"/>
        <v>52.5</v>
      </c>
      <c r="J63" s="18">
        <f t="shared" si="2"/>
        <v>5.25</v>
      </c>
      <c r="K63" s="17">
        <v>2.98</v>
      </c>
      <c r="L63" s="19">
        <f t="shared" si="3"/>
        <v>0</v>
      </c>
      <c r="M63" s="20">
        <f t="shared" si="4"/>
        <v>316.186344</v>
      </c>
      <c r="N63" s="21">
        <f t="shared" si="5"/>
        <v>2.98</v>
      </c>
      <c r="O63" s="21">
        <f t="shared" si="6"/>
        <v>2980</v>
      </c>
      <c r="P63" s="22">
        <f t="shared" si="7"/>
        <v>316186.344</v>
      </c>
      <c r="R63" s="79"/>
      <c r="S63" s="25"/>
      <c r="T63" s="25"/>
      <c r="U63" s="25"/>
      <c r="V63" s="25"/>
      <c r="W63" s="25"/>
      <c r="X63" s="25"/>
      <c r="Y63" s="25"/>
      <c r="Z63" s="25"/>
      <c r="AA63" s="25"/>
    </row>
    <row r="64">
      <c r="A64" s="30">
        <v>45654.0</v>
      </c>
      <c r="B64" s="11">
        <v>45656.0</v>
      </c>
      <c r="C64" s="12">
        <f>VLOOKUP(B:B,'Курс валют'!A:D,4,0)</f>
        <v>106.1028</v>
      </c>
      <c r="D64" s="15">
        <v>903.0</v>
      </c>
      <c r="E64" s="64" t="s">
        <v>2306</v>
      </c>
      <c r="F64" s="15">
        <v>1000.0</v>
      </c>
      <c r="G64" s="15">
        <v>1049.8</v>
      </c>
      <c r="H64" s="17">
        <v>0.0</v>
      </c>
      <c r="I64" s="15">
        <f t="shared" si="1"/>
        <v>49.8</v>
      </c>
      <c r="J64" s="18">
        <f t="shared" si="2"/>
        <v>4.98</v>
      </c>
      <c r="K64" s="17">
        <v>2.98</v>
      </c>
      <c r="L64" s="19">
        <f t="shared" si="3"/>
        <v>0</v>
      </c>
      <c r="M64" s="20">
        <f t="shared" si="4"/>
        <v>316.186344</v>
      </c>
      <c r="N64" s="21">
        <f t="shared" si="5"/>
        <v>2.98</v>
      </c>
      <c r="O64" s="21">
        <f t="shared" si="6"/>
        <v>2980</v>
      </c>
      <c r="P64" s="22">
        <f t="shared" si="7"/>
        <v>316186.344</v>
      </c>
      <c r="R64" s="23"/>
      <c r="S64" s="25"/>
      <c r="T64" s="25"/>
      <c r="U64" s="25"/>
      <c r="V64" s="25"/>
      <c r="W64" s="25"/>
      <c r="X64" s="25"/>
      <c r="Y64" s="25"/>
      <c r="Z64" s="25"/>
      <c r="AA64" s="25"/>
    </row>
    <row r="65">
      <c r="A65" s="63">
        <v>45654.0</v>
      </c>
      <c r="B65" s="11">
        <v>45656.0</v>
      </c>
      <c r="C65" s="12">
        <f>VLOOKUP(B:B,'Курс валют'!A:D,4,0)</f>
        <v>106.1028</v>
      </c>
      <c r="D65" s="15">
        <v>907.0</v>
      </c>
      <c r="E65" s="64" t="s">
        <v>2306</v>
      </c>
      <c r="F65" s="15">
        <v>1000.0</v>
      </c>
      <c r="G65" s="15">
        <v>1054.5</v>
      </c>
      <c r="H65" s="17">
        <v>0.0</v>
      </c>
      <c r="I65" s="15">
        <f t="shared" si="1"/>
        <v>54.5</v>
      </c>
      <c r="J65" s="18">
        <f t="shared" si="2"/>
        <v>5.45</v>
      </c>
      <c r="K65" s="17">
        <v>2.98</v>
      </c>
      <c r="L65" s="19">
        <f t="shared" si="3"/>
        <v>0</v>
      </c>
      <c r="M65" s="20">
        <f t="shared" si="4"/>
        <v>316.186344</v>
      </c>
      <c r="N65" s="21">
        <f t="shared" si="5"/>
        <v>2.98</v>
      </c>
      <c r="O65" s="21">
        <f t="shared" si="6"/>
        <v>2980</v>
      </c>
      <c r="P65" s="22">
        <f t="shared" si="7"/>
        <v>316186.344</v>
      </c>
      <c r="R65" s="23"/>
      <c r="S65" s="25"/>
      <c r="T65" s="25"/>
      <c r="U65" s="25"/>
      <c r="V65" s="25"/>
      <c r="W65" s="25"/>
      <c r="X65" s="25"/>
      <c r="Y65" s="25"/>
      <c r="Z65" s="25"/>
      <c r="AA65" s="25"/>
    </row>
    <row r="66">
      <c r="A66" s="63">
        <v>45654.0</v>
      </c>
      <c r="B66" s="11">
        <v>45656.0</v>
      </c>
      <c r="C66" s="12">
        <f>VLOOKUP(B:B,'Курс валют'!A:D,4,0)</f>
        <v>106.1028</v>
      </c>
      <c r="D66" s="15">
        <v>910.0</v>
      </c>
      <c r="E66" s="64" t="s">
        <v>61</v>
      </c>
      <c r="F66" s="15">
        <v>8800.0</v>
      </c>
      <c r="G66" s="15">
        <v>8830.0</v>
      </c>
      <c r="H66" s="17">
        <v>3665.0</v>
      </c>
      <c r="I66" s="15">
        <f t="shared" si="1"/>
        <v>30</v>
      </c>
      <c r="J66" s="18">
        <f t="shared" si="2"/>
        <v>0.3409090909</v>
      </c>
      <c r="K66" s="17">
        <v>3.49</v>
      </c>
      <c r="L66" s="19">
        <f t="shared" si="3"/>
        <v>41.64772727</v>
      </c>
      <c r="M66" s="20">
        <f t="shared" si="4"/>
        <v>235.9629815</v>
      </c>
      <c r="N66" s="21">
        <f t="shared" si="5"/>
        <v>2.223909091</v>
      </c>
      <c r="O66" s="21">
        <f t="shared" si="6"/>
        <v>19570.4</v>
      </c>
      <c r="P66" s="22">
        <f t="shared" si="7"/>
        <v>2076474.237</v>
      </c>
      <c r="R66" s="79"/>
      <c r="S66" s="25"/>
      <c r="T66" s="25"/>
      <c r="U66" s="25"/>
      <c r="V66" s="25"/>
      <c r="W66" s="25"/>
      <c r="X66" s="25"/>
      <c r="Y66" s="25"/>
      <c r="Z66" s="25"/>
      <c r="AA66" s="25"/>
    </row>
    <row r="67">
      <c r="A67" s="30">
        <v>45654.0</v>
      </c>
      <c r="B67" s="11">
        <v>45656.0</v>
      </c>
      <c r="C67" s="12">
        <f>VLOOKUP(B:B,'Курс валют'!A:D,4,0)</f>
        <v>106.1028</v>
      </c>
      <c r="D67" s="15">
        <v>911.0</v>
      </c>
      <c r="E67" s="64" t="s">
        <v>18</v>
      </c>
      <c r="F67" s="15">
        <v>8800.0</v>
      </c>
      <c r="G67" s="15">
        <v>8832.0</v>
      </c>
      <c r="H67" s="17">
        <v>4027.0</v>
      </c>
      <c r="I67" s="15">
        <f t="shared" si="1"/>
        <v>32</v>
      </c>
      <c r="J67" s="18">
        <f t="shared" si="2"/>
        <v>0.3636363636</v>
      </c>
      <c r="K67" s="17">
        <v>3.86</v>
      </c>
      <c r="L67" s="19">
        <f t="shared" si="3"/>
        <v>45.76136364</v>
      </c>
      <c r="M67" s="20">
        <f t="shared" si="4"/>
        <v>261.9523801</v>
      </c>
      <c r="N67" s="21">
        <f t="shared" si="5"/>
        <v>2.468854545</v>
      </c>
      <c r="O67" s="21">
        <f t="shared" si="6"/>
        <v>21725.92</v>
      </c>
      <c r="P67" s="22">
        <f t="shared" si="7"/>
        <v>2305180.945</v>
      </c>
      <c r="R67" s="23"/>
      <c r="S67" s="25"/>
      <c r="T67" s="25"/>
      <c r="U67" s="25"/>
      <c r="V67" s="25"/>
      <c r="W67" s="25"/>
      <c r="X67" s="25"/>
      <c r="Y67" s="25"/>
      <c r="Z67" s="25"/>
      <c r="AA67" s="25"/>
    </row>
    <row r="68">
      <c r="A68" s="169">
        <v>45654.0</v>
      </c>
      <c r="B68" s="11">
        <v>45656.0</v>
      </c>
      <c r="C68" s="12">
        <f>VLOOKUP(B:B,'Курс валют'!A:D,4,0)</f>
        <v>106.1028</v>
      </c>
      <c r="D68" s="15">
        <v>912.0</v>
      </c>
      <c r="E68" s="64" t="s">
        <v>87</v>
      </c>
      <c r="F68" s="15">
        <v>900.0</v>
      </c>
      <c r="G68" s="15">
        <v>939.703</v>
      </c>
      <c r="H68" s="17">
        <v>0.0</v>
      </c>
      <c r="I68" s="15">
        <f t="shared" si="1"/>
        <v>39.703</v>
      </c>
      <c r="J68" s="18">
        <f t="shared" si="2"/>
        <v>4.411444444</v>
      </c>
      <c r="K68" s="17">
        <v>2.01</v>
      </c>
      <c r="L68" s="19">
        <f t="shared" si="3"/>
        <v>0</v>
      </c>
      <c r="M68" s="20">
        <f t="shared" si="4"/>
        <v>213.266628</v>
      </c>
      <c r="N68" s="21">
        <f t="shared" si="5"/>
        <v>2.01</v>
      </c>
      <c r="O68" s="21">
        <f t="shared" si="6"/>
        <v>1809</v>
      </c>
      <c r="P68" s="22">
        <f t="shared" si="7"/>
        <v>191939.9652</v>
      </c>
      <c r="R68" s="23" t="s">
        <v>2319</v>
      </c>
      <c r="S68" s="25"/>
      <c r="T68" s="25"/>
      <c r="U68" s="25"/>
      <c r="V68" s="25"/>
      <c r="W68" s="25"/>
      <c r="X68" s="25"/>
      <c r="Y68" s="25"/>
      <c r="Z68" s="25"/>
      <c r="AA68" s="25"/>
    </row>
    <row r="69">
      <c r="A69" s="147">
        <v>45654.0</v>
      </c>
      <c r="B69" s="11">
        <v>45656.0</v>
      </c>
      <c r="C69" s="12">
        <f>VLOOKUP(B:B,'Курс валют'!A:D,4,0)</f>
        <v>106.1028</v>
      </c>
      <c r="D69" s="15">
        <v>909.0</v>
      </c>
      <c r="E69" s="64" t="s">
        <v>87</v>
      </c>
      <c r="F69" s="15">
        <v>900.0</v>
      </c>
      <c r="G69" s="15">
        <v>939.703</v>
      </c>
      <c r="H69" s="17">
        <v>0.0</v>
      </c>
      <c r="I69" s="15">
        <f t="shared" si="1"/>
        <v>39.703</v>
      </c>
      <c r="J69" s="18">
        <f t="shared" si="2"/>
        <v>4.411444444</v>
      </c>
      <c r="K69" s="17">
        <v>2.01</v>
      </c>
      <c r="L69" s="19">
        <f t="shared" si="3"/>
        <v>0</v>
      </c>
      <c r="M69" s="20">
        <f t="shared" si="4"/>
        <v>213.266628</v>
      </c>
      <c r="N69" s="21">
        <f t="shared" si="5"/>
        <v>2.01</v>
      </c>
      <c r="O69" s="21">
        <f t="shared" si="6"/>
        <v>1809</v>
      </c>
      <c r="P69" s="22">
        <f t="shared" si="7"/>
        <v>191939.9652</v>
      </c>
      <c r="R69" s="23" t="s">
        <v>2320</v>
      </c>
      <c r="S69" s="25"/>
      <c r="T69" s="25"/>
      <c r="U69" s="25"/>
      <c r="V69" s="25"/>
      <c r="W69" s="25"/>
      <c r="X69" s="25"/>
      <c r="Y69" s="25"/>
      <c r="Z69" s="25"/>
      <c r="AA69" s="25"/>
    </row>
    <row r="70">
      <c r="A70" s="147">
        <v>45654.0</v>
      </c>
      <c r="B70" s="11">
        <v>45656.0</v>
      </c>
      <c r="C70" s="12">
        <f>VLOOKUP(B:B,'Курс валют'!A:D,4,0)</f>
        <v>106.1028</v>
      </c>
      <c r="D70" s="15">
        <v>904.0</v>
      </c>
      <c r="E70" s="64" t="s">
        <v>87</v>
      </c>
      <c r="F70" s="15">
        <v>900.0</v>
      </c>
      <c r="G70" s="15">
        <v>939.703</v>
      </c>
      <c r="H70" s="17">
        <v>0.0</v>
      </c>
      <c r="I70" s="15">
        <f t="shared" si="1"/>
        <v>39.703</v>
      </c>
      <c r="J70" s="18">
        <f t="shared" si="2"/>
        <v>4.411444444</v>
      </c>
      <c r="K70" s="17">
        <v>2.01</v>
      </c>
      <c r="L70" s="19">
        <f t="shared" si="3"/>
        <v>0</v>
      </c>
      <c r="M70" s="20">
        <f t="shared" si="4"/>
        <v>213.266628</v>
      </c>
      <c r="N70" s="21">
        <f t="shared" si="5"/>
        <v>2.01</v>
      </c>
      <c r="O70" s="21">
        <f t="shared" si="6"/>
        <v>1809</v>
      </c>
      <c r="P70" s="22">
        <f t="shared" si="7"/>
        <v>191939.9652</v>
      </c>
      <c r="R70" s="23" t="s">
        <v>2321</v>
      </c>
      <c r="S70" s="25"/>
      <c r="T70" s="25"/>
      <c r="U70" s="25"/>
      <c r="V70" s="25"/>
      <c r="W70" s="25"/>
      <c r="X70" s="25"/>
      <c r="Y70" s="25"/>
      <c r="Z70" s="25"/>
      <c r="AA70" s="25"/>
    </row>
    <row r="71">
      <c r="A71" s="147"/>
      <c r="B71" s="11"/>
      <c r="C71" s="12" t="str">
        <f>VLOOKUP(B:B,'Курс валют'!A:D,4,0)</f>
        <v>#N/A</v>
      </c>
      <c r="D71" s="15"/>
      <c r="E71" s="64"/>
      <c r="F71" s="15"/>
      <c r="G71" s="15"/>
      <c r="H71" s="17"/>
      <c r="I71" s="15">
        <f t="shared" si="1"/>
        <v>0</v>
      </c>
      <c r="J71" s="18" t="str">
        <f t="shared" si="2"/>
        <v>#DIV/0!</v>
      </c>
      <c r="K71" s="17"/>
      <c r="L71" s="19" t="str">
        <f t="shared" si="3"/>
        <v>#DIV/0!</v>
      </c>
      <c r="M71" s="20" t="str">
        <f t="shared" si="4"/>
        <v>#DIV/0!</v>
      </c>
      <c r="N71" s="21" t="str">
        <f t="shared" si="5"/>
        <v>#DIV/0!</v>
      </c>
      <c r="O71" s="21" t="str">
        <f t="shared" si="6"/>
        <v>#DIV/0!</v>
      </c>
      <c r="P71" s="22" t="str">
        <f t="shared" si="7"/>
        <v>#DIV/0!</v>
      </c>
      <c r="R71" s="23"/>
      <c r="S71" s="25"/>
      <c r="T71" s="25"/>
      <c r="U71" s="25"/>
      <c r="V71" s="25"/>
      <c r="W71" s="25"/>
      <c r="X71" s="25"/>
      <c r="Y71" s="25"/>
      <c r="Z71" s="25"/>
      <c r="AA71" s="25"/>
    </row>
    <row r="72">
      <c r="A72" s="147"/>
      <c r="B72" s="11"/>
      <c r="C72" s="12"/>
      <c r="D72" s="15"/>
      <c r="E72" s="64"/>
      <c r="F72" s="15"/>
      <c r="G72" s="15"/>
      <c r="H72" s="17"/>
      <c r="I72" s="15"/>
      <c r="J72" s="18"/>
      <c r="K72" s="17"/>
      <c r="L72" s="19" t="str">
        <f t="shared" si="3"/>
        <v>#DIV/0!</v>
      </c>
      <c r="M72" s="20" t="str">
        <f t="shared" si="4"/>
        <v>#DIV/0!</v>
      </c>
      <c r="N72" s="21" t="str">
        <f t="shared" si="5"/>
        <v>#DIV/0!</v>
      </c>
      <c r="O72" s="21" t="str">
        <f t="shared" si="6"/>
        <v>#DIV/0!</v>
      </c>
      <c r="P72" s="22" t="str">
        <f t="shared" si="7"/>
        <v>#DIV/0!</v>
      </c>
      <c r="R72" s="79"/>
      <c r="S72" s="25"/>
      <c r="T72" s="25"/>
      <c r="U72" s="25"/>
      <c r="V72" s="25"/>
      <c r="W72" s="25"/>
      <c r="X72" s="25"/>
      <c r="Y72" s="25"/>
      <c r="Z72" s="25"/>
      <c r="AA72" s="25"/>
    </row>
    <row r="73">
      <c r="A73" s="147"/>
      <c r="B73" s="11"/>
      <c r="C73" s="12"/>
      <c r="D73" s="15"/>
      <c r="E73" s="64"/>
      <c r="F73" s="15"/>
      <c r="G73" s="15"/>
      <c r="H73" s="17"/>
      <c r="I73" s="15"/>
      <c r="J73" s="18"/>
      <c r="K73" s="17"/>
      <c r="L73" s="19" t="str">
        <f t="shared" si="3"/>
        <v>#DIV/0!</v>
      </c>
      <c r="M73" s="20" t="str">
        <f t="shared" si="4"/>
        <v>#DIV/0!</v>
      </c>
      <c r="N73" s="21" t="str">
        <f t="shared" si="5"/>
        <v>#DIV/0!</v>
      </c>
      <c r="O73" s="21" t="str">
        <f t="shared" si="6"/>
        <v>#DIV/0!</v>
      </c>
      <c r="P73" s="22" t="str">
        <f t="shared" si="7"/>
        <v>#DIV/0!</v>
      </c>
      <c r="R73" s="23"/>
      <c r="S73" s="25"/>
      <c r="T73" s="25"/>
      <c r="U73" s="25"/>
      <c r="V73" s="25"/>
      <c r="W73" s="25"/>
      <c r="X73" s="25"/>
      <c r="Y73" s="25"/>
      <c r="Z73" s="25"/>
      <c r="AA73" s="25"/>
    </row>
    <row r="74">
      <c r="A74" s="147"/>
      <c r="B74" s="11"/>
      <c r="C74" s="12"/>
      <c r="D74" s="15"/>
      <c r="E74" s="64"/>
      <c r="F74" s="15"/>
      <c r="G74" s="15"/>
      <c r="H74" s="17"/>
      <c r="I74" s="15"/>
      <c r="J74" s="18"/>
      <c r="K74" s="17"/>
      <c r="L74" s="19" t="str">
        <f t="shared" si="3"/>
        <v>#DIV/0!</v>
      </c>
      <c r="M74" s="20" t="str">
        <f t="shared" si="4"/>
        <v>#DIV/0!</v>
      </c>
      <c r="N74" s="21" t="str">
        <f t="shared" si="5"/>
        <v>#DIV/0!</v>
      </c>
      <c r="O74" s="21" t="str">
        <f t="shared" si="6"/>
        <v>#DIV/0!</v>
      </c>
      <c r="P74" s="22" t="str">
        <f t="shared" si="7"/>
        <v>#DIV/0!</v>
      </c>
      <c r="R74" s="79"/>
      <c r="S74" s="25"/>
      <c r="T74" s="25"/>
      <c r="U74" s="25"/>
      <c r="V74" s="25"/>
      <c r="W74" s="25"/>
      <c r="X74" s="25"/>
      <c r="Y74" s="25"/>
      <c r="Z74" s="25"/>
      <c r="AA74" s="25"/>
    </row>
    <row r="75">
      <c r="A75" s="148"/>
      <c r="B75" s="11"/>
      <c r="C75" s="12"/>
      <c r="D75" s="15"/>
      <c r="E75" s="64"/>
      <c r="F75" s="15"/>
      <c r="G75" s="15"/>
      <c r="H75" s="17"/>
      <c r="I75" s="15"/>
      <c r="J75" s="18"/>
      <c r="K75" s="17"/>
      <c r="L75" s="19" t="str">
        <f t="shared" si="3"/>
        <v>#DIV/0!</v>
      </c>
      <c r="M75" s="20" t="str">
        <f t="shared" si="4"/>
        <v>#DIV/0!</v>
      </c>
      <c r="N75" s="21" t="str">
        <f t="shared" si="5"/>
        <v>#DIV/0!</v>
      </c>
      <c r="O75" s="21" t="str">
        <f t="shared" si="6"/>
        <v>#DIV/0!</v>
      </c>
      <c r="P75" s="22" t="str">
        <f t="shared" si="7"/>
        <v>#DIV/0!</v>
      </c>
      <c r="R75" s="79"/>
      <c r="S75" s="25"/>
      <c r="T75" s="25"/>
      <c r="U75" s="25"/>
      <c r="V75" s="25"/>
      <c r="W75" s="25"/>
      <c r="X75" s="25"/>
      <c r="Y75" s="25"/>
      <c r="Z75" s="25"/>
      <c r="AA75" s="25"/>
    </row>
    <row r="76">
      <c r="A76" s="148"/>
      <c r="B76" s="11"/>
      <c r="C76" s="12"/>
      <c r="D76" s="15"/>
      <c r="E76" s="59"/>
      <c r="F76" s="15"/>
      <c r="G76" s="15"/>
      <c r="H76" s="17"/>
      <c r="I76" s="15"/>
      <c r="J76" s="18"/>
      <c r="K76" s="17"/>
      <c r="L76" s="19" t="str">
        <f t="shared" si="3"/>
        <v>#DIV/0!</v>
      </c>
      <c r="M76" s="20" t="str">
        <f t="shared" si="4"/>
        <v>#DIV/0!</v>
      </c>
      <c r="N76" s="21" t="str">
        <f t="shared" si="5"/>
        <v>#DIV/0!</v>
      </c>
      <c r="O76" s="21" t="str">
        <f t="shared" si="6"/>
        <v>#DIV/0!</v>
      </c>
      <c r="P76" s="22" t="str">
        <f t="shared" si="7"/>
        <v>#DIV/0!</v>
      </c>
      <c r="R76" s="79"/>
      <c r="S76" s="25"/>
      <c r="T76" s="25"/>
      <c r="U76" s="25"/>
      <c r="V76" s="25"/>
      <c r="W76" s="25"/>
      <c r="X76" s="25"/>
      <c r="Y76" s="25"/>
      <c r="Z76" s="25"/>
      <c r="AA76" s="25"/>
    </row>
    <row r="77">
      <c r="A77" s="148"/>
      <c r="B77" s="11"/>
      <c r="C77" s="12"/>
      <c r="D77" s="15"/>
      <c r="E77" s="59"/>
      <c r="F77" s="15"/>
      <c r="G77" s="15"/>
      <c r="H77" s="17"/>
      <c r="I77" s="15"/>
      <c r="J77" s="18"/>
      <c r="K77" s="17"/>
      <c r="L77" s="19" t="str">
        <f t="shared" si="3"/>
        <v>#DIV/0!</v>
      </c>
      <c r="M77" s="20" t="str">
        <f t="shared" si="4"/>
        <v>#DIV/0!</v>
      </c>
      <c r="N77" s="21" t="str">
        <f t="shared" si="5"/>
        <v>#DIV/0!</v>
      </c>
      <c r="O77" s="21" t="str">
        <f t="shared" si="6"/>
        <v>#DIV/0!</v>
      </c>
      <c r="P77" s="22" t="str">
        <f t="shared" si="7"/>
        <v>#DIV/0!</v>
      </c>
      <c r="R77" s="23"/>
      <c r="S77" s="25"/>
      <c r="T77" s="25"/>
      <c r="U77" s="25"/>
      <c r="V77" s="25"/>
      <c r="W77" s="25"/>
      <c r="X77" s="25"/>
      <c r="Y77" s="25"/>
      <c r="Z77" s="25"/>
      <c r="AA77" s="25"/>
    </row>
    <row r="78">
      <c r="A78" s="148"/>
      <c r="B78" s="11"/>
      <c r="C78" s="12"/>
      <c r="D78" s="15"/>
      <c r="E78" s="59"/>
      <c r="F78" s="15"/>
      <c r="G78" s="15"/>
      <c r="H78" s="65"/>
      <c r="I78" s="15"/>
      <c r="J78" s="18"/>
      <c r="K78" s="65"/>
      <c r="L78" s="19" t="str">
        <f t="shared" si="3"/>
        <v>#DIV/0!</v>
      </c>
      <c r="M78" s="20" t="str">
        <f t="shared" si="4"/>
        <v>#DIV/0!</v>
      </c>
      <c r="N78" s="21" t="str">
        <f t="shared" si="5"/>
        <v>#DIV/0!</v>
      </c>
      <c r="O78" s="21" t="str">
        <f t="shared" si="6"/>
        <v>#DIV/0!</v>
      </c>
      <c r="P78" s="22" t="str">
        <f t="shared" si="7"/>
        <v>#DIV/0!</v>
      </c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>
      <c r="A79" s="148"/>
      <c r="B79" s="11"/>
      <c r="C79" s="12"/>
      <c r="D79" s="15"/>
      <c r="E79" s="59"/>
      <c r="F79" s="15"/>
      <c r="G79" s="15"/>
      <c r="H79" s="65"/>
      <c r="I79" s="15"/>
      <c r="J79" s="18"/>
      <c r="K79" s="65"/>
      <c r="L79" s="19" t="str">
        <f t="shared" si="3"/>
        <v>#DIV/0!</v>
      </c>
      <c r="M79" s="20" t="str">
        <f t="shared" si="4"/>
        <v>#DIV/0!</v>
      </c>
      <c r="N79" s="21" t="str">
        <f t="shared" si="5"/>
        <v>#DIV/0!</v>
      </c>
      <c r="O79" s="21" t="str">
        <f t="shared" si="6"/>
        <v>#DIV/0!</v>
      </c>
      <c r="P79" s="22" t="str">
        <f t="shared" si="7"/>
        <v>#DIV/0!</v>
      </c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>
      <c r="A80" s="149"/>
      <c r="B80" s="11"/>
      <c r="C80" s="12"/>
      <c r="D80" s="67"/>
      <c r="E80" s="67"/>
      <c r="F80" s="67"/>
      <c r="G80" s="67"/>
      <c r="H80" s="65"/>
      <c r="I80" s="15"/>
      <c r="J80" s="18"/>
      <c r="K80" s="65"/>
      <c r="L80" s="19" t="str">
        <f t="shared" si="3"/>
        <v>#DIV/0!</v>
      </c>
      <c r="M80" s="20" t="str">
        <f t="shared" si="4"/>
        <v>#DIV/0!</v>
      </c>
      <c r="N80" s="21" t="str">
        <f t="shared" si="5"/>
        <v>#DIV/0!</v>
      </c>
      <c r="O80" s="21" t="str">
        <f t="shared" si="6"/>
        <v>#DIV/0!</v>
      </c>
      <c r="P80" s="22" t="str">
        <f t="shared" si="7"/>
        <v>#DIV/0!</v>
      </c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>
      <c r="A81" s="149"/>
      <c r="B81" s="11"/>
      <c r="C81" s="12"/>
      <c r="D81" s="67"/>
      <c r="E81" s="67"/>
      <c r="F81" s="67"/>
      <c r="G81" s="67"/>
      <c r="H81" s="65"/>
      <c r="I81" s="15"/>
      <c r="J81" s="18"/>
      <c r="K81" s="65"/>
      <c r="L81" s="19" t="str">
        <f t="shared" si="3"/>
        <v>#DIV/0!</v>
      </c>
      <c r="M81" s="20" t="str">
        <f t="shared" si="4"/>
        <v>#DIV/0!</v>
      </c>
      <c r="N81" s="21" t="str">
        <f t="shared" si="5"/>
        <v>#DIV/0!</v>
      </c>
      <c r="O81" s="21" t="str">
        <f t="shared" si="6"/>
        <v>#DIV/0!</v>
      </c>
      <c r="P81" s="22" t="str">
        <f t="shared" si="7"/>
        <v>#DIV/0!</v>
      </c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>
      <c r="A82" s="149"/>
      <c r="B82" s="11"/>
      <c r="C82" s="12"/>
      <c r="D82" s="67"/>
      <c r="E82" s="67"/>
      <c r="F82" s="67"/>
      <c r="G82" s="67"/>
      <c r="H82" s="65"/>
      <c r="I82" s="15"/>
      <c r="J82" s="18"/>
      <c r="K82" s="65"/>
      <c r="L82" s="19"/>
      <c r="M82" s="20"/>
      <c r="N82" s="21"/>
      <c r="O82" s="21"/>
      <c r="P82" s="22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>
      <c r="A83" s="149"/>
      <c r="B83" s="11"/>
      <c r="C83" s="150"/>
      <c r="D83" s="67"/>
      <c r="E83" s="67"/>
      <c r="F83" s="67"/>
      <c r="G83" s="67"/>
      <c r="H83" s="65"/>
      <c r="I83" s="15"/>
      <c r="J83" s="18"/>
      <c r="K83" s="65"/>
      <c r="L83" s="19"/>
      <c r="M83" s="20"/>
      <c r="N83" s="21"/>
      <c r="O83" s="21"/>
      <c r="P83" s="22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>
      <c r="A84" s="149"/>
      <c r="B84" s="11"/>
      <c r="C84" s="150"/>
      <c r="D84" s="67"/>
      <c r="E84" s="67"/>
      <c r="F84" s="67"/>
      <c r="G84" s="67"/>
      <c r="H84" s="65"/>
      <c r="I84" s="15"/>
      <c r="J84" s="18"/>
      <c r="K84" s="65"/>
      <c r="L84" s="19"/>
      <c r="M84" s="20"/>
      <c r="N84" s="21"/>
      <c r="O84" s="21"/>
      <c r="P84" s="22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>
      <c r="A85" s="149"/>
      <c r="B85" s="11"/>
      <c r="C85" s="150"/>
      <c r="D85" s="67"/>
      <c r="E85" s="67"/>
      <c r="F85" s="67"/>
      <c r="G85" s="67"/>
      <c r="H85" s="65"/>
      <c r="I85" s="15"/>
      <c r="J85" s="18"/>
      <c r="K85" s="65"/>
      <c r="L85" s="19"/>
      <c r="M85" s="20"/>
      <c r="N85" s="21"/>
      <c r="O85" s="21"/>
      <c r="P85" s="22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>
      <c r="A86" s="149"/>
      <c r="B86" s="11"/>
      <c r="C86" s="150"/>
      <c r="D86" s="67"/>
      <c r="E86" s="67"/>
      <c r="F86" s="67"/>
      <c r="G86" s="67"/>
      <c r="H86" s="65"/>
      <c r="I86" s="15"/>
      <c r="J86" s="18"/>
      <c r="K86" s="65"/>
      <c r="L86" s="19"/>
      <c r="M86" s="20"/>
      <c r="N86" s="21"/>
      <c r="O86" s="21"/>
      <c r="P86" s="22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>
      <c r="A87" s="25"/>
      <c r="B87" s="11"/>
      <c r="C87" s="25"/>
      <c r="D87" s="25"/>
      <c r="E87" s="25"/>
      <c r="F87" s="25"/>
      <c r="G87" s="25"/>
      <c r="H87" s="80"/>
      <c r="I87" s="25"/>
      <c r="J87" s="25"/>
      <c r="K87" s="80"/>
      <c r="L87" s="81"/>
      <c r="M87" s="82"/>
      <c r="N87" s="25"/>
      <c r="O87" s="25"/>
      <c r="P87" s="82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>
      <c r="A88" s="25"/>
      <c r="B88" s="11"/>
      <c r="C88" s="25"/>
      <c r="D88" s="25"/>
      <c r="E88" s="25"/>
      <c r="F88" s="25"/>
      <c r="G88" s="25"/>
      <c r="H88" s="80"/>
      <c r="I88" s="25"/>
      <c r="J88" s="25"/>
      <c r="K88" s="80"/>
      <c r="L88" s="81"/>
      <c r="M88" s="82"/>
      <c r="N88" s="25"/>
      <c r="O88" s="25"/>
      <c r="P88" s="82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>
      <c r="A89" s="25"/>
      <c r="B89" s="11"/>
      <c r="C89" s="25"/>
      <c r="D89" s="25"/>
      <c r="E89" s="25"/>
      <c r="F89" s="25"/>
      <c r="G89" s="25"/>
      <c r="H89" s="80"/>
      <c r="I89" s="25"/>
      <c r="J89" s="25"/>
      <c r="K89" s="80"/>
      <c r="L89" s="81"/>
      <c r="M89" s="82"/>
      <c r="N89" s="25"/>
      <c r="O89" s="25"/>
      <c r="P89" s="82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>
      <c r="A90" s="25"/>
      <c r="B90" s="11"/>
      <c r="C90" s="25"/>
      <c r="D90" s="25"/>
      <c r="E90" s="25"/>
      <c r="F90" s="25"/>
      <c r="G90" s="25"/>
      <c r="H90" s="80"/>
      <c r="I90" s="25"/>
      <c r="J90" s="25"/>
      <c r="K90" s="80"/>
      <c r="L90" s="81"/>
      <c r="M90" s="82"/>
      <c r="N90" s="25"/>
      <c r="O90" s="25"/>
      <c r="P90" s="82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>
      <c r="A91" s="25"/>
      <c r="B91" s="11"/>
      <c r="C91" s="25"/>
      <c r="D91" s="25"/>
      <c r="E91" s="25"/>
      <c r="F91" s="25"/>
      <c r="G91" s="25"/>
      <c r="H91" s="80"/>
      <c r="I91" s="25"/>
      <c r="J91" s="25"/>
      <c r="K91" s="80"/>
      <c r="L91" s="81"/>
      <c r="M91" s="82"/>
      <c r="N91" s="25"/>
      <c r="O91" s="25"/>
      <c r="P91" s="82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>
      <c r="A92" s="25"/>
      <c r="B92" s="11"/>
      <c r="C92" s="25"/>
      <c r="D92" s="25"/>
      <c r="E92" s="25"/>
      <c r="F92" s="25"/>
      <c r="G92" s="25"/>
      <c r="H92" s="80"/>
      <c r="I92" s="25"/>
      <c r="J92" s="25"/>
      <c r="K92" s="80"/>
      <c r="L92" s="81"/>
      <c r="M92" s="82"/>
      <c r="N92" s="25"/>
      <c r="O92" s="25"/>
      <c r="P92" s="82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>
      <c r="A93" s="25"/>
      <c r="B93" s="11"/>
      <c r="C93" s="25"/>
      <c r="D93" s="25"/>
      <c r="E93" s="25"/>
      <c r="F93" s="25"/>
      <c r="G93" s="25"/>
      <c r="H93" s="80"/>
      <c r="I93" s="25"/>
      <c r="J93" s="25"/>
      <c r="K93" s="80"/>
      <c r="L93" s="81"/>
      <c r="M93" s="82"/>
      <c r="N93" s="25"/>
      <c r="O93" s="25"/>
      <c r="P93" s="82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>
      <c r="A94" s="25"/>
      <c r="B94" s="11"/>
      <c r="C94" s="25"/>
      <c r="D94" s="25"/>
      <c r="E94" s="25"/>
      <c r="F94" s="25"/>
      <c r="G94" s="25"/>
      <c r="H94" s="80"/>
      <c r="I94" s="25"/>
      <c r="J94" s="25"/>
      <c r="K94" s="80"/>
      <c r="L94" s="81"/>
      <c r="M94" s="82"/>
      <c r="N94" s="25"/>
      <c r="O94" s="25"/>
      <c r="P94" s="82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>
      <c r="A95" s="25"/>
      <c r="B95" s="11"/>
      <c r="C95" s="25"/>
      <c r="D95" s="25"/>
      <c r="E95" s="25"/>
      <c r="F95" s="25"/>
      <c r="G95" s="25"/>
      <c r="H95" s="80"/>
      <c r="I95" s="25"/>
      <c r="J95" s="25"/>
      <c r="K95" s="80"/>
      <c r="L95" s="81"/>
      <c r="M95" s="82"/>
      <c r="N95" s="25"/>
      <c r="O95" s="25"/>
      <c r="P95" s="82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>
      <c r="A96" s="25"/>
      <c r="B96" s="11"/>
      <c r="C96" s="25"/>
      <c r="D96" s="25"/>
      <c r="E96" s="25"/>
      <c r="F96" s="25"/>
      <c r="G96" s="25"/>
      <c r="H96" s="80"/>
      <c r="I96" s="25"/>
      <c r="J96" s="25"/>
      <c r="K96" s="80"/>
      <c r="L96" s="81"/>
      <c r="M96" s="82"/>
      <c r="N96" s="25"/>
      <c r="O96" s="25"/>
      <c r="P96" s="82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>
      <c r="A97" s="25"/>
      <c r="B97" s="11"/>
      <c r="C97" s="25"/>
      <c r="D97" s="25"/>
      <c r="E97" s="25"/>
      <c r="F97" s="25"/>
      <c r="G97" s="25"/>
      <c r="H97" s="80"/>
      <c r="I97" s="25"/>
      <c r="J97" s="25"/>
      <c r="K97" s="80"/>
      <c r="L97" s="81"/>
      <c r="M97" s="82"/>
      <c r="N97" s="25"/>
      <c r="O97" s="25"/>
      <c r="P97" s="82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>
      <c r="A98" s="25"/>
      <c r="B98" s="11"/>
      <c r="C98" s="25"/>
      <c r="D98" s="25"/>
      <c r="E98" s="25"/>
      <c r="F98" s="25"/>
      <c r="G98" s="25"/>
      <c r="H98" s="80"/>
      <c r="I98" s="25"/>
      <c r="J98" s="25"/>
      <c r="K98" s="80"/>
      <c r="L98" s="81"/>
      <c r="M98" s="82"/>
      <c r="N98" s="25"/>
      <c r="O98" s="25"/>
      <c r="P98" s="82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>
      <c r="A99" s="25"/>
      <c r="B99" s="11"/>
      <c r="C99" s="25"/>
      <c r="D99" s="25"/>
      <c r="E99" s="25"/>
      <c r="F99" s="25"/>
      <c r="G99" s="25"/>
      <c r="H99" s="80"/>
      <c r="I99" s="25"/>
      <c r="J99" s="25"/>
      <c r="K99" s="80"/>
      <c r="L99" s="81"/>
      <c r="M99" s="82"/>
      <c r="N99" s="25"/>
      <c r="O99" s="25"/>
      <c r="P99" s="82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>
      <c r="A100" s="25"/>
      <c r="B100" s="11"/>
      <c r="C100" s="25"/>
      <c r="D100" s="25"/>
      <c r="E100" s="25"/>
      <c r="F100" s="25"/>
      <c r="G100" s="25"/>
      <c r="H100" s="80"/>
      <c r="I100" s="25"/>
      <c r="J100" s="25"/>
      <c r="K100" s="80"/>
      <c r="L100" s="81"/>
      <c r="M100" s="82"/>
      <c r="N100" s="25"/>
      <c r="O100" s="25"/>
      <c r="P100" s="82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>
      <c r="A101" s="25"/>
      <c r="B101" s="11"/>
      <c r="C101" s="25"/>
      <c r="D101" s="25"/>
      <c r="E101" s="25"/>
      <c r="F101" s="25"/>
      <c r="G101" s="25"/>
      <c r="H101" s="80"/>
      <c r="I101" s="25"/>
      <c r="J101" s="25"/>
      <c r="K101" s="80"/>
      <c r="L101" s="81"/>
      <c r="M101" s="82"/>
      <c r="N101" s="25"/>
      <c r="O101" s="25"/>
      <c r="P101" s="82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>
      <c r="A102" s="25"/>
      <c r="B102" s="11"/>
      <c r="C102" s="25"/>
      <c r="D102" s="25"/>
      <c r="E102" s="25"/>
      <c r="F102" s="25"/>
      <c r="G102" s="25"/>
      <c r="H102" s="80"/>
      <c r="I102" s="25"/>
      <c r="J102" s="25"/>
      <c r="K102" s="80"/>
      <c r="L102" s="81"/>
      <c r="M102" s="82"/>
      <c r="N102" s="25"/>
      <c r="O102" s="25"/>
      <c r="P102" s="82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>
      <c r="A103" s="25"/>
      <c r="B103" s="11"/>
      <c r="C103" s="25"/>
      <c r="D103" s="25"/>
      <c r="E103" s="25"/>
      <c r="F103" s="25"/>
      <c r="G103" s="25"/>
      <c r="H103" s="80"/>
      <c r="I103" s="25"/>
      <c r="J103" s="25"/>
      <c r="K103" s="80"/>
      <c r="L103" s="81"/>
      <c r="M103" s="82"/>
      <c r="N103" s="25"/>
      <c r="O103" s="25"/>
      <c r="P103" s="82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>
      <c r="A104" s="25"/>
      <c r="B104" s="11"/>
      <c r="C104" s="25"/>
      <c r="D104" s="25"/>
      <c r="E104" s="25"/>
      <c r="F104" s="25"/>
      <c r="G104" s="25"/>
      <c r="H104" s="80"/>
      <c r="I104" s="25"/>
      <c r="J104" s="25"/>
      <c r="K104" s="80"/>
      <c r="L104" s="81"/>
      <c r="M104" s="82"/>
      <c r="N104" s="25"/>
      <c r="O104" s="25"/>
      <c r="P104" s="82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>
      <c r="A105" s="25"/>
      <c r="B105" s="11"/>
      <c r="C105" s="25"/>
      <c r="D105" s="25"/>
      <c r="E105" s="25"/>
      <c r="F105" s="25"/>
      <c r="G105" s="25"/>
      <c r="H105" s="80"/>
      <c r="I105" s="25"/>
      <c r="J105" s="25"/>
      <c r="K105" s="80"/>
      <c r="L105" s="81"/>
      <c r="M105" s="82"/>
      <c r="N105" s="25"/>
      <c r="O105" s="25"/>
      <c r="P105" s="82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>
      <c r="A106" s="25"/>
      <c r="B106" s="11"/>
      <c r="C106" s="25"/>
      <c r="D106" s="25"/>
      <c r="E106" s="25"/>
      <c r="F106" s="25"/>
      <c r="G106" s="25"/>
      <c r="H106" s="80"/>
      <c r="I106" s="25"/>
      <c r="J106" s="25"/>
      <c r="K106" s="80"/>
      <c r="L106" s="81"/>
      <c r="M106" s="82"/>
      <c r="N106" s="25"/>
      <c r="O106" s="25"/>
      <c r="P106" s="82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>
      <c r="A107" s="25"/>
      <c r="B107" s="11"/>
      <c r="C107" s="25"/>
      <c r="D107" s="25"/>
      <c r="E107" s="25"/>
      <c r="F107" s="25"/>
      <c r="G107" s="25"/>
      <c r="H107" s="80"/>
      <c r="I107" s="25"/>
      <c r="J107" s="25"/>
      <c r="K107" s="80"/>
      <c r="L107" s="81"/>
      <c r="M107" s="82"/>
      <c r="N107" s="25"/>
      <c r="O107" s="25"/>
      <c r="P107" s="82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>
      <c r="A108" s="25"/>
      <c r="B108" s="11"/>
      <c r="C108" s="25"/>
      <c r="D108" s="25"/>
      <c r="E108" s="25"/>
      <c r="F108" s="25"/>
      <c r="G108" s="25"/>
      <c r="H108" s="80"/>
      <c r="I108" s="25"/>
      <c r="J108" s="25"/>
      <c r="K108" s="80"/>
      <c r="L108" s="81"/>
      <c r="M108" s="82"/>
      <c r="N108" s="25"/>
      <c r="O108" s="25"/>
      <c r="P108" s="82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>
      <c r="A109" s="25"/>
      <c r="B109" s="11"/>
      <c r="C109" s="25"/>
      <c r="D109" s="25"/>
      <c r="E109" s="25"/>
      <c r="F109" s="25"/>
      <c r="G109" s="25"/>
      <c r="H109" s="80"/>
      <c r="I109" s="25"/>
      <c r="J109" s="25"/>
      <c r="K109" s="80"/>
      <c r="L109" s="81"/>
      <c r="M109" s="82"/>
      <c r="N109" s="25"/>
      <c r="O109" s="25"/>
      <c r="P109" s="82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>
      <c r="A110" s="25"/>
      <c r="B110" s="11"/>
      <c r="C110" s="25"/>
      <c r="D110" s="25"/>
      <c r="E110" s="25"/>
      <c r="F110" s="25"/>
      <c r="G110" s="25"/>
      <c r="H110" s="80"/>
      <c r="I110" s="25"/>
      <c r="J110" s="25"/>
      <c r="K110" s="80"/>
      <c r="L110" s="81"/>
      <c r="M110" s="82"/>
      <c r="N110" s="25"/>
      <c r="O110" s="25"/>
      <c r="P110" s="82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>
      <c r="A111" s="25"/>
      <c r="B111" s="11"/>
      <c r="C111" s="25"/>
      <c r="D111" s="25"/>
      <c r="E111" s="25"/>
      <c r="F111" s="25"/>
      <c r="G111" s="25"/>
      <c r="H111" s="80"/>
      <c r="I111" s="25"/>
      <c r="J111" s="25"/>
      <c r="K111" s="80"/>
      <c r="L111" s="81"/>
      <c r="M111" s="82"/>
      <c r="N111" s="25"/>
      <c r="O111" s="25"/>
      <c r="P111" s="82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>
      <c r="A112" s="25"/>
      <c r="B112" s="11"/>
      <c r="C112" s="25"/>
      <c r="D112" s="25"/>
      <c r="E112" s="25"/>
      <c r="F112" s="25"/>
      <c r="G112" s="25"/>
      <c r="H112" s="80"/>
      <c r="I112" s="25"/>
      <c r="J112" s="25"/>
      <c r="K112" s="80"/>
      <c r="L112" s="81"/>
      <c r="M112" s="82"/>
      <c r="N112" s="25"/>
      <c r="O112" s="25"/>
      <c r="P112" s="82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>
      <c r="A113" s="25"/>
      <c r="B113" s="11"/>
      <c r="C113" s="25"/>
      <c r="D113" s="25"/>
      <c r="E113" s="25"/>
      <c r="F113" s="25"/>
      <c r="G113" s="25"/>
      <c r="H113" s="80"/>
      <c r="I113" s="25"/>
      <c r="J113" s="25"/>
      <c r="K113" s="80"/>
      <c r="L113" s="81"/>
      <c r="M113" s="82"/>
      <c r="N113" s="25"/>
      <c r="O113" s="25"/>
      <c r="P113" s="82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>
      <c r="A114" s="25"/>
      <c r="B114" s="11"/>
      <c r="C114" s="25"/>
      <c r="D114" s="25"/>
      <c r="E114" s="25"/>
      <c r="F114" s="25"/>
      <c r="G114" s="25"/>
      <c r="H114" s="80"/>
      <c r="I114" s="25"/>
      <c r="J114" s="25"/>
      <c r="K114" s="80"/>
      <c r="L114" s="81"/>
      <c r="M114" s="82"/>
      <c r="N114" s="25"/>
      <c r="O114" s="25"/>
      <c r="P114" s="82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>
      <c r="A115" s="25"/>
      <c r="B115" s="11"/>
      <c r="C115" s="25"/>
      <c r="D115" s="25"/>
      <c r="E115" s="25"/>
      <c r="F115" s="25"/>
      <c r="G115" s="25"/>
      <c r="H115" s="80"/>
      <c r="I115" s="25"/>
      <c r="J115" s="25"/>
      <c r="K115" s="80"/>
      <c r="L115" s="81"/>
      <c r="M115" s="82"/>
      <c r="N115" s="25"/>
      <c r="O115" s="25"/>
      <c r="P115" s="82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>
      <c r="A116" s="25"/>
      <c r="B116" s="11"/>
      <c r="C116" s="25"/>
      <c r="D116" s="25"/>
      <c r="E116" s="25"/>
      <c r="F116" s="25"/>
      <c r="G116" s="25"/>
      <c r="H116" s="80"/>
      <c r="I116" s="25"/>
      <c r="J116" s="25"/>
      <c r="K116" s="80"/>
      <c r="L116" s="81"/>
      <c r="M116" s="82"/>
      <c r="N116" s="25"/>
      <c r="O116" s="25"/>
      <c r="P116" s="82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>
      <c r="A117" s="25"/>
      <c r="B117" s="11"/>
      <c r="C117" s="25"/>
      <c r="D117" s="25"/>
      <c r="E117" s="25"/>
      <c r="F117" s="25"/>
      <c r="G117" s="25"/>
      <c r="H117" s="80"/>
      <c r="I117" s="25"/>
      <c r="J117" s="25"/>
      <c r="K117" s="80"/>
      <c r="L117" s="81"/>
      <c r="M117" s="82"/>
      <c r="N117" s="25"/>
      <c r="O117" s="25"/>
      <c r="P117" s="82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>
      <c r="A118" s="25"/>
      <c r="B118" s="11"/>
      <c r="C118" s="25"/>
      <c r="D118" s="25"/>
      <c r="E118" s="25"/>
      <c r="F118" s="25"/>
      <c r="G118" s="25"/>
      <c r="H118" s="80"/>
      <c r="I118" s="25"/>
      <c r="J118" s="25"/>
      <c r="K118" s="80"/>
      <c r="L118" s="81"/>
      <c r="M118" s="82"/>
      <c r="N118" s="25"/>
      <c r="O118" s="25"/>
      <c r="P118" s="82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>
      <c r="A119" s="25"/>
      <c r="B119" s="11"/>
      <c r="C119" s="25"/>
      <c r="D119" s="25"/>
      <c r="E119" s="25"/>
      <c r="F119" s="25"/>
      <c r="G119" s="25"/>
      <c r="H119" s="80"/>
      <c r="I119" s="25"/>
      <c r="J119" s="25"/>
      <c r="K119" s="80"/>
      <c r="L119" s="81"/>
      <c r="M119" s="82"/>
      <c r="N119" s="25"/>
      <c r="O119" s="25"/>
      <c r="P119" s="82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>
      <c r="A120" s="25"/>
      <c r="B120" s="11"/>
      <c r="C120" s="25"/>
      <c r="D120" s="25"/>
      <c r="E120" s="25"/>
      <c r="F120" s="25"/>
      <c r="G120" s="25"/>
      <c r="H120" s="80"/>
      <c r="I120" s="25"/>
      <c r="J120" s="25"/>
      <c r="K120" s="80"/>
      <c r="L120" s="81"/>
      <c r="M120" s="82"/>
      <c r="N120" s="25"/>
      <c r="O120" s="25"/>
      <c r="P120" s="82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>
      <c r="A121" s="25"/>
      <c r="B121" s="11"/>
      <c r="C121" s="25"/>
      <c r="D121" s="25"/>
      <c r="E121" s="25"/>
      <c r="F121" s="25"/>
      <c r="G121" s="25"/>
      <c r="H121" s="80"/>
      <c r="I121" s="25"/>
      <c r="J121" s="25"/>
      <c r="K121" s="80"/>
      <c r="L121" s="81"/>
      <c r="M121" s="82"/>
      <c r="N121" s="25"/>
      <c r="O121" s="25"/>
      <c r="P121" s="82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>
      <c r="B122" s="68"/>
      <c r="H122" s="70"/>
      <c r="K122" s="70"/>
      <c r="L122" s="71"/>
      <c r="M122" s="72"/>
      <c r="P122" s="72"/>
    </row>
    <row r="123">
      <c r="B123" s="68"/>
      <c r="H123" s="70"/>
      <c r="K123" s="70"/>
      <c r="L123" s="71"/>
      <c r="M123" s="72"/>
      <c r="P123" s="72"/>
    </row>
    <row r="124">
      <c r="B124" s="68"/>
      <c r="H124" s="70"/>
      <c r="K124" s="70"/>
      <c r="L124" s="71"/>
      <c r="M124" s="72"/>
      <c r="P124" s="72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  <row r="958">
      <c r="B958" s="68"/>
      <c r="H958" s="70"/>
      <c r="K958" s="70"/>
      <c r="L958" s="71"/>
      <c r="M958" s="72"/>
      <c r="P958" s="72"/>
    </row>
    <row r="959">
      <c r="B959" s="68"/>
      <c r="H959" s="70"/>
      <c r="K959" s="70"/>
      <c r="L959" s="71"/>
      <c r="M959" s="72"/>
      <c r="P959" s="72"/>
    </row>
    <row r="960">
      <c r="B960" s="68"/>
      <c r="H960" s="70"/>
      <c r="K960" s="70"/>
      <c r="L960" s="71"/>
      <c r="M960" s="72"/>
      <c r="P960" s="72"/>
    </row>
    <row r="961">
      <c r="B961" s="68"/>
      <c r="H961" s="70"/>
      <c r="K961" s="70"/>
      <c r="L961" s="71"/>
      <c r="M961" s="72"/>
      <c r="P961" s="72"/>
    </row>
    <row r="962">
      <c r="B962" s="68"/>
      <c r="H962" s="70"/>
      <c r="K962" s="70"/>
      <c r="L962" s="71"/>
      <c r="M962" s="72"/>
      <c r="P962" s="72"/>
    </row>
    <row r="963">
      <c r="B963" s="68"/>
      <c r="H963" s="70"/>
      <c r="K963" s="70"/>
      <c r="L963" s="71"/>
      <c r="M963" s="72"/>
      <c r="P963" s="72"/>
    </row>
  </sheetData>
  <autoFilter ref="$A$1:$P$963"/>
  <drawing r:id="rId4"/>
  <legacyDrawing r:id="rId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  <col customWidth="1" min="18" max="18" width="27.75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2052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11">
        <v>45596.0</v>
      </c>
      <c r="B2" s="11">
        <v>45597.0</v>
      </c>
      <c r="C2" s="12">
        <f>VLOOKUP(B:B,'Курс валют'!A:D,4,0)</f>
        <v>105.5231</v>
      </c>
      <c r="D2" s="12">
        <v>775.0</v>
      </c>
      <c r="E2" s="153" t="s">
        <v>53</v>
      </c>
      <c r="F2" s="12">
        <v>16000.0</v>
      </c>
      <c r="G2" s="12">
        <v>16077.2</v>
      </c>
      <c r="H2" s="17">
        <v>0.0</v>
      </c>
      <c r="I2" s="15">
        <f t="shared" ref="I2:I82" si="1">G2-F2</f>
        <v>77.2</v>
      </c>
      <c r="J2" s="18">
        <f t="shared" ref="J2:J82" si="2">I2/F2*100</f>
        <v>0.4825</v>
      </c>
      <c r="K2" s="170">
        <v>1.97</v>
      </c>
      <c r="L2" s="19">
        <f t="shared" ref="L2:L82" si="3">H2/F2*100</f>
        <v>0</v>
      </c>
      <c r="M2" s="20">
        <f t="shared" ref="M2:M82" si="4">P2/F2</f>
        <v>207.880507</v>
      </c>
      <c r="N2" s="21">
        <f t="shared" ref="N2:N82" si="5">(F2*K2-H2*3.04)/F2</f>
        <v>1.97</v>
      </c>
      <c r="O2" s="21">
        <f t="shared" ref="O2:O82" si="6">N2*F2</f>
        <v>31520</v>
      </c>
      <c r="P2" s="22">
        <f t="shared" ref="P2:P82" si="7">O2*C2</f>
        <v>3326088.112</v>
      </c>
      <c r="R2" s="171"/>
    </row>
    <row r="3">
      <c r="A3" s="11">
        <v>45597.0</v>
      </c>
      <c r="B3" s="11">
        <v>45598.0</v>
      </c>
      <c r="C3" s="12">
        <f>VLOOKUP(B:B,'Курс валют'!A:D,4,0)</f>
        <v>105.8415</v>
      </c>
      <c r="D3" s="15">
        <v>776.0</v>
      </c>
      <c r="E3" s="59" t="s">
        <v>66</v>
      </c>
      <c r="F3" s="15">
        <v>2076.0</v>
      </c>
      <c r="G3" s="15">
        <v>2080.0</v>
      </c>
      <c r="H3" s="17">
        <v>0.0</v>
      </c>
      <c r="I3" s="15">
        <f t="shared" si="1"/>
        <v>4</v>
      </c>
      <c r="J3" s="18">
        <f t="shared" si="2"/>
        <v>0.1926782274</v>
      </c>
      <c r="K3" s="34">
        <v>2.9</v>
      </c>
      <c r="L3" s="19">
        <f t="shared" si="3"/>
        <v>0</v>
      </c>
      <c r="M3" s="20">
        <f t="shared" si="4"/>
        <v>306.94035</v>
      </c>
      <c r="N3" s="21">
        <f t="shared" si="5"/>
        <v>2.9</v>
      </c>
      <c r="O3" s="21">
        <f t="shared" si="6"/>
        <v>6020.4</v>
      </c>
      <c r="P3" s="22">
        <f t="shared" si="7"/>
        <v>637208.1666</v>
      </c>
      <c r="R3" s="172" t="s">
        <v>2322</v>
      </c>
      <c r="S3" s="173" t="s">
        <v>2323</v>
      </c>
    </row>
    <row r="4">
      <c r="A4" s="30">
        <v>45597.0</v>
      </c>
      <c r="B4" s="11">
        <v>45598.0</v>
      </c>
      <c r="C4" s="12">
        <f>VLOOKUP(B:B,'Курс валют'!A:D,4,0)</f>
        <v>105.8415</v>
      </c>
      <c r="D4" s="15">
        <v>777.0</v>
      </c>
      <c r="E4" s="59" t="s">
        <v>54</v>
      </c>
      <c r="F4" s="15">
        <v>1600.0</v>
      </c>
      <c r="G4" s="15">
        <v>1609.0</v>
      </c>
      <c r="H4" s="17">
        <v>0.0</v>
      </c>
      <c r="I4" s="15">
        <f t="shared" si="1"/>
        <v>9</v>
      </c>
      <c r="J4" s="18">
        <f t="shared" si="2"/>
        <v>0.5625</v>
      </c>
      <c r="K4" s="17">
        <v>1.98</v>
      </c>
      <c r="L4" s="19">
        <f t="shared" si="3"/>
        <v>0</v>
      </c>
      <c r="M4" s="20">
        <f t="shared" si="4"/>
        <v>209.56617</v>
      </c>
      <c r="N4" s="21">
        <f t="shared" si="5"/>
        <v>1.98</v>
      </c>
      <c r="O4" s="21">
        <f t="shared" si="6"/>
        <v>3168</v>
      </c>
      <c r="P4" s="22">
        <f t="shared" si="7"/>
        <v>335305.872</v>
      </c>
      <c r="R4" s="172"/>
    </row>
    <row r="5">
      <c r="A5" s="30">
        <v>45598.0</v>
      </c>
      <c r="B5" s="11">
        <v>45601.0</v>
      </c>
      <c r="C5" s="12">
        <f>VLOOKUP(B:B,'Курс валют'!A:D,4,0)</f>
        <v>106.1426</v>
      </c>
      <c r="D5" s="15">
        <v>778.0</v>
      </c>
      <c r="E5" s="59" t="s">
        <v>53</v>
      </c>
      <c r="F5" s="15">
        <v>16000.0</v>
      </c>
      <c r="G5" s="15">
        <v>16093.2</v>
      </c>
      <c r="H5" s="17">
        <v>0.0</v>
      </c>
      <c r="I5" s="15">
        <f t="shared" si="1"/>
        <v>93.2</v>
      </c>
      <c r="J5" s="18">
        <f t="shared" si="2"/>
        <v>0.5825</v>
      </c>
      <c r="K5" s="34">
        <v>1.98</v>
      </c>
      <c r="L5" s="19">
        <f t="shared" si="3"/>
        <v>0</v>
      </c>
      <c r="M5" s="20">
        <f t="shared" si="4"/>
        <v>210.162348</v>
      </c>
      <c r="N5" s="21">
        <f t="shared" si="5"/>
        <v>1.98</v>
      </c>
      <c r="O5" s="21">
        <f t="shared" si="6"/>
        <v>31680</v>
      </c>
      <c r="P5" s="22">
        <f t="shared" si="7"/>
        <v>3362597.568</v>
      </c>
      <c r="R5" s="172" t="s">
        <v>2324</v>
      </c>
    </row>
    <row r="6">
      <c r="A6" s="30">
        <v>45598.0</v>
      </c>
      <c r="B6" s="11">
        <v>45601.0</v>
      </c>
      <c r="C6" s="12">
        <f>VLOOKUP(B:B,'Курс валют'!A:D,4,0)</f>
        <v>106.1426</v>
      </c>
      <c r="D6" s="15">
        <v>779.0</v>
      </c>
      <c r="E6" s="59" t="s">
        <v>54</v>
      </c>
      <c r="F6" s="15">
        <v>5600.0</v>
      </c>
      <c r="G6" s="15">
        <v>5629.0</v>
      </c>
      <c r="H6" s="17">
        <v>0.0</v>
      </c>
      <c r="I6" s="15">
        <f t="shared" si="1"/>
        <v>29</v>
      </c>
      <c r="J6" s="18">
        <f t="shared" si="2"/>
        <v>0.5178571429</v>
      </c>
      <c r="K6" s="34">
        <v>2.05</v>
      </c>
      <c r="L6" s="19">
        <f t="shared" si="3"/>
        <v>0</v>
      </c>
      <c r="M6" s="20">
        <f t="shared" si="4"/>
        <v>217.59233</v>
      </c>
      <c r="N6" s="21">
        <f t="shared" si="5"/>
        <v>2.05</v>
      </c>
      <c r="O6" s="21">
        <f t="shared" si="6"/>
        <v>11480</v>
      </c>
      <c r="P6" s="22">
        <f t="shared" si="7"/>
        <v>1218517.048</v>
      </c>
      <c r="R6" s="172"/>
    </row>
    <row r="7">
      <c r="A7" s="30">
        <v>45598.0</v>
      </c>
      <c r="B7" s="11">
        <v>45601.0</v>
      </c>
      <c r="C7" s="12">
        <f>VLOOKUP(B:B,'Курс валют'!A:D,4,0)</f>
        <v>106.1426</v>
      </c>
      <c r="D7" s="15">
        <v>780.0</v>
      </c>
      <c r="E7" s="77" t="s">
        <v>67</v>
      </c>
      <c r="F7" s="15">
        <v>900.0</v>
      </c>
      <c r="G7" s="15">
        <v>939.26</v>
      </c>
      <c r="H7" s="17">
        <v>75.5</v>
      </c>
      <c r="I7" s="15">
        <f t="shared" si="1"/>
        <v>39.26</v>
      </c>
      <c r="J7" s="18">
        <f t="shared" si="2"/>
        <v>4.362222222</v>
      </c>
      <c r="K7" s="34">
        <v>2.46</v>
      </c>
      <c r="L7" s="19">
        <f t="shared" si="3"/>
        <v>8.388888889</v>
      </c>
      <c r="M7" s="20">
        <f t="shared" si="4"/>
        <v>234.0420743</v>
      </c>
      <c r="N7" s="21">
        <f t="shared" si="5"/>
        <v>2.204977778</v>
      </c>
      <c r="O7" s="21">
        <f t="shared" si="6"/>
        <v>1984.48</v>
      </c>
      <c r="P7" s="22">
        <f t="shared" si="7"/>
        <v>210637.8668</v>
      </c>
      <c r="R7" s="172" t="s">
        <v>2292</v>
      </c>
    </row>
    <row r="8">
      <c r="A8" s="30">
        <v>45598.0</v>
      </c>
      <c r="B8" s="11">
        <v>45601.0</v>
      </c>
      <c r="C8" s="12">
        <f>VLOOKUP(B:B,'Курс валют'!A:D,4,0)</f>
        <v>106.1426</v>
      </c>
      <c r="D8" s="15">
        <v>781.0</v>
      </c>
      <c r="E8" s="77" t="s">
        <v>53</v>
      </c>
      <c r="F8" s="15">
        <v>16000.0</v>
      </c>
      <c r="G8" s="15">
        <v>16092.2</v>
      </c>
      <c r="H8" s="17">
        <v>0.0</v>
      </c>
      <c r="I8" s="15">
        <f t="shared" si="1"/>
        <v>92.2</v>
      </c>
      <c r="J8" s="18">
        <f t="shared" si="2"/>
        <v>0.57625</v>
      </c>
      <c r="K8" s="34">
        <v>1.98</v>
      </c>
      <c r="L8" s="19">
        <f t="shared" si="3"/>
        <v>0</v>
      </c>
      <c r="M8" s="20">
        <f t="shared" si="4"/>
        <v>210.162348</v>
      </c>
      <c r="N8" s="21">
        <f t="shared" si="5"/>
        <v>1.98</v>
      </c>
      <c r="O8" s="21">
        <f t="shared" si="6"/>
        <v>31680</v>
      </c>
      <c r="P8" s="22">
        <f t="shared" si="7"/>
        <v>3362597.568</v>
      </c>
      <c r="R8" s="172" t="s">
        <v>2324</v>
      </c>
    </row>
    <row r="9">
      <c r="A9" s="30">
        <v>45598.0</v>
      </c>
      <c r="B9" s="11">
        <v>45601.0</v>
      </c>
      <c r="C9" s="12">
        <f>VLOOKUP(B:B,'Курс валют'!A:D,4,0)</f>
        <v>106.1426</v>
      </c>
      <c r="D9" s="15">
        <v>782.0</v>
      </c>
      <c r="E9" s="77" t="s">
        <v>67</v>
      </c>
      <c r="F9" s="15">
        <v>900.0</v>
      </c>
      <c r="G9" s="15">
        <v>934.26</v>
      </c>
      <c r="H9" s="17">
        <v>75.5</v>
      </c>
      <c r="I9" s="15">
        <f t="shared" si="1"/>
        <v>34.26</v>
      </c>
      <c r="J9" s="18">
        <f t="shared" si="2"/>
        <v>3.806666667</v>
      </c>
      <c r="K9" s="34">
        <v>2.46</v>
      </c>
      <c r="L9" s="19">
        <f t="shared" si="3"/>
        <v>8.388888889</v>
      </c>
      <c r="M9" s="20">
        <f t="shared" si="4"/>
        <v>234.0420743</v>
      </c>
      <c r="N9" s="21">
        <f t="shared" si="5"/>
        <v>2.204977778</v>
      </c>
      <c r="O9" s="21">
        <f t="shared" si="6"/>
        <v>1984.48</v>
      </c>
      <c r="P9" s="22">
        <f t="shared" si="7"/>
        <v>210637.8668</v>
      </c>
      <c r="R9" s="172" t="s">
        <v>2292</v>
      </c>
    </row>
    <row r="10">
      <c r="A10" s="30">
        <v>45601.0</v>
      </c>
      <c r="B10" s="11">
        <v>45602.0</v>
      </c>
      <c r="C10" s="12">
        <f>VLOOKUP(B:B,'Курс валют'!A:D,4,0)</f>
        <v>106.8883</v>
      </c>
      <c r="D10" s="15">
        <v>783.0</v>
      </c>
      <c r="E10" s="75" t="s">
        <v>18</v>
      </c>
      <c r="F10" s="15">
        <v>8800.0</v>
      </c>
      <c r="G10" s="15">
        <v>8821.0</v>
      </c>
      <c r="H10" s="17">
        <v>4021.0</v>
      </c>
      <c r="I10" s="15">
        <f t="shared" si="1"/>
        <v>21</v>
      </c>
      <c r="J10" s="18">
        <f t="shared" si="2"/>
        <v>0.2386363636</v>
      </c>
      <c r="K10" s="17">
        <v>3.84</v>
      </c>
      <c r="L10" s="19">
        <f t="shared" si="3"/>
        <v>45.69318182</v>
      </c>
      <c r="M10" s="20">
        <f t="shared" si="4"/>
        <v>261.9754496</v>
      </c>
      <c r="N10" s="21">
        <f t="shared" si="5"/>
        <v>2.450927273</v>
      </c>
      <c r="O10" s="21">
        <f t="shared" si="6"/>
        <v>21568.16</v>
      </c>
      <c r="P10" s="22">
        <f t="shared" si="7"/>
        <v>2305383.957</v>
      </c>
      <c r="R10" s="171"/>
    </row>
    <row r="11">
      <c r="A11" s="30">
        <v>45601.0</v>
      </c>
      <c r="B11" s="11">
        <v>45602.0</v>
      </c>
      <c r="C11" s="12">
        <f>VLOOKUP(B:B,'Курс валют'!A:D,4,0)</f>
        <v>106.8883</v>
      </c>
      <c r="D11" s="15">
        <v>784.0</v>
      </c>
      <c r="E11" s="77" t="s">
        <v>67</v>
      </c>
      <c r="F11" s="15">
        <v>900.0</v>
      </c>
      <c r="G11" s="15">
        <v>937.26</v>
      </c>
      <c r="H11" s="17">
        <v>0.0</v>
      </c>
      <c r="I11" s="15">
        <f t="shared" si="1"/>
        <v>37.26</v>
      </c>
      <c r="J11" s="18">
        <f t="shared" si="2"/>
        <v>4.14</v>
      </c>
      <c r="K11" s="17">
        <v>2.26</v>
      </c>
      <c r="L11" s="19">
        <f t="shared" si="3"/>
        <v>0</v>
      </c>
      <c r="M11" s="20">
        <f t="shared" si="4"/>
        <v>241.567558</v>
      </c>
      <c r="N11" s="21">
        <f t="shared" si="5"/>
        <v>2.26</v>
      </c>
      <c r="O11" s="21">
        <f t="shared" si="6"/>
        <v>2034</v>
      </c>
      <c r="P11" s="22">
        <f t="shared" si="7"/>
        <v>217410.8022</v>
      </c>
      <c r="R11" s="172" t="s">
        <v>2292</v>
      </c>
    </row>
    <row r="12">
      <c r="A12" s="30">
        <v>45602.0</v>
      </c>
      <c r="B12" s="11">
        <v>45603.0</v>
      </c>
      <c r="C12" s="12">
        <f>VLOOKUP(B:B,'Курс валют'!A:D,4,0)</f>
        <v>105.7086</v>
      </c>
      <c r="D12" s="15">
        <v>785.0</v>
      </c>
      <c r="E12" s="77" t="s">
        <v>54</v>
      </c>
      <c r="F12" s="15">
        <v>2400.0</v>
      </c>
      <c r="G12" s="15">
        <v>2415.2</v>
      </c>
      <c r="H12" s="17">
        <v>0.0</v>
      </c>
      <c r="I12" s="15">
        <f t="shared" si="1"/>
        <v>15.2</v>
      </c>
      <c r="J12" s="18">
        <f t="shared" si="2"/>
        <v>0.6333333333</v>
      </c>
      <c r="K12" s="17">
        <v>1.96</v>
      </c>
      <c r="L12" s="19">
        <f t="shared" si="3"/>
        <v>0</v>
      </c>
      <c r="M12" s="20">
        <f t="shared" si="4"/>
        <v>207.188856</v>
      </c>
      <c r="N12" s="21">
        <f t="shared" si="5"/>
        <v>1.96</v>
      </c>
      <c r="O12" s="21">
        <f t="shared" si="6"/>
        <v>4704</v>
      </c>
      <c r="P12" s="22">
        <f t="shared" si="7"/>
        <v>497253.2544</v>
      </c>
      <c r="R12" s="171"/>
    </row>
    <row r="13">
      <c r="A13" s="30">
        <v>45602.0</v>
      </c>
      <c r="B13" s="11">
        <v>45603.0</v>
      </c>
      <c r="C13" s="12">
        <f>VLOOKUP(B:B,'Курс валют'!A:D,4,0)</f>
        <v>105.7086</v>
      </c>
      <c r="D13" s="15">
        <v>786.0</v>
      </c>
      <c r="E13" s="59" t="s">
        <v>68</v>
      </c>
      <c r="F13" s="15">
        <v>4800.0</v>
      </c>
      <c r="G13" s="15">
        <v>4828.0</v>
      </c>
      <c r="H13" s="17">
        <v>460.0</v>
      </c>
      <c r="I13" s="15">
        <f t="shared" si="1"/>
        <v>28</v>
      </c>
      <c r="J13" s="18">
        <f t="shared" si="2"/>
        <v>0.5833333333</v>
      </c>
      <c r="K13" s="17">
        <v>2.25</v>
      </c>
      <c r="L13" s="19">
        <f t="shared" si="3"/>
        <v>9.583333333</v>
      </c>
      <c r="M13" s="20">
        <f t="shared" si="4"/>
        <v>207.0479112</v>
      </c>
      <c r="N13" s="21">
        <f t="shared" si="5"/>
        <v>1.958666667</v>
      </c>
      <c r="O13" s="21">
        <f t="shared" si="6"/>
        <v>9401.6</v>
      </c>
      <c r="P13" s="22">
        <f t="shared" si="7"/>
        <v>993829.9738</v>
      </c>
      <c r="R13" s="174"/>
    </row>
    <row r="14">
      <c r="A14" s="30">
        <v>45602.0</v>
      </c>
      <c r="B14" s="11">
        <v>45603.0</v>
      </c>
      <c r="C14" s="12">
        <f>VLOOKUP(B:B,'Курс валют'!A:D,4,0)</f>
        <v>105.7086</v>
      </c>
      <c r="D14" s="15">
        <v>787.0</v>
      </c>
      <c r="E14" s="59" t="s">
        <v>69</v>
      </c>
      <c r="F14" s="15">
        <v>8000.0</v>
      </c>
      <c r="G14" s="15">
        <v>8020.0</v>
      </c>
      <c r="H14" s="17">
        <v>760.0</v>
      </c>
      <c r="I14" s="15">
        <f t="shared" si="1"/>
        <v>20</v>
      </c>
      <c r="J14" s="18">
        <f t="shared" si="2"/>
        <v>0.25</v>
      </c>
      <c r="K14" s="17">
        <v>2.07</v>
      </c>
      <c r="L14" s="19">
        <f t="shared" si="3"/>
        <v>9.5</v>
      </c>
      <c r="M14" s="20">
        <f t="shared" si="4"/>
        <v>188.2881583</v>
      </c>
      <c r="N14" s="21">
        <f t="shared" si="5"/>
        <v>1.7812</v>
      </c>
      <c r="O14" s="21">
        <f t="shared" si="6"/>
        <v>14249.6</v>
      </c>
      <c r="P14" s="22">
        <f t="shared" si="7"/>
        <v>1506305.267</v>
      </c>
      <c r="R14" s="171"/>
    </row>
    <row r="15">
      <c r="A15" s="30">
        <v>45602.0</v>
      </c>
      <c r="B15" s="11">
        <v>45603.0</v>
      </c>
      <c r="C15" s="12">
        <f>VLOOKUP(B:B,'Курс валют'!A:D,4,0)</f>
        <v>105.7086</v>
      </c>
      <c r="D15" s="15">
        <v>788.0</v>
      </c>
      <c r="E15" s="59" t="s">
        <v>67</v>
      </c>
      <c r="F15" s="15">
        <v>900.0</v>
      </c>
      <c r="G15" s="15">
        <v>938.083</v>
      </c>
      <c r="H15" s="17">
        <v>0.0</v>
      </c>
      <c r="I15" s="15">
        <f t="shared" si="1"/>
        <v>38.083</v>
      </c>
      <c r="J15" s="18">
        <f t="shared" si="2"/>
        <v>4.231444444</v>
      </c>
      <c r="K15" s="17">
        <v>2.27</v>
      </c>
      <c r="L15" s="19">
        <f t="shared" si="3"/>
        <v>0</v>
      </c>
      <c r="M15" s="20">
        <f t="shared" si="4"/>
        <v>239.958522</v>
      </c>
      <c r="N15" s="21">
        <f t="shared" si="5"/>
        <v>2.27</v>
      </c>
      <c r="O15" s="21">
        <f t="shared" si="6"/>
        <v>2043</v>
      </c>
      <c r="P15" s="22">
        <f t="shared" si="7"/>
        <v>215962.6698</v>
      </c>
      <c r="R15" s="174" t="s">
        <v>2292</v>
      </c>
    </row>
    <row r="16">
      <c r="A16" s="30">
        <v>45603.0</v>
      </c>
      <c r="B16" s="11">
        <v>45604.0</v>
      </c>
      <c r="C16" s="12">
        <f>VLOOKUP(B:B,'Курс валют'!A:D,4,0)</f>
        <v>105.5679</v>
      </c>
      <c r="D16" s="15">
        <v>789.0</v>
      </c>
      <c r="E16" s="75" t="s">
        <v>18</v>
      </c>
      <c r="F16" s="15">
        <v>8000.0</v>
      </c>
      <c r="G16" s="15">
        <v>8025.0</v>
      </c>
      <c r="H16" s="17">
        <v>4025.0</v>
      </c>
      <c r="I16" s="15">
        <f t="shared" si="1"/>
        <v>25</v>
      </c>
      <c r="J16" s="18">
        <f t="shared" si="2"/>
        <v>0.3125</v>
      </c>
      <c r="K16" s="17">
        <v>3.85</v>
      </c>
      <c r="L16" s="19">
        <f t="shared" si="3"/>
        <v>50.3125</v>
      </c>
      <c r="M16" s="20">
        <f t="shared" si="4"/>
        <v>244.970312</v>
      </c>
      <c r="N16" s="21">
        <f t="shared" si="5"/>
        <v>2.3205</v>
      </c>
      <c r="O16" s="21">
        <f t="shared" si="6"/>
        <v>18564</v>
      </c>
      <c r="P16" s="22">
        <f t="shared" si="7"/>
        <v>1959762.496</v>
      </c>
      <c r="R16" s="175"/>
    </row>
    <row r="17">
      <c r="A17" s="30">
        <v>45604.0</v>
      </c>
      <c r="B17" s="11">
        <v>45607.0</v>
      </c>
      <c r="C17" s="12">
        <f>VLOOKUP(B:B,'Курс валют'!A:D,4,0)</f>
        <v>105.451</v>
      </c>
      <c r="D17" s="15">
        <v>799.0</v>
      </c>
      <c r="E17" s="59" t="s">
        <v>70</v>
      </c>
      <c r="F17" s="15">
        <v>20.0</v>
      </c>
      <c r="G17" s="15">
        <v>20.0</v>
      </c>
      <c r="H17" s="17">
        <v>0.0</v>
      </c>
      <c r="I17" s="15">
        <f t="shared" si="1"/>
        <v>0</v>
      </c>
      <c r="J17" s="18">
        <f t="shared" si="2"/>
        <v>0</v>
      </c>
      <c r="K17" s="17">
        <v>2.18</v>
      </c>
      <c r="L17" s="19">
        <f t="shared" si="3"/>
        <v>0</v>
      </c>
      <c r="M17" s="20">
        <f t="shared" si="4"/>
        <v>229.88318</v>
      </c>
      <c r="N17" s="21">
        <f t="shared" si="5"/>
        <v>2.18</v>
      </c>
      <c r="O17" s="21">
        <f t="shared" si="6"/>
        <v>43.6</v>
      </c>
      <c r="P17" s="22">
        <f t="shared" si="7"/>
        <v>4597.6636</v>
      </c>
      <c r="R17" s="172" t="s">
        <v>175</v>
      </c>
    </row>
    <row r="18">
      <c r="A18" s="30">
        <v>45604.0</v>
      </c>
      <c r="B18" s="11">
        <v>45607.0</v>
      </c>
      <c r="C18" s="12">
        <f>VLOOKUP(B:B,'Курс валют'!A:D,4,0)</f>
        <v>105.451</v>
      </c>
      <c r="D18" s="15">
        <v>794.0</v>
      </c>
      <c r="E18" s="75" t="s">
        <v>18</v>
      </c>
      <c r="F18" s="15">
        <v>8800.0</v>
      </c>
      <c r="G18" s="15">
        <v>8825.0</v>
      </c>
      <c r="H18" s="58">
        <v>4020.0</v>
      </c>
      <c r="I18" s="15">
        <f t="shared" si="1"/>
        <v>25</v>
      </c>
      <c r="J18" s="18">
        <f t="shared" si="2"/>
        <v>0.2840909091</v>
      </c>
      <c r="K18" s="17">
        <v>3.83</v>
      </c>
      <c r="L18" s="19">
        <f t="shared" si="3"/>
        <v>45.68181818</v>
      </c>
      <c r="M18" s="20">
        <f t="shared" si="4"/>
        <v>257.4346504</v>
      </c>
      <c r="N18" s="21">
        <f t="shared" si="5"/>
        <v>2.441272727</v>
      </c>
      <c r="O18" s="21">
        <f t="shared" si="6"/>
        <v>21483.2</v>
      </c>
      <c r="P18" s="22">
        <f t="shared" si="7"/>
        <v>2265424.923</v>
      </c>
      <c r="R18" s="176" t="s">
        <v>2325</v>
      </c>
    </row>
    <row r="19">
      <c r="A19" s="30">
        <v>45604.0</v>
      </c>
      <c r="B19" s="11">
        <v>45607.0</v>
      </c>
      <c r="C19" s="12">
        <f>VLOOKUP(B:B,'Курс валют'!A:D,4,0)</f>
        <v>105.451</v>
      </c>
      <c r="D19" s="15">
        <v>790.0</v>
      </c>
      <c r="E19" s="59" t="s">
        <v>68</v>
      </c>
      <c r="F19" s="15">
        <v>2400.0</v>
      </c>
      <c r="G19" s="15">
        <v>2427.1</v>
      </c>
      <c r="H19" s="17">
        <v>230.0</v>
      </c>
      <c r="I19" s="15">
        <f t="shared" si="1"/>
        <v>27.1</v>
      </c>
      <c r="J19" s="18">
        <f t="shared" si="2"/>
        <v>1.129166667</v>
      </c>
      <c r="K19" s="17">
        <v>2.27</v>
      </c>
      <c r="L19" s="19">
        <f t="shared" si="3"/>
        <v>9.583333333</v>
      </c>
      <c r="M19" s="20">
        <f t="shared" si="4"/>
        <v>208.6523787</v>
      </c>
      <c r="N19" s="21">
        <f t="shared" si="5"/>
        <v>1.978666667</v>
      </c>
      <c r="O19" s="21">
        <f t="shared" si="6"/>
        <v>4748.8</v>
      </c>
      <c r="P19" s="22">
        <f t="shared" si="7"/>
        <v>500765.7088</v>
      </c>
      <c r="R19" s="175"/>
    </row>
    <row r="20">
      <c r="A20" s="30">
        <v>45604.0</v>
      </c>
      <c r="B20" s="11">
        <v>45607.0</v>
      </c>
      <c r="C20" s="12">
        <f>VLOOKUP(B:B,'Курс валют'!A:D,4,0)</f>
        <v>105.451</v>
      </c>
      <c r="D20" s="15">
        <v>791.0</v>
      </c>
      <c r="E20" s="77" t="s">
        <v>53</v>
      </c>
      <c r="F20" s="15">
        <v>9600.0</v>
      </c>
      <c r="G20" s="15">
        <v>9658.72</v>
      </c>
      <c r="H20" s="17">
        <v>0.0</v>
      </c>
      <c r="I20" s="15">
        <f t="shared" si="1"/>
        <v>58.72</v>
      </c>
      <c r="J20" s="18">
        <f t="shared" si="2"/>
        <v>0.6116666667</v>
      </c>
      <c r="K20" s="17">
        <v>1.94</v>
      </c>
      <c r="L20" s="19">
        <f t="shared" si="3"/>
        <v>0</v>
      </c>
      <c r="M20" s="20">
        <f t="shared" si="4"/>
        <v>204.57494</v>
      </c>
      <c r="N20" s="21">
        <f t="shared" si="5"/>
        <v>1.94</v>
      </c>
      <c r="O20" s="21">
        <f t="shared" si="6"/>
        <v>18624</v>
      </c>
      <c r="P20" s="22">
        <f t="shared" si="7"/>
        <v>1963919.424</v>
      </c>
      <c r="R20" s="172"/>
    </row>
    <row r="21">
      <c r="A21" s="30">
        <v>45604.0</v>
      </c>
      <c r="B21" s="11">
        <v>45607.0</v>
      </c>
      <c r="C21" s="12">
        <f>VLOOKUP(B:B,'Курс валют'!A:D,4,0)</f>
        <v>105.451</v>
      </c>
      <c r="D21" s="15">
        <v>792.0</v>
      </c>
      <c r="E21" s="77" t="s">
        <v>71</v>
      </c>
      <c r="F21" s="15">
        <v>2400.0</v>
      </c>
      <c r="G21" s="15">
        <v>2412.4</v>
      </c>
      <c r="H21" s="17">
        <v>230.0</v>
      </c>
      <c r="I21" s="15">
        <f t="shared" si="1"/>
        <v>12.4</v>
      </c>
      <c r="J21" s="18">
        <f t="shared" si="2"/>
        <v>0.5166666667</v>
      </c>
      <c r="K21" s="17">
        <v>2.17</v>
      </c>
      <c r="L21" s="19">
        <f t="shared" si="3"/>
        <v>9.583333333</v>
      </c>
      <c r="M21" s="20">
        <f t="shared" si="4"/>
        <v>198.1072787</v>
      </c>
      <c r="N21" s="21">
        <f t="shared" si="5"/>
        <v>1.878666667</v>
      </c>
      <c r="O21" s="21">
        <f t="shared" si="6"/>
        <v>4508.8</v>
      </c>
      <c r="P21" s="22">
        <f t="shared" si="7"/>
        <v>475457.4688</v>
      </c>
      <c r="R21" s="175"/>
    </row>
    <row r="22">
      <c r="A22" s="30">
        <v>45604.0</v>
      </c>
      <c r="B22" s="11">
        <v>45607.0</v>
      </c>
      <c r="C22" s="12">
        <f>VLOOKUP(B:B,'Курс валют'!A:D,4,0)</f>
        <v>105.451</v>
      </c>
      <c r="D22" s="15">
        <v>793.0</v>
      </c>
      <c r="E22" s="15" t="s">
        <v>72</v>
      </c>
      <c r="F22" s="15">
        <v>1640.0</v>
      </c>
      <c r="G22" s="15">
        <v>1667.4</v>
      </c>
      <c r="H22" s="17">
        <v>0.0</v>
      </c>
      <c r="I22" s="15">
        <f t="shared" si="1"/>
        <v>27.4</v>
      </c>
      <c r="J22" s="18">
        <f t="shared" si="2"/>
        <v>1.670731707</v>
      </c>
      <c r="K22" s="17">
        <v>3.23</v>
      </c>
      <c r="L22" s="19">
        <f t="shared" si="3"/>
        <v>0</v>
      </c>
      <c r="M22" s="20">
        <f t="shared" si="4"/>
        <v>340.60673</v>
      </c>
      <c r="N22" s="21">
        <f t="shared" si="5"/>
        <v>3.23</v>
      </c>
      <c r="O22" s="21">
        <f t="shared" si="6"/>
        <v>5297.2</v>
      </c>
      <c r="P22" s="22">
        <f t="shared" si="7"/>
        <v>558595.0372</v>
      </c>
      <c r="R22" s="172" t="s">
        <v>2326</v>
      </c>
    </row>
    <row r="23">
      <c r="A23" s="30">
        <v>45604.0</v>
      </c>
      <c r="B23" s="11">
        <v>45607.0</v>
      </c>
      <c r="C23" s="12">
        <f>VLOOKUP(B:B,'Курс валют'!A:D,4,0)</f>
        <v>105.451</v>
      </c>
      <c r="D23" s="15">
        <v>795.0</v>
      </c>
      <c r="E23" s="59" t="s">
        <v>53</v>
      </c>
      <c r="F23" s="15">
        <v>14400.0</v>
      </c>
      <c r="G23" s="15">
        <v>14498.2</v>
      </c>
      <c r="H23" s="17">
        <v>0.0</v>
      </c>
      <c r="I23" s="15">
        <f t="shared" si="1"/>
        <v>98.2</v>
      </c>
      <c r="J23" s="18">
        <f t="shared" si="2"/>
        <v>0.6819444444</v>
      </c>
      <c r="K23" s="17">
        <v>1.94</v>
      </c>
      <c r="L23" s="19">
        <f t="shared" si="3"/>
        <v>0</v>
      </c>
      <c r="M23" s="20">
        <f t="shared" si="4"/>
        <v>204.57494</v>
      </c>
      <c r="N23" s="21">
        <f t="shared" si="5"/>
        <v>1.94</v>
      </c>
      <c r="O23" s="21">
        <f t="shared" si="6"/>
        <v>27936</v>
      </c>
      <c r="P23" s="22">
        <f t="shared" si="7"/>
        <v>2945879.136</v>
      </c>
      <c r="R23" s="172"/>
    </row>
    <row r="24">
      <c r="A24" s="30">
        <v>45604.0</v>
      </c>
      <c r="B24" s="11">
        <v>45607.0</v>
      </c>
      <c r="C24" s="12">
        <f>VLOOKUP(B:B,'Курс валют'!A:D,4,0)</f>
        <v>105.451</v>
      </c>
      <c r="D24" s="15">
        <v>796.0</v>
      </c>
      <c r="E24" s="59" t="s">
        <v>56</v>
      </c>
      <c r="F24" s="15">
        <v>800.0</v>
      </c>
      <c r="G24" s="15">
        <v>831.6</v>
      </c>
      <c r="H24" s="17">
        <v>0.0</v>
      </c>
      <c r="I24" s="15">
        <f t="shared" si="1"/>
        <v>31.6</v>
      </c>
      <c r="J24" s="18">
        <f t="shared" si="2"/>
        <v>3.95</v>
      </c>
      <c r="K24" s="17">
        <v>3.25</v>
      </c>
      <c r="L24" s="19">
        <f t="shared" si="3"/>
        <v>0</v>
      </c>
      <c r="M24" s="20">
        <f t="shared" si="4"/>
        <v>342.71575</v>
      </c>
      <c r="N24" s="21">
        <f t="shared" si="5"/>
        <v>3.25</v>
      </c>
      <c r="O24" s="21">
        <f t="shared" si="6"/>
        <v>2600</v>
      </c>
      <c r="P24" s="22">
        <f t="shared" si="7"/>
        <v>274172.6</v>
      </c>
      <c r="R24" s="172" t="s">
        <v>2327</v>
      </c>
    </row>
    <row r="25">
      <c r="A25" s="30">
        <v>45607.0</v>
      </c>
      <c r="B25" s="11">
        <v>45608.0</v>
      </c>
      <c r="C25" s="12">
        <f>VLOOKUP(B:B,'Курс валют'!A:D,4,0)</f>
        <v>104.8522</v>
      </c>
      <c r="D25" s="15">
        <v>797.0</v>
      </c>
      <c r="E25" s="75" t="s">
        <v>18</v>
      </c>
      <c r="F25" s="15">
        <v>7700.0</v>
      </c>
      <c r="G25" s="15">
        <v>7744.0</v>
      </c>
      <c r="H25" s="17">
        <v>3524.0</v>
      </c>
      <c r="I25" s="15">
        <f t="shared" si="1"/>
        <v>44</v>
      </c>
      <c r="J25" s="18">
        <f t="shared" si="2"/>
        <v>0.5714285714</v>
      </c>
      <c r="K25" s="17">
        <v>3.86</v>
      </c>
      <c r="L25" s="19">
        <f t="shared" si="3"/>
        <v>45.76623377</v>
      </c>
      <c r="M25" s="20">
        <f t="shared" si="4"/>
        <v>258.849307</v>
      </c>
      <c r="N25" s="21">
        <f t="shared" si="5"/>
        <v>2.468706494</v>
      </c>
      <c r="O25" s="21">
        <f t="shared" si="6"/>
        <v>19009.04</v>
      </c>
      <c r="P25" s="22">
        <f t="shared" si="7"/>
        <v>1993139.664</v>
      </c>
      <c r="R25" s="172"/>
    </row>
    <row r="26">
      <c r="A26" s="30">
        <v>45607.0</v>
      </c>
      <c r="B26" s="11">
        <v>45608.0</v>
      </c>
      <c r="C26" s="12">
        <f>VLOOKUP(B:B,'Курс валют'!A:D,4,0)</f>
        <v>104.8522</v>
      </c>
      <c r="D26" s="15">
        <v>798.0</v>
      </c>
      <c r="E26" s="77" t="s">
        <v>2260</v>
      </c>
      <c r="F26" s="76">
        <v>200.0</v>
      </c>
      <c r="G26" s="76">
        <v>200.0</v>
      </c>
      <c r="H26" s="58">
        <v>0.0</v>
      </c>
      <c r="I26" s="15">
        <f t="shared" si="1"/>
        <v>0</v>
      </c>
      <c r="J26" s="18">
        <f t="shared" si="2"/>
        <v>0</v>
      </c>
      <c r="K26" s="58">
        <v>3.64</v>
      </c>
      <c r="L26" s="19">
        <f t="shared" si="3"/>
        <v>0</v>
      </c>
      <c r="M26" s="20">
        <f t="shared" si="4"/>
        <v>381.662008</v>
      </c>
      <c r="N26" s="21">
        <f t="shared" si="5"/>
        <v>3.64</v>
      </c>
      <c r="O26" s="21">
        <f t="shared" si="6"/>
        <v>728</v>
      </c>
      <c r="P26" s="22">
        <f t="shared" si="7"/>
        <v>76332.4016</v>
      </c>
      <c r="R26" s="172" t="s">
        <v>1101</v>
      </c>
    </row>
    <row r="27">
      <c r="A27" s="30">
        <v>45608.0</v>
      </c>
      <c r="B27" s="11">
        <v>45608.0</v>
      </c>
      <c r="C27" s="12">
        <f>VLOOKUP(B:B,'Курс валют'!A:D,4,0)</f>
        <v>104.8522</v>
      </c>
      <c r="D27" s="15">
        <v>802.0</v>
      </c>
      <c r="E27" s="77" t="s">
        <v>2328</v>
      </c>
      <c r="F27" s="15">
        <v>11188.1</v>
      </c>
      <c r="G27" s="15">
        <v>11188.1</v>
      </c>
      <c r="H27" s="17">
        <v>0.0</v>
      </c>
      <c r="I27" s="15">
        <f t="shared" si="1"/>
        <v>0</v>
      </c>
      <c r="J27" s="18">
        <f t="shared" si="2"/>
        <v>0</v>
      </c>
      <c r="K27" s="17">
        <v>2.49</v>
      </c>
      <c r="L27" s="19">
        <f t="shared" si="3"/>
        <v>0</v>
      </c>
      <c r="M27" s="20">
        <f t="shared" si="4"/>
        <v>261.081978</v>
      </c>
      <c r="N27" s="21">
        <f t="shared" si="5"/>
        <v>2.49</v>
      </c>
      <c r="O27" s="21">
        <f t="shared" si="6"/>
        <v>27858.369</v>
      </c>
      <c r="P27" s="22">
        <f t="shared" si="7"/>
        <v>2921011.278</v>
      </c>
      <c r="R27" s="172" t="s">
        <v>2329</v>
      </c>
    </row>
    <row r="28">
      <c r="A28" s="30">
        <v>45608.0</v>
      </c>
      <c r="B28" s="11">
        <v>45609.0</v>
      </c>
      <c r="C28" s="12">
        <f>VLOOKUP(B:B,'Курс валют'!A:D,4,0)</f>
        <v>104.2533</v>
      </c>
      <c r="D28" s="15">
        <v>801.0</v>
      </c>
      <c r="E28" s="77" t="s">
        <v>75</v>
      </c>
      <c r="F28" s="15">
        <v>200.0</v>
      </c>
      <c r="G28" s="15">
        <v>205.0</v>
      </c>
      <c r="H28" s="17">
        <v>0.0</v>
      </c>
      <c r="I28" s="15">
        <f t="shared" si="1"/>
        <v>5</v>
      </c>
      <c r="J28" s="18">
        <f t="shared" si="2"/>
        <v>2.5</v>
      </c>
      <c r="K28" s="17">
        <v>3.14</v>
      </c>
      <c r="L28" s="19">
        <f t="shared" si="3"/>
        <v>0</v>
      </c>
      <c r="M28" s="20">
        <f t="shared" si="4"/>
        <v>327.355362</v>
      </c>
      <c r="N28" s="21">
        <f t="shared" si="5"/>
        <v>3.14</v>
      </c>
      <c r="O28" s="21">
        <f t="shared" si="6"/>
        <v>628</v>
      </c>
      <c r="P28" s="22">
        <f t="shared" si="7"/>
        <v>65471.0724</v>
      </c>
      <c r="R28" s="171"/>
    </row>
    <row r="29">
      <c r="A29" s="30">
        <v>45608.0</v>
      </c>
      <c r="B29" s="11">
        <v>45609.0</v>
      </c>
      <c r="C29" s="12">
        <f>VLOOKUP(B:B,'Курс валют'!A:D,4,0)</f>
        <v>104.2533</v>
      </c>
      <c r="D29" s="15">
        <v>800.0</v>
      </c>
      <c r="E29" s="75" t="s">
        <v>18</v>
      </c>
      <c r="F29" s="15">
        <v>7700.0</v>
      </c>
      <c r="G29" s="15">
        <v>7739.0</v>
      </c>
      <c r="H29" s="17">
        <v>3528.0</v>
      </c>
      <c r="I29" s="15">
        <f t="shared" si="1"/>
        <v>39</v>
      </c>
      <c r="J29" s="18">
        <f t="shared" si="2"/>
        <v>0.5064935065</v>
      </c>
      <c r="K29" s="17">
        <v>3.82</v>
      </c>
      <c r="L29" s="19">
        <f t="shared" si="3"/>
        <v>45.81818182</v>
      </c>
      <c r="M29" s="20">
        <f t="shared" si="4"/>
        <v>253.0360277</v>
      </c>
      <c r="N29" s="21">
        <f t="shared" si="5"/>
        <v>2.427127273</v>
      </c>
      <c r="O29" s="21">
        <f t="shared" si="6"/>
        <v>18688.88</v>
      </c>
      <c r="P29" s="22">
        <f t="shared" si="7"/>
        <v>1948377.413</v>
      </c>
      <c r="R29" s="175"/>
    </row>
    <row r="30">
      <c r="A30" s="30">
        <v>45609.0</v>
      </c>
      <c r="B30" s="11">
        <v>45610.0</v>
      </c>
      <c r="C30" s="12">
        <f>VLOOKUP(B:B,'Курс валют'!A:D,4,0)</f>
        <v>104.2901</v>
      </c>
      <c r="D30" s="15">
        <v>803.0</v>
      </c>
      <c r="E30" s="59" t="s">
        <v>61</v>
      </c>
      <c r="F30" s="15">
        <v>8800.0</v>
      </c>
      <c r="G30" s="15">
        <v>8842.0</v>
      </c>
      <c r="H30" s="17">
        <f>3669-104.5*8</f>
        <v>2833</v>
      </c>
      <c r="I30" s="15">
        <f t="shared" si="1"/>
        <v>42</v>
      </c>
      <c r="J30" s="18">
        <f t="shared" si="2"/>
        <v>0.4772727273</v>
      </c>
      <c r="K30" s="17">
        <v>3.57</v>
      </c>
      <c r="L30" s="19">
        <f t="shared" si="3"/>
        <v>32.19318182</v>
      </c>
      <c r="M30" s="20">
        <f t="shared" si="4"/>
        <v>270.2497804</v>
      </c>
      <c r="N30" s="21">
        <f t="shared" si="5"/>
        <v>2.591327273</v>
      </c>
      <c r="O30" s="21">
        <f t="shared" si="6"/>
        <v>22803.68</v>
      </c>
      <c r="P30" s="22">
        <f t="shared" si="7"/>
        <v>2378198.068</v>
      </c>
      <c r="R30" s="171"/>
    </row>
    <row r="31">
      <c r="A31" s="30">
        <v>45610.0</v>
      </c>
      <c r="B31" s="11">
        <v>45611.0</v>
      </c>
      <c r="C31" s="12">
        <f>VLOOKUP(B:B,'Курс валют'!A:D,4,0)</f>
        <v>104.5016</v>
      </c>
      <c r="D31" s="15">
        <v>804.0</v>
      </c>
      <c r="E31" s="59" t="s">
        <v>61</v>
      </c>
      <c r="F31" s="15">
        <v>8800.0</v>
      </c>
      <c r="G31" s="15">
        <v>8832.0</v>
      </c>
      <c r="H31" s="17">
        <v>3660.0</v>
      </c>
      <c r="I31" s="15">
        <f t="shared" si="1"/>
        <v>32</v>
      </c>
      <c r="J31" s="18">
        <f t="shared" si="2"/>
        <v>0.3636363636</v>
      </c>
      <c r="K31" s="17">
        <v>3.81</v>
      </c>
      <c r="L31" s="19">
        <f t="shared" si="3"/>
        <v>41.59090909</v>
      </c>
      <c r="M31" s="20">
        <f t="shared" si="4"/>
        <v>266.023073</v>
      </c>
      <c r="N31" s="21">
        <f t="shared" si="5"/>
        <v>2.545636364</v>
      </c>
      <c r="O31" s="21">
        <f t="shared" si="6"/>
        <v>22401.6</v>
      </c>
      <c r="P31" s="22">
        <f t="shared" si="7"/>
        <v>2341003.043</v>
      </c>
      <c r="R31" s="171"/>
    </row>
    <row r="32">
      <c r="A32" s="30">
        <v>45610.0</v>
      </c>
      <c r="B32" s="11">
        <v>45611.0</v>
      </c>
      <c r="C32" s="12">
        <f>VLOOKUP(B:B,'Курс валют'!A:D,4,0)</f>
        <v>104.5016</v>
      </c>
      <c r="D32" s="15">
        <v>805.0</v>
      </c>
      <c r="E32" s="59" t="s">
        <v>56</v>
      </c>
      <c r="F32" s="15">
        <v>2400.0</v>
      </c>
      <c r="G32" s="15">
        <v>2443.8</v>
      </c>
      <c r="H32" s="17">
        <v>0.0</v>
      </c>
      <c r="I32" s="15">
        <f t="shared" si="1"/>
        <v>43.8</v>
      </c>
      <c r="J32" s="18">
        <f t="shared" si="2"/>
        <v>1.825</v>
      </c>
      <c r="K32" s="17">
        <v>3.19</v>
      </c>
      <c r="L32" s="19">
        <f t="shared" si="3"/>
        <v>0</v>
      </c>
      <c r="M32" s="20">
        <f t="shared" si="4"/>
        <v>333.360104</v>
      </c>
      <c r="N32" s="21">
        <f t="shared" si="5"/>
        <v>3.19</v>
      </c>
      <c r="O32" s="21">
        <f t="shared" si="6"/>
        <v>7656</v>
      </c>
      <c r="P32" s="22">
        <f t="shared" si="7"/>
        <v>800064.2496</v>
      </c>
      <c r="R32" s="171"/>
    </row>
    <row r="33">
      <c r="A33" s="30">
        <v>45611.0</v>
      </c>
      <c r="B33" s="11">
        <v>45614.0</v>
      </c>
      <c r="C33" s="12">
        <f>VLOOKUP(B:B,'Курс валют'!A:D,4,0)</f>
        <v>105.7072</v>
      </c>
      <c r="D33" s="15">
        <v>806.0</v>
      </c>
      <c r="E33" s="59" t="s">
        <v>61</v>
      </c>
      <c r="F33" s="15">
        <v>8800.0</v>
      </c>
      <c r="G33" s="15">
        <v>8824.0</v>
      </c>
      <c r="H33" s="17">
        <v>3659.0</v>
      </c>
      <c r="I33" s="15">
        <f t="shared" si="1"/>
        <v>24</v>
      </c>
      <c r="J33" s="18">
        <f t="shared" si="2"/>
        <v>0.2727272727</v>
      </c>
      <c r="K33" s="17">
        <v>3.79</v>
      </c>
      <c r="L33" s="19">
        <f t="shared" si="3"/>
        <v>41.57954545</v>
      </c>
      <c r="M33" s="20">
        <f t="shared" si="4"/>
        <v>267.0144653</v>
      </c>
      <c r="N33" s="21">
        <f t="shared" si="5"/>
        <v>2.525981818</v>
      </c>
      <c r="O33" s="21">
        <f t="shared" si="6"/>
        <v>22228.64</v>
      </c>
      <c r="P33" s="22">
        <f t="shared" si="7"/>
        <v>2349727.294</v>
      </c>
      <c r="R33" s="175"/>
    </row>
    <row r="34">
      <c r="A34" s="30">
        <v>45611.0</v>
      </c>
      <c r="B34" s="11">
        <v>45614.0</v>
      </c>
      <c r="C34" s="12">
        <f>VLOOKUP(B:B,'Курс валют'!A:D,4,0)</f>
        <v>105.7072</v>
      </c>
      <c r="D34" s="15">
        <v>807.0</v>
      </c>
      <c r="E34" s="59" t="s">
        <v>76</v>
      </c>
      <c r="F34" s="15">
        <v>60.0</v>
      </c>
      <c r="G34" s="15">
        <v>64.002</v>
      </c>
      <c r="H34" s="17">
        <v>0.0</v>
      </c>
      <c r="I34" s="15">
        <f t="shared" si="1"/>
        <v>4.002</v>
      </c>
      <c r="J34" s="18">
        <f t="shared" si="2"/>
        <v>6.67</v>
      </c>
      <c r="K34" s="17">
        <v>2.82</v>
      </c>
      <c r="L34" s="19">
        <f t="shared" si="3"/>
        <v>0</v>
      </c>
      <c r="M34" s="20">
        <f t="shared" si="4"/>
        <v>298.094304</v>
      </c>
      <c r="N34" s="21">
        <f t="shared" si="5"/>
        <v>2.82</v>
      </c>
      <c r="O34" s="21">
        <f t="shared" si="6"/>
        <v>169.2</v>
      </c>
      <c r="P34" s="22">
        <f t="shared" si="7"/>
        <v>17885.65824</v>
      </c>
      <c r="R34" s="172"/>
    </row>
    <row r="35">
      <c r="A35" s="30">
        <v>45611.0</v>
      </c>
      <c r="B35" s="11">
        <v>45614.0</v>
      </c>
      <c r="C35" s="12">
        <f>VLOOKUP(B:B,'Курс валют'!A:D,4,0)</f>
        <v>105.7072</v>
      </c>
      <c r="D35" s="15">
        <v>808.0</v>
      </c>
      <c r="E35" s="75" t="s">
        <v>18</v>
      </c>
      <c r="F35" s="15">
        <v>4400.0</v>
      </c>
      <c r="G35" s="15">
        <v>4445.0</v>
      </c>
      <c r="H35" s="17">
        <f>1935+80</f>
        <v>2015</v>
      </c>
      <c r="I35" s="15">
        <f t="shared" si="1"/>
        <v>45</v>
      </c>
      <c r="J35" s="18">
        <f t="shared" si="2"/>
        <v>1.022727273</v>
      </c>
      <c r="K35" s="17">
        <v>3.85</v>
      </c>
      <c r="L35" s="19">
        <f t="shared" si="3"/>
        <v>45.79545455</v>
      </c>
      <c r="M35" s="20">
        <f t="shared" si="4"/>
        <v>259.8090781</v>
      </c>
      <c r="N35" s="21">
        <f t="shared" si="5"/>
        <v>2.457818182</v>
      </c>
      <c r="O35" s="21">
        <f t="shared" si="6"/>
        <v>10814.4</v>
      </c>
      <c r="P35" s="22">
        <f t="shared" si="7"/>
        <v>1143159.944</v>
      </c>
      <c r="R35" s="172" t="s">
        <v>2330</v>
      </c>
    </row>
    <row r="36">
      <c r="A36" s="30">
        <v>45611.0</v>
      </c>
      <c r="B36" s="11">
        <v>45614.0</v>
      </c>
      <c r="C36" s="12">
        <f>VLOOKUP(B:B,'Курс валют'!A:D,4,0)</f>
        <v>105.7072</v>
      </c>
      <c r="D36" s="15">
        <v>809.0</v>
      </c>
      <c r="E36" s="75" t="s">
        <v>18</v>
      </c>
      <c r="F36" s="15">
        <v>4400.0</v>
      </c>
      <c r="G36" s="15">
        <v>4417.0</v>
      </c>
      <c r="H36" s="17">
        <f>1932+80</f>
        <v>2012</v>
      </c>
      <c r="I36" s="15">
        <f t="shared" si="1"/>
        <v>17</v>
      </c>
      <c r="J36" s="18">
        <f t="shared" si="2"/>
        <v>0.3863636364</v>
      </c>
      <c r="K36" s="17">
        <v>3.85</v>
      </c>
      <c r="L36" s="19">
        <f t="shared" si="3"/>
        <v>45.72727273</v>
      </c>
      <c r="M36" s="20">
        <f t="shared" si="4"/>
        <v>260.0281803</v>
      </c>
      <c r="N36" s="21">
        <f t="shared" si="5"/>
        <v>2.459890909</v>
      </c>
      <c r="O36" s="21">
        <f t="shared" si="6"/>
        <v>10823.52</v>
      </c>
      <c r="P36" s="22">
        <f t="shared" si="7"/>
        <v>1144123.993</v>
      </c>
      <c r="R36" s="172"/>
    </row>
    <row r="37">
      <c r="A37" s="30">
        <v>45611.0</v>
      </c>
      <c r="B37" s="11">
        <v>45614.0</v>
      </c>
      <c r="C37" s="12">
        <f>VLOOKUP(B:B,'Курс валют'!A:D,4,0)</f>
        <v>105.7072</v>
      </c>
      <c r="D37" s="15">
        <v>810.0</v>
      </c>
      <c r="E37" s="75" t="s">
        <v>18</v>
      </c>
      <c r="F37" s="15">
        <v>8800.0</v>
      </c>
      <c r="G37" s="15">
        <v>8823.0</v>
      </c>
      <c r="H37" s="17">
        <f>3863+160</f>
        <v>4023</v>
      </c>
      <c r="I37" s="15">
        <f t="shared" si="1"/>
        <v>23</v>
      </c>
      <c r="J37" s="18">
        <f t="shared" si="2"/>
        <v>0.2613636364</v>
      </c>
      <c r="K37" s="17">
        <v>3.85</v>
      </c>
      <c r="L37" s="19">
        <f t="shared" si="3"/>
        <v>45.71590909</v>
      </c>
      <c r="M37" s="20">
        <f t="shared" si="4"/>
        <v>260.0646973</v>
      </c>
      <c r="N37" s="21">
        <f t="shared" si="5"/>
        <v>2.460236364</v>
      </c>
      <c r="O37" s="21">
        <f t="shared" si="6"/>
        <v>21650.08</v>
      </c>
      <c r="P37" s="22">
        <f t="shared" si="7"/>
        <v>2288569.337</v>
      </c>
      <c r="R37" s="171"/>
    </row>
    <row r="38">
      <c r="A38" s="30">
        <v>45611.0</v>
      </c>
      <c r="B38" s="11">
        <v>45614.0</v>
      </c>
      <c r="C38" s="12">
        <f>VLOOKUP(B:B,'Курс валют'!A:D,4,0)</f>
        <v>105.7072</v>
      </c>
      <c r="D38" s="15">
        <v>812.0</v>
      </c>
      <c r="E38" s="15" t="s">
        <v>77</v>
      </c>
      <c r="F38" s="15">
        <v>20.0</v>
      </c>
      <c r="G38" s="15">
        <v>26.009</v>
      </c>
      <c r="H38" s="17">
        <v>7.0</v>
      </c>
      <c r="I38" s="15">
        <f t="shared" si="1"/>
        <v>6.009</v>
      </c>
      <c r="J38" s="18">
        <f t="shared" si="2"/>
        <v>30.045</v>
      </c>
      <c r="K38" s="17">
        <v>4.96</v>
      </c>
      <c r="L38" s="19">
        <f t="shared" si="3"/>
        <v>35</v>
      </c>
      <c r="M38" s="20">
        <f t="shared" si="4"/>
        <v>411.8352512</v>
      </c>
      <c r="N38" s="21">
        <f t="shared" si="5"/>
        <v>3.896</v>
      </c>
      <c r="O38" s="21">
        <f t="shared" si="6"/>
        <v>77.92</v>
      </c>
      <c r="P38" s="22">
        <f t="shared" si="7"/>
        <v>8236.705024</v>
      </c>
      <c r="R38" s="175"/>
    </row>
    <row r="39">
      <c r="A39" s="30">
        <v>45614.0</v>
      </c>
      <c r="B39" s="11">
        <v>45615.0</v>
      </c>
      <c r="C39" s="12">
        <f>VLOOKUP(B:B,'Курс валют'!A:D,4,0)</f>
        <v>105.4606</v>
      </c>
      <c r="D39" s="15">
        <v>811.0</v>
      </c>
      <c r="E39" s="59" t="s">
        <v>392</v>
      </c>
      <c r="F39" s="15">
        <v>900.0</v>
      </c>
      <c r="G39" s="15">
        <v>937.01</v>
      </c>
      <c r="H39" s="17">
        <v>494.66</v>
      </c>
      <c r="I39" s="15">
        <f t="shared" si="1"/>
        <v>37.01</v>
      </c>
      <c r="J39" s="18">
        <f t="shared" si="2"/>
        <v>4.112222222</v>
      </c>
      <c r="K39" s="17">
        <v>3.7</v>
      </c>
      <c r="L39" s="19">
        <f t="shared" si="3"/>
        <v>54.96222222</v>
      </c>
      <c r="M39" s="20">
        <f t="shared" si="4"/>
        <v>213.9952124</v>
      </c>
      <c r="N39" s="21">
        <f t="shared" si="5"/>
        <v>2.029148444</v>
      </c>
      <c r="O39" s="21">
        <f t="shared" si="6"/>
        <v>1826.2336</v>
      </c>
      <c r="P39" s="22">
        <f t="shared" si="7"/>
        <v>192595.6912</v>
      </c>
      <c r="R39" s="174" t="s">
        <v>2292</v>
      </c>
    </row>
    <row r="40">
      <c r="A40" s="30">
        <v>45614.0</v>
      </c>
      <c r="B40" s="11">
        <v>45615.0</v>
      </c>
      <c r="C40" s="12">
        <f>VLOOKUP(B:B,'Курс валют'!A:D,4,0)</f>
        <v>105.4606</v>
      </c>
      <c r="D40" s="15">
        <v>813.0</v>
      </c>
      <c r="E40" s="75" t="s">
        <v>18</v>
      </c>
      <c r="F40" s="15">
        <v>8800.0</v>
      </c>
      <c r="G40" s="15">
        <v>8821.0</v>
      </c>
      <c r="H40" s="17">
        <v>4021.0</v>
      </c>
      <c r="I40" s="15">
        <f t="shared" si="1"/>
        <v>21</v>
      </c>
      <c r="J40" s="18">
        <f t="shared" si="2"/>
        <v>0.2386363636</v>
      </c>
      <c r="K40" s="17">
        <v>3.81</v>
      </c>
      <c r="L40" s="19">
        <f t="shared" si="3"/>
        <v>45.69318182</v>
      </c>
      <c r="M40" s="20">
        <f t="shared" si="4"/>
        <v>255.3124427</v>
      </c>
      <c r="N40" s="21">
        <f t="shared" si="5"/>
        <v>2.420927273</v>
      </c>
      <c r="O40" s="21">
        <f t="shared" si="6"/>
        <v>21304.16</v>
      </c>
      <c r="P40" s="22">
        <f t="shared" si="7"/>
        <v>2246749.496</v>
      </c>
      <c r="R40" s="175"/>
    </row>
    <row r="41">
      <c r="A41" s="30">
        <v>45615.0</v>
      </c>
      <c r="B41" s="11">
        <v>45616.0</v>
      </c>
      <c r="C41" s="12">
        <f>VLOOKUP(B:B,'Курс валют'!A:D,4,0)</f>
        <v>105.7338</v>
      </c>
      <c r="D41" s="15">
        <v>814.0</v>
      </c>
      <c r="E41" s="59" t="s">
        <v>392</v>
      </c>
      <c r="F41" s="15">
        <v>900.0</v>
      </c>
      <c r="G41" s="15">
        <v>934.01</v>
      </c>
      <c r="H41" s="58">
        <v>495.0</v>
      </c>
      <c r="I41" s="15">
        <f t="shared" si="1"/>
        <v>34.01</v>
      </c>
      <c r="J41" s="18">
        <f t="shared" si="2"/>
        <v>3.778888889</v>
      </c>
      <c r="K41" s="17">
        <v>3.71</v>
      </c>
      <c r="L41" s="19">
        <f t="shared" si="3"/>
        <v>55</v>
      </c>
      <c r="M41" s="20">
        <f t="shared" si="4"/>
        <v>215.4854844</v>
      </c>
      <c r="N41" s="21">
        <f t="shared" si="5"/>
        <v>2.038</v>
      </c>
      <c r="O41" s="21">
        <f t="shared" si="6"/>
        <v>1834.2</v>
      </c>
      <c r="P41" s="22">
        <f t="shared" si="7"/>
        <v>193936.936</v>
      </c>
      <c r="R41" s="172"/>
    </row>
    <row r="42">
      <c r="A42" s="30">
        <v>45615.0</v>
      </c>
      <c r="B42" s="11">
        <v>45616.0</v>
      </c>
      <c r="C42" s="12">
        <f>VLOOKUP(B:B,'Курс валют'!A:D,4,0)</f>
        <v>105.7338</v>
      </c>
      <c r="D42" s="15">
        <v>815.0</v>
      </c>
      <c r="E42" s="59" t="s">
        <v>63</v>
      </c>
      <c r="F42" s="15">
        <v>900.0</v>
      </c>
      <c r="G42" s="15">
        <v>940.0</v>
      </c>
      <c r="H42" s="58">
        <v>365.0</v>
      </c>
      <c r="I42" s="15">
        <f t="shared" si="1"/>
        <v>40</v>
      </c>
      <c r="J42" s="18">
        <f t="shared" si="2"/>
        <v>4.444444444</v>
      </c>
      <c r="K42" s="17">
        <v>3.18</v>
      </c>
      <c r="L42" s="19">
        <f t="shared" si="3"/>
        <v>40.55555556</v>
      </c>
      <c r="M42" s="20">
        <f t="shared" si="4"/>
        <v>205.8754568</v>
      </c>
      <c r="N42" s="21">
        <f t="shared" si="5"/>
        <v>1.947111111</v>
      </c>
      <c r="O42" s="21">
        <f t="shared" si="6"/>
        <v>1752.4</v>
      </c>
      <c r="P42" s="22">
        <f t="shared" si="7"/>
        <v>185287.9111</v>
      </c>
      <c r="R42" s="175"/>
    </row>
    <row r="43">
      <c r="A43" s="30">
        <v>45615.0</v>
      </c>
      <c r="B43" s="11">
        <v>45616.0</v>
      </c>
      <c r="C43" s="12">
        <f>VLOOKUP(B:B,'Курс валют'!A:D,4,0)</f>
        <v>105.7338</v>
      </c>
      <c r="D43" s="15">
        <v>816.0</v>
      </c>
      <c r="E43" s="75" t="s">
        <v>18</v>
      </c>
      <c r="F43" s="15">
        <v>8800.0</v>
      </c>
      <c r="G43" s="15">
        <v>8825.0</v>
      </c>
      <c r="H43" s="58">
        <v>4025.0</v>
      </c>
      <c r="I43" s="15">
        <f t="shared" si="1"/>
        <v>25</v>
      </c>
      <c r="J43" s="18">
        <f t="shared" si="2"/>
        <v>0.2840909091</v>
      </c>
      <c r="K43" s="17">
        <v>3.79</v>
      </c>
      <c r="L43" s="19">
        <f t="shared" si="3"/>
        <v>45.73863636</v>
      </c>
      <c r="M43" s="20">
        <f t="shared" si="4"/>
        <v>253.7130592</v>
      </c>
      <c r="N43" s="21">
        <f t="shared" si="5"/>
        <v>2.399545455</v>
      </c>
      <c r="O43" s="21">
        <f t="shared" si="6"/>
        <v>21116</v>
      </c>
      <c r="P43" s="22">
        <f t="shared" si="7"/>
        <v>2232674.921</v>
      </c>
      <c r="R43" s="177"/>
    </row>
    <row r="44">
      <c r="A44" s="30">
        <v>45616.0</v>
      </c>
      <c r="B44" s="11">
        <v>45616.0</v>
      </c>
      <c r="C44" s="12">
        <f>VLOOKUP(B:B,'Курс валют'!A:D,4,0)</f>
        <v>105.7338</v>
      </c>
      <c r="D44" s="15">
        <v>817.0</v>
      </c>
      <c r="E44" s="59" t="s">
        <v>926</v>
      </c>
      <c r="F44" s="15">
        <v>360.0</v>
      </c>
      <c r="G44" s="15">
        <v>360.0</v>
      </c>
      <c r="H44" s="58">
        <v>0.0</v>
      </c>
      <c r="I44" s="15">
        <f t="shared" si="1"/>
        <v>0</v>
      </c>
      <c r="J44" s="18">
        <f t="shared" si="2"/>
        <v>0</v>
      </c>
      <c r="K44" s="17">
        <v>2.69</v>
      </c>
      <c r="L44" s="19">
        <f t="shared" si="3"/>
        <v>0</v>
      </c>
      <c r="M44" s="20">
        <f t="shared" si="4"/>
        <v>284.423922</v>
      </c>
      <c r="N44" s="21">
        <f t="shared" si="5"/>
        <v>2.69</v>
      </c>
      <c r="O44" s="21">
        <f t="shared" si="6"/>
        <v>968.4</v>
      </c>
      <c r="P44" s="22">
        <f t="shared" si="7"/>
        <v>102392.6119</v>
      </c>
      <c r="R44" s="174" t="s">
        <v>1101</v>
      </c>
    </row>
    <row r="45">
      <c r="A45" s="30">
        <v>45616.0</v>
      </c>
      <c r="B45" s="11">
        <v>45616.0</v>
      </c>
      <c r="C45" s="12">
        <f>VLOOKUP(B:B,'Курс валют'!A:D,4,0)</f>
        <v>105.7338</v>
      </c>
      <c r="D45" s="15">
        <v>818.0</v>
      </c>
      <c r="E45" s="59" t="s">
        <v>80</v>
      </c>
      <c r="F45" s="15">
        <v>75.0</v>
      </c>
      <c r="G45" s="15">
        <v>75.0</v>
      </c>
      <c r="H45" s="17">
        <v>0.0</v>
      </c>
      <c r="I45" s="15">
        <f t="shared" si="1"/>
        <v>0</v>
      </c>
      <c r="J45" s="18">
        <f t="shared" si="2"/>
        <v>0</v>
      </c>
      <c r="K45" s="17">
        <v>2.42</v>
      </c>
      <c r="L45" s="19">
        <f t="shared" si="3"/>
        <v>0</v>
      </c>
      <c r="M45" s="20">
        <f t="shared" si="4"/>
        <v>255.875796</v>
      </c>
      <c r="N45" s="21">
        <f t="shared" si="5"/>
        <v>2.42</v>
      </c>
      <c r="O45" s="21">
        <f t="shared" si="6"/>
        <v>181.5</v>
      </c>
      <c r="P45" s="22">
        <f t="shared" si="7"/>
        <v>19190.6847</v>
      </c>
      <c r="R45" s="174" t="s">
        <v>2331</v>
      </c>
    </row>
    <row r="46">
      <c r="A46" s="30">
        <v>45616.0</v>
      </c>
      <c r="B46" s="11">
        <v>45617.0</v>
      </c>
      <c r="C46" s="12">
        <f>VLOOKUP(B:B,'Курс валют'!A:D,4,0)</f>
        <v>105.809</v>
      </c>
      <c r="D46" s="15">
        <v>819.0</v>
      </c>
      <c r="E46" s="59" t="s">
        <v>61</v>
      </c>
      <c r="F46" s="15">
        <v>8800.0</v>
      </c>
      <c r="G46" s="15">
        <v>8830.0</v>
      </c>
      <c r="H46" s="17">
        <v>3660.0</v>
      </c>
      <c r="I46" s="15">
        <f t="shared" si="1"/>
        <v>30</v>
      </c>
      <c r="J46" s="18">
        <f t="shared" si="2"/>
        <v>0.3409090909</v>
      </c>
      <c r="K46" s="17">
        <v>3.62</v>
      </c>
      <c r="L46" s="19">
        <f t="shared" si="3"/>
        <v>41.59090909</v>
      </c>
      <c r="M46" s="20">
        <f t="shared" si="4"/>
        <v>249.247528</v>
      </c>
      <c r="N46" s="21">
        <f t="shared" si="5"/>
        <v>2.355636364</v>
      </c>
      <c r="O46" s="21">
        <f t="shared" si="6"/>
        <v>20729.6</v>
      </c>
      <c r="P46" s="22">
        <f t="shared" si="7"/>
        <v>2193378.246</v>
      </c>
      <c r="R46" s="175"/>
    </row>
    <row r="47">
      <c r="A47" s="30">
        <v>45616.0</v>
      </c>
      <c r="B47" s="11">
        <v>45617.0</v>
      </c>
      <c r="C47" s="12">
        <f>VLOOKUP(B:B,'Курс валют'!A:D,4,0)</f>
        <v>105.809</v>
      </c>
      <c r="D47" s="15">
        <v>820.0</v>
      </c>
      <c r="E47" s="59" t="s">
        <v>63</v>
      </c>
      <c r="F47" s="15">
        <v>900.0</v>
      </c>
      <c r="G47" s="15">
        <v>933.0</v>
      </c>
      <c r="H47" s="17">
        <f>367</f>
        <v>367</v>
      </c>
      <c r="I47" s="15">
        <f t="shared" si="1"/>
        <v>33</v>
      </c>
      <c r="J47" s="18">
        <f t="shared" si="2"/>
        <v>3.666666667</v>
      </c>
      <c r="K47" s="17">
        <v>3.14</v>
      </c>
      <c r="L47" s="19">
        <f t="shared" si="3"/>
        <v>40.77777778</v>
      </c>
      <c r="M47" s="20">
        <f t="shared" si="4"/>
        <v>201.074721</v>
      </c>
      <c r="N47" s="21">
        <f t="shared" si="5"/>
        <v>1.900355556</v>
      </c>
      <c r="O47" s="21">
        <f t="shared" si="6"/>
        <v>1710.32</v>
      </c>
      <c r="P47" s="22">
        <f t="shared" si="7"/>
        <v>180967.2489</v>
      </c>
      <c r="R47" s="171"/>
    </row>
    <row r="48">
      <c r="A48" s="30">
        <v>45616.0</v>
      </c>
      <c r="B48" s="11">
        <v>45617.0</v>
      </c>
      <c r="C48" s="12">
        <f>VLOOKUP(B:B,'Курс валют'!A:D,4,0)</f>
        <v>105.809</v>
      </c>
      <c r="D48" s="15">
        <v>821.0</v>
      </c>
      <c r="E48" s="64" t="s">
        <v>63</v>
      </c>
      <c r="F48" s="15">
        <v>900.0</v>
      </c>
      <c r="G48" s="15">
        <v>938.0</v>
      </c>
      <c r="H48" s="17">
        <f>365</f>
        <v>365</v>
      </c>
      <c r="I48" s="15">
        <f t="shared" si="1"/>
        <v>38</v>
      </c>
      <c r="J48" s="18">
        <f t="shared" si="2"/>
        <v>4.222222222</v>
      </c>
      <c r="K48" s="17">
        <v>3.14</v>
      </c>
      <c r="L48" s="19">
        <f t="shared" si="3"/>
        <v>40.55555556</v>
      </c>
      <c r="M48" s="20">
        <f t="shared" si="4"/>
        <v>201.7895196</v>
      </c>
      <c r="N48" s="21">
        <f t="shared" si="5"/>
        <v>1.907111111</v>
      </c>
      <c r="O48" s="21">
        <f t="shared" si="6"/>
        <v>1716.4</v>
      </c>
      <c r="P48" s="22">
        <f t="shared" si="7"/>
        <v>181610.5676</v>
      </c>
      <c r="R48" s="175"/>
    </row>
    <row r="49">
      <c r="A49" s="30">
        <v>45617.0</v>
      </c>
      <c r="B49" s="11">
        <v>45618.0</v>
      </c>
      <c r="C49" s="12">
        <f>VLOOKUP(B:B,'Курс валют'!A:D,4,0)</f>
        <v>106.0762</v>
      </c>
      <c r="D49" s="15">
        <v>822.0</v>
      </c>
      <c r="E49" s="64" t="s">
        <v>61</v>
      </c>
      <c r="F49" s="15">
        <v>8800.0</v>
      </c>
      <c r="G49" s="15">
        <v>8834.0</v>
      </c>
      <c r="H49" s="17">
        <v>3666.0</v>
      </c>
      <c r="I49" s="15">
        <f t="shared" si="1"/>
        <v>34</v>
      </c>
      <c r="J49" s="18">
        <f t="shared" si="2"/>
        <v>0.3863636364</v>
      </c>
      <c r="K49" s="17">
        <v>3.77</v>
      </c>
      <c r="L49" s="19">
        <f t="shared" si="3"/>
        <v>41.65909091</v>
      </c>
      <c r="M49" s="20">
        <f t="shared" si="4"/>
        <v>265.568517</v>
      </c>
      <c r="N49" s="21">
        <f t="shared" si="5"/>
        <v>2.503563636</v>
      </c>
      <c r="O49" s="21">
        <f t="shared" si="6"/>
        <v>22031.36</v>
      </c>
      <c r="P49" s="22">
        <f t="shared" si="7"/>
        <v>2337002.95</v>
      </c>
      <c r="R49" s="174"/>
    </row>
    <row r="50">
      <c r="A50" s="30">
        <v>45618.0</v>
      </c>
      <c r="B50" s="11">
        <v>45621.0</v>
      </c>
      <c r="C50" s="12">
        <f>VLOOKUP(B:B,'Курс валют'!A:D,4,0)</f>
        <v>107.4252</v>
      </c>
      <c r="D50" s="15">
        <v>823.0</v>
      </c>
      <c r="E50" s="64" t="s">
        <v>63</v>
      </c>
      <c r="F50" s="15">
        <v>900.0</v>
      </c>
      <c r="G50" s="15">
        <v>933.0</v>
      </c>
      <c r="H50" s="17">
        <v>366.0</v>
      </c>
      <c r="I50" s="15">
        <f t="shared" si="1"/>
        <v>33</v>
      </c>
      <c r="J50" s="18">
        <f t="shared" si="2"/>
        <v>3.666666667</v>
      </c>
      <c r="K50" s="17">
        <v>3.14</v>
      </c>
      <c r="L50" s="19">
        <f t="shared" si="3"/>
        <v>40.66666667</v>
      </c>
      <c r="M50" s="20">
        <f t="shared" si="4"/>
        <v>204.5089341</v>
      </c>
      <c r="N50" s="21">
        <f t="shared" si="5"/>
        <v>1.903733333</v>
      </c>
      <c r="O50" s="21">
        <f t="shared" si="6"/>
        <v>1713.36</v>
      </c>
      <c r="P50" s="22">
        <f t="shared" si="7"/>
        <v>184058.0407</v>
      </c>
      <c r="R50" s="175"/>
    </row>
    <row r="51">
      <c r="A51" s="30">
        <v>45618.0</v>
      </c>
      <c r="B51" s="11">
        <v>45621.0</v>
      </c>
      <c r="C51" s="12">
        <f>VLOOKUP(B:B,'Курс валют'!A:D,4,0)</f>
        <v>107.4252</v>
      </c>
      <c r="D51" s="15">
        <v>824.0</v>
      </c>
      <c r="E51" s="64" t="s">
        <v>63</v>
      </c>
      <c r="F51" s="15">
        <v>900.0</v>
      </c>
      <c r="G51" s="15">
        <v>929.0</v>
      </c>
      <c r="H51" s="17">
        <v>365.0</v>
      </c>
      <c r="I51" s="15">
        <f t="shared" si="1"/>
        <v>29</v>
      </c>
      <c r="J51" s="18">
        <f t="shared" si="2"/>
        <v>3.222222222</v>
      </c>
      <c r="K51" s="17">
        <v>3.14</v>
      </c>
      <c r="L51" s="19">
        <f t="shared" si="3"/>
        <v>40.55555556</v>
      </c>
      <c r="M51" s="20">
        <f t="shared" si="4"/>
        <v>204.8717925</v>
      </c>
      <c r="N51" s="21">
        <f t="shared" si="5"/>
        <v>1.907111111</v>
      </c>
      <c r="O51" s="21">
        <f t="shared" si="6"/>
        <v>1716.4</v>
      </c>
      <c r="P51" s="22">
        <f t="shared" si="7"/>
        <v>184384.6133</v>
      </c>
      <c r="R51" s="175"/>
    </row>
    <row r="52">
      <c r="A52" s="30">
        <v>45618.0</v>
      </c>
      <c r="B52" s="11">
        <v>45621.0</v>
      </c>
      <c r="C52" s="12">
        <f>VLOOKUP(B:B,'Курс валют'!A:D,4,0)</f>
        <v>107.4252</v>
      </c>
      <c r="D52" s="15">
        <v>826.0</v>
      </c>
      <c r="E52" s="64" t="s">
        <v>63</v>
      </c>
      <c r="F52" s="15">
        <v>900.0</v>
      </c>
      <c r="G52" s="15">
        <v>936.0</v>
      </c>
      <c r="H52" s="17">
        <v>365.0</v>
      </c>
      <c r="I52" s="15">
        <f t="shared" si="1"/>
        <v>36</v>
      </c>
      <c r="J52" s="18">
        <f t="shared" si="2"/>
        <v>4</v>
      </c>
      <c r="K52" s="17">
        <v>3.14</v>
      </c>
      <c r="L52" s="19">
        <f t="shared" si="3"/>
        <v>40.55555556</v>
      </c>
      <c r="M52" s="20">
        <f t="shared" si="4"/>
        <v>204.8717925</v>
      </c>
      <c r="N52" s="21">
        <f t="shared" si="5"/>
        <v>1.907111111</v>
      </c>
      <c r="O52" s="21">
        <f t="shared" si="6"/>
        <v>1716.4</v>
      </c>
      <c r="P52" s="22">
        <f t="shared" si="7"/>
        <v>184384.6133</v>
      </c>
      <c r="R52" s="171"/>
    </row>
    <row r="53">
      <c r="A53" s="30">
        <v>45618.0</v>
      </c>
      <c r="B53" s="11">
        <v>45621.0</v>
      </c>
      <c r="C53" s="12">
        <f>VLOOKUP(B:B,'Курс валют'!A:D,4,0)</f>
        <v>107.4252</v>
      </c>
      <c r="D53" s="15">
        <v>825.0</v>
      </c>
      <c r="E53" s="64" t="s">
        <v>71</v>
      </c>
      <c r="F53" s="15">
        <v>12000.0</v>
      </c>
      <c r="G53" s="15">
        <v>12018.0</v>
      </c>
      <c r="H53" s="17">
        <v>1145.0</v>
      </c>
      <c r="I53" s="15">
        <f t="shared" si="1"/>
        <v>18</v>
      </c>
      <c r="J53" s="18">
        <f t="shared" si="2"/>
        <v>0.15</v>
      </c>
      <c r="K53" s="159">
        <v>2.19</v>
      </c>
      <c r="L53" s="19">
        <f t="shared" si="3"/>
        <v>9.541666667</v>
      </c>
      <c r="M53" s="20">
        <f t="shared" si="4"/>
        <v>204.1007183</v>
      </c>
      <c r="N53" s="21">
        <f t="shared" si="5"/>
        <v>1.899933333</v>
      </c>
      <c r="O53" s="21">
        <f t="shared" si="6"/>
        <v>22799.2</v>
      </c>
      <c r="P53" s="22">
        <f t="shared" si="7"/>
        <v>2449208.62</v>
      </c>
      <c r="R53" s="171"/>
    </row>
    <row r="54">
      <c r="A54" s="30">
        <v>45618.0</v>
      </c>
      <c r="B54" s="11">
        <v>45621.0</v>
      </c>
      <c r="C54" s="12">
        <f>VLOOKUP(B:B,'Курс валют'!A:D,4,0)</f>
        <v>107.4252</v>
      </c>
      <c r="D54" s="15">
        <v>827.0</v>
      </c>
      <c r="E54" s="64" t="s">
        <v>59</v>
      </c>
      <c r="F54" s="15">
        <v>1000.0</v>
      </c>
      <c r="G54" s="15">
        <v>1062.5</v>
      </c>
      <c r="H54" s="17">
        <v>0.0</v>
      </c>
      <c r="I54" s="15">
        <f t="shared" si="1"/>
        <v>62.5</v>
      </c>
      <c r="J54" s="18">
        <f t="shared" si="2"/>
        <v>6.25</v>
      </c>
      <c r="K54" s="17">
        <v>3.03</v>
      </c>
      <c r="L54" s="19">
        <f t="shared" si="3"/>
        <v>0</v>
      </c>
      <c r="M54" s="20">
        <f t="shared" si="4"/>
        <v>325.498356</v>
      </c>
      <c r="N54" s="21">
        <f t="shared" si="5"/>
        <v>3.03</v>
      </c>
      <c r="O54" s="21">
        <f t="shared" si="6"/>
        <v>3030</v>
      </c>
      <c r="P54" s="22">
        <f t="shared" si="7"/>
        <v>325498.356</v>
      </c>
      <c r="R54" s="171"/>
    </row>
    <row r="55">
      <c r="A55" s="30">
        <v>45618.0</v>
      </c>
      <c r="B55" s="11">
        <v>45621.0</v>
      </c>
      <c r="C55" s="12">
        <f>VLOOKUP(B:B,'Курс валют'!A:D,4,0)</f>
        <v>107.4252</v>
      </c>
      <c r="D55" s="15">
        <v>828.0</v>
      </c>
      <c r="E55" s="75" t="s">
        <v>18</v>
      </c>
      <c r="F55" s="15">
        <v>2200.0</v>
      </c>
      <c r="G55" s="15">
        <v>2218.0</v>
      </c>
      <c r="H55" s="17">
        <f>972+41</f>
        <v>1013</v>
      </c>
      <c r="I55" s="15">
        <f t="shared" si="1"/>
        <v>18</v>
      </c>
      <c r="J55" s="18">
        <f t="shared" si="2"/>
        <v>0.8181818182</v>
      </c>
      <c r="K55" s="17">
        <v>3.78</v>
      </c>
      <c r="L55" s="19">
        <f t="shared" si="3"/>
        <v>46.04545455</v>
      </c>
      <c r="M55" s="20">
        <f t="shared" si="4"/>
        <v>255.6954142</v>
      </c>
      <c r="N55" s="21">
        <f t="shared" si="5"/>
        <v>2.380218182</v>
      </c>
      <c r="O55" s="21">
        <f t="shared" si="6"/>
        <v>5236.48</v>
      </c>
      <c r="P55" s="22">
        <f t="shared" si="7"/>
        <v>562529.9113</v>
      </c>
      <c r="R55" s="171"/>
    </row>
    <row r="56">
      <c r="A56" s="30">
        <v>45618.0</v>
      </c>
      <c r="B56" s="11">
        <v>45621.0</v>
      </c>
      <c r="C56" s="12">
        <f>VLOOKUP(B:B,'Курс валют'!A:D,4,0)</f>
        <v>107.4252</v>
      </c>
      <c r="D56" s="15">
        <v>829.0</v>
      </c>
      <c r="E56" s="75" t="s">
        <v>18</v>
      </c>
      <c r="F56" s="15">
        <v>8800.0</v>
      </c>
      <c r="G56" s="15">
        <v>8824.0</v>
      </c>
      <c r="H56" s="17">
        <f>3860+164</f>
        <v>4024</v>
      </c>
      <c r="I56" s="15">
        <f t="shared" si="1"/>
        <v>24</v>
      </c>
      <c r="J56" s="18">
        <f t="shared" si="2"/>
        <v>0.2727272727</v>
      </c>
      <c r="K56" s="17">
        <v>3.78</v>
      </c>
      <c r="L56" s="19">
        <f t="shared" si="3"/>
        <v>45.72727273</v>
      </c>
      <c r="M56" s="20">
        <f t="shared" si="4"/>
        <v>256.7345089</v>
      </c>
      <c r="N56" s="21">
        <f t="shared" si="5"/>
        <v>2.389890909</v>
      </c>
      <c r="O56" s="21">
        <f t="shared" si="6"/>
        <v>21031.04</v>
      </c>
      <c r="P56" s="22">
        <f t="shared" si="7"/>
        <v>2259263.678</v>
      </c>
      <c r="R56" s="171"/>
    </row>
    <row r="57">
      <c r="A57" s="30">
        <v>45618.0</v>
      </c>
      <c r="B57" s="11">
        <v>45621.0</v>
      </c>
      <c r="C57" s="12">
        <f>VLOOKUP(B:B,'Курс валют'!A:D,4,0)</f>
        <v>107.4252</v>
      </c>
      <c r="D57" s="15">
        <v>830.0</v>
      </c>
      <c r="E57" s="64" t="s">
        <v>59</v>
      </c>
      <c r="F57" s="15">
        <v>1000.0</v>
      </c>
      <c r="G57" s="15">
        <v>1055.5</v>
      </c>
      <c r="H57" s="17">
        <v>0.0</v>
      </c>
      <c r="I57" s="15">
        <f t="shared" si="1"/>
        <v>55.5</v>
      </c>
      <c r="J57" s="18">
        <f t="shared" si="2"/>
        <v>5.55</v>
      </c>
      <c r="K57" s="17">
        <v>3.03</v>
      </c>
      <c r="L57" s="19">
        <f t="shared" si="3"/>
        <v>0</v>
      </c>
      <c r="M57" s="20">
        <f t="shared" si="4"/>
        <v>325.498356</v>
      </c>
      <c r="N57" s="21">
        <f t="shared" si="5"/>
        <v>3.03</v>
      </c>
      <c r="O57" s="21">
        <f t="shared" si="6"/>
        <v>3030</v>
      </c>
      <c r="P57" s="22">
        <f t="shared" si="7"/>
        <v>325498.356</v>
      </c>
      <c r="R57" s="172"/>
    </row>
    <row r="58">
      <c r="A58" s="30">
        <v>45618.0</v>
      </c>
      <c r="B58" s="11">
        <v>45621.0</v>
      </c>
      <c r="C58" s="12">
        <f>VLOOKUP(B:B,'Курс валют'!A:D,4,0)</f>
        <v>107.4252</v>
      </c>
      <c r="D58" s="15">
        <v>832.0</v>
      </c>
      <c r="E58" s="75" t="s">
        <v>18</v>
      </c>
      <c r="F58" s="15">
        <v>8800.0</v>
      </c>
      <c r="G58" s="15">
        <v>8829.0</v>
      </c>
      <c r="H58" s="17">
        <f>3865+164</f>
        <v>4029</v>
      </c>
      <c r="I58" s="15">
        <f t="shared" si="1"/>
        <v>29</v>
      </c>
      <c r="J58" s="18">
        <f t="shared" si="2"/>
        <v>0.3295454545</v>
      </c>
      <c r="K58" s="17">
        <v>3.78</v>
      </c>
      <c r="L58" s="19">
        <f t="shared" si="3"/>
        <v>45.78409091</v>
      </c>
      <c r="M58" s="20">
        <f t="shared" si="4"/>
        <v>256.5489563</v>
      </c>
      <c r="N58" s="21">
        <f t="shared" si="5"/>
        <v>2.388163636</v>
      </c>
      <c r="O58" s="21">
        <f t="shared" si="6"/>
        <v>21015.84</v>
      </c>
      <c r="P58" s="22">
        <f t="shared" si="7"/>
        <v>2257630.815</v>
      </c>
      <c r="R58" s="171"/>
    </row>
    <row r="59">
      <c r="A59" s="30">
        <v>45618.0</v>
      </c>
      <c r="B59" s="11">
        <v>45621.0</v>
      </c>
      <c r="C59" s="12">
        <f>VLOOKUP(B:B,'Курс валют'!A:D,4,0)</f>
        <v>107.4252</v>
      </c>
      <c r="D59" s="15">
        <v>837.0</v>
      </c>
      <c r="E59" s="64" t="s">
        <v>1948</v>
      </c>
      <c r="F59" s="15">
        <v>400.0</v>
      </c>
      <c r="G59" s="15">
        <v>400.0</v>
      </c>
      <c r="H59" s="17">
        <v>0.0</v>
      </c>
      <c r="I59" s="15">
        <f t="shared" si="1"/>
        <v>0</v>
      </c>
      <c r="J59" s="18">
        <f t="shared" si="2"/>
        <v>0</v>
      </c>
      <c r="K59" s="17">
        <v>3.03</v>
      </c>
      <c r="L59" s="19">
        <f t="shared" si="3"/>
        <v>0</v>
      </c>
      <c r="M59" s="20">
        <f t="shared" si="4"/>
        <v>325.498356</v>
      </c>
      <c r="N59" s="21">
        <f t="shared" si="5"/>
        <v>3.03</v>
      </c>
      <c r="O59" s="21">
        <f t="shared" si="6"/>
        <v>1212</v>
      </c>
      <c r="P59" s="22">
        <f t="shared" si="7"/>
        <v>130199.3424</v>
      </c>
      <c r="R59" s="172" t="s">
        <v>2332</v>
      </c>
    </row>
    <row r="60">
      <c r="A60" s="63">
        <v>45618.0</v>
      </c>
      <c r="B60" s="11">
        <v>45621.0</v>
      </c>
      <c r="C60" s="12">
        <f>VLOOKUP(B:B,'Курс валют'!A:D,4,0)</f>
        <v>107.4252</v>
      </c>
      <c r="D60" s="15">
        <v>833.0</v>
      </c>
      <c r="E60" s="64" t="s">
        <v>82</v>
      </c>
      <c r="F60" s="15">
        <v>1020.0</v>
      </c>
      <c r="G60" s="15">
        <v>1055.5</v>
      </c>
      <c r="H60" s="17">
        <v>0.0</v>
      </c>
      <c r="I60" s="15">
        <f t="shared" si="1"/>
        <v>35.5</v>
      </c>
      <c r="J60" s="18">
        <f t="shared" si="2"/>
        <v>3.480392157</v>
      </c>
      <c r="K60" s="17">
        <v>3.08</v>
      </c>
      <c r="L60" s="19">
        <f t="shared" si="3"/>
        <v>0</v>
      </c>
      <c r="M60" s="20">
        <f t="shared" si="4"/>
        <v>330.869616</v>
      </c>
      <c r="N60" s="21">
        <f t="shared" si="5"/>
        <v>3.08</v>
      </c>
      <c r="O60" s="21">
        <f t="shared" si="6"/>
        <v>3141.6</v>
      </c>
      <c r="P60" s="22">
        <f t="shared" si="7"/>
        <v>337487.0083</v>
      </c>
      <c r="R60" s="172"/>
    </row>
    <row r="61">
      <c r="A61" s="63">
        <v>45621.0</v>
      </c>
      <c r="B61" s="11">
        <v>45622.0</v>
      </c>
      <c r="C61" s="12">
        <f>VLOOKUP(B:B,'Курс валют'!A:D,4,0)</f>
        <v>108.8705</v>
      </c>
      <c r="D61" s="15">
        <v>835.0</v>
      </c>
      <c r="E61" s="75" t="s">
        <v>18</v>
      </c>
      <c r="F61" s="15">
        <v>6600.0</v>
      </c>
      <c r="G61" s="15">
        <v>6637.0</v>
      </c>
      <c r="H61" s="17">
        <v>3027.0</v>
      </c>
      <c r="I61" s="15">
        <f t="shared" si="1"/>
        <v>37</v>
      </c>
      <c r="J61" s="18">
        <f t="shared" si="2"/>
        <v>0.5606060606</v>
      </c>
      <c r="K61" s="17">
        <v>3.8</v>
      </c>
      <c r="L61" s="19">
        <f t="shared" si="3"/>
        <v>45.86363636</v>
      </c>
      <c r="M61" s="20">
        <f t="shared" si="4"/>
        <v>261.9147105</v>
      </c>
      <c r="N61" s="21">
        <f t="shared" si="5"/>
        <v>2.405745455</v>
      </c>
      <c r="O61" s="21">
        <f t="shared" si="6"/>
        <v>15877.92</v>
      </c>
      <c r="P61" s="22">
        <f t="shared" si="7"/>
        <v>1728637.089</v>
      </c>
      <c r="R61" s="172"/>
    </row>
    <row r="62">
      <c r="A62" s="63">
        <v>45622.0</v>
      </c>
      <c r="B62" s="11">
        <v>45623.0</v>
      </c>
      <c r="C62" s="12">
        <f>VLOOKUP(B:B,'Курс валют'!A:D,4,0)</f>
        <v>110.4943</v>
      </c>
      <c r="D62" s="15">
        <v>834.0</v>
      </c>
      <c r="E62" s="64" t="s">
        <v>63</v>
      </c>
      <c r="F62" s="15">
        <v>900.0</v>
      </c>
      <c r="G62" s="15">
        <v>938.0</v>
      </c>
      <c r="H62" s="17">
        <v>363.0</v>
      </c>
      <c r="I62" s="15">
        <f t="shared" si="1"/>
        <v>38</v>
      </c>
      <c r="J62" s="18">
        <f t="shared" si="2"/>
        <v>4.222222222</v>
      </c>
      <c r="K62" s="17">
        <v>3.15</v>
      </c>
      <c r="L62" s="19">
        <f t="shared" si="3"/>
        <v>40.33333333</v>
      </c>
      <c r="M62" s="20">
        <f t="shared" si="4"/>
        <v>212.5763006</v>
      </c>
      <c r="N62" s="21">
        <f t="shared" si="5"/>
        <v>1.923866667</v>
      </c>
      <c r="O62" s="21">
        <f t="shared" si="6"/>
        <v>1731.48</v>
      </c>
      <c r="P62" s="22">
        <f t="shared" si="7"/>
        <v>191318.6706</v>
      </c>
      <c r="R62" s="171"/>
    </row>
    <row r="63">
      <c r="A63" s="30">
        <v>45622.0</v>
      </c>
      <c r="B63" s="11">
        <v>45623.0</v>
      </c>
      <c r="C63" s="12">
        <f>VLOOKUP(B:B,'Курс валют'!A:D,4,0)</f>
        <v>110.4943</v>
      </c>
      <c r="D63" s="15">
        <v>838.0</v>
      </c>
      <c r="E63" s="75" t="s">
        <v>18</v>
      </c>
      <c r="F63" s="15">
        <v>2200.0</v>
      </c>
      <c r="G63" s="15">
        <v>2215.0</v>
      </c>
      <c r="H63" s="17">
        <f>967+40</f>
        <v>1007</v>
      </c>
      <c r="I63" s="15">
        <f t="shared" si="1"/>
        <v>15</v>
      </c>
      <c r="J63" s="18">
        <f t="shared" si="2"/>
        <v>0.6818181818</v>
      </c>
      <c r="K63" s="17">
        <v>3.7</v>
      </c>
      <c r="L63" s="19">
        <f t="shared" si="3"/>
        <v>45.77272727</v>
      </c>
      <c r="M63" s="20">
        <f t="shared" si="4"/>
        <v>255.077096</v>
      </c>
      <c r="N63" s="21">
        <f t="shared" si="5"/>
        <v>2.308509091</v>
      </c>
      <c r="O63" s="21">
        <f t="shared" si="6"/>
        <v>5078.72</v>
      </c>
      <c r="P63" s="22">
        <f t="shared" si="7"/>
        <v>561169.6113</v>
      </c>
      <c r="R63" s="172"/>
    </row>
    <row r="64">
      <c r="A64" s="147">
        <v>45622.0</v>
      </c>
      <c r="B64" s="11">
        <v>45623.0</v>
      </c>
      <c r="C64" s="12">
        <f>VLOOKUP(B:B,'Курс валют'!A:D,4,0)</f>
        <v>110.4943</v>
      </c>
      <c r="D64" s="15">
        <v>839.0</v>
      </c>
      <c r="E64" s="75" t="s">
        <v>18</v>
      </c>
      <c r="F64" s="15">
        <v>6600.0</v>
      </c>
      <c r="G64" s="15">
        <v>6650.0</v>
      </c>
      <c r="H64" s="17">
        <f>2900+120</f>
        <v>3020</v>
      </c>
      <c r="I64" s="15">
        <f t="shared" si="1"/>
        <v>50</v>
      </c>
      <c r="J64" s="18">
        <f t="shared" si="2"/>
        <v>0.7575757576</v>
      </c>
      <c r="K64" s="17">
        <v>3.7</v>
      </c>
      <c r="L64" s="19">
        <f t="shared" si="3"/>
        <v>45.75757576</v>
      </c>
      <c r="M64" s="20">
        <f t="shared" si="4"/>
        <v>255.1279904</v>
      </c>
      <c r="N64" s="21">
        <f t="shared" si="5"/>
        <v>2.308969697</v>
      </c>
      <c r="O64" s="21">
        <f t="shared" si="6"/>
        <v>15239.2</v>
      </c>
      <c r="P64" s="22">
        <f t="shared" si="7"/>
        <v>1683844.737</v>
      </c>
      <c r="R64" s="172" t="s">
        <v>2333</v>
      </c>
    </row>
    <row r="65">
      <c r="A65" s="147">
        <v>45623.0</v>
      </c>
      <c r="B65" s="11">
        <v>45623.0</v>
      </c>
      <c r="C65" s="12">
        <f>VLOOKUP(B:B,'Курс валют'!A:D,4,0)</f>
        <v>110.4943</v>
      </c>
      <c r="D65" s="15" t="s">
        <v>2334</v>
      </c>
      <c r="E65" s="15" t="s">
        <v>83</v>
      </c>
      <c r="F65" s="15">
        <v>20.0</v>
      </c>
      <c r="G65" s="15">
        <v>22.006</v>
      </c>
      <c r="H65" s="17">
        <v>0.0</v>
      </c>
      <c r="I65" s="15">
        <f t="shared" si="1"/>
        <v>2.006</v>
      </c>
      <c r="J65" s="18">
        <f t="shared" si="2"/>
        <v>10.03</v>
      </c>
      <c r="K65" s="17">
        <v>3.37</v>
      </c>
      <c r="L65" s="19">
        <f t="shared" si="3"/>
        <v>0</v>
      </c>
      <c r="M65" s="20">
        <f t="shared" si="4"/>
        <v>372.365791</v>
      </c>
      <c r="N65" s="21">
        <f t="shared" si="5"/>
        <v>3.37</v>
      </c>
      <c r="O65" s="21">
        <f t="shared" si="6"/>
        <v>67.4</v>
      </c>
      <c r="P65" s="22">
        <f t="shared" si="7"/>
        <v>7447.31582</v>
      </c>
      <c r="R65" s="171"/>
    </row>
    <row r="66">
      <c r="A66" s="147">
        <v>45623.0</v>
      </c>
      <c r="B66" s="11">
        <v>45624.0</v>
      </c>
      <c r="C66" s="12">
        <f>VLOOKUP(B:B,'Курс валют'!A:D,4,0)</f>
        <v>113.0947</v>
      </c>
      <c r="D66" s="15">
        <v>844.0</v>
      </c>
      <c r="E66" s="64" t="s">
        <v>84</v>
      </c>
      <c r="F66" s="15">
        <v>20.0</v>
      </c>
      <c r="G66" s="15">
        <v>22.06</v>
      </c>
      <c r="H66" s="17">
        <v>0.0</v>
      </c>
      <c r="I66" s="15">
        <f t="shared" si="1"/>
        <v>2.06</v>
      </c>
      <c r="J66" s="18">
        <f t="shared" si="2"/>
        <v>10.3</v>
      </c>
      <c r="K66" s="17">
        <v>2.59</v>
      </c>
      <c r="L66" s="19">
        <f t="shared" si="3"/>
        <v>0</v>
      </c>
      <c r="M66" s="20">
        <f t="shared" si="4"/>
        <v>292.915273</v>
      </c>
      <c r="N66" s="21">
        <f t="shared" si="5"/>
        <v>2.59</v>
      </c>
      <c r="O66" s="21">
        <f t="shared" si="6"/>
        <v>51.8</v>
      </c>
      <c r="P66" s="22">
        <f t="shared" si="7"/>
        <v>5858.30546</v>
      </c>
      <c r="R66" s="172"/>
    </row>
    <row r="67">
      <c r="A67" s="147">
        <v>45623.0</v>
      </c>
      <c r="B67" s="11">
        <v>45624.0</v>
      </c>
      <c r="C67" s="12">
        <f>VLOOKUP(B:B,'Курс валют'!A:D,4,0)</f>
        <v>113.0947</v>
      </c>
      <c r="D67" s="15" t="s">
        <v>2335</v>
      </c>
      <c r="E67" s="64" t="s">
        <v>85</v>
      </c>
      <c r="F67" s="15">
        <v>1800.0</v>
      </c>
      <c r="G67" s="15">
        <v>1800.0</v>
      </c>
      <c r="H67" s="17">
        <v>0.0</v>
      </c>
      <c r="I67" s="15">
        <f t="shared" si="1"/>
        <v>0</v>
      </c>
      <c r="J67" s="18">
        <f t="shared" si="2"/>
        <v>0</v>
      </c>
      <c r="K67" s="17">
        <v>3.21</v>
      </c>
      <c r="L67" s="19">
        <f t="shared" si="3"/>
        <v>0</v>
      </c>
      <c r="M67" s="20">
        <f t="shared" si="4"/>
        <v>363.033987</v>
      </c>
      <c r="N67" s="21">
        <f t="shared" si="5"/>
        <v>3.21</v>
      </c>
      <c r="O67" s="21">
        <f t="shared" si="6"/>
        <v>5778</v>
      </c>
      <c r="P67" s="22">
        <f t="shared" si="7"/>
        <v>653461.1766</v>
      </c>
      <c r="R67" s="172" t="s">
        <v>2266</v>
      </c>
    </row>
    <row r="68">
      <c r="A68" s="147">
        <v>45623.0</v>
      </c>
      <c r="B68" s="11">
        <v>45624.0</v>
      </c>
      <c r="C68" s="12">
        <f>VLOOKUP(B:B,'Курс валют'!A:D,4,0)</f>
        <v>113.0947</v>
      </c>
      <c r="D68" s="15">
        <v>836.0</v>
      </c>
      <c r="E68" s="64" t="s">
        <v>63</v>
      </c>
      <c r="F68" s="15">
        <v>900.0</v>
      </c>
      <c r="G68" s="15">
        <v>939.0</v>
      </c>
      <c r="H68" s="17">
        <f>365</f>
        <v>365</v>
      </c>
      <c r="I68" s="15">
        <f t="shared" si="1"/>
        <v>39</v>
      </c>
      <c r="J68" s="18">
        <f t="shared" si="2"/>
        <v>4.333333333</v>
      </c>
      <c r="K68" s="17">
        <v>3.15</v>
      </c>
      <c r="L68" s="19">
        <f t="shared" si="3"/>
        <v>40.55555556</v>
      </c>
      <c r="M68" s="20">
        <f t="shared" si="4"/>
        <v>216.815106</v>
      </c>
      <c r="N68" s="21">
        <f t="shared" si="5"/>
        <v>1.917111111</v>
      </c>
      <c r="O68" s="21">
        <f t="shared" si="6"/>
        <v>1725.4</v>
      </c>
      <c r="P68" s="22">
        <f t="shared" si="7"/>
        <v>195133.5954</v>
      </c>
      <c r="R68" s="171"/>
    </row>
    <row r="69">
      <c r="A69" s="147">
        <v>45623.0</v>
      </c>
      <c r="B69" s="11">
        <v>45624.0</v>
      </c>
      <c r="C69" s="12">
        <f>VLOOKUP(B:B,'Курс валют'!A:D,4,0)</f>
        <v>113.0947</v>
      </c>
      <c r="D69" s="15">
        <v>840.0</v>
      </c>
      <c r="E69" s="64" t="s">
        <v>53</v>
      </c>
      <c r="F69" s="15">
        <v>1600.0</v>
      </c>
      <c r="G69" s="15">
        <v>1618.12</v>
      </c>
      <c r="H69" s="17">
        <v>0.0</v>
      </c>
      <c r="I69" s="15">
        <f t="shared" si="1"/>
        <v>18.12</v>
      </c>
      <c r="J69" s="18">
        <f t="shared" si="2"/>
        <v>1.1325</v>
      </c>
      <c r="K69" s="159">
        <v>2.03</v>
      </c>
      <c r="L69" s="19">
        <f t="shared" si="3"/>
        <v>0</v>
      </c>
      <c r="M69" s="20">
        <f t="shared" si="4"/>
        <v>229.582241</v>
      </c>
      <c r="N69" s="21">
        <f t="shared" si="5"/>
        <v>2.03</v>
      </c>
      <c r="O69" s="21">
        <f t="shared" si="6"/>
        <v>3248</v>
      </c>
      <c r="P69" s="22">
        <f t="shared" si="7"/>
        <v>367331.5856</v>
      </c>
      <c r="R69" s="172"/>
    </row>
    <row r="70">
      <c r="A70" s="147">
        <v>45623.0</v>
      </c>
      <c r="B70" s="11">
        <v>45624.0</v>
      </c>
      <c r="C70" s="12">
        <f>VLOOKUP(B:B,'Курс валют'!A:D,4,0)</f>
        <v>113.0947</v>
      </c>
      <c r="D70" s="15">
        <v>841.0</v>
      </c>
      <c r="E70" s="59" t="s">
        <v>69</v>
      </c>
      <c r="F70" s="15">
        <v>6400.0</v>
      </c>
      <c r="G70" s="15">
        <v>6430.0</v>
      </c>
      <c r="H70" s="17">
        <v>612.0</v>
      </c>
      <c r="I70" s="15">
        <f t="shared" si="1"/>
        <v>30</v>
      </c>
      <c r="J70" s="18">
        <f t="shared" si="2"/>
        <v>0.46875</v>
      </c>
      <c r="K70" s="159">
        <v>2.25</v>
      </c>
      <c r="L70" s="19">
        <f t="shared" si="3"/>
        <v>9.5625</v>
      </c>
      <c r="M70" s="20">
        <f t="shared" si="4"/>
        <v>221.5864457</v>
      </c>
      <c r="N70" s="21">
        <f t="shared" si="5"/>
        <v>1.9593</v>
      </c>
      <c r="O70" s="21">
        <f t="shared" si="6"/>
        <v>12539.52</v>
      </c>
      <c r="P70" s="22">
        <f t="shared" si="7"/>
        <v>1418153.253</v>
      </c>
      <c r="R70" s="171"/>
    </row>
    <row r="71">
      <c r="A71" s="148">
        <v>45623.0</v>
      </c>
      <c r="B71" s="11">
        <v>45624.0</v>
      </c>
      <c r="C71" s="12">
        <f>VLOOKUP(B:B,'Курс валют'!A:D,4,0)</f>
        <v>113.0947</v>
      </c>
      <c r="D71" s="15">
        <v>843.0</v>
      </c>
      <c r="E71" s="64" t="s">
        <v>63</v>
      </c>
      <c r="F71" s="15">
        <v>900.0</v>
      </c>
      <c r="G71" s="15">
        <v>941.0</v>
      </c>
      <c r="H71" s="17">
        <f>365</f>
        <v>365</v>
      </c>
      <c r="I71" s="15">
        <f t="shared" si="1"/>
        <v>41</v>
      </c>
      <c r="J71" s="18">
        <f t="shared" si="2"/>
        <v>4.555555556</v>
      </c>
      <c r="K71" s="17">
        <v>3.15</v>
      </c>
      <c r="L71" s="19">
        <f t="shared" si="3"/>
        <v>40.55555556</v>
      </c>
      <c r="M71" s="20">
        <f t="shared" si="4"/>
        <v>216.815106</v>
      </c>
      <c r="N71" s="21">
        <f t="shared" si="5"/>
        <v>1.917111111</v>
      </c>
      <c r="O71" s="21">
        <f t="shared" si="6"/>
        <v>1725.4</v>
      </c>
      <c r="P71" s="22">
        <f t="shared" si="7"/>
        <v>195133.5954</v>
      </c>
      <c r="R71" s="171"/>
    </row>
    <row r="72">
      <c r="A72" s="148">
        <v>45624.0</v>
      </c>
      <c r="B72" s="11">
        <v>45625.0</v>
      </c>
      <c r="C72" s="12">
        <f>VLOOKUP(B:B,'Курс валют'!A:D,4,0)</f>
        <v>116.141</v>
      </c>
      <c r="D72" s="15">
        <v>846.0</v>
      </c>
      <c r="E72" s="59" t="s">
        <v>61</v>
      </c>
      <c r="F72" s="15">
        <v>8800.0</v>
      </c>
      <c r="G72" s="15">
        <v>8833.0</v>
      </c>
      <c r="H72" s="17">
        <v>3664.0</v>
      </c>
      <c r="I72" s="15">
        <f t="shared" si="1"/>
        <v>33</v>
      </c>
      <c r="J72" s="18">
        <f t="shared" si="2"/>
        <v>0.375</v>
      </c>
      <c r="K72" s="17">
        <v>3.77</v>
      </c>
      <c r="L72" s="19">
        <f t="shared" si="3"/>
        <v>41.63636364</v>
      </c>
      <c r="M72" s="20">
        <f t="shared" si="4"/>
        <v>290.8466272</v>
      </c>
      <c r="N72" s="21">
        <f t="shared" si="5"/>
        <v>2.504254545</v>
      </c>
      <c r="O72" s="21">
        <f t="shared" si="6"/>
        <v>22037.44</v>
      </c>
      <c r="P72" s="22">
        <f t="shared" si="7"/>
        <v>2559450.319</v>
      </c>
      <c r="R72" s="171"/>
    </row>
    <row r="73">
      <c r="A73" s="148">
        <v>45621.0</v>
      </c>
      <c r="B73" s="11">
        <v>45621.0</v>
      </c>
      <c r="C73" s="12">
        <f>VLOOKUP(B:B,'Курс валют'!A:D,4,0)</f>
        <v>107.4252</v>
      </c>
      <c r="D73" s="15" t="s">
        <v>2336</v>
      </c>
      <c r="E73" s="59" t="s">
        <v>73</v>
      </c>
      <c r="F73" s="15">
        <v>20.0</v>
      </c>
      <c r="G73" s="15">
        <v>20.0</v>
      </c>
      <c r="H73" s="17">
        <v>0.0</v>
      </c>
      <c r="I73" s="15">
        <f t="shared" si="1"/>
        <v>0</v>
      </c>
      <c r="J73" s="18">
        <f t="shared" si="2"/>
        <v>0</v>
      </c>
      <c r="K73" s="17">
        <v>4.25</v>
      </c>
      <c r="L73" s="19">
        <f t="shared" si="3"/>
        <v>0</v>
      </c>
      <c r="M73" s="20">
        <f t="shared" si="4"/>
        <v>456.5571</v>
      </c>
      <c r="N73" s="21">
        <f t="shared" si="5"/>
        <v>4.25</v>
      </c>
      <c r="O73" s="21">
        <f t="shared" si="6"/>
        <v>85</v>
      </c>
      <c r="P73" s="22">
        <f t="shared" si="7"/>
        <v>9131.142</v>
      </c>
      <c r="R73" s="172" t="s">
        <v>175</v>
      </c>
    </row>
    <row r="74">
      <c r="A74" s="148"/>
      <c r="B74" s="11"/>
      <c r="C74" s="12" t="str">
        <f>VLOOKUP(B:B,'Курс валют'!A:D,4,0)</f>
        <v>#N/A</v>
      </c>
      <c r="D74" s="15"/>
      <c r="E74" s="59"/>
      <c r="F74" s="15"/>
      <c r="G74" s="15"/>
      <c r="H74" s="65"/>
      <c r="I74" s="15">
        <f t="shared" si="1"/>
        <v>0</v>
      </c>
      <c r="J74" s="18" t="str">
        <f t="shared" si="2"/>
        <v>#DIV/0!</v>
      </c>
      <c r="K74" s="65"/>
      <c r="L74" s="19" t="str">
        <f t="shared" si="3"/>
        <v>#DIV/0!</v>
      </c>
      <c r="M74" s="20" t="str">
        <f t="shared" si="4"/>
        <v>#DIV/0!</v>
      </c>
      <c r="N74" s="21" t="str">
        <f t="shared" si="5"/>
        <v>#DIV/0!</v>
      </c>
      <c r="O74" s="21" t="str">
        <f t="shared" si="6"/>
        <v>#DIV/0!</v>
      </c>
      <c r="P74" s="22" t="str">
        <f t="shared" si="7"/>
        <v>#DIV/0!</v>
      </c>
    </row>
    <row r="75">
      <c r="A75" s="148"/>
      <c r="B75" s="11"/>
      <c r="C75" s="12" t="str">
        <f>VLOOKUP(B:B,'Курс валют'!A:D,4,0)</f>
        <v>#N/A</v>
      </c>
      <c r="D75" s="15"/>
      <c r="E75" s="59"/>
      <c r="F75" s="15"/>
      <c r="G75" s="15"/>
      <c r="H75" s="65"/>
      <c r="I75" s="15">
        <f t="shared" si="1"/>
        <v>0</v>
      </c>
      <c r="J75" s="18" t="str">
        <f t="shared" si="2"/>
        <v>#DIV/0!</v>
      </c>
      <c r="K75" s="65"/>
      <c r="L75" s="19" t="str">
        <f t="shared" si="3"/>
        <v>#DIV/0!</v>
      </c>
      <c r="M75" s="20" t="str">
        <f t="shared" si="4"/>
        <v>#DIV/0!</v>
      </c>
      <c r="N75" s="21" t="str">
        <f t="shared" si="5"/>
        <v>#DIV/0!</v>
      </c>
      <c r="O75" s="21" t="str">
        <f t="shared" si="6"/>
        <v>#DIV/0!</v>
      </c>
      <c r="P75" s="22" t="str">
        <f t="shared" si="7"/>
        <v>#DIV/0!</v>
      </c>
    </row>
    <row r="76">
      <c r="A76" s="149"/>
      <c r="B76" s="11"/>
      <c r="C76" s="12" t="str">
        <f>VLOOKUP(B:B,'Курс валют'!A:D,4,0)</f>
        <v>#N/A</v>
      </c>
      <c r="D76" s="67"/>
      <c r="E76" s="67"/>
      <c r="F76" s="67"/>
      <c r="G76" s="67"/>
      <c r="H76" s="65"/>
      <c r="I76" s="15">
        <f t="shared" si="1"/>
        <v>0</v>
      </c>
      <c r="J76" s="18" t="str">
        <f t="shared" si="2"/>
        <v>#DIV/0!</v>
      </c>
      <c r="K76" s="65"/>
      <c r="L76" s="19" t="str">
        <f t="shared" si="3"/>
        <v>#DIV/0!</v>
      </c>
      <c r="M76" s="20" t="str">
        <f t="shared" si="4"/>
        <v>#DIV/0!</v>
      </c>
      <c r="N76" s="21" t="str">
        <f t="shared" si="5"/>
        <v>#DIV/0!</v>
      </c>
      <c r="O76" s="21" t="str">
        <f t="shared" si="6"/>
        <v>#DIV/0!</v>
      </c>
      <c r="P76" s="22" t="str">
        <f t="shared" si="7"/>
        <v>#DIV/0!</v>
      </c>
    </row>
    <row r="77">
      <c r="A77" s="149"/>
      <c r="B77" s="11"/>
      <c r="C77" s="12" t="str">
        <f>VLOOKUP(B:B,'Курс валют'!A:D,4,0)</f>
        <v>#N/A</v>
      </c>
      <c r="D77" s="67"/>
      <c r="E77" s="67"/>
      <c r="F77" s="67"/>
      <c r="G77" s="67"/>
      <c r="H77" s="65"/>
      <c r="I77" s="15">
        <f t="shared" si="1"/>
        <v>0</v>
      </c>
      <c r="J77" s="18" t="str">
        <f t="shared" si="2"/>
        <v>#DIV/0!</v>
      </c>
      <c r="K77" s="65"/>
      <c r="L77" s="19" t="str">
        <f t="shared" si="3"/>
        <v>#DIV/0!</v>
      </c>
      <c r="M77" s="20" t="str">
        <f t="shared" si="4"/>
        <v>#DIV/0!</v>
      </c>
      <c r="N77" s="21" t="str">
        <f t="shared" si="5"/>
        <v>#DIV/0!</v>
      </c>
      <c r="O77" s="21" t="str">
        <f t="shared" si="6"/>
        <v>#DIV/0!</v>
      </c>
      <c r="P77" s="22" t="str">
        <f t="shared" si="7"/>
        <v>#DIV/0!</v>
      </c>
    </row>
    <row r="78">
      <c r="A78" s="149"/>
      <c r="B78" s="11"/>
      <c r="C78" s="12" t="str">
        <f>VLOOKUP(B:B,'Курс валют'!A:D,4,0)</f>
        <v>#N/A</v>
      </c>
      <c r="D78" s="67"/>
      <c r="E78" s="67"/>
      <c r="F78" s="67"/>
      <c r="G78" s="67"/>
      <c r="H78" s="65"/>
      <c r="I78" s="15">
        <f t="shared" si="1"/>
        <v>0</v>
      </c>
      <c r="J78" s="18" t="str">
        <f t="shared" si="2"/>
        <v>#DIV/0!</v>
      </c>
      <c r="K78" s="65"/>
      <c r="L78" s="19" t="str">
        <f t="shared" si="3"/>
        <v>#DIV/0!</v>
      </c>
      <c r="M78" s="20" t="str">
        <f t="shared" si="4"/>
        <v>#DIV/0!</v>
      </c>
      <c r="N78" s="21" t="str">
        <f t="shared" si="5"/>
        <v>#DIV/0!</v>
      </c>
      <c r="O78" s="21" t="str">
        <f t="shared" si="6"/>
        <v>#DIV/0!</v>
      </c>
      <c r="P78" s="22" t="str">
        <f t="shared" si="7"/>
        <v>#DIV/0!</v>
      </c>
    </row>
    <row r="79">
      <c r="A79" s="149"/>
      <c r="B79" s="11"/>
      <c r="C79" s="150"/>
      <c r="D79" s="67"/>
      <c r="E79" s="67"/>
      <c r="F79" s="67"/>
      <c r="G79" s="67"/>
      <c r="H79" s="65"/>
      <c r="I79" s="15">
        <f t="shared" si="1"/>
        <v>0</v>
      </c>
      <c r="J79" s="18" t="str">
        <f t="shared" si="2"/>
        <v>#DIV/0!</v>
      </c>
      <c r="K79" s="65"/>
      <c r="L79" s="19" t="str">
        <f t="shared" si="3"/>
        <v>#DIV/0!</v>
      </c>
      <c r="M79" s="20" t="str">
        <f t="shared" si="4"/>
        <v>#DIV/0!</v>
      </c>
      <c r="N79" s="21" t="str">
        <f t="shared" si="5"/>
        <v>#DIV/0!</v>
      </c>
      <c r="O79" s="21" t="str">
        <f t="shared" si="6"/>
        <v>#DIV/0!</v>
      </c>
      <c r="P79" s="22" t="str">
        <f t="shared" si="7"/>
        <v>#DIV/0!</v>
      </c>
    </row>
    <row r="80">
      <c r="A80" s="149"/>
      <c r="B80" s="11"/>
      <c r="C80" s="150"/>
      <c r="D80" s="67"/>
      <c r="E80" s="67"/>
      <c r="F80" s="67"/>
      <c r="G80" s="67"/>
      <c r="H80" s="65"/>
      <c r="I80" s="15">
        <f t="shared" si="1"/>
        <v>0</v>
      </c>
      <c r="J80" s="18" t="str">
        <f t="shared" si="2"/>
        <v>#DIV/0!</v>
      </c>
      <c r="K80" s="65"/>
      <c r="L80" s="19" t="str">
        <f t="shared" si="3"/>
        <v>#DIV/0!</v>
      </c>
      <c r="M80" s="20" t="str">
        <f t="shared" si="4"/>
        <v>#DIV/0!</v>
      </c>
      <c r="N80" s="21" t="str">
        <f t="shared" si="5"/>
        <v>#DIV/0!</v>
      </c>
      <c r="O80" s="21" t="str">
        <f t="shared" si="6"/>
        <v>#DIV/0!</v>
      </c>
      <c r="P80" s="22" t="str">
        <f t="shared" si="7"/>
        <v>#DIV/0!</v>
      </c>
    </row>
    <row r="81">
      <c r="A81" s="149"/>
      <c r="B81" s="11"/>
      <c r="C81" s="150"/>
      <c r="D81" s="67"/>
      <c r="E81" s="67"/>
      <c r="F81" s="67"/>
      <c r="G81" s="67"/>
      <c r="H81" s="65"/>
      <c r="I81" s="15">
        <f t="shared" si="1"/>
        <v>0</v>
      </c>
      <c r="J81" s="18" t="str">
        <f t="shared" si="2"/>
        <v>#DIV/0!</v>
      </c>
      <c r="K81" s="65"/>
      <c r="L81" s="19" t="str">
        <f t="shared" si="3"/>
        <v>#DIV/0!</v>
      </c>
      <c r="M81" s="20" t="str">
        <f t="shared" si="4"/>
        <v>#DIV/0!</v>
      </c>
      <c r="N81" s="21" t="str">
        <f t="shared" si="5"/>
        <v>#DIV/0!</v>
      </c>
      <c r="O81" s="21" t="str">
        <f t="shared" si="6"/>
        <v>#DIV/0!</v>
      </c>
      <c r="P81" s="22" t="str">
        <f t="shared" si="7"/>
        <v>#DIV/0!</v>
      </c>
    </row>
    <row r="82">
      <c r="A82" s="149"/>
      <c r="B82" s="11"/>
      <c r="C82" s="150"/>
      <c r="D82" s="67"/>
      <c r="E82" s="67"/>
      <c r="F82" s="67"/>
      <c r="G82" s="67"/>
      <c r="H82" s="65"/>
      <c r="I82" s="15">
        <f t="shared" si="1"/>
        <v>0</v>
      </c>
      <c r="J82" s="18" t="str">
        <f t="shared" si="2"/>
        <v>#DIV/0!</v>
      </c>
      <c r="K82" s="65"/>
      <c r="L82" s="19" t="str">
        <f t="shared" si="3"/>
        <v>#DIV/0!</v>
      </c>
      <c r="M82" s="20" t="str">
        <f t="shared" si="4"/>
        <v>#DIV/0!</v>
      </c>
      <c r="N82" s="21" t="str">
        <f t="shared" si="5"/>
        <v>#DIV/0!</v>
      </c>
      <c r="O82" s="21" t="str">
        <f t="shared" si="6"/>
        <v>#DIV/0!</v>
      </c>
      <c r="P82" s="22" t="str">
        <f t="shared" si="7"/>
        <v>#DIV/0!</v>
      </c>
    </row>
    <row r="83">
      <c r="A83" s="25"/>
      <c r="B83" s="11"/>
      <c r="C83" s="25"/>
      <c r="D83" s="25"/>
      <c r="E83" s="25"/>
      <c r="F83" s="25"/>
      <c r="G83" s="25"/>
      <c r="H83" s="80"/>
      <c r="I83" s="25"/>
      <c r="J83" s="25"/>
      <c r="K83" s="80"/>
      <c r="L83" s="81"/>
      <c r="M83" s="82"/>
      <c r="N83" s="25"/>
      <c r="O83" s="25"/>
      <c r="P83" s="82"/>
    </row>
    <row r="84">
      <c r="B84" s="68"/>
      <c r="H84" s="70"/>
      <c r="K84" s="70"/>
      <c r="L84" s="71"/>
      <c r="M84" s="72"/>
      <c r="P84" s="72"/>
    </row>
    <row r="85">
      <c r="B85" s="68"/>
      <c r="H85" s="70"/>
      <c r="K85" s="70"/>
      <c r="L85" s="71"/>
      <c r="M85" s="72"/>
      <c r="P85" s="72"/>
    </row>
    <row r="86">
      <c r="B86" s="68"/>
      <c r="H86" s="70"/>
      <c r="K86" s="70"/>
      <c r="L86" s="71"/>
      <c r="M86" s="72"/>
      <c r="P86" s="72"/>
    </row>
    <row r="87">
      <c r="B87" s="68"/>
      <c r="H87" s="70"/>
      <c r="K87" s="70"/>
      <c r="L87" s="71"/>
      <c r="M87" s="72"/>
      <c r="P87" s="72"/>
    </row>
    <row r="88">
      <c r="B88" s="68"/>
      <c r="H88" s="70"/>
      <c r="K88" s="70"/>
      <c r="L88" s="71"/>
      <c r="M88" s="72"/>
      <c r="P88" s="72"/>
    </row>
    <row r="89">
      <c r="B89" s="68"/>
      <c r="H89" s="70"/>
      <c r="K89" s="70"/>
      <c r="L89" s="71"/>
      <c r="M89" s="72"/>
      <c r="P89" s="72"/>
    </row>
    <row r="90">
      <c r="B90" s="68"/>
      <c r="H90" s="70"/>
      <c r="K90" s="70"/>
      <c r="L90" s="71"/>
      <c r="M90" s="72"/>
      <c r="P90" s="72"/>
    </row>
    <row r="91">
      <c r="B91" s="68"/>
      <c r="H91" s="70"/>
      <c r="K91" s="70"/>
      <c r="L91" s="71"/>
      <c r="M91" s="72"/>
      <c r="P91" s="72"/>
    </row>
    <row r="92">
      <c r="B92" s="68"/>
      <c r="H92" s="70"/>
      <c r="K92" s="70"/>
      <c r="L92" s="71"/>
      <c r="M92" s="72"/>
      <c r="P92" s="72"/>
    </row>
    <row r="93">
      <c r="B93" s="68"/>
      <c r="H93" s="70"/>
      <c r="K93" s="70"/>
      <c r="L93" s="71"/>
      <c r="M93" s="72"/>
      <c r="P93" s="72"/>
    </row>
    <row r="94">
      <c r="B94" s="68"/>
      <c r="H94" s="70"/>
      <c r="K94" s="70"/>
      <c r="L94" s="71"/>
      <c r="M94" s="72"/>
      <c r="P94" s="72"/>
    </row>
    <row r="95">
      <c r="B95" s="68"/>
      <c r="H95" s="70"/>
      <c r="K95" s="70"/>
      <c r="L95" s="71"/>
      <c r="M95" s="72"/>
      <c r="P95" s="72"/>
    </row>
    <row r="96">
      <c r="B96" s="68"/>
      <c r="H96" s="70"/>
      <c r="K96" s="70"/>
      <c r="L96" s="71"/>
      <c r="M96" s="72"/>
      <c r="P96" s="72"/>
    </row>
    <row r="97">
      <c r="B97" s="68"/>
      <c r="H97" s="70"/>
      <c r="K97" s="70"/>
      <c r="L97" s="71"/>
      <c r="M97" s="72"/>
      <c r="P97" s="72"/>
    </row>
    <row r="98">
      <c r="B98" s="68"/>
      <c r="H98" s="70"/>
      <c r="K98" s="70"/>
      <c r="L98" s="71"/>
      <c r="M98" s="72"/>
      <c r="P98" s="72"/>
    </row>
    <row r="99">
      <c r="B99" s="68"/>
      <c r="H99" s="70"/>
      <c r="K99" s="70"/>
      <c r="L99" s="71"/>
      <c r="M99" s="72"/>
      <c r="P99" s="72"/>
    </row>
    <row r="100">
      <c r="B100" s="68"/>
      <c r="H100" s="70"/>
      <c r="K100" s="70"/>
      <c r="L100" s="71"/>
      <c r="M100" s="72"/>
      <c r="P100" s="72"/>
    </row>
    <row r="101">
      <c r="B101" s="68"/>
      <c r="H101" s="70"/>
      <c r="K101" s="70"/>
      <c r="L101" s="71"/>
      <c r="M101" s="72"/>
      <c r="P101" s="72"/>
    </row>
    <row r="102">
      <c r="B102" s="68"/>
      <c r="H102" s="70"/>
      <c r="K102" s="70"/>
      <c r="L102" s="71"/>
      <c r="M102" s="72"/>
      <c r="P102" s="72"/>
    </row>
    <row r="103">
      <c r="B103" s="68"/>
      <c r="H103" s="70"/>
      <c r="K103" s="70"/>
      <c r="L103" s="71"/>
      <c r="M103" s="72"/>
      <c r="P103" s="72"/>
    </row>
    <row r="104">
      <c r="B104" s="68"/>
      <c r="H104" s="70"/>
      <c r="K104" s="70"/>
      <c r="L104" s="71"/>
      <c r="M104" s="72"/>
      <c r="P104" s="72"/>
    </row>
    <row r="105">
      <c r="B105" s="68"/>
      <c r="H105" s="70"/>
      <c r="K105" s="70"/>
      <c r="L105" s="71"/>
      <c r="M105" s="72"/>
      <c r="P105" s="72"/>
    </row>
    <row r="106">
      <c r="B106" s="68"/>
      <c r="H106" s="70"/>
      <c r="K106" s="70"/>
      <c r="L106" s="71"/>
      <c r="M106" s="72"/>
      <c r="P106" s="72"/>
    </row>
    <row r="107">
      <c r="B107" s="68"/>
      <c r="H107" s="70"/>
      <c r="K107" s="70"/>
      <c r="L107" s="71"/>
      <c r="M107" s="72"/>
      <c r="P107" s="72"/>
    </row>
    <row r="108">
      <c r="B108" s="68"/>
      <c r="H108" s="70"/>
      <c r="K108" s="70"/>
      <c r="L108" s="71"/>
      <c r="M108" s="72"/>
      <c r="P108" s="72"/>
    </row>
    <row r="109">
      <c r="B109" s="68"/>
      <c r="H109" s="70"/>
      <c r="K109" s="70"/>
      <c r="L109" s="71"/>
      <c r="M109" s="72"/>
      <c r="P109" s="72"/>
    </row>
    <row r="110">
      <c r="B110" s="68"/>
      <c r="H110" s="70"/>
      <c r="K110" s="70"/>
      <c r="L110" s="71"/>
      <c r="M110" s="72"/>
      <c r="P110" s="72"/>
    </row>
    <row r="111">
      <c r="B111" s="68"/>
      <c r="H111" s="70"/>
      <c r="K111" s="70"/>
      <c r="L111" s="71"/>
      <c r="M111" s="72"/>
      <c r="P111" s="72"/>
    </row>
    <row r="112">
      <c r="B112" s="68"/>
      <c r="H112" s="70"/>
      <c r="K112" s="70"/>
      <c r="L112" s="71"/>
      <c r="M112" s="72"/>
      <c r="P112" s="72"/>
    </row>
    <row r="113">
      <c r="B113" s="68"/>
      <c r="H113" s="70"/>
      <c r="K113" s="70"/>
      <c r="L113" s="71"/>
      <c r="M113" s="72"/>
      <c r="P113" s="72"/>
    </row>
    <row r="114">
      <c r="B114" s="68"/>
      <c r="H114" s="70"/>
      <c r="K114" s="70"/>
      <c r="L114" s="71"/>
      <c r="M114" s="72"/>
      <c r="P114" s="72"/>
    </row>
    <row r="115">
      <c r="B115" s="68"/>
      <c r="H115" s="70"/>
      <c r="K115" s="70"/>
      <c r="L115" s="71"/>
      <c r="M115" s="72"/>
      <c r="P115" s="72"/>
    </row>
    <row r="116">
      <c r="B116" s="68"/>
      <c r="H116" s="70"/>
      <c r="K116" s="70"/>
      <c r="L116" s="71"/>
      <c r="M116" s="72"/>
      <c r="P116" s="72"/>
    </row>
    <row r="117">
      <c r="B117" s="68"/>
      <c r="H117" s="70"/>
      <c r="K117" s="70"/>
      <c r="L117" s="71"/>
      <c r="M117" s="72"/>
      <c r="P117" s="72"/>
    </row>
    <row r="118">
      <c r="B118" s="68"/>
      <c r="H118" s="70"/>
      <c r="K118" s="70"/>
      <c r="L118" s="71"/>
      <c r="M118" s="72"/>
      <c r="P118" s="72"/>
    </row>
    <row r="119">
      <c r="B119" s="68"/>
      <c r="H119" s="70"/>
      <c r="K119" s="70"/>
      <c r="L119" s="71"/>
      <c r="M119" s="72"/>
      <c r="P119" s="72"/>
    </row>
    <row r="120">
      <c r="B120" s="68"/>
      <c r="H120" s="70"/>
      <c r="K120" s="70"/>
      <c r="L120" s="71"/>
      <c r="M120" s="72"/>
      <c r="P120" s="72"/>
    </row>
    <row r="121">
      <c r="B121" s="68"/>
      <c r="H121" s="70"/>
      <c r="K121" s="70"/>
      <c r="L121" s="71"/>
      <c r="M121" s="72"/>
      <c r="P121" s="72"/>
    </row>
    <row r="122">
      <c r="B122" s="68"/>
      <c r="H122" s="70"/>
      <c r="K122" s="70"/>
      <c r="L122" s="71"/>
      <c r="M122" s="72"/>
      <c r="P122" s="72"/>
    </row>
    <row r="123">
      <c r="B123" s="68"/>
      <c r="H123" s="70"/>
      <c r="K123" s="70"/>
      <c r="L123" s="71"/>
      <c r="M123" s="72"/>
      <c r="P123" s="72"/>
    </row>
    <row r="124">
      <c r="B124" s="68"/>
      <c r="H124" s="70"/>
      <c r="K124" s="70"/>
      <c r="L124" s="71"/>
      <c r="M124" s="72"/>
      <c r="P124" s="72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  <row r="958">
      <c r="B958" s="68"/>
      <c r="H958" s="70"/>
      <c r="K958" s="70"/>
      <c r="L958" s="71"/>
      <c r="M958" s="72"/>
      <c r="P958" s="72"/>
    </row>
    <row r="959">
      <c r="B959" s="68"/>
      <c r="H959" s="70"/>
      <c r="K959" s="70"/>
      <c r="L959" s="71"/>
      <c r="M959" s="72"/>
      <c r="P959" s="72"/>
    </row>
  </sheetData>
  <autoFilter ref="$A$1:$P$959"/>
  <drawing r:id="rId4"/>
  <legacyDrawing r:id="rId5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2337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68">
        <v>45566.0</v>
      </c>
      <c r="B2" s="68">
        <v>45566.0</v>
      </c>
      <c r="C2" s="178">
        <f>VLOOKUP(B:B,'Курс валют'!A:D,4,0)</f>
        <v>104.1735</v>
      </c>
      <c r="D2" s="179">
        <v>703.0</v>
      </c>
      <c r="E2" s="180" t="s">
        <v>18</v>
      </c>
      <c r="F2" s="179">
        <v>6600.0</v>
      </c>
      <c r="G2" s="179">
        <v>6606.0</v>
      </c>
      <c r="H2" s="181">
        <v>3015.0</v>
      </c>
      <c r="I2" s="182">
        <f t="shared" ref="I2:I73" si="1">G2-F2</f>
        <v>6</v>
      </c>
      <c r="J2" s="183">
        <f t="shared" ref="J2:J81" si="2">I2/F2*100</f>
        <v>0.09090909091</v>
      </c>
      <c r="K2" s="184">
        <v>3.79</v>
      </c>
      <c r="L2" s="185">
        <f t="shared" ref="L2:L81" si="3">H2/F2*100</f>
        <v>45.68181818</v>
      </c>
      <c r="M2" s="186">
        <f t="shared" ref="M2:M81" si="4">P2/F2</f>
        <v>250.1489845</v>
      </c>
      <c r="N2" s="187">
        <f t="shared" ref="N2:N81" si="5">(F2*K2-H2*3.04)/F2</f>
        <v>2.401272727</v>
      </c>
      <c r="O2" s="187">
        <f t="shared" ref="O2:O81" si="6">N2*F2</f>
        <v>15848.4</v>
      </c>
      <c r="P2" s="188">
        <f t="shared" ref="P2:P81" si="7">O2*C2</f>
        <v>1650983.297</v>
      </c>
      <c r="R2" s="171"/>
    </row>
    <row r="3">
      <c r="A3" s="189">
        <v>45566.0</v>
      </c>
      <c r="B3" s="68">
        <v>45566.0</v>
      </c>
      <c r="C3" s="178">
        <f>VLOOKUP(B:B,'Курс валют'!A:D,4,0)</f>
        <v>104.1735</v>
      </c>
      <c r="D3" s="182">
        <v>621.0</v>
      </c>
      <c r="E3" s="190" t="s">
        <v>2338</v>
      </c>
      <c r="F3" s="182">
        <v>30.0</v>
      </c>
      <c r="G3" s="182">
        <v>37.9</v>
      </c>
      <c r="H3" s="181">
        <v>15.0</v>
      </c>
      <c r="I3" s="182">
        <f t="shared" si="1"/>
        <v>7.9</v>
      </c>
      <c r="J3" s="183">
        <f t="shared" si="2"/>
        <v>26.33333333</v>
      </c>
      <c r="K3" s="181">
        <v>4.36</v>
      </c>
      <c r="L3" s="185">
        <f t="shared" si="3"/>
        <v>50</v>
      </c>
      <c r="M3" s="186">
        <f t="shared" si="4"/>
        <v>295.85274</v>
      </c>
      <c r="N3" s="187">
        <f t="shared" si="5"/>
        <v>2.84</v>
      </c>
      <c r="O3" s="187">
        <f t="shared" si="6"/>
        <v>85.2</v>
      </c>
      <c r="P3" s="188">
        <f t="shared" si="7"/>
        <v>8875.5822</v>
      </c>
      <c r="R3" s="172" t="s">
        <v>2339</v>
      </c>
    </row>
    <row r="4">
      <c r="A4" s="191">
        <v>45566.0</v>
      </c>
      <c r="B4" s="192">
        <v>45566.0</v>
      </c>
      <c r="C4" s="193">
        <f>VLOOKUP(B:B,'Курс валют'!A:D,4,0)</f>
        <v>104.1735</v>
      </c>
      <c r="D4" s="194">
        <v>622.0</v>
      </c>
      <c r="E4" s="195" t="s">
        <v>2338</v>
      </c>
      <c r="F4" s="194">
        <v>30.0</v>
      </c>
      <c r="G4" s="194">
        <v>32.52</v>
      </c>
      <c r="H4" s="196">
        <f>5.334+5.333+5.333</f>
        <v>16</v>
      </c>
      <c r="I4" s="194">
        <f t="shared" si="1"/>
        <v>2.52</v>
      </c>
      <c r="J4" s="197">
        <f t="shared" si="2"/>
        <v>8.4</v>
      </c>
      <c r="K4" s="196">
        <v>4.43</v>
      </c>
      <c r="L4" s="198">
        <f t="shared" si="3"/>
        <v>53.33333333</v>
      </c>
      <c r="M4" s="186">
        <f t="shared" si="4"/>
        <v>292.588637</v>
      </c>
      <c r="N4" s="199">
        <f t="shared" si="5"/>
        <v>2.808666667</v>
      </c>
      <c r="O4" s="187">
        <f t="shared" si="6"/>
        <v>84.26</v>
      </c>
      <c r="P4" s="188">
        <f t="shared" si="7"/>
        <v>8777.65911</v>
      </c>
      <c r="R4" s="172" t="s">
        <v>2340</v>
      </c>
    </row>
    <row r="5">
      <c r="A5" s="189">
        <v>45567.0</v>
      </c>
      <c r="B5" s="68">
        <v>45568.0</v>
      </c>
      <c r="C5" s="178">
        <f>VLOOKUP(B:B,'Курс валют'!A:D,4,0)</f>
        <v>104.4481</v>
      </c>
      <c r="D5" s="157">
        <v>704.0</v>
      </c>
      <c r="E5" s="190" t="s">
        <v>1948</v>
      </c>
      <c r="F5" s="182">
        <v>1000.0</v>
      </c>
      <c r="G5" s="182">
        <v>1024.0</v>
      </c>
      <c r="H5" s="181">
        <v>112.0</v>
      </c>
      <c r="I5" s="182">
        <f t="shared" si="1"/>
        <v>24</v>
      </c>
      <c r="J5" s="183">
        <f t="shared" si="2"/>
        <v>2.4</v>
      </c>
      <c r="K5" s="181">
        <v>2.83</v>
      </c>
      <c r="L5" s="185">
        <f t="shared" si="3"/>
        <v>11.2</v>
      </c>
      <c r="M5" s="186">
        <f t="shared" si="4"/>
        <v>260.0256339</v>
      </c>
      <c r="N5" s="187">
        <f t="shared" si="5"/>
        <v>2.48952</v>
      </c>
      <c r="O5" s="187">
        <f t="shared" si="6"/>
        <v>2489.52</v>
      </c>
      <c r="P5" s="188">
        <f t="shared" si="7"/>
        <v>260025.6339</v>
      </c>
      <c r="R5" s="171"/>
    </row>
    <row r="6">
      <c r="A6" s="189">
        <v>45567.0</v>
      </c>
      <c r="B6" s="68">
        <v>45568.0</v>
      </c>
      <c r="C6" s="178">
        <f>VLOOKUP(B:B,'Курс валют'!A:D,4,0)</f>
        <v>104.4481</v>
      </c>
      <c r="D6" s="157">
        <v>705.0</v>
      </c>
      <c r="E6" s="190" t="s">
        <v>2341</v>
      </c>
      <c r="F6" s="182">
        <v>800.0</v>
      </c>
      <c r="G6" s="182">
        <v>816.75</v>
      </c>
      <c r="H6" s="181">
        <v>0.0</v>
      </c>
      <c r="I6" s="182">
        <f t="shared" si="1"/>
        <v>16.75</v>
      </c>
      <c r="J6" s="183">
        <f t="shared" si="2"/>
        <v>2.09375</v>
      </c>
      <c r="K6" s="181">
        <v>2.44</v>
      </c>
      <c r="L6" s="185">
        <f t="shared" si="3"/>
        <v>0</v>
      </c>
      <c r="M6" s="186">
        <f t="shared" si="4"/>
        <v>254.853364</v>
      </c>
      <c r="N6" s="187">
        <f t="shared" si="5"/>
        <v>2.44</v>
      </c>
      <c r="O6" s="187">
        <f t="shared" si="6"/>
        <v>1952</v>
      </c>
      <c r="P6" s="188">
        <f t="shared" si="7"/>
        <v>203882.6912</v>
      </c>
      <c r="R6" s="172" t="s">
        <v>2342</v>
      </c>
    </row>
    <row r="7">
      <c r="A7" s="189">
        <v>45567.0</v>
      </c>
      <c r="B7" s="68">
        <v>45568.0</v>
      </c>
      <c r="C7" s="178">
        <f>VLOOKUP(B:B,'Курс валют'!A:D,4,0)</f>
        <v>104.4481</v>
      </c>
      <c r="D7" s="157">
        <v>706.0</v>
      </c>
      <c r="E7" s="200" t="s">
        <v>54</v>
      </c>
      <c r="F7" s="182">
        <v>4000.0</v>
      </c>
      <c r="G7" s="182">
        <v>4026.0</v>
      </c>
      <c r="H7" s="181">
        <v>0.0</v>
      </c>
      <c r="I7" s="182">
        <f t="shared" si="1"/>
        <v>26</v>
      </c>
      <c r="J7" s="183">
        <f t="shared" si="2"/>
        <v>0.65</v>
      </c>
      <c r="K7" s="181">
        <v>1.99</v>
      </c>
      <c r="L7" s="185">
        <f t="shared" si="3"/>
        <v>0</v>
      </c>
      <c r="M7" s="186">
        <f t="shared" si="4"/>
        <v>207.851719</v>
      </c>
      <c r="N7" s="187">
        <f t="shared" si="5"/>
        <v>1.99</v>
      </c>
      <c r="O7" s="187">
        <f t="shared" si="6"/>
        <v>7960</v>
      </c>
      <c r="P7" s="188">
        <f t="shared" si="7"/>
        <v>831406.876</v>
      </c>
      <c r="R7" s="172"/>
    </row>
    <row r="8">
      <c r="A8" s="189">
        <v>45567.0</v>
      </c>
      <c r="B8" s="68">
        <v>45568.0</v>
      </c>
      <c r="C8" s="178">
        <f>VLOOKUP(B:B,'Курс валют'!A:D,4,0)</f>
        <v>104.4481</v>
      </c>
      <c r="D8" s="157">
        <v>707.0</v>
      </c>
      <c r="E8" s="200" t="s">
        <v>392</v>
      </c>
      <c r="F8" s="182">
        <v>900.0</v>
      </c>
      <c r="G8" s="182">
        <v>920.01</v>
      </c>
      <c r="H8" s="181">
        <v>492.0</v>
      </c>
      <c r="I8" s="182">
        <f t="shared" si="1"/>
        <v>20.01</v>
      </c>
      <c r="J8" s="183">
        <f t="shared" si="2"/>
        <v>2.223333333</v>
      </c>
      <c r="K8" s="181">
        <v>3.73</v>
      </c>
      <c r="L8" s="185">
        <f t="shared" si="3"/>
        <v>54.66666667</v>
      </c>
      <c r="M8" s="186">
        <f t="shared" si="4"/>
        <v>216.0125972</v>
      </c>
      <c r="N8" s="187">
        <f t="shared" si="5"/>
        <v>2.068133333</v>
      </c>
      <c r="O8" s="187">
        <f t="shared" si="6"/>
        <v>1861.32</v>
      </c>
      <c r="P8" s="188">
        <f t="shared" si="7"/>
        <v>194411.3375</v>
      </c>
      <c r="R8" s="171"/>
      <c r="T8" s="42"/>
    </row>
    <row r="9">
      <c r="A9" s="189">
        <v>45568.0</v>
      </c>
      <c r="B9" s="68">
        <v>45569.0</v>
      </c>
      <c r="C9" s="178">
        <f>VLOOKUP(B:B,'Курс валют'!A:D,4,0)</f>
        <v>104.8664</v>
      </c>
      <c r="D9" s="157">
        <v>714.0</v>
      </c>
      <c r="E9" s="200" t="s">
        <v>96</v>
      </c>
      <c r="F9" s="182">
        <v>220.0</v>
      </c>
      <c r="G9" s="182">
        <v>220.0</v>
      </c>
      <c r="H9" s="181">
        <v>0.0</v>
      </c>
      <c r="I9" s="182">
        <f t="shared" si="1"/>
        <v>0</v>
      </c>
      <c r="J9" s="183">
        <f t="shared" si="2"/>
        <v>0</v>
      </c>
      <c r="K9" s="181">
        <v>4.04</v>
      </c>
      <c r="L9" s="185">
        <f t="shared" si="3"/>
        <v>0</v>
      </c>
      <c r="M9" s="186">
        <f t="shared" si="4"/>
        <v>423.660256</v>
      </c>
      <c r="N9" s="187">
        <f t="shared" si="5"/>
        <v>4.04</v>
      </c>
      <c r="O9" s="187">
        <f t="shared" si="6"/>
        <v>888.8</v>
      </c>
      <c r="P9" s="188">
        <f t="shared" si="7"/>
        <v>93205.25632</v>
      </c>
      <c r="R9" s="172" t="s">
        <v>1101</v>
      </c>
    </row>
    <row r="10">
      <c r="A10" s="189">
        <v>45568.0</v>
      </c>
      <c r="B10" s="68">
        <v>45569.0</v>
      </c>
      <c r="C10" s="178">
        <f>VLOOKUP(B:B,'Курс валют'!A:D,4,0)</f>
        <v>104.8664</v>
      </c>
      <c r="D10" s="157">
        <v>708.0</v>
      </c>
      <c r="E10" s="200" t="s">
        <v>54</v>
      </c>
      <c r="F10" s="182">
        <v>1600.0</v>
      </c>
      <c r="G10" s="182">
        <v>1605.906</v>
      </c>
      <c r="H10" s="181">
        <v>0.0</v>
      </c>
      <c r="I10" s="182">
        <f t="shared" si="1"/>
        <v>5.906</v>
      </c>
      <c r="J10" s="183">
        <f t="shared" si="2"/>
        <v>0.369125</v>
      </c>
      <c r="K10" s="181">
        <v>1.99</v>
      </c>
      <c r="L10" s="185">
        <f t="shared" si="3"/>
        <v>0</v>
      </c>
      <c r="M10" s="186">
        <f t="shared" si="4"/>
        <v>208.684136</v>
      </c>
      <c r="N10" s="187">
        <f t="shared" si="5"/>
        <v>1.99</v>
      </c>
      <c r="O10" s="187">
        <f t="shared" si="6"/>
        <v>3184</v>
      </c>
      <c r="P10" s="188">
        <f t="shared" si="7"/>
        <v>333894.6176</v>
      </c>
      <c r="R10" s="171"/>
    </row>
    <row r="11">
      <c r="A11" s="189">
        <v>45568.0</v>
      </c>
      <c r="B11" s="68">
        <v>45569.0</v>
      </c>
      <c r="C11" s="178">
        <f>VLOOKUP(B:B,'Курс валют'!A:D,4,0)</f>
        <v>104.8664</v>
      </c>
      <c r="D11" s="15">
        <v>709.0</v>
      </c>
      <c r="E11" s="59" t="s">
        <v>69</v>
      </c>
      <c r="F11" s="182">
        <v>1600.0</v>
      </c>
      <c r="G11" s="182">
        <v>1603.7</v>
      </c>
      <c r="H11" s="181">
        <v>151.72</v>
      </c>
      <c r="I11" s="182">
        <f t="shared" si="1"/>
        <v>3.7</v>
      </c>
      <c r="J11" s="183">
        <f t="shared" si="2"/>
        <v>0.23125</v>
      </c>
      <c r="K11" s="181">
        <v>2.03</v>
      </c>
      <c r="L11" s="185">
        <f t="shared" si="3"/>
        <v>9.4825</v>
      </c>
      <c r="M11" s="186">
        <f t="shared" si="4"/>
        <v>182.6491646</v>
      </c>
      <c r="N11" s="187">
        <f t="shared" si="5"/>
        <v>1.741732</v>
      </c>
      <c r="O11" s="187">
        <f t="shared" si="6"/>
        <v>2786.7712</v>
      </c>
      <c r="P11" s="188">
        <f t="shared" si="7"/>
        <v>292238.6634</v>
      </c>
      <c r="R11" s="172"/>
      <c r="T11" s="42"/>
    </row>
    <row r="12">
      <c r="A12" s="189">
        <v>45568.0</v>
      </c>
      <c r="B12" s="68">
        <v>45569.0</v>
      </c>
      <c r="C12" s="178">
        <f>VLOOKUP(B:B,'Курс валют'!A:D,4,0)</f>
        <v>104.8664</v>
      </c>
      <c r="D12" s="157">
        <v>711.0</v>
      </c>
      <c r="E12" s="200" t="s">
        <v>392</v>
      </c>
      <c r="F12" s="182">
        <v>900.0</v>
      </c>
      <c r="G12" s="182">
        <v>928.67</v>
      </c>
      <c r="H12" s="181">
        <v>494.66</v>
      </c>
      <c r="I12" s="182">
        <f t="shared" si="1"/>
        <v>28.67</v>
      </c>
      <c r="J12" s="183">
        <f t="shared" si="2"/>
        <v>3.185555556</v>
      </c>
      <c r="K12" s="181">
        <v>3.75</v>
      </c>
      <c r="L12" s="185">
        <f t="shared" si="3"/>
        <v>54.96222222</v>
      </c>
      <c r="M12" s="186">
        <f t="shared" si="4"/>
        <v>218.0328124</v>
      </c>
      <c r="N12" s="187">
        <f t="shared" si="5"/>
        <v>2.079148444</v>
      </c>
      <c r="O12" s="187">
        <f t="shared" si="6"/>
        <v>1871.2336</v>
      </c>
      <c r="P12" s="188">
        <f t="shared" si="7"/>
        <v>196229.5312</v>
      </c>
      <c r="R12" s="171"/>
    </row>
    <row r="13">
      <c r="A13" s="189">
        <v>45569.0</v>
      </c>
      <c r="B13" s="192">
        <v>45572.0</v>
      </c>
      <c r="C13" s="193">
        <f>VLOOKUP(B:B,'Курс валют'!A:D,4,0)</f>
        <v>104.7424</v>
      </c>
      <c r="D13" s="194">
        <v>710.0</v>
      </c>
      <c r="E13" s="195" t="s">
        <v>63</v>
      </c>
      <c r="F13" s="194">
        <v>900.0</v>
      </c>
      <c r="G13" s="194">
        <v>931.0</v>
      </c>
      <c r="H13" s="196">
        <v>370.0</v>
      </c>
      <c r="I13" s="194">
        <f t="shared" si="1"/>
        <v>31</v>
      </c>
      <c r="J13" s="197">
        <f t="shared" si="2"/>
        <v>3.444444444</v>
      </c>
      <c r="K13" s="196">
        <v>3.26</v>
      </c>
      <c r="L13" s="198">
        <f t="shared" si="3"/>
        <v>41.11111111</v>
      </c>
      <c r="M13" s="186">
        <f t="shared" si="4"/>
        <v>210.5555001</v>
      </c>
      <c r="N13" s="199">
        <f t="shared" si="5"/>
        <v>2.010222222</v>
      </c>
      <c r="O13" s="187">
        <f t="shared" si="6"/>
        <v>1809.2</v>
      </c>
      <c r="P13" s="188">
        <f t="shared" si="7"/>
        <v>189499.9501</v>
      </c>
      <c r="R13" s="174"/>
    </row>
    <row r="14">
      <c r="A14" s="189">
        <v>45569.0</v>
      </c>
      <c r="B14" s="192">
        <v>45572.0</v>
      </c>
      <c r="C14" s="193">
        <f>VLOOKUP(B:B,'Курс валют'!A:D,4,0)</f>
        <v>104.7424</v>
      </c>
      <c r="D14" s="194">
        <v>713.0</v>
      </c>
      <c r="E14" s="195" t="s">
        <v>63</v>
      </c>
      <c r="F14" s="194">
        <v>900.0</v>
      </c>
      <c r="G14" s="194">
        <v>927.0</v>
      </c>
      <c r="H14" s="196">
        <v>368.0</v>
      </c>
      <c r="I14" s="194">
        <f t="shared" si="1"/>
        <v>27</v>
      </c>
      <c r="J14" s="197">
        <f t="shared" si="2"/>
        <v>3</v>
      </c>
      <c r="K14" s="196">
        <v>3.26</v>
      </c>
      <c r="L14" s="198">
        <f t="shared" si="3"/>
        <v>40.88888889</v>
      </c>
      <c r="M14" s="186">
        <f t="shared" si="4"/>
        <v>211.2630932</v>
      </c>
      <c r="N14" s="199">
        <f t="shared" si="5"/>
        <v>2.016977778</v>
      </c>
      <c r="O14" s="187">
        <f t="shared" si="6"/>
        <v>1815.28</v>
      </c>
      <c r="P14" s="188">
        <f t="shared" si="7"/>
        <v>190136.7839</v>
      </c>
      <c r="R14" s="171"/>
    </row>
    <row r="15">
      <c r="A15" s="189">
        <v>45569.0</v>
      </c>
      <c r="B15" s="192">
        <v>45572.0</v>
      </c>
      <c r="C15" s="193">
        <f>VLOOKUP(B:B,'Курс валют'!A:D,4,0)</f>
        <v>104.7424</v>
      </c>
      <c r="D15" s="194">
        <v>716.0</v>
      </c>
      <c r="E15" s="195" t="s">
        <v>63</v>
      </c>
      <c r="F15" s="194">
        <v>900.0</v>
      </c>
      <c r="G15" s="194">
        <v>928.0</v>
      </c>
      <c r="H15" s="196">
        <v>367.0</v>
      </c>
      <c r="I15" s="194">
        <f t="shared" si="1"/>
        <v>28</v>
      </c>
      <c r="J15" s="197">
        <f t="shared" si="2"/>
        <v>3.111111111</v>
      </c>
      <c r="K15" s="196">
        <v>3.26</v>
      </c>
      <c r="L15" s="198">
        <f t="shared" si="3"/>
        <v>40.77777778</v>
      </c>
      <c r="M15" s="186">
        <f t="shared" si="4"/>
        <v>211.6168897</v>
      </c>
      <c r="N15" s="199">
        <f t="shared" si="5"/>
        <v>2.020355556</v>
      </c>
      <c r="O15" s="187">
        <f t="shared" si="6"/>
        <v>1818.32</v>
      </c>
      <c r="P15" s="188">
        <f t="shared" si="7"/>
        <v>190455.2008</v>
      </c>
      <c r="R15" s="175"/>
    </row>
    <row r="16">
      <c r="A16" s="189">
        <v>45569.0</v>
      </c>
      <c r="B16" s="68">
        <v>45572.0</v>
      </c>
      <c r="C16" s="178">
        <f>VLOOKUP(B:B,'Курс валют'!A:D,4,0)</f>
        <v>104.7424</v>
      </c>
      <c r="D16" s="157">
        <v>712.0</v>
      </c>
      <c r="E16" s="59" t="s">
        <v>68</v>
      </c>
      <c r="F16" s="182">
        <v>6400.0</v>
      </c>
      <c r="G16" s="182">
        <v>6411.6</v>
      </c>
      <c r="H16" s="181">
        <v>605.0</v>
      </c>
      <c r="I16" s="182">
        <f t="shared" si="1"/>
        <v>11.6</v>
      </c>
      <c r="J16" s="183">
        <f t="shared" si="2"/>
        <v>0.18125</v>
      </c>
      <c r="K16" s="181">
        <v>2.13</v>
      </c>
      <c r="L16" s="185">
        <f t="shared" si="3"/>
        <v>9.453125</v>
      </c>
      <c r="M16" s="186">
        <f t="shared" si="4"/>
        <v>193.0009648</v>
      </c>
      <c r="N16" s="187">
        <f t="shared" si="5"/>
        <v>1.842625</v>
      </c>
      <c r="O16" s="187">
        <f t="shared" si="6"/>
        <v>11792.8</v>
      </c>
      <c r="P16" s="188">
        <f t="shared" si="7"/>
        <v>1235206.175</v>
      </c>
      <c r="R16" s="175"/>
    </row>
    <row r="17">
      <c r="A17" s="189">
        <v>45569.0</v>
      </c>
      <c r="B17" s="68">
        <v>45572.0</v>
      </c>
      <c r="C17" s="178">
        <f>VLOOKUP(B:B,'Курс валют'!A:D,4,0)</f>
        <v>104.7424</v>
      </c>
      <c r="D17" s="15">
        <v>715.0</v>
      </c>
      <c r="E17" s="59" t="s">
        <v>69</v>
      </c>
      <c r="F17" s="182">
        <v>8000.0</v>
      </c>
      <c r="G17" s="182">
        <v>8009.2</v>
      </c>
      <c r="H17" s="181">
        <v>760.0</v>
      </c>
      <c r="I17" s="182">
        <f t="shared" si="1"/>
        <v>9.2</v>
      </c>
      <c r="J17" s="183">
        <f t="shared" si="2"/>
        <v>0.115</v>
      </c>
      <c r="K17" s="181">
        <v>2.12</v>
      </c>
      <c r="L17" s="185">
        <f t="shared" si="3"/>
        <v>9.5</v>
      </c>
      <c r="M17" s="186">
        <f t="shared" si="4"/>
        <v>191.8042829</v>
      </c>
      <c r="N17" s="187">
        <f t="shared" si="5"/>
        <v>1.8312</v>
      </c>
      <c r="O17" s="187">
        <f t="shared" si="6"/>
        <v>14649.6</v>
      </c>
      <c r="P17" s="188">
        <f t="shared" si="7"/>
        <v>1534434.263</v>
      </c>
      <c r="R17" s="171"/>
    </row>
    <row r="18">
      <c r="A18" s="189">
        <v>45569.0</v>
      </c>
      <c r="B18" s="68">
        <v>45572.0</v>
      </c>
      <c r="C18" s="178">
        <f>VLOOKUP(B:B,'Курс валют'!A:D,4,0)</f>
        <v>104.7424</v>
      </c>
      <c r="D18" s="15">
        <v>717.0</v>
      </c>
      <c r="E18" s="59" t="s">
        <v>69</v>
      </c>
      <c r="F18" s="182">
        <v>7200.0</v>
      </c>
      <c r="G18" s="182">
        <v>7212.5</v>
      </c>
      <c r="H18" s="201">
        <v>683.0</v>
      </c>
      <c r="I18" s="182">
        <f t="shared" si="1"/>
        <v>12.5</v>
      </c>
      <c r="J18" s="183">
        <f t="shared" si="2"/>
        <v>0.1736111111</v>
      </c>
      <c r="K18" s="181">
        <v>2.12</v>
      </c>
      <c r="L18" s="185">
        <f t="shared" si="3"/>
        <v>9.486111111</v>
      </c>
      <c r="M18" s="186">
        <f t="shared" si="4"/>
        <v>191.8485074</v>
      </c>
      <c r="N18" s="187">
        <f t="shared" si="5"/>
        <v>1.831622222</v>
      </c>
      <c r="O18" s="187">
        <f t="shared" si="6"/>
        <v>13187.68</v>
      </c>
      <c r="P18" s="188">
        <f t="shared" si="7"/>
        <v>1381309.254</v>
      </c>
      <c r="R18" s="175"/>
    </row>
    <row r="19">
      <c r="A19" s="189">
        <v>45572.0</v>
      </c>
      <c r="B19" s="68">
        <v>45573.0</v>
      </c>
      <c r="C19" s="178">
        <f>VLOOKUP(B:B,'Курс валют'!A:D,4,0)</f>
        <v>105.3069</v>
      </c>
      <c r="D19" s="182">
        <v>718.0</v>
      </c>
      <c r="E19" s="26" t="s">
        <v>63</v>
      </c>
      <c r="F19" s="182">
        <v>900.0</v>
      </c>
      <c r="G19" s="182">
        <v>935.0</v>
      </c>
      <c r="H19" s="181">
        <v>368.0</v>
      </c>
      <c r="I19" s="182">
        <f t="shared" si="1"/>
        <v>35</v>
      </c>
      <c r="J19" s="183">
        <f t="shared" si="2"/>
        <v>3.888888889</v>
      </c>
      <c r="K19" s="181">
        <v>3.23</v>
      </c>
      <c r="L19" s="185">
        <f t="shared" si="3"/>
        <v>40.88888889</v>
      </c>
      <c r="M19" s="186">
        <f t="shared" si="4"/>
        <v>209.2424701</v>
      </c>
      <c r="N19" s="187">
        <f t="shared" si="5"/>
        <v>1.986977778</v>
      </c>
      <c r="O19" s="187">
        <f t="shared" si="6"/>
        <v>1788.28</v>
      </c>
      <c r="P19" s="188">
        <f t="shared" si="7"/>
        <v>188318.2231</v>
      </c>
      <c r="R19" s="175"/>
    </row>
    <row r="20">
      <c r="A20" s="189">
        <v>45572.0</v>
      </c>
      <c r="B20" s="68">
        <v>45573.0</v>
      </c>
      <c r="C20" s="178">
        <f>VLOOKUP(B:B,'Курс валют'!A:D,4,0)</f>
        <v>105.3069</v>
      </c>
      <c r="D20" s="157">
        <v>719.0</v>
      </c>
      <c r="E20" s="26" t="s">
        <v>1948</v>
      </c>
      <c r="F20" s="182">
        <v>1000.0</v>
      </c>
      <c r="G20" s="182">
        <v>1026.0</v>
      </c>
      <c r="H20" s="181">
        <v>111.0</v>
      </c>
      <c r="I20" s="182">
        <f t="shared" si="1"/>
        <v>26</v>
      </c>
      <c r="J20" s="183">
        <f t="shared" si="2"/>
        <v>2.6</v>
      </c>
      <c r="K20" s="181">
        <v>2.74</v>
      </c>
      <c r="L20" s="185">
        <f t="shared" si="3"/>
        <v>11.1</v>
      </c>
      <c r="M20" s="186">
        <f t="shared" si="4"/>
        <v>253.0061457</v>
      </c>
      <c r="N20" s="187">
        <f t="shared" si="5"/>
        <v>2.40256</v>
      </c>
      <c r="O20" s="187">
        <f t="shared" si="6"/>
        <v>2402.56</v>
      </c>
      <c r="P20" s="188">
        <f t="shared" si="7"/>
        <v>253006.1457</v>
      </c>
      <c r="R20" s="172"/>
    </row>
    <row r="21">
      <c r="A21" s="189">
        <v>45572.0</v>
      </c>
      <c r="B21" s="68">
        <v>45573.0</v>
      </c>
      <c r="C21" s="178">
        <f>VLOOKUP(B:B,'Курс валют'!A:D,4,0)</f>
        <v>105.3069</v>
      </c>
      <c r="D21" s="182">
        <v>720.0</v>
      </c>
      <c r="E21" s="26" t="s">
        <v>18</v>
      </c>
      <c r="F21" s="13">
        <v>8800.0</v>
      </c>
      <c r="G21" s="182">
        <v>8811.0</v>
      </c>
      <c r="H21" s="181">
        <v>4016.0</v>
      </c>
      <c r="I21" s="182">
        <f t="shared" si="1"/>
        <v>11</v>
      </c>
      <c r="J21" s="183">
        <f t="shared" si="2"/>
        <v>0.125</v>
      </c>
      <c r="K21" s="181">
        <v>3.09</v>
      </c>
      <c r="L21" s="185">
        <f t="shared" si="3"/>
        <v>45.63636364</v>
      </c>
      <c r="M21" s="186">
        <f t="shared" si="4"/>
        <v>179.301272</v>
      </c>
      <c r="N21" s="187">
        <f t="shared" si="5"/>
        <v>1.702654545</v>
      </c>
      <c r="O21" s="187">
        <f t="shared" si="6"/>
        <v>14983.36</v>
      </c>
      <c r="P21" s="188">
        <f t="shared" si="7"/>
        <v>1577851.193</v>
      </c>
      <c r="R21" s="175"/>
    </row>
    <row r="22">
      <c r="A22" s="189">
        <v>45573.0</v>
      </c>
      <c r="B22" s="68">
        <v>45573.0</v>
      </c>
      <c r="C22" s="178">
        <f>VLOOKUP(B:B,'Курс валют'!A:D,4,0)</f>
        <v>105.3069</v>
      </c>
      <c r="D22" s="157">
        <v>726.0</v>
      </c>
      <c r="E22" s="26" t="s">
        <v>926</v>
      </c>
      <c r="F22" s="182">
        <v>200.0</v>
      </c>
      <c r="G22" s="182">
        <v>200.0</v>
      </c>
      <c r="H22" s="181">
        <v>0.0</v>
      </c>
      <c r="I22" s="182">
        <f t="shared" si="1"/>
        <v>0</v>
      </c>
      <c r="J22" s="183">
        <f t="shared" si="2"/>
        <v>0</v>
      </c>
      <c r="K22" s="181">
        <v>2.64</v>
      </c>
      <c r="L22" s="185">
        <f t="shared" si="3"/>
        <v>0</v>
      </c>
      <c r="M22" s="186">
        <f t="shared" si="4"/>
        <v>278.010216</v>
      </c>
      <c r="N22" s="187">
        <f t="shared" si="5"/>
        <v>2.64</v>
      </c>
      <c r="O22" s="187">
        <f t="shared" si="6"/>
        <v>528</v>
      </c>
      <c r="P22" s="188">
        <f t="shared" si="7"/>
        <v>55602.0432</v>
      </c>
      <c r="R22" s="172" t="s">
        <v>1101</v>
      </c>
    </row>
    <row r="23">
      <c r="A23" s="189">
        <v>45573.0</v>
      </c>
      <c r="B23" s="68">
        <v>45573.0</v>
      </c>
      <c r="C23" s="178">
        <f>VLOOKUP(B:B,'Курс валют'!A:D,4,0)</f>
        <v>105.3069</v>
      </c>
      <c r="D23" s="157">
        <v>727.0</v>
      </c>
      <c r="E23" s="190" t="s">
        <v>2343</v>
      </c>
      <c r="F23" s="182">
        <v>200.0</v>
      </c>
      <c r="G23" s="182">
        <v>200.0</v>
      </c>
      <c r="H23" s="181">
        <v>0.0</v>
      </c>
      <c r="I23" s="182">
        <f t="shared" si="1"/>
        <v>0</v>
      </c>
      <c r="J23" s="183">
        <f t="shared" si="2"/>
        <v>0</v>
      </c>
      <c r="K23" s="181">
        <v>2.96</v>
      </c>
      <c r="L23" s="185">
        <f t="shared" si="3"/>
        <v>0</v>
      </c>
      <c r="M23" s="186">
        <f t="shared" si="4"/>
        <v>311.708424</v>
      </c>
      <c r="N23" s="187">
        <f t="shared" si="5"/>
        <v>2.96</v>
      </c>
      <c r="O23" s="187">
        <f t="shared" si="6"/>
        <v>592</v>
      </c>
      <c r="P23" s="188">
        <f t="shared" si="7"/>
        <v>62341.6848</v>
      </c>
      <c r="R23" s="172" t="s">
        <v>1101</v>
      </c>
    </row>
    <row r="24">
      <c r="A24" s="189">
        <v>45573.0</v>
      </c>
      <c r="B24" s="68">
        <v>45574.0</v>
      </c>
      <c r="C24" s="178">
        <f>VLOOKUP(B:B,'Курс валют'!A:D,4,0)</f>
        <v>105.6891</v>
      </c>
      <c r="D24" s="182">
        <v>721.0</v>
      </c>
      <c r="E24" s="190" t="s">
        <v>63</v>
      </c>
      <c r="F24" s="182">
        <v>900.0</v>
      </c>
      <c r="G24" s="182">
        <v>929.0</v>
      </c>
      <c r="H24" s="181">
        <v>368.0</v>
      </c>
      <c r="I24" s="182">
        <f t="shared" si="1"/>
        <v>29</v>
      </c>
      <c r="J24" s="183">
        <f t="shared" si="2"/>
        <v>3.222222222</v>
      </c>
      <c r="K24" s="181">
        <v>3.23</v>
      </c>
      <c r="L24" s="185">
        <f t="shared" si="3"/>
        <v>40.88888889</v>
      </c>
      <c r="M24" s="186">
        <f t="shared" si="4"/>
        <v>210.0018931</v>
      </c>
      <c r="N24" s="187">
        <f t="shared" si="5"/>
        <v>1.986977778</v>
      </c>
      <c r="O24" s="187">
        <f t="shared" si="6"/>
        <v>1788.28</v>
      </c>
      <c r="P24" s="188">
        <f t="shared" si="7"/>
        <v>189001.7037</v>
      </c>
      <c r="R24" s="175"/>
    </row>
    <row r="25">
      <c r="A25" s="189">
        <v>45573.0</v>
      </c>
      <c r="B25" s="68">
        <v>45574.0</v>
      </c>
      <c r="C25" s="178">
        <f>VLOOKUP(B:B,'Курс валют'!A:D,4,0)</f>
        <v>105.6891</v>
      </c>
      <c r="D25" s="182">
        <v>722.0</v>
      </c>
      <c r="E25" s="190" t="s">
        <v>63</v>
      </c>
      <c r="F25" s="182">
        <v>900.0</v>
      </c>
      <c r="G25" s="182">
        <v>930.0</v>
      </c>
      <c r="H25" s="181">
        <v>367.0</v>
      </c>
      <c r="I25" s="182">
        <f t="shared" si="1"/>
        <v>30</v>
      </c>
      <c r="J25" s="183">
        <f t="shared" si="2"/>
        <v>3.333333333</v>
      </c>
      <c r="K25" s="181">
        <v>3.36</v>
      </c>
      <c r="L25" s="185">
        <f t="shared" si="3"/>
        <v>40.77777778</v>
      </c>
      <c r="M25" s="186">
        <f t="shared" si="4"/>
        <v>224.0984703</v>
      </c>
      <c r="N25" s="187">
        <f t="shared" si="5"/>
        <v>2.120355556</v>
      </c>
      <c r="O25" s="187">
        <f t="shared" si="6"/>
        <v>1908.32</v>
      </c>
      <c r="P25" s="188">
        <f t="shared" si="7"/>
        <v>201688.6233</v>
      </c>
      <c r="R25" s="172"/>
    </row>
    <row r="26">
      <c r="A26" s="189">
        <v>45573.0</v>
      </c>
      <c r="B26" s="68">
        <v>45574.0</v>
      </c>
      <c r="C26" s="178">
        <f>VLOOKUP(B:B,'Курс валют'!A:D,4,0)</f>
        <v>105.6891</v>
      </c>
      <c r="D26" s="182">
        <v>723.0</v>
      </c>
      <c r="E26" s="200" t="s">
        <v>18</v>
      </c>
      <c r="F26" s="202">
        <v>4400.0</v>
      </c>
      <c r="G26" s="202">
        <v>4411.0</v>
      </c>
      <c r="H26" s="201">
        <v>2011.0</v>
      </c>
      <c r="I26" s="182">
        <f t="shared" si="1"/>
        <v>11</v>
      </c>
      <c r="J26" s="183">
        <f t="shared" si="2"/>
        <v>0.25</v>
      </c>
      <c r="K26" s="201">
        <v>4.02</v>
      </c>
      <c r="L26" s="185">
        <f t="shared" si="3"/>
        <v>45.70454545</v>
      </c>
      <c r="M26" s="186">
        <f t="shared" si="4"/>
        <v>278.0238248</v>
      </c>
      <c r="N26" s="187">
        <f t="shared" si="5"/>
        <v>2.630581818</v>
      </c>
      <c r="O26" s="187">
        <f t="shared" si="6"/>
        <v>11574.56</v>
      </c>
      <c r="P26" s="188">
        <f t="shared" si="7"/>
        <v>1223304.829</v>
      </c>
      <c r="R26" s="171"/>
    </row>
    <row r="27">
      <c r="A27" s="189">
        <v>45575.0</v>
      </c>
      <c r="B27" s="68">
        <v>45575.0</v>
      </c>
      <c r="C27" s="178">
        <f>VLOOKUP(B:B,'Курс валют'!A:D,4,0)</f>
        <v>106.4175</v>
      </c>
      <c r="D27" s="157">
        <v>731.0</v>
      </c>
      <c r="E27" s="200" t="s">
        <v>1861</v>
      </c>
      <c r="F27" s="182">
        <v>176.0</v>
      </c>
      <c r="G27" s="182">
        <v>180.0</v>
      </c>
      <c r="H27" s="181">
        <v>0.0</v>
      </c>
      <c r="I27" s="182">
        <f t="shared" si="1"/>
        <v>4</v>
      </c>
      <c r="J27" s="183">
        <f t="shared" si="2"/>
        <v>2.272727273</v>
      </c>
      <c r="K27" s="181">
        <v>2.93</v>
      </c>
      <c r="L27" s="185">
        <f t="shared" si="3"/>
        <v>0</v>
      </c>
      <c r="M27" s="186">
        <f t="shared" si="4"/>
        <v>311.803275</v>
      </c>
      <c r="N27" s="187">
        <f t="shared" si="5"/>
        <v>2.93</v>
      </c>
      <c r="O27" s="187">
        <f t="shared" si="6"/>
        <v>515.68</v>
      </c>
      <c r="P27" s="188">
        <f t="shared" si="7"/>
        <v>54877.3764</v>
      </c>
      <c r="R27" s="172" t="s">
        <v>1101</v>
      </c>
    </row>
    <row r="28">
      <c r="A28" s="189">
        <v>45574.0</v>
      </c>
      <c r="B28" s="68">
        <v>45575.0</v>
      </c>
      <c r="C28" s="178">
        <f>VLOOKUP(B:B,'Курс валют'!A:D,4,0)</f>
        <v>106.4175</v>
      </c>
      <c r="D28" s="182">
        <v>724.0</v>
      </c>
      <c r="E28" s="26" t="s">
        <v>63</v>
      </c>
      <c r="F28" s="182">
        <v>900.0</v>
      </c>
      <c r="G28" s="182">
        <v>931.0</v>
      </c>
      <c r="H28" s="181">
        <v>368.0</v>
      </c>
      <c r="I28" s="182">
        <f t="shared" si="1"/>
        <v>31</v>
      </c>
      <c r="J28" s="183">
        <f t="shared" si="2"/>
        <v>3.444444444</v>
      </c>
      <c r="K28" s="181">
        <v>3.38</v>
      </c>
      <c r="L28" s="185">
        <f t="shared" si="3"/>
        <v>40.88888889</v>
      </c>
      <c r="M28" s="186">
        <f t="shared" si="4"/>
        <v>227.4118327</v>
      </c>
      <c r="N28" s="187">
        <f t="shared" si="5"/>
        <v>2.136977778</v>
      </c>
      <c r="O28" s="187">
        <f t="shared" si="6"/>
        <v>1923.28</v>
      </c>
      <c r="P28" s="188">
        <f t="shared" si="7"/>
        <v>204670.6494</v>
      </c>
      <c r="R28" s="171"/>
    </row>
    <row r="29">
      <c r="A29" s="189">
        <v>45574.0</v>
      </c>
      <c r="B29" s="68">
        <v>45575.0</v>
      </c>
      <c r="C29" s="178">
        <f>VLOOKUP(B:B,'Курс валют'!A:D,4,0)</f>
        <v>106.4175</v>
      </c>
      <c r="D29" s="182">
        <v>725.0</v>
      </c>
      <c r="E29" s="190" t="s">
        <v>63</v>
      </c>
      <c r="F29" s="182">
        <v>900.0</v>
      </c>
      <c r="G29" s="182">
        <v>929.0</v>
      </c>
      <c r="H29" s="181">
        <v>367.0</v>
      </c>
      <c r="I29" s="182">
        <f t="shared" si="1"/>
        <v>29</v>
      </c>
      <c r="J29" s="183">
        <f t="shared" si="2"/>
        <v>3.222222222</v>
      </c>
      <c r="K29" s="181">
        <v>3.38</v>
      </c>
      <c r="L29" s="185">
        <f t="shared" si="3"/>
        <v>40.77777778</v>
      </c>
      <c r="M29" s="186">
        <f t="shared" si="4"/>
        <v>227.7712873</v>
      </c>
      <c r="N29" s="187">
        <f t="shared" si="5"/>
        <v>2.140355556</v>
      </c>
      <c r="O29" s="187">
        <f t="shared" si="6"/>
        <v>1926.32</v>
      </c>
      <c r="P29" s="188">
        <f t="shared" si="7"/>
        <v>204994.1586</v>
      </c>
      <c r="R29" s="175"/>
    </row>
    <row r="30">
      <c r="A30" s="154">
        <v>45574.0</v>
      </c>
      <c r="B30" s="89">
        <v>45575.0</v>
      </c>
      <c r="C30" s="203">
        <f>VLOOKUP(B:B,'Курс валют'!A:D,4,0)</f>
        <v>106.4175</v>
      </c>
      <c r="D30" s="145">
        <v>728.0</v>
      </c>
      <c r="E30" s="204" t="s">
        <v>18</v>
      </c>
      <c r="F30" s="145">
        <v>2200.0</v>
      </c>
      <c r="G30" s="145">
        <v>2208.0</v>
      </c>
      <c r="H30" s="205">
        <v>1008.0</v>
      </c>
      <c r="I30" s="145">
        <f t="shared" si="1"/>
        <v>8</v>
      </c>
      <c r="J30" s="206">
        <f t="shared" si="2"/>
        <v>0.3636363636</v>
      </c>
      <c r="K30" s="205">
        <v>4.28</v>
      </c>
      <c r="L30" s="207">
        <f t="shared" si="3"/>
        <v>45.81818182</v>
      </c>
      <c r="M30" s="186">
        <f t="shared" si="4"/>
        <v>307.2408665</v>
      </c>
      <c r="N30" s="187">
        <f t="shared" si="5"/>
        <v>2.887127273</v>
      </c>
      <c r="O30" s="187">
        <f t="shared" si="6"/>
        <v>6351.68</v>
      </c>
      <c r="P30" s="188">
        <f t="shared" si="7"/>
        <v>675929.9064</v>
      </c>
      <c r="R30" s="171"/>
    </row>
    <row r="31">
      <c r="A31" s="189">
        <v>45574.0</v>
      </c>
      <c r="B31" s="68">
        <v>45575.0</v>
      </c>
      <c r="C31" s="178">
        <f>VLOOKUP(B:B,'Курс валют'!A:D,4,0)</f>
        <v>106.4175</v>
      </c>
      <c r="D31" s="208">
        <v>729.0</v>
      </c>
      <c r="E31" s="204" t="s">
        <v>18</v>
      </c>
      <c r="F31" s="208">
        <v>4400.0</v>
      </c>
      <c r="G31" s="182">
        <v>4412.0</v>
      </c>
      <c r="H31" s="181">
        <v>2012.0</v>
      </c>
      <c r="I31" s="182">
        <f t="shared" si="1"/>
        <v>12</v>
      </c>
      <c r="J31" s="183">
        <f t="shared" si="2"/>
        <v>0.2727272727</v>
      </c>
      <c r="K31" s="181">
        <v>4.28</v>
      </c>
      <c r="L31" s="185">
        <f t="shared" si="3"/>
        <v>45.72727273</v>
      </c>
      <c r="M31" s="186">
        <f t="shared" si="4"/>
        <v>307.5349658</v>
      </c>
      <c r="N31" s="187">
        <f t="shared" si="5"/>
        <v>2.889890909</v>
      </c>
      <c r="O31" s="187">
        <f t="shared" si="6"/>
        <v>12715.52</v>
      </c>
      <c r="P31" s="188">
        <f t="shared" si="7"/>
        <v>1353153.85</v>
      </c>
      <c r="R31" s="171"/>
    </row>
    <row r="32">
      <c r="A32" s="189">
        <v>45574.0</v>
      </c>
      <c r="B32" s="68">
        <v>45574.0</v>
      </c>
      <c r="C32" s="178">
        <f>VLOOKUP(B:B,'Курс валют'!A:D,4,0)</f>
        <v>105.6891</v>
      </c>
      <c r="D32" s="182">
        <v>730.0</v>
      </c>
      <c r="E32" s="190" t="s">
        <v>63</v>
      </c>
      <c r="F32" s="182">
        <v>900.0</v>
      </c>
      <c r="G32" s="182">
        <v>931.0</v>
      </c>
      <c r="H32" s="181">
        <v>368.0</v>
      </c>
      <c r="I32" s="182">
        <f t="shared" si="1"/>
        <v>31</v>
      </c>
      <c r="J32" s="183">
        <f t="shared" si="2"/>
        <v>3.444444444</v>
      </c>
      <c r="K32" s="181">
        <v>3.36</v>
      </c>
      <c r="L32" s="185">
        <f t="shared" si="3"/>
        <v>40.88888889</v>
      </c>
      <c r="M32" s="186">
        <f t="shared" si="4"/>
        <v>223.7414761</v>
      </c>
      <c r="N32" s="187">
        <f t="shared" si="5"/>
        <v>2.116977778</v>
      </c>
      <c r="O32" s="187">
        <f t="shared" si="6"/>
        <v>1905.28</v>
      </c>
      <c r="P32" s="188">
        <f t="shared" si="7"/>
        <v>201367.3284</v>
      </c>
      <c r="R32" s="171"/>
    </row>
    <row r="33">
      <c r="A33" s="191">
        <v>45575.0</v>
      </c>
      <c r="B33" s="192">
        <v>45575.0</v>
      </c>
      <c r="C33" s="193">
        <f>VLOOKUP(B:B,'Курс валют'!A:D,4,0)</f>
        <v>106.4175</v>
      </c>
      <c r="D33" s="157">
        <v>732.0</v>
      </c>
      <c r="E33" s="59" t="s">
        <v>56</v>
      </c>
      <c r="F33" s="194">
        <v>2400.0</v>
      </c>
      <c r="G33" s="194">
        <v>2424.0</v>
      </c>
      <c r="H33" s="196">
        <v>0.0</v>
      </c>
      <c r="I33" s="194">
        <f t="shared" si="1"/>
        <v>24</v>
      </c>
      <c r="J33" s="197">
        <f t="shared" si="2"/>
        <v>1</v>
      </c>
      <c r="K33" s="196">
        <v>3.33</v>
      </c>
      <c r="L33" s="198">
        <f t="shared" si="3"/>
        <v>0</v>
      </c>
      <c r="M33" s="186">
        <f t="shared" si="4"/>
        <v>354.370275</v>
      </c>
      <c r="N33" s="199">
        <f t="shared" si="5"/>
        <v>3.33</v>
      </c>
      <c r="O33" s="199">
        <f t="shared" si="6"/>
        <v>7992</v>
      </c>
      <c r="P33" s="209">
        <f t="shared" si="7"/>
        <v>850488.66</v>
      </c>
      <c r="R33" s="175"/>
    </row>
    <row r="34">
      <c r="A34" s="189">
        <v>45576.0</v>
      </c>
      <c r="B34" s="68">
        <v>45579.0</v>
      </c>
      <c r="C34" s="178">
        <f>VLOOKUP(B:B,'Курс валют'!A:D,4,0)</f>
        <v>105.1095</v>
      </c>
      <c r="D34" s="157">
        <v>736.0</v>
      </c>
      <c r="E34" s="190" t="s">
        <v>2260</v>
      </c>
      <c r="F34" s="182">
        <v>400.0</v>
      </c>
      <c r="G34" s="182">
        <v>400.0</v>
      </c>
      <c r="H34" s="181">
        <v>0.0</v>
      </c>
      <c r="I34" s="182">
        <f t="shared" si="1"/>
        <v>0</v>
      </c>
      <c r="J34" s="183">
        <f t="shared" si="2"/>
        <v>0</v>
      </c>
      <c r="K34" s="181">
        <v>3.53</v>
      </c>
      <c r="L34" s="185">
        <f t="shared" si="3"/>
        <v>0</v>
      </c>
      <c r="M34" s="186">
        <f t="shared" si="4"/>
        <v>371.036535</v>
      </c>
      <c r="N34" s="187">
        <f t="shared" si="5"/>
        <v>3.53</v>
      </c>
      <c r="O34" s="187">
        <f t="shared" si="6"/>
        <v>1412</v>
      </c>
      <c r="P34" s="188">
        <f t="shared" si="7"/>
        <v>148414.614</v>
      </c>
      <c r="R34" s="172" t="s">
        <v>1101</v>
      </c>
    </row>
    <row r="35">
      <c r="A35" s="189">
        <v>45579.0</v>
      </c>
      <c r="B35" s="68">
        <v>45579.0</v>
      </c>
      <c r="C35" s="178">
        <f>VLOOKUP(B:B,'Курс валют'!A:D,4,0)</f>
        <v>105.1095</v>
      </c>
      <c r="D35" s="157">
        <v>737.0</v>
      </c>
      <c r="E35" s="190" t="s">
        <v>82</v>
      </c>
      <c r="F35" s="182">
        <v>400.0</v>
      </c>
      <c r="G35" s="182">
        <v>400.0</v>
      </c>
      <c r="H35" s="181">
        <v>0.0</v>
      </c>
      <c r="I35" s="182">
        <f t="shared" si="1"/>
        <v>0</v>
      </c>
      <c r="J35" s="183">
        <f t="shared" si="2"/>
        <v>0</v>
      </c>
      <c r="K35" s="181">
        <v>3.5</v>
      </c>
      <c r="L35" s="185">
        <f t="shared" si="3"/>
        <v>0</v>
      </c>
      <c r="M35" s="186">
        <f t="shared" si="4"/>
        <v>367.88325</v>
      </c>
      <c r="N35" s="187">
        <f t="shared" si="5"/>
        <v>3.5</v>
      </c>
      <c r="O35" s="187">
        <f t="shared" si="6"/>
        <v>1400</v>
      </c>
      <c r="P35" s="188">
        <f t="shared" si="7"/>
        <v>147153.3</v>
      </c>
      <c r="R35" s="172" t="s">
        <v>175</v>
      </c>
    </row>
    <row r="36">
      <c r="A36" s="189">
        <v>45576.0</v>
      </c>
      <c r="B36" s="68">
        <v>45579.0</v>
      </c>
      <c r="C36" s="178">
        <f>VLOOKUP(B:B,'Курс валют'!A:D,4,0)</f>
        <v>105.1095</v>
      </c>
      <c r="D36" s="157">
        <v>745.0</v>
      </c>
      <c r="E36" s="190" t="s">
        <v>2290</v>
      </c>
      <c r="F36" s="182">
        <v>2000.0</v>
      </c>
      <c r="G36" s="182">
        <v>2100.0</v>
      </c>
      <c r="H36" s="181">
        <v>0.0</v>
      </c>
      <c r="I36" s="182">
        <f t="shared" si="1"/>
        <v>100</v>
      </c>
      <c r="J36" s="183">
        <f t="shared" si="2"/>
        <v>5</v>
      </c>
      <c r="K36" s="181">
        <v>3.32</v>
      </c>
      <c r="L36" s="185">
        <f t="shared" si="3"/>
        <v>0</v>
      </c>
      <c r="M36" s="186">
        <f t="shared" si="4"/>
        <v>348.96354</v>
      </c>
      <c r="N36" s="187">
        <f t="shared" si="5"/>
        <v>3.32</v>
      </c>
      <c r="O36" s="187">
        <f t="shared" si="6"/>
        <v>6640</v>
      </c>
      <c r="P36" s="188">
        <f t="shared" si="7"/>
        <v>697927.08</v>
      </c>
      <c r="R36" s="172" t="s">
        <v>2344</v>
      </c>
    </row>
    <row r="37">
      <c r="A37" s="189">
        <v>45576.0</v>
      </c>
      <c r="B37" s="68">
        <v>45579.0</v>
      </c>
      <c r="C37" s="178">
        <f>VLOOKUP(B:B,'Курс валют'!A:D,4,0)</f>
        <v>105.1095</v>
      </c>
      <c r="D37" s="182">
        <v>733.0</v>
      </c>
      <c r="E37" s="190" t="s">
        <v>63</v>
      </c>
      <c r="F37" s="182">
        <v>900.0</v>
      </c>
      <c r="G37" s="182">
        <v>932.0</v>
      </c>
      <c r="H37" s="181">
        <v>368.0</v>
      </c>
      <c r="I37" s="182">
        <f t="shared" si="1"/>
        <v>32</v>
      </c>
      <c r="J37" s="183">
        <f t="shared" si="2"/>
        <v>3.555555556</v>
      </c>
      <c r="K37" s="181">
        <v>3.4</v>
      </c>
      <c r="L37" s="185">
        <f t="shared" si="3"/>
        <v>40.88888889</v>
      </c>
      <c r="M37" s="186">
        <f t="shared" si="4"/>
        <v>226.7188557</v>
      </c>
      <c r="N37" s="187">
        <f t="shared" si="5"/>
        <v>2.156977778</v>
      </c>
      <c r="O37" s="187">
        <f t="shared" si="6"/>
        <v>1941.28</v>
      </c>
      <c r="P37" s="188">
        <f t="shared" si="7"/>
        <v>204046.9702</v>
      </c>
      <c r="R37" s="171"/>
    </row>
    <row r="38">
      <c r="A38" s="189">
        <v>45576.0</v>
      </c>
      <c r="B38" s="68">
        <v>45579.0</v>
      </c>
      <c r="C38" s="178">
        <f>VLOOKUP(B:B,'Курс валют'!A:D,4,0)</f>
        <v>105.1095</v>
      </c>
      <c r="D38" s="182">
        <v>734.0</v>
      </c>
      <c r="E38" s="190" t="s">
        <v>18</v>
      </c>
      <c r="F38" s="182">
        <v>4400.0</v>
      </c>
      <c r="G38" s="182">
        <v>4412.0</v>
      </c>
      <c r="H38" s="181">
        <v>2012.0</v>
      </c>
      <c r="I38" s="182">
        <f t="shared" si="1"/>
        <v>12</v>
      </c>
      <c r="J38" s="183">
        <f t="shared" si="2"/>
        <v>0.2727272727</v>
      </c>
      <c r="K38" s="181">
        <v>4.02</v>
      </c>
      <c r="L38" s="185">
        <f t="shared" si="3"/>
        <v>45.72727273</v>
      </c>
      <c r="M38" s="186">
        <f t="shared" si="4"/>
        <v>276.4265185</v>
      </c>
      <c r="N38" s="187">
        <f t="shared" si="5"/>
        <v>2.629890909</v>
      </c>
      <c r="O38" s="187">
        <f t="shared" si="6"/>
        <v>11571.52</v>
      </c>
      <c r="P38" s="188">
        <f t="shared" si="7"/>
        <v>1216276.681</v>
      </c>
      <c r="R38" s="175"/>
    </row>
    <row r="39">
      <c r="A39" s="189">
        <v>45576.0</v>
      </c>
      <c r="B39" s="68">
        <v>45579.0</v>
      </c>
      <c r="C39" s="178">
        <f>VLOOKUP(B:B,'Курс валют'!A:D,4,0)</f>
        <v>105.1095</v>
      </c>
      <c r="D39" s="182">
        <v>735.0</v>
      </c>
      <c r="E39" s="190" t="s">
        <v>63</v>
      </c>
      <c r="F39" s="182">
        <v>900.0</v>
      </c>
      <c r="G39" s="182">
        <v>935.0</v>
      </c>
      <c r="H39" s="181">
        <v>370.0</v>
      </c>
      <c r="I39" s="182">
        <f t="shared" si="1"/>
        <v>35</v>
      </c>
      <c r="J39" s="183">
        <f t="shared" si="2"/>
        <v>3.888888889</v>
      </c>
      <c r="K39" s="181">
        <v>3.4</v>
      </c>
      <c r="L39" s="185">
        <f t="shared" si="3"/>
        <v>41.11111111</v>
      </c>
      <c r="M39" s="186">
        <f t="shared" si="4"/>
        <v>226.0087827</v>
      </c>
      <c r="N39" s="187">
        <f t="shared" si="5"/>
        <v>2.150222222</v>
      </c>
      <c r="O39" s="187">
        <f t="shared" si="6"/>
        <v>1935.2</v>
      </c>
      <c r="P39" s="188">
        <f t="shared" si="7"/>
        <v>203407.9044</v>
      </c>
      <c r="R39" s="175"/>
    </row>
    <row r="40">
      <c r="A40" s="189">
        <v>45576.0</v>
      </c>
      <c r="B40" s="68">
        <v>45579.0</v>
      </c>
      <c r="C40" s="178">
        <f>VLOOKUP(B:B,'Курс валют'!A:D,4,0)</f>
        <v>105.1095</v>
      </c>
      <c r="D40" s="182">
        <v>738.0</v>
      </c>
      <c r="E40" s="190" t="s">
        <v>18</v>
      </c>
      <c r="F40" s="13">
        <v>8800.0</v>
      </c>
      <c r="G40" s="182">
        <v>8814.0</v>
      </c>
      <c r="H40" s="181">
        <v>4019.0</v>
      </c>
      <c r="I40" s="182">
        <f t="shared" si="1"/>
        <v>14</v>
      </c>
      <c r="J40" s="183">
        <f t="shared" si="2"/>
        <v>0.1590909091</v>
      </c>
      <c r="K40" s="181">
        <v>4.02</v>
      </c>
      <c r="L40" s="185">
        <f t="shared" si="3"/>
        <v>45.67045455</v>
      </c>
      <c r="M40" s="186">
        <f t="shared" si="4"/>
        <v>276.6080713</v>
      </c>
      <c r="N40" s="187">
        <f t="shared" si="5"/>
        <v>2.631618182</v>
      </c>
      <c r="O40" s="187">
        <f t="shared" si="6"/>
        <v>23158.24</v>
      </c>
      <c r="P40" s="188">
        <f t="shared" si="7"/>
        <v>2434151.027</v>
      </c>
      <c r="R40" s="175"/>
    </row>
    <row r="41">
      <c r="A41" s="189">
        <v>45576.0</v>
      </c>
      <c r="B41" s="68">
        <v>45579.0</v>
      </c>
      <c r="C41" s="178">
        <f>VLOOKUP(B:B,'Курс валют'!A:D,4,0)</f>
        <v>105.1095</v>
      </c>
      <c r="D41" s="157">
        <v>739.0</v>
      </c>
      <c r="E41" s="190" t="s">
        <v>207</v>
      </c>
      <c r="F41" s="182">
        <v>220.0</v>
      </c>
      <c r="G41" s="182">
        <v>220.0</v>
      </c>
      <c r="H41" s="201">
        <v>0.0</v>
      </c>
      <c r="I41" s="182">
        <f t="shared" si="1"/>
        <v>0</v>
      </c>
      <c r="J41" s="183">
        <f t="shared" si="2"/>
        <v>0</v>
      </c>
      <c r="K41" s="181">
        <v>3.96</v>
      </c>
      <c r="L41" s="185">
        <f t="shared" si="3"/>
        <v>0</v>
      </c>
      <c r="M41" s="186">
        <f t="shared" si="4"/>
        <v>416.23362</v>
      </c>
      <c r="N41" s="187">
        <f t="shared" si="5"/>
        <v>3.96</v>
      </c>
      <c r="O41" s="187">
        <f t="shared" si="6"/>
        <v>871.2</v>
      </c>
      <c r="P41" s="188">
        <f t="shared" si="7"/>
        <v>91571.3964</v>
      </c>
      <c r="R41" s="172" t="s">
        <v>1101</v>
      </c>
    </row>
    <row r="42">
      <c r="A42" s="189">
        <v>45576.0</v>
      </c>
      <c r="B42" s="68">
        <v>45579.0</v>
      </c>
      <c r="C42" s="178">
        <f>VLOOKUP(B:B,'Курс валют'!A:D,4,0)</f>
        <v>105.1095</v>
      </c>
      <c r="D42" s="182">
        <v>740.0</v>
      </c>
      <c r="E42" s="190" t="s">
        <v>63</v>
      </c>
      <c r="F42" s="182">
        <v>900.0</v>
      </c>
      <c r="G42" s="182">
        <v>933.0</v>
      </c>
      <c r="H42" s="201">
        <v>370.0</v>
      </c>
      <c r="I42" s="182">
        <f t="shared" si="1"/>
        <v>33</v>
      </c>
      <c r="J42" s="183">
        <f t="shared" si="2"/>
        <v>3.666666667</v>
      </c>
      <c r="K42" s="181">
        <v>3.4</v>
      </c>
      <c r="L42" s="185">
        <f t="shared" si="3"/>
        <v>41.11111111</v>
      </c>
      <c r="M42" s="186">
        <f t="shared" si="4"/>
        <v>226.0087827</v>
      </c>
      <c r="N42" s="187">
        <f t="shared" si="5"/>
        <v>2.150222222</v>
      </c>
      <c r="O42" s="187">
        <f t="shared" si="6"/>
        <v>1935.2</v>
      </c>
      <c r="P42" s="188">
        <f t="shared" si="7"/>
        <v>203407.9044</v>
      </c>
      <c r="R42" s="175"/>
    </row>
    <row r="43">
      <c r="A43" s="189">
        <v>45576.0</v>
      </c>
      <c r="B43" s="68">
        <v>45579.0</v>
      </c>
      <c r="C43" s="178">
        <f>VLOOKUP(B:B,'Курс валют'!A:D,4,0)</f>
        <v>105.1095</v>
      </c>
      <c r="D43" s="157">
        <v>741.0</v>
      </c>
      <c r="E43" s="190" t="s">
        <v>1567</v>
      </c>
      <c r="F43" s="182">
        <v>6600.0</v>
      </c>
      <c r="G43" s="182">
        <v>6617.0</v>
      </c>
      <c r="H43" s="201">
        <v>2745.0</v>
      </c>
      <c r="I43" s="182">
        <f t="shared" si="1"/>
        <v>17</v>
      </c>
      <c r="J43" s="183">
        <f t="shared" si="2"/>
        <v>0.2575757576</v>
      </c>
      <c r="K43" s="181">
        <v>3.88</v>
      </c>
      <c r="L43" s="185">
        <f t="shared" si="3"/>
        <v>41.59090909</v>
      </c>
      <c r="M43" s="186">
        <f t="shared" si="4"/>
        <v>274.9282304</v>
      </c>
      <c r="N43" s="187">
        <f t="shared" si="5"/>
        <v>2.615636364</v>
      </c>
      <c r="O43" s="187">
        <f t="shared" si="6"/>
        <v>17263.2</v>
      </c>
      <c r="P43" s="188">
        <f t="shared" si="7"/>
        <v>1814526.32</v>
      </c>
      <c r="R43" s="177"/>
    </row>
    <row r="44">
      <c r="A44" s="189">
        <v>45576.0</v>
      </c>
      <c r="B44" s="68">
        <v>45579.0</v>
      </c>
      <c r="C44" s="178">
        <f>VLOOKUP(B:B,'Курс валют'!A:D,4,0)</f>
        <v>105.1095</v>
      </c>
      <c r="D44" s="182">
        <v>742.0</v>
      </c>
      <c r="E44" s="190" t="s">
        <v>63</v>
      </c>
      <c r="F44" s="182">
        <v>900.0</v>
      </c>
      <c r="G44" s="182">
        <v>932.0</v>
      </c>
      <c r="H44" s="201">
        <v>368.0</v>
      </c>
      <c r="I44" s="182">
        <f t="shared" si="1"/>
        <v>32</v>
      </c>
      <c r="J44" s="183">
        <f t="shared" si="2"/>
        <v>3.555555556</v>
      </c>
      <c r="K44" s="181">
        <v>3.4</v>
      </c>
      <c r="L44" s="185">
        <f t="shared" si="3"/>
        <v>40.88888889</v>
      </c>
      <c r="M44" s="186">
        <f t="shared" si="4"/>
        <v>226.7188557</v>
      </c>
      <c r="N44" s="187">
        <f t="shared" si="5"/>
        <v>2.156977778</v>
      </c>
      <c r="O44" s="187">
        <f t="shared" si="6"/>
        <v>1941.28</v>
      </c>
      <c r="P44" s="188">
        <f t="shared" si="7"/>
        <v>204046.9702</v>
      </c>
      <c r="R44" s="175"/>
    </row>
    <row r="45">
      <c r="A45" s="189">
        <v>45580.0</v>
      </c>
      <c r="B45" s="68">
        <v>45580.0</v>
      </c>
      <c r="C45" s="178">
        <f>VLOOKUP(B:B,'Курс валют'!A:D,4,0)</f>
        <v>105.4854</v>
      </c>
      <c r="D45" s="157">
        <v>747.0</v>
      </c>
      <c r="E45" s="190" t="s">
        <v>2345</v>
      </c>
      <c r="F45" s="182">
        <v>9648.57</v>
      </c>
      <c r="G45" s="182">
        <v>9648.57</v>
      </c>
      <c r="H45" s="181">
        <v>0.0</v>
      </c>
      <c r="I45" s="182">
        <f t="shared" si="1"/>
        <v>0</v>
      </c>
      <c r="J45" s="183">
        <f t="shared" si="2"/>
        <v>0</v>
      </c>
      <c r="K45" s="181">
        <v>2.47</v>
      </c>
      <c r="L45" s="185">
        <f t="shared" si="3"/>
        <v>0</v>
      </c>
      <c r="M45" s="186">
        <f t="shared" si="4"/>
        <v>260.548938</v>
      </c>
      <c r="N45" s="187">
        <f t="shared" si="5"/>
        <v>2.47</v>
      </c>
      <c r="O45" s="187">
        <f t="shared" si="6"/>
        <v>23831.9679</v>
      </c>
      <c r="P45" s="188">
        <f t="shared" si="7"/>
        <v>2513924.667</v>
      </c>
      <c r="R45" s="174" t="s">
        <v>2346</v>
      </c>
      <c r="S45" s="42" t="s">
        <v>2347</v>
      </c>
    </row>
    <row r="46">
      <c r="A46" s="189">
        <v>45579.0</v>
      </c>
      <c r="B46" s="68">
        <v>45580.0</v>
      </c>
      <c r="C46" s="178">
        <f>VLOOKUP(B:B,'Курс валют'!A:D,4,0)</f>
        <v>105.4854</v>
      </c>
      <c r="D46" s="157">
        <v>743.0</v>
      </c>
      <c r="E46" s="190" t="s">
        <v>1567</v>
      </c>
      <c r="F46" s="182">
        <v>6600.0</v>
      </c>
      <c r="G46" s="182">
        <v>6612.0</v>
      </c>
      <c r="H46" s="181">
        <v>2742.0</v>
      </c>
      <c r="I46" s="182">
        <f t="shared" si="1"/>
        <v>12</v>
      </c>
      <c r="J46" s="183">
        <f t="shared" si="2"/>
        <v>0.1818181818</v>
      </c>
      <c r="K46" s="181">
        <v>3.88</v>
      </c>
      <c r="L46" s="185">
        <f t="shared" si="3"/>
        <v>41.54545455</v>
      </c>
      <c r="M46" s="186">
        <f t="shared" si="4"/>
        <v>276.0572097</v>
      </c>
      <c r="N46" s="187">
        <f t="shared" si="5"/>
        <v>2.617018182</v>
      </c>
      <c r="O46" s="187">
        <f t="shared" si="6"/>
        <v>17272.32</v>
      </c>
      <c r="P46" s="188">
        <f t="shared" si="7"/>
        <v>1821977.584</v>
      </c>
      <c r="R46" s="175"/>
    </row>
    <row r="47">
      <c r="A47" s="189">
        <v>45579.0</v>
      </c>
      <c r="B47" s="68">
        <v>45579.0</v>
      </c>
      <c r="C47" s="178">
        <f>VLOOKUP(B:B,'Курс валют'!A:D,4,0)</f>
        <v>105.1095</v>
      </c>
      <c r="D47" s="182">
        <v>744.0</v>
      </c>
      <c r="E47" s="190" t="s">
        <v>63</v>
      </c>
      <c r="F47" s="182">
        <v>900.0</v>
      </c>
      <c r="G47" s="182">
        <v>936.0</v>
      </c>
      <c r="H47" s="181">
        <v>368.0</v>
      </c>
      <c r="I47" s="182">
        <f t="shared" si="1"/>
        <v>36</v>
      </c>
      <c r="J47" s="183">
        <f t="shared" si="2"/>
        <v>4</v>
      </c>
      <c r="K47" s="181">
        <v>3.4</v>
      </c>
      <c r="L47" s="185">
        <f t="shared" si="3"/>
        <v>40.88888889</v>
      </c>
      <c r="M47" s="186">
        <f t="shared" si="4"/>
        <v>226.7188557</v>
      </c>
      <c r="N47" s="187">
        <f t="shared" si="5"/>
        <v>2.156977778</v>
      </c>
      <c r="O47" s="187">
        <f t="shared" si="6"/>
        <v>1941.28</v>
      </c>
      <c r="P47" s="188">
        <f t="shared" si="7"/>
        <v>204046.9702</v>
      </c>
      <c r="R47" s="171"/>
    </row>
    <row r="48">
      <c r="A48" s="189">
        <v>45580.0</v>
      </c>
      <c r="B48" s="68">
        <v>45581.0</v>
      </c>
      <c r="C48" s="178">
        <f>VLOOKUP(B:B,'Курс валют'!A:D,4,0)</f>
        <v>105.6757</v>
      </c>
      <c r="D48" s="157">
        <v>748.0</v>
      </c>
      <c r="E48" s="210" t="s">
        <v>1567</v>
      </c>
      <c r="F48" s="182">
        <v>6600.0</v>
      </c>
      <c r="G48" s="182">
        <v>6639.0</v>
      </c>
      <c r="H48" s="181">
        <v>2744.0</v>
      </c>
      <c r="I48" s="182">
        <f t="shared" si="1"/>
        <v>39</v>
      </c>
      <c r="J48" s="183">
        <f t="shared" si="2"/>
        <v>0.5909090909</v>
      </c>
      <c r="K48" s="181">
        <v>3.87</v>
      </c>
      <c r="L48" s="185">
        <f t="shared" si="3"/>
        <v>41.57575758</v>
      </c>
      <c r="M48" s="186">
        <f t="shared" si="4"/>
        <v>275.4011215</v>
      </c>
      <c r="N48" s="187">
        <f t="shared" si="5"/>
        <v>2.60609697</v>
      </c>
      <c r="O48" s="187">
        <f t="shared" si="6"/>
        <v>17200.24</v>
      </c>
      <c r="P48" s="188">
        <f t="shared" si="7"/>
        <v>1817647.402</v>
      </c>
      <c r="R48" s="175"/>
    </row>
    <row r="49">
      <c r="A49" s="189">
        <v>45581.0</v>
      </c>
      <c r="B49" s="68">
        <v>45581.0</v>
      </c>
      <c r="C49" s="178">
        <f>VLOOKUP(B:B,'Курс валют'!A:D,4,0)</f>
        <v>105.6757</v>
      </c>
      <c r="D49" s="157">
        <v>746.0</v>
      </c>
      <c r="E49" s="210" t="s">
        <v>1948</v>
      </c>
      <c r="F49" s="182">
        <v>2000.0</v>
      </c>
      <c r="G49" s="182">
        <v>2000.0</v>
      </c>
      <c r="H49" s="181">
        <v>0.0</v>
      </c>
      <c r="I49" s="182">
        <f t="shared" si="1"/>
        <v>0</v>
      </c>
      <c r="J49" s="183">
        <f t="shared" si="2"/>
        <v>0</v>
      </c>
      <c r="K49" s="181">
        <v>2.85</v>
      </c>
      <c r="L49" s="185">
        <f t="shared" si="3"/>
        <v>0</v>
      </c>
      <c r="M49" s="186">
        <f t="shared" si="4"/>
        <v>301.175745</v>
      </c>
      <c r="N49" s="187">
        <f t="shared" si="5"/>
        <v>2.85</v>
      </c>
      <c r="O49" s="187">
        <f t="shared" si="6"/>
        <v>5700</v>
      </c>
      <c r="P49" s="188">
        <f t="shared" si="7"/>
        <v>602351.49</v>
      </c>
      <c r="R49" s="174" t="s">
        <v>2332</v>
      </c>
    </row>
    <row r="50">
      <c r="A50" s="191">
        <v>45581.0</v>
      </c>
      <c r="B50" s="192">
        <v>45582.0</v>
      </c>
      <c r="C50" s="193">
        <f>VLOOKUP(B:B,'Курс валют'!A:D,4,0)</f>
        <v>106.0844</v>
      </c>
      <c r="D50" s="157">
        <v>749.0</v>
      </c>
      <c r="E50" s="211" t="s">
        <v>67</v>
      </c>
      <c r="F50" s="194">
        <v>900.0</v>
      </c>
      <c r="G50" s="194">
        <v>934.17</v>
      </c>
      <c r="H50" s="196">
        <v>26.0</v>
      </c>
      <c r="I50" s="194">
        <f t="shared" si="1"/>
        <v>34.17</v>
      </c>
      <c r="J50" s="197">
        <f t="shared" si="2"/>
        <v>3.796666667</v>
      </c>
      <c r="K50" s="196">
        <v>2.26</v>
      </c>
      <c r="L50" s="198">
        <f t="shared" si="3"/>
        <v>2.888888889</v>
      </c>
      <c r="M50" s="186">
        <f t="shared" si="4"/>
        <v>230.4341762</v>
      </c>
      <c r="N50" s="199">
        <f t="shared" si="5"/>
        <v>2.172177778</v>
      </c>
      <c r="O50" s="187">
        <f t="shared" si="6"/>
        <v>1954.96</v>
      </c>
      <c r="P50" s="188">
        <f t="shared" si="7"/>
        <v>207390.7586</v>
      </c>
      <c r="R50" s="175"/>
    </row>
    <row r="51">
      <c r="A51" s="189">
        <v>45581.0</v>
      </c>
      <c r="B51" s="68">
        <v>45582.0</v>
      </c>
      <c r="C51" s="178">
        <f>VLOOKUP(B:B,'Курс валют'!A:D,4,0)</f>
        <v>106.0844</v>
      </c>
      <c r="D51" s="157">
        <v>750.0</v>
      </c>
      <c r="E51" s="210" t="s">
        <v>1567</v>
      </c>
      <c r="F51" s="182">
        <v>6600.0</v>
      </c>
      <c r="G51" s="182">
        <v>6618.0</v>
      </c>
      <c r="H51" s="181">
        <v>2743.0</v>
      </c>
      <c r="I51" s="182">
        <f t="shared" si="1"/>
        <v>18</v>
      </c>
      <c r="J51" s="183">
        <f t="shared" si="2"/>
        <v>0.2727272727</v>
      </c>
      <c r="K51" s="181">
        <v>3.85</v>
      </c>
      <c r="L51" s="185">
        <f t="shared" si="3"/>
        <v>41.56060606</v>
      </c>
      <c r="M51" s="186">
        <f t="shared" si="4"/>
        <v>274.3934085</v>
      </c>
      <c r="N51" s="187">
        <f t="shared" si="5"/>
        <v>2.586557576</v>
      </c>
      <c r="O51" s="187">
        <f t="shared" si="6"/>
        <v>17071.28</v>
      </c>
      <c r="P51" s="188">
        <f t="shared" si="7"/>
        <v>1810996.496</v>
      </c>
      <c r="R51" s="175"/>
    </row>
    <row r="52">
      <c r="A52" s="189">
        <v>45581.0</v>
      </c>
      <c r="B52" s="68">
        <v>45582.0</v>
      </c>
      <c r="C52" s="178">
        <f>VLOOKUP(B:B,'Курс валют'!A:D,4,0)</f>
        <v>106.0844</v>
      </c>
      <c r="D52" s="182">
        <v>751.0</v>
      </c>
      <c r="E52" s="210" t="s">
        <v>63</v>
      </c>
      <c r="F52" s="182">
        <v>900.0</v>
      </c>
      <c r="G52" s="182">
        <v>937.0</v>
      </c>
      <c r="H52" s="181">
        <v>370.0</v>
      </c>
      <c r="I52" s="182">
        <f t="shared" si="1"/>
        <v>37</v>
      </c>
      <c r="J52" s="183">
        <f t="shared" si="2"/>
        <v>4.111111111</v>
      </c>
      <c r="K52" s="181">
        <v>3.41</v>
      </c>
      <c r="L52" s="185">
        <f t="shared" si="3"/>
        <v>41.11111111</v>
      </c>
      <c r="M52" s="186">
        <f t="shared" si="4"/>
        <v>229.1658783</v>
      </c>
      <c r="N52" s="187">
        <f t="shared" si="5"/>
        <v>2.160222222</v>
      </c>
      <c r="O52" s="187">
        <f t="shared" si="6"/>
        <v>1944.2</v>
      </c>
      <c r="P52" s="188">
        <f t="shared" si="7"/>
        <v>206249.2905</v>
      </c>
      <c r="R52" s="171"/>
    </row>
    <row r="53">
      <c r="A53" s="189">
        <v>45582.0</v>
      </c>
      <c r="B53" s="68">
        <v>45583.0</v>
      </c>
      <c r="C53" s="178">
        <f>VLOOKUP(B:B,'Курс валют'!A:D,4,0)</f>
        <v>105.756</v>
      </c>
      <c r="D53" s="182">
        <v>752.0</v>
      </c>
      <c r="E53" s="212" t="s">
        <v>18</v>
      </c>
      <c r="F53" s="182">
        <v>8800.0</v>
      </c>
      <c r="G53" s="182">
        <v>8814.0</v>
      </c>
      <c r="H53" s="181">
        <v>4019.0</v>
      </c>
      <c r="I53" s="182">
        <f t="shared" si="1"/>
        <v>14</v>
      </c>
      <c r="J53" s="183">
        <f t="shared" si="2"/>
        <v>0.1590909091</v>
      </c>
      <c r="K53" s="181">
        <v>4.02</v>
      </c>
      <c r="L53" s="185">
        <f t="shared" si="3"/>
        <v>45.67045455</v>
      </c>
      <c r="M53" s="186">
        <f t="shared" si="4"/>
        <v>278.3094124</v>
      </c>
      <c r="N53" s="187">
        <f t="shared" si="5"/>
        <v>2.631618182</v>
      </c>
      <c r="O53" s="187">
        <f t="shared" si="6"/>
        <v>23158.24</v>
      </c>
      <c r="P53" s="188">
        <f t="shared" si="7"/>
        <v>2449122.829</v>
      </c>
      <c r="R53" s="171"/>
    </row>
    <row r="54">
      <c r="A54" s="189">
        <v>45582.0</v>
      </c>
      <c r="B54" s="68">
        <v>45583.0</v>
      </c>
      <c r="C54" s="178">
        <f>VLOOKUP(B:B,'Курс валют'!A:D,4,0)</f>
        <v>105.756</v>
      </c>
      <c r="D54" s="182">
        <v>753.0</v>
      </c>
      <c r="E54" s="210" t="s">
        <v>63</v>
      </c>
      <c r="F54" s="182">
        <v>900.0</v>
      </c>
      <c r="G54" s="182">
        <v>937.0</v>
      </c>
      <c r="H54" s="181">
        <v>367.0</v>
      </c>
      <c r="I54" s="182">
        <f t="shared" si="1"/>
        <v>37</v>
      </c>
      <c r="J54" s="183">
        <f t="shared" si="2"/>
        <v>4.111111111</v>
      </c>
      <c r="K54" s="181">
        <v>3.4</v>
      </c>
      <c r="L54" s="185">
        <f t="shared" si="3"/>
        <v>40.77777778</v>
      </c>
      <c r="M54" s="186">
        <f t="shared" si="4"/>
        <v>228.4705621</v>
      </c>
      <c r="N54" s="187">
        <f t="shared" si="5"/>
        <v>2.160355556</v>
      </c>
      <c r="O54" s="187">
        <f t="shared" si="6"/>
        <v>1944.32</v>
      </c>
      <c r="P54" s="188">
        <f t="shared" si="7"/>
        <v>205623.5059</v>
      </c>
      <c r="R54" s="171"/>
    </row>
    <row r="55">
      <c r="A55" s="189">
        <v>45583.0</v>
      </c>
      <c r="B55" s="68">
        <v>45586.0</v>
      </c>
      <c r="C55" s="178">
        <f>VLOOKUP(B:B,'Курс валют'!A:D,4,0)</f>
        <v>104.8565</v>
      </c>
      <c r="D55" s="182">
        <v>754.0</v>
      </c>
      <c r="E55" s="213" t="s">
        <v>18</v>
      </c>
      <c r="F55" s="182">
        <v>6600.0</v>
      </c>
      <c r="G55" s="182">
        <v>6614.0</v>
      </c>
      <c r="H55" s="181">
        <v>3019.0</v>
      </c>
      <c r="I55" s="182">
        <f t="shared" si="1"/>
        <v>14</v>
      </c>
      <c r="J55" s="183">
        <f t="shared" si="2"/>
        <v>0.2121212121</v>
      </c>
      <c r="K55" s="181">
        <v>4.23</v>
      </c>
      <c r="L55" s="185">
        <f t="shared" si="3"/>
        <v>45.74242424</v>
      </c>
      <c r="M55" s="186">
        <f t="shared" si="4"/>
        <v>297.7327236</v>
      </c>
      <c r="N55" s="187">
        <f t="shared" si="5"/>
        <v>2.839430303</v>
      </c>
      <c r="O55" s="187">
        <f t="shared" si="6"/>
        <v>18740.24</v>
      </c>
      <c r="P55" s="188">
        <f t="shared" si="7"/>
        <v>1965035.976</v>
      </c>
      <c r="R55" s="171"/>
    </row>
    <row r="56">
      <c r="A56" s="189">
        <v>45583.0</v>
      </c>
      <c r="B56" s="68">
        <v>45586.0</v>
      </c>
      <c r="C56" s="178">
        <f>VLOOKUP(B:B,'Курс валют'!A:D,4,0)</f>
        <v>104.8565</v>
      </c>
      <c r="D56" s="182">
        <v>755.0</v>
      </c>
      <c r="E56" s="212" t="s">
        <v>63</v>
      </c>
      <c r="F56" s="182">
        <v>900.0</v>
      </c>
      <c r="G56" s="182">
        <v>940.0</v>
      </c>
      <c r="H56" s="181">
        <v>370.0</v>
      </c>
      <c r="I56" s="182">
        <f t="shared" si="1"/>
        <v>40</v>
      </c>
      <c r="J56" s="183">
        <f t="shared" si="2"/>
        <v>4.444444444</v>
      </c>
      <c r="K56" s="181">
        <v>3.41</v>
      </c>
      <c r="L56" s="185">
        <f t="shared" si="3"/>
        <v>41.11111111</v>
      </c>
      <c r="M56" s="186">
        <f t="shared" si="4"/>
        <v>226.5133414</v>
      </c>
      <c r="N56" s="187">
        <f t="shared" si="5"/>
        <v>2.160222222</v>
      </c>
      <c r="O56" s="187">
        <f t="shared" si="6"/>
        <v>1944.2</v>
      </c>
      <c r="P56" s="188">
        <f t="shared" si="7"/>
        <v>203862.0073</v>
      </c>
      <c r="R56" s="171"/>
    </row>
    <row r="57">
      <c r="A57" s="189">
        <v>45583.0</v>
      </c>
      <c r="B57" s="68">
        <v>45586.0</v>
      </c>
      <c r="C57" s="178">
        <f>VLOOKUP(B:B,'Курс валют'!A:D,4,0)</f>
        <v>104.8565</v>
      </c>
      <c r="D57" s="182">
        <v>756.0</v>
      </c>
      <c r="E57" s="210" t="s">
        <v>53</v>
      </c>
      <c r="F57" s="182">
        <v>6400.0</v>
      </c>
      <c r="G57" s="182">
        <v>6424.1</v>
      </c>
      <c r="H57" s="181">
        <v>1293.0</v>
      </c>
      <c r="I57" s="182">
        <f t="shared" si="1"/>
        <v>24.1</v>
      </c>
      <c r="J57" s="183">
        <f t="shared" si="2"/>
        <v>0.3765625</v>
      </c>
      <c r="K57" s="181">
        <v>2.77</v>
      </c>
      <c r="L57" s="185">
        <f t="shared" si="3"/>
        <v>20.203125</v>
      </c>
      <c r="M57" s="186">
        <f t="shared" si="4"/>
        <v>226.0522641</v>
      </c>
      <c r="N57" s="187">
        <f t="shared" si="5"/>
        <v>2.155825</v>
      </c>
      <c r="O57" s="187">
        <f t="shared" si="6"/>
        <v>13797.28</v>
      </c>
      <c r="P57" s="188">
        <f t="shared" si="7"/>
        <v>1446734.49</v>
      </c>
      <c r="R57" s="172"/>
    </row>
    <row r="58">
      <c r="A58" s="189">
        <v>45583.0</v>
      </c>
      <c r="B58" s="68">
        <v>45586.0</v>
      </c>
      <c r="C58" s="178">
        <f>VLOOKUP(B:B,'Курс валют'!A:D,4,0)</f>
        <v>104.8565</v>
      </c>
      <c r="D58" s="182">
        <v>757.0</v>
      </c>
      <c r="E58" s="210" t="s">
        <v>53</v>
      </c>
      <c r="F58" s="182">
        <v>8800.0</v>
      </c>
      <c r="G58" s="182">
        <v>8845.6</v>
      </c>
      <c r="H58" s="181">
        <v>1777.0</v>
      </c>
      <c r="I58" s="182">
        <f t="shared" si="1"/>
        <v>45.6</v>
      </c>
      <c r="J58" s="183">
        <f t="shared" si="2"/>
        <v>0.5181818182</v>
      </c>
      <c r="K58" s="181">
        <v>2.77</v>
      </c>
      <c r="L58" s="185">
        <f t="shared" si="3"/>
        <v>20.19318182</v>
      </c>
      <c r="M58" s="186">
        <f t="shared" si="4"/>
        <v>226.0839594</v>
      </c>
      <c r="N58" s="187">
        <f t="shared" si="5"/>
        <v>2.156127273</v>
      </c>
      <c r="O58" s="187">
        <f t="shared" si="6"/>
        <v>18973.92</v>
      </c>
      <c r="P58" s="188">
        <f t="shared" si="7"/>
        <v>1989538.842</v>
      </c>
      <c r="R58" s="171"/>
    </row>
    <row r="59">
      <c r="A59" s="189">
        <v>45586.0</v>
      </c>
      <c r="B59" s="68">
        <v>45587.0</v>
      </c>
      <c r="C59" s="178">
        <f>VLOOKUP(B:B,'Курс валют'!A:D,4,0)</f>
        <v>104.4016</v>
      </c>
      <c r="D59" s="182">
        <v>759.0</v>
      </c>
      <c r="E59" s="210" t="s">
        <v>2348</v>
      </c>
      <c r="F59" s="182">
        <v>1600.0</v>
      </c>
      <c r="G59" s="182">
        <v>1641.5</v>
      </c>
      <c r="H59" s="181">
        <v>0.0</v>
      </c>
      <c r="I59" s="182">
        <f t="shared" si="1"/>
        <v>41.5</v>
      </c>
      <c r="J59" s="183">
        <f t="shared" si="2"/>
        <v>2.59375</v>
      </c>
      <c r="K59" s="181">
        <v>2.6</v>
      </c>
      <c r="L59" s="185">
        <f t="shared" si="3"/>
        <v>0</v>
      </c>
      <c r="M59" s="186">
        <f t="shared" si="4"/>
        <v>271.44416</v>
      </c>
      <c r="N59" s="187">
        <f t="shared" si="5"/>
        <v>2.6</v>
      </c>
      <c r="O59" s="187">
        <f t="shared" si="6"/>
        <v>4160</v>
      </c>
      <c r="P59" s="188">
        <f t="shared" si="7"/>
        <v>434310.656</v>
      </c>
      <c r="R59" s="172" t="s">
        <v>2342</v>
      </c>
    </row>
    <row r="60">
      <c r="A60" s="214">
        <v>45587.0</v>
      </c>
      <c r="B60" s="68">
        <v>45588.0</v>
      </c>
      <c r="C60" s="178">
        <v>104.866</v>
      </c>
      <c r="D60" s="182">
        <v>760.0</v>
      </c>
      <c r="E60" s="210" t="s">
        <v>2348</v>
      </c>
      <c r="F60" s="182">
        <v>1600.0</v>
      </c>
      <c r="G60" s="182">
        <v>1637.5</v>
      </c>
      <c r="H60" s="181">
        <v>0.0</v>
      </c>
      <c r="I60" s="182">
        <f t="shared" si="1"/>
        <v>37.5</v>
      </c>
      <c r="J60" s="183">
        <f t="shared" si="2"/>
        <v>2.34375</v>
      </c>
      <c r="K60" s="181">
        <v>2.6</v>
      </c>
      <c r="L60" s="185">
        <f t="shared" si="3"/>
        <v>0</v>
      </c>
      <c r="M60" s="186">
        <f t="shared" si="4"/>
        <v>272.6516</v>
      </c>
      <c r="N60" s="187">
        <f t="shared" si="5"/>
        <v>2.6</v>
      </c>
      <c r="O60" s="187">
        <f t="shared" si="6"/>
        <v>4160</v>
      </c>
      <c r="P60" s="188">
        <f t="shared" si="7"/>
        <v>436242.56</v>
      </c>
      <c r="R60" s="172" t="s">
        <v>2342</v>
      </c>
    </row>
    <row r="61">
      <c r="A61" s="214">
        <v>45588.0</v>
      </c>
      <c r="B61" s="68">
        <v>45589.0</v>
      </c>
      <c r="C61" s="178">
        <v>104.3815</v>
      </c>
      <c r="D61" s="182">
        <v>762.0</v>
      </c>
      <c r="E61" s="213" t="s">
        <v>18</v>
      </c>
      <c r="F61" s="182">
        <v>4400.0</v>
      </c>
      <c r="G61" s="182">
        <v>4417.0</v>
      </c>
      <c r="H61" s="181">
        <v>2017.0</v>
      </c>
      <c r="I61" s="182">
        <f t="shared" si="1"/>
        <v>17</v>
      </c>
      <c r="J61" s="183">
        <f t="shared" si="2"/>
        <v>0.3863636364</v>
      </c>
      <c r="K61" s="181">
        <v>4.44</v>
      </c>
      <c r="L61" s="185">
        <f t="shared" si="3"/>
        <v>45.84090909</v>
      </c>
      <c r="M61" s="186">
        <f t="shared" si="4"/>
        <v>317.9915973</v>
      </c>
      <c r="N61" s="187">
        <f t="shared" si="5"/>
        <v>3.046436364</v>
      </c>
      <c r="O61" s="187">
        <f t="shared" si="6"/>
        <v>13404.32</v>
      </c>
      <c r="P61" s="188">
        <f t="shared" si="7"/>
        <v>1399163.028</v>
      </c>
      <c r="R61" s="171"/>
    </row>
    <row r="62">
      <c r="A62" s="189">
        <v>45588.0</v>
      </c>
      <c r="B62" s="68">
        <v>45589.0</v>
      </c>
      <c r="C62" s="178">
        <v>104.3815</v>
      </c>
      <c r="D62" s="182">
        <v>763.0</v>
      </c>
      <c r="E62" s="210" t="s">
        <v>2349</v>
      </c>
      <c r="F62" s="182">
        <v>940.0</v>
      </c>
      <c r="G62" s="182">
        <v>948.029</v>
      </c>
      <c r="H62" s="181">
        <v>0.0</v>
      </c>
      <c r="I62" s="182">
        <f t="shared" si="1"/>
        <v>8.029</v>
      </c>
      <c r="J62" s="183">
        <f t="shared" si="2"/>
        <v>0.8541489362</v>
      </c>
      <c r="K62" s="181">
        <v>2.4</v>
      </c>
      <c r="L62" s="185">
        <f t="shared" si="3"/>
        <v>0</v>
      </c>
      <c r="M62" s="186">
        <f t="shared" si="4"/>
        <v>250.5156</v>
      </c>
      <c r="N62" s="187">
        <f t="shared" si="5"/>
        <v>2.4</v>
      </c>
      <c r="O62" s="187">
        <f t="shared" si="6"/>
        <v>2256</v>
      </c>
      <c r="P62" s="188">
        <f t="shared" si="7"/>
        <v>235484.664</v>
      </c>
      <c r="R62" s="172" t="s">
        <v>2350</v>
      </c>
    </row>
    <row r="63">
      <c r="A63" s="215">
        <v>45589.0</v>
      </c>
      <c r="B63" s="68">
        <v>45590.0</v>
      </c>
      <c r="C63" s="178">
        <v>104.5139</v>
      </c>
      <c r="D63" s="182">
        <v>765.0</v>
      </c>
      <c r="E63" s="210" t="s">
        <v>18</v>
      </c>
      <c r="F63" s="182">
        <v>8800.0</v>
      </c>
      <c r="G63" s="182">
        <v>8815.02</v>
      </c>
      <c r="H63" s="181">
        <v>4020.0</v>
      </c>
      <c r="I63" s="182">
        <f t="shared" si="1"/>
        <v>15.02</v>
      </c>
      <c r="J63" s="183">
        <f t="shared" si="2"/>
        <v>0.1706818182</v>
      </c>
      <c r="K63" s="181">
        <v>4.07</v>
      </c>
      <c r="L63" s="185">
        <f t="shared" si="3"/>
        <v>45.68181818</v>
      </c>
      <c r="M63" s="186">
        <f t="shared" si="4"/>
        <v>280.2302697</v>
      </c>
      <c r="N63" s="187">
        <f t="shared" si="5"/>
        <v>2.681272727</v>
      </c>
      <c r="O63" s="187">
        <f t="shared" si="6"/>
        <v>23595.2</v>
      </c>
      <c r="P63" s="188">
        <f t="shared" si="7"/>
        <v>2466026.373</v>
      </c>
      <c r="R63" s="171"/>
    </row>
    <row r="64">
      <c r="A64" s="215">
        <v>45590.0</v>
      </c>
      <c r="B64" s="68">
        <v>45593.0</v>
      </c>
      <c r="C64" s="178">
        <v>104.8094</v>
      </c>
      <c r="D64" s="182">
        <v>759.0</v>
      </c>
      <c r="E64" s="210" t="s">
        <v>2290</v>
      </c>
      <c r="F64" s="182">
        <v>1000.0</v>
      </c>
      <c r="G64" s="182">
        <v>1046.0</v>
      </c>
      <c r="H64" s="181">
        <v>0.0</v>
      </c>
      <c r="I64" s="182">
        <f t="shared" si="1"/>
        <v>46</v>
      </c>
      <c r="J64" s="183">
        <f t="shared" si="2"/>
        <v>4.6</v>
      </c>
      <c r="K64" s="181">
        <v>3.19</v>
      </c>
      <c r="L64" s="185">
        <f t="shared" si="3"/>
        <v>0</v>
      </c>
      <c r="M64" s="186">
        <f t="shared" si="4"/>
        <v>334.341986</v>
      </c>
      <c r="N64" s="187">
        <f t="shared" si="5"/>
        <v>3.19</v>
      </c>
      <c r="O64" s="187">
        <f t="shared" si="6"/>
        <v>3190</v>
      </c>
      <c r="P64" s="188">
        <f t="shared" si="7"/>
        <v>334341.986</v>
      </c>
      <c r="R64" s="171"/>
    </row>
    <row r="65">
      <c r="A65" s="215">
        <v>45590.0</v>
      </c>
      <c r="B65" s="68">
        <v>45593.0</v>
      </c>
      <c r="C65" s="178">
        <v>104.8094</v>
      </c>
      <c r="D65" s="182">
        <v>767.0</v>
      </c>
      <c r="E65" s="210" t="s">
        <v>18</v>
      </c>
      <c r="F65" s="182">
        <v>6600.0</v>
      </c>
      <c r="G65" s="182">
        <v>6615.0</v>
      </c>
      <c r="H65" s="181">
        <v>3020.0</v>
      </c>
      <c r="I65" s="182">
        <f t="shared" si="1"/>
        <v>15</v>
      </c>
      <c r="J65" s="183">
        <f t="shared" si="2"/>
        <v>0.2272727273</v>
      </c>
      <c r="K65" s="181">
        <v>3.98</v>
      </c>
      <c r="L65" s="185">
        <f t="shared" si="3"/>
        <v>45.75757576</v>
      </c>
      <c r="M65" s="186">
        <f t="shared" si="4"/>
        <v>271.3483606</v>
      </c>
      <c r="N65" s="187">
        <f t="shared" si="5"/>
        <v>2.588969697</v>
      </c>
      <c r="O65" s="187">
        <f t="shared" si="6"/>
        <v>17087.2</v>
      </c>
      <c r="P65" s="188">
        <f t="shared" si="7"/>
        <v>1790899.18</v>
      </c>
      <c r="R65" s="172"/>
    </row>
    <row r="66">
      <c r="A66" s="215">
        <v>45590.0</v>
      </c>
      <c r="B66" s="68">
        <v>45593.0</v>
      </c>
      <c r="C66" s="178">
        <v>104.8094</v>
      </c>
      <c r="D66" s="182">
        <v>768.0</v>
      </c>
      <c r="E66" s="210" t="s">
        <v>2351</v>
      </c>
      <c r="F66" s="182">
        <v>880.0</v>
      </c>
      <c r="G66" s="182">
        <v>920.0</v>
      </c>
      <c r="H66" s="181">
        <v>413.6</v>
      </c>
      <c r="I66" s="182">
        <f t="shared" si="1"/>
        <v>40</v>
      </c>
      <c r="J66" s="183">
        <f t="shared" si="2"/>
        <v>4.545454545</v>
      </c>
      <c r="K66" s="181">
        <v>4.23</v>
      </c>
      <c r="L66" s="185">
        <f t="shared" si="3"/>
        <v>47</v>
      </c>
      <c r="M66" s="186">
        <f t="shared" si="4"/>
        <v>293.5920913</v>
      </c>
      <c r="N66" s="187">
        <f t="shared" si="5"/>
        <v>2.8012</v>
      </c>
      <c r="O66" s="187">
        <f t="shared" si="6"/>
        <v>2465.056</v>
      </c>
      <c r="P66" s="188">
        <f t="shared" si="7"/>
        <v>258361.0403</v>
      </c>
      <c r="R66" s="172" t="s">
        <v>2352</v>
      </c>
    </row>
    <row r="67">
      <c r="A67" s="215">
        <v>45590.0</v>
      </c>
      <c r="B67" s="68">
        <v>45593.0</v>
      </c>
      <c r="C67" s="178">
        <v>104.8094</v>
      </c>
      <c r="D67" s="182">
        <v>769.0</v>
      </c>
      <c r="E67" s="210" t="s">
        <v>18</v>
      </c>
      <c r="F67" s="182">
        <v>8800.0</v>
      </c>
      <c r="G67" s="182">
        <v>8810.0</v>
      </c>
      <c r="H67" s="181">
        <v>4020.0</v>
      </c>
      <c r="I67" s="182">
        <f t="shared" si="1"/>
        <v>10</v>
      </c>
      <c r="J67" s="183">
        <f t="shared" si="2"/>
        <v>0.1136363636</v>
      </c>
      <c r="K67" s="181">
        <v>4.03</v>
      </c>
      <c r="L67" s="185">
        <f t="shared" si="3"/>
        <v>45.68181818</v>
      </c>
      <c r="M67" s="186">
        <f t="shared" si="4"/>
        <v>276.8302098</v>
      </c>
      <c r="N67" s="187">
        <f t="shared" si="5"/>
        <v>2.641272727</v>
      </c>
      <c r="O67" s="187">
        <f t="shared" si="6"/>
        <v>23243.2</v>
      </c>
      <c r="P67" s="188">
        <f t="shared" si="7"/>
        <v>2436105.846</v>
      </c>
      <c r="R67" s="171"/>
    </row>
    <row r="68">
      <c r="A68" s="215">
        <v>45590.0</v>
      </c>
      <c r="B68" s="68">
        <v>45593.0</v>
      </c>
      <c r="C68" s="178">
        <v>104.8094</v>
      </c>
      <c r="D68" s="182">
        <v>770.0</v>
      </c>
      <c r="E68" s="59" t="s">
        <v>68</v>
      </c>
      <c r="F68" s="182">
        <v>1600.0</v>
      </c>
      <c r="G68" s="182">
        <v>1648.0</v>
      </c>
      <c r="H68" s="181">
        <v>0.0</v>
      </c>
      <c r="I68" s="182">
        <f t="shared" si="1"/>
        <v>48</v>
      </c>
      <c r="J68" s="183">
        <f t="shared" si="2"/>
        <v>3</v>
      </c>
      <c r="K68" s="181">
        <v>3.11</v>
      </c>
      <c r="L68" s="185">
        <f t="shared" si="3"/>
        <v>0</v>
      </c>
      <c r="M68" s="186">
        <f t="shared" si="4"/>
        <v>325.957234</v>
      </c>
      <c r="N68" s="187">
        <f t="shared" si="5"/>
        <v>3.11</v>
      </c>
      <c r="O68" s="187">
        <f t="shared" si="6"/>
        <v>4976</v>
      </c>
      <c r="P68" s="188">
        <f t="shared" si="7"/>
        <v>521531.5744</v>
      </c>
      <c r="R68" s="172" t="s">
        <v>2353</v>
      </c>
    </row>
    <row r="69">
      <c r="A69" s="215">
        <v>45593.0</v>
      </c>
      <c r="B69" s="68">
        <v>45594.0</v>
      </c>
      <c r="C69" s="178">
        <v>105.2229</v>
      </c>
      <c r="D69" s="182">
        <v>761.0</v>
      </c>
      <c r="E69" s="190" t="s">
        <v>2290</v>
      </c>
      <c r="F69" s="182">
        <v>1000.0</v>
      </c>
      <c r="G69" s="182">
        <v>1043.0</v>
      </c>
      <c r="H69" s="181">
        <v>0.0</v>
      </c>
      <c r="I69" s="182">
        <f t="shared" si="1"/>
        <v>43</v>
      </c>
      <c r="J69" s="183">
        <f t="shared" si="2"/>
        <v>4.3</v>
      </c>
      <c r="K69" s="181">
        <v>3.19</v>
      </c>
      <c r="L69" s="185">
        <f t="shared" si="3"/>
        <v>0</v>
      </c>
      <c r="M69" s="186">
        <f t="shared" si="4"/>
        <v>335.661051</v>
      </c>
      <c r="N69" s="187">
        <f t="shared" si="5"/>
        <v>3.19</v>
      </c>
      <c r="O69" s="187">
        <f t="shared" si="6"/>
        <v>3190</v>
      </c>
      <c r="P69" s="188">
        <f t="shared" si="7"/>
        <v>335661.051</v>
      </c>
      <c r="R69" s="171"/>
    </row>
    <row r="70">
      <c r="A70" s="216">
        <v>45593.0</v>
      </c>
      <c r="B70" s="68">
        <v>45594.0</v>
      </c>
      <c r="C70" s="178">
        <v>105.2229</v>
      </c>
      <c r="D70" s="182">
        <v>771.0</v>
      </c>
      <c r="E70" s="217" t="s">
        <v>18</v>
      </c>
      <c r="F70" s="182">
        <v>8800.0</v>
      </c>
      <c r="G70" s="182">
        <v>8812.0</v>
      </c>
      <c r="H70" s="181">
        <v>4017.0</v>
      </c>
      <c r="I70" s="182">
        <f t="shared" si="1"/>
        <v>12</v>
      </c>
      <c r="J70" s="183">
        <f t="shared" si="2"/>
        <v>0.1363636364</v>
      </c>
      <c r="K70" s="181">
        <v>3.94</v>
      </c>
      <c r="L70" s="185">
        <f t="shared" si="3"/>
        <v>45.64772727</v>
      </c>
      <c r="M70" s="186">
        <f t="shared" si="4"/>
        <v>268.5613642</v>
      </c>
      <c r="N70" s="187">
        <f t="shared" si="5"/>
        <v>2.552309091</v>
      </c>
      <c r="O70" s="187">
        <f t="shared" si="6"/>
        <v>22460.32</v>
      </c>
      <c r="P70" s="188">
        <f t="shared" si="7"/>
        <v>2363340.005</v>
      </c>
      <c r="R70" s="171"/>
    </row>
    <row r="71">
      <c r="A71" s="216">
        <v>45594.0</v>
      </c>
      <c r="B71" s="68">
        <v>45595.0</v>
      </c>
      <c r="C71" s="178">
        <v>105.4375</v>
      </c>
      <c r="D71" s="182">
        <v>772.0</v>
      </c>
      <c r="E71" s="59" t="s">
        <v>69</v>
      </c>
      <c r="F71" s="182">
        <v>16000.0</v>
      </c>
      <c r="G71" s="182">
        <v>16034.24</v>
      </c>
      <c r="H71" s="181">
        <v>1520.0</v>
      </c>
      <c r="I71" s="182">
        <f t="shared" si="1"/>
        <v>34.24</v>
      </c>
      <c r="J71" s="183">
        <f t="shared" si="2"/>
        <v>0.214</v>
      </c>
      <c r="K71" s="181">
        <v>2.2</v>
      </c>
      <c r="L71" s="185">
        <f t="shared" si="3"/>
        <v>9.5</v>
      </c>
      <c r="M71" s="186">
        <f t="shared" si="4"/>
        <v>201.51215</v>
      </c>
      <c r="N71" s="187">
        <f t="shared" si="5"/>
        <v>1.9112</v>
      </c>
      <c r="O71" s="187">
        <f t="shared" si="6"/>
        <v>30579.2</v>
      </c>
      <c r="P71" s="188">
        <f t="shared" si="7"/>
        <v>3224194.4</v>
      </c>
      <c r="R71" s="171"/>
    </row>
    <row r="72">
      <c r="A72" s="216">
        <v>45594.0</v>
      </c>
      <c r="B72" s="68">
        <v>45595.0</v>
      </c>
      <c r="C72" s="178">
        <v>105.4375</v>
      </c>
      <c r="D72" s="182">
        <v>764.0</v>
      </c>
      <c r="E72" s="190" t="s">
        <v>2290</v>
      </c>
      <c r="F72" s="182">
        <v>1000.0</v>
      </c>
      <c r="G72" s="182">
        <v>1045.6</v>
      </c>
      <c r="H72" s="181">
        <v>0.0</v>
      </c>
      <c r="I72" s="182">
        <f t="shared" si="1"/>
        <v>45.6</v>
      </c>
      <c r="J72" s="183">
        <f t="shared" si="2"/>
        <v>4.56</v>
      </c>
      <c r="K72" s="181">
        <v>3.16</v>
      </c>
      <c r="L72" s="185">
        <f t="shared" si="3"/>
        <v>0</v>
      </c>
      <c r="M72" s="186">
        <f t="shared" si="4"/>
        <v>333.1825</v>
      </c>
      <c r="N72" s="187">
        <f t="shared" si="5"/>
        <v>3.16</v>
      </c>
      <c r="O72" s="187">
        <f t="shared" si="6"/>
        <v>3160</v>
      </c>
      <c r="P72" s="188">
        <f t="shared" si="7"/>
        <v>333182.5</v>
      </c>
    </row>
    <row r="73">
      <c r="A73" s="216">
        <v>45595.0</v>
      </c>
      <c r="B73" s="68">
        <v>45596.0</v>
      </c>
      <c r="C73" s="178">
        <v>105.2211</v>
      </c>
      <c r="D73" s="182">
        <v>773.774</v>
      </c>
      <c r="E73" s="190" t="s">
        <v>18</v>
      </c>
      <c r="F73" s="182">
        <v>8800.0</v>
      </c>
      <c r="G73" s="182">
        <v>8839.0</v>
      </c>
      <c r="H73" s="181">
        <v>4020.0</v>
      </c>
      <c r="I73" s="182">
        <f t="shared" si="1"/>
        <v>39</v>
      </c>
      <c r="J73" s="183">
        <f t="shared" si="2"/>
        <v>0.4431818182</v>
      </c>
      <c r="K73" s="181">
        <v>3.94</v>
      </c>
      <c r="L73" s="185">
        <f t="shared" si="3"/>
        <v>45.68181818</v>
      </c>
      <c r="M73" s="186">
        <f t="shared" si="4"/>
        <v>268.4477228</v>
      </c>
      <c r="N73" s="187">
        <f t="shared" si="5"/>
        <v>2.551272727</v>
      </c>
      <c r="O73" s="187">
        <f t="shared" si="6"/>
        <v>22451.2</v>
      </c>
      <c r="P73" s="188">
        <f t="shared" si="7"/>
        <v>2362339.96</v>
      </c>
    </row>
    <row r="74">
      <c r="A74" s="216">
        <v>45595.0</v>
      </c>
      <c r="B74" s="68"/>
      <c r="C74" s="178"/>
      <c r="D74" s="182"/>
      <c r="E74" s="190"/>
      <c r="F74" s="182"/>
      <c r="G74" s="182"/>
      <c r="H74" s="181"/>
      <c r="I74" s="182"/>
      <c r="J74" s="183" t="str">
        <f t="shared" si="2"/>
        <v>#DIV/0!</v>
      </c>
      <c r="K74" s="181">
        <v>4.08</v>
      </c>
      <c r="L74" s="185" t="str">
        <f t="shared" si="3"/>
        <v>#DIV/0!</v>
      </c>
      <c r="M74" s="186" t="str">
        <f t="shared" si="4"/>
        <v>#DIV/0!</v>
      </c>
      <c r="N74" s="187" t="str">
        <f t="shared" si="5"/>
        <v>#DIV/0!</v>
      </c>
      <c r="O74" s="187" t="str">
        <f t="shared" si="6"/>
        <v>#DIV/0!</v>
      </c>
      <c r="P74" s="188" t="str">
        <f t="shared" si="7"/>
        <v>#DIV/0!</v>
      </c>
      <c r="R74" s="42" t="s">
        <v>2354</v>
      </c>
    </row>
    <row r="75">
      <c r="A75" s="218"/>
      <c r="B75" s="68"/>
      <c r="C75" s="178"/>
      <c r="D75" s="219"/>
      <c r="E75" s="219"/>
      <c r="F75" s="219"/>
      <c r="G75" s="219"/>
      <c r="H75" s="220"/>
      <c r="I75" s="182">
        <f t="shared" ref="I75:I81" si="8">G75-F75</f>
        <v>0</v>
      </c>
      <c r="J75" s="183" t="str">
        <f t="shared" si="2"/>
        <v>#DIV/0!</v>
      </c>
      <c r="K75" s="220"/>
      <c r="L75" s="185" t="str">
        <f t="shared" si="3"/>
        <v>#DIV/0!</v>
      </c>
      <c r="M75" s="186" t="str">
        <f t="shared" si="4"/>
        <v>#DIV/0!</v>
      </c>
      <c r="N75" s="187" t="str">
        <f t="shared" si="5"/>
        <v>#DIV/0!</v>
      </c>
      <c r="O75" s="187" t="str">
        <f t="shared" si="6"/>
        <v>#DIV/0!</v>
      </c>
      <c r="P75" s="188" t="str">
        <f t="shared" si="7"/>
        <v>#DIV/0!</v>
      </c>
    </row>
    <row r="76">
      <c r="A76" s="218"/>
      <c r="B76" s="68"/>
      <c r="C76" s="178"/>
      <c r="D76" s="219"/>
      <c r="E76" s="219"/>
      <c r="F76" s="219"/>
      <c r="G76" s="219"/>
      <c r="H76" s="220"/>
      <c r="I76" s="182">
        <f t="shared" si="8"/>
        <v>0</v>
      </c>
      <c r="J76" s="183" t="str">
        <f t="shared" si="2"/>
        <v>#DIV/0!</v>
      </c>
      <c r="K76" s="220"/>
      <c r="L76" s="185" t="str">
        <f t="shared" si="3"/>
        <v>#DIV/0!</v>
      </c>
      <c r="M76" s="186" t="str">
        <f t="shared" si="4"/>
        <v>#DIV/0!</v>
      </c>
      <c r="N76" s="187" t="str">
        <f t="shared" si="5"/>
        <v>#DIV/0!</v>
      </c>
      <c r="O76" s="187" t="str">
        <f t="shared" si="6"/>
        <v>#DIV/0!</v>
      </c>
      <c r="P76" s="188" t="str">
        <f t="shared" si="7"/>
        <v>#DIV/0!</v>
      </c>
    </row>
    <row r="77">
      <c r="A77" s="218"/>
      <c r="B77" s="68"/>
      <c r="C77" s="178"/>
      <c r="D77" s="219"/>
      <c r="E77" s="219"/>
      <c r="F77" s="219"/>
      <c r="G77" s="219"/>
      <c r="H77" s="220"/>
      <c r="I77" s="182">
        <f t="shared" si="8"/>
        <v>0</v>
      </c>
      <c r="J77" s="183" t="str">
        <f t="shared" si="2"/>
        <v>#DIV/0!</v>
      </c>
      <c r="K77" s="220"/>
      <c r="L77" s="185" t="str">
        <f t="shared" si="3"/>
        <v>#DIV/0!</v>
      </c>
      <c r="M77" s="186" t="str">
        <f t="shared" si="4"/>
        <v>#DIV/0!</v>
      </c>
      <c r="N77" s="187" t="str">
        <f t="shared" si="5"/>
        <v>#DIV/0!</v>
      </c>
      <c r="O77" s="187" t="str">
        <f t="shared" si="6"/>
        <v>#DIV/0!</v>
      </c>
      <c r="P77" s="188" t="str">
        <f t="shared" si="7"/>
        <v>#DIV/0!</v>
      </c>
    </row>
    <row r="78">
      <c r="A78" s="218"/>
      <c r="B78" s="68"/>
      <c r="C78" s="178"/>
      <c r="D78" s="219"/>
      <c r="E78" s="219"/>
      <c r="F78" s="219"/>
      <c r="G78" s="219"/>
      <c r="H78" s="220"/>
      <c r="I78" s="182">
        <f t="shared" si="8"/>
        <v>0</v>
      </c>
      <c r="J78" s="183" t="str">
        <f t="shared" si="2"/>
        <v>#DIV/0!</v>
      </c>
      <c r="K78" s="220"/>
      <c r="L78" s="185" t="str">
        <f t="shared" si="3"/>
        <v>#DIV/0!</v>
      </c>
      <c r="M78" s="186" t="str">
        <f t="shared" si="4"/>
        <v>#DIV/0!</v>
      </c>
      <c r="N78" s="187" t="str">
        <f t="shared" si="5"/>
        <v>#DIV/0!</v>
      </c>
      <c r="O78" s="187" t="str">
        <f t="shared" si="6"/>
        <v>#DIV/0!</v>
      </c>
      <c r="P78" s="188" t="str">
        <f t="shared" si="7"/>
        <v>#DIV/0!</v>
      </c>
    </row>
    <row r="79">
      <c r="A79" s="218"/>
      <c r="B79" s="68"/>
      <c r="C79" s="178"/>
      <c r="D79" s="219"/>
      <c r="E79" s="219"/>
      <c r="F79" s="219"/>
      <c r="G79" s="219"/>
      <c r="H79" s="220"/>
      <c r="I79" s="182">
        <f t="shared" si="8"/>
        <v>0</v>
      </c>
      <c r="J79" s="183" t="str">
        <f t="shared" si="2"/>
        <v>#DIV/0!</v>
      </c>
      <c r="K79" s="220"/>
      <c r="L79" s="185" t="str">
        <f t="shared" si="3"/>
        <v>#DIV/0!</v>
      </c>
      <c r="M79" s="186" t="str">
        <f t="shared" si="4"/>
        <v>#DIV/0!</v>
      </c>
      <c r="N79" s="187" t="str">
        <f t="shared" si="5"/>
        <v>#DIV/0!</v>
      </c>
      <c r="O79" s="187" t="str">
        <f t="shared" si="6"/>
        <v>#DIV/0!</v>
      </c>
      <c r="P79" s="188" t="str">
        <f t="shared" si="7"/>
        <v>#DIV/0!</v>
      </c>
    </row>
    <row r="80">
      <c r="A80" s="218"/>
      <c r="B80" s="68"/>
      <c r="C80" s="178"/>
      <c r="D80" s="219"/>
      <c r="E80" s="219"/>
      <c r="F80" s="219"/>
      <c r="G80" s="219"/>
      <c r="H80" s="220"/>
      <c r="I80" s="182">
        <f t="shared" si="8"/>
        <v>0</v>
      </c>
      <c r="J80" s="183" t="str">
        <f t="shared" si="2"/>
        <v>#DIV/0!</v>
      </c>
      <c r="K80" s="220"/>
      <c r="L80" s="185" t="str">
        <f t="shared" si="3"/>
        <v>#DIV/0!</v>
      </c>
      <c r="M80" s="186" t="str">
        <f t="shared" si="4"/>
        <v>#DIV/0!</v>
      </c>
      <c r="N80" s="187" t="str">
        <f t="shared" si="5"/>
        <v>#DIV/0!</v>
      </c>
      <c r="O80" s="187" t="str">
        <f t="shared" si="6"/>
        <v>#DIV/0!</v>
      </c>
      <c r="P80" s="188" t="str">
        <f t="shared" si="7"/>
        <v>#DIV/0!</v>
      </c>
    </row>
    <row r="81">
      <c r="A81" s="218"/>
      <c r="B81" s="68"/>
      <c r="C81" s="178"/>
      <c r="D81" s="219"/>
      <c r="E81" s="219"/>
      <c r="F81" s="219"/>
      <c r="G81" s="219"/>
      <c r="H81" s="220"/>
      <c r="I81" s="182">
        <f t="shared" si="8"/>
        <v>0</v>
      </c>
      <c r="J81" s="183" t="str">
        <f t="shared" si="2"/>
        <v>#DIV/0!</v>
      </c>
      <c r="K81" s="220"/>
      <c r="L81" s="185" t="str">
        <f t="shared" si="3"/>
        <v>#DIV/0!</v>
      </c>
      <c r="M81" s="186" t="str">
        <f t="shared" si="4"/>
        <v>#DIV/0!</v>
      </c>
      <c r="N81" s="187" t="str">
        <f t="shared" si="5"/>
        <v>#DIV/0!</v>
      </c>
      <c r="O81" s="187" t="str">
        <f t="shared" si="6"/>
        <v>#DIV/0!</v>
      </c>
      <c r="P81" s="188" t="str">
        <f t="shared" si="7"/>
        <v>#DIV/0!</v>
      </c>
    </row>
    <row r="82">
      <c r="B82" s="68"/>
      <c r="H82" s="70"/>
      <c r="K82" s="70"/>
      <c r="L82" s="71"/>
      <c r="M82" s="72"/>
      <c r="P82" s="72"/>
    </row>
    <row r="83">
      <c r="B83" s="68"/>
      <c r="H83" s="70"/>
      <c r="K83" s="70"/>
      <c r="L83" s="71"/>
      <c r="M83" s="72"/>
      <c r="P83" s="72"/>
    </row>
    <row r="84">
      <c r="B84" s="68"/>
      <c r="H84" s="70"/>
      <c r="K84" s="70"/>
      <c r="L84" s="71"/>
      <c r="M84" s="72"/>
      <c r="P84" s="72"/>
    </row>
    <row r="85">
      <c r="B85" s="68"/>
      <c r="H85" s="70"/>
      <c r="K85" s="70"/>
      <c r="L85" s="71"/>
      <c r="M85" s="72"/>
      <c r="P85" s="72"/>
    </row>
    <row r="86">
      <c r="B86" s="68"/>
      <c r="H86" s="70"/>
      <c r="K86" s="70"/>
      <c r="L86" s="71"/>
      <c r="M86" s="72"/>
      <c r="P86" s="72"/>
    </row>
    <row r="87">
      <c r="B87" s="68"/>
      <c r="H87" s="70"/>
      <c r="K87" s="70"/>
      <c r="L87" s="71"/>
      <c r="M87" s="72"/>
      <c r="P87" s="72"/>
    </row>
    <row r="88">
      <c r="B88" s="68"/>
      <c r="H88" s="70"/>
      <c r="K88" s="70"/>
      <c r="L88" s="71"/>
      <c r="M88" s="72"/>
      <c r="P88" s="72"/>
    </row>
    <row r="89">
      <c r="B89" s="68"/>
      <c r="H89" s="70"/>
      <c r="K89" s="70"/>
      <c r="L89" s="71"/>
      <c r="M89" s="72"/>
      <c r="P89" s="72"/>
    </row>
    <row r="90">
      <c r="B90" s="68"/>
      <c r="H90" s="70"/>
      <c r="K90" s="70"/>
      <c r="L90" s="71"/>
      <c r="M90" s="72"/>
      <c r="P90" s="72"/>
    </row>
    <row r="91">
      <c r="B91" s="68"/>
      <c r="H91" s="70"/>
      <c r="K91" s="70"/>
      <c r="L91" s="71"/>
      <c r="M91" s="72"/>
      <c r="P91" s="72"/>
    </row>
    <row r="92">
      <c r="B92" s="68"/>
      <c r="H92" s="70"/>
      <c r="K92" s="70"/>
      <c r="L92" s="71"/>
      <c r="M92" s="72"/>
      <c r="P92" s="72"/>
    </row>
    <row r="93">
      <c r="B93" s="68"/>
      <c r="H93" s="70"/>
      <c r="K93" s="70"/>
      <c r="L93" s="71"/>
      <c r="M93" s="72"/>
      <c r="P93" s="72"/>
    </row>
    <row r="94">
      <c r="B94" s="68"/>
      <c r="H94" s="70"/>
      <c r="K94" s="70"/>
      <c r="L94" s="71"/>
      <c r="M94" s="72"/>
      <c r="P94" s="72"/>
    </row>
    <row r="95">
      <c r="B95" s="68"/>
      <c r="H95" s="70"/>
      <c r="K95" s="70"/>
      <c r="L95" s="71"/>
      <c r="M95" s="72"/>
      <c r="P95" s="72"/>
    </row>
    <row r="96">
      <c r="B96" s="68"/>
      <c r="H96" s="70"/>
      <c r="K96" s="70"/>
      <c r="L96" s="71"/>
      <c r="M96" s="72"/>
      <c r="P96" s="72"/>
    </row>
    <row r="97">
      <c r="B97" s="68"/>
      <c r="H97" s="70"/>
      <c r="K97" s="70"/>
      <c r="L97" s="71"/>
      <c r="M97" s="72"/>
      <c r="P97" s="72"/>
    </row>
    <row r="98">
      <c r="B98" s="68"/>
      <c r="H98" s="70"/>
      <c r="K98" s="70"/>
      <c r="L98" s="71"/>
      <c r="M98" s="72"/>
      <c r="P98" s="72"/>
    </row>
    <row r="99">
      <c r="B99" s="68"/>
      <c r="H99" s="70"/>
      <c r="K99" s="70"/>
      <c r="L99" s="71"/>
      <c r="M99" s="72"/>
      <c r="P99" s="72"/>
    </row>
    <row r="100">
      <c r="B100" s="68"/>
      <c r="H100" s="70"/>
      <c r="K100" s="70"/>
      <c r="L100" s="71"/>
      <c r="M100" s="72"/>
      <c r="P100" s="72"/>
    </row>
    <row r="101">
      <c r="B101" s="68"/>
      <c r="H101" s="70"/>
      <c r="K101" s="70"/>
      <c r="L101" s="71"/>
      <c r="M101" s="72"/>
      <c r="P101" s="72"/>
    </row>
    <row r="102">
      <c r="B102" s="68"/>
      <c r="H102" s="70"/>
      <c r="K102" s="70"/>
      <c r="L102" s="71"/>
      <c r="M102" s="72"/>
      <c r="P102" s="72"/>
    </row>
    <row r="103">
      <c r="B103" s="68"/>
      <c r="H103" s="70"/>
      <c r="K103" s="70"/>
      <c r="L103" s="71"/>
      <c r="M103" s="72"/>
      <c r="P103" s="72"/>
    </row>
    <row r="104">
      <c r="B104" s="68"/>
      <c r="H104" s="70"/>
      <c r="K104" s="70"/>
      <c r="L104" s="71"/>
      <c r="M104" s="72"/>
      <c r="P104" s="72"/>
    </row>
    <row r="105">
      <c r="B105" s="68"/>
      <c r="H105" s="70"/>
      <c r="K105" s="70"/>
      <c r="L105" s="71"/>
      <c r="M105" s="72"/>
      <c r="P105" s="72"/>
    </row>
    <row r="106">
      <c r="B106" s="68"/>
      <c r="H106" s="70"/>
      <c r="K106" s="70"/>
      <c r="L106" s="71"/>
      <c r="M106" s="72"/>
      <c r="P106" s="72"/>
    </row>
    <row r="107">
      <c r="B107" s="68"/>
      <c r="H107" s="70"/>
      <c r="K107" s="70"/>
      <c r="L107" s="71"/>
      <c r="M107" s="72"/>
      <c r="P107" s="72"/>
    </row>
    <row r="108">
      <c r="B108" s="68"/>
      <c r="H108" s="70"/>
      <c r="K108" s="70"/>
      <c r="L108" s="71"/>
      <c r="M108" s="72"/>
      <c r="P108" s="72"/>
    </row>
    <row r="109">
      <c r="B109" s="68"/>
      <c r="H109" s="70"/>
      <c r="K109" s="70"/>
      <c r="L109" s="71"/>
      <c r="M109" s="72"/>
      <c r="P109" s="72"/>
    </row>
    <row r="110">
      <c r="B110" s="68"/>
      <c r="H110" s="70"/>
      <c r="K110" s="70"/>
      <c r="L110" s="71"/>
      <c r="M110" s="72"/>
      <c r="P110" s="72"/>
    </row>
    <row r="111">
      <c r="B111" s="68"/>
      <c r="H111" s="70"/>
      <c r="K111" s="70"/>
      <c r="L111" s="71"/>
      <c r="M111" s="72"/>
      <c r="P111" s="72"/>
    </row>
    <row r="112">
      <c r="B112" s="68"/>
      <c r="H112" s="70"/>
      <c r="K112" s="70"/>
      <c r="L112" s="71"/>
      <c r="M112" s="72"/>
      <c r="P112" s="72"/>
    </row>
    <row r="113">
      <c r="B113" s="68"/>
      <c r="H113" s="70"/>
      <c r="K113" s="70"/>
      <c r="L113" s="71"/>
      <c r="M113" s="72"/>
      <c r="P113" s="72"/>
    </row>
    <row r="114">
      <c r="B114" s="68"/>
      <c r="H114" s="70"/>
      <c r="K114" s="70"/>
      <c r="L114" s="71"/>
      <c r="M114" s="72"/>
      <c r="P114" s="72"/>
    </row>
    <row r="115">
      <c r="B115" s="68"/>
      <c r="H115" s="70"/>
      <c r="K115" s="70"/>
      <c r="L115" s="71"/>
      <c r="M115" s="72"/>
      <c r="P115" s="72"/>
    </row>
    <row r="116">
      <c r="B116" s="68"/>
      <c r="H116" s="70"/>
      <c r="K116" s="70"/>
      <c r="L116" s="71"/>
      <c r="M116" s="72"/>
      <c r="P116" s="72"/>
    </row>
    <row r="117">
      <c r="B117" s="68"/>
      <c r="H117" s="70"/>
      <c r="K117" s="70"/>
      <c r="L117" s="71"/>
      <c r="M117" s="72"/>
      <c r="P117" s="72"/>
    </row>
    <row r="118">
      <c r="B118" s="68"/>
      <c r="H118" s="70"/>
      <c r="K118" s="70"/>
      <c r="L118" s="71"/>
      <c r="M118" s="72"/>
      <c r="P118" s="72"/>
    </row>
    <row r="119">
      <c r="B119" s="68"/>
      <c r="H119" s="70"/>
      <c r="K119" s="70"/>
      <c r="L119" s="71"/>
      <c r="M119" s="72"/>
      <c r="P119" s="72"/>
    </row>
    <row r="120">
      <c r="B120" s="68"/>
      <c r="H120" s="70"/>
      <c r="K120" s="70"/>
      <c r="L120" s="71"/>
      <c r="M120" s="72"/>
      <c r="P120" s="72"/>
    </row>
    <row r="121">
      <c r="B121" s="68"/>
      <c r="H121" s="70"/>
      <c r="K121" s="70"/>
      <c r="L121" s="71"/>
      <c r="M121" s="72"/>
      <c r="P121" s="72"/>
    </row>
    <row r="122">
      <c r="B122" s="68"/>
      <c r="H122" s="70"/>
      <c r="K122" s="70"/>
      <c r="L122" s="71"/>
      <c r="M122" s="72"/>
      <c r="P122" s="72"/>
    </row>
    <row r="123">
      <c r="B123" s="68"/>
      <c r="H123" s="70"/>
      <c r="K123" s="70"/>
      <c r="L123" s="71"/>
      <c r="M123" s="72"/>
      <c r="P123" s="72"/>
    </row>
    <row r="124">
      <c r="B124" s="68"/>
      <c r="H124" s="70"/>
      <c r="K124" s="70"/>
      <c r="L124" s="71"/>
      <c r="M124" s="72"/>
      <c r="P124" s="72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  <row r="958">
      <c r="B958" s="68"/>
      <c r="H958" s="70"/>
      <c r="K958" s="70"/>
      <c r="L958" s="71"/>
      <c r="M958" s="72"/>
      <c r="P958" s="72"/>
    </row>
  </sheetData>
  <autoFilter ref="$A$1:$P$958"/>
  <drawing r:id="rId4"/>
  <legacyDrawing r:id="rId5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1.5"/>
    <col customWidth="1" min="2" max="2" width="13.0"/>
    <col customWidth="1" min="5" max="5" width="29.5"/>
  </cols>
  <sheetData>
    <row r="1">
      <c r="A1" s="1" t="s">
        <v>1991</v>
      </c>
      <c r="B1" s="1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2337</v>
      </c>
      <c r="I1" s="4" t="s">
        <v>8</v>
      </c>
      <c r="J1" s="4" t="s">
        <v>9</v>
      </c>
      <c r="K1" s="6" t="s">
        <v>10</v>
      </c>
      <c r="L1" s="7" t="s">
        <v>1908</v>
      </c>
      <c r="M1" s="8" t="s">
        <v>12</v>
      </c>
      <c r="N1" s="9" t="s">
        <v>13</v>
      </c>
      <c r="O1" s="9" t="s">
        <v>14</v>
      </c>
      <c r="P1" s="8" t="s">
        <v>15</v>
      </c>
      <c r="R1" s="9" t="s">
        <v>16</v>
      </c>
      <c r="S1" s="10"/>
      <c r="T1" s="10"/>
      <c r="U1" s="10"/>
      <c r="V1" s="10"/>
      <c r="W1" s="10"/>
      <c r="X1" s="10"/>
      <c r="Y1" s="10"/>
      <c r="Z1" s="10"/>
      <c r="AA1" s="10"/>
    </row>
    <row r="2">
      <c r="A2" s="68">
        <v>45537.0</v>
      </c>
      <c r="B2" s="68">
        <v>45538.0</v>
      </c>
      <c r="C2" s="178">
        <f>VLOOKUP(B:B,'Курс валют'!A:D,4,0)</f>
        <v>99.2613</v>
      </c>
      <c r="D2" s="179">
        <v>632.0</v>
      </c>
      <c r="E2" s="180" t="s">
        <v>56</v>
      </c>
      <c r="F2" s="179">
        <v>3200.0</v>
      </c>
      <c r="G2" s="179">
        <v>3208.4</v>
      </c>
      <c r="H2" s="181">
        <v>0.0</v>
      </c>
      <c r="I2" s="182">
        <f t="shared" ref="I2:I73" si="1">G2-F2</f>
        <v>8.4</v>
      </c>
      <c r="J2" s="183">
        <f t="shared" ref="J2:J73" si="2">I2/F2*100</f>
        <v>0.2625</v>
      </c>
      <c r="K2" s="184">
        <v>3.43</v>
      </c>
      <c r="L2" s="185">
        <f t="shared" ref="L2:L73" si="3">H2/F2*100</f>
        <v>0</v>
      </c>
      <c r="M2" s="186">
        <f t="shared" ref="M2:M73" si="4">P2/F2</f>
        <v>340.466259</v>
      </c>
      <c r="N2" s="187">
        <f t="shared" ref="N2:N73" si="5">(F2*K2-H2*3.04)/F2</f>
        <v>3.43</v>
      </c>
      <c r="O2" s="187">
        <f t="shared" ref="O2:O73" si="6">N2*F2</f>
        <v>10976</v>
      </c>
      <c r="P2" s="188">
        <f t="shared" ref="P2:P73" si="7">O2*C2</f>
        <v>1089492.029</v>
      </c>
      <c r="R2" s="171"/>
    </row>
    <row r="3">
      <c r="A3" s="189">
        <v>45538.0</v>
      </c>
      <c r="B3" s="68">
        <v>45538.0</v>
      </c>
      <c r="C3" s="178">
        <f>VLOOKUP(B:B,'Курс валют'!A:D,4,0)</f>
        <v>99.2613</v>
      </c>
      <c r="D3" s="182">
        <v>631.0</v>
      </c>
      <c r="E3" s="190" t="s">
        <v>63</v>
      </c>
      <c r="F3" s="182">
        <v>900.0</v>
      </c>
      <c r="G3" s="182">
        <v>927.0</v>
      </c>
      <c r="H3" s="181">
        <v>368.0</v>
      </c>
      <c r="I3" s="182">
        <f t="shared" si="1"/>
        <v>27</v>
      </c>
      <c r="J3" s="183">
        <f t="shared" si="2"/>
        <v>3</v>
      </c>
      <c r="K3" s="181">
        <v>3.24</v>
      </c>
      <c r="L3" s="185">
        <f t="shared" si="3"/>
        <v>40.88888889</v>
      </c>
      <c r="M3" s="186">
        <f t="shared" si="4"/>
        <v>198.2226103</v>
      </c>
      <c r="N3" s="187">
        <f t="shared" si="5"/>
        <v>1.996977778</v>
      </c>
      <c r="O3" s="187">
        <f t="shared" si="6"/>
        <v>1797.28</v>
      </c>
      <c r="P3" s="188">
        <f t="shared" si="7"/>
        <v>178400.3493</v>
      </c>
      <c r="R3" s="171"/>
    </row>
    <row r="4">
      <c r="A4" s="189">
        <v>45538.0</v>
      </c>
      <c r="B4" s="68">
        <v>45539.0</v>
      </c>
      <c r="C4" s="178">
        <f>VLOOKUP(B:B,'Курс валют'!A:D,4,0)</f>
        <v>97.8121</v>
      </c>
      <c r="D4" s="182">
        <v>624.0</v>
      </c>
      <c r="E4" s="190" t="s">
        <v>59</v>
      </c>
      <c r="F4" s="182">
        <v>1000.0</v>
      </c>
      <c r="G4" s="182">
        <v>1038.0</v>
      </c>
      <c r="H4" s="181">
        <v>219.0</v>
      </c>
      <c r="I4" s="182">
        <f t="shared" si="1"/>
        <v>38</v>
      </c>
      <c r="J4" s="183">
        <f t="shared" si="2"/>
        <v>3.8</v>
      </c>
      <c r="K4" s="181">
        <v>3.25</v>
      </c>
      <c r="L4" s="185">
        <f t="shared" si="3"/>
        <v>21.9</v>
      </c>
      <c r="M4" s="186">
        <f t="shared" si="4"/>
        <v>252.7699413</v>
      </c>
      <c r="N4" s="187">
        <f t="shared" si="5"/>
        <v>2.58424</v>
      </c>
      <c r="O4" s="187">
        <f t="shared" si="6"/>
        <v>2584.24</v>
      </c>
      <c r="P4" s="188">
        <f t="shared" si="7"/>
        <v>252769.9413</v>
      </c>
      <c r="R4" s="171"/>
    </row>
    <row r="5">
      <c r="A5" s="189">
        <v>45538.0</v>
      </c>
      <c r="B5" s="68">
        <v>45539.0</v>
      </c>
      <c r="C5" s="178">
        <f>VLOOKUP(B:B,'Курс валют'!A:D,4,0)</f>
        <v>97.8121</v>
      </c>
      <c r="D5" s="182">
        <v>633.0</v>
      </c>
      <c r="E5" s="190" t="s">
        <v>56</v>
      </c>
      <c r="F5" s="182">
        <v>1600.0</v>
      </c>
      <c r="G5" s="182">
        <v>1624.2</v>
      </c>
      <c r="H5" s="181">
        <v>0.0</v>
      </c>
      <c r="I5" s="182">
        <f t="shared" si="1"/>
        <v>24.2</v>
      </c>
      <c r="J5" s="183">
        <f t="shared" si="2"/>
        <v>1.5125</v>
      </c>
      <c r="K5" s="181">
        <v>3.41</v>
      </c>
      <c r="L5" s="185">
        <f t="shared" si="3"/>
        <v>0</v>
      </c>
      <c r="M5" s="186">
        <f t="shared" si="4"/>
        <v>333.539261</v>
      </c>
      <c r="N5" s="187">
        <f t="shared" si="5"/>
        <v>3.41</v>
      </c>
      <c r="O5" s="187">
        <f t="shared" si="6"/>
        <v>5456</v>
      </c>
      <c r="P5" s="188">
        <f t="shared" si="7"/>
        <v>533662.8176</v>
      </c>
      <c r="R5" s="171"/>
    </row>
    <row r="6">
      <c r="A6" s="189">
        <v>45538.0</v>
      </c>
      <c r="B6" s="68">
        <v>45539.0</v>
      </c>
      <c r="C6" s="178">
        <f>VLOOKUP(B:B,'Курс валют'!A:D,4,0)</f>
        <v>97.8121</v>
      </c>
      <c r="D6" s="182">
        <v>634.0</v>
      </c>
      <c r="E6" s="190" t="s">
        <v>89</v>
      </c>
      <c r="F6" s="182">
        <v>220.0</v>
      </c>
      <c r="G6" s="182">
        <v>220.0</v>
      </c>
      <c r="H6" s="181">
        <v>0.0</v>
      </c>
      <c r="I6" s="182">
        <f t="shared" si="1"/>
        <v>0</v>
      </c>
      <c r="J6" s="183">
        <f t="shared" si="2"/>
        <v>0</v>
      </c>
      <c r="K6" s="181">
        <v>4.09</v>
      </c>
      <c r="L6" s="185">
        <f t="shared" si="3"/>
        <v>0</v>
      </c>
      <c r="M6" s="186">
        <f t="shared" si="4"/>
        <v>400.051489</v>
      </c>
      <c r="N6" s="187">
        <f t="shared" si="5"/>
        <v>4.09</v>
      </c>
      <c r="O6" s="187">
        <f t="shared" si="6"/>
        <v>899.8</v>
      </c>
      <c r="P6" s="188">
        <f t="shared" si="7"/>
        <v>88011.32758</v>
      </c>
      <c r="R6" s="172" t="s">
        <v>1101</v>
      </c>
    </row>
    <row r="7">
      <c r="A7" s="189">
        <v>45538.0</v>
      </c>
      <c r="B7" s="68">
        <v>45539.0</v>
      </c>
      <c r="C7" s="178">
        <f>VLOOKUP(B:B,'Курс валют'!A:D,4,0)</f>
        <v>97.8121</v>
      </c>
      <c r="D7" s="182">
        <v>635.0</v>
      </c>
      <c r="E7" s="200" t="s">
        <v>90</v>
      </c>
      <c r="F7" s="182">
        <v>198.0</v>
      </c>
      <c r="G7" s="182">
        <v>200.0</v>
      </c>
      <c r="H7" s="181">
        <v>0.0</v>
      </c>
      <c r="I7" s="182">
        <f t="shared" si="1"/>
        <v>2</v>
      </c>
      <c r="J7" s="183">
        <f t="shared" si="2"/>
        <v>1.01010101</v>
      </c>
      <c r="K7" s="181">
        <v>2.26</v>
      </c>
      <c r="L7" s="185">
        <f t="shared" si="3"/>
        <v>0</v>
      </c>
      <c r="M7" s="186">
        <f t="shared" si="4"/>
        <v>221.055346</v>
      </c>
      <c r="N7" s="187">
        <f t="shared" si="5"/>
        <v>2.26</v>
      </c>
      <c r="O7" s="187">
        <f t="shared" si="6"/>
        <v>447.48</v>
      </c>
      <c r="P7" s="188">
        <f t="shared" si="7"/>
        <v>43768.95851</v>
      </c>
      <c r="R7" s="172" t="s">
        <v>1101</v>
      </c>
    </row>
    <row r="8">
      <c r="A8" s="189">
        <v>45539.0</v>
      </c>
      <c r="B8" s="68">
        <v>45540.0</v>
      </c>
      <c r="C8" s="178">
        <f>VLOOKUP(B:B,'Курс валют'!A:D,4,0)</f>
        <v>98.0725</v>
      </c>
      <c r="D8" s="182">
        <v>636.0</v>
      </c>
      <c r="E8" s="200" t="s">
        <v>63</v>
      </c>
      <c r="F8" s="182">
        <v>900.0</v>
      </c>
      <c r="G8" s="182">
        <v>935.5</v>
      </c>
      <c r="H8" s="181">
        <v>365.0</v>
      </c>
      <c r="I8" s="182">
        <f t="shared" si="1"/>
        <v>35.5</v>
      </c>
      <c r="J8" s="183">
        <f t="shared" si="2"/>
        <v>3.944444444</v>
      </c>
      <c r="K8" s="181">
        <v>3.27</v>
      </c>
      <c r="L8" s="185">
        <f t="shared" si="3"/>
        <v>40.55555556</v>
      </c>
      <c r="M8" s="186">
        <f t="shared" si="4"/>
        <v>199.7845794</v>
      </c>
      <c r="N8" s="187">
        <f t="shared" si="5"/>
        <v>2.037111111</v>
      </c>
      <c r="O8" s="187">
        <f t="shared" si="6"/>
        <v>1833.4</v>
      </c>
      <c r="P8" s="188">
        <f t="shared" si="7"/>
        <v>179806.1215</v>
      </c>
      <c r="R8" s="171"/>
      <c r="T8" s="42"/>
    </row>
    <row r="9">
      <c r="A9" s="189">
        <v>45539.0</v>
      </c>
      <c r="B9" s="68">
        <v>45540.0</v>
      </c>
      <c r="C9" s="178">
        <f>VLOOKUP(B:B,'Курс валют'!A:D,4,0)</f>
        <v>98.0725</v>
      </c>
      <c r="D9" s="182">
        <v>637.0</v>
      </c>
      <c r="E9" s="200" t="s">
        <v>18</v>
      </c>
      <c r="F9" s="182">
        <v>6600.0</v>
      </c>
      <c r="G9" s="182">
        <v>6616.0</v>
      </c>
      <c r="H9" s="181">
        <v>3025.0</v>
      </c>
      <c r="I9" s="182">
        <f t="shared" si="1"/>
        <v>16</v>
      </c>
      <c r="J9" s="183">
        <f t="shared" si="2"/>
        <v>0.2424242424</v>
      </c>
      <c r="K9" s="181">
        <v>3.87</v>
      </c>
      <c r="L9" s="185">
        <f t="shared" si="3"/>
        <v>45.83333333</v>
      </c>
      <c r="M9" s="186">
        <f t="shared" si="4"/>
        <v>242.8928917</v>
      </c>
      <c r="N9" s="187">
        <f t="shared" si="5"/>
        <v>2.476666667</v>
      </c>
      <c r="O9" s="187">
        <f t="shared" si="6"/>
        <v>16346</v>
      </c>
      <c r="P9" s="188">
        <f t="shared" si="7"/>
        <v>1603093.085</v>
      </c>
      <c r="R9" s="171"/>
    </row>
    <row r="10">
      <c r="A10" s="189">
        <v>45539.0</v>
      </c>
      <c r="B10" s="68">
        <v>45540.0</v>
      </c>
      <c r="C10" s="178">
        <f>VLOOKUP(B:B,'Курс валют'!A:D,4,0)</f>
        <v>98.0725</v>
      </c>
      <c r="D10" s="182">
        <v>638.0</v>
      </c>
      <c r="E10" s="200" t="s">
        <v>63</v>
      </c>
      <c r="F10" s="182">
        <v>900.0</v>
      </c>
      <c r="G10" s="182">
        <v>935.0</v>
      </c>
      <c r="H10" s="181">
        <v>365.0</v>
      </c>
      <c r="I10" s="182">
        <f t="shared" si="1"/>
        <v>35</v>
      </c>
      <c r="J10" s="183">
        <f t="shared" si="2"/>
        <v>3.888888889</v>
      </c>
      <c r="K10" s="181">
        <v>3.27</v>
      </c>
      <c r="L10" s="185">
        <f t="shared" si="3"/>
        <v>40.55555556</v>
      </c>
      <c r="M10" s="186">
        <f t="shared" si="4"/>
        <v>199.7845794</v>
      </c>
      <c r="N10" s="187">
        <f t="shared" si="5"/>
        <v>2.037111111</v>
      </c>
      <c r="O10" s="187">
        <f t="shared" si="6"/>
        <v>1833.4</v>
      </c>
      <c r="P10" s="188">
        <f t="shared" si="7"/>
        <v>179806.1215</v>
      </c>
      <c r="R10" s="171"/>
    </row>
    <row r="11">
      <c r="A11" s="189">
        <v>45540.0</v>
      </c>
      <c r="B11" s="68">
        <v>45540.0</v>
      </c>
      <c r="C11" s="178">
        <f>VLOOKUP(B:B,'Курс валют'!A:D,4,0)</f>
        <v>98.0725</v>
      </c>
      <c r="D11" s="182">
        <v>640.0</v>
      </c>
      <c r="E11" s="200" t="s">
        <v>92</v>
      </c>
      <c r="F11" s="182">
        <v>120.0</v>
      </c>
      <c r="G11" s="182">
        <v>120.0</v>
      </c>
      <c r="H11" s="181">
        <v>0.0</v>
      </c>
      <c r="I11" s="182">
        <f t="shared" si="1"/>
        <v>0</v>
      </c>
      <c r="J11" s="183">
        <f t="shared" si="2"/>
        <v>0</v>
      </c>
      <c r="K11" s="181">
        <v>2.91</v>
      </c>
      <c r="L11" s="185">
        <f t="shared" si="3"/>
        <v>0</v>
      </c>
      <c r="M11" s="186">
        <f t="shared" si="4"/>
        <v>285.390975</v>
      </c>
      <c r="N11" s="187">
        <f t="shared" si="5"/>
        <v>2.91</v>
      </c>
      <c r="O11" s="187">
        <f t="shared" si="6"/>
        <v>349.2</v>
      </c>
      <c r="P11" s="188">
        <f t="shared" si="7"/>
        <v>34246.917</v>
      </c>
      <c r="R11" s="172" t="s">
        <v>1101</v>
      </c>
      <c r="T11" s="42"/>
    </row>
    <row r="12">
      <c r="A12" s="189">
        <v>45541.0</v>
      </c>
      <c r="B12" s="68">
        <v>45544.0</v>
      </c>
      <c r="C12" s="178">
        <f>VLOOKUP(B:B,'Курс валют'!A:D,4,0)</f>
        <v>99.7156</v>
      </c>
      <c r="D12" s="182">
        <v>641.0</v>
      </c>
      <c r="E12" s="200" t="s">
        <v>63</v>
      </c>
      <c r="F12" s="182">
        <v>900.0</v>
      </c>
      <c r="G12" s="182">
        <v>931.28</v>
      </c>
      <c r="H12" s="181">
        <v>365.0</v>
      </c>
      <c r="I12" s="182">
        <f t="shared" si="1"/>
        <v>31.28</v>
      </c>
      <c r="J12" s="183">
        <f t="shared" si="2"/>
        <v>3.475555556</v>
      </c>
      <c r="K12" s="181">
        <v>3.26</v>
      </c>
      <c r="L12" s="185">
        <f t="shared" si="3"/>
        <v>40.55555556</v>
      </c>
      <c r="M12" s="186">
        <f t="shared" si="4"/>
        <v>202.1346007</v>
      </c>
      <c r="N12" s="187">
        <f t="shared" si="5"/>
        <v>2.027111111</v>
      </c>
      <c r="O12" s="187">
        <f t="shared" si="6"/>
        <v>1824.4</v>
      </c>
      <c r="P12" s="188">
        <f t="shared" si="7"/>
        <v>181921.1406</v>
      </c>
      <c r="R12" s="171"/>
    </row>
    <row r="13">
      <c r="A13" s="189">
        <v>45541.0</v>
      </c>
      <c r="B13" s="68">
        <v>45544.0</v>
      </c>
      <c r="C13" s="178">
        <f>VLOOKUP(B:B,'Курс валют'!A:D,4,0)</f>
        <v>99.7156</v>
      </c>
      <c r="D13" s="182">
        <v>642.0</v>
      </c>
      <c r="E13" s="190" t="s">
        <v>53</v>
      </c>
      <c r="F13" s="182">
        <v>8000.0</v>
      </c>
      <c r="G13" s="182">
        <v>8010.5</v>
      </c>
      <c r="H13" s="181">
        <v>0.0</v>
      </c>
      <c r="I13" s="182">
        <f t="shared" si="1"/>
        <v>10.5</v>
      </c>
      <c r="J13" s="183">
        <f t="shared" si="2"/>
        <v>0.13125</v>
      </c>
      <c r="K13" s="181">
        <v>1.95</v>
      </c>
      <c r="L13" s="185">
        <f t="shared" si="3"/>
        <v>0</v>
      </c>
      <c r="M13" s="186">
        <f t="shared" si="4"/>
        <v>194.44542</v>
      </c>
      <c r="N13" s="187">
        <f t="shared" si="5"/>
        <v>1.95</v>
      </c>
      <c r="O13" s="187">
        <f t="shared" si="6"/>
        <v>15600</v>
      </c>
      <c r="P13" s="188">
        <f t="shared" si="7"/>
        <v>1555563.36</v>
      </c>
      <c r="R13" s="175"/>
    </row>
    <row r="14">
      <c r="A14" s="189">
        <v>45541.0</v>
      </c>
      <c r="B14" s="68">
        <v>45544.0</v>
      </c>
      <c r="C14" s="178">
        <f>VLOOKUP(B:B,'Курс валют'!A:D,4,0)</f>
        <v>99.7156</v>
      </c>
      <c r="D14" s="182">
        <v>643.0</v>
      </c>
      <c r="E14" s="190" t="s">
        <v>63</v>
      </c>
      <c r="F14" s="182">
        <v>900.0</v>
      </c>
      <c r="G14" s="182">
        <v>935.72</v>
      </c>
      <c r="H14" s="181">
        <v>365.0</v>
      </c>
      <c r="I14" s="182">
        <f t="shared" si="1"/>
        <v>35.72</v>
      </c>
      <c r="J14" s="183">
        <f t="shared" si="2"/>
        <v>3.968888889</v>
      </c>
      <c r="K14" s="181">
        <v>3.26</v>
      </c>
      <c r="L14" s="185">
        <f t="shared" si="3"/>
        <v>40.55555556</v>
      </c>
      <c r="M14" s="186">
        <f t="shared" si="4"/>
        <v>202.1346007</v>
      </c>
      <c r="N14" s="187">
        <f t="shared" si="5"/>
        <v>2.027111111</v>
      </c>
      <c r="O14" s="187">
        <f t="shared" si="6"/>
        <v>1824.4</v>
      </c>
      <c r="P14" s="188">
        <f t="shared" si="7"/>
        <v>181921.1406</v>
      </c>
      <c r="R14" s="171"/>
    </row>
    <row r="15">
      <c r="A15" s="189">
        <v>45541.0</v>
      </c>
      <c r="B15" s="68">
        <v>45544.0</v>
      </c>
      <c r="C15" s="178">
        <f>VLOOKUP(B:B,'Курс валют'!A:D,4,0)</f>
        <v>99.7156</v>
      </c>
      <c r="D15" s="182">
        <v>644.0</v>
      </c>
      <c r="E15" s="190" t="s">
        <v>75</v>
      </c>
      <c r="F15" s="182">
        <v>200.0</v>
      </c>
      <c r="G15" s="182">
        <v>208.0</v>
      </c>
      <c r="H15" s="181">
        <v>0.0</v>
      </c>
      <c r="I15" s="182">
        <f t="shared" si="1"/>
        <v>8</v>
      </c>
      <c r="J15" s="183">
        <f t="shared" si="2"/>
        <v>4</v>
      </c>
      <c r="K15" s="181">
        <v>3.46</v>
      </c>
      <c r="L15" s="185">
        <f t="shared" si="3"/>
        <v>0</v>
      </c>
      <c r="M15" s="186">
        <f t="shared" si="4"/>
        <v>345.015976</v>
      </c>
      <c r="N15" s="187">
        <f t="shared" si="5"/>
        <v>3.46</v>
      </c>
      <c r="O15" s="187">
        <f t="shared" si="6"/>
        <v>692</v>
      </c>
      <c r="P15" s="188">
        <f t="shared" si="7"/>
        <v>69003.1952</v>
      </c>
      <c r="R15" s="175"/>
    </row>
    <row r="16">
      <c r="A16" s="189">
        <v>45541.0</v>
      </c>
      <c r="B16" s="68">
        <v>45544.0</v>
      </c>
      <c r="C16" s="178">
        <f>VLOOKUP(B:B,'Курс валют'!A:D,4,0)</f>
        <v>99.7156</v>
      </c>
      <c r="D16" s="182">
        <v>645.0</v>
      </c>
      <c r="E16" s="190" t="s">
        <v>53</v>
      </c>
      <c r="F16" s="182">
        <v>8000.0</v>
      </c>
      <c r="G16" s="182">
        <v>8010.5</v>
      </c>
      <c r="H16" s="181">
        <v>0.0</v>
      </c>
      <c r="I16" s="182">
        <f t="shared" si="1"/>
        <v>10.5</v>
      </c>
      <c r="J16" s="183">
        <f t="shared" si="2"/>
        <v>0.13125</v>
      </c>
      <c r="K16" s="181">
        <v>1.95</v>
      </c>
      <c r="L16" s="185">
        <f t="shared" si="3"/>
        <v>0</v>
      </c>
      <c r="M16" s="186">
        <f t="shared" si="4"/>
        <v>194.44542</v>
      </c>
      <c r="N16" s="187">
        <f t="shared" si="5"/>
        <v>1.95</v>
      </c>
      <c r="O16" s="187">
        <f t="shared" si="6"/>
        <v>15600</v>
      </c>
      <c r="P16" s="188">
        <f t="shared" si="7"/>
        <v>1555563.36</v>
      </c>
      <c r="R16" s="175"/>
    </row>
    <row r="17">
      <c r="A17" s="189">
        <v>45541.0</v>
      </c>
      <c r="B17" s="68">
        <v>45544.0</v>
      </c>
      <c r="C17" s="178">
        <f>VLOOKUP(B:B,'Курс валют'!A:D,4,0)</f>
        <v>99.7156</v>
      </c>
      <c r="D17" s="182">
        <v>646.0</v>
      </c>
      <c r="E17" s="190" t="s">
        <v>53</v>
      </c>
      <c r="F17" s="182">
        <v>8000.0</v>
      </c>
      <c r="G17" s="182">
        <v>8020.5</v>
      </c>
      <c r="H17" s="181">
        <v>0.0</v>
      </c>
      <c r="I17" s="182">
        <f t="shared" si="1"/>
        <v>20.5</v>
      </c>
      <c r="J17" s="183">
        <f t="shared" si="2"/>
        <v>0.25625</v>
      </c>
      <c r="K17" s="181">
        <v>1.95</v>
      </c>
      <c r="L17" s="185">
        <f t="shared" si="3"/>
        <v>0</v>
      </c>
      <c r="M17" s="186">
        <f t="shared" si="4"/>
        <v>194.44542</v>
      </c>
      <c r="N17" s="187">
        <f t="shared" si="5"/>
        <v>1.95</v>
      </c>
      <c r="O17" s="187">
        <f t="shared" si="6"/>
        <v>15600</v>
      </c>
      <c r="P17" s="188">
        <f t="shared" si="7"/>
        <v>1555563.36</v>
      </c>
      <c r="R17" s="171"/>
    </row>
    <row r="18">
      <c r="A18" s="189">
        <v>45542.0</v>
      </c>
      <c r="B18" s="68">
        <v>45545.0</v>
      </c>
      <c r="C18" s="178">
        <f>VLOOKUP(B:B,'Курс валют'!A:D,4,0)</f>
        <v>99.9067</v>
      </c>
      <c r="D18" s="182">
        <v>647.0</v>
      </c>
      <c r="E18" s="190" t="s">
        <v>2355</v>
      </c>
      <c r="F18" s="182">
        <v>1100.0</v>
      </c>
      <c r="G18" s="182">
        <v>1137.0</v>
      </c>
      <c r="H18" s="201">
        <v>577.0</v>
      </c>
      <c r="I18" s="182">
        <f t="shared" si="1"/>
        <v>37</v>
      </c>
      <c r="J18" s="183">
        <f t="shared" si="2"/>
        <v>3.363636364</v>
      </c>
      <c r="K18" s="181">
        <v>4.05</v>
      </c>
      <c r="L18" s="185">
        <f t="shared" si="3"/>
        <v>52.45454545</v>
      </c>
      <c r="M18" s="186">
        <f t="shared" si="4"/>
        <v>245.3090947</v>
      </c>
      <c r="N18" s="187">
        <f t="shared" si="5"/>
        <v>2.455381818</v>
      </c>
      <c r="O18" s="187">
        <f t="shared" si="6"/>
        <v>2700.92</v>
      </c>
      <c r="P18" s="188">
        <f t="shared" si="7"/>
        <v>269840.0042</v>
      </c>
      <c r="R18" s="175"/>
    </row>
    <row r="19">
      <c r="A19" s="189">
        <v>45542.0</v>
      </c>
      <c r="B19" s="68">
        <v>45545.0</v>
      </c>
      <c r="C19" s="178">
        <f>VLOOKUP(B:B,'Курс валют'!A:D,4,0)</f>
        <v>99.9067</v>
      </c>
      <c r="D19" s="182">
        <v>648.0</v>
      </c>
      <c r="E19" s="200" t="s">
        <v>61</v>
      </c>
      <c r="F19" s="182">
        <v>6600.0</v>
      </c>
      <c r="G19" s="182">
        <v>6620.0</v>
      </c>
      <c r="H19" s="181">
        <v>2750.0</v>
      </c>
      <c r="I19" s="182">
        <f t="shared" si="1"/>
        <v>20</v>
      </c>
      <c r="J19" s="183">
        <f t="shared" si="2"/>
        <v>0.303030303</v>
      </c>
      <c r="K19" s="181">
        <v>3.86</v>
      </c>
      <c r="L19" s="185">
        <f t="shared" si="3"/>
        <v>41.66666667</v>
      </c>
      <c r="M19" s="186">
        <f t="shared" si="4"/>
        <v>259.0913753</v>
      </c>
      <c r="N19" s="187">
        <f t="shared" si="5"/>
        <v>2.593333333</v>
      </c>
      <c r="O19" s="187">
        <f t="shared" si="6"/>
        <v>17116</v>
      </c>
      <c r="P19" s="188">
        <f t="shared" si="7"/>
        <v>1710003.077</v>
      </c>
      <c r="R19" s="175"/>
    </row>
    <row r="20">
      <c r="A20" s="155">
        <v>45542.0</v>
      </c>
      <c r="B20" s="83">
        <v>45545.0</v>
      </c>
      <c r="C20" s="221">
        <f>VLOOKUP(B:B,'Курс валют'!A:D,4,0)</f>
        <v>99.9067</v>
      </c>
      <c r="D20" s="157">
        <v>649.0</v>
      </c>
      <c r="E20" s="222" t="s">
        <v>102</v>
      </c>
      <c r="F20" s="157">
        <v>186.0</v>
      </c>
      <c r="G20" s="157">
        <v>200.0</v>
      </c>
      <c r="H20" s="159">
        <v>0.0</v>
      </c>
      <c r="I20" s="157">
        <f t="shared" si="1"/>
        <v>14</v>
      </c>
      <c r="J20" s="143">
        <f t="shared" si="2"/>
        <v>7.52688172</v>
      </c>
      <c r="K20" s="159">
        <v>3.94</v>
      </c>
      <c r="L20" s="160">
        <f t="shared" si="3"/>
        <v>0</v>
      </c>
      <c r="M20" s="161">
        <f t="shared" si="4"/>
        <v>393.632398</v>
      </c>
      <c r="N20" s="162">
        <f t="shared" si="5"/>
        <v>3.94</v>
      </c>
      <c r="O20" s="162">
        <f t="shared" si="6"/>
        <v>732.84</v>
      </c>
      <c r="P20" s="163">
        <f t="shared" si="7"/>
        <v>73215.62603</v>
      </c>
      <c r="R20" s="166" t="s">
        <v>1101</v>
      </c>
      <c r="S20" s="165"/>
      <c r="T20" s="165"/>
      <c r="U20" s="165"/>
      <c r="V20" s="165"/>
      <c r="W20" s="165"/>
      <c r="X20" s="165"/>
      <c r="Y20" s="165"/>
      <c r="Z20" s="165"/>
      <c r="AA20" s="165"/>
    </row>
    <row r="21">
      <c r="A21" s="189">
        <v>45545.0</v>
      </c>
      <c r="B21" s="68">
        <v>45545.0</v>
      </c>
      <c r="C21" s="178">
        <f>VLOOKUP(B:B,'Курс валют'!A:D,4,0)</f>
        <v>99.9067</v>
      </c>
      <c r="D21" s="182">
        <v>650.0</v>
      </c>
      <c r="E21" s="200" t="s">
        <v>61</v>
      </c>
      <c r="F21" s="182">
        <v>6600.0</v>
      </c>
      <c r="G21" s="182">
        <v>6620.0</v>
      </c>
      <c r="H21" s="181">
        <v>2750.0</v>
      </c>
      <c r="I21" s="182">
        <f t="shared" si="1"/>
        <v>20</v>
      </c>
      <c r="J21" s="183">
        <f t="shared" si="2"/>
        <v>0.303030303</v>
      </c>
      <c r="K21" s="181">
        <v>3.86</v>
      </c>
      <c r="L21" s="185">
        <f t="shared" si="3"/>
        <v>41.66666667</v>
      </c>
      <c r="M21" s="186">
        <f t="shared" si="4"/>
        <v>259.0913753</v>
      </c>
      <c r="N21" s="187">
        <f t="shared" si="5"/>
        <v>2.593333333</v>
      </c>
      <c r="O21" s="187">
        <f t="shared" si="6"/>
        <v>17116</v>
      </c>
      <c r="P21" s="188">
        <f t="shared" si="7"/>
        <v>1710003.077</v>
      </c>
      <c r="R21" s="175"/>
    </row>
    <row r="22">
      <c r="A22" s="189">
        <v>45545.0</v>
      </c>
      <c r="B22" s="68">
        <v>45545.0</v>
      </c>
      <c r="C22" s="178">
        <f>VLOOKUP(B:B,'Курс валют'!A:D,4,0)</f>
        <v>99.9067</v>
      </c>
      <c r="D22" s="182">
        <v>651.0</v>
      </c>
      <c r="E22" s="200" t="s">
        <v>92</v>
      </c>
      <c r="F22" s="182">
        <v>200.0</v>
      </c>
      <c r="G22" s="182">
        <v>200.0</v>
      </c>
      <c r="H22" s="181">
        <v>0.0</v>
      </c>
      <c r="I22" s="182">
        <f t="shared" si="1"/>
        <v>0</v>
      </c>
      <c r="J22" s="183">
        <f t="shared" si="2"/>
        <v>0</v>
      </c>
      <c r="K22" s="181">
        <v>2.79</v>
      </c>
      <c r="L22" s="185">
        <f t="shared" si="3"/>
        <v>0</v>
      </c>
      <c r="M22" s="186">
        <f t="shared" si="4"/>
        <v>278.739693</v>
      </c>
      <c r="N22" s="187">
        <f t="shared" si="5"/>
        <v>2.79</v>
      </c>
      <c r="O22" s="187">
        <f t="shared" si="6"/>
        <v>558</v>
      </c>
      <c r="P22" s="188">
        <f t="shared" si="7"/>
        <v>55747.9386</v>
      </c>
      <c r="R22" s="172" t="s">
        <v>1101</v>
      </c>
    </row>
    <row r="23">
      <c r="A23" s="189">
        <v>45546.0</v>
      </c>
      <c r="B23" s="68">
        <v>45546.0</v>
      </c>
      <c r="C23" s="178">
        <f>VLOOKUP(B:B,'Курс валют'!A:D,4,0)</f>
        <v>100.4995</v>
      </c>
      <c r="D23" s="182">
        <v>653.0</v>
      </c>
      <c r="E23" s="190" t="s">
        <v>59</v>
      </c>
      <c r="F23" s="182">
        <v>1000.0</v>
      </c>
      <c r="G23" s="182">
        <v>1041.0</v>
      </c>
      <c r="H23" s="181">
        <v>220.0</v>
      </c>
      <c r="I23" s="182">
        <f t="shared" si="1"/>
        <v>41</v>
      </c>
      <c r="J23" s="183">
        <f t="shared" si="2"/>
        <v>4.1</v>
      </c>
      <c r="K23" s="181">
        <v>3.3</v>
      </c>
      <c r="L23" s="185">
        <f t="shared" si="3"/>
        <v>22</v>
      </c>
      <c r="M23" s="186">
        <f t="shared" si="4"/>
        <v>264.4342844</v>
      </c>
      <c r="N23" s="187">
        <f t="shared" si="5"/>
        <v>2.6312</v>
      </c>
      <c r="O23" s="187">
        <f t="shared" si="6"/>
        <v>2631.2</v>
      </c>
      <c r="P23" s="188">
        <f t="shared" si="7"/>
        <v>264434.2844</v>
      </c>
      <c r="R23" s="171"/>
    </row>
    <row r="24">
      <c r="A24" s="189">
        <v>45546.0</v>
      </c>
      <c r="B24" s="68">
        <v>45547.0</v>
      </c>
      <c r="C24" s="178">
        <f>VLOOKUP(B:B,'Курс валют'!A:D,4,0)</f>
        <v>100.7421</v>
      </c>
      <c r="D24" s="182">
        <v>654.0</v>
      </c>
      <c r="E24" s="190" t="s">
        <v>59</v>
      </c>
      <c r="F24" s="182">
        <v>1000.0</v>
      </c>
      <c r="G24" s="182">
        <v>1030.0</v>
      </c>
      <c r="H24" s="181">
        <v>215.0</v>
      </c>
      <c r="I24" s="182">
        <f t="shared" si="1"/>
        <v>30</v>
      </c>
      <c r="J24" s="183">
        <f t="shared" si="2"/>
        <v>3</v>
      </c>
      <c r="K24" s="181">
        <v>3.28</v>
      </c>
      <c r="L24" s="185">
        <f t="shared" si="3"/>
        <v>21.5</v>
      </c>
      <c r="M24" s="186">
        <f t="shared" si="4"/>
        <v>264.5890514</v>
      </c>
      <c r="N24" s="187">
        <f t="shared" si="5"/>
        <v>2.6264</v>
      </c>
      <c r="O24" s="187">
        <f t="shared" si="6"/>
        <v>2626.4</v>
      </c>
      <c r="P24" s="188">
        <f t="shared" si="7"/>
        <v>264589.0514</v>
      </c>
      <c r="R24" s="175"/>
    </row>
    <row r="25">
      <c r="A25" s="189">
        <v>45546.0</v>
      </c>
      <c r="B25" s="68">
        <v>45545.0</v>
      </c>
      <c r="C25" s="178">
        <f>VLOOKUP(B:B,'Курс валют'!A:D,4,0)</f>
        <v>99.9067</v>
      </c>
      <c r="D25" s="182">
        <v>655.0</v>
      </c>
      <c r="E25" s="190" t="s">
        <v>92</v>
      </c>
      <c r="F25" s="182">
        <v>200.0</v>
      </c>
      <c r="G25" s="182">
        <v>200.0</v>
      </c>
      <c r="H25" s="181">
        <v>0.0</v>
      </c>
      <c r="I25" s="182">
        <f t="shared" si="1"/>
        <v>0</v>
      </c>
      <c r="J25" s="183">
        <f t="shared" si="2"/>
        <v>0</v>
      </c>
      <c r="K25" s="181">
        <v>2.79</v>
      </c>
      <c r="L25" s="185">
        <f t="shared" si="3"/>
        <v>0</v>
      </c>
      <c r="M25" s="186">
        <f t="shared" si="4"/>
        <v>278.739693</v>
      </c>
      <c r="N25" s="187">
        <f t="shared" si="5"/>
        <v>2.79</v>
      </c>
      <c r="O25" s="187">
        <f t="shared" si="6"/>
        <v>558</v>
      </c>
      <c r="P25" s="188">
        <f t="shared" si="7"/>
        <v>55747.9386</v>
      </c>
      <c r="R25" s="172" t="s">
        <v>1101</v>
      </c>
    </row>
    <row r="26">
      <c r="A26" s="155">
        <v>45547.0</v>
      </c>
      <c r="B26" s="83">
        <v>45547.0</v>
      </c>
      <c r="C26" s="221">
        <f>VLOOKUP(B:B,'Курс валют'!A:D,4,0)</f>
        <v>100.7421</v>
      </c>
      <c r="D26" s="157">
        <v>656.0</v>
      </c>
      <c r="E26" s="222" t="s">
        <v>18</v>
      </c>
      <c r="F26" s="223">
        <v>6600.0</v>
      </c>
      <c r="G26" s="223">
        <v>6630.0</v>
      </c>
      <c r="H26" s="224">
        <v>3030.0</v>
      </c>
      <c r="I26" s="157">
        <f t="shared" si="1"/>
        <v>30</v>
      </c>
      <c r="J26" s="143">
        <f t="shared" si="2"/>
        <v>0.4545454545</v>
      </c>
      <c r="K26" s="224">
        <v>4.24</v>
      </c>
      <c r="L26" s="160">
        <f t="shared" si="3"/>
        <v>45.90909091</v>
      </c>
      <c r="M26" s="161">
        <f t="shared" si="4"/>
        <v>286.5471659</v>
      </c>
      <c r="N26" s="162">
        <f t="shared" si="5"/>
        <v>2.844363636</v>
      </c>
      <c r="O26" s="162">
        <f t="shared" si="6"/>
        <v>18772.8</v>
      </c>
      <c r="P26" s="163">
        <f t="shared" si="7"/>
        <v>1891211.295</v>
      </c>
      <c r="R26" s="164"/>
      <c r="S26" s="165"/>
      <c r="T26" s="165"/>
      <c r="U26" s="165"/>
      <c r="V26" s="165"/>
      <c r="W26" s="165"/>
      <c r="X26" s="165"/>
      <c r="Y26" s="165"/>
      <c r="Z26" s="165"/>
      <c r="AA26" s="165"/>
    </row>
    <row r="27">
      <c r="A27" s="155">
        <v>45540.0</v>
      </c>
      <c r="B27" s="83">
        <v>45541.0</v>
      </c>
      <c r="C27" s="221">
        <f>VLOOKUP(B:B,'Курс валют'!A:D,4,0)</f>
        <v>99.1927</v>
      </c>
      <c r="D27" s="157">
        <v>639.0</v>
      </c>
      <c r="E27" s="222" t="s">
        <v>18</v>
      </c>
      <c r="F27" s="157">
        <v>6600.0</v>
      </c>
      <c r="G27" s="157">
        <v>6615.0</v>
      </c>
      <c r="H27" s="159">
        <v>3015.0</v>
      </c>
      <c r="I27" s="157">
        <f t="shared" si="1"/>
        <v>15</v>
      </c>
      <c r="J27" s="143">
        <f t="shared" si="2"/>
        <v>0.2272727273</v>
      </c>
      <c r="K27" s="159">
        <v>4.22</v>
      </c>
      <c r="L27" s="160">
        <f t="shared" si="3"/>
        <v>45.68181818</v>
      </c>
      <c r="M27" s="161">
        <f t="shared" si="4"/>
        <v>280.8415863</v>
      </c>
      <c r="N27" s="162">
        <f t="shared" si="5"/>
        <v>2.831272727</v>
      </c>
      <c r="O27" s="162">
        <f t="shared" si="6"/>
        <v>18686.4</v>
      </c>
      <c r="P27" s="163">
        <f t="shared" si="7"/>
        <v>1853554.469</v>
      </c>
      <c r="R27" s="225"/>
      <c r="S27" s="165"/>
      <c r="T27" s="165"/>
      <c r="U27" s="165"/>
      <c r="V27" s="165"/>
      <c r="W27" s="165"/>
      <c r="X27" s="165"/>
      <c r="Y27" s="165"/>
      <c r="Z27" s="165"/>
      <c r="AA27" s="165"/>
    </row>
    <row r="28">
      <c r="A28" s="155">
        <v>45546.0</v>
      </c>
      <c r="B28" s="83">
        <v>45546.0</v>
      </c>
      <c r="C28" s="221">
        <f>VLOOKUP(B:B,'Курс валют'!A:D,4,0)</f>
        <v>100.4995</v>
      </c>
      <c r="D28" s="157">
        <v>652.0</v>
      </c>
      <c r="E28" s="222" t="s">
        <v>18</v>
      </c>
      <c r="F28" s="157">
        <v>6600.0</v>
      </c>
      <c r="G28" s="157">
        <v>6620.0</v>
      </c>
      <c r="H28" s="159">
        <v>3020.0</v>
      </c>
      <c r="I28" s="157">
        <f t="shared" si="1"/>
        <v>20</v>
      </c>
      <c r="J28" s="143">
        <f t="shared" si="2"/>
        <v>0.303030303</v>
      </c>
      <c r="K28" s="159">
        <v>4.2</v>
      </c>
      <c r="L28" s="160">
        <f t="shared" si="3"/>
        <v>45.75757576</v>
      </c>
      <c r="M28" s="161">
        <f t="shared" si="4"/>
        <v>282.3000501</v>
      </c>
      <c r="N28" s="162">
        <f t="shared" si="5"/>
        <v>2.808969697</v>
      </c>
      <c r="O28" s="162">
        <f t="shared" si="6"/>
        <v>18539.2</v>
      </c>
      <c r="P28" s="163">
        <f t="shared" si="7"/>
        <v>1863180.33</v>
      </c>
      <c r="R28" s="164"/>
      <c r="S28" s="165"/>
      <c r="T28" s="165"/>
      <c r="U28" s="165"/>
      <c r="V28" s="165"/>
      <c r="W28" s="165"/>
      <c r="X28" s="165"/>
      <c r="Y28" s="165"/>
      <c r="Z28" s="165"/>
      <c r="AA28" s="165"/>
    </row>
    <row r="29">
      <c r="A29" s="189">
        <v>45547.0</v>
      </c>
      <c r="B29" s="68">
        <v>45547.0</v>
      </c>
      <c r="C29" s="178">
        <f>VLOOKUP(B:B,'Курс валют'!A:D,4,0)</f>
        <v>100.7421</v>
      </c>
      <c r="D29" s="182">
        <v>657.0</v>
      </c>
      <c r="E29" s="190" t="s">
        <v>59</v>
      </c>
      <c r="F29" s="182">
        <v>1000.0</v>
      </c>
      <c r="G29" s="182">
        <v>1040.0</v>
      </c>
      <c r="H29" s="181">
        <v>220.0</v>
      </c>
      <c r="I29" s="182">
        <f t="shared" si="1"/>
        <v>40</v>
      </c>
      <c r="J29" s="183">
        <f t="shared" si="2"/>
        <v>4</v>
      </c>
      <c r="K29" s="181">
        <v>3.28</v>
      </c>
      <c r="L29" s="185">
        <f t="shared" si="3"/>
        <v>22</v>
      </c>
      <c r="M29" s="186">
        <f t="shared" si="4"/>
        <v>263.0577715</v>
      </c>
      <c r="N29" s="187">
        <f t="shared" si="5"/>
        <v>2.6112</v>
      </c>
      <c r="O29" s="187">
        <f t="shared" si="6"/>
        <v>2611.2</v>
      </c>
      <c r="P29" s="188">
        <f t="shared" si="7"/>
        <v>263057.7715</v>
      </c>
      <c r="R29" s="175"/>
    </row>
    <row r="30">
      <c r="A30" s="189">
        <v>45548.0</v>
      </c>
      <c r="B30" s="68">
        <v>45548.0</v>
      </c>
      <c r="C30" s="178">
        <f>VLOOKUP(B:B,'Курс валют'!A:D,4,0)</f>
        <v>100.3907</v>
      </c>
      <c r="D30" s="182">
        <v>658.0</v>
      </c>
      <c r="E30" s="190" t="s">
        <v>61</v>
      </c>
      <c r="F30" s="182">
        <v>6600.0</v>
      </c>
      <c r="G30" s="182">
        <v>6620.0</v>
      </c>
      <c r="H30" s="181">
        <v>2750.0</v>
      </c>
      <c r="I30" s="182">
        <f t="shared" si="1"/>
        <v>20</v>
      </c>
      <c r="J30" s="183">
        <f t="shared" si="2"/>
        <v>0.303030303</v>
      </c>
      <c r="K30" s="181">
        <v>3.86</v>
      </c>
      <c r="L30" s="185">
        <f t="shared" si="3"/>
        <v>41.66666667</v>
      </c>
      <c r="M30" s="186">
        <f t="shared" si="4"/>
        <v>260.3465487</v>
      </c>
      <c r="N30" s="187">
        <f t="shared" si="5"/>
        <v>2.593333333</v>
      </c>
      <c r="O30" s="187">
        <f t="shared" si="6"/>
        <v>17116</v>
      </c>
      <c r="P30" s="188">
        <f t="shared" si="7"/>
        <v>1718287.221</v>
      </c>
      <c r="R30" s="171"/>
    </row>
    <row r="31">
      <c r="A31" s="189">
        <v>45548.0</v>
      </c>
      <c r="B31" s="68">
        <v>45548.0</v>
      </c>
      <c r="C31" s="178">
        <f>VLOOKUP(B:B,'Курс валют'!A:D,4,0)</f>
        <v>100.3907</v>
      </c>
      <c r="D31" s="182">
        <v>659.0</v>
      </c>
      <c r="E31" s="190" t="s">
        <v>59</v>
      </c>
      <c r="F31" s="182">
        <v>1000.0</v>
      </c>
      <c r="G31" s="182">
        <v>1030.0</v>
      </c>
      <c r="H31" s="181">
        <v>240.0</v>
      </c>
      <c r="I31" s="182">
        <f t="shared" si="1"/>
        <v>30</v>
      </c>
      <c r="J31" s="183">
        <f t="shared" si="2"/>
        <v>3</v>
      </c>
      <c r="K31" s="181">
        <v>3.33</v>
      </c>
      <c r="L31" s="185">
        <f t="shared" si="3"/>
        <v>24</v>
      </c>
      <c r="M31" s="186">
        <f t="shared" si="4"/>
        <v>261.0559763</v>
      </c>
      <c r="N31" s="187">
        <f t="shared" si="5"/>
        <v>2.6004</v>
      </c>
      <c r="O31" s="187">
        <f t="shared" si="6"/>
        <v>2600.4</v>
      </c>
      <c r="P31" s="188">
        <f t="shared" si="7"/>
        <v>261055.9763</v>
      </c>
      <c r="R31" s="171"/>
    </row>
    <row r="32">
      <c r="A32" s="189">
        <v>45548.0</v>
      </c>
      <c r="B32" s="68">
        <v>45551.0</v>
      </c>
      <c r="C32" s="178">
        <f>VLOOKUP(B:B,'Курс валют'!A:D,4,0)</f>
        <v>100.7958</v>
      </c>
      <c r="D32" s="182">
        <v>660.0</v>
      </c>
      <c r="E32" s="190" t="s">
        <v>61</v>
      </c>
      <c r="F32" s="182">
        <v>6600.0</v>
      </c>
      <c r="G32" s="182">
        <v>6620.0</v>
      </c>
      <c r="H32" s="181">
        <v>2750.0</v>
      </c>
      <c r="I32" s="182">
        <f t="shared" si="1"/>
        <v>20</v>
      </c>
      <c r="J32" s="183">
        <f t="shared" si="2"/>
        <v>0.303030303</v>
      </c>
      <c r="K32" s="181">
        <v>3.86</v>
      </c>
      <c r="L32" s="185">
        <f t="shared" si="3"/>
        <v>41.66666667</v>
      </c>
      <c r="M32" s="186">
        <f t="shared" si="4"/>
        <v>261.397108</v>
      </c>
      <c r="N32" s="187">
        <f t="shared" si="5"/>
        <v>2.593333333</v>
      </c>
      <c r="O32" s="187">
        <f t="shared" si="6"/>
        <v>17116</v>
      </c>
      <c r="P32" s="188">
        <f t="shared" si="7"/>
        <v>1725220.913</v>
      </c>
      <c r="R32" s="171"/>
    </row>
    <row r="33">
      <c r="A33" s="189">
        <v>45548.0</v>
      </c>
      <c r="B33" s="68">
        <v>45551.0</v>
      </c>
      <c r="C33" s="178">
        <f>VLOOKUP(B:B,'Курс валют'!A:D,4,0)</f>
        <v>100.7958</v>
      </c>
      <c r="D33" s="182">
        <v>661.0</v>
      </c>
      <c r="E33" s="190" t="s">
        <v>78</v>
      </c>
      <c r="F33" s="182">
        <v>900.0</v>
      </c>
      <c r="G33" s="182">
        <v>951.0</v>
      </c>
      <c r="H33" s="181">
        <v>500.0</v>
      </c>
      <c r="I33" s="182">
        <f t="shared" si="1"/>
        <v>51</v>
      </c>
      <c r="J33" s="183">
        <f t="shared" si="2"/>
        <v>5.666666667</v>
      </c>
      <c r="K33" s="181">
        <v>3.79</v>
      </c>
      <c r="L33" s="185">
        <f t="shared" si="3"/>
        <v>55.55555556</v>
      </c>
      <c r="M33" s="186">
        <f t="shared" si="4"/>
        <v>211.7831753</v>
      </c>
      <c r="N33" s="187">
        <f t="shared" si="5"/>
        <v>2.101111111</v>
      </c>
      <c r="O33" s="187">
        <f t="shared" si="6"/>
        <v>1891</v>
      </c>
      <c r="P33" s="188">
        <f t="shared" si="7"/>
        <v>190604.8578</v>
      </c>
      <c r="R33" s="175"/>
    </row>
    <row r="34">
      <c r="A34" s="189">
        <v>45548.0</v>
      </c>
      <c r="B34" s="68">
        <v>45551.0</v>
      </c>
      <c r="C34" s="178">
        <f>VLOOKUP(B:B,'Курс валют'!A:D,4,0)</f>
        <v>100.7958</v>
      </c>
      <c r="D34" s="182">
        <v>662.0</v>
      </c>
      <c r="E34" s="190" t="s">
        <v>78</v>
      </c>
      <c r="F34" s="182">
        <v>900.0</v>
      </c>
      <c r="G34" s="182">
        <v>927.0</v>
      </c>
      <c r="H34" s="181">
        <v>500.0</v>
      </c>
      <c r="I34" s="182">
        <f t="shared" si="1"/>
        <v>27</v>
      </c>
      <c r="J34" s="183">
        <f t="shared" si="2"/>
        <v>3</v>
      </c>
      <c r="K34" s="181">
        <v>3.79</v>
      </c>
      <c r="L34" s="185">
        <f t="shared" si="3"/>
        <v>55.55555556</v>
      </c>
      <c r="M34" s="186">
        <f t="shared" si="4"/>
        <v>211.7831753</v>
      </c>
      <c r="N34" s="187">
        <f t="shared" si="5"/>
        <v>2.101111111</v>
      </c>
      <c r="O34" s="187">
        <f t="shared" si="6"/>
        <v>1891</v>
      </c>
      <c r="P34" s="188">
        <f t="shared" si="7"/>
        <v>190604.8578</v>
      </c>
      <c r="R34" s="171"/>
    </row>
    <row r="35">
      <c r="A35" s="155">
        <v>45548.0</v>
      </c>
      <c r="B35" s="83">
        <v>45551.0</v>
      </c>
      <c r="C35" s="221">
        <f>VLOOKUP(B:B,'Курс валют'!A:D,4,0)</f>
        <v>100.7958</v>
      </c>
      <c r="D35" s="157">
        <v>663.0</v>
      </c>
      <c r="E35" s="158" t="s">
        <v>18</v>
      </c>
      <c r="F35" s="157">
        <v>4400.0</v>
      </c>
      <c r="G35" s="157">
        <v>4410.0</v>
      </c>
      <c r="H35" s="159">
        <v>2010.0</v>
      </c>
      <c r="I35" s="157">
        <f t="shared" si="1"/>
        <v>10</v>
      </c>
      <c r="J35" s="143">
        <f t="shared" si="2"/>
        <v>0.2272727273</v>
      </c>
      <c r="K35" s="159">
        <v>4.23</v>
      </c>
      <c r="L35" s="160">
        <f t="shared" si="3"/>
        <v>45.68181818</v>
      </c>
      <c r="M35" s="161">
        <f t="shared" si="4"/>
        <v>286.3883576</v>
      </c>
      <c r="N35" s="162">
        <f t="shared" si="5"/>
        <v>2.841272727</v>
      </c>
      <c r="O35" s="162">
        <f t="shared" si="6"/>
        <v>12501.6</v>
      </c>
      <c r="P35" s="163">
        <f t="shared" si="7"/>
        <v>1260108.773</v>
      </c>
      <c r="R35" s="225"/>
      <c r="S35" s="165"/>
      <c r="T35" s="165"/>
      <c r="U35" s="165"/>
      <c r="V35" s="165"/>
      <c r="W35" s="165"/>
      <c r="X35" s="165"/>
      <c r="Y35" s="165"/>
      <c r="Z35" s="165"/>
      <c r="AA35" s="165"/>
    </row>
    <row r="36">
      <c r="A36" s="189">
        <v>45548.0</v>
      </c>
      <c r="B36" s="68">
        <v>45548.0</v>
      </c>
      <c r="C36" s="178">
        <f>VLOOKUP(B:B,'Курс валют'!A:D,4,0)</f>
        <v>100.3907</v>
      </c>
      <c r="D36" s="182">
        <v>664.0</v>
      </c>
      <c r="E36" s="190" t="s">
        <v>54</v>
      </c>
      <c r="F36" s="182">
        <v>1600.0</v>
      </c>
      <c r="G36" s="182">
        <v>1564.2</v>
      </c>
      <c r="H36" s="181">
        <v>0.0</v>
      </c>
      <c r="I36" s="182">
        <f t="shared" si="1"/>
        <v>-35.8</v>
      </c>
      <c r="J36" s="183">
        <f t="shared" si="2"/>
        <v>-2.2375</v>
      </c>
      <c r="K36" s="181">
        <v>1.94</v>
      </c>
      <c r="L36" s="185">
        <f t="shared" si="3"/>
        <v>0</v>
      </c>
      <c r="M36" s="186">
        <f t="shared" si="4"/>
        <v>194.757958</v>
      </c>
      <c r="N36" s="187">
        <f t="shared" si="5"/>
        <v>1.94</v>
      </c>
      <c r="O36" s="187">
        <f t="shared" si="6"/>
        <v>3104</v>
      </c>
      <c r="P36" s="188">
        <f t="shared" si="7"/>
        <v>311612.7328</v>
      </c>
      <c r="R36" s="171"/>
    </row>
    <row r="37">
      <c r="A37" s="189">
        <v>45548.0</v>
      </c>
      <c r="B37" s="68">
        <v>45551.0</v>
      </c>
      <c r="C37" s="178">
        <f>VLOOKUP(B:B,'Курс валют'!A:D,4,0)</f>
        <v>100.7958</v>
      </c>
      <c r="D37" s="182">
        <v>665.0</v>
      </c>
      <c r="E37" s="190" t="s">
        <v>78</v>
      </c>
      <c r="F37" s="182">
        <v>900.0</v>
      </c>
      <c r="G37" s="182">
        <v>929.0</v>
      </c>
      <c r="H37" s="181">
        <v>500.0</v>
      </c>
      <c r="I37" s="182">
        <f t="shared" si="1"/>
        <v>29</v>
      </c>
      <c r="J37" s="183">
        <f t="shared" si="2"/>
        <v>3.222222222</v>
      </c>
      <c r="K37" s="181">
        <v>3.79</v>
      </c>
      <c r="L37" s="185">
        <f t="shared" si="3"/>
        <v>55.55555556</v>
      </c>
      <c r="M37" s="186">
        <f t="shared" si="4"/>
        <v>211.7831753</v>
      </c>
      <c r="N37" s="187">
        <f t="shared" si="5"/>
        <v>2.101111111</v>
      </c>
      <c r="O37" s="187">
        <f t="shared" si="6"/>
        <v>1891</v>
      </c>
      <c r="P37" s="188">
        <f t="shared" si="7"/>
        <v>190604.8578</v>
      </c>
      <c r="R37" s="171"/>
    </row>
    <row r="38">
      <c r="A38" s="189">
        <v>45548.0</v>
      </c>
      <c r="B38" s="68">
        <v>45551.0</v>
      </c>
      <c r="C38" s="178">
        <f>VLOOKUP(B:B,'Курс валют'!A:D,4,0)</f>
        <v>100.7958</v>
      </c>
      <c r="D38" s="182">
        <v>666.0</v>
      </c>
      <c r="E38" s="190" t="s">
        <v>78</v>
      </c>
      <c r="F38" s="182">
        <v>900.0</v>
      </c>
      <c r="G38" s="182">
        <v>928.0</v>
      </c>
      <c r="H38" s="181">
        <v>500.0</v>
      </c>
      <c r="I38" s="182">
        <f t="shared" si="1"/>
        <v>28</v>
      </c>
      <c r="J38" s="183">
        <f t="shared" si="2"/>
        <v>3.111111111</v>
      </c>
      <c r="K38" s="181">
        <v>3.79</v>
      </c>
      <c r="L38" s="185">
        <f t="shared" si="3"/>
        <v>55.55555556</v>
      </c>
      <c r="M38" s="186">
        <f t="shared" si="4"/>
        <v>211.7831753</v>
      </c>
      <c r="N38" s="187">
        <f t="shared" si="5"/>
        <v>2.101111111</v>
      </c>
      <c r="O38" s="187">
        <f t="shared" si="6"/>
        <v>1891</v>
      </c>
      <c r="P38" s="188">
        <f t="shared" si="7"/>
        <v>190604.8578</v>
      </c>
      <c r="R38" s="175"/>
    </row>
    <row r="39">
      <c r="A39" s="189">
        <v>45550.0</v>
      </c>
      <c r="B39" s="68">
        <v>45551.0</v>
      </c>
      <c r="C39" s="178">
        <f>VLOOKUP(B:B,'Курс валют'!A:D,4,0)</f>
        <v>100.7958</v>
      </c>
      <c r="D39" s="182">
        <v>667.0</v>
      </c>
      <c r="E39" s="190" t="s">
        <v>78</v>
      </c>
      <c r="F39" s="182">
        <v>900.0</v>
      </c>
      <c r="G39" s="182">
        <v>927.0</v>
      </c>
      <c r="H39" s="181">
        <v>500.0</v>
      </c>
      <c r="I39" s="182">
        <f t="shared" si="1"/>
        <v>27</v>
      </c>
      <c r="J39" s="183">
        <f t="shared" si="2"/>
        <v>3</v>
      </c>
      <c r="K39" s="181">
        <v>3.79</v>
      </c>
      <c r="L39" s="185">
        <f t="shared" si="3"/>
        <v>55.55555556</v>
      </c>
      <c r="M39" s="186">
        <f t="shared" si="4"/>
        <v>211.7831753</v>
      </c>
      <c r="N39" s="187">
        <f t="shared" si="5"/>
        <v>2.101111111</v>
      </c>
      <c r="O39" s="187">
        <f t="shared" si="6"/>
        <v>1891</v>
      </c>
      <c r="P39" s="188">
        <f t="shared" si="7"/>
        <v>190604.8578</v>
      </c>
      <c r="R39" s="175"/>
    </row>
    <row r="40">
      <c r="A40" s="155">
        <v>45551.0</v>
      </c>
      <c r="B40" s="83">
        <v>45551.0</v>
      </c>
      <c r="C40" s="221">
        <f>VLOOKUP(B:B,'Курс валют'!A:D,4,0)</f>
        <v>100.7958</v>
      </c>
      <c r="D40" s="157">
        <v>668.0</v>
      </c>
      <c r="E40" s="158" t="s">
        <v>18</v>
      </c>
      <c r="F40" s="157">
        <v>6600.0</v>
      </c>
      <c r="G40" s="157">
        <v>6620.0</v>
      </c>
      <c r="H40" s="159">
        <v>3020.0</v>
      </c>
      <c r="I40" s="157">
        <f t="shared" si="1"/>
        <v>20</v>
      </c>
      <c r="J40" s="143">
        <f t="shared" si="2"/>
        <v>0.303030303</v>
      </c>
      <c r="K40" s="159">
        <v>4.23</v>
      </c>
      <c r="L40" s="160">
        <f t="shared" si="3"/>
        <v>45.75757576</v>
      </c>
      <c r="M40" s="161">
        <f t="shared" si="4"/>
        <v>286.1562218</v>
      </c>
      <c r="N40" s="162">
        <f t="shared" si="5"/>
        <v>2.838969697</v>
      </c>
      <c r="O40" s="162">
        <f t="shared" si="6"/>
        <v>18737.2</v>
      </c>
      <c r="P40" s="163">
        <f t="shared" si="7"/>
        <v>1888631.064</v>
      </c>
      <c r="R40" s="225"/>
      <c r="S40" s="165"/>
      <c r="T40" s="165"/>
      <c r="U40" s="165"/>
      <c r="V40" s="165"/>
      <c r="W40" s="165"/>
      <c r="X40" s="165"/>
      <c r="Y40" s="165"/>
      <c r="Z40" s="165"/>
      <c r="AA40" s="165"/>
    </row>
    <row r="41">
      <c r="A41" s="189">
        <v>45552.0</v>
      </c>
      <c r="B41" s="68">
        <v>45552.0</v>
      </c>
      <c r="C41" s="178">
        <f>VLOOKUP(B:B,'Курс валют'!A:D,4,0)</f>
        <v>101.2789</v>
      </c>
      <c r="D41" s="182">
        <v>669.0</v>
      </c>
      <c r="E41" s="190" t="s">
        <v>92</v>
      </c>
      <c r="F41" s="182">
        <v>600.0</v>
      </c>
      <c r="G41" s="182">
        <v>618.5</v>
      </c>
      <c r="H41" s="201">
        <v>0.0</v>
      </c>
      <c r="I41" s="182">
        <f t="shared" si="1"/>
        <v>18.5</v>
      </c>
      <c r="J41" s="183">
        <f t="shared" si="2"/>
        <v>3.083333333</v>
      </c>
      <c r="K41" s="181">
        <v>2.62</v>
      </c>
      <c r="L41" s="185">
        <f t="shared" si="3"/>
        <v>0</v>
      </c>
      <c r="M41" s="186">
        <f t="shared" si="4"/>
        <v>265.350718</v>
      </c>
      <c r="N41" s="187">
        <f t="shared" si="5"/>
        <v>2.62</v>
      </c>
      <c r="O41" s="187">
        <f t="shared" si="6"/>
        <v>1572</v>
      </c>
      <c r="P41" s="188">
        <f t="shared" si="7"/>
        <v>159210.4308</v>
      </c>
      <c r="R41" s="171"/>
    </row>
    <row r="42">
      <c r="A42" s="189">
        <v>45552.0</v>
      </c>
      <c r="B42" s="68">
        <v>45552.0</v>
      </c>
      <c r="C42" s="178">
        <f>VLOOKUP(B:B,'Курс валют'!A:D,4,0)</f>
        <v>101.2789</v>
      </c>
      <c r="D42" s="182">
        <v>670.0</v>
      </c>
      <c r="E42" s="190" t="s">
        <v>99</v>
      </c>
      <c r="F42" s="182">
        <v>200.0</v>
      </c>
      <c r="G42" s="182">
        <v>207.6</v>
      </c>
      <c r="H42" s="201">
        <v>0.0</v>
      </c>
      <c r="I42" s="182">
        <f t="shared" si="1"/>
        <v>7.6</v>
      </c>
      <c r="J42" s="183">
        <f t="shared" si="2"/>
        <v>3.8</v>
      </c>
      <c r="K42" s="181">
        <v>2.54</v>
      </c>
      <c r="L42" s="185">
        <f t="shared" si="3"/>
        <v>0</v>
      </c>
      <c r="M42" s="186">
        <f t="shared" si="4"/>
        <v>257.248406</v>
      </c>
      <c r="N42" s="187">
        <f t="shared" si="5"/>
        <v>2.54</v>
      </c>
      <c r="O42" s="187">
        <f t="shared" si="6"/>
        <v>508</v>
      </c>
      <c r="P42" s="188">
        <f t="shared" si="7"/>
        <v>51449.6812</v>
      </c>
      <c r="R42" s="175"/>
    </row>
    <row r="43">
      <c r="A43" s="189">
        <v>45552.0</v>
      </c>
      <c r="B43" s="68">
        <v>45552.0</v>
      </c>
      <c r="C43" s="178">
        <f>VLOOKUP(B:B,'Курс валют'!A:D,4,0)</f>
        <v>101.2789</v>
      </c>
      <c r="D43" s="182">
        <v>671.0</v>
      </c>
      <c r="E43" s="190" t="s">
        <v>81</v>
      </c>
      <c r="F43" s="182">
        <v>1000.0</v>
      </c>
      <c r="G43" s="182">
        <v>1025.0</v>
      </c>
      <c r="H43" s="201">
        <v>110.0</v>
      </c>
      <c r="I43" s="182">
        <f t="shared" si="1"/>
        <v>25</v>
      </c>
      <c r="J43" s="183">
        <f t="shared" si="2"/>
        <v>2.5</v>
      </c>
      <c r="K43" s="181">
        <v>2.77</v>
      </c>
      <c r="L43" s="185">
        <f t="shared" si="3"/>
        <v>11</v>
      </c>
      <c r="M43" s="186">
        <f t="shared" si="4"/>
        <v>246.6748888</v>
      </c>
      <c r="N43" s="187">
        <f t="shared" si="5"/>
        <v>2.4356</v>
      </c>
      <c r="O43" s="187">
        <f t="shared" si="6"/>
        <v>2435.6</v>
      </c>
      <c r="P43" s="188">
        <f t="shared" si="7"/>
        <v>246674.8888</v>
      </c>
      <c r="R43" s="177"/>
    </row>
    <row r="44">
      <c r="A44" s="189">
        <v>45552.0</v>
      </c>
      <c r="B44" s="68">
        <v>45552.0</v>
      </c>
      <c r="C44" s="178">
        <f>VLOOKUP(B:B,'Курс валют'!A:D,4,0)</f>
        <v>101.2789</v>
      </c>
      <c r="D44" s="182">
        <v>672.0</v>
      </c>
      <c r="E44" s="190" t="s">
        <v>2356</v>
      </c>
      <c r="F44" s="182">
        <v>880.0</v>
      </c>
      <c r="G44" s="182">
        <v>881.0</v>
      </c>
      <c r="H44" s="201">
        <v>100.0</v>
      </c>
      <c r="I44" s="182">
        <f t="shared" si="1"/>
        <v>1</v>
      </c>
      <c r="J44" s="183">
        <f t="shared" si="2"/>
        <v>0.1136363636</v>
      </c>
      <c r="K44" s="181">
        <v>2.77</v>
      </c>
      <c r="L44" s="185">
        <f t="shared" si="3"/>
        <v>11.36363636</v>
      </c>
      <c r="M44" s="186">
        <f t="shared" si="4"/>
        <v>245.5552966</v>
      </c>
      <c r="N44" s="187">
        <f t="shared" si="5"/>
        <v>2.424545455</v>
      </c>
      <c r="O44" s="187">
        <f t="shared" si="6"/>
        <v>2133.6</v>
      </c>
      <c r="P44" s="188">
        <f t="shared" si="7"/>
        <v>216088.661</v>
      </c>
      <c r="R44" s="175"/>
    </row>
    <row r="45">
      <c r="A45" s="189">
        <v>45553.0</v>
      </c>
      <c r="B45" s="68">
        <v>45553.0</v>
      </c>
      <c r="C45" s="178">
        <f>VLOOKUP(B:B,'Курс валют'!A:D,4,0)</f>
        <v>101.5057</v>
      </c>
      <c r="D45" s="182">
        <v>673.0</v>
      </c>
      <c r="E45" s="190" t="s">
        <v>53</v>
      </c>
      <c r="F45" s="182">
        <v>8000.0</v>
      </c>
      <c r="G45" s="182">
        <v>8020.0</v>
      </c>
      <c r="H45" s="181">
        <v>0.0</v>
      </c>
      <c r="I45" s="182">
        <f t="shared" si="1"/>
        <v>20</v>
      </c>
      <c r="J45" s="183">
        <f t="shared" si="2"/>
        <v>0.25</v>
      </c>
      <c r="K45" s="181">
        <v>1.94</v>
      </c>
      <c r="L45" s="185">
        <f t="shared" si="3"/>
        <v>0</v>
      </c>
      <c r="M45" s="186">
        <f t="shared" si="4"/>
        <v>196.921058</v>
      </c>
      <c r="N45" s="187">
        <f t="shared" si="5"/>
        <v>1.94</v>
      </c>
      <c r="O45" s="187">
        <f t="shared" si="6"/>
        <v>15520</v>
      </c>
      <c r="P45" s="188">
        <f t="shared" si="7"/>
        <v>1575368.464</v>
      </c>
      <c r="R45" s="175"/>
    </row>
    <row r="46">
      <c r="A46" s="189">
        <v>45553.0</v>
      </c>
      <c r="B46" s="68">
        <v>45553.0</v>
      </c>
      <c r="C46" s="178">
        <f>VLOOKUP(B:B,'Курс валют'!A:D,4,0)</f>
        <v>101.5057</v>
      </c>
      <c r="D46" s="182">
        <v>674.0</v>
      </c>
      <c r="E46" s="190" t="s">
        <v>78</v>
      </c>
      <c r="F46" s="182">
        <v>900.0</v>
      </c>
      <c r="G46" s="182">
        <v>935.0</v>
      </c>
      <c r="H46" s="181">
        <v>495.0</v>
      </c>
      <c r="I46" s="182">
        <f t="shared" si="1"/>
        <v>35</v>
      </c>
      <c r="J46" s="183">
        <f t="shared" si="2"/>
        <v>3.888888889</v>
      </c>
      <c r="K46" s="181">
        <v>3.81</v>
      </c>
      <c r="L46" s="185">
        <f t="shared" si="3"/>
        <v>55</v>
      </c>
      <c r="M46" s="186">
        <f t="shared" si="4"/>
        <v>217.0191866</v>
      </c>
      <c r="N46" s="187">
        <f t="shared" si="5"/>
        <v>2.138</v>
      </c>
      <c r="O46" s="187">
        <f t="shared" si="6"/>
        <v>1924.2</v>
      </c>
      <c r="P46" s="188">
        <f t="shared" si="7"/>
        <v>195317.2679</v>
      </c>
      <c r="R46" s="175"/>
    </row>
    <row r="47">
      <c r="A47" s="189">
        <v>45554.0</v>
      </c>
      <c r="B47" s="68">
        <v>45554.0</v>
      </c>
      <c r="C47" s="178">
        <f>VLOOKUP(B:B,'Курс валют'!A:D,4,0)</f>
        <v>102.039</v>
      </c>
      <c r="D47" s="182">
        <v>675.0</v>
      </c>
      <c r="E47" s="190" t="s">
        <v>53</v>
      </c>
      <c r="F47" s="182">
        <v>7200.0</v>
      </c>
      <c r="G47" s="182">
        <v>7202.0</v>
      </c>
      <c r="H47" s="181">
        <v>0.0</v>
      </c>
      <c r="I47" s="182">
        <f t="shared" si="1"/>
        <v>2</v>
      </c>
      <c r="J47" s="183">
        <f t="shared" si="2"/>
        <v>0.02777777778</v>
      </c>
      <c r="K47" s="181">
        <v>1.94</v>
      </c>
      <c r="L47" s="185">
        <f t="shared" si="3"/>
        <v>0</v>
      </c>
      <c r="M47" s="186">
        <f t="shared" si="4"/>
        <v>197.95566</v>
      </c>
      <c r="N47" s="187">
        <f t="shared" si="5"/>
        <v>1.94</v>
      </c>
      <c r="O47" s="187">
        <f t="shared" si="6"/>
        <v>13968</v>
      </c>
      <c r="P47" s="188">
        <f t="shared" si="7"/>
        <v>1425280.752</v>
      </c>
      <c r="R47" s="171"/>
    </row>
    <row r="48">
      <c r="A48" s="189">
        <v>45555.0</v>
      </c>
      <c r="B48" s="68">
        <v>45555.0</v>
      </c>
      <c r="C48" s="178">
        <f>VLOOKUP(B:B,'Курс валют'!A:D,4,0)</f>
        <v>103.249</v>
      </c>
      <c r="D48" s="182">
        <v>676.0</v>
      </c>
      <c r="E48" s="210" t="s">
        <v>18</v>
      </c>
      <c r="F48" s="182">
        <v>6600.0</v>
      </c>
      <c r="G48" s="182">
        <v>6625.0</v>
      </c>
      <c r="H48" s="181">
        <v>3025.0</v>
      </c>
      <c r="I48" s="182">
        <f t="shared" si="1"/>
        <v>25</v>
      </c>
      <c r="J48" s="183">
        <f t="shared" si="2"/>
        <v>0.3787878788</v>
      </c>
      <c r="K48" s="181">
        <v>3.87</v>
      </c>
      <c r="L48" s="185">
        <f t="shared" si="3"/>
        <v>45.83333333</v>
      </c>
      <c r="M48" s="186">
        <f t="shared" si="4"/>
        <v>255.7133567</v>
      </c>
      <c r="N48" s="187">
        <f t="shared" si="5"/>
        <v>2.476666667</v>
      </c>
      <c r="O48" s="187">
        <f t="shared" si="6"/>
        <v>16346</v>
      </c>
      <c r="P48" s="188">
        <f t="shared" si="7"/>
        <v>1687708.154</v>
      </c>
      <c r="R48" s="175"/>
    </row>
    <row r="49">
      <c r="A49" s="189">
        <v>45555.0</v>
      </c>
      <c r="B49" s="68">
        <v>45555.0</v>
      </c>
      <c r="C49" s="178">
        <f>VLOOKUP(B:B,'Курс валют'!A:D,4,0)</f>
        <v>103.249</v>
      </c>
      <c r="D49" s="182">
        <v>677.0</v>
      </c>
      <c r="E49" s="210" t="s">
        <v>63</v>
      </c>
      <c r="F49" s="182">
        <v>900.0</v>
      </c>
      <c r="G49" s="182">
        <v>933.0</v>
      </c>
      <c r="H49" s="181">
        <v>368.0</v>
      </c>
      <c r="I49" s="182">
        <f t="shared" si="1"/>
        <v>33</v>
      </c>
      <c r="J49" s="183">
        <f t="shared" si="2"/>
        <v>3.666666667</v>
      </c>
      <c r="K49" s="181">
        <v>3.24</v>
      </c>
      <c r="L49" s="185">
        <f t="shared" si="3"/>
        <v>40.88888889</v>
      </c>
      <c r="M49" s="186">
        <f t="shared" si="4"/>
        <v>206.1859586</v>
      </c>
      <c r="N49" s="187">
        <f t="shared" si="5"/>
        <v>1.996977778</v>
      </c>
      <c r="O49" s="187">
        <f t="shared" si="6"/>
        <v>1797.28</v>
      </c>
      <c r="P49" s="188">
        <f t="shared" si="7"/>
        <v>185567.3627</v>
      </c>
      <c r="R49" s="175"/>
    </row>
    <row r="50">
      <c r="A50" s="189">
        <v>45555.0</v>
      </c>
      <c r="B50" s="68">
        <v>45555.0</v>
      </c>
      <c r="C50" s="178">
        <f>VLOOKUP(B:B,'Курс валют'!A:D,4,0)</f>
        <v>103.249</v>
      </c>
      <c r="D50" s="182">
        <v>678.0</v>
      </c>
      <c r="E50" s="210" t="s">
        <v>63</v>
      </c>
      <c r="F50" s="182">
        <v>900.0</v>
      </c>
      <c r="G50" s="182">
        <v>930.0</v>
      </c>
      <c r="H50" s="181">
        <v>366.0</v>
      </c>
      <c r="I50" s="182">
        <f t="shared" si="1"/>
        <v>30</v>
      </c>
      <c r="J50" s="183">
        <f t="shared" si="2"/>
        <v>3.333333333</v>
      </c>
      <c r="K50" s="181">
        <v>3.24</v>
      </c>
      <c r="L50" s="185">
        <f t="shared" si="3"/>
        <v>40.66666667</v>
      </c>
      <c r="M50" s="186">
        <f t="shared" si="4"/>
        <v>206.8834629</v>
      </c>
      <c r="N50" s="187">
        <f t="shared" si="5"/>
        <v>2.003733333</v>
      </c>
      <c r="O50" s="187">
        <f t="shared" si="6"/>
        <v>1803.36</v>
      </c>
      <c r="P50" s="188">
        <f t="shared" si="7"/>
        <v>186195.1166</v>
      </c>
      <c r="R50" s="175"/>
    </row>
    <row r="51">
      <c r="A51" s="189">
        <v>45555.0</v>
      </c>
      <c r="B51" s="68">
        <v>45558.0</v>
      </c>
      <c r="C51" s="178">
        <f>VLOOKUP(B:B,'Курс валют'!A:D,4,0)</f>
        <v>103.3773</v>
      </c>
      <c r="D51" s="182">
        <v>679.0</v>
      </c>
      <c r="E51" s="210" t="s">
        <v>18</v>
      </c>
      <c r="F51" s="182">
        <v>6600.0</v>
      </c>
      <c r="G51" s="182">
        <v>6615.0</v>
      </c>
      <c r="H51" s="181">
        <v>3015.0</v>
      </c>
      <c r="I51" s="182">
        <f t="shared" si="1"/>
        <v>15</v>
      </c>
      <c r="J51" s="183">
        <f t="shared" si="2"/>
        <v>0.2272727273</v>
      </c>
      <c r="K51" s="181">
        <v>3.87</v>
      </c>
      <c r="L51" s="185">
        <f t="shared" si="3"/>
        <v>45.68181818</v>
      </c>
      <c r="M51" s="186">
        <f t="shared" si="4"/>
        <v>256.5072751</v>
      </c>
      <c r="N51" s="187">
        <f t="shared" si="5"/>
        <v>2.481272727</v>
      </c>
      <c r="O51" s="187">
        <f t="shared" si="6"/>
        <v>16376.4</v>
      </c>
      <c r="P51" s="188">
        <f t="shared" si="7"/>
        <v>1692948.016</v>
      </c>
      <c r="R51" s="175"/>
    </row>
    <row r="52">
      <c r="A52" s="189">
        <v>45555.0</v>
      </c>
      <c r="B52" s="68">
        <v>45558.0</v>
      </c>
      <c r="C52" s="178">
        <f>VLOOKUP(B:B,'Курс валют'!A:D,4,0)</f>
        <v>103.3773</v>
      </c>
      <c r="D52" s="182">
        <v>680.0</v>
      </c>
      <c r="E52" s="210" t="s">
        <v>63</v>
      </c>
      <c r="F52" s="182">
        <v>1125.0</v>
      </c>
      <c r="G52" s="182">
        <v>1136.0</v>
      </c>
      <c r="H52" s="181">
        <v>449.0</v>
      </c>
      <c r="I52" s="182">
        <f t="shared" si="1"/>
        <v>11</v>
      </c>
      <c r="J52" s="183">
        <f t="shared" si="2"/>
        <v>0.9777777778</v>
      </c>
      <c r="K52" s="181">
        <v>3.21</v>
      </c>
      <c r="L52" s="185">
        <f t="shared" si="3"/>
        <v>39.91111111</v>
      </c>
      <c r="M52" s="186">
        <f t="shared" si="4"/>
        <v>206.4136846</v>
      </c>
      <c r="N52" s="187">
        <f t="shared" si="5"/>
        <v>1.996702222</v>
      </c>
      <c r="O52" s="187">
        <f t="shared" si="6"/>
        <v>2246.29</v>
      </c>
      <c r="P52" s="188">
        <f t="shared" si="7"/>
        <v>232215.3952</v>
      </c>
      <c r="R52" s="171"/>
    </row>
    <row r="53">
      <c r="A53" s="189">
        <v>45555.0</v>
      </c>
      <c r="B53" s="68">
        <v>45558.0</v>
      </c>
      <c r="C53" s="178">
        <f>VLOOKUP(B:B,'Курс валют'!A:D,4,0)</f>
        <v>103.3773</v>
      </c>
      <c r="D53" s="182">
        <v>681.0</v>
      </c>
      <c r="E53" s="210" t="s">
        <v>18</v>
      </c>
      <c r="F53" s="182">
        <v>6600.0</v>
      </c>
      <c r="G53" s="182">
        <v>6610.0</v>
      </c>
      <c r="H53" s="181">
        <v>3015.0</v>
      </c>
      <c r="I53" s="182">
        <f t="shared" si="1"/>
        <v>10</v>
      </c>
      <c r="J53" s="183">
        <f t="shared" si="2"/>
        <v>0.1515151515</v>
      </c>
      <c r="K53" s="181">
        <v>3.87</v>
      </c>
      <c r="L53" s="185">
        <f t="shared" si="3"/>
        <v>45.68181818</v>
      </c>
      <c r="M53" s="186">
        <f t="shared" si="4"/>
        <v>256.5072751</v>
      </c>
      <c r="N53" s="187">
        <f t="shared" si="5"/>
        <v>2.481272727</v>
      </c>
      <c r="O53" s="187">
        <f t="shared" si="6"/>
        <v>16376.4</v>
      </c>
      <c r="P53" s="188">
        <f t="shared" si="7"/>
        <v>1692948.016</v>
      </c>
      <c r="R53" s="171"/>
    </row>
    <row r="54">
      <c r="A54" s="189">
        <v>45555.0</v>
      </c>
      <c r="B54" s="68">
        <v>45558.0</v>
      </c>
      <c r="C54" s="178">
        <f>VLOOKUP(B:B,'Курс валют'!A:D,4,0)</f>
        <v>103.3773</v>
      </c>
      <c r="D54" s="182">
        <v>682.0</v>
      </c>
      <c r="E54" s="210" t="s">
        <v>63</v>
      </c>
      <c r="F54" s="182">
        <v>900.0</v>
      </c>
      <c r="G54" s="182">
        <v>943.0</v>
      </c>
      <c r="H54" s="181">
        <v>380.0</v>
      </c>
      <c r="I54" s="182">
        <f t="shared" si="1"/>
        <v>43</v>
      </c>
      <c r="J54" s="183">
        <f t="shared" si="2"/>
        <v>4.777777778</v>
      </c>
      <c r="K54" s="181">
        <v>3.21</v>
      </c>
      <c r="L54" s="185">
        <f t="shared" si="3"/>
        <v>42.22222222</v>
      </c>
      <c r="M54" s="186">
        <f t="shared" si="4"/>
        <v>199.1506253</v>
      </c>
      <c r="N54" s="187">
        <f t="shared" si="5"/>
        <v>1.926444444</v>
      </c>
      <c r="O54" s="187">
        <f t="shared" si="6"/>
        <v>1733.8</v>
      </c>
      <c r="P54" s="188">
        <f t="shared" si="7"/>
        <v>179235.5627</v>
      </c>
      <c r="R54" s="171"/>
    </row>
    <row r="55">
      <c r="A55" s="189">
        <v>45555.0</v>
      </c>
      <c r="B55" s="68">
        <v>45558.0</v>
      </c>
      <c r="C55" s="178">
        <f>VLOOKUP(B:B,'Курс валют'!A:D,4,0)</f>
        <v>103.3773</v>
      </c>
      <c r="D55" s="182">
        <v>683.0</v>
      </c>
      <c r="E55" s="210" t="s">
        <v>63</v>
      </c>
      <c r="F55" s="182">
        <v>900.0</v>
      </c>
      <c r="G55" s="182">
        <v>931.0</v>
      </c>
      <c r="H55" s="181">
        <v>370.0</v>
      </c>
      <c r="I55" s="182">
        <f t="shared" si="1"/>
        <v>31</v>
      </c>
      <c r="J55" s="183">
        <f t="shared" si="2"/>
        <v>3.444444444</v>
      </c>
      <c r="K55" s="181">
        <v>3.21</v>
      </c>
      <c r="L55" s="185">
        <f t="shared" si="3"/>
        <v>41.11111111</v>
      </c>
      <c r="M55" s="186">
        <f t="shared" si="4"/>
        <v>202.6424807</v>
      </c>
      <c r="N55" s="187">
        <f t="shared" si="5"/>
        <v>1.960222222</v>
      </c>
      <c r="O55" s="187">
        <f t="shared" si="6"/>
        <v>1764.2</v>
      </c>
      <c r="P55" s="188">
        <f t="shared" si="7"/>
        <v>182378.2327</v>
      </c>
      <c r="R55" s="171"/>
    </row>
    <row r="56">
      <c r="A56" s="189">
        <v>45558.0</v>
      </c>
      <c r="B56" s="68">
        <v>45558.0</v>
      </c>
      <c r="C56" s="178">
        <f>VLOOKUP(B:B,'Курс валют'!A:D,4,0)</f>
        <v>103.3773</v>
      </c>
      <c r="D56" s="182">
        <v>684.0</v>
      </c>
      <c r="E56" s="210" t="s">
        <v>18</v>
      </c>
      <c r="F56" s="182">
        <v>6600.0</v>
      </c>
      <c r="G56" s="182">
        <v>6615.0</v>
      </c>
      <c r="H56" s="181">
        <v>3020.0</v>
      </c>
      <c r="I56" s="182">
        <f t="shared" si="1"/>
        <v>15</v>
      </c>
      <c r="J56" s="183">
        <f t="shared" si="2"/>
        <v>0.2272727273</v>
      </c>
      <c r="K56" s="181">
        <v>3.87</v>
      </c>
      <c r="L56" s="185">
        <f t="shared" si="3"/>
        <v>45.75757576</v>
      </c>
      <c r="M56" s="186">
        <f t="shared" si="4"/>
        <v>256.2691941</v>
      </c>
      <c r="N56" s="187">
        <f t="shared" si="5"/>
        <v>2.478969697</v>
      </c>
      <c r="O56" s="187">
        <f t="shared" si="6"/>
        <v>16361.2</v>
      </c>
      <c r="P56" s="188">
        <f t="shared" si="7"/>
        <v>1691376.681</v>
      </c>
      <c r="R56" s="171"/>
    </row>
    <row r="57">
      <c r="A57" s="189">
        <v>45558.0</v>
      </c>
      <c r="B57" s="68">
        <v>45558.0</v>
      </c>
      <c r="C57" s="178">
        <f>VLOOKUP(B:B,'Курс валют'!A:D,4,0)</f>
        <v>103.3773</v>
      </c>
      <c r="D57" s="182">
        <v>685.0</v>
      </c>
      <c r="E57" s="210" t="s">
        <v>79</v>
      </c>
      <c r="F57" s="182">
        <v>220.0</v>
      </c>
      <c r="G57" s="182">
        <v>220.0</v>
      </c>
      <c r="H57" s="181">
        <v>0.0</v>
      </c>
      <c r="I57" s="182">
        <f t="shared" si="1"/>
        <v>0</v>
      </c>
      <c r="J57" s="183">
        <f t="shared" si="2"/>
        <v>0</v>
      </c>
      <c r="K57" s="181">
        <v>2.83</v>
      </c>
      <c r="L57" s="185">
        <f t="shared" si="3"/>
        <v>0</v>
      </c>
      <c r="M57" s="186">
        <f t="shared" si="4"/>
        <v>292.557759</v>
      </c>
      <c r="N57" s="187">
        <f t="shared" si="5"/>
        <v>2.83</v>
      </c>
      <c r="O57" s="187">
        <f t="shared" si="6"/>
        <v>622.6</v>
      </c>
      <c r="P57" s="188">
        <f t="shared" si="7"/>
        <v>64362.70698</v>
      </c>
      <c r="R57" s="172" t="s">
        <v>1101</v>
      </c>
    </row>
    <row r="58">
      <c r="A58" s="189">
        <v>45559.0</v>
      </c>
      <c r="B58" s="68">
        <v>45560.0</v>
      </c>
      <c r="C58" s="178">
        <f>VLOOKUP(B:B,'Курс валют'!A:D,4,0)</f>
        <v>103.41</v>
      </c>
      <c r="D58" s="182">
        <v>686.0</v>
      </c>
      <c r="E58" s="210" t="s">
        <v>18</v>
      </c>
      <c r="F58" s="182">
        <v>6600.0</v>
      </c>
      <c r="G58" s="182">
        <v>6615.0</v>
      </c>
      <c r="H58" s="181">
        <v>3020.0</v>
      </c>
      <c r="I58" s="182">
        <f t="shared" si="1"/>
        <v>15</v>
      </c>
      <c r="J58" s="183">
        <f t="shared" si="2"/>
        <v>0.2272727273</v>
      </c>
      <c r="K58" s="181">
        <v>3.87</v>
      </c>
      <c r="L58" s="185">
        <f t="shared" si="3"/>
        <v>45.75757576</v>
      </c>
      <c r="M58" s="186">
        <f t="shared" si="4"/>
        <v>256.3502564</v>
      </c>
      <c r="N58" s="187">
        <f t="shared" si="5"/>
        <v>2.478969697</v>
      </c>
      <c r="O58" s="187">
        <f t="shared" si="6"/>
        <v>16361.2</v>
      </c>
      <c r="P58" s="188">
        <f t="shared" si="7"/>
        <v>1691911.692</v>
      </c>
      <c r="R58" s="171"/>
    </row>
    <row r="59">
      <c r="A59" s="189">
        <v>45559.0</v>
      </c>
      <c r="B59" s="68">
        <v>45560.0</v>
      </c>
      <c r="C59" s="178">
        <f>VLOOKUP(B:B,'Курс валют'!A:D,4,0)</f>
        <v>103.41</v>
      </c>
      <c r="D59" s="182">
        <v>687.0</v>
      </c>
      <c r="E59" s="210" t="s">
        <v>63</v>
      </c>
      <c r="F59" s="182">
        <v>900.0</v>
      </c>
      <c r="G59" s="182">
        <v>928.0</v>
      </c>
      <c r="H59" s="181">
        <v>370.0</v>
      </c>
      <c r="I59" s="182">
        <f t="shared" si="1"/>
        <v>28</v>
      </c>
      <c r="J59" s="183">
        <f t="shared" si="2"/>
        <v>3.111111111</v>
      </c>
      <c r="K59" s="181">
        <v>3.22</v>
      </c>
      <c r="L59" s="185">
        <f t="shared" si="3"/>
        <v>41.11111111</v>
      </c>
      <c r="M59" s="186">
        <f t="shared" si="4"/>
        <v>203.74068</v>
      </c>
      <c r="N59" s="187">
        <f t="shared" si="5"/>
        <v>1.970222222</v>
      </c>
      <c r="O59" s="187">
        <f t="shared" si="6"/>
        <v>1773.2</v>
      </c>
      <c r="P59" s="188">
        <f t="shared" si="7"/>
        <v>183366.612</v>
      </c>
      <c r="R59" s="171"/>
    </row>
    <row r="60">
      <c r="A60" s="214">
        <v>45560.0</v>
      </c>
      <c r="B60" s="68">
        <v>45561.0</v>
      </c>
      <c r="C60" s="178">
        <f>VLOOKUP(B:B,'Курс валют'!A:D,4,0)</f>
        <v>103.4758</v>
      </c>
      <c r="D60" s="182">
        <v>688.0</v>
      </c>
      <c r="E60" s="210" t="s">
        <v>18</v>
      </c>
      <c r="F60" s="182">
        <v>6600.0</v>
      </c>
      <c r="G60" s="182">
        <v>6607.0</v>
      </c>
      <c r="H60" s="181">
        <v>3012.0</v>
      </c>
      <c r="I60" s="182">
        <f t="shared" si="1"/>
        <v>7</v>
      </c>
      <c r="J60" s="183">
        <f t="shared" si="2"/>
        <v>0.1060606061</v>
      </c>
      <c r="K60" s="181">
        <v>3.86</v>
      </c>
      <c r="L60" s="185">
        <f t="shared" si="3"/>
        <v>45.63636364</v>
      </c>
      <c r="M60" s="186">
        <f t="shared" si="4"/>
        <v>255.8599072</v>
      </c>
      <c r="N60" s="187">
        <f t="shared" si="5"/>
        <v>2.472654545</v>
      </c>
      <c r="O60" s="187">
        <f t="shared" si="6"/>
        <v>16319.52</v>
      </c>
      <c r="P60" s="188">
        <f t="shared" si="7"/>
        <v>1688675.388</v>
      </c>
      <c r="R60" s="171"/>
    </row>
    <row r="61">
      <c r="A61" s="214">
        <v>45560.0</v>
      </c>
      <c r="B61" s="68">
        <v>45561.0</v>
      </c>
      <c r="C61" s="178">
        <f>VLOOKUP(B:B,'Курс валют'!A:D,4,0)</f>
        <v>103.4758</v>
      </c>
      <c r="D61" s="182">
        <v>689.0</v>
      </c>
      <c r="E61" s="210" t="s">
        <v>63</v>
      </c>
      <c r="F61" s="182">
        <v>900.0</v>
      </c>
      <c r="G61" s="182">
        <v>930.0</v>
      </c>
      <c r="H61" s="181">
        <v>370.0</v>
      </c>
      <c r="I61" s="182">
        <f t="shared" si="1"/>
        <v>30</v>
      </c>
      <c r="J61" s="183">
        <f t="shared" si="2"/>
        <v>3.333333333</v>
      </c>
      <c r="K61" s="181">
        <v>3.22</v>
      </c>
      <c r="L61" s="185">
        <f t="shared" si="3"/>
        <v>41.11111111</v>
      </c>
      <c r="M61" s="186">
        <f t="shared" si="4"/>
        <v>203.8703206</v>
      </c>
      <c r="N61" s="187">
        <f t="shared" si="5"/>
        <v>1.970222222</v>
      </c>
      <c r="O61" s="187">
        <f t="shared" si="6"/>
        <v>1773.2</v>
      </c>
      <c r="P61" s="188">
        <f t="shared" si="7"/>
        <v>183483.2886</v>
      </c>
      <c r="R61" s="171"/>
    </row>
    <row r="62">
      <c r="A62" s="189">
        <v>45560.0</v>
      </c>
      <c r="B62" s="68">
        <v>45561.0</v>
      </c>
      <c r="C62" s="178">
        <f>VLOOKUP(B:B,'Курс валют'!A:D,4,0)</f>
        <v>103.4758</v>
      </c>
      <c r="D62" s="182">
        <v>690.0</v>
      </c>
      <c r="E62" s="210" t="s">
        <v>63</v>
      </c>
      <c r="F62" s="182">
        <v>900.0</v>
      </c>
      <c r="G62" s="182">
        <v>930.0</v>
      </c>
      <c r="H62" s="181">
        <v>368.0</v>
      </c>
      <c r="I62" s="182">
        <f t="shared" si="1"/>
        <v>30</v>
      </c>
      <c r="J62" s="183">
        <f t="shared" si="2"/>
        <v>3.333333333</v>
      </c>
      <c r="K62" s="181">
        <v>3.22</v>
      </c>
      <c r="L62" s="185">
        <f t="shared" si="3"/>
        <v>40.88888889</v>
      </c>
      <c r="M62" s="186">
        <f t="shared" si="4"/>
        <v>204.5693571</v>
      </c>
      <c r="N62" s="187">
        <f t="shared" si="5"/>
        <v>1.976977778</v>
      </c>
      <c r="O62" s="187">
        <f t="shared" si="6"/>
        <v>1779.28</v>
      </c>
      <c r="P62" s="188">
        <f t="shared" si="7"/>
        <v>184112.4214</v>
      </c>
      <c r="R62" s="171"/>
    </row>
    <row r="63">
      <c r="A63" s="215">
        <v>45561.0</v>
      </c>
      <c r="B63" s="68">
        <v>45562.0</v>
      </c>
      <c r="C63" s="178">
        <f>VLOOKUP(B:B,'Курс валют'!A:D,4,0)</f>
        <v>103.1931</v>
      </c>
      <c r="D63" s="182">
        <v>691.0</v>
      </c>
      <c r="E63" s="210" t="s">
        <v>18</v>
      </c>
      <c r="F63" s="182">
        <v>6600.0</v>
      </c>
      <c r="G63" s="182">
        <v>6610.0</v>
      </c>
      <c r="H63" s="181">
        <v>3015.0</v>
      </c>
      <c r="I63" s="182">
        <f t="shared" si="1"/>
        <v>10</v>
      </c>
      <c r="J63" s="183">
        <f t="shared" si="2"/>
        <v>0.1515151515</v>
      </c>
      <c r="K63" s="181">
        <v>3.86</v>
      </c>
      <c r="L63" s="185">
        <f t="shared" si="3"/>
        <v>45.68181818</v>
      </c>
      <c r="M63" s="186">
        <f t="shared" si="4"/>
        <v>255.0182937</v>
      </c>
      <c r="N63" s="187">
        <f t="shared" si="5"/>
        <v>2.471272727</v>
      </c>
      <c r="O63" s="187">
        <f t="shared" si="6"/>
        <v>16310.4</v>
      </c>
      <c r="P63" s="188">
        <f t="shared" si="7"/>
        <v>1683120.738</v>
      </c>
      <c r="R63" s="171"/>
    </row>
    <row r="64">
      <c r="A64" s="215">
        <v>45561.0</v>
      </c>
      <c r="B64" s="68">
        <v>45562.0</v>
      </c>
      <c r="C64" s="178">
        <f>VLOOKUP(B:B,'Курс валют'!A:D,4,0)</f>
        <v>103.1931</v>
      </c>
      <c r="D64" s="182">
        <v>692.0</v>
      </c>
      <c r="E64" s="210" t="s">
        <v>63</v>
      </c>
      <c r="F64" s="182">
        <v>900.0</v>
      </c>
      <c r="G64" s="182">
        <v>926.0</v>
      </c>
      <c r="H64" s="181">
        <v>367.0</v>
      </c>
      <c r="I64" s="182">
        <f t="shared" si="1"/>
        <v>26</v>
      </c>
      <c r="J64" s="183">
        <f t="shared" si="2"/>
        <v>2.888888889</v>
      </c>
      <c r="K64" s="181">
        <v>3.2</v>
      </c>
      <c r="L64" s="185">
        <f t="shared" si="3"/>
        <v>40.77777778</v>
      </c>
      <c r="M64" s="186">
        <f t="shared" si="4"/>
        <v>202.2951669</v>
      </c>
      <c r="N64" s="187">
        <f t="shared" si="5"/>
        <v>1.960355556</v>
      </c>
      <c r="O64" s="187">
        <f t="shared" si="6"/>
        <v>1764.32</v>
      </c>
      <c r="P64" s="188">
        <f t="shared" si="7"/>
        <v>182065.6502</v>
      </c>
      <c r="R64" s="171"/>
    </row>
    <row r="65">
      <c r="A65" s="215">
        <v>45562.0</v>
      </c>
      <c r="B65" s="68">
        <v>45565.0</v>
      </c>
      <c r="C65" s="178">
        <f>VLOOKUP(B:B,'Курс валют'!A:D,4,0)</f>
        <v>103.4694</v>
      </c>
      <c r="D65" s="182">
        <v>702.0</v>
      </c>
      <c r="E65" s="210" t="s">
        <v>2357</v>
      </c>
      <c r="F65" s="182">
        <v>200.0</v>
      </c>
      <c r="G65" s="182">
        <v>200.0</v>
      </c>
      <c r="H65" s="181">
        <v>0.0</v>
      </c>
      <c r="I65" s="182">
        <f t="shared" si="1"/>
        <v>0</v>
      </c>
      <c r="J65" s="183">
        <f t="shared" si="2"/>
        <v>0</v>
      </c>
      <c r="K65" s="181">
        <v>2.65</v>
      </c>
      <c r="L65" s="185">
        <f t="shared" si="3"/>
        <v>0</v>
      </c>
      <c r="M65" s="186">
        <f t="shared" si="4"/>
        <v>274.19391</v>
      </c>
      <c r="N65" s="187">
        <f t="shared" si="5"/>
        <v>2.65</v>
      </c>
      <c r="O65" s="187">
        <f t="shared" si="6"/>
        <v>530</v>
      </c>
      <c r="P65" s="188">
        <f t="shared" si="7"/>
        <v>54838.782</v>
      </c>
      <c r="R65" s="172" t="s">
        <v>1101</v>
      </c>
    </row>
    <row r="66">
      <c r="A66" s="215">
        <v>45562.0</v>
      </c>
      <c r="B66" s="68">
        <v>45565.0</v>
      </c>
      <c r="C66" s="178">
        <f>VLOOKUP(B:B,'Курс валют'!A:D,4,0)</f>
        <v>103.4694</v>
      </c>
      <c r="D66" s="182">
        <v>694.0</v>
      </c>
      <c r="E66" s="210" t="s">
        <v>18</v>
      </c>
      <c r="F66" s="182">
        <v>6600.0</v>
      </c>
      <c r="G66" s="182">
        <v>6624.0</v>
      </c>
      <c r="H66" s="181">
        <v>3015.0</v>
      </c>
      <c r="I66" s="182">
        <f t="shared" si="1"/>
        <v>24</v>
      </c>
      <c r="J66" s="183">
        <f t="shared" si="2"/>
        <v>0.3636363636</v>
      </c>
      <c r="K66" s="181">
        <v>3.97</v>
      </c>
      <c r="L66" s="185">
        <f t="shared" si="3"/>
        <v>45.68181818</v>
      </c>
      <c r="M66" s="186">
        <f t="shared" si="4"/>
        <v>267.0827403</v>
      </c>
      <c r="N66" s="187">
        <f t="shared" si="5"/>
        <v>2.581272727</v>
      </c>
      <c r="O66" s="187">
        <f t="shared" si="6"/>
        <v>17036.4</v>
      </c>
      <c r="P66" s="188">
        <f t="shared" si="7"/>
        <v>1762746.086</v>
      </c>
      <c r="R66" s="171"/>
    </row>
    <row r="67">
      <c r="A67" s="215">
        <v>45562.0</v>
      </c>
      <c r="B67" s="68">
        <v>45565.0</v>
      </c>
      <c r="C67" s="178">
        <f>VLOOKUP(B:B,'Курс валют'!A:D,4,0)</f>
        <v>103.4694</v>
      </c>
      <c r="D67" s="182">
        <v>696.0</v>
      </c>
      <c r="E67" s="210" t="s">
        <v>18</v>
      </c>
      <c r="F67" s="182">
        <v>6600.0</v>
      </c>
      <c r="G67" s="182">
        <v>6610.0</v>
      </c>
      <c r="H67" s="181">
        <v>3015.0</v>
      </c>
      <c r="I67" s="182">
        <f t="shared" si="1"/>
        <v>10</v>
      </c>
      <c r="J67" s="183">
        <f t="shared" si="2"/>
        <v>0.1515151515</v>
      </c>
      <c r="K67" s="181">
        <v>3.97</v>
      </c>
      <c r="L67" s="185">
        <f t="shared" si="3"/>
        <v>45.68181818</v>
      </c>
      <c r="M67" s="186">
        <f t="shared" si="4"/>
        <v>267.0827403</v>
      </c>
      <c r="N67" s="187">
        <f t="shared" si="5"/>
        <v>2.581272727</v>
      </c>
      <c r="O67" s="187">
        <f t="shared" si="6"/>
        <v>17036.4</v>
      </c>
      <c r="P67" s="188">
        <f t="shared" si="7"/>
        <v>1762746.086</v>
      </c>
      <c r="R67" s="171"/>
    </row>
    <row r="68">
      <c r="A68" s="215">
        <v>45562.0</v>
      </c>
      <c r="B68" s="68">
        <v>45565.0</v>
      </c>
      <c r="C68" s="178">
        <f>VLOOKUP(B:B,'Курс валют'!A:D,4,0)</f>
        <v>103.4694</v>
      </c>
      <c r="D68" s="182">
        <v>699.0</v>
      </c>
      <c r="E68" s="210" t="s">
        <v>18</v>
      </c>
      <c r="F68" s="182">
        <v>6600.0</v>
      </c>
      <c r="G68" s="182">
        <v>6625.0</v>
      </c>
      <c r="H68" s="181">
        <v>3015.0</v>
      </c>
      <c r="I68" s="182">
        <f t="shared" si="1"/>
        <v>25</v>
      </c>
      <c r="J68" s="183">
        <f t="shared" si="2"/>
        <v>0.3787878788</v>
      </c>
      <c r="K68" s="181">
        <v>3.97</v>
      </c>
      <c r="L68" s="185">
        <f t="shared" si="3"/>
        <v>45.68181818</v>
      </c>
      <c r="M68" s="186">
        <f t="shared" si="4"/>
        <v>267.0827403</v>
      </c>
      <c r="N68" s="187">
        <f t="shared" si="5"/>
        <v>2.581272727</v>
      </c>
      <c r="O68" s="187">
        <f t="shared" si="6"/>
        <v>17036.4</v>
      </c>
      <c r="P68" s="188">
        <f t="shared" si="7"/>
        <v>1762746.086</v>
      </c>
      <c r="R68" s="171"/>
    </row>
    <row r="69">
      <c r="A69" s="215">
        <v>45565.0</v>
      </c>
      <c r="B69" s="68">
        <v>45565.0</v>
      </c>
      <c r="C69" s="178">
        <f>VLOOKUP(B:B,'Курс валют'!A:D,4,0)</f>
        <v>103.4694</v>
      </c>
      <c r="D69" s="182">
        <v>695.0</v>
      </c>
      <c r="E69" s="190" t="s">
        <v>63</v>
      </c>
      <c r="F69" s="182">
        <v>900.0</v>
      </c>
      <c r="G69" s="182">
        <v>930.5</v>
      </c>
      <c r="H69" s="181">
        <v>370.0</v>
      </c>
      <c r="I69" s="182">
        <f t="shared" si="1"/>
        <v>30.5</v>
      </c>
      <c r="J69" s="183">
        <f t="shared" si="2"/>
        <v>3.388888889</v>
      </c>
      <c r="K69" s="181">
        <v>3.26</v>
      </c>
      <c r="L69" s="185">
        <f t="shared" si="3"/>
        <v>41.11111111</v>
      </c>
      <c r="M69" s="186">
        <f t="shared" si="4"/>
        <v>207.9964872</v>
      </c>
      <c r="N69" s="187">
        <f t="shared" si="5"/>
        <v>2.010222222</v>
      </c>
      <c r="O69" s="187">
        <f t="shared" si="6"/>
        <v>1809.2</v>
      </c>
      <c r="P69" s="188">
        <f t="shared" si="7"/>
        <v>187196.8385</v>
      </c>
      <c r="R69" s="171"/>
    </row>
    <row r="70">
      <c r="A70" s="215">
        <v>45565.0</v>
      </c>
      <c r="B70" s="68">
        <v>45568.0</v>
      </c>
      <c r="C70" s="178">
        <f>VLOOKUP(B:B,'Курс валют'!A:D,4,0)</f>
        <v>104.4481</v>
      </c>
      <c r="D70" s="182">
        <v>697.0</v>
      </c>
      <c r="E70" s="190" t="s">
        <v>59</v>
      </c>
      <c r="F70" s="182">
        <v>1000.0</v>
      </c>
      <c r="G70" s="182">
        <v>1030.0</v>
      </c>
      <c r="H70" s="181">
        <v>216.0</v>
      </c>
      <c r="I70" s="182">
        <f t="shared" si="1"/>
        <v>30</v>
      </c>
      <c r="J70" s="183">
        <f t="shared" si="2"/>
        <v>3</v>
      </c>
      <c r="K70" s="181">
        <v>3.18</v>
      </c>
      <c r="L70" s="185">
        <f t="shared" si="3"/>
        <v>21.6</v>
      </c>
      <c r="M70" s="186">
        <f t="shared" si="4"/>
        <v>263.5601576</v>
      </c>
      <c r="N70" s="187">
        <f t="shared" si="5"/>
        <v>2.52336</v>
      </c>
      <c r="O70" s="187">
        <f t="shared" si="6"/>
        <v>2523.36</v>
      </c>
      <c r="P70" s="188">
        <f t="shared" si="7"/>
        <v>263560.1576</v>
      </c>
      <c r="R70" s="171"/>
    </row>
    <row r="71">
      <c r="A71" s="226" t="s">
        <v>2358</v>
      </c>
      <c r="B71" s="68">
        <v>45568.0</v>
      </c>
      <c r="C71" s="178">
        <f>VLOOKUP(B:B,'Курс валют'!A:D,4,0)</f>
        <v>104.4481</v>
      </c>
      <c r="D71" s="182">
        <v>698.0</v>
      </c>
      <c r="E71" s="190" t="s">
        <v>59</v>
      </c>
      <c r="F71" s="182">
        <v>1000.0</v>
      </c>
      <c r="G71" s="182">
        <v>1027.0</v>
      </c>
      <c r="H71" s="181">
        <v>216.0</v>
      </c>
      <c r="I71" s="182">
        <f t="shared" si="1"/>
        <v>27</v>
      </c>
      <c r="J71" s="183">
        <f t="shared" si="2"/>
        <v>2.7</v>
      </c>
      <c r="K71" s="181">
        <v>3.18</v>
      </c>
      <c r="L71" s="185">
        <f t="shared" si="3"/>
        <v>21.6</v>
      </c>
      <c r="M71" s="186">
        <f t="shared" si="4"/>
        <v>263.5601576</v>
      </c>
      <c r="N71" s="187">
        <f t="shared" si="5"/>
        <v>2.52336</v>
      </c>
      <c r="O71" s="187">
        <f t="shared" si="6"/>
        <v>2523.36</v>
      </c>
      <c r="P71" s="188">
        <f t="shared" si="7"/>
        <v>263560.1576</v>
      </c>
      <c r="R71" s="171"/>
    </row>
    <row r="72">
      <c r="A72" s="215">
        <v>45565.0</v>
      </c>
      <c r="B72" s="68">
        <v>45569.0</v>
      </c>
      <c r="C72" s="178">
        <f>VLOOKUP(B:B,'Курс валют'!A:D,4,0)</f>
        <v>104.8664</v>
      </c>
      <c r="D72" s="182">
        <v>700.0</v>
      </c>
      <c r="E72" s="190" t="s">
        <v>59</v>
      </c>
      <c r="F72" s="182">
        <v>1000.0</v>
      </c>
      <c r="G72" s="182">
        <v>1025.0</v>
      </c>
      <c r="H72" s="181">
        <v>216.0</v>
      </c>
      <c r="I72" s="182">
        <f t="shared" si="1"/>
        <v>25</v>
      </c>
      <c r="J72" s="183">
        <f t="shared" si="2"/>
        <v>2.5</v>
      </c>
      <c r="K72" s="181">
        <v>3.17</v>
      </c>
      <c r="L72" s="185">
        <f t="shared" si="3"/>
        <v>21.6</v>
      </c>
      <c r="M72" s="186">
        <f t="shared" si="4"/>
        <v>263.5670151</v>
      </c>
      <c r="N72" s="187">
        <f t="shared" si="5"/>
        <v>2.51336</v>
      </c>
      <c r="O72" s="187">
        <f t="shared" si="6"/>
        <v>2513.36</v>
      </c>
      <c r="P72" s="188">
        <f t="shared" si="7"/>
        <v>263567.0151</v>
      </c>
    </row>
    <row r="73">
      <c r="A73" s="215">
        <v>45565.0</v>
      </c>
      <c r="B73" s="68">
        <v>45567.0</v>
      </c>
      <c r="C73" s="178">
        <f>VLOOKUP(B:B,'Курс валют'!A:D,4,0)</f>
        <v>103.6502</v>
      </c>
      <c r="D73" s="182">
        <v>701.0</v>
      </c>
      <c r="E73" s="190" t="s">
        <v>1948</v>
      </c>
      <c r="F73" s="182">
        <v>1000.0</v>
      </c>
      <c r="G73" s="182">
        <v>1023.0</v>
      </c>
      <c r="H73" s="181">
        <v>110.0</v>
      </c>
      <c r="I73" s="182">
        <f t="shared" si="1"/>
        <v>23</v>
      </c>
      <c r="J73" s="183">
        <f t="shared" si="2"/>
        <v>2.3</v>
      </c>
      <c r="K73" s="181">
        <v>2.75</v>
      </c>
      <c r="L73" s="185">
        <f t="shared" si="3"/>
        <v>11</v>
      </c>
      <c r="M73" s="186">
        <f t="shared" si="4"/>
        <v>250.3774231</v>
      </c>
      <c r="N73" s="187">
        <f t="shared" si="5"/>
        <v>2.4156</v>
      </c>
      <c r="O73" s="187">
        <f t="shared" si="6"/>
        <v>2415.6</v>
      </c>
      <c r="P73" s="188">
        <f t="shared" si="7"/>
        <v>250377.4231</v>
      </c>
    </row>
    <row r="74">
      <c r="B74" s="68"/>
      <c r="H74" s="70"/>
      <c r="K74" s="70"/>
      <c r="L74" s="71"/>
      <c r="M74" s="72"/>
      <c r="P74" s="72"/>
    </row>
    <row r="75">
      <c r="B75" s="68"/>
      <c r="H75" s="70"/>
      <c r="K75" s="70"/>
      <c r="L75" s="71"/>
      <c r="M75" s="72"/>
      <c r="P75" s="72"/>
    </row>
    <row r="76">
      <c r="B76" s="68"/>
      <c r="H76" s="70"/>
      <c r="K76" s="70"/>
      <c r="L76" s="71"/>
      <c r="M76" s="72"/>
      <c r="P76" s="72"/>
    </row>
    <row r="77">
      <c r="B77" s="68"/>
      <c r="H77" s="70"/>
      <c r="K77" s="70"/>
      <c r="L77" s="71"/>
      <c r="M77" s="72"/>
      <c r="P77" s="72"/>
    </row>
    <row r="78">
      <c r="B78" s="68"/>
      <c r="H78" s="70"/>
      <c r="K78" s="70"/>
      <c r="L78" s="71"/>
      <c r="M78" s="72"/>
      <c r="P78" s="72"/>
    </row>
    <row r="79">
      <c r="B79" s="68"/>
      <c r="H79" s="70"/>
      <c r="K79" s="70"/>
      <c r="L79" s="71"/>
      <c r="M79" s="72"/>
      <c r="P79" s="72"/>
    </row>
    <row r="80">
      <c r="B80" s="68"/>
      <c r="H80" s="70"/>
      <c r="K80" s="70"/>
      <c r="L80" s="71"/>
      <c r="M80" s="72"/>
      <c r="P80" s="72"/>
    </row>
    <row r="81">
      <c r="B81" s="68"/>
      <c r="H81" s="70"/>
      <c r="K81" s="70"/>
      <c r="L81" s="71"/>
      <c r="M81" s="72"/>
      <c r="P81" s="72"/>
    </row>
    <row r="82">
      <c r="B82" s="68"/>
      <c r="H82" s="70"/>
      <c r="K82" s="70"/>
      <c r="L82" s="71"/>
      <c r="M82" s="72"/>
      <c r="P82" s="72"/>
    </row>
    <row r="83">
      <c r="B83" s="68"/>
      <c r="H83" s="70"/>
      <c r="K83" s="70"/>
      <c r="L83" s="71"/>
      <c r="M83" s="72"/>
      <c r="P83" s="72"/>
    </row>
    <row r="84">
      <c r="B84" s="68"/>
      <c r="H84" s="70"/>
      <c r="K84" s="70"/>
      <c r="L84" s="71"/>
      <c r="M84" s="72"/>
      <c r="P84" s="72"/>
    </row>
    <row r="85">
      <c r="B85" s="68"/>
      <c r="H85" s="70"/>
      <c r="K85" s="70"/>
      <c r="L85" s="71"/>
      <c r="M85" s="72"/>
      <c r="P85" s="72"/>
    </row>
    <row r="86">
      <c r="B86" s="68"/>
      <c r="H86" s="70"/>
      <c r="K86" s="70"/>
      <c r="L86" s="71"/>
      <c r="M86" s="72"/>
      <c r="P86" s="72"/>
    </row>
    <row r="87">
      <c r="B87" s="68"/>
      <c r="H87" s="70"/>
      <c r="K87" s="70"/>
      <c r="L87" s="71"/>
      <c r="M87" s="72"/>
      <c r="P87" s="72"/>
    </row>
    <row r="88">
      <c r="B88" s="68"/>
      <c r="H88" s="70"/>
      <c r="K88" s="70"/>
      <c r="L88" s="71"/>
      <c r="M88" s="72"/>
      <c r="P88" s="72"/>
    </row>
    <row r="89">
      <c r="B89" s="68"/>
      <c r="H89" s="70"/>
      <c r="K89" s="70"/>
      <c r="L89" s="71"/>
      <c r="M89" s="72"/>
      <c r="P89" s="72"/>
    </row>
    <row r="90">
      <c r="B90" s="68"/>
      <c r="H90" s="70"/>
      <c r="K90" s="70"/>
      <c r="L90" s="71"/>
      <c r="M90" s="72"/>
      <c r="P90" s="72"/>
    </row>
    <row r="91">
      <c r="B91" s="68"/>
      <c r="H91" s="70"/>
      <c r="K91" s="70"/>
      <c r="L91" s="71"/>
      <c r="M91" s="72"/>
      <c r="P91" s="72"/>
    </row>
    <row r="92">
      <c r="B92" s="68"/>
      <c r="H92" s="70"/>
      <c r="K92" s="70"/>
      <c r="L92" s="71"/>
      <c r="M92" s="72"/>
      <c r="P92" s="72"/>
    </row>
    <row r="93">
      <c r="B93" s="68"/>
      <c r="H93" s="70"/>
      <c r="K93" s="70"/>
      <c r="L93" s="71"/>
      <c r="M93" s="72"/>
      <c r="P93" s="72"/>
    </row>
    <row r="94">
      <c r="B94" s="68"/>
      <c r="H94" s="70"/>
      <c r="K94" s="70"/>
      <c r="L94" s="71"/>
      <c r="M94" s="72"/>
      <c r="P94" s="72"/>
    </row>
    <row r="95">
      <c r="B95" s="68"/>
      <c r="H95" s="70"/>
      <c r="K95" s="70"/>
      <c r="L95" s="71"/>
      <c r="M95" s="72"/>
      <c r="P95" s="72"/>
    </row>
    <row r="96">
      <c r="B96" s="68"/>
      <c r="H96" s="70"/>
      <c r="K96" s="70"/>
      <c r="L96" s="71"/>
      <c r="M96" s="72"/>
      <c r="P96" s="72"/>
    </row>
    <row r="97">
      <c r="B97" s="68"/>
      <c r="H97" s="70"/>
      <c r="K97" s="70"/>
      <c r="L97" s="71"/>
      <c r="M97" s="72"/>
      <c r="P97" s="72"/>
    </row>
    <row r="98">
      <c r="B98" s="68"/>
      <c r="H98" s="70"/>
      <c r="K98" s="70"/>
      <c r="L98" s="71"/>
      <c r="M98" s="72"/>
      <c r="P98" s="72"/>
    </row>
    <row r="99">
      <c r="B99" s="68"/>
      <c r="H99" s="70"/>
      <c r="K99" s="70"/>
      <c r="L99" s="71"/>
      <c r="M99" s="72"/>
      <c r="P99" s="72"/>
    </row>
    <row r="100">
      <c r="B100" s="68"/>
      <c r="H100" s="70"/>
      <c r="K100" s="70"/>
      <c r="L100" s="71"/>
      <c r="M100" s="72"/>
      <c r="P100" s="72"/>
    </row>
    <row r="101">
      <c r="B101" s="68"/>
      <c r="H101" s="70"/>
      <c r="K101" s="70"/>
      <c r="L101" s="71"/>
      <c r="M101" s="72"/>
      <c r="P101" s="72"/>
    </row>
    <row r="102">
      <c r="B102" s="68"/>
      <c r="H102" s="70"/>
      <c r="K102" s="70"/>
      <c r="L102" s="71"/>
      <c r="M102" s="72"/>
      <c r="P102" s="72"/>
    </row>
    <row r="103">
      <c r="B103" s="68"/>
      <c r="H103" s="70"/>
      <c r="K103" s="70"/>
      <c r="L103" s="71"/>
      <c r="M103" s="72"/>
      <c r="P103" s="72"/>
    </row>
    <row r="104">
      <c r="B104" s="68"/>
      <c r="H104" s="70"/>
      <c r="K104" s="70"/>
      <c r="L104" s="71"/>
      <c r="M104" s="72"/>
      <c r="P104" s="72"/>
    </row>
    <row r="105">
      <c r="B105" s="68"/>
      <c r="H105" s="70"/>
      <c r="K105" s="70"/>
      <c r="L105" s="71"/>
      <c r="M105" s="72"/>
      <c r="P105" s="72"/>
    </row>
    <row r="106">
      <c r="B106" s="68"/>
      <c r="H106" s="70"/>
      <c r="K106" s="70"/>
      <c r="L106" s="71"/>
      <c r="M106" s="72"/>
      <c r="P106" s="72"/>
    </row>
    <row r="107">
      <c r="B107" s="68"/>
      <c r="H107" s="70"/>
      <c r="K107" s="70"/>
      <c r="L107" s="71"/>
      <c r="M107" s="72"/>
      <c r="P107" s="72"/>
    </row>
    <row r="108">
      <c r="B108" s="68"/>
      <c r="H108" s="70"/>
      <c r="K108" s="70"/>
      <c r="L108" s="71"/>
      <c r="M108" s="72"/>
      <c r="P108" s="72"/>
    </row>
    <row r="109">
      <c r="B109" s="68"/>
      <c r="H109" s="70"/>
      <c r="K109" s="70"/>
      <c r="L109" s="71"/>
      <c r="M109" s="72"/>
      <c r="P109" s="72"/>
    </row>
    <row r="110">
      <c r="B110" s="68"/>
      <c r="H110" s="70"/>
      <c r="K110" s="70"/>
      <c r="L110" s="71"/>
      <c r="M110" s="72"/>
      <c r="P110" s="72"/>
    </row>
    <row r="111">
      <c r="B111" s="68"/>
      <c r="H111" s="70"/>
      <c r="K111" s="70"/>
      <c r="L111" s="71"/>
      <c r="M111" s="72"/>
      <c r="P111" s="72"/>
    </row>
    <row r="112">
      <c r="B112" s="68"/>
      <c r="H112" s="70"/>
      <c r="K112" s="70"/>
      <c r="L112" s="71"/>
      <c r="M112" s="72"/>
      <c r="P112" s="72"/>
    </row>
    <row r="113">
      <c r="B113" s="68"/>
      <c r="H113" s="70"/>
      <c r="K113" s="70"/>
      <c r="L113" s="71"/>
      <c r="M113" s="72"/>
      <c r="P113" s="72"/>
    </row>
    <row r="114">
      <c r="B114" s="68"/>
      <c r="H114" s="70"/>
      <c r="K114" s="70"/>
      <c r="L114" s="71"/>
      <c r="M114" s="72"/>
      <c r="P114" s="72"/>
    </row>
    <row r="115">
      <c r="B115" s="68"/>
      <c r="H115" s="70"/>
      <c r="K115" s="70"/>
      <c r="L115" s="71"/>
      <c r="M115" s="72"/>
      <c r="P115" s="72"/>
    </row>
    <row r="116">
      <c r="B116" s="68"/>
      <c r="H116" s="70"/>
      <c r="K116" s="70"/>
      <c r="L116" s="71"/>
      <c r="M116" s="72"/>
      <c r="P116" s="72"/>
    </row>
    <row r="117">
      <c r="B117" s="68"/>
      <c r="H117" s="70"/>
      <c r="K117" s="70"/>
      <c r="L117" s="71"/>
      <c r="M117" s="72"/>
      <c r="P117" s="72"/>
    </row>
    <row r="118">
      <c r="B118" s="68"/>
      <c r="H118" s="70"/>
      <c r="K118" s="70"/>
      <c r="L118" s="71"/>
      <c r="M118" s="72"/>
      <c r="P118" s="72"/>
    </row>
    <row r="119">
      <c r="B119" s="68"/>
      <c r="H119" s="70"/>
      <c r="K119" s="70"/>
      <c r="L119" s="71"/>
      <c r="M119" s="72"/>
      <c r="P119" s="72"/>
    </row>
    <row r="120">
      <c r="B120" s="68"/>
      <c r="H120" s="70"/>
      <c r="K120" s="70"/>
      <c r="L120" s="71"/>
      <c r="M120" s="72"/>
      <c r="P120" s="72"/>
    </row>
    <row r="121">
      <c r="B121" s="68"/>
      <c r="H121" s="70"/>
      <c r="K121" s="70"/>
      <c r="L121" s="71"/>
      <c r="M121" s="72"/>
      <c r="P121" s="72"/>
    </row>
    <row r="122">
      <c r="B122" s="68"/>
      <c r="H122" s="70"/>
      <c r="K122" s="70"/>
      <c r="L122" s="71"/>
      <c r="M122" s="72"/>
      <c r="P122" s="72"/>
    </row>
    <row r="123">
      <c r="B123" s="68"/>
      <c r="H123" s="70"/>
      <c r="K123" s="70"/>
      <c r="L123" s="71"/>
      <c r="M123" s="72"/>
      <c r="P123" s="72"/>
    </row>
    <row r="124">
      <c r="B124" s="68"/>
      <c r="H124" s="70"/>
      <c r="K124" s="70"/>
      <c r="L124" s="71"/>
      <c r="M124" s="72"/>
      <c r="P124" s="72"/>
    </row>
    <row r="125">
      <c r="B125" s="68"/>
      <c r="H125" s="70"/>
      <c r="K125" s="70"/>
      <c r="L125" s="71"/>
      <c r="M125" s="72"/>
      <c r="P125" s="72"/>
    </row>
    <row r="126">
      <c r="B126" s="68"/>
      <c r="H126" s="70"/>
      <c r="K126" s="70"/>
      <c r="L126" s="71"/>
      <c r="M126" s="72"/>
      <c r="P126" s="72"/>
    </row>
    <row r="127">
      <c r="B127" s="68"/>
      <c r="H127" s="70"/>
      <c r="K127" s="70"/>
      <c r="L127" s="71"/>
      <c r="M127" s="72"/>
      <c r="P127" s="72"/>
    </row>
    <row r="128">
      <c r="B128" s="68"/>
      <c r="H128" s="70"/>
      <c r="K128" s="70"/>
      <c r="L128" s="71"/>
      <c r="M128" s="72"/>
      <c r="P128" s="72"/>
    </row>
    <row r="129">
      <c r="B129" s="68"/>
      <c r="H129" s="70"/>
      <c r="K129" s="70"/>
      <c r="L129" s="71"/>
      <c r="M129" s="72"/>
      <c r="P129" s="72"/>
    </row>
    <row r="130">
      <c r="B130" s="68"/>
      <c r="H130" s="70"/>
      <c r="K130" s="70"/>
      <c r="L130" s="71"/>
      <c r="M130" s="72"/>
      <c r="P130" s="72"/>
    </row>
    <row r="131">
      <c r="B131" s="68"/>
      <c r="H131" s="70"/>
      <c r="K131" s="70"/>
      <c r="L131" s="71"/>
      <c r="M131" s="72"/>
      <c r="P131" s="72"/>
    </row>
    <row r="132">
      <c r="B132" s="68"/>
      <c r="H132" s="70"/>
      <c r="K132" s="70"/>
      <c r="L132" s="71"/>
      <c r="M132" s="72"/>
      <c r="P132" s="72"/>
    </row>
    <row r="133">
      <c r="B133" s="68"/>
      <c r="H133" s="70"/>
      <c r="K133" s="70"/>
      <c r="L133" s="71"/>
      <c r="M133" s="72"/>
      <c r="P133" s="72"/>
    </row>
    <row r="134">
      <c r="B134" s="68"/>
      <c r="H134" s="70"/>
      <c r="K134" s="70"/>
      <c r="L134" s="71"/>
      <c r="M134" s="72"/>
      <c r="P134" s="72"/>
    </row>
    <row r="135">
      <c r="B135" s="68"/>
      <c r="H135" s="70"/>
      <c r="K135" s="70"/>
      <c r="L135" s="71"/>
      <c r="M135" s="72"/>
      <c r="P135" s="72"/>
    </row>
    <row r="136">
      <c r="B136" s="68"/>
      <c r="H136" s="70"/>
      <c r="K136" s="70"/>
      <c r="L136" s="71"/>
      <c r="M136" s="72"/>
      <c r="P136" s="72"/>
    </row>
    <row r="137">
      <c r="B137" s="68"/>
      <c r="H137" s="70"/>
      <c r="K137" s="70"/>
      <c r="L137" s="71"/>
      <c r="M137" s="72"/>
      <c r="P137" s="72"/>
    </row>
    <row r="138">
      <c r="B138" s="68"/>
      <c r="H138" s="70"/>
      <c r="K138" s="70"/>
      <c r="L138" s="71"/>
      <c r="M138" s="72"/>
      <c r="P138" s="72"/>
    </row>
    <row r="139">
      <c r="B139" s="68"/>
      <c r="H139" s="70"/>
      <c r="K139" s="70"/>
      <c r="L139" s="71"/>
      <c r="M139" s="72"/>
      <c r="P139" s="72"/>
    </row>
    <row r="140">
      <c r="B140" s="68"/>
      <c r="H140" s="70"/>
      <c r="K140" s="70"/>
      <c r="L140" s="71"/>
      <c r="M140" s="72"/>
      <c r="P140" s="72"/>
    </row>
    <row r="141">
      <c r="B141" s="68"/>
      <c r="H141" s="70"/>
      <c r="K141" s="70"/>
      <c r="L141" s="71"/>
      <c r="M141" s="72"/>
      <c r="P141" s="72"/>
    </row>
    <row r="142">
      <c r="B142" s="68"/>
      <c r="H142" s="70"/>
      <c r="K142" s="70"/>
      <c r="L142" s="71"/>
      <c r="M142" s="72"/>
      <c r="P142" s="72"/>
    </row>
    <row r="143">
      <c r="B143" s="68"/>
      <c r="H143" s="70"/>
      <c r="K143" s="70"/>
      <c r="L143" s="71"/>
      <c r="M143" s="72"/>
      <c r="P143" s="72"/>
    </row>
    <row r="144">
      <c r="B144" s="68"/>
      <c r="H144" s="70"/>
      <c r="K144" s="70"/>
      <c r="L144" s="71"/>
      <c r="M144" s="72"/>
      <c r="P144" s="72"/>
    </row>
    <row r="145">
      <c r="B145" s="68"/>
      <c r="H145" s="70"/>
      <c r="K145" s="70"/>
      <c r="L145" s="71"/>
      <c r="M145" s="72"/>
      <c r="P145" s="72"/>
    </row>
    <row r="146">
      <c r="B146" s="68"/>
      <c r="H146" s="70"/>
      <c r="K146" s="70"/>
      <c r="L146" s="71"/>
      <c r="M146" s="72"/>
      <c r="P146" s="72"/>
    </row>
    <row r="147">
      <c r="B147" s="68"/>
      <c r="H147" s="70"/>
      <c r="K147" s="70"/>
      <c r="L147" s="71"/>
      <c r="M147" s="72"/>
      <c r="P147" s="72"/>
    </row>
    <row r="148">
      <c r="B148" s="68"/>
      <c r="H148" s="70"/>
      <c r="K148" s="70"/>
      <c r="L148" s="71"/>
      <c r="M148" s="72"/>
      <c r="P148" s="72"/>
    </row>
    <row r="149">
      <c r="B149" s="68"/>
      <c r="H149" s="70"/>
      <c r="K149" s="70"/>
      <c r="L149" s="71"/>
      <c r="M149" s="72"/>
      <c r="P149" s="72"/>
    </row>
    <row r="150">
      <c r="B150" s="68"/>
      <c r="H150" s="70"/>
      <c r="K150" s="70"/>
      <c r="L150" s="71"/>
      <c r="M150" s="72"/>
      <c r="P150" s="72"/>
    </row>
    <row r="151">
      <c r="B151" s="68"/>
      <c r="H151" s="70"/>
      <c r="K151" s="70"/>
      <c r="L151" s="71"/>
      <c r="M151" s="72"/>
      <c r="P151" s="72"/>
    </row>
    <row r="152">
      <c r="B152" s="68"/>
      <c r="H152" s="70"/>
      <c r="K152" s="70"/>
      <c r="L152" s="71"/>
      <c r="M152" s="72"/>
      <c r="P152" s="72"/>
    </row>
    <row r="153">
      <c r="B153" s="68"/>
      <c r="H153" s="70"/>
      <c r="K153" s="70"/>
      <c r="L153" s="71"/>
      <c r="M153" s="72"/>
      <c r="P153" s="72"/>
    </row>
    <row r="154">
      <c r="B154" s="68"/>
      <c r="H154" s="70"/>
      <c r="K154" s="70"/>
      <c r="L154" s="71"/>
      <c r="M154" s="72"/>
      <c r="P154" s="72"/>
    </row>
    <row r="155">
      <c r="B155" s="68"/>
      <c r="H155" s="70"/>
      <c r="K155" s="70"/>
      <c r="L155" s="71"/>
      <c r="M155" s="72"/>
      <c r="P155" s="72"/>
    </row>
    <row r="156">
      <c r="B156" s="68"/>
      <c r="H156" s="70"/>
      <c r="K156" s="70"/>
      <c r="L156" s="71"/>
      <c r="M156" s="72"/>
      <c r="P156" s="72"/>
    </row>
    <row r="157">
      <c r="B157" s="68"/>
      <c r="H157" s="70"/>
      <c r="K157" s="70"/>
      <c r="L157" s="71"/>
      <c r="M157" s="72"/>
      <c r="P157" s="72"/>
    </row>
    <row r="158">
      <c r="B158" s="68"/>
      <c r="H158" s="70"/>
      <c r="K158" s="70"/>
      <c r="L158" s="71"/>
      <c r="M158" s="72"/>
      <c r="P158" s="72"/>
    </row>
    <row r="159">
      <c r="B159" s="68"/>
      <c r="H159" s="70"/>
      <c r="K159" s="70"/>
      <c r="L159" s="71"/>
      <c r="M159" s="72"/>
      <c r="P159" s="72"/>
    </row>
    <row r="160">
      <c r="B160" s="68"/>
      <c r="H160" s="70"/>
      <c r="K160" s="70"/>
      <c r="L160" s="71"/>
      <c r="M160" s="72"/>
      <c r="P160" s="72"/>
    </row>
    <row r="161">
      <c r="B161" s="68"/>
      <c r="H161" s="70"/>
      <c r="K161" s="70"/>
      <c r="L161" s="71"/>
      <c r="M161" s="72"/>
      <c r="P161" s="72"/>
    </row>
    <row r="162">
      <c r="B162" s="68"/>
      <c r="H162" s="70"/>
      <c r="K162" s="70"/>
      <c r="L162" s="71"/>
      <c r="M162" s="72"/>
      <c r="P162" s="72"/>
    </row>
    <row r="163">
      <c r="B163" s="68"/>
      <c r="H163" s="70"/>
      <c r="K163" s="70"/>
      <c r="L163" s="71"/>
      <c r="M163" s="72"/>
      <c r="P163" s="72"/>
    </row>
    <row r="164">
      <c r="B164" s="68"/>
      <c r="H164" s="70"/>
      <c r="K164" s="70"/>
      <c r="L164" s="71"/>
      <c r="M164" s="72"/>
      <c r="P164" s="72"/>
    </row>
    <row r="165">
      <c r="B165" s="68"/>
      <c r="H165" s="70"/>
      <c r="K165" s="70"/>
      <c r="L165" s="71"/>
      <c r="M165" s="72"/>
      <c r="P165" s="72"/>
    </row>
    <row r="166">
      <c r="B166" s="68"/>
      <c r="H166" s="70"/>
      <c r="K166" s="70"/>
      <c r="L166" s="71"/>
      <c r="M166" s="72"/>
      <c r="P166" s="72"/>
    </row>
    <row r="167">
      <c r="B167" s="68"/>
      <c r="H167" s="70"/>
      <c r="K167" s="70"/>
      <c r="L167" s="71"/>
      <c r="M167" s="72"/>
      <c r="P167" s="72"/>
    </row>
    <row r="168">
      <c r="B168" s="68"/>
      <c r="H168" s="70"/>
      <c r="K168" s="70"/>
      <c r="L168" s="71"/>
      <c r="M168" s="72"/>
      <c r="P168" s="72"/>
    </row>
    <row r="169">
      <c r="B169" s="68"/>
      <c r="H169" s="70"/>
      <c r="K169" s="70"/>
      <c r="L169" s="71"/>
      <c r="M169" s="72"/>
      <c r="P169" s="72"/>
    </row>
    <row r="170">
      <c r="B170" s="68"/>
      <c r="H170" s="70"/>
      <c r="K170" s="70"/>
      <c r="L170" s="71"/>
      <c r="M170" s="72"/>
      <c r="P170" s="72"/>
    </row>
    <row r="171">
      <c r="B171" s="68"/>
      <c r="H171" s="70"/>
      <c r="K171" s="70"/>
      <c r="L171" s="71"/>
      <c r="M171" s="72"/>
      <c r="P171" s="72"/>
    </row>
    <row r="172">
      <c r="B172" s="68"/>
      <c r="H172" s="70"/>
      <c r="K172" s="70"/>
      <c r="L172" s="71"/>
      <c r="M172" s="72"/>
      <c r="P172" s="72"/>
    </row>
    <row r="173">
      <c r="B173" s="68"/>
      <c r="H173" s="70"/>
      <c r="K173" s="70"/>
      <c r="L173" s="71"/>
      <c r="M173" s="72"/>
      <c r="P173" s="72"/>
    </row>
    <row r="174">
      <c r="B174" s="68"/>
      <c r="H174" s="70"/>
      <c r="K174" s="70"/>
      <c r="L174" s="71"/>
      <c r="M174" s="72"/>
      <c r="P174" s="72"/>
    </row>
    <row r="175">
      <c r="B175" s="68"/>
      <c r="H175" s="70"/>
      <c r="K175" s="70"/>
      <c r="L175" s="71"/>
      <c r="M175" s="72"/>
      <c r="P175" s="72"/>
    </row>
    <row r="176">
      <c r="B176" s="68"/>
      <c r="H176" s="70"/>
      <c r="K176" s="70"/>
      <c r="L176" s="71"/>
      <c r="M176" s="72"/>
      <c r="P176" s="72"/>
    </row>
    <row r="177">
      <c r="B177" s="68"/>
      <c r="H177" s="70"/>
      <c r="K177" s="70"/>
      <c r="L177" s="71"/>
      <c r="M177" s="72"/>
      <c r="P177" s="72"/>
    </row>
    <row r="178">
      <c r="B178" s="68"/>
      <c r="H178" s="70"/>
      <c r="K178" s="70"/>
      <c r="L178" s="71"/>
      <c r="M178" s="72"/>
      <c r="P178" s="72"/>
    </row>
    <row r="179">
      <c r="B179" s="68"/>
      <c r="H179" s="70"/>
      <c r="K179" s="70"/>
      <c r="L179" s="71"/>
      <c r="M179" s="72"/>
      <c r="P179" s="72"/>
    </row>
    <row r="180">
      <c r="B180" s="68"/>
      <c r="H180" s="70"/>
      <c r="K180" s="70"/>
      <c r="L180" s="71"/>
      <c r="M180" s="72"/>
      <c r="P180" s="72"/>
    </row>
    <row r="181">
      <c r="B181" s="68"/>
      <c r="H181" s="70"/>
      <c r="K181" s="70"/>
      <c r="L181" s="71"/>
      <c r="M181" s="72"/>
      <c r="P181" s="72"/>
    </row>
    <row r="182">
      <c r="B182" s="68"/>
      <c r="H182" s="70"/>
      <c r="K182" s="70"/>
      <c r="L182" s="71"/>
      <c r="M182" s="72"/>
      <c r="P182" s="72"/>
    </row>
    <row r="183">
      <c r="B183" s="68"/>
      <c r="H183" s="70"/>
      <c r="K183" s="70"/>
      <c r="L183" s="71"/>
      <c r="M183" s="72"/>
      <c r="P183" s="72"/>
    </row>
    <row r="184">
      <c r="B184" s="68"/>
      <c r="H184" s="70"/>
      <c r="K184" s="70"/>
      <c r="L184" s="71"/>
      <c r="M184" s="72"/>
      <c r="P184" s="72"/>
    </row>
    <row r="185">
      <c r="B185" s="68"/>
      <c r="H185" s="70"/>
      <c r="K185" s="70"/>
      <c r="L185" s="71"/>
      <c r="M185" s="72"/>
      <c r="P185" s="72"/>
    </row>
    <row r="186">
      <c r="B186" s="68"/>
      <c r="H186" s="70"/>
      <c r="K186" s="70"/>
      <c r="L186" s="71"/>
      <c r="M186" s="72"/>
      <c r="P186" s="72"/>
    </row>
    <row r="187">
      <c r="B187" s="68"/>
      <c r="H187" s="70"/>
      <c r="K187" s="70"/>
      <c r="L187" s="71"/>
      <c r="M187" s="72"/>
      <c r="P187" s="72"/>
    </row>
    <row r="188">
      <c r="B188" s="68"/>
      <c r="H188" s="70"/>
      <c r="K188" s="70"/>
      <c r="L188" s="71"/>
      <c r="M188" s="72"/>
      <c r="P188" s="72"/>
    </row>
    <row r="189">
      <c r="B189" s="68"/>
      <c r="H189" s="70"/>
      <c r="K189" s="70"/>
      <c r="L189" s="71"/>
      <c r="M189" s="72"/>
      <c r="P189" s="72"/>
    </row>
    <row r="190">
      <c r="B190" s="68"/>
      <c r="H190" s="70"/>
      <c r="K190" s="70"/>
      <c r="L190" s="71"/>
      <c r="M190" s="72"/>
      <c r="P190" s="72"/>
    </row>
    <row r="191">
      <c r="B191" s="68"/>
      <c r="H191" s="70"/>
      <c r="K191" s="70"/>
      <c r="L191" s="71"/>
      <c r="M191" s="72"/>
      <c r="P191" s="72"/>
    </row>
    <row r="192">
      <c r="B192" s="68"/>
      <c r="H192" s="70"/>
      <c r="K192" s="70"/>
      <c r="L192" s="71"/>
      <c r="M192" s="72"/>
      <c r="P192" s="72"/>
    </row>
    <row r="193">
      <c r="B193" s="68"/>
      <c r="H193" s="70"/>
      <c r="K193" s="70"/>
      <c r="L193" s="71"/>
      <c r="M193" s="72"/>
      <c r="P193" s="72"/>
    </row>
    <row r="194">
      <c r="B194" s="68"/>
      <c r="H194" s="70"/>
      <c r="K194" s="70"/>
      <c r="L194" s="71"/>
      <c r="M194" s="72"/>
      <c r="P194" s="72"/>
    </row>
    <row r="195">
      <c r="B195" s="68"/>
      <c r="H195" s="70"/>
      <c r="K195" s="70"/>
      <c r="L195" s="71"/>
      <c r="M195" s="72"/>
      <c r="P195" s="72"/>
    </row>
    <row r="196">
      <c r="B196" s="68"/>
      <c r="H196" s="70"/>
      <c r="K196" s="70"/>
      <c r="L196" s="71"/>
      <c r="M196" s="72"/>
      <c r="P196" s="72"/>
    </row>
    <row r="197">
      <c r="B197" s="68"/>
      <c r="H197" s="70"/>
      <c r="K197" s="70"/>
      <c r="L197" s="71"/>
      <c r="M197" s="72"/>
      <c r="P197" s="72"/>
    </row>
    <row r="198">
      <c r="B198" s="68"/>
      <c r="H198" s="70"/>
      <c r="K198" s="70"/>
      <c r="L198" s="71"/>
      <c r="M198" s="72"/>
      <c r="P198" s="72"/>
    </row>
    <row r="199">
      <c r="B199" s="68"/>
      <c r="H199" s="70"/>
      <c r="K199" s="70"/>
      <c r="L199" s="71"/>
      <c r="M199" s="72"/>
      <c r="P199" s="72"/>
    </row>
    <row r="200">
      <c r="B200" s="68"/>
      <c r="H200" s="70"/>
      <c r="K200" s="70"/>
      <c r="L200" s="71"/>
      <c r="M200" s="72"/>
      <c r="P200" s="72"/>
    </row>
    <row r="201">
      <c r="B201" s="68"/>
      <c r="H201" s="70"/>
      <c r="K201" s="70"/>
      <c r="L201" s="71"/>
      <c r="M201" s="72"/>
      <c r="P201" s="72"/>
    </row>
    <row r="202">
      <c r="B202" s="68"/>
      <c r="H202" s="70"/>
      <c r="K202" s="70"/>
      <c r="L202" s="71"/>
      <c r="M202" s="72"/>
      <c r="P202" s="72"/>
    </row>
    <row r="203">
      <c r="B203" s="68"/>
      <c r="H203" s="70"/>
      <c r="K203" s="70"/>
      <c r="L203" s="71"/>
      <c r="M203" s="72"/>
      <c r="P203" s="72"/>
    </row>
    <row r="204">
      <c r="B204" s="68"/>
      <c r="H204" s="70"/>
      <c r="K204" s="70"/>
      <c r="L204" s="71"/>
      <c r="M204" s="72"/>
      <c r="P204" s="72"/>
    </row>
    <row r="205">
      <c r="B205" s="68"/>
      <c r="H205" s="70"/>
      <c r="K205" s="70"/>
      <c r="L205" s="71"/>
      <c r="M205" s="72"/>
      <c r="P205" s="72"/>
    </row>
    <row r="206">
      <c r="B206" s="68"/>
      <c r="H206" s="70"/>
      <c r="K206" s="70"/>
      <c r="L206" s="71"/>
      <c r="M206" s="72"/>
      <c r="P206" s="72"/>
    </row>
    <row r="207">
      <c r="B207" s="68"/>
      <c r="H207" s="70"/>
      <c r="K207" s="70"/>
      <c r="L207" s="71"/>
      <c r="M207" s="72"/>
      <c r="P207" s="72"/>
    </row>
    <row r="208">
      <c r="B208" s="68"/>
      <c r="H208" s="70"/>
      <c r="K208" s="70"/>
      <c r="L208" s="71"/>
      <c r="M208" s="72"/>
      <c r="P208" s="72"/>
    </row>
    <row r="209">
      <c r="B209" s="68"/>
      <c r="H209" s="70"/>
      <c r="K209" s="70"/>
      <c r="L209" s="71"/>
      <c r="M209" s="72"/>
      <c r="P209" s="72"/>
    </row>
    <row r="210">
      <c r="B210" s="68"/>
      <c r="H210" s="70"/>
      <c r="K210" s="70"/>
      <c r="L210" s="71"/>
      <c r="M210" s="72"/>
      <c r="P210" s="72"/>
    </row>
    <row r="211">
      <c r="B211" s="68"/>
      <c r="H211" s="70"/>
      <c r="K211" s="70"/>
      <c r="L211" s="71"/>
      <c r="M211" s="72"/>
      <c r="P211" s="72"/>
    </row>
    <row r="212">
      <c r="B212" s="68"/>
      <c r="H212" s="70"/>
      <c r="K212" s="70"/>
      <c r="L212" s="71"/>
      <c r="M212" s="72"/>
      <c r="P212" s="72"/>
    </row>
    <row r="213">
      <c r="B213" s="68"/>
      <c r="H213" s="70"/>
      <c r="K213" s="70"/>
      <c r="L213" s="71"/>
      <c r="M213" s="72"/>
      <c r="P213" s="72"/>
    </row>
    <row r="214">
      <c r="B214" s="68"/>
      <c r="H214" s="70"/>
      <c r="K214" s="70"/>
      <c r="L214" s="71"/>
      <c r="M214" s="72"/>
      <c r="P214" s="72"/>
    </row>
    <row r="215">
      <c r="B215" s="68"/>
      <c r="H215" s="70"/>
      <c r="K215" s="70"/>
      <c r="L215" s="71"/>
      <c r="M215" s="72"/>
      <c r="P215" s="72"/>
    </row>
    <row r="216">
      <c r="B216" s="68"/>
      <c r="H216" s="70"/>
      <c r="K216" s="70"/>
      <c r="L216" s="71"/>
      <c r="M216" s="72"/>
      <c r="P216" s="72"/>
    </row>
    <row r="217">
      <c r="B217" s="68"/>
      <c r="H217" s="70"/>
      <c r="K217" s="70"/>
      <c r="L217" s="71"/>
      <c r="M217" s="72"/>
      <c r="P217" s="72"/>
    </row>
    <row r="218">
      <c r="B218" s="68"/>
      <c r="H218" s="70"/>
      <c r="K218" s="70"/>
      <c r="L218" s="71"/>
      <c r="M218" s="72"/>
      <c r="P218" s="72"/>
    </row>
    <row r="219">
      <c r="B219" s="68"/>
      <c r="H219" s="70"/>
      <c r="K219" s="70"/>
      <c r="L219" s="71"/>
      <c r="M219" s="72"/>
      <c r="P219" s="72"/>
    </row>
    <row r="220">
      <c r="B220" s="68"/>
      <c r="H220" s="70"/>
      <c r="K220" s="70"/>
      <c r="L220" s="71"/>
      <c r="M220" s="72"/>
      <c r="P220" s="72"/>
    </row>
    <row r="221">
      <c r="B221" s="68"/>
      <c r="H221" s="70"/>
      <c r="K221" s="70"/>
      <c r="L221" s="71"/>
      <c r="M221" s="72"/>
      <c r="P221" s="72"/>
    </row>
    <row r="222">
      <c r="B222" s="68"/>
      <c r="H222" s="70"/>
      <c r="K222" s="70"/>
      <c r="L222" s="71"/>
      <c r="M222" s="72"/>
      <c r="P222" s="72"/>
    </row>
    <row r="223">
      <c r="B223" s="68"/>
      <c r="H223" s="70"/>
      <c r="K223" s="70"/>
      <c r="L223" s="71"/>
      <c r="M223" s="72"/>
      <c r="P223" s="72"/>
    </row>
    <row r="224">
      <c r="B224" s="68"/>
      <c r="H224" s="70"/>
      <c r="K224" s="70"/>
      <c r="L224" s="71"/>
      <c r="M224" s="72"/>
      <c r="P224" s="72"/>
    </row>
    <row r="225">
      <c r="B225" s="68"/>
      <c r="H225" s="70"/>
      <c r="K225" s="70"/>
      <c r="L225" s="71"/>
      <c r="M225" s="72"/>
      <c r="P225" s="72"/>
    </row>
    <row r="226">
      <c r="B226" s="68"/>
      <c r="H226" s="70"/>
      <c r="K226" s="70"/>
      <c r="L226" s="71"/>
      <c r="M226" s="72"/>
      <c r="P226" s="72"/>
    </row>
    <row r="227">
      <c r="B227" s="68"/>
      <c r="H227" s="70"/>
      <c r="K227" s="70"/>
      <c r="L227" s="71"/>
      <c r="M227" s="72"/>
      <c r="P227" s="72"/>
    </row>
    <row r="228">
      <c r="B228" s="68"/>
      <c r="H228" s="70"/>
      <c r="K228" s="70"/>
      <c r="L228" s="71"/>
      <c r="M228" s="72"/>
      <c r="P228" s="72"/>
    </row>
    <row r="229">
      <c r="B229" s="68"/>
      <c r="H229" s="70"/>
      <c r="K229" s="70"/>
      <c r="L229" s="71"/>
      <c r="M229" s="72"/>
      <c r="P229" s="72"/>
    </row>
    <row r="230">
      <c r="B230" s="68"/>
      <c r="H230" s="70"/>
      <c r="K230" s="70"/>
      <c r="L230" s="71"/>
      <c r="M230" s="72"/>
      <c r="P230" s="72"/>
    </row>
    <row r="231">
      <c r="B231" s="68"/>
      <c r="H231" s="70"/>
      <c r="K231" s="70"/>
      <c r="L231" s="71"/>
      <c r="M231" s="72"/>
      <c r="P231" s="72"/>
    </row>
    <row r="232">
      <c r="B232" s="68"/>
      <c r="H232" s="70"/>
      <c r="K232" s="70"/>
      <c r="L232" s="71"/>
      <c r="M232" s="72"/>
      <c r="P232" s="72"/>
    </row>
    <row r="233">
      <c r="B233" s="68"/>
      <c r="H233" s="70"/>
      <c r="K233" s="70"/>
      <c r="L233" s="71"/>
      <c r="M233" s="72"/>
      <c r="P233" s="72"/>
    </row>
    <row r="234">
      <c r="B234" s="68"/>
      <c r="H234" s="70"/>
      <c r="K234" s="70"/>
      <c r="L234" s="71"/>
      <c r="M234" s="72"/>
      <c r="P234" s="72"/>
    </row>
    <row r="235">
      <c r="B235" s="68"/>
      <c r="H235" s="70"/>
      <c r="K235" s="70"/>
      <c r="L235" s="71"/>
      <c r="M235" s="72"/>
      <c r="P235" s="72"/>
    </row>
    <row r="236">
      <c r="B236" s="68"/>
      <c r="H236" s="70"/>
      <c r="K236" s="70"/>
      <c r="L236" s="71"/>
      <c r="M236" s="72"/>
      <c r="P236" s="72"/>
    </row>
    <row r="237">
      <c r="B237" s="68"/>
      <c r="H237" s="70"/>
      <c r="K237" s="70"/>
      <c r="L237" s="71"/>
      <c r="M237" s="72"/>
      <c r="P237" s="72"/>
    </row>
    <row r="238">
      <c r="B238" s="68"/>
      <c r="H238" s="70"/>
      <c r="K238" s="70"/>
      <c r="L238" s="71"/>
      <c r="M238" s="72"/>
      <c r="P238" s="72"/>
    </row>
    <row r="239">
      <c r="B239" s="68"/>
      <c r="H239" s="70"/>
      <c r="K239" s="70"/>
      <c r="L239" s="71"/>
      <c r="M239" s="72"/>
      <c r="P239" s="72"/>
    </row>
    <row r="240">
      <c r="B240" s="68"/>
      <c r="H240" s="70"/>
      <c r="K240" s="70"/>
      <c r="L240" s="71"/>
      <c r="M240" s="72"/>
      <c r="P240" s="72"/>
    </row>
    <row r="241">
      <c r="B241" s="68"/>
      <c r="H241" s="70"/>
      <c r="K241" s="70"/>
      <c r="L241" s="71"/>
      <c r="M241" s="72"/>
      <c r="P241" s="72"/>
    </row>
    <row r="242">
      <c r="B242" s="68"/>
      <c r="H242" s="70"/>
      <c r="K242" s="70"/>
      <c r="L242" s="71"/>
      <c r="M242" s="72"/>
      <c r="P242" s="72"/>
    </row>
    <row r="243">
      <c r="B243" s="68"/>
      <c r="H243" s="70"/>
      <c r="K243" s="70"/>
      <c r="L243" s="71"/>
      <c r="M243" s="72"/>
      <c r="P243" s="72"/>
    </row>
    <row r="244">
      <c r="B244" s="68"/>
      <c r="H244" s="70"/>
      <c r="K244" s="70"/>
      <c r="L244" s="71"/>
      <c r="M244" s="72"/>
      <c r="P244" s="72"/>
    </row>
    <row r="245">
      <c r="B245" s="68"/>
      <c r="H245" s="70"/>
      <c r="K245" s="70"/>
      <c r="L245" s="71"/>
      <c r="M245" s="72"/>
      <c r="P245" s="72"/>
    </row>
    <row r="246">
      <c r="B246" s="68"/>
      <c r="H246" s="70"/>
      <c r="K246" s="70"/>
      <c r="L246" s="71"/>
      <c r="M246" s="72"/>
      <c r="P246" s="72"/>
    </row>
    <row r="247">
      <c r="B247" s="68"/>
      <c r="H247" s="70"/>
      <c r="K247" s="70"/>
      <c r="L247" s="71"/>
      <c r="M247" s="72"/>
      <c r="P247" s="72"/>
    </row>
    <row r="248">
      <c r="B248" s="68"/>
      <c r="H248" s="70"/>
      <c r="K248" s="70"/>
      <c r="L248" s="71"/>
      <c r="M248" s="72"/>
      <c r="P248" s="72"/>
    </row>
    <row r="249">
      <c r="B249" s="68"/>
      <c r="H249" s="70"/>
      <c r="K249" s="70"/>
      <c r="L249" s="71"/>
      <c r="M249" s="72"/>
      <c r="P249" s="72"/>
    </row>
    <row r="250">
      <c r="B250" s="68"/>
      <c r="H250" s="70"/>
      <c r="K250" s="70"/>
      <c r="L250" s="71"/>
      <c r="M250" s="72"/>
      <c r="P250" s="72"/>
    </row>
    <row r="251">
      <c r="B251" s="68"/>
      <c r="H251" s="70"/>
      <c r="K251" s="70"/>
      <c r="L251" s="71"/>
      <c r="M251" s="72"/>
      <c r="P251" s="72"/>
    </row>
    <row r="252">
      <c r="B252" s="68"/>
      <c r="H252" s="70"/>
      <c r="K252" s="70"/>
      <c r="L252" s="71"/>
      <c r="M252" s="72"/>
      <c r="P252" s="72"/>
    </row>
    <row r="253">
      <c r="B253" s="68"/>
      <c r="H253" s="70"/>
      <c r="K253" s="70"/>
      <c r="L253" s="71"/>
      <c r="M253" s="72"/>
      <c r="P253" s="72"/>
    </row>
    <row r="254">
      <c r="B254" s="68"/>
      <c r="H254" s="70"/>
      <c r="K254" s="70"/>
      <c r="L254" s="71"/>
      <c r="M254" s="72"/>
      <c r="P254" s="72"/>
    </row>
    <row r="255">
      <c r="B255" s="68"/>
      <c r="H255" s="70"/>
      <c r="K255" s="70"/>
      <c r="L255" s="71"/>
      <c r="M255" s="72"/>
      <c r="P255" s="72"/>
    </row>
    <row r="256">
      <c r="B256" s="68"/>
      <c r="H256" s="70"/>
      <c r="K256" s="70"/>
      <c r="L256" s="71"/>
      <c r="M256" s="72"/>
      <c r="P256" s="72"/>
    </row>
    <row r="257">
      <c r="B257" s="68"/>
      <c r="H257" s="70"/>
      <c r="K257" s="70"/>
      <c r="L257" s="71"/>
      <c r="M257" s="72"/>
      <c r="P257" s="72"/>
    </row>
    <row r="258">
      <c r="B258" s="68"/>
      <c r="H258" s="70"/>
      <c r="K258" s="70"/>
      <c r="L258" s="71"/>
      <c r="M258" s="72"/>
      <c r="P258" s="72"/>
    </row>
    <row r="259">
      <c r="B259" s="68"/>
      <c r="H259" s="70"/>
      <c r="K259" s="70"/>
      <c r="L259" s="71"/>
      <c r="M259" s="72"/>
      <c r="P259" s="72"/>
    </row>
    <row r="260">
      <c r="B260" s="68"/>
      <c r="H260" s="70"/>
      <c r="K260" s="70"/>
      <c r="L260" s="71"/>
      <c r="M260" s="72"/>
      <c r="P260" s="72"/>
    </row>
    <row r="261">
      <c r="B261" s="68"/>
      <c r="H261" s="70"/>
      <c r="K261" s="70"/>
      <c r="L261" s="71"/>
      <c r="M261" s="72"/>
      <c r="P261" s="72"/>
    </row>
    <row r="262">
      <c r="B262" s="68"/>
      <c r="H262" s="70"/>
      <c r="K262" s="70"/>
      <c r="L262" s="71"/>
      <c r="M262" s="72"/>
      <c r="P262" s="72"/>
    </row>
    <row r="263">
      <c r="B263" s="68"/>
      <c r="H263" s="70"/>
      <c r="K263" s="70"/>
      <c r="L263" s="71"/>
      <c r="M263" s="72"/>
      <c r="P263" s="72"/>
    </row>
    <row r="264">
      <c r="B264" s="68"/>
      <c r="H264" s="70"/>
      <c r="K264" s="70"/>
      <c r="L264" s="71"/>
      <c r="M264" s="72"/>
      <c r="P264" s="72"/>
    </row>
    <row r="265">
      <c r="B265" s="68"/>
      <c r="H265" s="70"/>
      <c r="K265" s="70"/>
      <c r="L265" s="71"/>
      <c r="M265" s="72"/>
      <c r="P265" s="72"/>
    </row>
    <row r="266">
      <c r="B266" s="68"/>
      <c r="H266" s="70"/>
      <c r="K266" s="70"/>
      <c r="L266" s="71"/>
      <c r="M266" s="72"/>
      <c r="P266" s="72"/>
    </row>
    <row r="267">
      <c r="B267" s="68"/>
      <c r="H267" s="70"/>
      <c r="K267" s="70"/>
      <c r="L267" s="71"/>
      <c r="M267" s="72"/>
      <c r="P267" s="72"/>
    </row>
    <row r="268">
      <c r="B268" s="68"/>
      <c r="H268" s="70"/>
      <c r="K268" s="70"/>
      <c r="L268" s="71"/>
      <c r="M268" s="72"/>
      <c r="P268" s="72"/>
    </row>
    <row r="269">
      <c r="B269" s="68"/>
      <c r="H269" s="70"/>
      <c r="K269" s="70"/>
      <c r="L269" s="71"/>
      <c r="M269" s="72"/>
      <c r="P269" s="72"/>
    </row>
    <row r="270">
      <c r="B270" s="68"/>
      <c r="H270" s="70"/>
      <c r="K270" s="70"/>
      <c r="L270" s="71"/>
      <c r="M270" s="72"/>
      <c r="P270" s="72"/>
    </row>
    <row r="271">
      <c r="B271" s="68"/>
      <c r="H271" s="70"/>
      <c r="K271" s="70"/>
      <c r="L271" s="71"/>
      <c r="M271" s="72"/>
      <c r="P271" s="72"/>
    </row>
    <row r="272">
      <c r="B272" s="68"/>
      <c r="H272" s="70"/>
      <c r="K272" s="70"/>
      <c r="L272" s="71"/>
      <c r="M272" s="72"/>
      <c r="P272" s="72"/>
    </row>
    <row r="273">
      <c r="B273" s="68"/>
      <c r="H273" s="70"/>
      <c r="K273" s="70"/>
      <c r="L273" s="71"/>
      <c r="M273" s="72"/>
      <c r="P273" s="72"/>
    </row>
    <row r="274">
      <c r="B274" s="68"/>
      <c r="H274" s="70"/>
      <c r="K274" s="70"/>
      <c r="L274" s="71"/>
      <c r="M274" s="72"/>
      <c r="P274" s="72"/>
    </row>
    <row r="275">
      <c r="B275" s="68"/>
      <c r="H275" s="70"/>
      <c r="K275" s="70"/>
      <c r="L275" s="71"/>
      <c r="M275" s="72"/>
      <c r="P275" s="72"/>
    </row>
    <row r="276">
      <c r="B276" s="68"/>
      <c r="H276" s="70"/>
      <c r="K276" s="70"/>
      <c r="L276" s="71"/>
      <c r="M276" s="72"/>
      <c r="P276" s="72"/>
    </row>
    <row r="277">
      <c r="B277" s="68"/>
      <c r="H277" s="70"/>
      <c r="K277" s="70"/>
      <c r="L277" s="71"/>
      <c r="M277" s="72"/>
      <c r="P277" s="72"/>
    </row>
    <row r="278">
      <c r="B278" s="68"/>
      <c r="H278" s="70"/>
      <c r="K278" s="70"/>
      <c r="L278" s="71"/>
      <c r="M278" s="72"/>
      <c r="P278" s="72"/>
    </row>
    <row r="279">
      <c r="B279" s="68"/>
      <c r="H279" s="70"/>
      <c r="K279" s="70"/>
      <c r="L279" s="71"/>
      <c r="M279" s="72"/>
      <c r="P279" s="72"/>
    </row>
    <row r="280">
      <c r="B280" s="68"/>
      <c r="H280" s="70"/>
      <c r="K280" s="70"/>
      <c r="L280" s="71"/>
      <c r="M280" s="72"/>
      <c r="P280" s="72"/>
    </row>
    <row r="281">
      <c r="B281" s="68"/>
      <c r="H281" s="70"/>
      <c r="K281" s="70"/>
      <c r="L281" s="71"/>
      <c r="M281" s="72"/>
      <c r="P281" s="72"/>
    </row>
    <row r="282">
      <c r="B282" s="68"/>
      <c r="H282" s="70"/>
      <c r="K282" s="70"/>
      <c r="L282" s="71"/>
      <c r="M282" s="72"/>
      <c r="P282" s="72"/>
    </row>
    <row r="283">
      <c r="B283" s="68"/>
      <c r="H283" s="70"/>
      <c r="K283" s="70"/>
      <c r="L283" s="71"/>
      <c r="M283" s="72"/>
      <c r="P283" s="72"/>
    </row>
    <row r="284">
      <c r="B284" s="68"/>
      <c r="H284" s="70"/>
      <c r="K284" s="70"/>
      <c r="L284" s="71"/>
      <c r="M284" s="72"/>
      <c r="P284" s="72"/>
    </row>
    <row r="285">
      <c r="B285" s="68"/>
      <c r="H285" s="70"/>
      <c r="K285" s="70"/>
      <c r="L285" s="71"/>
      <c r="M285" s="72"/>
      <c r="P285" s="72"/>
    </row>
    <row r="286">
      <c r="B286" s="68"/>
      <c r="H286" s="70"/>
      <c r="K286" s="70"/>
      <c r="L286" s="71"/>
      <c r="M286" s="72"/>
      <c r="P286" s="72"/>
    </row>
    <row r="287">
      <c r="B287" s="68"/>
      <c r="H287" s="70"/>
      <c r="K287" s="70"/>
      <c r="L287" s="71"/>
      <c r="M287" s="72"/>
      <c r="P287" s="72"/>
    </row>
    <row r="288">
      <c r="B288" s="68"/>
      <c r="H288" s="70"/>
      <c r="K288" s="70"/>
      <c r="L288" s="71"/>
      <c r="M288" s="72"/>
      <c r="P288" s="72"/>
    </row>
    <row r="289">
      <c r="B289" s="68"/>
      <c r="H289" s="70"/>
      <c r="K289" s="70"/>
      <c r="L289" s="71"/>
      <c r="M289" s="72"/>
      <c r="P289" s="72"/>
    </row>
    <row r="290">
      <c r="B290" s="68"/>
      <c r="H290" s="70"/>
      <c r="K290" s="70"/>
      <c r="L290" s="71"/>
      <c r="M290" s="72"/>
      <c r="P290" s="72"/>
    </row>
    <row r="291">
      <c r="B291" s="68"/>
      <c r="H291" s="70"/>
      <c r="K291" s="70"/>
      <c r="L291" s="71"/>
      <c r="M291" s="72"/>
      <c r="P291" s="72"/>
    </row>
    <row r="292">
      <c r="B292" s="68"/>
      <c r="H292" s="70"/>
      <c r="K292" s="70"/>
      <c r="L292" s="71"/>
      <c r="M292" s="72"/>
      <c r="P292" s="72"/>
    </row>
    <row r="293">
      <c r="B293" s="68"/>
      <c r="H293" s="70"/>
      <c r="K293" s="70"/>
      <c r="L293" s="71"/>
      <c r="M293" s="72"/>
      <c r="P293" s="72"/>
    </row>
    <row r="294">
      <c r="B294" s="68"/>
      <c r="H294" s="70"/>
      <c r="K294" s="70"/>
      <c r="L294" s="71"/>
      <c r="M294" s="72"/>
      <c r="P294" s="72"/>
    </row>
    <row r="295">
      <c r="B295" s="68"/>
      <c r="H295" s="70"/>
      <c r="K295" s="70"/>
      <c r="L295" s="71"/>
      <c r="M295" s="72"/>
      <c r="P295" s="72"/>
    </row>
    <row r="296">
      <c r="B296" s="68"/>
      <c r="H296" s="70"/>
      <c r="K296" s="70"/>
      <c r="L296" s="71"/>
      <c r="M296" s="72"/>
      <c r="P296" s="72"/>
    </row>
    <row r="297">
      <c r="B297" s="68"/>
      <c r="H297" s="70"/>
      <c r="K297" s="70"/>
      <c r="L297" s="71"/>
      <c r="M297" s="72"/>
      <c r="P297" s="72"/>
    </row>
    <row r="298">
      <c r="B298" s="68"/>
      <c r="H298" s="70"/>
      <c r="K298" s="70"/>
      <c r="L298" s="71"/>
      <c r="M298" s="72"/>
      <c r="P298" s="72"/>
    </row>
    <row r="299">
      <c r="B299" s="68"/>
      <c r="H299" s="70"/>
      <c r="K299" s="70"/>
      <c r="L299" s="71"/>
      <c r="M299" s="72"/>
      <c r="P299" s="72"/>
    </row>
    <row r="300">
      <c r="B300" s="68"/>
      <c r="H300" s="70"/>
      <c r="K300" s="70"/>
      <c r="L300" s="71"/>
      <c r="M300" s="72"/>
      <c r="P300" s="72"/>
    </row>
    <row r="301">
      <c r="B301" s="68"/>
      <c r="H301" s="70"/>
      <c r="K301" s="70"/>
      <c r="L301" s="71"/>
      <c r="M301" s="72"/>
      <c r="P301" s="72"/>
    </row>
    <row r="302">
      <c r="B302" s="68"/>
      <c r="H302" s="70"/>
      <c r="K302" s="70"/>
      <c r="L302" s="71"/>
      <c r="M302" s="72"/>
      <c r="P302" s="72"/>
    </row>
    <row r="303">
      <c r="B303" s="68"/>
      <c r="H303" s="70"/>
      <c r="K303" s="70"/>
      <c r="L303" s="71"/>
      <c r="M303" s="72"/>
      <c r="P303" s="72"/>
    </row>
    <row r="304">
      <c r="B304" s="68"/>
      <c r="H304" s="70"/>
      <c r="K304" s="70"/>
      <c r="L304" s="71"/>
      <c r="M304" s="72"/>
      <c r="P304" s="72"/>
    </row>
    <row r="305">
      <c r="B305" s="68"/>
      <c r="H305" s="70"/>
      <c r="K305" s="70"/>
      <c r="L305" s="71"/>
      <c r="M305" s="72"/>
      <c r="P305" s="72"/>
    </row>
    <row r="306">
      <c r="B306" s="68"/>
      <c r="H306" s="70"/>
      <c r="K306" s="70"/>
      <c r="L306" s="71"/>
      <c r="M306" s="72"/>
      <c r="P306" s="72"/>
    </row>
    <row r="307">
      <c r="B307" s="68"/>
      <c r="H307" s="70"/>
      <c r="K307" s="70"/>
      <c r="L307" s="71"/>
      <c r="M307" s="72"/>
      <c r="P307" s="72"/>
    </row>
    <row r="308">
      <c r="B308" s="68"/>
      <c r="H308" s="70"/>
      <c r="K308" s="70"/>
      <c r="L308" s="71"/>
      <c r="M308" s="72"/>
      <c r="P308" s="72"/>
    </row>
    <row r="309">
      <c r="B309" s="68"/>
      <c r="H309" s="70"/>
      <c r="K309" s="70"/>
      <c r="L309" s="71"/>
      <c r="M309" s="72"/>
      <c r="P309" s="72"/>
    </row>
    <row r="310">
      <c r="B310" s="68"/>
      <c r="H310" s="70"/>
      <c r="K310" s="70"/>
      <c r="L310" s="71"/>
      <c r="M310" s="72"/>
      <c r="P310" s="72"/>
    </row>
    <row r="311">
      <c r="B311" s="68"/>
      <c r="H311" s="70"/>
      <c r="K311" s="70"/>
      <c r="L311" s="71"/>
      <c r="M311" s="72"/>
      <c r="P311" s="72"/>
    </row>
    <row r="312">
      <c r="B312" s="68"/>
      <c r="H312" s="70"/>
      <c r="K312" s="70"/>
      <c r="L312" s="71"/>
      <c r="M312" s="72"/>
      <c r="P312" s="72"/>
    </row>
    <row r="313">
      <c r="B313" s="68"/>
      <c r="H313" s="70"/>
      <c r="K313" s="70"/>
      <c r="L313" s="71"/>
      <c r="M313" s="72"/>
      <c r="P313" s="72"/>
    </row>
    <row r="314">
      <c r="B314" s="68"/>
      <c r="H314" s="70"/>
      <c r="K314" s="70"/>
      <c r="L314" s="71"/>
      <c r="M314" s="72"/>
      <c r="P314" s="72"/>
    </row>
    <row r="315">
      <c r="B315" s="68"/>
      <c r="H315" s="70"/>
      <c r="K315" s="70"/>
      <c r="L315" s="71"/>
      <c r="M315" s="72"/>
      <c r="P315" s="72"/>
    </row>
    <row r="316">
      <c r="B316" s="68"/>
      <c r="H316" s="70"/>
      <c r="K316" s="70"/>
      <c r="L316" s="71"/>
      <c r="M316" s="72"/>
      <c r="P316" s="72"/>
    </row>
    <row r="317">
      <c r="B317" s="68"/>
      <c r="H317" s="70"/>
      <c r="K317" s="70"/>
      <c r="L317" s="71"/>
      <c r="M317" s="72"/>
      <c r="P317" s="72"/>
    </row>
    <row r="318">
      <c r="B318" s="68"/>
      <c r="H318" s="70"/>
      <c r="K318" s="70"/>
      <c r="L318" s="71"/>
      <c r="M318" s="72"/>
      <c r="P318" s="72"/>
    </row>
    <row r="319">
      <c r="B319" s="68"/>
      <c r="H319" s="70"/>
      <c r="K319" s="70"/>
      <c r="L319" s="71"/>
      <c r="M319" s="72"/>
      <c r="P319" s="72"/>
    </row>
    <row r="320">
      <c r="B320" s="68"/>
      <c r="H320" s="70"/>
      <c r="K320" s="70"/>
      <c r="L320" s="71"/>
      <c r="M320" s="72"/>
      <c r="P320" s="72"/>
    </row>
    <row r="321">
      <c r="B321" s="68"/>
      <c r="H321" s="70"/>
      <c r="K321" s="70"/>
      <c r="L321" s="71"/>
      <c r="M321" s="72"/>
      <c r="P321" s="72"/>
    </row>
    <row r="322">
      <c r="B322" s="68"/>
      <c r="H322" s="70"/>
      <c r="K322" s="70"/>
      <c r="L322" s="71"/>
      <c r="M322" s="72"/>
      <c r="P322" s="72"/>
    </row>
    <row r="323">
      <c r="B323" s="68"/>
      <c r="H323" s="70"/>
      <c r="K323" s="70"/>
      <c r="L323" s="71"/>
      <c r="M323" s="72"/>
      <c r="P323" s="72"/>
    </row>
    <row r="324">
      <c r="B324" s="68"/>
      <c r="H324" s="70"/>
      <c r="K324" s="70"/>
      <c r="L324" s="71"/>
      <c r="M324" s="72"/>
      <c r="P324" s="72"/>
    </row>
    <row r="325">
      <c r="B325" s="68"/>
      <c r="H325" s="70"/>
      <c r="K325" s="70"/>
      <c r="L325" s="71"/>
      <c r="M325" s="72"/>
      <c r="P325" s="72"/>
    </row>
    <row r="326">
      <c r="B326" s="68"/>
      <c r="H326" s="70"/>
      <c r="K326" s="70"/>
      <c r="L326" s="71"/>
      <c r="M326" s="72"/>
      <c r="P326" s="72"/>
    </row>
    <row r="327">
      <c r="B327" s="68"/>
      <c r="H327" s="70"/>
      <c r="K327" s="70"/>
      <c r="L327" s="71"/>
      <c r="M327" s="72"/>
      <c r="P327" s="72"/>
    </row>
    <row r="328">
      <c r="B328" s="68"/>
      <c r="H328" s="70"/>
      <c r="K328" s="70"/>
      <c r="L328" s="71"/>
      <c r="M328" s="72"/>
      <c r="P328" s="72"/>
    </row>
    <row r="329">
      <c r="B329" s="68"/>
      <c r="H329" s="70"/>
      <c r="K329" s="70"/>
      <c r="L329" s="71"/>
      <c r="M329" s="72"/>
      <c r="P329" s="72"/>
    </row>
    <row r="330">
      <c r="B330" s="68"/>
      <c r="H330" s="70"/>
      <c r="K330" s="70"/>
      <c r="L330" s="71"/>
      <c r="M330" s="72"/>
      <c r="P330" s="72"/>
    </row>
    <row r="331">
      <c r="B331" s="68"/>
      <c r="H331" s="70"/>
      <c r="K331" s="70"/>
      <c r="L331" s="71"/>
      <c r="M331" s="72"/>
      <c r="P331" s="72"/>
    </row>
    <row r="332">
      <c r="B332" s="68"/>
      <c r="H332" s="70"/>
      <c r="K332" s="70"/>
      <c r="L332" s="71"/>
      <c r="M332" s="72"/>
      <c r="P332" s="72"/>
    </row>
    <row r="333">
      <c r="B333" s="68"/>
      <c r="H333" s="70"/>
      <c r="K333" s="70"/>
      <c r="L333" s="71"/>
      <c r="M333" s="72"/>
      <c r="P333" s="72"/>
    </row>
    <row r="334">
      <c r="B334" s="68"/>
      <c r="H334" s="70"/>
      <c r="K334" s="70"/>
      <c r="L334" s="71"/>
      <c r="M334" s="72"/>
      <c r="P334" s="72"/>
    </row>
    <row r="335">
      <c r="B335" s="68"/>
      <c r="H335" s="70"/>
      <c r="K335" s="70"/>
      <c r="L335" s="71"/>
      <c r="M335" s="72"/>
      <c r="P335" s="72"/>
    </row>
    <row r="336">
      <c r="B336" s="68"/>
      <c r="H336" s="70"/>
      <c r="K336" s="70"/>
      <c r="L336" s="71"/>
      <c r="M336" s="72"/>
      <c r="P336" s="72"/>
    </row>
    <row r="337">
      <c r="B337" s="68"/>
      <c r="H337" s="70"/>
      <c r="K337" s="70"/>
      <c r="L337" s="71"/>
      <c r="M337" s="72"/>
      <c r="P337" s="72"/>
    </row>
    <row r="338">
      <c r="B338" s="68"/>
      <c r="H338" s="70"/>
      <c r="K338" s="70"/>
      <c r="L338" s="71"/>
      <c r="M338" s="72"/>
      <c r="P338" s="72"/>
    </row>
    <row r="339">
      <c r="B339" s="68"/>
      <c r="H339" s="70"/>
      <c r="K339" s="70"/>
      <c r="L339" s="71"/>
      <c r="M339" s="72"/>
      <c r="P339" s="72"/>
    </row>
    <row r="340">
      <c r="B340" s="68"/>
      <c r="H340" s="70"/>
      <c r="K340" s="70"/>
      <c r="L340" s="71"/>
      <c r="M340" s="72"/>
      <c r="P340" s="72"/>
    </row>
    <row r="341">
      <c r="B341" s="68"/>
      <c r="H341" s="70"/>
      <c r="K341" s="70"/>
      <c r="L341" s="71"/>
      <c r="M341" s="72"/>
      <c r="P341" s="72"/>
    </row>
    <row r="342">
      <c r="B342" s="68"/>
      <c r="H342" s="70"/>
      <c r="K342" s="70"/>
      <c r="L342" s="71"/>
      <c r="M342" s="72"/>
      <c r="P342" s="72"/>
    </row>
    <row r="343">
      <c r="B343" s="68"/>
      <c r="H343" s="70"/>
      <c r="K343" s="70"/>
      <c r="L343" s="71"/>
      <c r="M343" s="72"/>
      <c r="P343" s="72"/>
    </row>
    <row r="344">
      <c r="B344" s="68"/>
      <c r="H344" s="70"/>
      <c r="K344" s="70"/>
      <c r="L344" s="71"/>
      <c r="M344" s="72"/>
      <c r="P344" s="72"/>
    </row>
    <row r="345">
      <c r="B345" s="68"/>
      <c r="H345" s="70"/>
      <c r="K345" s="70"/>
      <c r="L345" s="71"/>
      <c r="M345" s="72"/>
      <c r="P345" s="72"/>
    </row>
    <row r="346">
      <c r="B346" s="68"/>
      <c r="H346" s="70"/>
      <c r="K346" s="70"/>
      <c r="L346" s="71"/>
      <c r="M346" s="72"/>
      <c r="P346" s="72"/>
    </row>
    <row r="347">
      <c r="B347" s="68"/>
      <c r="H347" s="70"/>
      <c r="K347" s="70"/>
      <c r="L347" s="71"/>
      <c r="M347" s="72"/>
      <c r="P347" s="72"/>
    </row>
    <row r="348">
      <c r="B348" s="68"/>
      <c r="H348" s="70"/>
      <c r="K348" s="70"/>
      <c r="L348" s="71"/>
      <c r="M348" s="72"/>
      <c r="P348" s="72"/>
    </row>
    <row r="349">
      <c r="B349" s="68"/>
      <c r="H349" s="70"/>
      <c r="K349" s="70"/>
      <c r="L349" s="71"/>
      <c r="M349" s="72"/>
      <c r="P349" s="72"/>
    </row>
    <row r="350">
      <c r="B350" s="68"/>
      <c r="H350" s="70"/>
      <c r="K350" s="70"/>
      <c r="L350" s="71"/>
      <c r="M350" s="72"/>
      <c r="P350" s="72"/>
    </row>
    <row r="351">
      <c r="B351" s="68"/>
      <c r="H351" s="70"/>
      <c r="K351" s="70"/>
      <c r="L351" s="71"/>
      <c r="M351" s="72"/>
      <c r="P351" s="72"/>
    </row>
    <row r="352">
      <c r="B352" s="68"/>
      <c r="H352" s="70"/>
      <c r="K352" s="70"/>
      <c r="L352" s="71"/>
      <c r="M352" s="72"/>
      <c r="P352" s="72"/>
    </row>
    <row r="353">
      <c r="B353" s="68"/>
      <c r="H353" s="70"/>
      <c r="K353" s="70"/>
      <c r="L353" s="71"/>
      <c r="M353" s="72"/>
      <c r="P353" s="72"/>
    </row>
    <row r="354">
      <c r="B354" s="68"/>
      <c r="H354" s="70"/>
      <c r="K354" s="70"/>
      <c r="L354" s="71"/>
      <c r="M354" s="72"/>
      <c r="P354" s="72"/>
    </row>
    <row r="355">
      <c r="B355" s="68"/>
      <c r="H355" s="70"/>
      <c r="K355" s="70"/>
      <c r="L355" s="71"/>
      <c r="M355" s="72"/>
      <c r="P355" s="72"/>
    </row>
    <row r="356">
      <c r="B356" s="68"/>
      <c r="H356" s="70"/>
      <c r="K356" s="70"/>
      <c r="L356" s="71"/>
      <c r="M356" s="72"/>
      <c r="P356" s="72"/>
    </row>
    <row r="357">
      <c r="B357" s="68"/>
      <c r="H357" s="70"/>
      <c r="K357" s="70"/>
      <c r="L357" s="71"/>
      <c r="M357" s="72"/>
      <c r="P357" s="72"/>
    </row>
    <row r="358">
      <c r="B358" s="68"/>
      <c r="H358" s="70"/>
      <c r="K358" s="70"/>
      <c r="L358" s="71"/>
      <c r="M358" s="72"/>
      <c r="P358" s="72"/>
    </row>
    <row r="359">
      <c r="B359" s="68"/>
      <c r="H359" s="70"/>
      <c r="K359" s="70"/>
      <c r="L359" s="71"/>
      <c r="M359" s="72"/>
      <c r="P359" s="72"/>
    </row>
    <row r="360">
      <c r="B360" s="68"/>
      <c r="H360" s="70"/>
      <c r="K360" s="70"/>
      <c r="L360" s="71"/>
      <c r="M360" s="72"/>
      <c r="P360" s="72"/>
    </row>
    <row r="361">
      <c r="B361" s="68"/>
      <c r="H361" s="70"/>
      <c r="K361" s="70"/>
      <c r="L361" s="71"/>
      <c r="M361" s="72"/>
      <c r="P361" s="72"/>
    </row>
    <row r="362">
      <c r="B362" s="68"/>
      <c r="H362" s="70"/>
      <c r="K362" s="70"/>
      <c r="L362" s="71"/>
      <c r="M362" s="72"/>
      <c r="P362" s="72"/>
    </row>
    <row r="363">
      <c r="B363" s="68"/>
      <c r="H363" s="70"/>
      <c r="K363" s="70"/>
      <c r="L363" s="71"/>
      <c r="M363" s="72"/>
      <c r="P363" s="72"/>
    </row>
    <row r="364">
      <c r="B364" s="68"/>
      <c r="H364" s="70"/>
      <c r="K364" s="70"/>
      <c r="L364" s="71"/>
      <c r="M364" s="72"/>
      <c r="P364" s="72"/>
    </row>
    <row r="365">
      <c r="B365" s="68"/>
      <c r="H365" s="70"/>
      <c r="K365" s="70"/>
      <c r="L365" s="71"/>
      <c r="M365" s="72"/>
      <c r="P365" s="72"/>
    </row>
    <row r="366">
      <c r="B366" s="68"/>
      <c r="H366" s="70"/>
      <c r="K366" s="70"/>
      <c r="L366" s="71"/>
      <c r="M366" s="72"/>
      <c r="P366" s="72"/>
    </row>
    <row r="367">
      <c r="B367" s="68"/>
      <c r="H367" s="70"/>
      <c r="K367" s="70"/>
      <c r="L367" s="71"/>
      <c r="M367" s="72"/>
      <c r="P367" s="72"/>
    </row>
    <row r="368">
      <c r="B368" s="68"/>
      <c r="H368" s="70"/>
      <c r="K368" s="70"/>
      <c r="L368" s="71"/>
      <c r="M368" s="72"/>
      <c r="P368" s="72"/>
    </row>
    <row r="369">
      <c r="B369" s="68"/>
      <c r="H369" s="70"/>
      <c r="K369" s="70"/>
      <c r="L369" s="71"/>
      <c r="M369" s="72"/>
      <c r="P369" s="72"/>
    </row>
    <row r="370">
      <c r="B370" s="68"/>
      <c r="H370" s="70"/>
      <c r="K370" s="70"/>
      <c r="L370" s="71"/>
      <c r="M370" s="72"/>
      <c r="P370" s="72"/>
    </row>
    <row r="371">
      <c r="B371" s="68"/>
      <c r="H371" s="70"/>
      <c r="K371" s="70"/>
      <c r="L371" s="71"/>
      <c r="M371" s="72"/>
      <c r="P371" s="72"/>
    </row>
    <row r="372">
      <c r="B372" s="68"/>
      <c r="H372" s="70"/>
      <c r="K372" s="70"/>
      <c r="L372" s="71"/>
      <c r="M372" s="72"/>
      <c r="P372" s="72"/>
    </row>
    <row r="373">
      <c r="B373" s="68"/>
      <c r="H373" s="70"/>
      <c r="K373" s="70"/>
      <c r="L373" s="71"/>
      <c r="M373" s="72"/>
      <c r="P373" s="72"/>
    </row>
    <row r="374">
      <c r="B374" s="68"/>
      <c r="H374" s="70"/>
      <c r="K374" s="70"/>
      <c r="L374" s="71"/>
      <c r="M374" s="72"/>
      <c r="P374" s="72"/>
    </row>
    <row r="375">
      <c r="B375" s="68"/>
      <c r="H375" s="70"/>
      <c r="K375" s="70"/>
      <c r="L375" s="71"/>
      <c r="M375" s="72"/>
      <c r="P375" s="72"/>
    </row>
    <row r="376">
      <c r="B376" s="68"/>
      <c r="H376" s="70"/>
      <c r="K376" s="70"/>
      <c r="L376" s="71"/>
      <c r="M376" s="72"/>
      <c r="P376" s="72"/>
    </row>
    <row r="377">
      <c r="B377" s="68"/>
      <c r="H377" s="70"/>
      <c r="K377" s="70"/>
      <c r="L377" s="71"/>
      <c r="M377" s="72"/>
      <c r="P377" s="72"/>
    </row>
    <row r="378">
      <c r="B378" s="68"/>
      <c r="H378" s="70"/>
      <c r="K378" s="70"/>
      <c r="L378" s="71"/>
      <c r="M378" s="72"/>
      <c r="P378" s="72"/>
    </row>
    <row r="379">
      <c r="B379" s="68"/>
      <c r="H379" s="70"/>
      <c r="K379" s="70"/>
      <c r="L379" s="71"/>
      <c r="M379" s="72"/>
      <c r="P379" s="72"/>
    </row>
    <row r="380">
      <c r="B380" s="68"/>
      <c r="H380" s="70"/>
      <c r="K380" s="70"/>
      <c r="L380" s="71"/>
      <c r="M380" s="72"/>
      <c r="P380" s="72"/>
    </row>
    <row r="381">
      <c r="B381" s="68"/>
      <c r="H381" s="70"/>
      <c r="K381" s="70"/>
      <c r="L381" s="71"/>
      <c r="M381" s="72"/>
      <c r="P381" s="72"/>
    </row>
    <row r="382">
      <c r="B382" s="68"/>
      <c r="H382" s="70"/>
      <c r="K382" s="70"/>
      <c r="L382" s="71"/>
      <c r="M382" s="72"/>
      <c r="P382" s="72"/>
    </row>
    <row r="383">
      <c r="B383" s="68"/>
      <c r="H383" s="70"/>
      <c r="K383" s="70"/>
      <c r="L383" s="71"/>
      <c r="M383" s="72"/>
      <c r="P383" s="72"/>
    </row>
    <row r="384">
      <c r="B384" s="68"/>
      <c r="H384" s="70"/>
      <c r="K384" s="70"/>
      <c r="L384" s="71"/>
      <c r="M384" s="72"/>
      <c r="P384" s="72"/>
    </row>
    <row r="385">
      <c r="B385" s="68"/>
      <c r="H385" s="70"/>
      <c r="K385" s="70"/>
      <c r="L385" s="71"/>
      <c r="M385" s="72"/>
      <c r="P385" s="72"/>
    </row>
    <row r="386">
      <c r="B386" s="68"/>
      <c r="H386" s="70"/>
      <c r="K386" s="70"/>
      <c r="L386" s="71"/>
      <c r="M386" s="72"/>
      <c r="P386" s="72"/>
    </row>
    <row r="387">
      <c r="B387" s="68"/>
      <c r="H387" s="70"/>
      <c r="K387" s="70"/>
      <c r="L387" s="71"/>
      <c r="M387" s="72"/>
      <c r="P387" s="72"/>
    </row>
    <row r="388">
      <c r="B388" s="68"/>
      <c r="H388" s="70"/>
      <c r="K388" s="70"/>
      <c r="L388" s="71"/>
      <c r="M388" s="72"/>
      <c r="P388" s="72"/>
    </row>
    <row r="389">
      <c r="B389" s="68"/>
      <c r="H389" s="70"/>
      <c r="K389" s="70"/>
      <c r="L389" s="71"/>
      <c r="M389" s="72"/>
      <c r="P389" s="72"/>
    </row>
    <row r="390">
      <c r="B390" s="68"/>
      <c r="H390" s="70"/>
      <c r="K390" s="70"/>
      <c r="L390" s="71"/>
      <c r="M390" s="72"/>
      <c r="P390" s="72"/>
    </row>
    <row r="391">
      <c r="B391" s="68"/>
      <c r="H391" s="70"/>
      <c r="K391" s="70"/>
      <c r="L391" s="71"/>
      <c r="M391" s="72"/>
      <c r="P391" s="72"/>
    </row>
    <row r="392">
      <c r="B392" s="68"/>
      <c r="H392" s="70"/>
      <c r="K392" s="70"/>
      <c r="L392" s="71"/>
      <c r="M392" s="72"/>
      <c r="P392" s="72"/>
    </row>
    <row r="393">
      <c r="B393" s="68"/>
      <c r="H393" s="70"/>
      <c r="K393" s="70"/>
      <c r="L393" s="71"/>
      <c r="M393" s="72"/>
      <c r="P393" s="72"/>
    </row>
    <row r="394">
      <c r="B394" s="68"/>
      <c r="H394" s="70"/>
      <c r="K394" s="70"/>
      <c r="L394" s="71"/>
      <c r="M394" s="72"/>
      <c r="P394" s="72"/>
    </row>
    <row r="395">
      <c r="B395" s="68"/>
      <c r="H395" s="70"/>
      <c r="K395" s="70"/>
      <c r="L395" s="71"/>
      <c r="M395" s="72"/>
      <c r="P395" s="72"/>
    </row>
    <row r="396">
      <c r="B396" s="68"/>
      <c r="H396" s="70"/>
      <c r="K396" s="70"/>
      <c r="L396" s="71"/>
      <c r="M396" s="72"/>
      <c r="P396" s="72"/>
    </row>
    <row r="397">
      <c r="B397" s="68"/>
      <c r="H397" s="70"/>
      <c r="K397" s="70"/>
      <c r="L397" s="71"/>
      <c r="M397" s="72"/>
      <c r="P397" s="72"/>
    </row>
    <row r="398">
      <c r="B398" s="68"/>
      <c r="H398" s="70"/>
      <c r="K398" s="70"/>
      <c r="L398" s="71"/>
      <c r="M398" s="72"/>
      <c r="P398" s="72"/>
    </row>
    <row r="399">
      <c r="B399" s="68"/>
      <c r="H399" s="70"/>
      <c r="K399" s="70"/>
      <c r="L399" s="71"/>
      <c r="M399" s="72"/>
      <c r="P399" s="72"/>
    </row>
    <row r="400">
      <c r="B400" s="68"/>
      <c r="H400" s="70"/>
      <c r="K400" s="70"/>
      <c r="L400" s="71"/>
      <c r="M400" s="72"/>
      <c r="P400" s="72"/>
    </row>
    <row r="401">
      <c r="B401" s="68"/>
      <c r="H401" s="70"/>
      <c r="K401" s="70"/>
      <c r="L401" s="71"/>
      <c r="M401" s="72"/>
      <c r="P401" s="72"/>
    </row>
    <row r="402">
      <c r="B402" s="68"/>
      <c r="H402" s="70"/>
      <c r="K402" s="70"/>
      <c r="L402" s="71"/>
      <c r="M402" s="72"/>
      <c r="P402" s="72"/>
    </row>
    <row r="403">
      <c r="B403" s="68"/>
      <c r="H403" s="70"/>
      <c r="K403" s="70"/>
      <c r="L403" s="71"/>
      <c r="M403" s="72"/>
      <c r="P403" s="72"/>
    </row>
    <row r="404">
      <c r="B404" s="68"/>
      <c r="H404" s="70"/>
      <c r="K404" s="70"/>
      <c r="L404" s="71"/>
      <c r="M404" s="72"/>
      <c r="P404" s="72"/>
    </row>
    <row r="405">
      <c r="B405" s="68"/>
      <c r="H405" s="70"/>
      <c r="K405" s="70"/>
      <c r="L405" s="71"/>
      <c r="M405" s="72"/>
      <c r="P405" s="72"/>
    </row>
    <row r="406">
      <c r="B406" s="68"/>
      <c r="H406" s="70"/>
      <c r="K406" s="70"/>
      <c r="L406" s="71"/>
      <c r="M406" s="72"/>
      <c r="P406" s="72"/>
    </row>
    <row r="407">
      <c r="B407" s="68"/>
      <c r="H407" s="70"/>
      <c r="K407" s="70"/>
      <c r="L407" s="71"/>
      <c r="M407" s="72"/>
      <c r="P407" s="72"/>
    </row>
    <row r="408">
      <c r="B408" s="68"/>
      <c r="H408" s="70"/>
      <c r="K408" s="70"/>
      <c r="L408" s="71"/>
      <c r="M408" s="72"/>
      <c r="P408" s="72"/>
    </row>
    <row r="409">
      <c r="B409" s="68"/>
      <c r="H409" s="70"/>
      <c r="K409" s="70"/>
      <c r="L409" s="71"/>
      <c r="M409" s="72"/>
      <c r="P409" s="72"/>
    </row>
    <row r="410">
      <c r="B410" s="68"/>
      <c r="H410" s="70"/>
      <c r="K410" s="70"/>
      <c r="L410" s="71"/>
      <c r="M410" s="72"/>
      <c r="P410" s="72"/>
    </row>
    <row r="411">
      <c r="B411" s="68"/>
      <c r="H411" s="70"/>
      <c r="K411" s="70"/>
      <c r="L411" s="71"/>
      <c r="M411" s="72"/>
      <c r="P411" s="72"/>
    </row>
    <row r="412">
      <c r="B412" s="68"/>
      <c r="H412" s="70"/>
      <c r="K412" s="70"/>
      <c r="L412" s="71"/>
      <c r="M412" s="72"/>
      <c r="P412" s="72"/>
    </row>
    <row r="413">
      <c r="B413" s="68"/>
      <c r="H413" s="70"/>
      <c r="K413" s="70"/>
      <c r="L413" s="71"/>
      <c r="M413" s="72"/>
      <c r="P413" s="72"/>
    </row>
    <row r="414">
      <c r="B414" s="68"/>
      <c r="H414" s="70"/>
      <c r="K414" s="70"/>
      <c r="L414" s="71"/>
      <c r="M414" s="72"/>
      <c r="P414" s="72"/>
    </row>
    <row r="415">
      <c r="B415" s="68"/>
      <c r="H415" s="70"/>
      <c r="K415" s="70"/>
      <c r="L415" s="71"/>
      <c r="M415" s="72"/>
      <c r="P415" s="72"/>
    </row>
    <row r="416">
      <c r="B416" s="68"/>
      <c r="H416" s="70"/>
      <c r="K416" s="70"/>
      <c r="L416" s="71"/>
      <c r="M416" s="72"/>
      <c r="P416" s="72"/>
    </row>
    <row r="417">
      <c r="B417" s="68"/>
      <c r="H417" s="70"/>
      <c r="K417" s="70"/>
      <c r="L417" s="71"/>
      <c r="M417" s="72"/>
      <c r="P417" s="72"/>
    </row>
    <row r="418">
      <c r="B418" s="68"/>
      <c r="H418" s="70"/>
      <c r="K418" s="70"/>
      <c r="L418" s="71"/>
      <c r="M418" s="72"/>
      <c r="P418" s="72"/>
    </row>
    <row r="419">
      <c r="B419" s="68"/>
      <c r="H419" s="70"/>
      <c r="K419" s="70"/>
      <c r="L419" s="71"/>
      <c r="M419" s="72"/>
      <c r="P419" s="72"/>
    </row>
    <row r="420">
      <c r="B420" s="68"/>
      <c r="H420" s="70"/>
      <c r="K420" s="70"/>
      <c r="L420" s="71"/>
      <c r="M420" s="72"/>
      <c r="P420" s="72"/>
    </row>
    <row r="421">
      <c r="B421" s="68"/>
      <c r="H421" s="70"/>
      <c r="K421" s="70"/>
      <c r="L421" s="71"/>
      <c r="M421" s="72"/>
      <c r="P421" s="72"/>
    </row>
    <row r="422">
      <c r="B422" s="68"/>
      <c r="H422" s="70"/>
      <c r="K422" s="70"/>
      <c r="L422" s="71"/>
      <c r="M422" s="72"/>
      <c r="P422" s="72"/>
    </row>
    <row r="423">
      <c r="B423" s="68"/>
      <c r="H423" s="70"/>
      <c r="K423" s="70"/>
      <c r="L423" s="71"/>
      <c r="M423" s="72"/>
      <c r="P423" s="72"/>
    </row>
    <row r="424">
      <c r="B424" s="68"/>
      <c r="H424" s="70"/>
      <c r="K424" s="70"/>
      <c r="L424" s="71"/>
      <c r="M424" s="72"/>
      <c r="P424" s="72"/>
    </row>
    <row r="425">
      <c r="B425" s="68"/>
      <c r="H425" s="70"/>
      <c r="K425" s="70"/>
      <c r="L425" s="71"/>
      <c r="M425" s="72"/>
      <c r="P425" s="72"/>
    </row>
    <row r="426">
      <c r="B426" s="68"/>
      <c r="H426" s="70"/>
      <c r="K426" s="70"/>
      <c r="L426" s="71"/>
      <c r="M426" s="72"/>
      <c r="P426" s="72"/>
    </row>
    <row r="427">
      <c r="B427" s="68"/>
      <c r="H427" s="70"/>
      <c r="K427" s="70"/>
      <c r="L427" s="71"/>
      <c r="M427" s="72"/>
      <c r="P427" s="72"/>
    </row>
    <row r="428">
      <c r="B428" s="68"/>
      <c r="H428" s="70"/>
      <c r="K428" s="70"/>
      <c r="L428" s="71"/>
      <c r="M428" s="72"/>
      <c r="P428" s="72"/>
    </row>
    <row r="429">
      <c r="B429" s="68"/>
      <c r="H429" s="70"/>
      <c r="K429" s="70"/>
      <c r="L429" s="71"/>
      <c r="M429" s="72"/>
      <c r="P429" s="72"/>
    </row>
    <row r="430">
      <c r="B430" s="68"/>
      <c r="H430" s="70"/>
      <c r="K430" s="70"/>
      <c r="L430" s="71"/>
      <c r="M430" s="72"/>
      <c r="P430" s="72"/>
    </row>
    <row r="431">
      <c r="B431" s="68"/>
      <c r="H431" s="70"/>
      <c r="K431" s="70"/>
      <c r="L431" s="71"/>
      <c r="M431" s="72"/>
      <c r="P431" s="72"/>
    </row>
    <row r="432">
      <c r="B432" s="68"/>
      <c r="H432" s="70"/>
      <c r="K432" s="70"/>
      <c r="L432" s="71"/>
      <c r="M432" s="72"/>
      <c r="P432" s="72"/>
    </row>
    <row r="433">
      <c r="B433" s="68"/>
      <c r="H433" s="70"/>
      <c r="K433" s="70"/>
      <c r="L433" s="71"/>
      <c r="M433" s="72"/>
      <c r="P433" s="72"/>
    </row>
    <row r="434">
      <c r="B434" s="68"/>
      <c r="H434" s="70"/>
      <c r="K434" s="70"/>
      <c r="L434" s="71"/>
      <c r="M434" s="72"/>
      <c r="P434" s="72"/>
    </row>
    <row r="435">
      <c r="B435" s="68"/>
      <c r="H435" s="70"/>
      <c r="K435" s="70"/>
      <c r="L435" s="71"/>
      <c r="M435" s="72"/>
      <c r="P435" s="72"/>
    </row>
    <row r="436">
      <c r="B436" s="68"/>
      <c r="H436" s="70"/>
      <c r="K436" s="70"/>
      <c r="L436" s="71"/>
      <c r="M436" s="72"/>
      <c r="P436" s="72"/>
    </row>
    <row r="437">
      <c r="B437" s="68"/>
      <c r="H437" s="70"/>
      <c r="K437" s="70"/>
      <c r="L437" s="71"/>
      <c r="M437" s="72"/>
      <c r="P437" s="72"/>
    </row>
    <row r="438">
      <c r="B438" s="68"/>
      <c r="H438" s="70"/>
      <c r="K438" s="70"/>
      <c r="L438" s="71"/>
      <c r="M438" s="72"/>
      <c r="P438" s="72"/>
    </row>
    <row r="439">
      <c r="B439" s="68"/>
      <c r="H439" s="70"/>
      <c r="K439" s="70"/>
      <c r="L439" s="71"/>
      <c r="M439" s="72"/>
      <c r="P439" s="72"/>
    </row>
    <row r="440">
      <c r="B440" s="68"/>
      <c r="H440" s="70"/>
      <c r="K440" s="70"/>
      <c r="L440" s="71"/>
      <c r="M440" s="72"/>
      <c r="P440" s="72"/>
    </row>
    <row r="441">
      <c r="B441" s="68"/>
      <c r="H441" s="70"/>
      <c r="K441" s="70"/>
      <c r="L441" s="71"/>
      <c r="M441" s="72"/>
      <c r="P441" s="72"/>
    </row>
    <row r="442">
      <c r="B442" s="68"/>
      <c r="H442" s="70"/>
      <c r="K442" s="70"/>
      <c r="L442" s="71"/>
      <c r="M442" s="72"/>
      <c r="P442" s="72"/>
    </row>
    <row r="443">
      <c r="B443" s="68"/>
      <c r="H443" s="70"/>
      <c r="K443" s="70"/>
      <c r="L443" s="71"/>
      <c r="M443" s="72"/>
      <c r="P443" s="72"/>
    </row>
    <row r="444">
      <c r="B444" s="68"/>
      <c r="H444" s="70"/>
      <c r="K444" s="70"/>
      <c r="L444" s="71"/>
      <c r="M444" s="72"/>
      <c r="P444" s="72"/>
    </row>
    <row r="445">
      <c r="B445" s="68"/>
      <c r="H445" s="70"/>
      <c r="K445" s="70"/>
      <c r="L445" s="71"/>
      <c r="M445" s="72"/>
      <c r="P445" s="72"/>
    </row>
    <row r="446">
      <c r="B446" s="68"/>
      <c r="H446" s="70"/>
      <c r="K446" s="70"/>
      <c r="L446" s="71"/>
      <c r="M446" s="72"/>
      <c r="P446" s="72"/>
    </row>
    <row r="447">
      <c r="B447" s="68"/>
      <c r="H447" s="70"/>
      <c r="K447" s="70"/>
      <c r="L447" s="71"/>
      <c r="M447" s="72"/>
      <c r="P447" s="72"/>
    </row>
    <row r="448">
      <c r="B448" s="68"/>
      <c r="H448" s="70"/>
      <c r="K448" s="70"/>
      <c r="L448" s="71"/>
      <c r="M448" s="72"/>
      <c r="P448" s="72"/>
    </row>
    <row r="449">
      <c r="B449" s="68"/>
      <c r="H449" s="70"/>
      <c r="K449" s="70"/>
      <c r="L449" s="71"/>
      <c r="M449" s="72"/>
      <c r="P449" s="72"/>
    </row>
    <row r="450">
      <c r="B450" s="68"/>
      <c r="H450" s="70"/>
      <c r="K450" s="70"/>
      <c r="L450" s="71"/>
      <c r="M450" s="72"/>
      <c r="P450" s="72"/>
    </row>
    <row r="451">
      <c r="B451" s="68"/>
      <c r="H451" s="70"/>
      <c r="K451" s="70"/>
      <c r="L451" s="71"/>
      <c r="M451" s="72"/>
      <c r="P451" s="72"/>
    </row>
    <row r="452">
      <c r="B452" s="68"/>
      <c r="H452" s="70"/>
      <c r="K452" s="70"/>
      <c r="L452" s="71"/>
      <c r="M452" s="72"/>
      <c r="P452" s="72"/>
    </row>
    <row r="453">
      <c r="B453" s="68"/>
      <c r="H453" s="70"/>
      <c r="K453" s="70"/>
      <c r="L453" s="71"/>
      <c r="M453" s="72"/>
      <c r="P453" s="72"/>
    </row>
    <row r="454">
      <c r="B454" s="68"/>
      <c r="H454" s="70"/>
      <c r="K454" s="70"/>
      <c r="L454" s="71"/>
      <c r="M454" s="72"/>
      <c r="P454" s="72"/>
    </row>
    <row r="455">
      <c r="B455" s="68"/>
      <c r="H455" s="70"/>
      <c r="K455" s="70"/>
      <c r="L455" s="71"/>
      <c r="M455" s="72"/>
      <c r="P455" s="72"/>
    </row>
    <row r="456">
      <c r="B456" s="68"/>
      <c r="H456" s="70"/>
      <c r="K456" s="70"/>
      <c r="L456" s="71"/>
      <c r="M456" s="72"/>
      <c r="P456" s="72"/>
    </row>
    <row r="457">
      <c r="B457" s="68"/>
      <c r="H457" s="70"/>
      <c r="K457" s="70"/>
      <c r="L457" s="71"/>
      <c r="M457" s="72"/>
      <c r="P457" s="72"/>
    </row>
    <row r="458">
      <c r="B458" s="68"/>
      <c r="H458" s="70"/>
      <c r="K458" s="70"/>
      <c r="L458" s="71"/>
      <c r="M458" s="72"/>
      <c r="P458" s="72"/>
    </row>
    <row r="459">
      <c r="B459" s="68"/>
      <c r="H459" s="70"/>
      <c r="K459" s="70"/>
      <c r="L459" s="71"/>
      <c r="M459" s="72"/>
      <c r="P459" s="72"/>
    </row>
    <row r="460">
      <c r="B460" s="68"/>
      <c r="H460" s="70"/>
      <c r="K460" s="70"/>
      <c r="L460" s="71"/>
      <c r="M460" s="72"/>
      <c r="P460" s="72"/>
    </row>
    <row r="461">
      <c r="B461" s="68"/>
      <c r="H461" s="70"/>
      <c r="K461" s="70"/>
      <c r="L461" s="71"/>
      <c r="M461" s="72"/>
      <c r="P461" s="72"/>
    </row>
    <row r="462">
      <c r="B462" s="68"/>
      <c r="H462" s="70"/>
      <c r="K462" s="70"/>
      <c r="L462" s="71"/>
      <c r="M462" s="72"/>
      <c r="P462" s="72"/>
    </row>
    <row r="463">
      <c r="B463" s="68"/>
      <c r="H463" s="70"/>
      <c r="K463" s="70"/>
      <c r="L463" s="71"/>
      <c r="M463" s="72"/>
      <c r="P463" s="72"/>
    </row>
    <row r="464">
      <c r="B464" s="68"/>
      <c r="H464" s="70"/>
      <c r="K464" s="70"/>
      <c r="L464" s="71"/>
      <c r="M464" s="72"/>
      <c r="P464" s="72"/>
    </row>
    <row r="465">
      <c r="B465" s="68"/>
      <c r="H465" s="70"/>
      <c r="K465" s="70"/>
      <c r="L465" s="71"/>
      <c r="M465" s="72"/>
      <c r="P465" s="72"/>
    </row>
    <row r="466">
      <c r="B466" s="68"/>
      <c r="H466" s="70"/>
      <c r="K466" s="70"/>
      <c r="L466" s="71"/>
      <c r="M466" s="72"/>
      <c r="P466" s="72"/>
    </row>
    <row r="467">
      <c r="B467" s="68"/>
      <c r="H467" s="70"/>
      <c r="K467" s="70"/>
      <c r="L467" s="71"/>
      <c r="M467" s="72"/>
      <c r="P467" s="72"/>
    </row>
    <row r="468">
      <c r="B468" s="68"/>
      <c r="H468" s="70"/>
      <c r="K468" s="70"/>
      <c r="L468" s="71"/>
      <c r="M468" s="72"/>
      <c r="P468" s="72"/>
    </row>
    <row r="469">
      <c r="B469" s="68"/>
      <c r="H469" s="70"/>
      <c r="K469" s="70"/>
      <c r="L469" s="71"/>
      <c r="M469" s="72"/>
      <c r="P469" s="72"/>
    </row>
    <row r="470">
      <c r="B470" s="68"/>
      <c r="H470" s="70"/>
      <c r="K470" s="70"/>
      <c r="L470" s="71"/>
      <c r="M470" s="72"/>
      <c r="P470" s="72"/>
    </row>
    <row r="471">
      <c r="B471" s="68"/>
      <c r="H471" s="70"/>
      <c r="K471" s="70"/>
      <c r="L471" s="71"/>
      <c r="M471" s="72"/>
      <c r="P471" s="72"/>
    </row>
    <row r="472">
      <c r="B472" s="68"/>
      <c r="H472" s="70"/>
      <c r="K472" s="70"/>
      <c r="L472" s="71"/>
      <c r="M472" s="72"/>
      <c r="P472" s="72"/>
    </row>
    <row r="473">
      <c r="B473" s="68"/>
      <c r="H473" s="70"/>
      <c r="K473" s="70"/>
      <c r="L473" s="71"/>
      <c r="M473" s="72"/>
      <c r="P473" s="72"/>
    </row>
    <row r="474">
      <c r="B474" s="68"/>
      <c r="H474" s="70"/>
      <c r="K474" s="70"/>
      <c r="L474" s="71"/>
      <c r="M474" s="72"/>
      <c r="P474" s="72"/>
    </row>
    <row r="475">
      <c r="B475" s="68"/>
      <c r="H475" s="70"/>
      <c r="K475" s="70"/>
      <c r="L475" s="71"/>
      <c r="M475" s="72"/>
      <c r="P475" s="72"/>
    </row>
    <row r="476">
      <c r="B476" s="68"/>
      <c r="H476" s="70"/>
      <c r="K476" s="70"/>
      <c r="L476" s="71"/>
      <c r="M476" s="72"/>
      <c r="P476" s="72"/>
    </row>
    <row r="477">
      <c r="B477" s="68"/>
      <c r="H477" s="70"/>
      <c r="K477" s="70"/>
      <c r="L477" s="71"/>
      <c r="M477" s="72"/>
      <c r="P477" s="72"/>
    </row>
    <row r="478">
      <c r="B478" s="68"/>
      <c r="H478" s="70"/>
      <c r="K478" s="70"/>
      <c r="L478" s="71"/>
      <c r="M478" s="72"/>
      <c r="P478" s="72"/>
    </row>
    <row r="479">
      <c r="B479" s="68"/>
      <c r="H479" s="70"/>
      <c r="K479" s="70"/>
      <c r="L479" s="71"/>
      <c r="M479" s="72"/>
      <c r="P479" s="72"/>
    </row>
    <row r="480">
      <c r="B480" s="68"/>
      <c r="H480" s="70"/>
      <c r="K480" s="70"/>
      <c r="L480" s="71"/>
      <c r="M480" s="72"/>
      <c r="P480" s="72"/>
    </row>
    <row r="481">
      <c r="B481" s="68"/>
      <c r="H481" s="70"/>
      <c r="K481" s="70"/>
      <c r="L481" s="71"/>
      <c r="M481" s="72"/>
      <c r="P481" s="72"/>
    </row>
    <row r="482">
      <c r="B482" s="68"/>
      <c r="H482" s="70"/>
      <c r="K482" s="70"/>
      <c r="L482" s="71"/>
      <c r="M482" s="72"/>
      <c r="P482" s="72"/>
    </row>
    <row r="483">
      <c r="B483" s="68"/>
      <c r="H483" s="70"/>
      <c r="K483" s="70"/>
      <c r="L483" s="71"/>
      <c r="M483" s="72"/>
      <c r="P483" s="72"/>
    </row>
    <row r="484">
      <c r="B484" s="68"/>
      <c r="H484" s="70"/>
      <c r="K484" s="70"/>
      <c r="L484" s="71"/>
      <c r="M484" s="72"/>
      <c r="P484" s="72"/>
    </row>
    <row r="485">
      <c r="B485" s="68"/>
      <c r="H485" s="70"/>
      <c r="K485" s="70"/>
      <c r="L485" s="71"/>
      <c r="M485" s="72"/>
      <c r="P485" s="72"/>
    </row>
    <row r="486">
      <c r="B486" s="68"/>
      <c r="H486" s="70"/>
      <c r="K486" s="70"/>
      <c r="L486" s="71"/>
      <c r="M486" s="72"/>
      <c r="P486" s="72"/>
    </row>
    <row r="487">
      <c r="B487" s="68"/>
      <c r="H487" s="70"/>
      <c r="K487" s="70"/>
      <c r="L487" s="71"/>
      <c r="M487" s="72"/>
      <c r="P487" s="72"/>
    </row>
    <row r="488">
      <c r="B488" s="68"/>
      <c r="H488" s="70"/>
      <c r="K488" s="70"/>
      <c r="L488" s="71"/>
      <c r="M488" s="72"/>
      <c r="P488" s="72"/>
    </row>
    <row r="489">
      <c r="B489" s="68"/>
      <c r="H489" s="70"/>
      <c r="K489" s="70"/>
      <c r="L489" s="71"/>
      <c r="M489" s="72"/>
      <c r="P489" s="72"/>
    </row>
    <row r="490">
      <c r="B490" s="68"/>
      <c r="H490" s="70"/>
      <c r="K490" s="70"/>
      <c r="L490" s="71"/>
      <c r="M490" s="72"/>
      <c r="P490" s="72"/>
    </row>
    <row r="491">
      <c r="B491" s="68"/>
      <c r="H491" s="70"/>
      <c r="K491" s="70"/>
      <c r="L491" s="71"/>
      <c r="M491" s="72"/>
      <c r="P491" s="72"/>
    </row>
    <row r="492">
      <c r="B492" s="68"/>
      <c r="H492" s="70"/>
      <c r="K492" s="70"/>
      <c r="L492" s="71"/>
      <c r="M492" s="72"/>
      <c r="P492" s="72"/>
    </row>
    <row r="493">
      <c r="B493" s="68"/>
      <c r="H493" s="70"/>
      <c r="K493" s="70"/>
      <c r="L493" s="71"/>
      <c r="M493" s="72"/>
      <c r="P493" s="72"/>
    </row>
    <row r="494">
      <c r="B494" s="68"/>
      <c r="H494" s="70"/>
      <c r="K494" s="70"/>
      <c r="L494" s="71"/>
      <c r="M494" s="72"/>
      <c r="P494" s="72"/>
    </row>
    <row r="495">
      <c r="B495" s="68"/>
      <c r="H495" s="70"/>
      <c r="K495" s="70"/>
      <c r="L495" s="71"/>
      <c r="M495" s="72"/>
      <c r="P495" s="72"/>
    </row>
    <row r="496">
      <c r="B496" s="68"/>
      <c r="H496" s="70"/>
      <c r="K496" s="70"/>
      <c r="L496" s="71"/>
      <c r="M496" s="72"/>
      <c r="P496" s="72"/>
    </row>
    <row r="497">
      <c r="B497" s="68"/>
      <c r="H497" s="70"/>
      <c r="K497" s="70"/>
      <c r="L497" s="71"/>
      <c r="M497" s="72"/>
      <c r="P497" s="72"/>
    </row>
    <row r="498">
      <c r="B498" s="68"/>
      <c r="H498" s="70"/>
      <c r="K498" s="70"/>
      <c r="L498" s="71"/>
      <c r="M498" s="72"/>
      <c r="P498" s="72"/>
    </row>
    <row r="499">
      <c r="B499" s="68"/>
      <c r="H499" s="70"/>
      <c r="K499" s="70"/>
      <c r="L499" s="71"/>
      <c r="M499" s="72"/>
      <c r="P499" s="72"/>
    </row>
    <row r="500">
      <c r="B500" s="68"/>
      <c r="H500" s="70"/>
      <c r="K500" s="70"/>
      <c r="L500" s="71"/>
      <c r="M500" s="72"/>
      <c r="P500" s="72"/>
    </row>
    <row r="501">
      <c r="B501" s="68"/>
      <c r="H501" s="70"/>
      <c r="K501" s="70"/>
      <c r="L501" s="71"/>
      <c r="M501" s="72"/>
      <c r="P501" s="72"/>
    </row>
    <row r="502">
      <c r="B502" s="68"/>
      <c r="H502" s="70"/>
      <c r="K502" s="70"/>
      <c r="L502" s="71"/>
      <c r="M502" s="72"/>
      <c r="P502" s="72"/>
    </row>
    <row r="503">
      <c r="B503" s="68"/>
      <c r="H503" s="70"/>
      <c r="K503" s="70"/>
      <c r="L503" s="71"/>
      <c r="M503" s="72"/>
      <c r="P503" s="72"/>
    </row>
    <row r="504">
      <c r="B504" s="68"/>
      <c r="H504" s="70"/>
      <c r="K504" s="70"/>
      <c r="L504" s="71"/>
      <c r="M504" s="72"/>
      <c r="P504" s="72"/>
    </row>
    <row r="505">
      <c r="B505" s="68"/>
      <c r="H505" s="70"/>
      <c r="K505" s="70"/>
      <c r="L505" s="71"/>
      <c r="M505" s="72"/>
      <c r="P505" s="72"/>
    </row>
    <row r="506">
      <c r="B506" s="68"/>
      <c r="H506" s="70"/>
      <c r="K506" s="70"/>
      <c r="L506" s="71"/>
      <c r="M506" s="72"/>
      <c r="P506" s="72"/>
    </row>
    <row r="507">
      <c r="B507" s="68"/>
      <c r="H507" s="70"/>
      <c r="K507" s="70"/>
      <c r="L507" s="71"/>
      <c r="M507" s="72"/>
      <c r="P507" s="72"/>
    </row>
    <row r="508">
      <c r="B508" s="68"/>
      <c r="H508" s="70"/>
      <c r="K508" s="70"/>
      <c r="L508" s="71"/>
      <c r="M508" s="72"/>
      <c r="P508" s="72"/>
    </row>
    <row r="509">
      <c r="B509" s="68"/>
      <c r="H509" s="70"/>
      <c r="K509" s="70"/>
      <c r="L509" s="71"/>
      <c r="M509" s="72"/>
      <c r="P509" s="72"/>
    </row>
    <row r="510">
      <c r="B510" s="68"/>
      <c r="H510" s="70"/>
      <c r="K510" s="70"/>
      <c r="L510" s="71"/>
      <c r="M510" s="72"/>
      <c r="P510" s="72"/>
    </row>
    <row r="511">
      <c r="B511" s="68"/>
      <c r="H511" s="70"/>
      <c r="K511" s="70"/>
      <c r="L511" s="71"/>
      <c r="M511" s="72"/>
      <c r="P511" s="72"/>
    </row>
    <row r="512">
      <c r="B512" s="68"/>
      <c r="H512" s="70"/>
      <c r="K512" s="70"/>
      <c r="L512" s="71"/>
      <c r="M512" s="72"/>
      <c r="P512" s="72"/>
    </row>
    <row r="513">
      <c r="B513" s="68"/>
      <c r="H513" s="70"/>
      <c r="K513" s="70"/>
      <c r="L513" s="71"/>
      <c r="M513" s="72"/>
      <c r="P513" s="72"/>
    </row>
    <row r="514">
      <c r="B514" s="68"/>
      <c r="H514" s="70"/>
      <c r="K514" s="70"/>
      <c r="L514" s="71"/>
      <c r="M514" s="72"/>
      <c r="P514" s="72"/>
    </row>
    <row r="515">
      <c r="B515" s="68"/>
      <c r="H515" s="70"/>
      <c r="K515" s="70"/>
      <c r="L515" s="71"/>
      <c r="M515" s="72"/>
      <c r="P515" s="72"/>
    </row>
    <row r="516">
      <c r="B516" s="68"/>
      <c r="H516" s="70"/>
      <c r="K516" s="70"/>
      <c r="L516" s="71"/>
      <c r="M516" s="72"/>
      <c r="P516" s="72"/>
    </row>
    <row r="517">
      <c r="B517" s="68"/>
      <c r="H517" s="70"/>
      <c r="K517" s="70"/>
      <c r="L517" s="71"/>
      <c r="M517" s="72"/>
      <c r="P517" s="72"/>
    </row>
    <row r="518">
      <c r="B518" s="68"/>
      <c r="H518" s="70"/>
      <c r="K518" s="70"/>
      <c r="L518" s="71"/>
      <c r="M518" s="72"/>
      <c r="P518" s="72"/>
    </row>
    <row r="519">
      <c r="B519" s="68"/>
      <c r="H519" s="70"/>
      <c r="K519" s="70"/>
      <c r="L519" s="71"/>
      <c r="M519" s="72"/>
      <c r="P519" s="72"/>
    </row>
    <row r="520">
      <c r="B520" s="68"/>
      <c r="H520" s="70"/>
      <c r="K520" s="70"/>
      <c r="L520" s="71"/>
      <c r="M520" s="72"/>
      <c r="P520" s="72"/>
    </row>
    <row r="521">
      <c r="B521" s="68"/>
      <c r="H521" s="70"/>
      <c r="K521" s="70"/>
      <c r="L521" s="71"/>
      <c r="M521" s="72"/>
      <c r="P521" s="72"/>
    </row>
    <row r="522">
      <c r="B522" s="68"/>
      <c r="H522" s="70"/>
      <c r="K522" s="70"/>
      <c r="L522" s="71"/>
      <c r="M522" s="72"/>
      <c r="P522" s="72"/>
    </row>
    <row r="523">
      <c r="B523" s="68"/>
      <c r="H523" s="70"/>
      <c r="K523" s="70"/>
      <c r="L523" s="71"/>
      <c r="M523" s="72"/>
      <c r="P523" s="72"/>
    </row>
    <row r="524">
      <c r="B524" s="68"/>
      <c r="H524" s="70"/>
      <c r="K524" s="70"/>
      <c r="L524" s="71"/>
      <c r="M524" s="72"/>
      <c r="P524" s="72"/>
    </row>
    <row r="525">
      <c r="B525" s="68"/>
      <c r="H525" s="70"/>
      <c r="K525" s="70"/>
      <c r="L525" s="71"/>
      <c r="M525" s="72"/>
      <c r="P525" s="72"/>
    </row>
    <row r="526">
      <c r="B526" s="68"/>
      <c r="H526" s="70"/>
      <c r="K526" s="70"/>
      <c r="L526" s="71"/>
      <c r="M526" s="72"/>
      <c r="P526" s="72"/>
    </row>
    <row r="527">
      <c r="B527" s="68"/>
      <c r="H527" s="70"/>
      <c r="K527" s="70"/>
      <c r="L527" s="71"/>
      <c r="M527" s="72"/>
      <c r="P527" s="72"/>
    </row>
    <row r="528">
      <c r="B528" s="68"/>
      <c r="H528" s="70"/>
      <c r="K528" s="70"/>
      <c r="L528" s="71"/>
      <c r="M528" s="72"/>
      <c r="P528" s="72"/>
    </row>
    <row r="529">
      <c r="B529" s="68"/>
      <c r="H529" s="70"/>
      <c r="K529" s="70"/>
      <c r="L529" s="71"/>
      <c r="M529" s="72"/>
      <c r="P529" s="72"/>
    </row>
    <row r="530">
      <c r="B530" s="68"/>
      <c r="H530" s="70"/>
      <c r="K530" s="70"/>
      <c r="L530" s="71"/>
      <c r="M530" s="72"/>
      <c r="P530" s="72"/>
    </row>
    <row r="531">
      <c r="B531" s="68"/>
      <c r="H531" s="70"/>
      <c r="K531" s="70"/>
      <c r="L531" s="71"/>
      <c r="M531" s="72"/>
      <c r="P531" s="72"/>
    </row>
    <row r="532">
      <c r="B532" s="68"/>
      <c r="H532" s="70"/>
      <c r="K532" s="70"/>
      <c r="L532" s="71"/>
      <c r="M532" s="72"/>
      <c r="P532" s="72"/>
    </row>
    <row r="533">
      <c r="B533" s="68"/>
      <c r="H533" s="70"/>
      <c r="K533" s="70"/>
      <c r="L533" s="71"/>
      <c r="M533" s="72"/>
      <c r="P533" s="72"/>
    </row>
    <row r="534">
      <c r="B534" s="68"/>
      <c r="H534" s="70"/>
      <c r="K534" s="70"/>
      <c r="L534" s="71"/>
      <c r="M534" s="72"/>
      <c r="P534" s="72"/>
    </row>
    <row r="535">
      <c r="B535" s="68"/>
      <c r="H535" s="70"/>
      <c r="K535" s="70"/>
      <c r="L535" s="71"/>
      <c r="M535" s="72"/>
      <c r="P535" s="72"/>
    </row>
    <row r="536">
      <c r="B536" s="68"/>
      <c r="H536" s="70"/>
      <c r="K536" s="70"/>
      <c r="L536" s="71"/>
      <c r="M536" s="72"/>
      <c r="P536" s="72"/>
    </row>
    <row r="537">
      <c r="B537" s="68"/>
      <c r="H537" s="70"/>
      <c r="K537" s="70"/>
      <c r="L537" s="71"/>
      <c r="M537" s="72"/>
      <c r="P537" s="72"/>
    </row>
    <row r="538">
      <c r="B538" s="68"/>
      <c r="H538" s="70"/>
      <c r="K538" s="70"/>
      <c r="L538" s="71"/>
      <c r="M538" s="72"/>
      <c r="P538" s="72"/>
    </row>
    <row r="539">
      <c r="B539" s="68"/>
      <c r="H539" s="70"/>
      <c r="K539" s="70"/>
      <c r="L539" s="71"/>
      <c r="M539" s="72"/>
      <c r="P539" s="72"/>
    </row>
    <row r="540">
      <c r="B540" s="68"/>
      <c r="H540" s="70"/>
      <c r="K540" s="70"/>
      <c r="L540" s="71"/>
      <c r="M540" s="72"/>
      <c r="P540" s="72"/>
    </row>
    <row r="541">
      <c r="B541" s="68"/>
      <c r="H541" s="70"/>
      <c r="K541" s="70"/>
      <c r="L541" s="71"/>
      <c r="M541" s="72"/>
      <c r="P541" s="72"/>
    </row>
    <row r="542">
      <c r="B542" s="68"/>
      <c r="H542" s="70"/>
      <c r="K542" s="70"/>
      <c r="L542" s="71"/>
      <c r="M542" s="72"/>
      <c r="P542" s="72"/>
    </row>
    <row r="543">
      <c r="B543" s="68"/>
      <c r="H543" s="70"/>
      <c r="K543" s="70"/>
      <c r="L543" s="71"/>
      <c r="M543" s="72"/>
      <c r="P543" s="72"/>
    </row>
    <row r="544">
      <c r="B544" s="68"/>
      <c r="H544" s="70"/>
      <c r="K544" s="70"/>
      <c r="L544" s="71"/>
      <c r="M544" s="72"/>
      <c r="P544" s="72"/>
    </row>
    <row r="545">
      <c r="B545" s="68"/>
      <c r="H545" s="70"/>
      <c r="K545" s="70"/>
      <c r="L545" s="71"/>
      <c r="M545" s="72"/>
      <c r="P545" s="72"/>
    </row>
    <row r="546">
      <c r="B546" s="68"/>
      <c r="H546" s="70"/>
      <c r="K546" s="70"/>
      <c r="L546" s="71"/>
      <c r="M546" s="72"/>
      <c r="P546" s="72"/>
    </row>
    <row r="547">
      <c r="B547" s="68"/>
      <c r="H547" s="70"/>
      <c r="K547" s="70"/>
      <c r="L547" s="71"/>
      <c r="M547" s="72"/>
      <c r="P547" s="72"/>
    </row>
    <row r="548">
      <c r="B548" s="68"/>
      <c r="H548" s="70"/>
      <c r="K548" s="70"/>
      <c r="L548" s="71"/>
      <c r="M548" s="72"/>
      <c r="P548" s="72"/>
    </row>
    <row r="549">
      <c r="B549" s="68"/>
      <c r="H549" s="70"/>
      <c r="K549" s="70"/>
      <c r="L549" s="71"/>
      <c r="M549" s="72"/>
      <c r="P549" s="72"/>
    </row>
    <row r="550">
      <c r="B550" s="68"/>
      <c r="H550" s="70"/>
      <c r="K550" s="70"/>
      <c r="L550" s="71"/>
      <c r="M550" s="72"/>
      <c r="P550" s="72"/>
    </row>
    <row r="551">
      <c r="B551" s="68"/>
      <c r="H551" s="70"/>
      <c r="K551" s="70"/>
      <c r="L551" s="71"/>
      <c r="M551" s="72"/>
      <c r="P551" s="72"/>
    </row>
    <row r="552">
      <c r="B552" s="68"/>
      <c r="H552" s="70"/>
      <c r="K552" s="70"/>
      <c r="L552" s="71"/>
      <c r="M552" s="72"/>
      <c r="P552" s="72"/>
    </row>
    <row r="553">
      <c r="B553" s="68"/>
      <c r="H553" s="70"/>
      <c r="K553" s="70"/>
      <c r="L553" s="71"/>
      <c r="M553" s="72"/>
      <c r="P553" s="72"/>
    </row>
    <row r="554">
      <c r="B554" s="68"/>
      <c r="H554" s="70"/>
      <c r="K554" s="70"/>
      <c r="L554" s="71"/>
      <c r="M554" s="72"/>
      <c r="P554" s="72"/>
    </row>
    <row r="555">
      <c r="B555" s="68"/>
      <c r="H555" s="70"/>
      <c r="K555" s="70"/>
      <c r="L555" s="71"/>
      <c r="M555" s="72"/>
      <c r="P555" s="72"/>
    </row>
    <row r="556">
      <c r="B556" s="68"/>
      <c r="H556" s="70"/>
      <c r="K556" s="70"/>
      <c r="L556" s="71"/>
      <c r="M556" s="72"/>
      <c r="P556" s="72"/>
    </row>
    <row r="557">
      <c r="B557" s="68"/>
      <c r="H557" s="70"/>
      <c r="K557" s="70"/>
      <c r="L557" s="71"/>
      <c r="M557" s="72"/>
      <c r="P557" s="72"/>
    </row>
    <row r="558">
      <c r="B558" s="68"/>
      <c r="H558" s="70"/>
      <c r="K558" s="70"/>
      <c r="L558" s="71"/>
      <c r="M558" s="72"/>
      <c r="P558" s="72"/>
    </row>
    <row r="559">
      <c r="B559" s="68"/>
      <c r="H559" s="70"/>
      <c r="K559" s="70"/>
      <c r="L559" s="71"/>
      <c r="M559" s="72"/>
      <c r="P559" s="72"/>
    </row>
    <row r="560">
      <c r="B560" s="68"/>
      <c r="H560" s="70"/>
      <c r="K560" s="70"/>
      <c r="L560" s="71"/>
      <c r="M560" s="72"/>
      <c r="P560" s="72"/>
    </row>
    <row r="561">
      <c r="B561" s="68"/>
      <c r="H561" s="70"/>
      <c r="K561" s="70"/>
      <c r="L561" s="71"/>
      <c r="M561" s="72"/>
      <c r="P561" s="72"/>
    </row>
    <row r="562">
      <c r="B562" s="68"/>
      <c r="H562" s="70"/>
      <c r="K562" s="70"/>
      <c r="L562" s="71"/>
      <c r="M562" s="72"/>
      <c r="P562" s="72"/>
    </row>
    <row r="563">
      <c r="B563" s="68"/>
      <c r="H563" s="70"/>
      <c r="K563" s="70"/>
      <c r="L563" s="71"/>
      <c r="M563" s="72"/>
      <c r="P563" s="72"/>
    </row>
    <row r="564">
      <c r="B564" s="68"/>
      <c r="H564" s="70"/>
      <c r="K564" s="70"/>
      <c r="L564" s="71"/>
      <c r="M564" s="72"/>
      <c r="P564" s="72"/>
    </row>
    <row r="565">
      <c r="B565" s="68"/>
      <c r="H565" s="70"/>
      <c r="K565" s="70"/>
      <c r="L565" s="71"/>
      <c r="M565" s="72"/>
      <c r="P565" s="72"/>
    </row>
    <row r="566">
      <c r="B566" s="68"/>
      <c r="H566" s="70"/>
      <c r="K566" s="70"/>
      <c r="L566" s="71"/>
      <c r="M566" s="72"/>
      <c r="P566" s="72"/>
    </row>
    <row r="567">
      <c r="B567" s="68"/>
      <c r="H567" s="70"/>
      <c r="K567" s="70"/>
      <c r="L567" s="71"/>
      <c r="M567" s="72"/>
      <c r="P567" s="72"/>
    </row>
    <row r="568">
      <c r="B568" s="68"/>
      <c r="H568" s="70"/>
      <c r="K568" s="70"/>
      <c r="L568" s="71"/>
      <c r="M568" s="72"/>
      <c r="P568" s="72"/>
    </row>
    <row r="569">
      <c r="B569" s="68"/>
      <c r="H569" s="70"/>
      <c r="K569" s="70"/>
      <c r="L569" s="71"/>
      <c r="M569" s="72"/>
      <c r="P569" s="72"/>
    </row>
    <row r="570">
      <c r="B570" s="68"/>
      <c r="H570" s="70"/>
      <c r="K570" s="70"/>
      <c r="L570" s="71"/>
      <c r="M570" s="72"/>
      <c r="P570" s="72"/>
    </row>
    <row r="571">
      <c r="B571" s="68"/>
      <c r="H571" s="70"/>
      <c r="K571" s="70"/>
      <c r="L571" s="71"/>
      <c r="M571" s="72"/>
      <c r="P571" s="72"/>
    </row>
    <row r="572">
      <c r="B572" s="68"/>
      <c r="H572" s="70"/>
      <c r="K572" s="70"/>
      <c r="L572" s="71"/>
      <c r="M572" s="72"/>
      <c r="P572" s="72"/>
    </row>
    <row r="573">
      <c r="B573" s="68"/>
      <c r="H573" s="70"/>
      <c r="K573" s="70"/>
      <c r="L573" s="71"/>
      <c r="M573" s="72"/>
      <c r="P573" s="72"/>
    </row>
    <row r="574">
      <c r="B574" s="68"/>
      <c r="H574" s="70"/>
      <c r="K574" s="70"/>
      <c r="L574" s="71"/>
      <c r="M574" s="72"/>
      <c r="P574" s="72"/>
    </row>
    <row r="575">
      <c r="B575" s="68"/>
      <c r="H575" s="70"/>
      <c r="K575" s="70"/>
      <c r="L575" s="71"/>
      <c r="M575" s="72"/>
      <c r="P575" s="72"/>
    </row>
    <row r="576">
      <c r="B576" s="68"/>
      <c r="H576" s="70"/>
      <c r="K576" s="70"/>
      <c r="L576" s="71"/>
      <c r="M576" s="72"/>
      <c r="P576" s="72"/>
    </row>
    <row r="577">
      <c r="B577" s="68"/>
      <c r="H577" s="70"/>
      <c r="K577" s="70"/>
      <c r="L577" s="71"/>
      <c r="M577" s="72"/>
      <c r="P577" s="72"/>
    </row>
    <row r="578">
      <c r="B578" s="68"/>
      <c r="H578" s="70"/>
      <c r="K578" s="70"/>
      <c r="L578" s="71"/>
      <c r="M578" s="72"/>
      <c r="P578" s="72"/>
    </row>
    <row r="579">
      <c r="B579" s="68"/>
      <c r="H579" s="70"/>
      <c r="K579" s="70"/>
      <c r="L579" s="71"/>
      <c r="M579" s="72"/>
      <c r="P579" s="72"/>
    </row>
    <row r="580">
      <c r="B580" s="68"/>
      <c r="H580" s="70"/>
      <c r="K580" s="70"/>
      <c r="L580" s="71"/>
      <c r="M580" s="72"/>
      <c r="P580" s="72"/>
    </row>
    <row r="581">
      <c r="B581" s="68"/>
      <c r="H581" s="70"/>
      <c r="K581" s="70"/>
      <c r="L581" s="71"/>
      <c r="M581" s="72"/>
      <c r="P581" s="72"/>
    </row>
    <row r="582">
      <c r="B582" s="68"/>
      <c r="H582" s="70"/>
      <c r="K582" s="70"/>
      <c r="L582" s="71"/>
      <c r="M582" s="72"/>
      <c r="P582" s="72"/>
    </row>
    <row r="583">
      <c r="B583" s="68"/>
      <c r="H583" s="70"/>
      <c r="K583" s="70"/>
      <c r="L583" s="71"/>
      <c r="M583" s="72"/>
      <c r="P583" s="72"/>
    </row>
    <row r="584">
      <c r="B584" s="68"/>
      <c r="H584" s="70"/>
      <c r="K584" s="70"/>
      <c r="L584" s="71"/>
      <c r="M584" s="72"/>
      <c r="P584" s="72"/>
    </row>
    <row r="585">
      <c r="B585" s="68"/>
      <c r="H585" s="70"/>
      <c r="K585" s="70"/>
      <c r="L585" s="71"/>
      <c r="M585" s="72"/>
      <c r="P585" s="72"/>
    </row>
    <row r="586">
      <c r="B586" s="68"/>
      <c r="H586" s="70"/>
      <c r="K586" s="70"/>
      <c r="L586" s="71"/>
      <c r="M586" s="72"/>
      <c r="P586" s="72"/>
    </row>
    <row r="587">
      <c r="B587" s="68"/>
      <c r="H587" s="70"/>
      <c r="K587" s="70"/>
      <c r="L587" s="71"/>
      <c r="M587" s="72"/>
      <c r="P587" s="72"/>
    </row>
    <row r="588">
      <c r="B588" s="68"/>
      <c r="H588" s="70"/>
      <c r="K588" s="70"/>
      <c r="L588" s="71"/>
      <c r="M588" s="72"/>
      <c r="P588" s="72"/>
    </row>
    <row r="589">
      <c r="B589" s="68"/>
      <c r="H589" s="70"/>
      <c r="K589" s="70"/>
      <c r="L589" s="71"/>
      <c r="M589" s="72"/>
      <c r="P589" s="72"/>
    </row>
    <row r="590">
      <c r="B590" s="68"/>
      <c r="H590" s="70"/>
      <c r="K590" s="70"/>
      <c r="L590" s="71"/>
      <c r="M590" s="72"/>
      <c r="P590" s="72"/>
    </row>
    <row r="591">
      <c r="B591" s="68"/>
      <c r="H591" s="70"/>
      <c r="K591" s="70"/>
      <c r="L591" s="71"/>
      <c r="M591" s="72"/>
      <c r="P591" s="72"/>
    </row>
    <row r="592">
      <c r="B592" s="68"/>
      <c r="H592" s="70"/>
      <c r="K592" s="70"/>
      <c r="L592" s="71"/>
      <c r="M592" s="72"/>
      <c r="P592" s="72"/>
    </row>
    <row r="593">
      <c r="B593" s="68"/>
      <c r="H593" s="70"/>
      <c r="K593" s="70"/>
      <c r="L593" s="71"/>
      <c r="M593" s="72"/>
      <c r="P593" s="72"/>
    </row>
    <row r="594">
      <c r="B594" s="68"/>
      <c r="H594" s="70"/>
      <c r="K594" s="70"/>
      <c r="L594" s="71"/>
      <c r="M594" s="72"/>
      <c r="P594" s="72"/>
    </row>
    <row r="595">
      <c r="B595" s="68"/>
      <c r="H595" s="70"/>
      <c r="K595" s="70"/>
      <c r="L595" s="71"/>
      <c r="M595" s="72"/>
      <c r="P595" s="72"/>
    </row>
    <row r="596">
      <c r="B596" s="68"/>
      <c r="H596" s="70"/>
      <c r="K596" s="70"/>
      <c r="L596" s="71"/>
      <c r="M596" s="72"/>
      <c r="P596" s="72"/>
    </row>
    <row r="597">
      <c r="B597" s="68"/>
      <c r="H597" s="70"/>
      <c r="K597" s="70"/>
      <c r="L597" s="71"/>
      <c r="M597" s="72"/>
      <c r="P597" s="72"/>
    </row>
    <row r="598">
      <c r="B598" s="68"/>
      <c r="H598" s="70"/>
      <c r="K598" s="70"/>
      <c r="L598" s="71"/>
      <c r="M598" s="72"/>
      <c r="P598" s="72"/>
    </row>
    <row r="599">
      <c r="B599" s="68"/>
      <c r="H599" s="70"/>
      <c r="K599" s="70"/>
      <c r="L599" s="71"/>
      <c r="M599" s="72"/>
      <c r="P599" s="72"/>
    </row>
    <row r="600">
      <c r="B600" s="68"/>
      <c r="H600" s="70"/>
      <c r="K600" s="70"/>
      <c r="L600" s="71"/>
      <c r="M600" s="72"/>
      <c r="P600" s="72"/>
    </row>
    <row r="601">
      <c r="B601" s="68"/>
      <c r="H601" s="70"/>
      <c r="K601" s="70"/>
      <c r="L601" s="71"/>
      <c r="M601" s="72"/>
      <c r="P601" s="72"/>
    </row>
    <row r="602">
      <c r="B602" s="68"/>
      <c r="H602" s="70"/>
      <c r="K602" s="70"/>
      <c r="L602" s="71"/>
      <c r="M602" s="72"/>
      <c r="P602" s="72"/>
    </row>
    <row r="603">
      <c r="B603" s="68"/>
      <c r="H603" s="70"/>
      <c r="K603" s="70"/>
      <c r="L603" s="71"/>
      <c r="M603" s="72"/>
      <c r="P603" s="72"/>
    </row>
    <row r="604">
      <c r="B604" s="68"/>
      <c r="H604" s="70"/>
      <c r="K604" s="70"/>
      <c r="L604" s="71"/>
      <c r="M604" s="72"/>
      <c r="P604" s="72"/>
    </row>
    <row r="605">
      <c r="B605" s="68"/>
      <c r="H605" s="70"/>
      <c r="K605" s="70"/>
      <c r="L605" s="71"/>
      <c r="M605" s="72"/>
      <c r="P605" s="72"/>
    </row>
    <row r="606">
      <c r="B606" s="68"/>
      <c r="H606" s="70"/>
      <c r="K606" s="70"/>
      <c r="L606" s="71"/>
      <c r="M606" s="72"/>
      <c r="P606" s="72"/>
    </row>
    <row r="607">
      <c r="B607" s="68"/>
      <c r="H607" s="70"/>
      <c r="K607" s="70"/>
      <c r="L607" s="71"/>
      <c r="M607" s="72"/>
      <c r="P607" s="72"/>
    </row>
    <row r="608">
      <c r="B608" s="68"/>
      <c r="H608" s="70"/>
      <c r="K608" s="70"/>
      <c r="L608" s="71"/>
      <c r="M608" s="72"/>
      <c r="P608" s="72"/>
    </row>
    <row r="609">
      <c r="B609" s="68"/>
      <c r="H609" s="70"/>
      <c r="K609" s="70"/>
      <c r="L609" s="71"/>
      <c r="M609" s="72"/>
      <c r="P609" s="72"/>
    </row>
    <row r="610">
      <c r="B610" s="68"/>
      <c r="H610" s="70"/>
      <c r="K610" s="70"/>
      <c r="L610" s="71"/>
      <c r="M610" s="72"/>
      <c r="P610" s="72"/>
    </row>
    <row r="611">
      <c r="B611" s="68"/>
      <c r="H611" s="70"/>
      <c r="K611" s="70"/>
      <c r="L611" s="71"/>
      <c r="M611" s="72"/>
      <c r="P611" s="72"/>
    </row>
    <row r="612">
      <c r="B612" s="68"/>
      <c r="H612" s="70"/>
      <c r="K612" s="70"/>
      <c r="L612" s="71"/>
      <c r="M612" s="72"/>
      <c r="P612" s="72"/>
    </row>
    <row r="613">
      <c r="B613" s="68"/>
      <c r="H613" s="70"/>
      <c r="K613" s="70"/>
      <c r="L613" s="71"/>
      <c r="M613" s="72"/>
      <c r="P613" s="72"/>
    </row>
    <row r="614">
      <c r="B614" s="68"/>
      <c r="H614" s="70"/>
      <c r="K614" s="70"/>
      <c r="L614" s="71"/>
      <c r="M614" s="72"/>
      <c r="P614" s="72"/>
    </row>
    <row r="615">
      <c r="B615" s="68"/>
      <c r="H615" s="70"/>
      <c r="K615" s="70"/>
      <c r="L615" s="71"/>
      <c r="M615" s="72"/>
      <c r="P615" s="72"/>
    </row>
    <row r="616">
      <c r="B616" s="68"/>
      <c r="H616" s="70"/>
      <c r="K616" s="70"/>
      <c r="L616" s="71"/>
      <c r="M616" s="72"/>
      <c r="P616" s="72"/>
    </row>
    <row r="617">
      <c r="B617" s="68"/>
      <c r="H617" s="70"/>
      <c r="K617" s="70"/>
      <c r="L617" s="71"/>
      <c r="M617" s="72"/>
      <c r="P617" s="72"/>
    </row>
    <row r="618">
      <c r="B618" s="68"/>
      <c r="H618" s="70"/>
      <c r="K618" s="70"/>
      <c r="L618" s="71"/>
      <c r="M618" s="72"/>
      <c r="P618" s="72"/>
    </row>
    <row r="619">
      <c r="B619" s="68"/>
      <c r="H619" s="70"/>
      <c r="K619" s="70"/>
      <c r="L619" s="71"/>
      <c r="M619" s="72"/>
      <c r="P619" s="72"/>
    </row>
    <row r="620">
      <c r="B620" s="68"/>
      <c r="H620" s="70"/>
      <c r="K620" s="70"/>
      <c r="L620" s="71"/>
      <c r="M620" s="72"/>
      <c r="P620" s="72"/>
    </row>
    <row r="621">
      <c r="B621" s="68"/>
      <c r="H621" s="70"/>
      <c r="K621" s="70"/>
      <c r="L621" s="71"/>
      <c r="M621" s="72"/>
      <c r="P621" s="72"/>
    </row>
    <row r="622">
      <c r="B622" s="68"/>
      <c r="H622" s="70"/>
      <c r="K622" s="70"/>
      <c r="L622" s="71"/>
      <c r="M622" s="72"/>
      <c r="P622" s="72"/>
    </row>
    <row r="623">
      <c r="B623" s="68"/>
      <c r="H623" s="70"/>
      <c r="K623" s="70"/>
      <c r="L623" s="71"/>
      <c r="M623" s="72"/>
      <c r="P623" s="72"/>
    </row>
    <row r="624">
      <c r="B624" s="68"/>
      <c r="H624" s="70"/>
      <c r="K624" s="70"/>
      <c r="L624" s="71"/>
      <c r="M624" s="72"/>
      <c r="P624" s="72"/>
    </row>
    <row r="625">
      <c r="B625" s="68"/>
      <c r="H625" s="70"/>
      <c r="K625" s="70"/>
      <c r="L625" s="71"/>
      <c r="M625" s="72"/>
      <c r="P625" s="72"/>
    </row>
    <row r="626">
      <c r="B626" s="68"/>
      <c r="H626" s="70"/>
      <c r="K626" s="70"/>
      <c r="L626" s="71"/>
      <c r="M626" s="72"/>
      <c r="P626" s="72"/>
    </row>
    <row r="627">
      <c r="B627" s="68"/>
      <c r="H627" s="70"/>
      <c r="K627" s="70"/>
      <c r="L627" s="71"/>
      <c r="M627" s="72"/>
      <c r="P627" s="72"/>
    </row>
    <row r="628">
      <c r="B628" s="68"/>
      <c r="H628" s="70"/>
      <c r="K628" s="70"/>
      <c r="L628" s="71"/>
      <c r="M628" s="72"/>
      <c r="P628" s="72"/>
    </row>
    <row r="629">
      <c r="B629" s="68"/>
      <c r="H629" s="70"/>
      <c r="K629" s="70"/>
      <c r="L629" s="71"/>
      <c r="M629" s="72"/>
      <c r="P629" s="72"/>
    </row>
    <row r="630">
      <c r="B630" s="68"/>
      <c r="H630" s="70"/>
      <c r="K630" s="70"/>
      <c r="L630" s="71"/>
      <c r="M630" s="72"/>
      <c r="P630" s="72"/>
    </row>
    <row r="631">
      <c r="B631" s="68"/>
      <c r="H631" s="70"/>
      <c r="K631" s="70"/>
      <c r="L631" s="71"/>
      <c r="M631" s="72"/>
      <c r="P631" s="72"/>
    </row>
    <row r="632">
      <c r="B632" s="68"/>
      <c r="H632" s="70"/>
      <c r="K632" s="70"/>
      <c r="L632" s="71"/>
      <c r="M632" s="72"/>
      <c r="P632" s="72"/>
    </row>
    <row r="633">
      <c r="B633" s="68"/>
      <c r="H633" s="70"/>
      <c r="K633" s="70"/>
      <c r="L633" s="71"/>
      <c r="M633" s="72"/>
      <c r="P633" s="72"/>
    </row>
    <row r="634">
      <c r="B634" s="68"/>
      <c r="H634" s="70"/>
      <c r="K634" s="70"/>
      <c r="L634" s="71"/>
      <c r="M634" s="72"/>
      <c r="P634" s="72"/>
    </row>
    <row r="635">
      <c r="B635" s="68"/>
      <c r="H635" s="70"/>
      <c r="K635" s="70"/>
      <c r="L635" s="71"/>
      <c r="M635" s="72"/>
      <c r="P635" s="72"/>
    </row>
    <row r="636">
      <c r="B636" s="68"/>
      <c r="H636" s="70"/>
      <c r="K636" s="70"/>
      <c r="L636" s="71"/>
      <c r="M636" s="72"/>
      <c r="P636" s="72"/>
    </row>
    <row r="637">
      <c r="B637" s="68"/>
      <c r="H637" s="70"/>
      <c r="K637" s="70"/>
      <c r="L637" s="71"/>
      <c r="M637" s="72"/>
      <c r="P637" s="72"/>
    </row>
    <row r="638">
      <c r="B638" s="68"/>
      <c r="H638" s="70"/>
      <c r="K638" s="70"/>
      <c r="L638" s="71"/>
      <c r="M638" s="72"/>
      <c r="P638" s="72"/>
    </row>
    <row r="639">
      <c r="B639" s="68"/>
      <c r="H639" s="70"/>
      <c r="K639" s="70"/>
      <c r="L639" s="71"/>
      <c r="M639" s="72"/>
      <c r="P639" s="72"/>
    </row>
    <row r="640">
      <c r="B640" s="68"/>
      <c r="H640" s="70"/>
      <c r="K640" s="70"/>
      <c r="L640" s="71"/>
      <c r="M640" s="72"/>
      <c r="P640" s="72"/>
    </row>
    <row r="641">
      <c r="B641" s="68"/>
      <c r="H641" s="70"/>
      <c r="K641" s="70"/>
      <c r="L641" s="71"/>
      <c r="M641" s="72"/>
      <c r="P641" s="72"/>
    </row>
    <row r="642">
      <c r="B642" s="68"/>
      <c r="H642" s="70"/>
      <c r="K642" s="70"/>
      <c r="L642" s="71"/>
      <c r="M642" s="72"/>
      <c r="P642" s="72"/>
    </row>
    <row r="643">
      <c r="B643" s="68"/>
      <c r="H643" s="70"/>
      <c r="K643" s="70"/>
      <c r="L643" s="71"/>
      <c r="M643" s="72"/>
      <c r="P643" s="72"/>
    </row>
    <row r="644">
      <c r="B644" s="68"/>
      <c r="H644" s="70"/>
      <c r="K644" s="70"/>
      <c r="L644" s="71"/>
      <c r="M644" s="72"/>
      <c r="P644" s="72"/>
    </row>
    <row r="645">
      <c r="B645" s="68"/>
      <c r="H645" s="70"/>
      <c r="K645" s="70"/>
      <c r="L645" s="71"/>
      <c r="M645" s="72"/>
      <c r="P645" s="72"/>
    </row>
    <row r="646">
      <c r="B646" s="68"/>
      <c r="H646" s="70"/>
      <c r="K646" s="70"/>
      <c r="L646" s="71"/>
      <c r="M646" s="72"/>
      <c r="P646" s="72"/>
    </row>
    <row r="647">
      <c r="B647" s="68"/>
      <c r="H647" s="70"/>
      <c r="K647" s="70"/>
      <c r="L647" s="71"/>
      <c r="M647" s="72"/>
      <c r="P647" s="72"/>
    </row>
    <row r="648">
      <c r="B648" s="68"/>
      <c r="H648" s="70"/>
      <c r="K648" s="70"/>
      <c r="L648" s="71"/>
      <c r="M648" s="72"/>
      <c r="P648" s="72"/>
    </row>
    <row r="649">
      <c r="B649" s="68"/>
      <c r="H649" s="70"/>
      <c r="K649" s="70"/>
      <c r="L649" s="71"/>
      <c r="M649" s="72"/>
      <c r="P649" s="72"/>
    </row>
    <row r="650">
      <c r="B650" s="68"/>
      <c r="H650" s="70"/>
      <c r="K650" s="70"/>
      <c r="L650" s="71"/>
      <c r="M650" s="72"/>
      <c r="P650" s="72"/>
    </row>
    <row r="651">
      <c r="B651" s="68"/>
      <c r="H651" s="70"/>
      <c r="K651" s="70"/>
      <c r="L651" s="71"/>
      <c r="M651" s="72"/>
      <c r="P651" s="72"/>
    </row>
    <row r="652">
      <c r="B652" s="68"/>
      <c r="H652" s="70"/>
      <c r="K652" s="70"/>
      <c r="L652" s="71"/>
      <c r="M652" s="72"/>
      <c r="P652" s="72"/>
    </row>
    <row r="653">
      <c r="B653" s="68"/>
      <c r="H653" s="70"/>
      <c r="K653" s="70"/>
      <c r="L653" s="71"/>
      <c r="M653" s="72"/>
      <c r="P653" s="72"/>
    </row>
    <row r="654">
      <c r="B654" s="68"/>
      <c r="H654" s="70"/>
      <c r="K654" s="70"/>
      <c r="L654" s="71"/>
      <c r="M654" s="72"/>
      <c r="P654" s="72"/>
    </row>
    <row r="655">
      <c r="B655" s="68"/>
      <c r="H655" s="70"/>
      <c r="K655" s="70"/>
      <c r="L655" s="71"/>
      <c r="M655" s="72"/>
      <c r="P655" s="72"/>
    </row>
    <row r="656">
      <c r="B656" s="68"/>
      <c r="H656" s="70"/>
      <c r="K656" s="70"/>
      <c r="L656" s="71"/>
      <c r="M656" s="72"/>
      <c r="P656" s="72"/>
    </row>
    <row r="657">
      <c r="B657" s="68"/>
      <c r="H657" s="70"/>
      <c r="K657" s="70"/>
      <c r="L657" s="71"/>
      <c r="M657" s="72"/>
      <c r="P657" s="72"/>
    </row>
    <row r="658">
      <c r="B658" s="68"/>
      <c r="H658" s="70"/>
      <c r="K658" s="70"/>
      <c r="L658" s="71"/>
      <c r="M658" s="72"/>
      <c r="P658" s="72"/>
    </row>
    <row r="659">
      <c r="B659" s="68"/>
      <c r="H659" s="70"/>
      <c r="K659" s="70"/>
      <c r="L659" s="71"/>
      <c r="M659" s="72"/>
      <c r="P659" s="72"/>
    </row>
    <row r="660">
      <c r="B660" s="68"/>
      <c r="H660" s="70"/>
      <c r="K660" s="70"/>
      <c r="L660" s="71"/>
      <c r="M660" s="72"/>
      <c r="P660" s="72"/>
    </row>
    <row r="661">
      <c r="B661" s="68"/>
      <c r="H661" s="70"/>
      <c r="K661" s="70"/>
      <c r="L661" s="71"/>
      <c r="M661" s="72"/>
      <c r="P661" s="72"/>
    </row>
    <row r="662">
      <c r="B662" s="68"/>
      <c r="H662" s="70"/>
      <c r="K662" s="70"/>
      <c r="L662" s="71"/>
      <c r="M662" s="72"/>
      <c r="P662" s="72"/>
    </row>
    <row r="663">
      <c r="B663" s="68"/>
      <c r="H663" s="70"/>
      <c r="K663" s="70"/>
      <c r="L663" s="71"/>
      <c r="M663" s="72"/>
      <c r="P663" s="72"/>
    </row>
    <row r="664">
      <c r="B664" s="68"/>
      <c r="H664" s="70"/>
      <c r="K664" s="70"/>
      <c r="L664" s="71"/>
      <c r="M664" s="72"/>
      <c r="P664" s="72"/>
    </row>
    <row r="665">
      <c r="B665" s="68"/>
      <c r="H665" s="70"/>
      <c r="K665" s="70"/>
      <c r="L665" s="71"/>
      <c r="M665" s="72"/>
      <c r="P665" s="72"/>
    </row>
    <row r="666">
      <c r="B666" s="68"/>
      <c r="H666" s="70"/>
      <c r="K666" s="70"/>
      <c r="L666" s="71"/>
      <c r="M666" s="72"/>
      <c r="P666" s="72"/>
    </row>
    <row r="667">
      <c r="B667" s="68"/>
      <c r="H667" s="70"/>
      <c r="K667" s="70"/>
      <c r="L667" s="71"/>
      <c r="M667" s="72"/>
      <c r="P667" s="72"/>
    </row>
    <row r="668">
      <c r="B668" s="68"/>
      <c r="H668" s="70"/>
      <c r="K668" s="70"/>
      <c r="L668" s="71"/>
      <c r="M668" s="72"/>
      <c r="P668" s="72"/>
    </row>
    <row r="669">
      <c r="B669" s="68"/>
      <c r="H669" s="70"/>
      <c r="K669" s="70"/>
      <c r="L669" s="71"/>
      <c r="M669" s="72"/>
      <c r="P669" s="72"/>
    </row>
    <row r="670">
      <c r="B670" s="68"/>
      <c r="H670" s="70"/>
      <c r="K670" s="70"/>
      <c r="L670" s="71"/>
      <c r="M670" s="72"/>
      <c r="P670" s="72"/>
    </row>
    <row r="671">
      <c r="B671" s="68"/>
      <c r="H671" s="70"/>
      <c r="K671" s="70"/>
      <c r="L671" s="71"/>
      <c r="M671" s="72"/>
      <c r="P671" s="72"/>
    </row>
    <row r="672">
      <c r="B672" s="68"/>
      <c r="H672" s="70"/>
      <c r="K672" s="70"/>
      <c r="L672" s="71"/>
      <c r="M672" s="72"/>
      <c r="P672" s="72"/>
    </row>
    <row r="673">
      <c r="B673" s="68"/>
      <c r="H673" s="70"/>
      <c r="K673" s="70"/>
      <c r="L673" s="71"/>
      <c r="M673" s="72"/>
      <c r="P673" s="72"/>
    </row>
    <row r="674">
      <c r="B674" s="68"/>
      <c r="H674" s="70"/>
      <c r="K674" s="70"/>
      <c r="L674" s="71"/>
      <c r="M674" s="72"/>
      <c r="P674" s="72"/>
    </row>
    <row r="675">
      <c r="B675" s="68"/>
      <c r="H675" s="70"/>
      <c r="K675" s="70"/>
      <c r="L675" s="71"/>
      <c r="M675" s="72"/>
      <c r="P675" s="72"/>
    </row>
    <row r="676">
      <c r="B676" s="68"/>
      <c r="H676" s="70"/>
      <c r="K676" s="70"/>
      <c r="L676" s="71"/>
      <c r="M676" s="72"/>
      <c r="P676" s="72"/>
    </row>
    <row r="677">
      <c r="B677" s="68"/>
      <c r="H677" s="70"/>
      <c r="K677" s="70"/>
      <c r="L677" s="71"/>
      <c r="M677" s="72"/>
      <c r="P677" s="72"/>
    </row>
    <row r="678">
      <c r="B678" s="68"/>
      <c r="H678" s="70"/>
      <c r="K678" s="70"/>
      <c r="L678" s="71"/>
      <c r="M678" s="72"/>
      <c r="P678" s="72"/>
    </row>
    <row r="679">
      <c r="B679" s="68"/>
      <c r="H679" s="70"/>
      <c r="K679" s="70"/>
      <c r="L679" s="71"/>
      <c r="M679" s="72"/>
      <c r="P679" s="72"/>
    </row>
    <row r="680">
      <c r="B680" s="68"/>
      <c r="H680" s="70"/>
      <c r="K680" s="70"/>
      <c r="L680" s="71"/>
      <c r="M680" s="72"/>
      <c r="P680" s="72"/>
    </row>
    <row r="681">
      <c r="B681" s="68"/>
      <c r="H681" s="70"/>
      <c r="K681" s="70"/>
      <c r="L681" s="71"/>
      <c r="M681" s="72"/>
      <c r="P681" s="72"/>
    </row>
    <row r="682">
      <c r="B682" s="68"/>
      <c r="H682" s="70"/>
      <c r="K682" s="70"/>
      <c r="L682" s="71"/>
      <c r="M682" s="72"/>
      <c r="P682" s="72"/>
    </row>
    <row r="683">
      <c r="B683" s="68"/>
      <c r="H683" s="70"/>
      <c r="K683" s="70"/>
      <c r="L683" s="71"/>
      <c r="M683" s="72"/>
      <c r="P683" s="72"/>
    </row>
    <row r="684">
      <c r="B684" s="68"/>
      <c r="H684" s="70"/>
      <c r="K684" s="70"/>
      <c r="L684" s="71"/>
      <c r="M684" s="72"/>
      <c r="P684" s="72"/>
    </row>
    <row r="685">
      <c r="B685" s="68"/>
      <c r="H685" s="70"/>
      <c r="K685" s="70"/>
      <c r="L685" s="71"/>
      <c r="M685" s="72"/>
      <c r="P685" s="72"/>
    </row>
    <row r="686">
      <c r="B686" s="68"/>
      <c r="H686" s="70"/>
      <c r="K686" s="70"/>
      <c r="L686" s="71"/>
      <c r="M686" s="72"/>
      <c r="P686" s="72"/>
    </row>
    <row r="687">
      <c r="B687" s="68"/>
      <c r="H687" s="70"/>
      <c r="K687" s="70"/>
      <c r="L687" s="71"/>
      <c r="M687" s="72"/>
      <c r="P687" s="72"/>
    </row>
    <row r="688">
      <c r="B688" s="68"/>
      <c r="H688" s="70"/>
      <c r="K688" s="70"/>
      <c r="L688" s="71"/>
      <c r="M688" s="72"/>
      <c r="P688" s="72"/>
    </row>
    <row r="689">
      <c r="B689" s="68"/>
      <c r="H689" s="70"/>
      <c r="K689" s="70"/>
      <c r="L689" s="71"/>
      <c r="M689" s="72"/>
      <c r="P689" s="72"/>
    </row>
    <row r="690">
      <c r="B690" s="68"/>
      <c r="H690" s="70"/>
      <c r="K690" s="70"/>
      <c r="L690" s="71"/>
      <c r="M690" s="72"/>
      <c r="P690" s="72"/>
    </row>
    <row r="691">
      <c r="B691" s="68"/>
      <c r="H691" s="70"/>
      <c r="K691" s="70"/>
      <c r="L691" s="71"/>
      <c r="M691" s="72"/>
      <c r="P691" s="72"/>
    </row>
    <row r="692">
      <c r="B692" s="68"/>
      <c r="H692" s="70"/>
      <c r="K692" s="70"/>
      <c r="L692" s="71"/>
      <c r="M692" s="72"/>
      <c r="P692" s="72"/>
    </row>
    <row r="693">
      <c r="B693" s="68"/>
      <c r="H693" s="70"/>
      <c r="K693" s="70"/>
      <c r="L693" s="71"/>
      <c r="M693" s="72"/>
      <c r="P693" s="72"/>
    </row>
    <row r="694">
      <c r="B694" s="68"/>
      <c r="H694" s="70"/>
      <c r="K694" s="70"/>
      <c r="L694" s="71"/>
      <c r="M694" s="72"/>
      <c r="P694" s="72"/>
    </row>
    <row r="695">
      <c r="B695" s="68"/>
      <c r="H695" s="70"/>
      <c r="K695" s="70"/>
      <c r="L695" s="71"/>
      <c r="M695" s="72"/>
      <c r="P695" s="72"/>
    </row>
    <row r="696">
      <c r="B696" s="68"/>
      <c r="H696" s="70"/>
      <c r="K696" s="70"/>
      <c r="L696" s="71"/>
      <c r="M696" s="72"/>
      <c r="P696" s="72"/>
    </row>
    <row r="697">
      <c r="B697" s="68"/>
      <c r="H697" s="70"/>
      <c r="K697" s="70"/>
      <c r="L697" s="71"/>
      <c r="M697" s="72"/>
      <c r="P697" s="72"/>
    </row>
    <row r="698">
      <c r="B698" s="68"/>
      <c r="H698" s="70"/>
      <c r="K698" s="70"/>
      <c r="L698" s="71"/>
      <c r="M698" s="72"/>
      <c r="P698" s="72"/>
    </row>
    <row r="699">
      <c r="B699" s="68"/>
      <c r="H699" s="70"/>
      <c r="K699" s="70"/>
      <c r="L699" s="71"/>
      <c r="M699" s="72"/>
      <c r="P699" s="72"/>
    </row>
    <row r="700">
      <c r="B700" s="68"/>
      <c r="H700" s="70"/>
      <c r="K700" s="70"/>
      <c r="L700" s="71"/>
      <c r="M700" s="72"/>
      <c r="P700" s="72"/>
    </row>
    <row r="701">
      <c r="B701" s="68"/>
      <c r="H701" s="70"/>
      <c r="K701" s="70"/>
      <c r="L701" s="71"/>
      <c r="M701" s="72"/>
      <c r="P701" s="72"/>
    </row>
    <row r="702">
      <c r="B702" s="68"/>
      <c r="H702" s="70"/>
      <c r="K702" s="70"/>
      <c r="L702" s="71"/>
      <c r="M702" s="72"/>
      <c r="P702" s="72"/>
    </row>
    <row r="703">
      <c r="B703" s="68"/>
      <c r="H703" s="70"/>
      <c r="K703" s="70"/>
      <c r="L703" s="71"/>
      <c r="M703" s="72"/>
      <c r="P703" s="72"/>
    </row>
    <row r="704">
      <c r="B704" s="68"/>
      <c r="H704" s="70"/>
      <c r="K704" s="70"/>
      <c r="L704" s="71"/>
      <c r="M704" s="72"/>
      <c r="P704" s="72"/>
    </row>
    <row r="705">
      <c r="B705" s="68"/>
      <c r="H705" s="70"/>
      <c r="K705" s="70"/>
      <c r="L705" s="71"/>
      <c r="M705" s="72"/>
      <c r="P705" s="72"/>
    </row>
    <row r="706">
      <c r="B706" s="68"/>
      <c r="H706" s="70"/>
      <c r="K706" s="70"/>
      <c r="L706" s="71"/>
      <c r="M706" s="72"/>
      <c r="P706" s="72"/>
    </row>
    <row r="707">
      <c r="B707" s="68"/>
      <c r="H707" s="70"/>
      <c r="K707" s="70"/>
      <c r="L707" s="71"/>
      <c r="M707" s="72"/>
      <c r="P707" s="72"/>
    </row>
    <row r="708">
      <c r="B708" s="68"/>
      <c r="H708" s="70"/>
      <c r="K708" s="70"/>
      <c r="L708" s="71"/>
      <c r="M708" s="72"/>
      <c r="P708" s="72"/>
    </row>
    <row r="709">
      <c r="B709" s="68"/>
      <c r="H709" s="70"/>
      <c r="K709" s="70"/>
      <c r="L709" s="71"/>
      <c r="M709" s="72"/>
      <c r="P709" s="72"/>
    </row>
    <row r="710">
      <c r="B710" s="68"/>
      <c r="H710" s="70"/>
      <c r="K710" s="70"/>
      <c r="L710" s="71"/>
      <c r="M710" s="72"/>
      <c r="P710" s="72"/>
    </row>
    <row r="711">
      <c r="B711" s="68"/>
      <c r="H711" s="70"/>
      <c r="K711" s="70"/>
      <c r="L711" s="71"/>
      <c r="M711" s="72"/>
      <c r="P711" s="72"/>
    </row>
    <row r="712">
      <c r="B712" s="68"/>
      <c r="H712" s="70"/>
      <c r="K712" s="70"/>
      <c r="L712" s="71"/>
      <c r="M712" s="72"/>
      <c r="P712" s="72"/>
    </row>
    <row r="713">
      <c r="B713" s="68"/>
      <c r="H713" s="70"/>
      <c r="K713" s="70"/>
      <c r="L713" s="71"/>
      <c r="M713" s="72"/>
      <c r="P713" s="72"/>
    </row>
    <row r="714">
      <c r="B714" s="68"/>
      <c r="H714" s="70"/>
      <c r="K714" s="70"/>
      <c r="L714" s="71"/>
      <c r="M714" s="72"/>
      <c r="P714" s="72"/>
    </row>
    <row r="715">
      <c r="B715" s="68"/>
      <c r="H715" s="70"/>
      <c r="K715" s="70"/>
      <c r="L715" s="71"/>
      <c r="M715" s="72"/>
      <c r="P715" s="72"/>
    </row>
    <row r="716">
      <c r="B716" s="68"/>
      <c r="H716" s="70"/>
      <c r="K716" s="70"/>
      <c r="L716" s="71"/>
      <c r="M716" s="72"/>
      <c r="P716" s="72"/>
    </row>
    <row r="717">
      <c r="B717" s="68"/>
      <c r="H717" s="70"/>
      <c r="K717" s="70"/>
      <c r="L717" s="71"/>
      <c r="M717" s="72"/>
      <c r="P717" s="72"/>
    </row>
    <row r="718">
      <c r="B718" s="68"/>
      <c r="H718" s="70"/>
      <c r="K718" s="70"/>
      <c r="L718" s="71"/>
      <c r="M718" s="72"/>
      <c r="P718" s="72"/>
    </row>
    <row r="719">
      <c r="B719" s="68"/>
      <c r="H719" s="70"/>
      <c r="K719" s="70"/>
      <c r="L719" s="71"/>
      <c r="M719" s="72"/>
      <c r="P719" s="72"/>
    </row>
    <row r="720">
      <c r="B720" s="68"/>
      <c r="H720" s="70"/>
      <c r="K720" s="70"/>
      <c r="L720" s="71"/>
      <c r="M720" s="72"/>
      <c r="P720" s="72"/>
    </row>
    <row r="721">
      <c r="B721" s="68"/>
      <c r="H721" s="70"/>
      <c r="K721" s="70"/>
      <c r="L721" s="71"/>
      <c r="M721" s="72"/>
      <c r="P721" s="72"/>
    </row>
    <row r="722">
      <c r="B722" s="68"/>
      <c r="H722" s="70"/>
      <c r="K722" s="70"/>
      <c r="L722" s="71"/>
      <c r="M722" s="72"/>
      <c r="P722" s="72"/>
    </row>
    <row r="723">
      <c r="B723" s="68"/>
      <c r="H723" s="70"/>
      <c r="K723" s="70"/>
      <c r="L723" s="71"/>
      <c r="M723" s="72"/>
      <c r="P723" s="72"/>
    </row>
    <row r="724">
      <c r="B724" s="68"/>
      <c r="H724" s="70"/>
      <c r="K724" s="70"/>
      <c r="L724" s="71"/>
      <c r="M724" s="72"/>
      <c r="P724" s="72"/>
    </row>
    <row r="725">
      <c r="B725" s="68"/>
      <c r="H725" s="70"/>
      <c r="K725" s="70"/>
      <c r="L725" s="71"/>
      <c r="M725" s="72"/>
      <c r="P725" s="72"/>
    </row>
    <row r="726">
      <c r="B726" s="68"/>
      <c r="H726" s="70"/>
      <c r="K726" s="70"/>
      <c r="L726" s="71"/>
      <c r="M726" s="72"/>
      <c r="P726" s="72"/>
    </row>
    <row r="727">
      <c r="B727" s="68"/>
      <c r="H727" s="70"/>
      <c r="K727" s="70"/>
      <c r="L727" s="71"/>
      <c r="M727" s="72"/>
      <c r="P727" s="72"/>
    </row>
    <row r="728">
      <c r="B728" s="68"/>
      <c r="H728" s="70"/>
      <c r="K728" s="70"/>
      <c r="L728" s="71"/>
      <c r="M728" s="72"/>
      <c r="P728" s="72"/>
    </row>
    <row r="729">
      <c r="B729" s="68"/>
      <c r="H729" s="70"/>
      <c r="K729" s="70"/>
      <c r="L729" s="71"/>
      <c r="M729" s="72"/>
      <c r="P729" s="72"/>
    </row>
    <row r="730">
      <c r="B730" s="68"/>
      <c r="H730" s="70"/>
      <c r="K730" s="70"/>
      <c r="L730" s="71"/>
      <c r="M730" s="72"/>
      <c r="P730" s="72"/>
    </row>
    <row r="731">
      <c r="B731" s="68"/>
      <c r="H731" s="70"/>
      <c r="K731" s="70"/>
      <c r="L731" s="71"/>
      <c r="M731" s="72"/>
      <c r="P731" s="72"/>
    </row>
    <row r="732">
      <c r="B732" s="68"/>
      <c r="H732" s="70"/>
      <c r="K732" s="70"/>
      <c r="L732" s="71"/>
      <c r="M732" s="72"/>
      <c r="P732" s="72"/>
    </row>
    <row r="733">
      <c r="B733" s="68"/>
      <c r="H733" s="70"/>
      <c r="K733" s="70"/>
      <c r="L733" s="71"/>
      <c r="M733" s="72"/>
      <c r="P733" s="72"/>
    </row>
    <row r="734">
      <c r="B734" s="68"/>
      <c r="H734" s="70"/>
      <c r="K734" s="70"/>
      <c r="L734" s="71"/>
      <c r="M734" s="72"/>
      <c r="P734" s="72"/>
    </row>
    <row r="735">
      <c r="B735" s="68"/>
      <c r="H735" s="70"/>
      <c r="K735" s="70"/>
      <c r="L735" s="71"/>
      <c r="M735" s="72"/>
      <c r="P735" s="72"/>
    </row>
    <row r="736">
      <c r="B736" s="68"/>
      <c r="H736" s="70"/>
      <c r="K736" s="70"/>
      <c r="L736" s="71"/>
      <c r="M736" s="72"/>
      <c r="P736" s="72"/>
    </row>
    <row r="737">
      <c r="B737" s="68"/>
      <c r="H737" s="70"/>
      <c r="K737" s="70"/>
      <c r="L737" s="71"/>
      <c r="M737" s="72"/>
      <c r="P737" s="72"/>
    </row>
    <row r="738">
      <c r="B738" s="68"/>
      <c r="H738" s="70"/>
      <c r="K738" s="70"/>
      <c r="L738" s="71"/>
      <c r="M738" s="72"/>
      <c r="P738" s="72"/>
    </row>
    <row r="739">
      <c r="B739" s="68"/>
      <c r="H739" s="70"/>
      <c r="K739" s="70"/>
      <c r="L739" s="71"/>
      <c r="M739" s="72"/>
      <c r="P739" s="72"/>
    </row>
    <row r="740">
      <c r="B740" s="68"/>
      <c r="H740" s="70"/>
      <c r="K740" s="70"/>
      <c r="L740" s="71"/>
      <c r="M740" s="72"/>
      <c r="P740" s="72"/>
    </row>
    <row r="741">
      <c r="B741" s="68"/>
      <c r="H741" s="70"/>
      <c r="K741" s="70"/>
      <c r="L741" s="71"/>
      <c r="M741" s="72"/>
      <c r="P741" s="72"/>
    </row>
    <row r="742">
      <c r="B742" s="68"/>
      <c r="H742" s="70"/>
      <c r="K742" s="70"/>
      <c r="L742" s="71"/>
      <c r="M742" s="72"/>
      <c r="P742" s="72"/>
    </row>
    <row r="743">
      <c r="B743" s="68"/>
      <c r="H743" s="70"/>
      <c r="K743" s="70"/>
      <c r="L743" s="71"/>
      <c r="M743" s="72"/>
      <c r="P743" s="72"/>
    </row>
    <row r="744">
      <c r="B744" s="68"/>
      <c r="H744" s="70"/>
      <c r="K744" s="70"/>
      <c r="L744" s="71"/>
      <c r="M744" s="72"/>
      <c r="P744" s="72"/>
    </row>
    <row r="745">
      <c r="B745" s="68"/>
      <c r="H745" s="70"/>
      <c r="K745" s="70"/>
      <c r="L745" s="71"/>
      <c r="M745" s="72"/>
      <c r="P745" s="72"/>
    </row>
    <row r="746">
      <c r="B746" s="68"/>
      <c r="H746" s="70"/>
      <c r="K746" s="70"/>
      <c r="L746" s="71"/>
      <c r="M746" s="72"/>
      <c r="P746" s="72"/>
    </row>
    <row r="747">
      <c r="B747" s="68"/>
      <c r="H747" s="70"/>
      <c r="K747" s="70"/>
      <c r="L747" s="71"/>
      <c r="M747" s="72"/>
      <c r="P747" s="72"/>
    </row>
    <row r="748">
      <c r="B748" s="68"/>
      <c r="H748" s="70"/>
      <c r="K748" s="70"/>
      <c r="L748" s="71"/>
      <c r="M748" s="72"/>
      <c r="P748" s="72"/>
    </row>
    <row r="749">
      <c r="B749" s="68"/>
      <c r="H749" s="70"/>
      <c r="K749" s="70"/>
      <c r="L749" s="71"/>
      <c r="M749" s="72"/>
      <c r="P749" s="72"/>
    </row>
    <row r="750">
      <c r="B750" s="68"/>
      <c r="H750" s="70"/>
      <c r="K750" s="70"/>
      <c r="L750" s="71"/>
      <c r="M750" s="72"/>
      <c r="P750" s="72"/>
    </row>
    <row r="751">
      <c r="B751" s="68"/>
      <c r="H751" s="70"/>
      <c r="K751" s="70"/>
      <c r="L751" s="71"/>
      <c r="M751" s="72"/>
      <c r="P751" s="72"/>
    </row>
    <row r="752">
      <c r="B752" s="68"/>
      <c r="H752" s="70"/>
      <c r="K752" s="70"/>
      <c r="L752" s="71"/>
      <c r="M752" s="72"/>
      <c r="P752" s="72"/>
    </row>
    <row r="753">
      <c r="B753" s="68"/>
      <c r="H753" s="70"/>
      <c r="K753" s="70"/>
      <c r="L753" s="71"/>
      <c r="M753" s="72"/>
      <c r="P753" s="72"/>
    </row>
    <row r="754">
      <c r="B754" s="68"/>
      <c r="H754" s="70"/>
      <c r="K754" s="70"/>
      <c r="L754" s="71"/>
      <c r="M754" s="72"/>
      <c r="P754" s="72"/>
    </row>
    <row r="755">
      <c r="B755" s="68"/>
      <c r="H755" s="70"/>
      <c r="K755" s="70"/>
      <c r="L755" s="71"/>
      <c r="M755" s="72"/>
      <c r="P755" s="72"/>
    </row>
    <row r="756">
      <c r="B756" s="68"/>
      <c r="H756" s="70"/>
      <c r="K756" s="70"/>
      <c r="L756" s="71"/>
      <c r="M756" s="72"/>
      <c r="P756" s="72"/>
    </row>
    <row r="757">
      <c r="B757" s="68"/>
      <c r="H757" s="70"/>
      <c r="K757" s="70"/>
      <c r="L757" s="71"/>
      <c r="M757" s="72"/>
      <c r="P757" s="72"/>
    </row>
    <row r="758">
      <c r="B758" s="68"/>
      <c r="H758" s="70"/>
      <c r="K758" s="70"/>
      <c r="L758" s="71"/>
      <c r="M758" s="72"/>
      <c r="P758" s="72"/>
    </row>
    <row r="759">
      <c r="B759" s="68"/>
      <c r="H759" s="70"/>
      <c r="K759" s="70"/>
      <c r="L759" s="71"/>
      <c r="M759" s="72"/>
      <c r="P759" s="72"/>
    </row>
    <row r="760">
      <c r="B760" s="68"/>
      <c r="H760" s="70"/>
      <c r="K760" s="70"/>
      <c r="L760" s="71"/>
      <c r="M760" s="72"/>
      <c r="P760" s="72"/>
    </row>
    <row r="761">
      <c r="B761" s="68"/>
      <c r="H761" s="70"/>
      <c r="K761" s="70"/>
      <c r="L761" s="71"/>
      <c r="M761" s="72"/>
      <c r="P761" s="72"/>
    </row>
    <row r="762">
      <c r="B762" s="68"/>
      <c r="H762" s="70"/>
      <c r="K762" s="70"/>
      <c r="L762" s="71"/>
      <c r="M762" s="72"/>
      <c r="P762" s="72"/>
    </row>
    <row r="763">
      <c r="B763" s="68"/>
      <c r="H763" s="70"/>
      <c r="K763" s="70"/>
      <c r="L763" s="71"/>
      <c r="M763" s="72"/>
      <c r="P763" s="72"/>
    </row>
    <row r="764">
      <c r="B764" s="68"/>
      <c r="H764" s="70"/>
      <c r="K764" s="70"/>
      <c r="L764" s="71"/>
      <c r="M764" s="72"/>
      <c r="P764" s="72"/>
    </row>
    <row r="765">
      <c r="B765" s="68"/>
      <c r="H765" s="70"/>
      <c r="K765" s="70"/>
      <c r="L765" s="71"/>
      <c r="M765" s="72"/>
      <c r="P765" s="72"/>
    </row>
    <row r="766">
      <c r="B766" s="68"/>
      <c r="H766" s="70"/>
      <c r="K766" s="70"/>
      <c r="L766" s="71"/>
      <c r="M766" s="72"/>
      <c r="P766" s="72"/>
    </row>
    <row r="767">
      <c r="B767" s="68"/>
      <c r="H767" s="70"/>
      <c r="K767" s="70"/>
      <c r="L767" s="71"/>
      <c r="M767" s="72"/>
      <c r="P767" s="72"/>
    </row>
    <row r="768">
      <c r="B768" s="68"/>
      <c r="H768" s="70"/>
      <c r="K768" s="70"/>
      <c r="L768" s="71"/>
      <c r="M768" s="72"/>
      <c r="P768" s="72"/>
    </row>
    <row r="769">
      <c r="B769" s="68"/>
      <c r="H769" s="70"/>
      <c r="K769" s="70"/>
      <c r="L769" s="71"/>
      <c r="M769" s="72"/>
      <c r="P769" s="72"/>
    </row>
    <row r="770">
      <c r="B770" s="68"/>
      <c r="H770" s="70"/>
      <c r="K770" s="70"/>
      <c r="L770" s="71"/>
      <c r="M770" s="72"/>
      <c r="P770" s="72"/>
    </row>
    <row r="771">
      <c r="B771" s="68"/>
      <c r="H771" s="70"/>
      <c r="K771" s="70"/>
      <c r="L771" s="71"/>
      <c r="M771" s="72"/>
      <c r="P771" s="72"/>
    </row>
    <row r="772">
      <c r="B772" s="68"/>
      <c r="H772" s="70"/>
      <c r="K772" s="70"/>
      <c r="L772" s="71"/>
      <c r="M772" s="72"/>
      <c r="P772" s="72"/>
    </row>
    <row r="773">
      <c r="B773" s="68"/>
      <c r="H773" s="70"/>
      <c r="K773" s="70"/>
      <c r="L773" s="71"/>
      <c r="M773" s="72"/>
      <c r="P773" s="72"/>
    </row>
    <row r="774">
      <c r="B774" s="68"/>
      <c r="H774" s="70"/>
      <c r="K774" s="70"/>
      <c r="L774" s="71"/>
      <c r="M774" s="72"/>
      <c r="P774" s="72"/>
    </row>
    <row r="775">
      <c r="B775" s="68"/>
      <c r="H775" s="70"/>
      <c r="K775" s="70"/>
      <c r="L775" s="71"/>
      <c r="M775" s="72"/>
      <c r="P775" s="72"/>
    </row>
    <row r="776">
      <c r="B776" s="68"/>
      <c r="H776" s="70"/>
      <c r="K776" s="70"/>
      <c r="L776" s="71"/>
      <c r="M776" s="72"/>
      <c r="P776" s="72"/>
    </row>
    <row r="777">
      <c r="B777" s="68"/>
      <c r="H777" s="70"/>
      <c r="K777" s="70"/>
      <c r="L777" s="71"/>
      <c r="M777" s="72"/>
      <c r="P777" s="72"/>
    </row>
    <row r="778">
      <c r="B778" s="68"/>
      <c r="H778" s="70"/>
      <c r="K778" s="70"/>
      <c r="L778" s="71"/>
      <c r="M778" s="72"/>
      <c r="P778" s="72"/>
    </row>
    <row r="779">
      <c r="B779" s="68"/>
      <c r="H779" s="70"/>
      <c r="K779" s="70"/>
      <c r="L779" s="71"/>
      <c r="M779" s="72"/>
      <c r="P779" s="72"/>
    </row>
    <row r="780">
      <c r="B780" s="68"/>
      <c r="H780" s="70"/>
      <c r="K780" s="70"/>
      <c r="L780" s="71"/>
      <c r="M780" s="72"/>
      <c r="P780" s="72"/>
    </row>
    <row r="781">
      <c r="B781" s="68"/>
      <c r="H781" s="70"/>
      <c r="K781" s="70"/>
      <c r="L781" s="71"/>
      <c r="M781" s="72"/>
      <c r="P781" s="72"/>
    </row>
    <row r="782">
      <c r="B782" s="68"/>
      <c r="H782" s="70"/>
      <c r="K782" s="70"/>
      <c r="L782" s="71"/>
      <c r="M782" s="72"/>
      <c r="P782" s="72"/>
    </row>
    <row r="783">
      <c r="B783" s="68"/>
      <c r="H783" s="70"/>
      <c r="K783" s="70"/>
      <c r="L783" s="71"/>
      <c r="M783" s="72"/>
      <c r="P783" s="72"/>
    </row>
    <row r="784">
      <c r="B784" s="68"/>
      <c r="H784" s="70"/>
      <c r="K784" s="70"/>
      <c r="L784" s="71"/>
      <c r="M784" s="72"/>
      <c r="P784" s="72"/>
    </row>
    <row r="785">
      <c r="B785" s="68"/>
      <c r="H785" s="70"/>
      <c r="K785" s="70"/>
      <c r="L785" s="71"/>
      <c r="M785" s="72"/>
      <c r="P785" s="72"/>
    </row>
    <row r="786">
      <c r="B786" s="68"/>
      <c r="H786" s="70"/>
      <c r="K786" s="70"/>
      <c r="L786" s="71"/>
      <c r="M786" s="72"/>
      <c r="P786" s="72"/>
    </row>
    <row r="787">
      <c r="B787" s="68"/>
      <c r="H787" s="70"/>
      <c r="K787" s="70"/>
      <c r="L787" s="71"/>
      <c r="M787" s="72"/>
      <c r="P787" s="72"/>
    </row>
    <row r="788">
      <c r="B788" s="68"/>
      <c r="H788" s="70"/>
      <c r="K788" s="70"/>
      <c r="L788" s="71"/>
      <c r="M788" s="72"/>
      <c r="P788" s="72"/>
    </row>
    <row r="789">
      <c r="B789" s="68"/>
      <c r="H789" s="70"/>
      <c r="K789" s="70"/>
      <c r="L789" s="71"/>
      <c r="M789" s="72"/>
      <c r="P789" s="72"/>
    </row>
    <row r="790">
      <c r="B790" s="68"/>
      <c r="H790" s="70"/>
      <c r="K790" s="70"/>
      <c r="L790" s="71"/>
      <c r="M790" s="72"/>
      <c r="P790" s="72"/>
    </row>
    <row r="791">
      <c r="B791" s="68"/>
      <c r="H791" s="70"/>
      <c r="K791" s="70"/>
      <c r="L791" s="71"/>
      <c r="M791" s="72"/>
      <c r="P791" s="72"/>
    </row>
    <row r="792">
      <c r="B792" s="68"/>
      <c r="H792" s="70"/>
      <c r="K792" s="70"/>
      <c r="L792" s="71"/>
      <c r="M792" s="72"/>
      <c r="P792" s="72"/>
    </row>
    <row r="793">
      <c r="B793" s="68"/>
      <c r="H793" s="70"/>
      <c r="K793" s="70"/>
      <c r="L793" s="71"/>
      <c r="M793" s="72"/>
      <c r="P793" s="72"/>
    </row>
    <row r="794">
      <c r="B794" s="68"/>
      <c r="H794" s="70"/>
      <c r="K794" s="70"/>
      <c r="L794" s="71"/>
      <c r="M794" s="72"/>
      <c r="P794" s="72"/>
    </row>
    <row r="795">
      <c r="B795" s="68"/>
      <c r="H795" s="70"/>
      <c r="K795" s="70"/>
      <c r="L795" s="71"/>
      <c r="M795" s="72"/>
      <c r="P795" s="72"/>
    </row>
    <row r="796">
      <c r="B796" s="68"/>
      <c r="H796" s="70"/>
      <c r="K796" s="70"/>
      <c r="L796" s="71"/>
      <c r="M796" s="72"/>
      <c r="P796" s="72"/>
    </row>
    <row r="797">
      <c r="B797" s="68"/>
      <c r="H797" s="70"/>
      <c r="K797" s="70"/>
      <c r="L797" s="71"/>
      <c r="M797" s="72"/>
      <c r="P797" s="72"/>
    </row>
    <row r="798">
      <c r="B798" s="68"/>
      <c r="H798" s="70"/>
      <c r="K798" s="70"/>
      <c r="L798" s="71"/>
      <c r="M798" s="72"/>
      <c r="P798" s="72"/>
    </row>
    <row r="799">
      <c r="B799" s="68"/>
      <c r="H799" s="70"/>
      <c r="K799" s="70"/>
      <c r="L799" s="71"/>
      <c r="M799" s="72"/>
      <c r="P799" s="72"/>
    </row>
    <row r="800">
      <c r="B800" s="68"/>
      <c r="H800" s="70"/>
      <c r="K800" s="70"/>
      <c r="L800" s="71"/>
      <c r="M800" s="72"/>
      <c r="P800" s="72"/>
    </row>
    <row r="801">
      <c r="B801" s="68"/>
      <c r="H801" s="70"/>
      <c r="K801" s="70"/>
      <c r="L801" s="71"/>
      <c r="M801" s="72"/>
      <c r="P801" s="72"/>
    </row>
    <row r="802">
      <c r="B802" s="68"/>
      <c r="H802" s="70"/>
      <c r="K802" s="70"/>
      <c r="L802" s="71"/>
      <c r="M802" s="72"/>
      <c r="P802" s="72"/>
    </row>
    <row r="803">
      <c r="B803" s="68"/>
      <c r="H803" s="70"/>
      <c r="K803" s="70"/>
      <c r="L803" s="71"/>
      <c r="M803" s="72"/>
      <c r="P803" s="72"/>
    </row>
    <row r="804">
      <c r="B804" s="68"/>
      <c r="H804" s="70"/>
      <c r="K804" s="70"/>
      <c r="L804" s="71"/>
      <c r="M804" s="72"/>
      <c r="P804" s="72"/>
    </row>
    <row r="805">
      <c r="B805" s="68"/>
      <c r="H805" s="70"/>
      <c r="K805" s="70"/>
      <c r="L805" s="71"/>
      <c r="M805" s="72"/>
      <c r="P805" s="72"/>
    </row>
    <row r="806">
      <c r="B806" s="68"/>
      <c r="H806" s="70"/>
      <c r="K806" s="70"/>
      <c r="L806" s="71"/>
      <c r="M806" s="72"/>
      <c r="P806" s="72"/>
    </row>
    <row r="807">
      <c r="B807" s="68"/>
      <c r="H807" s="70"/>
      <c r="K807" s="70"/>
      <c r="L807" s="71"/>
      <c r="M807" s="72"/>
      <c r="P807" s="72"/>
    </row>
    <row r="808">
      <c r="B808" s="68"/>
      <c r="H808" s="70"/>
      <c r="K808" s="70"/>
      <c r="L808" s="71"/>
      <c r="M808" s="72"/>
      <c r="P808" s="72"/>
    </row>
    <row r="809">
      <c r="B809" s="68"/>
      <c r="H809" s="70"/>
      <c r="K809" s="70"/>
      <c r="L809" s="71"/>
      <c r="M809" s="72"/>
      <c r="P809" s="72"/>
    </row>
    <row r="810">
      <c r="B810" s="68"/>
      <c r="H810" s="70"/>
      <c r="K810" s="70"/>
      <c r="L810" s="71"/>
      <c r="M810" s="72"/>
      <c r="P810" s="72"/>
    </row>
    <row r="811">
      <c r="B811" s="68"/>
      <c r="H811" s="70"/>
      <c r="K811" s="70"/>
      <c r="L811" s="71"/>
      <c r="M811" s="72"/>
      <c r="P811" s="72"/>
    </row>
    <row r="812">
      <c r="B812" s="68"/>
      <c r="H812" s="70"/>
      <c r="K812" s="70"/>
      <c r="L812" s="71"/>
      <c r="M812" s="72"/>
      <c r="P812" s="72"/>
    </row>
    <row r="813">
      <c r="B813" s="68"/>
      <c r="H813" s="70"/>
      <c r="K813" s="70"/>
      <c r="L813" s="71"/>
      <c r="M813" s="72"/>
      <c r="P813" s="72"/>
    </row>
    <row r="814">
      <c r="B814" s="68"/>
      <c r="H814" s="70"/>
      <c r="K814" s="70"/>
      <c r="L814" s="71"/>
      <c r="M814" s="72"/>
      <c r="P814" s="72"/>
    </row>
    <row r="815">
      <c r="B815" s="68"/>
      <c r="H815" s="70"/>
      <c r="K815" s="70"/>
      <c r="L815" s="71"/>
      <c r="M815" s="72"/>
      <c r="P815" s="72"/>
    </row>
    <row r="816">
      <c r="B816" s="68"/>
      <c r="H816" s="70"/>
      <c r="K816" s="70"/>
      <c r="L816" s="71"/>
      <c r="M816" s="72"/>
      <c r="P816" s="72"/>
    </row>
    <row r="817">
      <c r="B817" s="68"/>
      <c r="H817" s="70"/>
      <c r="K817" s="70"/>
      <c r="L817" s="71"/>
      <c r="M817" s="72"/>
      <c r="P817" s="72"/>
    </row>
    <row r="818">
      <c r="B818" s="68"/>
      <c r="H818" s="70"/>
      <c r="K818" s="70"/>
      <c r="L818" s="71"/>
      <c r="M818" s="72"/>
      <c r="P818" s="72"/>
    </row>
    <row r="819">
      <c r="B819" s="68"/>
      <c r="H819" s="70"/>
      <c r="K819" s="70"/>
      <c r="L819" s="71"/>
      <c r="M819" s="72"/>
      <c r="P819" s="72"/>
    </row>
    <row r="820">
      <c r="B820" s="68"/>
      <c r="H820" s="70"/>
      <c r="K820" s="70"/>
      <c r="L820" s="71"/>
      <c r="M820" s="72"/>
      <c r="P820" s="72"/>
    </row>
    <row r="821">
      <c r="B821" s="68"/>
      <c r="H821" s="70"/>
      <c r="K821" s="70"/>
      <c r="L821" s="71"/>
      <c r="M821" s="72"/>
      <c r="P821" s="72"/>
    </row>
    <row r="822">
      <c r="B822" s="68"/>
      <c r="H822" s="70"/>
      <c r="K822" s="70"/>
      <c r="L822" s="71"/>
      <c r="M822" s="72"/>
      <c r="P822" s="72"/>
    </row>
    <row r="823">
      <c r="B823" s="68"/>
      <c r="H823" s="70"/>
      <c r="K823" s="70"/>
      <c r="L823" s="71"/>
      <c r="M823" s="72"/>
      <c r="P823" s="72"/>
    </row>
    <row r="824">
      <c r="B824" s="68"/>
      <c r="H824" s="70"/>
      <c r="K824" s="70"/>
      <c r="L824" s="71"/>
      <c r="M824" s="72"/>
      <c r="P824" s="72"/>
    </row>
    <row r="825">
      <c r="B825" s="68"/>
      <c r="H825" s="70"/>
      <c r="K825" s="70"/>
      <c r="L825" s="71"/>
      <c r="M825" s="72"/>
      <c r="P825" s="72"/>
    </row>
    <row r="826">
      <c r="B826" s="68"/>
      <c r="H826" s="70"/>
      <c r="K826" s="70"/>
      <c r="L826" s="71"/>
      <c r="M826" s="72"/>
      <c r="P826" s="72"/>
    </row>
    <row r="827">
      <c r="B827" s="68"/>
      <c r="H827" s="70"/>
      <c r="K827" s="70"/>
      <c r="L827" s="71"/>
      <c r="M827" s="72"/>
      <c r="P827" s="72"/>
    </row>
    <row r="828">
      <c r="B828" s="68"/>
      <c r="H828" s="70"/>
      <c r="K828" s="70"/>
      <c r="L828" s="71"/>
      <c r="M828" s="72"/>
      <c r="P828" s="72"/>
    </row>
    <row r="829">
      <c r="B829" s="68"/>
      <c r="H829" s="70"/>
      <c r="K829" s="70"/>
      <c r="L829" s="71"/>
      <c r="M829" s="72"/>
      <c r="P829" s="72"/>
    </row>
    <row r="830">
      <c r="B830" s="68"/>
      <c r="H830" s="70"/>
      <c r="K830" s="70"/>
      <c r="L830" s="71"/>
      <c r="M830" s="72"/>
      <c r="P830" s="72"/>
    </row>
    <row r="831">
      <c r="B831" s="68"/>
      <c r="H831" s="70"/>
      <c r="K831" s="70"/>
      <c r="L831" s="71"/>
      <c r="M831" s="72"/>
      <c r="P831" s="72"/>
    </row>
    <row r="832">
      <c r="B832" s="68"/>
      <c r="H832" s="70"/>
      <c r="K832" s="70"/>
      <c r="L832" s="71"/>
      <c r="M832" s="72"/>
      <c r="P832" s="72"/>
    </row>
    <row r="833">
      <c r="B833" s="68"/>
      <c r="H833" s="70"/>
      <c r="K833" s="70"/>
      <c r="L833" s="71"/>
      <c r="M833" s="72"/>
      <c r="P833" s="72"/>
    </row>
    <row r="834">
      <c r="B834" s="68"/>
      <c r="H834" s="70"/>
      <c r="K834" s="70"/>
      <c r="L834" s="71"/>
      <c r="M834" s="72"/>
      <c r="P834" s="72"/>
    </row>
    <row r="835">
      <c r="B835" s="68"/>
      <c r="H835" s="70"/>
      <c r="K835" s="70"/>
      <c r="L835" s="71"/>
      <c r="M835" s="72"/>
      <c r="P835" s="72"/>
    </row>
    <row r="836">
      <c r="B836" s="68"/>
      <c r="H836" s="70"/>
      <c r="K836" s="70"/>
      <c r="L836" s="71"/>
      <c r="M836" s="72"/>
      <c r="P836" s="72"/>
    </row>
    <row r="837">
      <c r="B837" s="68"/>
      <c r="H837" s="70"/>
      <c r="K837" s="70"/>
      <c r="L837" s="71"/>
      <c r="M837" s="72"/>
      <c r="P837" s="72"/>
    </row>
    <row r="838">
      <c r="B838" s="68"/>
      <c r="H838" s="70"/>
      <c r="K838" s="70"/>
      <c r="L838" s="71"/>
      <c r="M838" s="72"/>
      <c r="P838" s="72"/>
    </row>
    <row r="839">
      <c r="B839" s="68"/>
      <c r="H839" s="70"/>
      <c r="K839" s="70"/>
      <c r="L839" s="71"/>
      <c r="M839" s="72"/>
      <c r="P839" s="72"/>
    </row>
    <row r="840">
      <c r="B840" s="68"/>
      <c r="H840" s="70"/>
      <c r="K840" s="70"/>
      <c r="L840" s="71"/>
      <c r="M840" s="72"/>
      <c r="P840" s="72"/>
    </row>
    <row r="841">
      <c r="B841" s="68"/>
      <c r="H841" s="70"/>
      <c r="K841" s="70"/>
      <c r="L841" s="71"/>
      <c r="M841" s="72"/>
      <c r="P841" s="72"/>
    </row>
    <row r="842">
      <c r="B842" s="68"/>
      <c r="H842" s="70"/>
      <c r="K842" s="70"/>
      <c r="L842" s="71"/>
      <c r="M842" s="72"/>
      <c r="P842" s="72"/>
    </row>
    <row r="843">
      <c r="B843" s="68"/>
      <c r="H843" s="70"/>
      <c r="K843" s="70"/>
      <c r="L843" s="71"/>
      <c r="M843" s="72"/>
      <c r="P843" s="72"/>
    </row>
    <row r="844">
      <c r="B844" s="68"/>
      <c r="H844" s="70"/>
      <c r="K844" s="70"/>
      <c r="L844" s="71"/>
      <c r="M844" s="72"/>
      <c r="P844" s="72"/>
    </row>
    <row r="845">
      <c r="B845" s="68"/>
      <c r="H845" s="70"/>
      <c r="K845" s="70"/>
      <c r="L845" s="71"/>
      <c r="M845" s="72"/>
      <c r="P845" s="72"/>
    </row>
    <row r="846">
      <c r="B846" s="68"/>
      <c r="H846" s="70"/>
      <c r="K846" s="70"/>
      <c r="L846" s="71"/>
      <c r="M846" s="72"/>
      <c r="P846" s="72"/>
    </row>
    <row r="847">
      <c r="B847" s="68"/>
      <c r="H847" s="70"/>
      <c r="K847" s="70"/>
      <c r="L847" s="71"/>
      <c r="M847" s="72"/>
      <c r="P847" s="72"/>
    </row>
    <row r="848">
      <c r="B848" s="68"/>
      <c r="H848" s="70"/>
      <c r="K848" s="70"/>
      <c r="L848" s="71"/>
      <c r="M848" s="72"/>
      <c r="P848" s="72"/>
    </row>
    <row r="849">
      <c r="B849" s="68"/>
      <c r="H849" s="70"/>
      <c r="K849" s="70"/>
      <c r="L849" s="71"/>
      <c r="M849" s="72"/>
      <c r="P849" s="72"/>
    </row>
    <row r="850">
      <c r="B850" s="68"/>
      <c r="H850" s="70"/>
      <c r="K850" s="70"/>
      <c r="L850" s="71"/>
      <c r="M850" s="72"/>
      <c r="P850" s="72"/>
    </row>
    <row r="851">
      <c r="B851" s="68"/>
      <c r="H851" s="70"/>
      <c r="K851" s="70"/>
      <c r="L851" s="71"/>
      <c r="M851" s="72"/>
      <c r="P851" s="72"/>
    </row>
    <row r="852">
      <c r="B852" s="68"/>
      <c r="H852" s="70"/>
      <c r="K852" s="70"/>
      <c r="L852" s="71"/>
      <c r="M852" s="72"/>
      <c r="P852" s="72"/>
    </row>
    <row r="853">
      <c r="B853" s="68"/>
      <c r="H853" s="70"/>
      <c r="K853" s="70"/>
      <c r="L853" s="71"/>
      <c r="M853" s="72"/>
      <c r="P853" s="72"/>
    </row>
    <row r="854">
      <c r="B854" s="68"/>
      <c r="H854" s="70"/>
      <c r="K854" s="70"/>
      <c r="L854" s="71"/>
      <c r="M854" s="72"/>
      <c r="P854" s="72"/>
    </row>
    <row r="855">
      <c r="B855" s="68"/>
      <c r="H855" s="70"/>
      <c r="K855" s="70"/>
      <c r="L855" s="71"/>
      <c r="M855" s="72"/>
      <c r="P855" s="72"/>
    </row>
    <row r="856">
      <c r="B856" s="68"/>
      <c r="H856" s="70"/>
      <c r="K856" s="70"/>
      <c r="L856" s="71"/>
      <c r="M856" s="72"/>
      <c r="P856" s="72"/>
    </row>
    <row r="857">
      <c r="B857" s="68"/>
      <c r="H857" s="70"/>
      <c r="K857" s="70"/>
      <c r="L857" s="71"/>
      <c r="M857" s="72"/>
      <c r="P857" s="72"/>
    </row>
    <row r="858">
      <c r="B858" s="68"/>
      <c r="H858" s="70"/>
      <c r="K858" s="70"/>
      <c r="L858" s="71"/>
      <c r="M858" s="72"/>
      <c r="P858" s="72"/>
    </row>
    <row r="859">
      <c r="B859" s="68"/>
      <c r="H859" s="70"/>
      <c r="K859" s="70"/>
      <c r="L859" s="71"/>
      <c r="M859" s="72"/>
      <c r="P859" s="72"/>
    </row>
    <row r="860">
      <c r="B860" s="68"/>
      <c r="H860" s="70"/>
      <c r="K860" s="70"/>
      <c r="L860" s="71"/>
      <c r="M860" s="72"/>
      <c r="P860" s="72"/>
    </row>
    <row r="861">
      <c r="B861" s="68"/>
      <c r="H861" s="70"/>
      <c r="K861" s="70"/>
      <c r="L861" s="71"/>
      <c r="M861" s="72"/>
      <c r="P861" s="72"/>
    </row>
    <row r="862">
      <c r="B862" s="68"/>
      <c r="H862" s="70"/>
      <c r="K862" s="70"/>
      <c r="L862" s="71"/>
      <c r="M862" s="72"/>
      <c r="P862" s="72"/>
    </row>
    <row r="863">
      <c r="B863" s="68"/>
      <c r="H863" s="70"/>
      <c r="K863" s="70"/>
      <c r="L863" s="71"/>
      <c r="M863" s="72"/>
      <c r="P863" s="72"/>
    </row>
    <row r="864">
      <c r="B864" s="68"/>
      <c r="H864" s="70"/>
      <c r="K864" s="70"/>
      <c r="L864" s="71"/>
      <c r="M864" s="72"/>
      <c r="P864" s="72"/>
    </row>
    <row r="865">
      <c r="B865" s="68"/>
      <c r="H865" s="70"/>
      <c r="K865" s="70"/>
      <c r="L865" s="71"/>
      <c r="M865" s="72"/>
      <c r="P865" s="72"/>
    </row>
    <row r="866">
      <c r="B866" s="68"/>
      <c r="H866" s="70"/>
      <c r="K866" s="70"/>
      <c r="L866" s="71"/>
      <c r="M866" s="72"/>
      <c r="P866" s="72"/>
    </row>
    <row r="867">
      <c r="B867" s="68"/>
      <c r="H867" s="70"/>
      <c r="K867" s="70"/>
      <c r="L867" s="71"/>
      <c r="M867" s="72"/>
      <c r="P867" s="72"/>
    </row>
    <row r="868">
      <c r="B868" s="68"/>
      <c r="H868" s="70"/>
      <c r="K868" s="70"/>
      <c r="L868" s="71"/>
      <c r="M868" s="72"/>
      <c r="P868" s="72"/>
    </row>
    <row r="869">
      <c r="B869" s="68"/>
      <c r="H869" s="70"/>
      <c r="K869" s="70"/>
      <c r="L869" s="71"/>
      <c r="M869" s="72"/>
      <c r="P869" s="72"/>
    </row>
    <row r="870">
      <c r="B870" s="68"/>
      <c r="H870" s="70"/>
      <c r="K870" s="70"/>
      <c r="L870" s="71"/>
      <c r="M870" s="72"/>
      <c r="P870" s="72"/>
    </row>
    <row r="871">
      <c r="B871" s="68"/>
      <c r="H871" s="70"/>
      <c r="K871" s="70"/>
      <c r="L871" s="71"/>
      <c r="M871" s="72"/>
      <c r="P871" s="72"/>
    </row>
    <row r="872">
      <c r="B872" s="68"/>
      <c r="H872" s="70"/>
      <c r="K872" s="70"/>
      <c r="L872" s="71"/>
      <c r="M872" s="72"/>
      <c r="P872" s="72"/>
    </row>
    <row r="873">
      <c r="B873" s="68"/>
      <c r="H873" s="70"/>
      <c r="K873" s="70"/>
      <c r="L873" s="71"/>
      <c r="M873" s="72"/>
      <c r="P873" s="72"/>
    </row>
    <row r="874">
      <c r="B874" s="68"/>
      <c r="H874" s="70"/>
      <c r="K874" s="70"/>
      <c r="L874" s="71"/>
      <c r="M874" s="72"/>
      <c r="P874" s="72"/>
    </row>
    <row r="875">
      <c r="B875" s="68"/>
      <c r="H875" s="70"/>
      <c r="K875" s="70"/>
      <c r="L875" s="71"/>
      <c r="M875" s="72"/>
      <c r="P875" s="72"/>
    </row>
    <row r="876">
      <c r="B876" s="68"/>
      <c r="H876" s="70"/>
      <c r="K876" s="70"/>
      <c r="L876" s="71"/>
      <c r="M876" s="72"/>
      <c r="P876" s="72"/>
    </row>
    <row r="877">
      <c r="B877" s="68"/>
      <c r="H877" s="70"/>
      <c r="K877" s="70"/>
      <c r="L877" s="71"/>
      <c r="M877" s="72"/>
      <c r="P877" s="72"/>
    </row>
    <row r="878">
      <c r="B878" s="68"/>
      <c r="H878" s="70"/>
      <c r="K878" s="70"/>
      <c r="L878" s="71"/>
      <c r="M878" s="72"/>
      <c r="P878" s="72"/>
    </row>
    <row r="879">
      <c r="B879" s="68"/>
      <c r="H879" s="70"/>
      <c r="K879" s="70"/>
      <c r="L879" s="71"/>
      <c r="M879" s="72"/>
      <c r="P879" s="72"/>
    </row>
    <row r="880">
      <c r="B880" s="68"/>
      <c r="H880" s="70"/>
      <c r="K880" s="70"/>
      <c r="L880" s="71"/>
      <c r="M880" s="72"/>
      <c r="P880" s="72"/>
    </row>
    <row r="881">
      <c r="B881" s="68"/>
      <c r="H881" s="70"/>
      <c r="K881" s="70"/>
      <c r="L881" s="71"/>
      <c r="M881" s="72"/>
      <c r="P881" s="72"/>
    </row>
    <row r="882">
      <c r="B882" s="68"/>
      <c r="H882" s="70"/>
      <c r="K882" s="70"/>
      <c r="L882" s="71"/>
      <c r="M882" s="72"/>
      <c r="P882" s="72"/>
    </row>
    <row r="883">
      <c r="B883" s="68"/>
      <c r="H883" s="70"/>
      <c r="K883" s="70"/>
      <c r="L883" s="71"/>
      <c r="M883" s="72"/>
      <c r="P883" s="72"/>
    </row>
    <row r="884">
      <c r="B884" s="68"/>
      <c r="H884" s="70"/>
      <c r="K884" s="70"/>
      <c r="L884" s="71"/>
      <c r="M884" s="72"/>
      <c r="P884" s="72"/>
    </row>
    <row r="885">
      <c r="B885" s="68"/>
      <c r="H885" s="70"/>
      <c r="K885" s="70"/>
      <c r="L885" s="71"/>
      <c r="M885" s="72"/>
      <c r="P885" s="72"/>
    </row>
    <row r="886">
      <c r="B886" s="68"/>
      <c r="H886" s="70"/>
      <c r="K886" s="70"/>
      <c r="L886" s="71"/>
      <c r="M886" s="72"/>
      <c r="P886" s="72"/>
    </row>
    <row r="887">
      <c r="B887" s="68"/>
      <c r="H887" s="70"/>
      <c r="K887" s="70"/>
      <c r="L887" s="71"/>
      <c r="M887" s="72"/>
      <c r="P887" s="72"/>
    </row>
    <row r="888">
      <c r="B888" s="68"/>
      <c r="H888" s="70"/>
      <c r="K888" s="70"/>
      <c r="L888" s="71"/>
      <c r="M888" s="72"/>
      <c r="P888" s="72"/>
    </row>
    <row r="889">
      <c r="B889" s="68"/>
      <c r="H889" s="70"/>
      <c r="K889" s="70"/>
      <c r="L889" s="71"/>
      <c r="M889" s="72"/>
      <c r="P889" s="72"/>
    </row>
    <row r="890">
      <c r="B890" s="68"/>
      <c r="H890" s="70"/>
      <c r="K890" s="70"/>
      <c r="L890" s="71"/>
      <c r="M890" s="72"/>
      <c r="P890" s="72"/>
    </row>
    <row r="891">
      <c r="B891" s="68"/>
      <c r="H891" s="70"/>
      <c r="K891" s="70"/>
      <c r="L891" s="71"/>
      <c r="M891" s="72"/>
      <c r="P891" s="72"/>
    </row>
    <row r="892">
      <c r="B892" s="68"/>
      <c r="H892" s="70"/>
      <c r="K892" s="70"/>
      <c r="L892" s="71"/>
      <c r="M892" s="72"/>
      <c r="P892" s="72"/>
    </row>
    <row r="893">
      <c r="B893" s="68"/>
      <c r="H893" s="70"/>
      <c r="K893" s="70"/>
      <c r="L893" s="71"/>
      <c r="M893" s="72"/>
      <c r="P893" s="72"/>
    </row>
    <row r="894">
      <c r="B894" s="68"/>
      <c r="H894" s="70"/>
      <c r="K894" s="70"/>
      <c r="L894" s="71"/>
      <c r="M894" s="72"/>
      <c r="P894" s="72"/>
    </row>
    <row r="895">
      <c r="B895" s="68"/>
      <c r="H895" s="70"/>
      <c r="K895" s="70"/>
      <c r="L895" s="71"/>
      <c r="M895" s="72"/>
      <c r="P895" s="72"/>
    </row>
    <row r="896">
      <c r="B896" s="68"/>
      <c r="H896" s="70"/>
      <c r="K896" s="70"/>
      <c r="L896" s="71"/>
      <c r="M896" s="72"/>
      <c r="P896" s="72"/>
    </row>
    <row r="897">
      <c r="B897" s="68"/>
      <c r="H897" s="70"/>
      <c r="K897" s="70"/>
      <c r="L897" s="71"/>
      <c r="M897" s="72"/>
      <c r="P897" s="72"/>
    </row>
    <row r="898">
      <c r="B898" s="68"/>
      <c r="H898" s="70"/>
      <c r="K898" s="70"/>
      <c r="L898" s="71"/>
      <c r="M898" s="72"/>
      <c r="P898" s="72"/>
    </row>
    <row r="899">
      <c r="B899" s="68"/>
      <c r="H899" s="70"/>
      <c r="K899" s="70"/>
      <c r="L899" s="71"/>
      <c r="M899" s="72"/>
      <c r="P899" s="72"/>
    </row>
    <row r="900">
      <c r="B900" s="68"/>
      <c r="H900" s="70"/>
      <c r="K900" s="70"/>
      <c r="L900" s="71"/>
      <c r="M900" s="72"/>
      <c r="P900" s="72"/>
    </row>
    <row r="901">
      <c r="B901" s="68"/>
      <c r="H901" s="70"/>
      <c r="K901" s="70"/>
      <c r="L901" s="71"/>
      <c r="M901" s="72"/>
      <c r="P901" s="72"/>
    </row>
    <row r="902">
      <c r="B902" s="68"/>
      <c r="H902" s="70"/>
      <c r="K902" s="70"/>
      <c r="L902" s="71"/>
      <c r="M902" s="72"/>
      <c r="P902" s="72"/>
    </row>
    <row r="903">
      <c r="B903" s="68"/>
      <c r="H903" s="70"/>
      <c r="K903" s="70"/>
      <c r="L903" s="71"/>
      <c r="M903" s="72"/>
      <c r="P903" s="72"/>
    </row>
    <row r="904">
      <c r="B904" s="68"/>
      <c r="H904" s="70"/>
      <c r="K904" s="70"/>
      <c r="L904" s="71"/>
      <c r="M904" s="72"/>
      <c r="P904" s="72"/>
    </row>
    <row r="905">
      <c r="B905" s="68"/>
      <c r="H905" s="70"/>
      <c r="K905" s="70"/>
      <c r="L905" s="71"/>
      <c r="M905" s="72"/>
      <c r="P905" s="72"/>
    </row>
    <row r="906">
      <c r="B906" s="68"/>
      <c r="H906" s="70"/>
      <c r="K906" s="70"/>
      <c r="L906" s="71"/>
      <c r="M906" s="72"/>
      <c r="P906" s="72"/>
    </row>
    <row r="907">
      <c r="B907" s="68"/>
      <c r="H907" s="70"/>
      <c r="K907" s="70"/>
      <c r="L907" s="71"/>
      <c r="M907" s="72"/>
      <c r="P907" s="72"/>
    </row>
    <row r="908">
      <c r="B908" s="68"/>
      <c r="H908" s="70"/>
      <c r="K908" s="70"/>
      <c r="L908" s="71"/>
      <c r="M908" s="72"/>
      <c r="P908" s="72"/>
    </row>
    <row r="909">
      <c r="B909" s="68"/>
      <c r="H909" s="70"/>
      <c r="K909" s="70"/>
      <c r="L909" s="71"/>
      <c r="M909" s="72"/>
      <c r="P909" s="72"/>
    </row>
    <row r="910">
      <c r="B910" s="68"/>
      <c r="H910" s="70"/>
      <c r="K910" s="70"/>
      <c r="L910" s="71"/>
      <c r="M910" s="72"/>
      <c r="P910" s="72"/>
    </row>
    <row r="911">
      <c r="B911" s="68"/>
      <c r="H911" s="70"/>
      <c r="K911" s="70"/>
      <c r="L911" s="71"/>
      <c r="M911" s="72"/>
      <c r="P911" s="72"/>
    </row>
    <row r="912">
      <c r="B912" s="68"/>
      <c r="H912" s="70"/>
      <c r="K912" s="70"/>
      <c r="L912" s="71"/>
      <c r="M912" s="72"/>
      <c r="P912" s="72"/>
    </row>
    <row r="913">
      <c r="B913" s="68"/>
      <c r="H913" s="70"/>
      <c r="K913" s="70"/>
      <c r="L913" s="71"/>
      <c r="M913" s="72"/>
      <c r="P913" s="72"/>
    </row>
    <row r="914">
      <c r="B914" s="68"/>
      <c r="H914" s="70"/>
      <c r="K914" s="70"/>
      <c r="L914" s="71"/>
      <c r="M914" s="72"/>
      <c r="P914" s="72"/>
    </row>
    <row r="915">
      <c r="B915" s="68"/>
      <c r="H915" s="70"/>
      <c r="K915" s="70"/>
      <c r="L915" s="71"/>
      <c r="M915" s="72"/>
      <c r="P915" s="72"/>
    </row>
    <row r="916">
      <c r="B916" s="68"/>
      <c r="H916" s="70"/>
      <c r="K916" s="70"/>
      <c r="L916" s="71"/>
      <c r="M916" s="72"/>
      <c r="P916" s="72"/>
    </row>
    <row r="917">
      <c r="B917" s="68"/>
      <c r="H917" s="70"/>
      <c r="K917" s="70"/>
      <c r="L917" s="71"/>
      <c r="M917" s="72"/>
      <c r="P917" s="72"/>
    </row>
    <row r="918">
      <c r="B918" s="68"/>
      <c r="H918" s="70"/>
      <c r="K918" s="70"/>
      <c r="L918" s="71"/>
      <c r="M918" s="72"/>
      <c r="P918" s="72"/>
    </row>
    <row r="919">
      <c r="B919" s="68"/>
      <c r="H919" s="70"/>
      <c r="K919" s="70"/>
      <c r="L919" s="71"/>
      <c r="M919" s="72"/>
      <c r="P919" s="72"/>
    </row>
    <row r="920">
      <c r="B920" s="68"/>
      <c r="H920" s="70"/>
      <c r="K920" s="70"/>
      <c r="L920" s="71"/>
      <c r="M920" s="72"/>
      <c r="P920" s="72"/>
    </row>
    <row r="921">
      <c r="B921" s="68"/>
      <c r="H921" s="70"/>
      <c r="K921" s="70"/>
      <c r="L921" s="71"/>
      <c r="M921" s="72"/>
      <c r="P921" s="72"/>
    </row>
    <row r="922">
      <c r="B922" s="68"/>
      <c r="H922" s="70"/>
      <c r="K922" s="70"/>
      <c r="L922" s="71"/>
      <c r="M922" s="72"/>
      <c r="P922" s="72"/>
    </row>
    <row r="923">
      <c r="B923" s="68"/>
      <c r="H923" s="70"/>
      <c r="K923" s="70"/>
      <c r="L923" s="71"/>
      <c r="M923" s="72"/>
      <c r="P923" s="72"/>
    </row>
    <row r="924">
      <c r="B924" s="68"/>
      <c r="H924" s="70"/>
      <c r="K924" s="70"/>
      <c r="L924" s="71"/>
      <c r="M924" s="72"/>
      <c r="P924" s="72"/>
    </row>
    <row r="925">
      <c r="B925" s="68"/>
      <c r="H925" s="70"/>
      <c r="K925" s="70"/>
      <c r="L925" s="71"/>
      <c r="M925" s="72"/>
      <c r="P925" s="72"/>
    </row>
    <row r="926">
      <c r="B926" s="68"/>
      <c r="H926" s="70"/>
      <c r="K926" s="70"/>
      <c r="L926" s="71"/>
      <c r="M926" s="72"/>
      <c r="P926" s="72"/>
    </row>
    <row r="927">
      <c r="B927" s="68"/>
      <c r="H927" s="70"/>
      <c r="K927" s="70"/>
      <c r="L927" s="71"/>
      <c r="M927" s="72"/>
      <c r="P927" s="72"/>
    </row>
    <row r="928">
      <c r="B928" s="68"/>
      <c r="H928" s="70"/>
      <c r="K928" s="70"/>
      <c r="L928" s="71"/>
      <c r="M928" s="72"/>
      <c r="P928" s="72"/>
    </row>
    <row r="929">
      <c r="B929" s="68"/>
      <c r="H929" s="70"/>
      <c r="K929" s="70"/>
      <c r="L929" s="71"/>
      <c r="M929" s="72"/>
      <c r="P929" s="72"/>
    </row>
    <row r="930">
      <c r="B930" s="68"/>
      <c r="H930" s="70"/>
      <c r="K930" s="70"/>
      <c r="L930" s="71"/>
      <c r="M930" s="72"/>
      <c r="P930" s="72"/>
    </row>
    <row r="931">
      <c r="B931" s="68"/>
      <c r="H931" s="70"/>
      <c r="K931" s="70"/>
      <c r="L931" s="71"/>
      <c r="M931" s="72"/>
      <c r="P931" s="72"/>
    </row>
    <row r="932">
      <c r="B932" s="68"/>
      <c r="H932" s="70"/>
      <c r="K932" s="70"/>
      <c r="L932" s="71"/>
      <c r="M932" s="72"/>
      <c r="P932" s="72"/>
    </row>
    <row r="933">
      <c r="B933" s="68"/>
      <c r="H933" s="70"/>
      <c r="K933" s="70"/>
      <c r="L933" s="71"/>
      <c r="M933" s="72"/>
      <c r="P933" s="72"/>
    </row>
    <row r="934">
      <c r="B934" s="68"/>
      <c r="H934" s="70"/>
      <c r="K934" s="70"/>
      <c r="L934" s="71"/>
      <c r="M934" s="72"/>
      <c r="P934" s="72"/>
    </row>
    <row r="935">
      <c r="B935" s="68"/>
      <c r="H935" s="70"/>
      <c r="K935" s="70"/>
      <c r="L935" s="71"/>
      <c r="M935" s="72"/>
      <c r="P935" s="72"/>
    </row>
    <row r="936">
      <c r="B936" s="68"/>
      <c r="H936" s="70"/>
      <c r="K936" s="70"/>
      <c r="L936" s="71"/>
      <c r="M936" s="72"/>
      <c r="P936" s="72"/>
    </row>
    <row r="937">
      <c r="B937" s="68"/>
      <c r="H937" s="70"/>
      <c r="K937" s="70"/>
      <c r="L937" s="71"/>
      <c r="M937" s="72"/>
      <c r="P937" s="72"/>
    </row>
    <row r="938">
      <c r="B938" s="68"/>
      <c r="H938" s="70"/>
      <c r="K938" s="70"/>
      <c r="L938" s="71"/>
      <c r="M938" s="72"/>
      <c r="P938" s="72"/>
    </row>
    <row r="939">
      <c r="B939" s="68"/>
      <c r="H939" s="70"/>
      <c r="K939" s="70"/>
      <c r="L939" s="71"/>
      <c r="M939" s="72"/>
      <c r="P939" s="72"/>
    </row>
    <row r="940">
      <c r="B940" s="68"/>
      <c r="H940" s="70"/>
      <c r="K940" s="70"/>
      <c r="L940" s="71"/>
      <c r="M940" s="72"/>
      <c r="P940" s="72"/>
    </row>
    <row r="941">
      <c r="B941" s="68"/>
      <c r="H941" s="70"/>
      <c r="K941" s="70"/>
      <c r="L941" s="71"/>
      <c r="M941" s="72"/>
      <c r="P941" s="72"/>
    </row>
    <row r="942">
      <c r="B942" s="68"/>
      <c r="H942" s="70"/>
      <c r="K942" s="70"/>
      <c r="L942" s="71"/>
      <c r="M942" s="72"/>
      <c r="P942" s="72"/>
    </row>
    <row r="943">
      <c r="B943" s="68"/>
      <c r="H943" s="70"/>
      <c r="K943" s="70"/>
      <c r="L943" s="71"/>
      <c r="M943" s="72"/>
      <c r="P943" s="72"/>
    </row>
    <row r="944">
      <c r="B944" s="68"/>
      <c r="H944" s="70"/>
      <c r="K944" s="70"/>
      <c r="L944" s="71"/>
      <c r="M944" s="72"/>
      <c r="P944" s="72"/>
    </row>
    <row r="945">
      <c r="B945" s="68"/>
      <c r="H945" s="70"/>
      <c r="K945" s="70"/>
      <c r="L945" s="71"/>
      <c r="M945" s="72"/>
      <c r="P945" s="72"/>
    </row>
    <row r="946">
      <c r="B946" s="68"/>
      <c r="H946" s="70"/>
      <c r="K946" s="70"/>
      <c r="L946" s="71"/>
      <c r="M946" s="72"/>
      <c r="P946" s="72"/>
    </row>
    <row r="947">
      <c r="B947" s="68"/>
      <c r="H947" s="70"/>
      <c r="K947" s="70"/>
      <c r="L947" s="71"/>
      <c r="M947" s="72"/>
      <c r="P947" s="72"/>
    </row>
    <row r="948">
      <c r="B948" s="68"/>
      <c r="H948" s="70"/>
      <c r="K948" s="70"/>
      <c r="L948" s="71"/>
      <c r="M948" s="72"/>
      <c r="P948" s="72"/>
    </row>
    <row r="949">
      <c r="B949" s="68"/>
      <c r="H949" s="70"/>
      <c r="K949" s="70"/>
      <c r="L949" s="71"/>
      <c r="M949" s="72"/>
      <c r="P949" s="72"/>
    </row>
    <row r="950">
      <c r="B950" s="68"/>
      <c r="H950" s="70"/>
      <c r="K950" s="70"/>
      <c r="L950" s="71"/>
      <c r="M950" s="72"/>
      <c r="P950" s="72"/>
    </row>
    <row r="951">
      <c r="B951" s="68"/>
      <c r="H951" s="70"/>
      <c r="K951" s="70"/>
      <c r="L951" s="71"/>
      <c r="M951" s="72"/>
      <c r="P951" s="72"/>
    </row>
    <row r="952">
      <c r="B952" s="68"/>
      <c r="H952" s="70"/>
      <c r="K952" s="70"/>
      <c r="L952" s="71"/>
      <c r="M952" s="72"/>
      <c r="P952" s="72"/>
    </row>
    <row r="953">
      <c r="B953" s="68"/>
      <c r="H953" s="70"/>
      <c r="K953" s="70"/>
      <c r="L953" s="71"/>
      <c r="M953" s="72"/>
      <c r="P953" s="72"/>
    </row>
    <row r="954">
      <c r="B954" s="68"/>
      <c r="H954" s="70"/>
      <c r="K954" s="70"/>
      <c r="L954" s="71"/>
      <c r="M954" s="72"/>
      <c r="P954" s="72"/>
    </row>
    <row r="955">
      <c r="B955" s="68"/>
      <c r="H955" s="70"/>
      <c r="K955" s="70"/>
      <c r="L955" s="71"/>
      <c r="M955" s="72"/>
      <c r="P955" s="72"/>
    </row>
    <row r="956">
      <c r="B956" s="68"/>
      <c r="H956" s="70"/>
      <c r="K956" s="70"/>
      <c r="L956" s="71"/>
      <c r="M956" s="72"/>
      <c r="P956" s="72"/>
    </row>
    <row r="957">
      <c r="B957" s="68"/>
      <c r="H957" s="70"/>
      <c r="K957" s="70"/>
      <c r="L957" s="71"/>
      <c r="M957" s="72"/>
      <c r="P957" s="72"/>
    </row>
  </sheetData>
  <autoFilter ref="$E$1:$E$957">
    <sortState ref="E1:E957">
      <sortCondition ref="E1:E957"/>
    </sortState>
  </autoFilter>
  <drawing r:id="rId1"/>
</worksheet>
</file>